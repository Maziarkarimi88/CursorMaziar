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00_How_to_Use" sheetId="1" state="visible" r:id="rId1"/>
    <sheet name="01_Scheme_Tracker" sheetId="2" state="visible" r:id="rId2"/>
    <sheet name="02_Dashboard" sheetId="3" state="visible" r:id="rId3"/>
    <sheet name="03_Example_Filled" sheetId="4" state="visible" r:id="rId4"/>
    <sheet name="04_Status_Pipeline" sheetId="5" state="visible" r:id="rId5"/>
    <sheet name="05_Domains" sheetId="6" state="visible" r:id="rId6"/>
    <sheet name="06_Geography" sheetId="7" state="visible" r:id="rId7"/>
    <sheet name="07_Lookups" sheetId="8" state="visible" r:id="rId8"/>
  </sheets>
  <definedNames>
    <definedName name="Interventions">OFFSET('05_Domains'!$A$3,0,0,COUNTA('05_Domains'!$A$3:$A$400),1)</definedName>
    <definedName name="Donors">OFFSET('05_Domains'!$B$3,0,0,COUNTA('05_Domains'!$B$3:$B$400),1)</definedName>
    <definedName name="Projects">OFFSET('05_Domains'!$C$3,0,0,COUNTA('05_Domains'!$C$3:$C$400),1)</definedName>
    <definedName name="Regions">OFFSET('05_Domains'!$D$3,0,0,COUNTA('05_Domains'!$D$3:$D$400),1)</definedName>
    <definedName name="Statuses">OFFSET('05_Domains'!$E$3,0,0,COUNTA('05_Domains'!$E$3:$E$400),1)</definedName>
    <definedName name="All_Provinces">OFFSET('05_Domains'!$F$3,0,0,COUNTA('05_Domains'!$F$3:$F$400),1)</definedName>
    <definedName name="All_Districts">OFFSET('05_Domains'!$G$3,0,0,COUNTA('05_Domains'!$G$3:$G$400),1)</definedName>
    <definedName name="AwardGroups">OFFSET('05_Domains'!$H$3,0,0,COUNTA('05_Domains'!$H$3:$H$400),1)</definedName>
    <definedName name="Families">OFFSET('05_Domains'!$I$3,0,0,COUNTA('05_Domains'!$I$3:$I$400),1)</definedName>
    <definedName name="Prov_West_Herat">OFFSET('06_Geography'!$A$5,0,0,COUNTA('06_Geography'!$A$5:$A$80),1)</definedName>
    <definedName name="Prov_East_Jalalabad">OFFSET('06_Geography'!$B$5,0,0,COUNTA('06_Geography'!$B$5:$B$80),1)</definedName>
    <definedName name="Prov_Central_Kabul">OFFSET('06_Geography'!$C$5,0,0,COUNTA('06_Geography'!$C$5:$C$80),1)</definedName>
    <definedName name="Prov_Central_Highland_Bamyan">OFFSET('06_Geography'!$D$5,0,0,COUNTA('06_Geography'!$D$5:$D$80),1)</definedName>
    <definedName name="Prov_Southeast_Gardez">OFFSET('06_Geography'!$E$5,0,0,COUNTA('06_Geography'!$E$5:$E$80),1)</definedName>
    <definedName name="Prov_South_Kandahar">OFFSET('06_Geography'!$F$5,0,0,COUNTA('06_Geography'!$F$5:$F$80),1)</definedName>
    <definedName name="Prov_North_Mazar">OFFSET('06_Geography'!$G$5,0,0,COUNTA('06_Geography'!$G$5:$G$80),1)</definedName>
    <definedName name="Prov_Northeast_Kunduz">OFFSET('06_Geography'!$H$5,0,0,COUNTA('06_Geography'!$H$5:$H$80),1)</definedName>
    <definedName name="Dist_Herat">OFFSET('06_Geography'!$A$23,0,0,COUNTA('06_Geography'!$A$23:$A$80),1)</definedName>
    <definedName name="Dist_Badghis">OFFSET('06_Geography'!$B$23,0,0,COUNTA('06_Geography'!$B$23:$B$80),1)</definedName>
    <definedName name="Dist_Farah">OFFSET('06_Geography'!$C$23,0,0,COUNTA('06_Geography'!$C$23:$C$80),1)</definedName>
    <definedName name="Dist_Ghor">OFFSET('06_Geography'!$D$23,0,0,COUNTA('06_Geography'!$D$23:$D$80),1)</definedName>
    <definedName name="Dist_Nangarhar">OFFSET('06_Geography'!$E$23,0,0,COUNTA('06_Geography'!$E$23:$E$80),1)</definedName>
    <definedName name="Dist_Kunar">OFFSET('06_Geography'!$F$23,0,0,COUNTA('06_Geography'!$F$23:$F$80),1)</definedName>
    <definedName name="Dist_Laghman">OFFSET('06_Geography'!$G$23,0,0,COUNTA('06_Geography'!$G$23:$G$80),1)</definedName>
    <definedName name="Dist_Nuristan">OFFSET('06_Geography'!$H$23,0,0,COUNTA('06_Geography'!$H$23:$H$80),1)</definedName>
    <definedName name="Dist_Kabul">OFFSET('06_Geography'!$I$23,0,0,COUNTA('06_Geography'!$I$23:$I$80),1)</definedName>
    <definedName name="Dist_Parwan">OFFSET('06_Geography'!$J$23,0,0,COUNTA('06_Geography'!$J$23:$J$80),1)</definedName>
    <definedName name="Dist_Kapisa">OFFSET('06_Geography'!$K$23,0,0,COUNTA('06_Geography'!$K$23:$K$80),1)</definedName>
    <definedName name="Dist_Logar">OFFSET('06_Geography'!$L$23,0,0,COUNTA('06_Geography'!$L$23:$L$80),1)</definedName>
    <definedName name="Dist_Maidan_Wardak">OFFSET('06_Geography'!$M$23,0,0,COUNTA('06_Geography'!$M$23:$M$80),1)</definedName>
    <definedName name="Dist_Panjshir">OFFSET('06_Geography'!$N$23,0,0,COUNTA('06_Geography'!$N$23:$N$80),1)</definedName>
    <definedName name="Dist_Bamyan">OFFSET('06_Geography'!$O$23,0,0,COUNTA('06_Geography'!$O$23:$O$80),1)</definedName>
    <definedName name="Dist_Daykundi">OFFSET('06_Geography'!$P$23,0,0,COUNTA('06_Geography'!$P$23:$P$80),1)</definedName>
    <definedName name="Dist_Paktya">OFFSET('06_Geography'!$Q$23,0,0,COUNTA('06_Geography'!$Q$23:$Q$80),1)</definedName>
    <definedName name="Dist_Paktika">OFFSET('06_Geography'!$R$23,0,0,COUNTA('06_Geography'!$R$23:$R$80),1)</definedName>
    <definedName name="Dist_Khost">OFFSET('06_Geography'!$S$23,0,0,COUNTA('06_Geography'!$S$23:$S$80),1)</definedName>
    <definedName name="Dist_Ghazni">OFFSET('06_Geography'!$T$23,0,0,COUNTA('06_Geography'!$T$23:$T$80),1)</definedName>
    <definedName name="Dist_Kandahar">OFFSET('06_Geography'!$U$23,0,0,COUNTA('06_Geography'!$U$23:$U$80),1)</definedName>
    <definedName name="Dist_Helmand">OFFSET('06_Geography'!$V$23,0,0,COUNTA('06_Geography'!$V$23:$V$80),1)</definedName>
    <definedName name="Dist_Zabul">OFFSET('06_Geography'!$W$23,0,0,COUNTA('06_Geography'!$W$23:$W$80),1)</definedName>
    <definedName name="Dist_Uruzgan">OFFSET('06_Geography'!$X$23,0,0,COUNTA('06_Geography'!$X$23:$X$80),1)</definedName>
    <definedName name="Dist_Nimroz">OFFSET('06_Geography'!$Y$23,0,0,COUNTA('06_Geography'!$Y$23:$Y$80),1)</definedName>
    <definedName name="Dist_Balkh">OFFSET('06_Geography'!$Z$23,0,0,COUNTA('06_Geography'!$Z$23:$Z$80),1)</definedName>
    <definedName name="Dist_Samangan">OFFSET('06_Geography'!$AA$23,0,0,COUNTA('06_Geography'!$AA$23:$AA$80),1)</definedName>
    <definedName name="Dist_Jawzjan">OFFSET('06_Geography'!$AB$23,0,0,COUNTA('06_Geography'!$AB$23:$AB$80),1)</definedName>
    <definedName name="Dist_Sar_e_Pul">OFFSET('06_Geography'!$AC$23,0,0,COUNTA('06_Geography'!$AC$23:$AC$80),1)</definedName>
    <definedName name="Dist_Faryab">OFFSET('06_Geography'!$AD$23,0,0,COUNTA('06_Geography'!$AD$23:$AD$80),1)</definedName>
    <definedName name="Dist_Kunduz">OFFSET('06_Geography'!$AE$23,0,0,COUNTA('06_Geography'!$AE$23:$AE$80),1)</definedName>
    <definedName name="Dist_Baghlan">OFFSET('06_Geography'!$AF$23,0,0,COUNTA('06_Geography'!$AF$23:$AF$80),1)</definedName>
    <definedName name="Dist_Takhar">OFFSET('06_Geography'!$AG$23,0,0,COUNTA('06_Geography'!$AG$23:$AG$80),1)</definedName>
    <definedName name="Dist_Badakhshan">OFFSET('06_Geography'!$AH$23,0,0,COUNTA('06_Geography'!$AH$23:$AH$80),1)</definedName>
    <definedName name="01_Scheme_Tracker_ThisProvList">INDIRECT('01_Scheme_Tracker'!$BH4)</definedName>
    <definedName name="01_Scheme_Tracker_ThisDistList">INDIRECT('01_Scheme_Tracker'!$BI4)</definedName>
    <definedName name="03_Example_Filled_ThisProvList">INDIRECT('03_Example_Filled'!$BH4)</definedName>
    <definedName name="03_Example_Filled_ThisDistList">INDIRECT('03_Example_Filled'!$BI4)</definedName>
    <definedName name="_xlnm.Print_Titles" localSheetId="0">'00_How_to_Use'!$1:$2</definedName>
    <definedName name="_xlnm._FilterDatabase" localSheetId="1" hidden="1">'01_Scheme_Tracker'!$A$3:$BG$453</definedName>
    <definedName name="_xlnm.Print_Titles" localSheetId="1">'01_Scheme_Tracker'!$1:$3,'01_Scheme_Tracker'!$A:$E</definedName>
    <definedName name="_xlnm._FilterDatabase" localSheetId="3" hidden="1">'03_Example_Filled'!$A$3:$BG$453</definedName>
    <definedName name="_xlnm.Print_Titles" localSheetId="3">'03_Example_Filled'!$1:$3,'03_Example_Filled'!$A:$E</definedName>
    <definedName name="_xlnm._FilterDatabase" localSheetId="5" hidden="1">'05_Domains'!$A$2:$I$2</definedName>
  </definedNames>
  <calcPr calcId="124519" fullCalcOnLoad="1"/>
</workbook>
</file>

<file path=xl/styles.xml><?xml version="1.0" encoding="utf-8"?>
<styleSheet xmlns="http://schemas.openxmlformats.org/spreadsheetml/2006/main">
  <numFmts count="3">
    <numFmt numFmtId="164" formatCode="DD-MMM-YYYY"/>
    <numFmt numFmtId="165" formatCode="yyyy-mm-dd h:mm:ss"/>
    <numFmt numFmtId="166" formatCode="0.0"/>
  </numFmts>
  <fonts count="11">
    <font>
      <name val="Calibri"/>
      <family val="2"/>
      <color theme="1"/>
      <sz val="11"/>
      <scheme val="minor"/>
    </font>
    <font>
      <name val="Calibri"/>
      <b val="1"/>
      <color rgb="00FFFFFF"/>
      <sz val="16"/>
    </font>
    <font>
      <name val="Calibri"/>
      <i val="1"/>
      <color rgb="00D6DEE8"/>
      <sz val="10"/>
    </font>
    <font>
      <name val="Calibri"/>
      <b val="1"/>
      <color rgb="001B365D"/>
      <sz val="10"/>
    </font>
    <font>
      <name val="Calibri"/>
      <color rgb="001F2A33"/>
      <sz val="10"/>
    </font>
    <font>
      <name val="Calibri"/>
      <i val="1"/>
      <color rgb="005B6770"/>
      <sz val="9"/>
    </font>
    <font>
      <name val="Calibri"/>
      <b val="1"/>
      <color rgb="001B365D"/>
      <sz val="13"/>
    </font>
    <font>
      <name val="Calibri"/>
      <b val="1"/>
      <color rgb="00FFFFFF"/>
      <sz val="9"/>
    </font>
    <font>
      <name val="Calibri"/>
      <b val="1"/>
      <color rgb="002E5984"/>
      <sz val="11"/>
    </font>
    <font>
      <name val="Calibri"/>
      <color rgb="002E5984"/>
      <sz val="10"/>
    </font>
    <font>
      <name val="Calibri"/>
      <b val="1"/>
      <color rgb="001B365D"/>
      <sz val="18"/>
    </font>
  </fonts>
  <fills count="24">
    <fill>
      <patternFill/>
    </fill>
    <fill>
      <patternFill patternType="gray125"/>
    </fill>
    <fill>
      <patternFill patternType="solid">
        <fgColor rgb="001B365D"/>
      </patternFill>
    </fill>
    <fill>
      <patternFill patternType="solid">
        <fgColor rgb="00EEF1F4"/>
      </patternFill>
    </fill>
    <fill>
      <patternFill patternType="solid">
        <fgColor rgb="00E8EEF4"/>
      </patternFill>
    </fill>
    <fill>
      <patternFill patternType="solid">
        <fgColor rgb="002E5984"/>
      </patternFill>
    </fill>
    <fill>
      <patternFill patternType="solid">
        <fgColor rgb="00D6E4F0"/>
      </patternFill>
    </fill>
    <fill>
      <patternFill patternType="solid">
        <fgColor rgb="00E6E0EF"/>
      </patternFill>
    </fill>
    <fill>
      <patternFill patternType="solid">
        <fgColor rgb="00F7F1E3"/>
      </patternFill>
    </fill>
    <fill>
      <patternFill patternType="solid">
        <fgColor rgb="00F3E6D0"/>
      </patternFill>
    </fill>
    <fill>
      <patternFill patternType="solid">
        <fgColor rgb="00F0E6C8"/>
      </patternFill>
    </fill>
    <fill>
      <patternFill patternType="solid">
        <fgColor rgb="00D4E8E4"/>
      </patternFill>
    </fill>
    <fill>
      <patternFill patternType="solid">
        <fgColor rgb="00D4E6D4"/>
      </patternFill>
    </fill>
    <fill>
      <patternFill patternType="solid">
        <fgColor rgb="00C5D5C5"/>
      </patternFill>
    </fill>
    <fill>
      <patternFill patternType="solid">
        <fgColor rgb="00FFFFFF"/>
      </patternFill>
    </fill>
    <fill>
      <patternFill patternType="solid">
        <fgColor rgb="00F0F0F0"/>
      </patternFill>
    </fill>
    <fill>
      <patternFill patternType="solid">
        <fgColor rgb="00FBFCFD"/>
      </patternFill>
    </fill>
    <fill>
      <patternFill patternType="solid">
        <fgColor rgb="00E8EFE8"/>
      </patternFill>
    </fill>
    <fill>
      <patternFill patternType="solid">
        <fgColor rgb="003D5A3D"/>
      </patternFill>
    </fill>
    <fill>
      <patternFill patternType="solid">
        <fgColor rgb="008A6D3B"/>
      </patternFill>
    </fill>
    <fill>
      <patternFill patternType="solid">
        <fgColor rgb="004A5560"/>
      </patternFill>
    </fill>
    <fill>
      <patternFill patternType="solid">
        <fgColor rgb="00C5CDD6"/>
      </patternFill>
    </fill>
    <fill>
      <patternFill patternType="solid">
        <fgColor rgb="00F4F6F8"/>
      </patternFill>
    </fill>
    <fill>
      <patternFill patternType="solid">
        <fgColor rgb="00F7F9FC"/>
      </patternFill>
    </fill>
  </fills>
  <borders count="6">
    <border>
      <left/>
      <right/>
      <top/>
      <bottom/>
      <diagonal/>
    </border>
    <border>
      <left style="thin">
        <color rgb="00C5CDD6"/>
      </left>
      <right style="thin">
        <color rgb="00C5CDD6"/>
      </right>
      <top style="thin">
        <color rgb="00C5CDD6"/>
      </top>
      <bottom style="thin">
        <color rgb="00C5CDD6"/>
      </bottom>
    </border>
    <border>
      <left/>
      <right/>
      <top style="thin">
        <color rgb="00C5CDD6"/>
      </top>
      <bottom/>
      <diagonal/>
    </border>
    <border>
      <left/>
      <right style="thin">
        <color rgb="00C5CDD6"/>
      </right>
      <top style="thin">
        <color rgb="00C5CDD6"/>
      </top>
      <bottom/>
      <diagonal/>
    </border>
    <border>
      <left/>
      <right/>
      <top style="thin">
        <color rgb="00C5CDD6"/>
      </top>
      <bottom style="thin">
        <color rgb="00C5CDD6"/>
      </bottom>
      <diagonal/>
    </border>
    <border>
      <left/>
      <right style="thin">
        <color rgb="00C5CDD6"/>
      </right>
      <top style="thin">
        <color rgb="00C5CDD6"/>
      </top>
      <bottom style="thin">
        <color rgb="00C5CDD6"/>
      </bottom>
      <diagonal/>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left" vertical="center" wrapText="1"/>
    </xf>
    <xf numFmtId="0" fontId="0" fillId="2" borderId="0" applyAlignment="1" pivotButton="0" quotePrefix="0" xfId="0">
      <alignment horizontal="left" vertical="center" wrapText="1"/>
    </xf>
    <xf numFmtId="0" fontId="2" fillId="2" borderId="0" applyAlignment="1" pivotButton="0" quotePrefix="0" xfId="0">
      <alignment horizontal="left" vertical="center" wrapText="1"/>
    </xf>
    <xf numFmtId="0" fontId="3" fillId="3" borderId="1" applyAlignment="1" pivotButton="0" quotePrefix="0" xfId="0">
      <alignment horizontal="left" vertical="center" wrapText="1"/>
    </xf>
    <xf numFmtId="0" fontId="4" fillId="0" borderId="1" applyAlignment="1" pivotButton="0" quotePrefix="0" xfId="0">
      <alignment horizontal="left" vertical="center" wrapText="1"/>
    </xf>
    <xf numFmtId="0" fontId="5" fillId="0" borderId="1"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7" fillId="5"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4"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4" fillId="10" borderId="1" applyAlignment="1" pivotButton="0" quotePrefix="0" xfId="0">
      <alignment horizontal="left" vertical="center" wrapText="1"/>
    </xf>
    <xf numFmtId="0" fontId="4" fillId="11" borderId="1" applyAlignment="1" pivotButton="0" quotePrefix="0" xfId="0">
      <alignment horizontal="left" vertical="center" wrapText="1"/>
    </xf>
    <xf numFmtId="0" fontId="4" fillId="12" borderId="1" applyAlignment="1" pivotButton="0" quotePrefix="0" xfId="0">
      <alignment horizontal="left" vertical="center" wrapText="1"/>
    </xf>
    <xf numFmtId="0" fontId="4" fillId="13" borderId="1" applyAlignment="1" pivotButton="0" quotePrefix="0" xfId="0">
      <alignment horizontal="left" vertical="center" wrapText="1"/>
    </xf>
    <xf numFmtId="0" fontId="4" fillId="2" borderId="1" applyAlignment="1" pivotButton="0" quotePrefix="0" xfId="0">
      <alignment horizontal="left" vertical="center" wrapText="1"/>
    </xf>
    <xf numFmtId="0" fontId="1" fillId="2" borderId="1" applyAlignment="1" pivotButton="0" quotePrefix="0" xfId="0">
      <alignment horizontal="left" vertical="center" wrapText="1"/>
    </xf>
    <xf numFmtId="0" fontId="0" fillId="2" borderId="1" applyAlignment="1" pivotButton="0" quotePrefix="0" xfId="0">
      <alignment horizontal="left" vertical="center" wrapText="1"/>
    </xf>
    <xf numFmtId="0" fontId="7" fillId="2" borderId="1" applyAlignment="1" pivotButton="0" quotePrefix="0" xfId="0">
      <alignment horizontal="center" vertical="center" wrapText="1"/>
    </xf>
    <xf numFmtId="0" fontId="7" fillId="18" borderId="1" applyAlignment="1" pivotButton="0" quotePrefix="0" xfId="0">
      <alignment horizontal="center" vertical="center" wrapText="1"/>
    </xf>
    <xf numFmtId="0" fontId="0" fillId="18" borderId="1" applyAlignment="1" pivotButton="0" quotePrefix="0" xfId="0">
      <alignment horizontal="left" vertical="center" wrapText="1"/>
    </xf>
    <xf numFmtId="0" fontId="7" fillId="19" borderId="1" applyAlignment="1" pivotButton="0" quotePrefix="0" xfId="0">
      <alignment horizontal="center" vertical="center" wrapText="1"/>
    </xf>
    <xf numFmtId="0" fontId="0" fillId="19" borderId="1" applyAlignment="1" pivotButton="0" quotePrefix="0" xfId="0">
      <alignment horizontal="left" vertical="center" wrapText="1"/>
    </xf>
    <xf numFmtId="0" fontId="0" fillId="5" borderId="1" applyAlignment="1" pivotButton="0" quotePrefix="0" xfId="0">
      <alignment horizontal="left" vertical="center" wrapText="1"/>
    </xf>
    <xf numFmtId="0" fontId="7" fillId="20" borderId="1" applyAlignment="1" pivotButton="0" quotePrefix="0" xfId="0">
      <alignment horizontal="center" vertical="center" wrapText="1"/>
    </xf>
    <xf numFmtId="0" fontId="0" fillId="20" borderId="1" applyAlignment="1" pivotButton="0" quotePrefix="0" xfId="0">
      <alignment horizontal="left" vertical="center" wrapText="1"/>
    </xf>
    <xf numFmtId="0" fontId="7" fillId="21" borderId="1" applyAlignment="1" pivotButton="0" quotePrefix="0" xfId="0">
      <alignment horizontal="center" vertical="center" wrapText="1"/>
    </xf>
    <xf numFmtId="0" fontId="9" fillId="22" borderId="1" applyAlignment="1" pivotButton="0" quotePrefix="0" xfId="0">
      <alignment horizontal="center" vertical="center" wrapText="1"/>
    </xf>
    <xf numFmtId="0" fontId="4" fillId="14" borderId="1" applyAlignment="1" pivotButton="0" quotePrefix="0" xfId="0">
      <alignment horizontal="left" vertical="center" wrapText="1"/>
    </xf>
    <xf numFmtId="3" fontId="4" fillId="14" borderId="1" applyAlignment="1" pivotButton="0" quotePrefix="0" xfId="0">
      <alignment horizontal="center" vertical="center" wrapText="1"/>
    </xf>
    <xf numFmtId="164" fontId="9" fillId="22" borderId="1" applyAlignment="1" pivotButton="0" quotePrefix="0" xfId="0">
      <alignment horizontal="center" vertical="center" wrapText="1"/>
    </xf>
    <xf numFmtId="164" fontId="4" fillId="14" borderId="1" applyAlignment="1" pivotButton="0" quotePrefix="0" xfId="0">
      <alignment horizontal="center" vertical="center" wrapText="1"/>
    </xf>
    <xf numFmtId="1" fontId="4" fillId="14" borderId="1" applyAlignment="1" pivotButton="0" quotePrefix="0" xfId="0">
      <alignment horizontal="center" vertical="center" wrapText="1"/>
    </xf>
    <xf numFmtId="1" fontId="9" fillId="22" borderId="1" applyAlignment="1" pivotButton="0" quotePrefix="0" xfId="0">
      <alignment horizontal="center" vertical="center" wrapText="1"/>
    </xf>
    <xf numFmtId="164" fontId="4" fillId="4" borderId="1" applyAlignment="1" pivotButton="0" quotePrefix="0" xfId="0">
      <alignment horizontal="center" vertical="center" wrapText="1"/>
    </xf>
    <xf numFmtId="164" fontId="4" fillId="15" borderId="1" applyAlignment="1" pivotButton="0" quotePrefix="0" xfId="0">
      <alignment horizontal="center" vertical="center" wrapText="1"/>
    </xf>
    <xf numFmtId="0" fontId="5" fillId="15" borderId="1" applyAlignment="1" pivotButton="0" quotePrefix="0" xfId="0">
      <alignment horizontal="left" vertical="center" wrapText="1"/>
    </xf>
    <xf numFmtId="0" fontId="4" fillId="23" borderId="1" applyAlignment="1" pivotButton="0" quotePrefix="0" xfId="0">
      <alignment horizontal="left" vertical="center" wrapText="1"/>
    </xf>
    <xf numFmtId="3" fontId="4" fillId="23" borderId="1" applyAlignment="1" pivotButton="0" quotePrefix="0" xfId="0">
      <alignment horizontal="center" vertical="center" wrapText="1"/>
    </xf>
    <xf numFmtId="164" fontId="4" fillId="23" borderId="1" applyAlignment="1" pivotButton="0" quotePrefix="0" xfId="0">
      <alignment horizontal="center" vertical="center" wrapText="1"/>
    </xf>
    <xf numFmtId="1" fontId="4" fillId="23" borderId="1" applyAlignment="1" pivotButton="0" quotePrefix="0" xfId="0">
      <alignment horizontal="center" vertical="center" wrapText="1"/>
    </xf>
    <xf numFmtId="0" fontId="5" fillId="4" borderId="0" applyAlignment="1" pivotButton="0" quotePrefix="0" xfId="0">
      <alignment horizontal="left" vertical="center" wrapText="1"/>
    </xf>
    <xf numFmtId="0" fontId="7" fillId="5" borderId="0" applyAlignment="1" pivotButton="0" quotePrefix="0" xfId="0">
      <alignment horizontal="center" vertical="center" wrapText="1"/>
    </xf>
    <xf numFmtId="0" fontId="10"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6" fillId="17" borderId="0" applyAlignment="1" pivotButton="0" quotePrefix="0" xfId="0">
      <alignment horizontal="left" vertical="center" wrapText="1"/>
    </xf>
    <xf numFmtId="0" fontId="6" fillId="8" borderId="0" applyAlignment="1" pivotButton="0" quotePrefix="0" xfId="0">
      <alignment horizontal="left" vertical="center" wrapText="1"/>
    </xf>
    <xf numFmtId="9" fontId="9" fillId="22" borderId="1" applyAlignment="1" pivotButton="0" quotePrefix="0" xfId="0">
      <alignment horizontal="center" vertical="center" wrapText="1"/>
    </xf>
    <xf numFmtId="166" fontId="9" fillId="22" borderId="1" applyAlignment="1" pivotButton="0" quotePrefix="0" xfId="0">
      <alignment horizontal="center" vertical="center" wrapText="1"/>
    </xf>
    <xf numFmtId="0" fontId="8" fillId="3" borderId="0" applyAlignment="1" pivotButton="0" quotePrefix="0" xfId="0">
      <alignment horizontal="left" vertical="center" wrapText="1"/>
    </xf>
    <xf numFmtId="166" fontId="10" fillId="3" borderId="1" applyAlignment="1" pivotButton="0" quotePrefix="0" xfId="0">
      <alignment horizontal="center" vertical="center" wrapText="1"/>
    </xf>
    <xf numFmtId="0" fontId="0" fillId="0" borderId="4" pivotButton="0" quotePrefix="0" xfId="0"/>
    <xf numFmtId="0" fontId="0" fillId="0" borderId="5" pivotButton="0" quotePrefix="0" xfId="0"/>
    <xf numFmtId="0" fontId="8" fillId="0" borderId="0" applyAlignment="1" pivotButton="0" quotePrefix="0" xfId="0">
      <alignment horizontal="left" vertical="center" wrapText="1"/>
    </xf>
    <xf numFmtId="0" fontId="4" fillId="0" borderId="0" applyAlignment="1" pivotButton="0" quotePrefix="0" xfId="0">
      <alignment horizontal="left" vertical="center" wrapText="1"/>
    </xf>
    <xf numFmtId="0" fontId="4" fillId="14" borderId="1" applyAlignment="1" pivotButton="0" quotePrefix="0" xfId="0">
      <alignment horizontal="center" vertical="center" wrapText="1"/>
    </xf>
    <xf numFmtId="0" fontId="5" fillId="14" borderId="1" applyAlignment="1" pivotButton="0" quotePrefix="0" xfId="0">
      <alignment horizontal="left" vertical="center" wrapText="1"/>
    </xf>
    <xf numFmtId="0" fontId="4" fillId="15" borderId="1" applyAlignment="1" pivotButton="0" quotePrefix="0" xfId="0">
      <alignment horizontal="center" vertical="center" wrapText="1"/>
    </xf>
    <xf numFmtId="0" fontId="4" fillId="15" borderId="1" applyAlignment="1" pivotButton="0" quotePrefix="0" xfId="0">
      <alignment horizontal="left" vertical="center" wrapText="1"/>
    </xf>
    <xf numFmtId="1" fontId="4" fillId="15" borderId="1" applyAlignment="1" pivotButton="0" quotePrefix="0" xfId="0">
      <alignment horizontal="center" vertical="center" wrapText="1"/>
    </xf>
    <xf numFmtId="0" fontId="4" fillId="16" borderId="1" applyAlignment="1" pivotButton="0" quotePrefix="0" xfId="0">
      <alignment horizontal="left" vertical="center" wrapText="1"/>
    </xf>
    <xf numFmtId="0" fontId="8" fillId="17" borderId="0" applyAlignment="1" pivotButton="0" quotePrefix="0" xfId="0">
      <alignment horizontal="left" vertical="center" wrapText="1"/>
    </xf>
    <xf numFmtId="0" fontId="8" fillId="8" borderId="0" applyAlignment="1" pivotButton="0" quotePrefix="0" xfId="0">
      <alignment horizontal="left" vertical="center" wrapText="1"/>
    </xf>
  </cellXfs>
  <cellStyles count="1">
    <cellStyle name="Normal" xfId="0" builtinId="0" hidden="0"/>
  </cellStyles>
  <dxfs count="17">
    <dxf>
      <font>
        <name val="Calibri"/>
        <color rgb="001F2A33"/>
        <sz val="10"/>
      </font>
      <fill>
        <patternFill patternType="solid">
          <fgColor rgb="00E8EEF4"/>
        </patternFill>
      </fill>
    </dxf>
    <dxf>
      <font>
        <name val="Calibri"/>
        <color rgb="001F2A33"/>
        <sz val="10"/>
      </font>
      <fill>
        <patternFill patternType="solid">
          <fgColor rgb="00D6E4F0"/>
        </patternFill>
      </fill>
    </dxf>
    <dxf>
      <font>
        <name val="Calibri"/>
        <color rgb="001F2A33"/>
        <sz val="10"/>
      </font>
      <fill>
        <patternFill patternType="solid">
          <fgColor rgb="00E6E0EF"/>
        </patternFill>
      </fill>
    </dxf>
    <dxf>
      <font>
        <name val="Calibri"/>
        <color rgb="001F2A33"/>
        <sz val="10"/>
      </font>
      <fill>
        <patternFill patternType="solid">
          <fgColor rgb="00F7F1E3"/>
        </patternFill>
      </fill>
    </dxf>
    <dxf>
      <font>
        <name val="Calibri"/>
        <color rgb="001F2A33"/>
        <sz val="10"/>
      </font>
      <fill>
        <patternFill patternType="solid">
          <fgColor rgb="00F3E6D0"/>
        </patternFill>
      </fill>
    </dxf>
    <dxf>
      <font>
        <name val="Calibri"/>
        <color rgb="001F2A33"/>
        <sz val="10"/>
      </font>
      <fill>
        <patternFill patternType="solid">
          <fgColor rgb="00F0E6C8"/>
        </patternFill>
      </fill>
    </dxf>
    <dxf>
      <font>
        <name val="Calibri"/>
        <color rgb="001F2A33"/>
        <sz val="10"/>
      </font>
      <fill>
        <patternFill patternType="solid">
          <fgColor rgb="00D4E8E4"/>
        </patternFill>
      </fill>
    </dxf>
    <dxf>
      <font>
        <name val="Calibri"/>
        <color rgb="001F2A33"/>
        <sz val="10"/>
      </font>
      <fill>
        <patternFill patternType="solid">
          <fgColor rgb="00D4E6D4"/>
        </patternFill>
      </fill>
    </dxf>
    <dxf>
      <font>
        <name val="Calibri"/>
        <color rgb="001F2A33"/>
        <sz val="10"/>
      </font>
      <fill>
        <patternFill patternType="solid">
          <fgColor rgb="00C5D5C5"/>
        </patternFill>
      </fill>
    </dxf>
    <dxf>
      <font>
        <name val="Calibri"/>
        <b val="1"/>
        <color rgb="00FFFFFF"/>
        <sz val="10"/>
      </font>
      <fill>
        <patternFill patternType="solid">
          <fgColor rgb="001B365D"/>
        </patternFill>
      </fill>
    </dxf>
    <dxf>
      <font>
        <name val="Calibri"/>
        <color rgb="001F2A33"/>
        <sz val="10"/>
      </font>
      <fill>
        <patternFill patternType="solid">
          <fgColor rgb="00D0D4D8"/>
        </patternFill>
      </fill>
    </dxf>
    <dxf>
      <font>
        <name val="Calibri"/>
        <color rgb="001F2A33"/>
        <sz val="10"/>
      </font>
      <fill>
        <patternFill patternType="solid">
          <fgColor rgb="00FFFFFF"/>
        </patternFill>
      </fill>
    </dxf>
    <dxf>
      <font>
        <name val="Calibri"/>
        <b val="1"/>
        <color rgb="00842029"/>
        <sz val="10"/>
      </font>
      <fill>
        <patternFill patternType="solid">
          <fgColor rgb="00F8D7DA"/>
        </patternFill>
      </fill>
    </dxf>
    <dxf>
      <font>
        <name val="Calibri"/>
        <color rgb="00842029"/>
        <sz val="10"/>
      </font>
      <fill>
        <patternFill patternType="solid">
          <fgColor rgb="00F8D7DA"/>
        </patternFill>
      </fill>
    </dxf>
    <dxf>
      <font>
        <name val="Calibri"/>
        <color rgb="001F2A33"/>
        <sz val="10"/>
      </font>
      <fill>
        <patternFill patternType="solid">
          <fgColor rgb="00C6E0B4"/>
        </patternFill>
      </fill>
    </dxf>
    <dxf>
      <font>
        <name val="Calibri"/>
        <color rgb="001F2A33"/>
        <sz val="10"/>
      </font>
      <fill>
        <patternFill patternType="solid">
          <fgColor rgb="00FFE699"/>
        </patternFill>
      </fill>
    </dxf>
    <dxf>
      <font>
        <name val="Calibri"/>
        <b val="1"/>
        <color rgb="00842029"/>
        <sz val="10"/>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Schemes by current status</a:t>
            </a:r>
          </a:p>
        </rich>
      </tx>
    </title>
    <plotArea>
      <barChart>
        <barDir val="bar"/>
        <grouping val="clustered"/>
        <ser>
          <idx val="0"/>
          <order val="0"/>
          <tx>
            <strRef>
              <f>'02_Dashboard'!B8</f>
            </strRef>
          </tx>
          <spPr>
            <a:ln>
              <a:prstDash val="solid"/>
            </a:ln>
          </spPr>
          <cat>
            <numRef>
              <f>'02_Dashboard'!$A$9:$A$20</f>
            </numRef>
          </cat>
          <val>
            <numRef>
              <f>'02_Dashboard'!$B$9:$B$20</f>
            </numRef>
          </val>
        </ser>
        <dLbls>
          <showVal val="1"/>
        </dLbls>
        <gapWidth val="150"/>
        <axId val="10"/>
        <axId val="100"/>
      </barChart>
      <catAx>
        <axId val="10"/>
        <scaling>
          <orientation val="minMax"/>
        </scaling>
        <axPos val="l"/>
        <title>
          <tx>
            <rich>
              <a:bodyPr/>
              <a:p>
                <a:pPr>
                  <a:defRPr/>
                </a:pPr>
                <a:r>
                  <a:t>Schemes</a:t>
                </a:r>
              </a:p>
            </rich>
          </tx>
        </title>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omments/comment1.xml><?xml version="1.0" encoding="utf-8"?>
<comments xmlns="http://schemas.openxmlformats.org/spreadsheetml/2006/main">
  <authors>
    <author>Tracker</author>
  </authors>
  <commentList>
    <comment ref="R3" authorId="0" shapeId="0">
      <text>
        <t>Copies Date: Awarded. Enter the contract signature date in the Awarded status-date column.</t>
      </text>
    </comment>
    <comment ref="Y3" authorId="0" shapeId="0">
      <text>
        <t>Use this until official step dates are entered. Current Status follows dates once they exist.</t>
      </text>
    </comment>
    <comment ref="AA3" authorId="0" shapeId="0">
      <text>
        <t>Latest step that has a date. If no dates are entered, uses Reported Status.</t>
      </text>
    </comment>
    <comment ref="AB3" authorId="0" shapeId="0">
      <text>
        <t>TODAY minus the latest status date. Turns red after 30 days.</t>
      </text>
    </comment>
    <comment ref="AE3" authorId="0" shapeId="0">
      <text>
        <t>Green = on track. Amber = within 30 days of a planned date (close to off track). Red = behind the planned award or end date, or physical progress lagging the elapsed contract time by more than 15 points.</t>
      </text>
    </comment>
    <comment ref="AF3" authorId="0" shapeId="0">
      <text>
        <t>Positive = days remaining until the planned award (remaining) or contract end (awarded). Negative = days behind that date.</t>
      </text>
    </comment>
  </commentList>
</comments>
</file>

<file path=xl/comments/comment2.xml><?xml version="1.0" encoding="utf-8"?>
<comments xmlns="http://schemas.openxmlformats.org/spreadsheetml/2006/main">
  <authors>
    <author>Tracker</author>
  </authors>
  <commentList>
    <comment ref="R3" authorId="0" shapeId="0">
      <text>
        <t>Copies Date: Awarded. Enter the contract signature date in the Awarded status-date column.</t>
      </text>
    </comment>
    <comment ref="Y3" authorId="0" shapeId="0">
      <text>
        <t>Use this until official step dates are entered. Current Status follows dates once they exist.</t>
      </text>
    </comment>
    <comment ref="AA3" authorId="0" shapeId="0">
      <text>
        <t>Latest step that has a date. If no dates are entered, uses Reported Status.</t>
      </text>
    </comment>
    <comment ref="AB3" authorId="0" shapeId="0">
      <text>
        <t>TODAY minus the latest status date. Turns red after 30 days.</t>
      </text>
    </comment>
    <comment ref="AE3" authorId="0" shapeId="0">
      <text>
        <t>Green = on track. Amber = within 30 days of a planned date (close to off track). Red = behind the planned award or end date, or physical progress lagging the elapsed contract time by more than 15 points.</t>
      </text>
    </comment>
    <comment ref="AF3" authorId="0" shapeId="0">
      <text>
        <t>Positive = days remaining until the planned award (remaining) or contract end (awarded). Negative = days behind that date.</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RegionMap" displayName="RegionMap" ref="A3:B11" headerRowCount="1">
  <autoFilter ref="A3:B11"/>
  <tableColumns count="2">
    <tableColumn id="1" name="Region display name"/>
    <tableColumn id="2" name="Province named range"/>
  </tableColumns>
  <tableStyleInfo name="TableStyleMedium2" showRowStripes="1"/>
</table>
</file>

<file path=xl/tables/table2.xml><?xml version="1.0" encoding="utf-8"?>
<table xmlns="http://schemas.openxmlformats.org/spreadsheetml/2006/main" id="2" name="ProvinceMap" displayName="ProvinceMap" ref="E3:F37" headerRowCount="1">
  <autoFilter ref="E3:F37"/>
  <tableColumns count="2">
    <tableColumn id="5" name="Province"/>
    <tableColumn id="6" name="District named range"/>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sheet1.xml><?xml version="1.0" encoding="utf-8"?>
<worksheet xmlns="http://schemas.openxmlformats.org/spreadsheetml/2006/main">
  <sheetPr>
    <tabColor rgb="001B365D"/>
    <outlinePr summaryBelow="1" summaryRight="1"/>
    <pageSetUpPr fitToPage="1"/>
  </sheetPr>
  <dimension ref="B1:E46"/>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28" customWidth="1" min="2" max="2"/>
    <col width="92" customWidth="1" min="3" max="3"/>
    <col width="36" customWidth="1" min="4" max="4"/>
  </cols>
  <sheetData>
    <row r="1" ht="28" customHeight="1">
      <c r="B1" s="1" t="inlineStr">
        <is>
          <t>Construction Works Scheme Tracker</t>
        </is>
      </c>
      <c r="C1" s="2" t="n"/>
      <c r="D1" s="2" t="n"/>
    </row>
    <row r="2">
      <c r="B2" s="3" t="inlineStr">
        <is>
          <t>Emergency Food Security Project (EFSP) · Component 2: Water and Resilience Services · WBK/AF-2  ·  How to use and how to add or remove columns and domains</t>
        </is>
      </c>
      <c r="C2" s="2" t="n"/>
      <c r="D2" s="2" t="n"/>
    </row>
    <row r="3" ht="64" customHeight="1">
      <c r="B3" s="4" t="inlineStr"/>
      <c r="C3" s="5" t="inlineStr"/>
      <c r="D3" s="6" t="inlineStr"/>
    </row>
    <row r="5" ht="22" customHeight="1">
      <c r="B5" s="7" t="inlineStr">
        <is>
          <t>What this workbook does</t>
        </is>
      </c>
      <c r="C5" s="8" t="n"/>
      <c r="D5" s="8" t="n"/>
    </row>
    <row r="6" ht="64" customHeight="1">
      <c r="B6" s="4" t="inlineStr">
        <is>
          <t>Purpose</t>
        </is>
      </c>
      <c r="C6" s="5" t="inlineStr">
        <is>
          <t>Track every construction scheme from design through handover. Each scheme is one row. Each pipeline step has its own date. Excel then calculates how many days it took to move from one step to the next, how long the scheme has sat in the current step, and the total days from the first date to the last.</t>
        </is>
      </c>
      <c r="D6" s="6" t="inlineStr"/>
    </row>
    <row r="7" ht="64" customHeight="1">
      <c r="B7" s="4" t="inlineStr">
        <is>
          <t>Sheets</t>
        </is>
      </c>
      <c r="C7" s="5" t="inlineStr">
        <is>
          <t>01_Scheme_Tracker is the working register (type here). 02_Dashboard summarises counts and average durations. 03_Example_Filled shows two worked examples so you can see the day-count formulas. 04_Status_Pipeline is the ordered list of steps. 05_Domains holds dropdown lists (intervention, donor, project, region). 06_Geography holds province and district lists. 07_Lookups maps region/province names to those lists.</t>
        </is>
      </c>
      <c r="D7" s="6" t="inlineStr"/>
    </row>
    <row r="9" ht="22" customHeight="1">
      <c r="B9" s="7" t="inlineStr">
        <is>
          <t>Daily use</t>
        </is>
      </c>
      <c r="C9" s="8" t="n"/>
      <c r="D9" s="8" t="n"/>
    </row>
    <row r="10" ht="64" customHeight="1">
      <c r="B10" s="4" t="inlineStr">
        <is>
          <t>Add a scheme</t>
        </is>
      </c>
      <c r="C10" s="5" t="inlineStr">
        <is>
          <t>Go to 01_Scheme_Tracker and type in the next empty row. Dropdowns are already attached for Project, Intervention Type, Region, Province, District, Donor, and Reported Status. Choose Region first, then Province, then District (the province list follows the region).</t>
        </is>
      </c>
      <c r="D10" s="6" t="inlineStr">
        <is>
          <t>01_Scheme_Tracker</t>
        </is>
      </c>
    </row>
    <row r="11" ht="64" customHeight="1">
      <c r="B11" s="4" t="inlineStr">
        <is>
          <t>Enter status dates</t>
        </is>
      </c>
      <c r="C11" s="5" t="inlineStr">
        <is>
          <t>When a scheme reaches a step, type that day's date in the matching 'Date:' column (for example Date: Under Design, Date: ITB Launched). Use a real date, not text. Current Status then switches automatically to the latest dated step. If no dates are entered yet, Current Status falls back to Reported Status.</t>
        </is>
      </c>
      <c r="D11" s="6" t="inlineStr">
        <is>
          <t>Section 4 of the tracker</t>
        </is>
      </c>
    </row>
    <row r="12" ht="64" customHeight="1">
      <c r="B12" s="4" t="inlineStr">
        <is>
          <t>Awarded date and contract duration</t>
        </is>
      </c>
      <c r="C12" s="5" t="inlineStr">
        <is>
          <t>Type the contract-signature (or notice of award) date in the Date: Awarded column in section 4. The Awarded Date field in section 2 copies it automatically. Contract Duration (months) is the period in the contract. Planned End Date is calculated with EDATE(Awarded Date, duration). Physical Works Progress % is 0–100. Contractor Name and Contract Number are free text.</t>
        </is>
      </c>
      <c r="D12" s="6" t="inlineStr">
        <is>
          <t>Sections 2 and 4 of the tracker</t>
        </is>
      </c>
    </row>
    <row r="13" ht="64" customHeight="1">
      <c r="B13" s="4" t="inlineStr">
        <is>
          <t>Reading the day counts</t>
        </is>
      </c>
      <c r="C13" s="5" t="inlineStr">
        <is>
          <t>Each 'Days … → …' column is the number of days from the previous filled date to this step's date. If a step is skipped, the count still uses the last previous date that was filled. 'Days in current status' is TODAY minus the latest status date (this number changes every day). 'Total days first → last step' is last filled date minus first filled date. 'Days over target this step' is days in current status minus the target days set on 04_Status_Pipeline (blank if there is no target).</t>
        </is>
      </c>
      <c r="D13" s="6" t="inlineStr">
        <is>
          <t>Sections 3 and 5</t>
        </is>
      </c>
    </row>
    <row r="14" ht="64" customHeight="1">
      <c r="B14" s="4" t="inlineStr">
        <is>
          <t>Schedule health colours</t>
        </is>
      </c>
      <c r="C14" s="5" t="inlineStr">
        <is>
          <t>Schedule health is calculated from planned dates (not typed by hand). GREEN — On track, or completed on/before the plan. AMBER — At risk / close to off track: the planned award or contract end is within 30 days, or works are not yet far enough along. RED — Behind: today is after the planned award date (remaining contracts) or after the contract end date (awarded), or physical progress is more than 15 percentage points behind the share of the contract period that has already elapsed. 'Days vs planned date' is days remaining (positive, green/amber) or days overdue (negative, red).</t>
        </is>
      </c>
      <c r="D14" s="6" t="inlineStr">
        <is>
          <t>Section 3 of the tracker</t>
        </is>
      </c>
    </row>
    <row r="16" ht="22" customHeight="1">
      <c r="B16" s="7" t="inlineStr">
        <is>
          <t>Add or remove domains (dropdown values)</t>
        </is>
      </c>
      <c r="C16" s="8" t="n"/>
      <c r="D16" s="8" t="n"/>
    </row>
    <row r="17" ht="64" customHeight="1">
      <c r="B17" s="4" t="inlineStr">
        <is>
          <t>Add an intervention type, donor, project, or region</t>
        </is>
      </c>
      <c r="C17" s="5" t="inlineStr">
        <is>
          <t>Open 05_Domains. Type the new value in the first empty cell at the bottom of that column. Do not leave a blank row in the middle of the list. The dropdowns expand automatically (named ranges use COUNTA). You do not need to re-run the generator for this.</t>
        </is>
      </c>
      <c r="D17" s="6" t="inlineStr">
        <is>
          <t>05_Domains</t>
        </is>
      </c>
    </row>
    <row r="18" ht="64" customHeight="1">
      <c r="B18" s="4" t="inlineStr">
        <is>
          <t>Remove a domain value</t>
        </is>
      </c>
      <c r="C18" s="5" t="inlineStr">
        <is>
          <t>Delete the cell on 05_Domains (or 06_Geography). Existing scheme rows that already use that value keep showing it; new rows will no longer offer it in the dropdown.</t>
        </is>
      </c>
      <c r="D18" s="6" t="inlineStr">
        <is>
          <t>05_Domains / 06_Geography</t>
        </is>
      </c>
    </row>
    <row r="19" ht="64" customHeight="1">
      <c r="B19" s="4" t="inlineStr">
        <is>
          <t>Add a province</t>
        </is>
      </c>
      <c r="C19" s="5" t="inlineStr">
        <is>
          <t>1) On 06_Geography, under the correct region code column in the province block, type the province name. 2) Add a new district column for that province in the district block (copy an adjacent column). 3) On 07_Lookups, add a row: Province name | Dist_&lt;Province&gt; named range. 4) Define the named range Dist_&lt;Province&gt; (Formulas → Name Manager) pointing at the district cells. The reliable alternative is to add the province in tracker_config.py GEOGRAPHY and run generate_tracker.py.</t>
        </is>
      </c>
      <c r="D19" s="6" t="inlineStr">
        <is>
          <t>06_Geography + 07_Lookups</t>
        </is>
      </c>
    </row>
    <row r="20" ht="64" customHeight="1">
      <c r="B20" s="4" t="inlineStr">
        <is>
          <t>Add a district</t>
        </is>
      </c>
      <c r="C20" s="5" t="inlineStr">
        <is>
          <t>On 06_Geography find the province column in the district block and type the district in the next empty cell. The Dist_ named range grows automatically. No other change is required.</t>
        </is>
      </c>
      <c r="D20" s="6" t="inlineStr">
        <is>
          <t>06_Geography</t>
        </is>
      </c>
    </row>
    <row r="22" ht="22" customHeight="1">
      <c r="B22" s="7" t="inlineStr">
        <is>
          <t>Add or remove status steps (the tracking pipeline)</t>
        </is>
      </c>
      <c r="C22" s="8" t="n"/>
      <c r="D22" s="8" t="n"/>
    </row>
    <row r="23" ht="64" customHeight="1">
      <c r="B23" s="4" t="inlineStr">
        <is>
          <t>Add a step at the end (no script)</t>
        </is>
      </c>
      <c r="C23" s="5" t="inlineStr">
        <is>
          <t>Open 04_Status_Pipeline. Spare slots are already reserved at the bottom. Type the new status name, a short name, a description, and optional target days in the first spare row. The matching Date column header on 01_Scheme_Tracker updates itself. Start entering dates in that column. Duration headers also pick up the new name.</t>
        </is>
      </c>
      <c r="D23" s="6" t="inlineStr">
        <is>
          <t>04_Status_Pipeline spare slots</t>
        </is>
      </c>
    </row>
    <row r="24" ht="64" customHeight="1">
      <c r="B24" s="4" t="inlineStr">
        <is>
          <t>Add a step in the middle, or remove a step</t>
        </is>
      </c>
      <c r="C24" s="5" t="inlineStr">
        <is>
          <t>Changing order affects rows that already have dates, because dates sit in fixed columns. Preferred method: edit STATUS_PIPELINE in tracker_config.py (add, remove, or reorder dicts) and run python3 generate_tracker.py. That rebuilds date columns, duration formulas, dropdowns, and the dashboard. Copy any dates you already typed into a backup first — regenerating replaces the workbook file.</t>
        </is>
      </c>
      <c r="D24" s="6" t="inlineStr">
        <is>
          <t>tracker_config.py</t>
        </is>
      </c>
    </row>
    <row r="25" ht="64" customHeight="1">
      <c r="B25" s="4" t="inlineStr">
        <is>
          <t>Hide a column you do not need</t>
        </is>
      </c>
      <c r="C25" s="5" t="inlineStr">
        <is>
          <t>On 01_Scheme_Tracker, select the column → right-click → Hide. Do not delete formula columns (sections 3 and 5) or the tracker will break. Hidden columns can be unhidden later.</t>
        </is>
      </c>
      <c r="D25" s="6" t="inlineStr">
        <is>
          <t>01_Scheme_Tracker</t>
        </is>
      </c>
    </row>
    <row r="26" ht="64" customHeight="1">
      <c r="B26" s="4" t="inlineStr">
        <is>
          <t>Add an extra data column (GPS, engineer, photo link, …)</t>
        </is>
      </c>
      <c r="C26" s="5" t="inlineStr">
        <is>
          <t>Insert a column inside section 1 (identity) or section 2 (contract), not inside the date or duration blocks. Give it a header in row 3. Filters will include it after you re-apply AutoFilter if needed. To make it permanent in future rebuilds, append a tuple to IDENTITY_COLUMNS or CONTRACT_COLUMNS in tracker_config.py.</t>
        </is>
      </c>
      <c r="D26" s="6" t="inlineStr">
        <is>
          <t>01_Scheme_Tracker / tracker_config.py</t>
        </is>
      </c>
    </row>
    <row r="28" ht="22" customHeight="1">
      <c r="B28" s="7" t="inlineStr">
        <is>
          <t>Rules that keep the numbers honest</t>
        </is>
      </c>
      <c r="C28" s="8" t="n"/>
      <c r="D28" s="8" t="n"/>
    </row>
    <row r="29" ht="64" customHeight="1">
      <c r="B29" s="4" t="inlineStr">
        <is>
          <t>Dates must move forward</t>
        </is>
      </c>
      <c r="C29" s="5" t="inlineStr">
        <is>
          <t>A later step should not have an earlier date than a previous step. Negative day-counts mean the dates need checking.</t>
        </is>
      </c>
      <c r="D29" s="6" t="inlineStr"/>
    </row>
    <row r="30" ht="64" customHeight="1">
      <c r="B30" s="4" t="inlineStr">
        <is>
          <t>One row = one scheme</t>
        </is>
      </c>
      <c r="C30" s="5" t="inlineStr">
        <is>
          <t>If a package has three check dams, use three rows (as in the pre-loaded AF-2 list). Package-level cost can sit on the first scheme of the package and stay blank on the others.</t>
        </is>
      </c>
      <c r="D30" s="6" t="inlineStr"/>
    </row>
    <row r="31" ht="64" customHeight="1">
      <c r="B31" s="4" t="inlineStr">
        <is>
          <t>Grey cells are formulas</t>
        </is>
      </c>
      <c r="C31" s="5" t="inlineStr">
        <is>
          <t>Do not type over Current Status, Planned End Date, day-count columns, or helper columns. White cells are inputs.</t>
        </is>
      </c>
      <c r="D31" s="6" t="inlineStr"/>
    </row>
    <row r="32" ht="64" customHeight="1">
      <c r="B32" s="4" t="inlineStr">
        <is>
          <t>DEMO rows</t>
        </is>
      </c>
      <c r="C32" s="5" t="inlineStr">
        <is>
          <t>03_Example_Filled is for learning. Do not copy those dates into official reports.</t>
        </is>
      </c>
      <c r="D32" s="6" t="inlineStr">
        <is>
          <t>03_Example_Filled</t>
        </is>
      </c>
    </row>
    <row r="34">
      <c r="B34" s="7" t="inlineStr">
        <is>
          <t>Status pipeline (default)</t>
        </is>
      </c>
    </row>
    <row r="35">
      <c r="B35" s="9" t="inlineStr">
        <is>
          <t>Step</t>
        </is>
      </c>
      <c r="C35" s="9" t="inlineStr">
        <is>
          <t>Status</t>
        </is>
      </c>
      <c r="D35" s="9" t="inlineStr">
        <is>
          <t>What it means</t>
        </is>
      </c>
      <c r="E35" s="9" t="inlineStr">
        <is>
          <t>Target days</t>
        </is>
      </c>
    </row>
    <row r="36">
      <c r="B36" s="10" t="n">
        <v>1</v>
      </c>
      <c r="C36" s="11" t="inlineStr">
        <is>
          <t>Under Design</t>
        </is>
      </c>
      <c r="D36" s="5" t="inlineStr">
        <is>
          <t>Detailed design, surveys, and drawings are being prepared.</t>
        </is>
      </c>
      <c r="E36" s="10" t="n">
        <v>30</v>
      </c>
    </row>
    <row r="37">
      <c r="B37" s="10" t="n">
        <v>2</v>
      </c>
      <c r="C37" s="12" t="inlineStr">
        <is>
          <t>Under Review of WRI</t>
        </is>
      </c>
      <c r="D37" s="5" t="inlineStr">
        <is>
          <t>Water Resources / WRI is reviewing the design package.</t>
        </is>
      </c>
      <c r="E37" s="10" t="n">
        <v>14</v>
      </c>
    </row>
    <row r="38">
      <c r="B38" s="10" t="n">
        <v>3</v>
      </c>
      <c r="C38" s="13" t="inlineStr">
        <is>
          <t>Under LTO Review</t>
        </is>
      </c>
      <c r="D38" s="5" t="inlineStr">
        <is>
          <t>Legal / LTO clearance of the package.</t>
        </is>
      </c>
      <c r="E38" s="10" t="n">
        <v>10</v>
      </c>
    </row>
    <row r="39">
      <c r="B39" s="10" t="n">
        <v>4</v>
      </c>
      <c r="C39" s="14" t="inlineStr">
        <is>
          <t>PR to be Raised</t>
        </is>
      </c>
      <c r="D39" s="5" t="inlineStr">
        <is>
          <t>Purchase request / procurement request still to be raised.</t>
        </is>
      </c>
      <c r="E39" s="10" t="n">
        <v>10</v>
      </c>
    </row>
    <row r="40">
      <c r="B40" s="10" t="n">
        <v>5</v>
      </c>
      <c r="C40" s="15" t="inlineStr">
        <is>
          <t>ITB Launched</t>
        </is>
      </c>
      <c r="D40" s="5" t="inlineStr">
        <is>
          <t>Invitation to Bid has been issued.</t>
        </is>
      </c>
      <c r="E40" s="10" t="n">
        <v>21</v>
      </c>
    </row>
    <row r="41">
      <c r="B41" s="10" t="n">
        <v>6</v>
      </c>
      <c r="C41" s="15" t="inlineStr">
        <is>
          <t>Retendered (Re-ITB)</t>
        </is>
      </c>
      <c r="D41" s="5" t="inlineStr">
        <is>
          <t>Previous bid failed or was cancelled; invitation re-issued.</t>
        </is>
      </c>
      <c r="E41" s="10" t="n">
        <v>21</v>
      </c>
    </row>
    <row r="42">
      <c r="B42" s="10" t="n">
        <v>7</v>
      </c>
      <c r="C42" s="16" t="inlineStr">
        <is>
          <t>Under Technical Evaluation</t>
        </is>
      </c>
      <c r="D42" s="5" t="inlineStr">
        <is>
          <t>Bids are under technical evaluation.</t>
        </is>
      </c>
      <c r="E42" s="10" t="n">
        <v>14</v>
      </c>
    </row>
    <row r="43">
      <c r="B43" s="10" t="n">
        <v>8</v>
      </c>
      <c r="C43" s="17" t="inlineStr">
        <is>
          <t>Under Awarding</t>
        </is>
      </c>
      <c r="D43" s="5" t="inlineStr">
        <is>
          <t>Award recommendation, negotiations, and approval.</t>
        </is>
      </c>
      <c r="E43" s="10" t="n">
        <v>14</v>
      </c>
    </row>
    <row r="44">
      <c r="B44" s="10" t="n">
        <v>9</v>
      </c>
      <c r="C44" s="18" t="inlineStr">
        <is>
          <t>Awarded</t>
        </is>
      </c>
      <c r="D44" s="5" t="inlineStr">
        <is>
          <t>Contract signed / notice of award issued.</t>
        </is>
      </c>
      <c r="E44" s="10" t="inlineStr">
        <is>
          <t>—</t>
        </is>
      </c>
    </row>
    <row r="45">
      <c r="B45" s="10" t="n">
        <v>10</v>
      </c>
      <c r="C45" s="19" t="inlineStr">
        <is>
          <t>Under Construction</t>
        </is>
      </c>
      <c r="D45" s="5" t="inlineStr">
        <is>
          <t>Contractor is mobilised and physical works are ongoing.</t>
        </is>
      </c>
      <c r="E45" s="10" t="n">
        <v>150</v>
      </c>
    </row>
    <row r="46">
      <c r="B46" s="10" t="n">
        <v>11</v>
      </c>
      <c r="C46" s="20" t="inlineStr">
        <is>
          <t>Completed / Handover</t>
        </is>
      </c>
      <c r="D46" s="5" t="inlineStr">
        <is>
          <t>Works completed and handed over.</t>
        </is>
      </c>
      <c r="E46" s="10" t="inlineStr">
        <is>
          <t>—</t>
        </is>
      </c>
    </row>
  </sheetData>
  <mergeCells count="28">
    <mergeCell ref="C23"/>
    <mergeCell ref="C17"/>
    <mergeCell ref="B1:D1"/>
    <mergeCell ref="C7"/>
    <mergeCell ref="C32"/>
    <mergeCell ref="C19"/>
    <mergeCell ref="C13"/>
    <mergeCell ref="B34:D34"/>
    <mergeCell ref="B28:D28"/>
    <mergeCell ref="C18"/>
    <mergeCell ref="C3"/>
    <mergeCell ref="C30"/>
    <mergeCell ref="B9:D9"/>
    <mergeCell ref="C6"/>
    <mergeCell ref="C24"/>
    <mergeCell ref="C14"/>
    <mergeCell ref="B5:D5"/>
    <mergeCell ref="C20"/>
    <mergeCell ref="C26"/>
    <mergeCell ref="C29"/>
    <mergeCell ref="C25"/>
    <mergeCell ref="C10"/>
    <mergeCell ref="B16:D16"/>
    <mergeCell ref="C31"/>
    <mergeCell ref="C12"/>
    <mergeCell ref="B22:D22"/>
    <mergeCell ref="C11"/>
    <mergeCell ref="B2:D2"/>
  </mergeCells>
  <pageMargins left="0.75" right="0.75" top="1" bottom="1" header="0.5" footer="0.5"/>
  <pageSetup orientation="landscape" paperSize="9" fitToHeight="0" fitToWidth="1"/>
  <headerFooter>
    <oddHeader>&amp;LConstruction Works Scheme Tracker</oddHeader>
    <oddFooter>&amp;RPage &amp;P of &amp;N</oddFooter>
    <evenHeader/>
    <evenFooter/>
    <firstHeader/>
    <firstFooter/>
  </headerFooter>
</worksheet>
</file>

<file path=xl/worksheets/sheet2.xml><?xml version="1.0" encoding="utf-8"?>
<worksheet xmlns="http://schemas.openxmlformats.org/spreadsheetml/2006/main">
  <sheetPr>
    <tabColor rgb="003D5A3D"/>
    <outlinePr summaryBelow="1" summaryRight="1"/>
    <pageSetUpPr fitToPage="1"/>
  </sheetPr>
  <dimension ref="A1:BI453"/>
  <sheetViews>
    <sheetView zoomScale="90" workbookViewId="0">
      <pane xSplit="32" ySplit="3" topLeftCell="AG4"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28" customWidth="1" min="3" max="3"/>
    <col width="36" customWidth="1" min="4" max="4"/>
    <col width="32" customWidth="1" min="5" max="5"/>
    <col width="20" customWidth="1" min="6" max="6"/>
    <col width="22" customWidth="1" min="7" max="7"/>
    <col width="16" customWidth="1" min="8" max="8"/>
    <col width="22" customWidth="1" min="9" max="9"/>
    <col width="28" customWidth="1" min="10" max="10"/>
    <col width="22" customWidth="1" min="11" max="11"/>
    <col width="14" customWidth="1" min="12" max="12"/>
    <col width="22" customWidth="1" min="13" max="13"/>
    <col width="28" customWidth="1" min="14" max="14"/>
    <col width="22" customWidth="1" min="15" max="15"/>
    <col width="16" customWidth="1" min="16" max="16"/>
    <col width="16"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24" customWidth="1" min="25" max="25"/>
    <col width="28" customWidth="1" min="26" max="26"/>
    <col width="24" customWidth="1" min="27" max="27"/>
    <col width="12" customWidth="1" min="28" max="28"/>
    <col width="12" customWidth="1" min="29" max="29"/>
    <col width="12" customWidth="1" min="30" max="30"/>
    <col width="26" customWidth="1" min="31" max="31"/>
    <col width="14"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hidden="1" width="14" customWidth="1" min="60" max="60"/>
    <col hidden="1" width="14" customWidth="1" min="61" max="61"/>
  </cols>
  <sheetData>
    <row r="1" ht="24" customHeight="1">
      <c r="A1" s="21" t="inlineStr">
        <is>
          <t>Construction Works Scheme Tracker  ·  live register — type dates in section 4</t>
        </is>
      </c>
      <c r="B1" s="22" t="n"/>
      <c r="C1" s="22" t="n"/>
      <c r="D1" s="22" t="n"/>
      <c r="E1" s="22" t="n"/>
      <c r="F1" s="22" t="n"/>
      <c r="G1" s="22" t="n"/>
      <c r="H1" s="22" t="n"/>
      <c r="I1" s="22" t="n"/>
      <c r="J1" s="22" t="n"/>
      <c r="K1" s="22" t="n"/>
      <c r="L1" s="22" t="n"/>
      <c r="M1" s="22" t="n"/>
      <c r="N1" s="22" t="n"/>
      <c r="O1" s="22" t="n"/>
      <c r="P1" s="22" t="n"/>
      <c r="Q1" s="22" t="n"/>
      <c r="R1" s="22" t="n"/>
      <c r="S1" s="22" t="n"/>
      <c r="T1" s="22" t="n"/>
      <c r="U1" s="22" t="n"/>
      <c r="V1" s="22" t="n"/>
      <c r="W1" s="22" t="n"/>
      <c r="X1" s="22" t="n"/>
      <c r="Y1" s="22" t="n"/>
      <c r="Z1" s="22" t="n"/>
      <c r="AA1" s="22" t="n"/>
      <c r="AB1" s="22" t="n"/>
      <c r="AC1" s="22" t="n"/>
      <c r="AD1" s="22" t="n"/>
      <c r="AE1" s="22" t="n"/>
      <c r="AF1" s="22" t="n"/>
      <c r="AG1" s="22" t="n"/>
      <c r="AH1" s="22" t="n"/>
      <c r="AI1" s="22" t="n"/>
      <c r="AJ1" s="22" t="n"/>
      <c r="AK1" s="22" t="n"/>
      <c r="AL1" s="22" t="n"/>
      <c r="AM1" s="22" t="n"/>
      <c r="AN1" s="22" t="n"/>
      <c r="AO1" s="22" t="n"/>
      <c r="AP1" s="22" t="n"/>
      <c r="AQ1" s="22" t="n"/>
      <c r="AR1" s="22" t="n"/>
      <c r="AS1" s="22" t="n"/>
      <c r="AT1" s="22" t="n"/>
      <c r="AU1" s="22" t="n"/>
      <c r="AV1" s="22" t="n"/>
      <c r="AW1" s="22" t="n"/>
      <c r="AX1" s="22" t="n"/>
      <c r="AY1" s="22" t="n"/>
      <c r="AZ1" s="22" t="n"/>
      <c r="BA1" s="22" t="n"/>
      <c r="BB1" s="22" t="n"/>
      <c r="BC1" s="22" t="n"/>
      <c r="BD1" s="22" t="n"/>
      <c r="BE1" s="22" t="n"/>
      <c r="BF1" s="22" t="n"/>
      <c r="BG1" s="22" t="n"/>
      <c r="BH1" s="22" t="n"/>
      <c r="BI1" s="22" t="n"/>
    </row>
    <row r="2" ht="20" customHeight="1">
      <c r="A2" s="23" t="inlineStr">
        <is>
          <t>1. Scheme identity</t>
        </is>
      </c>
      <c r="B2" s="22" t="n"/>
      <c r="C2" s="22" t="n"/>
      <c r="D2" s="22" t="n"/>
      <c r="E2" s="22" t="n"/>
      <c r="F2" s="22" t="n"/>
      <c r="G2" s="22" t="n"/>
      <c r="H2" s="22" t="n"/>
      <c r="I2" s="22" t="n"/>
      <c r="J2" s="22" t="n"/>
      <c r="K2" s="22" t="n"/>
      <c r="L2" s="22" t="n"/>
      <c r="M2" s="22" t="n"/>
      <c r="N2" s="22" t="n"/>
      <c r="O2" s="24" t="inlineStr">
        <is>
          <t>2. Contract and physical progress</t>
        </is>
      </c>
      <c r="P2" s="25" t="n"/>
      <c r="Q2" s="25" t="n"/>
      <c r="R2" s="25" t="n"/>
      <c r="S2" s="25" t="n"/>
      <c r="T2" s="25" t="n"/>
      <c r="U2" s="25" t="n"/>
      <c r="V2" s="25" t="n"/>
      <c r="W2" s="25" t="n"/>
      <c r="X2" s="25" t="n"/>
      <c r="Y2" s="25" t="n"/>
      <c r="Z2" s="25" t="n"/>
      <c r="AA2" s="26" t="inlineStr">
        <is>
          <t>3. Live status and schedule health (calculated)</t>
        </is>
      </c>
      <c r="AB2" s="27" t="n"/>
      <c r="AC2" s="27" t="n"/>
      <c r="AD2" s="27" t="n"/>
      <c r="AE2" s="27" t="n"/>
      <c r="AF2" s="27" t="n"/>
      <c r="AG2" s="9" t="inlineStr">
        <is>
          <t>4. Status dates — enter the date each step was reached</t>
        </is>
      </c>
      <c r="AH2" s="28" t="n"/>
      <c r="AI2" s="28" t="n"/>
      <c r="AJ2" s="28" t="n"/>
      <c r="AK2" s="28" t="n"/>
      <c r="AL2" s="28" t="n"/>
      <c r="AM2" s="28" t="n"/>
      <c r="AN2" s="28" t="n"/>
      <c r="AO2" s="28" t="n"/>
      <c r="AP2" s="28" t="n"/>
      <c r="AQ2" s="28" t="n"/>
      <c r="AR2" s="28" t="n"/>
      <c r="AS2" s="28" t="n"/>
      <c r="AT2" s="28" t="n"/>
      <c r="AU2" s="29" t="inlineStr">
        <is>
          <t>5. Days between steps (calculated)</t>
        </is>
      </c>
      <c r="AV2" s="30" t="n"/>
      <c r="AW2" s="30" t="n"/>
      <c r="AX2" s="30" t="n"/>
      <c r="AY2" s="30" t="n"/>
      <c r="AZ2" s="30" t="n"/>
      <c r="BA2" s="30" t="n"/>
      <c r="BB2" s="30" t="n"/>
      <c r="BC2" s="30" t="n"/>
      <c r="BD2" s="30" t="n"/>
      <c r="BE2" s="30" t="n"/>
      <c r="BF2" s="30" t="n"/>
      <c r="BG2" s="30" t="n"/>
    </row>
    <row r="3" ht="36" customHeight="1">
      <c r="A3" s="23" t="inlineStr">
        <is>
          <t>SN</t>
        </is>
      </c>
      <c r="B3" s="23" t="inlineStr">
        <is>
          <t>Scheme ID</t>
        </is>
      </c>
      <c r="C3" s="23" t="inlineStr">
        <is>
          <t>Project Name</t>
        </is>
      </c>
      <c r="D3" s="23" t="inlineStr">
        <is>
          <t>Package / Contract Name</t>
        </is>
      </c>
      <c r="E3" s="23" t="inlineStr">
        <is>
          <t>Scheme Name</t>
        </is>
      </c>
      <c r="F3" s="23" t="inlineStr">
        <is>
          <t>Intervention Type</t>
        </is>
      </c>
      <c r="G3" s="23" t="inlineStr">
        <is>
          <t>Region</t>
        </is>
      </c>
      <c r="H3" s="23" t="inlineStr">
        <is>
          <t>Province</t>
        </is>
      </c>
      <c r="I3" s="23" t="inlineStr">
        <is>
          <t>District</t>
        </is>
      </c>
      <c r="J3" s="23" t="inlineStr">
        <is>
          <t>Village</t>
        </is>
      </c>
      <c r="K3" s="23" t="inlineStr">
        <is>
          <t>Donor</t>
        </is>
      </c>
      <c r="L3" s="23" t="inlineStr">
        <is>
          <t>Awarded / Remaining</t>
        </is>
      </c>
      <c r="M3" s="23" t="inlineStr">
        <is>
          <t>Intervention family</t>
        </is>
      </c>
      <c r="N3" s="23" t="inlineStr">
        <is>
          <t>Source sheet</t>
        </is>
      </c>
      <c r="O3" s="24" t="inlineStr">
        <is>
          <t>Contractor Name</t>
        </is>
      </c>
      <c r="P3" s="24" t="inlineStr">
        <is>
          <t>Contract Number</t>
        </is>
      </c>
      <c r="Q3" s="24" t="inlineStr">
        <is>
          <t>Contract Cost (USD)</t>
        </is>
      </c>
      <c r="R3" s="24" t="inlineStr">
        <is>
          <t>Awarded Date</t>
        </is>
      </c>
      <c r="S3" s="24" t="inlineStr">
        <is>
          <t>Expected award date</t>
        </is>
      </c>
      <c r="T3" s="24" t="inlineStr">
        <is>
          <t>Contract Duration (months)</t>
        </is>
      </c>
      <c r="U3" s="24" t="inlineStr">
        <is>
          <t>Contract / expected end date</t>
        </is>
      </c>
      <c r="V3" s="24" t="inlineStr">
        <is>
          <t>Planned End Date</t>
        </is>
      </c>
      <c r="W3" s="24" t="inlineStr">
        <is>
          <t>Actual completion date</t>
        </is>
      </c>
      <c r="X3" s="24" t="inlineStr">
        <is>
          <t>Physical Works Progress %</t>
        </is>
      </c>
      <c r="Y3" s="24" t="inlineStr">
        <is>
          <t>Reported Status</t>
        </is>
      </c>
      <c r="Z3" s="24" t="inlineStr">
        <is>
          <t>Remarks</t>
        </is>
      </c>
      <c r="AA3" s="26" t="inlineStr">
        <is>
          <t>Current Status (auto)</t>
        </is>
      </c>
      <c r="AB3" s="26" t="inlineStr">
        <is>
          <t>Days in current status</t>
        </is>
      </c>
      <c r="AC3" s="26" t="inlineStr">
        <is>
          <t>Total days first → last step</t>
        </is>
      </c>
      <c r="AD3" s="26" t="inlineStr">
        <is>
          <t>Days over target this step</t>
        </is>
      </c>
      <c r="AE3" s="26" t="inlineStr">
        <is>
          <t>Schedule health</t>
        </is>
      </c>
      <c r="AF3" s="26" t="inlineStr">
        <is>
          <t>Days vs planned date</t>
        </is>
      </c>
      <c r="AG3" s="9" t="inlineStr">
        <is>
          <t>IF('04_Status_Pipeline'!B3="","(spare slot 1)","Date: "&amp;'04_Status_Pipeline'!B3)</t>
        </is>
      </c>
      <c r="AH3" s="9" t="inlineStr">
        <is>
          <t>IF('04_Status_Pipeline'!B4="","(spare slot 2)","Date: "&amp;'04_Status_Pipeline'!B4)</t>
        </is>
      </c>
      <c r="AI3" s="9" t="inlineStr">
        <is>
          <t>IF('04_Status_Pipeline'!B5="","(spare slot 3)","Date: "&amp;'04_Status_Pipeline'!B5)</t>
        </is>
      </c>
      <c r="AJ3" s="9" t="inlineStr">
        <is>
          <t>IF('04_Status_Pipeline'!B6="","(spare slot 4)","Date: "&amp;'04_Status_Pipeline'!B6)</t>
        </is>
      </c>
      <c r="AK3" s="9" t="inlineStr">
        <is>
          <t>IF('04_Status_Pipeline'!B7="","(spare slot 5)","Date: "&amp;'04_Status_Pipeline'!B7)</t>
        </is>
      </c>
      <c r="AL3" s="9" t="inlineStr">
        <is>
          <t>IF('04_Status_Pipeline'!B8="","(spare slot 6)","Date: "&amp;'04_Status_Pipeline'!B8)</t>
        </is>
      </c>
      <c r="AM3" s="9" t="inlineStr">
        <is>
          <t>IF('04_Status_Pipeline'!B9="","(spare slot 7)","Date: "&amp;'04_Status_Pipeline'!B9)</t>
        </is>
      </c>
      <c r="AN3" s="9" t="inlineStr">
        <is>
          <t>IF('04_Status_Pipeline'!B10="","(spare slot 8)","Date: "&amp;'04_Status_Pipeline'!B10)</t>
        </is>
      </c>
      <c r="AO3" s="9" t="inlineStr">
        <is>
          <t>IF('04_Status_Pipeline'!B11="","(spare slot 9)","Date: "&amp;'04_Status_Pipeline'!B11)</t>
        </is>
      </c>
      <c r="AP3" s="9" t="inlineStr">
        <is>
          <t>IF('04_Status_Pipeline'!B12="","(spare slot 10)","Date: "&amp;'04_Status_Pipeline'!B12)</t>
        </is>
      </c>
      <c r="AQ3" s="9" t="inlineStr">
        <is>
          <t>IF('04_Status_Pipeline'!B13="","(spare slot 11)","Date: "&amp;'04_Status_Pipeline'!B13)</t>
        </is>
      </c>
      <c r="AR3" s="9" t="inlineStr">
        <is>
          <t>IF('04_Status_Pipeline'!B14="","(spare slot 12)","Date: "&amp;'04_Status_Pipeline'!B14)</t>
        </is>
      </c>
      <c r="AS3" s="9" t="inlineStr">
        <is>
          <t>IF('04_Status_Pipeline'!B15="","(spare slot 13)","Date: "&amp;'04_Status_Pipeline'!B15)</t>
        </is>
      </c>
      <c r="AT3" s="9" t="inlineStr">
        <is>
          <t>IF('04_Status_Pipeline'!B16="","(spare slot 14)","Date: "&amp;'04_Status_Pipeline'!B16)</t>
        </is>
      </c>
      <c r="AU3" s="29" t="inlineStr">
        <is>
          <t>IF(AND('04_Status_Pipeline'!B3="",'04_Status_Pipeline'!B4=""),"(spare)","Days: "&amp;IF('04_Status_Pipeline'!B3="","(prev)",'04_Status_Pipeline'!B3)&amp;" → "&amp;IF('04_Status_Pipeline'!B4="","(next)",'04_Status_Pipeline'!B4))</t>
        </is>
      </c>
      <c r="AV3" s="29" t="inlineStr">
        <is>
          <t>IF(AND('04_Status_Pipeline'!B4="",'04_Status_Pipeline'!B5=""),"(spare)","Days: "&amp;IF('04_Status_Pipeline'!B4="","(prev)",'04_Status_Pipeline'!B4)&amp;" → "&amp;IF('04_Status_Pipeline'!B5="","(next)",'04_Status_Pipeline'!B5))</t>
        </is>
      </c>
      <c r="AW3" s="29" t="inlineStr">
        <is>
          <t>IF(AND('04_Status_Pipeline'!B5="",'04_Status_Pipeline'!B6=""),"(spare)","Days: "&amp;IF('04_Status_Pipeline'!B5="","(prev)",'04_Status_Pipeline'!B5)&amp;" → "&amp;IF('04_Status_Pipeline'!B6="","(next)",'04_Status_Pipeline'!B6))</t>
        </is>
      </c>
      <c r="AX3" s="29" t="inlineStr">
        <is>
          <t>IF(AND('04_Status_Pipeline'!B6="",'04_Status_Pipeline'!B7=""),"(spare)","Days: "&amp;IF('04_Status_Pipeline'!B6="","(prev)",'04_Status_Pipeline'!B6)&amp;" → "&amp;IF('04_Status_Pipeline'!B7="","(next)",'04_Status_Pipeline'!B7))</t>
        </is>
      </c>
      <c r="AY3" s="29" t="inlineStr">
        <is>
          <t>IF(AND('04_Status_Pipeline'!B7="",'04_Status_Pipeline'!B8=""),"(spare)","Days: "&amp;IF('04_Status_Pipeline'!B7="","(prev)",'04_Status_Pipeline'!B7)&amp;" → "&amp;IF('04_Status_Pipeline'!B8="","(next)",'04_Status_Pipeline'!B8))</t>
        </is>
      </c>
      <c r="AZ3" s="29" t="inlineStr">
        <is>
          <t>IF(AND('04_Status_Pipeline'!B8="",'04_Status_Pipeline'!B9=""),"(spare)","Days: "&amp;IF('04_Status_Pipeline'!B8="","(prev)",'04_Status_Pipeline'!B8)&amp;" → "&amp;IF('04_Status_Pipeline'!B9="","(next)",'04_Status_Pipeline'!B9))</t>
        </is>
      </c>
      <c r="BA3" s="29" t="inlineStr">
        <is>
          <t>IF(AND('04_Status_Pipeline'!B9="",'04_Status_Pipeline'!B10=""),"(spare)","Days: "&amp;IF('04_Status_Pipeline'!B9="","(prev)",'04_Status_Pipeline'!B9)&amp;" → "&amp;IF('04_Status_Pipeline'!B10="","(next)",'04_Status_Pipeline'!B10))</t>
        </is>
      </c>
      <c r="BB3" s="29" t="inlineStr">
        <is>
          <t>IF(AND('04_Status_Pipeline'!B10="",'04_Status_Pipeline'!B11=""),"(spare)","Days: "&amp;IF('04_Status_Pipeline'!B10="","(prev)",'04_Status_Pipeline'!B10)&amp;" → "&amp;IF('04_Status_Pipeline'!B11="","(next)",'04_Status_Pipeline'!B11))</t>
        </is>
      </c>
      <c r="BC3" s="29" t="inlineStr">
        <is>
          <t>IF(AND('04_Status_Pipeline'!B11="",'04_Status_Pipeline'!B12=""),"(spare)","Days: "&amp;IF('04_Status_Pipeline'!B11="","(prev)",'04_Status_Pipeline'!B11)&amp;" → "&amp;IF('04_Status_Pipeline'!B12="","(next)",'04_Status_Pipeline'!B12))</t>
        </is>
      </c>
      <c r="BD3" s="29" t="inlineStr">
        <is>
          <t>IF(AND('04_Status_Pipeline'!B12="",'04_Status_Pipeline'!B13=""),"(spare)","Days: "&amp;IF('04_Status_Pipeline'!B12="","(prev)",'04_Status_Pipeline'!B12)&amp;" → "&amp;IF('04_Status_Pipeline'!B13="","(next)",'04_Status_Pipeline'!B13))</t>
        </is>
      </c>
      <c r="BE3" s="29" t="inlineStr">
        <is>
          <t>IF(AND('04_Status_Pipeline'!B13="",'04_Status_Pipeline'!B14=""),"(spare)","Days: "&amp;IF('04_Status_Pipeline'!B13="","(prev)",'04_Status_Pipeline'!B13)&amp;" → "&amp;IF('04_Status_Pipeline'!B14="","(next)",'04_Status_Pipeline'!B14))</t>
        </is>
      </c>
      <c r="BF3" s="29" t="inlineStr">
        <is>
          <t>IF(AND('04_Status_Pipeline'!B14="",'04_Status_Pipeline'!B15=""),"(spare)","Days: "&amp;IF('04_Status_Pipeline'!B14="","(prev)",'04_Status_Pipeline'!B14)&amp;" → "&amp;IF('04_Status_Pipeline'!B15="","(next)",'04_Status_Pipeline'!B15))</t>
        </is>
      </c>
      <c r="BG3" s="29" t="inlineStr">
        <is>
          <t>IF(AND('04_Status_Pipeline'!B15="",'04_Status_Pipeline'!B16=""),"(spare)","Days: "&amp;IF('04_Status_Pipeline'!B15="","(prev)",'04_Status_Pipeline'!B15)&amp;" → "&amp;IF('04_Status_Pipeline'!B16="","(next)",'04_Status_Pipeline'!B16))</t>
        </is>
      </c>
      <c r="BH3" s="31" t="inlineStr">
        <is>
          <t>_ProvinceList</t>
        </is>
      </c>
      <c r="BI3" s="31" t="inlineStr">
        <is>
          <t>_DistrictList</t>
        </is>
      </c>
    </row>
    <row r="4" ht="18" customHeight="1">
      <c r="A4" s="32" t="inlineStr">
        <is>
          <t>IF(E4="","",ROW()-3)</t>
        </is>
      </c>
      <c r="B4" s="33" t="inlineStr">
        <is>
          <t>AF2-IS-A-001</t>
        </is>
      </c>
      <c r="C4" s="33" t="inlineStr">
        <is>
          <t>Emergency Food Security Project (EFSP) – WBK/AF-2</t>
        </is>
      </c>
      <c r="D4" s="33" t="inlineStr">
        <is>
          <t>Package #1-AF2 IS: Rehabilitation of Joy Bazar irrigation scheme located in Obe district of Herat province.</t>
        </is>
      </c>
      <c r="E4" s="33" t="inlineStr">
        <is>
          <t>Joy Bazar Canal irrigation Scheme</t>
        </is>
      </c>
      <c r="F4" s="33" t="inlineStr">
        <is>
          <t>Irrigation Canal</t>
        </is>
      </c>
      <c r="G4" s="33" t="inlineStr">
        <is>
          <t>West / Herat</t>
        </is>
      </c>
      <c r="H4" s="33" t="inlineStr">
        <is>
          <t>Herat</t>
        </is>
      </c>
      <c r="I4" s="33" t="inlineStr">
        <is>
          <t>Obeh</t>
        </is>
      </c>
      <c r="J4" s="33" t="inlineStr">
        <is>
          <t>Center</t>
        </is>
      </c>
      <c r="K4" s="33" t="inlineStr">
        <is>
          <t>World Bank (WBK/AF-2)</t>
        </is>
      </c>
      <c r="L4" s="33" t="inlineStr">
        <is>
          <t>Awarded</t>
        </is>
      </c>
      <c r="M4" s="33" t="inlineStr">
        <is>
          <t>On/off-farm irrigation</t>
        </is>
      </c>
      <c r="N4" s="33" t="inlineStr">
        <is>
          <t>1.Awarded contracts_On&amp;off-farm</t>
        </is>
      </c>
      <c r="O4" s="33" t="inlineStr">
        <is>
          <t>Afghan Aakam Construction and Road Company C. JV with D-Amini Mashwani Construction Road Juroni and Construction Materials Production Company (AACRC&amp;JV DAMCC)</t>
        </is>
      </c>
      <c r="P4" s="33" t="inlineStr">
        <is>
          <t>050/2025</t>
        </is>
      </c>
      <c r="Q4" s="34" t="n">
        <v>222241.38</v>
      </c>
      <c r="R4" s="35" t="inlineStr">
        <is>
          <t>IF(AO4="","",AO4)</t>
        </is>
      </c>
      <c r="S4" s="36" t="n"/>
      <c r="T4" s="37" t="n">
        <v>12</v>
      </c>
      <c r="U4" s="36" t="n">
        <v>46280</v>
      </c>
      <c r="V4" s="35" t="inlineStr">
        <is>
          <t>IF(U4&lt;&gt;"",U4,IF(OR(R4="",T4=""),"",EDATE(R4,T4)))</t>
        </is>
      </c>
      <c r="W4" s="36" t="n"/>
      <c r="X4" s="37" t="n">
        <v>100</v>
      </c>
      <c r="Y4" s="33" t="inlineStr">
        <is>
          <t>Completed / Handover</t>
        </is>
      </c>
      <c r="Z4" s="33" t="inlineStr">
        <is>
          <t>Completed in May 2026 | Actual completion: May, 2026</t>
        </is>
      </c>
      <c r="AA4" s="32" t="inlineStr">
        <is>
          <t>IF(E4="","",IF(COUNT(AG4:AT4)=0,IF(Y4="","Not started",Y4),SUBSTITUTE(LOOKUP(2,1/(AG4:AT4&lt;&gt;""),$AG$3:$AT$3),"Date: ","")))</t>
        </is>
      </c>
      <c r="AB4" s="38" t="inlineStr">
        <is>
          <t>IF(OR(E4="",COUNT(AG4:AT4)=0),"",TODAY()-LOOKUP(2,1/(AG4:AT4&lt;&gt;""),AG4:AT4))</t>
        </is>
      </c>
      <c r="AC4" s="38" t="inlineStr">
        <is>
          <t>IF(OR(E4="",COUNT(AG4:AT4)&lt;2),"",LOOKUP(2,1/(AG4:AT4&lt;&gt;""),AG4:AT4)-MIN(AG4:AT4))</t>
        </is>
      </c>
      <c r="AD4" s="38" t="inlineStr">
        <is>
          <t>IF(OR(AB4="",AA4="Not started",AA4=""),"",IFERROR(AB4-IF(VLOOKUP(AA4,'04_Status_Pipeline'!$B$3:$E$20,4,FALSE)="",0,VLOOKUP(AA4,'04_Status_Pipeline'!$B$3:$E$20,4,FALSE)),""))</t>
        </is>
      </c>
      <c r="AE4" s="32" t="inlineStr">
        <is>
          <t>IF(E4="","",IF(OR(Y4="Cancelled",AA4="Cancelled"),"Cancelled",IF(OR(AA4="Completed / Handover",W4&lt;&gt;"",X4&gt;=100),"Completed — on track",IF(L4="Remaining",IF(S4="",IF(V4="","No planned date",IF(TODAY()&gt;V4,"Behind — past planned date",IF(V4-TODAY()&lt;=30,"At risk — close to off track","On track"))),IF(TODAY()&gt;S4,"Behind — award date passed",IF(S4-TODAY()&lt;=30,"At risk — close to off track","On track"))),IF(V4="","No planned date",IF(AND(TODAY()&gt;V4,OR(X4="",X4&lt;100)),"Behind — past end date",IF(AND(R4&lt;&gt;"",V4&lt;&gt;"",X4&lt;&gt;"",(X4&lt;100),((TODAY()-R4)/MAX(V4-R4,1)*100)-X4&gt;15),"Behind — progress lag",IF(AND(V4-TODAY()&lt;=30,V4-TODAY()&gt;=0,OR(X4="",X4&lt;90)),"At risk — close to off track","On track"))))))))</t>
        </is>
      </c>
      <c r="AF4" s="38" t="inlineStr">
        <is>
          <t>IF(OR(E4="",AA4="Completed / Handover",AA4="Cancelled"),"",IF(L4="Remaining",IF(S4&lt;&gt;"",S4-TODAY(),IF(V4="","",V4-TODAY())),IF(V4="","",V4-TODAY())))</t>
        </is>
      </c>
      <c r="AG4" s="39" t="n"/>
      <c r="AH4" s="39" t="n"/>
      <c r="AI4" s="39" t="n"/>
      <c r="AJ4" s="39" t="n"/>
      <c r="AK4" s="39" t="n"/>
      <c r="AL4" s="39" t="n"/>
      <c r="AM4" s="39" t="n"/>
      <c r="AN4" s="39" t="n"/>
      <c r="AO4" s="39" t="n">
        <v>45916</v>
      </c>
      <c r="AP4" s="39" t="n">
        <v>45916</v>
      </c>
      <c r="AQ4" s="39" t="n">
        <v>46280</v>
      </c>
      <c r="AR4" s="40" t="n"/>
      <c r="AS4" s="40" t="n"/>
      <c r="AT4" s="40" t="n"/>
      <c r="AU4" s="38" t="inlineStr">
        <is>
          <t>IF(OR(E4="",AH4=""),"",IF(COUNT(AG4:AG4)=0,"",AH4-LOOKUP(2,1/(AG4:AG4&lt;&gt;""),AG4:AG4)))</t>
        </is>
      </c>
      <c r="AV4" s="38" t="inlineStr">
        <is>
          <t>IF(OR(E4="",AI4=""),"",IF(COUNT(AG4:AH4)=0,"",AI4-LOOKUP(2,1/(AG4:AH4&lt;&gt;""),AG4:AH4)))</t>
        </is>
      </c>
      <c r="AW4" s="38" t="inlineStr">
        <is>
          <t>IF(OR(E4="",AJ4=""),"",IF(COUNT(AG4:AI4)=0,"",AJ4-LOOKUP(2,1/(AG4:AI4&lt;&gt;""),AG4:AI4)))</t>
        </is>
      </c>
      <c r="AX4" s="38" t="inlineStr">
        <is>
          <t>IF(OR(E4="",AK4=""),"",IF(COUNT(AG4:AJ4)=0,"",AK4-LOOKUP(2,1/(AG4:AJ4&lt;&gt;""),AG4:AJ4)))</t>
        </is>
      </c>
      <c r="AY4" s="38" t="inlineStr">
        <is>
          <t>IF(OR(E4="",AL4=""),"",IF(COUNT(AG4:AK4)=0,"",AL4-LOOKUP(2,1/(AG4:AK4&lt;&gt;""),AG4:AK4)))</t>
        </is>
      </c>
      <c r="AZ4" s="38" t="inlineStr">
        <is>
          <t>IF(OR(E4="",AM4=""),"",IF(COUNT(AG4:AL4)=0,"",AM4-LOOKUP(2,1/(AG4:AL4&lt;&gt;""),AG4:AL4)))</t>
        </is>
      </c>
      <c r="BA4" s="38" t="inlineStr">
        <is>
          <t>IF(OR(E4="",AN4=""),"",IF(COUNT(AG4:AM4)=0,"",AN4-LOOKUP(2,1/(AG4:AM4&lt;&gt;""),AG4:AM4)))</t>
        </is>
      </c>
      <c r="BB4" s="38" t="inlineStr">
        <is>
          <t>IF(OR(E4="",AO4=""),"",IF(COUNT(AG4:AN4)=0,"",AO4-LOOKUP(2,1/(AG4:AN4&lt;&gt;""),AG4:AN4)))</t>
        </is>
      </c>
      <c r="BC4" s="38" t="inlineStr">
        <is>
          <t>IF(OR(E4="",AP4=""),"",IF(COUNT(AG4:AO4)=0,"",AP4-LOOKUP(2,1/(AG4:AO4&lt;&gt;""),AG4:AO4)))</t>
        </is>
      </c>
      <c r="BD4" s="38" t="inlineStr">
        <is>
          <t>IF(OR(E4="",AQ4=""),"",IF(COUNT(AG4:AP4)=0,"",AQ4-LOOKUP(2,1/(AG4:AP4&lt;&gt;""),AG4:AP4)))</t>
        </is>
      </c>
      <c r="BE4" s="38" t="inlineStr">
        <is>
          <t>IF(OR(E4="",AR4=""),"",IF(COUNT(AG4:AQ4)=0,"",AR4-LOOKUP(2,1/(AG4:AQ4&lt;&gt;""),AG4:AQ4)))</t>
        </is>
      </c>
      <c r="BF4" s="38" t="inlineStr">
        <is>
          <t>IF(OR(E4="",AS4=""),"",IF(COUNT(AG4:AR4)=0,"",AS4-LOOKUP(2,1/(AG4:AR4&lt;&gt;""),AG4:AR4)))</t>
        </is>
      </c>
      <c r="BG4" s="38" t="inlineStr">
        <is>
          <t>IF(OR(E4="",AT4=""),"",IF(COUNT(AG4:AS4)=0,"",AT4-LOOKUP(2,1/(AG4:AS4&lt;&gt;""),AG4:AS4)))</t>
        </is>
      </c>
      <c r="BH4" s="41" t="inlineStr">
        <is>
          <t>IF(G4="","All_Provinces",IFERROR(VLOOKUP(G4,'07_Lookups'!$A$4:$B$20,2,FALSE),"All_Provinces"))</t>
        </is>
      </c>
      <c r="BI4" s="41" t="inlineStr">
        <is>
          <t>IF(H4="","All_Districts",IFERROR(VLOOKUP(H4,'07_Lookups'!$E$4:$F$42,2,FALSE),"All_Districts"))</t>
        </is>
      </c>
    </row>
    <row r="5" ht="18" customHeight="1">
      <c r="A5" s="32" t="inlineStr">
        <is>
          <t>IF(E5="","",ROW()-3)</t>
        </is>
      </c>
      <c r="B5" s="42" t="inlineStr">
        <is>
          <t>AF2-IS-A-002</t>
        </is>
      </c>
      <c r="C5" s="42" t="inlineStr">
        <is>
          <t>Emergency Food Security Project (EFSP) – WBK/AF-2</t>
        </is>
      </c>
      <c r="D5" s="42" t="inlineStr">
        <is>
          <t>Package # 2-AF2 IS: Rehabilitation of irrigation schemes of 1.Ali Mansoor Canal in Karukh district, 2.Joy Sork and 3.Sar Kari canals in Farsi districts of Herat province.</t>
        </is>
      </c>
      <c r="E5" s="42" t="inlineStr">
        <is>
          <t>Ali Mansoor Canal Irrigation Scheme</t>
        </is>
      </c>
      <c r="F5" s="42" t="inlineStr">
        <is>
          <t>Irrigation Canal</t>
        </is>
      </c>
      <c r="G5" s="42" t="inlineStr">
        <is>
          <t>West / Herat</t>
        </is>
      </c>
      <c r="H5" s="42" t="inlineStr">
        <is>
          <t>Herat</t>
        </is>
      </c>
      <c r="I5" s="42" t="inlineStr">
        <is>
          <t>Karukh</t>
        </is>
      </c>
      <c r="J5" s="42" t="inlineStr">
        <is>
          <t>Dahan-e-Ghar Villages</t>
        </is>
      </c>
      <c r="K5" s="42" t="inlineStr">
        <is>
          <t>World Bank (WBK/AF-2)</t>
        </is>
      </c>
      <c r="L5" s="42" t="inlineStr">
        <is>
          <t>Awarded</t>
        </is>
      </c>
      <c r="M5" s="42" t="inlineStr">
        <is>
          <t>On/off-farm irrigation</t>
        </is>
      </c>
      <c r="N5" s="42" t="inlineStr">
        <is>
          <t>1.Awarded contracts_On&amp;off-farm</t>
        </is>
      </c>
      <c r="O5" s="42" t="inlineStr">
        <is>
          <t>Arman Millad Construction Company (AMCC)</t>
        </is>
      </c>
      <c r="P5" s="42" t="inlineStr">
        <is>
          <t>046/2026</t>
        </is>
      </c>
      <c r="Q5" s="43" t="n">
        <v>119404.61</v>
      </c>
      <c r="R5" s="35" t="inlineStr">
        <is>
          <t>IF(AO5="","",AO5)</t>
        </is>
      </c>
      <c r="S5" s="44" t="n"/>
      <c r="T5" s="45" t="n">
        <v>12</v>
      </c>
      <c r="U5" s="44" t="n">
        <v>46589</v>
      </c>
      <c r="V5" s="35" t="inlineStr">
        <is>
          <t>IF(U5&lt;&gt;"",U5,IF(OR(R5="",T5=""),"",EDATE(R5,T5)))</t>
        </is>
      </c>
      <c r="W5" s="44" t="n"/>
      <c r="X5" s="45" t="n">
        <v>45</v>
      </c>
      <c r="Y5" s="42" t="inlineStr">
        <is>
          <t>Completed / Handover</t>
        </is>
      </c>
      <c r="Z5" s="42" t="inlineStr">
        <is>
          <t>on track and will be completed by July 2027</t>
        </is>
      </c>
      <c r="AA5" s="32" t="inlineStr">
        <is>
          <t>IF(E5="","",IF(COUNT(AG5:AT5)=0,IF(Y5="","Not started",Y5),SUBSTITUTE(LOOKUP(2,1/(AG5:AT5&lt;&gt;""),$AG$3:$AT$3),"Date: ","")))</t>
        </is>
      </c>
      <c r="AB5" s="38" t="inlineStr">
        <is>
          <t>IF(OR(E5="",COUNT(AG5:AT5)=0),"",TODAY()-LOOKUP(2,1/(AG5:AT5&lt;&gt;""),AG5:AT5))</t>
        </is>
      </c>
      <c r="AC5" s="38" t="inlineStr">
        <is>
          <t>IF(OR(E5="",COUNT(AG5:AT5)&lt;2),"",LOOKUP(2,1/(AG5:AT5&lt;&gt;""),AG5:AT5)-MIN(AG5:AT5))</t>
        </is>
      </c>
      <c r="AD5" s="38" t="inlineStr">
        <is>
          <t>IF(OR(AB5="",AA5="Not started",AA5=""),"",IFERROR(AB5-IF(VLOOKUP(AA5,'04_Status_Pipeline'!$B$3:$E$20,4,FALSE)="",0,VLOOKUP(AA5,'04_Status_Pipeline'!$B$3:$E$20,4,FALSE)),""))</t>
        </is>
      </c>
      <c r="AE5" s="32" t="inlineStr">
        <is>
          <t>IF(E5="","",IF(OR(Y5="Cancelled",AA5="Cancelled"),"Cancelled",IF(OR(AA5="Completed / Handover",W5&lt;&gt;"",X5&gt;=100),"Completed — on track",IF(L5="Remaining",IF(S5="",IF(V5="","No planned date",IF(TODAY()&gt;V5,"Behind — past planned date",IF(V5-TODAY()&lt;=30,"At risk — close to off track","On track"))),IF(TODAY()&gt;S5,"Behind — award date passed",IF(S5-TODAY()&lt;=30,"At risk — close to off track","On track"))),IF(V5="","No planned date",IF(AND(TODAY()&gt;V5,OR(X5="",X5&lt;100)),"Behind — past end date",IF(AND(R5&lt;&gt;"",V5&lt;&gt;"",X5&lt;&gt;"",(X5&lt;100),((TODAY()-R5)/MAX(V5-R5,1)*100)-X5&gt;15),"Behind — progress lag",IF(AND(V5-TODAY()&lt;=30,V5-TODAY()&gt;=0,OR(X5="",X5&lt;90)),"At risk — close to off track","On track"))))))))</t>
        </is>
      </c>
      <c r="AF5" s="38" t="inlineStr">
        <is>
          <t>IF(OR(E5="",AA5="Completed / Handover",AA5="Cancelled"),"",IF(L5="Remaining",IF(S5&lt;&gt;"",S5-TODAY(),IF(V5="","",V5-TODAY())),IF(V5="","",V5-TODAY())))</t>
        </is>
      </c>
      <c r="AG5" s="39" t="n"/>
      <c r="AH5" s="39" t="n"/>
      <c r="AI5" s="39" t="n"/>
      <c r="AJ5" s="39" t="n"/>
      <c r="AK5" s="39" t="n"/>
      <c r="AL5" s="39" t="n"/>
      <c r="AM5" s="39" t="n"/>
      <c r="AN5" s="39" t="n"/>
      <c r="AO5" s="39" t="n">
        <v>46225</v>
      </c>
      <c r="AP5" s="39" t="n">
        <v>46225</v>
      </c>
      <c r="AQ5" s="39" t="n">
        <v>46589</v>
      </c>
      <c r="AR5" s="40" t="n"/>
      <c r="AS5" s="40" t="n"/>
      <c r="AT5" s="40" t="n"/>
      <c r="AU5" s="38" t="inlineStr">
        <is>
          <t>IF(OR(E5="",AH5=""),"",IF(COUNT(AG5:AG5)=0,"",AH5-LOOKUP(2,1/(AG5:AG5&lt;&gt;""),AG5:AG5)))</t>
        </is>
      </c>
      <c r="AV5" s="38" t="inlineStr">
        <is>
          <t>IF(OR(E5="",AI5=""),"",IF(COUNT(AG5:AH5)=0,"",AI5-LOOKUP(2,1/(AG5:AH5&lt;&gt;""),AG5:AH5)))</t>
        </is>
      </c>
      <c r="AW5" s="38" t="inlineStr">
        <is>
          <t>IF(OR(E5="",AJ5=""),"",IF(COUNT(AG5:AI5)=0,"",AJ5-LOOKUP(2,1/(AG5:AI5&lt;&gt;""),AG5:AI5)))</t>
        </is>
      </c>
      <c r="AX5" s="38" t="inlineStr">
        <is>
          <t>IF(OR(E5="",AK5=""),"",IF(COUNT(AG5:AJ5)=0,"",AK5-LOOKUP(2,1/(AG5:AJ5&lt;&gt;""),AG5:AJ5)))</t>
        </is>
      </c>
      <c r="AY5" s="38" t="inlineStr">
        <is>
          <t>IF(OR(E5="",AL5=""),"",IF(COUNT(AG5:AK5)=0,"",AL5-LOOKUP(2,1/(AG5:AK5&lt;&gt;""),AG5:AK5)))</t>
        </is>
      </c>
      <c r="AZ5" s="38" t="inlineStr">
        <is>
          <t>IF(OR(E5="",AM5=""),"",IF(COUNT(AG5:AL5)=0,"",AM5-LOOKUP(2,1/(AG5:AL5&lt;&gt;""),AG5:AL5)))</t>
        </is>
      </c>
      <c r="BA5" s="38" t="inlineStr">
        <is>
          <t>IF(OR(E5="",AN5=""),"",IF(COUNT(AG5:AM5)=0,"",AN5-LOOKUP(2,1/(AG5:AM5&lt;&gt;""),AG5:AM5)))</t>
        </is>
      </c>
      <c r="BB5" s="38" t="inlineStr">
        <is>
          <t>IF(OR(E5="",AO5=""),"",IF(COUNT(AG5:AN5)=0,"",AO5-LOOKUP(2,1/(AG5:AN5&lt;&gt;""),AG5:AN5)))</t>
        </is>
      </c>
      <c r="BC5" s="38" t="inlineStr">
        <is>
          <t>IF(OR(E5="",AP5=""),"",IF(COUNT(AG5:AO5)=0,"",AP5-LOOKUP(2,1/(AG5:AO5&lt;&gt;""),AG5:AO5)))</t>
        </is>
      </c>
      <c r="BD5" s="38" t="inlineStr">
        <is>
          <t>IF(OR(E5="",AQ5=""),"",IF(COUNT(AG5:AP5)=0,"",AQ5-LOOKUP(2,1/(AG5:AP5&lt;&gt;""),AG5:AP5)))</t>
        </is>
      </c>
      <c r="BE5" s="38" t="inlineStr">
        <is>
          <t>IF(OR(E5="",AR5=""),"",IF(COUNT(AG5:AQ5)=0,"",AR5-LOOKUP(2,1/(AG5:AQ5&lt;&gt;""),AG5:AQ5)))</t>
        </is>
      </c>
      <c r="BF5" s="38" t="inlineStr">
        <is>
          <t>IF(OR(E5="",AS5=""),"",IF(COUNT(AG5:AR5)=0,"",AS5-LOOKUP(2,1/(AG5:AR5&lt;&gt;""),AG5:AR5)))</t>
        </is>
      </c>
      <c r="BG5" s="38" t="inlineStr">
        <is>
          <t>IF(OR(E5="",AT5=""),"",IF(COUNT(AG5:AS5)=0,"",AT5-LOOKUP(2,1/(AG5:AS5&lt;&gt;""),AG5:AS5)))</t>
        </is>
      </c>
      <c r="BH5" s="41" t="inlineStr">
        <is>
          <t>IF(G5="","All_Provinces",IFERROR(VLOOKUP(G5,'07_Lookups'!$A$4:$B$20,2,FALSE),"All_Provinces"))</t>
        </is>
      </c>
      <c r="BI5" s="41" t="inlineStr">
        <is>
          <t>IF(H5="","All_Districts",IFERROR(VLOOKUP(H5,'07_Lookups'!$E$4:$F$42,2,FALSE),"All_Districts"))</t>
        </is>
      </c>
    </row>
    <row r="6" ht="18" customHeight="1">
      <c r="A6" s="32" t="inlineStr">
        <is>
          <t>IF(E6="","",ROW()-3)</t>
        </is>
      </c>
      <c r="B6" s="33" t="inlineStr">
        <is>
          <t>AF2-IS-A-003</t>
        </is>
      </c>
      <c r="C6" s="33" t="inlineStr">
        <is>
          <t>Emergency Food Security Project (EFSP) – WBK/AF-2</t>
        </is>
      </c>
      <c r="D6" s="33" t="inlineStr">
        <is>
          <t>Package # 2-AF2 IS: Rehabilitation of irrigation schemes of 1.Ali Mansoor Canal in Karukh district, 2.Joy Sork and 3.Sar Kari canals in Farsi districts of Herat province.</t>
        </is>
      </c>
      <c r="E6" s="33" t="inlineStr">
        <is>
          <t>Joy Sork Irrigation Schemes</t>
        </is>
      </c>
      <c r="F6" s="33" t="inlineStr">
        <is>
          <t>Irrigation Canal</t>
        </is>
      </c>
      <c r="G6" s="33" t="inlineStr">
        <is>
          <t>West / Herat</t>
        </is>
      </c>
      <c r="H6" s="33" t="inlineStr">
        <is>
          <t>Herat</t>
        </is>
      </c>
      <c r="I6" s="33" t="inlineStr">
        <is>
          <t>Farsi</t>
        </is>
      </c>
      <c r="J6" s="33" t="inlineStr">
        <is>
          <t>Peyazak and Joy Markaz villages</t>
        </is>
      </c>
      <c r="K6" s="33" t="inlineStr">
        <is>
          <t>World Bank (WBK/AF-2)</t>
        </is>
      </c>
      <c r="L6" s="33" t="inlineStr">
        <is>
          <t>Awarded</t>
        </is>
      </c>
      <c r="M6" s="33" t="inlineStr">
        <is>
          <t>On/off-farm irrigation</t>
        </is>
      </c>
      <c r="N6" s="33" t="inlineStr">
        <is>
          <t>1.Awarded contracts_On&amp;off-farm</t>
        </is>
      </c>
      <c r="O6" s="33" t="inlineStr">
        <is>
          <t>Arman Millad Construction Company (AMCC)</t>
        </is>
      </c>
      <c r="P6" s="33" t="inlineStr">
        <is>
          <t>046/2026</t>
        </is>
      </c>
      <c r="Q6" s="34" t="n">
        <v>127771.65</v>
      </c>
      <c r="R6" s="35" t="inlineStr">
        <is>
          <t>IF(AO6="","",AO6)</t>
        </is>
      </c>
      <c r="S6" s="36" t="n"/>
      <c r="T6" s="37" t="n">
        <v>12</v>
      </c>
      <c r="U6" s="36" t="n">
        <v>46589</v>
      </c>
      <c r="V6" s="35" t="inlineStr">
        <is>
          <t>IF(U6&lt;&gt;"",U6,IF(OR(R6="",T6=""),"",EDATE(R6,T6)))</t>
        </is>
      </c>
      <c r="W6" s="36" t="n"/>
      <c r="X6" s="37" t="n">
        <v>5</v>
      </c>
      <c r="Y6" s="33" t="inlineStr">
        <is>
          <t>Completed / Handover</t>
        </is>
      </c>
      <c r="Z6" s="33" t="inlineStr">
        <is>
          <t>on track and will be completed by July 2027</t>
        </is>
      </c>
      <c r="AA6" s="32" t="inlineStr">
        <is>
          <t>IF(E6="","",IF(COUNT(AG6:AT6)=0,IF(Y6="","Not started",Y6),SUBSTITUTE(LOOKUP(2,1/(AG6:AT6&lt;&gt;""),$AG$3:$AT$3),"Date: ","")))</t>
        </is>
      </c>
      <c r="AB6" s="38" t="inlineStr">
        <is>
          <t>IF(OR(E6="",COUNT(AG6:AT6)=0),"",TODAY()-LOOKUP(2,1/(AG6:AT6&lt;&gt;""),AG6:AT6))</t>
        </is>
      </c>
      <c r="AC6" s="38" t="inlineStr">
        <is>
          <t>IF(OR(E6="",COUNT(AG6:AT6)&lt;2),"",LOOKUP(2,1/(AG6:AT6&lt;&gt;""),AG6:AT6)-MIN(AG6:AT6))</t>
        </is>
      </c>
      <c r="AD6" s="38" t="inlineStr">
        <is>
          <t>IF(OR(AB6="",AA6="Not started",AA6=""),"",IFERROR(AB6-IF(VLOOKUP(AA6,'04_Status_Pipeline'!$B$3:$E$20,4,FALSE)="",0,VLOOKUP(AA6,'04_Status_Pipeline'!$B$3:$E$20,4,FALSE)),""))</t>
        </is>
      </c>
      <c r="AE6" s="32" t="inlineStr">
        <is>
          <t>IF(E6="","",IF(OR(Y6="Cancelled",AA6="Cancelled"),"Cancelled",IF(OR(AA6="Completed / Handover",W6&lt;&gt;"",X6&gt;=100),"Completed — on track",IF(L6="Remaining",IF(S6="",IF(V6="","No planned date",IF(TODAY()&gt;V6,"Behind — past planned date",IF(V6-TODAY()&lt;=30,"At risk — close to off track","On track"))),IF(TODAY()&gt;S6,"Behind — award date passed",IF(S6-TODAY()&lt;=30,"At risk — close to off track","On track"))),IF(V6="","No planned date",IF(AND(TODAY()&gt;V6,OR(X6="",X6&lt;100)),"Behind — past end date",IF(AND(R6&lt;&gt;"",V6&lt;&gt;"",X6&lt;&gt;"",(X6&lt;100),((TODAY()-R6)/MAX(V6-R6,1)*100)-X6&gt;15),"Behind — progress lag",IF(AND(V6-TODAY()&lt;=30,V6-TODAY()&gt;=0,OR(X6="",X6&lt;90)),"At risk — close to off track","On track"))))))))</t>
        </is>
      </c>
      <c r="AF6" s="38" t="inlineStr">
        <is>
          <t>IF(OR(E6="",AA6="Completed / Handover",AA6="Cancelled"),"",IF(L6="Remaining",IF(S6&lt;&gt;"",S6-TODAY(),IF(V6="","",V6-TODAY())),IF(V6="","",V6-TODAY())))</t>
        </is>
      </c>
      <c r="AG6" s="39" t="n"/>
      <c r="AH6" s="39" t="n"/>
      <c r="AI6" s="39" t="n"/>
      <c r="AJ6" s="39" t="n"/>
      <c r="AK6" s="39" t="n"/>
      <c r="AL6" s="39" t="n"/>
      <c r="AM6" s="39" t="n"/>
      <c r="AN6" s="39" t="n"/>
      <c r="AO6" s="39" t="n">
        <v>46225</v>
      </c>
      <c r="AP6" s="39" t="n">
        <v>46225</v>
      </c>
      <c r="AQ6" s="39" t="n">
        <v>46589</v>
      </c>
      <c r="AR6" s="40" t="n"/>
      <c r="AS6" s="40" t="n"/>
      <c r="AT6" s="40" t="n"/>
      <c r="AU6" s="38" t="inlineStr">
        <is>
          <t>IF(OR(E6="",AH6=""),"",IF(COUNT(AG6:AG6)=0,"",AH6-LOOKUP(2,1/(AG6:AG6&lt;&gt;""),AG6:AG6)))</t>
        </is>
      </c>
      <c r="AV6" s="38" t="inlineStr">
        <is>
          <t>IF(OR(E6="",AI6=""),"",IF(COUNT(AG6:AH6)=0,"",AI6-LOOKUP(2,1/(AG6:AH6&lt;&gt;""),AG6:AH6)))</t>
        </is>
      </c>
      <c r="AW6" s="38" t="inlineStr">
        <is>
          <t>IF(OR(E6="",AJ6=""),"",IF(COUNT(AG6:AI6)=0,"",AJ6-LOOKUP(2,1/(AG6:AI6&lt;&gt;""),AG6:AI6)))</t>
        </is>
      </c>
      <c r="AX6" s="38" t="inlineStr">
        <is>
          <t>IF(OR(E6="",AK6=""),"",IF(COUNT(AG6:AJ6)=0,"",AK6-LOOKUP(2,1/(AG6:AJ6&lt;&gt;""),AG6:AJ6)))</t>
        </is>
      </c>
      <c r="AY6" s="38" t="inlineStr">
        <is>
          <t>IF(OR(E6="",AL6=""),"",IF(COUNT(AG6:AK6)=0,"",AL6-LOOKUP(2,1/(AG6:AK6&lt;&gt;""),AG6:AK6)))</t>
        </is>
      </c>
      <c r="AZ6" s="38" t="inlineStr">
        <is>
          <t>IF(OR(E6="",AM6=""),"",IF(COUNT(AG6:AL6)=0,"",AM6-LOOKUP(2,1/(AG6:AL6&lt;&gt;""),AG6:AL6)))</t>
        </is>
      </c>
      <c r="BA6" s="38" t="inlineStr">
        <is>
          <t>IF(OR(E6="",AN6=""),"",IF(COUNT(AG6:AM6)=0,"",AN6-LOOKUP(2,1/(AG6:AM6&lt;&gt;""),AG6:AM6)))</t>
        </is>
      </c>
      <c r="BB6" s="38" t="inlineStr">
        <is>
          <t>IF(OR(E6="",AO6=""),"",IF(COUNT(AG6:AN6)=0,"",AO6-LOOKUP(2,1/(AG6:AN6&lt;&gt;""),AG6:AN6)))</t>
        </is>
      </c>
      <c r="BC6" s="38" t="inlineStr">
        <is>
          <t>IF(OR(E6="",AP6=""),"",IF(COUNT(AG6:AO6)=0,"",AP6-LOOKUP(2,1/(AG6:AO6&lt;&gt;""),AG6:AO6)))</t>
        </is>
      </c>
      <c r="BD6" s="38" t="inlineStr">
        <is>
          <t>IF(OR(E6="",AQ6=""),"",IF(COUNT(AG6:AP6)=0,"",AQ6-LOOKUP(2,1/(AG6:AP6&lt;&gt;""),AG6:AP6)))</t>
        </is>
      </c>
      <c r="BE6" s="38" t="inlineStr">
        <is>
          <t>IF(OR(E6="",AR6=""),"",IF(COUNT(AG6:AQ6)=0,"",AR6-LOOKUP(2,1/(AG6:AQ6&lt;&gt;""),AG6:AQ6)))</t>
        </is>
      </c>
      <c r="BF6" s="38" t="inlineStr">
        <is>
          <t>IF(OR(E6="",AS6=""),"",IF(COUNT(AG6:AR6)=0,"",AS6-LOOKUP(2,1/(AG6:AR6&lt;&gt;""),AG6:AR6)))</t>
        </is>
      </c>
      <c r="BG6" s="38" t="inlineStr">
        <is>
          <t>IF(OR(E6="",AT6=""),"",IF(COUNT(AG6:AS6)=0,"",AT6-LOOKUP(2,1/(AG6:AS6&lt;&gt;""),AG6:AS6)))</t>
        </is>
      </c>
      <c r="BH6" s="41" t="inlineStr">
        <is>
          <t>IF(G6="","All_Provinces",IFERROR(VLOOKUP(G6,'07_Lookups'!$A$4:$B$20,2,FALSE),"All_Provinces"))</t>
        </is>
      </c>
      <c r="BI6" s="41" t="inlineStr">
        <is>
          <t>IF(H6="","All_Districts",IFERROR(VLOOKUP(H6,'07_Lookups'!$E$4:$F$42,2,FALSE),"All_Districts"))</t>
        </is>
      </c>
    </row>
    <row r="7" ht="18" customHeight="1">
      <c r="A7" s="32" t="inlineStr">
        <is>
          <t>IF(E7="","",ROW()-3)</t>
        </is>
      </c>
      <c r="B7" s="42" t="inlineStr">
        <is>
          <t>AF2-IS-A-004</t>
        </is>
      </c>
      <c r="C7" s="42" t="inlineStr">
        <is>
          <t>Emergency Food Security Project (EFSP) – WBK/AF-2</t>
        </is>
      </c>
      <c r="D7" s="42" t="inlineStr">
        <is>
          <t>Package # 2-AF2 IS: Rehabilitation of irrigation schemes of 1.Ali Mansoor Canal in Karukh district, 2.Joy Sork and 3.Sar Kari canals in Farsi districts of Herat province.</t>
        </is>
      </c>
      <c r="E7" s="42" t="inlineStr">
        <is>
          <t>Sar Kari Irrigation Schemes</t>
        </is>
      </c>
      <c r="F7" s="42" t="inlineStr">
        <is>
          <t>Irrigation Canal</t>
        </is>
      </c>
      <c r="G7" s="42" t="inlineStr">
        <is>
          <t>West / Herat</t>
        </is>
      </c>
      <c r="H7" s="42" t="inlineStr">
        <is>
          <t>Herat</t>
        </is>
      </c>
      <c r="I7" s="42" t="inlineStr">
        <is>
          <t>Farsi</t>
        </is>
      </c>
      <c r="J7" s="42" t="inlineStr">
        <is>
          <t>Peyazak and Joy Markaz villages</t>
        </is>
      </c>
      <c r="K7" s="42" t="inlineStr">
        <is>
          <t>World Bank (WBK/AF-2)</t>
        </is>
      </c>
      <c r="L7" s="42" t="inlineStr">
        <is>
          <t>Awarded</t>
        </is>
      </c>
      <c r="M7" s="42" t="inlineStr">
        <is>
          <t>On/off-farm irrigation</t>
        </is>
      </c>
      <c r="N7" s="42" t="inlineStr">
        <is>
          <t>1.Awarded contracts_On&amp;off-farm</t>
        </is>
      </c>
      <c r="O7" s="42" t="inlineStr">
        <is>
          <t>Arman Millad Construction Company (AMCC)</t>
        </is>
      </c>
      <c r="P7" s="42" t="inlineStr">
        <is>
          <t>046/2026</t>
        </is>
      </c>
      <c r="Q7" s="43" t="n"/>
      <c r="R7" s="35" t="inlineStr">
        <is>
          <t>IF(AO7="","",AO7)</t>
        </is>
      </c>
      <c r="S7" s="44" t="n"/>
      <c r="T7" s="45" t="n">
        <v>12</v>
      </c>
      <c r="U7" s="44" t="n">
        <v>46589</v>
      </c>
      <c r="V7" s="35" t="inlineStr">
        <is>
          <t>IF(U7&lt;&gt;"",U7,IF(OR(R7="",T7=""),"",EDATE(R7,T7)))</t>
        </is>
      </c>
      <c r="W7" s="44" t="n"/>
      <c r="X7" s="45" t="n">
        <v>49</v>
      </c>
      <c r="Y7" s="42" t="inlineStr">
        <is>
          <t>Completed / Handover</t>
        </is>
      </c>
      <c r="Z7" s="42" t="inlineStr">
        <is>
          <t>on track and will be completed by July 2027</t>
        </is>
      </c>
      <c r="AA7" s="32" t="inlineStr">
        <is>
          <t>IF(E7="","",IF(COUNT(AG7:AT7)=0,IF(Y7="","Not started",Y7),SUBSTITUTE(LOOKUP(2,1/(AG7:AT7&lt;&gt;""),$AG$3:$AT$3),"Date: ","")))</t>
        </is>
      </c>
      <c r="AB7" s="38" t="inlineStr">
        <is>
          <t>IF(OR(E7="",COUNT(AG7:AT7)=0),"",TODAY()-LOOKUP(2,1/(AG7:AT7&lt;&gt;""),AG7:AT7))</t>
        </is>
      </c>
      <c r="AC7" s="38" t="inlineStr">
        <is>
          <t>IF(OR(E7="",COUNT(AG7:AT7)&lt;2),"",LOOKUP(2,1/(AG7:AT7&lt;&gt;""),AG7:AT7)-MIN(AG7:AT7))</t>
        </is>
      </c>
      <c r="AD7" s="38" t="inlineStr">
        <is>
          <t>IF(OR(AB7="",AA7="Not started",AA7=""),"",IFERROR(AB7-IF(VLOOKUP(AA7,'04_Status_Pipeline'!$B$3:$E$20,4,FALSE)="",0,VLOOKUP(AA7,'04_Status_Pipeline'!$B$3:$E$20,4,FALSE)),""))</t>
        </is>
      </c>
      <c r="AE7" s="32" t="inlineStr">
        <is>
          <t>IF(E7="","",IF(OR(Y7="Cancelled",AA7="Cancelled"),"Cancelled",IF(OR(AA7="Completed / Handover",W7&lt;&gt;"",X7&gt;=100),"Completed — on track",IF(L7="Remaining",IF(S7="",IF(V7="","No planned date",IF(TODAY()&gt;V7,"Behind — past planned date",IF(V7-TODAY()&lt;=30,"At risk — close to off track","On track"))),IF(TODAY()&gt;S7,"Behind — award date passed",IF(S7-TODAY()&lt;=30,"At risk — close to off track","On track"))),IF(V7="","No planned date",IF(AND(TODAY()&gt;V7,OR(X7="",X7&lt;100)),"Behind — past end date",IF(AND(R7&lt;&gt;"",V7&lt;&gt;"",X7&lt;&gt;"",(X7&lt;100),((TODAY()-R7)/MAX(V7-R7,1)*100)-X7&gt;15),"Behind — progress lag",IF(AND(V7-TODAY()&lt;=30,V7-TODAY()&gt;=0,OR(X7="",X7&lt;90)),"At risk — close to off track","On track"))))))))</t>
        </is>
      </c>
      <c r="AF7" s="38" t="inlineStr">
        <is>
          <t>IF(OR(E7="",AA7="Completed / Handover",AA7="Cancelled"),"",IF(L7="Remaining",IF(S7&lt;&gt;"",S7-TODAY(),IF(V7="","",V7-TODAY())),IF(V7="","",V7-TODAY())))</t>
        </is>
      </c>
      <c r="AG7" s="39" t="n"/>
      <c r="AH7" s="39" t="n"/>
      <c r="AI7" s="39" t="n"/>
      <c r="AJ7" s="39" t="n"/>
      <c r="AK7" s="39" t="n"/>
      <c r="AL7" s="39" t="n"/>
      <c r="AM7" s="39" t="n"/>
      <c r="AN7" s="39" t="n"/>
      <c r="AO7" s="39" t="n">
        <v>46225</v>
      </c>
      <c r="AP7" s="39" t="n">
        <v>46225</v>
      </c>
      <c r="AQ7" s="39" t="n">
        <v>46589</v>
      </c>
      <c r="AR7" s="40" t="n"/>
      <c r="AS7" s="40" t="n"/>
      <c r="AT7" s="40" t="n"/>
      <c r="AU7" s="38" t="inlineStr">
        <is>
          <t>IF(OR(E7="",AH7=""),"",IF(COUNT(AG7:AG7)=0,"",AH7-LOOKUP(2,1/(AG7:AG7&lt;&gt;""),AG7:AG7)))</t>
        </is>
      </c>
      <c r="AV7" s="38" t="inlineStr">
        <is>
          <t>IF(OR(E7="",AI7=""),"",IF(COUNT(AG7:AH7)=0,"",AI7-LOOKUP(2,1/(AG7:AH7&lt;&gt;""),AG7:AH7)))</t>
        </is>
      </c>
      <c r="AW7" s="38" t="inlineStr">
        <is>
          <t>IF(OR(E7="",AJ7=""),"",IF(COUNT(AG7:AI7)=0,"",AJ7-LOOKUP(2,1/(AG7:AI7&lt;&gt;""),AG7:AI7)))</t>
        </is>
      </c>
      <c r="AX7" s="38" t="inlineStr">
        <is>
          <t>IF(OR(E7="",AK7=""),"",IF(COUNT(AG7:AJ7)=0,"",AK7-LOOKUP(2,1/(AG7:AJ7&lt;&gt;""),AG7:AJ7)))</t>
        </is>
      </c>
      <c r="AY7" s="38" t="inlineStr">
        <is>
          <t>IF(OR(E7="",AL7=""),"",IF(COUNT(AG7:AK7)=0,"",AL7-LOOKUP(2,1/(AG7:AK7&lt;&gt;""),AG7:AK7)))</t>
        </is>
      </c>
      <c r="AZ7" s="38" t="inlineStr">
        <is>
          <t>IF(OR(E7="",AM7=""),"",IF(COUNT(AG7:AL7)=0,"",AM7-LOOKUP(2,1/(AG7:AL7&lt;&gt;""),AG7:AL7)))</t>
        </is>
      </c>
      <c r="BA7" s="38" t="inlineStr">
        <is>
          <t>IF(OR(E7="",AN7=""),"",IF(COUNT(AG7:AM7)=0,"",AN7-LOOKUP(2,1/(AG7:AM7&lt;&gt;""),AG7:AM7)))</t>
        </is>
      </c>
      <c r="BB7" s="38" t="inlineStr">
        <is>
          <t>IF(OR(E7="",AO7=""),"",IF(COUNT(AG7:AN7)=0,"",AO7-LOOKUP(2,1/(AG7:AN7&lt;&gt;""),AG7:AN7)))</t>
        </is>
      </c>
      <c r="BC7" s="38" t="inlineStr">
        <is>
          <t>IF(OR(E7="",AP7=""),"",IF(COUNT(AG7:AO7)=0,"",AP7-LOOKUP(2,1/(AG7:AO7&lt;&gt;""),AG7:AO7)))</t>
        </is>
      </c>
      <c r="BD7" s="38" t="inlineStr">
        <is>
          <t>IF(OR(E7="",AQ7=""),"",IF(COUNT(AG7:AP7)=0,"",AQ7-LOOKUP(2,1/(AG7:AP7&lt;&gt;""),AG7:AP7)))</t>
        </is>
      </c>
      <c r="BE7" s="38" t="inlineStr">
        <is>
          <t>IF(OR(E7="",AR7=""),"",IF(COUNT(AG7:AQ7)=0,"",AR7-LOOKUP(2,1/(AG7:AQ7&lt;&gt;""),AG7:AQ7)))</t>
        </is>
      </c>
      <c r="BF7" s="38" t="inlineStr">
        <is>
          <t>IF(OR(E7="",AS7=""),"",IF(COUNT(AG7:AR7)=0,"",AS7-LOOKUP(2,1/(AG7:AR7&lt;&gt;""),AG7:AR7)))</t>
        </is>
      </c>
      <c r="BG7" s="38" t="inlineStr">
        <is>
          <t>IF(OR(E7="",AT7=""),"",IF(COUNT(AG7:AS7)=0,"",AT7-LOOKUP(2,1/(AG7:AS7&lt;&gt;""),AG7:AS7)))</t>
        </is>
      </c>
      <c r="BH7" s="41" t="inlineStr">
        <is>
          <t>IF(G7="","All_Provinces",IFERROR(VLOOKUP(G7,'07_Lookups'!$A$4:$B$20,2,FALSE),"All_Provinces"))</t>
        </is>
      </c>
      <c r="BI7" s="41" t="inlineStr">
        <is>
          <t>IF(H7="","All_Districts",IFERROR(VLOOKUP(H7,'07_Lookups'!$E$4:$F$42,2,FALSE),"All_Districts"))</t>
        </is>
      </c>
    </row>
    <row r="8" ht="18" customHeight="1">
      <c r="A8" s="32" t="inlineStr">
        <is>
          <t>IF(E8="","",ROW()-3)</t>
        </is>
      </c>
      <c r="B8" s="33" t="inlineStr">
        <is>
          <t>AF2-IS-A-005</t>
        </is>
      </c>
      <c r="C8" s="33" t="inlineStr">
        <is>
          <t>Emergency Food Security Project (EFSP) – WBK/AF-2</t>
        </is>
      </c>
      <c r="D8" s="33" t="inlineStr">
        <is>
          <t>Package #6-AF2 IS: Rehabilitation of Kushtal Canal, Checknawar canal, and Patikhirrki canal irrigation schemes, located in Lalpora ,Spinghar and Khogyani districts of Nangarhar province.</t>
        </is>
      </c>
      <c r="E8" s="33" t="inlineStr">
        <is>
          <t>Kushtal canal irrigation Scheme</t>
        </is>
      </c>
      <c r="F8" s="33" t="inlineStr">
        <is>
          <t>Irrigation Canal</t>
        </is>
      </c>
      <c r="G8" s="33" t="inlineStr">
        <is>
          <t>East / Jalalabad</t>
        </is>
      </c>
      <c r="H8" s="33" t="inlineStr">
        <is>
          <t>Nangarhar</t>
        </is>
      </c>
      <c r="I8" s="33" t="inlineStr">
        <is>
          <t>Lalpora</t>
        </is>
      </c>
      <c r="J8" s="33" t="inlineStr">
        <is>
          <t>Checknawar</t>
        </is>
      </c>
      <c r="K8" s="33" t="inlineStr">
        <is>
          <t>World Bank (WBK/AF-2)</t>
        </is>
      </c>
      <c r="L8" s="33" t="inlineStr">
        <is>
          <t>Awarded</t>
        </is>
      </c>
      <c r="M8" s="33" t="inlineStr">
        <is>
          <t>On/off-farm irrigation</t>
        </is>
      </c>
      <c r="N8" s="33" t="inlineStr">
        <is>
          <t>1.Awarded contracts_On&amp;off-farm</t>
        </is>
      </c>
      <c r="O8" s="33" t="inlineStr">
        <is>
          <t>Shirali Khan Barakatzai Construction Company (SBCC)</t>
        </is>
      </c>
      <c r="P8" s="33" t="inlineStr">
        <is>
          <t>054/2025</t>
        </is>
      </c>
      <c r="Q8" s="34" t="n">
        <v>57919.77</v>
      </c>
      <c r="R8" s="35" t="inlineStr">
        <is>
          <t>IF(AO8="","",AO8)</t>
        </is>
      </c>
      <c r="S8" s="36" t="n"/>
      <c r="T8" s="37" t="n">
        <v>12</v>
      </c>
      <c r="U8" s="36" t="n">
        <v>46319</v>
      </c>
      <c r="V8" s="35" t="inlineStr">
        <is>
          <t>IF(U8&lt;&gt;"",U8,IF(OR(R8="",T8=""),"",EDATE(R8,T8)))</t>
        </is>
      </c>
      <c r="W8" s="36" t="n"/>
      <c r="X8" s="37" t="n">
        <v>95</v>
      </c>
      <c r="Y8" s="33" t="inlineStr">
        <is>
          <t>Completed / Handover</t>
        </is>
      </c>
      <c r="Z8" s="33" t="inlineStr">
        <is>
          <t>on track and will be completed by Oct. 2026</t>
        </is>
      </c>
      <c r="AA8" s="32" t="inlineStr">
        <is>
          <t>IF(E8="","",IF(COUNT(AG8:AT8)=0,IF(Y8="","Not started",Y8),SUBSTITUTE(LOOKUP(2,1/(AG8:AT8&lt;&gt;""),$AG$3:$AT$3),"Date: ","")))</t>
        </is>
      </c>
      <c r="AB8" s="38" t="inlineStr">
        <is>
          <t>IF(OR(E8="",COUNT(AG8:AT8)=0),"",TODAY()-LOOKUP(2,1/(AG8:AT8&lt;&gt;""),AG8:AT8))</t>
        </is>
      </c>
      <c r="AC8" s="38" t="inlineStr">
        <is>
          <t>IF(OR(E8="",COUNT(AG8:AT8)&lt;2),"",LOOKUP(2,1/(AG8:AT8&lt;&gt;""),AG8:AT8)-MIN(AG8:AT8))</t>
        </is>
      </c>
      <c r="AD8" s="38" t="inlineStr">
        <is>
          <t>IF(OR(AB8="",AA8="Not started",AA8=""),"",IFERROR(AB8-IF(VLOOKUP(AA8,'04_Status_Pipeline'!$B$3:$E$20,4,FALSE)="",0,VLOOKUP(AA8,'04_Status_Pipeline'!$B$3:$E$20,4,FALSE)),""))</t>
        </is>
      </c>
      <c r="AE8" s="32" t="inlineStr">
        <is>
          <t>IF(E8="","",IF(OR(Y8="Cancelled",AA8="Cancelled"),"Cancelled",IF(OR(AA8="Completed / Handover",W8&lt;&gt;"",X8&gt;=100),"Completed — on track",IF(L8="Remaining",IF(S8="",IF(V8="","No planned date",IF(TODAY()&gt;V8,"Behind — past planned date",IF(V8-TODAY()&lt;=30,"At risk — close to off track","On track"))),IF(TODAY()&gt;S8,"Behind — award date passed",IF(S8-TODAY()&lt;=30,"At risk — close to off track","On track"))),IF(V8="","No planned date",IF(AND(TODAY()&gt;V8,OR(X8="",X8&lt;100)),"Behind — past end date",IF(AND(R8&lt;&gt;"",V8&lt;&gt;"",X8&lt;&gt;"",(X8&lt;100),((TODAY()-R8)/MAX(V8-R8,1)*100)-X8&gt;15),"Behind — progress lag",IF(AND(V8-TODAY()&lt;=30,V8-TODAY()&gt;=0,OR(X8="",X8&lt;90)),"At risk — close to off track","On track"))))))))</t>
        </is>
      </c>
      <c r="AF8" s="38" t="inlineStr">
        <is>
          <t>IF(OR(E8="",AA8="Completed / Handover",AA8="Cancelled"),"",IF(L8="Remaining",IF(S8&lt;&gt;"",S8-TODAY(),IF(V8="","",V8-TODAY())),IF(V8="","",V8-TODAY())))</t>
        </is>
      </c>
      <c r="AG8" s="39" t="n"/>
      <c r="AH8" s="39" t="n"/>
      <c r="AI8" s="39" t="n"/>
      <c r="AJ8" s="39" t="n"/>
      <c r="AK8" s="39" t="n"/>
      <c r="AL8" s="39" t="n"/>
      <c r="AM8" s="39" t="n"/>
      <c r="AN8" s="39" t="n"/>
      <c r="AO8" s="39" t="n">
        <v>45955</v>
      </c>
      <c r="AP8" s="39" t="n">
        <v>45955</v>
      </c>
      <c r="AQ8" s="39" t="n">
        <v>46319</v>
      </c>
      <c r="AR8" s="40" t="n"/>
      <c r="AS8" s="40" t="n"/>
      <c r="AT8" s="40" t="n"/>
      <c r="AU8" s="38" t="inlineStr">
        <is>
          <t>IF(OR(E8="",AH8=""),"",IF(COUNT(AG8:AG8)=0,"",AH8-LOOKUP(2,1/(AG8:AG8&lt;&gt;""),AG8:AG8)))</t>
        </is>
      </c>
      <c r="AV8" s="38" t="inlineStr">
        <is>
          <t>IF(OR(E8="",AI8=""),"",IF(COUNT(AG8:AH8)=0,"",AI8-LOOKUP(2,1/(AG8:AH8&lt;&gt;""),AG8:AH8)))</t>
        </is>
      </c>
      <c r="AW8" s="38" t="inlineStr">
        <is>
          <t>IF(OR(E8="",AJ8=""),"",IF(COUNT(AG8:AI8)=0,"",AJ8-LOOKUP(2,1/(AG8:AI8&lt;&gt;""),AG8:AI8)))</t>
        </is>
      </c>
      <c r="AX8" s="38" t="inlineStr">
        <is>
          <t>IF(OR(E8="",AK8=""),"",IF(COUNT(AG8:AJ8)=0,"",AK8-LOOKUP(2,1/(AG8:AJ8&lt;&gt;""),AG8:AJ8)))</t>
        </is>
      </c>
      <c r="AY8" s="38" t="inlineStr">
        <is>
          <t>IF(OR(E8="",AL8=""),"",IF(COUNT(AG8:AK8)=0,"",AL8-LOOKUP(2,1/(AG8:AK8&lt;&gt;""),AG8:AK8)))</t>
        </is>
      </c>
      <c r="AZ8" s="38" t="inlineStr">
        <is>
          <t>IF(OR(E8="",AM8=""),"",IF(COUNT(AG8:AL8)=0,"",AM8-LOOKUP(2,1/(AG8:AL8&lt;&gt;""),AG8:AL8)))</t>
        </is>
      </c>
      <c r="BA8" s="38" t="inlineStr">
        <is>
          <t>IF(OR(E8="",AN8=""),"",IF(COUNT(AG8:AM8)=0,"",AN8-LOOKUP(2,1/(AG8:AM8&lt;&gt;""),AG8:AM8)))</t>
        </is>
      </c>
      <c r="BB8" s="38" t="inlineStr">
        <is>
          <t>IF(OR(E8="",AO8=""),"",IF(COUNT(AG8:AN8)=0,"",AO8-LOOKUP(2,1/(AG8:AN8&lt;&gt;""),AG8:AN8)))</t>
        </is>
      </c>
      <c r="BC8" s="38" t="inlineStr">
        <is>
          <t>IF(OR(E8="",AP8=""),"",IF(COUNT(AG8:AO8)=0,"",AP8-LOOKUP(2,1/(AG8:AO8&lt;&gt;""),AG8:AO8)))</t>
        </is>
      </c>
      <c r="BD8" s="38" t="inlineStr">
        <is>
          <t>IF(OR(E8="",AQ8=""),"",IF(COUNT(AG8:AP8)=0,"",AQ8-LOOKUP(2,1/(AG8:AP8&lt;&gt;""),AG8:AP8)))</t>
        </is>
      </c>
      <c r="BE8" s="38" t="inlineStr">
        <is>
          <t>IF(OR(E8="",AR8=""),"",IF(COUNT(AG8:AQ8)=0,"",AR8-LOOKUP(2,1/(AG8:AQ8&lt;&gt;""),AG8:AQ8)))</t>
        </is>
      </c>
      <c r="BF8" s="38" t="inlineStr">
        <is>
          <t>IF(OR(E8="",AS8=""),"",IF(COUNT(AG8:AR8)=0,"",AS8-LOOKUP(2,1/(AG8:AR8&lt;&gt;""),AG8:AR8)))</t>
        </is>
      </c>
      <c r="BG8" s="38" t="inlineStr">
        <is>
          <t>IF(OR(E8="",AT8=""),"",IF(COUNT(AG8:AS8)=0,"",AT8-LOOKUP(2,1/(AG8:AS8&lt;&gt;""),AG8:AS8)))</t>
        </is>
      </c>
      <c r="BH8" s="41" t="inlineStr">
        <is>
          <t>IF(G8="","All_Provinces",IFERROR(VLOOKUP(G8,'07_Lookups'!$A$4:$B$20,2,FALSE),"All_Provinces"))</t>
        </is>
      </c>
      <c r="BI8" s="41" t="inlineStr">
        <is>
          <t>IF(H8="","All_Districts",IFERROR(VLOOKUP(H8,'07_Lookups'!$E$4:$F$42,2,FALSE),"All_Districts"))</t>
        </is>
      </c>
    </row>
    <row r="9" ht="18" customHeight="1">
      <c r="A9" s="32" t="inlineStr">
        <is>
          <t>IF(E9="","",ROW()-3)</t>
        </is>
      </c>
      <c r="B9" s="42" t="inlineStr">
        <is>
          <t>AF2-IS-A-006</t>
        </is>
      </c>
      <c r="C9" s="42" t="inlineStr">
        <is>
          <t>Emergency Food Security Project (EFSP) – WBK/AF-2</t>
        </is>
      </c>
      <c r="D9" s="42" t="inlineStr">
        <is>
          <t>Package #6-AF2 IS: Rehabilitation of Kushtal Canal, Checknawar canal, and Patikhirrki canal irrigation schemes, located in Lalpora ,Spinghar and Khogyani districts of Nangarhar province.</t>
        </is>
      </c>
      <c r="E9" s="42" t="inlineStr">
        <is>
          <t>Checknawar canal irrigation scheme</t>
        </is>
      </c>
      <c r="F9" s="42" t="inlineStr">
        <is>
          <t>Irrigation Canal</t>
        </is>
      </c>
      <c r="G9" s="42" t="inlineStr">
        <is>
          <t>East / Jalalabad</t>
        </is>
      </c>
      <c r="H9" s="42" t="inlineStr">
        <is>
          <t>Nangarhar</t>
        </is>
      </c>
      <c r="I9" s="42" t="inlineStr">
        <is>
          <t>Spinghar</t>
        </is>
      </c>
      <c r="J9" s="42" t="inlineStr">
        <is>
          <t>Kushtal</t>
        </is>
      </c>
      <c r="K9" s="42" t="inlineStr">
        <is>
          <t>World Bank (WBK/AF-2)</t>
        </is>
      </c>
      <c r="L9" s="42" t="inlineStr">
        <is>
          <t>Awarded</t>
        </is>
      </c>
      <c r="M9" s="42" t="inlineStr">
        <is>
          <t>On/off-farm irrigation</t>
        </is>
      </c>
      <c r="N9" s="42" t="inlineStr">
        <is>
          <t>1.Awarded contracts_On&amp;off-farm</t>
        </is>
      </c>
      <c r="O9" s="42" t="inlineStr">
        <is>
          <t>Shirali Khan Barakatzai Construction Company (SBCC)</t>
        </is>
      </c>
      <c r="P9" s="42" t="inlineStr">
        <is>
          <t>054/2025</t>
        </is>
      </c>
      <c r="Q9" s="43" t="n">
        <v>221002.97</v>
      </c>
      <c r="R9" s="35" t="inlineStr">
        <is>
          <t>IF(AO9="","",AO9)</t>
        </is>
      </c>
      <c r="S9" s="44" t="n"/>
      <c r="T9" s="45" t="n">
        <v>12</v>
      </c>
      <c r="U9" s="44" t="n">
        <v>46319</v>
      </c>
      <c r="V9" s="35" t="inlineStr">
        <is>
          <t>IF(U9&lt;&gt;"",U9,IF(OR(R9="",T9=""),"",EDATE(R9,T9)))</t>
        </is>
      </c>
      <c r="W9" s="44" t="n"/>
      <c r="X9" s="45" t="n">
        <v>90</v>
      </c>
      <c r="Y9" s="42" t="inlineStr">
        <is>
          <t>Completed / Handover</t>
        </is>
      </c>
      <c r="Z9" s="42" t="inlineStr">
        <is>
          <t>on track and will be completed by Oct. 2026</t>
        </is>
      </c>
      <c r="AA9" s="32" t="inlineStr">
        <is>
          <t>IF(E9="","",IF(COUNT(AG9:AT9)=0,IF(Y9="","Not started",Y9),SUBSTITUTE(LOOKUP(2,1/(AG9:AT9&lt;&gt;""),$AG$3:$AT$3),"Date: ","")))</t>
        </is>
      </c>
      <c r="AB9" s="38" t="inlineStr">
        <is>
          <t>IF(OR(E9="",COUNT(AG9:AT9)=0),"",TODAY()-LOOKUP(2,1/(AG9:AT9&lt;&gt;""),AG9:AT9))</t>
        </is>
      </c>
      <c r="AC9" s="38" t="inlineStr">
        <is>
          <t>IF(OR(E9="",COUNT(AG9:AT9)&lt;2),"",LOOKUP(2,1/(AG9:AT9&lt;&gt;""),AG9:AT9)-MIN(AG9:AT9))</t>
        </is>
      </c>
      <c r="AD9" s="38" t="inlineStr">
        <is>
          <t>IF(OR(AB9="",AA9="Not started",AA9=""),"",IFERROR(AB9-IF(VLOOKUP(AA9,'04_Status_Pipeline'!$B$3:$E$20,4,FALSE)="",0,VLOOKUP(AA9,'04_Status_Pipeline'!$B$3:$E$20,4,FALSE)),""))</t>
        </is>
      </c>
      <c r="AE9" s="32" t="inlineStr">
        <is>
          <t>IF(E9="","",IF(OR(Y9="Cancelled",AA9="Cancelled"),"Cancelled",IF(OR(AA9="Completed / Handover",W9&lt;&gt;"",X9&gt;=100),"Completed — on track",IF(L9="Remaining",IF(S9="",IF(V9="","No planned date",IF(TODAY()&gt;V9,"Behind — past planned date",IF(V9-TODAY()&lt;=30,"At risk — close to off track","On track"))),IF(TODAY()&gt;S9,"Behind — award date passed",IF(S9-TODAY()&lt;=30,"At risk — close to off track","On track"))),IF(V9="","No planned date",IF(AND(TODAY()&gt;V9,OR(X9="",X9&lt;100)),"Behind — past end date",IF(AND(R9&lt;&gt;"",V9&lt;&gt;"",X9&lt;&gt;"",(X9&lt;100),((TODAY()-R9)/MAX(V9-R9,1)*100)-X9&gt;15),"Behind — progress lag",IF(AND(V9-TODAY()&lt;=30,V9-TODAY()&gt;=0,OR(X9="",X9&lt;90)),"At risk — close to off track","On track"))))))))</t>
        </is>
      </c>
      <c r="AF9" s="38" t="inlineStr">
        <is>
          <t>IF(OR(E9="",AA9="Completed / Handover",AA9="Cancelled"),"",IF(L9="Remaining",IF(S9&lt;&gt;"",S9-TODAY(),IF(V9="","",V9-TODAY())),IF(V9="","",V9-TODAY())))</t>
        </is>
      </c>
      <c r="AG9" s="39" t="n"/>
      <c r="AH9" s="39" t="n"/>
      <c r="AI9" s="39" t="n"/>
      <c r="AJ9" s="39" t="n"/>
      <c r="AK9" s="39" t="n"/>
      <c r="AL9" s="39" t="n"/>
      <c r="AM9" s="39" t="n"/>
      <c r="AN9" s="39" t="n"/>
      <c r="AO9" s="39" t="n">
        <v>45955</v>
      </c>
      <c r="AP9" s="39" t="n">
        <v>45955</v>
      </c>
      <c r="AQ9" s="39" t="n">
        <v>46319</v>
      </c>
      <c r="AR9" s="40" t="n"/>
      <c r="AS9" s="40" t="n"/>
      <c r="AT9" s="40" t="n"/>
      <c r="AU9" s="38" t="inlineStr">
        <is>
          <t>IF(OR(E9="",AH9=""),"",IF(COUNT(AG9:AG9)=0,"",AH9-LOOKUP(2,1/(AG9:AG9&lt;&gt;""),AG9:AG9)))</t>
        </is>
      </c>
      <c r="AV9" s="38" t="inlineStr">
        <is>
          <t>IF(OR(E9="",AI9=""),"",IF(COUNT(AG9:AH9)=0,"",AI9-LOOKUP(2,1/(AG9:AH9&lt;&gt;""),AG9:AH9)))</t>
        </is>
      </c>
      <c r="AW9" s="38" t="inlineStr">
        <is>
          <t>IF(OR(E9="",AJ9=""),"",IF(COUNT(AG9:AI9)=0,"",AJ9-LOOKUP(2,1/(AG9:AI9&lt;&gt;""),AG9:AI9)))</t>
        </is>
      </c>
      <c r="AX9" s="38" t="inlineStr">
        <is>
          <t>IF(OR(E9="",AK9=""),"",IF(COUNT(AG9:AJ9)=0,"",AK9-LOOKUP(2,1/(AG9:AJ9&lt;&gt;""),AG9:AJ9)))</t>
        </is>
      </c>
      <c r="AY9" s="38" t="inlineStr">
        <is>
          <t>IF(OR(E9="",AL9=""),"",IF(COUNT(AG9:AK9)=0,"",AL9-LOOKUP(2,1/(AG9:AK9&lt;&gt;""),AG9:AK9)))</t>
        </is>
      </c>
      <c r="AZ9" s="38" t="inlineStr">
        <is>
          <t>IF(OR(E9="",AM9=""),"",IF(COUNT(AG9:AL9)=0,"",AM9-LOOKUP(2,1/(AG9:AL9&lt;&gt;""),AG9:AL9)))</t>
        </is>
      </c>
      <c r="BA9" s="38" t="inlineStr">
        <is>
          <t>IF(OR(E9="",AN9=""),"",IF(COUNT(AG9:AM9)=0,"",AN9-LOOKUP(2,1/(AG9:AM9&lt;&gt;""),AG9:AM9)))</t>
        </is>
      </c>
      <c r="BB9" s="38" t="inlineStr">
        <is>
          <t>IF(OR(E9="",AO9=""),"",IF(COUNT(AG9:AN9)=0,"",AO9-LOOKUP(2,1/(AG9:AN9&lt;&gt;""),AG9:AN9)))</t>
        </is>
      </c>
      <c r="BC9" s="38" t="inlineStr">
        <is>
          <t>IF(OR(E9="",AP9=""),"",IF(COUNT(AG9:AO9)=0,"",AP9-LOOKUP(2,1/(AG9:AO9&lt;&gt;""),AG9:AO9)))</t>
        </is>
      </c>
      <c r="BD9" s="38" t="inlineStr">
        <is>
          <t>IF(OR(E9="",AQ9=""),"",IF(COUNT(AG9:AP9)=0,"",AQ9-LOOKUP(2,1/(AG9:AP9&lt;&gt;""),AG9:AP9)))</t>
        </is>
      </c>
      <c r="BE9" s="38" t="inlineStr">
        <is>
          <t>IF(OR(E9="",AR9=""),"",IF(COUNT(AG9:AQ9)=0,"",AR9-LOOKUP(2,1/(AG9:AQ9&lt;&gt;""),AG9:AQ9)))</t>
        </is>
      </c>
      <c r="BF9" s="38" t="inlineStr">
        <is>
          <t>IF(OR(E9="",AS9=""),"",IF(COUNT(AG9:AR9)=0,"",AS9-LOOKUP(2,1/(AG9:AR9&lt;&gt;""),AG9:AR9)))</t>
        </is>
      </c>
      <c r="BG9" s="38" t="inlineStr">
        <is>
          <t>IF(OR(E9="",AT9=""),"",IF(COUNT(AG9:AS9)=0,"",AT9-LOOKUP(2,1/(AG9:AS9&lt;&gt;""),AG9:AS9)))</t>
        </is>
      </c>
      <c r="BH9" s="41" t="inlineStr">
        <is>
          <t>IF(G9="","All_Provinces",IFERROR(VLOOKUP(G9,'07_Lookups'!$A$4:$B$20,2,FALSE),"All_Provinces"))</t>
        </is>
      </c>
      <c r="BI9" s="41" t="inlineStr">
        <is>
          <t>IF(H9="","All_Districts",IFERROR(VLOOKUP(H9,'07_Lookups'!$E$4:$F$42,2,FALSE),"All_Districts"))</t>
        </is>
      </c>
    </row>
    <row r="10" ht="18" customHeight="1">
      <c r="A10" s="32" t="inlineStr">
        <is>
          <t>IF(E10="","",ROW()-3)</t>
        </is>
      </c>
      <c r="B10" s="33" t="inlineStr">
        <is>
          <t>AF2-IS-A-007</t>
        </is>
      </c>
      <c r="C10" s="33" t="inlineStr">
        <is>
          <t>Emergency Food Security Project (EFSP) – WBK/AF-2</t>
        </is>
      </c>
      <c r="D10" s="33" t="inlineStr">
        <is>
          <t>Package #6-AF2 IS: Rehabilitation of Kushtal Canal, Checknawar canal, and Patikhirrki canal irrigation schemes, located in Lalpora ,Spinghar and Khogyani districts of Nangarhar province.</t>
        </is>
      </c>
      <c r="E10" s="33" t="inlineStr">
        <is>
          <t>Patikhirki canal irrigation Scheme</t>
        </is>
      </c>
      <c r="F10" s="33" t="inlineStr">
        <is>
          <t>Irrigation Canal</t>
        </is>
      </c>
      <c r="G10" s="33" t="inlineStr">
        <is>
          <t>East / Jalalabad</t>
        </is>
      </c>
      <c r="H10" s="33" t="inlineStr">
        <is>
          <t>Nangarhar</t>
        </is>
      </c>
      <c r="I10" s="33" t="inlineStr">
        <is>
          <t>Khogyani</t>
        </is>
      </c>
      <c r="J10" s="33" t="inlineStr">
        <is>
          <t>Patikhirrki</t>
        </is>
      </c>
      <c r="K10" s="33" t="inlineStr">
        <is>
          <t>World Bank (WBK/AF-2)</t>
        </is>
      </c>
      <c r="L10" s="33" t="inlineStr">
        <is>
          <t>Awarded</t>
        </is>
      </c>
      <c r="M10" s="33" t="inlineStr">
        <is>
          <t>On/off-farm irrigation</t>
        </is>
      </c>
      <c r="N10" s="33" t="inlineStr">
        <is>
          <t>1.Awarded contracts_On&amp;off-farm</t>
        </is>
      </c>
      <c r="O10" s="33" t="inlineStr">
        <is>
          <t>Shirali Khan Barakatzai Construction Company (SBCC)</t>
        </is>
      </c>
      <c r="P10" s="33" t="inlineStr">
        <is>
          <t>054/2025</t>
        </is>
      </c>
      <c r="Q10" s="34" t="n">
        <v>96234.39999999999</v>
      </c>
      <c r="R10" s="35" t="inlineStr">
        <is>
          <t>IF(AO10="","",AO10)</t>
        </is>
      </c>
      <c r="S10" s="36" t="n"/>
      <c r="T10" s="37" t="n">
        <v>12</v>
      </c>
      <c r="U10" s="36" t="n">
        <v>46319</v>
      </c>
      <c r="V10" s="35" t="inlineStr">
        <is>
          <t>IF(U10&lt;&gt;"",U10,IF(OR(R10="",T10=""),"",EDATE(R10,T10)))</t>
        </is>
      </c>
      <c r="W10" s="36" t="n"/>
      <c r="X10" s="37" t="n">
        <v>90</v>
      </c>
      <c r="Y10" s="33" t="inlineStr">
        <is>
          <t>Completed / Handover</t>
        </is>
      </c>
      <c r="Z10" s="33" t="inlineStr">
        <is>
          <t>on track and will be completed by Oct. 2026</t>
        </is>
      </c>
      <c r="AA10" s="32" t="inlineStr">
        <is>
          <t>IF(E10="","",IF(COUNT(AG10:AT10)=0,IF(Y10="","Not started",Y10),SUBSTITUTE(LOOKUP(2,1/(AG10:AT10&lt;&gt;""),$AG$3:$AT$3),"Date: ","")))</t>
        </is>
      </c>
      <c r="AB10" s="38" t="inlineStr">
        <is>
          <t>IF(OR(E10="",COUNT(AG10:AT10)=0),"",TODAY()-LOOKUP(2,1/(AG10:AT10&lt;&gt;""),AG10:AT10))</t>
        </is>
      </c>
      <c r="AC10" s="38" t="inlineStr">
        <is>
          <t>IF(OR(E10="",COUNT(AG10:AT10)&lt;2),"",LOOKUP(2,1/(AG10:AT10&lt;&gt;""),AG10:AT10)-MIN(AG10:AT10))</t>
        </is>
      </c>
      <c r="AD10" s="38" t="inlineStr">
        <is>
          <t>IF(OR(AB10="",AA10="Not started",AA10=""),"",IFERROR(AB10-IF(VLOOKUP(AA10,'04_Status_Pipeline'!$B$3:$E$20,4,FALSE)="",0,VLOOKUP(AA10,'04_Status_Pipeline'!$B$3:$E$20,4,FALSE)),""))</t>
        </is>
      </c>
      <c r="AE10" s="32" t="inlineStr">
        <is>
          <t>IF(E10="","",IF(OR(Y10="Cancelled",AA10="Cancelled"),"Cancelled",IF(OR(AA10="Completed / Handover",W10&lt;&gt;"",X10&gt;=100),"Completed — on track",IF(L10="Remaining",IF(S10="",IF(V10="","No planned date",IF(TODAY()&gt;V10,"Behind — past planned date",IF(V10-TODAY()&lt;=30,"At risk — close to off track","On track"))),IF(TODAY()&gt;S10,"Behind — award date passed",IF(S10-TODAY()&lt;=30,"At risk — close to off track","On track"))),IF(V10="","No planned date",IF(AND(TODAY()&gt;V10,OR(X10="",X10&lt;100)),"Behind — past end date",IF(AND(R10&lt;&gt;"",V10&lt;&gt;"",X10&lt;&gt;"",(X10&lt;100),((TODAY()-R10)/MAX(V10-R10,1)*100)-X10&gt;15),"Behind — progress lag",IF(AND(V10-TODAY()&lt;=30,V10-TODAY()&gt;=0,OR(X10="",X10&lt;90)),"At risk — close to off track","On track"))))))))</t>
        </is>
      </c>
      <c r="AF10" s="38" t="inlineStr">
        <is>
          <t>IF(OR(E10="",AA10="Completed / Handover",AA10="Cancelled"),"",IF(L10="Remaining",IF(S10&lt;&gt;"",S10-TODAY(),IF(V10="","",V10-TODAY())),IF(V10="","",V10-TODAY())))</t>
        </is>
      </c>
      <c r="AG10" s="39" t="n"/>
      <c r="AH10" s="39" t="n"/>
      <c r="AI10" s="39" t="n"/>
      <c r="AJ10" s="39" t="n"/>
      <c r="AK10" s="39" t="n"/>
      <c r="AL10" s="39" t="n"/>
      <c r="AM10" s="39" t="n"/>
      <c r="AN10" s="39" t="n"/>
      <c r="AO10" s="39" t="n">
        <v>45955</v>
      </c>
      <c r="AP10" s="39" t="n">
        <v>45955</v>
      </c>
      <c r="AQ10" s="39" t="n">
        <v>46319</v>
      </c>
      <c r="AR10" s="40" t="n"/>
      <c r="AS10" s="40" t="n"/>
      <c r="AT10" s="40" t="n"/>
      <c r="AU10" s="38" t="inlineStr">
        <is>
          <t>IF(OR(E10="",AH10=""),"",IF(COUNT(AG10:AG10)=0,"",AH10-LOOKUP(2,1/(AG10:AG10&lt;&gt;""),AG10:AG10)))</t>
        </is>
      </c>
      <c r="AV10" s="38" t="inlineStr">
        <is>
          <t>IF(OR(E10="",AI10=""),"",IF(COUNT(AG10:AH10)=0,"",AI10-LOOKUP(2,1/(AG10:AH10&lt;&gt;""),AG10:AH10)))</t>
        </is>
      </c>
      <c r="AW10" s="38" t="inlineStr">
        <is>
          <t>IF(OR(E10="",AJ10=""),"",IF(COUNT(AG10:AI10)=0,"",AJ10-LOOKUP(2,1/(AG10:AI10&lt;&gt;""),AG10:AI10)))</t>
        </is>
      </c>
      <c r="AX10" s="38" t="inlineStr">
        <is>
          <t>IF(OR(E10="",AK10=""),"",IF(COUNT(AG10:AJ10)=0,"",AK10-LOOKUP(2,1/(AG10:AJ10&lt;&gt;""),AG10:AJ10)))</t>
        </is>
      </c>
      <c r="AY10" s="38" t="inlineStr">
        <is>
          <t>IF(OR(E10="",AL10=""),"",IF(COUNT(AG10:AK10)=0,"",AL10-LOOKUP(2,1/(AG10:AK10&lt;&gt;""),AG10:AK10)))</t>
        </is>
      </c>
      <c r="AZ10" s="38" t="inlineStr">
        <is>
          <t>IF(OR(E10="",AM10=""),"",IF(COUNT(AG10:AL10)=0,"",AM10-LOOKUP(2,1/(AG10:AL10&lt;&gt;""),AG10:AL10)))</t>
        </is>
      </c>
      <c r="BA10" s="38" t="inlineStr">
        <is>
          <t>IF(OR(E10="",AN10=""),"",IF(COUNT(AG10:AM10)=0,"",AN10-LOOKUP(2,1/(AG10:AM10&lt;&gt;""),AG10:AM10)))</t>
        </is>
      </c>
      <c r="BB10" s="38" t="inlineStr">
        <is>
          <t>IF(OR(E10="",AO10=""),"",IF(COUNT(AG10:AN10)=0,"",AO10-LOOKUP(2,1/(AG10:AN10&lt;&gt;""),AG10:AN10)))</t>
        </is>
      </c>
      <c r="BC10" s="38" t="inlineStr">
        <is>
          <t>IF(OR(E10="",AP10=""),"",IF(COUNT(AG10:AO10)=0,"",AP10-LOOKUP(2,1/(AG10:AO10&lt;&gt;""),AG10:AO10)))</t>
        </is>
      </c>
      <c r="BD10" s="38" t="inlineStr">
        <is>
          <t>IF(OR(E10="",AQ10=""),"",IF(COUNT(AG10:AP10)=0,"",AQ10-LOOKUP(2,1/(AG10:AP10&lt;&gt;""),AG10:AP10)))</t>
        </is>
      </c>
      <c r="BE10" s="38" t="inlineStr">
        <is>
          <t>IF(OR(E10="",AR10=""),"",IF(COUNT(AG10:AQ10)=0,"",AR10-LOOKUP(2,1/(AG10:AQ10&lt;&gt;""),AG10:AQ10)))</t>
        </is>
      </c>
      <c r="BF10" s="38" t="inlineStr">
        <is>
          <t>IF(OR(E10="",AS10=""),"",IF(COUNT(AG10:AR10)=0,"",AS10-LOOKUP(2,1/(AG10:AR10&lt;&gt;""),AG10:AR10)))</t>
        </is>
      </c>
      <c r="BG10" s="38" t="inlineStr">
        <is>
          <t>IF(OR(E10="",AT10=""),"",IF(COUNT(AG10:AS10)=0,"",AT10-LOOKUP(2,1/(AG10:AS10&lt;&gt;""),AG10:AS10)))</t>
        </is>
      </c>
      <c r="BH10" s="41" t="inlineStr">
        <is>
          <t>IF(G10="","All_Provinces",IFERROR(VLOOKUP(G10,'07_Lookups'!$A$4:$B$20,2,FALSE),"All_Provinces"))</t>
        </is>
      </c>
      <c r="BI10" s="41" t="inlineStr">
        <is>
          <t>IF(H10="","All_Districts",IFERROR(VLOOKUP(H10,'07_Lookups'!$E$4:$F$42,2,FALSE),"All_Districts"))</t>
        </is>
      </c>
    </row>
    <row r="11" ht="18" customHeight="1">
      <c r="A11" s="32" t="inlineStr">
        <is>
          <t>IF(E11="","",ROW()-3)</t>
        </is>
      </c>
      <c r="B11" s="42" t="inlineStr">
        <is>
          <t>AF2-IS-A-008</t>
        </is>
      </c>
      <c r="C11" s="42" t="inlineStr">
        <is>
          <t>Emergency Food Security Project (EFSP) – WBK/AF-2</t>
        </is>
      </c>
      <c r="D11" s="42" t="inlineStr">
        <is>
          <t>Package #8-AF2 IS: Rehabilitation of Khas Kunar Lower canal and Bahrabad canal irrigation schemes, located in Khas Kunar district of Kunar and Behsood district of Nangarhar provinces.</t>
        </is>
      </c>
      <c r="E11" s="42" t="inlineStr">
        <is>
          <t>Khas Kunar Lower Canal irrigation Scheme</t>
        </is>
      </c>
      <c r="F11" s="42" t="inlineStr">
        <is>
          <t>Irrigation Canal</t>
        </is>
      </c>
      <c r="G11" s="42" t="inlineStr">
        <is>
          <t>East / Jalalabad</t>
        </is>
      </c>
      <c r="H11" s="42" t="inlineStr">
        <is>
          <t>Kunar</t>
        </is>
      </c>
      <c r="I11" s="42" t="inlineStr">
        <is>
          <t>Khas Kunar</t>
        </is>
      </c>
      <c r="J11" s="42" t="inlineStr">
        <is>
          <t>Khas Kunar 36 tiny villages</t>
        </is>
      </c>
      <c r="K11" s="42" t="inlineStr">
        <is>
          <t>World Bank (WBK/AF-2)</t>
        </is>
      </c>
      <c r="L11" s="42" t="inlineStr">
        <is>
          <t>Awarded</t>
        </is>
      </c>
      <c r="M11" s="42" t="inlineStr">
        <is>
          <t>On/off-farm irrigation</t>
        </is>
      </c>
      <c r="N11" s="42" t="inlineStr">
        <is>
          <t>1.Awarded contracts_On&amp;off-farm</t>
        </is>
      </c>
      <c r="O11" s="42" t="inlineStr">
        <is>
          <t>Awrish builder construction company (ABCC)</t>
        </is>
      </c>
      <c r="P11" s="42" t="inlineStr">
        <is>
          <t>055/2026</t>
        </is>
      </c>
      <c r="Q11" s="43" t="n">
        <v>428653.6</v>
      </c>
      <c r="R11" s="35" t="inlineStr">
        <is>
          <t>IF(AO11="","",AO11)</t>
        </is>
      </c>
      <c r="S11" s="44" t="n"/>
      <c r="T11" s="45" t="n">
        <v>12</v>
      </c>
      <c r="U11" s="44" t="n">
        <v>46618</v>
      </c>
      <c r="V11" s="35" t="inlineStr">
        <is>
          <t>IF(U11&lt;&gt;"",U11,IF(OR(R11="",T11=""),"",EDATE(R11,T11)))</t>
        </is>
      </c>
      <c r="W11" s="44" t="n"/>
      <c r="X11" s="45" t="n">
        <v>1</v>
      </c>
      <c r="Y11" s="42" t="inlineStr">
        <is>
          <t>Completed / Handover</t>
        </is>
      </c>
      <c r="Z11" s="42" t="inlineStr">
        <is>
          <t>on track and will be completed by August 2027</t>
        </is>
      </c>
      <c r="AA11" s="32" t="inlineStr">
        <is>
          <t>IF(E11="","",IF(COUNT(AG11:AT11)=0,IF(Y11="","Not started",Y11),SUBSTITUTE(LOOKUP(2,1/(AG11:AT11&lt;&gt;""),$AG$3:$AT$3),"Date: ","")))</t>
        </is>
      </c>
      <c r="AB11" s="38" t="inlineStr">
        <is>
          <t>IF(OR(E11="",COUNT(AG11:AT11)=0),"",TODAY()-LOOKUP(2,1/(AG11:AT11&lt;&gt;""),AG11:AT11))</t>
        </is>
      </c>
      <c r="AC11" s="38" t="inlineStr">
        <is>
          <t>IF(OR(E11="",COUNT(AG11:AT11)&lt;2),"",LOOKUP(2,1/(AG11:AT11&lt;&gt;""),AG11:AT11)-MIN(AG11:AT11))</t>
        </is>
      </c>
      <c r="AD11" s="38" t="inlineStr">
        <is>
          <t>IF(OR(AB11="",AA11="Not started",AA11=""),"",IFERROR(AB11-IF(VLOOKUP(AA11,'04_Status_Pipeline'!$B$3:$E$20,4,FALSE)="",0,VLOOKUP(AA11,'04_Status_Pipeline'!$B$3:$E$20,4,FALSE)),""))</t>
        </is>
      </c>
      <c r="AE11" s="32" t="inlineStr">
        <is>
          <t>IF(E11="","",IF(OR(Y11="Cancelled",AA11="Cancelled"),"Cancelled",IF(OR(AA11="Completed / Handover",W11&lt;&gt;"",X11&gt;=100),"Completed — on track",IF(L11="Remaining",IF(S11="",IF(V11="","No planned date",IF(TODAY()&gt;V11,"Behind — past planned date",IF(V11-TODAY()&lt;=30,"At risk — close to off track","On track"))),IF(TODAY()&gt;S11,"Behind — award date passed",IF(S11-TODAY()&lt;=30,"At risk — close to off track","On track"))),IF(V11="","No planned date",IF(AND(TODAY()&gt;V11,OR(X11="",X11&lt;100)),"Behind — past end date",IF(AND(R11&lt;&gt;"",V11&lt;&gt;"",X11&lt;&gt;"",(X11&lt;100),((TODAY()-R11)/MAX(V11-R11,1)*100)-X11&gt;15),"Behind — progress lag",IF(AND(V11-TODAY()&lt;=30,V11-TODAY()&gt;=0,OR(X11="",X11&lt;90)),"At risk — close to off track","On track"))))))))</t>
        </is>
      </c>
      <c r="AF11" s="38" t="inlineStr">
        <is>
          <t>IF(OR(E11="",AA11="Completed / Handover",AA11="Cancelled"),"",IF(L11="Remaining",IF(S11&lt;&gt;"",S11-TODAY(),IF(V11="","",V11-TODAY())),IF(V11="","",V11-TODAY())))</t>
        </is>
      </c>
      <c r="AG11" s="39" t="n"/>
      <c r="AH11" s="39" t="n"/>
      <c r="AI11" s="39" t="n"/>
      <c r="AJ11" s="39" t="n"/>
      <c r="AK11" s="39" t="n"/>
      <c r="AL11" s="39" t="n"/>
      <c r="AM11" s="39" t="n"/>
      <c r="AN11" s="39" t="n"/>
      <c r="AO11" s="39" t="n">
        <v>46254</v>
      </c>
      <c r="AP11" s="39" t="n">
        <v>46254</v>
      </c>
      <c r="AQ11" s="39" t="n">
        <v>46618</v>
      </c>
      <c r="AR11" s="40" t="n"/>
      <c r="AS11" s="40" t="n"/>
      <c r="AT11" s="40" t="n"/>
      <c r="AU11" s="38" t="inlineStr">
        <is>
          <t>IF(OR(E11="",AH11=""),"",IF(COUNT(AG11:AG11)=0,"",AH11-LOOKUP(2,1/(AG11:AG11&lt;&gt;""),AG11:AG11)))</t>
        </is>
      </c>
      <c r="AV11" s="38" t="inlineStr">
        <is>
          <t>IF(OR(E11="",AI11=""),"",IF(COUNT(AG11:AH11)=0,"",AI11-LOOKUP(2,1/(AG11:AH11&lt;&gt;""),AG11:AH11)))</t>
        </is>
      </c>
      <c r="AW11" s="38" t="inlineStr">
        <is>
          <t>IF(OR(E11="",AJ11=""),"",IF(COUNT(AG11:AI11)=0,"",AJ11-LOOKUP(2,1/(AG11:AI11&lt;&gt;""),AG11:AI11)))</t>
        </is>
      </c>
      <c r="AX11" s="38" t="inlineStr">
        <is>
          <t>IF(OR(E11="",AK11=""),"",IF(COUNT(AG11:AJ11)=0,"",AK11-LOOKUP(2,1/(AG11:AJ11&lt;&gt;""),AG11:AJ11)))</t>
        </is>
      </c>
      <c r="AY11" s="38" t="inlineStr">
        <is>
          <t>IF(OR(E11="",AL11=""),"",IF(COUNT(AG11:AK11)=0,"",AL11-LOOKUP(2,1/(AG11:AK11&lt;&gt;""),AG11:AK11)))</t>
        </is>
      </c>
      <c r="AZ11" s="38" t="inlineStr">
        <is>
          <t>IF(OR(E11="",AM11=""),"",IF(COUNT(AG11:AL11)=0,"",AM11-LOOKUP(2,1/(AG11:AL11&lt;&gt;""),AG11:AL11)))</t>
        </is>
      </c>
      <c r="BA11" s="38" t="inlineStr">
        <is>
          <t>IF(OR(E11="",AN11=""),"",IF(COUNT(AG11:AM11)=0,"",AN11-LOOKUP(2,1/(AG11:AM11&lt;&gt;""),AG11:AM11)))</t>
        </is>
      </c>
      <c r="BB11" s="38" t="inlineStr">
        <is>
          <t>IF(OR(E11="",AO11=""),"",IF(COUNT(AG11:AN11)=0,"",AO11-LOOKUP(2,1/(AG11:AN11&lt;&gt;""),AG11:AN11)))</t>
        </is>
      </c>
      <c r="BC11" s="38" t="inlineStr">
        <is>
          <t>IF(OR(E11="",AP11=""),"",IF(COUNT(AG11:AO11)=0,"",AP11-LOOKUP(2,1/(AG11:AO11&lt;&gt;""),AG11:AO11)))</t>
        </is>
      </c>
      <c r="BD11" s="38" t="inlineStr">
        <is>
          <t>IF(OR(E11="",AQ11=""),"",IF(COUNT(AG11:AP11)=0,"",AQ11-LOOKUP(2,1/(AG11:AP11&lt;&gt;""),AG11:AP11)))</t>
        </is>
      </c>
      <c r="BE11" s="38" t="inlineStr">
        <is>
          <t>IF(OR(E11="",AR11=""),"",IF(COUNT(AG11:AQ11)=0,"",AR11-LOOKUP(2,1/(AG11:AQ11&lt;&gt;""),AG11:AQ11)))</t>
        </is>
      </c>
      <c r="BF11" s="38" t="inlineStr">
        <is>
          <t>IF(OR(E11="",AS11=""),"",IF(COUNT(AG11:AR11)=0,"",AS11-LOOKUP(2,1/(AG11:AR11&lt;&gt;""),AG11:AR11)))</t>
        </is>
      </c>
      <c r="BG11" s="38" t="inlineStr">
        <is>
          <t>IF(OR(E11="",AT11=""),"",IF(COUNT(AG11:AS11)=0,"",AT11-LOOKUP(2,1/(AG11:AS11&lt;&gt;""),AG11:AS11)))</t>
        </is>
      </c>
      <c r="BH11" s="41" t="inlineStr">
        <is>
          <t>IF(G11="","All_Provinces",IFERROR(VLOOKUP(G11,'07_Lookups'!$A$4:$B$20,2,FALSE),"All_Provinces"))</t>
        </is>
      </c>
      <c r="BI11" s="41" t="inlineStr">
        <is>
          <t>IF(H11="","All_Districts",IFERROR(VLOOKUP(H11,'07_Lookups'!$E$4:$F$42,2,FALSE),"All_Districts"))</t>
        </is>
      </c>
    </row>
    <row r="12" ht="18" customHeight="1">
      <c r="A12" s="32" t="inlineStr">
        <is>
          <t>IF(E12="","",ROW()-3)</t>
        </is>
      </c>
      <c r="B12" s="33" t="inlineStr">
        <is>
          <t>AF2-IS-A-009</t>
        </is>
      </c>
      <c r="C12" s="33" t="inlineStr">
        <is>
          <t>Emergency Food Security Project (EFSP) – WBK/AF-2</t>
        </is>
      </c>
      <c r="D12" s="33" t="inlineStr">
        <is>
          <t>Package #8-AF2 IS: Rehabilitation of Khas Kunar Lower canal and Bahrabad canal irrigation schemes, located in Khas Kunar district of Kunar and Behsood district of Nangarhar provinces.</t>
        </is>
      </c>
      <c r="E12" s="33" t="inlineStr">
        <is>
          <t>Bahrabad Canal irrigation Scheme</t>
        </is>
      </c>
      <c r="F12" s="33" t="inlineStr">
        <is>
          <t>Irrigation Canal</t>
        </is>
      </c>
      <c r="G12" s="33" t="inlineStr">
        <is>
          <t>East / Jalalabad</t>
        </is>
      </c>
      <c r="H12" s="33" t="inlineStr">
        <is>
          <t>Nangarhar</t>
        </is>
      </c>
      <c r="I12" s="33" t="inlineStr">
        <is>
          <t>Behsood</t>
        </is>
      </c>
      <c r="J12" s="33" t="inlineStr">
        <is>
          <t>Bahrabad</t>
        </is>
      </c>
      <c r="K12" s="33" t="inlineStr">
        <is>
          <t>World Bank (WBK/AF-2)</t>
        </is>
      </c>
      <c r="L12" s="33" t="inlineStr">
        <is>
          <t>Awarded</t>
        </is>
      </c>
      <c r="M12" s="33" t="inlineStr">
        <is>
          <t>On/off-farm irrigation</t>
        </is>
      </c>
      <c r="N12" s="33" t="inlineStr">
        <is>
          <t>1.Awarded contracts_On&amp;off-farm</t>
        </is>
      </c>
      <c r="O12" s="33" t="inlineStr">
        <is>
          <t>Awrish builder construction company (ABCC)</t>
        </is>
      </c>
      <c r="P12" s="33" t="inlineStr">
        <is>
          <t>055/2026</t>
        </is>
      </c>
      <c r="Q12" s="34" t="n">
        <v>155202.17</v>
      </c>
      <c r="R12" s="35" t="inlineStr">
        <is>
          <t>IF(AO12="","",AO12)</t>
        </is>
      </c>
      <c r="S12" s="36" t="n"/>
      <c r="T12" s="37" t="n">
        <v>12</v>
      </c>
      <c r="U12" s="36" t="n">
        <v>46618</v>
      </c>
      <c r="V12" s="35" t="inlineStr">
        <is>
          <t>IF(U12&lt;&gt;"",U12,IF(OR(R12="",T12=""),"",EDATE(R12,T12)))</t>
        </is>
      </c>
      <c r="W12" s="36" t="n"/>
      <c r="X12" s="37" t="n">
        <v>2</v>
      </c>
      <c r="Y12" s="33" t="inlineStr">
        <is>
          <t>Completed / Handover</t>
        </is>
      </c>
      <c r="Z12" s="33" t="inlineStr">
        <is>
          <t>on track and will be completed by August 2027</t>
        </is>
      </c>
      <c r="AA12" s="32" t="inlineStr">
        <is>
          <t>IF(E12="","",IF(COUNT(AG12:AT12)=0,IF(Y12="","Not started",Y12),SUBSTITUTE(LOOKUP(2,1/(AG12:AT12&lt;&gt;""),$AG$3:$AT$3),"Date: ","")))</t>
        </is>
      </c>
      <c r="AB12" s="38" t="inlineStr">
        <is>
          <t>IF(OR(E12="",COUNT(AG12:AT12)=0),"",TODAY()-LOOKUP(2,1/(AG12:AT12&lt;&gt;""),AG12:AT12))</t>
        </is>
      </c>
      <c r="AC12" s="38" t="inlineStr">
        <is>
          <t>IF(OR(E12="",COUNT(AG12:AT12)&lt;2),"",LOOKUP(2,1/(AG12:AT12&lt;&gt;""),AG12:AT12)-MIN(AG12:AT12))</t>
        </is>
      </c>
      <c r="AD12" s="38" t="inlineStr">
        <is>
          <t>IF(OR(AB12="",AA12="Not started",AA12=""),"",IFERROR(AB12-IF(VLOOKUP(AA12,'04_Status_Pipeline'!$B$3:$E$20,4,FALSE)="",0,VLOOKUP(AA12,'04_Status_Pipeline'!$B$3:$E$20,4,FALSE)),""))</t>
        </is>
      </c>
      <c r="AE12" s="32" t="inlineStr">
        <is>
          <t>IF(E12="","",IF(OR(Y12="Cancelled",AA12="Cancelled"),"Cancelled",IF(OR(AA12="Completed / Handover",W12&lt;&gt;"",X12&gt;=100),"Completed — on track",IF(L12="Remaining",IF(S12="",IF(V12="","No planned date",IF(TODAY()&gt;V12,"Behind — past planned date",IF(V12-TODAY()&lt;=30,"At risk — close to off track","On track"))),IF(TODAY()&gt;S12,"Behind — award date passed",IF(S12-TODAY()&lt;=30,"At risk — close to off track","On track"))),IF(V12="","No planned date",IF(AND(TODAY()&gt;V12,OR(X12="",X12&lt;100)),"Behind — past end date",IF(AND(R12&lt;&gt;"",V12&lt;&gt;"",X12&lt;&gt;"",(X12&lt;100),((TODAY()-R12)/MAX(V12-R12,1)*100)-X12&gt;15),"Behind — progress lag",IF(AND(V12-TODAY()&lt;=30,V12-TODAY()&gt;=0,OR(X12="",X12&lt;90)),"At risk — close to off track","On track"))))))))</t>
        </is>
      </c>
      <c r="AF12" s="38" t="inlineStr">
        <is>
          <t>IF(OR(E12="",AA12="Completed / Handover",AA12="Cancelled"),"",IF(L12="Remaining",IF(S12&lt;&gt;"",S12-TODAY(),IF(V12="","",V12-TODAY())),IF(V12="","",V12-TODAY())))</t>
        </is>
      </c>
      <c r="AG12" s="39" t="n"/>
      <c r="AH12" s="39" t="n"/>
      <c r="AI12" s="39" t="n"/>
      <c r="AJ12" s="39" t="n"/>
      <c r="AK12" s="39" t="n"/>
      <c r="AL12" s="39" t="n"/>
      <c r="AM12" s="39" t="n"/>
      <c r="AN12" s="39" t="n"/>
      <c r="AO12" s="39" t="n">
        <v>46254</v>
      </c>
      <c r="AP12" s="39" t="n">
        <v>46254</v>
      </c>
      <c r="AQ12" s="39" t="n">
        <v>46618</v>
      </c>
      <c r="AR12" s="40" t="n"/>
      <c r="AS12" s="40" t="n"/>
      <c r="AT12" s="40" t="n"/>
      <c r="AU12" s="38" t="inlineStr">
        <is>
          <t>IF(OR(E12="",AH12=""),"",IF(COUNT(AG12:AG12)=0,"",AH12-LOOKUP(2,1/(AG12:AG12&lt;&gt;""),AG12:AG12)))</t>
        </is>
      </c>
      <c r="AV12" s="38" t="inlineStr">
        <is>
          <t>IF(OR(E12="",AI12=""),"",IF(COUNT(AG12:AH12)=0,"",AI12-LOOKUP(2,1/(AG12:AH12&lt;&gt;""),AG12:AH12)))</t>
        </is>
      </c>
      <c r="AW12" s="38" t="inlineStr">
        <is>
          <t>IF(OR(E12="",AJ12=""),"",IF(COUNT(AG12:AI12)=0,"",AJ12-LOOKUP(2,1/(AG12:AI12&lt;&gt;""),AG12:AI12)))</t>
        </is>
      </c>
      <c r="AX12" s="38" t="inlineStr">
        <is>
          <t>IF(OR(E12="",AK12=""),"",IF(COUNT(AG12:AJ12)=0,"",AK12-LOOKUP(2,1/(AG12:AJ12&lt;&gt;""),AG12:AJ12)))</t>
        </is>
      </c>
      <c r="AY12" s="38" t="inlineStr">
        <is>
          <t>IF(OR(E12="",AL12=""),"",IF(COUNT(AG12:AK12)=0,"",AL12-LOOKUP(2,1/(AG12:AK12&lt;&gt;""),AG12:AK12)))</t>
        </is>
      </c>
      <c r="AZ12" s="38" t="inlineStr">
        <is>
          <t>IF(OR(E12="",AM12=""),"",IF(COUNT(AG12:AL12)=0,"",AM12-LOOKUP(2,1/(AG12:AL12&lt;&gt;""),AG12:AL12)))</t>
        </is>
      </c>
      <c r="BA12" s="38" t="inlineStr">
        <is>
          <t>IF(OR(E12="",AN12=""),"",IF(COUNT(AG12:AM12)=0,"",AN12-LOOKUP(2,1/(AG12:AM12&lt;&gt;""),AG12:AM12)))</t>
        </is>
      </c>
      <c r="BB12" s="38" t="inlineStr">
        <is>
          <t>IF(OR(E12="",AO12=""),"",IF(COUNT(AG12:AN12)=0,"",AO12-LOOKUP(2,1/(AG12:AN12&lt;&gt;""),AG12:AN12)))</t>
        </is>
      </c>
      <c r="BC12" s="38" t="inlineStr">
        <is>
          <t>IF(OR(E12="",AP12=""),"",IF(COUNT(AG12:AO12)=0,"",AP12-LOOKUP(2,1/(AG12:AO12&lt;&gt;""),AG12:AO12)))</t>
        </is>
      </c>
      <c r="BD12" s="38" t="inlineStr">
        <is>
          <t>IF(OR(E12="",AQ12=""),"",IF(COUNT(AG12:AP12)=0,"",AQ12-LOOKUP(2,1/(AG12:AP12&lt;&gt;""),AG12:AP12)))</t>
        </is>
      </c>
      <c r="BE12" s="38" t="inlineStr">
        <is>
          <t>IF(OR(E12="",AR12=""),"",IF(COUNT(AG12:AQ12)=0,"",AR12-LOOKUP(2,1/(AG12:AQ12&lt;&gt;""),AG12:AQ12)))</t>
        </is>
      </c>
      <c r="BF12" s="38" t="inlineStr">
        <is>
          <t>IF(OR(E12="",AS12=""),"",IF(COUNT(AG12:AR12)=0,"",AS12-LOOKUP(2,1/(AG12:AR12&lt;&gt;""),AG12:AR12)))</t>
        </is>
      </c>
      <c r="BG12" s="38" t="inlineStr">
        <is>
          <t>IF(OR(E12="",AT12=""),"",IF(COUNT(AG12:AS12)=0,"",AT12-LOOKUP(2,1/(AG12:AS12&lt;&gt;""),AG12:AS12)))</t>
        </is>
      </c>
      <c r="BH12" s="41" t="inlineStr">
        <is>
          <t>IF(G12="","All_Provinces",IFERROR(VLOOKUP(G12,'07_Lookups'!$A$4:$B$20,2,FALSE),"All_Provinces"))</t>
        </is>
      </c>
      <c r="BI12" s="41" t="inlineStr">
        <is>
          <t>IF(H12="","All_Districts",IFERROR(VLOOKUP(H12,'07_Lookups'!$E$4:$F$42,2,FALSE),"All_Districts"))</t>
        </is>
      </c>
    </row>
    <row r="13" ht="18" customHeight="1">
      <c r="A13" s="32" t="inlineStr">
        <is>
          <t>IF(E13="","",ROW()-3)</t>
        </is>
      </c>
      <c r="B13" s="42" t="inlineStr">
        <is>
          <t>AF2-IS-A-010</t>
        </is>
      </c>
      <c r="C13" s="42" t="inlineStr">
        <is>
          <t>Emergency Food Security Project (EFSP) – WBK/AF-2</t>
        </is>
      </c>
      <c r="D13" s="42" t="inlineStr">
        <is>
          <t>Package #10-AF2 IS: Rehabilitation of 1.Baraki canal, 2. Darbal canal, 3. Nawikhar canal and 4. Mangali canal irrigation schemes, located in Sayed Abad, Chak and Jaghato districts of Wardak province.</t>
        </is>
      </c>
      <c r="E13" s="42" t="inlineStr">
        <is>
          <t>Baraki Canal irrigation Scheme</t>
        </is>
      </c>
      <c r="F13" s="42" t="inlineStr">
        <is>
          <t>Irrigation Canal</t>
        </is>
      </c>
      <c r="G13" s="42" t="inlineStr">
        <is>
          <t>Central / Kabul</t>
        </is>
      </c>
      <c r="H13" s="42" t="inlineStr">
        <is>
          <t>Wardak</t>
        </is>
      </c>
      <c r="I13" s="42" t="inlineStr">
        <is>
          <t>Sayed Abad</t>
        </is>
      </c>
      <c r="J13" s="42" t="inlineStr">
        <is>
          <t>Patan khil, Barat khil, Shadi khil, Sado khil and Laram</t>
        </is>
      </c>
      <c r="K13" s="42" t="inlineStr">
        <is>
          <t>World Bank (WBK/AF-2)</t>
        </is>
      </c>
      <c r="L13" s="42" t="inlineStr">
        <is>
          <t>Awarded</t>
        </is>
      </c>
      <c r="M13" s="42" t="inlineStr">
        <is>
          <t>On/off-farm irrigation</t>
        </is>
      </c>
      <c r="N13" s="42" t="inlineStr">
        <is>
          <t>1.Awarded contracts_On&amp;off-farm</t>
        </is>
      </c>
      <c r="O13" s="42" t="inlineStr">
        <is>
          <t>Zahid Saeed Engineering and Construction Company (ZSCC)</t>
        </is>
      </c>
      <c r="P13" s="42" t="inlineStr">
        <is>
          <t>057/2025</t>
        </is>
      </c>
      <c r="Q13" s="43" t="n">
        <v>112870.51</v>
      </c>
      <c r="R13" s="35" t="inlineStr">
        <is>
          <t>IF(AO13="","",AO13)</t>
        </is>
      </c>
      <c r="S13" s="44" t="n"/>
      <c r="T13" s="45" t="n">
        <v>12</v>
      </c>
      <c r="U13" s="44" t="n">
        <v>46343</v>
      </c>
      <c r="V13" s="35" t="inlineStr">
        <is>
          <t>IF(U13&lt;&gt;"",U13,IF(OR(R13="",T13=""),"",EDATE(R13,T13)))</t>
        </is>
      </c>
      <c r="W13" s="44" t="n"/>
      <c r="X13" s="45" t="n">
        <v>100</v>
      </c>
      <c r="Y13" s="42" t="inlineStr">
        <is>
          <t>Completed / Handover</t>
        </is>
      </c>
      <c r="Z13" s="42" t="inlineStr">
        <is>
          <t>partly on track, one package will need NCE and works will be completed by May/June 2027 | Actual completion: Sep, 2026</t>
        </is>
      </c>
      <c r="AA13" s="32" t="inlineStr">
        <is>
          <t>IF(E13="","",IF(COUNT(AG13:AT13)=0,IF(Y13="","Not started",Y13),SUBSTITUTE(LOOKUP(2,1/(AG13:AT13&lt;&gt;""),$AG$3:$AT$3),"Date: ","")))</t>
        </is>
      </c>
      <c r="AB13" s="38" t="inlineStr">
        <is>
          <t>IF(OR(E13="",COUNT(AG13:AT13)=0),"",TODAY()-LOOKUP(2,1/(AG13:AT13&lt;&gt;""),AG13:AT13))</t>
        </is>
      </c>
      <c r="AC13" s="38" t="inlineStr">
        <is>
          <t>IF(OR(E13="",COUNT(AG13:AT13)&lt;2),"",LOOKUP(2,1/(AG13:AT13&lt;&gt;""),AG13:AT13)-MIN(AG13:AT13))</t>
        </is>
      </c>
      <c r="AD13" s="38" t="inlineStr">
        <is>
          <t>IF(OR(AB13="",AA13="Not started",AA13=""),"",IFERROR(AB13-IF(VLOOKUP(AA13,'04_Status_Pipeline'!$B$3:$E$20,4,FALSE)="",0,VLOOKUP(AA13,'04_Status_Pipeline'!$B$3:$E$20,4,FALSE)),""))</t>
        </is>
      </c>
      <c r="AE13" s="32" t="inlineStr">
        <is>
          <t>IF(E13="","",IF(OR(Y13="Cancelled",AA13="Cancelled"),"Cancelled",IF(OR(AA13="Completed / Handover",W13&lt;&gt;"",X13&gt;=100),"Completed — on track",IF(L13="Remaining",IF(S13="",IF(V13="","No planned date",IF(TODAY()&gt;V13,"Behind — past planned date",IF(V13-TODAY()&lt;=30,"At risk — close to off track","On track"))),IF(TODAY()&gt;S13,"Behind — award date passed",IF(S13-TODAY()&lt;=30,"At risk — close to off track","On track"))),IF(V13="","No planned date",IF(AND(TODAY()&gt;V13,OR(X13="",X13&lt;100)),"Behind — past end date",IF(AND(R13&lt;&gt;"",V13&lt;&gt;"",X13&lt;&gt;"",(X13&lt;100),((TODAY()-R13)/MAX(V13-R13,1)*100)-X13&gt;15),"Behind — progress lag",IF(AND(V13-TODAY()&lt;=30,V13-TODAY()&gt;=0,OR(X13="",X13&lt;90)),"At risk — close to off track","On track"))))))))</t>
        </is>
      </c>
      <c r="AF13" s="38" t="inlineStr">
        <is>
          <t>IF(OR(E13="",AA13="Completed / Handover",AA13="Cancelled"),"",IF(L13="Remaining",IF(S13&lt;&gt;"",S13-TODAY(),IF(V13="","",V13-TODAY())),IF(V13="","",V13-TODAY())))</t>
        </is>
      </c>
      <c r="AG13" s="39" t="n"/>
      <c r="AH13" s="39" t="n"/>
      <c r="AI13" s="39" t="n"/>
      <c r="AJ13" s="39" t="n"/>
      <c r="AK13" s="39" t="n"/>
      <c r="AL13" s="39" t="n"/>
      <c r="AM13" s="39" t="n"/>
      <c r="AN13" s="39" t="n"/>
      <c r="AO13" s="39" t="n">
        <v>45979</v>
      </c>
      <c r="AP13" s="39" t="n">
        <v>45979</v>
      </c>
      <c r="AQ13" s="39" t="n">
        <v>46343</v>
      </c>
      <c r="AR13" s="40" t="n"/>
      <c r="AS13" s="40" t="n"/>
      <c r="AT13" s="40" t="n"/>
      <c r="AU13" s="38" t="inlineStr">
        <is>
          <t>IF(OR(E13="",AH13=""),"",IF(COUNT(AG13:AG13)=0,"",AH13-LOOKUP(2,1/(AG13:AG13&lt;&gt;""),AG13:AG13)))</t>
        </is>
      </c>
      <c r="AV13" s="38" t="inlineStr">
        <is>
          <t>IF(OR(E13="",AI13=""),"",IF(COUNT(AG13:AH13)=0,"",AI13-LOOKUP(2,1/(AG13:AH13&lt;&gt;""),AG13:AH13)))</t>
        </is>
      </c>
      <c r="AW13" s="38" t="inlineStr">
        <is>
          <t>IF(OR(E13="",AJ13=""),"",IF(COUNT(AG13:AI13)=0,"",AJ13-LOOKUP(2,1/(AG13:AI13&lt;&gt;""),AG13:AI13)))</t>
        </is>
      </c>
      <c r="AX13" s="38" t="inlineStr">
        <is>
          <t>IF(OR(E13="",AK13=""),"",IF(COUNT(AG13:AJ13)=0,"",AK13-LOOKUP(2,1/(AG13:AJ13&lt;&gt;""),AG13:AJ13)))</t>
        </is>
      </c>
      <c r="AY13" s="38" t="inlineStr">
        <is>
          <t>IF(OR(E13="",AL13=""),"",IF(COUNT(AG13:AK13)=0,"",AL13-LOOKUP(2,1/(AG13:AK13&lt;&gt;""),AG13:AK13)))</t>
        </is>
      </c>
      <c r="AZ13" s="38" t="inlineStr">
        <is>
          <t>IF(OR(E13="",AM13=""),"",IF(COUNT(AG13:AL13)=0,"",AM13-LOOKUP(2,1/(AG13:AL13&lt;&gt;""),AG13:AL13)))</t>
        </is>
      </c>
      <c r="BA13" s="38" t="inlineStr">
        <is>
          <t>IF(OR(E13="",AN13=""),"",IF(COUNT(AG13:AM13)=0,"",AN13-LOOKUP(2,1/(AG13:AM13&lt;&gt;""),AG13:AM13)))</t>
        </is>
      </c>
      <c r="BB13" s="38" t="inlineStr">
        <is>
          <t>IF(OR(E13="",AO13=""),"",IF(COUNT(AG13:AN13)=0,"",AO13-LOOKUP(2,1/(AG13:AN13&lt;&gt;""),AG13:AN13)))</t>
        </is>
      </c>
      <c r="BC13" s="38" t="inlineStr">
        <is>
          <t>IF(OR(E13="",AP13=""),"",IF(COUNT(AG13:AO13)=0,"",AP13-LOOKUP(2,1/(AG13:AO13&lt;&gt;""),AG13:AO13)))</t>
        </is>
      </c>
      <c r="BD13" s="38" t="inlineStr">
        <is>
          <t>IF(OR(E13="",AQ13=""),"",IF(COUNT(AG13:AP13)=0,"",AQ13-LOOKUP(2,1/(AG13:AP13&lt;&gt;""),AG13:AP13)))</t>
        </is>
      </c>
      <c r="BE13" s="38" t="inlineStr">
        <is>
          <t>IF(OR(E13="",AR13=""),"",IF(COUNT(AG13:AQ13)=0,"",AR13-LOOKUP(2,1/(AG13:AQ13&lt;&gt;""),AG13:AQ13)))</t>
        </is>
      </c>
      <c r="BF13" s="38" t="inlineStr">
        <is>
          <t>IF(OR(E13="",AS13=""),"",IF(COUNT(AG13:AR13)=0,"",AS13-LOOKUP(2,1/(AG13:AR13&lt;&gt;""),AG13:AR13)))</t>
        </is>
      </c>
      <c r="BG13" s="38" t="inlineStr">
        <is>
          <t>IF(OR(E13="",AT13=""),"",IF(COUNT(AG13:AS13)=0,"",AT13-LOOKUP(2,1/(AG13:AS13&lt;&gt;""),AG13:AS13)))</t>
        </is>
      </c>
      <c r="BH13" s="41" t="inlineStr">
        <is>
          <t>IF(G13="","All_Provinces",IFERROR(VLOOKUP(G13,'07_Lookups'!$A$4:$B$20,2,FALSE),"All_Provinces"))</t>
        </is>
      </c>
      <c r="BI13" s="41" t="inlineStr">
        <is>
          <t>IF(H13="","All_Districts",IFERROR(VLOOKUP(H13,'07_Lookups'!$E$4:$F$42,2,FALSE),"All_Districts"))</t>
        </is>
      </c>
    </row>
    <row r="14" ht="18" customHeight="1">
      <c r="A14" s="32" t="inlineStr">
        <is>
          <t>IF(E14="","",ROW()-3)</t>
        </is>
      </c>
      <c r="B14" s="33" t="inlineStr">
        <is>
          <t>AF2-IS-A-011</t>
        </is>
      </c>
      <c r="C14" s="33" t="inlineStr">
        <is>
          <t>Emergency Food Security Project (EFSP) – WBK/AF-2</t>
        </is>
      </c>
      <c r="D14" s="33" t="inlineStr">
        <is>
          <t>Package #10-AF2 IS: Rehabilitation of 1.Baraki canal, 2. Darbal canal, 3. Nawikhar canal and 4. Mangali canal irrigation schemes, located in Sayed Abad, Chak and Jaghato districts of Wardak province.</t>
        </is>
      </c>
      <c r="E14" s="33" t="inlineStr">
        <is>
          <t>Darbal canal irrigation Scheme</t>
        </is>
      </c>
      <c r="F14" s="33" t="inlineStr">
        <is>
          <t>Irrigation Canal</t>
        </is>
      </c>
      <c r="G14" s="33" t="inlineStr">
        <is>
          <t>Central / Kabul</t>
        </is>
      </c>
      <c r="H14" s="33" t="inlineStr">
        <is>
          <t>Wardak</t>
        </is>
      </c>
      <c r="I14" s="33" t="inlineStr">
        <is>
          <t>Chak</t>
        </is>
      </c>
      <c r="J14" s="33" t="inlineStr">
        <is>
          <t>Darbal</t>
        </is>
      </c>
      <c r="K14" s="33" t="inlineStr">
        <is>
          <t>World Bank (WBK/AF-2)</t>
        </is>
      </c>
      <c r="L14" s="33" t="inlineStr">
        <is>
          <t>Awarded</t>
        </is>
      </c>
      <c r="M14" s="33" t="inlineStr">
        <is>
          <t>On/off-farm irrigation</t>
        </is>
      </c>
      <c r="N14" s="33" t="inlineStr">
        <is>
          <t>1.Awarded contracts_On&amp;off-farm</t>
        </is>
      </c>
      <c r="O14" s="33" t="inlineStr">
        <is>
          <t>Zahid Saeed Engineering and Construction Company (ZSCC)</t>
        </is>
      </c>
      <c r="P14" s="33" t="inlineStr">
        <is>
          <t>057/2025</t>
        </is>
      </c>
      <c r="Q14" s="34" t="n">
        <v>102415.9</v>
      </c>
      <c r="R14" s="35" t="inlineStr">
        <is>
          <t>IF(AO14="","",AO14)</t>
        </is>
      </c>
      <c r="S14" s="36" t="n"/>
      <c r="T14" s="37" t="n">
        <v>12</v>
      </c>
      <c r="U14" s="36" t="n">
        <v>46343</v>
      </c>
      <c r="V14" s="35" t="inlineStr">
        <is>
          <t>IF(U14&lt;&gt;"",U14,IF(OR(R14="",T14=""),"",EDATE(R14,T14)))</t>
        </is>
      </c>
      <c r="W14" s="36" t="n"/>
      <c r="X14" s="37" t="n">
        <v>0</v>
      </c>
      <c r="Y14" s="33" t="inlineStr">
        <is>
          <t>Completed / Handover</t>
        </is>
      </c>
      <c r="Z14" s="33" t="inlineStr">
        <is>
          <t>partly on track, one package will need NCE and works will be completed by May/June 2027 | Actual completion: Sep, 2026</t>
        </is>
      </c>
      <c r="AA14" s="32" t="inlineStr">
        <is>
          <t>IF(E14="","",IF(COUNT(AG14:AT14)=0,IF(Y14="","Not started",Y14),SUBSTITUTE(LOOKUP(2,1/(AG14:AT14&lt;&gt;""),$AG$3:$AT$3),"Date: ","")))</t>
        </is>
      </c>
      <c r="AB14" s="38" t="inlineStr">
        <is>
          <t>IF(OR(E14="",COUNT(AG14:AT14)=0),"",TODAY()-LOOKUP(2,1/(AG14:AT14&lt;&gt;""),AG14:AT14))</t>
        </is>
      </c>
      <c r="AC14" s="38" t="inlineStr">
        <is>
          <t>IF(OR(E14="",COUNT(AG14:AT14)&lt;2),"",LOOKUP(2,1/(AG14:AT14&lt;&gt;""),AG14:AT14)-MIN(AG14:AT14))</t>
        </is>
      </c>
      <c r="AD14" s="38" t="inlineStr">
        <is>
          <t>IF(OR(AB14="",AA14="Not started",AA14=""),"",IFERROR(AB14-IF(VLOOKUP(AA14,'04_Status_Pipeline'!$B$3:$E$20,4,FALSE)="",0,VLOOKUP(AA14,'04_Status_Pipeline'!$B$3:$E$20,4,FALSE)),""))</t>
        </is>
      </c>
      <c r="AE14" s="32" t="inlineStr">
        <is>
          <t>IF(E14="","",IF(OR(Y14="Cancelled",AA14="Cancelled"),"Cancelled",IF(OR(AA14="Completed / Handover",W14&lt;&gt;"",X14&gt;=100),"Completed — on track",IF(L14="Remaining",IF(S14="",IF(V14="","No planned date",IF(TODAY()&gt;V14,"Behind — past planned date",IF(V14-TODAY()&lt;=30,"At risk — close to off track","On track"))),IF(TODAY()&gt;S14,"Behind — award date passed",IF(S14-TODAY()&lt;=30,"At risk — close to off track","On track"))),IF(V14="","No planned date",IF(AND(TODAY()&gt;V14,OR(X14="",X14&lt;100)),"Behind — past end date",IF(AND(R14&lt;&gt;"",V14&lt;&gt;"",X14&lt;&gt;"",(X14&lt;100),((TODAY()-R14)/MAX(V14-R14,1)*100)-X14&gt;15),"Behind — progress lag",IF(AND(V14-TODAY()&lt;=30,V14-TODAY()&gt;=0,OR(X14="",X14&lt;90)),"At risk — close to off track","On track"))))))))</t>
        </is>
      </c>
      <c r="AF14" s="38" t="inlineStr">
        <is>
          <t>IF(OR(E14="",AA14="Completed / Handover",AA14="Cancelled"),"",IF(L14="Remaining",IF(S14&lt;&gt;"",S14-TODAY(),IF(V14="","",V14-TODAY())),IF(V14="","",V14-TODAY())))</t>
        </is>
      </c>
      <c r="AG14" s="39" t="n"/>
      <c r="AH14" s="39" t="n"/>
      <c r="AI14" s="39" t="n"/>
      <c r="AJ14" s="39" t="n"/>
      <c r="AK14" s="39" t="n"/>
      <c r="AL14" s="39" t="n"/>
      <c r="AM14" s="39" t="n"/>
      <c r="AN14" s="39" t="n"/>
      <c r="AO14" s="39" t="n">
        <v>45979</v>
      </c>
      <c r="AP14" s="39" t="n">
        <v>45979</v>
      </c>
      <c r="AQ14" s="39" t="n">
        <v>46343</v>
      </c>
      <c r="AR14" s="40" t="n"/>
      <c r="AS14" s="40" t="n"/>
      <c r="AT14" s="40" t="n"/>
      <c r="AU14" s="38" t="inlineStr">
        <is>
          <t>IF(OR(E14="",AH14=""),"",IF(COUNT(AG14:AG14)=0,"",AH14-LOOKUP(2,1/(AG14:AG14&lt;&gt;""),AG14:AG14)))</t>
        </is>
      </c>
      <c r="AV14" s="38" t="inlineStr">
        <is>
          <t>IF(OR(E14="",AI14=""),"",IF(COUNT(AG14:AH14)=0,"",AI14-LOOKUP(2,1/(AG14:AH14&lt;&gt;""),AG14:AH14)))</t>
        </is>
      </c>
      <c r="AW14" s="38" t="inlineStr">
        <is>
          <t>IF(OR(E14="",AJ14=""),"",IF(COUNT(AG14:AI14)=0,"",AJ14-LOOKUP(2,1/(AG14:AI14&lt;&gt;""),AG14:AI14)))</t>
        </is>
      </c>
      <c r="AX14" s="38" t="inlineStr">
        <is>
          <t>IF(OR(E14="",AK14=""),"",IF(COUNT(AG14:AJ14)=0,"",AK14-LOOKUP(2,1/(AG14:AJ14&lt;&gt;""),AG14:AJ14)))</t>
        </is>
      </c>
      <c r="AY14" s="38" t="inlineStr">
        <is>
          <t>IF(OR(E14="",AL14=""),"",IF(COUNT(AG14:AK14)=0,"",AL14-LOOKUP(2,1/(AG14:AK14&lt;&gt;""),AG14:AK14)))</t>
        </is>
      </c>
      <c r="AZ14" s="38" t="inlineStr">
        <is>
          <t>IF(OR(E14="",AM14=""),"",IF(COUNT(AG14:AL14)=0,"",AM14-LOOKUP(2,1/(AG14:AL14&lt;&gt;""),AG14:AL14)))</t>
        </is>
      </c>
      <c r="BA14" s="38" t="inlineStr">
        <is>
          <t>IF(OR(E14="",AN14=""),"",IF(COUNT(AG14:AM14)=0,"",AN14-LOOKUP(2,1/(AG14:AM14&lt;&gt;""),AG14:AM14)))</t>
        </is>
      </c>
      <c r="BB14" s="38" t="inlineStr">
        <is>
          <t>IF(OR(E14="",AO14=""),"",IF(COUNT(AG14:AN14)=0,"",AO14-LOOKUP(2,1/(AG14:AN14&lt;&gt;""),AG14:AN14)))</t>
        </is>
      </c>
      <c r="BC14" s="38" t="inlineStr">
        <is>
          <t>IF(OR(E14="",AP14=""),"",IF(COUNT(AG14:AO14)=0,"",AP14-LOOKUP(2,1/(AG14:AO14&lt;&gt;""),AG14:AO14)))</t>
        </is>
      </c>
      <c r="BD14" s="38" t="inlineStr">
        <is>
          <t>IF(OR(E14="",AQ14=""),"",IF(COUNT(AG14:AP14)=0,"",AQ14-LOOKUP(2,1/(AG14:AP14&lt;&gt;""),AG14:AP14)))</t>
        </is>
      </c>
      <c r="BE14" s="38" t="inlineStr">
        <is>
          <t>IF(OR(E14="",AR14=""),"",IF(COUNT(AG14:AQ14)=0,"",AR14-LOOKUP(2,1/(AG14:AQ14&lt;&gt;""),AG14:AQ14)))</t>
        </is>
      </c>
      <c r="BF14" s="38" t="inlineStr">
        <is>
          <t>IF(OR(E14="",AS14=""),"",IF(COUNT(AG14:AR14)=0,"",AS14-LOOKUP(2,1/(AG14:AR14&lt;&gt;""),AG14:AR14)))</t>
        </is>
      </c>
      <c r="BG14" s="38" t="inlineStr">
        <is>
          <t>IF(OR(E14="",AT14=""),"",IF(COUNT(AG14:AS14)=0,"",AT14-LOOKUP(2,1/(AG14:AS14&lt;&gt;""),AG14:AS14)))</t>
        </is>
      </c>
      <c r="BH14" s="41" t="inlineStr">
        <is>
          <t>IF(G14="","All_Provinces",IFERROR(VLOOKUP(G14,'07_Lookups'!$A$4:$B$20,2,FALSE),"All_Provinces"))</t>
        </is>
      </c>
      <c r="BI14" s="41" t="inlineStr">
        <is>
          <t>IF(H14="","All_Districts",IFERROR(VLOOKUP(H14,'07_Lookups'!$E$4:$F$42,2,FALSE),"All_Districts"))</t>
        </is>
      </c>
    </row>
    <row r="15" ht="18" customHeight="1">
      <c r="A15" s="32" t="inlineStr">
        <is>
          <t>IF(E15="","",ROW()-3)</t>
        </is>
      </c>
      <c r="B15" s="42" t="inlineStr">
        <is>
          <t>AF2-IS-A-012</t>
        </is>
      </c>
      <c r="C15" s="42" t="inlineStr">
        <is>
          <t>Emergency Food Security Project (EFSP) – WBK/AF-2</t>
        </is>
      </c>
      <c r="D15" s="42" t="inlineStr">
        <is>
          <t>Package #10-AF2 IS: Rehabilitation of 1.Baraki canal, 2. Darbal canal, 3. Nawikhar canal and 4. Mangali canal irrigation schemes, located in Sayed Abad, Chak and Jaghato districts of Wardak province.</t>
        </is>
      </c>
      <c r="E15" s="42" t="inlineStr">
        <is>
          <t>Nawikhar canal irrigation scheme</t>
        </is>
      </c>
      <c r="F15" s="42" t="inlineStr">
        <is>
          <t>Irrigation Canal</t>
        </is>
      </c>
      <c r="G15" s="42" t="inlineStr">
        <is>
          <t>Central / Kabul</t>
        </is>
      </c>
      <c r="H15" s="42" t="inlineStr">
        <is>
          <t>Wardak</t>
        </is>
      </c>
      <c r="I15" s="42" t="inlineStr">
        <is>
          <t>Jaghato</t>
        </is>
      </c>
      <c r="J15" s="42" t="inlineStr">
        <is>
          <t>Nawikhar</t>
        </is>
      </c>
      <c r="K15" s="42" t="inlineStr">
        <is>
          <t>World Bank (WBK/AF-2)</t>
        </is>
      </c>
      <c r="L15" s="42" t="inlineStr">
        <is>
          <t>Awarded</t>
        </is>
      </c>
      <c r="M15" s="42" t="inlineStr">
        <is>
          <t>On/off-farm irrigation</t>
        </is>
      </c>
      <c r="N15" s="42" t="inlineStr">
        <is>
          <t>1.Awarded contracts_On&amp;off-farm</t>
        </is>
      </c>
      <c r="O15" s="42" t="inlineStr">
        <is>
          <t>Zahid Saeed Engineering and Construction Company (ZSCC)</t>
        </is>
      </c>
      <c r="P15" s="42" t="inlineStr">
        <is>
          <t>057/2025</t>
        </is>
      </c>
      <c r="Q15" s="43" t="n">
        <v>77263.89</v>
      </c>
      <c r="R15" s="35" t="inlineStr">
        <is>
          <t>IF(AO15="","",AO15)</t>
        </is>
      </c>
      <c r="S15" s="44" t="n"/>
      <c r="T15" s="45" t="n">
        <v>12</v>
      </c>
      <c r="U15" s="44" t="n">
        <v>46343</v>
      </c>
      <c r="V15" s="35" t="inlineStr">
        <is>
          <t>IF(U15&lt;&gt;"",U15,IF(OR(R15="",T15=""),"",EDATE(R15,T15)))</t>
        </is>
      </c>
      <c r="W15" s="44" t="n"/>
      <c r="X15" s="45" t="n">
        <v>20</v>
      </c>
      <c r="Y15" s="42" t="inlineStr">
        <is>
          <t>Completed / Handover</t>
        </is>
      </c>
      <c r="Z15" s="42" t="inlineStr">
        <is>
          <t>partly on track, one package will need NCE and works will be completed by May/June 2027 | Actual completion: Sep, 2026</t>
        </is>
      </c>
      <c r="AA15" s="32" t="inlineStr">
        <is>
          <t>IF(E15="","",IF(COUNT(AG15:AT15)=0,IF(Y15="","Not started",Y15),SUBSTITUTE(LOOKUP(2,1/(AG15:AT15&lt;&gt;""),$AG$3:$AT$3),"Date: ","")))</t>
        </is>
      </c>
      <c r="AB15" s="38" t="inlineStr">
        <is>
          <t>IF(OR(E15="",COUNT(AG15:AT15)=0),"",TODAY()-LOOKUP(2,1/(AG15:AT15&lt;&gt;""),AG15:AT15))</t>
        </is>
      </c>
      <c r="AC15" s="38" t="inlineStr">
        <is>
          <t>IF(OR(E15="",COUNT(AG15:AT15)&lt;2),"",LOOKUP(2,1/(AG15:AT15&lt;&gt;""),AG15:AT15)-MIN(AG15:AT15))</t>
        </is>
      </c>
      <c r="AD15" s="38" t="inlineStr">
        <is>
          <t>IF(OR(AB15="",AA15="Not started",AA15=""),"",IFERROR(AB15-IF(VLOOKUP(AA15,'04_Status_Pipeline'!$B$3:$E$20,4,FALSE)="",0,VLOOKUP(AA15,'04_Status_Pipeline'!$B$3:$E$20,4,FALSE)),""))</t>
        </is>
      </c>
      <c r="AE15" s="32" t="inlineStr">
        <is>
          <t>IF(E15="","",IF(OR(Y15="Cancelled",AA15="Cancelled"),"Cancelled",IF(OR(AA15="Completed / Handover",W15&lt;&gt;"",X15&gt;=100),"Completed — on track",IF(L15="Remaining",IF(S15="",IF(V15="","No planned date",IF(TODAY()&gt;V15,"Behind — past planned date",IF(V15-TODAY()&lt;=30,"At risk — close to off track","On track"))),IF(TODAY()&gt;S15,"Behind — award date passed",IF(S15-TODAY()&lt;=30,"At risk — close to off track","On track"))),IF(V15="","No planned date",IF(AND(TODAY()&gt;V15,OR(X15="",X15&lt;100)),"Behind — past end date",IF(AND(R15&lt;&gt;"",V15&lt;&gt;"",X15&lt;&gt;"",(X15&lt;100),((TODAY()-R15)/MAX(V15-R15,1)*100)-X15&gt;15),"Behind — progress lag",IF(AND(V15-TODAY()&lt;=30,V15-TODAY()&gt;=0,OR(X15="",X15&lt;90)),"At risk — close to off track","On track"))))))))</t>
        </is>
      </c>
      <c r="AF15" s="38" t="inlineStr">
        <is>
          <t>IF(OR(E15="",AA15="Completed / Handover",AA15="Cancelled"),"",IF(L15="Remaining",IF(S15&lt;&gt;"",S15-TODAY(),IF(V15="","",V15-TODAY())),IF(V15="","",V15-TODAY())))</t>
        </is>
      </c>
      <c r="AG15" s="39" t="n"/>
      <c r="AH15" s="39" t="n"/>
      <c r="AI15" s="39" t="n"/>
      <c r="AJ15" s="39" t="n"/>
      <c r="AK15" s="39" t="n"/>
      <c r="AL15" s="39" t="n"/>
      <c r="AM15" s="39" t="n"/>
      <c r="AN15" s="39" t="n"/>
      <c r="AO15" s="39" t="n">
        <v>45979</v>
      </c>
      <c r="AP15" s="39" t="n">
        <v>45979</v>
      </c>
      <c r="AQ15" s="39" t="n">
        <v>46343</v>
      </c>
      <c r="AR15" s="40" t="n"/>
      <c r="AS15" s="40" t="n"/>
      <c r="AT15" s="40" t="n"/>
      <c r="AU15" s="38" t="inlineStr">
        <is>
          <t>IF(OR(E15="",AH15=""),"",IF(COUNT(AG15:AG15)=0,"",AH15-LOOKUP(2,1/(AG15:AG15&lt;&gt;""),AG15:AG15)))</t>
        </is>
      </c>
      <c r="AV15" s="38" t="inlineStr">
        <is>
          <t>IF(OR(E15="",AI15=""),"",IF(COUNT(AG15:AH15)=0,"",AI15-LOOKUP(2,1/(AG15:AH15&lt;&gt;""),AG15:AH15)))</t>
        </is>
      </c>
      <c r="AW15" s="38" t="inlineStr">
        <is>
          <t>IF(OR(E15="",AJ15=""),"",IF(COUNT(AG15:AI15)=0,"",AJ15-LOOKUP(2,1/(AG15:AI15&lt;&gt;""),AG15:AI15)))</t>
        </is>
      </c>
      <c r="AX15" s="38" t="inlineStr">
        <is>
          <t>IF(OR(E15="",AK15=""),"",IF(COUNT(AG15:AJ15)=0,"",AK15-LOOKUP(2,1/(AG15:AJ15&lt;&gt;""),AG15:AJ15)))</t>
        </is>
      </c>
      <c r="AY15" s="38" t="inlineStr">
        <is>
          <t>IF(OR(E15="",AL15=""),"",IF(COUNT(AG15:AK15)=0,"",AL15-LOOKUP(2,1/(AG15:AK15&lt;&gt;""),AG15:AK15)))</t>
        </is>
      </c>
      <c r="AZ15" s="38" t="inlineStr">
        <is>
          <t>IF(OR(E15="",AM15=""),"",IF(COUNT(AG15:AL15)=0,"",AM15-LOOKUP(2,1/(AG15:AL15&lt;&gt;""),AG15:AL15)))</t>
        </is>
      </c>
      <c r="BA15" s="38" t="inlineStr">
        <is>
          <t>IF(OR(E15="",AN15=""),"",IF(COUNT(AG15:AM15)=0,"",AN15-LOOKUP(2,1/(AG15:AM15&lt;&gt;""),AG15:AM15)))</t>
        </is>
      </c>
      <c r="BB15" s="38" t="inlineStr">
        <is>
          <t>IF(OR(E15="",AO15=""),"",IF(COUNT(AG15:AN15)=0,"",AO15-LOOKUP(2,1/(AG15:AN15&lt;&gt;""),AG15:AN15)))</t>
        </is>
      </c>
      <c r="BC15" s="38" t="inlineStr">
        <is>
          <t>IF(OR(E15="",AP15=""),"",IF(COUNT(AG15:AO15)=0,"",AP15-LOOKUP(2,1/(AG15:AO15&lt;&gt;""),AG15:AO15)))</t>
        </is>
      </c>
      <c r="BD15" s="38" t="inlineStr">
        <is>
          <t>IF(OR(E15="",AQ15=""),"",IF(COUNT(AG15:AP15)=0,"",AQ15-LOOKUP(2,1/(AG15:AP15&lt;&gt;""),AG15:AP15)))</t>
        </is>
      </c>
      <c r="BE15" s="38" t="inlineStr">
        <is>
          <t>IF(OR(E15="",AR15=""),"",IF(COUNT(AG15:AQ15)=0,"",AR15-LOOKUP(2,1/(AG15:AQ15&lt;&gt;""),AG15:AQ15)))</t>
        </is>
      </c>
      <c r="BF15" s="38" t="inlineStr">
        <is>
          <t>IF(OR(E15="",AS15=""),"",IF(COUNT(AG15:AR15)=0,"",AS15-LOOKUP(2,1/(AG15:AR15&lt;&gt;""),AG15:AR15)))</t>
        </is>
      </c>
      <c r="BG15" s="38" t="inlineStr">
        <is>
          <t>IF(OR(E15="",AT15=""),"",IF(COUNT(AG15:AS15)=0,"",AT15-LOOKUP(2,1/(AG15:AS15&lt;&gt;""),AG15:AS15)))</t>
        </is>
      </c>
      <c r="BH15" s="41" t="inlineStr">
        <is>
          <t>IF(G15="","All_Provinces",IFERROR(VLOOKUP(G15,'07_Lookups'!$A$4:$B$20,2,FALSE),"All_Provinces"))</t>
        </is>
      </c>
      <c r="BI15" s="41" t="inlineStr">
        <is>
          <t>IF(H15="","All_Districts",IFERROR(VLOOKUP(H15,'07_Lookups'!$E$4:$F$42,2,FALSE),"All_Districts"))</t>
        </is>
      </c>
    </row>
    <row r="16" ht="18" customHeight="1">
      <c r="A16" s="32" t="inlineStr">
        <is>
          <t>IF(E16="","",ROW()-3)</t>
        </is>
      </c>
      <c r="B16" s="33" t="inlineStr">
        <is>
          <t>AF2-IS-A-013</t>
        </is>
      </c>
      <c r="C16" s="33" t="inlineStr">
        <is>
          <t>Emergency Food Security Project (EFSP) – WBK/AF-2</t>
        </is>
      </c>
      <c r="D16" s="33" t="inlineStr">
        <is>
          <t>Package #10-AF2 IS: Rehabilitation of 1.Baraki canal, 2. Darbal canal, 3. Nawikhar canal and 4. Mangali canal irrigation schemes, located in Sayed Abad, Chak and Jaghato districts of Wardak province.</t>
        </is>
      </c>
      <c r="E16" s="33" t="inlineStr">
        <is>
          <t>Mangali Canal irrigation Scheme</t>
        </is>
      </c>
      <c r="F16" s="33" t="inlineStr">
        <is>
          <t>Irrigation Canal</t>
        </is>
      </c>
      <c r="G16" s="33" t="inlineStr">
        <is>
          <t>Central / Kabul</t>
        </is>
      </c>
      <c r="H16" s="33" t="inlineStr">
        <is>
          <t>Wardak</t>
        </is>
      </c>
      <c r="I16" s="33" t="inlineStr">
        <is>
          <t>Jaghato</t>
        </is>
      </c>
      <c r="J16" s="33" t="inlineStr">
        <is>
          <t>Mamal khil, Mushangai, Adena and Mangali</t>
        </is>
      </c>
      <c r="K16" s="33" t="inlineStr">
        <is>
          <t>World Bank (WBK/AF-2)</t>
        </is>
      </c>
      <c r="L16" s="33" t="inlineStr">
        <is>
          <t>Awarded</t>
        </is>
      </c>
      <c r="M16" s="33" t="inlineStr">
        <is>
          <t>On/off-farm irrigation</t>
        </is>
      </c>
      <c r="N16" s="33" t="inlineStr">
        <is>
          <t>1.Awarded contracts_On&amp;off-farm</t>
        </is>
      </c>
      <c r="O16" s="33" t="inlineStr">
        <is>
          <t>Zahid Saeed Engineering and Construction Company (ZSCC)</t>
        </is>
      </c>
      <c r="P16" s="33" t="inlineStr">
        <is>
          <t>057/2025</t>
        </is>
      </c>
      <c r="Q16" s="34" t="n">
        <v>16116.33</v>
      </c>
      <c r="R16" s="35" t="inlineStr">
        <is>
          <t>IF(AO16="","",AO16)</t>
        </is>
      </c>
      <c r="S16" s="36" t="n"/>
      <c r="T16" s="37" t="n">
        <v>12</v>
      </c>
      <c r="U16" s="36" t="n">
        <v>46343</v>
      </c>
      <c r="V16" s="35" t="inlineStr">
        <is>
          <t>IF(U16&lt;&gt;"",U16,IF(OR(R16="",T16=""),"",EDATE(R16,T16)))</t>
        </is>
      </c>
      <c r="W16" s="36" t="n"/>
      <c r="X16" s="37" t="n">
        <v>0</v>
      </c>
      <c r="Y16" s="33" t="inlineStr">
        <is>
          <t>Completed / Handover</t>
        </is>
      </c>
      <c r="Z16" s="33" t="inlineStr">
        <is>
          <t>partly on track, one package will need NCE and works will be completed by May/June 2027 | Actual completion: Sep, 2026</t>
        </is>
      </c>
      <c r="AA16" s="32" t="inlineStr">
        <is>
          <t>IF(E16="","",IF(COUNT(AG16:AT16)=0,IF(Y16="","Not started",Y16),SUBSTITUTE(LOOKUP(2,1/(AG16:AT16&lt;&gt;""),$AG$3:$AT$3),"Date: ","")))</t>
        </is>
      </c>
      <c r="AB16" s="38" t="inlineStr">
        <is>
          <t>IF(OR(E16="",COUNT(AG16:AT16)=0),"",TODAY()-LOOKUP(2,1/(AG16:AT16&lt;&gt;""),AG16:AT16))</t>
        </is>
      </c>
      <c r="AC16" s="38" t="inlineStr">
        <is>
          <t>IF(OR(E16="",COUNT(AG16:AT16)&lt;2),"",LOOKUP(2,1/(AG16:AT16&lt;&gt;""),AG16:AT16)-MIN(AG16:AT16))</t>
        </is>
      </c>
      <c r="AD16" s="38" t="inlineStr">
        <is>
          <t>IF(OR(AB16="",AA16="Not started",AA16=""),"",IFERROR(AB16-IF(VLOOKUP(AA16,'04_Status_Pipeline'!$B$3:$E$20,4,FALSE)="",0,VLOOKUP(AA16,'04_Status_Pipeline'!$B$3:$E$20,4,FALSE)),""))</t>
        </is>
      </c>
      <c r="AE16" s="32" t="inlineStr">
        <is>
          <t>IF(E16="","",IF(OR(Y16="Cancelled",AA16="Cancelled"),"Cancelled",IF(OR(AA16="Completed / Handover",W16&lt;&gt;"",X16&gt;=100),"Completed — on track",IF(L16="Remaining",IF(S16="",IF(V16="","No planned date",IF(TODAY()&gt;V16,"Behind — past planned date",IF(V16-TODAY()&lt;=30,"At risk — close to off track","On track"))),IF(TODAY()&gt;S16,"Behind — award date passed",IF(S16-TODAY()&lt;=30,"At risk — close to off track","On track"))),IF(V16="","No planned date",IF(AND(TODAY()&gt;V16,OR(X16="",X16&lt;100)),"Behind — past end date",IF(AND(R16&lt;&gt;"",V16&lt;&gt;"",X16&lt;&gt;"",(X16&lt;100),((TODAY()-R16)/MAX(V16-R16,1)*100)-X16&gt;15),"Behind — progress lag",IF(AND(V16-TODAY()&lt;=30,V16-TODAY()&gt;=0,OR(X16="",X16&lt;90)),"At risk — close to off track","On track"))))))))</t>
        </is>
      </c>
      <c r="AF16" s="38" t="inlineStr">
        <is>
          <t>IF(OR(E16="",AA16="Completed / Handover",AA16="Cancelled"),"",IF(L16="Remaining",IF(S16&lt;&gt;"",S16-TODAY(),IF(V16="","",V16-TODAY())),IF(V16="","",V16-TODAY())))</t>
        </is>
      </c>
      <c r="AG16" s="39" t="n"/>
      <c r="AH16" s="39" t="n"/>
      <c r="AI16" s="39" t="n"/>
      <c r="AJ16" s="39" t="n"/>
      <c r="AK16" s="39" t="n"/>
      <c r="AL16" s="39" t="n"/>
      <c r="AM16" s="39" t="n"/>
      <c r="AN16" s="39" t="n"/>
      <c r="AO16" s="39" t="n">
        <v>45979</v>
      </c>
      <c r="AP16" s="39" t="n">
        <v>45979</v>
      </c>
      <c r="AQ16" s="39" t="n">
        <v>46343</v>
      </c>
      <c r="AR16" s="40" t="n"/>
      <c r="AS16" s="40" t="n"/>
      <c r="AT16" s="40" t="n"/>
      <c r="AU16" s="38" t="inlineStr">
        <is>
          <t>IF(OR(E16="",AH16=""),"",IF(COUNT(AG16:AG16)=0,"",AH16-LOOKUP(2,1/(AG16:AG16&lt;&gt;""),AG16:AG16)))</t>
        </is>
      </c>
      <c r="AV16" s="38" t="inlineStr">
        <is>
          <t>IF(OR(E16="",AI16=""),"",IF(COUNT(AG16:AH16)=0,"",AI16-LOOKUP(2,1/(AG16:AH16&lt;&gt;""),AG16:AH16)))</t>
        </is>
      </c>
      <c r="AW16" s="38" t="inlineStr">
        <is>
          <t>IF(OR(E16="",AJ16=""),"",IF(COUNT(AG16:AI16)=0,"",AJ16-LOOKUP(2,1/(AG16:AI16&lt;&gt;""),AG16:AI16)))</t>
        </is>
      </c>
      <c r="AX16" s="38" t="inlineStr">
        <is>
          <t>IF(OR(E16="",AK16=""),"",IF(COUNT(AG16:AJ16)=0,"",AK16-LOOKUP(2,1/(AG16:AJ16&lt;&gt;""),AG16:AJ16)))</t>
        </is>
      </c>
      <c r="AY16" s="38" t="inlineStr">
        <is>
          <t>IF(OR(E16="",AL16=""),"",IF(COUNT(AG16:AK16)=0,"",AL16-LOOKUP(2,1/(AG16:AK16&lt;&gt;""),AG16:AK16)))</t>
        </is>
      </c>
      <c r="AZ16" s="38" t="inlineStr">
        <is>
          <t>IF(OR(E16="",AM16=""),"",IF(COUNT(AG16:AL16)=0,"",AM16-LOOKUP(2,1/(AG16:AL16&lt;&gt;""),AG16:AL16)))</t>
        </is>
      </c>
      <c r="BA16" s="38" t="inlineStr">
        <is>
          <t>IF(OR(E16="",AN16=""),"",IF(COUNT(AG16:AM16)=0,"",AN16-LOOKUP(2,1/(AG16:AM16&lt;&gt;""),AG16:AM16)))</t>
        </is>
      </c>
      <c r="BB16" s="38" t="inlineStr">
        <is>
          <t>IF(OR(E16="",AO16=""),"",IF(COUNT(AG16:AN16)=0,"",AO16-LOOKUP(2,1/(AG16:AN16&lt;&gt;""),AG16:AN16)))</t>
        </is>
      </c>
      <c r="BC16" s="38" t="inlineStr">
        <is>
          <t>IF(OR(E16="",AP16=""),"",IF(COUNT(AG16:AO16)=0,"",AP16-LOOKUP(2,1/(AG16:AO16&lt;&gt;""),AG16:AO16)))</t>
        </is>
      </c>
      <c r="BD16" s="38" t="inlineStr">
        <is>
          <t>IF(OR(E16="",AQ16=""),"",IF(COUNT(AG16:AP16)=0,"",AQ16-LOOKUP(2,1/(AG16:AP16&lt;&gt;""),AG16:AP16)))</t>
        </is>
      </c>
      <c r="BE16" s="38" t="inlineStr">
        <is>
          <t>IF(OR(E16="",AR16=""),"",IF(COUNT(AG16:AQ16)=0,"",AR16-LOOKUP(2,1/(AG16:AQ16&lt;&gt;""),AG16:AQ16)))</t>
        </is>
      </c>
      <c r="BF16" s="38" t="inlineStr">
        <is>
          <t>IF(OR(E16="",AS16=""),"",IF(COUNT(AG16:AR16)=0,"",AS16-LOOKUP(2,1/(AG16:AR16&lt;&gt;""),AG16:AR16)))</t>
        </is>
      </c>
      <c r="BG16" s="38" t="inlineStr">
        <is>
          <t>IF(OR(E16="",AT16=""),"",IF(COUNT(AG16:AS16)=0,"",AT16-LOOKUP(2,1/(AG16:AS16&lt;&gt;""),AG16:AS16)))</t>
        </is>
      </c>
      <c r="BH16" s="41" t="inlineStr">
        <is>
          <t>IF(G16="","All_Provinces",IFERROR(VLOOKUP(G16,'07_Lookups'!$A$4:$B$20,2,FALSE),"All_Provinces"))</t>
        </is>
      </c>
      <c r="BI16" s="41" t="inlineStr">
        <is>
          <t>IF(H16="","All_Districts",IFERROR(VLOOKUP(H16,'07_Lookups'!$E$4:$F$42,2,FALSE),"All_Districts"))</t>
        </is>
      </c>
    </row>
    <row r="17" ht="18" customHeight="1">
      <c r="A17" s="32" t="inlineStr">
        <is>
          <t>IF(E17="","",ROW()-3)</t>
        </is>
      </c>
      <c r="B17" s="42" t="inlineStr">
        <is>
          <t>AF2-IS-A-014</t>
        </is>
      </c>
      <c r="C17" s="42" t="inlineStr">
        <is>
          <t>Emergency Food Security Project (EFSP) – WBK/AF-2</t>
        </is>
      </c>
      <c r="D17" s="42" t="inlineStr">
        <is>
          <t>Package #11-AF2 IS: Rehabilitation of Musahi Sufla canal irrigation schemes, located in Musahi districts of Kabul province.</t>
        </is>
      </c>
      <c r="E17" s="42" t="inlineStr">
        <is>
          <t>Musahi Sufla Canal irrigation Scheme</t>
        </is>
      </c>
      <c r="F17" s="42" t="inlineStr">
        <is>
          <t>Irrigation Canal</t>
        </is>
      </c>
      <c r="G17" s="42" t="inlineStr">
        <is>
          <t>Central / Kabul</t>
        </is>
      </c>
      <c r="H17" s="42" t="inlineStr">
        <is>
          <t>Kabul</t>
        </is>
      </c>
      <c r="I17" s="42" t="inlineStr">
        <is>
          <t>Musahi</t>
        </is>
      </c>
      <c r="J17" s="42" t="inlineStr">
        <is>
          <t>Musahi Sufla</t>
        </is>
      </c>
      <c r="K17" s="42" t="inlineStr">
        <is>
          <t>World Bank (WBK/AF-2)</t>
        </is>
      </c>
      <c r="L17" s="42" t="inlineStr">
        <is>
          <t>Awarded</t>
        </is>
      </c>
      <c r="M17" s="42" t="inlineStr">
        <is>
          <t>On/off-farm irrigation</t>
        </is>
      </c>
      <c r="N17" s="42" t="inlineStr">
        <is>
          <t>1.Awarded contracts_On&amp;off-farm</t>
        </is>
      </c>
      <c r="O17" s="42" t="inlineStr">
        <is>
          <t>Seddiq Amini Construction and Logistic Services (SACC)</t>
        </is>
      </c>
      <c r="P17" s="42" t="inlineStr">
        <is>
          <t>056/2025</t>
        </is>
      </c>
      <c r="Q17" s="43" t="n">
        <v>196473.81</v>
      </c>
      <c r="R17" s="35" t="inlineStr">
        <is>
          <t>IF(AO17="","",AO17)</t>
        </is>
      </c>
      <c r="S17" s="44" t="n"/>
      <c r="T17" s="45" t="n">
        <v>12</v>
      </c>
      <c r="U17" s="44" t="n">
        <v>46321</v>
      </c>
      <c r="V17" s="35" t="inlineStr">
        <is>
          <t>IF(U17&lt;&gt;"",U17,IF(OR(R17="",T17=""),"",EDATE(R17,T17)))</t>
        </is>
      </c>
      <c r="W17" s="44" t="n"/>
      <c r="X17" s="45" t="n">
        <v>98</v>
      </c>
      <c r="Y17" s="42" t="inlineStr">
        <is>
          <t>Completed / Handover</t>
        </is>
      </c>
      <c r="Z17" s="42" t="inlineStr">
        <is>
          <t>on track and will be completed in Oct. 2026</t>
        </is>
      </c>
      <c r="AA17" s="32" t="inlineStr">
        <is>
          <t>IF(E17="","",IF(COUNT(AG17:AT17)=0,IF(Y17="","Not started",Y17),SUBSTITUTE(LOOKUP(2,1/(AG17:AT17&lt;&gt;""),$AG$3:$AT$3),"Date: ","")))</t>
        </is>
      </c>
      <c r="AB17" s="38" t="inlineStr">
        <is>
          <t>IF(OR(E17="",COUNT(AG17:AT17)=0),"",TODAY()-LOOKUP(2,1/(AG17:AT17&lt;&gt;""),AG17:AT17))</t>
        </is>
      </c>
      <c r="AC17" s="38" t="inlineStr">
        <is>
          <t>IF(OR(E17="",COUNT(AG17:AT17)&lt;2),"",LOOKUP(2,1/(AG17:AT17&lt;&gt;""),AG17:AT17)-MIN(AG17:AT17))</t>
        </is>
      </c>
      <c r="AD17" s="38" t="inlineStr">
        <is>
          <t>IF(OR(AB17="",AA17="Not started",AA17=""),"",IFERROR(AB17-IF(VLOOKUP(AA17,'04_Status_Pipeline'!$B$3:$E$20,4,FALSE)="",0,VLOOKUP(AA17,'04_Status_Pipeline'!$B$3:$E$20,4,FALSE)),""))</t>
        </is>
      </c>
      <c r="AE17" s="32" t="inlineStr">
        <is>
          <t>IF(E17="","",IF(OR(Y17="Cancelled",AA17="Cancelled"),"Cancelled",IF(OR(AA17="Completed / Handover",W17&lt;&gt;"",X17&gt;=100),"Completed — on track",IF(L17="Remaining",IF(S17="",IF(V17="","No planned date",IF(TODAY()&gt;V17,"Behind — past planned date",IF(V17-TODAY()&lt;=30,"At risk — close to off track","On track"))),IF(TODAY()&gt;S17,"Behind — award date passed",IF(S17-TODAY()&lt;=30,"At risk — close to off track","On track"))),IF(V17="","No planned date",IF(AND(TODAY()&gt;V17,OR(X17="",X17&lt;100)),"Behind — past end date",IF(AND(R17&lt;&gt;"",V17&lt;&gt;"",X17&lt;&gt;"",(X17&lt;100),((TODAY()-R17)/MAX(V17-R17,1)*100)-X17&gt;15),"Behind — progress lag",IF(AND(V17-TODAY()&lt;=30,V17-TODAY()&gt;=0,OR(X17="",X17&lt;90)),"At risk — close to off track","On track"))))))))</t>
        </is>
      </c>
      <c r="AF17" s="38" t="inlineStr">
        <is>
          <t>IF(OR(E17="",AA17="Completed / Handover",AA17="Cancelled"),"",IF(L17="Remaining",IF(S17&lt;&gt;"",S17-TODAY(),IF(V17="","",V17-TODAY())),IF(V17="","",V17-TODAY())))</t>
        </is>
      </c>
      <c r="AG17" s="39" t="n"/>
      <c r="AH17" s="39" t="n"/>
      <c r="AI17" s="39" t="n"/>
      <c r="AJ17" s="39" t="n"/>
      <c r="AK17" s="39" t="n"/>
      <c r="AL17" s="39" t="n"/>
      <c r="AM17" s="39" t="n"/>
      <c r="AN17" s="39" t="n"/>
      <c r="AO17" s="39" t="n">
        <v>45957</v>
      </c>
      <c r="AP17" s="39" t="n">
        <v>45957</v>
      </c>
      <c r="AQ17" s="39" t="n">
        <v>46321</v>
      </c>
      <c r="AR17" s="40" t="n"/>
      <c r="AS17" s="40" t="n"/>
      <c r="AT17" s="40" t="n"/>
      <c r="AU17" s="38" t="inlineStr">
        <is>
          <t>IF(OR(E17="",AH17=""),"",IF(COUNT(AG17:AG17)=0,"",AH17-LOOKUP(2,1/(AG17:AG17&lt;&gt;""),AG17:AG17)))</t>
        </is>
      </c>
      <c r="AV17" s="38" t="inlineStr">
        <is>
          <t>IF(OR(E17="",AI17=""),"",IF(COUNT(AG17:AH17)=0,"",AI17-LOOKUP(2,1/(AG17:AH17&lt;&gt;""),AG17:AH17)))</t>
        </is>
      </c>
      <c r="AW17" s="38" t="inlineStr">
        <is>
          <t>IF(OR(E17="",AJ17=""),"",IF(COUNT(AG17:AI17)=0,"",AJ17-LOOKUP(2,1/(AG17:AI17&lt;&gt;""),AG17:AI17)))</t>
        </is>
      </c>
      <c r="AX17" s="38" t="inlineStr">
        <is>
          <t>IF(OR(E17="",AK17=""),"",IF(COUNT(AG17:AJ17)=0,"",AK17-LOOKUP(2,1/(AG17:AJ17&lt;&gt;""),AG17:AJ17)))</t>
        </is>
      </c>
      <c r="AY17" s="38" t="inlineStr">
        <is>
          <t>IF(OR(E17="",AL17=""),"",IF(COUNT(AG17:AK17)=0,"",AL17-LOOKUP(2,1/(AG17:AK17&lt;&gt;""),AG17:AK17)))</t>
        </is>
      </c>
      <c r="AZ17" s="38" t="inlineStr">
        <is>
          <t>IF(OR(E17="",AM17=""),"",IF(COUNT(AG17:AL17)=0,"",AM17-LOOKUP(2,1/(AG17:AL17&lt;&gt;""),AG17:AL17)))</t>
        </is>
      </c>
      <c r="BA17" s="38" t="inlineStr">
        <is>
          <t>IF(OR(E17="",AN17=""),"",IF(COUNT(AG17:AM17)=0,"",AN17-LOOKUP(2,1/(AG17:AM17&lt;&gt;""),AG17:AM17)))</t>
        </is>
      </c>
      <c r="BB17" s="38" t="inlineStr">
        <is>
          <t>IF(OR(E17="",AO17=""),"",IF(COUNT(AG17:AN17)=0,"",AO17-LOOKUP(2,1/(AG17:AN17&lt;&gt;""),AG17:AN17)))</t>
        </is>
      </c>
      <c r="BC17" s="38" t="inlineStr">
        <is>
          <t>IF(OR(E17="",AP17=""),"",IF(COUNT(AG17:AO17)=0,"",AP17-LOOKUP(2,1/(AG17:AO17&lt;&gt;""),AG17:AO17)))</t>
        </is>
      </c>
      <c r="BD17" s="38" t="inlineStr">
        <is>
          <t>IF(OR(E17="",AQ17=""),"",IF(COUNT(AG17:AP17)=0,"",AQ17-LOOKUP(2,1/(AG17:AP17&lt;&gt;""),AG17:AP17)))</t>
        </is>
      </c>
      <c r="BE17" s="38" t="inlineStr">
        <is>
          <t>IF(OR(E17="",AR17=""),"",IF(COUNT(AG17:AQ17)=0,"",AR17-LOOKUP(2,1/(AG17:AQ17&lt;&gt;""),AG17:AQ17)))</t>
        </is>
      </c>
      <c r="BF17" s="38" t="inlineStr">
        <is>
          <t>IF(OR(E17="",AS17=""),"",IF(COUNT(AG17:AR17)=0,"",AS17-LOOKUP(2,1/(AG17:AR17&lt;&gt;""),AG17:AR17)))</t>
        </is>
      </c>
      <c r="BG17" s="38" t="inlineStr">
        <is>
          <t>IF(OR(E17="",AT17=""),"",IF(COUNT(AG17:AS17)=0,"",AT17-LOOKUP(2,1/(AG17:AS17&lt;&gt;""),AG17:AS17)))</t>
        </is>
      </c>
      <c r="BH17" s="41" t="inlineStr">
        <is>
          <t>IF(G17="","All_Provinces",IFERROR(VLOOKUP(G17,'07_Lookups'!$A$4:$B$20,2,FALSE),"All_Provinces"))</t>
        </is>
      </c>
      <c r="BI17" s="41" t="inlineStr">
        <is>
          <t>IF(H17="","All_Districts",IFERROR(VLOOKUP(H17,'07_Lookups'!$E$4:$F$42,2,FALSE),"All_Districts"))</t>
        </is>
      </c>
    </row>
    <row r="18" ht="18" customHeight="1">
      <c r="A18" s="32" t="inlineStr">
        <is>
          <t>IF(E18="","",ROW()-3)</t>
        </is>
      </c>
      <c r="B18" s="33" t="inlineStr">
        <is>
          <t>AF2-IS-A-015</t>
        </is>
      </c>
      <c r="C18" s="33" t="inlineStr">
        <is>
          <t>Emergency Food Security Project (EFSP) – WBK/AF-2</t>
        </is>
      </c>
      <c r="D18" s="33" t="inlineStr">
        <is>
          <t>Package #14-AF2 IS: Rehabilitation of Zard Sang and Topchi Cluster Canal Irrigation scheme, located in Center district of Bamyan province.</t>
        </is>
      </c>
      <c r="E18" s="33" t="inlineStr">
        <is>
          <t>Sar Qul Topchi canal irrigation schemes</t>
        </is>
      </c>
      <c r="F18" s="33" t="inlineStr">
        <is>
          <t>Irrigation Canal</t>
        </is>
      </c>
      <c r="G18" s="33" t="inlineStr">
        <is>
          <t>Central Highland / Bamyan</t>
        </is>
      </c>
      <c r="H18" s="33" t="inlineStr">
        <is>
          <t>Bamyan</t>
        </is>
      </c>
      <c r="I18" s="33" t="inlineStr">
        <is>
          <t>Center</t>
        </is>
      </c>
      <c r="J18" s="33" t="inlineStr">
        <is>
          <t>Topchi</t>
        </is>
      </c>
      <c r="K18" s="33" t="inlineStr">
        <is>
          <t>World Bank (WBK/AF-2)</t>
        </is>
      </c>
      <c r="L18" s="33" t="inlineStr">
        <is>
          <t>Awarded</t>
        </is>
      </c>
      <c r="M18" s="33" t="inlineStr">
        <is>
          <t>On/off-farm irrigation</t>
        </is>
      </c>
      <c r="N18" s="33" t="inlineStr">
        <is>
          <t>1.Awarded contracts_On&amp;off-farm</t>
        </is>
      </c>
      <c r="O18" s="33" t="inlineStr">
        <is>
          <t>Nomae Shahr Construction Company (NSCC)</t>
        </is>
      </c>
      <c r="P18" s="33" t="inlineStr">
        <is>
          <t>002/2026</t>
        </is>
      </c>
      <c r="Q18" s="34" t="n">
        <v>165609.67</v>
      </c>
      <c r="R18" s="35" t="inlineStr">
        <is>
          <t>IF(AO18="","",AO18)</t>
        </is>
      </c>
      <c r="S18" s="36" t="n"/>
      <c r="T18" s="37" t="n">
        <v>12</v>
      </c>
      <c r="U18" s="36" t="n">
        <v>46410</v>
      </c>
      <c r="V18" s="35" t="inlineStr">
        <is>
          <t>IF(U18&lt;&gt;"",U18,IF(OR(R18="",T18=""),"",EDATE(R18,T18)))</t>
        </is>
      </c>
      <c r="W18" s="36" t="n"/>
      <c r="X18" s="37" t="n">
        <v>85</v>
      </c>
      <c r="Y18" s="33" t="inlineStr">
        <is>
          <t>Completed / Handover</t>
        </is>
      </c>
      <c r="Z18" s="33" t="inlineStr">
        <is>
          <t>on track and will be completed in 2026</t>
        </is>
      </c>
      <c r="AA18" s="32" t="inlineStr">
        <is>
          <t>IF(E18="","",IF(COUNT(AG18:AT18)=0,IF(Y18="","Not started",Y18),SUBSTITUTE(LOOKUP(2,1/(AG18:AT18&lt;&gt;""),$AG$3:$AT$3),"Date: ","")))</t>
        </is>
      </c>
      <c r="AB18" s="38" t="inlineStr">
        <is>
          <t>IF(OR(E18="",COUNT(AG18:AT18)=0),"",TODAY()-LOOKUP(2,1/(AG18:AT18&lt;&gt;""),AG18:AT18))</t>
        </is>
      </c>
      <c r="AC18" s="38" t="inlineStr">
        <is>
          <t>IF(OR(E18="",COUNT(AG18:AT18)&lt;2),"",LOOKUP(2,1/(AG18:AT18&lt;&gt;""),AG18:AT18)-MIN(AG18:AT18))</t>
        </is>
      </c>
      <c r="AD18" s="38" t="inlineStr">
        <is>
          <t>IF(OR(AB18="",AA18="Not started",AA18=""),"",IFERROR(AB18-IF(VLOOKUP(AA18,'04_Status_Pipeline'!$B$3:$E$20,4,FALSE)="",0,VLOOKUP(AA18,'04_Status_Pipeline'!$B$3:$E$20,4,FALSE)),""))</t>
        </is>
      </c>
      <c r="AE18" s="32" t="inlineStr">
        <is>
          <t>IF(E18="","",IF(OR(Y18="Cancelled",AA18="Cancelled"),"Cancelled",IF(OR(AA18="Completed / Handover",W18&lt;&gt;"",X18&gt;=100),"Completed — on track",IF(L18="Remaining",IF(S18="",IF(V18="","No planned date",IF(TODAY()&gt;V18,"Behind — past planned date",IF(V18-TODAY()&lt;=30,"At risk — close to off track","On track"))),IF(TODAY()&gt;S18,"Behind — award date passed",IF(S18-TODAY()&lt;=30,"At risk — close to off track","On track"))),IF(V18="","No planned date",IF(AND(TODAY()&gt;V18,OR(X18="",X18&lt;100)),"Behind — past end date",IF(AND(R18&lt;&gt;"",V18&lt;&gt;"",X18&lt;&gt;"",(X18&lt;100),((TODAY()-R18)/MAX(V18-R18,1)*100)-X18&gt;15),"Behind — progress lag",IF(AND(V18-TODAY()&lt;=30,V18-TODAY()&gt;=0,OR(X18="",X18&lt;90)),"At risk — close to off track","On track"))))))))</t>
        </is>
      </c>
      <c r="AF18" s="38" t="inlineStr">
        <is>
          <t>IF(OR(E18="",AA18="Completed / Handover",AA18="Cancelled"),"",IF(L18="Remaining",IF(S18&lt;&gt;"",S18-TODAY(),IF(V18="","",V18-TODAY())),IF(V18="","",V18-TODAY())))</t>
        </is>
      </c>
      <c r="AG18" s="39" t="n"/>
      <c r="AH18" s="39" t="n"/>
      <c r="AI18" s="39" t="n"/>
      <c r="AJ18" s="39" t="n"/>
      <c r="AK18" s="39" t="n"/>
      <c r="AL18" s="39" t="n"/>
      <c r="AM18" s="39" t="n"/>
      <c r="AN18" s="39" t="n"/>
      <c r="AO18" s="39" t="n">
        <v>46046</v>
      </c>
      <c r="AP18" s="39" t="n">
        <v>46046</v>
      </c>
      <c r="AQ18" s="39" t="n">
        <v>46410</v>
      </c>
      <c r="AR18" s="40" t="n"/>
      <c r="AS18" s="40" t="n"/>
      <c r="AT18" s="40" t="n"/>
      <c r="AU18" s="38" t="inlineStr">
        <is>
          <t>IF(OR(E18="",AH18=""),"",IF(COUNT(AG18:AG18)=0,"",AH18-LOOKUP(2,1/(AG18:AG18&lt;&gt;""),AG18:AG18)))</t>
        </is>
      </c>
      <c r="AV18" s="38" t="inlineStr">
        <is>
          <t>IF(OR(E18="",AI18=""),"",IF(COUNT(AG18:AH18)=0,"",AI18-LOOKUP(2,1/(AG18:AH18&lt;&gt;""),AG18:AH18)))</t>
        </is>
      </c>
      <c r="AW18" s="38" t="inlineStr">
        <is>
          <t>IF(OR(E18="",AJ18=""),"",IF(COUNT(AG18:AI18)=0,"",AJ18-LOOKUP(2,1/(AG18:AI18&lt;&gt;""),AG18:AI18)))</t>
        </is>
      </c>
      <c r="AX18" s="38" t="inlineStr">
        <is>
          <t>IF(OR(E18="",AK18=""),"",IF(COUNT(AG18:AJ18)=0,"",AK18-LOOKUP(2,1/(AG18:AJ18&lt;&gt;""),AG18:AJ18)))</t>
        </is>
      </c>
      <c r="AY18" s="38" t="inlineStr">
        <is>
          <t>IF(OR(E18="",AL18=""),"",IF(COUNT(AG18:AK18)=0,"",AL18-LOOKUP(2,1/(AG18:AK18&lt;&gt;""),AG18:AK18)))</t>
        </is>
      </c>
      <c r="AZ18" s="38" t="inlineStr">
        <is>
          <t>IF(OR(E18="",AM18=""),"",IF(COUNT(AG18:AL18)=0,"",AM18-LOOKUP(2,1/(AG18:AL18&lt;&gt;""),AG18:AL18)))</t>
        </is>
      </c>
      <c r="BA18" s="38" t="inlineStr">
        <is>
          <t>IF(OR(E18="",AN18=""),"",IF(COUNT(AG18:AM18)=0,"",AN18-LOOKUP(2,1/(AG18:AM18&lt;&gt;""),AG18:AM18)))</t>
        </is>
      </c>
      <c r="BB18" s="38" t="inlineStr">
        <is>
          <t>IF(OR(E18="",AO18=""),"",IF(COUNT(AG18:AN18)=0,"",AO18-LOOKUP(2,1/(AG18:AN18&lt;&gt;""),AG18:AN18)))</t>
        </is>
      </c>
      <c r="BC18" s="38" t="inlineStr">
        <is>
          <t>IF(OR(E18="",AP18=""),"",IF(COUNT(AG18:AO18)=0,"",AP18-LOOKUP(2,1/(AG18:AO18&lt;&gt;""),AG18:AO18)))</t>
        </is>
      </c>
      <c r="BD18" s="38" t="inlineStr">
        <is>
          <t>IF(OR(E18="",AQ18=""),"",IF(COUNT(AG18:AP18)=0,"",AQ18-LOOKUP(2,1/(AG18:AP18&lt;&gt;""),AG18:AP18)))</t>
        </is>
      </c>
      <c r="BE18" s="38" t="inlineStr">
        <is>
          <t>IF(OR(E18="",AR18=""),"",IF(COUNT(AG18:AQ18)=0,"",AR18-LOOKUP(2,1/(AG18:AQ18&lt;&gt;""),AG18:AQ18)))</t>
        </is>
      </c>
      <c r="BF18" s="38" t="inlineStr">
        <is>
          <t>IF(OR(E18="",AS18=""),"",IF(COUNT(AG18:AR18)=0,"",AS18-LOOKUP(2,1/(AG18:AR18&lt;&gt;""),AG18:AR18)))</t>
        </is>
      </c>
      <c r="BG18" s="38" t="inlineStr">
        <is>
          <t>IF(OR(E18="",AT18=""),"",IF(COUNT(AG18:AS18)=0,"",AT18-LOOKUP(2,1/(AG18:AS18&lt;&gt;""),AG18:AS18)))</t>
        </is>
      </c>
      <c r="BH18" s="41" t="inlineStr">
        <is>
          <t>IF(G18="","All_Provinces",IFERROR(VLOOKUP(G18,'07_Lookups'!$A$4:$B$20,2,FALSE),"All_Provinces"))</t>
        </is>
      </c>
      <c r="BI18" s="41" t="inlineStr">
        <is>
          <t>IF(H18="","All_Districts",IFERROR(VLOOKUP(H18,'07_Lookups'!$E$4:$F$42,2,FALSE),"All_Districts"))</t>
        </is>
      </c>
    </row>
    <row r="19" ht="18" customHeight="1">
      <c r="A19" s="32" t="inlineStr">
        <is>
          <t>IF(E19="","",ROW()-3)</t>
        </is>
      </c>
      <c r="B19" s="42" t="inlineStr">
        <is>
          <t>AF2-IS-A-016</t>
        </is>
      </c>
      <c r="C19" s="42" t="inlineStr">
        <is>
          <t>Emergency Food Security Project (EFSP) – WBK/AF-2</t>
        </is>
      </c>
      <c r="D19" s="42" t="inlineStr">
        <is>
          <t>Package #14-AF2 IS: Rehabilitation of Zard Sang and Topchi Cluster Canal Irrigation scheme, located in Center district of Bamyan province.</t>
        </is>
      </c>
      <c r="E19" s="42" t="inlineStr">
        <is>
          <t>Zard Sang canal irrigation schemes</t>
        </is>
      </c>
      <c r="F19" s="42" t="inlineStr">
        <is>
          <t>Irrigation Canal</t>
        </is>
      </c>
      <c r="G19" s="42" t="inlineStr">
        <is>
          <t>Central Highland / Bamyan</t>
        </is>
      </c>
      <c r="H19" s="42" t="inlineStr"/>
      <c r="I19" s="42" t="inlineStr"/>
      <c r="J19" s="42" t="inlineStr">
        <is>
          <t>Zard Sang</t>
        </is>
      </c>
      <c r="K19" s="42" t="inlineStr">
        <is>
          <t>World Bank (WBK/AF-2)</t>
        </is>
      </c>
      <c r="L19" s="42" t="inlineStr">
        <is>
          <t>Awarded</t>
        </is>
      </c>
      <c r="M19" s="42" t="inlineStr">
        <is>
          <t>On/off-farm irrigation</t>
        </is>
      </c>
      <c r="N19" s="42" t="inlineStr">
        <is>
          <t>1.Awarded contracts_On&amp;off-farm</t>
        </is>
      </c>
      <c r="O19" s="42" t="inlineStr">
        <is>
          <t>Nomae Shahr Construction Company (NSCC)</t>
        </is>
      </c>
      <c r="P19" s="42" t="inlineStr">
        <is>
          <t>002/2026</t>
        </is>
      </c>
      <c r="Q19" s="43" t="n">
        <v>143050.83</v>
      </c>
      <c r="R19" s="35" t="inlineStr">
        <is>
          <t>IF(AO19="","",AO19)</t>
        </is>
      </c>
      <c r="S19" s="44" t="n"/>
      <c r="T19" s="45" t="n">
        <v>12</v>
      </c>
      <c r="U19" s="44" t="n">
        <v>46410</v>
      </c>
      <c r="V19" s="35" t="inlineStr">
        <is>
          <t>IF(U19&lt;&gt;"",U19,IF(OR(R19="",T19=""),"",EDATE(R19,T19)))</t>
        </is>
      </c>
      <c r="W19" s="44" t="n"/>
      <c r="X19" s="45" t="n">
        <v>70</v>
      </c>
      <c r="Y19" s="42" t="inlineStr">
        <is>
          <t>Completed / Handover</t>
        </is>
      </c>
      <c r="Z19" s="42" t="inlineStr">
        <is>
          <t>on track and will be completed in 2027</t>
        </is>
      </c>
      <c r="AA19" s="32" t="inlineStr">
        <is>
          <t>IF(E19="","",IF(COUNT(AG19:AT19)=0,IF(Y19="","Not started",Y19),SUBSTITUTE(LOOKUP(2,1/(AG19:AT19&lt;&gt;""),$AG$3:$AT$3),"Date: ","")))</t>
        </is>
      </c>
      <c r="AB19" s="38" t="inlineStr">
        <is>
          <t>IF(OR(E19="",COUNT(AG19:AT19)=0),"",TODAY()-LOOKUP(2,1/(AG19:AT19&lt;&gt;""),AG19:AT19))</t>
        </is>
      </c>
      <c r="AC19" s="38" t="inlineStr">
        <is>
          <t>IF(OR(E19="",COUNT(AG19:AT19)&lt;2),"",LOOKUP(2,1/(AG19:AT19&lt;&gt;""),AG19:AT19)-MIN(AG19:AT19))</t>
        </is>
      </c>
      <c r="AD19" s="38" t="inlineStr">
        <is>
          <t>IF(OR(AB19="",AA19="Not started",AA19=""),"",IFERROR(AB19-IF(VLOOKUP(AA19,'04_Status_Pipeline'!$B$3:$E$20,4,FALSE)="",0,VLOOKUP(AA19,'04_Status_Pipeline'!$B$3:$E$20,4,FALSE)),""))</t>
        </is>
      </c>
      <c r="AE19" s="32" t="inlineStr">
        <is>
          <t>IF(E19="","",IF(OR(Y19="Cancelled",AA19="Cancelled"),"Cancelled",IF(OR(AA19="Completed / Handover",W19&lt;&gt;"",X19&gt;=100),"Completed — on track",IF(L19="Remaining",IF(S19="",IF(V19="","No planned date",IF(TODAY()&gt;V19,"Behind — past planned date",IF(V19-TODAY()&lt;=30,"At risk — close to off track","On track"))),IF(TODAY()&gt;S19,"Behind — award date passed",IF(S19-TODAY()&lt;=30,"At risk — close to off track","On track"))),IF(V19="","No planned date",IF(AND(TODAY()&gt;V19,OR(X19="",X19&lt;100)),"Behind — past end date",IF(AND(R19&lt;&gt;"",V19&lt;&gt;"",X19&lt;&gt;"",(X19&lt;100),((TODAY()-R19)/MAX(V19-R19,1)*100)-X19&gt;15),"Behind — progress lag",IF(AND(V19-TODAY()&lt;=30,V19-TODAY()&gt;=0,OR(X19="",X19&lt;90)),"At risk — close to off track","On track"))))))))</t>
        </is>
      </c>
      <c r="AF19" s="38" t="inlineStr">
        <is>
          <t>IF(OR(E19="",AA19="Completed / Handover",AA19="Cancelled"),"",IF(L19="Remaining",IF(S19&lt;&gt;"",S19-TODAY(),IF(V19="","",V19-TODAY())),IF(V19="","",V19-TODAY())))</t>
        </is>
      </c>
      <c r="AG19" s="39" t="n"/>
      <c r="AH19" s="39" t="n"/>
      <c r="AI19" s="39" t="n"/>
      <c r="AJ19" s="39" t="n"/>
      <c r="AK19" s="39" t="n"/>
      <c r="AL19" s="39" t="n"/>
      <c r="AM19" s="39" t="n"/>
      <c r="AN19" s="39" t="n"/>
      <c r="AO19" s="39" t="n">
        <v>46046</v>
      </c>
      <c r="AP19" s="39" t="n">
        <v>46046</v>
      </c>
      <c r="AQ19" s="39" t="n">
        <v>46410</v>
      </c>
      <c r="AR19" s="40" t="n"/>
      <c r="AS19" s="40" t="n"/>
      <c r="AT19" s="40" t="n"/>
      <c r="AU19" s="38" t="inlineStr">
        <is>
          <t>IF(OR(E19="",AH19=""),"",IF(COUNT(AG19:AG19)=0,"",AH19-LOOKUP(2,1/(AG19:AG19&lt;&gt;""),AG19:AG19)))</t>
        </is>
      </c>
      <c r="AV19" s="38" t="inlineStr">
        <is>
          <t>IF(OR(E19="",AI19=""),"",IF(COUNT(AG19:AH19)=0,"",AI19-LOOKUP(2,1/(AG19:AH19&lt;&gt;""),AG19:AH19)))</t>
        </is>
      </c>
      <c r="AW19" s="38" t="inlineStr">
        <is>
          <t>IF(OR(E19="",AJ19=""),"",IF(COUNT(AG19:AI19)=0,"",AJ19-LOOKUP(2,1/(AG19:AI19&lt;&gt;""),AG19:AI19)))</t>
        </is>
      </c>
      <c r="AX19" s="38" t="inlineStr">
        <is>
          <t>IF(OR(E19="",AK19=""),"",IF(COUNT(AG19:AJ19)=0,"",AK19-LOOKUP(2,1/(AG19:AJ19&lt;&gt;""),AG19:AJ19)))</t>
        </is>
      </c>
      <c r="AY19" s="38" t="inlineStr">
        <is>
          <t>IF(OR(E19="",AL19=""),"",IF(COUNT(AG19:AK19)=0,"",AL19-LOOKUP(2,1/(AG19:AK19&lt;&gt;""),AG19:AK19)))</t>
        </is>
      </c>
      <c r="AZ19" s="38" t="inlineStr">
        <is>
          <t>IF(OR(E19="",AM19=""),"",IF(COUNT(AG19:AL19)=0,"",AM19-LOOKUP(2,1/(AG19:AL19&lt;&gt;""),AG19:AL19)))</t>
        </is>
      </c>
      <c r="BA19" s="38" t="inlineStr">
        <is>
          <t>IF(OR(E19="",AN19=""),"",IF(COUNT(AG19:AM19)=0,"",AN19-LOOKUP(2,1/(AG19:AM19&lt;&gt;""),AG19:AM19)))</t>
        </is>
      </c>
      <c r="BB19" s="38" t="inlineStr">
        <is>
          <t>IF(OR(E19="",AO19=""),"",IF(COUNT(AG19:AN19)=0,"",AO19-LOOKUP(2,1/(AG19:AN19&lt;&gt;""),AG19:AN19)))</t>
        </is>
      </c>
      <c r="BC19" s="38" t="inlineStr">
        <is>
          <t>IF(OR(E19="",AP19=""),"",IF(COUNT(AG19:AO19)=0,"",AP19-LOOKUP(2,1/(AG19:AO19&lt;&gt;""),AG19:AO19)))</t>
        </is>
      </c>
      <c r="BD19" s="38" t="inlineStr">
        <is>
          <t>IF(OR(E19="",AQ19=""),"",IF(COUNT(AG19:AP19)=0,"",AQ19-LOOKUP(2,1/(AG19:AP19&lt;&gt;""),AG19:AP19)))</t>
        </is>
      </c>
      <c r="BE19" s="38" t="inlineStr">
        <is>
          <t>IF(OR(E19="",AR19=""),"",IF(COUNT(AG19:AQ19)=0,"",AR19-LOOKUP(2,1/(AG19:AQ19&lt;&gt;""),AG19:AQ19)))</t>
        </is>
      </c>
      <c r="BF19" s="38" t="inlineStr">
        <is>
          <t>IF(OR(E19="",AS19=""),"",IF(COUNT(AG19:AR19)=0,"",AS19-LOOKUP(2,1/(AG19:AR19&lt;&gt;""),AG19:AR19)))</t>
        </is>
      </c>
      <c r="BG19" s="38" t="inlineStr">
        <is>
          <t>IF(OR(E19="",AT19=""),"",IF(COUNT(AG19:AS19)=0,"",AT19-LOOKUP(2,1/(AG19:AS19&lt;&gt;""),AG19:AS19)))</t>
        </is>
      </c>
      <c r="BH19" s="41" t="inlineStr">
        <is>
          <t>IF(G19="","All_Provinces",IFERROR(VLOOKUP(G19,'07_Lookups'!$A$4:$B$20,2,FALSE),"All_Provinces"))</t>
        </is>
      </c>
      <c r="BI19" s="41" t="inlineStr">
        <is>
          <t>IF(H19="","All_Districts",IFERROR(VLOOKUP(H19,'07_Lookups'!$E$4:$F$42,2,FALSE),"All_Districts"))</t>
        </is>
      </c>
    </row>
    <row r="20" ht="18" customHeight="1">
      <c r="A20" s="32" t="inlineStr">
        <is>
          <t>IF(E20="","",ROW()-3)</t>
        </is>
      </c>
      <c r="B20" s="33" t="inlineStr">
        <is>
          <t>AF2-IS-A-017</t>
        </is>
      </c>
      <c r="C20" s="33" t="inlineStr">
        <is>
          <t>Emergency Food Security Project (EFSP) – WBK/AF-2</t>
        </is>
      </c>
      <c r="D20" s="33" t="inlineStr">
        <is>
          <t>Package #16-AF2 IS: Rehabilitation of Pato (Paye Raqul, Sangchal Takhomak and Kadalak) Cluster canal irrigation scheme in Pato district of Daykundi province</t>
        </is>
      </c>
      <c r="E20" s="33" t="inlineStr">
        <is>
          <t>Pato Irrigation Canal Cluster of (Paye Raqul, Sangchal Takhomak and Kadalak)</t>
        </is>
      </c>
      <c r="F20" s="33" t="inlineStr">
        <is>
          <t>Irrigation Canal</t>
        </is>
      </c>
      <c r="G20" s="33" t="inlineStr">
        <is>
          <t>Central Highland / Bamyan</t>
        </is>
      </c>
      <c r="H20" s="33" t="inlineStr">
        <is>
          <t>Daykundi</t>
        </is>
      </c>
      <c r="I20" s="33" t="inlineStr">
        <is>
          <t>Pato</t>
        </is>
      </c>
      <c r="J20" s="33" t="inlineStr">
        <is>
          <t>Paye Raqul, Sangchal Takhomak and Kadalak</t>
        </is>
      </c>
      <c r="K20" s="33" t="inlineStr">
        <is>
          <t>World Bank (WBK/AF-2)</t>
        </is>
      </c>
      <c r="L20" s="33" t="inlineStr">
        <is>
          <t>Awarded</t>
        </is>
      </c>
      <c r="M20" s="33" t="inlineStr">
        <is>
          <t>On/off-farm irrigation</t>
        </is>
      </c>
      <c r="N20" s="33" t="inlineStr">
        <is>
          <t>1.Awarded contracts_On&amp;off-farm</t>
        </is>
      </c>
      <c r="O20" s="33" t="inlineStr">
        <is>
          <t>Estehkam Baba Construction Company JV Tamadon Bamik Construction Company (EBCC)</t>
        </is>
      </c>
      <c r="P20" s="33" t="inlineStr">
        <is>
          <t>007/2026</t>
        </is>
      </c>
      <c r="Q20" s="34" t="n">
        <v>232647.5</v>
      </c>
      <c r="R20" s="35" t="inlineStr">
        <is>
          <t>IF(AO20="","",AO20)</t>
        </is>
      </c>
      <c r="S20" s="36" t="n"/>
      <c r="T20" s="37" t="n">
        <v>12</v>
      </c>
      <c r="U20" s="36" t="n">
        <v>46407</v>
      </c>
      <c r="V20" s="35" t="inlineStr">
        <is>
          <t>IF(U20&lt;&gt;"",U20,IF(OR(R20="",T20=""),"",EDATE(R20,T20)))</t>
        </is>
      </c>
      <c r="W20" s="36" t="n"/>
      <c r="X20" s="37" t="n">
        <v>100</v>
      </c>
      <c r="Y20" s="33" t="inlineStr">
        <is>
          <t>Completed / Handover</t>
        </is>
      </c>
      <c r="Z20" s="33" t="inlineStr">
        <is>
          <t>Completed in July 2026. | Actual completion: July. 2026</t>
        </is>
      </c>
      <c r="AA20" s="32" t="inlineStr">
        <is>
          <t>IF(E20="","",IF(COUNT(AG20:AT20)=0,IF(Y20="","Not started",Y20),SUBSTITUTE(LOOKUP(2,1/(AG20:AT20&lt;&gt;""),$AG$3:$AT$3),"Date: ","")))</t>
        </is>
      </c>
      <c r="AB20" s="38" t="inlineStr">
        <is>
          <t>IF(OR(E20="",COUNT(AG20:AT20)=0),"",TODAY()-LOOKUP(2,1/(AG20:AT20&lt;&gt;""),AG20:AT20))</t>
        </is>
      </c>
      <c r="AC20" s="38" t="inlineStr">
        <is>
          <t>IF(OR(E20="",COUNT(AG20:AT20)&lt;2),"",LOOKUP(2,1/(AG20:AT20&lt;&gt;""),AG20:AT20)-MIN(AG20:AT20))</t>
        </is>
      </c>
      <c r="AD20" s="38" t="inlineStr">
        <is>
          <t>IF(OR(AB20="",AA20="Not started",AA20=""),"",IFERROR(AB20-IF(VLOOKUP(AA20,'04_Status_Pipeline'!$B$3:$E$20,4,FALSE)="",0,VLOOKUP(AA20,'04_Status_Pipeline'!$B$3:$E$20,4,FALSE)),""))</t>
        </is>
      </c>
      <c r="AE20" s="32" t="inlineStr">
        <is>
          <t>IF(E20="","",IF(OR(Y20="Cancelled",AA20="Cancelled"),"Cancelled",IF(OR(AA20="Completed / Handover",W20&lt;&gt;"",X20&gt;=100),"Completed — on track",IF(L20="Remaining",IF(S20="",IF(V20="","No planned date",IF(TODAY()&gt;V20,"Behind — past planned date",IF(V20-TODAY()&lt;=30,"At risk — close to off track","On track"))),IF(TODAY()&gt;S20,"Behind — award date passed",IF(S20-TODAY()&lt;=30,"At risk — close to off track","On track"))),IF(V20="","No planned date",IF(AND(TODAY()&gt;V20,OR(X20="",X20&lt;100)),"Behind — past end date",IF(AND(R20&lt;&gt;"",V20&lt;&gt;"",X20&lt;&gt;"",(X20&lt;100),((TODAY()-R20)/MAX(V20-R20,1)*100)-X20&gt;15),"Behind — progress lag",IF(AND(V20-TODAY()&lt;=30,V20-TODAY()&gt;=0,OR(X20="",X20&lt;90)),"At risk — close to off track","On track"))))))))</t>
        </is>
      </c>
      <c r="AF20" s="38" t="inlineStr">
        <is>
          <t>IF(OR(E20="",AA20="Completed / Handover",AA20="Cancelled"),"",IF(L20="Remaining",IF(S20&lt;&gt;"",S20-TODAY(),IF(V20="","",V20-TODAY())),IF(V20="","",V20-TODAY())))</t>
        </is>
      </c>
      <c r="AG20" s="39" t="n"/>
      <c r="AH20" s="39" t="n"/>
      <c r="AI20" s="39" t="n"/>
      <c r="AJ20" s="39" t="n"/>
      <c r="AK20" s="39" t="n"/>
      <c r="AL20" s="39" t="n"/>
      <c r="AM20" s="39" t="n"/>
      <c r="AN20" s="39" t="n"/>
      <c r="AO20" s="39" t="n">
        <v>46043</v>
      </c>
      <c r="AP20" s="39" t="n">
        <v>46043</v>
      </c>
      <c r="AQ20" s="39" t="n">
        <v>46407</v>
      </c>
      <c r="AR20" s="40" t="n"/>
      <c r="AS20" s="40" t="n"/>
      <c r="AT20" s="40" t="n"/>
      <c r="AU20" s="38" t="inlineStr">
        <is>
          <t>IF(OR(E20="",AH20=""),"",IF(COUNT(AG20:AG20)=0,"",AH20-LOOKUP(2,1/(AG20:AG20&lt;&gt;""),AG20:AG20)))</t>
        </is>
      </c>
      <c r="AV20" s="38" t="inlineStr">
        <is>
          <t>IF(OR(E20="",AI20=""),"",IF(COUNT(AG20:AH20)=0,"",AI20-LOOKUP(2,1/(AG20:AH20&lt;&gt;""),AG20:AH20)))</t>
        </is>
      </c>
      <c r="AW20" s="38" t="inlineStr">
        <is>
          <t>IF(OR(E20="",AJ20=""),"",IF(COUNT(AG20:AI20)=0,"",AJ20-LOOKUP(2,1/(AG20:AI20&lt;&gt;""),AG20:AI20)))</t>
        </is>
      </c>
      <c r="AX20" s="38" t="inlineStr">
        <is>
          <t>IF(OR(E20="",AK20=""),"",IF(COUNT(AG20:AJ20)=0,"",AK20-LOOKUP(2,1/(AG20:AJ20&lt;&gt;""),AG20:AJ20)))</t>
        </is>
      </c>
      <c r="AY20" s="38" t="inlineStr">
        <is>
          <t>IF(OR(E20="",AL20=""),"",IF(COUNT(AG20:AK20)=0,"",AL20-LOOKUP(2,1/(AG20:AK20&lt;&gt;""),AG20:AK20)))</t>
        </is>
      </c>
      <c r="AZ20" s="38" t="inlineStr">
        <is>
          <t>IF(OR(E20="",AM20=""),"",IF(COUNT(AG20:AL20)=0,"",AM20-LOOKUP(2,1/(AG20:AL20&lt;&gt;""),AG20:AL20)))</t>
        </is>
      </c>
      <c r="BA20" s="38" t="inlineStr">
        <is>
          <t>IF(OR(E20="",AN20=""),"",IF(COUNT(AG20:AM20)=0,"",AN20-LOOKUP(2,1/(AG20:AM20&lt;&gt;""),AG20:AM20)))</t>
        </is>
      </c>
      <c r="BB20" s="38" t="inlineStr">
        <is>
          <t>IF(OR(E20="",AO20=""),"",IF(COUNT(AG20:AN20)=0,"",AO20-LOOKUP(2,1/(AG20:AN20&lt;&gt;""),AG20:AN20)))</t>
        </is>
      </c>
      <c r="BC20" s="38" t="inlineStr">
        <is>
          <t>IF(OR(E20="",AP20=""),"",IF(COUNT(AG20:AO20)=0,"",AP20-LOOKUP(2,1/(AG20:AO20&lt;&gt;""),AG20:AO20)))</t>
        </is>
      </c>
      <c r="BD20" s="38" t="inlineStr">
        <is>
          <t>IF(OR(E20="",AQ20=""),"",IF(COUNT(AG20:AP20)=0,"",AQ20-LOOKUP(2,1/(AG20:AP20&lt;&gt;""),AG20:AP20)))</t>
        </is>
      </c>
      <c r="BE20" s="38" t="inlineStr">
        <is>
          <t>IF(OR(E20="",AR20=""),"",IF(COUNT(AG20:AQ20)=0,"",AR20-LOOKUP(2,1/(AG20:AQ20&lt;&gt;""),AG20:AQ20)))</t>
        </is>
      </c>
      <c r="BF20" s="38" t="inlineStr">
        <is>
          <t>IF(OR(E20="",AS20=""),"",IF(COUNT(AG20:AR20)=0,"",AS20-LOOKUP(2,1/(AG20:AR20&lt;&gt;""),AG20:AR20)))</t>
        </is>
      </c>
      <c r="BG20" s="38" t="inlineStr">
        <is>
          <t>IF(OR(E20="",AT20=""),"",IF(COUNT(AG20:AS20)=0,"",AT20-LOOKUP(2,1/(AG20:AS20&lt;&gt;""),AG20:AS20)))</t>
        </is>
      </c>
      <c r="BH20" s="41" t="inlineStr">
        <is>
          <t>IF(G20="","All_Provinces",IFERROR(VLOOKUP(G20,'07_Lookups'!$A$4:$B$20,2,FALSE),"All_Provinces"))</t>
        </is>
      </c>
      <c r="BI20" s="41" t="inlineStr">
        <is>
          <t>IF(H20="","All_Districts",IFERROR(VLOOKUP(H20,'07_Lookups'!$E$4:$F$42,2,FALSE),"All_Districts"))</t>
        </is>
      </c>
    </row>
    <row r="21" ht="18" customHeight="1">
      <c r="A21" s="32" t="inlineStr">
        <is>
          <t>IF(E21="","",ROW()-3)</t>
        </is>
      </c>
      <c r="B21" s="42" t="inlineStr">
        <is>
          <t>AF2-IS-A-018</t>
        </is>
      </c>
      <c r="C21" s="42" t="inlineStr">
        <is>
          <t>Emergency Food Security Project (EFSP) – WBK/AF-2</t>
        </is>
      </c>
      <c r="D21" s="42" t="inlineStr">
        <is>
          <t>Package #19-AF2 IS: Rehabilitation of Khwaja Angor canal and Qalai Wazir canal irrigation schemes located in Kharwar and Pol-i-Alam districts of Logar province.</t>
        </is>
      </c>
      <c r="E21" s="42" t="inlineStr">
        <is>
          <t>Khwaja Angor Irrigation Scheme (OFWM Project)</t>
        </is>
      </c>
      <c r="F21" s="42" t="inlineStr">
        <is>
          <t>Irrigation Canal</t>
        </is>
      </c>
      <c r="G21" s="42" t="inlineStr">
        <is>
          <t>Southeast / Gardez</t>
        </is>
      </c>
      <c r="H21" s="42" t="inlineStr">
        <is>
          <t>Logar</t>
        </is>
      </c>
      <c r="I21" s="42" t="inlineStr">
        <is>
          <t>Kharwar</t>
        </is>
      </c>
      <c r="J21" s="42" t="inlineStr">
        <is>
          <t>Khwaja Angor</t>
        </is>
      </c>
      <c r="K21" s="42" t="inlineStr">
        <is>
          <t>World Bank (WBK/AF-2)</t>
        </is>
      </c>
      <c r="L21" s="42" t="inlineStr">
        <is>
          <t>Awarded</t>
        </is>
      </c>
      <c r="M21" s="42" t="inlineStr">
        <is>
          <t>On/off-farm irrigation</t>
        </is>
      </c>
      <c r="N21" s="42" t="inlineStr">
        <is>
          <t>1.Awarded contracts_On&amp;off-farm</t>
        </is>
      </c>
      <c r="O21" s="42" t="inlineStr">
        <is>
          <t>Unique Wahaj Construction Company (UWCC)</t>
        </is>
      </c>
      <c r="P21" s="42" t="inlineStr">
        <is>
          <t>074/2026</t>
        </is>
      </c>
      <c r="Q21" s="43" t="n">
        <v>143249.77</v>
      </c>
      <c r="R21" s="35" t="inlineStr">
        <is>
          <t>IF(AO21="","",AO21)</t>
        </is>
      </c>
      <c r="S21" s="44" t="n"/>
      <c r="T21" s="45" t="n">
        <v>12</v>
      </c>
      <c r="U21" s="44" t="n">
        <v>46386</v>
      </c>
      <c r="V21" s="35" t="inlineStr">
        <is>
          <t>IF(U21&lt;&gt;"",U21,IF(OR(R21="",T21=""),"",EDATE(R21,T21)))</t>
        </is>
      </c>
      <c r="W21" s="44" t="n"/>
      <c r="X21" s="45" t="n">
        <v>98</v>
      </c>
      <c r="Y21" s="42" t="inlineStr">
        <is>
          <t>Completed / Handover</t>
        </is>
      </c>
      <c r="Z21" s="42" t="inlineStr">
        <is>
          <t>on track and will be completed in 2026</t>
        </is>
      </c>
      <c r="AA21" s="32" t="inlineStr">
        <is>
          <t>IF(E21="","",IF(COUNT(AG21:AT21)=0,IF(Y21="","Not started",Y21),SUBSTITUTE(LOOKUP(2,1/(AG21:AT21&lt;&gt;""),$AG$3:$AT$3),"Date: ","")))</t>
        </is>
      </c>
      <c r="AB21" s="38" t="inlineStr">
        <is>
          <t>IF(OR(E21="",COUNT(AG21:AT21)=0),"",TODAY()-LOOKUP(2,1/(AG21:AT21&lt;&gt;""),AG21:AT21))</t>
        </is>
      </c>
      <c r="AC21" s="38" t="inlineStr">
        <is>
          <t>IF(OR(E21="",COUNT(AG21:AT21)&lt;2),"",LOOKUP(2,1/(AG21:AT21&lt;&gt;""),AG21:AT21)-MIN(AG21:AT21))</t>
        </is>
      </c>
      <c r="AD21" s="38" t="inlineStr">
        <is>
          <t>IF(OR(AB21="",AA21="Not started",AA21=""),"",IFERROR(AB21-IF(VLOOKUP(AA21,'04_Status_Pipeline'!$B$3:$E$20,4,FALSE)="",0,VLOOKUP(AA21,'04_Status_Pipeline'!$B$3:$E$20,4,FALSE)),""))</t>
        </is>
      </c>
      <c r="AE21" s="32" t="inlineStr">
        <is>
          <t>IF(E21="","",IF(OR(Y21="Cancelled",AA21="Cancelled"),"Cancelled",IF(OR(AA21="Completed / Handover",W21&lt;&gt;"",X21&gt;=100),"Completed — on track",IF(L21="Remaining",IF(S21="",IF(V21="","No planned date",IF(TODAY()&gt;V21,"Behind — past planned date",IF(V21-TODAY()&lt;=30,"At risk — close to off track","On track"))),IF(TODAY()&gt;S21,"Behind — award date passed",IF(S21-TODAY()&lt;=30,"At risk — close to off track","On track"))),IF(V21="","No planned date",IF(AND(TODAY()&gt;V21,OR(X21="",X21&lt;100)),"Behind — past end date",IF(AND(R21&lt;&gt;"",V21&lt;&gt;"",X21&lt;&gt;"",(X21&lt;100),((TODAY()-R21)/MAX(V21-R21,1)*100)-X21&gt;15),"Behind — progress lag",IF(AND(V21-TODAY()&lt;=30,V21-TODAY()&gt;=0,OR(X21="",X21&lt;90)),"At risk — close to off track","On track"))))))))</t>
        </is>
      </c>
      <c r="AF21" s="38" t="inlineStr">
        <is>
          <t>IF(OR(E21="",AA21="Completed / Handover",AA21="Cancelled"),"",IF(L21="Remaining",IF(S21&lt;&gt;"",S21-TODAY(),IF(V21="","",V21-TODAY())),IF(V21="","",V21-TODAY())))</t>
        </is>
      </c>
      <c r="AG21" s="39" t="n"/>
      <c r="AH21" s="39" t="n"/>
      <c r="AI21" s="39" t="n"/>
      <c r="AJ21" s="39" t="n"/>
      <c r="AK21" s="39" t="n"/>
      <c r="AL21" s="39" t="n"/>
      <c r="AM21" s="39" t="n"/>
      <c r="AN21" s="39" t="n"/>
      <c r="AO21" s="39" t="n">
        <v>46022</v>
      </c>
      <c r="AP21" s="39" t="n">
        <v>46022</v>
      </c>
      <c r="AQ21" s="39" t="n">
        <v>46386</v>
      </c>
      <c r="AR21" s="40" t="n"/>
      <c r="AS21" s="40" t="n"/>
      <c r="AT21" s="40" t="n"/>
      <c r="AU21" s="38" t="inlineStr">
        <is>
          <t>IF(OR(E21="",AH21=""),"",IF(COUNT(AG21:AG21)=0,"",AH21-LOOKUP(2,1/(AG21:AG21&lt;&gt;""),AG21:AG21)))</t>
        </is>
      </c>
      <c r="AV21" s="38" t="inlineStr">
        <is>
          <t>IF(OR(E21="",AI21=""),"",IF(COUNT(AG21:AH21)=0,"",AI21-LOOKUP(2,1/(AG21:AH21&lt;&gt;""),AG21:AH21)))</t>
        </is>
      </c>
      <c r="AW21" s="38" t="inlineStr">
        <is>
          <t>IF(OR(E21="",AJ21=""),"",IF(COUNT(AG21:AI21)=0,"",AJ21-LOOKUP(2,1/(AG21:AI21&lt;&gt;""),AG21:AI21)))</t>
        </is>
      </c>
      <c r="AX21" s="38" t="inlineStr">
        <is>
          <t>IF(OR(E21="",AK21=""),"",IF(COUNT(AG21:AJ21)=0,"",AK21-LOOKUP(2,1/(AG21:AJ21&lt;&gt;""),AG21:AJ21)))</t>
        </is>
      </c>
      <c r="AY21" s="38" t="inlineStr">
        <is>
          <t>IF(OR(E21="",AL21=""),"",IF(COUNT(AG21:AK21)=0,"",AL21-LOOKUP(2,1/(AG21:AK21&lt;&gt;""),AG21:AK21)))</t>
        </is>
      </c>
      <c r="AZ21" s="38" t="inlineStr">
        <is>
          <t>IF(OR(E21="",AM21=""),"",IF(COUNT(AG21:AL21)=0,"",AM21-LOOKUP(2,1/(AG21:AL21&lt;&gt;""),AG21:AL21)))</t>
        </is>
      </c>
      <c r="BA21" s="38" t="inlineStr">
        <is>
          <t>IF(OR(E21="",AN21=""),"",IF(COUNT(AG21:AM21)=0,"",AN21-LOOKUP(2,1/(AG21:AM21&lt;&gt;""),AG21:AM21)))</t>
        </is>
      </c>
      <c r="BB21" s="38" t="inlineStr">
        <is>
          <t>IF(OR(E21="",AO21=""),"",IF(COUNT(AG21:AN21)=0,"",AO21-LOOKUP(2,1/(AG21:AN21&lt;&gt;""),AG21:AN21)))</t>
        </is>
      </c>
      <c r="BC21" s="38" t="inlineStr">
        <is>
          <t>IF(OR(E21="",AP21=""),"",IF(COUNT(AG21:AO21)=0,"",AP21-LOOKUP(2,1/(AG21:AO21&lt;&gt;""),AG21:AO21)))</t>
        </is>
      </c>
      <c r="BD21" s="38" t="inlineStr">
        <is>
          <t>IF(OR(E21="",AQ21=""),"",IF(COUNT(AG21:AP21)=0,"",AQ21-LOOKUP(2,1/(AG21:AP21&lt;&gt;""),AG21:AP21)))</t>
        </is>
      </c>
      <c r="BE21" s="38" t="inlineStr">
        <is>
          <t>IF(OR(E21="",AR21=""),"",IF(COUNT(AG21:AQ21)=0,"",AR21-LOOKUP(2,1/(AG21:AQ21&lt;&gt;""),AG21:AQ21)))</t>
        </is>
      </c>
      <c r="BF21" s="38" t="inlineStr">
        <is>
          <t>IF(OR(E21="",AS21=""),"",IF(COUNT(AG21:AR21)=0,"",AS21-LOOKUP(2,1/(AG21:AR21&lt;&gt;""),AG21:AR21)))</t>
        </is>
      </c>
      <c r="BG21" s="38" t="inlineStr">
        <is>
          <t>IF(OR(E21="",AT21=""),"",IF(COUNT(AG21:AS21)=0,"",AT21-LOOKUP(2,1/(AG21:AS21&lt;&gt;""),AG21:AS21)))</t>
        </is>
      </c>
      <c r="BH21" s="41" t="inlineStr">
        <is>
          <t>IF(G21="","All_Provinces",IFERROR(VLOOKUP(G21,'07_Lookups'!$A$4:$B$20,2,FALSE),"All_Provinces"))</t>
        </is>
      </c>
      <c r="BI21" s="41" t="inlineStr">
        <is>
          <t>IF(H21="","All_Districts",IFERROR(VLOOKUP(H21,'07_Lookups'!$E$4:$F$42,2,FALSE),"All_Districts"))</t>
        </is>
      </c>
    </row>
    <row r="22" ht="18" customHeight="1">
      <c r="A22" s="32" t="inlineStr">
        <is>
          <t>IF(E22="","",ROW()-3)</t>
        </is>
      </c>
      <c r="B22" s="33" t="inlineStr">
        <is>
          <t>AF2-IS-A-019</t>
        </is>
      </c>
      <c r="C22" s="33" t="inlineStr">
        <is>
          <t>Emergency Food Security Project (EFSP) – WBK/AF-2</t>
        </is>
      </c>
      <c r="D22" s="33" t="inlineStr">
        <is>
          <t>Package #19-AF2 IS: Rehabilitation of Khwaja Angor canal and Qalai Wazir canal irrigation schemes located in Kharwar and Pol-i-Alam districts of Logar province.</t>
        </is>
      </c>
      <c r="E22" s="33" t="inlineStr">
        <is>
          <t>Qalai Wazir Irrigation Scheme (OFWM Project)</t>
        </is>
      </c>
      <c r="F22" s="33" t="inlineStr">
        <is>
          <t>Irrigation Canal</t>
        </is>
      </c>
      <c r="G22" s="33" t="inlineStr">
        <is>
          <t>Southeast / Gardez</t>
        </is>
      </c>
      <c r="H22" s="33" t="inlineStr"/>
      <c r="I22" s="33" t="inlineStr">
        <is>
          <t>Pol-i-Alam</t>
        </is>
      </c>
      <c r="J22" s="33" t="inlineStr">
        <is>
          <t>Qalai Wazir</t>
        </is>
      </c>
      <c r="K22" s="33" t="inlineStr">
        <is>
          <t>World Bank (WBK/AF-2)</t>
        </is>
      </c>
      <c r="L22" s="33" t="inlineStr">
        <is>
          <t>Awarded</t>
        </is>
      </c>
      <c r="M22" s="33" t="inlineStr">
        <is>
          <t>On/off-farm irrigation</t>
        </is>
      </c>
      <c r="N22" s="33" t="inlineStr">
        <is>
          <t>1.Awarded contracts_On&amp;off-farm</t>
        </is>
      </c>
      <c r="O22" s="33" t="inlineStr">
        <is>
          <t>Unique Wahaj Construction Company (UWCC)</t>
        </is>
      </c>
      <c r="P22" s="33" t="inlineStr">
        <is>
          <t>074/2026</t>
        </is>
      </c>
      <c r="Q22" s="34" t="n">
        <v>239337.2</v>
      </c>
      <c r="R22" s="35" t="inlineStr">
        <is>
          <t>IF(AO22="","",AO22)</t>
        </is>
      </c>
      <c r="S22" s="36" t="n"/>
      <c r="T22" s="37" t="n">
        <v>12</v>
      </c>
      <c r="U22" s="36" t="n">
        <v>46386</v>
      </c>
      <c r="V22" s="35" t="inlineStr">
        <is>
          <t>IF(U22&lt;&gt;"",U22,IF(OR(R22="",T22=""),"",EDATE(R22,T22)))</t>
        </is>
      </c>
      <c r="W22" s="36" t="n"/>
      <c r="X22" s="37" t="n">
        <v>100</v>
      </c>
      <c r="Y22" s="33" t="inlineStr">
        <is>
          <t>Completed / Handover</t>
        </is>
      </c>
      <c r="Z22" s="33" t="inlineStr">
        <is>
          <t>Actual completion: Sep, 2026</t>
        </is>
      </c>
      <c r="AA22" s="32" t="inlineStr">
        <is>
          <t>IF(E22="","",IF(COUNT(AG22:AT22)=0,IF(Y22="","Not started",Y22),SUBSTITUTE(LOOKUP(2,1/(AG22:AT22&lt;&gt;""),$AG$3:$AT$3),"Date: ","")))</t>
        </is>
      </c>
      <c r="AB22" s="38" t="inlineStr">
        <is>
          <t>IF(OR(E22="",COUNT(AG22:AT22)=0),"",TODAY()-LOOKUP(2,1/(AG22:AT22&lt;&gt;""),AG22:AT22))</t>
        </is>
      </c>
      <c r="AC22" s="38" t="inlineStr">
        <is>
          <t>IF(OR(E22="",COUNT(AG22:AT22)&lt;2),"",LOOKUP(2,1/(AG22:AT22&lt;&gt;""),AG22:AT22)-MIN(AG22:AT22))</t>
        </is>
      </c>
      <c r="AD22" s="38" t="inlineStr">
        <is>
          <t>IF(OR(AB22="",AA22="Not started",AA22=""),"",IFERROR(AB22-IF(VLOOKUP(AA22,'04_Status_Pipeline'!$B$3:$E$20,4,FALSE)="",0,VLOOKUP(AA22,'04_Status_Pipeline'!$B$3:$E$20,4,FALSE)),""))</t>
        </is>
      </c>
      <c r="AE22" s="32" t="inlineStr">
        <is>
          <t>IF(E22="","",IF(OR(Y22="Cancelled",AA22="Cancelled"),"Cancelled",IF(OR(AA22="Completed / Handover",W22&lt;&gt;"",X22&gt;=100),"Completed — on track",IF(L22="Remaining",IF(S22="",IF(V22="","No planned date",IF(TODAY()&gt;V22,"Behind — past planned date",IF(V22-TODAY()&lt;=30,"At risk — close to off track","On track"))),IF(TODAY()&gt;S22,"Behind — award date passed",IF(S22-TODAY()&lt;=30,"At risk — close to off track","On track"))),IF(V22="","No planned date",IF(AND(TODAY()&gt;V22,OR(X22="",X22&lt;100)),"Behind — past end date",IF(AND(R22&lt;&gt;"",V22&lt;&gt;"",X22&lt;&gt;"",(X22&lt;100),((TODAY()-R22)/MAX(V22-R22,1)*100)-X22&gt;15),"Behind — progress lag",IF(AND(V22-TODAY()&lt;=30,V22-TODAY()&gt;=0,OR(X22="",X22&lt;90)),"At risk — close to off track","On track"))))))))</t>
        </is>
      </c>
      <c r="AF22" s="38" t="inlineStr">
        <is>
          <t>IF(OR(E22="",AA22="Completed / Handover",AA22="Cancelled"),"",IF(L22="Remaining",IF(S22&lt;&gt;"",S22-TODAY(),IF(V22="","",V22-TODAY())),IF(V22="","",V22-TODAY())))</t>
        </is>
      </c>
      <c r="AG22" s="39" t="n"/>
      <c r="AH22" s="39" t="n"/>
      <c r="AI22" s="39" t="n"/>
      <c r="AJ22" s="39" t="n"/>
      <c r="AK22" s="39" t="n"/>
      <c r="AL22" s="39" t="n"/>
      <c r="AM22" s="39" t="n"/>
      <c r="AN22" s="39" t="n"/>
      <c r="AO22" s="39" t="n">
        <v>46022</v>
      </c>
      <c r="AP22" s="39" t="n">
        <v>46022</v>
      </c>
      <c r="AQ22" s="39" t="n">
        <v>46386</v>
      </c>
      <c r="AR22" s="40" t="n"/>
      <c r="AS22" s="40" t="n"/>
      <c r="AT22" s="40" t="n"/>
      <c r="AU22" s="38" t="inlineStr">
        <is>
          <t>IF(OR(E22="",AH22=""),"",IF(COUNT(AG22:AG22)=0,"",AH22-LOOKUP(2,1/(AG22:AG22&lt;&gt;""),AG22:AG22)))</t>
        </is>
      </c>
      <c r="AV22" s="38" t="inlineStr">
        <is>
          <t>IF(OR(E22="",AI22=""),"",IF(COUNT(AG22:AH22)=0,"",AI22-LOOKUP(2,1/(AG22:AH22&lt;&gt;""),AG22:AH22)))</t>
        </is>
      </c>
      <c r="AW22" s="38" t="inlineStr">
        <is>
          <t>IF(OR(E22="",AJ22=""),"",IF(COUNT(AG22:AI22)=0,"",AJ22-LOOKUP(2,1/(AG22:AI22&lt;&gt;""),AG22:AI22)))</t>
        </is>
      </c>
      <c r="AX22" s="38" t="inlineStr">
        <is>
          <t>IF(OR(E22="",AK22=""),"",IF(COUNT(AG22:AJ22)=0,"",AK22-LOOKUP(2,1/(AG22:AJ22&lt;&gt;""),AG22:AJ22)))</t>
        </is>
      </c>
      <c r="AY22" s="38" t="inlineStr">
        <is>
          <t>IF(OR(E22="",AL22=""),"",IF(COUNT(AG22:AK22)=0,"",AL22-LOOKUP(2,1/(AG22:AK22&lt;&gt;""),AG22:AK22)))</t>
        </is>
      </c>
      <c r="AZ22" s="38" t="inlineStr">
        <is>
          <t>IF(OR(E22="",AM22=""),"",IF(COUNT(AG22:AL22)=0,"",AM22-LOOKUP(2,1/(AG22:AL22&lt;&gt;""),AG22:AL22)))</t>
        </is>
      </c>
      <c r="BA22" s="38" t="inlineStr">
        <is>
          <t>IF(OR(E22="",AN22=""),"",IF(COUNT(AG22:AM22)=0,"",AN22-LOOKUP(2,1/(AG22:AM22&lt;&gt;""),AG22:AM22)))</t>
        </is>
      </c>
      <c r="BB22" s="38" t="inlineStr">
        <is>
          <t>IF(OR(E22="",AO22=""),"",IF(COUNT(AG22:AN22)=0,"",AO22-LOOKUP(2,1/(AG22:AN22&lt;&gt;""),AG22:AN22)))</t>
        </is>
      </c>
      <c r="BC22" s="38" t="inlineStr">
        <is>
          <t>IF(OR(E22="",AP22=""),"",IF(COUNT(AG22:AO22)=0,"",AP22-LOOKUP(2,1/(AG22:AO22&lt;&gt;""),AG22:AO22)))</t>
        </is>
      </c>
      <c r="BD22" s="38" t="inlineStr">
        <is>
          <t>IF(OR(E22="",AQ22=""),"",IF(COUNT(AG22:AP22)=0,"",AQ22-LOOKUP(2,1/(AG22:AP22&lt;&gt;""),AG22:AP22)))</t>
        </is>
      </c>
      <c r="BE22" s="38" t="inlineStr">
        <is>
          <t>IF(OR(E22="",AR22=""),"",IF(COUNT(AG22:AQ22)=0,"",AR22-LOOKUP(2,1/(AG22:AQ22&lt;&gt;""),AG22:AQ22)))</t>
        </is>
      </c>
      <c r="BF22" s="38" t="inlineStr">
        <is>
          <t>IF(OR(E22="",AS22=""),"",IF(COUNT(AG22:AR22)=0,"",AS22-LOOKUP(2,1/(AG22:AR22&lt;&gt;""),AG22:AR22)))</t>
        </is>
      </c>
      <c r="BG22" s="38" t="inlineStr">
        <is>
          <t>IF(OR(E22="",AT22=""),"",IF(COUNT(AG22:AS22)=0,"",AT22-LOOKUP(2,1/(AG22:AS22&lt;&gt;""),AG22:AS22)))</t>
        </is>
      </c>
      <c r="BH22" s="41" t="inlineStr">
        <is>
          <t>IF(G22="","All_Provinces",IFERROR(VLOOKUP(G22,'07_Lookups'!$A$4:$B$20,2,FALSE),"All_Provinces"))</t>
        </is>
      </c>
      <c r="BI22" s="41" t="inlineStr">
        <is>
          <t>IF(H22="","All_Districts",IFERROR(VLOOKUP(H22,'07_Lookups'!$E$4:$F$42,2,FALSE),"All_Districts"))</t>
        </is>
      </c>
    </row>
    <row r="23" ht="18" customHeight="1">
      <c r="A23" s="32" t="inlineStr">
        <is>
          <t>IF(E23="","",ROW()-3)</t>
        </is>
      </c>
      <c r="B23" s="42" t="inlineStr">
        <is>
          <t>AF2-IS-A-020</t>
        </is>
      </c>
      <c r="C23" s="42" t="inlineStr">
        <is>
          <t>Emergency Food Security Project (EFSP) – WBK/AF-2</t>
        </is>
      </c>
      <c r="D23" s="42" t="inlineStr">
        <is>
          <t>Package #20-AF2 IS: Rehabilitation of Welgai irrigation system, located in Matoon district of Khost province.</t>
        </is>
      </c>
      <c r="E23" s="42" t="inlineStr">
        <is>
          <t>Welgai (Off-Farm &amp; On-Farm Project)</t>
        </is>
      </c>
      <c r="F23" s="42" t="inlineStr">
        <is>
          <t>Irrigation Canal</t>
        </is>
      </c>
      <c r="G23" s="42" t="inlineStr">
        <is>
          <t>Southeast / Gardez</t>
        </is>
      </c>
      <c r="H23" s="42" t="inlineStr">
        <is>
          <t>Khost</t>
        </is>
      </c>
      <c r="I23" s="42" t="inlineStr">
        <is>
          <t>Matoon</t>
        </is>
      </c>
      <c r="J23" s="42" t="inlineStr">
        <is>
          <t>Shamal Piran</t>
        </is>
      </c>
      <c r="K23" s="42" t="inlineStr">
        <is>
          <t>World Bank (WBK/AF-2)</t>
        </is>
      </c>
      <c r="L23" s="42" t="inlineStr">
        <is>
          <t>Awarded</t>
        </is>
      </c>
      <c r="M23" s="42" t="inlineStr">
        <is>
          <t>On/off-farm irrigation</t>
        </is>
      </c>
      <c r="N23" s="42" t="inlineStr">
        <is>
          <t>1.Awarded contracts_On&amp;off-farm</t>
        </is>
      </c>
      <c r="O23" s="42" t="inlineStr">
        <is>
          <t>Mahmood Raqi Nawin Construction &amp; Road Building Company (MRCC)</t>
        </is>
      </c>
      <c r="P23" s="42" t="inlineStr">
        <is>
          <t>053/2025</t>
        </is>
      </c>
      <c r="Q23" s="43" t="n">
        <v>229783.31</v>
      </c>
      <c r="R23" s="35" t="inlineStr">
        <is>
          <t>IF(AO23="","",AO23)</t>
        </is>
      </c>
      <c r="S23" s="44" t="n"/>
      <c r="T23" s="45" t="n">
        <v>12</v>
      </c>
      <c r="U23" s="44" t="n">
        <v>46306</v>
      </c>
      <c r="V23" s="35" t="inlineStr">
        <is>
          <t>IF(U23&lt;&gt;"",U23,IF(OR(R23="",T23=""),"",EDATE(R23,T23)))</t>
        </is>
      </c>
      <c r="W23" s="44" t="n"/>
      <c r="X23" s="45" t="n">
        <v>100</v>
      </c>
      <c r="Y23" s="42" t="inlineStr">
        <is>
          <t>Completed / Handover</t>
        </is>
      </c>
      <c r="Z23" s="42" t="inlineStr">
        <is>
          <t>Completed in June 2026. | Actual completion: June, 2026</t>
        </is>
      </c>
      <c r="AA23" s="32" t="inlineStr">
        <is>
          <t>IF(E23="","",IF(COUNT(AG23:AT23)=0,IF(Y23="","Not started",Y23),SUBSTITUTE(LOOKUP(2,1/(AG23:AT23&lt;&gt;""),$AG$3:$AT$3),"Date: ","")))</t>
        </is>
      </c>
      <c r="AB23" s="38" t="inlineStr">
        <is>
          <t>IF(OR(E23="",COUNT(AG23:AT23)=0),"",TODAY()-LOOKUP(2,1/(AG23:AT23&lt;&gt;""),AG23:AT23))</t>
        </is>
      </c>
      <c r="AC23" s="38" t="inlineStr">
        <is>
          <t>IF(OR(E23="",COUNT(AG23:AT23)&lt;2),"",LOOKUP(2,1/(AG23:AT23&lt;&gt;""),AG23:AT23)-MIN(AG23:AT23))</t>
        </is>
      </c>
      <c r="AD23" s="38" t="inlineStr">
        <is>
          <t>IF(OR(AB23="",AA23="Not started",AA23=""),"",IFERROR(AB23-IF(VLOOKUP(AA23,'04_Status_Pipeline'!$B$3:$E$20,4,FALSE)="",0,VLOOKUP(AA23,'04_Status_Pipeline'!$B$3:$E$20,4,FALSE)),""))</t>
        </is>
      </c>
      <c r="AE23" s="32" t="inlineStr">
        <is>
          <t>IF(E23="","",IF(OR(Y23="Cancelled",AA23="Cancelled"),"Cancelled",IF(OR(AA23="Completed / Handover",W23&lt;&gt;"",X23&gt;=100),"Completed — on track",IF(L23="Remaining",IF(S23="",IF(V23="","No planned date",IF(TODAY()&gt;V23,"Behind — past planned date",IF(V23-TODAY()&lt;=30,"At risk — close to off track","On track"))),IF(TODAY()&gt;S23,"Behind — award date passed",IF(S23-TODAY()&lt;=30,"At risk — close to off track","On track"))),IF(V23="","No planned date",IF(AND(TODAY()&gt;V23,OR(X23="",X23&lt;100)),"Behind — past end date",IF(AND(R23&lt;&gt;"",V23&lt;&gt;"",X23&lt;&gt;"",(X23&lt;100),((TODAY()-R23)/MAX(V23-R23,1)*100)-X23&gt;15),"Behind — progress lag",IF(AND(V23-TODAY()&lt;=30,V23-TODAY()&gt;=0,OR(X23="",X23&lt;90)),"At risk — close to off track","On track"))))))))</t>
        </is>
      </c>
      <c r="AF23" s="38" t="inlineStr">
        <is>
          <t>IF(OR(E23="",AA23="Completed / Handover",AA23="Cancelled"),"",IF(L23="Remaining",IF(S23&lt;&gt;"",S23-TODAY(),IF(V23="","",V23-TODAY())),IF(V23="","",V23-TODAY())))</t>
        </is>
      </c>
      <c r="AG23" s="39" t="n"/>
      <c r="AH23" s="39" t="n"/>
      <c r="AI23" s="39" t="n"/>
      <c r="AJ23" s="39" t="n"/>
      <c r="AK23" s="39" t="n"/>
      <c r="AL23" s="39" t="n"/>
      <c r="AM23" s="39" t="n"/>
      <c r="AN23" s="39" t="n"/>
      <c r="AO23" s="39" t="n">
        <v>45942</v>
      </c>
      <c r="AP23" s="39" t="n">
        <v>45942</v>
      </c>
      <c r="AQ23" s="39" t="n">
        <v>46306</v>
      </c>
      <c r="AR23" s="40" t="n"/>
      <c r="AS23" s="40" t="n"/>
      <c r="AT23" s="40" t="n"/>
      <c r="AU23" s="38" t="inlineStr">
        <is>
          <t>IF(OR(E23="",AH23=""),"",IF(COUNT(AG23:AG23)=0,"",AH23-LOOKUP(2,1/(AG23:AG23&lt;&gt;""),AG23:AG23)))</t>
        </is>
      </c>
      <c r="AV23" s="38" t="inlineStr">
        <is>
          <t>IF(OR(E23="",AI23=""),"",IF(COUNT(AG23:AH23)=0,"",AI23-LOOKUP(2,1/(AG23:AH23&lt;&gt;""),AG23:AH23)))</t>
        </is>
      </c>
      <c r="AW23" s="38" t="inlineStr">
        <is>
          <t>IF(OR(E23="",AJ23=""),"",IF(COUNT(AG23:AI23)=0,"",AJ23-LOOKUP(2,1/(AG23:AI23&lt;&gt;""),AG23:AI23)))</t>
        </is>
      </c>
      <c r="AX23" s="38" t="inlineStr">
        <is>
          <t>IF(OR(E23="",AK23=""),"",IF(COUNT(AG23:AJ23)=0,"",AK23-LOOKUP(2,1/(AG23:AJ23&lt;&gt;""),AG23:AJ23)))</t>
        </is>
      </c>
      <c r="AY23" s="38" t="inlineStr">
        <is>
          <t>IF(OR(E23="",AL23=""),"",IF(COUNT(AG23:AK23)=0,"",AL23-LOOKUP(2,1/(AG23:AK23&lt;&gt;""),AG23:AK23)))</t>
        </is>
      </c>
      <c r="AZ23" s="38" t="inlineStr">
        <is>
          <t>IF(OR(E23="",AM23=""),"",IF(COUNT(AG23:AL23)=0,"",AM23-LOOKUP(2,1/(AG23:AL23&lt;&gt;""),AG23:AL23)))</t>
        </is>
      </c>
      <c r="BA23" s="38" t="inlineStr">
        <is>
          <t>IF(OR(E23="",AN23=""),"",IF(COUNT(AG23:AM23)=0,"",AN23-LOOKUP(2,1/(AG23:AM23&lt;&gt;""),AG23:AM23)))</t>
        </is>
      </c>
      <c r="BB23" s="38" t="inlineStr">
        <is>
          <t>IF(OR(E23="",AO23=""),"",IF(COUNT(AG23:AN23)=0,"",AO23-LOOKUP(2,1/(AG23:AN23&lt;&gt;""),AG23:AN23)))</t>
        </is>
      </c>
      <c r="BC23" s="38" t="inlineStr">
        <is>
          <t>IF(OR(E23="",AP23=""),"",IF(COUNT(AG23:AO23)=0,"",AP23-LOOKUP(2,1/(AG23:AO23&lt;&gt;""),AG23:AO23)))</t>
        </is>
      </c>
      <c r="BD23" s="38" t="inlineStr">
        <is>
          <t>IF(OR(E23="",AQ23=""),"",IF(COUNT(AG23:AP23)=0,"",AQ23-LOOKUP(2,1/(AG23:AP23&lt;&gt;""),AG23:AP23)))</t>
        </is>
      </c>
      <c r="BE23" s="38" t="inlineStr">
        <is>
          <t>IF(OR(E23="",AR23=""),"",IF(COUNT(AG23:AQ23)=0,"",AR23-LOOKUP(2,1/(AG23:AQ23&lt;&gt;""),AG23:AQ23)))</t>
        </is>
      </c>
      <c r="BF23" s="38" t="inlineStr">
        <is>
          <t>IF(OR(E23="",AS23=""),"",IF(COUNT(AG23:AR23)=0,"",AS23-LOOKUP(2,1/(AG23:AR23&lt;&gt;""),AG23:AR23)))</t>
        </is>
      </c>
      <c r="BG23" s="38" t="inlineStr">
        <is>
          <t>IF(OR(E23="",AT23=""),"",IF(COUNT(AG23:AS23)=0,"",AT23-LOOKUP(2,1/(AG23:AS23&lt;&gt;""),AG23:AS23)))</t>
        </is>
      </c>
      <c r="BH23" s="41" t="inlineStr">
        <is>
          <t>IF(G23="","All_Provinces",IFERROR(VLOOKUP(G23,'07_Lookups'!$A$4:$B$20,2,FALSE),"All_Provinces"))</t>
        </is>
      </c>
      <c r="BI23" s="41" t="inlineStr">
        <is>
          <t>IF(H23="","All_Districts",IFERROR(VLOOKUP(H23,'07_Lookups'!$E$4:$F$42,2,FALSE),"All_Districts"))</t>
        </is>
      </c>
    </row>
    <row r="24" ht="18" customHeight="1">
      <c r="A24" s="32" t="inlineStr">
        <is>
          <t>IF(E24="","",ROW()-3)</t>
        </is>
      </c>
      <c r="B24" s="33" t="inlineStr">
        <is>
          <t>AF2-IS-A-021</t>
        </is>
      </c>
      <c r="C24" s="33" t="inlineStr">
        <is>
          <t>Emergency Food Security Project (EFSP) – WBK/AF-2</t>
        </is>
      </c>
      <c r="D24" s="33" t="inlineStr">
        <is>
          <t>Package # 21-AF2 IS: Rehabilitation of Markazi Ziruk and Mulakh canal irrigation schemes, located in Ziruk and Yousaf Khil districts of Pakteka province.</t>
        </is>
      </c>
      <c r="E24" s="33" t="inlineStr">
        <is>
          <t>Markazi Ziruk Irrigation Scheme (Off &amp; On-Farm Project)</t>
        </is>
      </c>
      <c r="F24" s="33" t="inlineStr">
        <is>
          <t>Irrigation Canal</t>
        </is>
      </c>
      <c r="G24" s="33" t="inlineStr">
        <is>
          <t>Southeast / Gardez</t>
        </is>
      </c>
      <c r="H24" s="33" t="inlineStr">
        <is>
          <t>Pakteka</t>
        </is>
      </c>
      <c r="I24" s="33" t="inlineStr">
        <is>
          <t>Ziruk</t>
        </is>
      </c>
      <c r="J24" s="33" t="inlineStr">
        <is>
          <t>Markazi Ziruk</t>
        </is>
      </c>
      <c r="K24" s="33" t="inlineStr">
        <is>
          <t>World Bank (WBK/AF-2)</t>
        </is>
      </c>
      <c r="L24" s="33" t="inlineStr">
        <is>
          <t>Awarded</t>
        </is>
      </c>
      <c r="M24" s="33" t="inlineStr">
        <is>
          <t>On/off-farm irrigation</t>
        </is>
      </c>
      <c r="N24" s="33" t="inlineStr">
        <is>
          <t>1.Awarded contracts_On&amp;off-farm</t>
        </is>
      </c>
      <c r="O24" s="33" t="inlineStr">
        <is>
          <t>Farhad Matoonyar Construction Company (FMCC)</t>
        </is>
      </c>
      <c r="P24" s="33" t="inlineStr">
        <is>
          <t>038/2026</t>
        </is>
      </c>
      <c r="Q24" s="34" t="n">
        <v>94650.11</v>
      </c>
      <c r="R24" s="35" t="inlineStr">
        <is>
          <t>IF(AO24="","",AO24)</t>
        </is>
      </c>
      <c r="S24" s="36" t="n"/>
      <c r="T24" s="37" t="n">
        <v>12</v>
      </c>
      <c r="U24" s="36" t="n">
        <v>46543</v>
      </c>
      <c r="V24" s="35" t="inlineStr">
        <is>
          <t>IF(U24&lt;&gt;"",U24,IF(OR(R24="",T24=""),"",EDATE(R24,T24)))</t>
        </is>
      </c>
      <c r="W24" s="36" t="n"/>
      <c r="X24" s="37" t="n">
        <v>20</v>
      </c>
      <c r="Y24" s="33" t="inlineStr">
        <is>
          <t>Completed / Handover</t>
        </is>
      </c>
      <c r="Z24" s="33" t="inlineStr">
        <is>
          <t>on track and will be completed by June 2027</t>
        </is>
      </c>
      <c r="AA24" s="32" t="inlineStr">
        <is>
          <t>IF(E24="","",IF(COUNT(AG24:AT24)=0,IF(Y24="","Not started",Y24),SUBSTITUTE(LOOKUP(2,1/(AG24:AT24&lt;&gt;""),$AG$3:$AT$3),"Date: ","")))</t>
        </is>
      </c>
      <c r="AB24" s="38" t="inlineStr">
        <is>
          <t>IF(OR(E24="",COUNT(AG24:AT24)=0),"",TODAY()-LOOKUP(2,1/(AG24:AT24&lt;&gt;""),AG24:AT24))</t>
        </is>
      </c>
      <c r="AC24" s="38" t="inlineStr">
        <is>
          <t>IF(OR(E24="",COUNT(AG24:AT24)&lt;2),"",LOOKUP(2,1/(AG24:AT24&lt;&gt;""),AG24:AT24)-MIN(AG24:AT24))</t>
        </is>
      </c>
      <c r="AD24" s="38" t="inlineStr">
        <is>
          <t>IF(OR(AB24="",AA24="Not started",AA24=""),"",IFERROR(AB24-IF(VLOOKUP(AA24,'04_Status_Pipeline'!$B$3:$E$20,4,FALSE)="",0,VLOOKUP(AA24,'04_Status_Pipeline'!$B$3:$E$20,4,FALSE)),""))</t>
        </is>
      </c>
      <c r="AE24" s="32" t="inlineStr">
        <is>
          <t>IF(E24="","",IF(OR(Y24="Cancelled",AA24="Cancelled"),"Cancelled",IF(OR(AA24="Completed / Handover",W24&lt;&gt;"",X24&gt;=100),"Completed — on track",IF(L24="Remaining",IF(S24="",IF(V24="","No planned date",IF(TODAY()&gt;V24,"Behind — past planned date",IF(V24-TODAY()&lt;=30,"At risk — close to off track","On track"))),IF(TODAY()&gt;S24,"Behind — award date passed",IF(S24-TODAY()&lt;=30,"At risk — close to off track","On track"))),IF(V24="","No planned date",IF(AND(TODAY()&gt;V24,OR(X24="",X24&lt;100)),"Behind — past end date",IF(AND(R24&lt;&gt;"",V24&lt;&gt;"",X24&lt;&gt;"",(X24&lt;100),((TODAY()-R24)/MAX(V24-R24,1)*100)-X24&gt;15),"Behind — progress lag",IF(AND(V24-TODAY()&lt;=30,V24-TODAY()&gt;=0,OR(X24="",X24&lt;90)),"At risk — close to off track","On track"))))))))</t>
        </is>
      </c>
      <c r="AF24" s="38" t="inlineStr">
        <is>
          <t>IF(OR(E24="",AA24="Completed / Handover",AA24="Cancelled"),"",IF(L24="Remaining",IF(S24&lt;&gt;"",S24-TODAY(),IF(V24="","",V24-TODAY())),IF(V24="","",V24-TODAY())))</t>
        </is>
      </c>
      <c r="AG24" s="39" t="n"/>
      <c r="AH24" s="39" t="n"/>
      <c r="AI24" s="39" t="n"/>
      <c r="AJ24" s="39" t="n"/>
      <c r="AK24" s="39" t="n"/>
      <c r="AL24" s="39" t="n"/>
      <c r="AM24" s="39" t="n"/>
      <c r="AN24" s="39" t="n"/>
      <c r="AO24" s="39" t="n">
        <v>46179</v>
      </c>
      <c r="AP24" s="39" t="n">
        <v>46179</v>
      </c>
      <c r="AQ24" s="39" t="n">
        <v>46543</v>
      </c>
      <c r="AR24" s="40" t="n"/>
      <c r="AS24" s="40" t="n"/>
      <c r="AT24" s="40" t="n"/>
      <c r="AU24" s="38" t="inlineStr">
        <is>
          <t>IF(OR(E24="",AH24=""),"",IF(COUNT(AG24:AG24)=0,"",AH24-LOOKUP(2,1/(AG24:AG24&lt;&gt;""),AG24:AG24)))</t>
        </is>
      </c>
      <c r="AV24" s="38" t="inlineStr">
        <is>
          <t>IF(OR(E24="",AI24=""),"",IF(COUNT(AG24:AH24)=0,"",AI24-LOOKUP(2,1/(AG24:AH24&lt;&gt;""),AG24:AH24)))</t>
        </is>
      </c>
      <c r="AW24" s="38" t="inlineStr">
        <is>
          <t>IF(OR(E24="",AJ24=""),"",IF(COUNT(AG24:AI24)=0,"",AJ24-LOOKUP(2,1/(AG24:AI24&lt;&gt;""),AG24:AI24)))</t>
        </is>
      </c>
      <c r="AX24" s="38" t="inlineStr">
        <is>
          <t>IF(OR(E24="",AK24=""),"",IF(COUNT(AG24:AJ24)=0,"",AK24-LOOKUP(2,1/(AG24:AJ24&lt;&gt;""),AG24:AJ24)))</t>
        </is>
      </c>
      <c r="AY24" s="38" t="inlineStr">
        <is>
          <t>IF(OR(E24="",AL24=""),"",IF(COUNT(AG24:AK24)=0,"",AL24-LOOKUP(2,1/(AG24:AK24&lt;&gt;""),AG24:AK24)))</t>
        </is>
      </c>
      <c r="AZ24" s="38" t="inlineStr">
        <is>
          <t>IF(OR(E24="",AM24=""),"",IF(COUNT(AG24:AL24)=0,"",AM24-LOOKUP(2,1/(AG24:AL24&lt;&gt;""),AG24:AL24)))</t>
        </is>
      </c>
      <c r="BA24" s="38" t="inlineStr">
        <is>
          <t>IF(OR(E24="",AN24=""),"",IF(COUNT(AG24:AM24)=0,"",AN24-LOOKUP(2,1/(AG24:AM24&lt;&gt;""),AG24:AM24)))</t>
        </is>
      </c>
      <c r="BB24" s="38" t="inlineStr">
        <is>
          <t>IF(OR(E24="",AO24=""),"",IF(COUNT(AG24:AN24)=0,"",AO24-LOOKUP(2,1/(AG24:AN24&lt;&gt;""),AG24:AN24)))</t>
        </is>
      </c>
      <c r="BC24" s="38" t="inlineStr">
        <is>
          <t>IF(OR(E24="",AP24=""),"",IF(COUNT(AG24:AO24)=0,"",AP24-LOOKUP(2,1/(AG24:AO24&lt;&gt;""),AG24:AO24)))</t>
        </is>
      </c>
      <c r="BD24" s="38" t="inlineStr">
        <is>
          <t>IF(OR(E24="",AQ24=""),"",IF(COUNT(AG24:AP24)=0,"",AQ24-LOOKUP(2,1/(AG24:AP24&lt;&gt;""),AG24:AP24)))</t>
        </is>
      </c>
      <c r="BE24" s="38" t="inlineStr">
        <is>
          <t>IF(OR(E24="",AR24=""),"",IF(COUNT(AG24:AQ24)=0,"",AR24-LOOKUP(2,1/(AG24:AQ24&lt;&gt;""),AG24:AQ24)))</t>
        </is>
      </c>
      <c r="BF24" s="38" t="inlineStr">
        <is>
          <t>IF(OR(E24="",AS24=""),"",IF(COUNT(AG24:AR24)=0,"",AS24-LOOKUP(2,1/(AG24:AR24&lt;&gt;""),AG24:AR24)))</t>
        </is>
      </c>
      <c r="BG24" s="38" t="inlineStr">
        <is>
          <t>IF(OR(E24="",AT24=""),"",IF(COUNT(AG24:AS24)=0,"",AT24-LOOKUP(2,1/(AG24:AS24&lt;&gt;""),AG24:AS24)))</t>
        </is>
      </c>
      <c r="BH24" s="41" t="inlineStr">
        <is>
          <t>IF(G24="","All_Provinces",IFERROR(VLOOKUP(G24,'07_Lookups'!$A$4:$B$20,2,FALSE),"All_Provinces"))</t>
        </is>
      </c>
      <c r="BI24" s="41" t="inlineStr">
        <is>
          <t>IF(H24="","All_Districts",IFERROR(VLOOKUP(H24,'07_Lookups'!$E$4:$F$42,2,FALSE),"All_Districts"))</t>
        </is>
      </c>
    </row>
    <row r="25" ht="18" customHeight="1">
      <c r="A25" s="32" t="inlineStr">
        <is>
          <t>IF(E25="","",ROW()-3)</t>
        </is>
      </c>
      <c r="B25" s="42" t="inlineStr">
        <is>
          <t>AF2-IS-A-022</t>
        </is>
      </c>
      <c r="C25" s="42" t="inlineStr">
        <is>
          <t>Emergency Food Security Project (EFSP) – WBK/AF-2</t>
        </is>
      </c>
      <c r="D25" s="42" t="inlineStr">
        <is>
          <t>Package # 21-AF2 IS: Rehabilitation of Markazi Ziruk and Mulakh canal irrigation schemes, located in Ziruk and Yousaf Khil districts of Pakteka province.</t>
        </is>
      </c>
      <c r="E25" s="42" t="inlineStr">
        <is>
          <t>Mulakh Irrigation Scheme (On- Farm Project)</t>
        </is>
      </c>
      <c r="F25" s="42" t="inlineStr">
        <is>
          <t>Irrigation Canal</t>
        </is>
      </c>
      <c r="G25" s="42" t="inlineStr">
        <is>
          <t>Southeast / Gardez</t>
        </is>
      </c>
      <c r="H25" s="42" t="inlineStr"/>
      <c r="I25" s="42" t="inlineStr">
        <is>
          <t>Yousaf Khil</t>
        </is>
      </c>
      <c r="J25" s="42" t="inlineStr">
        <is>
          <t>Mest</t>
        </is>
      </c>
      <c r="K25" s="42" t="inlineStr">
        <is>
          <t>World Bank (WBK/AF-2)</t>
        </is>
      </c>
      <c r="L25" s="42" t="inlineStr">
        <is>
          <t>Awarded</t>
        </is>
      </c>
      <c r="M25" s="42" t="inlineStr">
        <is>
          <t>On/off-farm irrigation</t>
        </is>
      </c>
      <c r="N25" s="42" t="inlineStr">
        <is>
          <t>1.Awarded contracts_On&amp;off-farm</t>
        </is>
      </c>
      <c r="O25" s="42" t="inlineStr">
        <is>
          <t>Farhad Matoonyar Construction Company (FMCC)</t>
        </is>
      </c>
      <c r="P25" s="42" t="inlineStr">
        <is>
          <t>038/2026</t>
        </is>
      </c>
      <c r="Q25" s="43" t="n">
        <v>239482.14</v>
      </c>
      <c r="R25" s="35" t="inlineStr">
        <is>
          <t>IF(AO25="","",AO25)</t>
        </is>
      </c>
      <c r="S25" s="44" t="n"/>
      <c r="T25" s="45" t="n">
        <v>12</v>
      </c>
      <c r="U25" s="44" t="n">
        <v>46543</v>
      </c>
      <c r="V25" s="35" t="inlineStr">
        <is>
          <t>IF(U25&lt;&gt;"",U25,IF(OR(R25="",T25=""),"",EDATE(R25,T25)))</t>
        </is>
      </c>
      <c r="W25" s="44" t="n"/>
      <c r="X25" s="45" t="n">
        <v>30</v>
      </c>
      <c r="Y25" s="42" t="inlineStr">
        <is>
          <t>Completed / Handover</t>
        </is>
      </c>
      <c r="Z25" s="42" t="inlineStr">
        <is>
          <t>on track and will be completed by June 2027</t>
        </is>
      </c>
      <c r="AA25" s="32" t="inlineStr">
        <is>
          <t>IF(E25="","",IF(COUNT(AG25:AT25)=0,IF(Y25="","Not started",Y25),SUBSTITUTE(LOOKUP(2,1/(AG25:AT25&lt;&gt;""),$AG$3:$AT$3),"Date: ","")))</t>
        </is>
      </c>
      <c r="AB25" s="38" t="inlineStr">
        <is>
          <t>IF(OR(E25="",COUNT(AG25:AT25)=0),"",TODAY()-LOOKUP(2,1/(AG25:AT25&lt;&gt;""),AG25:AT25))</t>
        </is>
      </c>
      <c r="AC25" s="38" t="inlineStr">
        <is>
          <t>IF(OR(E25="",COUNT(AG25:AT25)&lt;2),"",LOOKUP(2,1/(AG25:AT25&lt;&gt;""),AG25:AT25)-MIN(AG25:AT25))</t>
        </is>
      </c>
      <c r="AD25" s="38" t="inlineStr">
        <is>
          <t>IF(OR(AB25="",AA25="Not started",AA25=""),"",IFERROR(AB25-IF(VLOOKUP(AA25,'04_Status_Pipeline'!$B$3:$E$20,4,FALSE)="",0,VLOOKUP(AA25,'04_Status_Pipeline'!$B$3:$E$20,4,FALSE)),""))</t>
        </is>
      </c>
      <c r="AE25" s="32" t="inlineStr">
        <is>
          <t>IF(E25="","",IF(OR(Y25="Cancelled",AA25="Cancelled"),"Cancelled",IF(OR(AA25="Completed / Handover",W25&lt;&gt;"",X25&gt;=100),"Completed — on track",IF(L25="Remaining",IF(S25="",IF(V25="","No planned date",IF(TODAY()&gt;V25,"Behind — past planned date",IF(V25-TODAY()&lt;=30,"At risk — close to off track","On track"))),IF(TODAY()&gt;S25,"Behind — award date passed",IF(S25-TODAY()&lt;=30,"At risk — close to off track","On track"))),IF(V25="","No planned date",IF(AND(TODAY()&gt;V25,OR(X25="",X25&lt;100)),"Behind — past end date",IF(AND(R25&lt;&gt;"",V25&lt;&gt;"",X25&lt;&gt;"",(X25&lt;100),((TODAY()-R25)/MAX(V25-R25,1)*100)-X25&gt;15),"Behind — progress lag",IF(AND(V25-TODAY()&lt;=30,V25-TODAY()&gt;=0,OR(X25="",X25&lt;90)),"At risk — close to off track","On track"))))))))</t>
        </is>
      </c>
      <c r="AF25" s="38" t="inlineStr">
        <is>
          <t>IF(OR(E25="",AA25="Completed / Handover",AA25="Cancelled"),"",IF(L25="Remaining",IF(S25&lt;&gt;"",S25-TODAY(),IF(V25="","",V25-TODAY())),IF(V25="","",V25-TODAY())))</t>
        </is>
      </c>
      <c r="AG25" s="39" t="n"/>
      <c r="AH25" s="39" t="n"/>
      <c r="AI25" s="39" t="n"/>
      <c r="AJ25" s="39" t="n"/>
      <c r="AK25" s="39" t="n"/>
      <c r="AL25" s="39" t="n"/>
      <c r="AM25" s="39" t="n"/>
      <c r="AN25" s="39" t="n"/>
      <c r="AO25" s="39" t="n">
        <v>46179</v>
      </c>
      <c r="AP25" s="39" t="n">
        <v>46179</v>
      </c>
      <c r="AQ25" s="39" t="n">
        <v>46543</v>
      </c>
      <c r="AR25" s="40" t="n"/>
      <c r="AS25" s="40" t="n"/>
      <c r="AT25" s="40" t="n"/>
      <c r="AU25" s="38" t="inlineStr">
        <is>
          <t>IF(OR(E25="",AH25=""),"",IF(COUNT(AG25:AG25)=0,"",AH25-LOOKUP(2,1/(AG25:AG25&lt;&gt;""),AG25:AG25)))</t>
        </is>
      </c>
      <c r="AV25" s="38" t="inlineStr">
        <is>
          <t>IF(OR(E25="",AI25=""),"",IF(COUNT(AG25:AH25)=0,"",AI25-LOOKUP(2,1/(AG25:AH25&lt;&gt;""),AG25:AH25)))</t>
        </is>
      </c>
      <c r="AW25" s="38" t="inlineStr">
        <is>
          <t>IF(OR(E25="",AJ25=""),"",IF(COUNT(AG25:AI25)=0,"",AJ25-LOOKUP(2,1/(AG25:AI25&lt;&gt;""),AG25:AI25)))</t>
        </is>
      </c>
      <c r="AX25" s="38" t="inlineStr">
        <is>
          <t>IF(OR(E25="",AK25=""),"",IF(COUNT(AG25:AJ25)=0,"",AK25-LOOKUP(2,1/(AG25:AJ25&lt;&gt;""),AG25:AJ25)))</t>
        </is>
      </c>
      <c r="AY25" s="38" t="inlineStr">
        <is>
          <t>IF(OR(E25="",AL25=""),"",IF(COUNT(AG25:AK25)=0,"",AL25-LOOKUP(2,1/(AG25:AK25&lt;&gt;""),AG25:AK25)))</t>
        </is>
      </c>
      <c r="AZ25" s="38" t="inlineStr">
        <is>
          <t>IF(OR(E25="",AM25=""),"",IF(COUNT(AG25:AL25)=0,"",AM25-LOOKUP(2,1/(AG25:AL25&lt;&gt;""),AG25:AL25)))</t>
        </is>
      </c>
      <c r="BA25" s="38" t="inlineStr">
        <is>
          <t>IF(OR(E25="",AN25=""),"",IF(COUNT(AG25:AM25)=0,"",AN25-LOOKUP(2,1/(AG25:AM25&lt;&gt;""),AG25:AM25)))</t>
        </is>
      </c>
      <c r="BB25" s="38" t="inlineStr">
        <is>
          <t>IF(OR(E25="",AO25=""),"",IF(COUNT(AG25:AN25)=0,"",AO25-LOOKUP(2,1/(AG25:AN25&lt;&gt;""),AG25:AN25)))</t>
        </is>
      </c>
      <c r="BC25" s="38" t="inlineStr">
        <is>
          <t>IF(OR(E25="",AP25=""),"",IF(COUNT(AG25:AO25)=0,"",AP25-LOOKUP(2,1/(AG25:AO25&lt;&gt;""),AG25:AO25)))</t>
        </is>
      </c>
      <c r="BD25" s="38" t="inlineStr">
        <is>
          <t>IF(OR(E25="",AQ25=""),"",IF(COUNT(AG25:AP25)=0,"",AQ25-LOOKUP(2,1/(AG25:AP25&lt;&gt;""),AG25:AP25)))</t>
        </is>
      </c>
      <c r="BE25" s="38" t="inlineStr">
        <is>
          <t>IF(OR(E25="",AR25=""),"",IF(COUNT(AG25:AQ25)=0,"",AR25-LOOKUP(2,1/(AG25:AQ25&lt;&gt;""),AG25:AQ25)))</t>
        </is>
      </c>
      <c r="BF25" s="38" t="inlineStr">
        <is>
          <t>IF(OR(E25="",AS25=""),"",IF(COUNT(AG25:AR25)=0,"",AS25-LOOKUP(2,1/(AG25:AR25&lt;&gt;""),AG25:AR25)))</t>
        </is>
      </c>
      <c r="BG25" s="38" t="inlineStr">
        <is>
          <t>IF(OR(E25="",AT25=""),"",IF(COUNT(AG25:AS25)=0,"",AT25-LOOKUP(2,1/(AG25:AS25&lt;&gt;""),AG25:AS25)))</t>
        </is>
      </c>
      <c r="BH25" s="41" t="inlineStr">
        <is>
          <t>IF(G25="","All_Provinces",IFERROR(VLOOKUP(G25,'07_Lookups'!$A$4:$B$20,2,FALSE),"All_Provinces"))</t>
        </is>
      </c>
      <c r="BI25" s="41" t="inlineStr">
        <is>
          <t>IF(H25="","All_Districts",IFERROR(VLOOKUP(H25,'07_Lookups'!$E$4:$F$42,2,FALSE),"All_Districts"))</t>
        </is>
      </c>
    </row>
    <row r="26" ht="18" customHeight="1">
      <c r="A26" s="32" t="inlineStr">
        <is>
          <t>IF(E26="","",ROW()-3)</t>
        </is>
      </c>
      <c r="B26" s="33" t="inlineStr">
        <is>
          <t>AF2-IS-A-023</t>
        </is>
      </c>
      <c r="C26" s="33" t="inlineStr">
        <is>
          <t>Emergency Food Security Project (EFSP) – WBK/AF-2</t>
        </is>
      </c>
      <c r="D26" s="33" t="inlineStr">
        <is>
          <t>Package #25-AF2 IS: Rehabilitation of Urdo Kas canal and Sarkay Lazhey canal irrigation schemes, located in Sha Wali Kot and Boldak districts of Kandahar province.</t>
        </is>
      </c>
      <c r="E26" s="33" t="inlineStr">
        <is>
          <t>Urdo Kas Irrigation Scheme</t>
        </is>
      </c>
      <c r="F26" s="33" t="inlineStr">
        <is>
          <t>Irrigation Canal</t>
        </is>
      </c>
      <c r="G26" s="33" t="inlineStr">
        <is>
          <t>South / Kandahar</t>
        </is>
      </c>
      <c r="H26" s="33" t="inlineStr">
        <is>
          <t>Kandahar</t>
        </is>
      </c>
      <c r="I26" s="33" t="inlineStr">
        <is>
          <t>Sha Wali Kot</t>
        </is>
      </c>
      <c r="J26" s="33" t="inlineStr">
        <is>
          <t>Urdo Kas</t>
        </is>
      </c>
      <c r="K26" s="33" t="inlineStr">
        <is>
          <t>World Bank (WBK/AF-2)</t>
        </is>
      </c>
      <c r="L26" s="33" t="inlineStr">
        <is>
          <t>Awarded</t>
        </is>
      </c>
      <c r="M26" s="33" t="inlineStr">
        <is>
          <t>On/off-farm irrigation</t>
        </is>
      </c>
      <c r="N26" s="33" t="inlineStr">
        <is>
          <t>1.Awarded contracts_On&amp;off-farm</t>
        </is>
      </c>
      <c r="O26" s="33" t="inlineStr">
        <is>
          <t>Wasif Construction Company</t>
        </is>
      </c>
      <c r="P26" s="33" t="inlineStr">
        <is>
          <t>012/2026</t>
        </is>
      </c>
      <c r="Q26" s="34" t="n">
        <v>90157.45</v>
      </c>
      <c r="R26" s="35" t="inlineStr">
        <is>
          <t>IF(AO26="","",AO26)</t>
        </is>
      </c>
      <c r="S26" s="36" t="n"/>
      <c r="T26" s="37" t="n">
        <v>9.9</v>
      </c>
      <c r="U26" s="36" t="n">
        <v>46364</v>
      </c>
      <c r="V26" s="35" t="inlineStr">
        <is>
          <t>IF(U26&lt;&gt;"",U26,IF(OR(R26="",T26=""),"",EDATE(R26,T26)))</t>
        </is>
      </c>
      <c r="W26" s="36" t="n"/>
      <c r="X26" s="37" t="n">
        <v>15</v>
      </c>
      <c r="Y26" s="33" t="inlineStr">
        <is>
          <t>Completed / Handover</t>
        </is>
      </c>
      <c r="Z26" s="33" t="inlineStr">
        <is>
          <t>Needs NCE and work will be completed by June 2027</t>
        </is>
      </c>
      <c r="AA26" s="32" t="inlineStr">
        <is>
          <t>IF(E26="","",IF(COUNT(AG26:AT26)=0,IF(Y26="","Not started",Y26),SUBSTITUTE(LOOKUP(2,1/(AG26:AT26&lt;&gt;""),$AG$3:$AT$3),"Date: ","")))</t>
        </is>
      </c>
      <c r="AB26" s="38" t="inlineStr">
        <is>
          <t>IF(OR(E26="",COUNT(AG26:AT26)=0),"",TODAY()-LOOKUP(2,1/(AG26:AT26&lt;&gt;""),AG26:AT26))</t>
        </is>
      </c>
      <c r="AC26" s="38" t="inlineStr">
        <is>
          <t>IF(OR(E26="",COUNT(AG26:AT26)&lt;2),"",LOOKUP(2,1/(AG26:AT26&lt;&gt;""),AG26:AT26)-MIN(AG26:AT26))</t>
        </is>
      </c>
      <c r="AD26" s="38" t="inlineStr">
        <is>
          <t>IF(OR(AB26="",AA26="Not started",AA26=""),"",IFERROR(AB26-IF(VLOOKUP(AA26,'04_Status_Pipeline'!$B$3:$E$20,4,FALSE)="",0,VLOOKUP(AA26,'04_Status_Pipeline'!$B$3:$E$20,4,FALSE)),""))</t>
        </is>
      </c>
      <c r="AE26" s="32" t="inlineStr">
        <is>
          <t>IF(E26="","",IF(OR(Y26="Cancelled",AA26="Cancelled"),"Cancelled",IF(OR(AA26="Completed / Handover",W26&lt;&gt;"",X26&gt;=100),"Completed — on track",IF(L26="Remaining",IF(S26="",IF(V26="","No planned date",IF(TODAY()&gt;V26,"Behind — past planned date",IF(V26-TODAY()&lt;=30,"At risk — close to off track","On track"))),IF(TODAY()&gt;S26,"Behind — award date passed",IF(S26-TODAY()&lt;=30,"At risk — close to off track","On track"))),IF(V26="","No planned date",IF(AND(TODAY()&gt;V26,OR(X26="",X26&lt;100)),"Behind — past end date",IF(AND(R26&lt;&gt;"",V26&lt;&gt;"",X26&lt;&gt;"",(X26&lt;100),((TODAY()-R26)/MAX(V26-R26,1)*100)-X26&gt;15),"Behind — progress lag",IF(AND(V26-TODAY()&lt;=30,V26-TODAY()&gt;=0,OR(X26="",X26&lt;90)),"At risk — close to off track","On track"))))))))</t>
        </is>
      </c>
      <c r="AF26" s="38" t="inlineStr">
        <is>
          <t>IF(OR(E26="",AA26="Completed / Handover",AA26="Cancelled"),"",IF(L26="Remaining",IF(S26&lt;&gt;"",S26-TODAY(),IF(V26="","",V26-TODAY())),IF(V26="","",V26-TODAY())))</t>
        </is>
      </c>
      <c r="AG26" s="39" t="n"/>
      <c r="AH26" s="39" t="n"/>
      <c r="AI26" s="39" t="n"/>
      <c r="AJ26" s="39" t="n"/>
      <c r="AK26" s="39" t="n"/>
      <c r="AL26" s="39" t="n"/>
      <c r="AM26" s="39" t="n"/>
      <c r="AN26" s="39" t="n"/>
      <c r="AO26" s="39" t="n">
        <v>46062</v>
      </c>
      <c r="AP26" s="39" t="n">
        <v>46062</v>
      </c>
      <c r="AQ26" s="39" t="n">
        <v>46364</v>
      </c>
      <c r="AR26" s="40" t="n"/>
      <c r="AS26" s="40" t="n"/>
      <c r="AT26" s="40" t="n"/>
      <c r="AU26" s="38" t="inlineStr">
        <is>
          <t>IF(OR(E26="",AH26=""),"",IF(COUNT(AG26:AG26)=0,"",AH26-LOOKUP(2,1/(AG26:AG26&lt;&gt;""),AG26:AG26)))</t>
        </is>
      </c>
      <c r="AV26" s="38" t="inlineStr">
        <is>
          <t>IF(OR(E26="",AI26=""),"",IF(COUNT(AG26:AH26)=0,"",AI26-LOOKUP(2,1/(AG26:AH26&lt;&gt;""),AG26:AH26)))</t>
        </is>
      </c>
      <c r="AW26" s="38" t="inlineStr">
        <is>
          <t>IF(OR(E26="",AJ26=""),"",IF(COUNT(AG26:AI26)=0,"",AJ26-LOOKUP(2,1/(AG26:AI26&lt;&gt;""),AG26:AI26)))</t>
        </is>
      </c>
      <c r="AX26" s="38" t="inlineStr">
        <is>
          <t>IF(OR(E26="",AK26=""),"",IF(COUNT(AG26:AJ26)=0,"",AK26-LOOKUP(2,1/(AG26:AJ26&lt;&gt;""),AG26:AJ26)))</t>
        </is>
      </c>
      <c r="AY26" s="38" t="inlineStr">
        <is>
          <t>IF(OR(E26="",AL26=""),"",IF(COUNT(AG26:AK26)=0,"",AL26-LOOKUP(2,1/(AG26:AK26&lt;&gt;""),AG26:AK26)))</t>
        </is>
      </c>
      <c r="AZ26" s="38" t="inlineStr">
        <is>
          <t>IF(OR(E26="",AM26=""),"",IF(COUNT(AG26:AL26)=0,"",AM26-LOOKUP(2,1/(AG26:AL26&lt;&gt;""),AG26:AL26)))</t>
        </is>
      </c>
      <c r="BA26" s="38" t="inlineStr">
        <is>
          <t>IF(OR(E26="",AN26=""),"",IF(COUNT(AG26:AM26)=0,"",AN26-LOOKUP(2,1/(AG26:AM26&lt;&gt;""),AG26:AM26)))</t>
        </is>
      </c>
      <c r="BB26" s="38" t="inlineStr">
        <is>
          <t>IF(OR(E26="",AO26=""),"",IF(COUNT(AG26:AN26)=0,"",AO26-LOOKUP(2,1/(AG26:AN26&lt;&gt;""),AG26:AN26)))</t>
        </is>
      </c>
      <c r="BC26" s="38" t="inlineStr">
        <is>
          <t>IF(OR(E26="",AP26=""),"",IF(COUNT(AG26:AO26)=0,"",AP26-LOOKUP(2,1/(AG26:AO26&lt;&gt;""),AG26:AO26)))</t>
        </is>
      </c>
      <c r="BD26" s="38" t="inlineStr">
        <is>
          <t>IF(OR(E26="",AQ26=""),"",IF(COUNT(AG26:AP26)=0,"",AQ26-LOOKUP(2,1/(AG26:AP26&lt;&gt;""),AG26:AP26)))</t>
        </is>
      </c>
      <c r="BE26" s="38" t="inlineStr">
        <is>
          <t>IF(OR(E26="",AR26=""),"",IF(COUNT(AG26:AQ26)=0,"",AR26-LOOKUP(2,1/(AG26:AQ26&lt;&gt;""),AG26:AQ26)))</t>
        </is>
      </c>
      <c r="BF26" s="38" t="inlineStr">
        <is>
          <t>IF(OR(E26="",AS26=""),"",IF(COUNT(AG26:AR26)=0,"",AS26-LOOKUP(2,1/(AG26:AR26&lt;&gt;""),AG26:AR26)))</t>
        </is>
      </c>
      <c r="BG26" s="38" t="inlineStr">
        <is>
          <t>IF(OR(E26="",AT26=""),"",IF(COUNT(AG26:AS26)=0,"",AT26-LOOKUP(2,1/(AG26:AS26&lt;&gt;""),AG26:AS26)))</t>
        </is>
      </c>
      <c r="BH26" s="41" t="inlineStr">
        <is>
          <t>IF(G26="","All_Provinces",IFERROR(VLOOKUP(G26,'07_Lookups'!$A$4:$B$20,2,FALSE),"All_Provinces"))</t>
        </is>
      </c>
      <c r="BI26" s="41" t="inlineStr">
        <is>
          <t>IF(H26="","All_Districts",IFERROR(VLOOKUP(H26,'07_Lookups'!$E$4:$F$42,2,FALSE),"All_Districts"))</t>
        </is>
      </c>
    </row>
    <row r="27" ht="18" customHeight="1">
      <c r="A27" s="32" t="inlineStr">
        <is>
          <t>IF(E27="","",ROW()-3)</t>
        </is>
      </c>
      <c r="B27" s="42" t="inlineStr">
        <is>
          <t>AF2-IS-A-024</t>
        </is>
      </c>
      <c r="C27" s="42" t="inlineStr">
        <is>
          <t>Emergency Food Security Project (EFSP) – WBK/AF-2</t>
        </is>
      </c>
      <c r="D27" s="42" t="inlineStr">
        <is>
          <t>Package #25-AF2 IS: Rehabilitation of Urdo Kas canal and Sarkay Lazhey canal irrigation schemes, located in Sha Wali Kot and Boldak districts of Kandahar province.</t>
        </is>
      </c>
      <c r="E27" s="42" t="inlineStr">
        <is>
          <t>Sarkay Lazhey Canal Irrigation Scheme</t>
        </is>
      </c>
      <c r="F27" s="42" t="inlineStr">
        <is>
          <t>Irrigation Canal</t>
        </is>
      </c>
      <c r="G27" s="42" t="inlineStr">
        <is>
          <t>South / Kandahar</t>
        </is>
      </c>
      <c r="H27" s="42" t="inlineStr">
        <is>
          <t>Kandahar</t>
        </is>
      </c>
      <c r="I27" s="42" t="inlineStr">
        <is>
          <t>Boldak</t>
        </is>
      </c>
      <c r="J27" s="42" t="inlineStr">
        <is>
          <t>Sarkay Lazhey</t>
        </is>
      </c>
      <c r="K27" s="42" t="inlineStr">
        <is>
          <t>World Bank (WBK/AF-2)</t>
        </is>
      </c>
      <c r="L27" s="42" t="inlineStr">
        <is>
          <t>Awarded</t>
        </is>
      </c>
      <c r="M27" s="42" t="inlineStr">
        <is>
          <t>On/off-farm irrigation</t>
        </is>
      </c>
      <c r="N27" s="42" t="inlineStr">
        <is>
          <t>1.Awarded contracts_On&amp;off-farm</t>
        </is>
      </c>
      <c r="O27" s="42" t="inlineStr">
        <is>
          <t>Wasif Construction Company</t>
        </is>
      </c>
      <c r="P27" s="42" t="inlineStr">
        <is>
          <t>012/2026</t>
        </is>
      </c>
      <c r="Q27" s="43" t="n">
        <v>235424.79</v>
      </c>
      <c r="R27" s="35" t="inlineStr">
        <is>
          <t>IF(AO27="","",AO27)</t>
        </is>
      </c>
      <c r="S27" s="44" t="n"/>
      <c r="T27" s="45" t="n">
        <v>9.9</v>
      </c>
      <c r="U27" s="44" t="n">
        <v>46364</v>
      </c>
      <c r="V27" s="35" t="inlineStr">
        <is>
          <t>IF(U27&lt;&gt;"",U27,IF(OR(R27="",T27=""),"",EDATE(R27,T27)))</t>
        </is>
      </c>
      <c r="W27" s="44" t="n"/>
      <c r="X27" s="45" t="n">
        <v>10</v>
      </c>
      <c r="Y27" s="42" t="inlineStr">
        <is>
          <t>Completed / Handover</t>
        </is>
      </c>
      <c r="Z27" s="42" t="inlineStr">
        <is>
          <t>Needs NCE and work will be completed by June 2027</t>
        </is>
      </c>
      <c r="AA27" s="32" t="inlineStr">
        <is>
          <t>IF(E27="","",IF(COUNT(AG27:AT27)=0,IF(Y27="","Not started",Y27),SUBSTITUTE(LOOKUP(2,1/(AG27:AT27&lt;&gt;""),$AG$3:$AT$3),"Date: ","")))</t>
        </is>
      </c>
      <c r="AB27" s="38" t="inlineStr">
        <is>
          <t>IF(OR(E27="",COUNT(AG27:AT27)=0),"",TODAY()-LOOKUP(2,1/(AG27:AT27&lt;&gt;""),AG27:AT27))</t>
        </is>
      </c>
      <c r="AC27" s="38" t="inlineStr">
        <is>
          <t>IF(OR(E27="",COUNT(AG27:AT27)&lt;2),"",LOOKUP(2,1/(AG27:AT27&lt;&gt;""),AG27:AT27)-MIN(AG27:AT27))</t>
        </is>
      </c>
      <c r="AD27" s="38" t="inlineStr">
        <is>
          <t>IF(OR(AB27="",AA27="Not started",AA27=""),"",IFERROR(AB27-IF(VLOOKUP(AA27,'04_Status_Pipeline'!$B$3:$E$20,4,FALSE)="",0,VLOOKUP(AA27,'04_Status_Pipeline'!$B$3:$E$20,4,FALSE)),""))</t>
        </is>
      </c>
      <c r="AE27" s="32" t="inlineStr">
        <is>
          <t>IF(E27="","",IF(OR(Y27="Cancelled",AA27="Cancelled"),"Cancelled",IF(OR(AA27="Completed / Handover",W27&lt;&gt;"",X27&gt;=100),"Completed — on track",IF(L27="Remaining",IF(S27="",IF(V27="","No planned date",IF(TODAY()&gt;V27,"Behind — past planned date",IF(V27-TODAY()&lt;=30,"At risk — close to off track","On track"))),IF(TODAY()&gt;S27,"Behind — award date passed",IF(S27-TODAY()&lt;=30,"At risk — close to off track","On track"))),IF(V27="","No planned date",IF(AND(TODAY()&gt;V27,OR(X27="",X27&lt;100)),"Behind — past end date",IF(AND(R27&lt;&gt;"",V27&lt;&gt;"",X27&lt;&gt;"",(X27&lt;100),((TODAY()-R27)/MAX(V27-R27,1)*100)-X27&gt;15),"Behind — progress lag",IF(AND(V27-TODAY()&lt;=30,V27-TODAY()&gt;=0,OR(X27="",X27&lt;90)),"At risk — close to off track","On track"))))))))</t>
        </is>
      </c>
      <c r="AF27" s="38" t="inlineStr">
        <is>
          <t>IF(OR(E27="",AA27="Completed / Handover",AA27="Cancelled"),"",IF(L27="Remaining",IF(S27&lt;&gt;"",S27-TODAY(),IF(V27="","",V27-TODAY())),IF(V27="","",V27-TODAY())))</t>
        </is>
      </c>
      <c r="AG27" s="39" t="n"/>
      <c r="AH27" s="39" t="n"/>
      <c r="AI27" s="39" t="n"/>
      <c r="AJ27" s="39" t="n"/>
      <c r="AK27" s="39" t="n"/>
      <c r="AL27" s="39" t="n"/>
      <c r="AM27" s="39" t="n"/>
      <c r="AN27" s="39" t="n"/>
      <c r="AO27" s="39" t="n">
        <v>46062</v>
      </c>
      <c r="AP27" s="39" t="n">
        <v>46062</v>
      </c>
      <c r="AQ27" s="39" t="n">
        <v>46364</v>
      </c>
      <c r="AR27" s="40" t="n"/>
      <c r="AS27" s="40" t="n"/>
      <c r="AT27" s="40" t="n"/>
      <c r="AU27" s="38" t="inlineStr">
        <is>
          <t>IF(OR(E27="",AH27=""),"",IF(COUNT(AG27:AG27)=0,"",AH27-LOOKUP(2,1/(AG27:AG27&lt;&gt;""),AG27:AG27)))</t>
        </is>
      </c>
      <c r="AV27" s="38" t="inlineStr">
        <is>
          <t>IF(OR(E27="",AI27=""),"",IF(COUNT(AG27:AH27)=0,"",AI27-LOOKUP(2,1/(AG27:AH27&lt;&gt;""),AG27:AH27)))</t>
        </is>
      </c>
      <c r="AW27" s="38" t="inlineStr">
        <is>
          <t>IF(OR(E27="",AJ27=""),"",IF(COUNT(AG27:AI27)=0,"",AJ27-LOOKUP(2,1/(AG27:AI27&lt;&gt;""),AG27:AI27)))</t>
        </is>
      </c>
      <c r="AX27" s="38" t="inlineStr">
        <is>
          <t>IF(OR(E27="",AK27=""),"",IF(COUNT(AG27:AJ27)=0,"",AK27-LOOKUP(2,1/(AG27:AJ27&lt;&gt;""),AG27:AJ27)))</t>
        </is>
      </c>
      <c r="AY27" s="38" t="inlineStr">
        <is>
          <t>IF(OR(E27="",AL27=""),"",IF(COUNT(AG27:AK27)=0,"",AL27-LOOKUP(2,1/(AG27:AK27&lt;&gt;""),AG27:AK27)))</t>
        </is>
      </c>
      <c r="AZ27" s="38" t="inlineStr">
        <is>
          <t>IF(OR(E27="",AM27=""),"",IF(COUNT(AG27:AL27)=0,"",AM27-LOOKUP(2,1/(AG27:AL27&lt;&gt;""),AG27:AL27)))</t>
        </is>
      </c>
      <c r="BA27" s="38" t="inlineStr">
        <is>
          <t>IF(OR(E27="",AN27=""),"",IF(COUNT(AG27:AM27)=0,"",AN27-LOOKUP(2,1/(AG27:AM27&lt;&gt;""),AG27:AM27)))</t>
        </is>
      </c>
      <c r="BB27" s="38" t="inlineStr">
        <is>
          <t>IF(OR(E27="",AO27=""),"",IF(COUNT(AG27:AN27)=0,"",AO27-LOOKUP(2,1/(AG27:AN27&lt;&gt;""),AG27:AN27)))</t>
        </is>
      </c>
      <c r="BC27" s="38" t="inlineStr">
        <is>
          <t>IF(OR(E27="",AP27=""),"",IF(COUNT(AG27:AO27)=0,"",AP27-LOOKUP(2,1/(AG27:AO27&lt;&gt;""),AG27:AO27)))</t>
        </is>
      </c>
      <c r="BD27" s="38" t="inlineStr">
        <is>
          <t>IF(OR(E27="",AQ27=""),"",IF(COUNT(AG27:AP27)=0,"",AQ27-LOOKUP(2,1/(AG27:AP27&lt;&gt;""),AG27:AP27)))</t>
        </is>
      </c>
      <c r="BE27" s="38" t="inlineStr">
        <is>
          <t>IF(OR(E27="",AR27=""),"",IF(COUNT(AG27:AQ27)=0,"",AR27-LOOKUP(2,1/(AG27:AQ27&lt;&gt;""),AG27:AQ27)))</t>
        </is>
      </c>
      <c r="BF27" s="38" t="inlineStr">
        <is>
          <t>IF(OR(E27="",AS27=""),"",IF(COUNT(AG27:AR27)=0,"",AS27-LOOKUP(2,1/(AG27:AR27&lt;&gt;""),AG27:AR27)))</t>
        </is>
      </c>
      <c r="BG27" s="38" t="inlineStr">
        <is>
          <t>IF(OR(E27="",AT27=""),"",IF(COUNT(AG27:AS27)=0,"",AT27-LOOKUP(2,1/(AG27:AS27&lt;&gt;""),AG27:AS27)))</t>
        </is>
      </c>
      <c r="BH27" s="41" t="inlineStr">
        <is>
          <t>IF(G27="","All_Provinces",IFERROR(VLOOKUP(G27,'07_Lookups'!$A$4:$B$20,2,FALSE),"All_Provinces"))</t>
        </is>
      </c>
      <c r="BI27" s="41" t="inlineStr">
        <is>
          <t>IF(H27="","All_Districts",IFERROR(VLOOKUP(H27,'07_Lookups'!$E$4:$F$42,2,FALSE),"All_Districts"))</t>
        </is>
      </c>
    </row>
    <row r="28" ht="18" customHeight="1">
      <c r="A28" s="32" t="inlineStr">
        <is>
          <t>IF(E28="","",ROW()-3)</t>
        </is>
      </c>
      <c r="B28" s="33" t="inlineStr">
        <is>
          <t>AF2-IS-A-025</t>
        </is>
      </c>
      <c r="C28" s="33" t="inlineStr">
        <is>
          <t>Emergency Food Security Project (EFSP) – WBK/AF-2</t>
        </is>
      </c>
      <c r="D28" s="33" t="inlineStr">
        <is>
          <t>Package #26-AF2 IS: Rehabilitation of Sarwan Qala canal irrigation schemes, located in Sangin district of Kandahar province.</t>
        </is>
      </c>
      <c r="E28" s="33" t="inlineStr">
        <is>
          <t>Sarwan Qala Canal Irrigation Scheme</t>
        </is>
      </c>
      <c r="F28" s="33" t="inlineStr">
        <is>
          <t>Irrigation Canal</t>
        </is>
      </c>
      <c r="G28" s="33" t="inlineStr">
        <is>
          <t>South / Kandahar</t>
        </is>
      </c>
      <c r="H28" s="33" t="inlineStr">
        <is>
          <t>Helmand</t>
        </is>
      </c>
      <c r="I28" s="33" t="inlineStr">
        <is>
          <t>Sangin</t>
        </is>
      </c>
      <c r="J28" s="33" t="inlineStr">
        <is>
          <t>Sarwan Qala</t>
        </is>
      </c>
      <c r="K28" s="33" t="inlineStr">
        <is>
          <t>World Bank (WBK/AF-2)</t>
        </is>
      </c>
      <c r="L28" s="33" t="inlineStr">
        <is>
          <t>Awarded</t>
        </is>
      </c>
      <c r="M28" s="33" t="inlineStr">
        <is>
          <t>On/off-farm irrigation</t>
        </is>
      </c>
      <c r="N28" s="33" t="inlineStr">
        <is>
          <t>1.Awarded contracts_On&amp;off-farm</t>
        </is>
      </c>
      <c r="O28" s="33" t="inlineStr">
        <is>
          <t>New Safi Zada Construction &amp; Road Building Company JV with Elyas Aryoubi Constructin Road building and Logistic Company (NSZ&amp;EACC)</t>
        </is>
      </c>
      <c r="P28" s="33" t="inlineStr">
        <is>
          <t>019/2026</t>
        </is>
      </c>
      <c r="Q28" s="34" t="n">
        <v>351552.71</v>
      </c>
      <c r="R28" s="35" t="inlineStr">
        <is>
          <t>IF(AO28="","",AO28)</t>
        </is>
      </c>
      <c r="S28" s="36" t="n"/>
      <c r="T28" s="37" t="n">
        <v>12</v>
      </c>
      <c r="U28" s="36" t="n">
        <v>46448</v>
      </c>
      <c r="V28" s="35" t="inlineStr">
        <is>
          <t>IF(U28&lt;&gt;"",U28,IF(OR(R28="",T28=""),"",EDATE(R28,T28)))</t>
        </is>
      </c>
      <c r="W28" s="36" t="n"/>
      <c r="X28" s="37" t="n">
        <v>0</v>
      </c>
      <c r="Y28" s="33" t="inlineStr">
        <is>
          <t>Cancelled</t>
        </is>
      </c>
      <c r="Z28" s="33" t="inlineStr">
        <is>
          <t>package / contract cancelled</t>
        </is>
      </c>
      <c r="AA28" s="32" t="inlineStr">
        <is>
          <t>IF(E28="","",IF(COUNT(AG28:AT28)=0,IF(Y28="","Not started",Y28),SUBSTITUTE(LOOKUP(2,1/(AG28:AT28&lt;&gt;""),$AG$3:$AT$3),"Date: ","")))</t>
        </is>
      </c>
      <c r="AB28" s="38" t="inlineStr">
        <is>
          <t>IF(OR(E28="",COUNT(AG28:AT28)=0),"",TODAY()-LOOKUP(2,1/(AG28:AT28&lt;&gt;""),AG28:AT28))</t>
        </is>
      </c>
      <c r="AC28" s="38" t="inlineStr">
        <is>
          <t>IF(OR(E28="",COUNT(AG28:AT28)&lt;2),"",LOOKUP(2,1/(AG28:AT28&lt;&gt;""),AG28:AT28)-MIN(AG28:AT28))</t>
        </is>
      </c>
      <c r="AD28" s="38" t="inlineStr">
        <is>
          <t>IF(OR(AB28="",AA28="Not started",AA28=""),"",IFERROR(AB28-IF(VLOOKUP(AA28,'04_Status_Pipeline'!$B$3:$E$20,4,FALSE)="",0,VLOOKUP(AA28,'04_Status_Pipeline'!$B$3:$E$20,4,FALSE)),""))</t>
        </is>
      </c>
      <c r="AE28" s="32" t="inlineStr">
        <is>
          <t>IF(E28="","",IF(OR(Y28="Cancelled",AA28="Cancelled"),"Cancelled",IF(OR(AA28="Completed / Handover",W28&lt;&gt;"",X28&gt;=100),"Completed — on track",IF(L28="Remaining",IF(S28="",IF(V28="","No planned date",IF(TODAY()&gt;V28,"Behind — past planned date",IF(V28-TODAY()&lt;=30,"At risk — close to off track","On track"))),IF(TODAY()&gt;S28,"Behind — award date passed",IF(S28-TODAY()&lt;=30,"At risk — close to off track","On track"))),IF(V28="","No planned date",IF(AND(TODAY()&gt;V28,OR(X28="",X28&lt;100)),"Behind — past end date",IF(AND(R28&lt;&gt;"",V28&lt;&gt;"",X28&lt;&gt;"",(X28&lt;100),((TODAY()-R28)/MAX(V28-R28,1)*100)-X28&gt;15),"Behind — progress lag",IF(AND(V28-TODAY()&lt;=30,V28-TODAY()&gt;=0,OR(X28="",X28&lt;90)),"At risk — close to off track","On track"))))))))</t>
        </is>
      </c>
      <c r="AF28" s="38" t="inlineStr">
        <is>
          <t>IF(OR(E28="",AA28="Completed / Handover",AA28="Cancelled"),"",IF(L28="Remaining",IF(S28&lt;&gt;"",S28-TODAY(),IF(V28="","",V28-TODAY())),IF(V28="","",V28-TODAY())))</t>
        </is>
      </c>
      <c r="AG28" s="39" t="n"/>
      <c r="AH28" s="39" t="n"/>
      <c r="AI28" s="39" t="n"/>
      <c r="AJ28" s="39" t="n"/>
      <c r="AK28" s="39" t="n"/>
      <c r="AL28" s="39" t="n"/>
      <c r="AM28" s="39" t="n"/>
      <c r="AN28" s="39" t="n"/>
      <c r="AO28" s="39" t="n">
        <v>46084</v>
      </c>
      <c r="AP28" s="39" t="n"/>
      <c r="AQ28" s="39" t="n"/>
      <c r="AR28" s="40" t="n"/>
      <c r="AS28" s="40" t="n"/>
      <c r="AT28" s="40" t="n"/>
      <c r="AU28" s="38" t="inlineStr">
        <is>
          <t>IF(OR(E28="",AH28=""),"",IF(COUNT(AG28:AG28)=0,"",AH28-LOOKUP(2,1/(AG28:AG28&lt;&gt;""),AG28:AG28)))</t>
        </is>
      </c>
      <c r="AV28" s="38" t="inlineStr">
        <is>
          <t>IF(OR(E28="",AI28=""),"",IF(COUNT(AG28:AH28)=0,"",AI28-LOOKUP(2,1/(AG28:AH28&lt;&gt;""),AG28:AH28)))</t>
        </is>
      </c>
      <c r="AW28" s="38" t="inlineStr">
        <is>
          <t>IF(OR(E28="",AJ28=""),"",IF(COUNT(AG28:AI28)=0,"",AJ28-LOOKUP(2,1/(AG28:AI28&lt;&gt;""),AG28:AI28)))</t>
        </is>
      </c>
      <c r="AX28" s="38" t="inlineStr">
        <is>
          <t>IF(OR(E28="",AK28=""),"",IF(COUNT(AG28:AJ28)=0,"",AK28-LOOKUP(2,1/(AG28:AJ28&lt;&gt;""),AG28:AJ28)))</t>
        </is>
      </c>
      <c r="AY28" s="38" t="inlineStr">
        <is>
          <t>IF(OR(E28="",AL28=""),"",IF(COUNT(AG28:AK28)=0,"",AL28-LOOKUP(2,1/(AG28:AK28&lt;&gt;""),AG28:AK28)))</t>
        </is>
      </c>
      <c r="AZ28" s="38" t="inlineStr">
        <is>
          <t>IF(OR(E28="",AM28=""),"",IF(COUNT(AG28:AL28)=0,"",AM28-LOOKUP(2,1/(AG28:AL28&lt;&gt;""),AG28:AL28)))</t>
        </is>
      </c>
      <c r="BA28" s="38" t="inlineStr">
        <is>
          <t>IF(OR(E28="",AN28=""),"",IF(COUNT(AG28:AM28)=0,"",AN28-LOOKUP(2,1/(AG28:AM28&lt;&gt;""),AG28:AM28)))</t>
        </is>
      </c>
      <c r="BB28" s="38" t="inlineStr">
        <is>
          <t>IF(OR(E28="",AO28=""),"",IF(COUNT(AG28:AN28)=0,"",AO28-LOOKUP(2,1/(AG28:AN28&lt;&gt;""),AG28:AN28)))</t>
        </is>
      </c>
      <c r="BC28" s="38" t="inlineStr">
        <is>
          <t>IF(OR(E28="",AP28=""),"",IF(COUNT(AG28:AO28)=0,"",AP28-LOOKUP(2,1/(AG28:AO28&lt;&gt;""),AG28:AO28)))</t>
        </is>
      </c>
      <c r="BD28" s="38" t="inlineStr">
        <is>
          <t>IF(OR(E28="",AQ28=""),"",IF(COUNT(AG28:AP28)=0,"",AQ28-LOOKUP(2,1/(AG28:AP28&lt;&gt;""),AG28:AP28)))</t>
        </is>
      </c>
      <c r="BE28" s="38" t="inlineStr">
        <is>
          <t>IF(OR(E28="",AR28=""),"",IF(COUNT(AG28:AQ28)=0,"",AR28-LOOKUP(2,1/(AG28:AQ28&lt;&gt;""),AG28:AQ28)))</t>
        </is>
      </c>
      <c r="BF28" s="38" t="inlineStr">
        <is>
          <t>IF(OR(E28="",AS28=""),"",IF(COUNT(AG28:AR28)=0,"",AS28-LOOKUP(2,1/(AG28:AR28&lt;&gt;""),AG28:AR28)))</t>
        </is>
      </c>
      <c r="BG28" s="38" t="inlineStr">
        <is>
          <t>IF(OR(E28="",AT28=""),"",IF(COUNT(AG28:AS28)=0,"",AT28-LOOKUP(2,1/(AG28:AS28&lt;&gt;""),AG28:AS28)))</t>
        </is>
      </c>
      <c r="BH28" s="41" t="inlineStr">
        <is>
          <t>IF(G28="","All_Provinces",IFERROR(VLOOKUP(G28,'07_Lookups'!$A$4:$B$20,2,FALSE),"All_Provinces"))</t>
        </is>
      </c>
      <c r="BI28" s="41" t="inlineStr">
        <is>
          <t>IF(H28="","All_Districts",IFERROR(VLOOKUP(H28,'07_Lookups'!$E$4:$F$42,2,FALSE),"All_Districts"))</t>
        </is>
      </c>
    </row>
    <row r="29" ht="18" customHeight="1">
      <c r="A29" s="32" t="inlineStr">
        <is>
          <t>IF(E29="","",ROW()-3)</t>
        </is>
      </c>
      <c r="B29" s="42" t="inlineStr">
        <is>
          <t>AF2-IS-A-026</t>
        </is>
      </c>
      <c r="C29" s="42" t="inlineStr">
        <is>
          <t>Emergency Food Security Project (EFSP) – WBK/AF-2</t>
        </is>
      </c>
      <c r="D29" s="42" t="inlineStr">
        <is>
          <t>Package # 28 – AF2 IS: Rehabilitation of Irrigation Schemes of 1. Abil Aroq (Qanjogha), 2. Shaitan Aroq Cluster Canals in Khwaja Ghar District and 3. Kalta Aroq, 4. Pacha Khail, and 5. Sayed Miran (Khar Kar) Cluster Canals in Eshkamish District of Takhar Province</t>
        </is>
      </c>
      <c r="E29" s="42" t="inlineStr">
        <is>
          <t>Abil Aroq (Qanjugh) and Shaitan Aroq Cluster Canal Irrigation Schemes</t>
        </is>
      </c>
      <c r="F29" s="42" t="inlineStr">
        <is>
          <t>Irrigation Canal</t>
        </is>
      </c>
      <c r="G29" s="42" t="inlineStr">
        <is>
          <t>Northeast / Kunduz</t>
        </is>
      </c>
      <c r="H29" s="42" t="inlineStr">
        <is>
          <t>Takhar</t>
        </is>
      </c>
      <c r="I29" s="42" t="inlineStr">
        <is>
          <t>Khwaja Ghar</t>
        </is>
      </c>
      <c r="J29" s="42" t="inlineStr">
        <is>
          <t>Qanjogha</t>
        </is>
      </c>
      <c r="K29" s="42" t="inlineStr">
        <is>
          <t>World Bank (WBK/AF-2)</t>
        </is>
      </c>
      <c r="L29" s="42" t="inlineStr">
        <is>
          <t>Awarded</t>
        </is>
      </c>
      <c r="M29" s="42" t="inlineStr">
        <is>
          <t>On/off-farm irrigation</t>
        </is>
      </c>
      <c r="N29" s="42" t="inlineStr">
        <is>
          <t>1.Awarded contracts_On&amp;off-farm</t>
        </is>
      </c>
      <c r="O29" s="42" t="inlineStr">
        <is>
          <t>SHAMAL KARDAN ROAD CONSTRUCTION AND LOGISTIC SERVICES COMPANY LTD (SKRCC)</t>
        </is>
      </c>
      <c r="P29" s="42" t="inlineStr">
        <is>
          <t>067/2025</t>
        </is>
      </c>
      <c r="Q29" s="43" t="n">
        <v>159788.8</v>
      </c>
      <c r="R29" s="35" t="inlineStr">
        <is>
          <t>IF(AO29="","",AO29)</t>
        </is>
      </c>
      <c r="S29" s="44" t="n"/>
      <c r="T29" s="45" t="n">
        <v>12</v>
      </c>
      <c r="U29" s="44" t="n">
        <v>46377</v>
      </c>
      <c r="V29" s="35" t="inlineStr">
        <is>
          <t>IF(U29&lt;&gt;"",U29,IF(OR(R29="",T29=""),"",EDATE(R29,T29)))</t>
        </is>
      </c>
      <c r="W29" s="44" t="n"/>
      <c r="X29" s="45" t="n">
        <v>0</v>
      </c>
      <c r="Y29" s="42" t="inlineStr">
        <is>
          <t>Awarded</t>
        </is>
      </c>
      <c r="Z29" s="42" t="inlineStr">
        <is>
          <t>off track and close follow up to ensure completion by June 2027 after potential NCE</t>
        </is>
      </c>
      <c r="AA29" s="32" t="inlineStr">
        <is>
          <t>IF(E29="","",IF(COUNT(AG29:AT29)=0,IF(Y29="","Not started",Y29),SUBSTITUTE(LOOKUP(2,1/(AG29:AT29&lt;&gt;""),$AG$3:$AT$3),"Date: ","")))</t>
        </is>
      </c>
      <c r="AB29" s="38" t="inlineStr">
        <is>
          <t>IF(OR(E29="",COUNT(AG29:AT29)=0),"",TODAY()-LOOKUP(2,1/(AG29:AT29&lt;&gt;""),AG29:AT29))</t>
        </is>
      </c>
      <c r="AC29" s="38" t="inlineStr">
        <is>
          <t>IF(OR(E29="",COUNT(AG29:AT29)&lt;2),"",LOOKUP(2,1/(AG29:AT29&lt;&gt;""),AG29:AT29)-MIN(AG29:AT29))</t>
        </is>
      </c>
      <c r="AD29" s="38" t="inlineStr">
        <is>
          <t>IF(OR(AB29="",AA29="Not started",AA29=""),"",IFERROR(AB29-IF(VLOOKUP(AA29,'04_Status_Pipeline'!$B$3:$E$20,4,FALSE)="",0,VLOOKUP(AA29,'04_Status_Pipeline'!$B$3:$E$20,4,FALSE)),""))</t>
        </is>
      </c>
      <c r="AE29" s="32" t="inlineStr">
        <is>
          <t>IF(E29="","",IF(OR(Y29="Cancelled",AA29="Cancelled"),"Cancelled",IF(OR(AA29="Completed / Handover",W29&lt;&gt;"",X29&gt;=100),"Completed — on track",IF(L29="Remaining",IF(S29="",IF(V29="","No planned date",IF(TODAY()&gt;V29,"Behind — past planned date",IF(V29-TODAY()&lt;=30,"At risk — close to off track","On track"))),IF(TODAY()&gt;S29,"Behind — award date passed",IF(S29-TODAY()&lt;=30,"At risk — close to off track","On track"))),IF(V29="","No planned date",IF(AND(TODAY()&gt;V29,OR(X29="",X29&lt;100)),"Behind — past end date",IF(AND(R29&lt;&gt;"",V29&lt;&gt;"",X29&lt;&gt;"",(X29&lt;100),((TODAY()-R29)/MAX(V29-R29,1)*100)-X29&gt;15),"Behind — progress lag",IF(AND(V29-TODAY()&lt;=30,V29-TODAY()&gt;=0,OR(X29="",X29&lt;90)),"At risk — close to off track","On track"))))))))</t>
        </is>
      </c>
      <c r="AF29" s="38" t="inlineStr">
        <is>
          <t>IF(OR(E29="",AA29="Completed / Handover",AA29="Cancelled"),"",IF(L29="Remaining",IF(S29&lt;&gt;"",S29-TODAY(),IF(V29="","",V29-TODAY())),IF(V29="","",V29-TODAY())))</t>
        </is>
      </c>
      <c r="AG29" s="39" t="n"/>
      <c r="AH29" s="39" t="n"/>
      <c r="AI29" s="39" t="n"/>
      <c r="AJ29" s="39" t="n"/>
      <c r="AK29" s="39" t="n"/>
      <c r="AL29" s="39" t="n"/>
      <c r="AM29" s="39" t="n"/>
      <c r="AN29" s="39" t="n"/>
      <c r="AO29" s="39" t="n">
        <v>46013</v>
      </c>
      <c r="AP29" s="39" t="n"/>
      <c r="AQ29" s="39" t="n"/>
      <c r="AR29" s="40" t="n"/>
      <c r="AS29" s="40" t="n"/>
      <c r="AT29" s="40" t="n"/>
      <c r="AU29" s="38" t="inlineStr">
        <is>
          <t>IF(OR(E29="",AH29=""),"",IF(COUNT(AG29:AG29)=0,"",AH29-LOOKUP(2,1/(AG29:AG29&lt;&gt;""),AG29:AG29)))</t>
        </is>
      </c>
      <c r="AV29" s="38" t="inlineStr">
        <is>
          <t>IF(OR(E29="",AI29=""),"",IF(COUNT(AG29:AH29)=0,"",AI29-LOOKUP(2,1/(AG29:AH29&lt;&gt;""),AG29:AH29)))</t>
        </is>
      </c>
      <c r="AW29" s="38" t="inlineStr">
        <is>
          <t>IF(OR(E29="",AJ29=""),"",IF(COUNT(AG29:AI29)=0,"",AJ29-LOOKUP(2,1/(AG29:AI29&lt;&gt;""),AG29:AI29)))</t>
        </is>
      </c>
      <c r="AX29" s="38" t="inlineStr">
        <is>
          <t>IF(OR(E29="",AK29=""),"",IF(COUNT(AG29:AJ29)=0,"",AK29-LOOKUP(2,1/(AG29:AJ29&lt;&gt;""),AG29:AJ29)))</t>
        </is>
      </c>
      <c r="AY29" s="38" t="inlineStr">
        <is>
          <t>IF(OR(E29="",AL29=""),"",IF(COUNT(AG29:AK29)=0,"",AL29-LOOKUP(2,1/(AG29:AK29&lt;&gt;""),AG29:AK29)))</t>
        </is>
      </c>
      <c r="AZ29" s="38" t="inlineStr">
        <is>
          <t>IF(OR(E29="",AM29=""),"",IF(COUNT(AG29:AL29)=0,"",AM29-LOOKUP(2,1/(AG29:AL29&lt;&gt;""),AG29:AL29)))</t>
        </is>
      </c>
      <c r="BA29" s="38" t="inlineStr">
        <is>
          <t>IF(OR(E29="",AN29=""),"",IF(COUNT(AG29:AM29)=0,"",AN29-LOOKUP(2,1/(AG29:AM29&lt;&gt;""),AG29:AM29)))</t>
        </is>
      </c>
      <c r="BB29" s="38" t="inlineStr">
        <is>
          <t>IF(OR(E29="",AO29=""),"",IF(COUNT(AG29:AN29)=0,"",AO29-LOOKUP(2,1/(AG29:AN29&lt;&gt;""),AG29:AN29)))</t>
        </is>
      </c>
      <c r="BC29" s="38" t="inlineStr">
        <is>
          <t>IF(OR(E29="",AP29=""),"",IF(COUNT(AG29:AO29)=0,"",AP29-LOOKUP(2,1/(AG29:AO29&lt;&gt;""),AG29:AO29)))</t>
        </is>
      </c>
      <c r="BD29" s="38" t="inlineStr">
        <is>
          <t>IF(OR(E29="",AQ29=""),"",IF(COUNT(AG29:AP29)=0,"",AQ29-LOOKUP(2,1/(AG29:AP29&lt;&gt;""),AG29:AP29)))</t>
        </is>
      </c>
      <c r="BE29" s="38" t="inlineStr">
        <is>
          <t>IF(OR(E29="",AR29=""),"",IF(COUNT(AG29:AQ29)=0,"",AR29-LOOKUP(2,1/(AG29:AQ29&lt;&gt;""),AG29:AQ29)))</t>
        </is>
      </c>
      <c r="BF29" s="38" t="inlineStr">
        <is>
          <t>IF(OR(E29="",AS29=""),"",IF(COUNT(AG29:AR29)=0,"",AS29-LOOKUP(2,1/(AG29:AR29&lt;&gt;""),AG29:AR29)))</t>
        </is>
      </c>
      <c r="BG29" s="38" t="inlineStr">
        <is>
          <t>IF(OR(E29="",AT29=""),"",IF(COUNT(AG29:AS29)=0,"",AT29-LOOKUP(2,1/(AG29:AS29&lt;&gt;""),AG29:AS29)))</t>
        </is>
      </c>
      <c r="BH29" s="41" t="inlineStr">
        <is>
          <t>IF(G29="","All_Provinces",IFERROR(VLOOKUP(G29,'07_Lookups'!$A$4:$B$20,2,FALSE),"All_Provinces"))</t>
        </is>
      </c>
      <c r="BI29" s="41" t="inlineStr">
        <is>
          <t>IF(H29="","All_Districts",IFERROR(VLOOKUP(H29,'07_Lookups'!$E$4:$F$42,2,FALSE),"All_Districts"))</t>
        </is>
      </c>
    </row>
    <row r="30" ht="18" customHeight="1">
      <c r="A30" s="32" t="inlineStr">
        <is>
          <t>IF(E30="","",ROW()-3)</t>
        </is>
      </c>
      <c r="B30" s="33" t="inlineStr">
        <is>
          <t>AF2-IS-A-027</t>
        </is>
      </c>
      <c r="C30" s="33" t="inlineStr">
        <is>
          <t>Emergency Food Security Project (EFSP) – WBK/AF-2</t>
        </is>
      </c>
      <c r="D30" s="33" t="inlineStr">
        <is>
          <t>Package # 28 – AF2 IS: Rehabilitation of Irrigation Schemes of 1. Abil Aroq (Qanjogha), 2. Shaitan Aroq Cluster Canals in Khwaja Ghar District and 3. Kalta Aroq, 4. Pacha Khail, and 5. Sayed Miran (Khar Kar) Cluster Canals in Eshkamish District of Takhar Province</t>
        </is>
      </c>
      <c r="E30" s="33" t="inlineStr">
        <is>
          <t>Khar Kar (Kalta Aroq, Pacha Khail and Sayed Miran) Cluster Canal Irrigation Schemes</t>
        </is>
      </c>
      <c r="F30" s="33" t="inlineStr">
        <is>
          <t>Irrigation Canal</t>
        </is>
      </c>
      <c r="G30" s="33" t="inlineStr">
        <is>
          <t>Northeast / Kunduz</t>
        </is>
      </c>
      <c r="H30" s="33" t="inlineStr">
        <is>
          <t>Takhar</t>
        </is>
      </c>
      <c r="I30" s="33" t="inlineStr">
        <is>
          <t>Eshkamish</t>
        </is>
      </c>
      <c r="J30" s="33" t="inlineStr">
        <is>
          <t>Kat Qurugh</t>
        </is>
      </c>
      <c r="K30" s="33" t="inlineStr">
        <is>
          <t>World Bank (WBK/AF-2)</t>
        </is>
      </c>
      <c r="L30" s="33" t="inlineStr">
        <is>
          <t>Awarded</t>
        </is>
      </c>
      <c r="M30" s="33" t="inlineStr">
        <is>
          <t>On/off-farm irrigation</t>
        </is>
      </c>
      <c r="N30" s="33" t="inlineStr">
        <is>
          <t>1.Awarded contracts_On&amp;off-farm</t>
        </is>
      </c>
      <c r="O30" s="33" t="inlineStr">
        <is>
          <t>SHAMAL KARDAN ROAD CONSTRUCTION AND LOGISTIC SERVICES COMPANY LTD (SKRCC)</t>
        </is>
      </c>
      <c r="P30" s="33" t="inlineStr">
        <is>
          <t>067/2025</t>
        </is>
      </c>
      <c r="Q30" s="34" t="n">
        <v>89881.2</v>
      </c>
      <c r="R30" s="35" t="inlineStr">
        <is>
          <t>IF(AO30="","",AO30)</t>
        </is>
      </c>
      <c r="S30" s="36" t="n"/>
      <c r="T30" s="37" t="n">
        <v>12</v>
      </c>
      <c r="U30" s="36" t="n">
        <v>46377</v>
      </c>
      <c r="V30" s="35" t="inlineStr">
        <is>
          <t>IF(U30&lt;&gt;"",U30,IF(OR(R30="",T30=""),"",EDATE(R30,T30)))</t>
        </is>
      </c>
      <c r="W30" s="36" t="n"/>
      <c r="X30" s="37" t="n">
        <v>80</v>
      </c>
      <c r="Y30" s="33" t="inlineStr">
        <is>
          <t>Completed / Handover</t>
        </is>
      </c>
      <c r="Z30" s="33" t="inlineStr">
        <is>
          <t>on track and will be completed by Dec. 2026</t>
        </is>
      </c>
      <c r="AA30" s="32" t="inlineStr">
        <is>
          <t>IF(E30="","",IF(COUNT(AG30:AT30)=0,IF(Y30="","Not started",Y30),SUBSTITUTE(LOOKUP(2,1/(AG30:AT30&lt;&gt;""),$AG$3:$AT$3),"Date: ","")))</t>
        </is>
      </c>
      <c r="AB30" s="38" t="inlineStr">
        <is>
          <t>IF(OR(E30="",COUNT(AG30:AT30)=0),"",TODAY()-LOOKUP(2,1/(AG30:AT30&lt;&gt;""),AG30:AT30))</t>
        </is>
      </c>
      <c r="AC30" s="38" t="inlineStr">
        <is>
          <t>IF(OR(E30="",COUNT(AG30:AT30)&lt;2),"",LOOKUP(2,1/(AG30:AT30&lt;&gt;""),AG30:AT30)-MIN(AG30:AT30))</t>
        </is>
      </c>
      <c r="AD30" s="38" t="inlineStr">
        <is>
          <t>IF(OR(AB30="",AA30="Not started",AA30=""),"",IFERROR(AB30-IF(VLOOKUP(AA30,'04_Status_Pipeline'!$B$3:$E$20,4,FALSE)="",0,VLOOKUP(AA30,'04_Status_Pipeline'!$B$3:$E$20,4,FALSE)),""))</t>
        </is>
      </c>
      <c r="AE30" s="32" t="inlineStr">
        <is>
          <t>IF(E30="","",IF(OR(Y30="Cancelled",AA30="Cancelled"),"Cancelled",IF(OR(AA30="Completed / Handover",W30&lt;&gt;"",X30&gt;=100),"Completed — on track",IF(L30="Remaining",IF(S30="",IF(V30="","No planned date",IF(TODAY()&gt;V30,"Behind — past planned date",IF(V30-TODAY()&lt;=30,"At risk — close to off track","On track"))),IF(TODAY()&gt;S30,"Behind — award date passed",IF(S30-TODAY()&lt;=30,"At risk — close to off track","On track"))),IF(V30="","No planned date",IF(AND(TODAY()&gt;V30,OR(X30="",X30&lt;100)),"Behind — past end date",IF(AND(R30&lt;&gt;"",V30&lt;&gt;"",X30&lt;&gt;"",(X30&lt;100),((TODAY()-R30)/MAX(V30-R30,1)*100)-X30&gt;15),"Behind — progress lag",IF(AND(V30-TODAY()&lt;=30,V30-TODAY()&gt;=0,OR(X30="",X30&lt;90)),"At risk — close to off track","On track"))))))))</t>
        </is>
      </c>
      <c r="AF30" s="38" t="inlineStr">
        <is>
          <t>IF(OR(E30="",AA30="Completed / Handover",AA30="Cancelled"),"",IF(L30="Remaining",IF(S30&lt;&gt;"",S30-TODAY(),IF(V30="","",V30-TODAY())),IF(V30="","",V30-TODAY())))</t>
        </is>
      </c>
      <c r="AG30" s="39" t="n"/>
      <c r="AH30" s="39" t="n"/>
      <c r="AI30" s="39" t="n"/>
      <c r="AJ30" s="39" t="n"/>
      <c r="AK30" s="39" t="n"/>
      <c r="AL30" s="39" t="n"/>
      <c r="AM30" s="39" t="n"/>
      <c r="AN30" s="39" t="n"/>
      <c r="AO30" s="39" t="n">
        <v>46013</v>
      </c>
      <c r="AP30" s="39" t="n">
        <v>46013</v>
      </c>
      <c r="AQ30" s="39" t="n">
        <v>46377</v>
      </c>
      <c r="AR30" s="40" t="n"/>
      <c r="AS30" s="40" t="n"/>
      <c r="AT30" s="40" t="n"/>
      <c r="AU30" s="38" t="inlineStr">
        <is>
          <t>IF(OR(E30="",AH30=""),"",IF(COUNT(AG30:AG30)=0,"",AH30-LOOKUP(2,1/(AG30:AG30&lt;&gt;""),AG30:AG30)))</t>
        </is>
      </c>
      <c r="AV30" s="38" t="inlineStr">
        <is>
          <t>IF(OR(E30="",AI30=""),"",IF(COUNT(AG30:AH30)=0,"",AI30-LOOKUP(2,1/(AG30:AH30&lt;&gt;""),AG30:AH30)))</t>
        </is>
      </c>
      <c r="AW30" s="38" t="inlineStr">
        <is>
          <t>IF(OR(E30="",AJ30=""),"",IF(COUNT(AG30:AI30)=0,"",AJ30-LOOKUP(2,1/(AG30:AI30&lt;&gt;""),AG30:AI30)))</t>
        </is>
      </c>
      <c r="AX30" s="38" t="inlineStr">
        <is>
          <t>IF(OR(E30="",AK30=""),"",IF(COUNT(AG30:AJ30)=0,"",AK30-LOOKUP(2,1/(AG30:AJ30&lt;&gt;""),AG30:AJ30)))</t>
        </is>
      </c>
      <c r="AY30" s="38" t="inlineStr">
        <is>
          <t>IF(OR(E30="",AL30=""),"",IF(COUNT(AG30:AK30)=0,"",AL30-LOOKUP(2,1/(AG30:AK30&lt;&gt;""),AG30:AK30)))</t>
        </is>
      </c>
      <c r="AZ30" s="38" t="inlineStr">
        <is>
          <t>IF(OR(E30="",AM30=""),"",IF(COUNT(AG30:AL30)=0,"",AM30-LOOKUP(2,1/(AG30:AL30&lt;&gt;""),AG30:AL30)))</t>
        </is>
      </c>
      <c r="BA30" s="38" t="inlineStr">
        <is>
          <t>IF(OR(E30="",AN30=""),"",IF(COUNT(AG30:AM30)=0,"",AN30-LOOKUP(2,1/(AG30:AM30&lt;&gt;""),AG30:AM30)))</t>
        </is>
      </c>
      <c r="BB30" s="38" t="inlineStr">
        <is>
          <t>IF(OR(E30="",AO30=""),"",IF(COUNT(AG30:AN30)=0,"",AO30-LOOKUP(2,1/(AG30:AN30&lt;&gt;""),AG30:AN30)))</t>
        </is>
      </c>
      <c r="BC30" s="38" t="inlineStr">
        <is>
          <t>IF(OR(E30="",AP30=""),"",IF(COUNT(AG30:AO30)=0,"",AP30-LOOKUP(2,1/(AG30:AO30&lt;&gt;""),AG30:AO30)))</t>
        </is>
      </c>
      <c r="BD30" s="38" t="inlineStr">
        <is>
          <t>IF(OR(E30="",AQ30=""),"",IF(COUNT(AG30:AP30)=0,"",AQ30-LOOKUP(2,1/(AG30:AP30&lt;&gt;""),AG30:AP30)))</t>
        </is>
      </c>
      <c r="BE30" s="38" t="inlineStr">
        <is>
          <t>IF(OR(E30="",AR30=""),"",IF(COUNT(AG30:AQ30)=0,"",AR30-LOOKUP(2,1/(AG30:AQ30&lt;&gt;""),AG30:AQ30)))</t>
        </is>
      </c>
      <c r="BF30" s="38" t="inlineStr">
        <is>
          <t>IF(OR(E30="",AS30=""),"",IF(COUNT(AG30:AR30)=0,"",AS30-LOOKUP(2,1/(AG30:AR30&lt;&gt;""),AG30:AR30)))</t>
        </is>
      </c>
      <c r="BG30" s="38" t="inlineStr">
        <is>
          <t>IF(OR(E30="",AT30=""),"",IF(COUNT(AG30:AS30)=0,"",AT30-LOOKUP(2,1/(AG30:AS30&lt;&gt;""),AG30:AS30)))</t>
        </is>
      </c>
      <c r="BH30" s="41" t="inlineStr">
        <is>
          <t>IF(G30="","All_Provinces",IFERROR(VLOOKUP(G30,'07_Lookups'!$A$4:$B$20,2,FALSE),"All_Provinces"))</t>
        </is>
      </c>
      <c r="BI30" s="41" t="inlineStr">
        <is>
          <t>IF(H30="","All_Districts",IFERROR(VLOOKUP(H30,'07_Lookups'!$E$4:$F$42,2,FALSE),"All_Districts"))</t>
        </is>
      </c>
    </row>
    <row r="31" ht="18" customHeight="1">
      <c r="A31" s="32" t="inlineStr">
        <is>
          <t>IF(E31="","",ROW()-3)</t>
        </is>
      </c>
      <c r="B31" s="42" t="inlineStr">
        <is>
          <t>AF2-IS-A-028</t>
        </is>
      </c>
      <c r="C31" s="42" t="inlineStr">
        <is>
          <t>Emergency Food Security Project (EFSP) – WBK/AF-2</t>
        </is>
      </c>
      <c r="D31" s="42" t="inlineStr">
        <is>
          <t>Package #31-AF2 IS: Rehabilitation of 1. Shahidan &amp;Dasht-e Lajam Canal schems in Tala wa barfak district, 2.Sardar Ha canal scheme in Deh Salah district, and 3. Kambilan cluster canal schemes in Fring districts of Baghlan province.</t>
        </is>
      </c>
      <c r="E31" s="42" t="inlineStr">
        <is>
          <t>Shahidan &amp; Dasht-e Lajam Canals</t>
        </is>
      </c>
      <c r="F31" s="42" t="inlineStr">
        <is>
          <t>Irrigation Canal</t>
        </is>
      </c>
      <c r="G31" s="42" t="inlineStr">
        <is>
          <t>Northeast / Kunduz</t>
        </is>
      </c>
      <c r="H31" s="42" t="inlineStr">
        <is>
          <t>Baghlan</t>
        </is>
      </c>
      <c r="I31" s="42" t="inlineStr">
        <is>
          <t>Tala wa barfak</t>
        </is>
      </c>
      <c r="J31" s="42" t="inlineStr">
        <is>
          <t>Shahidan &amp; Dast-e-Lajam</t>
        </is>
      </c>
      <c r="K31" s="42" t="inlineStr">
        <is>
          <t>World Bank (WBK/AF-2)</t>
        </is>
      </c>
      <c r="L31" s="42" t="inlineStr">
        <is>
          <t>Awarded</t>
        </is>
      </c>
      <c r="M31" s="42" t="inlineStr">
        <is>
          <t>On/off-farm irrigation</t>
        </is>
      </c>
      <c r="N31" s="42" t="inlineStr">
        <is>
          <t>1.Awarded contracts_On&amp;off-farm</t>
        </is>
      </c>
      <c r="O31" s="42" t="inlineStr">
        <is>
          <t>Afghan Eithad construction and Road Building company (AECC)</t>
        </is>
      </c>
      <c r="P31" s="42" t="inlineStr">
        <is>
          <t>009/2026</t>
        </is>
      </c>
      <c r="Q31" s="43" t="n">
        <v>190128.77</v>
      </c>
      <c r="R31" s="35" t="inlineStr">
        <is>
          <t>IF(AO31="","",AO31)</t>
        </is>
      </c>
      <c r="S31" s="44" t="n"/>
      <c r="T31" s="45" t="n">
        <v>10</v>
      </c>
      <c r="U31" s="44" t="n">
        <v>46354</v>
      </c>
      <c r="V31" s="35" t="inlineStr">
        <is>
          <t>IF(U31&lt;&gt;"",U31,IF(OR(R31="",T31=""),"",EDATE(R31,T31)))</t>
        </is>
      </c>
      <c r="W31" s="44" t="n"/>
      <c r="X31" s="45" t="n">
        <v>100</v>
      </c>
      <c r="Y31" s="42" t="inlineStr">
        <is>
          <t>Completed / Handover</t>
        </is>
      </c>
      <c r="Z31" s="42" t="inlineStr">
        <is>
          <t>on track and will be completed by Nov. 2026 | Actual completion: July. 2025</t>
        </is>
      </c>
      <c r="AA31" s="32" t="inlineStr">
        <is>
          <t>IF(E31="","",IF(COUNT(AG31:AT31)=0,IF(Y31="","Not started",Y31),SUBSTITUTE(LOOKUP(2,1/(AG31:AT31&lt;&gt;""),$AG$3:$AT$3),"Date: ","")))</t>
        </is>
      </c>
      <c r="AB31" s="38" t="inlineStr">
        <is>
          <t>IF(OR(E31="",COUNT(AG31:AT31)=0),"",TODAY()-LOOKUP(2,1/(AG31:AT31&lt;&gt;""),AG31:AT31))</t>
        </is>
      </c>
      <c r="AC31" s="38" t="inlineStr">
        <is>
          <t>IF(OR(E31="",COUNT(AG31:AT31)&lt;2),"",LOOKUP(2,1/(AG31:AT31&lt;&gt;""),AG31:AT31)-MIN(AG31:AT31))</t>
        </is>
      </c>
      <c r="AD31" s="38" t="inlineStr">
        <is>
          <t>IF(OR(AB31="",AA31="Not started",AA31=""),"",IFERROR(AB31-IF(VLOOKUP(AA31,'04_Status_Pipeline'!$B$3:$E$20,4,FALSE)="",0,VLOOKUP(AA31,'04_Status_Pipeline'!$B$3:$E$20,4,FALSE)),""))</t>
        </is>
      </c>
      <c r="AE31" s="32" t="inlineStr">
        <is>
          <t>IF(E31="","",IF(OR(Y31="Cancelled",AA31="Cancelled"),"Cancelled",IF(OR(AA31="Completed / Handover",W31&lt;&gt;"",X31&gt;=100),"Completed — on track",IF(L31="Remaining",IF(S31="",IF(V31="","No planned date",IF(TODAY()&gt;V31,"Behind — past planned date",IF(V31-TODAY()&lt;=30,"At risk — close to off track","On track"))),IF(TODAY()&gt;S31,"Behind — award date passed",IF(S31-TODAY()&lt;=30,"At risk — close to off track","On track"))),IF(V31="","No planned date",IF(AND(TODAY()&gt;V31,OR(X31="",X31&lt;100)),"Behind — past end date",IF(AND(R31&lt;&gt;"",V31&lt;&gt;"",X31&lt;&gt;"",(X31&lt;100),((TODAY()-R31)/MAX(V31-R31,1)*100)-X31&gt;15),"Behind — progress lag",IF(AND(V31-TODAY()&lt;=30,V31-TODAY()&gt;=0,OR(X31="",X31&lt;90)),"At risk — close to off track","On track"))))))))</t>
        </is>
      </c>
      <c r="AF31" s="38" t="inlineStr">
        <is>
          <t>IF(OR(E31="",AA31="Completed / Handover",AA31="Cancelled"),"",IF(L31="Remaining",IF(S31&lt;&gt;"",S31-TODAY(),IF(V31="","",V31-TODAY())),IF(V31="","",V31-TODAY())))</t>
        </is>
      </c>
      <c r="AG31" s="39" t="n"/>
      <c r="AH31" s="39" t="n"/>
      <c r="AI31" s="39" t="n"/>
      <c r="AJ31" s="39" t="n"/>
      <c r="AK31" s="39" t="n"/>
      <c r="AL31" s="39" t="n"/>
      <c r="AM31" s="39" t="n"/>
      <c r="AN31" s="39" t="n"/>
      <c r="AO31" s="39" t="n">
        <v>46051</v>
      </c>
      <c r="AP31" s="39" t="n">
        <v>46051</v>
      </c>
      <c r="AQ31" s="39" t="n">
        <v>46354</v>
      </c>
      <c r="AR31" s="40" t="n"/>
      <c r="AS31" s="40" t="n"/>
      <c r="AT31" s="40" t="n"/>
      <c r="AU31" s="38" t="inlineStr">
        <is>
          <t>IF(OR(E31="",AH31=""),"",IF(COUNT(AG31:AG31)=0,"",AH31-LOOKUP(2,1/(AG31:AG31&lt;&gt;""),AG31:AG31)))</t>
        </is>
      </c>
      <c r="AV31" s="38" t="inlineStr">
        <is>
          <t>IF(OR(E31="",AI31=""),"",IF(COUNT(AG31:AH31)=0,"",AI31-LOOKUP(2,1/(AG31:AH31&lt;&gt;""),AG31:AH31)))</t>
        </is>
      </c>
      <c r="AW31" s="38" t="inlineStr">
        <is>
          <t>IF(OR(E31="",AJ31=""),"",IF(COUNT(AG31:AI31)=0,"",AJ31-LOOKUP(2,1/(AG31:AI31&lt;&gt;""),AG31:AI31)))</t>
        </is>
      </c>
      <c r="AX31" s="38" t="inlineStr">
        <is>
          <t>IF(OR(E31="",AK31=""),"",IF(COUNT(AG31:AJ31)=0,"",AK31-LOOKUP(2,1/(AG31:AJ31&lt;&gt;""),AG31:AJ31)))</t>
        </is>
      </c>
      <c r="AY31" s="38" t="inlineStr">
        <is>
          <t>IF(OR(E31="",AL31=""),"",IF(COUNT(AG31:AK31)=0,"",AL31-LOOKUP(2,1/(AG31:AK31&lt;&gt;""),AG31:AK31)))</t>
        </is>
      </c>
      <c r="AZ31" s="38" t="inlineStr">
        <is>
          <t>IF(OR(E31="",AM31=""),"",IF(COUNT(AG31:AL31)=0,"",AM31-LOOKUP(2,1/(AG31:AL31&lt;&gt;""),AG31:AL31)))</t>
        </is>
      </c>
      <c r="BA31" s="38" t="inlineStr">
        <is>
          <t>IF(OR(E31="",AN31=""),"",IF(COUNT(AG31:AM31)=0,"",AN31-LOOKUP(2,1/(AG31:AM31&lt;&gt;""),AG31:AM31)))</t>
        </is>
      </c>
      <c r="BB31" s="38" t="inlineStr">
        <is>
          <t>IF(OR(E31="",AO31=""),"",IF(COUNT(AG31:AN31)=0,"",AO31-LOOKUP(2,1/(AG31:AN31&lt;&gt;""),AG31:AN31)))</t>
        </is>
      </c>
      <c r="BC31" s="38" t="inlineStr">
        <is>
          <t>IF(OR(E31="",AP31=""),"",IF(COUNT(AG31:AO31)=0,"",AP31-LOOKUP(2,1/(AG31:AO31&lt;&gt;""),AG31:AO31)))</t>
        </is>
      </c>
      <c r="BD31" s="38" t="inlineStr">
        <is>
          <t>IF(OR(E31="",AQ31=""),"",IF(COUNT(AG31:AP31)=0,"",AQ31-LOOKUP(2,1/(AG31:AP31&lt;&gt;""),AG31:AP31)))</t>
        </is>
      </c>
      <c r="BE31" s="38" t="inlineStr">
        <is>
          <t>IF(OR(E31="",AR31=""),"",IF(COUNT(AG31:AQ31)=0,"",AR31-LOOKUP(2,1/(AG31:AQ31&lt;&gt;""),AG31:AQ31)))</t>
        </is>
      </c>
      <c r="BF31" s="38" t="inlineStr">
        <is>
          <t>IF(OR(E31="",AS31=""),"",IF(COUNT(AG31:AR31)=0,"",AS31-LOOKUP(2,1/(AG31:AR31&lt;&gt;""),AG31:AR31)))</t>
        </is>
      </c>
      <c r="BG31" s="38" t="inlineStr">
        <is>
          <t>IF(OR(E31="",AT31=""),"",IF(COUNT(AG31:AS31)=0,"",AT31-LOOKUP(2,1/(AG31:AS31&lt;&gt;""),AG31:AS31)))</t>
        </is>
      </c>
      <c r="BH31" s="41" t="inlineStr">
        <is>
          <t>IF(G31="","All_Provinces",IFERROR(VLOOKUP(G31,'07_Lookups'!$A$4:$B$20,2,FALSE),"All_Provinces"))</t>
        </is>
      </c>
      <c r="BI31" s="41" t="inlineStr">
        <is>
          <t>IF(H31="","All_Districts",IFERROR(VLOOKUP(H31,'07_Lookups'!$E$4:$F$42,2,FALSE),"All_Districts"))</t>
        </is>
      </c>
    </row>
    <row r="32" ht="18" customHeight="1">
      <c r="A32" s="32" t="inlineStr">
        <is>
          <t>IF(E32="","",ROW()-3)</t>
        </is>
      </c>
      <c r="B32" s="33" t="inlineStr">
        <is>
          <t>AF2-IS-A-029</t>
        </is>
      </c>
      <c r="C32" s="33" t="inlineStr">
        <is>
          <t>Emergency Food Security Project (EFSP) – WBK/AF-2</t>
        </is>
      </c>
      <c r="D32" s="33" t="inlineStr">
        <is>
          <t>Package #31-AF2 IS: Rehabilitation of 1. Shahidan &amp;Dasht-e Lajam Canal schems in Tala wa barfak district, 2.Sardar Ha canal scheme in Deh Salah district, and 3. Kambilan cluster canal schemes in Fring districts of Baghlan province.</t>
        </is>
      </c>
      <c r="E32" s="33" t="inlineStr">
        <is>
          <t>Sardara Canal Irrigation scheme</t>
        </is>
      </c>
      <c r="F32" s="33" t="inlineStr">
        <is>
          <t>Irrigation Canal</t>
        </is>
      </c>
      <c r="G32" s="33" t="inlineStr">
        <is>
          <t>Northeast / Kunduz</t>
        </is>
      </c>
      <c r="H32" s="33" t="inlineStr">
        <is>
          <t>Baghlan</t>
        </is>
      </c>
      <c r="I32" s="33" t="inlineStr">
        <is>
          <t>Deh Salah</t>
        </is>
      </c>
      <c r="J32" s="33" t="inlineStr">
        <is>
          <t>Sardara</t>
        </is>
      </c>
      <c r="K32" s="33" t="inlineStr">
        <is>
          <t>World Bank (WBK/AF-2)</t>
        </is>
      </c>
      <c r="L32" s="33" t="inlineStr">
        <is>
          <t>Awarded</t>
        </is>
      </c>
      <c r="M32" s="33" t="inlineStr">
        <is>
          <t>On/off-farm irrigation</t>
        </is>
      </c>
      <c r="N32" s="33" t="inlineStr">
        <is>
          <t>1.Awarded contracts_On&amp;off-farm</t>
        </is>
      </c>
      <c r="O32" s="33" t="inlineStr">
        <is>
          <t>Afghan Eithad construction and Road Building company (AECC)</t>
        </is>
      </c>
      <c r="P32" s="33" t="inlineStr">
        <is>
          <t>009/2026</t>
        </is>
      </c>
      <c r="Q32" s="34" t="n">
        <v>167265.54</v>
      </c>
      <c r="R32" s="35" t="inlineStr">
        <is>
          <t>IF(AO32="","",AO32)</t>
        </is>
      </c>
      <c r="S32" s="36" t="n"/>
      <c r="T32" s="37" t="n">
        <v>10</v>
      </c>
      <c r="U32" s="36" t="n">
        <v>46354</v>
      </c>
      <c r="V32" s="35" t="inlineStr">
        <is>
          <t>IF(U32&lt;&gt;"",U32,IF(OR(R32="",T32=""),"",EDATE(R32,T32)))</t>
        </is>
      </c>
      <c r="W32" s="36" t="n"/>
      <c r="X32" s="37" t="n">
        <v>90</v>
      </c>
      <c r="Y32" s="33" t="inlineStr">
        <is>
          <t>Completed / Handover</t>
        </is>
      </c>
      <c r="Z32" s="33" t="inlineStr">
        <is>
          <t>on track and will be completed by Nov. 2026 | Actual completion: July. 2025</t>
        </is>
      </c>
      <c r="AA32" s="32" t="inlineStr">
        <is>
          <t>IF(E32="","",IF(COUNT(AG32:AT32)=0,IF(Y32="","Not started",Y32),SUBSTITUTE(LOOKUP(2,1/(AG32:AT32&lt;&gt;""),$AG$3:$AT$3),"Date: ","")))</t>
        </is>
      </c>
      <c r="AB32" s="38" t="inlineStr">
        <is>
          <t>IF(OR(E32="",COUNT(AG32:AT32)=0),"",TODAY()-LOOKUP(2,1/(AG32:AT32&lt;&gt;""),AG32:AT32))</t>
        </is>
      </c>
      <c r="AC32" s="38" t="inlineStr">
        <is>
          <t>IF(OR(E32="",COUNT(AG32:AT32)&lt;2),"",LOOKUP(2,1/(AG32:AT32&lt;&gt;""),AG32:AT32)-MIN(AG32:AT32))</t>
        </is>
      </c>
      <c r="AD32" s="38" t="inlineStr">
        <is>
          <t>IF(OR(AB32="",AA32="Not started",AA32=""),"",IFERROR(AB32-IF(VLOOKUP(AA32,'04_Status_Pipeline'!$B$3:$E$20,4,FALSE)="",0,VLOOKUP(AA32,'04_Status_Pipeline'!$B$3:$E$20,4,FALSE)),""))</t>
        </is>
      </c>
      <c r="AE32" s="32" t="inlineStr">
        <is>
          <t>IF(E32="","",IF(OR(Y32="Cancelled",AA32="Cancelled"),"Cancelled",IF(OR(AA32="Completed / Handover",W32&lt;&gt;"",X32&gt;=100),"Completed — on track",IF(L32="Remaining",IF(S32="",IF(V32="","No planned date",IF(TODAY()&gt;V32,"Behind — past planned date",IF(V32-TODAY()&lt;=30,"At risk — close to off track","On track"))),IF(TODAY()&gt;S32,"Behind — award date passed",IF(S32-TODAY()&lt;=30,"At risk — close to off track","On track"))),IF(V32="","No planned date",IF(AND(TODAY()&gt;V32,OR(X32="",X32&lt;100)),"Behind — past end date",IF(AND(R32&lt;&gt;"",V32&lt;&gt;"",X32&lt;&gt;"",(X32&lt;100),((TODAY()-R32)/MAX(V32-R32,1)*100)-X32&gt;15),"Behind — progress lag",IF(AND(V32-TODAY()&lt;=30,V32-TODAY()&gt;=0,OR(X32="",X32&lt;90)),"At risk — close to off track","On track"))))))))</t>
        </is>
      </c>
      <c r="AF32" s="38" t="inlineStr">
        <is>
          <t>IF(OR(E32="",AA32="Completed / Handover",AA32="Cancelled"),"",IF(L32="Remaining",IF(S32&lt;&gt;"",S32-TODAY(),IF(V32="","",V32-TODAY())),IF(V32="","",V32-TODAY())))</t>
        </is>
      </c>
      <c r="AG32" s="39" t="n"/>
      <c r="AH32" s="39" t="n"/>
      <c r="AI32" s="39" t="n"/>
      <c r="AJ32" s="39" t="n"/>
      <c r="AK32" s="39" t="n"/>
      <c r="AL32" s="39" t="n"/>
      <c r="AM32" s="39" t="n"/>
      <c r="AN32" s="39" t="n"/>
      <c r="AO32" s="39" t="n">
        <v>46051</v>
      </c>
      <c r="AP32" s="39" t="n">
        <v>46051</v>
      </c>
      <c r="AQ32" s="39" t="n">
        <v>46354</v>
      </c>
      <c r="AR32" s="40" t="n"/>
      <c r="AS32" s="40" t="n"/>
      <c r="AT32" s="40" t="n"/>
      <c r="AU32" s="38" t="inlineStr">
        <is>
          <t>IF(OR(E32="",AH32=""),"",IF(COUNT(AG32:AG32)=0,"",AH32-LOOKUP(2,1/(AG32:AG32&lt;&gt;""),AG32:AG32)))</t>
        </is>
      </c>
      <c r="AV32" s="38" t="inlineStr">
        <is>
          <t>IF(OR(E32="",AI32=""),"",IF(COUNT(AG32:AH32)=0,"",AI32-LOOKUP(2,1/(AG32:AH32&lt;&gt;""),AG32:AH32)))</t>
        </is>
      </c>
      <c r="AW32" s="38" t="inlineStr">
        <is>
          <t>IF(OR(E32="",AJ32=""),"",IF(COUNT(AG32:AI32)=0,"",AJ32-LOOKUP(2,1/(AG32:AI32&lt;&gt;""),AG32:AI32)))</t>
        </is>
      </c>
      <c r="AX32" s="38" t="inlineStr">
        <is>
          <t>IF(OR(E32="",AK32=""),"",IF(COUNT(AG32:AJ32)=0,"",AK32-LOOKUP(2,1/(AG32:AJ32&lt;&gt;""),AG32:AJ32)))</t>
        </is>
      </c>
      <c r="AY32" s="38" t="inlineStr">
        <is>
          <t>IF(OR(E32="",AL32=""),"",IF(COUNT(AG32:AK32)=0,"",AL32-LOOKUP(2,1/(AG32:AK32&lt;&gt;""),AG32:AK32)))</t>
        </is>
      </c>
      <c r="AZ32" s="38" t="inlineStr">
        <is>
          <t>IF(OR(E32="",AM32=""),"",IF(COUNT(AG32:AL32)=0,"",AM32-LOOKUP(2,1/(AG32:AL32&lt;&gt;""),AG32:AL32)))</t>
        </is>
      </c>
      <c r="BA32" s="38" t="inlineStr">
        <is>
          <t>IF(OR(E32="",AN32=""),"",IF(COUNT(AG32:AM32)=0,"",AN32-LOOKUP(2,1/(AG32:AM32&lt;&gt;""),AG32:AM32)))</t>
        </is>
      </c>
      <c r="BB32" s="38" t="inlineStr">
        <is>
          <t>IF(OR(E32="",AO32=""),"",IF(COUNT(AG32:AN32)=0,"",AO32-LOOKUP(2,1/(AG32:AN32&lt;&gt;""),AG32:AN32)))</t>
        </is>
      </c>
      <c r="BC32" s="38" t="inlineStr">
        <is>
          <t>IF(OR(E32="",AP32=""),"",IF(COUNT(AG32:AO32)=0,"",AP32-LOOKUP(2,1/(AG32:AO32&lt;&gt;""),AG32:AO32)))</t>
        </is>
      </c>
      <c r="BD32" s="38" t="inlineStr">
        <is>
          <t>IF(OR(E32="",AQ32=""),"",IF(COUNT(AG32:AP32)=0,"",AQ32-LOOKUP(2,1/(AG32:AP32&lt;&gt;""),AG32:AP32)))</t>
        </is>
      </c>
      <c r="BE32" s="38" t="inlineStr">
        <is>
          <t>IF(OR(E32="",AR32=""),"",IF(COUNT(AG32:AQ32)=0,"",AR32-LOOKUP(2,1/(AG32:AQ32&lt;&gt;""),AG32:AQ32)))</t>
        </is>
      </c>
      <c r="BF32" s="38" t="inlineStr">
        <is>
          <t>IF(OR(E32="",AS32=""),"",IF(COUNT(AG32:AR32)=0,"",AS32-LOOKUP(2,1/(AG32:AR32&lt;&gt;""),AG32:AR32)))</t>
        </is>
      </c>
      <c r="BG32" s="38" t="inlineStr">
        <is>
          <t>IF(OR(E32="",AT32=""),"",IF(COUNT(AG32:AS32)=0,"",AT32-LOOKUP(2,1/(AG32:AS32&lt;&gt;""),AG32:AS32)))</t>
        </is>
      </c>
      <c r="BH32" s="41" t="inlineStr">
        <is>
          <t>IF(G32="","All_Provinces",IFERROR(VLOOKUP(G32,'07_Lookups'!$A$4:$B$20,2,FALSE),"All_Provinces"))</t>
        </is>
      </c>
      <c r="BI32" s="41" t="inlineStr">
        <is>
          <t>IF(H32="","All_Districts",IFERROR(VLOOKUP(H32,'07_Lookups'!$E$4:$F$42,2,FALSE),"All_Districts"))</t>
        </is>
      </c>
    </row>
    <row r="33" ht="18" customHeight="1">
      <c r="A33" s="32" t="inlineStr">
        <is>
          <t>IF(E33="","",ROW()-3)</t>
        </is>
      </c>
      <c r="B33" s="42" t="inlineStr">
        <is>
          <t>AF2-IS-A-030</t>
        </is>
      </c>
      <c r="C33" s="42" t="inlineStr">
        <is>
          <t>Emergency Food Security Project (EFSP) – WBK/AF-2</t>
        </is>
      </c>
      <c r="D33" s="42" t="inlineStr">
        <is>
          <t>Package #31-AF2 IS: Rehabilitation of 1. Shahidan &amp;Dasht-e Lajam Canal schems in Tala wa barfak district, 2.Sardar Ha canal scheme in Deh Salah district, and 3. Kambilan cluster canal schemes in Fring districts of Baghlan province.</t>
        </is>
      </c>
      <c r="E33" s="42" t="inlineStr">
        <is>
          <t>Juybar-e-Maidan (Payendakhail), Nahr-e-Salih, Khambilan, Dara-e-Bazar Irrigation Schemes</t>
        </is>
      </c>
      <c r="F33" s="42" t="inlineStr">
        <is>
          <t>Irrigation Canal</t>
        </is>
      </c>
      <c r="G33" s="42" t="inlineStr">
        <is>
          <t>Northeast / Kunduz</t>
        </is>
      </c>
      <c r="H33" s="42" t="inlineStr">
        <is>
          <t>Baghlan</t>
        </is>
      </c>
      <c r="I33" s="42" t="inlineStr">
        <is>
          <t>Fring</t>
        </is>
      </c>
      <c r="J33" s="42" t="inlineStr">
        <is>
          <t>Juybar-e-Maidan (Payendakhail), Salih, Khambilan, Dara-e-Bazar</t>
        </is>
      </c>
      <c r="K33" s="42" t="inlineStr">
        <is>
          <t>World Bank (WBK/AF-2)</t>
        </is>
      </c>
      <c r="L33" s="42" t="inlineStr">
        <is>
          <t>Awarded</t>
        </is>
      </c>
      <c r="M33" s="42" t="inlineStr">
        <is>
          <t>On/off-farm irrigation</t>
        </is>
      </c>
      <c r="N33" s="42" t="inlineStr">
        <is>
          <t>1.Awarded contracts_On&amp;off-farm</t>
        </is>
      </c>
      <c r="O33" s="42" t="inlineStr">
        <is>
          <t>Afghan Eithad construction and Road Building company (AECC)</t>
        </is>
      </c>
      <c r="P33" s="42" t="inlineStr">
        <is>
          <t>009/2026</t>
        </is>
      </c>
      <c r="Q33" s="43" t="n">
        <v>120795.68</v>
      </c>
      <c r="R33" s="35" t="inlineStr">
        <is>
          <t>IF(AO33="","",AO33)</t>
        </is>
      </c>
      <c r="S33" s="44" t="n"/>
      <c r="T33" s="45" t="n">
        <v>10</v>
      </c>
      <c r="U33" s="44" t="n">
        <v>46354</v>
      </c>
      <c r="V33" s="35" t="inlineStr">
        <is>
          <t>IF(U33&lt;&gt;"",U33,IF(OR(R33="",T33=""),"",EDATE(R33,T33)))</t>
        </is>
      </c>
      <c r="W33" s="44" t="n"/>
      <c r="X33" s="45" t="n">
        <v>100</v>
      </c>
      <c r="Y33" s="42" t="inlineStr">
        <is>
          <t>Completed / Handover</t>
        </is>
      </c>
      <c r="Z33" s="42" t="inlineStr">
        <is>
          <t>Actual completion: August, 2026</t>
        </is>
      </c>
      <c r="AA33" s="32" t="inlineStr">
        <is>
          <t>IF(E33="","",IF(COUNT(AG33:AT33)=0,IF(Y33="","Not started",Y33),SUBSTITUTE(LOOKUP(2,1/(AG33:AT33&lt;&gt;""),$AG$3:$AT$3),"Date: ","")))</t>
        </is>
      </c>
      <c r="AB33" s="38" t="inlineStr">
        <is>
          <t>IF(OR(E33="",COUNT(AG33:AT33)=0),"",TODAY()-LOOKUP(2,1/(AG33:AT33&lt;&gt;""),AG33:AT33))</t>
        </is>
      </c>
      <c r="AC33" s="38" t="inlineStr">
        <is>
          <t>IF(OR(E33="",COUNT(AG33:AT33)&lt;2),"",LOOKUP(2,1/(AG33:AT33&lt;&gt;""),AG33:AT33)-MIN(AG33:AT33))</t>
        </is>
      </c>
      <c r="AD33" s="38" t="inlineStr">
        <is>
          <t>IF(OR(AB33="",AA33="Not started",AA33=""),"",IFERROR(AB33-IF(VLOOKUP(AA33,'04_Status_Pipeline'!$B$3:$E$20,4,FALSE)="",0,VLOOKUP(AA33,'04_Status_Pipeline'!$B$3:$E$20,4,FALSE)),""))</t>
        </is>
      </c>
      <c r="AE33" s="32" t="inlineStr">
        <is>
          <t>IF(E33="","",IF(OR(Y33="Cancelled",AA33="Cancelled"),"Cancelled",IF(OR(AA33="Completed / Handover",W33&lt;&gt;"",X33&gt;=100),"Completed — on track",IF(L33="Remaining",IF(S33="",IF(V33="","No planned date",IF(TODAY()&gt;V33,"Behind — past planned date",IF(V33-TODAY()&lt;=30,"At risk — close to off track","On track"))),IF(TODAY()&gt;S33,"Behind — award date passed",IF(S33-TODAY()&lt;=30,"At risk — close to off track","On track"))),IF(V33="","No planned date",IF(AND(TODAY()&gt;V33,OR(X33="",X33&lt;100)),"Behind — past end date",IF(AND(R33&lt;&gt;"",V33&lt;&gt;"",X33&lt;&gt;"",(X33&lt;100),((TODAY()-R33)/MAX(V33-R33,1)*100)-X33&gt;15),"Behind — progress lag",IF(AND(V33-TODAY()&lt;=30,V33-TODAY()&gt;=0,OR(X33="",X33&lt;90)),"At risk — close to off track","On track"))))))))</t>
        </is>
      </c>
      <c r="AF33" s="38" t="inlineStr">
        <is>
          <t>IF(OR(E33="",AA33="Completed / Handover",AA33="Cancelled"),"",IF(L33="Remaining",IF(S33&lt;&gt;"",S33-TODAY(),IF(V33="","",V33-TODAY())),IF(V33="","",V33-TODAY())))</t>
        </is>
      </c>
      <c r="AG33" s="39" t="n"/>
      <c r="AH33" s="39" t="n"/>
      <c r="AI33" s="39" t="n"/>
      <c r="AJ33" s="39" t="n"/>
      <c r="AK33" s="39" t="n"/>
      <c r="AL33" s="39" t="n"/>
      <c r="AM33" s="39" t="n"/>
      <c r="AN33" s="39" t="n"/>
      <c r="AO33" s="39" t="n">
        <v>46051</v>
      </c>
      <c r="AP33" s="39" t="n">
        <v>46051</v>
      </c>
      <c r="AQ33" s="39" t="n">
        <v>46354</v>
      </c>
      <c r="AR33" s="40" t="n"/>
      <c r="AS33" s="40" t="n"/>
      <c r="AT33" s="40" t="n"/>
      <c r="AU33" s="38" t="inlineStr">
        <is>
          <t>IF(OR(E33="",AH33=""),"",IF(COUNT(AG33:AG33)=0,"",AH33-LOOKUP(2,1/(AG33:AG33&lt;&gt;""),AG33:AG33)))</t>
        </is>
      </c>
      <c r="AV33" s="38" t="inlineStr">
        <is>
          <t>IF(OR(E33="",AI33=""),"",IF(COUNT(AG33:AH33)=0,"",AI33-LOOKUP(2,1/(AG33:AH33&lt;&gt;""),AG33:AH33)))</t>
        </is>
      </c>
      <c r="AW33" s="38" t="inlineStr">
        <is>
          <t>IF(OR(E33="",AJ33=""),"",IF(COUNT(AG33:AI33)=0,"",AJ33-LOOKUP(2,1/(AG33:AI33&lt;&gt;""),AG33:AI33)))</t>
        </is>
      </c>
      <c r="AX33" s="38" t="inlineStr">
        <is>
          <t>IF(OR(E33="",AK33=""),"",IF(COUNT(AG33:AJ33)=0,"",AK33-LOOKUP(2,1/(AG33:AJ33&lt;&gt;""),AG33:AJ33)))</t>
        </is>
      </c>
      <c r="AY33" s="38" t="inlineStr">
        <is>
          <t>IF(OR(E33="",AL33=""),"",IF(COUNT(AG33:AK33)=0,"",AL33-LOOKUP(2,1/(AG33:AK33&lt;&gt;""),AG33:AK33)))</t>
        </is>
      </c>
      <c r="AZ33" s="38" t="inlineStr">
        <is>
          <t>IF(OR(E33="",AM33=""),"",IF(COUNT(AG33:AL33)=0,"",AM33-LOOKUP(2,1/(AG33:AL33&lt;&gt;""),AG33:AL33)))</t>
        </is>
      </c>
      <c r="BA33" s="38" t="inlineStr">
        <is>
          <t>IF(OR(E33="",AN33=""),"",IF(COUNT(AG33:AM33)=0,"",AN33-LOOKUP(2,1/(AG33:AM33&lt;&gt;""),AG33:AM33)))</t>
        </is>
      </c>
      <c r="BB33" s="38" t="inlineStr">
        <is>
          <t>IF(OR(E33="",AO33=""),"",IF(COUNT(AG33:AN33)=0,"",AO33-LOOKUP(2,1/(AG33:AN33&lt;&gt;""),AG33:AN33)))</t>
        </is>
      </c>
      <c r="BC33" s="38" t="inlineStr">
        <is>
          <t>IF(OR(E33="",AP33=""),"",IF(COUNT(AG33:AO33)=0,"",AP33-LOOKUP(2,1/(AG33:AO33&lt;&gt;""),AG33:AO33)))</t>
        </is>
      </c>
      <c r="BD33" s="38" t="inlineStr">
        <is>
          <t>IF(OR(E33="",AQ33=""),"",IF(COUNT(AG33:AP33)=0,"",AQ33-LOOKUP(2,1/(AG33:AP33&lt;&gt;""),AG33:AP33)))</t>
        </is>
      </c>
      <c r="BE33" s="38" t="inlineStr">
        <is>
          <t>IF(OR(E33="",AR33=""),"",IF(COUNT(AG33:AQ33)=0,"",AR33-LOOKUP(2,1/(AG33:AQ33&lt;&gt;""),AG33:AQ33)))</t>
        </is>
      </c>
      <c r="BF33" s="38" t="inlineStr">
        <is>
          <t>IF(OR(E33="",AS33=""),"",IF(COUNT(AG33:AR33)=0,"",AS33-LOOKUP(2,1/(AG33:AR33&lt;&gt;""),AG33:AR33)))</t>
        </is>
      </c>
      <c r="BG33" s="38" t="inlineStr">
        <is>
          <t>IF(OR(E33="",AT33=""),"",IF(COUNT(AG33:AS33)=0,"",AT33-LOOKUP(2,1/(AG33:AS33&lt;&gt;""),AG33:AS33)))</t>
        </is>
      </c>
      <c r="BH33" s="41" t="inlineStr">
        <is>
          <t>IF(G33="","All_Provinces",IFERROR(VLOOKUP(G33,'07_Lookups'!$A$4:$B$20,2,FALSE),"All_Provinces"))</t>
        </is>
      </c>
      <c r="BI33" s="41" t="inlineStr">
        <is>
          <t>IF(H33="","All_Districts",IFERROR(VLOOKUP(H33,'07_Lookups'!$E$4:$F$42,2,FALSE),"All_Districts"))</t>
        </is>
      </c>
    </row>
    <row r="34" ht="18" customHeight="1">
      <c r="A34" s="32" t="inlineStr">
        <is>
          <t>IF(E34="","",ROW()-3)</t>
        </is>
      </c>
      <c r="B34" s="33" t="inlineStr">
        <is>
          <t>AF2-IS-A-031</t>
        </is>
      </c>
      <c r="C34" s="33" t="inlineStr">
        <is>
          <t>Emergency Food Security Project (EFSP) – WBK/AF-2</t>
        </is>
      </c>
      <c r="D34" s="33" t="inlineStr">
        <is>
          <t>Package #32-AF2 IS: Rehabilitation of Abdul Baqi canal and Mulla Oma canal irrigation schemes, located in Chemtal districts of Balkh province.</t>
        </is>
      </c>
      <c r="E34" s="33" t="inlineStr">
        <is>
          <t>Abdul Baqi Canal Irrigation scheme</t>
        </is>
      </c>
      <c r="F34" s="33" t="inlineStr">
        <is>
          <t>Irrigation Canal</t>
        </is>
      </c>
      <c r="G34" s="33" t="inlineStr">
        <is>
          <t>North / Mazar</t>
        </is>
      </c>
      <c r="H34" s="33" t="inlineStr">
        <is>
          <t>Balkh</t>
        </is>
      </c>
      <c r="I34" s="33" t="inlineStr">
        <is>
          <t>Chemtal</t>
        </is>
      </c>
      <c r="J34" s="33" t="inlineStr">
        <is>
          <t>Sari Asiab</t>
        </is>
      </c>
      <c r="K34" s="33" t="inlineStr">
        <is>
          <t>World Bank (WBK/AF-2)</t>
        </is>
      </c>
      <c r="L34" s="33" t="inlineStr">
        <is>
          <t>Awarded</t>
        </is>
      </c>
      <c r="M34" s="33" t="inlineStr">
        <is>
          <t>On/off-farm irrigation</t>
        </is>
      </c>
      <c r="N34" s="33" t="inlineStr">
        <is>
          <t>1.Awarded contracts_On&amp;off-farm</t>
        </is>
      </c>
      <c r="O34" s="33" t="inlineStr">
        <is>
          <t>Trust Grow Construction and Engineering Company (TGCC)</t>
        </is>
      </c>
      <c r="P34" s="33" t="inlineStr">
        <is>
          <t>075/2025</t>
        </is>
      </c>
      <c r="Q34" s="34" t="n">
        <v>141012.01</v>
      </c>
      <c r="R34" s="35" t="inlineStr">
        <is>
          <t>IF(AO34="","",AO34)</t>
        </is>
      </c>
      <c r="S34" s="36" t="n"/>
      <c r="T34" s="37" t="n">
        <v>11</v>
      </c>
      <c r="U34" s="36" t="n">
        <v>46355</v>
      </c>
      <c r="V34" s="35" t="inlineStr">
        <is>
          <t>IF(U34&lt;&gt;"",U34,IF(OR(R34="",T34=""),"",EDATE(R34,T34)))</t>
        </is>
      </c>
      <c r="W34" s="36" t="n"/>
      <c r="X34" s="37" t="n">
        <v>100</v>
      </c>
      <c r="Y34" s="33" t="inlineStr">
        <is>
          <t>Completed / Handover</t>
        </is>
      </c>
      <c r="Z34" s="33" t="inlineStr">
        <is>
          <t>Completed in July 2026. | Actual completion: July, 2026</t>
        </is>
      </c>
      <c r="AA34" s="32" t="inlineStr">
        <is>
          <t>IF(E34="","",IF(COUNT(AG34:AT34)=0,IF(Y34="","Not started",Y34),SUBSTITUTE(LOOKUP(2,1/(AG34:AT34&lt;&gt;""),$AG$3:$AT$3),"Date: ","")))</t>
        </is>
      </c>
      <c r="AB34" s="38" t="inlineStr">
        <is>
          <t>IF(OR(E34="",COUNT(AG34:AT34)=0),"",TODAY()-LOOKUP(2,1/(AG34:AT34&lt;&gt;""),AG34:AT34))</t>
        </is>
      </c>
      <c r="AC34" s="38" t="inlineStr">
        <is>
          <t>IF(OR(E34="",COUNT(AG34:AT34)&lt;2),"",LOOKUP(2,1/(AG34:AT34&lt;&gt;""),AG34:AT34)-MIN(AG34:AT34))</t>
        </is>
      </c>
      <c r="AD34" s="38" t="inlineStr">
        <is>
          <t>IF(OR(AB34="",AA34="Not started",AA34=""),"",IFERROR(AB34-IF(VLOOKUP(AA34,'04_Status_Pipeline'!$B$3:$E$20,4,FALSE)="",0,VLOOKUP(AA34,'04_Status_Pipeline'!$B$3:$E$20,4,FALSE)),""))</t>
        </is>
      </c>
      <c r="AE34" s="32" t="inlineStr">
        <is>
          <t>IF(E34="","",IF(OR(Y34="Cancelled",AA34="Cancelled"),"Cancelled",IF(OR(AA34="Completed / Handover",W34&lt;&gt;"",X34&gt;=100),"Completed — on track",IF(L34="Remaining",IF(S34="",IF(V34="","No planned date",IF(TODAY()&gt;V34,"Behind — past planned date",IF(V34-TODAY()&lt;=30,"At risk — close to off track","On track"))),IF(TODAY()&gt;S34,"Behind — award date passed",IF(S34-TODAY()&lt;=30,"At risk — close to off track","On track"))),IF(V34="","No planned date",IF(AND(TODAY()&gt;V34,OR(X34="",X34&lt;100)),"Behind — past end date",IF(AND(R34&lt;&gt;"",V34&lt;&gt;"",X34&lt;&gt;"",(X34&lt;100),((TODAY()-R34)/MAX(V34-R34,1)*100)-X34&gt;15),"Behind — progress lag",IF(AND(V34-TODAY()&lt;=30,V34-TODAY()&gt;=0,OR(X34="",X34&lt;90)),"At risk — close to off track","On track"))))))))</t>
        </is>
      </c>
      <c r="AF34" s="38" t="inlineStr">
        <is>
          <t>IF(OR(E34="",AA34="Completed / Handover",AA34="Cancelled"),"",IF(L34="Remaining",IF(S34&lt;&gt;"",S34-TODAY(),IF(V34="","",V34-TODAY())),IF(V34="","",V34-TODAY())))</t>
        </is>
      </c>
      <c r="AG34" s="39" t="n"/>
      <c r="AH34" s="39" t="n"/>
      <c r="AI34" s="39" t="n"/>
      <c r="AJ34" s="39" t="n"/>
      <c r="AK34" s="39" t="n"/>
      <c r="AL34" s="39" t="n"/>
      <c r="AM34" s="39" t="n"/>
      <c r="AN34" s="39" t="n"/>
      <c r="AO34" s="39" t="n">
        <v>46022</v>
      </c>
      <c r="AP34" s="39" t="n">
        <v>46022</v>
      </c>
      <c r="AQ34" s="39" t="n">
        <v>46355</v>
      </c>
      <c r="AR34" s="40" t="n"/>
      <c r="AS34" s="40" t="n"/>
      <c r="AT34" s="40" t="n"/>
      <c r="AU34" s="38" t="inlineStr">
        <is>
          <t>IF(OR(E34="",AH34=""),"",IF(COUNT(AG34:AG34)=0,"",AH34-LOOKUP(2,1/(AG34:AG34&lt;&gt;""),AG34:AG34)))</t>
        </is>
      </c>
      <c r="AV34" s="38" t="inlineStr">
        <is>
          <t>IF(OR(E34="",AI34=""),"",IF(COUNT(AG34:AH34)=0,"",AI34-LOOKUP(2,1/(AG34:AH34&lt;&gt;""),AG34:AH34)))</t>
        </is>
      </c>
      <c r="AW34" s="38" t="inlineStr">
        <is>
          <t>IF(OR(E34="",AJ34=""),"",IF(COUNT(AG34:AI34)=0,"",AJ34-LOOKUP(2,1/(AG34:AI34&lt;&gt;""),AG34:AI34)))</t>
        </is>
      </c>
      <c r="AX34" s="38" t="inlineStr">
        <is>
          <t>IF(OR(E34="",AK34=""),"",IF(COUNT(AG34:AJ34)=0,"",AK34-LOOKUP(2,1/(AG34:AJ34&lt;&gt;""),AG34:AJ34)))</t>
        </is>
      </c>
      <c r="AY34" s="38" t="inlineStr">
        <is>
          <t>IF(OR(E34="",AL34=""),"",IF(COUNT(AG34:AK34)=0,"",AL34-LOOKUP(2,1/(AG34:AK34&lt;&gt;""),AG34:AK34)))</t>
        </is>
      </c>
      <c r="AZ34" s="38" t="inlineStr">
        <is>
          <t>IF(OR(E34="",AM34=""),"",IF(COUNT(AG34:AL34)=0,"",AM34-LOOKUP(2,1/(AG34:AL34&lt;&gt;""),AG34:AL34)))</t>
        </is>
      </c>
      <c r="BA34" s="38" t="inlineStr">
        <is>
          <t>IF(OR(E34="",AN34=""),"",IF(COUNT(AG34:AM34)=0,"",AN34-LOOKUP(2,1/(AG34:AM34&lt;&gt;""),AG34:AM34)))</t>
        </is>
      </c>
      <c r="BB34" s="38" t="inlineStr">
        <is>
          <t>IF(OR(E34="",AO34=""),"",IF(COUNT(AG34:AN34)=0,"",AO34-LOOKUP(2,1/(AG34:AN34&lt;&gt;""),AG34:AN34)))</t>
        </is>
      </c>
      <c r="BC34" s="38" t="inlineStr">
        <is>
          <t>IF(OR(E34="",AP34=""),"",IF(COUNT(AG34:AO34)=0,"",AP34-LOOKUP(2,1/(AG34:AO34&lt;&gt;""),AG34:AO34)))</t>
        </is>
      </c>
      <c r="BD34" s="38" t="inlineStr">
        <is>
          <t>IF(OR(E34="",AQ34=""),"",IF(COUNT(AG34:AP34)=0,"",AQ34-LOOKUP(2,1/(AG34:AP34&lt;&gt;""),AG34:AP34)))</t>
        </is>
      </c>
      <c r="BE34" s="38" t="inlineStr">
        <is>
          <t>IF(OR(E34="",AR34=""),"",IF(COUNT(AG34:AQ34)=0,"",AR34-LOOKUP(2,1/(AG34:AQ34&lt;&gt;""),AG34:AQ34)))</t>
        </is>
      </c>
      <c r="BF34" s="38" t="inlineStr">
        <is>
          <t>IF(OR(E34="",AS34=""),"",IF(COUNT(AG34:AR34)=0,"",AS34-LOOKUP(2,1/(AG34:AR34&lt;&gt;""),AG34:AR34)))</t>
        </is>
      </c>
      <c r="BG34" s="38" t="inlineStr">
        <is>
          <t>IF(OR(E34="",AT34=""),"",IF(COUNT(AG34:AS34)=0,"",AT34-LOOKUP(2,1/(AG34:AS34&lt;&gt;""),AG34:AS34)))</t>
        </is>
      </c>
      <c r="BH34" s="41" t="inlineStr">
        <is>
          <t>IF(G34="","All_Provinces",IFERROR(VLOOKUP(G34,'07_Lookups'!$A$4:$B$20,2,FALSE),"All_Provinces"))</t>
        </is>
      </c>
      <c r="BI34" s="41" t="inlineStr">
        <is>
          <t>IF(H34="","All_Districts",IFERROR(VLOOKUP(H34,'07_Lookups'!$E$4:$F$42,2,FALSE),"All_Districts"))</t>
        </is>
      </c>
    </row>
    <row r="35" ht="18" customHeight="1">
      <c r="A35" s="32" t="inlineStr">
        <is>
          <t>IF(E35="","",ROW()-3)</t>
        </is>
      </c>
      <c r="B35" s="42" t="inlineStr">
        <is>
          <t>AF2-IS-A-032</t>
        </is>
      </c>
      <c r="C35" s="42" t="inlineStr">
        <is>
          <t>Emergency Food Security Project (EFSP) – WBK/AF-2</t>
        </is>
      </c>
      <c r="D35" s="42" t="inlineStr">
        <is>
          <t>Package #32-AF2 IS: Rehabilitation of Abdul Baqi canal and Mulla Oma canal irrigation schemes, located in Chemtal districts of Balkh province.</t>
        </is>
      </c>
      <c r="E35" s="42" t="inlineStr">
        <is>
          <t>Mulla Omar Canal Irrigation scheme</t>
        </is>
      </c>
      <c r="F35" s="42" t="inlineStr">
        <is>
          <t>Irrigation Canal</t>
        </is>
      </c>
      <c r="G35" s="42" t="inlineStr">
        <is>
          <t>North / Mazar</t>
        </is>
      </c>
      <c r="H35" s="42" t="inlineStr">
        <is>
          <t>Balkh</t>
        </is>
      </c>
      <c r="I35" s="42" t="inlineStr">
        <is>
          <t>Chemtal</t>
        </is>
      </c>
      <c r="J35" s="42" t="inlineStr">
        <is>
          <t>Sarkar</t>
        </is>
      </c>
      <c r="K35" s="42" t="inlineStr">
        <is>
          <t>World Bank (WBK/AF-2)</t>
        </is>
      </c>
      <c r="L35" s="42" t="inlineStr">
        <is>
          <t>Awarded</t>
        </is>
      </c>
      <c r="M35" s="42" t="inlineStr">
        <is>
          <t>On/off-farm irrigation</t>
        </is>
      </c>
      <c r="N35" s="42" t="inlineStr">
        <is>
          <t>1.Awarded contracts_On&amp;off-farm</t>
        </is>
      </c>
      <c r="O35" s="42" t="inlineStr">
        <is>
          <t>Trust Grow Construction and Engineering Company (TGCC)</t>
        </is>
      </c>
      <c r="P35" s="42" t="inlineStr">
        <is>
          <t>075/2025</t>
        </is>
      </c>
      <c r="Q35" s="43" t="n">
        <v>159013.54</v>
      </c>
      <c r="R35" s="35" t="inlineStr">
        <is>
          <t>IF(AO35="","",AO35)</t>
        </is>
      </c>
      <c r="S35" s="44" t="n"/>
      <c r="T35" s="45" t="n">
        <v>11</v>
      </c>
      <c r="U35" s="44" t="n">
        <v>46355</v>
      </c>
      <c r="V35" s="35" t="inlineStr">
        <is>
          <t>IF(U35&lt;&gt;"",U35,IF(OR(R35="",T35=""),"",EDATE(R35,T35)))</t>
        </is>
      </c>
      <c r="W35" s="44" t="n"/>
      <c r="X35" s="45" t="n">
        <v>100</v>
      </c>
      <c r="Y35" s="42" t="inlineStr">
        <is>
          <t>Completed / Handover</t>
        </is>
      </c>
      <c r="Z35" s="42" t="inlineStr">
        <is>
          <t>Actual completion: July, 2026</t>
        </is>
      </c>
      <c r="AA35" s="32" t="inlineStr">
        <is>
          <t>IF(E35="","",IF(COUNT(AG35:AT35)=0,IF(Y35="","Not started",Y35),SUBSTITUTE(LOOKUP(2,1/(AG35:AT35&lt;&gt;""),$AG$3:$AT$3),"Date: ","")))</t>
        </is>
      </c>
      <c r="AB35" s="38" t="inlineStr">
        <is>
          <t>IF(OR(E35="",COUNT(AG35:AT35)=0),"",TODAY()-LOOKUP(2,1/(AG35:AT35&lt;&gt;""),AG35:AT35))</t>
        </is>
      </c>
      <c r="AC35" s="38" t="inlineStr">
        <is>
          <t>IF(OR(E35="",COUNT(AG35:AT35)&lt;2),"",LOOKUP(2,1/(AG35:AT35&lt;&gt;""),AG35:AT35)-MIN(AG35:AT35))</t>
        </is>
      </c>
      <c r="AD35" s="38" t="inlineStr">
        <is>
          <t>IF(OR(AB35="",AA35="Not started",AA35=""),"",IFERROR(AB35-IF(VLOOKUP(AA35,'04_Status_Pipeline'!$B$3:$E$20,4,FALSE)="",0,VLOOKUP(AA35,'04_Status_Pipeline'!$B$3:$E$20,4,FALSE)),""))</t>
        </is>
      </c>
      <c r="AE35" s="32" t="inlineStr">
        <is>
          <t>IF(E35="","",IF(OR(Y35="Cancelled",AA35="Cancelled"),"Cancelled",IF(OR(AA35="Completed / Handover",W35&lt;&gt;"",X35&gt;=100),"Completed — on track",IF(L35="Remaining",IF(S35="",IF(V35="","No planned date",IF(TODAY()&gt;V35,"Behind — past planned date",IF(V35-TODAY()&lt;=30,"At risk — close to off track","On track"))),IF(TODAY()&gt;S35,"Behind — award date passed",IF(S35-TODAY()&lt;=30,"At risk — close to off track","On track"))),IF(V35="","No planned date",IF(AND(TODAY()&gt;V35,OR(X35="",X35&lt;100)),"Behind — past end date",IF(AND(R35&lt;&gt;"",V35&lt;&gt;"",X35&lt;&gt;"",(X35&lt;100),((TODAY()-R35)/MAX(V35-R35,1)*100)-X35&gt;15),"Behind — progress lag",IF(AND(V35-TODAY()&lt;=30,V35-TODAY()&gt;=0,OR(X35="",X35&lt;90)),"At risk — close to off track","On track"))))))))</t>
        </is>
      </c>
      <c r="AF35" s="38" t="inlineStr">
        <is>
          <t>IF(OR(E35="",AA35="Completed / Handover",AA35="Cancelled"),"",IF(L35="Remaining",IF(S35&lt;&gt;"",S35-TODAY(),IF(V35="","",V35-TODAY())),IF(V35="","",V35-TODAY())))</t>
        </is>
      </c>
      <c r="AG35" s="39" t="n"/>
      <c r="AH35" s="39" t="n"/>
      <c r="AI35" s="39" t="n"/>
      <c r="AJ35" s="39" t="n"/>
      <c r="AK35" s="39" t="n"/>
      <c r="AL35" s="39" t="n"/>
      <c r="AM35" s="39" t="n"/>
      <c r="AN35" s="39" t="n"/>
      <c r="AO35" s="39" t="n">
        <v>46022</v>
      </c>
      <c r="AP35" s="39" t="n">
        <v>46022</v>
      </c>
      <c r="AQ35" s="39" t="n">
        <v>46355</v>
      </c>
      <c r="AR35" s="40" t="n"/>
      <c r="AS35" s="40" t="n"/>
      <c r="AT35" s="40" t="n"/>
      <c r="AU35" s="38" t="inlineStr">
        <is>
          <t>IF(OR(E35="",AH35=""),"",IF(COUNT(AG35:AG35)=0,"",AH35-LOOKUP(2,1/(AG35:AG35&lt;&gt;""),AG35:AG35)))</t>
        </is>
      </c>
      <c r="AV35" s="38" t="inlineStr">
        <is>
          <t>IF(OR(E35="",AI35=""),"",IF(COUNT(AG35:AH35)=0,"",AI35-LOOKUP(2,1/(AG35:AH35&lt;&gt;""),AG35:AH35)))</t>
        </is>
      </c>
      <c r="AW35" s="38" t="inlineStr">
        <is>
          <t>IF(OR(E35="",AJ35=""),"",IF(COUNT(AG35:AI35)=0,"",AJ35-LOOKUP(2,1/(AG35:AI35&lt;&gt;""),AG35:AI35)))</t>
        </is>
      </c>
      <c r="AX35" s="38" t="inlineStr">
        <is>
          <t>IF(OR(E35="",AK35=""),"",IF(COUNT(AG35:AJ35)=0,"",AK35-LOOKUP(2,1/(AG35:AJ35&lt;&gt;""),AG35:AJ35)))</t>
        </is>
      </c>
      <c r="AY35" s="38" t="inlineStr">
        <is>
          <t>IF(OR(E35="",AL35=""),"",IF(COUNT(AG35:AK35)=0,"",AL35-LOOKUP(2,1/(AG35:AK35&lt;&gt;""),AG35:AK35)))</t>
        </is>
      </c>
      <c r="AZ35" s="38" t="inlineStr">
        <is>
          <t>IF(OR(E35="",AM35=""),"",IF(COUNT(AG35:AL35)=0,"",AM35-LOOKUP(2,1/(AG35:AL35&lt;&gt;""),AG35:AL35)))</t>
        </is>
      </c>
      <c r="BA35" s="38" t="inlineStr">
        <is>
          <t>IF(OR(E35="",AN35=""),"",IF(COUNT(AG35:AM35)=0,"",AN35-LOOKUP(2,1/(AG35:AM35&lt;&gt;""),AG35:AM35)))</t>
        </is>
      </c>
      <c r="BB35" s="38" t="inlineStr">
        <is>
          <t>IF(OR(E35="",AO35=""),"",IF(COUNT(AG35:AN35)=0,"",AO35-LOOKUP(2,1/(AG35:AN35&lt;&gt;""),AG35:AN35)))</t>
        </is>
      </c>
      <c r="BC35" s="38" t="inlineStr">
        <is>
          <t>IF(OR(E35="",AP35=""),"",IF(COUNT(AG35:AO35)=0,"",AP35-LOOKUP(2,1/(AG35:AO35&lt;&gt;""),AG35:AO35)))</t>
        </is>
      </c>
      <c r="BD35" s="38" t="inlineStr">
        <is>
          <t>IF(OR(E35="",AQ35=""),"",IF(COUNT(AG35:AP35)=0,"",AQ35-LOOKUP(2,1/(AG35:AP35&lt;&gt;""),AG35:AP35)))</t>
        </is>
      </c>
      <c r="BE35" s="38" t="inlineStr">
        <is>
          <t>IF(OR(E35="",AR35=""),"",IF(COUNT(AG35:AQ35)=0,"",AR35-LOOKUP(2,1/(AG35:AQ35&lt;&gt;""),AG35:AQ35)))</t>
        </is>
      </c>
      <c r="BF35" s="38" t="inlineStr">
        <is>
          <t>IF(OR(E35="",AS35=""),"",IF(COUNT(AG35:AR35)=0,"",AS35-LOOKUP(2,1/(AG35:AR35&lt;&gt;""),AG35:AR35)))</t>
        </is>
      </c>
      <c r="BG35" s="38" t="inlineStr">
        <is>
          <t>IF(OR(E35="",AT35=""),"",IF(COUNT(AG35:AS35)=0,"",AT35-LOOKUP(2,1/(AG35:AS35&lt;&gt;""),AG35:AS35)))</t>
        </is>
      </c>
      <c r="BH35" s="41" t="inlineStr">
        <is>
          <t>IF(G35="","All_Provinces",IFERROR(VLOOKUP(G35,'07_Lookups'!$A$4:$B$20,2,FALSE),"All_Provinces"))</t>
        </is>
      </c>
      <c r="BI35" s="41" t="inlineStr">
        <is>
          <t>IF(H35="","All_Districts",IFERROR(VLOOKUP(H35,'07_Lookups'!$E$4:$F$42,2,FALSE),"All_Districts"))</t>
        </is>
      </c>
    </row>
    <row r="36" ht="18" customHeight="1">
      <c r="A36" s="32" t="inlineStr">
        <is>
          <t>IF(E36="","",ROW()-3)</t>
        </is>
      </c>
      <c r="B36" s="33" t="inlineStr">
        <is>
          <t>AF2-IS-A-033</t>
        </is>
      </c>
      <c r="C36" s="33" t="inlineStr">
        <is>
          <t>Emergency Food Security Project (EFSP) – WBK/AF-2</t>
        </is>
      </c>
      <c r="D36" s="33" t="inlineStr">
        <is>
          <t>Package #33-AF2 IS: Rehabilitation of Chela Mazar canal and Kushkak canal irrigation schemes, located in Dara-e- Suf-e-Bala and Dara-e-Suf-e-Payeen districts of Samangan province.</t>
        </is>
      </c>
      <c r="E36" s="33" t="inlineStr">
        <is>
          <t>Chela Mazar Canal Irrigation scheme</t>
        </is>
      </c>
      <c r="F36" s="33" t="inlineStr">
        <is>
          <t>Irrigation Canal</t>
        </is>
      </c>
      <c r="G36" s="33" t="inlineStr">
        <is>
          <t>North / Mazar</t>
        </is>
      </c>
      <c r="H36" s="33" t="inlineStr">
        <is>
          <t>Samangan</t>
        </is>
      </c>
      <c r="I36" s="33" t="inlineStr">
        <is>
          <t>Dara-e- Suf-e-Payeen</t>
        </is>
      </c>
      <c r="J36" s="33" t="inlineStr">
        <is>
          <t>Chela Mazar</t>
        </is>
      </c>
      <c r="K36" s="33" t="inlineStr">
        <is>
          <t>World Bank (WBK/AF-2)</t>
        </is>
      </c>
      <c r="L36" s="33" t="inlineStr">
        <is>
          <t>Awarded</t>
        </is>
      </c>
      <c r="M36" s="33" t="inlineStr">
        <is>
          <t>On/off-farm irrigation</t>
        </is>
      </c>
      <c r="N36" s="33" t="inlineStr">
        <is>
          <t>1.Awarded contracts_On&amp;off-farm</t>
        </is>
      </c>
      <c r="O36" s="33" t="inlineStr">
        <is>
          <t>AFGHAN LUCKY CONSTRUCTION COMPANY (ALCC)</t>
        </is>
      </c>
      <c r="P36" s="33" t="inlineStr">
        <is>
          <t>003/2026</t>
        </is>
      </c>
      <c r="Q36" s="34" t="n">
        <v>143685.36</v>
      </c>
      <c r="R36" s="35" t="inlineStr">
        <is>
          <t>IF(AO36="","",AO36)</t>
        </is>
      </c>
      <c r="S36" s="36" t="n"/>
      <c r="T36" s="37" t="n">
        <v>11</v>
      </c>
      <c r="U36" s="36" t="n">
        <v>46370</v>
      </c>
      <c r="V36" s="35" t="inlineStr">
        <is>
          <t>IF(U36&lt;&gt;"",U36,IF(OR(R36="",T36=""),"",EDATE(R36,T36)))</t>
        </is>
      </c>
      <c r="W36" s="36" t="n"/>
      <c r="X36" s="37" t="n">
        <v>25</v>
      </c>
      <c r="Y36" s="33" t="inlineStr">
        <is>
          <t>Completed / Handover</t>
        </is>
      </c>
      <c r="Z36" s="33" t="inlineStr">
        <is>
          <t>one scheme will be completed by Dec. 2026 and other scheme to be completed by June 2027 after NCE</t>
        </is>
      </c>
      <c r="AA36" s="32" t="inlineStr">
        <is>
          <t>IF(E36="","",IF(COUNT(AG36:AT36)=0,IF(Y36="","Not started",Y36),SUBSTITUTE(LOOKUP(2,1/(AG36:AT36&lt;&gt;""),$AG$3:$AT$3),"Date: ","")))</t>
        </is>
      </c>
      <c r="AB36" s="38" t="inlineStr">
        <is>
          <t>IF(OR(E36="",COUNT(AG36:AT36)=0),"",TODAY()-LOOKUP(2,1/(AG36:AT36&lt;&gt;""),AG36:AT36))</t>
        </is>
      </c>
      <c r="AC36" s="38" t="inlineStr">
        <is>
          <t>IF(OR(E36="",COUNT(AG36:AT36)&lt;2),"",LOOKUP(2,1/(AG36:AT36&lt;&gt;""),AG36:AT36)-MIN(AG36:AT36))</t>
        </is>
      </c>
      <c r="AD36" s="38" t="inlineStr">
        <is>
          <t>IF(OR(AB36="",AA36="Not started",AA36=""),"",IFERROR(AB36-IF(VLOOKUP(AA36,'04_Status_Pipeline'!$B$3:$E$20,4,FALSE)="",0,VLOOKUP(AA36,'04_Status_Pipeline'!$B$3:$E$20,4,FALSE)),""))</t>
        </is>
      </c>
      <c r="AE36" s="32" t="inlineStr">
        <is>
          <t>IF(E36="","",IF(OR(Y36="Cancelled",AA36="Cancelled"),"Cancelled",IF(OR(AA36="Completed / Handover",W36&lt;&gt;"",X36&gt;=100),"Completed — on track",IF(L36="Remaining",IF(S36="",IF(V36="","No planned date",IF(TODAY()&gt;V36,"Behind — past planned date",IF(V36-TODAY()&lt;=30,"At risk — close to off track","On track"))),IF(TODAY()&gt;S36,"Behind — award date passed",IF(S36-TODAY()&lt;=30,"At risk — close to off track","On track"))),IF(V36="","No planned date",IF(AND(TODAY()&gt;V36,OR(X36="",X36&lt;100)),"Behind — past end date",IF(AND(R36&lt;&gt;"",V36&lt;&gt;"",X36&lt;&gt;"",(X36&lt;100),((TODAY()-R36)/MAX(V36-R36,1)*100)-X36&gt;15),"Behind — progress lag",IF(AND(V36-TODAY()&lt;=30,V36-TODAY()&gt;=0,OR(X36="",X36&lt;90)),"At risk — close to off track","On track"))))))))</t>
        </is>
      </c>
      <c r="AF36" s="38" t="inlineStr">
        <is>
          <t>IF(OR(E36="",AA36="Completed / Handover",AA36="Cancelled"),"",IF(L36="Remaining",IF(S36&lt;&gt;"",S36-TODAY(),IF(V36="","",V36-TODAY())),IF(V36="","",V36-TODAY())))</t>
        </is>
      </c>
      <c r="AG36" s="39" t="n"/>
      <c r="AH36" s="39" t="n"/>
      <c r="AI36" s="39" t="n"/>
      <c r="AJ36" s="39" t="n"/>
      <c r="AK36" s="39" t="n"/>
      <c r="AL36" s="39" t="n"/>
      <c r="AM36" s="39" t="n"/>
      <c r="AN36" s="39" t="n"/>
      <c r="AO36" s="39" t="n">
        <v>46037</v>
      </c>
      <c r="AP36" s="39" t="n">
        <v>46037</v>
      </c>
      <c r="AQ36" s="39" t="n">
        <v>46370</v>
      </c>
      <c r="AR36" s="40" t="n"/>
      <c r="AS36" s="40" t="n"/>
      <c r="AT36" s="40" t="n"/>
      <c r="AU36" s="38" t="inlineStr">
        <is>
          <t>IF(OR(E36="",AH36=""),"",IF(COUNT(AG36:AG36)=0,"",AH36-LOOKUP(2,1/(AG36:AG36&lt;&gt;""),AG36:AG36)))</t>
        </is>
      </c>
      <c r="AV36" s="38" t="inlineStr">
        <is>
          <t>IF(OR(E36="",AI36=""),"",IF(COUNT(AG36:AH36)=0,"",AI36-LOOKUP(2,1/(AG36:AH36&lt;&gt;""),AG36:AH36)))</t>
        </is>
      </c>
      <c r="AW36" s="38" t="inlineStr">
        <is>
          <t>IF(OR(E36="",AJ36=""),"",IF(COUNT(AG36:AI36)=0,"",AJ36-LOOKUP(2,1/(AG36:AI36&lt;&gt;""),AG36:AI36)))</t>
        </is>
      </c>
      <c r="AX36" s="38" t="inlineStr">
        <is>
          <t>IF(OR(E36="",AK36=""),"",IF(COUNT(AG36:AJ36)=0,"",AK36-LOOKUP(2,1/(AG36:AJ36&lt;&gt;""),AG36:AJ36)))</t>
        </is>
      </c>
      <c r="AY36" s="38" t="inlineStr">
        <is>
          <t>IF(OR(E36="",AL36=""),"",IF(COUNT(AG36:AK36)=0,"",AL36-LOOKUP(2,1/(AG36:AK36&lt;&gt;""),AG36:AK36)))</t>
        </is>
      </c>
      <c r="AZ36" s="38" t="inlineStr">
        <is>
          <t>IF(OR(E36="",AM36=""),"",IF(COUNT(AG36:AL36)=0,"",AM36-LOOKUP(2,1/(AG36:AL36&lt;&gt;""),AG36:AL36)))</t>
        </is>
      </c>
      <c r="BA36" s="38" t="inlineStr">
        <is>
          <t>IF(OR(E36="",AN36=""),"",IF(COUNT(AG36:AM36)=0,"",AN36-LOOKUP(2,1/(AG36:AM36&lt;&gt;""),AG36:AM36)))</t>
        </is>
      </c>
      <c r="BB36" s="38" t="inlineStr">
        <is>
          <t>IF(OR(E36="",AO36=""),"",IF(COUNT(AG36:AN36)=0,"",AO36-LOOKUP(2,1/(AG36:AN36&lt;&gt;""),AG36:AN36)))</t>
        </is>
      </c>
      <c r="BC36" s="38" t="inlineStr">
        <is>
          <t>IF(OR(E36="",AP36=""),"",IF(COUNT(AG36:AO36)=0,"",AP36-LOOKUP(2,1/(AG36:AO36&lt;&gt;""),AG36:AO36)))</t>
        </is>
      </c>
      <c r="BD36" s="38" t="inlineStr">
        <is>
          <t>IF(OR(E36="",AQ36=""),"",IF(COUNT(AG36:AP36)=0,"",AQ36-LOOKUP(2,1/(AG36:AP36&lt;&gt;""),AG36:AP36)))</t>
        </is>
      </c>
      <c r="BE36" s="38" t="inlineStr">
        <is>
          <t>IF(OR(E36="",AR36=""),"",IF(COUNT(AG36:AQ36)=0,"",AR36-LOOKUP(2,1/(AG36:AQ36&lt;&gt;""),AG36:AQ36)))</t>
        </is>
      </c>
      <c r="BF36" s="38" t="inlineStr">
        <is>
          <t>IF(OR(E36="",AS36=""),"",IF(COUNT(AG36:AR36)=0,"",AS36-LOOKUP(2,1/(AG36:AR36&lt;&gt;""),AG36:AR36)))</t>
        </is>
      </c>
      <c r="BG36" s="38" t="inlineStr">
        <is>
          <t>IF(OR(E36="",AT36=""),"",IF(COUNT(AG36:AS36)=0,"",AT36-LOOKUP(2,1/(AG36:AS36&lt;&gt;""),AG36:AS36)))</t>
        </is>
      </c>
      <c r="BH36" s="41" t="inlineStr">
        <is>
          <t>IF(G36="","All_Provinces",IFERROR(VLOOKUP(G36,'07_Lookups'!$A$4:$B$20,2,FALSE),"All_Provinces"))</t>
        </is>
      </c>
      <c r="BI36" s="41" t="inlineStr">
        <is>
          <t>IF(H36="","All_Districts",IFERROR(VLOOKUP(H36,'07_Lookups'!$E$4:$F$42,2,FALSE),"All_Districts"))</t>
        </is>
      </c>
    </row>
    <row r="37" ht="18" customHeight="1">
      <c r="A37" s="32" t="inlineStr">
        <is>
          <t>IF(E37="","",ROW()-3)</t>
        </is>
      </c>
      <c r="B37" s="42" t="inlineStr">
        <is>
          <t>AF2-IS-A-034</t>
        </is>
      </c>
      <c r="C37" s="42" t="inlineStr">
        <is>
          <t>Emergency Food Security Project (EFSP) – WBK/AF-2</t>
        </is>
      </c>
      <c r="D37" s="42" t="inlineStr">
        <is>
          <t>Package #33-AF2 IS: Rehabilitation of Chela Mazar canal and Kushkak canal irrigation schemes, located in Dara-e- Suf-e-Bala and Dara-e-Suf-e-Payeen districts of Samangan province.</t>
        </is>
      </c>
      <c r="E37" s="42" t="inlineStr">
        <is>
          <t>Kushkak Canal Irrigation scheme</t>
        </is>
      </c>
      <c r="F37" s="42" t="inlineStr">
        <is>
          <t>Irrigation Canal</t>
        </is>
      </c>
      <c r="G37" s="42" t="inlineStr">
        <is>
          <t>North / Mazar</t>
        </is>
      </c>
      <c r="H37" s="42" t="inlineStr">
        <is>
          <t>Samangan</t>
        </is>
      </c>
      <c r="I37" s="42" t="inlineStr">
        <is>
          <t>Dara-e- Suf-e-Bala</t>
        </is>
      </c>
      <c r="J37" s="42" t="inlineStr">
        <is>
          <t>Kushkak</t>
        </is>
      </c>
      <c r="K37" s="42" t="inlineStr">
        <is>
          <t>World Bank (WBK/AF-2)</t>
        </is>
      </c>
      <c r="L37" s="42" t="inlineStr">
        <is>
          <t>Awarded</t>
        </is>
      </c>
      <c r="M37" s="42" t="inlineStr">
        <is>
          <t>On/off-farm irrigation</t>
        </is>
      </c>
      <c r="N37" s="42" t="inlineStr">
        <is>
          <t>1.Awarded contracts_On&amp;off-farm</t>
        </is>
      </c>
      <c r="O37" s="42" t="inlineStr">
        <is>
          <t>AFGHAN LUCKY CONSTRUCTION COMPANY (ALCC)</t>
        </is>
      </c>
      <c r="P37" s="42" t="inlineStr">
        <is>
          <t>003/2026</t>
        </is>
      </c>
      <c r="Q37" s="43" t="n">
        <v>140859.94</v>
      </c>
      <c r="R37" s="35" t="inlineStr">
        <is>
          <t>IF(AO37="","",AO37)</t>
        </is>
      </c>
      <c r="S37" s="44" t="n"/>
      <c r="T37" s="45" t="n">
        <v>11</v>
      </c>
      <c r="U37" s="44" t="n">
        <v>46370</v>
      </c>
      <c r="V37" s="35" t="inlineStr">
        <is>
          <t>IF(U37&lt;&gt;"",U37,IF(OR(R37="",T37=""),"",EDATE(R37,T37)))</t>
        </is>
      </c>
      <c r="W37" s="44" t="n"/>
      <c r="X37" s="45" t="n">
        <v>67</v>
      </c>
      <c r="Y37" s="42" t="inlineStr">
        <is>
          <t>Completed / Handover</t>
        </is>
      </c>
      <c r="Z37" s="42" t="inlineStr">
        <is>
          <t>one scheme will be completed by Dec. 2026 and other scheme to be completed by June 2027 after NCE</t>
        </is>
      </c>
      <c r="AA37" s="32" t="inlineStr">
        <is>
          <t>IF(E37="","",IF(COUNT(AG37:AT37)=0,IF(Y37="","Not started",Y37),SUBSTITUTE(LOOKUP(2,1/(AG37:AT37&lt;&gt;""),$AG$3:$AT$3),"Date: ","")))</t>
        </is>
      </c>
      <c r="AB37" s="38" t="inlineStr">
        <is>
          <t>IF(OR(E37="",COUNT(AG37:AT37)=0),"",TODAY()-LOOKUP(2,1/(AG37:AT37&lt;&gt;""),AG37:AT37))</t>
        </is>
      </c>
      <c r="AC37" s="38" t="inlineStr">
        <is>
          <t>IF(OR(E37="",COUNT(AG37:AT37)&lt;2),"",LOOKUP(2,1/(AG37:AT37&lt;&gt;""),AG37:AT37)-MIN(AG37:AT37))</t>
        </is>
      </c>
      <c r="AD37" s="38" t="inlineStr">
        <is>
          <t>IF(OR(AB37="",AA37="Not started",AA37=""),"",IFERROR(AB37-IF(VLOOKUP(AA37,'04_Status_Pipeline'!$B$3:$E$20,4,FALSE)="",0,VLOOKUP(AA37,'04_Status_Pipeline'!$B$3:$E$20,4,FALSE)),""))</t>
        </is>
      </c>
      <c r="AE37" s="32" t="inlineStr">
        <is>
          <t>IF(E37="","",IF(OR(Y37="Cancelled",AA37="Cancelled"),"Cancelled",IF(OR(AA37="Completed / Handover",W37&lt;&gt;"",X37&gt;=100),"Completed — on track",IF(L37="Remaining",IF(S37="",IF(V37="","No planned date",IF(TODAY()&gt;V37,"Behind — past planned date",IF(V37-TODAY()&lt;=30,"At risk — close to off track","On track"))),IF(TODAY()&gt;S37,"Behind — award date passed",IF(S37-TODAY()&lt;=30,"At risk — close to off track","On track"))),IF(V37="","No planned date",IF(AND(TODAY()&gt;V37,OR(X37="",X37&lt;100)),"Behind — past end date",IF(AND(R37&lt;&gt;"",V37&lt;&gt;"",X37&lt;&gt;"",(X37&lt;100),((TODAY()-R37)/MAX(V37-R37,1)*100)-X37&gt;15),"Behind — progress lag",IF(AND(V37-TODAY()&lt;=30,V37-TODAY()&gt;=0,OR(X37="",X37&lt;90)),"At risk — close to off track","On track"))))))))</t>
        </is>
      </c>
      <c r="AF37" s="38" t="inlineStr">
        <is>
          <t>IF(OR(E37="",AA37="Completed / Handover",AA37="Cancelled"),"",IF(L37="Remaining",IF(S37&lt;&gt;"",S37-TODAY(),IF(V37="","",V37-TODAY())),IF(V37="","",V37-TODAY())))</t>
        </is>
      </c>
      <c r="AG37" s="39" t="n"/>
      <c r="AH37" s="39" t="n"/>
      <c r="AI37" s="39" t="n"/>
      <c r="AJ37" s="39" t="n"/>
      <c r="AK37" s="39" t="n"/>
      <c r="AL37" s="39" t="n"/>
      <c r="AM37" s="39" t="n"/>
      <c r="AN37" s="39" t="n"/>
      <c r="AO37" s="39" t="n">
        <v>46037</v>
      </c>
      <c r="AP37" s="39" t="n">
        <v>46037</v>
      </c>
      <c r="AQ37" s="39" t="n">
        <v>46370</v>
      </c>
      <c r="AR37" s="40" t="n"/>
      <c r="AS37" s="40" t="n"/>
      <c r="AT37" s="40" t="n"/>
      <c r="AU37" s="38" t="inlineStr">
        <is>
          <t>IF(OR(E37="",AH37=""),"",IF(COUNT(AG37:AG37)=0,"",AH37-LOOKUP(2,1/(AG37:AG37&lt;&gt;""),AG37:AG37)))</t>
        </is>
      </c>
      <c r="AV37" s="38" t="inlineStr">
        <is>
          <t>IF(OR(E37="",AI37=""),"",IF(COUNT(AG37:AH37)=0,"",AI37-LOOKUP(2,1/(AG37:AH37&lt;&gt;""),AG37:AH37)))</t>
        </is>
      </c>
      <c r="AW37" s="38" t="inlineStr">
        <is>
          <t>IF(OR(E37="",AJ37=""),"",IF(COUNT(AG37:AI37)=0,"",AJ37-LOOKUP(2,1/(AG37:AI37&lt;&gt;""),AG37:AI37)))</t>
        </is>
      </c>
      <c r="AX37" s="38" t="inlineStr">
        <is>
          <t>IF(OR(E37="",AK37=""),"",IF(COUNT(AG37:AJ37)=0,"",AK37-LOOKUP(2,1/(AG37:AJ37&lt;&gt;""),AG37:AJ37)))</t>
        </is>
      </c>
      <c r="AY37" s="38" t="inlineStr">
        <is>
          <t>IF(OR(E37="",AL37=""),"",IF(COUNT(AG37:AK37)=0,"",AL37-LOOKUP(2,1/(AG37:AK37&lt;&gt;""),AG37:AK37)))</t>
        </is>
      </c>
      <c r="AZ37" s="38" t="inlineStr">
        <is>
          <t>IF(OR(E37="",AM37=""),"",IF(COUNT(AG37:AL37)=0,"",AM37-LOOKUP(2,1/(AG37:AL37&lt;&gt;""),AG37:AL37)))</t>
        </is>
      </c>
      <c r="BA37" s="38" t="inlineStr">
        <is>
          <t>IF(OR(E37="",AN37=""),"",IF(COUNT(AG37:AM37)=0,"",AN37-LOOKUP(2,1/(AG37:AM37&lt;&gt;""),AG37:AM37)))</t>
        </is>
      </c>
      <c r="BB37" s="38" t="inlineStr">
        <is>
          <t>IF(OR(E37="",AO37=""),"",IF(COUNT(AG37:AN37)=0,"",AO37-LOOKUP(2,1/(AG37:AN37&lt;&gt;""),AG37:AN37)))</t>
        </is>
      </c>
      <c r="BC37" s="38" t="inlineStr">
        <is>
          <t>IF(OR(E37="",AP37=""),"",IF(COUNT(AG37:AO37)=0,"",AP37-LOOKUP(2,1/(AG37:AO37&lt;&gt;""),AG37:AO37)))</t>
        </is>
      </c>
      <c r="BD37" s="38" t="inlineStr">
        <is>
          <t>IF(OR(E37="",AQ37=""),"",IF(COUNT(AG37:AP37)=0,"",AQ37-LOOKUP(2,1/(AG37:AP37&lt;&gt;""),AG37:AP37)))</t>
        </is>
      </c>
      <c r="BE37" s="38" t="inlineStr">
        <is>
          <t>IF(OR(E37="",AR37=""),"",IF(COUNT(AG37:AQ37)=0,"",AR37-LOOKUP(2,1/(AG37:AQ37&lt;&gt;""),AG37:AQ37)))</t>
        </is>
      </c>
      <c r="BF37" s="38" t="inlineStr">
        <is>
          <t>IF(OR(E37="",AS37=""),"",IF(COUNT(AG37:AR37)=0,"",AS37-LOOKUP(2,1/(AG37:AR37&lt;&gt;""),AG37:AR37)))</t>
        </is>
      </c>
      <c r="BG37" s="38" t="inlineStr">
        <is>
          <t>IF(OR(E37="",AT37=""),"",IF(COUNT(AG37:AS37)=0,"",AT37-LOOKUP(2,1/(AG37:AS37&lt;&gt;""),AG37:AS37)))</t>
        </is>
      </c>
      <c r="BH37" s="41" t="inlineStr">
        <is>
          <t>IF(G37="","All_Provinces",IFERROR(VLOOKUP(G37,'07_Lookups'!$A$4:$B$20,2,FALSE),"All_Provinces"))</t>
        </is>
      </c>
      <c r="BI37" s="41" t="inlineStr">
        <is>
          <t>IF(H37="","All_Districts",IFERROR(VLOOKUP(H37,'07_Lookups'!$E$4:$F$42,2,FALSE),"All_Districts"))</t>
        </is>
      </c>
    </row>
    <row r="38" ht="18" customHeight="1">
      <c r="A38" s="32" t="inlineStr">
        <is>
          <t>IF(E38="","",ROW()-3)</t>
        </is>
      </c>
      <c r="B38" s="33" t="inlineStr">
        <is>
          <t>AF2-IS-A-035</t>
        </is>
      </c>
      <c r="C38" s="33" t="inlineStr">
        <is>
          <t>Emergency Food Security Project (EFSP) – WBK/AF-2</t>
        </is>
      </c>
      <c r="D38" s="33" t="inlineStr">
        <is>
          <t>Package # 35-AF2 IS: Rehabilitation of Bahr-e Ameq canal irrigation scheme, located in Sozma Qala districts of Sar-e-Pul province.</t>
        </is>
      </c>
      <c r="E38" s="33" t="inlineStr">
        <is>
          <t>Bahr-e Ameq Canal Irrigation scheme</t>
        </is>
      </c>
      <c r="F38" s="33" t="inlineStr">
        <is>
          <t>Irrigation Canal</t>
        </is>
      </c>
      <c r="G38" s="33" t="inlineStr">
        <is>
          <t>North / Mazar</t>
        </is>
      </c>
      <c r="H38" s="33" t="inlineStr">
        <is>
          <t>Sar-e- Pul</t>
        </is>
      </c>
      <c r="I38" s="33" t="inlineStr">
        <is>
          <t>Sozma Qala</t>
        </is>
      </c>
      <c r="J38" s="33" t="inlineStr">
        <is>
          <t>Bahr-e Ameq</t>
        </is>
      </c>
      <c r="K38" s="33" t="inlineStr">
        <is>
          <t>World Bank (WBK/AF-2)</t>
        </is>
      </c>
      <c r="L38" s="33" t="inlineStr">
        <is>
          <t>Awarded</t>
        </is>
      </c>
      <c r="M38" s="33" t="inlineStr">
        <is>
          <t>On/off-farm irrigation</t>
        </is>
      </c>
      <c r="N38" s="33" t="inlineStr">
        <is>
          <t>1.Awarded contracts_On&amp;off-farm</t>
        </is>
      </c>
      <c r="O38" s="33" t="inlineStr">
        <is>
          <t>Sakht shamal construction and road building company (SSCC)</t>
        </is>
      </c>
      <c r="P38" s="33" t="inlineStr">
        <is>
          <t>016/2026</t>
        </is>
      </c>
      <c r="Q38" s="34" t="n">
        <v>249484.29</v>
      </c>
      <c r="R38" s="35" t="inlineStr">
        <is>
          <t>IF(AO38="","",AO38)</t>
        </is>
      </c>
      <c r="S38" s="36" t="n"/>
      <c r="T38" s="37" t="n">
        <v>11</v>
      </c>
      <c r="U38" s="36" t="n">
        <v>46403</v>
      </c>
      <c r="V38" s="35" t="inlineStr">
        <is>
          <t>IF(U38&lt;&gt;"",U38,IF(OR(R38="",T38=""),"",EDATE(R38,T38)))</t>
        </is>
      </c>
      <c r="W38" s="36" t="n"/>
      <c r="X38" s="37" t="n">
        <v>60</v>
      </c>
      <c r="Y38" s="33" t="inlineStr">
        <is>
          <t>Completed / Handover</t>
        </is>
      </c>
      <c r="Z38" s="33" t="inlineStr">
        <is>
          <t>on track and will be completed by Jan. 2027</t>
        </is>
      </c>
      <c r="AA38" s="32" t="inlineStr">
        <is>
          <t>IF(E38="","",IF(COUNT(AG38:AT38)=0,IF(Y38="","Not started",Y38),SUBSTITUTE(LOOKUP(2,1/(AG38:AT38&lt;&gt;""),$AG$3:$AT$3),"Date: ","")))</t>
        </is>
      </c>
      <c r="AB38" s="38" t="inlineStr">
        <is>
          <t>IF(OR(E38="",COUNT(AG38:AT38)=0),"",TODAY()-LOOKUP(2,1/(AG38:AT38&lt;&gt;""),AG38:AT38))</t>
        </is>
      </c>
      <c r="AC38" s="38" t="inlineStr">
        <is>
          <t>IF(OR(E38="",COUNT(AG38:AT38)&lt;2),"",LOOKUP(2,1/(AG38:AT38&lt;&gt;""),AG38:AT38)-MIN(AG38:AT38))</t>
        </is>
      </c>
      <c r="AD38" s="38" t="inlineStr">
        <is>
          <t>IF(OR(AB38="",AA38="Not started",AA38=""),"",IFERROR(AB38-IF(VLOOKUP(AA38,'04_Status_Pipeline'!$B$3:$E$20,4,FALSE)="",0,VLOOKUP(AA38,'04_Status_Pipeline'!$B$3:$E$20,4,FALSE)),""))</t>
        </is>
      </c>
      <c r="AE38" s="32" t="inlineStr">
        <is>
          <t>IF(E38="","",IF(OR(Y38="Cancelled",AA38="Cancelled"),"Cancelled",IF(OR(AA38="Completed / Handover",W38&lt;&gt;"",X38&gt;=100),"Completed — on track",IF(L38="Remaining",IF(S38="",IF(V38="","No planned date",IF(TODAY()&gt;V38,"Behind — past planned date",IF(V38-TODAY()&lt;=30,"At risk — close to off track","On track"))),IF(TODAY()&gt;S38,"Behind — award date passed",IF(S38-TODAY()&lt;=30,"At risk — close to off track","On track"))),IF(V38="","No planned date",IF(AND(TODAY()&gt;V38,OR(X38="",X38&lt;100)),"Behind — past end date",IF(AND(R38&lt;&gt;"",V38&lt;&gt;"",X38&lt;&gt;"",(X38&lt;100),((TODAY()-R38)/MAX(V38-R38,1)*100)-X38&gt;15),"Behind — progress lag",IF(AND(V38-TODAY()&lt;=30,V38-TODAY()&gt;=0,OR(X38="",X38&lt;90)),"At risk — close to off track","On track"))))))))</t>
        </is>
      </c>
      <c r="AF38" s="38" t="inlineStr">
        <is>
          <t>IF(OR(E38="",AA38="Completed / Handover",AA38="Cancelled"),"",IF(L38="Remaining",IF(S38&lt;&gt;"",S38-TODAY(),IF(V38="","",V38-TODAY())),IF(V38="","",V38-TODAY())))</t>
        </is>
      </c>
      <c r="AG38" s="39" t="n"/>
      <c r="AH38" s="39" t="n"/>
      <c r="AI38" s="39" t="n"/>
      <c r="AJ38" s="39" t="n"/>
      <c r="AK38" s="39" t="n"/>
      <c r="AL38" s="39" t="n"/>
      <c r="AM38" s="39" t="n"/>
      <c r="AN38" s="39" t="n"/>
      <c r="AO38" s="39" t="n">
        <v>46070</v>
      </c>
      <c r="AP38" s="39" t="n">
        <v>46070</v>
      </c>
      <c r="AQ38" s="39" t="n">
        <v>46403</v>
      </c>
      <c r="AR38" s="40" t="n"/>
      <c r="AS38" s="40" t="n"/>
      <c r="AT38" s="40" t="n"/>
      <c r="AU38" s="38" t="inlineStr">
        <is>
          <t>IF(OR(E38="",AH38=""),"",IF(COUNT(AG38:AG38)=0,"",AH38-LOOKUP(2,1/(AG38:AG38&lt;&gt;""),AG38:AG38)))</t>
        </is>
      </c>
      <c r="AV38" s="38" t="inlineStr">
        <is>
          <t>IF(OR(E38="",AI38=""),"",IF(COUNT(AG38:AH38)=0,"",AI38-LOOKUP(2,1/(AG38:AH38&lt;&gt;""),AG38:AH38)))</t>
        </is>
      </c>
      <c r="AW38" s="38" t="inlineStr">
        <is>
          <t>IF(OR(E38="",AJ38=""),"",IF(COUNT(AG38:AI38)=0,"",AJ38-LOOKUP(2,1/(AG38:AI38&lt;&gt;""),AG38:AI38)))</t>
        </is>
      </c>
      <c r="AX38" s="38" t="inlineStr">
        <is>
          <t>IF(OR(E38="",AK38=""),"",IF(COUNT(AG38:AJ38)=0,"",AK38-LOOKUP(2,1/(AG38:AJ38&lt;&gt;""),AG38:AJ38)))</t>
        </is>
      </c>
      <c r="AY38" s="38" t="inlineStr">
        <is>
          <t>IF(OR(E38="",AL38=""),"",IF(COUNT(AG38:AK38)=0,"",AL38-LOOKUP(2,1/(AG38:AK38&lt;&gt;""),AG38:AK38)))</t>
        </is>
      </c>
      <c r="AZ38" s="38" t="inlineStr">
        <is>
          <t>IF(OR(E38="",AM38=""),"",IF(COUNT(AG38:AL38)=0,"",AM38-LOOKUP(2,1/(AG38:AL38&lt;&gt;""),AG38:AL38)))</t>
        </is>
      </c>
      <c r="BA38" s="38" t="inlineStr">
        <is>
          <t>IF(OR(E38="",AN38=""),"",IF(COUNT(AG38:AM38)=0,"",AN38-LOOKUP(2,1/(AG38:AM38&lt;&gt;""),AG38:AM38)))</t>
        </is>
      </c>
      <c r="BB38" s="38" t="inlineStr">
        <is>
          <t>IF(OR(E38="",AO38=""),"",IF(COUNT(AG38:AN38)=0,"",AO38-LOOKUP(2,1/(AG38:AN38&lt;&gt;""),AG38:AN38)))</t>
        </is>
      </c>
      <c r="BC38" s="38" t="inlineStr">
        <is>
          <t>IF(OR(E38="",AP38=""),"",IF(COUNT(AG38:AO38)=0,"",AP38-LOOKUP(2,1/(AG38:AO38&lt;&gt;""),AG38:AO38)))</t>
        </is>
      </c>
      <c r="BD38" s="38" t="inlineStr">
        <is>
          <t>IF(OR(E38="",AQ38=""),"",IF(COUNT(AG38:AP38)=0,"",AQ38-LOOKUP(2,1/(AG38:AP38&lt;&gt;""),AG38:AP38)))</t>
        </is>
      </c>
      <c r="BE38" s="38" t="inlineStr">
        <is>
          <t>IF(OR(E38="",AR38=""),"",IF(COUNT(AG38:AQ38)=0,"",AR38-LOOKUP(2,1/(AG38:AQ38&lt;&gt;""),AG38:AQ38)))</t>
        </is>
      </c>
      <c r="BF38" s="38" t="inlineStr">
        <is>
          <t>IF(OR(E38="",AS38=""),"",IF(COUNT(AG38:AR38)=0,"",AS38-LOOKUP(2,1/(AG38:AR38&lt;&gt;""),AG38:AR38)))</t>
        </is>
      </c>
      <c r="BG38" s="38" t="inlineStr">
        <is>
          <t>IF(OR(E38="",AT38=""),"",IF(COUNT(AG38:AS38)=0,"",AT38-LOOKUP(2,1/(AG38:AS38&lt;&gt;""),AG38:AS38)))</t>
        </is>
      </c>
      <c r="BH38" s="41" t="inlineStr">
        <is>
          <t>IF(G38="","All_Provinces",IFERROR(VLOOKUP(G38,'07_Lookups'!$A$4:$B$20,2,FALSE),"All_Provinces"))</t>
        </is>
      </c>
      <c r="BI38" s="41" t="inlineStr">
        <is>
          <t>IF(H38="","All_Districts",IFERROR(VLOOKUP(H38,'07_Lookups'!$E$4:$F$42,2,FALSE),"All_Districts"))</t>
        </is>
      </c>
    </row>
    <row r="39" ht="18" customHeight="1">
      <c r="A39" s="32" t="inlineStr">
        <is>
          <t>IF(E39="","",ROW()-3)</t>
        </is>
      </c>
      <c r="B39" s="42" t="inlineStr">
        <is>
          <t>AF2-IS-R-001</t>
        </is>
      </c>
      <c r="C39" s="42" t="inlineStr">
        <is>
          <t>Emergency Food Security Project (EFSP) – WBK/AF-2</t>
        </is>
      </c>
      <c r="D39" s="42" t="inlineStr">
        <is>
          <t>Package #3-AF2 IS: Rehabilitation of Yazdi, Todanak Payen irrigation schemes, located in Center and Farahrud Districts of Farah province.</t>
        </is>
      </c>
      <c r="E39" s="42" t="inlineStr">
        <is>
          <t>Yazdeh Canal irrigation Scheme</t>
        </is>
      </c>
      <c r="F39" s="42" t="inlineStr">
        <is>
          <t>Irrigation Canal</t>
        </is>
      </c>
      <c r="G39" s="42" t="inlineStr">
        <is>
          <t>West / Herat</t>
        </is>
      </c>
      <c r="H39" s="42" t="inlineStr">
        <is>
          <t>Farah</t>
        </is>
      </c>
      <c r="I39" s="42" t="inlineStr">
        <is>
          <t>Center</t>
        </is>
      </c>
      <c r="J39" s="42" t="inlineStr">
        <is>
          <t>Yazdi</t>
        </is>
      </c>
      <c r="K39" s="42" t="inlineStr">
        <is>
          <t>World Bank (WBK/AF-2)</t>
        </is>
      </c>
      <c r="L39" s="42" t="inlineStr">
        <is>
          <t>Remaining</t>
        </is>
      </c>
      <c r="M39" s="42" t="inlineStr">
        <is>
          <t>On/off-farm irrigation</t>
        </is>
      </c>
      <c r="N39" s="42" t="inlineStr">
        <is>
          <t>2.Remain contracts_On&amp;off-farm</t>
        </is>
      </c>
      <c r="O39" s="42" t="inlineStr"/>
      <c r="P39" s="42" t="inlineStr"/>
      <c r="Q39" s="43" t="n">
        <v>290000</v>
      </c>
      <c r="R39" s="35" t="inlineStr">
        <is>
          <t>IF(AO39="","",AO39)</t>
        </is>
      </c>
      <c r="S39" s="44" t="n">
        <v>46371</v>
      </c>
      <c r="T39" s="45" t="n">
        <v>9</v>
      </c>
      <c r="U39" s="44" t="n">
        <v>46644</v>
      </c>
      <c r="V39" s="35" t="inlineStr">
        <is>
          <t>IF(U39&lt;&gt;"",U39,IF(OR(R39="",T39=""),"",EDATE(R39,T39)))</t>
        </is>
      </c>
      <c r="W39" s="44" t="n"/>
      <c r="X39" s="45" t="n"/>
      <c r="Y39" s="42" t="inlineStr">
        <is>
          <t>Under Review of WRI</t>
        </is>
      </c>
      <c r="Z39" s="42" t="inlineStr">
        <is>
          <t>Two months slack period Mar-Apr during the flood. Seven months construction period. Explore split into 2 lots if needed</t>
        </is>
      </c>
      <c r="AA39" s="32" t="inlineStr">
        <is>
          <t>IF(E39="","",IF(COUNT(AG39:AT39)=0,IF(Y39="","Not started",Y39),SUBSTITUTE(LOOKUP(2,1/(AG39:AT39&lt;&gt;""),$AG$3:$AT$3),"Date: ","")))</t>
        </is>
      </c>
      <c r="AB39" s="38" t="inlineStr">
        <is>
          <t>IF(OR(E39="",COUNT(AG39:AT39)=0),"",TODAY()-LOOKUP(2,1/(AG39:AT39&lt;&gt;""),AG39:AT39))</t>
        </is>
      </c>
      <c r="AC39" s="38" t="inlineStr">
        <is>
          <t>IF(OR(E39="",COUNT(AG39:AT39)&lt;2),"",LOOKUP(2,1/(AG39:AT39&lt;&gt;""),AG39:AT39)-MIN(AG39:AT39))</t>
        </is>
      </c>
      <c r="AD39" s="38" t="inlineStr">
        <is>
          <t>IF(OR(AB39="",AA39="Not started",AA39=""),"",IFERROR(AB39-IF(VLOOKUP(AA39,'04_Status_Pipeline'!$B$3:$E$20,4,FALSE)="",0,VLOOKUP(AA39,'04_Status_Pipeline'!$B$3:$E$20,4,FALSE)),""))</t>
        </is>
      </c>
      <c r="AE39" s="32" t="inlineStr">
        <is>
          <t>IF(E39="","",IF(OR(Y39="Cancelled",AA39="Cancelled"),"Cancelled",IF(OR(AA39="Completed / Handover",W39&lt;&gt;"",X39&gt;=100),"Completed — on track",IF(L39="Remaining",IF(S39="",IF(V39="","No planned date",IF(TODAY()&gt;V39,"Behind — past planned date",IF(V39-TODAY()&lt;=30,"At risk — close to off track","On track"))),IF(TODAY()&gt;S39,"Behind — award date passed",IF(S39-TODAY()&lt;=30,"At risk — close to off track","On track"))),IF(V39="","No planned date",IF(AND(TODAY()&gt;V39,OR(X39="",X39&lt;100)),"Behind — past end date",IF(AND(R39&lt;&gt;"",V39&lt;&gt;"",X39&lt;&gt;"",(X39&lt;100),((TODAY()-R39)/MAX(V39-R39,1)*100)-X39&gt;15),"Behind — progress lag",IF(AND(V39-TODAY()&lt;=30,V39-TODAY()&gt;=0,OR(X39="",X39&lt;90)),"At risk — close to off track","On track"))))))))</t>
        </is>
      </c>
      <c r="AF39" s="38" t="inlineStr">
        <is>
          <t>IF(OR(E39="",AA39="Completed / Handover",AA39="Cancelled"),"",IF(L39="Remaining",IF(S39&lt;&gt;"",S39-TODAY(),IF(V39="","",V39-TODAY())),IF(V39="","",V39-TODAY())))</t>
        </is>
      </c>
      <c r="AG39" s="44" t="n"/>
      <c r="AH39" s="44" t="n"/>
      <c r="AI39" s="44" t="n"/>
      <c r="AJ39" s="44" t="n"/>
      <c r="AK39" s="44" t="n"/>
      <c r="AL39" s="44" t="n"/>
      <c r="AM39" s="44" t="n"/>
      <c r="AN39" s="44" t="n"/>
      <c r="AO39" s="44" t="n"/>
      <c r="AP39" s="44" t="n"/>
      <c r="AQ39" s="44" t="n"/>
      <c r="AR39" s="40" t="n"/>
      <c r="AS39" s="40" t="n"/>
      <c r="AT39" s="40" t="n"/>
      <c r="AU39" s="38" t="inlineStr">
        <is>
          <t>IF(OR(E39="",AH39=""),"",IF(COUNT(AG39:AG39)=0,"",AH39-LOOKUP(2,1/(AG39:AG39&lt;&gt;""),AG39:AG39)))</t>
        </is>
      </c>
      <c r="AV39" s="38" t="inlineStr">
        <is>
          <t>IF(OR(E39="",AI39=""),"",IF(COUNT(AG39:AH39)=0,"",AI39-LOOKUP(2,1/(AG39:AH39&lt;&gt;""),AG39:AH39)))</t>
        </is>
      </c>
      <c r="AW39" s="38" t="inlineStr">
        <is>
          <t>IF(OR(E39="",AJ39=""),"",IF(COUNT(AG39:AI39)=0,"",AJ39-LOOKUP(2,1/(AG39:AI39&lt;&gt;""),AG39:AI39)))</t>
        </is>
      </c>
      <c r="AX39" s="38" t="inlineStr">
        <is>
          <t>IF(OR(E39="",AK39=""),"",IF(COUNT(AG39:AJ39)=0,"",AK39-LOOKUP(2,1/(AG39:AJ39&lt;&gt;""),AG39:AJ39)))</t>
        </is>
      </c>
      <c r="AY39" s="38" t="inlineStr">
        <is>
          <t>IF(OR(E39="",AL39=""),"",IF(COUNT(AG39:AK39)=0,"",AL39-LOOKUP(2,1/(AG39:AK39&lt;&gt;""),AG39:AK39)))</t>
        </is>
      </c>
      <c r="AZ39" s="38" t="inlineStr">
        <is>
          <t>IF(OR(E39="",AM39=""),"",IF(COUNT(AG39:AL39)=0,"",AM39-LOOKUP(2,1/(AG39:AL39&lt;&gt;""),AG39:AL39)))</t>
        </is>
      </c>
      <c r="BA39" s="38" t="inlineStr">
        <is>
          <t>IF(OR(E39="",AN39=""),"",IF(COUNT(AG39:AM39)=0,"",AN39-LOOKUP(2,1/(AG39:AM39&lt;&gt;""),AG39:AM39)))</t>
        </is>
      </c>
      <c r="BB39" s="38" t="inlineStr">
        <is>
          <t>IF(OR(E39="",AO39=""),"",IF(COUNT(AG39:AN39)=0,"",AO39-LOOKUP(2,1/(AG39:AN39&lt;&gt;""),AG39:AN39)))</t>
        </is>
      </c>
      <c r="BC39" s="38" t="inlineStr">
        <is>
          <t>IF(OR(E39="",AP39=""),"",IF(COUNT(AG39:AO39)=0,"",AP39-LOOKUP(2,1/(AG39:AO39&lt;&gt;""),AG39:AO39)))</t>
        </is>
      </c>
      <c r="BD39" s="38" t="inlineStr">
        <is>
          <t>IF(OR(E39="",AQ39=""),"",IF(COUNT(AG39:AP39)=0,"",AQ39-LOOKUP(2,1/(AG39:AP39&lt;&gt;""),AG39:AP39)))</t>
        </is>
      </c>
      <c r="BE39" s="38" t="inlineStr">
        <is>
          <t>IF(OR(E39="",AR39=""),"",IF(COUNT(AG39:AQ39)=0,"",AR39-LOOKUP(2,1/(AG39:AQ39&lt;&gt;""),AG39:AQ39)))</t>
        </is>
      </c>
      <c r="BF39" s="38" t="inlineStr">
        <is>
          <t>IF(OR(E39="",AS39=""),"",IF(COUNT(AG39:AR39)=0,"",AS39-LOOKUP(2,1/(AG39:AR39&lt;&gt;""),AG39:AR39)))</t>
        </is>
      </c>
      <c r="BG39" s="38" t="inlineStr">
        <is>
          <t>IF(OR(E39="",AT39=""),"",IF(COUNT(AG39:AS39)=0,"",AT39-LOOKUP(2,1/(AG39:AS39&lt;&gt;""),AG39:AS39)))</t>
        </is>
      </c>
      <c r="BH39" s="41" t="inlineStr">
        <is>
          <t>IF(G39="","All_Provinces",IFERROR(VLOOKUP(G39,'07_Lookups'!$A$4:$B$20,2,FALSE),"All_Provinces"))</t>
        </is>
      </c>
      <c r="BI39" s="41" t="inlineStr">
        <is>
          <t>IF(H39="","All_Districts",IFERROR(VLOOKUP(H39,'07_Lookups'!$E$4:$F$42,2,FALSE),"All_Districts"))</t>
        </is>
      </c>
    </row>
    <row r="40" ht="18" customHeight="1">
      <c r="A40" s="32" t="inlineStr">
        <is>
          <t>IF(E40="","",ROW()-3)</t>
        </is>
      </c>
      <c r="B40" s="33" t="inlineStr">
        <is>
          <t>AF2-IS-R-002</t>
        </is>
      </c>
      <c r="C40" s="33" t="inlineStr">
        <is>
          <t>Emergency Food Security Project (EFSP) – WBK/AF-2</t>
        </is>
      </c>
      <c r="D40" s="33" t="inlineStr">
        <is>
          <t>Package #3-AF2 IS: Rehabilitation of Yazdi, Todanak Payen irrigation schemes, located in Center and Farahrud Districts of Farah province.</t>
        </is>
      </c>
      <c r="E40" s="33" t="inlineStr">
        <is>
          <t>Todanak Payen Canal irrigation Scheme</t>
        </is>
      </c>
      <c r="F40" s="33" t="inlineStr">
        <is>
          <t>Irrigation Canal</t>
        </is>
      </c>
      <c r="G40" s="33" t="inlineStr">
        <is>
          <t>West / Herat</t>
        </is>
      </c>
      <c r="H40" s="33" t="inlineStr">
        <is>
          <t>Farah</t>
        </is>
      </c>
      <c r="I40" s="33" t="inlineStr">
        <is>
          <t>Farahrud</t>
        </is>
      </c>
      <c r="J40" s="33" t="inlineStr">
        <is>
          <t>Todanak Payen villages</t>
        </is>
      </c>
      <c r="K40" s="33" t="inlineStr">
        <is>
          <t>World Bank (WBK/AF-2)</t>
        </is>
      </c>
      <c r="L40" s="33" t="inlineStr">
        <is>
          <t>Remaining</t>
        </is>
      </c>
      <c r="M40" s="33" t="inlineStr">
        <is>
          <t>On/off-farm irrigation</t>
        </is>
      </c>
      <c r="N40" s="33" t="inlineStr">
        <is>
          <t>2.Remain contracts_On&amp;off-farm</t>
        </is>
      </c>
      <c r="O40" s="33" t="inlineStr"/>
      <c r="P40" s="33" t="inlineStr"/>
      <c r="Q40" s="34" t="n">
        <v>290000</v>
      </c>
      <c r="R40" s="35" t="inlineStr">
        <is>
          <t>IF(AO40="","",AO40)</t>
        </is>
      </c>
      <c r="S40" s="36" t="n">
        <v>46371</v>
      </c>
      <c r="T40" s="37" t="n">
        <v>9</v>
      </c>
      <c r="U40" s="36" t="n">
        <v>46644</v>
      </c>
      <c r="V40" s="35" t="inlineStr">
        <is>
          <t>IF(U40&lt;&gt;"",U40,IF(OR(R40="",T40=""),"",EDATE(R40,T40)))</t>
        </is>
      </c>
      <c r="W40" s="36" t="n"/>
      <c r="X40" s="37" t="n"/>
      <c r="Y40" s="33" t="inlineStr">
        <is>
          <t>Under Review of WRI</t>
        </is>
      </c>
      <c r="Z40" s="33" t="inlineStr">
        <is>
          <t>Two months slack period Mar-Apr during the flood. Seven months construction period. Explore split into 2 lots if needed</t>
        </is>
      </c>
      <c r="AA40" s="32" t="inlineStr">
        <is>
          <t>IF(E40="","",IF(COUNT(AG40:AT40)=0,IF(Y40="","Not started",Y40),SUBSTITUTE(LOOKUP(2,1/(AG40:AT40&lt;&gt;""),$AG$3:$AT$3),"Date: ","")))</t>
        </is>
      </c>
      <c r="AB40" s="38" t="inlineStr">
        <is>
          <t>IF(OR(E40="",COUNT(AG40:AT40)=0),"",TODAY()-LOOKUP(2,1/(AG40:AT40&lt;&gt;""),AG40:AT40))</t>
        </is>
      </c>
      <c r="AC40" s="38" t="inlineStr">
        <is>
          <t>IF(OR(E40="",COUNT(AG40:AT40)&lt;2),"",LOOKUP(2,1/(AG40:AT40&lt;&gt;""),AG40:AT40)-MIN(AG40:AT40))</t>
        </is>
      </c>
      <c r="AD40" s="38" t="inlineStr">
        <is>
          <t>IF(OR(AB40="",AA40="Not started",AA40=""),"",IFERROR(AB40-IF(VLOOKUP(AA40,'04_Status_Pipeline'!$B$3:$E$20,4,FALSE)="",0,VLOOKUP(AA40,'04_Status_Pipeline'!$B$3:$E$20,4,FALSE)),""))</t>
        </is>
      </c>
      <c r="AE40" s="32" t="inlineStr">
        <is>
          <t>IF(E40="","",IF(OR(Y40="Cancelled",AA40="Cancelled"),"Cancelled",IF(OR(AA40="Completed / Handover",W40&lt;&gt;"",X40&gt;=100),"Completed — on track",IF(L40="Remaining",IF(S40="",IF(V40="","No planned date",IF(TODAY()&gt;V40,"Behind — past planned date",IF(V40-TODAY()&lt;=30,"At risk — close to off track","On track"))),IF(TODAY()&gt;S40,"Behind — award date passed",IF(S40-TODAY()&lt;=30,"At risk — close to off track","On track"))),IF(V40="","No planned date",IF(AND(TODAY()&gt;V40,OR(X40="",X40&lt;100)),"Behind — past end date",IF(AND(R40&lt;&gt;"",V40&lt;&gt;"",X40&lt;&gt;"",(X40&lt;100),((TODAY()-R40)/MAX(V40-R40,1)*100)-X40&gt;15),"Behind — progress lag",IF(AND(V40-TODAY()&lt;=30,V40-TODAY()&gt;=0,OR(X40="",X40&lt;90)),"At risk — close to off track","On track"))))))))</t>
        </is>
      </c>
      <c r="AF40" s="38" t="inlineStr">
        <is>
          <t>IF(OR(E40="",AA40="Completed / Handover",AA40="Cancelled"),"",IF(L40="Remaining",IF(S40&lt;&gt;"",S40-TODAY(),IF(V40="","",V40-TODAY())),IF(V40="","",V40-TODAY())))</t>
        </is>
      </c>
      <c r="AG40" s="36" t="n"/>
      <c r="AH40" s="36" t="n"/>
      <c r="AI40" s="36" t="n"/>
      <c r="AJ40" s="36" t="n"/>
      <c r="AK40" s="36" t="n"/>
      <c r="AL40" s="36" t="n"/>
      <c r="AM40" s="36" t="n"/>
      <c r="AN40" s="36" t="n"/>
      <c r="AO40" s="36" t="n"/>
      <c r="AP40" s="36" t="n"/>
      <c r="AQ40" s="36" t="n"/>
      <c r="AR40" s="40" t="n"/>
      <c r="AS40" s="40" t="n"/>
      <c r="AT40" s="40" t="n"/>
      <c r="AU40" s="38" t="inlineStr">
        <is>
          <t>IF(OR(E40="",AH40=""),"",IF(COUNT(AG40:AG40)=0,"",AH40-LOOKUP(2,1/(AG40:AG40&lt;&gt;""),AG40:AG40)))</t>
        </is>
      </c>
      <c r="AV40" s="38" t="inlineStr">
        <is>
          <t>IF(OR(E40="",AI40=""),"",IF(COUNT(AG40:AH40)=0,"",AI40-LOOKUP(2,1/(AG40:AH40&lt;&gt;""),AG40:AH40)))</t>
        </is>
      </c>
      <c r="AW40" s="38" t="inlineStr">
        <is>
          <t>IF(OR(E40="",AJ40=""),"",IF(COUNT(AG40:AI40)=0,"",AJ40-LOOKUP(2,1/(AG40:AI40&lt;&gt;""),AG40:AI40)))</t>
        </is>
      </c>
      <c r="AX40" s="38" t="inlineStr">
        <is>
          <t>IF(OR(E40="",AK40=""),"",IF(COUNT(AG40:AJ40)=0,"",AK40-LOOKUP(2,1/(AG40:AJ40&lt;&gt;""),AG40:AJ40)))</t>
        </is>
      </c>
      <c r="AY40" s="38" t="inlineStr">
        <is>
          <t>IF(OR(E40="",AL40=""),"",IF(COUNT(AG40:AK40)=0,"",AL40-LOOKUP(2,1/(AG40:AK40&lt;&gt;""),AG40:AK40)))</t>
        </is>
      </c>
      <c r="AZ40" s="38" t="inlineStr">
        <is>
          <t>IF(OR(E40="",AM40=""),"",IF(COUNT(AG40:AL40)=0,"",AM40-LOOKUP(2,1/(AG40:AL40&lt;&gt;""),AG40:AL40)))</t>
        </is>
      </c>
      <c r="BA40" s="38" t="inlineStr">
        <is>
          <t>IF(OR(E40="",AN40=""),"",IF(COUNT(AG40:AM40)=0,"",AN40-LOOKUP(2,1/(AG40:AM40&lt;&gt;""),AG40:AM40)))</t>
        </is>
      </c>
      <c r="BB40" s="38" t="inlineStr">
        <is>
          <t>IF(OR(E40="",AO40=""),"",IF(COUNT(AG40:AN40)=0,"",AO40-LOOKUP(2,1/(AG40:AN40&lt;&gt;""),AG40:AN40)))</t>
        </is>
      </c>
      <c r="BC40" s="38" t="inlineStr">
        <is>
          <t>IF(OR(E40="",AP40=""),"",IF(COUNT(AG40:AO40)=0,"",AP40-LOOKUP(2,1/(AG40:AO40&lt;&gt;""),AG40:AO40)))</t>
        </is>
      </c>
      <c r="BD40" s="38" t="inlineStr">
        <is>
          <t>IF(OR(E40="",AQ40=""),"",IF(COUNT(AG40:AP40)=0,"",AQ40-LOOKUP(2,1/(AG40:AP40&lt;&gt;""),AG40:AP40)))</t>
        </is>
      </c>
      <c r="BE40" s="38" t="inlineStr">
        <is>
          <t>IF(OR(E40="",AR40=""),"",IF(COUNT(AG40:AQ40)=0,"",AR40-LOOKUP(2,1/(AG40:AQ40&lt;&gt;""),AG40:AQ40)))</t>
        </is>
      </c>
      <c r="BF40" s="38" t="inlineStr">
        <is>
          <t>IF(OR(E40="",AS40=""),"",IF(COUNT(AG40:AR40)=0,"",AS40-LOOKUP(2,1/(AG40:AR40&lt;&gt;""),AG40:AR40)))</t>
        </is>
      </c>
      <c r="BG40" s="38" t="inlineStr">
        <is>
          <t>IF(OR(E40="",AT40=""),"",IF(COUNT(AG40:AS40)=0,"",AT40-LOOKUP(2,1/(AG40:AS40&lt;&gt;""),AG40:AS40)))</t>
        </is>
      </c>
      <c r="BH40" s="41" t="inlineStr">
        <is>
          <t>IF(G40="","All_Provinces",IFERROR(VLOOKUP(G40,'07_Lookups'!$A$4:$B$20,2,FALSE),"All_Provinces"))</t>
        </is>
      </c>
      <c r="BI40" s="41" t="inlineStr">
        <is>
          <t>IF(H40="","All_Districts",IFERROR(VLOOKUP(H40,'07_Lookups'!$E$4:$F$42,2,FALSE),"All_Districts"))</t>
        </is>
      </c>
    </row>
    <row r="41" ht="18" customHeight="1">
      <c r="A41" s="32" t="inlineStr">
        <is>
          <t>IF(E41="","",ROW()-3)</t>
        </is>
      </c>
      <c r="B41" s="42" t="inlineStr">
        <is>
          <t>AF2-IS-R-003</t>
        </is>
      </c>
      <c r="C41" s="42" t="inlineStr">
        <is>
          <t>Emergency Food Security Project (EFSP) – WBK/AF-2</t>
        </is>
      </c>
      <c r="D41" s="42" t="inlineStr">
        <is>
          <t>Package #4-AF2 IS: Rehabilitation of Joi Gang and Ludeenha baranch channel and Joi Kar irrigation schemes in Bala Murghab districts of Badghis provinec.</t>
        </is>
      </c>
      <c r="E41" s="42" t="inlineStr">
        <is>
          <t>Joi Ganj and Ludeenha Canal irrigation Schemes</t>
        </is>
      </c>
      <c r="F41" s="42" t="inlineStr">
        <is>
          <t>Irrigation Canal</t>
        </is>
      </c>
      <c r="G41" s="42" t="inlineStr">
        <is>
          <t>West / Herat</t>
        </is>
      </c>
      <c r="H41" s="42" t="inlineStr">
        <is>
          <t>Badghis</t>
        </is>
      </c>
      <c r="I41" s="42" t="inlineStr">
        <is>
          <t>Bala Murghab</t>
        </is>
      </c>
      <c r="J41" s="42" t="inlineStr">
        <is>
          <t>Joi Ganj and Ludeenha</t>
        </is>
      </c>
      <c r="K41" s="42" t="inlineStr">
        <is>
          <t>World Bank (WBK/AF-2)</t>
        </is>
      </c>
      <c r="L41" s="42" t="inlineStr">
        <is>
          <t>Remaining</t>
        </is>
      </c>
      <c r="M41" s="42" t="inlineStr">
        <is>
          <t>On/off-farm irrigation</t>
        </is>
      </c>
      <c r="N41" s="42" t="inlineStr">
        <is>
          <t>2.Remain contracts_On&amp;off-farm</t>
        </is>
      </c>
      <c r="O41" s="42" t="inlineStr"/>
      <c r="P41" s="42" t="inlineStr"/>
      <c r="Q41" s="43" t="n">
        <v>180000</v>
      </c>
      <c r="R41" s="35" t="inlineStr">
        <is>
          <t>IF(AO41="","",AO41)</t>
        </is>
      </c>
      <c r="S41" s="44" t="n">
        <v>46387</v>
      </c>
      <c r="T41" s="45" t="n">
        <v>8</v>
      </c>
      <c r="U41" s="44" t="n">
        <v>46629</v>
      </c>
      <c r="V41" s="35" t="inlineStr">
        <is>
          <t>IF(U41&lt;&gt;"",U41,IF(OR(R41="",T41=""),"",EDATE(R41,T41)))</t>
        </is>
      </c>
      <c r="W41" s="44" t="n"/>
      <c r="X41" s="45" t="n"/>
      <c r="Y41" s="42" t="inlineStr">
        <is>
          <t>PR to be Raised</t>
        </is>
      </c>
      <c r="Z41" s="42" t="inlineStr">
        <is>
          <t>Three months slack period Jan-Mar during winter. Five months construction period required for two canals</t>
        </is>
      </c>
      <c r="AA41" s="32" t="inlineStr">
        <is>
          <t>IF(E41="","",IF(COUNT(AG41:AT41)=0,IF(Y41="","Not started",Y41),SUBSTITUTE(LOOKUP(2,1/(AG41:AT41&lt;&gt;""),$AG$3:$AT$3),"Date: ","")))</t>
        </is>
      </c>
      <c r="AB41" s="38" t="inlineStr">
        <is>
          <t>IF(OR(E41="",COUNT(AG41:AT41)=0),"",TODAY()-LOOKUP(2,1/(AG41:AT41&lt;&gt;""),AG41:AT41))</t>
        </is>
      </c>
      <c r="AC41" s="38" t="inlineStr">
        <is>
          <t>IF(OR(E41="",COUNT(AG41:AT41)&lt;2),"",LOOKUP(2,1/(AG41:AT41&lt;&gt;""),AG41:AT41)-MIN(AG41:AT41))</t>
        </is>
      </c>
      <c r="AD41" s="38" t="inlineStr">
        <is>
          <t>IF(OR(AB41="",AA41="Not started",AA41=""),"",IFERROR(AB41-IF(VLOOKUP(AA41,'04_Status_Pipeline'!$B$3:$E$20,4,FALSE)="",0,VLOOKUP(AA41,'04_Status_Pipeline'!$B$3:$E$20,4,FALSE)),""))</t>
        </is>
      </c>
      <c r="AE41" s="32" t="inlineStr">
        <is>
          <t>IF(E41="","",IF(OR(Y41="Cancelled",AA41="Cancelled"),"Cancelled",IF(OR(AA41="Completed / Handover",W41&lt;&gt;"",X41&gt;=100),"Completed — on track",IF(L41="Remaining",IF(S41="",IF(V41="","No planned date",IF(TODAY()&gt;V41,"Behind — past planned date",IF(V41-TODAY()&lt;=30,"At risk — close to off track","On track"))),IF(TODAY()&gt;S41,"Behind — award date passed",IF(S41-TODAY()&lt;=30,"At risk — close to off track","On track"))),IF(V41="","No planned date",IF(AND(TODAY()&gt;V41,OR(X41="",X41&lt;100)),"Behind — past end date",IF(AND(R41&lt;&gt;"",V41&lt;&gt;"",X41&lt;&gt;"",(X41&lt;100),((TODAY()-R41)/MAX(V41-R41,1)*100)-X41&gt;15),"Behind — progress lag",IF(AND(V41-TODAY()&lt;=30,V41-TODAY()&gt;=0,OR(X41="",X41&lt;90)),"At risk — close to off track","On track"))))))))</t>
        </is>
      </c>
      <c r="AF41" s="38" t="inlineStr">
        <is>
          <t>IF(OR(E41="",AA41="Completed / Handover",AA41="Cancelled"),"",IF(L41="Remaining",IF(S41&lt;&gt;"",S41-TODAY(),IF(V41="","",V41-TODAY())),IF(V41="","",V41-TODAY())))</t>
        </is>
      </c>
      <c r="AG41" s="44" t="n"/>
      <c r="AH41" s="44" t="n"/>
      <c r="AI41" s="44" t="n"/>
      <c r="AJ41" s="44" t="n"/>
      <c r="AK41" s="44" t="n"/>
      <c r="AL41" s="44" t="n"/>
      <c r="AM41" s="44" t="n"/>
      <c r="AN41" s="44" t="n"/>
      <c r="AO41" s="44" t="n"/>
      <c r="AP41" s="44" t="n"/>
      <c r="AQ41" s="44" t="n"/>
      <c r="AR41" s="40" t="n"/>
      <c r="AS41" s="40" t="n"/>
      <c r="AT41" s="40" t="n"/>
      <c r="AU41" s="38" t="inlineStr">
        <is>
          <t>IF(OR(E41="",AH41=""),"",IF(COUNT(AG41:AG41)=0,"",AH41-LOOKUP(2,1/(AG41:AG41&lt;&gt;""),AG41:AG41)))</t>
        </is>
      </c>
      <c r="AV41" s="38" t="inlineStr">
        <is>
          <t>IF(OR(E41="",AI41=""),"",IF(COUNT(AG41:AH41)=0,"",AI41-LOOKUP(2,1/(AG41:AH41&lt;&gt;""),AG41:AH41)))</t>
        </is>
      </c>
      <c r="AW41" s="38" t="inlineStr">
        <is>
          <t>IF(OR(E41="",AJ41=""),"",IF(COUNT(AG41:AI41)=0,"",AJ41-LOOKUP(2,1/(AG41:AI41&lt;&gt;""),AG41:AI41)))</t>
        </is>
      </c>
      <c r="AX41" s="38" t="inlineStr">
        <is>
          <t>IF(OR(E41="",AK41=""),"",IF(COUNT(AG41:AJ41)=0,"",AK41-LOOKUP(2,1/(AG41:AJ41&lt;&gt;""),AG41:AJ41)))</t>
        </is>
      </c>
      <c r="AY41" s="38" t="inlineStr">
        <is>
          <t>IF(OR(E41="",AL41=""),"",IF(COUNT(AG41:AK41)=0,"",AL41-LOOKUP(2,1/(AG41:AK41&lt;&gt;""),AG41:AK41)))</t>
        </is>
      </c>
      <c r="AZ41" s="38" t="inlineStr">
        <is>
          <t>IF(OR(E41="",AM41=""),"",IF(COUNT(AG41:AL41)=0,"",AM41-LOOKUP(2,1/(AG41:AL41&lt;&gt;""),AG41:AL41)))</t>
        </is>
      </c>
      <c r="BA41" s="38" t="inlineStr">
        <is>
          <t>IF(OR(E41="",AN41=""),"",IF(COUNT(AG41:AM41)=0,"",AN41-LOOKUP(2,1/(AG41:AM41&lt;&gt;""),AG41:AM41)))</t>
        </is>
      </c>
      <c r="BB41" s="38" t="inlineStr">
        <is>
          <t>IF(OR(E41="",AO41=""),"",IF(COUNT(AG41:AN41)=0,"",AO41-LOOKUP(2,1/(AG41:AN41&lt;&gt;""),AG41:AN41)))</t>
        </is>
      </c>
      <c r="BC41" s="38" t="inlineStr">
        <is>
          <t>IF(OR(E41="",AP41=""),"",IF(COUNT(AG41:AO41)=0,"",AP41-LOOKUP(2,1/(AG41:AO41&lt;&gt;""),AG41:AO41)))</t>
        </is>
      </c>
      <c r="BD41" s="38" t="inlineStr">
        <is>
          <t>IF(OR(E41="",AQ41=""),"",IF(COUNT(AG41:AP41)=0,"",AQ41-LOOKUP(2,1/(AG41:AP41&lt;&gt;""),AG41:AP41)))</t>
        </is>
      </c>
      <c r="BE41" s="38" t="inlineStr">
        <is>
          <t>IF(OR(E41="",AR41=""),"",IF(COUNT(AG41:AQ41)=0,"",AR41-LOOKUP(2,1/(AG41:AQ41&lt;&gt;""),AG41:AQ41)))</t>
        </is>
      </c>
      <c r="BF41" s="38" t="inlineStr">
        <is>
          <t>IF(OR(E41="",AS41=""),"",IF(COUNT(AG41:AR41)=0,"",AS41-LOOKUP(2,1/(AG41:AR41&lt;&gt;""),AG41:AR41)))</t>
        </is>
      </c>
      <c r="BG41" s="38" t="inlineStr">
        <is>
          <t>IF(OR(E41="",AT41=""),"",IF(COUNT(AG41:AS41)=0,"",AT41-LOOKUP(2,1/(AG41:AS41&lt;&gt;""),AG41:AS41)))</t>
        </is>
      </c>
      <c r="BH41" s="41" t="inlineStr">
        <is>
          <t>IF(G41="","All_Provinces",IFERROR(VLOOKUP(G41,'07_Lookups'!$A$4:$B$20,2,FALSE),"All_Provinces"))</t>
        </is>
      </c>
      <c r="BI41" s="41" t="inlineStr">
        <is>
          <t>IF(H41="","All_Districts",IFERROR(VLOOKUP(H41,'07_Lookups'!$E$4:$F$42,2,FALSE),"All_Districts"))</t>
        </is>
      </c>
    </row>
    <row r="42" ht="18" customHeight="1">
      <c r="A42" s="32" t="inlineStr">
        <is>
          <t>IF(E42="","",ROW()-3)</t>
        </is>
      </c>
      <c r="B42" s="33" t="inlineStr">
        <is>
          <t>AF2-IS-R-004</t>
        </is>
      </c>
      <c r="C42" s="33" t="inlineStr">
        <is>
          <t>Emergency Food Security Project (EFSP) – WBK/AF-2</t>
        </is>
      </c>
      <c r="D42" s="33" t="inlineStr">
        <is>
          <t>Package #4-AF2 IS: Rehabilitation of Joi Gang and Ludeenha baranch channel and Joi Kar irrigation schemes in Bala Murghab districts of Badghis provinec.</t>
        </is>
      </c>
      <c r="E42" s="33" t="inlineStr">
        <is>
          <t>Joi Kar canal irrigation Scheme</t>
        </is>
      </c>
      <c r="F42" s="33" t="inlineStr">
        <is>
          <t>Irrigation Canal</t>
        </is>
      </c>
      <c r="G42" s="33" t="inlineStr">
        <is>
          <t>West / Herat</t>
        </is>
      </c>
      <c r="H42" s="33" t="inlineStr">
        <is>
          <t>Badghis</t>
        </is>
      </c>
      <c r="I42" s="33" t="inlineStr">
        <is>
          <t>Bala Murghab</t>
        </is>
      </c>
      <c r="J42" s="33" t="inlineStr">
        <is>
          <t>Joi Kar</t>
        </is>
      </c>
      <c r="K42" s="33" t="inlineStr">
        <is>
          <t>World Bank (WBK/AF-2)</t>
        </is>
      </c>
      <c r="L42" s="33" t="inlineStr">
        <is>
          <t>Remaining</t>
        </is>
      </c>
      <c r="M42" s="33" t="inlineStr">
        <is>
          <t>On/off-farm irrigation</t>
        </is>
      </c>
      <c r="N42" s="33" t="inlineStr">
        <is>
          <t>2.Remain contracts_On&amp;off-farm</t>
        </is>
      </c>
      <c r="O42" s="33" t="inlineStr"/>
      <c r="P42" s="33" t="inlineStr"/>
      <c r="Q42" s="34" t="n">
        <v>180000</v>
      </c>
      <c r="R42" s="35" t="inlineStr">
        <is>
          <t>IF(AO42="","",AO42)</t>
        </is>
      </c>
      <c r="S42" s="36" t="n">
        <v>46387</v>
      </c>
      <c r="T42" s="37" t="n">
        <v>8</v>
      </c>
      <c r="U42" s="36" t="n">
        <v>46629</v>
      </c>
      <c r="V42" s="35" t="inlineStr">
        <is>
          <t>IF(U42&lt;&gt;"",U42,IF(OR(R42="",T42=""),"",EDATE(R42,T42)))</t>
        </is>
      </c>
      <c r="W42" s="36" t="n"/>
      <c r="X42" s="37" t="n"/>
      <c r="Y42" s="33" t="inlineStr">
        <is>
          <t>PR to be Raised</t>
        </is>
      </c>
      <c r="Z42" s="33" t="inlineStr">
        <is>
          <t>Three months slack period Jan-Mar during winter. Five months construction period required for two canals</t>
        </is>
      </c>
      <c r="AA42" s="32" t="inlineStr">
        <is>
          <t>IF(E42="","",IF(COUNT(AG42:AT42)=0,IF(Y42="","Not started",Y42),SUBSTITUTE(LOOKUP(2,1/(AG42:AT42&lt;&gt;""),$AG$3:$AT$3),"Date: ","")))</t>
        </is>
      </c>
      <c r="AB42" s="38" t="inlineStr">
        <is>
          <t>IF(OR(E42="",COUNT(AG42:AT42)=0),"",TODAY()-LOOKUP(2,1/(AG42:AT42&lt;&gt;""),AG42:AT42))</t>
        </is>
      </c>
      <c r="AC42" s="38" t="inlineStr">
        <is>
          <t>IF(OR(E42="",COUNT(AG42:AT42)&lt;2),"",LOOKUP(2,1/(AG42:AT42&lt;&gt;""),AG42:AT42)-MIN(AG42:AT42))</t>
        </is>
      </c>
      <c r="AD42" s="38" t="inlineStr">
        <is>
          <t>IF(OR(AB42="",AA42="Not started",AA42=""),"",IFERROR(AB42-IF(VLOOKUP(AA42,'04_Status_Pipeline'!$B$3:$E$20,4,FALSE)="",0,VLOOKUP(AA42,'04_Status_Pipeline'!$B$3:$E$20,4,FALSE)),""))</t>
        </is>
      </c>
      <c r="AE42" s="32" t="inlineStr">
        <is>
          <t>IF(E42="","",IF(OR(Y42="Cancelled",AA42="Cancelled"),"Cancelled",IF(OR(AA42="Completed / Handover",W42&lt;&gt;"",X42&gt;=100),"Completed — on track",IF(L42="Remaining",IF(S42="",IF(V42="","No planned date",IF(TODAY()&gt;V42,"Behind — past planned date",IF(V42-TODAY()&lt;=30,"At risk — close to off track","On track"))),IF(TODAY()&gt;S42,"Behind — award date passed",IF(S42-TODAY()&lt;=30,"At risk — close to off track","On track"))),IF(V42="","No planned date",IF(AND(TODAY()&gt;V42,OR(X42="",X42&lt;100)),"Behind — past end date",IF(AND(R42&lt;&gt;"",V42&lt;&gt;"",X42&lt;&gt;"",(X42&lt;100),((TODAY()-R42)/MAX(V42-R42,1)*100)-X42&gt;15),"Behind — progress lag",IF(AND(V42-TODAY()&lt;=30,V42-TODAY()&gt;=0,OR(X42="",X42&lt;90)),"At risk — close to off track","On track"))))))))</t>
        </is>
      </c>
      <c r="AF42" s="38" t="inlineStr">
        <is>
          <t>IF(OR(E42="",AA42="Completed / Handover",AA42="Cancelled"),"",IF(L42="Remaining",IF(S42&lt;&gt;"",S42-TODAY(),IF(V42="","",V42-TODAY())),IF(V42="","",V42-TODAY())))</t>
        </is>
      </c>
      <c r="AG42" s="36" t="n"/>
      <c r="AH42" s="36" t="n"/>
      <c r="AI42" s="36" t="n"/>
      <c r="AJ42" s="36" t="n"/>
      <c r="AK42" s="36" t="n"/>
      <c r="AL42" s="36" t="n"/>
      <c r="AM42" s="36" t="n"/>
      <c r="AN42" s="36" t="n"/>
      <c r="AO42" s="36" t="n"/>
      <c r="AP42" s="36" t="n"/>
      <c r="AQ42" s="36" t="n"/>
      <c r="AR42" s="40" t="n"/>
      <c r="AS42" s="40" t="n"/>
      <c r="AT42" s="40" t="n"/>
      <c r="AU42" s="38" t="inlineStr">
        <is>
          <t>IF(OR(E42="",AH42=""),"",IF(COUNT(AG42:AG42)=0,"",AH42-LOOKUP(2,1/(AG42:AG42&lt;&gt;""),AG42:AG42)))</t>
        </is>
      </c>
      <c r="AV42" s="38" t="inlineStr">
        <is>
          <t>IF(OR(E42="",AI42=""),"",IF(COUNT(AG42:AH42)=0,"",AI42-LOOKUP(2,1/(AG42:AH42&lt;&gt;""),AG42:AH42)))</t>
        </is>
      </c>
      <c r="AW42" s="38" t="inlineStr">
        <is>
          <t>IF(OR(E42="",AJ42=""),"",IF(COUNT(AG42:AI42)=0,"",AJ42-LOOKUP(2,1/(AG42:AI42&lt;&gt;""),AG42:AI42)))</t>
        </is>
      </c>
      <c r="AX42" s="38" t="inlineStr">
        <is>
          <t>IF(OR(E42="",AK42=""),"",IF(COUNT(AG42:AJ42)=0,"",AK42-LOOKUP(2,1/(AG42:AJ42&lt;&gt;""),AG42:AJ42)))</t>
        </is>
      </c>
      <c r="AY42" s="38" t="inlineStr">
        <is>
          <t>IF(OR(E42="",AL42=""),"",IF(COUNT(AG42:AK42)=0,"",AL42-LOOKUP(2,1/(AG42:AK42&lt;&gt;""),AG42:AK42)))</t>
        </is>
      </c>
      <c r="AZ42" s="38" t="inlineStr">
        <is>
          <t>IF(OR(E42="",AM42=""),"",IF(COUNT(AG42:AL42)=0,"",AM42-LOOKUP(2,1/(AG42:AL42&lt;&gt;""),AG42:AL42)))</t>
        </is>
      </c>
      <c r="BA42" s="38" t="inlineStr">
        <is>
          <t>IF(OR(E42="",AN42=""),"",IF(COUNT(AG42:AM42)=0,"",AN42-LOOKUP(2,1/(AG42:AM42&lt;&gt;""),AG42:AM42)))</t>
        </is>
      </c>
      <c r="BB42" s="38" t="inlineStr">
        <is>
          <t>IF(OR(E42="",AO42=""),"",IF(COUNT(AG42:AN42)=0,"",AO42-LOOKUP(2,1/(AG42:AN42&lt;&gt;""),AG42:AN42)))</t>
        </is>
      </c>
      <c r="BC42" s="38" t="inlineStr">
        <is>
          <t>IF(OR(E42="",AP42=""),"",IF(COUNT(AG42:AO42)=0,"",AP42-LOOKUP(2,1/(AG42:AO42&lt;&gt;""),AG42:AO42)))</t>
        </is>
      </c>
      <c r="BD42" s="38" t="inlineStr">
        <is>
          <t>IF(OR(E42="",AQ42=""),"",IF(COUNT(AG42:AP42)=0,"",AQ42-LOOKUP(2,1/(AG42:AP42&lt;&gt;""),AG42:AP42)))</t>
        </is>
      </c>
      <c r="BE42" s="38" t="inlineStr">
        <is>
          <t>IF(OR(E42="",AR42=""),"",IF(COUNT(AG42:AQ42)=0,"",AR42-LOOKUP(2,1/(AG42:AQ42&lt;&gt;""),AG42:AQ42)))</t>
        </is>
      </c>
      <c r="BF42" s="38" t="inlineStr">
        <is>
          <t>IF(OR(E42="",AS42=""),"",IF(COUNT(AG42:AR42)=0,"",AS42-LOOKUP(2,1/(AG42:AR42&lt;&gt;""),AG42:AR42)))</t>
        </is>
      </c>
      <c r="BG42" s="38" t="inlineStr">
        <is>
          <t>IF(OR(E42="",AT42=""),"",IF(COUNT(AG42:AS42)=0,"",AT42-LOOKUP(2,1/(AG42:AS42&lt;&gt;""),AG42:AS42)))</t>
        </is>
      </c>
      <c r="BH42" s="41" t="inlineStr">
        <is>
          <t>IF(G42="","All_Provinces",IFERROR(VLOOKUP(G42,'07_Lookups'!$A$4:$B$20,2,FALSE),"All_Provinces"))</t>
        </is>
      </c>
      <c r="BI42" s="41" t="inlineStr">
        <is>
          <t>IF(H42="","All_Districts",IFERROR(VLOOKUP(H42,'07_Lookups'!$E$4:$F$42,2,FALSE),"All_Districts"))</t>
        </is>
      </c>
    </row>
    <row r="43" ht="18" customHeight="1">
      <c r="A43" s="32" t="inlineStr">
        <is>
          <t>IF(E43="","",ROW()-3)</t>
        </is>
      </c>
      <c r="B43" s="42" t="inlineStr">
        <is>
          <t>AF2-IS-R-005</t>
        </is>
      </c>
      <c r="C43" s="42" t="inlineStr">
        <is>
          <t>Emergency Food Security Project (EFSP) – WBK/AF-2</t>
        </is>
      </c>
      <c r="D43" s="42" t="inlineStr">
        <is>
          <t>Package #5-AF2 IS: Rehabilitation of Korakha and Loka Mazar irrigation schemes, located in Dawlatyar District of Ghor province.</t>
        </is>
      </c>
      <c r="E43" s="42" t="inlineStr">
        <is>
          <t>Korakha and Loka Mazar Irrigation Schemes</t>
        </is>
      </c>
      <c r="F43" s="42" t="inlineStr">
        <is>
          <t>Irrigation Canal</t>
        </is>
      </c>
      <c r="G43" s="42" t="inlineStr">
        <is>
          <t>West / Herat</t>
        </is>
      </c>
      <c r="H43" s="42" t="inlineStr">
        <is>
          <t>Ghor</t>
        </is>
      </c>
      <c r="I43" s="42" t="inlineStr">
        <is>
          <t>Dawlatyar</t>
        </is>
      </c>
      <c r="J43" s="42" t="inlineStr">
        <is>
          <t>Sumak and Lokamazar</t>
        </is>
      </c>
      <c r="K43" s="42" t="inlineStr">
        <is>
          <t>World Bank (WBK/AF-2)</t>
        </is>
      </c>
      <c r="L43" s="42" t="inlineStr">
        <is>
          <t>Remaining</t>
        </is>
      </c>
      <c r="M43" s="42" t="inlineStr">
        <is>
          <t>On/off-farm irrigation</t>
        </is>
      </c>
      <c r="N43" s="42" t="inlineStr">
        <is>
          <t>2.Remain contracts_On&amp;off-farm</t>
        </is>
      </c>
      <c r="O43" s="42" t="inlineStr"/>
      <c r="P43" s="42" t="inlineStr"/>
      <c r="Q43" s="43" t="n">
        <v>242500</v>
      </c>
      <c r="R43" s="35" t="inlineStr">
        <is>
          <t>IF(AO43="","",AO43)</t>
        </is>
      </c>
      <c r="S43" s="44" t="n">
        <v>46387</v>
      </c>
      <c r="T43" s="45" t="n">
        <v>8.9</v>
      </c>
      <c r="U43" s="44" t="n">
        <v>46657</v>
      </c>
      <c r="V43" s="35" t="inlineStr">
        <is>
          <t>IF(U43&lt;&gt;"",U43,IF(OR(R43="",T43=""),"",EDATE(R43,T43)))</t>
        </is>
      </c>
      <c r="W43" s="44" t="n"/>
      <c r="X43" s="45" t="n"/>
      <c r="Y43" s="42" t="inlineStr">
        <is>
          <t>PR to be Raised</t>
        </is>
      </c>
      <c r="Z43" s="42" t="inlineStr">
        <is>
          <t>Three months slack period Jan-Mar during winter. Six months construction period required for two canals</t>
        </is>
      </c>
      <c r="AA43" s="32" t="inlineStr">
        <is>
          <t>IF(E43="","",IF(COUNT(AG43:AT43)=0,IF(Y43="","Not started",Y43),SUBSTITUTE(LOOKUP(2,1/(AG43:AT43&lt;&gt;""),$AG$3:$AT$3),"Date: ","")))</t>
        </is>
      </c>
      <c r="AB43" s="38" t="inlineStr">
        <is>
          <t>IF(OR(E43="",COUNT(AG43:AT43)=0),"",TODAY()-LOOKUP(2,1/(AG43:AT43&lt;&gt;""),AG43:AT43))</t>
        </is>
      </c>
      <c r="AC43" s="38" t="inlineStr">
        <is>
          <t>IF(OR(E43="",COUNT(AG43:AT43)&lt;2),"",LOOKUP(2,1/(AG43:AT43&lt;&gt;""),AG43:AT43)-MIN(AG43:AT43))</t>
        </is>
      </c>
      <c r="AD43" s="38" t="inlineStr">
        <is>
          <t>IF(OR(AB43="",AA43="Not started",AA43=""),"",IFERROR(AB43-IF(VLOOKUP(AA43,'04_Status_Pipeline'!$B$3:$E$20,4,FALSE)="",0,VLOOKUP(AA43,'04_Status_Pipeline'!$B$3:$E$20,4,FALSE)),""))</t>
        </is>
      </c>
      <c r="AE43" s="32" t="inlineStr">
        <is>
          <t>IF(E43="","",IF(OR(Y43="Cancelled",AA43="Cancelled"),"Cancelled",IF(OR(AA43="Completed / Handover",W43&lt;&gt;"",X43&gt;=100),"Completed — on track",IF(L43="Remaining",IF(S43="",IF(V43="","No planned date",IF(TODAY()&gt;V43,"Behind — past planned date",IF(V43-TODAY()&lt;=30,"At risk — close to off track","On track"))),IF(TODAY()&gt;S43,"Behind — award date passed",IF(S43-TODAY()&lt;=30,"At risk — close to off track","On track"))),IF(V43="","No planned date",IF(AND(TODAY()&gt;V43,OR(X43="",X43&lt;100)),"Behind — past end date",IF(AND(R43&lt;&gt;"",V43&lt;&gt;"",X43&lt;&gt;"",(X43&lt;100),((TODAY()-R43)/MAX(V43-R43,1)*100)-X43&gt;15),"Behind — progress lag",IF(AND(V43-TODAY()&lt;=30,V43-TODAY()&gt;=0,OR(X43="",X43&lt;90)),"At risk — close to off track","On track"))))))))</t>
        </is>
      </c>
      <c r="AF43" s="38" t="inlineStr">
        <is>
          <t>IF(OR(E43="",AA43="Completed / Handover",AA43="Cancelled"),"",IF(L43="Remaining",IF(S43&lt;&gt;"",S43-TODAY(),IF(V43="","",V43-TODAY())),IF(V43="","",V43-TODAY())))</t>
        </is>
      </c>
      <c r="AG43" s="44" t="n"/>
      <c r="AH43" s="44" t="n"/>
      <c r="AI43" s="44" t="n"/>
      <c r="AJ43" s="44" t="n"/>
      <c r="AK43" s="44" t="n"/>
      <c r="AL43" s="44" t="n"/>
      <c r="AM43" s="44" t="n"/>
      <c r="AN43" s="44" t="n"/>
      <c r="AO43" s="44" t="n"/>
      <c r="AP43" s="44" t="n"/>
      <c r="AQ43" s="44" t="n"/>
      <c r="AR43" s="40" t="n"/>
      <c r="AS43" s="40" t="n"/>
      <c r="AT43" s="40" t="n"/>
      <c r="AU43" s="38" t="inlineStr">
        <is>
          <t>IF(OR(E43="",AH43=""),"",IF(COUNT(AG43:AG43)=0,"",AH43-LOOKUP(2,1/(AG43:AG43&lt;&gt;""),AG43:AG43)))</t>
        </is>
      </c>
      <c r="AV43" s="38" t="inlineStr">
        <is>
          <t>IF(OR(E43="",AI43=""),"",IF(COUNT(AG43:AH43)=0,"",AI43-LOOKUP(2,1/(AG43:AH43&lt;&gt;""),AG43:AH43)))</t>
        </is>
      </c>
      <c r="AW43" s="38" t="inlineStr">
        <is>
          <t>IF(OR(E43="",AJ43=""),"",IF(COUNT(AG43:AI43)=0,"",AJ43-LOOKUP(2,1/(AG43:AI43&lt;&gt;""),AG43:AI43)))</t>
        </is>
      </c>
      <c r="AX43" s="38" t="inlineStr">
        <is>
          <t>IF(OR(E43="",AK43=""),"",IF(COUNT(AG43:AJ43)=0,"",AK43-LOOKUP(2,1/(AG43:AJ43&lt;&gt;""),AG43:AJ43)))</t>
        </is>
      </c>
      <c r="AY43" s="38" t="inlineStr">
        <is>
          <t>IF(OR(E43="",AL43=""),"",IF(COUNT(AG43:AK43)=0,"",AL43-LOOKUP(2,1/(AG43:AK43&lt;&gt;""),AG43:AK43)))</t>
        </is>
      </c>
      <c r="AZ43" s="38" t="inlineStr">
        <is>
          <t>IF(OR(E43="",AM43=""),"",IF(COUNT(AG43:AL43)=0,"",AM43-LOOKUP(2,1/(AG43:AL43&lt;&gt;""),AG43:AL43)))</t>
        </is>
      </c>
      <c r="BA43" s="38" t="inlineStr">
        <is>
          <t>IF(OR(E43="",AN43=""),"",IF(COUNT(AG43:AM43)=0,"",AN43-LOOKUP(2,1/(AG43:AM43&lt;&gt;""),AG43:AM43)))</t>
        </is>
      </c>
      <c r="BB43" s="38" t="inlineStr">
        <is>
          <t>IF(OR(E43="",AO43=""),"",IF(COUNT(AG43:AN43)=0,"",AO43-LOOKUP(2,1/(AG43:AN43&lt;&gt;""),AG43:AN43)))</t>
        </is>
      </c>
      <c r="BC43" s="38" t="inlineStr">
        <is>
          <t>IF(OR(E43="",AP43=""),"",IF(COUNT(AG43:AO43)=0,"",AP43-LOOKUP(2,1/(AG43:AO43&lt;&gt;""),AG43:AO43)))</t>
        </is>
      </c>
      <c r="BD43" s="38" t="inlineStr">
        <is>
          <t>IF(OR(E43="",AQ43=""),"",IF(COUNT(AG43:AP43)=0,"",AQ43-LOOKUP(2,1/(AG43:AP43&lt;&gt;""),AG43:AP43)))</t>
        </is>
      </c>
      <c r="BE43" s="38" t="inlineStr">
        <is>
          <t>IF(OR(E43="",AR43=""),"",IF(COUNT(AG43:AQ43)=0,"",AR43-LOOKUP(2,1/(AG43:AQ43&lt;&gt;""),AG43:AQ43)))</t>
        </is>
      </c>
      <c r="BF43" s="38" t="inlineStr">
        <is>
          <t>IF(OR(E43="",AS43=""),"",IF(COUNT(AG43:AR43)=0,"",AS43-LOOKUP(2,1/(AG43:AR43&lt;&gt;""),AG43:AR43)))</t>
        </is>
      </c>
      <c r="BG43" s="38" t="inlineStr">
        <is>
          <t>IF(OR(E43="",AT43=""),"",IF(COUNT(AG43:AS43)=0,"",AT43-LOOKUP(2,1/(AG43:AS43&lt;&gt;""),AG43:AS43)))</t>
        </is>
      </c>
      <c r="BH43" s="41" t="inlineStr">
        <is>
          <t>IF(G43="","All_Provinces",IFERROR(VLOOKUP(G43,'07_Lookups'!$A$4:$B$20,2,FALSE),"All_Provinces"))</t>
        </is>
      </c>
      <c r="BI43" s="41" t="inlineStr">
        <is>
          <t>IF(H43="","All_Districts",IFERROR(VLOOKUP(H43,'07_Lookups'!$E$4:$F$42,2,FALSE),"All_Districts"))</t>
        </is>
      </c>
    </row>
    <row r="44" ht="18" customHeight="1">
      <c r="A44" s="32" t="inlineStr">
        <is>
          <t>IF(E44="","",ROW()-3)</t>
        </is>
      </c>
      <c r="B44" s="33" t="inlineStr">
        <is>
          <t>AF2-IS-R-006</t>
        </is>
      </c>
      <c r="C44" s="33" t="inlineStr">
        <is>
          <t>Emergency Food Security Project (EFSP) – WBK/AF-2</t>
        </is>
      </c>
      <c r="D44" s="33" t="inlineStr">
        <is>
          <t>Package #37-AF2 IS: Rehabilitation of Oshtorkhan, Ahangaran and Madrasa irrigation schemes, located in Firozkoh district of Ghor province.</t>
        </is>
      </c>
      <c r="E44" s="33" t="inlineStr">
        <is>
          <t>Oshtorkhan, Ahangaran and Mardras irrigation Schemes</t>
        </is>
      </c>
      <c r="F44" s="33" t="inlineStr">
        <is>
          <t>Irrigation Canal</t>
        </is>
      </c>
      <c r="G44" s="33" t="inlineStr">
        <is>
          <t>West / Herat</t>
        </is>
      </c>
      <c r="H44" s="33" t="inlineStr">
        <is>
          <t>Ghor</t>
        </is>
      </c>
      <c r="I44" s="33" t="inlineStr">
        <is>
          <t>Firozkoh</t>
        </is>
      </c>
      <c r="J44" s="33" t="inlineStr">
        <is>
          <t>Oshtorkhan, Ahangaran and Madrasa</t>
        </is>
      </c>
      <c r="K44" s="33" t="inlineStr">
        <is>
          <t>World Bank (WBK/AF-2)</t>
        </is>
      </c>
      <c r="L44" s="33" t="inlineStr">
        <is>
          <t>Remaining</t>
        </is>
      </c>
      <c r="M44" s="33" t="inlineStr">
        <is>
          <t>On/off-farm irrigation</t>
        </is>
      </c>
      <c r="N44" s="33" t="inlineStr">
        <is>
          <t>2.Remain contracts_On&amp;off-farm</t>
        </is>
      </c>
      <c r="O44" s="33" t="inlineStr"/>
      <c r="P44" s="33" t="inlineStr"/>
      <c r="Q44" s="34" t="n">
        <v>300000</v>
      </c>
      <c r="R44" s="35" t="inlineStr">
        <is>
          <t>IF(AO44="","",AO44)</t>
        </is>
      </c>
      <c r="S44" s="36" t="n">
        <v>46376</v>
      </c>
      <c r="T44" s="37" t="n">
        <v>7.9</v>
      </c>
      <c r="U44" s="36" t="n">
        <v>46616</v>
      </c>
      <c r="V44" s="35" t="inlineStr">
        <is>
          <t>IF(U44&lt;&gt;"",U44,IF(OR(R44="",T44=""),"",EDATE(R44,T44)))</t>
        </is>
      </c>
      <c r="W44" s="36" t="n"/>
      <c r="X44" s="37" t="n"/>
      <c r="Y44" s="33" t="inlineStr">
        <is>
          <t>Under Design</t>
        </is>
      </c>
      <c r="Z44" s="33" t="inlineStr">
        <is>
          <t>Three months slack period Jan-Mar during winter Five months construction period required for three canals. To explore 2 lots for 2 contracts and simultaneous work</t>
        </is>
      </c>
      <c r="AA44" s="32" t="inlineStr">
        <is>
          <t>IF(E44="","",IF(COUNT(AG44:AT44)=0,IF(Y44="","Not started",Y44),SUBSTITUTE(LOOKUP(2,1/(AG44:AT44&lt;&gt;""),$AG$3:$AT$3),"Date: ","")))</t>
        </is>
      </c>
      <c r="AB44" s="38" t="inlineStr">
        <is>
          <t>IF(OR(E44="",COUNT(AG44:AT44)=0),"",TODAY()-LOOKUP(2,1/(AG44:AT44&lt;&gt;""),AG44:AT44))</t>
        </is>
      </c>
      <c r="AC44" s="38" t="inlineStr">
        <is>
          <t>IF(OR(E44="",COUNT(AG44:AT44)&lt;2),"",LOOKUP(2,1/(AG44:AT44&lt;&gt;""),AG44:AT44)-MIN(AG44:AT44))</t>
        </is>
      </c>
      <c r="AD44" s="38" t="inlineStr">
        <is>
          <t>IF(OR(AB44="",AA44="Not started",AA44=""),"",IFERROR(AB44-IF(VLOOKUP(AA44,'04_Status_Pipeline'!$B$3:$E$20,4,FALSE)="",0,VLOOKUP(AA44,'04_Status_Pipeline'!$B$3:$E$20,4,FALSE)),""))</t>
        </is>
      </c>
      <c r="AE44" s="32" t="inlineStr">
        <is>
          <t>IF(E44="","",IF(OR(Y44="Cancelled",AA44="Cancelled"),"Cancelled",IF(OR(AA44="Completed / Handover",W44&lt;&gt;"",X44&gt;=100),"Completed — on track",IF(L44="Remaining",IF(S44="",IF(V44="","No planned date",IF(TODAY()&gt;V44,"Behind — past planned date",IF(V44-TODAY()&lt;=30,"At risk — close to off track","On track"))),IF(TODAY()&gt;S44,"Behind — award date passed",IF(S44-TODAY()&lt;=30,"At risk — close to off track","On track"))),IF(V44="","No planned date",IF(AND(TODAY()&gt;V44,OR(X44="",X44&lt;100)),"Behind — past end date",IF(AND(R44&lt;&gt;"",V44&lt;&gt;"",X44&lt;&gt;"",(X44&lt;100),((TODAY()-R44)/MAX(V44-R44,1)*100)-X44&gt;15),"Behind — progress lag",IF(AND(V44-TODAY()&lt;=30,V44-TODAY()&gt;=0,OR(X44="",X44&lt;90)),"At risk — close to off track","On track"))))))))</t>
        </is>
      </c>
      <c r="AF44" s="38" t="inlineStr">
        <is>
          <t>IF(OR(E44="",AA44="Completed / Handover",AA44="Cancelled"),"",IF(L44="Remaining",IF(S44&lt;&gt;"",S44-TODAY(),IF(V44="","",V44-TODAY())),IF(V44="","",V44-TODAY())))</t>
        </is>
      </c>
      <c r="AG44" s="36" t="n"/>
      <c r="AH44" s="36" t="n"/>
      <c r="AI44" s="36" t="n"/>
      <c r="AJ44" s="36" t="n"/>
      <c r="AK44" s="36" t="n"/>
      <c r="AL44" s="36" t="n"/>
      <c r="AM44" s="36" t="n"/>
      <c r="AN44" s="36" t="n"/>
      <c r="AO44" s="36" t="n"/>
      <c r="AP44" s="36" t="n"/>
      <c r="AQ44" s="36" t="n"/>
      <c r="AR44" s="40" t="n"/>
      <c r="AS44" s="40" t="n"/>
      <c r="AT44" s="40" t="n"/>
      <c r="AU44" s="38" t="inlineStr">
        <is>
          <t>IF(OR(E44="",AH44=""),"",IF(COUNT(AG44:AG44)=0,"",AH44-LOOKUP(2,1/(AG44:AG44&lt;&gt;""),AG44:AG44)))</t>
        </is>
      </c>
      <c r="AV44" s="38" t="inlineStr">
        <is>
          <t>IF(OR(E44="",AI44=""),"",IF(COUNT(AG44:AH44)=0,"",AI44-LOOKUP(2,1/(AG44:AH44&lt;&gt;""),AG44:AH44)))</t>
        </is>
      </c>
      <c r="AW44" s="38" t="inlineStr">
        <is>
          <t>IF(OR(E44="",AJ44=""),"",IF(COUNT(AG44:AI44)=0,"",AJ44-LOOKUP(2,1/(AG44:AI44&lt;&gt;""),AG44:AI44)))</t>
        </is>
      </c>
      <c r="AX44" s="38" t="inlineStr">
        <is>
          <t>IF(OR(E44="",AK44=""),"",IF(COUNT(AG44:AJ44)=0,"",AK44-LOOKUP(2,1/(AG44:AJ44&lt;&gt;""),AG44:AJ44)))</t>
        </is>
      </c>
      <c r="AY44" s="38" t="inlineStr">
        <is>
          <t>IF(OR(E44="",AL44=""),"",IF(COUNT(AG44:AK44)=0,"",AL44-LOOKUP(2,1/(AG44:AK44&lt;&gt;""),AG44:AK44)))</t>
        </is>
      </c>
      <c r="AZ44" s="38" t="inlineStr">
        <is>
          <t>IF(OR(E44="",AM44=""),"",IF(COUNT(AG44:AL44)=0,"",AM44-LOOKUP(2,1/(AG44:AL44&lt;&gt;""),AG44:AL44)))</t>
        </is>
      </c>
      <c r="BA44" s="38" t="inlineStr">
        <is>
          <t>IF(OR(E44="",AN44=""),"",IF(COUNT(AG44:AM44)=0,"",AN44-LOOKUP(2,1/(AG44:AM44&lt;&gt;""),AG44:AM44)))</t>
        </is>
      </c>
      <c r="BB44" s="38" t="inlineStr">
        <is>
          <t>IF(OR(E44="",AO44=""),"",IF(COUNT(AG44:AN44)=0,"",AO44-LOOKUP(2,1/(AG44:AN44&lt;&gt;""),AG44:AN44)))</t>
        </is>
      </c>
      <c r="BC44" s="38" t="inlineStr">
        <is>
          <t>IF(OR(E44="",AP44=""),"",IF(COUNT(AG44:AO44)=0,"",AP44-LOOKUP(2,1/(AG44:AO44&lt;&gt;""),AG44:AO44)))</t>
        </is>
      </c>
      <c r="BD44" s="38" t="inlineStr">
        <is>
          <t>IF(OR(E44="",AQ44=""),"",IF(COUNT(AG44:AP44)=0,"",AQ44-LOOKUP(2,1/(AG44:AP44&lt;&gt;""),AG44:AP44)))</t>
        </is>
      </c>
      <c r="BE44" s="38" t="inlineStr">
        <is>
          <t>IF(OR(E44="",AR44=""),"",IF(COUNT(AG44:AQ44)=0,"",AR44-LOOKUP(2,1/(AG44:AQ44&lt;&gt;""),AG44:AQ44)))</t>
        </is>
      </c>
      <c r="BF44" s="38" t="inlineStr">
        <is>
          <t>IF(OR(E44="",AS44=""),"",IF(COUNT(AG44:AR44)=0,"",AS44-LOOKUP(2,1/(AG44:AR44&lt;&gt;""),AG44:AR44)))</t>
        </is>
      </c>
      <c r="BG44" s="38" t="inlineStr">
        <is>
          <t>IF(OR(E44="",AT44=""),"",IF(COUNT(AG44:AS44)=0,"",AT44-LOOKUP(2,1/(AG44:AS44&lt;&gt;""),AG44:AS44)))</t>
        </is>
      </c>
      <c r="BH44" s="41" t="inlineStr">
        <is>
          <t>IF(G44="","All_Provinces",IFERROR(VLOOKUP(G44,'07_Lookups'!$A$4:$B$20,2,FALSE),"All_Provinces"))</t>
        </is>
      </c>
      <c r="BI44" s="41" t="inlineStr">
        <is>
          <t>IF(H44="","All_Districts",IFERROR(VLOOKUP(H44,'07_Lookups'!$E$4:$F$42,2,FALSE),"All_Districts"))</t>
        </is>
      </c>
    </row>
    <row r="45" ht="18" customHeight="1">
      <c r="A45" s="32" t="inlineStr">
        <is>
          <t>IF(E45="","",ROW()-3)</t>
        </is>
      </c>
      <c r="B45" s="42" t="inlineStr">
        <is>
          <t>AF2-IS-R-007</t>
        </is>
      </c>
      <c r="C45" s="42" t="inlineStr">
        <is>
          <t>Emergency Food Security Project (EFSP) – WBK/AF-2</t>
        </is>
      </c>
      <c r="D45" s="42" t="inlineStr">
        <is>
          <t>Package #7-AF2 IS: Rehabilitation of Kham Canal and Shandi Toot canal irrigation schemes, located in Dehbala and Sherzad districts of Nangarhar provinces.</t>
        </is>
      </c>
      <c r="E45" s="42" t="inlineStr">
        <is>
          <t>Kham canal irrigation Scheme</t>
        </is>
      </c>
      <c r="F45" s="42" t="inlineStr">
        <is>
          <t>Irrigation Canal</t>
        </is>
      </c>
      <c r="G45" s="42" t="inlineStr">
        <is>
          <t>East / Jalalabad</t>
        </is>
      </c>
      <c r="H45" s="42" t="inlineStr">
        <is>
          <t>Nangarhar</t>
        </is>
      </c>
      <c r="I45" s="42" t="inlineStr">
        <is>
          <t>Dehbala</t>
        </is>
      </c>
      <c r="J45" s="42" t="inlineStr">
        <is>
          <t>Kham Kali and 6 tiny villages</t>
        </is>
      </c>
      <c r="K45" s="42" t="inlineStr">
        <is>
          <t>World Bank (WBK/AF-2)</t>
        </is>
      </c>
      <c r="L45" s="42" t="inlineStr">
        <is>
          <t>Remaining</t>
        </is>
      </c>
      <c r="M45" s="42" t="inlineStr">
        <is>
          <t>On/off-farm irrigation</t>
        </is>
      </c>
      <c r="N45" s="42" t="inlineStr">
        <is>
          <t>2.Remain contracts_On&amp;off-farm</t>
        </is>
      </c>
      <c r="O45" s="42" t="inlineStr"/>
      <c r="P45" s="42" t="inlineStr"/>
      <c r="Q45" s="43" t="n">
        <v>270698.1</v>
      </c>
      <c r="R45" s="35" t="inlineStr">
        <is>
          <t>IF(AO45="","",AO45)</t>
        </is>
      </c>
      <c r="S45" s="44" t="n">
        <v>46325</v>
      </c>
      <c r="T45" s="45" t="n">
        <v>6.9</v>
      </c>
      <c r="U45" s="44" t="n">
        <v>46535</v>
      </c>
      <c r="V45" s="35" t="inlineStr">
        <is>
          <t>IF(U45&lt;&gt;"",U45,IF(OR(R45="",T45=""),"",EDATE(R45,T45)))</t>
        </is>
      </c>
      <c r="W45" s="44" t="n"/>
      <c r="X45" s="45" t="n"/>
      <c r="Y45" s="42" t="inlineStr">
        <is>
          <t>Under Technical Evaluation</t>
        </is>
      </c>
      <c r="Z45" s="42" t="inlineStr">
        <is>
          <t>Seven months construction period required for two canals</t>
        </is>
      </c>
      <c r="AA45" s="32" t="inlineStr">
        <is>
          <t>IF(E45="","",IF(COUNT(AG45:AT45)=0,IF(Y45="","Not started",Y45),SUBSTITUTE(LOOKUP(2,1/(AG45:AT45&lt;&gt;""),$AG$3:$AT$3),"Date: ","")))</t>
        </is>
      </c>
      <c r="AB45" s="38" t="inlineStr">
        <is>
          <t>IF(OR(E45="",COUNT(AG45:AT45)=0),"",TODAY()-LOOKUP(2,1/(AG45:AT45&lt;&gt;""),AG45:AT45))</t>
        </is>
      </c>
      <c r="AC45" s="38" t="inlineStr">
        <is>
          <t>IF(OR(E45="",COUNT(AG45:AT45)&lt;2),"",LOOKUP(2,1/(AG45:AT45&lt;&gt;""),AG45:AT45)-MIN(AG45:AT45))</t>
        </is>
      </c>
      <c r="AD45" s="38" t="inlineStr">
        <is>
          <t>IF(OR(AB45="",AA45="Not started",AA45=""),"",IFERROR(AB45-IF(VLOOKUP(AA45,'04_Status_Pipeline'!$B$3:$E$20,4,FALSE)="",0,VLOOKUP(AA45,'04_Status_Pipeline'!$B$3:$E$20,4,FALSE)),""))</t>
        </is>
      </c>
      <c r="AE45" s="32" t="inlineStr">
        <is>
          <t>IF(E45="","",IF(OR(Y45="Cancelled",AA45="Cancelled"),"Cancelled",IF(OR(AA45="Completed / Handover",W45&lt;&gt;"",X45&gt;=100),"Completed — on track",IF(L45="Remaining",IF(S45="",IF(V45="","No planned date",IF(TODAY()&gt;V45,"Behind — past planned date",IF(V45-TODAY()&lt;=30,"At risk — close to off track","On track"))),IF(TODAY()&gt;S45,"Behind — award date passed",IF(S45-TODAY()&lt;=30,"At risk — close to off track","On track"))),IF(V45="","No planned date",IF(AND(TODAY()&gt;V45,OR(X45="",X45&lt;100)),"Behind — past end date",IF(AND(R45&lt;&gt;"",V45&lt;&gt;"",X45&lt;&gt;"",(X45&lt;100),((TODAY()-R45)/MAX(V45-R45,1)*100)-X45&gt;15),"Behind — progress lag",IF(AND(V45-TODAY()&lt;=30,V45-TODAY()&gt;=0,OR(X45="",X45&lt;90)),"At risk — close to off track","On track"))))))))</t>
        </is>
      </c>
      <c r="AF45" s="38" t="inlineStr">
        <is>
          <t>IF(OR(E45="",AA45="Completed / Handover",AA45="Cancelled"),"",IF(L45="Remaining",IF(S45&lt;&gt;"",S45-TODAY(),IF(V45="","",V45-TODAY())),IF(V45="","",V45-TODAY())))</t>
        </is>
      </c>
      <c r="AG45" s="44" t="n"/>
      <c r="AH45" s="44" t="n"/>
      <c r="AI45" s="44" t="n"/>
      <c r="AJ45" s="44" t="n"/>
      <c r="AK45" s="44" t="n"/>
      <c r="AL45" s="44" t="n"/>
      <c r="AM45" s="44" t="n"/>
      <c r="AN45" s="44" t="n"/>
      <c r="AO45" s="44" t="n"/>
      <c r="AP45" s="44" t="n"/>
      <c r="AQ45" s="44" t="n"/>
      <c r="AR45" s="40" t="n"/>
      <c r="AS45" s="40" t="n"/>
      <c r="AT45" s="40" t="n"/>
      <c r="AU45" s="38" t="inlineStr">
        <is>
          <t>IF(OR(E45="",AH45=""),"",IF(COUNT(AG45:AG45)=0,"",AH45-LOOKUP(2,1/(AG45:AG45&lt;&gt;""),AG45:AG45)))</t>
        </is>
      </c>
      <c r="AV45" s="38" t="inlineStr">
        <is>
          <t>IF(OR(E45="",AI45=""),"",IF(COUNT(AG45:AH45)=0,"",AI45-LOOKUP(2,1/(AG45:AH45&lt;&gt;""),AG45:AH45)))</t>
        </is>
      </c>
      <c r="AW45" s="38" t="inlineStr">
        <is>
          <t>IF(OR(E45="",AJ45=""),"",IF(COUNT(AG45:AI45)=0,"",AJ45-LOOKUP(2,1/(AG45:AI45&lt;&gt;""),AG45:AI45)))</t>
        </is>
      </c>
      <c r="AX45" s="38" t="inlineStr">
        <is>
          <t>IF(OR(E45="",AK45=""),"",IF(COUNT(AG45:AJ45)=0,"",AK45-LOOKUP(2,1/(AG45:AJ45&lt;&gt;""),AG45:AJ45)))</t>
        </is>
      </c>
      <c r="AY45" s="38" t="inlineStr">
        <is>
          <t>IF(OR(E45="",AL45=""),"",IF(COUNT(AG45:AK45)=0,"",AL45-LOOKUP(2,1/(AG45:AK45&lt;&gt;""),AG45:AK45)))</t>
        </is>
      </c>
      <c r="AZ45" s="38" t="inlineStr">
        <is>
          <t>IF(OR(E45="",AM45=""),"",IF(COUNT(AG45:AL45)=0,"",AM45-LOOKUP(2,1/(AG45:AL45&lt;&gt;""),AG45:AL45)))</t>
        </is>
      </c>
      <c r="BA45" s="38" t="inlineStr">
        <is>
          <t>IF(OR(E45="",AN45=""),"",IF(COUNT(AG45:AM45)=0,"",AN45-LOOKUP(2,1/(AG45:AM45&lt;&gt;""),AG45:AM45)))</t>
        </is>
      </c>
      <c r="BB45" s="38" t="inlineStr">
        <is>
          <t>IF(OR(E45="",AO45=""),"",IF(COUNT(AG45:AN45)=0,"",AO45-LOOKUP(2,1/(AG45:AN45&lt;&gt;""),AG45:AN45)))</t>
        </is>
      </c>
      <c r="BC45" s="38" t="inlineStr">
        <is>
          <t>IF(OR(E45="",AP45=""),"",IF(COUNT(AG45:AO45)=0,"",AP45-LOOKUP(2,1/(AG45:AO45&lt;&gt;""),AG45:AO45)))</t>
        </is>
      </c>
      <c r="BD45" s="38" t="inlineStr">
        <is>
          <t>IF(OR(E45="",AQ45=""),"",IF(COUNT(AG45:AP45)=0,"",AQ45-LOOKUP(2,1/(AG45:AP45&lt;&gt;""),AG45:AP45)))</t>
        </is>
      </c>
      <c r="BE45" s="38" t="inlineStr">
        <is>
          <t>IF(OR(E45="",AR45=""),"",IF(COUNT(AG45:AQ45)=0,"",AR45-LOOKUP(2,1/(AG45:AQ45&lt;&gt;""),AG45:AQ45)))</t>
        </is>
      </c>
      <c r="BF45" s="38" t="inlineStr">
        <is>
          <t>IF(OR(E45="",AS45=""),"",IF(COUNT(AG45:AR45)=0,"",AS45-LOOKUP(2,1/(AG45:AR45&lt;&gt;""),AG45:AR45)))</t>
        </is>
      </c>
      <c r="BG45" s="38" t="inlineStr">
        <is>
          <t>IF(OR(E45="",AT45=""),"",IF(COUNT(AG45:AS45)=0,"",AT45-LOOKUP(2,1/(AG45:AS45&lt;&gt;""),AG45:AS45)))</t>
        </is>
      </c>
      <c r="BH45" s="41" t="inlineStr">
        <is>
          <t>IF(G45="","All_Provinces",IFERROR(VLOOKUP(G45,'07_Lookups'!$A$4:$B$20,2,FALSE),"All_Provinces"))</t>
        </is>
      </c>
      <c r="BI45" s="41" t="inlineStr">
        <is>
          <t>IF(H45="","All_Districts",IFERROR(VLOOKUP(H45,'07_Lookups'!$E$4:$F$42,2,FALSE),"All_Districts"))</t>
        </is>
      </c>
    </row>
    <row r="46" ht="18" customHeight="1">
      <c r="A46" s="32" t="inlineStr">
        <is>
          <t>IF(E46="","",ROW()-3)</t>
        </is>
      </c>
      <c r="B46" s="33" t="inlineStr">
        <is>
          <t>AF2-IS-R-008</t>
        </is>
      </c>
      <c r="C46" s="33" t="inlineStr">
        <is>
          <t>Emergency Food Security Project (EFSP) – WBK/AF-2</t>
        </is>
      </c>
      <c r="D46" s="33" t="inlineStr">
        <is>
          <t>Package #7-AF2 IS: Rehabilitation of Kham Canal and Shandi Toot canal irrigation schemes, located in Dehbala and Sherzad districts of Nangarhar provinces.</t>
        </is>
      </c>
      <c r="E46" s="33" t="inlineStr">
        <is>
          <t>Shandi Toot Canal irrigation Scheme</t>
        </is>
      </c>
      <c r="F46" s="33" t="inlineStr">
        <is>
          <t>Irrigation Canal</t>
        </is>
      </c>
      <c r="G46" s="33" t="inlineStr">
        <is>
          <t>East / Jalalabad</t>
        </is>
      </c>
      <c r="H46" s="33" t="inlineStr">
        <is>
          <t>Nangarhar</t>
        </is>
      </c>
      <c r="I46" s="33" t="inlineStr">
        <is>
          <t>Sherzad</t>
        </is>
      </c>
      <c r="J46" s="33" t="inlineStr">
        <is>
          <t>Markikhil/Shandi Toot and 14 tiny villages</t>
        </is>
      </c>
      <c r="K46" s="33" t="inlineStr">
        <is>
          <t>World Bank (WBK/AF-2)</t>
        </is>
      </c>
      <c r="L46" s="33" t="inlineStr">
        <is>
          <t>Remaining</t>
        </is>
      </c>
      <c r="M46" s="33" t="inlineStr">
        <is>
          <t>On/off-farm irrigation</t>
        </is>
      </c>
      <c r="N46" s="33" t="inlineStr">
        <is>
          <t>2.Remain contracts_On&amp;off-farm</t>
        </is>
      </c>
      <c r="O46" s="33" t="inlineStr"/>
      <c r="P46" s="33" t="inlineStr"/>
      <c r="Q46" s="34" t="n">
        <v>270698.1</v>
      </c>
      <c r="R46" s="35" t="inlineStr">
        <is>
          <t>IF(AO46="","",AO46)</t>
        </is>
      </c>
      <c r="S46" s="36" t="n">
        <v>46325</v>
      </c>
      <c r="T46" s="37" t="n">
        <v>6.9</v>
      </c>
      <c r="U46" s="36" t="n">
        <v>46535</v>
      </c>
      <c r="V46" s="35" t="inlineStr">
        <is>
          <t>IF(U46&lt;&gt;"",U46,IF(OR(R46="",T46=""),"",EDATE(R46,T46)))</t>
        </is>
      </c>
      <c r="W46" s="36" t="n"/>
      <c r="X46" s="37" t="n"/>
      <c r="Y46" s="33" t="inlineStr">
        <is>
          <t>Under Technical Evaluation</t>
        </is>
      </c>
      <c r="Z46" s="33" t="inlineStr">
        <is>
          <t>Seven months construction period required for two canals</t>
        </is>
      </c>
      <c r="AA46" s="32" t="inlineStr">
        <is>
          <t>IF(E46="","",IF(COUNT(AG46:AT46)=0,IF(Y46="","Not started",Y46),SUBSTITUTE(LOOKUP(2,1/(AG46:AT46&lt;&gt;""),$AG$3:$AT$3),"Date: ","")))</t>
        </is>
      </c>
      <c r="AB46" s="38" t="inlineStr">
        <is>
          <t>IF(OR(E46="",COUNT(AG46:AT46)=0),"",TODAY()-LOOKUP(2,1/(AG46:AT46&lt;&gt;""),AG46:AT46))</t>
        </is>
      </c>
      <c r="AC46" s="38" t="inlineStr">
        <is>
          <t>IF(OR(E46="",COUNT(AG46:AT46)&lt;2),"",LOOKUP(2,1/(AG46:AT46&lt;&gt;""),AG46:AT46)-MIN(AG46:AT46))</t>
        </is>
      </c>
      <c r="AD46" s="38" t="inlineStr">
        <is>
          <t>IF(OR(AB46="",AA46="Not started",AA46=""),"",IFERROR(AB46-IF(VLOOKUP(AA46,'04_Status_Pipeline'!$B$3:$E$20,4,FALSE)="",0,VLOOKUP(AA46,'04_Status_Pipeline'!$B$3:$E$20,4,FALSE)),""))</t>
        </is>
      </c>
      <c r="AE46" s="32" t="inlineStr">
        <is>
          <t>IF(E46="","",IF(OR(Y46="Cancelled",AA46="Cancelled"),"Cancelled",IF(OR(AA46="Completed / Handover",W46&lt;&gt;"",X46&gt;=100),"Completed — on track",IF(L46="Remaining",IF(S46="",IF(V46="","No planned date",IF(TODAY()&gt;V46,"Behind — past planned date",IF(V46-TODAY()&lt;=30,"At risk — close to off track","On track"))),IF(TODAY()&gt;S46,"Behind — award date passed",IF(S46-TODAY()&lt;=30,"At risk — close to off track","On track"))),IF(V46="","No planned date",IF(AND(TODAY()&gt;V46,OR(X46="",X46&lt;100)),"Behind — past end date",IF(AND(R46&lt;&gt;"",V46&lt;&gt;"",X46&lt;&gt;"",(X46&lt;100),((TODAY()-R46)/MAX(V46-R46,1)*100)-X46&gt;15),"Behind — progress lag",IF(AND(V46-TODAY()&lt;=30,V46-TODAY()&gt;=0,OR(X46="",X46&lt;90)),"At risk — close to off track","On track"))))))))</t>
        </is>
      </c>
      <c r="AF46" s="38" t="inlineStr">
        <is>
          <t>IF(OR(E46="",AA46="Completed / Handover",AA46="Cancelled"),"",IF(L46="Remaining",IF(S46&lt;&gt;"",S46-TODAY(),IF(V46="","",V46-TODAY())),IF(V46="","",V46-TODAY())))</t>
        </is>
      </c>
      <c r="AG46" s="36" t="n"/>
      <c r="AH46" s="36" t="n"/>
      <c r="AI46" s="36" t="n"/>
      <c r="AJ46" s="36" t="n"/>
      <c r="AK46" s="36" t="n"/>
      <c r="AL46" s="36" t="n"/>
      <c r="AM46" s="36" t="n"/>
      <c r="AN46" s="36" t="n"/>
      <c r="AO46" s="36" t="n"/>
      <c r="AP46" s="36" t="n"/>
      <c r="AQ46" s="36" t="n"/>
      <c r="AR46" s="40" t="n"/>
      <c r="AS46" s="40" t="n"/>
      <c r="AT46" s="40" t="n"/>
      <c r="AU46" s="38" t="inlineStr">
        <is>
          <t>IF(OR(E46="",AH46=""),"",IF(COUNT(AG46:AG46)=0,"",AH46-LOOKUP(2,1/(AG46:AG46&lt;&gt;""),AG46:AG46)))</t>
        </is>
      </c>
      <c r="AV46" s="38" t="inlineStr">
        <is>
          <t>IF(OR(E46="",AI46=""),"",IF(COUNT(AG46:AH46)=0,"",AI46-LOOKUP(2,1/(AG46:AH46&lt;&gt;""),AG46:AH46)))</t>
        </is>
      </c>
      <c r="AW46" s="38" t="inlineStr">
        <is>
          <t>IF(OR(E46="",AJ46=""),"",IF(COUNT(AG46:AI46)=0,"",AJ46-LOOKUP(2,1/(AG46:AI46&lt;&gt;""),AG46:AI46)))</t>
        </is>
      </c>
      <c r="AX46" s="38" t="inlineStr">
        <is>
          <t>IF(OR(E46="",AK46=""),"",IF(COUNT(AG46:AJ46)=0,"",AK46-LOOKUP(2,1/(AG46:AJ46&lt;&gt;""),AG46:AJ46)))</t>
        </is>
      </c>
      <c r="AY46" s="38" t="inlineStr">
        <is>
          <t>IF(OR(E46="",AL46=""),"",IF(COUNT(AG46:AK46)=0,"",AL46-LOOKUP(2,1/(AG46:AK46&lt;&gt;""),AG46:AK46)))</t>
        </is>
      </c>
      <c r="AZ46" s="38" t="inlineStr">
        <is>
          <t>IF(OR(E46="",AM46=""),"",IF(COUNT(AG46:AL46)=0,"",AM46-LOOKUP(2,1/(AG46:AL46&lt;&gt;""),AG46:AL46)))</t>
        </is>
      </c>
      <c r="BA46" s="38" t="inlineStr">
        <is>
          <t>IF(OR(E46="",AN46=""),"",IF(COUNT(AG46:AM46)=0,"",AN46-LOOKUP(2,1/(AG46:AM46&lt;&gt;""),AG46:AM46)))</t>
        </is>
      </c>
      <c r="BB46" s="38" t="inlineStr">
        <is>
          <t>IF(OR(E46="",AO46=""),"",IF(COUNT(AG46:AN46)=0,"",AO46-LOOKUP(2,1/(AG46:AN46&lt;&gt;""),AG46:AN46)))</t>
        </is>
      </c>
      <c r="BC46" s="38" t="inlineStr">
        <is>
          <t>IF(OR(E46="",AP46=""),"",IF(COUNT(AG46:AO46)=0,"",AP46-LOOKUP(2,1/(AG46:AO46&lt;&gt;""),AG46:AO46)))</t>
        </is>
      </c>
      <c r="BD46" s="38" t="inlineStr">
        <is>
          <t>IF(OR(E46="",AQ46=""),"",IF(COUNT(AG46:AP46)=0,"",AQ46-LOOKUP(2,1/(AG46:AP46&lt;&gt;""),AG46:AP46)))</t>
        </is>
      </c>
      <c r="BE46" s="38" t="inlineStr">
        <is>
          <t>IF(OR(E46="",AR46=""),"",IF(COUNT(AG46:AQ46)=0,"",AR46-LOOKUP(2,1/(AG46:AQ46&lt;&gt;""),AG46:AQ46)))</t>
        </is>
      </c>
      <c r="BF46" s="38" t="inlineStr">
        <is>
          <t>IF(OR(E46="",AS46=""),"",IF(COUNT(AG46:AR46)=0,"",AS46-LOOKUP(2,1/(AG46:AR46&lt;&gt;""),AG46:AR46)))</t>
        </is>
      </c>
      <c r="BG46" s="38" t="inlineStr">
        <is>
          <t>IF(OR(E46="",AT46=""),"",IF(COUNT(AG46:AS46)=0,"",AT46-LOOKUP(2,1/(AG46:AS46&lt;&gt;""),AG46:AS46)))</t>
        </is>
      </c>
      <c r="BH46" s="41" t="inlineStr">
        <is>
          <t>IF(G46="","All_Provinces",IFERROR(VLOOKUP(G46,'07_Lookups'!$A$4:$B$20,2,FALSE),"All_Provinces"))</t>
        </is>
      </c>
      <c r="BI46" s="41" t="inlineStr">
        <is>
          <t>IF(H46="","All_Districts",IFERROR(VLOOKUP(H46,'07_Lookups'!$E$4:$F$42,2,FALSE),"All_Districts"))</t>
        </is>
      </c>
    </row>
    <row r="47" ht="18" customHeight="1">
      <c r="A47" s="32" t="inlineStr">
        <is>
          <t>IF(E47="","",ROW()-3)</t>
        </is>
      </c>
      <c r="B47" s="42" t="inlineStr">
        <is>
          <t>AF2-IS-R-009</t>
        </is>
      </c>
      <c r="C47" s="42" t="inlineStr">
        <is>
          <t>Emergency Food Security Project (EFSP) – WBK/AF-2</t>
        </is>
      </c>
      <c r="D47" s="42" t="inlineStr">
        <is>
          <t>Package #9-AF2 IS: Rehabilitation of Akchori canal irrigation scheme, located in Waigal districts of Nuristan provinces.</t>
        </is>
      </c>
      <c r="E47" s="42" t="inlineStr">
        <is>
          <t>Akchori Canal irrigation Scheme</t>
        </is>
      </c>
      <c r="F47" s="42" t="inlineStr">
        <is>
          <t>Irrigation Canal</t>
        </is>
      </c>
      <c r="G47" s="42" t="inlineStr">
        <is>
          <t>East / Jalalabad</t>
        </is>
      </c>
      <c r="H47" s="42" t="inlineStr">
        <is>
          <t>Nuristan</t>
        </is>
      </c>
      <c r="I47" s="42" t="inlineStr">
        <is>
          <t>Waigal</t>
        </is>
      </c>
      <c r="J47" s="42" t="inlineStr">
        <is>
          <t>Akchori two main and 9 tiny villages</t>
        </is>
      </c>
      <c r="K47" s="42" t="inlineStr">
        <is>
          <t>World Bank (WBK/AF-2)</t>
        </is>
      </c>
      <c r="L47" s="42" t="inlineStr">
        <is>
          <t>Remaining</t>
        </is>
      </c>
      <c r="M47" s="42" t="inlineStr">
        <is>
          <t>On/off-farm irrigation</t>
        </is>
      </c>
      <c r="N47" s="42" t="inlineStr">
        <is>
          <t>2.Remain contracts_On&amp;off-farm</t>
        </is>
      </c>
      <c r="O47" s="42" t="inlineStr"/>
      <c r="P47" s="42" t="inlineStr"/>
      <c r="Q47" s="43" t="n">
        <v>101175</v>
      </c>
      <c r="R47" s="35" t="inlineStr">
        <is>
          <t>IF(AO47="","",AO47)</t>
        </is>
      </c>
      <c r="S47" s="44" t="n">
        <v>46353</v>
      </c>
      <c r="T47" s="45" t="n">
        <v>10</v>
      </c>
      <c r="U47" s="44" t="n">
        <v>46656</v>
      </c>
      <c r="V47" s="35" t="inlineStr">
        <is>
          <t>IF(U47&lt;&gt;"",U47,IF(OR(R47="",T47=""),"",EDATE(R47,T47)))</t>
        </is>
      </c>
      <c r="W47" s="44" t="n"/>
      <c r="X47" s="45" t="n"/>
      <c r="Y47" s="42" t="inlineStr">
        <is>
          <t>ITB Launched</t>
        </is>
      </c>
      <c r="Z47" s="42" t="inlineStr">
        <is>
          <t>Five months slack period Dec-Apr during winter Five months construction period required for the canals</t>
        </is>
      </c>
      <c r="AA47" s="32" t="inlineStr">
        <is>
          <t>IF(E47="","",IF(COUNT(AG47:AT47)=0,IF(Y47="","Not started",Y47),SUBSTITUTE(LOOKUP(2,1/(AG47:AT47&lt;&gt;""),$AG$3:$AT$3),"Date: ","")))</t>
        </is>
      </c>
      <c r="AB47" s="38" t="inlineStr">
        <is>
          <t>IF(OR(E47="",COUNT(AG47:AT47)=0),"",TODAY()-LOOKUP(2,1/(AG47:AT47&lt;&gt;""),AG47:AT47))</t>
        </is>
      </c>
      <c r="AC47" s="38" t="inlineStr">
        <is>
          <t>IF(OR(E47="",COUNT(AG47:AT47)&lt;2),"",LOOKUP(2,1/(AG47:AT47&lt;&gt;""),AG47:AT47)-MIN(AG47:AT47))</t>
        </is>
      </c>
      <c r="AD47" s="38" t="inlineStr">
        <is>
          <t>IF(OR(AB47="",AA47="Not started",AA47=""),"",IFERROR(AB47-IF(VLOOKUP(AA47,'04_Status_Pipeline'!$B$3:$E$20,4,FALSE)="",0,VLOOKUP(AA47,'04_Status_Pipeline'!$B$3:$E$20,4,FALSE)),""))</t>
        </is>
      </c>
      <c r="AE47" s="32" t="inlineStr">
        <is>
          <t>IF(E47="","",IF(OR(Y47="Cancelled",AA47="Cancelled"),"Cancelled",IF(OR(AA47="Completed / Handover",W47&lt;&gt;"",X47&gt;=100),"Completed — on track",IF(L47="Remaining",IF(S47="",IF(V47="","No planned date",IF(TODAY()&gt;V47,"Behind — past planned date",IF(V47-TODAY()&lt;=30,"At risk — close to off track","On track"))),IF(TODAY()&gt;S47,"Behind — award date passed",IF(S47-TODAY()&lt;=30,"At risk — close to off track","On track"))),IF(V47="","No planned date",IF(AND(TODAY()&gt;V47,OR(X47="",X47&lt;100)),"Behind — past end date",IF(AND(R47&lt;&gt;"",V47&lt;&gt;"",X47&lt;&gt;"",(X47&lt;100),((TODAY()-R47)/MAX(V47-R47,1)*100)-X47&gt;15),"Behind — progress lag",IF(AND(V47-TODAY()&lt;=30,V47-TODAY()&gt;=0,OR(X47="",X47&lt;90)),"At risk — close to off track","On track"))))))))</t>
        </is>
      </c>
      <c r="AF47" s="38" t="inlineStr">
        <is>
          <t>IF(OR(E47="",AA47="Completed / Handover",AA47="Cancelled"),"",IF(L47="Remaining",IF(S47&lt;&gt;"",S47-TODAY(),IF(V47="","",V47-TODAY())),IF(V47="","",V47-TODAY())))</t>
        </is>
      </c>
      <c r="AG47" s="44" t="n"/>
      <c r="AH47" s="44" t="n"/>
      <c r="AI47" s="44" t="n"/>
      <c r="AJ47" s="44" t="n"/>
      <c r="AK47" s="44" t="n"/>
      <c r="AL47" s="44" t="n"/>
      <c r="AM47" s="44" t="n"/>
      <c r="AN47" s="44" t="n"/>
      <c r="AO47" s="44" t="n"/>
      <c r="AP47" s="44" t="n"/>
      <c r="AQ47" s="44" t="n"/>
      <c r="AR47" s="40" t="n"/>
      <c r="AS47" s="40" t="n"/>
      <c r="AT47" s="40" t="n"/>
      <c r="AU47" s="38" t="inlineStr">
        <is>
          <t>IF(OR(E47="",AH47=""),"",IF(COUNT(AG47:AG47)=0,"",AH47-LOOKUP(2,1/(AG47:AG47&lt;&gt;""),AG47:AG47)))</t>
        </is>
      </c>
      <c r="AV47" s="38" t="inlineStr">
        <is>
          <t>IF(OR(E47="",AI47=""),"",IF(COUNT(AG47:AH47)=0,"",AI47-LOOKUP(2,1/(AG47:AH47&lt;&gt;""),AG47:AH47)))</t>
        </is>
      </c>
      <c r="AW47" s="38" t="inlineStr">
        <is>
          <t>IF(OR(E47="",AJ47=""),"",IF(COUNT(AG47:AI47)=0,"",AJ47-LOOKUP(2,1/(AG47:AI47&lt;&gt;""),AG47:AI47)))</t>
        </is>
      </c>
      <c r="AX47" s="38" t="inlineStr">
        <is>
          <t>IF(OR(E47="",AK47=""),"",IF(COUNT(AG47:AJ47)=0,"",AK47-LOOKUP(2,1/(AG47:AJ47&lt;&gt;""),AG47:AJ47)))</t>
        </is>
      </c>
      <c r="AY47" s="38" t="inlineStr">
        <is>
          <t>IF(OR(E47="",AL47=""),"",IF(COUNT(AG47:AK47)=0,"",AL47-LOOKUP(2,1/(AG47:AK47&lt;&gt;""),AG47:AK47)))</t>
        </is>
      </c>
      <c r="AZ47" s="38" t="inlineStr">
        <is>
          <t>IF(OR(E47="",AM47=""),"",IF(COUNT(AG47:AL47)=0,"",AM47-LOOKUP(2,1/(AG47:AL47&lt;&gt;""),AG47:AL47)))</t>
        </is>
      </c>
      <c r="BA47" s="38" t="inlineStr">
        <is>
          <t>IF(OR(E47="",AN47=""),"",IF(COUNT(AG47:AM47)=0,"",AN47-LOOKUP(2,1/(AG47:AM47&lt;&gt;""),AG47:AM47)))</t>
        </is>
      </c>
      <c r="BB47" s="38" t="inlineStr">
        <is>
          <t>IF(OR(E47="",AO47=""),"",IF(COUNT(AG47:AN47)=0,"",AO47-LOOKUP(2,1/(AG47:AN47&lt;&gt;""),AG47:AN47)))</t>
        </is>
      </c>
      <c r="BC47" s="38" t="inlineStr">
        <is>
          <t>IF(OR(E47="",AP47=""),"",IF(COUNT(AG47:AO47)=0,"",AP47-LOOKUP(2,1/(AG47:AO47&lt;&gt;""),AG47:AO47)))</t>
        </is>
      </c>
      <c r="BD47" s="38" t="inlineStr">
        <is>
          <t>IF(OR(E47="",AQ47=""),"",IF(COUNT(AG47:AP47)=0,"",AQ47-LOOKUP(2,1/(AG47:AP47&lt;&gt;""),AG47:AP47)))</t>
        </is>
      </c>
      <c r="BE47" s="38" t="inlineStr">
        <is>
          <t>IF(OR(E47="",AR47=""),"",IF(COUNT(AG47:AQ47)=0,"",AR47-LOOKUP(2,1/(AG47:AQ47&lt;&gt;""),AG47:AQ47)))</t>
        </is>
      </c>
      <c r="BF47" s="38" t="inlineStr">
        <is>
          <t>IF(OR(E47="",AS47=""),"",IF(COUNT(AG47:AR47)=0,"",AS47-LOOKUP(2,1/(AG47:AR47&lt;&gt;""),AG47:AR47)))</t>
        </is>
      </c>
      <c r="BG47" s="38" t="inlineStr">
        <is>
          <t>IF(OR(E47="",AT47=""),"",IF(COUNT(AG47:AS47)=0,"",AT47-LOOKUP(2,1/(AG47:AS47&lt;&gt;""),AG47:AS47)))</t>
        </is>
      </c>
      <c r="BH47" s="41" t="inlineStr">
        <is>
          <t>IF(G47="","All_Provinces",IFERROR(VLOOKUP(G47,'07_Lookups'!$A$4:$B$20,2,FALSE),"All_Provinces"))</t>
        </is>
      </c>
      <c r="BI47" s="41" t="inlineStr">
        <is>
          <t>IF(H47="","All_Districts",IFERROR(VLOOKUP(H47,'07_Lookups'!$E$4:$F$42,2,FALSE),"All_Districts"))</t>
        </is>
      </c>
    </row>
    <row r="48" ht="18" customHeight="1">
      <c r="A48" s="32" t="inlineStr">
        <is>
          <t>IF(E48="","",ROW()-3)</t>
        </is>
      </c>
      <c r="B48" s="33" t="inlineStr">
        <is>
          <t>AF2-IS-R-010</t>
        </is>
      </c>
      <c r="C48" s="33" t="inlineStr">
        <is>
          <t>Emergency Food Security Project (EFSP) – WBK/AF-2</t>
        </is>
      </c>
      <c r="D48" s="33" t="inlineStr">
        <is>
          <t>Package #12-AF2 IS: Rehabilitation of Tapa-e-Ahmad Big canal and Shahre Beland canal irrigation schemes, located in Nijrab and Paryan districts of Kapisa and Panjsher provinces.</t>
        </is>
      </c>
      <c r="E48" s="33" t="inlineStr">
        <is>
          <t>Tapa e- Ahmad Big Canal</t>
        </is>
      </c>
      <c r="F48" s="33" t="inlineStr">
        <is>
          <t>Irrigation Canal</t>
        </is>
      </c>
      <c r="G48" s="33" t="inlineStr">
        <is>
          <t>Central / Kabul</t>
        </is>
      </c>
      <c r="H48" s="33" t="inlineStr">
        <is>
          <t>Kapisa</t>
        </is>
      </c>
      <c r="I48" s="33" t="inlineStr">
        <is>
          <t>Nijrab</t>
        </is>
      </c>
      <c r="J48" s="33" t="inlineStr">
        <is>
          <t>Tapa e Ahmad Big, Shahre Naw</t>
        </is>
      </c>
      <c r="K48" s="33" t="inlineStr">
        <is>
          <t>World Bank (WBK/AF-2)</t>
        </is>
      </c>
      <c r="L48" s="33" t="inlineStr">
        <is>
          <t>Remaining</t>
        </is>
      </c>
      <c r="M48" s="33" t="inlineStr">
        <is>
          <t>On/off-farm irrigation</t>
        </is>
      </c>
      <c r="N48" s="33" t="inlineStr">
        <is>
          <t>2.Remain contracts_On&amp;off-farm</t>
        </is>
      </c>
      <c r="O48" s="33" t="inlineStr"/>
      <c r="P48" s="33" t="inlineStr"/>
      <c r="Q48" s="34" t="n">
        <v>191270</v>
      </c>
      <c r="R48" s="35" t="inlineStr">
        <is>
          <t>IF(AO48="","",AO48)</t>
        </is>
      </c>
      <c r="S48" s="36" t="n">
        <v>46327</v>
      </c>
      <c r="T48" s="37" t="n">
        <v>8.9</v>
      </c>
      <c r="U48" s="36" t="n">
        <v>46597</v>
      </c>
      <c r="V48" s="35" t="inlineStr">
        <is>
          <t>IF(U48&lt;&gt;"",U48,IF(OR(R48="",T48=""),"",EDATE(R48,T48)))</t>
        </is>
      </c>
      <c r="W48" s="36" t="n"/>
      <c r="X48" s="37" t="n"/>
      <c r="Y48" s="33" t="inlineStr">
        <is>
          <t>Under Technical Evaluation</t>
        </is>
      </c>
      <c r="Z48" s="33" t="inlineStr">
        <is>
          <t>Four months slack period Dec-Mar during winter. Five months construction period required for two canals</t>
        </is>
      </c>
      <c r="AA48" s="32" t="inlineStr">
        <is>
          <t>IF(E48="","",IF(COUNT(AG48:AT48)=0,IF(Y48="","Not started",Y48),SUBSTITUTE(LOOKUP(2,1/(AG48:AT48&lt;&gt;""),$AG$3:$AT$3),"Date: ","")))</t>
        </is>
      </c>
      <c r="AB48" s="38" t="inlineStr">
        <is>
          <t>IF(OR(E48="",COUNT(AG48:AT48)=0),"",TODAY()-LOOKUP(2,1/(AG48:AT48&lt;&gt;""),AG48:AT48))</t>
        </is>
      </c>
      <c r="AC48" s="38" t="inlineStr">
        <is>
          <t>IF(OR(E48="",COUNT(AG48:AT48)&lt;2),"",LOOKUP(2,1/(AG48:AT48&lt;&gt;""),AG48:AT48)-MIN(AG48:AT48))</t>
        </is>
      </c>
      <c r="AD48" s="38" t="inlineStr">
        <is>
          <t>IF(OR(AB48="",AA48="Not started",AA48=""),"",IFERROR(AB48-IF(VLOOKUP(AA48,'04_Status_Pipeline'!$B$3:$E$20,4,FALSE)="",0,VLOOKUP(AA48,'04_Status_Pipeline'!$B$3:$E$20,4,FALSE)),""))</t>
        </is>
      </c>
      <c r="AE48" s="32" t="inlineStr">
        <is>
          <t>IF(E48="","",IF(OR(Y48="Cancelled",AA48="Cancelled"),"Cancelled",IF(OR(AA48="Completed / Handover",W48&lt;&gt;"",X48&gt;=100),"Completed — on track",IF(L48="Remaining",IF(S48="",IF(V48="","No planned date",IF(TODAY()&gt;V48,"Behind — past planned date",IF(V48-TODAY()&lt;=30,"At risk — close to off track","On track"))),IF(TODAY()&gt;S48,"Behind — award date passed",IF(S48-TODAY()&lt;=30,"At risk — close to off track","On track"))),IF(V48="","No planned date",IF(AND(TODAY()&gt;V48,OR(X48="",X48&lt;100)),"Behind — past end date",IF(AND(R48&lt;&gt;"",V48&lt;&gt;"",X48&lt;&gt;"",(X48&lt;100),((TODAY()-R48)/MAX(V48-R48,1)*100)-X48&gt;15),"Behind — progress lag",IF(AND(V48-TODAY()&lt;=30,V48-TODAY()&gt;=0,OR(X48="",X48&lt;90)),"At risk — close to off track","On track"))))))))</t>
        </is>
      </c>
      <c r="AF48" s="38" t="inlineStr">
        <is>
          <t>IF(OR(E48="",AA48="Completed / Handover",AA48="Cancelled"),"",IF(L48="Remaining",IF(S48&lt;&gt;"",S48-TODAY(),IF(V48="","",V48-TODAY())),IF(V48="","",V48-TODAY())))</t>
        </is>
      </c>
      <c r="AG48" s="36" t="n"/>
      <c r="AH48" s="36" t="n"/>
      <c r="AI48" s="36" t="n"/>
      <c r="AJ48" s="36" t="n"/>
      <c r="AK48" s="36" t="n"/>
      <c r="AL48" s="36" t="n"/>
      <c r="AM48" s="36" t="n"/>
      <c r="AN48" s="36" t="n"/>
      <c r="AO48" s="36" t="n"/>
      <c r="AP48" s="36" t="n"/>
      <c r="AQ48" s="36" t="n"/>
      <c r="AR48" s="40" t="n"/>
      <c r="AS48" s="40" t="n"/>
      <c r="AT48" s="40" t="n"/>
      <c r="AU48" s="38" t="inlineStr">
        <is>
          <t>IF(OR(E48="",AH48=""),"",IF(COUNT(AG48:AG48)=0,"",AH48-LOOKUP(2,1/(AG48:AG48&lt;&gt;""),AG48:AG48)))</t>
        </is>
      </c>
      <c r="AV48" s="38" t="inlineStr">
        <is>
          <t>IF(OR(E48="",AI48=""),"",IF(COUNT(AG48:AH48)=0,"",AI48-LOOKUP(2,1/(AG48:AH48&lt;&gt;""),AG48:AH48)))</t>
        </is>
      </c>
      <c r="AW48" s="38" t="inlineStr">
        <is>
          <t>IF(OR(E48="",AJ48=""),"",IF(COUNT(AG48:AI48)=0,"",AJ48-LOOKUP(2,1/(AG48:AI48&lt;&gt;""),AG48:AI48)))</t>
        </is>
      </c>
      <c r="AX48" s="38" t="inlineStr">
        <is>
          <t>IF(OR(E48="",AK48=""),"",IF(COUNT(AG48:AJ48)=0,"",AK48-LOOKUP(2,1/(AG48:AJ48&lt;&gt;""),AG48:AJ48)))</t>
        </is>
      </c>
      <c r="AY48" s="38" t="inlineStr">
        <is>
          <t>IF(OR(E48="",AL48=""),"",IF(COUNT(AG48:AK48)=0,"",AL48-LOOKUP(2,1/(AG48:AK48&lt;&gt;""),AG48:AK48)))</t>
        </is>
      </c>
      <c r="AZ48" s="38" t="inlineStr">
        <is>
          <t>IF(OR(E48="",AM48=""),"",IF(COUNT(AG48:AL48)=0,"",AM48-LOOKUP(2,1/(AG48:AL48&lt;&gt;""),AG48:AL48)))</t>
        </is>
      </c>
      <c r="BA48" s="38" t="inlineStr">
        <is>
          <t>IF(OR(E48="",AN48=""),"",IF(COUNT(AG48:AM48)=0,"",AN48-LOOKUP(2,1/(AG48:AM48&lt;&gt;""),AG48:AM48)))</t>
        </is>
      </c>
      <c r="BB48" s="38" t="inlineStr">
        <is>
          <t>IF(OR(E48="",AO48=""),"",IF(COUNT(AG48:AN48)=0,"",AO48-LOOKUP(2,1/(AG48:AN48&lt;&gt;""),AG48:AN48)))</t>
        </is>
      </c>
      <c r="BC48" s="38" t="inlineStr">
        <is>
          <t>IF(OR(E48="",AP48=""),"",IF(COUNT(AG48:AO48)=0,"",AP48-LOOKUP(2,1/(AG48:AO48&lt;&gt;""),AG48:AO48)))</t>
        </is>
      </c>
      <c r="BD48" s="38" t="inlineStr">
        <is>
          <t>IF(OR(E48="",AQ48=""),"",IF(COUNT(AG48:AP48)=0,"",AQ48-LOOKUP(2,1/(AG48:AP48&lt;&gt;""),AG48:AP48)))</t>
        </is>
      </c>
      <c r="BE48" s="38" t="inlineStr">
        <is>
          <t>IF(OR(E48="",AR48=""),"",IF(COUNT(AG48:AQ48)=0,"",AR48-LOOKUP(2,1/(AG48:AQ48&lt;&gt;""),AG48:AQ48)))</t>
        </is>
      </c>
      <c r="BF48" s="38" t="inlineStr">
        <is>
          <t>IF(OR(E48="",AS48=""),"",IF(COUNT(AG48:AR48)=0,"",AS48-LOOKUP(2,1/(AG48:AR48&lt;&gt;""),AG48:AR48)))</t>
        </is>
      </c>
      <c r="BG48" s="38" t="inlineStr">
        <is>
          <t>IF(OR(E48="",AT48=""),"",IF(COUNT(AG48:AS48)=0,"",AT48-LOOKUP(2,1/(AG48:AS48&lt;&gt;""),AG48:AS48)))</t>
        </is>
      </c>
      <c r="BH48" s="41" t="inlineStr">
        <is>
          <t>IF(G48="","All_Provinces",IFERROR(VLOOKUP(G48,'07_Lookups'!$A$4:$B$20,2,FALSE),"All_Provinces"))</t>
        </is>
      </c>
      <c r="BI48" s="41" t="inlineStr">
        <is>
          <t>IF(H48="","All_Districts",IFERROR(VLOOKUP(H48,'07_Lookups'!$E$4:$F$42,2,FALSE),"All_Districts"))</t>
        </is>
      </c>
    </row>
    <row r="49" ht="18" customHeight="1">
      <c r="A49" s="32" t="inlineStr">
        <is>
          <t>IF(E49="","",ROW()-3)</t>
        </is>
      </c>
      <c r="B49" s="42" t="inlineStr">
        <is>
          <t>AF2-IS-R-011</t>
        </is>
      </c>
      <c r="C49" s="42" t="inlineStr">
        <is>
          <t>Emergency Food Security Project (EFSP) – WBK/AF-2</t>
        </is>
      </c>
      <c r="D49" s="42" t="inlineStr">
        <is>
          <t>Package #12-AF2 IS: Rehabilitation of Tapa-e-Ahmad Big canal and Shahre Beland canal irrigation schemes, located in Nijrab and Paryan districts of Kapisa and Panjsher provinces.</t>
        </is>
      </c>
      <c r="E49" s="42" t="inlineStr">
        <is>
          <t>Shahre Beland Canal irrigation Scheme</t>
        </is>
      </c>
      <c r="F49" s="42" t="inlineStr">
        <is>
          <t>Irrigation Canal</t>
        </is>
      </c>
      <c r="G49" s="42" t="inlineStr">
        <is>
          <t>Central / Kabul</t>
        </is>
      </c>
      <c r="H49" s="42" t="inlineStr">
        <is>
          <t>Panjshir</t>
        </is>
      </c>
      <c r="I49" s="42" t="inlineStr">
        <is>
          <t>Paryan</t>
        </is>
      </c>
      <c r="J49" s="42" t="inlineStr">
        <is>
          <t>Shahre Beland</t>
        </is>
      </c>
      <c r="K49" s="42" t="inlineStr">
        <is>
          <t>World Bank (WBK/AF-2)</t>
        </is>
      </c>
      <c r="L49" s="42" t="inlineStr">
        <is>
          <t>Remaining</t>
        </is>
      </c>
      <c r="M49" s="42" t="inlineStr">
        <is>
          <t>On/off-farm irrigation</t>
        </is>
      </c>
      <c r="N49" s="42" t="inlineStr">
        <is>
          <t>2.Remain contracts_On&amp;off-farm</t>
        </is>
      </c>
      <c r="O49" s="42" t="inlineStr"/>
      <c r="P49" s="42" t="inlineStr"/>
      <c r="Q49" s="43" t="n">
        <v>191270</v>
      </c>
      <c r="R49" s="35" t="inlineStr">
        <is>
          <t>IF(AO49="","",AO49)</t>
        </is>
      </c>
      <c r="S49" s="44" t="n">
        <v>46327</v>
      </c>
      <c r="T49" s="45" t="n">
        <v>8.9</v>
      </c>
      <c r="U49" s="44" t="n">
        <v>46597</v>
      </c>
      <c r="V49" s="35" t="inlineStr">
        <is>
          <t>IF(U49&lt;&gt;"",U49,IF(OR(R49="",T49=""),"",EDATE(R49,T49)))</t>
        </is>
      </c>
      <c r="W49" s="44" t="n"/>
      <c r="X49" s="45" t="n"/>
      <c r="Y49" s="42" t="inlineStr">
        <is>
          <t>Under Technical Evaluation</t>
        </is>
      </c>
      <c r="Z49" s="42" t="inlineStr">
        <is>
          <t>Four months slack period Dec-Mar during winter. Five months construction period required for two canals</t>
        </is>
      </c>
      <c r="AA49" s="32" t="inlineStr">
        <is>
          <t>IF(E49="","",IF(COUNT(AG49:AT49)=0,IF(Y49="","Not started",Y49),SUBSTITUTE(LOOKUP(2,1/(AG49:AT49&lt;&gt;""),$AG$3:$AT$3),"Date: ","")))</t>
        </is>
      </c>
      <c r="AB49" s="38" t="inlineStr">
        <is>
          <t>IF(OR(E49="",COUNT(AG49:AT49)=0),"",TODAY()-LOOKUP(2,1/(AG49:AT49&lt;&gt;""),AG49:AT49))</t>
        </is>
      </c>
      <c r="AC49" s="38" t="inlineStr">
        <is>
          <t>IF(OR(E49="",COUNT(AG49:AT49)&lt;2),"",LOOKUP(2,1/(AG49:AT49&lt;&gt;""),AG49:AT49)-MIN(AG49:AT49))</t>
        </is>
      </c>
      <c r="AD49" s="38" t="inlineStr">
        <is>
          <t>IF(OR(AB49="",AA49="Not started",AA49=""),"",IFERROR(AB49-IF(VLOOKUP(AA49,'04_Status_Pipeline'!$B$3:$E$20,4,FALSE)="",0,VLOOKUP(AA49,'04_Status_Pipeline'!$B$3:$E$20,4,FALSE)),""))</t>
        </is>
      </c>
      <c r="AE49" s="32" t="inlineStr">
        <is>
          <t>IF(E49="","",IF(OR(Y49="Cancelled",AA49="Cancelled"),"Cancelled",IF(OR(AA49="Completed / Handover",W49&lt;&gt;"",X49&gt;=100),"Completed — on track",IF(L49="Remaining",IF(S49="",IF(V49="","No planned date",IF(TODAY()&gt;V49,"Behind — past planned date",IF(V49-TODAY()&lt;=30,"At risk — close to off track","On track"))),IF(TODAY()&gt;S49,"Behind — award date passed",IF(S49-TODAY()&lt;=30,"At risk — close to off track","On track"))),IF(V49="","No planned date",IF(AND(TODAY()&gt;V49,OR(X49="",X49&lt;100)),"Behind — past end date",IF(AND(R49&lt;&gt;"",V49&lt;&gt;"",X49&lt;&gt;"",(X49&lt;100),((TODAY()-R49)/MAX(V49-R49,1)*100)-X49&gt;15),"Behind — progress lag",IF(AND(V49-TODAY()&lt;=30,V49-TODAY()&gt;=0,OR(X49="",X49&lt;90)),"At risk — close to off track","On track"))))))))</t>
        </is>
      </c>
      <c r="AF49" s="38" t="inlineStr">
        <is>
          <t>IF(OR(E49="",AA49="Completed / Handover",AA49="Cancelled"),"",IF(L49="Remaining",IF(S49&lt;&gt;"",S49-TODAY(),IF(V49="","",V49-TODAY())),IF(V49="","",V49-TODAY())))</t>
        </is>
      </c>
      <c r="AG49" s="44" t="n"/>
      <c r="AH49" s="44" t="n"/>
      <c r="AI49" s="44" t="n"/>
      <c r="AJ49" s="44" t="n"/>
      <c r="AK49" s="44" t="n"/>
      <c r="AL49" s="44" t="n"/>
      <c r="AM49" s="44" t="n"/>
      <c r="AN49" s="44" t="n"/>
      <c r="AO49" s="44" t="n"/>
      <c r="AP49" s="44" t="n"/>
      <c r="AQ49" s="44" t="n"/>
      <c r="AR49" s="40" t="n"/>
      <c r="AS49" s="40" t="n"/>
      <c r="AT49" s="40" t="n"/>
      <c r="AU49" s="38" t="inlineStr">
        <is>
          <t>IF(OR(E49="",AH49=""),"",IF(COUNT(AG49:AG49)=0,"",AH49-LOOKUP(2,1/(AG49:AG49&lt;&gt;""),AG49:AG49)))</t>
        </is>
      </c>
      <c r="AV49" s="38" t="inlineStr">
        <is>
          <t>IF(OR(E49="",AI49=""),"",IF(COUNT(AG49:AH49)=0,"",AI49-LOOKUP(2,1/(AG49:AH49&lt;&gt;""),AG49:AH49)))</t>
        </is>
      </c>
      <c r="AW49" s="38" t="inlineStr">
        <is>
          <t>IF(OR(E49="",AJ49=""),"",IF(COUNT(AG49:AI49)=0,"",AJ49-LOOKUP(2,1/(AG49:AI49&lt;&gt;""),AG49:AI49)))</t>
        </is>
      </c>
      <c r="AX49" s="38" t="inlineStr">
        <is>
          <t>IF(OR(E49="",AK49=""),"",IF(COUNT(AG49:AJ49)=0,"",AK49-LOOKUP(2,1/(AG49:AJ49&lt;&gt;""),AG49:AJ49)))</t>
        </is>
      </c>
      <c r="AY49" s="38" t="inlineStr">
        <is>
          <t>IF(OR(E49="",AL49=""),"",IF(COUNT(AG49:AK49)=0,"",AL49-LOOKUP(2,1/(AG49:AK49&lt;&gt;""),AG49:AK49)))</t>
        </is>
      </c>
      <c r="AZ49" s="38" t="inlineStr">
        <is>
          <t>IF(OR(E49="",AM49=""),"",IF(COUNT(AG49:AL49)=0,"",AM49-LOOKUP(2,1/(AG49:AL49&lt;&gt;""),AG49:AL49)))</t>
        </is>
      </c>
      <c r="BA49" s="38" t="inlineStr">
        <is>
          <t>IF(OR(E49="",AN49=""),"",IF(COUNT(AG49:AM49)=0,"",AN49-LOOKUP(2,1/(AG49:AM49&lt;&gt;""),AG49:AM49)))</t>
        </is>
      </c>
      <c r="BB49" s="38" t="inlineStr">
        <is>
          <t>IF(OR(E49="",AO49=""),"",IF(COUNT(AG49:AN49)=0,"",AO49-LOOKUP(2,1/(AG49:AN49&lt;&gt;""),AG49:AN49)))</t>
        </is>
      </c>
      <c r="BC49" s="38" t="inlineStr">
        <is>
          <t>IF(OR(E49="",AP49=""),"",IF(COUNT(AG49:AO49)=0,"",AP49-LOOKUP(2,1/(AG49:AO49&lt;&gt;""),AG49:AO49)))</t>
        </is>
      </c>
      <c r="BD49" s="38" t="inlineStr">
        <is>
          <t>IF(OR(E49="",AQ49=""),"",IF(COUNT(AG49:AP49)=0,"",AQ49-LOOKUP(2,1/(AG49:AP49&lt;&gt;""),AG49:AP49)))</t>
        </is>
      </c>
      <c r="BE49" s="38" t="inlineStr">
        <is>
          <t>IF(OR(E49="",AR49=""),"",IF(COUNT(AG49:AQ49)=0,"",AR49-LOOKUP(2,1/(AG49:AQ49&lt;&gt;""),AG49:AQ49)))</t>
        </is>
      </c>
      <c r="BF49" s="38" t="inlineStr">
        <is>
          <t>IF(OR(E49="",AS49=""),"",IF(COUNT(AG49:AR49)=0,"",AS49-LOOKUP(2,1/(AG49:AR49&lt;&gt;""),AG49:AR49)))</t>
        </is>
      </c>
      <c r="BG49" s="38" t="inlineStr">
        <is>
          <t>IF(OR(E49="",AT49=""),"",IF(COUNT(AG49:AS49)=0,"",AT49-LOOKUP(2,1/(AG49:AS49&lt;&gt;""),AG49:AS49)))</t>
        </is>
      </c>
      <c r="BH49" s="41" t="inlineStr">
        <is>
          <t>IF(G49="","All_Provinces",IFERROR(VLOOKUP(G49,'07_Lookups'!$A$4:$B$20,2,FALSE),"All_Provinces"))</t>
        </is>
      </c>
      <c r="BI49" s="41" t="inlineStr">
        <is>
          <t>IF(H49="","All_Districts",IFERROR(VLOOKUP(H49,'07_Lookups'!$E$4:$F$42,2,FALSE),"All_Districts"))</t>
        </is>
      </c>
    </row>
    <row r="50" ht="18" customHeight="1">
      <c r="A50" s="32" t="inlineStr">
        <is>
          <t>IF(E50="","",ROW()-3)</t>
        </is>
      </c>
      <c r="B50" s="33" t="inlineStr">
        <is>
          <t>AF2-IS-R-012</t>
        </is>
      </c>
      <c r="C50" s="33" t="inlineStr">
        <is>
          <t>Emergency Food Security Project (EFSP) – WBK/AF-2</t>
        </is>
      </c>
      <c r="D50" s="33" t="inlineStr">
        <is>
          <t>Package #13-AF2 IS: Rehabilitation of Kamar China canal, Khenkot canal, and Zargara irrigation schemes, located in Sarobi, Chahar Asiab and Paghman districts of Kabul province.</t>
        </is>
      </c>
      <c r="E50" s="33" t="inlineStr">
        <is>
          <t>Kamar China Canal irrigation Scheme</t>
        </is>
      </c>
      <c r="F50" s="33" t="inlineStr">
        <is>
          <t>Irrigation Canal</t>
        </is>
      </c>
      <c r="G50" s="33" t="inlineStr">
        <is>
          <t>Central / Kabul</t>
        </is>
      </c>
      <c r="H50" s="33" t="inlineStr">
        <is>
          <t>Kabul</t>
        </is>
      </c>
      <c r="I50" s="33" t="inlineStr">
        <is>
          <t>Sarobi</t>
        </is>
      </c>
      <c r="J50" s="33" t="inlineStr">
        <is>
          <t>Warkhralah</t>
        </is>
      </c>
      <c r="K50" s="33" t="inlineStr">
        <is>
          <t>World Bank (WBK/AF-2)</t>
        </is>
      </c>
      <c r="L50" s="33" t="inlineStr">
        <is>
          <t>Remaining</t>
        </is>
      </c>
      <c r="M50" s="33" t="inlineStr">
        <is>
          <t>On/off-farm irrigation</t>
        </is>
      </c>
      <c r="N50" s="33" t="inlineStr">
        <is>
          <t>2.Remain contracts_On&amp;off-farm</t>
        </is>
      </c>
      <c r="O50" s="33" t="inlineStr"/>
      <c r="P50" s="33" t="inlineStr"/>
      <c r="Q50" s="34" t="n">
        <v>290000</v>
      </c>
      <c r="R50" s="35" t="inlineStr">
        <is>
          <t>IF(AO50="","",AO50)</t>
        </is>
      </c>
      <c r="S50" s="36" t="n">
        <v>46336</v>
      </c>
      <c r="T50" s="37" t="n">
        <v>7.9</v>
      </c>
      <c r="U50" s="36" t="n">
        <v>46576</v>
      </c>
      <c r="V50" s="35" t="inlineStr">
        <is>
          <t>IF(U50&lt;&gt;"",U50,IF(OR(R50="",T50=""),"",EDATE(R50,T50)))</t>
        </is>
      </c>
      <c r="W50" s="36" t="n"/>
      <c r="X50" s="37" t="n"/>
      <c r="Y50" s="33" t="inlineStr">
        <is>
          <t>Under Technical Evaluation</t>
        </is>
      </c>
      <c r="Z50" s="33" t="inlineStr">
        <is>
          <t>Three months slack period Jan-Mar during winter. Five months construction period required for three canals</t>
        </is>
      </c>
      <c r="AA50" s="32" t="inlineStr">
        <is>
          <t>IF(E50="","",IF(COUNT(AG50:AT50)=0,IF(Y50="","Not started",Y50),SUBSTITUTE(LOOKUP(2,1/(AG50:AT50&lt;&gt;""),$AG$3:$AT$3),"Date: ","")))</t>
        </is>
      </c>
      <c r="AB50" s="38" t="inlineStr">
        <is>
          <t>IF(OR(E50="",COUNT(AG50:AT50)=0),"",TODAY()-LOOKUP(2,1/(AG50:AT50&lt;&gt;""),AG50:AT50))</t>
        </is>
      </c>
      <c r="AC50" s="38" t="inlineStr">
        <is>
          <t>IF(OR(E50="",COUNT(AG50:AT50)&lt;2),"",LOOKUP(2,1/(AG50:AT50&lt;&gt;""),AG50:AT50)-MIN(AG50:AT50))</t>
        </is>
      </c>
      <c r="AD50" s="38" t="inlineStr">
        <is>
          <t>IF(OR(AB50="",AA50="Not started",AA50=""),"",IFERROR(AB50-IF(VLOOKUP(AA50,'04_Status_Pipeline'!$B$3:$E$20,4,FALSE)="",0,VLOOKUP(AA50,'04_Status_Pipeline'!$B$3:$E$20,4,FALSE)),""))</t>
        </is>
      </c>
      <c r="AE50" s="32" t="inlineStr">
        <is>
          <t>IF(E50="","",IF(OR(Y50="Cancelled",AA50="Cancelled"),"Cancelled",IF(OR(AA50="Completed / Handover",W50&lt;&gt;"",X50&gt;=100),"Completed — on track",IF(L50="Remaining",IF(S50="",IF(V50="","No planned date",IF(TODAY()&gt;V50,"Behind — past planned date",IF(V50-TODAY()&lt;=30,"At risk — close to off track","On track"))),IF(TODAY()&gt;S50,"Behind — award date passed",IF(S50-TODAY()&lt;=30,"At risk — close to off track","On track"))),IF(V50="","No planned date",IF(AND(TODAY()&gt;V50,OR(X50="",X50&lt;100)),"Behind — past end date",IF(AND(R50&lt;&gt;"",V50&lt;&gt;"",X50&lt;&gt;"",(X50&lt;100),((TODAY()-R50)/MAX(V50-R50,1)*100)-X50&gt;15),"Behind — progress lag",IF(AND(V50-TODAY()&lt;=30,V50-TODAY()&gt;=0,OR(X50="",X50&lt;90)),"At risk — close to off track","On track"))))))))</t>
        </is>
      </c>
      <c r="AF50" s="38" t="inlineStr">
        <is>
          <t>IF(OR(E50="",AA50="Completed / Handover",AA50="Cancelled"),"",IF(L50="Remaining",IF(S50&lt;&gt;"",S50-TODAY(),IF(V50="","",V50-TODAY())),IF(V50="","",V50-TODAY())))</t>
        </is>
      </c>
      <c r="AG50" s="36" t="n"/>
      <c r="AH50" s="36" t="n"/>
      <c r="AI50" s="36" t="n"/>
      <c r="AJ50" s="36" t="n"/>
      <c r="AK50" s="36" t="n"/>
      <c r="AL50" s="36" t="n"/>
      <c r="AM50" s="36" t="n"/>
      <c r="AN50" s="36" t="n"/>
      <c r="AO50" s="36" t="n"/>
      <c r="AP50" s="36" t="n"/>
      <c r="AQ50" s="36" t="n"/>
      <c r="AR50" s="40" t="n"/>
      <c r="AS50" s="40" t="n"/>
      <c r="AT50" s="40" t="n"/>
      <c r="AU50" s="38" t="inlineStr">
        <is>
          <t>IF(OR(E50="",AH50=""),"",IF(COUNT(AG50:AG50)=0,"",AH50-LOOKUP(2,1/(AG50:AG50&lt;&gt;""),AG50:AG50)))</t>
        </is>
      </c>
      <c r="AV50" s="38" t="inlineStr">
        <is>
          <t>IF(OR(E50="",AI50=""),"",IF(COUNT(AG50:AH50)=0,"",AI50-LOOKUP(2,1/(AG50:AH50&lt;&gt;""),AG50:AH50)))</t>
        </is>
      </c>
      <c r="AW50" s="38" t="inlineStr">
        <is>
          <t>IF(OR(E50="",AJ50=""),"",IF(COUNT(AG50:AI50)=0,"",AJ50-LOOKUP(2,1/(AG50:AI50&lt;&gt;""),AG50:AI50)))</t>
        </is>
      </c>
      <c r="AX50" s="38" t="inlineStr">
        <is>
          <t>IF(OR(E50="",AK50=""),"",IF(COUNT(AG50:AJ50)=0,"",AK50-LOOKUP(2,1/(AG50:AJ50&lt;&gt;""),AG50:AJ50)))</t>
        </is>
      </c>
      <c r="AY50" s="38" t="inlineStr">
        <is>
          <t>IF(OR(E50="",AL50=""),"",IF(COUNT(AG50:AK50)=0,"",AL50-LOOKUP(2,1/(AG50:AK50&lt;&gt;""),AG50:AK50)))</t>
        </is>
      </c>
      <c r="AZ50" s="38" t="inlineStr">
        <is>
          <t>IF(OR(E50="",AM50=""),"",IF(COUNT(AG50:AL50)=0,"",AM50-LOOKUP(2,1/(AG50:AL50&lt;&gt;""),AG50:AL50)))</t>
        </is>
      </c>
      <c r="BA50" s="38" t="inlineStr">
        <is>
          <t>IF(OR(E50="",AN50=""),"",IF(COUNT(AG50:AM50)=0,"",AN50-LOOKUP(2,1/(AG50:AM50&lt;&gt;""),AG50:AM50)))</t>
        </is>
      </c>
      <c r="BB50" s="38" t="inlineStr">
        <is>
          <t>IF(OR(E50="",AO50=""),"",IF(COUNT(AG50:AN50)=0,"",AO50-LOOKUP(2,1/(AG50:AN50&lt;&gt;""),AG50:AN50)))</t>
        </is>
      </c>
      <c r="BC50" s="38" t="inlineStr">
        <is>
          <t>IF(OR(E50="",AP50=""),"",IF(COUNT(AG50:AO50)=0,"",AP50-LOOKUP(2,1/(AG50:AO50&lt;&gt;""),AG50:AO50)))</t>
        </is>
      </c>
      <c r="BD50" s="38" t="inlineStr">
        <is>
          <t>IF(OR(E50="",AQ50=""),"",IF(COUNT(AG50:AP50)=0,"",AQ50-LOOKUP(2,1/(AG50:AP50&lt;&gt;""),AG50:AP50)))</t>
        </is>
      </c>
      <c r="BE50" s="38" t="inlineStr">
        <is>
          <t>IF(OR(E50="",AR50=""),"",IF(COUNT(AG50:AQ50)=0,"",AR50-LOOKUP(2,1/(AG50:AQ50&lt;&gt;""),AG50:AQ50)))</t>
        </is>
      </c>
      <c r="BF50" s="38" t="inlineStr">
        <is>
          <t>IF(OR(E50="",AS50=""),"",IF(COUNT(AG50:AR50)=0,"",AS50-LOOKUP(2,1/(AG50:AR50&lt;&gt;""),AG50:AR50)))</t>
        </is>
      </c>
      <c r="BG50" s="38" t="inlineStr">
        <is>
          <t>IF(OR(E50="",AT50=""),"",IF(COUNT(AG50:AS50)=0,"",AT50-LOOKUP(2,1/(AG50:AS50&lt;&gt;""),AG50:AS50)))</t>
        </is>
      </c>
      <c r="BH50" s="41" t="inlineStr">
        <is>
          <t>IF(G50="","All_Provinces",IFERROR(VLOOKUP(G50,'07_Lookups'!$A$4:$B$20,2,FALSE),"All_Provinces"))</t>
        </is>
      </c>
      <c r="BI50" s="41" t="inlineStr">
        <is>
          <t>IF(H50="","All_Districts",IFERROR(VLOOKUP(H50,'07_Lookups'!$E$4:$F$42,2,FALSE),"All_Districts"))</t>
        </is>
      </c>
    </row>
    <row r="51" ht="18" customHeight="1">
      <c r="A51" s="32" t="inlineStr">
        <is>
          <t>IF(E51="","",ROW()-3)</t>
        </is>
      </c>
      <c r="B51" s="42" t="inlineStr">
        <is>
          <t>AF2-IS-R-013</t>
        </is>
      </c>
      <c r="C51" s="42" t="inlineStr">
        <is>
          <t>Emergency Food Security Project (EFSP) – WBK/AF-2</t>
        </is>
      </c>
      <c r="D51" s="42" t="inlineStr">
        <is>
          <t>Package #13-AF2 IS: Rehabilitation of Kamar China canal, Khenkot canal, and Zargara irrigation schemes, located in Sarobi, Chahar Asiab and Paghman districts of Kabul province.</t>
        </is>
      </c>
      <c r="E51" s="42" t="inlineStr">
        <is>
          <t>Khenkot irrigation Scheme</t>
        </is>
      </c>
      <c r="F51" s="42" t="inlineStr">
        <is>
          <t>Irrigation Canal</t>
        </is>
      </c>
      <c r="G51" s="42" t="inlineStr">
        <is>
          <t>Central / Kabul</t>
        </is>
      </c>
      <c r="H51" s="42" t="inlineStr"/>
      <c r="I51" s="42" t="inlineStr">
        <is>
          <t>Chahar Asiab</t>
        </is>
      </c>
      <c r="J51" s="42" t="inlineStr">
        <is>
          <t>Shah Toot</t>
        </is>
      </c>
      <c r="K51" s="42" t="inlineStr">
        <is>
          <t>World Bank (WBK/AF-2)</t>
        </is>
      </c>
      <c r="L51" s="42" t="inlineStr">
        <is>
          <t>Remaining</t>
        </is>
      </c>
      <c r="M51" s="42" t="inlineStr">
        <is>
          <t>On/off-farm irrigation</t>
        </is>
      </c>
      <c r="N51" s="42" t="inlineStr">
        <is>
          <t>2.Remain contracts_On&amp;off-farm</t>
        </is>
      </c>
      <c r="O51" s="42" t="inlineStr"/>
      <c r="P51" s="42" t="inlineStr"/>
      <c r="Q51" s="43" t="n">
        <v>290000</v>
      </c>
      <c r="R51" s="35" t="inlineStr">
        <is>
          <t>IF(AO51="","",AO51)</t>
        </is>
      </c>
      <c r="S51" s="44" t="n">
        <v>46336</v>
      </c>
      <c r="T51" s="45" t="n">
        <v>7.9</v>
      </c>
      <c r="U51" s="44" t="n">
        <v>46576</v>
      </c>
      <c r="V51" s="35" t="inlineStr">
        <is>
          <t>IF(U51&lt;&gt;"",U51,IF(OR(R51="",T51=""),"",EDATE(R51,T51)))</t>
        </is>
      </c>
      <c r="W51" s="44" t="n"/>
      <c r="X51" s="45" t="n"/>
      <c r="Y51" s="42" t="inlineStr">
        <is>
          <t>Under Technical Evaluation</t>
        </is>
      </c>
      <c r="Z51" s="42" t="inlineStr">
        <is>
          <t>Three months slack period Jan-Mar during winter. Five months construction period required for three canals</t>
        </is>
      </c>
      <c r="AA51" s="32" t="inlineStr">
        <is>
          <t>IF(E51="","",IF(COUNT(AG51:AT51)=0,IF(Y51="","Not started",Y51),SUBSTITUTE(LOOKUP(2,1/(AG51:AT51&lt;&gt;""),$AG$3:$AT$3),"Date: ","")))</t>
        </is>
      </c>
      <c r="AB51" s="38" t="inlineStr">
        <is>
          <t>IF(OR(E51="",COUNT(AG51:AT51)=0),"",TODAY()-LOOKUP(2,1/(AG51:AT51&lt;&gt;""),AG51:AT51))</t>
        </is>
      </c>
      <c r="AC51" s="38" t="inlineStr">
        <is>
          <t>IF(OR(E51="",COUNT(AG51:AT51)&lt;2),"",LOOKUP(2,1/(AG51:AT51&lt;&gt;""),AG51:AT51)-MIN(AG51:AT51))</t>
        </is>
      </c>
      <c r="AD51" s="38" t="inlineStr">
        <is>
          <t>IF(OR(AB51="",AA51="Not started",AA51=""),"",IFERROR(AB51-IF(VLOOKUP(AA51,'04_Status_Pipeline'!$B$3:$E$20,4,FALSE)="",0,VLOOKUP(AA51,'04_Status_Pipeline'!$B$3:$E$20,4,FALSE)),""))</t>
        </is>
      </c>
      <c r="AE51" s="32" t="inlineStr">
        <is>
          <t>IF(E51="","",IF(OR(Y51="Cancelled",AA51="Cancelled"),"Cancelled",IF(OR(AA51="Completed / Handover",W51&lt;&gt;"",X51&gt;=100),"Completed — on track",IF(L51="Remaining",IF(S51="",IF(V51="","No planned date",IF(TODAY()&gt;V51,"Behind — past planned date",IF(V51-TODAY()&lt;=30,"At risk — close to off track","On track"))),IF(TODAY()&gt;S51,"Behind — award date passed",IF(S51-TODAY()&lt;=30,"At risk — close to off track","On track"))),IF(V51="","No planned date",IF(AND(TODAY()&gt;V51,OR(X51="",X51&lt;100)),"Behind — past end date",IF(AND(R51&lt;&gt;"",V51&lt;&gt;"",X51&lt;&gt;"",(X51&lt;100),((TODAY()-R51)/MAX(V51-R51,1)*100)-X51&gt;15),"Behind — progress lag",IF(AND(V51-TODAY()&lt;=30,V51-TODAY()&gt;=0,OR(X51="",X51&lt;90)),"At risk — close to off track","On track"))))))))</t>
        </is>
      </c>
      <c r="AF51" s="38" t="inlineStr">
        <is>
          <t>IF(OR(E51="",AA51="Completed / Handover",AA51="Cancelled"),"",IF(L51="Remaining",IF(S51&lt;&gt;"",S51-TODAY(),IF(V51="","",V51-TODAY())),IF(V51="","",V51-TODAY())))</t>
        </is>
      </c>
      <c r="AG51" s="44" t="n"/>
      <c r="AH51" s="44" t="n"/>
      <c r="AI51" s="44" t="n"/>
      <c r="AJ51" s="44" t="n"/>
      <c r="AK51" s="44" t="n"/>
      <c r="AL51" s="44" t="n"/>
      <c r="AM51" s="44" t="n"/>
      <c r="AN51" s="44" t="n"/>
      <c r="AO51" s="44" t="n"/>
      <c r="AP51" s="44" t="n"/>
      <c r="AQ51" s="44" t="n"/>
      <c r="AR51" s="40" t="n"/>
      <c r="AS51" s="40" t="n"/>
      <c r="AT51" s="40" t="n"/>
      <c r="AU51" s="38" t="inlineStr">
        <is>
          <t>IF(OR(E51="",AH51=""),"",IF(COUNT(AG51:AG51)=0,"",AH51-LOOKUP(2,1/(AG51:AG51&lt;&gt;""),AG51:AG51)))</t>
        </is>
      </c>
      <c r="AV51" s="38" t="inlineStr">
        <is>
          <t>IF(OR(E51="",AI51=""),"",IF(COUNT(AG51:AH51)=0,"",AI51-LOOKUP(2,1/(AG51:AH51&lt;&gt;""),AG51:AH51)))</t>
        </is>
      </c>
      <c r="AW51" s="38" t="inlineStr">
        <is>
          <t>IF(OR(E51="",AJ51=""),"",IF(COUNT(AG51:AI51)=0,"",AJ51-LOOKUP(2,1/(AG51:AI51&lt;&gt;""),AG51:AI51)))</t>
        </is>
      </c>
      <c r="AX51" s="38" t="inlineStr">
        <is>
          <t>IF(OR(E51="",AK51=""),"",IF(COUNT(AG51:AJ51)=0,"",AK51-LOOKUP(2,1/(AG51:AJ51&lt;&gt;""),AG51:AJ51)))</t>
        </is>
      </c>
      <c r="AY51" s="38" t="inlineStr">
        <is>
          <t>IF(OR(E51="",AL51=""),"",IF(COUNT(AG51:AK51)=0,"",AL51-LOOKUP(2,1/(AG51:AK51&lt;&gt;""),AG51:AK51)))</t>
        </is>
      </c>
      <c r="AZ51" s="38" t="inlineStr">
        <is>
          <t>IF(OR(E51="",AM51=""),"",IF(COUNT(AG51:AL51)=0,"",AM51-LOOKUP(2,1/(AG51:AL51&lt;&gt;""),AG51:AL51)))</t>
        </is>
      </c>
      <c r="BA51" s="38" t="inlineStr">
        <is>
          <t>IF(OR(E51="",AN51=""),"",IF(COUNT(AG51:AM51)=0,"",AN51-LOOKUP(2,1/(AG51:AM51&lt;&gt;""),AG51:AM51)))</t>
        </is>
      </c>
      <c r="BB51" s="38" t="inlineStr">
        <is>
          <t>IF(OR(E51="",AO51=""),"",IF(COUNT(AG51:AN51)=0,"",AO51-LOOKUP(2,1/(AG51:AN51&lt;&gt;""),AG51:AN51)))</t>
        </is>
      </c>
      <c r="BC51" s="38" t="inlineStr">
        <is>
          <t>IF(OR(E51="",AP51=""),"",IF(COUNT(AG51:AO51)=0,"",AP51-LOOKUP(2,1/(AG51:AO51&lt;&gt;""),AG51:AO51)))</t>
        </is>
      </c>
      <c r="BD51" s="38" t="inlineStr">
        <is>
          <t>IF(OR(E51="",AQ51=""),"",IF(COUNT(AG51:AP51)=0,"",AQ51-LOOKUP(2,1/(AG51:AP51&lt;&gt;""),AG51:AP51)))</t>
        </is>
      </c>
      <c r="BE51" s="38" t="inlineStr">
        <is>
          <t>IF(OR(E51="",AR51=""),"",IF(COUNT(AG51:AQ51)=0,"",AR51-LOOKUP(2,1/(AG51:AQ51&lt;&gt;""),AG51:AQ51)))</t>
        </is>
      </c>
      <c r="BF51" s="38" t="inlineStr">
        <is>
          <t>IF(OR(E51="",AS51=""),"",IF(COUNT(AG51:AR51)=0,"",AS51-LOOKUP(2,1/(AG51:AR51&lt;&gt;""),AG51:AR51)))</t>
        </is>
      </c>
      <c r="BG51" s="38" t="inlineStr">
        <is>
          <t>IF(OR(E51="",AT51=""),"",IF(COUNT(AG51:AS51)=0,"",AT51-LOOKUP(2,1/(AG51:AS51&lt;&gt;""),AG51:AS51)))</t>
        </is>
      </c>
      <c r="BH51" s="41" t="inlineStr">
        <is>
          <t>IF(G51="","All_Provinces",IFERROR(VLOOKUP(G51,'07_Lookups'!$A$4:$B$20,2,FALSE),"All_Provinces"))</t>
        </is>
      </c>
      <c r="BI51" s="41" t="inlineStr">
        <is>
          <t>IF(H51="","All_Districts",IFERROR(VLOOKUP(H51,'07_Lookups'!$E$4:$F$42,2,FALSE),"All_Districts"))</t>
        </is>
      </c>
    </row>
    <row r="52" ht="18" customHeight="1">
      <c r="A52" s="32" t="inlineStr">
        <is>
          <t>IF(E52="","",ROW()-3)</t>
        </is>
      </c>
      <c r="B52" s="33" t="inlineStr">
        <is>
          <t>AF2-IS-R-014</t>
        </is>
      </c>
      <c r="C52" s="33" t="inlineStr">
        <is>
          <t>Emergency Food Security Project (EFSP) – WBK/AF-2</t>
        </is>
      </c>
      <c r="D52" s="33" t="inlineStr">
        <is>
          <t>Package #13-AF2 IS: Rehabilitation of Kamar China canal, Khenkot canal, and Zargara irrigation schemes, located in Sarobi, Chahar Asiab and Paghman districts of Kabul province.</t>
        </is>
      </c>
      <c r="E52" s="33" t="inlineStr">
        <is>
          <t>Zargara canal irrigation Scheme</t>
        </is>
      </c>
      <c r="F52" s="33" t="inlineStr">
        <is>
          <t>Irrigation Canal</t>
        </is>
      </c>
      <c r="G52" s="33" t="inlineStr">
        <is>
          <t>Central / Kabul</t>
        </is>
      </c>
      <c r="H52" s="33" t="inlineStr"/>
      <c r="I52" s="33" t="inlineStr">
        <is>
          <t>Paghman</t>
        </is>
      </c>
      <c r="J52" s="33" t="inlineStr">
        <is>
          <t>Qla-e- Hakeem, Somochak and Ala Bala</t>
        </is>
      </c>
      <c r="K52" s="33" t="inlineStr">
        <is>
          <t>World Bank (WBK/AF-2)</t>
        </is>
      </c>
      <c r="L52" s="33" t="inlineStr">
        <is>
          <t>Remaining</t>
        </is>
      </c>
      <c r="M52" s="33" t="inlineStr">
        <is>
          <t>On/off-farm irrigation</t>
        </is>
      </c>
      <c r="N52" s="33" t="inlineStr">
        <is>
          <t>2.Remain contracts_On&amp;off-farm</t>
        </is>
      </c>
      <c r="O52" s="33" t="inlineStr"/>
      <c r="P52" s="33" t="inlineStr"/>
      <c r="Q52" s="34" t="n">
        <v>290000</v>
      </c>
      <c r="R52" s="35" t="inlineStr">
        <is>
          <t>IF(AO52="","",AO52)</t>
        </is>
      </c>
      <c r="S52" s="36" t="n">
        <v>46336</v>
      </c>
      <c r="T52" s="37" t="n">
        <v>7.9</v>
      </c>
      <c r="U52" s="36" t="n">
        <v>46576</v>
      </c>
      <c r="V52" s="35" t="inlineStr">
        <is>
          <t>IF(U52&lt;&gt;"",U52,IF(OR(R52="",T52=""),"",EDATE(R52,T52)))</t>
        </is>
      </c>
      <c r="W52" s="36" t="n"/>
      <c r="X52" s="37" t="n"/>
      <c r="Y52" s="33" t="inlineStr">
        <is>
          <t>Under Technical Evaluation</t>
        </is>
      </c>
      <c r="Z52" s="33" t="inlineStr">
        <is>
          <t>Three months slack period Jan-Mar during winter. Five months construction period required for three canals</t>
        </is>
      </c>
      <c r="AA52" s="32" t="inlineStr">
        <is>
          <t>IF(E52="","",IF(COUNT(AG52:AT52)=0,IF(Y52="","Not started",Y52),SUBSTITUTE(LOOKUP(2,1/(AG52:AT52&lt;&gt;""),$AG$3:$AT$3),"Date: ","")))</t>
        </is>
      </c>
      <c r="AB52" s="38" t="inlineStr">
        <is>
          <t>IF(OR(E52="",COUNT(AG52:AT52)=0),"",TODAY()-LOOKUP(2,1/(AG52:AT52&lt;&gt;""),AG52:AT52))</t>
        </is>
      </c>
      <c r="AC52" s="38" t="inlineStr">
        <is>
          <t>IF(OR(E52="",COUNT(AG52:AT52)&lt;2),"",LOOKUP(2,1/(AG52:AT52&lt;&gt;""),AG52:AT52)-MIN(AG52:AT52))</t>
        </is>
      </c>
      <c r="AD52" s="38" t="inlineStr">
        <is>
          <t>IF(OR(AB52="",AA52="Not started",AA52=""),"",IFERROR(AB52-IF(VLOOKUP(AA52,'04_Status_Pipeline'!$B$3:$E$20,4,FALSE)="",0,VLOOKUP(AA52,'04_Status_Pipeline'!$B$3:$E$20,4,FALSE)),""))</t>
        </is>
      </c>
      <c r="AE52" s="32" t="inlineStr">
        <is>
          <t>IF(E52="","",IF(OR(Y52="Cancelled",AA52="Cancelled"),"Cancelled",IF(OR(AA52="Completed / Handover",W52&lt;&gt;"",X52&gt;=100),"Completed — on track",IF(L52="Remaining",IF(S52="",IF(V52="","No planned date",IF(TODAY()&gt;V52,"Behind — past planned date",IF(V52-TODAY()&lt;=30,"At risk — close to off track","On track"))),IF(TODAY()&gt;S52,"Behind — award date passed",IF(S52-TODAY()&lt;=30,"At risk — close to off track","On track"))),IF(V52="","No planned date",IF(AND(TODAY()&gt;V52,OR(X52="",X52&lt;100)),"Behind — past end date",IF(AND(R52&lt;&gt;"",V52&lt;&gt;"",X52&lt;&gt;"",(X52&lt;100),((TODAY()-R52)/MAX(V52-R52,1)*100)-X52&gt;15),"Behind — progress lag",IF(AND(V52-TODAY()&lt;=30,V52-TODAY()&gt;=0,OR(X52="",X52&lt;90)),"At risk — close to off track","On track"))))))))</t>
        </is>
      </c>
      <c r="AF52" s="38" t="inlineStr">
        <is>
          <t>IF(OR(E52="",AA52="Completed / Handover",AA52="Cancelled"),"",IF(L52="Remaining",IF(S52&lt;&gt;"",S52-TODAY(),IF(V52="","",V52-TODAY())),IF(V52="","",V52-TODAY())))</t>
        </is>
      </c>
      <c r="AG52" s="36" t="n"/>
      <c r="AH52" s="36" t="n"/>
      <c r="AI52" s="36" t="n"/>
      <c r="AJ52" s="36" t="n"/>
      <c r="AK52" s="36" t="n"/>
      <c r="AL52" s="36" t="n"/>
      <c r="AM52" s="36" t="n"/>
      <c r="AN52" s="36" t="n"/>
      <c r="AO52" s="36" t="n"/>
      <c r="AP52" s="36" t="n"/>
      <c r="AQ52" s="36" t="n"/>
      <c r="AR52" s="40" t="n"/>
      <c r="AS52" s="40" t="n"/>
      <c r="AT52" s="40" t="n"/>
      <c r="AU52" s="38" t="inlineStr">
        <is>
          <t>IF(OR(E52="",AH52=""),"",IF(COUNT(AG52:AG52)=0,"",AH52-LOOKUP(2,1/(AG52:AG52&lt;&gt;""),AG52:AG52)))</t>
        </is>
      </c>
      <c r="AV52" s="38" t="inlineStr">
        <is>
          <t>IF(OR(E52="",AI52=""),"",IF(COUNT(AG52:AH52)=0,"",AI52-LOOKUP(2,1/(AG52:AH52&lt;&gt;""),AG52:AH52)))</t>
        </is>
      </c>
      <c r="AW52" s="38" t="inlineStr">
        <is>
          <t>IF(OR(E52="",AJ52=""),"",IF(COUNT(AG52:AI52)=0,"",AJ52-LOOKUP(2,1/(AG52:AI52&lt;&gt;""),AG52:AI52)))</t>
        </is>
      </c>
      <c r="AX52" s="38" t="inlineStr">
        <is>
          <t>IF(OR(E52="",AK52=""),"",IF(COUNT(AG52:AJ52)=0,"",AK52-LOOKUP(2,1/(AG52:AJ52&lt;&gt;""),AG52:AJ52)))</t>
        </is>
      </c>
      <c r="AY52" s="38" t="inlineStr">
        <is>
          <t>IF(OR(E52="",AL52=""),"",IF(COUNT(AG52:AK52)=0,"",AL52-LOOKUP(2,1/(AG52:AK52&lt;&gt;""),AG52:AK52)))</t>
        </is>
      </c>
      <c r="AZ52" s="38" t="inlineStr">
        <is>
          <t>IF(OR(E52="",AM52=""),"",IF(COUNT(AG52:AL52)=0,"",AM52-LOOKUP(2,1/(AG52:AL52&lt;&gt;""),AG52:AL52)))</t>
        </is>
      </c>
      <c r="BA52" s="38" t="inlineStr">
        <is>
          <t>IF(OR(E52="",AN52=""),"",IF(COUNT(AG52:AM52)=0,"",AN52-LOOKUP(2,1/(AG52:AM52&lt;&gt;""),AG52:AM52)))</t>
        </is>
      </c>
      <c r="BB52" s="38" t="inlineStr">
        <is>
          <t>IF(OR(E52="",AO52=""),"",IF(COUNT(AG52:AN52)=0,"",AO52-LOOKUP(2,1/(AG52:AN52&lt;&gt;""),AG52:AN52)))</t>
        </is>
      </c>
      <c r="BC52" s="38" t="inlineStr">
        <is>
          <t>IF(OR(E52="",AP52=""),"",IF(COUNT(AG52:AO52)=0,"",AP52-LOOKUP(2,1/(AG52:AO52&lt;&gt;""),AG52:AO52)))</t>
        </is>
      </c>
      <c r="BD52" s="38" t="inlineStr">
        <is>
          <t>IF(OR(E52="",AQ52=""),"",IF(COUNT(AG52:AP52)=0,"",AQ52-LOOKUP(2,1/(AG52:AP52&lt;&gt;""),AG52:AP52)))</t>
        </is>
      </c>
      <c r="BE52" s="38" t="inlineStr">
        <is>
          <t>IF(OR(E52="",AR52=""),"",IF(COUNT(AG52:AQ52)=0,"",AR52-LOOKUP(2,1/(AG52:AQ52&lt;&gt;""),AG52:AQ52)))</t>
        </is>
      </c>
      <c r="BF52" s="38" t="inlineStr">
        <is>
          <t>IF(OR(E52="",AS52=""),"",IF(COUNT(AG52:AR52)=0,"",AS52-LOOKUP(2,1/(AG52:AR52&lt;&gt;""),AG52:AR52)))</t>
        </is>
      </c>
      <c r="BG52" s="38" t="inlineStr">
        <is>
          <t>IF(OR(E52="",AT52=""),"",IF(COUNT(AG52:AS52)=0,"",AT52-LOOKUP(2,1/(AG52:AS52&lt;&gt;""),AG52:AS52)))</t>
        </is>
      </c>
      <c r="BH52" s="41" t="inlineStr">
        <is>
          <t>IF(G52="","All_Provinces",IFERROR(VLOOKUP(G52,'07_Lookups'!$A$4:$B$20,2,FALSE),"All_Provinces"))</t>
        </is>
      </c>
      <c r="BI52" s="41" t="inlineStr">
        <is>
          <t>IF(H52="","All_Districts",IFERROR(VLOOKUP(H52,'07_Lookups'!$E$4:$F$42,2,FALSE),"All_Districts"))</t>
        </is>
      </c>
    </row>
    <row r="53" ht="18" customHeight="1">
      <c r="A53" s="32" t="inlineStr">
        <is>
          <t>IF(E53="","",ROW()-3)</t>
        </is>
      </c>
      <c r="B53" s="42" t="inlineStr">
        <is>
          <t>AF2-IS-R-015</t>
        </is>
      </c>
      <c r="C53" s="42" t="inlineStr">
        <is>
          <t>Emergency Food Security Project (EFSP) – WBK/AF-2</t>
        </is>
      </c>
      <c r="D53" s="42" t="inlineStr">
        <is>
          <t>Package #15-AF2 IS: Rehabilitation of Pitab joy and Sorkh Kawak Cluster Canal Irrigation scheme, located in Waras districts of Bamyan province.</t>
        </is>
      </c>
      <c r="E53" s="42" t="inlineStr">
        <is>
          <t>Pitab Joy Cluster canal irrigation schemce</t>
        </is>
      </c>
      <c r="F53" s="42" t="inlineStr">
        <is>
          <t>Irrigation Canal</t>
        </is>
      </c>
      <c r="G53" s="42" t="inlineStr">
        <is>
          <t>Central Highland / Bamyan</t>
        </is>
      </c>
      <c r="H53" s="42" t="inlineStr">
        <is>
          <t>Bamyan</t>
        </is>
      </c>
      <c r="I53" s="42" t="inlineStr">
        <is>
          <t>Waras</t>
        </is>
      </c>
      <c r="J53" s="42" t="inlineStr">
        <is>
          <t>Pitab and 6 tiny villages</t>
        </is>
      </c>
      <c r="K53" s="42" t="inlineStr">
        <is>
          <t>World Bank (WBK/AF-2)</t>
        </is>
      </c>
      <c r="L53" s="42" t="inlineStr">
        <is>
          <t>Remaining</t>
        </is>
      </c>
      <c r="M53" s="42" t="inlineStr">
        <is>
          <t>On/off-farm irrigation</t>
        </is>
      </c>
      <c r="N53" s="42" t="inlineStr">
        <is>
          <t>2.Remain contracts_On&amp;off-farm</t>
        </is>
      </c>
      <c r="O53" s="42" t="inlineStr"/>
      <c r="P53" s="42" t="inlineStr"/>
      <c r="Q53" s="43" t="n">
        <v>335855.17</v>
      </c>
      <c r="R53" s="35" t="inlineStr">
        <is>
          <t>IF(AO53="","",AO53)</t>
        </is>
      </c>
      <c r="S53" s="44" t="n">
        <v>46371</v>
      </c>
      <c r="T53" s="45" t="n">
        <v>9.199999999999999</v>
      </c>
      <c r="U53" s="44" t="n">
        <v>46651</v>
      </c>
      <c r="V53" s="35" t="inlineStr">
        <is>
          <t>IF(U53&lt;&gt;"",U53,IF(OR(R53="",T53=""),"",EDATE(R53,T53)))</t>
        </is>
      </c>
      <c r="W53" s="44" t="n"/>
      <c r="X53" s="45" t="n"/>
      <c r="Y53" s="42" t="inlineStr">
        <is>
          <t>Retendered (Re-ITB)</t>
        </is>
      </c>
      <c r="Z53" s="42" t="inlineStr">
        <is>
          <t>Three months slack period Jan-Mar during winter. Eight months construction period required for two canals. Explore possibility of BAFO and split to 2 contracts based on the outcome of the reITB</t>
        </is>
      </c>
      <c r="AA53" s="32" t="inlineStr">
        <is>
          <t>IF(E53="","",IF(COUNT(AG53:AT53)=0,IF(Y53="","Not started",Y53),SUBSTITUTE(LOOKUP(2,1/(AG53:AT53&lt;&gt;""),$AG$3:$AT$3),"Date: ","")))</t>
        </is>
      </c>
      <c r="AB53" s="38" t="inlineStr">
        <is>
          <t>IF(OR(E53="",COUNT(AG53:AT53)=0),"",TODAY()-LOOKUP(2,1/(AG53:AT53&lt;&gt;""),AG53:AT53))</t>
        </is>
      </c>
      <c r="AC53" s="38" t="inlineStr">
        <is>
          <t>IF(OR(E53="",COUNT(AG53:AT53)&lt;2),"",LOOKUP(2,1/(AG53:AT53&lt;&gt;""),AG53:AT53)-MIN(AG53:AT53))</t>
        </is>
      </c>
      <c r="AD53" s="38" t="inlineStr">
        <is>
          <t>IF(OR(AB53="",AA53="Not started",AA53=""),"",IFERROR(AB53-IF(VLOOKUP(AA53,'04_Status_Pipeline'!$B$3:$E$20,4,FALSE)="",0,VLOOKUP(AA53,'04_Status_Pipeline'!$B$3:$E$20,4,FALSE)),""))</t>
        </is>
      </c>
      <c r="AE53" s="32" t="inlineStr">
        <is>
          <t>IF(E53="","",IF(OR(Y53="Cancelled",AA53="Cancelled"),"Cancelled",IF(OR(AA53="Completed / Handover",W53&lt;&gt;"",X53&gt;=100),"Completed — on track",IF(L53="Remaining",IF(S53="",IF(V53="","No planned date",IF(TODAY()&gt;V53,"Behind — past planned date",IF(V53-TODAY()&lt;=30,"At risk — close to off track","On track"))),IF(TODAY()&gt;S53,"Behind — award date passed",IF(S53-TODAY()&lt;=30,"At risk — close to off track","On track"))),IF(V53="","No planned date",IF(AND(TODAY()&gt;V53,OR(X53="",X53&lt;100)),"Behind — past end date",IF(AND(R53&lt;&gt;"",V53&lt;&gt;"",X53&lt;&gt;"",(X53&lt;100),((TODAY()-R53)/MAX(V53-R53,1)*100)-X53&gt;15),"Behind — progress lag",IF(AND(V53-TODAY()&lt;=30,V53-TODAY()&gt;=0,OR(X53="",X53&lt;90)),"At risk — close to off track","On track"))))))))</t>
        </is>
      </c>
      <c r="AF53" s="38" t="inlineStr">
        <is>
          <t>IF(OR(E53="",AA53="Completed / Handover",AA53="Cancelled"),"",IF(L53="Remaining",IF(S53&lt;&gt;"",S53-TODAY(),IF(V53="","",V53-TODAY())),IF(V53="","",V53-TODAY())))</t>
        </is>
      </c>
      <c r="AG53" s="44" t="n"/>
      <c r="AH53" s="44" t="n"/>
      <c r="AI53" s="44" t="n"/>
      <c r="AJ53" s="44" t="n"/>
      <c r="AK53" s="44" t="n"/>
      <c r="AL53" s="44" t="n"/>
      <c r="AM53" s="44" t="n"/>
      <c r="AN53" s="44" t="n"/>
      <c r="AO53" s="44" t="n"/>
      <c r="AP53" s="44" t="n"/>
      <c r="AQ53" s="44" t="n"/>
      <c r="AR53" s="40" t="n"/>
      <c r="AS53" s="40" t="n"/>
      <c r="AT53" s="40" t="n"/>
      <c r="AU53" s="38" t="inlineStr">
        <is>
          <t>IF(OR(E53="",AH53=""),"",IF(COUNT(AG53:AG53)=0,"",AH53-LOOKUP(2,1/(AG53:AG53&lt;&gt;""),AG53:AG53)))</t>
        </is>
      </c>
      <c r="AV53" s="38" t="inlineStr">
        <is>
          <t>IF(OR(E53="",AI53=""),"",IF(COUNT(AG53:AH53)=0,"",AI53-LOOKUP(2,1/(AG53:AH53&lt;&gt;""),AG53:AH53)))</t>
        </is>
      </c>
      <c r="AW53" s="38" t="inlineStr">
        <is>
          <t>IF(OR(E53="",AJ53=""),"",IF(COUNT(AG53:AI53)=0,"",AJ53-LOOKUP(2,1/(AG53:AI53&lt;&gt;""),AG53:AI53)))</t>
        </is>
      </c>
      <c r="AX53" s="38" t="inlineStr">
        <is>
          <t>IF(OR(E53="",AK53=""),"",IF(COUNT(AG53:AJ53)=0,"",AK53-LOOKUP(2,1/(AG53:AJ53&lt;&gt;""),AG53:AJ53)))</t>
        </is>
      </c>
      <c r="AY53" s="38" t="inlineStr">
        <is>
          <t>IF(OR(E53="",AL53=""),"",IF(COUNT(AG53:AK53)=0,"",AL53-LOOKUP(2,1/(AG53:AK53&lt;&gt;""),AG53:AK53)))</t>
        </is>
      </c>
      <c r="AZ53" s="38" t="inlineStr">
        <is>
          <t>IF(OR(E53="",AM53=""),"",IF(COUNT(AG53:AL53)=0,"",AM53-LOOKUP(2,1/(AG53:AL53&lt;&gt;""),AG53:AL53)))</t>
        </is>
      </c>
      <c r="BA53" s="38" t="inlineStr">
        <is>
          <t>IF(OR(E53="",AN53=""),"",IF(COUNT(AG53:AM53)=0,"",AN53-LOOKUP(2,1/(AG53:AM53&lt;&gt;""),AG53:AM53)))</t>
        </is>
      </c>
      <c r="BB53" s="38" t="inlineStr">
        <is>
          <t>IF(OR(E53="",AO53=""),"",IF(COUNT(AG53:AN53)=0,"",AO53-LOOKUP(2,1/(AG53:AN53&lt;&gt;""),AG53:AN53)))</t>
        </is>
      </c>
      <c r="BC53" s="38" t="inlineStr">
        <is>
          <t>IF(OR(E53="",AP53=""),"",IF(COUNT(AG53:AO53)=0,"",AP53-LOOKUP(2,1/(AG53:AO53&lt;&gt;""),AG53:AO53)))</t>
        </is>
      </c>
      <c r="BD53" s="38" t="inlineStr">
        <is>
          <t>IF(OR(E53="",AQ53=""),"",IF(COUNT(AG53:AP53)=0,"",AQ53-LOOKUP(2,1/(AG53:AP53&lt;&gt;""),AG53:AP53)))</t>
        </is>
      </c>
      <c r="BE53" s="38" t="inlineStr">
        <is>
          <t>IF(OR(E53="",AR53=""),"",IF(COUNT(AG53:AQ53)=0,"",AR53-LOOKUP(2,1/(AG53:AQ53&lt;&gt;""),AG53:AQ53)))</t>
        </is>
      </c>
      <c r="BF53" s="38" t="inlineStr">
        <is>
          <t>IF(OR(E53="",AS53=""),"",IF(COUNT(AG53:AR53)=0,"",AS53-LOOKUP(2,1/(AG53:AR53&lt;&gt;""),AG53:AR53)))</t>
        </is>
      </c>
      <c r="BG53" s="38" t="inlineStr">
        <is>
          <t>IF(OR(E53="",AT53=""),"",IF(COUNT(AG53:AS53)=0,"",AT53-LOOKUP(2,1/(AG53:AS53&lt;&gt;""),AG53:AS53)))</t>
        </is>
      </c>
      <c r="BH53" s="41" t="inlineStr">
        <is>
          <t>IF(G53="","All_Provinces",IFERROR(VLOOKUP(G53,'07_Lookups'!$A$4:$B$20,2,FALSE),"All_Provinces"))</t>
        </is>
      </c>
      <c r="BI53" s="41" t="inlineStr">
        <is>
          <t>IF(H53="","All_Districts",IFERROR(VLOOKUP(H53,'07_Lookups'!$E$4:$F$42,2,FALSE),"All_Districts"))</t>
        </is>
      </c>
    </row>
    <row r="54" ht="18" customHeight="1">
      <c r="A54" s="32" t="inlineStr">
        <is>
          <t>IF(E54="","",ROW()-3)</t>
        </is>
      </c>
      <c r="B54" s="33" t="inlineStr">
        <is>
          <t>AF2-IS-R-016</t>
        </is>
      </c>
      <c r="C54" s="33" t="inlineStr">
        <is>
          <t>Emergency Food Security Project (EFSP) – WBK/AF-2</t>
        </is>
      </c>
      <c r="D54" s="33" t="inlineStr">
        <is>
          <t>Package #15-AF2 IS: Rehabilitation of Pitab joy and Sorkh Kawak Cluster Canal Irrigation scheme, located in Waras districts of Bamyan province.</t>
        </is>
      </c>
      <c r="E54" s="33" t="inlineStr">
        <is>
          <t>Sorkh Kawak Cluster canal irrigation schemce</t>
        </is>
      </c>
      <c r="F54" s="33" t="inlineStr">
        <is>
          <t>Irrigation Canal</t>
        </is>
      </c>
      <c r="G54" s="33" t="inlineStr">
        <is>
          <t>Central Highland / Bamyan</t>
        </is>
      </c>
      <c r="H54" s="33" t="inlineStr"/>
      <c r="I54" s="33" t="inlineStr"/>
      <c r="J54" s="33" t="inlineStr">
        <is>
          <t>SorKh kawak and 6 tiny villages</t>
        </is>
      </c>
      <c r="K54" s="33" t="inlineStr">
        <is>
          <t>World Bank (WBK/AF-2)</t>
        </is>
      </c>
      <c r="L54" s="33" t="inlineStr">
        <is>
          <t>Remaining</t>
        </is>
      </c>
      <c r="M54" s="33" t="inlineStr">
        <is>
          <t>On/off-farm irrigation</t>
        </is>
      </c>
      <c r="N54" s="33" t="inlineStr">
        <is>
          <t>2.Remain contracts_On&amp;off-farm</t>
        </is>
      </c>
      <c r="O54" s="33" t="inlineStr"/>
      <c r="P54" s="33" t="inlineStr"/>
      <c r="Q54" s="34" t="n">
        <v>335855.17</v>
      </c>
      <c r="R54" s="35" t="inlineStr">
        <is>
          <t>IF(AO54="","",AO54)</t>
        </is>
      </c>
      <c r="S54" s="36" t="n">
        <v>46371</v>
      </c>
      <c r="T54" s="37" t="n">
        <v>9.199999999999999</v>
      </c>
      <c r="U54" s="36" t="n">
        <v>46651</v>
      </c>
      <c r="V54" s="35" t="inlineStr">
        <is>
          <t>IF(U54&lt;&gt;"",U54,IF(OR(R54="",T54=""),"",EDATE(R54,T54)))</t>
        </is>
      </c>
      <c r="W54" s="36" t="n"/>
      <c r="X54" s="37" t="n"/>
      <c r="Y54" s="33" t="inlineStr">
        <is>
          <t>Retendered (Re-ITB)</t>
        </is>
      </c>
      <c r="Z54" s="33" t="inlineStr">
        <is>
          <t>Three months slack period Jan-Mar during winter. Eight months construction period required for two canals. Explore possibility of BAFO and split to 2 contracts based on the outcome of the reITB</t>
        </is>
      </c>
      <c r="AA54" s="32" t="inlineStr">
        <is>
          <t>IF(E54="","",IF(COUNT(AG54:AT54)=0,IF(Y54="","Not started",Y54),SUBSTITUTE(LOOKUP(2,1/(AG54:AT54&lt;&gt;""),$AG$3:$AT$3),"Date: ","")))</t>
        </is>
      </c>
      <c r="AB54" s="38" t="inlineStr">
        <is>
          <t>IF(OR(E54="",COUNT(AG54:AT54)=0),"",TODAY()-LOOKUP(2,1/(AG54:AT54&lt;&gt;""),AG54:AT54))</t>
        </is>
      </c>
      <c r="AC54" s="38" t="inlineStr">
        <is>
          <t>IF(OR(E54="",COUNT(AG54:AT54)&lt;2),"",LOOKUP(2,1/(AG54:AT54&lt;&gt;""),AG54:AT54)-MIN(AG54:AT54))</t>
        </is>
      </c>
      <c r="AD54" s="38" t="inlineStr">
        <is>
          <t>IF(OR(AB54="",AA54="Not started",AA54=""),"",IFERROR(AB54-IF(VLOOKUP(AA54,'04_Status_Pipeline'!$B$3:$E$20,4,FALSE)="",0,VLOOKUP(AA54,'04_Status_Pipeline'!$B$3:$E$20,4,FALSE)),""))</t>
        </is>
      </c>
      <c r="AE54" s="32" t="inlineStr">
        <is>
          <t>IF(E54="","",IF(OR(Y54="Cancelled",AA54="Cancelled"),"Cancelled",IF(OR(AA54="Completed / Handover",W54&lt;&gt;"",X54&gt;=100),"Completed — on track",IF(L54="Remaining",IF(S54="",IF(V54="","No planned date",IF(TODAY()&gt;V54,"Behind — past planned date",IF(V54-TODAY()&lt;=30,"At risk — close to off track","On track"))),IF(TODAY()&gt;S54,"Behind — award date passed",IF(S54-TODAY()&lt;=30,"At risk — close to off track","On track"))),IF(V54="","No planned date",IF(AND(TODAY()&gt;V54,OR(X54="",X54&lt;100)),"Behind — past end date",IF(AND(R54&lt;&gt;"",V54&lt;&gt;"",X54&lt;&gt;"",(X54&lt;100),((TODAY()-R54)/MAX(V54-R54,1)*100)-X54&gt;15),"Behind — progress lag",IF(AND(V54-TODAY()&lt;=30,V54-TODAY()&gt;=0,OR(X54="",X54&lt;90)),"At risk — close to off track","On track"))))))))</t>
        </is>
      </c>
      <c r="AF54" s="38" t="inlineStr">
        <is>
          <t>IF(OR(E54="",AA54="Completed / Handover",AA54="Cancelled"),"",IF(L54="Remaining",IF(S54&lt;&gt;"",S54-TODAY(),IF(V54="","",V54-TODAY())),IF(V54="","",V54-TODAY())))</t>
        </is>
      </c>
      <c r="AG54" s="36" t="n"/>
      <c r="AH54" s="36" t="n"/>
      <c r="AI54" s="36" t="n"/>
      <c r="AJ54" s="36" t="n"/>
      <c r="AK54" s="36" t="n"/>
      <c r="AL54" s="36" t="n"/>
      <c r="AM54" s="36" t="n"/>
      <c r="AN54" s="36" t="n"/>
      <c r="AO54" s="36" t="n"/>
      <c r="AP54" s="36" t="n"/>
      <c r="AQ54" s="36" t="n"/>
      <c r="AR54" s="40" t="n"/>
      <c r="AS54" s="40" t="n"/>
      <c r="AT54" s="40" t="n"/>
      <c r="AU54" s="38" t="inlineStr">
        <is>
          <t>IF(OR(E54="",AH54=""),"",IF(COUNT(AG54:AG54)=0,"",AH54-LOOKUP(2,1/(AG54:AG54&lt;&gt;""),AG54:AG54)))</t>
        </is>
      </c>
      <c r="AV54" s="38" t="inlineStr">
        <is>
          <t>IF(OR(E54="",AI54=""),"",IF(COUNT(AG54:AH54)=0,"",AI54-LOOKUP(2,1/(AG54:AH54&lt;&gt;""),AG54:AH54)))</t>
        </is>
      </c>
      <c r="AW54" s="38" t="inlineStr">
        <is>
          <t>IF(OR(E54="",AJ54=""),"",IF(COUNT(AG54:AI54)=0,"",AJ54-LOOKUP(2,1/(AG54:AI54&lt;&gt;""),AG54:AI54)))</t>
        </is>
      </c>
      <c r="AX54" s="38" t="inlineStr">
        <is>
          <t>IF(OR(E54="",AK54=""),"",IF(COUNT(AG54:AJ54)=0,"",AK54-LOOKUP(2,1/(AG54:AJ54&lt;&gt;""),AG54:AJ54)))</t>
        </is>
      </c>
      <c r="AY54" s="38" t="inlineStr">
        <is>
          <t>IF(OR(E54="",AL54=""),"",IF(COUNT(AG54:AK54)=0,"",AL54-LOOKUP(2,1/(AG54:AK54&lt;&gt;""),AG54:AK54)))</t>
        </is>
      </c>
      <c r="AZ54" s="38" t="inlineStr">
        <is>
          <t>IF(OR(E54="",AM54=""),"",IF(COUNT(AG54:AL54)=0,"",AM54-LOOKUP(2,1/(AG54:AL54&lt;&gt;""),AG54:AL54)))</t>
        </is>
      </c>
      <c r="BA54" s="38" t="inlineStr">
        <is>
          <t>IF(OR(E54="",AN54=""),"",IF(COUNT(AG54:AM54)=0,"",AN54-LOOKUP(2,1/(AG54:AM54&lt;&gt;""),AG54:AM54)))</t>
        </is>
      </c>
      <c r="BB54" s="38" t="inlineStr">
        <is>
          <t>IF(OR(E54="",AO54=""),"",IF(COUNT(AG54:AN54)=0,"",AO54-LOOKUP(2,1/(AG54:AN54&lt;&gt;""),AG54:AN54)))</t>
        </is>
      </c>
      <c r="BC54" s="38" t="inlineStr">
        <is>
          <t>IF(OR(E54="",AP54=""),"",IF(COUNT(AG54:AO54)=0,"",AP54-LOOKUP(2,1/(AG54:AO54&lt;&gt;""),AG54:AO54)))</t>
        </is>
      </c>
      <c r="BD54" s="38" t="inlineStr">
        <is>
          <t>IF(OR(E54="",AQ54=""),"",IF(COUNT(AG54:AP54)=0,"",AQ54-LOOKUP(2,1/(AG54:AP54&lt;&gt;""),AG54:AP54)))</t>
        </is>
      </c>
      <c r="BE54" s="38" t="inlineStr">
        <is>
          <t>IF(OR(E54="",AR54=""),"",IF(COUNT(AG54:AQ54)=0,"",AR54-LOOKUP(2,1/(AG54:AQ54&lt;&gt;""),AG54:AQ54)))</t>
        </is>
      </c>
      <c r="BF54" s="38" t="inlineStr">
        <is>
          <t>IF(OR(E54="",AS54=""),"",IF(COUNT(AG54:AR54)=0,"",AS54-LOOKUP(2,1/(AG54:AR54&lt;&gt;""),AG54:AR54)))</t>
        </is>
      </c>
      <c r="BG54" s="38" t="inlineStr">
        <is>
          <t>IF(OR(E54="",AT54=""),"",IF(COUNT(AG54:AS54)=0,"",AT54-LOOKUP(2,1/(AG54:AS54&lt;&gt;""),AG54:AS54)))</t>
        </is>
      </c>
      <c r="BH54" s="41" t="inlineStr">
        <is>
          <t>IF(G54="","All_Provinces",IFERROR(VLOOKUP(G54,'07_Lookups'!$A$4:$B$20,2,FALSE),"All_Provinces"))</t>
        </is>
      </c>
      <c r="BI54" s="41" t="inlineStr">
        <is>
          <t>IF(H54="","All_Districts",IFERROR(VLOOKUP(H54,'07_Lookups'!$E$4:$F$42,2,FALSE),"All_Districts"))</t>
        </is>
      </c>
    </row>
    <row r="55" ht="18" customHeight="1">
      <c r="A55" s="32" t="inlineStr">
        <is>
          <t>IF(E55="","",ROW()-3)</t>
        </is>
      </c>
      <c r="B55" s="42" t="inlineStr">
        <is>
          <t>AF2-IS-R-017</t>
        </is>
      </c>
      <c r="C55" s="42" t="inlineStr">
        <is>
          <t>Emergency Food Security Project (EFSP) – WBK/AF-2</t>
        </is>
      </c>
      <c r="D55" s="42" t="inlineStr">
        <is>
          <t>Package #17-AF2 IS: Rehabilitation of Hezhdi- Nilli, Zard Nai Cluster Canal irrigation schemes, located in Sharrisatan and Nilli districts of Daykundi province.</t>
        </is>
      </c>
      <c r="E55" s="42" t="inlineStr">
        <is>
          <t>Hezhdi- Nilli, Zard Nai Charsapan Cluster Canal irrigation schemes</t>
        </is>
      </c>
      <c r="F55" s="42" t="inlineStr">
        <is>
          <t>Irrigation Canal</t>
        </is>
      </c>
      <c r="G55" s="42" t="inlineStr">
        <is>
          <t>Central Highland / Bamyan</t>
        </is>
      </c>
      <c r="H55" s="42" t="inlineStr">
        <is>
          <t>Daykundi</t>
        </is>
      </c>
      <c r="I55" s="42" t="inlineStr">
        <is>
          <t>Shahristan and Nilli</t>
        </is>
      </c>
      <c r="J55" s="42" t="inlineStr">
        <is>
          <t>Zaednai Payeen, Zardnai Bala, hizhdi</t>
        </is>
      </c>
      <c r="K55" s="42" t="inlineStr">
        <is>
          <t>World Bank (WBK/AF-2)</t>
        </is>
      </c>
      <c r="L55" s="42" t="inlineStr">
        <is>
          <t>Remaining</t>
        </is>
      </c>
      <c r="M55" s="42" t="inlineStr">
        <is>
          <t>On/off-farm irrigation</t>
        </is>
      </c>
      <c r="N55" s="42" t="inlineStr">
        <is>
          <t>2.Remain contracts_On&amp;off-farm</t>
        </is>
      </c>
      <c r="O55" s="42" t="inlineStr"/>
      <c r="P55" s="42" t="inlineStr"/>
      <c r="Q55" s="43" t="n">
        <v>352618.42</v>
      </c>
      <c r="R55" s="35" t="inlineStr">
        <is>
          <t>IF(AO55="","",AO55)</t>
        </is>
      </c>
      <c r="S55" s="44" t="n">
        <v>46371</v>
      </c>
      <c r="T55" s="45" t="n">
        <v>9.4</v>
      </c>
      <c r="U55" s="44" t="n">
        <v>46656</v>
      </c>
      <c r="V55" s="35" t="inlineStr">
        <is>
          <t>IF(U55&lt;&gt;"",U55,IF(OR(R55="",T55=""),"",EDATE(R55,T55)))</t>
        </is>
      </c>
      <c r="W55" s="44" t="n"/>
      <c r="X55" s="45" t="n"/>
      <c r="Y55" s="42" t="inlineStr">
        <is>
          <t>Under LTO Review</t>
        </is>
      </c>
      <c r="Z55" s="42" t="inlineStr">
        <is>
          <t>2.5 months slack period Mid Jan-Mar during winter. Eight months construction period required for the cluster canals in two districts. Explore possibility of 2 lots for PR and contract award</t>
        </is>
      </c>
      <c r="AA55" s="32" t="inlineStr">
        <is>
          <t>IF(E55="","",IF(COUNT(AG55:AT55)=0,IF(Y55="","Not started",Y55),SUBSTITUTE(LOOKUP(2,1/(AG55:AT55&lt;&gt;""),$AG$3:$AT$3),"Date: ","")))</t>
        </is>
      </c>
      <c r="AB55" s="38" t="inlineStr">
        <is>
          <t>IF(OR(E55="",COUNT(AG55:AT55)=0),"",TODAY()-LOOKUP(2,1/(AG55:AT55&lt;&gt;""),AG55:AT55))</t>
        </is>
      </c>
      <c r="AC55" s="38" t="inlineStr">
        <is>
          <t>IF(OR(E55="",COUNT(AG55:AT55)&lt;2),"",LOOKUP(2,1/(AG55:AT55&lt;&gt;""),AG55:AT55)-MIN(AG55:AT55))</t>
        </is>
      </c>
      <c r="AD55" s="38" t="inlineStr">
        <is>
          <t>IF(OR(AB55="",AA55="Not started",AA55=""),"",IFERROR(AB55-IF(VLOOKUP(AA55,'04_Status_Pipeline'!$B$3:$E$20,4,FALSE)="",0,VLOOKUP(AA55,'04_Status_Pipeline'!$B$3:$E$20,4,FALSE)),""))</t>
        </is>
      </c>
      <c r="AE55" s="32" t="inlineStr">
        <is>
          <t>IF(E55="","",IF(OR(Y55="Cancelled",AA55="Cancelled"),"Cancelled",IF(OR(AA55="Completed / Handover",W55&lt;&gt;"",X55&gt;=100),"Completed — on track",IF(L55="Remaining",IF(S55="",IF(V55="","No planned date",IF(TODAY()&gt;V55,"Behind — past planned date",IF(V55-TODAY()&lt;=30,"At risk — close to off track","On track"))),IF(TODAY()&gt;S55,"Behind — award date passed",IF(S55-TODAY()&lt;=30,"At risk — close to off track","On track"))),IF(V55="","No planned date",IF(AND(TODAY()&gt;V55,OR(X55="",X55&lt;100)),"Behind — past end date",IF(AND(R55&lt;&gt;"",V55&lt;&gt;"",X55&lt;&gt;"",(X55&lt;100),((TODAY()-R55)/MAX(V55-R55,1)*100)-X55&gt;15),"Behind — progress lag",IF(AND(V55-TODAY()&lt;=30,V55-TODAY()&gt;=0,OR(X55="",X55&lt;90)),"At risk — close to off track","On track"))))))))</t>
        </is>
      </c>
      <c r="AF55" s="38" t="inlineStr">
        <is>
          <t>IF(OR(E55="",AA55="Completed / Handover",AA55="Cancelled"),"",IF(L55="Remaining",IF(S55&lt;&gt;"",S55-TODAY(),IF(V55="","",V55-TODAY())),IF(V55="","",V55-TODAY())))</t>
        </is>
      </c>
      <c r="AG55" s="44" t="n"/>
      <c r="AH55" s="44" t="n"/>
      <c r="AI55" s="44" t="n"/>
      <c r="AJ55" s="44" t="n"/>
      <c r="AK55" s="44" t="n"/>
      <c r="AL55" s="44" t="n"/>
      <c r="AM55" s="44" t="n"/>
      <c r="AN55" s="44" t="n"/>
      <c r="AO55" s="44" t="n"/>
      <c r="AP55" s="44" t="n"/>
      <c r="AQ55" s="44" t="n"/>
      <c r="AR55" s="40" t="n"/>
      <c r="AS55" s="40" t="n"/>
      <c r="AT55" s="40" t="n"/>
      <c r="AU55" s="38" t="inlineStr">
        <is>
          <t>IF(OR(E55="",AH55=""),"",IF(COUNT(AG55:AG55)=0,"",AH55-LOOKUP(2,1/(AG55:AG55&lt;&gt;""),AG55:AG55)))</t>
        </is>
      </c>
      <c r="AV55" s="38" t="inlineStr">
        <is>
          <t>IF(OR(E55="",AI55=""),"",IF(COUNT(AG55:AH55)=0,"",AI55-LOOKUP(2,1/(AG55:AH55&lt;&gt;""),AG55:AH55)))</t>
        </is>
      </c>
      <c r="AW55" s="38" t="inlineStr">
        <is>
          <t>IF(OR(E55="",AJ55=""),"",IF(COUNT(AG55:AI55)=0,"",AJ55-LOOKUP(2,1/(AG55:AI55&lt;&gt;""),AG55:AI55)))</t>
        </is>
      </c>
      <c r="AX55" s="38" t="inlineStr">
        <is>
          <t>IF(OR(E55="",AK55=""),"",IF(COUNT(AG55:AJ55)=0,"",AK55-LOOKUP(2,1/(AG55:AJ55&lt;&gt;""),AG55:AJ55)))</t>
        </is>
      </c>
      <c r="AY55" s="38" t="inlineStr">
        <is>
          <t>IF(OR(E55="",AL55=""),"",IF(COUNT(AG55:AK55)=0,"",AL55-LOOKUP(2,1/(AG55:AK55&lt;&gt;""),AG55:AK55)))</t>
        </is>
      </c>
      <c r="AZ55" s="38" t="inlineStr">
        <is>
          <t>IF(OR(E55="",AM55=""),"",IF(COUNT(AG55:AL55)=0,"",AM55-LOOKUP(2,1/(AG55:AL55&lt;&gt;""),AG55:AL55)))</t>
        </is>
      </c>
      <c r="BA55" s="38" t="inlineStr">
        <is>
          <t>IF(OR(E55="",AN55=""),"",IF(COUNT(AG55:AM55)=0,"",AN55-LOOKUP(2,1/(AG55:AM55&lt;&gt;""),AG55:AM55)))</t>
        </is>
      </c>
      <c r="BB55" s="38" t="inlineStr">
        <is>
          <t>IF(OR(E55="",AO55=""),"",IF(COUNT(AG55:AN55)=0,"",AO55-LOOKUP(2,1/(AG55:AN55&lt;&gt;""),AG55:AN55)))</t>
        </is>
      </c>
      <c r="BC55" s="38" t="inlineStr">
        <is>
          <t>IF(OR(E55="",AP55=""),"",IF(COUNT(AG55:AO55)=0,"",AP55-LOOKUP(2,1/(AG55:AO55&lt;&gt;""),AG55:AO55)))</t>
        </is>
      </c>
      <c r="BD55" s="38" t="inlineStr">
        <is>
          <t>IF(OR(E55="",AQ55=""),"",IF(COUNT(AG55:AP55)=0,"",AQ55-LOOKUP(2,1/(AG55:AP55&lt;&gt;""),AG55:AP55)))</t>
        </is>
      </c>
      <c r="BE55" s="38" t="inlineStr">
        <is>
          <t>IF(OR(E55="",AR55=""),"",IF(COUNT(AG55:AQ55)=0,"",AR55-LOOKUP(2,1/(AG55:AQ55&lt;&gt;""),AG55:AQ55)))</t>
        </is>
      </c>
      <c r="BF55" s="38" t="inlineStr">
        <is>
          <t>IF(OR(E55="",AS55=""),"",IF(COUNT(AG55:AR55)=0,"",AS55-LOOKUP(2,1/(AG55:AR55&lt;&gt;""),AG55:AR55)))</t>
        </is>
      </c>
      <c r="BG55" s="38" t="inlineStr">
        <is>
          <t>IF(OR(E55="",AT55=""),"",IF(COUNT(AG55:AS55)=0,"",AT55-LOOKUP(2,1/(AG55:AS55&lt;&gt;""),AG55:AS55)))</t>
        </is>
      </c>
      <c r="BH55" s="41" t="inlineStr">
        <is>
          <t>IF(G55="","All_Provinces",IFERROR(VLOOKUP(G55,'07_Lookups'!$A$4:$B$20,2,FALSE),"All_Provinces"))</t>
        </is>
      </c>
      <c r="BI55" s="41" t="inlineStr">
        <is>
          <t>IF(H55="","All_Districts",IFERROR(VLOOKUP(H55,'07_Lookups'!$E$4:$F$42,2,FALSE),"All_Districts"))</t>
        </is>
      </c>
    </row>
    <row r="56" ht="18" customHeight="1">
      <c r="A56" s="32" t="inlineStr">
        <is>
          <t>IF(E56="","",ROW()-3)</t>
        </is>
      </c>
      <c r="B56" s="33" t="inlineStr">
        <is>
          <t>AF2-IS-R-018</t>
        </is>
      </c>
      <c r="C56" s="33" t="inlineStr">
        <is>
          <t>Emergency Food Security Project (EFSP) – WBK/AF-2</t>
        </is>
      </c>
      <c r="D56" s="33" t="inlineStr">
        <is>
          <t>Package #18-AF2 IS: Rehabilitation of Drang canal irrigation schemes, located in Zurmat district of Paktya province.</t>
        </is>
      </c>
      <c r="E56" s="33" t="inlineStr">
        <is>
          <t>Drang canal irrigation Scheme (On-FWM Project)</t>
        </is>
      </c>
      <c r="F56" s="33" t="inlineStr">
        <is>
          <t>Irrigation Canal</t>
        </is>
      </c>
      <c r="G56" s="33" t="inlineStr">
        <is>
          <t>Central Highland / Bamyan</t>
        </is>
      </c>
      <c r="H56" s="33" t="inlineStr">
        <is>
          <t>Paktya</t>
        </is>
      </c>
      <c r="I56" s="33" t="inlineStr">
        <is>
          <t>Zurmat</t>
        </is>
      </c>
      <c r="J56" s="33" t="inlineStr">
        <is>
          <t>Drang</t>
        </is>
      </c>
      <c r="K56" s="33" t="inlineStr">
        <is>
          <t>World Bank (WBK/AF-2)</t>
        </is>
      </c>
      <c r="L56" s="33" t="inlineStr">
        <is>
          <t>Remaining</t>
        </is>
      </c>
      <c r="M56" s="33" t="inlineStr">
        <is>
          <t>On/off-farm irrigation</t>
        </is>
      </c>
      <c r="N56" s="33" t="inlineStr">
        <is>
          <t>2.Remain contracts_On&amp;off-farm</t>
        </is>
      </c>
      <c r="O56" s="33" t="inlineStr"/>
      <c r="P56" s="33" t="inlineStr"/>
      <c r="Q56" s="34" t="n">
        <v>393953</v>
      </c>
      <c r="R56" s="35" t="inlineStr">
        <is>
          <t>IF(AO56="","",AO56)</t>
        </is>
      </c>
      <c r="S56" s="36" t="n">
        <v>46356</v>
      </c>
      <c r="T56" s="37" t="n">
        <v>11</v>
      </c>
      <c r="U56" s="36" t="n">
        <v>46689</v>
      </c>
      <c r="V56" s="35" t="inlineStr">
        <is>
          <t>IF(U56&lt;&gt;"",U56,IF(OR(R56="",T56=""),"",EDATE(R56,T56)))</t>
        </is>
      </c>
      <c r="W56" s="36" t="n"/>
      <c r="X56" s="37" t="n"/>
      <c r="Y56" s="33" t="inlineStr">
        <is>
          <t>ITB Launched</t>
        </is>
      </c>
      <c r="Z56" s="33" t="inlineStr">
        <is>
          <t>Three months slack period Jan-Mar during winter. Nine months construction period required for the cluster canals in two districts</t>
        </is>
      </c>
      <c r="AA56" s="32" t="inlineStr">
        <is>
          <t>IF(E56="","",IF(COUNT(AG56:AT56)=0,IF(Y56="","Not started",Y56),SUBSTITUTE(LOOKUP(2,1/(AG56:AT56&lt;&gt;""),$AG$3:$AT$3),"Date: ","")))</t>
        </is>
      </c>
      <c r="AB56" s="38" t="inlineStr">
        <is>
          <t>IF(OR(E56="",COUNT(AG56:AT56)=0),"",TODAY()-LOOKUP(2,1/(AG56:AT56&lt;&gt;""),AG56:AT56))</t>
        </is>
      </c>
      <c r="AC56" s="38" t="inlineStr">
        <is>
          <t>IF(OR(E56="",COUNT(AG56:AT56)&lt;2),"",LOOKUP(2,1/(AG56:AT56&lt;&gt;""),AG56:AT56)-MIN(AG56:AT56))</t>
        </is>
      </c>
      <c r="AD56" s="38" t="inlineStr">
        <is>
          <t>IF(OR(AB56="",AA56="Not started",AA56=""),"",IFERROR(AB56-IF(VLOOKUP(AA56,'04_Status_Pipeline'!$B$3:$E$20,4,FALSE)="",0,VLOOKUP(AA56,'04_Status_Pipeline'!$B$3:$E$20,4,FALSE)),""))</t>
        </is>
      </c>
      <c r="AE56" s="32" t="inlineStr">
        <is>
          <t>IF(E56="","",IF(OR(Y56="Cancelled",AA56="Cancelled"),"Cancelled",IF(OR(AA56="Completed / Handover",W56&lt;&gt;"",X56&gt;=100),"Completed — on track",IF(L56="Remaining",IF(S56="",IF(V56="","No planned date",IF(TODAY()&gt;V56,"Behind — past planned date",IF(V56-TODAY()&lt;=30,"At risk — close to off track","On track"))),IF(TODAY()&gt;S56,"Behind — award date passed",IF(S56-TODAY()&lt;=30,"At risk — close to off track","On track"))),IF(V56="","No planned date",IF(AND(TODAY()&gt;V56,OR(X56="",X56&lt;100)),"Behind — past end date",IF(AND(R56&lt;&gt;"",V56&lt;&gt;"",X56&lt;&gt;"",(X56&lt;100),((TODAY()-R56)/MAX(V56-R56,1)*100)-X56&gt;15),"Behind — progress lag",IF(AND(V56-TODAY()&lt;=30,V56-TODAY()&gt;=0,OR(X56="",X56&lt;90)),"At risk — close to off track","On track"))))))))</t>
        </is>
      </c>
      <c r="AF56" s="38" t="inlineStr">
        <is>
          <t>IF(OR(E56="",AA56="Completed / Handover",AA56="Cancelled"),"",IF(L56="Remaining",IF(S56&lt;&gt;"",S56-TODAY(),IF(V56="","",V56-TODAY())),IF(V56="","",V56-TODAY())))</t>
        </is>
      </c>
      <c r="AG56" s="36" t="n"/>
      <c r="AH56" s="36" t="n"/>
      <c r="AI56" s="36" t="n"/>
      <c r="AJ56" s="36" t="n"/>
      <c r="AK56" s="36" t="n"/>
      <c r="AL56" s="36" t="n"/>
      <c r="AM56" s="36" t="n"/>
      <c r="AN56" s="36" t="n"/>
      <c r="AO56" s="36" t="n"/>
      <c r="AP56" s="36" t="n"/>
      <c r="AQ56" s="36" t="n"/>
      <c r="AR56" s="40" t="n"/>
      <c r="AS56" s="40" t="n"/>
      <c r="AT56" s="40" t="n"/>
      <c r="AU56" s="38" t="inlineStr">
        <is>
          <t>IF(OR(E56="",AH56=""),"",IF(COUNT(AG56:AG56)=0,"",AH56-LOOKUP(2,1/(AG56:AG56&lt;&gt;""),AG56:AG56)))</t>
        </is>
      </c>
      <c r="AV56" s="38" t="inlineStr">
        <is>
          <t>IF(OR(E56="",AI56=""),"",IF(COUNT(AG56:AH56)=0,"",AI56-LOOKUP(2,1/(AG56:AH56&lt;&gt;""),AG56:AH56)))</t>
        </is>
      </c>
      <c r="AW56" s="38" t="inlineStr">
        <is>
          <t>IF(OR(E56="",AJ56=""),"",IF(COUNT(AG56:AI56)=0,"",AJ56-LOOKUP(2,1/(AG56:AI56&lt;&gt;""),AG56:AI56)))</t>
        </is>
      </c>
      <c r="AX56" s="38" t="inlineStr">
        <is>
          <t>IF(OR(E56="",AK56=""),"",IF(COUNT(AG56:AJ56)=0,"",AK56-LOOKUP(2,1/(AG56:AJ56&lt;&gt;""),AG56:AJ56)))</t>
        </is>
      </c>
      <c r="AY56" s="38" t="inlineStr">
        <is>
          <t>IF(OR(E56="",AL56=""),"",IF(COUNT(AG56:AK56)=0,"",AL56-LOOKUP(2,1/(AG56:AK56&lt;&gt;""),AG56:AK56)))</t>
        </is>
      </c>
      <c r="AZ56" s="38" t="inlineStr">
        <is>
          <t>IF(OR(E56="",AM56=""),"",IF(COUNT(AG56:AL56)=0,"",AM56-LOOKUP(2,1/(AG56:AL56&lt;&gt;""),AG56:AL56)))</t>
        </is>
      </c>
      <c r="BA56" s="38" t="inlineStr">
        <is>
          <t>IF(OR(E56="",AN56=""),"",IF(COUNT(AG56:AM56)=0,"",AN56-LOOKUP(2,1/(AG56:AM56&lt;&gt;""),AG56:AM56)))</t>
        </is>
      </c>
      <c r="BB56" s="38" t="inlineStr">
        <is>
          <t>IF(OR(E56="",AO56=""),"",IF(COUNT(AG56:AN56)=0,"",AO56-LOOKUP(2,1/(AG56:AN56&lt;&gt;""),AG56:AN56)))</t>
        </is>
      </c>
      <c r="BC56" s="38" t="inlineStr">
        <is>
          <t>IF(OR(E56="",AP56=""),"",IF(COUNT(AG56:AO56)=0,"",AP56-LOOKUP(2,1/(AG56:AO56&lt;&gt;""),AG56:AO56)))</t>
        </is>
      </c>
      <c r="BD56" s="38" t="inlineStr">
        <is>
          <t>IF(OR(E56="",AQ56=""),"",IF(COUNT(AG56:AP56)=0,"",AQ56-LOOKUP(2,1/(AG56:AP56&lt;&gt;""),AG56:AP56)))</t>
        </is>
      </c>
      <c r="BE56" s="38" t="inlineStr">
        <is>
          <t>IF(OR(E56="",AR56=""),"",IF(COUNT(AG56:AQ56)=0,"",AR56-LOOKUP(2,1/(AG56:AQ56&lt;&gt;""),AG56:AQ56)))</t>
        </is>
      </c>
      <c r="BF56" s="38" t="inlineStr">
        <is>
          <t>IF(OR(E56="",AS56=""),"",IF(COUNT(AG56:AR56)=0,"",AS56-LOOKUP(2,1/(AG56:AR56&lt;&gt;""),AG56:AR56)))</t>
        </is>
      </c>
      <c r="BG56" s="38" t="inlineStr">
        <is>
          <t>IF(OR(E56="",AT56=""),"",IF(COUNT(AG56:AS56)=0,"",AT56-LOOKUP(2,1/(AG56:AS56&lt;&gt;""),AG56:AS56)))</t>
        </is>
      </c>
      <c r="BH56" s="41" t="inlineStr">
        <is>
          <t>IF(G56="","All_Provinces",IFERROR(VLOOKUP(G56,'07_Lookups'!$A$4:$B$20,2,FALSE),"All_Provinces"))</t>
        </is>
      </c>
      <c r="BI56" s="41" t="inlineStr">
        <is>
          <t>IF(H56="","All_Districts",IFERROR(VLOOKUP(H56,'07_Lookups'!$E$4:$F$42,2,FALSE),"All_Districts"))</t>
        </is>
      </c>
    </row>
    <row r="57" ht="18" customHeight="1">
      <c r="A57" s="32" t="inlineStr">
        <is>
          <t>IF(E57="","",ROW()-3)</t>
        </is>
      </c>
      <c r="B57" s="42" t="inlineStr">
        <is>
          <t>AF2-IS-R-019</t>
        </is>
      </c>
      <c r="C57" s="42" t="inlineStr">
        <is>
          <t>Emergency Food Security Project (EFSP) – WBK/AF-2</t>
        </is>
      </c>
      <c r="D57" s="42" t="inlineStr">
        <is>
          <t>Package # 22-AF2 IS: Rehabilitation of Gero canal irrigation scheme, located in Center and Qarabagh districts of Ghazni province.</t>
        </is>
      </c>
      <c r="E57" s="42" t="inlineStr">
        <is>
          <t>Gero Irrigation Scheme (Off &amp; On-Farm Project) Gero&amp;Qarabagh</t>
        </is>
      </c>
      <c r="F57" s="42" t="inlineStr">
        <is>
          <t>Irrigation Canal</t>
        </is>
      </c>
      <c r="G57" s="42" t="inlineStr">
        <is>
          <t>Central Highland / Bamyan</t>
        </is>
      </c>
      <c r="H57" s="42" t="inlineStr">
        <is>
          <t>Ghazni</t>
        </is>
      </c>
      <c r="I57" s="42" t="inlineStr">
        <is>
          <t>Center</t>
        </is>
      </c>
      <c r="J57" s="42" t="inlineStr">
        <is>
          <t>Gero</t>
        </is>
      </c>
      <c r="K57" s="42" t="inlineStr">
        <is>
          <t>World Bank (WBK/AF-2)</t>
        </is>
      </c>
      <c r="L57" s="42" t="inlineStr">
        <is>
          <t>Remaining</t>
        </is>
      </c>
      <c r="M57" s="42" t="inlineStr">
        <is>
          <t>On/off-farm irrigation</t>
        </is>
      </c>
      <c r="N57" s="42" t="inlineStr">
        <is>
          <t>2.Remain contracts_On&amp;off-farm</t>
        </is>
      </c>
      <c r="O57" s="42" t="inlineStr"/>
      <c r="P57" s="42" t="inlineStr"/>
      <c r="Q57" s="43" t="n">
        <v>290000</v>
      </c>
      <c r="R57" s="35" t="inlineStr">
        <is>
          <t>IF(AO57="","",AO57)</t>
        </is>
      </c>
      <c r="S57" s="44" t="n">
        <v>46384</v>
      </c>
      <c r="T57" s="45" t="n">
        <v>9.9</v>
      </c>
      <c r="U57" s="44" t="n">
        <v>46684</v>
      </c>
      <c r="V57" s="35" t="inlineStr">
        <is>
          <t>IF(U57&lt;&gt;"",U57,IF(OR(R57="",T57=""),"",EDATE(R57,T57)))</t>
        </is>
      </c>
      <c r="W57" s="44" t="n"/>
      <c r="X57" s="45" t="n"/>
      <c r="Y57" s="42" t="inlineStr">
        <is>
          <t>Under LTO Review</t>
        </is>
      </c>
      <c r="Z57" s="42" t="inlineStr">
        <is>
          <t>Three months slack period Jan-Mar during winter. Seven months construction period required for two canals in two districts</t>
        </is>
      </c>
      <c r="AA57" s="32" t="inlineStr">
        <is>
          <t>IF(E57="","",IF(COUNT(AG57:AT57)=0,IF(Y57="","Not started",Y57),SUBSTITUTE(LOOKUP(2,1/(AG57:AT57&lt;&gt;""),$AG$3:$AT$3),"Date: ","")))</t>
        </is>
      </c>
      <c r="AB57" s="38" t="inlineStr">
        <is>
          <t>IF(OR(E57="",COUNT(AG57:AT57)=0),"",TODAY()-LOOKUP(2,1/(AG57:AT57&lt;&gt;""),AG57:AT57))</t>
        </is>
      </c>
      <c r="AC57" s="38" t="inlineStr">
        <is>
          <t>IF(OR(E57="",COUNT(AG57:AT57)&lt;2),"",LOOKUP(2,1/(AG57:AT57&lt;&gt;""),AG57:AT57)-MIN(AG57:AT57))</t>
        </is>
      </c>
      <c r="AD57" s="38" t="inlineStr">
        <is>
          <t>IF(OR(AB57="",AA57="Not started",AA57=""),"",IFERROR(AB57-IF(VLOOKUP(AA57,'04_Status_Pipeline'!$B$3:$E$20,4,FALSE)="",0,VLOOKUP(AA57,'04_Status_Pipeline'!$B$3:$E$20,4,FALSE)),""))</t>
        </is>
      </c>
      <c r="AE57" s="32" t="inlineStr">
        <is>
          <t>IF(E57="","",IF(OR(Y57="Cancelled",AA57="Cancelled"),"Cancelled",IF(OR(AA57="Completed / Handover",W57&lt;&gt;"",X57&gt;=100),"Completed — on track",IF(L57="Remaining",IF(S57="",IF(V57="","No planned date",IF(TODAY()&gt;V57,"Behind — past planned date",IF(V57-TODAY()&lt;=30,"At risk — close to off track","On track"))),IF(TODAY()&gt;S57,"Behind — award date passed",IF(S57-TODAY()&lt;=30,"At risk — close to off track","On track"))),IF(V57="","No planned date",IF(AND(TODAY()&gt;V57,OR(X57="",X57&lt;100)),"Behind — past end date",IF(AND(R57&lt;&gt;"",V57&lt;&gt;"",X57&lt;&gt;"",(X57&lt;100),((TODAY()-R57)/MAX(V57-R57,1)*100)-X57&gt;15),"Behind — progress lag",IF(AND(V57-TODAY()&lt;=30,V57-TODAY()&gt;=0,OR(X57="",X57&lt;90)),"At risk — close to off track","On track"))))))))</t>
        </is>
      </c>
      <c r="AF57" s="38" t="inlineStr">
        <is>
          <t>IF(OR(E57="",AA57="Completed / Handover",AA57="Cancelled"),"",IF(L57="Remaining",IF(S57&lt;&gt;"",S57-TODAY(),IF(V57="","",V57-TODAY())),IF(V57="","",V57-TODAY())))</t>
        </is>
      </c>
      <c r="AG57" s="44" t="n"/>
      <c r="AH57" s="44" t="n"/>
      <c r="AI57" s="44" t="n"/>
      <c r="AJ57" s="44" t="n"/>
      <c r="AK57" s="44" t="n"/>
      <c r="AL57" s="44" t="n"/>
      <c r="AM57" s="44" t="n"/>
      <c r="AN57" s="44" t="n"/>
      <c r="AO57" s="44" t="n"/>
      <c r="AP57" s="44" t="n"/>
      <c r="AQ57" s="44" t="n"/>
      <c r="AR57" s="40" t="n"/>
      <c r="AS57" s="40" t="n"/>
      <c r="AT57" s="40" t="n"/>
      <c r="AU57" s="38" t="inlineStr">
        <is>
          <t>IF(OR(E57="",AH57=""),"",IF(COUNT(AG57:AG57)=0,"",AH57-LOOKUP(2,1/(AG57:AG57&lt;&gt;""),AG57:AG57)))</t>
        </is>
      </c>
      <c r="AV57" s="38" t="inlineStr">
        <is>
          <t>IF(OR(E57="",AI57=""),"",IF(COUNT(AG57:AH57)=0,"",AI57-LOOKUP(2,1/(AG57:AH57&lt;&gt;""),AG57:AH57)))</t>
        </is>
      </c>
      <c r="AW57" s="38" t="inlineStr">
        <is>
          <t>IF(OR(E57="",AJ57=""),"",IF(COUNT(AG57:AI57)=0,"",AJ57-LOOKUP(2,1/(AG57:AI57&lt;&gt;""),AG57:AI57)))</t>
        </is>
      </c>
      <c r="AX57" s="38" t="inlineStr">
        <is>
          <t>IF(OR(E57="",AK57=""),"",IF(COUNT(AG57:AJ57)=0,"",AK57-LOOKUP(2,1/(AG57:AJ57&lt;&gt;""),AG57:AJ57)))</t>
        </is>
      </c>
      <c r="AY57" s="38" t="inlineStr">
        <is>
          <t>IF(OR(E57="",AL57=""),"",IF(COUNT(AG57:AK57)=0,"",AL57-LOOKUP(2,1/(AG57:AK57&lt;&gt;""),AG57:AK57)))</t>
        </is>
      </c>
      <c r="AZ57" s="38" t="inlineStr">
        <is>
          <t>IF(OR(E57="",AM57=""),"",IF(COUNT(AG57:AL57)=0,"",AM57-LOOKUP(2,1/(AG57:AL57&lt;&gt;""),AG57:AL57)))</t>
        </is>
      </c>
      <c r="BA57" s="38" t="inlineStr">
        <is>
          <t>IF(OR(E57="",AN57=""),"",IF(COUNT(AG57:AM57)=0,"",AN57-LOOKUP(2,1/(AG57:AM57&lt;&gt;""),AG57:AM57)))</t>
        </is>
      </c>
      <c r="BB57" s="38" t="inlineStr">
        <is>
          <t>IF(OR(E57="",AO57=""),"",IF(COUNT(AG57:AN57)=0,"",AO57-LOOKUP(2,1/(AG57:AN57&lt;&gt;""),AG57:AN57)))</t>
        </is>
      </c>
      <c r="BC57" s="38" t="inlineStr">
        <is>
          <t>IF(OR(E57="",AP57=""),"",IF(COUNT(AG57:AO57)=0,"",AP57-LOOKUP(2,1/(AG57:AO57&lt;&gt;""),AG57:AO57)))</t>
        </is>
      </c>
      <c r="BD57" s="38" t="inlineStr">
        <is>
          <t>IF(OR(E57="",AQ57=""),"",IF(COUNT(AG57:AP57)=0,"",AQ57-LOOKUP(2,1/(AG57:AP57&lt;&gt;""),AG57:AP57)))</t>
        </is>
      </c>
      <c r="BE57" s="38" t="inlineStr">
        <is>
          <t>IF(OR(E57="",AR57=""),"",IF(COUNT(AG57:AQ57)=0,"",AR57-LOOKUP(2,1/(AG57:AQ57&lt;&gt;""),AG57:AQ57)))</t>
        </is>
      </c>
      <c r="BF57" s="38" t="inlineStr">
        <is>
          <t>IF(OR(E57="",AS57=""),"",IF(COUNT(AG57:AR57)=0,"",AS57-LOOKUP(2,1/(AG57:AR57&lt;&gt;""),AG57:AR57)))</t>
        </is>
      </c>
      <c r="BG57" s="38" t="inlineStr">
        <is>
          <t>IF(OR(E57="",AT57=""),"",IF(COUNT(AG57:AS57)=0,"",AT57-LOOKUP(2,1/(AG57:AS57&lt;&gt;""),AG57:AS57)))</t>
        </is>
      </c>
      <c r="BH57" s="41" t="inlineStr">
        <is>
          <t>IF(G57="","All_Provinces",IFERROR(VLOOKUP(G57,'07_Lookups'!$A$4:$B$20,2,FALSE),"All_Provinces"))</t>
        </is>
      </c>
      <c r="BI57" s="41" t="inlineStr">
        <is>
          <t>IF(H57="","All_Districts",IFERROR(VLOOKUP(H57,'07_Lookups'!$E$4:$F$42,2,FALSE),"All_Districts"))</t>
        </is>
      </c>
    </row>
    <row r="58" ht="18" customHeight="1">
      <c r="A58" s="32" t="inlineStr">
        <is>
          <t>IF(E58="","",ROW()-3)</t>
        </is>
      </c>
      <c r="B58" s="33" t="inlineStr">
        <is>
          <t>AF2-IS-R-020</t>
        </is>
      </c>
      <c r="C58" s="33" t="inlineStr">
        <is>
          <t>Emergency Food Security Project (EFSP) – WBK/AF-2</t>
        </is>
      </c>
      <c r="D58" s="33" t="inlineStr">
        <is>
          <t>Package #23-AF2 IS: Rehabilitation of Patab canal irrigation schemes, located in Khas Urozgan of Urozgan province.</t>
        </is>
      </c>
      <c r="E58" s="33" t="inlineStr">
        <is>
          <t>Patab Irrigation Schem</t>
        </is>
      </c>
      <c r="F58" s="33" t="inlineStr">
        <is>
          <t>Irrigation Canal</t>
        </is>
      </c>
      <c r="G58" s="33" t="inlineStr">
        <is>
          <t>Central Highland / Bamyan</t>
        </is>
      </c>
      <c r="H58" s="33" t="inlineStr">
        <is>
          <t>Urozgan</t>
        </is>
      </c>
      <c r="I58" s="33" t="inlineStr">
        <is>
          <t>Khas Urozgan</t>
        </is>
      </c>
      <c r="J58" s="33" t="inlineStr">
        <is>
          <t>Patab</t>
        </is>
      </c>
      <c r="K58" s="33" t="inlineStr">
        <is>
          <t>World Bank (WBK/AF-2)</t>
        </is>
      </c>
      <c r="L58" s="33" t="inlineStr">
        <is>
          <t>Remaining</t>
        </is>
      </c>
      <c r="M58" s="33" t="inlineStr">
        <is>
          <t>On/off-farm irrigation</t>
        </is>
      </c>
      <c r="N58" s="33" t="inlineStr">
        <is>
          <t>2.Remain contracts_On&amp;off-farm</t>
        </is>
      </c>
      <c r="O58" s="33" t="inlineStr"/>
      <c r="P58" s="33" t="inlineStr"/>
      <c r="Q58" s="34" t="n">
        <v>290442.55</v>
      </c>
      <c r="R58" s="35" t="inlineStr">
        <is>
          <t>IF(AO58="","",AO58)</t>
        </is>
      </c>
      <c r="S58" s="36" t="n">
        <v>46371</v>
      </c>
      <c r="T58" s="37" t="n">
        <v>8.9</v>
      </c>
      <c r="U58" s="36" t="n">
        <v>46641</v>
      </c>
      <c r="V58" s="35" t="inlineStr">
        <is>
          <t>IF(U58&lt;&gt;"",U58,IF(OR(R58="",T58=""),"",EDATE(R58,T58)))</t>
        </is>
      </c>
      <c r="W58" s="36" t="n"/>
      <c r="X58" s="37" t="n"/>
      <c r="Y58" s="33" t="inlineStr">
        <is>
          <t>Retendered (Re-ITB)</t>
        </is>
      </c>
      <c r="Z58" s="33" t="inlineStr">
        <is>
          <t>The submitted work plan to be revised</t>
        </is>
      </c>
      <c r="AA58" s="32" t="inlineStr">
        <is>
          <t>IF(E58="","",IF(COUNT(AG58:AT58)=0,IF(Y58="","Not started",Y58),SUBSTITUTE(LOOKUP(2,1/(AG58:AT58&lt;&gt;""),$AG$3:$AT$3),"Date: ","")))</t>
        </is>
      </c>
      <c r="AB58" s="38" t="inlineStr">
        <is>
          <t>IF(OR(E58="",COUNT(AG58:AT58)=0),"",TODAY()-LOOKUP(2,1/(AG58:AT58&lt;&gt;""),AG58:AT58))</t>
        </is>
      </c>
      <c r="AC58" s="38" t="inlineStr">
        <is>
          <t>IF(OR(E58="",COUNT(AG58:AT58)&lt;2),"",LOOKUP(2,1/(AG58:AT58&lt;&gt;""),AG58:AT58)-MIN(AG58:AT58))</t>
        </is>
      </c>
      <c r="AD58" s="38" t="inlineStr">
        <is>
          <t>IF(OR(AB58="",AA58="Not started",AA58=""),"",IFERROR(AB58-IF(VLOOKUP(AA58,'04_Status_Pipeline'!$B$3:$E$20,4,FALSE)="",0,VLOOKUP(AA58,'04_Status_Pipeline'!$B$3:$E$20,4,FALSE)),""))</t>
        </is>
      </c>
      <c r="AE58" s="32" t="inlineStr">
        <is>
          <t>IF(E58="","",IF(OR(Y58="Cancelled",AA58="Cancelled"),"Cancelled",IF(OR(AA58="Completed / Handover",W58&lt;&gt;"",X58&gt;=100),"Completed — on track",IF(L58="Remaining",IF(S58="",IF(V58="","No planned date",IF(TODAY()&gt;V58,"Behind — past planned date",IF(V58-TODAY()&lt;=30,"At risk — close to off track","On track"))),IF(TODAY()&gt;S58,"Behind — award date passed",IF(S58-TODAY()&lt;=30,"At risk — close to off track","On track"))),IF(V58="","No planned date",IF(AND(TODAY()&gt;V58,OR(X58="",X58&lt;100)),"Behind — past end date",IF(AND(R58&lt;&gt;"",V58&lt;&gt;"",X58&lt;&gt;"",(X58&lt;100),((TODAY()-R58)/MAX(V58-R58,1)*100)-X58&gt;15),"Behind — progress lag",IF(AND(V58-TODAY()&lt;=30,V58-TODAY()&gt;=0,OR(X58="",X58&lt;90)),"At risk — close to off track","On track"))))))))</t>
        </is>
      </c>
      <c r="AF58" s="38" t="inlineStr">
        <is>
          <t>IF(OR(E58="",AA58="Completed / Handover",AA58="Cancelled"),"",IF(L58="Remaining",IF(S58&lt;&gt;"",S58-TODAY(),IF(V58="","",V58-TODAY())),IF(V58="","",V58-TODAY())))</t>
        </is>
      </c>
      <c r="AG58" s="36" t="n"/>
      <c r="AH58" s="36" t="n"/>
      <c r="AI58" s="36" t="n"/>
      <c r="AJ58" s="36" t="n"/>
      <c r="AK58" s="36" t="n"/>
      <c r="AL58" s="36" t="n"/>
      <c r="AM58" s="36" t="n"/>
      <c r="AN58" s="36" t="n"/>
      <c r="AO58" s="36" t="n"/>
      <c r="AP58" s="36" t="n"/>
      <c r="AQ58" s="36" t="n"/>
      <c r="AR58" s="40" t="n"/>
      <c r="AS58" s="40" t="n"/>
      <c r="AT58" s="40" t="n"/>
      <c r="AU58" s="38" t="inlineStr">
        <is>
          <t>IF(OR(E58="",AH58=""),"",IF(COUNT(AG58:AG58)=0,"",AH58-LOOKUP(2,1/(AG58:AG58&lt;&gt;""),AG58:AG58)))</t>
        </is>
      </c>
      <c r="AV58" s="38" t="inlineStr">
        <is>
          <t>IF(OR(E58="",AI58=""),"",IF(COUNT(AG58:AH58)=0,"",AI58-LOOKUP(2,1/(AG58:AH58&lt;&gt;""),AG58:AH58)))</t>
        </is>
      </c>
      <c r="AW58" s="38" t="inlineStr">
        <is>
          <t>IF(OR(E58="",AJ58=""),"",IF(COUNT(AG58:AI58)=0,"",AJ58-LOOKUP(2,1/(AG58:AI58&lt;&gt;""),AG58:AI58)))</t>
        </is>
      </c>
      <c r="AX58" s="38" t="inlineStr">
        <is>
          <t>IF(OR(E58="",AK58=""),"",IF(COUNT(AG58:AJ58)=0,"",AK58-LOOKUP(2,1/(AG58:AJ58&lt;&gt;""),AG58:AJ58)))</t>
        </is>
      </c>
      <c r="AY58" s="38" t="inlineStr">
        <is>
          <t>IF(OR(E58="",AL58=""),"",IF(COUNT(AG58:AK58)=0,"",AL58-LOOKUP(2,1/(AG58:AK58&lt;&gt;""),AG58:AK58)))</t>
        </is>
      </c>
      <c r="AZ58" s="38" t="inlineStr">
        <is>
          <t>IF(OR(E58="",AM58=""),"",IF(COUNT(AG58:AL58)=0,"",AM58-LOOKUP(2,1/(AG58:AL58&lt;&gt;""),AG58:AL58)))</t>
        </is>
      </c>
      <c r="BA58" s="38" t="inlineStr">
        <is>
          <t>IF(OR(E58="",AN58=""),"",IF(COUNT(AG58:AM58)=0,"",AN58-LOOKUP(2,1/(AG58:AM58&lt;&gt;""),AG58:AM58)))</t>
        </is>
      </c>
      <c r="BB58" s="38" t="inlineStr">
        <is>
          <t>IF(OR(E58="",AO58=""),"",IF(COUNT(AG58:AN58)=0,"",AO58-LOOKUP(2,1/(AG58:AN58&lt;&gt;""),AG58:AN58)))</t>
        </is>
      </c>
      <c r="BC58" s="38" t="inlineStr">
        <is>
          <t>IF(OR(E58="",AP58=""),"",IF(COUNT(AG58:AO58)=0,"",AP58-LOOKUP(2,1/(AG58:AO58&lt;&gt;""),AG58:AO58)))</t>
        </is>
      </c>
      <c r="BD58" s="38" t="inlineStr">
        <is>
          <t>IF(OR(E58="",AQ58=""),"",IF(COUNT(AG58:AP58)=0,"",AQ58-LOOKUP(2,1/(AG58:AP58&lt;&gt;""),AG58:AP58)))</t>
        </is>
      </c>
      <c r="BE58" s="38" t="inlineStr">
        <is>
          <t>IF(OR(E58="",AR58=""),"",IF(COUNT(AG58:AQ58)=0,"",AR58-LOOKUP(2,1/(AG58:AQ58&lt;&gt;""),AG58:AQ58)))</t>
        </is>
      </c>
      <c r="BF58" s="38" t="inlineStr">
        <is>
          <t>IF(OR(E58="",AS58=""),"",IF(COUNT(AG58:AR58)=0,"",AS58-LOOKUP(2,1/(AG58:AR58&lt;&gt;""),AG58:AR58)))</t>
        </is>
      </c>
      <c r="BG58" s="38" t="inlineStr">
        <is>
          <t>IF(OR(E58="",AT58=""),"",IF(COUNT(AG58:AS58)=0,"",AT58-LOOKUP(2,1/(AG58:AS58&lt;&gt;""),AG58:AS58)))</t>
        </is>
      </c>
      <c r="BH58" s="41" t="inlineStr">
        <is>
          <t>IF(G58="","All_Provinces",IFERROR(VLOOKUP(G58,'07_Lookups'!$A$4:$B$20,2,FALSE),"All_Provinces"))</t>
        </is>
      </c>
      <c r="BI58" s="41" t="inlineStr">
        <is>
          <t>IF(H58="","All_Districts",IFERROR(VLOOKUP(H58,'07_Lookups'!$E$4:$F$42,2,FALSE),"All_Districts"))</t>
        </is>
      </c>
    </row>
    <row r="59" ht="18" customHeight="1">
      <c r="A59" s="32" t="inlineStr">
        <is>
          <t>IF(E59="","",ROW()-3)</t>
        </is>
      </c>
      <c r="B59" s="42" t="inlineStr">
        <is>
          <t>AF2-IS-R-021</t>
        </is>
      </c>
      <c r="C59" s="42" t="inlineStr">
        <is>
          <t>Emergency Food Security Project (EFSP) – WBK/AF-2</t>
        </is>
      </c>
      <c r="D59" s="42" t="inlineStr">
        <is>
          <t>Package #24-AF2 IS: Rehabilitation of Shajoy canal and Sar Nary canal irrigation schemes, located in Dayee Chopan and Arghandab districts of Zabul province.</t>
        </is>
      </c>
      <c r="E59" s="42" t="inlineStr">
        <is>
          <t>Shajoy Canal Irrigation Scheme</t>
        </is>
      </c>
      <c r="F59" s="42" t="inlineStr">
        <is>
          <t>Irrigation Canal</t>
        </is>
      </c>
      <c r="G59" s="42" t="inlineStr">
        <is>
          <t>Central Highland / Bamyan</t>
        </is>
      </c>
      <c r="H59" s="42" t="inlineStr">
        <is>
          <t>Zabul</t>
        </is>
      </c>
      <c r="I59" s="42" t="inlineStr">
        <is>
          <t>Dayee Chopan</t>
        </is>
      </c>
      <c r="J59" s="42" t="inlineStr">
        <is>
          <t>-</t>
        </is>
      </c>
      <c r="K59" s="42" t="inlineStr">
        <is>
          <t>World Bank (WBK/AF-2)</t>
        </is>
      </c>
      <c r="L59" s="42" t="inlineStr">
        <is>
          <t>Remaining</t>
        </is>
      </c>
      <c r="M59" s="42" t="inlineStr">
        <is>
          <t>On/off-farm irrigation</t>
        </is>
      </c>
      <c r="N59" s="42" t="inlineStr">
        <is>
          <t>2.Remain contracts_On&amp;off-farm</t>
        </is>
      </c>
      <c r="O59" s="42" t="inlineStr"/>
      <c r="P59" s="42" t="inlineStr"/>
      <c r="Q59" s="43" t="n">
        <v>295000</v>
      </c>
      <c r="R59" s="35" t="inlineStr">
        <is>
          <t>IF(AO59="","",AO59)</t>
        </is>
      </c>
      <c r="S59" s="44" t="n">
        <v>46376</v>
      </c>
      <c r="T59" s="45" t="n">
        <v>8.9</v>
      </c>
      <c r="U59" s="44" t="n">
        <v>46646</v>
      </c>
      <c r="V59" s="35" t="inlineStr">
        <is>
          <t>IF(U59&lt;&gt;"",U59,IF(OR(R59="",T59=""),"",EDATE(R59,T59)))</t>
        </is>
      </c>
      <c r="W59" s="44" t="n"/>
      <c r="X59" s="45" t="n"/>
      <c r="Y59" s="42" t="inlineStr">
        <is>
          <t>Under Design</t>
        </is>
      </c>
      <c r="Z59" s="42" t="inlineStr">
        <is>
          <t>Three months slack period Jan-Mar during winter. Six months construction period required for two canals in two districts. Explore splitting into two lots and if one lot ready then raise PR.</t>
        </is>
      </c>
      <c r="AA59" s="32" t="inlineStr">
        <is>
          <t>IF(E59="","",IF(COUNT(AG59:AT59)=0,IF(Y59="","Not started",Y59),SUBSTITUTE(LOOKUP(2,1/(AG59:AT59&lt;&gt;""),$AG$3:$AT$3),"Date: ","")))</t>
        </is>
      </c>
      <c r="AB59" s="38" t="inlineStr">
        <is>
          <t>IF(OR(E59="",COUNT(AG59:AT59)=0),"",TODAY()-LOOKUP(2,1/(AG59:AT59&lt;&gt;""),AG59:AT59))</t>
        </is>
      </c>
      <c r="AC59" s="38" t="inlineStr">
        <is>
          <t>IF(OR(E59="",COUNT(AG59:AT59)&lt;2),"",LOOKUP(2,1/(AG59:AT59&lt;&gt;""),AG59:AT59)-MIN(AG59:AT59))</t>
        </is>
      </c>
      <c r="AD59" s="38" t="inlineStr">
        <is>
          <t>IF(OR(AB59="",AA59="Not started",AA59=""),"",IFERROR(AB59-IF(VLOOKUP(AA59,'04_Status_Pipeline'!$B$3:$E$20,4,FALSE)="",0,VLOOKUP(AA59,'04_Status_Pipeline'!$B$3:$E$20,4,FALSE)),""))</t>
        </is>
      </c>
      <c r="AE59" s="32" t="inlineStr">
        <is>
          <t>IF(E59="","",IF(OR(Y59="Cancelled",AA59="Cancelled"),"Cancelled",IF(OR(AA59="Completed / Handover",W59&lt;&gt;"",X59&gt;=100),"Completed — on track",IF(L59="Remaining",IF(S59="",IF(V59="","No planned date",IF(TODAY()&gt;V59,"Behind — past planned date",IF(V59-TODAY()&lt;=30,"At risk — close to off track","On track"))),IF(TODAY()&gt;S59,"Behind — award date passed",IF(S59-TODAY()&lt;=30,"At risk — close to off track","On track"))),IF(V59="","No planned date",IF(AND(TODAY()&gt;V59,OR(X59="",X59&lt;100)),"Behind — past end date",IF(AND(R59&lt;&gt;"",V59&lt;&gt;"",X59&lt;&gt;"",(X59&lt;100),((TODAY()-R59)/MAX(V59-R59,1)*100)-X59&gt;15),"Behind — progress lag",IF(AND(V59-TODAY()&lt;=30,V59-TODAY()&gt;=0,OR(X59="",X59&lt;90)),"At risk — close to off track","On track"))))))))</t>
        </is>
      </c>
      <c r="AF59" s="38" t="inlineStr">
        <is>
          <t>IF(OR(E59="",AA59="Completed / Handover",AA59="Cancelled"),"",IF(L59="Remaining",IF(S59&lt;&gt;"",S59-TODAY(),IF(V59="","",V59-TODAY())),IF(V59="","",V59-TODAY())))</t>
        </is>
      </c>
      <c r="AG59" s="44" t="n"/>
      <c r="AH59" s="44" t="n"/>
      <c r="AI59" s="44" t="n"/>
      <c r="AJ59" s="44" t="n"/>
      <c r="AK59" s="44" t="n"/>
      <c r="AL59" s="44" t="n"/>
      <c r="AM59" s="44" t="n"/>
      <c r="AN59" s="44" t="n"/>
      <c r="AO59" s="44" t="n"/>
      <c r="AP59" s="44" t="n"/>
      <c r="AQ59" s="44" t="n"/>
      <c r="AR59" s="40" t="n"/>
      <c r="AS59" s="40" t="n"/>
      <c r="AT59" s="40" t="n"/>
      <c r="AU59" s="38" t="inlineStr">
        <is>
          <t>IF(OR(E59="",AH59=""),"",IF(COUNT(AG59:AG59)=0,"",AH59-LOOKUP(2,1/(AG59:AG59&lt;&gt;""),AG59:AG59)))</t>
        </is>
      </c>
      <c r="AV59" s="38" t="inlineStr">
        <is>
          <t>IF(OR(E59="",AI59=""),"",IF(COUNT(AG59:AH59)=0,"",AI59-LOOKUP(2,1/(AG59:AH59&lt;&gt;""),AG59:AH59)))</t>
        </is>
      </c>
      <c r="AW59" s="38" t="inlineStr">
        <is>
          <t>IF(OR(E59="",AJ59=""),"",IF(COUNT(AG59:AI59)=0,"",AJ59-LOOKUP(2,1/(AG59:AI59&lt;&gt;""),AG59:AI59)))</t>
        </is>
      </c>
      <c r="AX59" s="38" t="inlineStr">
        <is>
          <t>IF(OR(E59="",AK59=""),"",IF(COUNT(AG59:AJ59)=0,"",AK59-LOOKUP(2,1/(AG59:AJ59&lt;&gt;""),AG59:AJ59)))</t>
        </is>
      </c>
      <c r="AY59" s="38" t="inlineStr">
        <is>
          <t>IF(OR(E59="",AL59=""),"",IF(COUNT(AG59:AK59)=0,"",AL59-LOOKUP(2,1/(AG59:AK59&lt;&gt;""),AG59:AK59)))</t>
        </is>
      </c>
      <c r="AZ59" s="38" t="inlineStr">
        <is>
          <t>IF(OR(E59="",AM59=""),"",IF(COUNT(AG59:AL59)=0,"",AM59-LOOKUP(2,1/(AG59:AL59&lt;&gt;""),AG59:AL59)))</t>
        </is>
      </c>
      <c r="BA59" s="38" t="inlineStr">
        <is>
          <t>IF(OR(E59="",AN59=""),"",IF(COUNT(AG59:AM59)=0,"",AN59-LOOKUP(2,1/(AG59:AM59&lt;&gt;""),AG59:AM59)))</t>
        </is>
      </c>
      <c r="BB59" s="38" t="inlineStr">
        <is>
          <t>IF(OR(E59="",AO59=""),"",IF(COUNT(AG59:AN59)=0,"",AO59-LOOKUP(2,1/(AG59:AN59&lt;&gt;""),AG59:AN59)))</t>
        </is>
      </c>
      <c r="BC59" s="38" t="inlineStr">
        <is>
          <t>IF(OR(E59="",AP59=""),"",IF(COUNT(AG59:AO59)=0,"",AP59-LOOKUP(2,1/(AG59:AO59&lt;&gt;""),AG59:AO59)))</t>
        </is>
      </c>
      <c r="BD59" s="38" t="inlineStr">
        <is>
          <t>IF(OR(E59="",AQ59=""),"",IF(COUNT(AG59:AP59)=0,"",AQ59-LOOKUP(2,1/(AG59:AP59&lt;&gt;""),AG59:AP59)))</t>
        </is>
      </c>
      <c r="BE59" s="38" t="inlineStr">
        <is>
          <t>IF(OR(E59="",AR59=""),"",IF(COUNT(AG59:AQ59)=0,"",AR59-LOOKUP(2,1/(AG59:AQ59&lt;&gt;""),AG59:AQ59)))</t>
        </is>
      </c>
      <c r="BF59" s="38" t="inlineStr">
        <is>
          <t>IF(OR(E59="",AS59=""),"",IF(COUNT(AG59:AR59)=0,"",AS59-LOOKUP(2,1/(AG59:AR59&lt;&gt;""),AG59:AR59)))</t>
        </is>
      </c>
      <c r="BG59" s="38" t="inlineStr">
        <is>
          <t>IF(OR(E59="",AT59=""),"",IF(COUNT(AG59:AS59)=0,"",AT59-LOOKUP(2,1/(AG59:AS59&lt;&gt;""),AG59:AS59)))</t>
        </is>
      </c>
      <c r="BH59" s="41" t="inlineStr">
        <is>
          <t>IF(G59="","All_Provinces",IFERROR(VLOOKUP(G59,'07_Lookups'!$A$4:$B$20,2,FALSE),"All_Provinces"))</t>
        </is>
      </c>
      <c r="BI59" s="41" t="inlineStr">
        <is>
          <t>IF(H59="","All_Districts",IFERROR(VLOOKUP(H59,'07_Lookups'!$E$4:$F$42,2,FALSE),"All_Districts"))</t>
        </is>
      </c>
    </row>
    <row r="60" ht="18" customHeight="1">
      <c r="A60" s="32" t="inlineStr">
        <is>
          <t>IF(E60="","",ROW()-3)</t>
        </is>
      </c>
      <c r="B60" s="33" t="inlineStr">
        <is>
          <t>AF2-IS-R-022</t>
        </is>
      </c>
      <c r="C60" s="33" t="inlineStr">
        <is>
          <t>Emergency Food Security Project (EFSP) – WBK/AF-2</t>
        </is>
      </c>
      <c r="D60" s="33" t="inlineStr">
        <is>
          <t>Package #24-AF2 IS: Rehabilitation of Shajoy canal and Sar Nary canal irrigation schemes, located in Dayee Chopan and Arghandab districts of Zabul province.</t>
        </is>
      </c>
      <c r="E60" s="33" t="inlineStr">
        <is>
          <t>Sar Nary Canals Irrigation Scheme</t>
        </is>
      </c>
      <c r="F60" s="33" t="inlineStr">
        <is>
          <t>Irrigation Canal</t>
        </is>
      </c>
      <c r="G60" s="33" t="inlineStr">
        <is>
          <t>Central Highland / Bamyan</t>
        </is>
      </c>
      <c r="H60" s="33" t="inlineStr">
        <is>
          <t>Zabul</t>
        </is>
      </c>
      <c r="I60" s="33" t="inlineStr">
        <is>
          <t>Arghandab</t>
        </is>
      </c>
      <c r="J60" s="33" t="inlineStr">
        <is>
          <t>-</t>
        </is>
      </c>
      <c r="K60" s="33" t="inlineStr">
        <is>
          <t>World Bank (WBK/AF-2)</t>
        </is>
      </c>
      <c r="L60" s="33" t="inlineStr">
        <is>
          <t>Remaining</t>
        </is>
      </c>
      <c r="M60" s="33" t="inlineStr">
        <is>
          <t>On/off-farm irrigation</t>
        </is>
      </c>
      <c r="N60" s="33" t="inlineStr">
        <is>
          <t>2.Remain contracts_On&amp;off-farm</t>
        </is>
      </c>
      <c r="O60" s="33" t="inlineStr"/>
      <c r="P60" s="33" t="inlineStr"/>
      <c r="Q60" s="34" t="n">
        <v>295000</v>
      </c>
      <c r="R60" s="35" t="inlineStr">
        <is>
          <t>IF(AO60="","",AO60)</t>
        </is>
      </c>
      <c r="S60" s="36" t="n">
        <v>46376</v>
      </c>
      <c r="T60" s="37" t="n">
        <v>8.9</v>
      </c>
      <c r="U60" s="36" t="n">
        <v>46646</v>
      </c>
      <c r="V60" s="35" t="inlineStr">
        <is>
          <t>IF(U60&lt;&gt;"",U60,IF(OR(R60="",T60=""),"",EDATE(R60,T60)))</t>
        </is>
      </c>
      <c r="W60" s="36" t="n"/>
      <c r="X60" s="37" t="n"/>
      <c r="Y60" s="33" t="inlineStr">
        <is>
          <t>Under Design</t>
        </is>
      </c>
      <c r="Z60" s="33" t="inlineStr">
        <is>
          <t>Three months slack period Jan-Mar during winter. Six months construction period required for two canals in two districts. Explore splitting into two lots and if one lot ready then raise PR.</t>
        </is>
      </c>
      <c r="AA60" s="32" t="inlineStr">
        <is>
          <t>IF(E60="","",IF(COUNT(AG60:AT60)=0,IF(Y60="","Not started",Y60),SUBSTITUTE(LOOKUP(2,1/(AG60:AT60&lt;&gt;""),$AG$3:$AT$3),"Date: ","")))</t>
        </is>
      </c>
      <c r="AB60" s="38" t="inlineStr">
        <is>
          <t>IF(OR(E60="",COUNT(AG60:AT60)=0),"",TODAY()-LOOKUP(2,1/(AG60:AT60&lt;&gt;""),AG60:AT60))</t>
        </is>
      </c>
      <c r="AC60" s="38" t="inlineStr">
        <is>
          <t>IF(OR(E60="",COUNT(AG60:AT60)&lt;2),"",LOOKUP(2,1/(AG60:AT60&lt;&gt;""),AG60:AT60)-MIN(AG60:AT60))</t>
        </is>
      </c>
      <c r="AD60" s="38" t="inlineStr">
        <is>
          <t>IF(OR(AB60="",AA60="Not started",AA60=""),"",IFERROR(AB60-IF(VLOOKUP(AA60,'04_Status_Pipeline'!$B$3:$E$20,4,FALSE)="",0,VLOOKUP(AA60,'04_Status_Pipeline'!$B$3:$E$20,4,FALSE)),""))</t>
        </is>
      </c>
      <c r="AE60" s="32" t="inlineStr">
        <is>
          <t>IF(E60="","",IF(OR(Y60="Cancelled",AA60="Cancelled"),"Cancelled",IF(OR(AA60="Completed / Handover",W60&lt;&gt;"",X60&gt;=100),"Completed — on track",IF(L60="Remaining",IF(S60="",IF(V60="","No planned date",IF(TODAY()&gt;V60,"Behind — past planned date",IF(V60-TODAY()&lt;=30,"At risk — close to off track","On track"))),IF(TODAY()&gt;S60,"Behind — award date passed",IF(S60-TODAY()&lt;=30,"At risk — close to off track","On track"))),IF(V60="","No planned date",IF(AND(TODAY()&gt;V60,OR(X60="",X60&lt;100)),"Behind — past end date",IF(AND(R60&lt;&gt;"",V60&lt;&gt;"",X60&lt;&gt;"",(X60&lt;100),((TODAY()-R60)/MAX(V60-R60,1)*100)-X60&gt;15),"Behind — progress lag",IF(AND(V60-TODAY()&lt;=30,V60-TODAY()&gt;=0,OR(X60="",X60&lt;90)),"At risk — close to off track","On track"))))))))</t>
        </is>
      </c>
      <c r="AF60" s="38" t="inlineStr">
        <is>
          <t>IF(OR(E60="",AA60="Completed / Handover",AA60="Cancelled"),"",IF(L60="Remaining",IF(S60&lt;&gt;"",S60-TODAY(),IF(V60="","",V60-TODAY())),IF(V60="","",V60-TODAY())))</t>
        </is>
      </c>
      <c r="AG60" s="36" t="n"/>
      <c r="AH60" s="36" t="n"/>
      <c r="AI60" s="36" t="n"/>
      <c r="AJ60" s="36" t="n"/>
      <c r="AK60" s="36" t="n"/>
      <c r="AL60" s="36" t="n"/>
      <c r="AM60" s="36" t="n"/>
      <c r="AN60" s="36" t="n"/>
      <c r="AO60" s="36" t="n"/>
      <c r="AP60" s="36" t="n"/>
      <c r="AQ60" s="36" t="n"/>
      <c r="AR60" s="40" t="n"/>
      <c r="AS60" s="40" t="n"/>
      <c r="AT60" s="40" t="n"/>
      <c r="AU60" s="38" t="inlineStr">
        <is>
          <t>IF(OR(E60="",AH60=""),"",IF(COUNT(AG60:AG60)=0,"",AH60-LOOKUP(2,1/(AG60:AG60&lt;&gt;""),AG60:AG60)))</t>
        </is>
      </c>
      <c r="AV60" s="38" t="inlineStr">
        <is>
          <t>IF(OR(E60="",AI60=""),"",IF(COUNT(AG60:AH60)=0,"",AI60-LOOKUP(2,1/(AG60:AH60&lt;&gt;""),AG60:AH60)))</t>
        </is>
      </c>
      <c r="AW60" s="38" t="inlineStr">
        <is>
          <t>IF(OR(E60="",AJ60=""),"",IF(COUNT(AG60:AI60)=0,"",AJ60-LOOKUP(2,1/(AG60:AI60&lt;&gt;""),AG60:AI60)))</t>
        </is>
      </c>
      <c r="AX60" s="38" t="inlineStr">
        <is>
          <t>IF(OR(E60="",AK60=""),"",IF(COUNT(AG60:AJ60)=0,"",AK60-LOOKUP(2,1/(AG60:AJ60&lt;&gt;""),AG60:AJ60)))</t>
        </is>
      </c>
      <c r="AY60" s="38" t="inlineStr">
        <is>
          <t>IF(OR(E60="",AL60=""),"",IF(COUNT(AG60:AK60)=0,"",AL60-LOOKUP(2,1/(AG60:AK60&lt;&gt;""),AG60:AK60)))</t>
        </is>
      </c>
      <c r="AZ60" s="38" t="inlineStr">
        <is>
          <t>IF(OR(E60="",AM60=""),"",IF(COUNT(AG60:AL60)=0,"",AM60-LOOKUP(2,1/(AG60:AL60&lt;&gt;""),AG60:AL60)))</t>
        </is>
      </c>
      <c r="BA60" s="38" t="inlineStr">
        <is>
          <t>IF(OR(E60="",AN60=""),"",IF(COUNT(AG60:AM60)=0,"",AN60-LOOKUP(2,1/(AG60:AM60&lt;&gt;""),AG60:AM60)))</t>
        </is>
      </c>
      <c r="BB60" s="38" t="inlineStr">
        <is>
          <t>IF(OR(E60="",AO60=""),"",IF(COUNT(AG60:AN60)=0,"",AO60-LOOKUP(2,1/(AG60:AN60&lt;&gt;""),AG60:AN60)))</t>
        </is>
      </c>
      <c r="BC60" s="38" t="inlineStr">
        <is>
          <t>IF(OR(E60="",AP60=""),"",IF(COUNT(AG60:AO60)=0,"",AP60-LOOKUP(2,1/(AG60:AO60&lt;&gt;""),AG60:AO60)))</t>
        </is>
      </c>
      <c r="BD60" s="38" t="inlineStr">
        <is>
          <t>IF(OR(E60="",AQ60=""),"",IF(COUNT(AG60:AP60)=0,"",AQ60-LOOKUP(2,1/(AG60:AP60&lt;&gt;""),AG60:AP60)))</t>
        </is>
      </c>
      <c r="BE60" s="38" t="inlineStr">
        <is>
          <t>IF(OR(E60="",AR60=""),"",IF(COUNT(AG60:AQ60)=0,"",AR60-LOOKUP(2,1/(AG60:AQ60&lt;&gt;""),AG60:AQ60)))</t>
        </is>
      </c>
      <c r="BF60" s="38" t="inlineStr">
        <is>
          <t>IF(OR(E60="",AS60=""),"",IF(COUNT(AG60:AR60)=0,"",AS60-LOOKUP(2,1/(AG60:AR60&lt;&gt;""),AG60:AR60)))</t>
        </is>
      </c>
      <c r="BG60" s="38" t="inlineStr">
        <is>
          <t>IF(OR(E60="",AT60=""),"",IF(COUNT(AG60:AS60)=0,"",AT60-LOOKUP(2,1/(AG60:AS60&lt;&gt;""),AG60:AS60)))</t>
        </is>
      </c>
      <c r="BH60" s="41" t="inlineStr">
        <is>
          <t>IF(G60="","All_Provinces",IFERROR(VLOOKUP(G60,'07_Lookups'!$A$4:$B$20,2,FALSE),"All_Provinces"))</t>
        </is>
      </c>
      <c r="BI60" s="41" t="inlineStr">
        <is>
          <t>IF(H60="","All_Districts",IFERROR(VLOOKUP(H60,'07_Lookups'!$E$4:$F$42,2,FALSE),"All_Districts"))</t>
        </is>
      </c>
    </row>
    <row r="61" ht="18" customHeight="1">
      <c r="A61" s="32" t="inlineStr">
        <is>
          <t>IF(E61="","",ROW()-3)</t>
        </is>
      </c>
      <c r="B61" s="42" t="inlineStr">
        <is>
          <t>AF2-IS-R-023</t>
        </is>
      </c>
      <c r="C61" s="42" t="inlineStr">
        <is>
          <t>Emergency Food Security Project (EFSP) – WBK/AF-2</t>
        </is>
      </c>
      <c r="D61" s="42" t="inlineStr">
        <is>
          <t>Package # 27-AF2 IS: Rehabilitation of Firozi canal irrigation scheme, located in Delaram districts of Nimroz province.</t>
        </is>
      </c>
      <c r="E61" s="42" t="inlineStr">
        <is>
          <t>Firozi Canal Irrigation Schem</t>
        </is>
      </c>
      <c r="F61" s="42" t="inlineStr">
        <is>
          <t>Irrigation Canal</t>
        </is>
      </c>
      <c r="G61" s="42" t="inlineStr">
        <is>
          <t>Central Highland / Bamyan</t>
        </is>
      </c>
      <c r="H61" s="42" t="inlineStr">
        <is>
          <t>Nimruz</t>
        </is>
      </c>
      <c r="I61" s="42" t="inlineStr">
        <is>
          <t>Delaram</t>
        </is>
      </c>
      <c r="J61" s="42" t="inlineStr">
        <is>
          <t>-</t>
        </is>
      </c>
      <c r="K61" s="42" t="inlineStr">
        <is>
          <t>World Bank (WBK/AF-2)</t>
        </is>
      </c>
      <c r="L61" s="42" t="inlineStr">
        <is>
          <t>Remaining</t>
        </is>
      </c>
      <c r="M61" s="42" t="inlineStr">
        <is>
          <t>On/off-farm irrigation</t>
        </is>
      </c>
      <c r="N61" s="42" t="inlineStr">
        <is>
          <t>2.Remain contracts_On&amp;off-farm</t>
        </is>
      </c>
      <c r="O61" s="42" t="inlineStr"/>
      <c r="P61" s="42" t="inlineStr"/>
      <c r="Q61" s="43" t="n">
        <v>195000</v>
      </c>
      <c r="R61" s="35" t="inlineStr">
        <is>
          <t>IF(AO61="","",AO61)</t>
        </is>
      </c>
      <c r="S61" s="44" t="n">
        <v>46381</v>
      </c>
      <c r="T61" s="45" t="n">
        <v>8.9</v>
      </c>
      <c r="U61" s="44" t="n">
        <v>46651</v>
      </c>
      <c r="V61" s="35" t="inlineStr">
        <is>
          <t>IF(U61&lt;&gt;"",U61,IF(OR(R61="",T61=""),"",EDATE(R61,T61)))</t>
        </is>
      </c>
      <c r="W61" s="44" t="n"/>
      <c r="X61" s="45" t="n"/>
      <c r="Y61" s="42" t="inlineStr">
        <is>
          <t>Under Review of WRI</t>
        </is>
      </c>
      <c r="Z61" s="42" t="inlineStr">
        <is>
          <t>Nine months construction period required for the canal</t>
        </is>
      </c>
      <c r="AA61" s="32" t="inlineStr">
        <is>
          <t>IF(E61="","",IF(COUNT(AG61:AT61)=0,IF(Y61="","Not started",Y61),SUBSTITUTE(LOOKUP(2,1/(AG61:AT61&lt;&gt;""),$AG$3:$AT$3),"Date: ","")))</t>
        </is>
      </c>
      <c r="AB61" s="38" t="inlineStr">
        <is>
          <t>IF(OR(E61="",COUNT(AG61:AT61)=0),"",TODAY()-LOOKUP(2,1/(AG61:AT61&lt;&gt;""),AG61:AT61))</t>
        </is>
      </c>
      <c r="AC61" s="38" t="inlineStr">
        <is>
          <t>IF(OR(E61="",COUNT(AG61:AT61)&lt;2),"",LOOKUP(2,1/(AG61:AT61&lt;&gt;""),AG61:AT61)-MIN(AG61:AT61))</t>
        </is>
      </c>
      <c r="AD61" s="38" t="inlineStr">
        <is>
          <t>IF(OR(AB61="",AA61="Not started",AA61=""),"",IFERROR(AB61-IF(VLOOKUP(AA61,'04_Status_Pipeline'!$B$3:$E$20,4,FALSE)="",0,VLOOKUP(AA61,'04_Status_Pipeline'!$B$3:$E$20,4,FALSE)),""))</t>
        </is>
      </c>
      <c r="AE61" s="32" t="inlineStr">
        <is>
          <t>IF(E61="","",IF(OR(Y61="Cancelled",AA61="Cancelled"),"Cancelled",IF(OR(AA61="Completed / Handover",W61&lt;&gt;"",X61&gt;=100),"Completed — on track",IF(L61="Remaining",IF(S61="",IF(V61="","No planned date",IF(TODAY()&gt;V61,"Behind — past planned date",IF(V61-TODAY()&lt;=30,"At risk — close to off track","On track"))),IF(TODAY()&gt;S61,"Behind — award date passed",IF(S61-TODAY()&lt;=30,"At risk — close to off track","On track"))),IF(V61="","No planned date",IF(AND(TODAY()&gt;V61,OR(X61="",X61&lt;100)),"Behind — past end date",IF(AND(R61&lt;&gt;"",V61&lt;&gt;"",X61&lt;&gt;"",(X61&lt;100),((TODAY()-R61)/MAX(V61-R61,1)*100)-X61&gt;15),"Behind — progress lag",IF(AND(V61-TODAY()&lt;=30,V61-TODAY()&gt;=0,OR(X61="",X61&lt;90)),"At risk — close to off track","On track"))))))))</t>
        </is>
      </c>
      <c r="AF61" s="38" t="inlineStr">
        <is>
          <t>IF(OR(E61="",AA61="Completed / Handover",AA61="Cancelled"),"",IF(L61="Remaining",IF(S61&lt;&gt;"",S61-TODAY(),IF(V61="","",V61-TODAY())),IF(V61="","",V61-TODAY())))</t>
        </is>
      </c>
      <c r="AG61" s="44" t="n"/>
      <c r="AH61" s="44" t="n"/>
      <c r="AI61" s="44" t="n"/>
      <c r="AJ61" s="44" t="n"/>
      <c r="AK61" s="44" t="n"/>
      <c r="AL61" s="44" t="n"/>
      <c r="AM61" s="44" t="n"/>
      <c r="AN61" s="44" t="n"/>
      <c r="AO61" s="44" t="n"/>
      <c r="AP61" s="44" t="n"/>
      <c r="AQ61" s="44" t="n"/>
      <c r="AR61" s="40" t="n"/>
      <c r="AS61" s="40" t="n"/>
      <c r="AT61" s="40" t="n"/>
      <c r="AU61" s="38" t="inlineStr">
        <is>
          <t>IF(OR(E61="",AH61=""),"",IF(COUNT(AG61:AG61)=0,"",AH61-LOOKUP(2,1/(AG61:AG61&lt;&gt;""),AG61:AG61)))</t>
        </is>
      </c>
      <c r="AV61" s="38" t="inlineStr">
        <is>
          <t>IF(OR(E61="",AI61=""),"",IF(COUNT(AG61:AH61)=0,"",AI61-LOOKUP(2,1/(AG61:AH61&lt;&gt;""),AG61:AH61)))</t>
        </is>
      </c>
      <c r="AW61" s="38" t="inlineStr">
        <is>
          <t>IF(OR(E61="",AJ61=""),"",IF(COUNT(AG61:AI61)=0,"",AJ61-LOOKUP(2,1/(AG61:AI61&lt;&gt;""),AG61:AI61)))</t>
        </is>
      </c>
      <c r="AX61" s="38" t="inlineStr">
        <is>
          <t>IF(OR(E61="",AK61=""),"",IF(COUNT(AG61:AJ61)=0,"",AK61-LOOKUP(2,1/(AG61:AJ61&lt;&gt;""),AG61:AJ61)))</t>
        </is>
      </c>
      <c r="AY61" s="38" t="inlineStr">
        <is>
          <t>IF(OR(E61="",AL61=""),"",IF(COUNT(AG61:AK61)=0,"",AL61-LOOKUP(2,1/(AG61:AK61&lt;&gt;""),AG61:AK61)))</t>
        </is>
      </c>
      <c r="AZ61" s="38" t="inlineStr">
        <is>
          <t>IF(OR(E61="",AM61=""),"",IF(COUNT(AG61:AL61)=0,"",AM61-LOOKUP(2,1/(AG61:AL61&lt;&gt;""),AG61:AL61)))</t>
        </is>
      </c>
      <c r="BA61" s="38" t="inlineStr">
        <is>
          <t>IF(OR(E61="",AN61=""),"",IF(COUNT(AG61:AM61)=0,"",AN61-LOOKUP(2,1/(AG61:AM61&lt;&gt;""),AG61:AM61)))</t>
        </is>
      </c>
      <c r="BB61" s="38" t="inlineStr">
        <is>
          <t>IF(OR(E61="",AO61=""),"",IF(COUNT(AG61:AN61)=0,"",AO61-LOOKUP(2,1/(AG61:AN61&lt;&gt;""),AG61:AN61)))</t>
        </is>
      </c>
      <c r="BC61" s="38" t="inlineStr">
        <is>
          <t>IF(OR(E61="",AP61=""),"",IF(COUNT(AG61:AO61)=0,"",AP61-LOOKUP(2,1/(AG61:AO61&lt;&gt;""),AG61:AO61)))</t>
        </is>
      </c>
      <c r="BD61" s="38" t="inlineStr">
        <is>
          <t>IF(OR(E61="",AQ61=""),"",IF(COUNT(AG61:AP61)=0,"",AQ61-LOOKUP(2,1/(AG61:AP61&lt;&gt;""),AG61:AP61)))</t>
        </is>
      </c>
      <c r="BE61" s="38" t="inlineStr">
        <is>
          <t>IF(OR(E61="",AR61=""),"",IF(COUNT(AG61:AQ61)=0,"",AR61-LOOKUP(2,1/(AG61:AQ61&lt;&gt;""),AG61:AQ61)))</t>
        </is>
      </c>
      <c r="BF61" s="38" t="inlineStr">
        <is>
          <t>IF(OR(E61="",AS61=""),"",IF(COUNT(AG61:AR61)=0,"",AS61-LOOKUP(2,1/(AG61:AR61&lt;&gt;""),AG61:AR61)))</t>
        </is>
      </c>
      <c r="BG61" s="38" t="inlineStr">
        <is>
          <t>IF(OR(E61="",AT61=""),"",IF(COUNT(AG61:AS61)=0,"",AT61-LOOKUP(2,1/(AG61:AS61&lt;&gt;""),AG61:AS61)))</t>
        </is>
      </c>
      <c r="BH61" s="41" t="inlineStr">
        <is>
          <t>IF(G61="","All_Provinces",IFERROR(VLOOKUP(G61,'07_Lookups'!$A$4:$B$20,2,FALSE),"All_Provinces"))</t>
        </is>
      </c>
      <c r="BI61" s="41" t="inlineStr">
        <is>
          <t>IF(H61="","All_Districts",IFERROR(VLOOKUP(H61,'07_Lookups'!$E$4:$F$42,2,FALSE),"All_Districts"))</t>
        </is>
      </c>
    </row>
    <row r="62" ht="18" customHeight="1">
      <c r="A62" s="32" t="inlineStr">
        <is>
          <t>IF(E62="","",ROW()-3)</t>
        </is>
      </c>
      <c r="B62" s="33" t="inlineStr">
        <is>
          <t>AF2-IS-R-024</t>
        </is>
      </c>
      <c r="C62" s="33" t="inlineStr">
        <is>
          <t>Emergency Food Security Project (EFSP) – WBK/AF-2</t>
        </is>
      </c>
      <c r="D62" s="33" t="inlineStr">
        <is>
          <t>Package #29-AF2 IS: Rehabilitation of Dagh Aruq canal and Boghoz Qum canal irrigation schemes, located in Chahar Dara district of Kunduz province.</t>
        </is>
      </c>
      <c r="E62" s="33" t="inlineStr">
        <is>
          <t>Dagh Aruq Canal Irrigation Scheme</t>
        </is>
      </c>
      <c r="F62" s="33" t="inlineStr">
        <is>
          <t>Irrigation Canal</t>
        </is>
      </c>
      <c r="G62" s="33" t="inlineStr">
        <is>
          <t>Central Highland / Bamyan</t>
        </is>
      </c>
      <c r="H62" s="33" t="inlineStr">
        <is>
          <t>Kunduz</t>
        </is>
      </c>
      <c r="I62" s="33" t="inlineStr">
        <is>
          <t>Chahar Dara</t>
        </is>
      </c>
      <c r="J62" s="33" t="inlineStr">
        <is>
          <t>Dagh Aruq</t>
        </is>
      </c>
      <c r="K62" s="33" t="inlineStr">
        <is>
          <t>World Bank (WBK/AF-2)</t>
        </is>
      </c>
      <c r="L62" s="33" t="inlineStr">
        <is>
          <t>Remaining</t>
        </is>
      </c>
      <c r="M62" s="33" t="inlineStr">
        <is>
          <t>On/off-farm irrigation</t>
        </is>
      </c>
      <c r="N62" s="33" t="inlineStr">
        <is>
          <t>2.Remain contracts_On&amp;off-farm</t>
        </is>
      </c>
      <c r="O62" s="33" t="inlineStr"/>
      <c r="P62" s="33" t="inlineStr"/>
      <c r="Q62" s="34" t="n">
        <v>295000</v>
      </c>
      <c r="R62" s="35" t="inlineStr">
        <is>
          <t>IF(AO62="","",AO62)</t>
        </is>
      </c>
      <c r="S62" s="36" t="n">
        <v>46351</v>
      </c>
      <c r="T62" s="37" t="n">
        <v>9.9</v>
      </c>
      <c r="U62" s="36" t="n">
        <v>46651</v>
      </c>
      <c r="V62" s="35" t="inlineStr">
        <is>
          <t>IF(U62&lt;&gt;"",U62,IF(OR(R62="",T62=""),"",EDATE(R62,T62)))</t>
        </is>
      </c>
      <c r="W62" s="36" t="n"/>
      <c r="X62" s="37" t="n"/>
      <c r="Y62" s="33" t="inlineStr">
        <is>
          <t>PR to be Raised</t>
        </is>
      </c>
      <c r="Z62" s="33" t="inlineStr">
        <is>
          <t>Three months slack period Jan-Mar during winter. Seven months construction period required for two canals. Split into 2 lots and make 2 PRs</t>
        </is>
      </c>
      <c r="AA62" s="32" t="inlineStr">
        <is>
          <t>IF(E62="","",IF(COUNT(AG62:AT62)=0,IF(Y62="","Not started",Y62),SUBSTITUTE(LOOKUP(2,1/(AG62:AT62&lt;&gt;""),$AG$3:$AT$3),"Date: ","")))</t>
        </is>
      </c>
      <c r="AB62" s="38" t="inlineStr">
        <is>
          <t>IF(OR(E62="",COUNT(AG62:AT62)=0),"",TODAY()-LOOKUP(2,1/(AG62:AT62&lt;&gt;""),AG62:AT62))</t>
        </is>
      </c>
      <c r="AC62" s="38" t="inlineStr">
        <is>
          <t>IF(OR(E62="",COUNT(AG62:AT62)&lt;2),"",LOOKUP(2,1/(AG62:AT62&lt;&gt;""),AG62:AT62)-MIN(AG62:AT62))</t>
        </is>
      </c>
      <c r="AD62" s="38" t="inlineStr">
        <is>
          <t>IF(OR(AB62="",AA62="Not started",AA62=""),"",IFERROR(AB62-IF(VLOOKUP(AA62,'04_Status_Pipeline'!$B$3:$E$20,4,FALSE)="",0,VLOOKUP(AA62,'04_Status_Pipeline'!$B$3:$E$20,4,FALSE)),""))</t>
        </is>
      </c>
      <c r="AE62" s="32" t="inlineStr">
        <is>
          <t>IF(E62="","",IF(OR(Y62="Cancelled",AA62="Cancelled"),"Cancelled",IF(OR(AA62="Completed / Handover",W62&lt;&gt;"",X62&gt;=100),"Completed — on track",IF(L62="Remaining",IF(S62="",IF(V62="","No planned date",IF(TODAY()&gt;V62,"Behind — past planned date",IF(V62-TODAY()&lt;=30,"At risk — close to off track","On track"))),IF(TODAY()&gt;S62,"Behind — award date passed",IF(S62-TODAY()&lt;=30,"At risk — close to off track","On track"))),IF(V62="","No planned date",IF(AND(TODAY()&gt;V62,OR(X62="",X62&lt;100)),"Behind — past end date",IF(AND(R62&lt;&gt;"",V62&lt;&gt;"",X62&lt;&gt;"",(X62&lt;100),((TODAY()-R62)/MAX(V62-R62,1)*100)-X62&gt;15),"Behind — progress lag",IF(AND(V62-TODAY()&lt;=30,V62-TODAY()&gt;=0,OR(X62="",X62&lt;90)),"At risk — close to off track","On track"))))))))</t>
        </is>
      </c>
      <c r="AF62" s="38" t="inlineStr">
        <is>
          <t>IF(OR(E62="",AA62="Completed / Handover",AA62="Cancelled"),"",IF(L62="Remaining",IF(S62&lt;&gt;"",S62-TODAY(),IF(V62="","",V62-TODAY())),IF(V62="","",V62-TODAY())))</t>
        </is>
      </c>
      <c r="AG62" s="36" t="n"/>
      <c r="AH62" s="36" t="n"/>
      <c r="AI62" s="36" t="n"/>
      <c r="AJ62" s="36" t="n"/>
      <c r="AK62" s="36" t="n"/>
      <c r="AL62" s="36" t="n"/>
      <c r="AM62" s="36" t="n"/>
      <c r="AN62" s="36" t="n"/>
      <c r="AO62" s="36" t="n"/>
      <c r="AP62" s="36" t="n"/>
      <c r="AQ62" s="36" t="n"/>
      <c r="AR62" s="40" t="n"/>
      <c r="AS62" s="40" t="n"/>
      <c r="AT62" s="40" t="n"/>
      <c r="AU62" s="38" t="inlineStr">
        <is>
          <t>IF(OR(E62="",AH62=""),"",IF(COUNT(AG62:AG62)=0,"",AH62-LOOKUP(2,1/(AG62:AG62&lt;&gt;""),AG62:AG62)))</t>
        </is>
      </c>
      <c r="AV62" s="38" t="inlineStr">
        <is>
          <t>IF(OR(E62="",AI62=""),"",IF(COUNT(AG62:AH62)=0,"",AI62-LOOKUP(2,1/(AG62:AH62&lt;&gt;""),AG62:AH62)))</t>
        </is>
      </c>
      <c r="AW62" s="38" t="inlineStr">
        <is>
          <t>IF(OR(E62="",AJ62=""),"",IF(COUNT(AG62:AI62)=0,"",AJ62-LOOKUP(2,1/(AG62:AI62&lt;&gt;""),AG62:AI62)))</t>
        </is>
      </c>
      <c r="AX62" s="38" t="inlineStr">
        <is>
          <t>IF(OR(E62="",AK62=""),"",IF(COUNT(AG62:AJ62)=0,"",AK62-LOOKUP(2,1/(AG62:AJ62&lt;&gt;""),AG62:AJ62)))</t>
        </is>
      </c>
      <c r="AY62" s="38" t="inlineStr">
        <is>
          <t>IF(OR(E62="",AL62=""),"",IF(COUNT(AG62:AK62)=0,"",AL62-LOOKUP(2,1/(AG62:AK62&lt;&gt;""),AG62:AK62)))</t>
        </is>
      </c>
      <c r="AZ62" s="38" t="inlineStr">
        <is>
          <t>IF(OR(E62="",AM62=""),"",IF(COUNT(AG62:AL62)=0,"",AM62-LOOKUP(2,1/(AG62:AL62&lt;&gt;""),AG62:AL62)))</t>
        </is>
      </c>
      <c r="BA62" s="38" t="inlineStr">
        <is>
          <t>IF(OR(E62="",AN62=""),"",IF(COUNT(AG62:AM62)=0,"",AN62-LOOKUP(2,1/(AG62:AM62&lt;&gt;""),AG62:AM62)))</t>
        </is>
      </c>
      <c r="BB62" s="38" t="inlineStr">
        <is>
          <t>IF(OR(E62="",AO62=""),"",IF(COUNT(AG62:AN62)=0,"",AO62-LOOKUP(2,1/(AG62:AN62&lt;&gt;""),AG62:AN62)))</t>
        </is>
      </c>
      <c r="BC62" s="38" t="inlineStr">
        <is>
          <t>IF(OR(E62="",AP62=""),"",IF(COUNT(AG62:AO62)=0,"",AP62-LOOKUP(2,1/(AG62:AO62&lt;&gt;""),AG62:AO62)))</t>
        </is>
      </c>
      <c r="BD62" s="38" t="inlineStr">
        <is>
          <t>IF(OR(E62="",AQ62=""),"",IF(COUNT(AG62:AP62)=0,"",AQ62-LOOKUP(2,1/(AG62:AP62&lt;&gt;""),AG62:AP62)))</t>
        </is>
      </c>
      <c r="BE62" s="38" t="inlineStr">
        <is>
          <t>IF(OR(E62="",AR62=""),"",IF(COUNT(AG62:AQ62)=0,"",AR62-LOOKUP(2,1/(AG62:AQ62&lt;&gt;""),AG62:AQ62)))</t>
        </is>
      </c>
      <c r="BF62" s="38" t="inlineStr">
        <is>
          <t>IF(OR(E62="",AS62=""),"",IF(COUNT(AG62:AR62)=0,"",AS62-LOOKUP(2,1/(AG62:AR62&lt;&gt;""),AG62:AR62)))</t>
        </is>
      </c>
      <c r="BG62" s="38" t="inlineStr">
        <is>
          <t>IF(OR(E62="",AT62=""),"",IF(COUNT(AG62:AS62)=0,"",AT62-LOOKUP(2,1/(AG62:AS62&lt;&gt;""),AG62:AS62)))</t>
        </is>
      </c>
      <c r="BH62" s="41" t="inlineStr">
        <is>
          <t>IF(G62="","All_Provinces",IFERROR(VLOOKUP(G62,'07_Lookups'!$A$4:$B$20,2,FALSE),"All_Provinces"))</t>
        </is>
      </c>
      <c r="BI62" s="41" t="inlineStr">
        <is>
          <t>IF(H62="","All_Districts",IFERROR(VLOOKUP(H62,'07_Lookups'!$E$4:$F$42,2,FALSE),"All_Districts"))</t>
        </is>
      </c>
    </row>
    <row r="63" ht="18" customHeight="1">
      <c r="A63" s="32" t="inlineStr">
        <is>
          <t>IF(E63="","",ROW()-3)</t>
        </is>
      </c>
      <c r="B63" s="42" t="inlineStr">
        <is>
          <t>AF2-IS-R-025</t>
        </is>
      </c>
      <c r="C63" s="42" t="inlineStr">
        <is>
          <t>Emergency Food Security Project (EFSP) – WBK/AF-2</t>
        </is>
      </c>
      <c r="D63" s="42" t="inlineStr">
        <is>
          <t>Package #29-AF2 IS: Rehabilitation of Dagh Aruq canal and Boghoz Qum canal irrigation schemes, located in Chahar Dara district of Kunduz province.</t>
        </is>
      </c>
      <c r="E63" s="42" t="inlineStr">
        <is>
          <t>Boghoz Qum Irrigation scheme</t>
        </is>
      </c>
      <c r="F63" s="42" t="inlineStr">
        <is>
          <t>Irrigation Canal</t>
        </is>
      </c>
      <c r="G63" s="42" t="inlineStr">
        <is>
          <t>Central Highland / Bamyan</t>
        </is>
      </c>
      <c r="H63" s="42" t="inlineStr">
        <is>
          <t>Kunduz</t>
        </is>
      </c>
      <c r="I63" s="42" t="inlineStr">
        <is>
          <t>Chahar Dara</t>
        </is>
      </c>
      <c r="J63" s="42" t="inlineStr">
        <is>
          <t>Boghoz Qum</t>
        </is>
      </c>
      <c r="K63" s="42" t="inlineStr">
        <is>
          <t>World Bank (WBK/AF-2)</t>
        </is>
      </c>
      <c r="L63" s="42" t="inlineStr">
        <is>
          <t>Remaining</t>
        </is>
      </c>
      <c r="M63" s="42" t="inlineStr">
        <is>
          <t>On/off-farm irrigation</t>
        </is>
      </c>
      <c r="N63" s="42" t="inlineStr">
        <is>
          <t>2.Remain contracts_On&amp;off-farm</t>
        </is>
      </c>
      <c r="O63" s="42" t="inlineStr"/>
      <c r="P63" s="42" t="inlineStr"/>
      <c r="Q63" s="43" t="n">
        <v>295000</v>
      </c>
      <c r="R63" s="35" t="inlineStr">
        <is>
          <t>IF(AO63="","",AO63)</t>
        </is>
      </c>
      <c r="S63" s="44" t="n">
        <v>46351</v>
      </c>
      <c r="T63" s="45" t="n">
        <v>9.9</v>
      </c>
      <c r="U63" s="44" t="n">
        <v>46651</v>
      </c>
      <c r="V63" s="35" t="inlineStr">
        <is>
          <t>IF(U63&lt;&gt;"",U63,IF(OR(R63="",T63=""),"",EDATE(R63,T63)))</t>
        </is>
      </c>
      <c r="W63" s="44" t="n"/>
      <c r="X63" s="45" t="n"/>
      <c r="Y63" s="42" t="inlineStr">
        <is>
          <t>PR to be Raised</t>
        </is>
      </c>
      <c r="Z63" s="42" t="inlineStr">
        <is>
          <t>Three months slack period Jan-Mar during winter. Seven months construction period required for two canals. Split into 2 lots and make 2 PRs</t>
        </is>
      </c>
      <c r="AA63" s="32" t="inlineStr">
        <is>
          <t>IF(E63="","",IF(COUNT(AG63:AT63)=0,IF(Y63="","Not started",Y63),SUBSTITUTE(LOOKUP(2,1/(AG63:AT63&lt;&gt;""),$AG$3:$AT$3),"Date: ","")))</t>
        </is>
      </c>
      <c r="AB63" s="38" t="inlineStr">
        <is>
          <t>IF(OR(E63="",COUNT(AG63:AT63)=0),"",TODAY()-LOOKUP(2,1/(AG63:AT63&lt;&gt;""),AG63:AT63))</t>
        </is>
      </c>
      <c r="AC63" s="38" t="inlineStr">
        <is>
          <t>IF(OR(E63="",COUNT(AG63:AT63)&lt;2),"",LOOKUP(2,1/(AG63:AT63&lt;&gt;""),AG63:AT63)-MIN(AG63:AT63))</t>
        </is>
      </c>
      <c r="AD63" s="38" t="inlineStr">
        <is>
          <t>IF(OR(AB63="",AA63="Not started",AA63=""),"",IFERROR(AB63-IF(VLOOKUP(AA63,'04_Status_Pipeline'!$B$3:$E$20,4,FALSE)="",0,VLOOKUP(AA63,'04_Status_Pipeline'!$B$3:$E$20,4,FALSE)),""))</t>
        </is>
      </c>
      <c r="AE63" s="32" t="inlineStr">
        <is>
          <t>IF(E63="","",IF(OR(Y63="Cancelled",AA63="Cancelled"),"Cancelled",IF(OR(AA63="Completed / Handover",W63&lt;&gt;"",X63&gt;=100),"Completed — on track",IF(L63="Remaining",IF(S63="",IF(V63="","No planned date",IF(TODAY()&gt;V63,"Behind — past planned date",IF(V63-TODAY()&lt;=30,"At risk — close to off track","On track"))),IF(TODAY()&gt;S63,"Behind — award date passed",IF(S63-TODAY()&lt;=30,"At risk — close to off track","On track"))),IF(V63="","No planned date",IF(AND(TODAY()&gt;V63,OR(X63="",X63&lt;100)),"Behind — past end date",IF(AND(R63&lt;&gt;"",V63&lt;&gt;"",X63&lt;&gt;"",(X63&lt;100),((TODAY()-R63)/MAX(V63-R63,1)*100)-X63&gt;15),"Behind — progress lag",IF(AND(V63-TODAY()&lt;=30,V63-TODAY()&gt;=0,OR(X63="",X63&lt;90)),"At risk — close to off track","On track"))))))))</t>
        </is>
      </c>
      <c r="AF63" s="38" t="inlineStr">
        <is>
          <t>IF(OR(E63="",AA63="Completed / Handover",AA63="Cancelled"),"",IF(L63="Remaining",IF(S63&lt;&gt;"",S63-TODAY(),IF(V63="","",V63-TODAY())),IF(V63="","",V63-TODAY())))</t>
        </is>
      </c>
      <c r="AG63" s="44" t="n"/>
      <c r="AH63" s="44" t="n"/>
      <c r="AI63" s="44" t="n"/>
      <c r="AJ63" s="44" t="n"/>
      <c r="AK63" s="44" t="n"/>
      <c r="AL63" s="44" t="n"/>
      <c r="AM63" s="44" t="n"/>
      <c r="AN63" s="44" t="n"/>
      <c r="AO63" s="44" t="n"/>
      <c r="AP63" s="44" t="n"/>
      <c r="AQ63" s="44" t="n"/>
      <c r="AR63" s="40" t="n"/>
      <c r="AS63" s="40" t="n"/>
      <c r="AT63" s="40" t="n"/>
      <c r="AU63" s="38" t="inlineStr">
        <is>
          <t>IF(OR(E63="",AH63=""),"",IF(COUNT(AG63:AG63)=0,"",AH63-LOOKUP(2,1/(AG63:AG63&lt;&gt;""),AG63:AG63)))</t>
        </is>
      </c>
      <c r="AV63" s="38" t="inlineStr">
        <is>
          <t>IF(OR(E63="",AI63=""),"",IF(COUNT(AG63:AH63)=0,"",AI63-LOOKUP(2,1/(AG63:AH63&lt;&gt;""),AG63:AH63)))</t>
        </is>
      </c>
      <c r="AW63" s="38" t="inlineStr">
        <is>
          <t>IF(OR(E63="",AJ63=""),"",IF(COUNT(AG63:AI63)=0,"",AJ63-LOOKUP(2,1/(AG63:AI63&lt;&gt;""),AG63:AI63)))</t>
        </is>
      </c>
      <c r="AX63" s="38" t="inlineStr">
        <is>
          <t>IF(OR(E63="",AK63=""),"",IF(COUNT(AG63:AJ63)=0,"",AK63-LOOKUP(2,1/(AG63:AJ63&lt;&gt;""),AG63:AJ63)))</t>
        </is>
      </c>
      <c r="AY63" s="38" t="inlineStr">
        <is>
          <t>IF(OR(E63="",AL63=""),"",IF(COUNT(AG63:AK63)=0,"",AL63-LOOKUP(2,1/(AG63:AK63&lt;&gt;""),AG63:AK63)))</t>
        </is>
      </c>
      <c r="AZ63" s="38" t="inlineStr">
        <is>
          <t>IF(OR(E63="",AM63=""),"",IF(COUNT(AG63:AL63)=0,"",AM63-LOOKUP(2,1/(AG63:AL63&lt;&gt;""),AG63:AL63)))</t>
        </is>
      </c>
      <c r="BA63" s="38" t="inlineStr">
        <is>
          <t>IF(OR(E63="",AN63=""),"",IF(COUNT(AG63:AM63)=0,"",AN63-LOOKUP(2,1/(AG63:AM63&lt;&gt;""),AG63:AM63)))</t>
        </is>
      </c>
      <c r="BB63" s="38" t="inlineStr">
        <is>
          <t>IF(OR(E63="",AO63=""),"",IF(COUNT(AG63:AN63)=0,"",AO63-LOOKUP(2,1/(AG63:AN63&lt;&gt;""),AG63:AN63)))</t>
        </is>
      </c>
      <c r="BC63" s="38" t="inlineStr">
        <is>
          <t>IF(OR(E63="",AP63=""),"",IF(COUNT(AG63:AO63)=0,"",AP63-LOOKUP(2,1/(AG63:AO63&lt;&gt;""),AG63:AO63)))</t>
        </is>
      </c>
      <c r="BD63" s="38" t="inlineStr">
        <is>
          <t>IF(OR(E63="",AQ63=""),"",IF(COUNT(AG63:AP63)=0,"",AQ63-LOOKUP(2,1/(AG63:AP63&lt;&gt;""),AG63:AP63)))</t>
        </is>
      </c>
      <c r="BE63" s="38" t="inlineStr">
        <is>
          <t>IF(OR(E63="",AR63=""),"",IF(COUNT(AG63:AQ63)=0,"",AR63-LOOKUP(2,1/(AG63:AQ63&lt;&gt;""),AG63:AQ63)))</t>
        </is>
      </c>
      <c r="BF63" s="38" t="inlineStr">
        <is>
          <t>IF(OR(E63="",AS63=""),"",IF(COUNT(AG63:AR63)=0,"",AS63-LOOKUP(2,1/(AG63:AR63&lt;&gt;""),AG63:AR63)))</t>
        </is>
      </c>
      <c r="BG63" s="38" t="inlineStr">
        <is>
          <t>IF(OR(E63="",AT63=""),"",IF(COUNT(AG63:AS63)=0,"",AT63-LOOKUP(2,1/(AG63:AS63&lt;&gt;""),AG63:AS63)))</t>
        </is>
      </c>
      <c r="BH63" s="41" t="inlineStr">
        <is>
          <t>IF(G63="","All_Provinces",IFERROR(VLOOKUP(G63,'07_Lookups'!$A$4:$B$20,2,FALSE),"All_Provinces"))</t>
        </is>
      </c>
      <c r="BI63" s="41" t="inlineStr">
        <is>
          <t>IF(H63="","All_Districts",IFERROR(VLOOKUP(H63,'07_Lookups'!$E$4:$F$42,2,FALSE),"All_Districts"))</t>
        </is>
      </c>
    </row>
    <row r="64" ht="18" customHeight="1">
      <c r="A64" s="32" t="inlineStr">
        <is>
          <t>IF(E64="","",ROW()-3)</t>
        </is>
      </c>
      <c r="B64" s="33" t="inlineStr">
        <is>
          <t>AF2-IS-R-026</t>
        </is>
      </c>
      <c r="C64" s="33" t="inlineStr">
        <is>
          <t>Emergency Food Security Project (EFSP) – WBK/AF-2</t>
        </is>
      </c>
      <c r="D64" s="33" t="inlineStr">
        <is>
          <t>Package # 30-AF2 IS: Rehabilitation of Teshkhan canal and Khushpak Markazi Canals irrigation schemes, located in Ishkashim districts of Badakhshan province.</t>
        </is>
      </c>
      <c r="E64" s="33" t="inlineStr">
        <is>
          <t>Teshkhan Canal Irrigation Scheme</t>
        </is>
      </c>
      <c r="F64" s="33" t="inlineStr">
        <is>
          <t>Irrigation Canal</t>
        </is>
      </c>
      <c r="G64" s="33" t="inlineStr">
        <is>
          <t>Central Highland / Bamyan</t>
        </is>
      </c>
      <c r="H64" s="33" t="inlineStr">
        <is>
          <t>Badakhshan</t>
        </is>
      </c>
      <c r="I64" s="33" t="inlineStr">
        <is>
          <t>Ishkashim</t>
        </is>
      </c>
      <c r="J64" s="33" t="inlineStr">
        <is>
          <t>Teshkhan</t>
        </is>
      </c>
      <c r="K64" s="33" t="inlineStr">
        <is>
          <t>World Bank (WBK/AF-2)</t>
        </is>
      </c>
      <c r="L64" s="33" t="inlineStr">
        <is>
          <t>Remaining</t>
        </is>
      </c>
      <c r="M64" s="33" t="inlineStr">
        <is>
          <t>On/off-farm irrigation</t>
        </is>
      </c>
      <c r="N64" s="33" t="inlineStr">
        <is>
          <t>2.Remain contracts_On&amp;off-farm</t>
        </is>
      </c>
      <c r="O64" s="33" t="inlineStr"/>
      <c r="P64" s="33" t="inlineStr"/>
      <c r="Q64" s="34" t="n">
        <v>220000</v>
      </c>
      <c r="R64" s="35" t="inlineStr">
        <is>
          <t>IF(AO64="","",AO64)</t>
        </is>
      </c>
      <c r="S64" s="36" t="n">
        <v>46399</v>
      </c>
      <c r="T64" s="37" t="n">
        <v>8.9</v>
      </c>
      <c r="U64" s="36" t="n">
        <v>46669</v>
      </c>
      <c r="V64" s="35" t="inlineStr">
        <is>
          <t>IF(U64&lt;&gt;"",U64,IF(OR(R64="",T64=""),"",EDATE(R64,T64)))</t>
        </is>
      </c>
      <c r="W64" s="36" t="n"/>
      <c r="X64" s="37" t="n"/>
      <c r="Y64" s="33" t="inlineStr">
        <is>
          <t>PR to be Raised</t>
        </is>
      </c>
      <c r="Z64" s="33" t="inlineStr">
        <is>
          <t>Three months slack period Jan-Mar during winter. Six months construction period required for two canals</t>
        </is>
      </c>
      <c r="AA64" s="32" t="inlineStr">
        <is>
          <t>IF(E64="","",IF(COUNT(AG64:AT64)=0,IF(Y64="","Not started",Y64),SUBSTITUTE(LOOKUP(2,1/(AG64:AT64&lt;&gt;""),$AG$3:$AT$3),"Date: ","")))</t>
        </is>
      </c>
      <c r="AB64" s="38" t="inlineStr">
        <is>
          <t>IF(OR(E64="",COUNT(AG64:AT64)=0),"",TODAY()-LOOKUP(2,1/(AG64:AT64&lt;&gt;""),AG64:AT64))</t>
        </is>
      </c>
      <c r="AC64" s="38" t="inlineStr">
        <is>
          <t>IF(OR(E64="",COUNT(AG64:AT64)&lt;2),"",LOOKUP(2,1/(AG64:AT64&lt;&gt;""),AG64:AT64)-MIN(AG64:AT64))</t>
        </is>
      </c>
      <c r="AD64" s="38" t="inlineStr">
        <is>
          <t>IF(OR(AB64="",AA64="Not started",AA64=""),"",IFERROR(AB64-IF(VLOOKUP(AA64,'04_Status_Pipeline'!$B$3:$E$20,4,FALSE)="",0,VLOOKUP(AA64,'04_Status_Pipeline'!$B$3:$E$20,4,FALSE)),""))</t>
        </is>
      </c>
      <c r="AE64" s="32" t="inlineStr">
        <is>
          <t>IF(E64="","",IF(OR(Y64="Cancelled",AA64="Cancelled"),"Cancelled",IF(OR(AA64="Completed / Handover",W64&lt;&gt;"",X64&gt;=100),"Completed — on track",IF(L64="Remaining",IF(S64="",IF(V64="","No planned date",IF(TODAY()&gt;V64,"Behind — past planned date",IF(V64-TODAY()&lt;=30,"At risk — close to off track","On track"))),IF(TODAY()&gt;S64,"Behind — award date passed",IF(S64-TODAY()&lt;=30,"At risk — close to off track","On track"))),IF(V64="","No planned date",IF(AND(TODAY()&gt;V64,OR(X64="",X64&lt;100)),"Behind — past end date",IF(AND(R64&lt;&gt;"",V64&lt;&gt;"",X64&lt;&gt;"",(X64&lt;100),((TODAY()-R64)/MAX(V64-R64,1)*100)-X64&gt;15),"Behind — progress lag",IF(AND(V64-TODAY()&lt;=30,V64-TODAY()&gt;=0,OR(X64="",X64&lt;90)),"At risk — close to off track","On track"))))))))</t>
        </is>
      </c>
      <c r="AF64" s="38" t="inlineStr">
        <is>
          <t>IF(OR(E64="",AA64="Completed / Handover",AA64="Cancelled"),"",IF(L64="Remaining",IF(S64&lt;&gt;"",S64-TODAY(),IF(V64="","",V64-TODAY())),IF(V64="","",V64-TODAY())))</t>
        </is>
      </c>
      <c r="AG64" s="36" t="n"/>
      <c r="AH64" s="36" t="n"/>
      <c r="AI64" s="36" t="n"/>
      <c r="AJ64" s="36" t="n"/>
      <c r="AK64" s="36" t="n"/>
      <c r="AL64" s="36" t="n"/>
      <c r="AM64" s="36" t="n"/>
      <c r="AN64" s="36" t="n"/>
      <c r="AO64" s="36" t="n"/>
      <c r="AP64" s="36" t="n"/>
      <c r="AQ64" s="36" t="n"/>
      <c r="AR64" s="40" t="n"/>
      <c r="AS64" s="40" t="n"/>
      <c r="AT64" s="40" t="n"/>
      <c r="AU64" s="38" t="inlineStr">
        <is>
          <t>IF(OR(E64="",AH64=""),"",IF(COUNT(AG64:AG64)=0,"",AH64-LOOKUP(2,1/(AG64:AG64&lt;&gt;""),AG64:AG64)))</t>
        </is>
      </c>
      <c r="AV64" s="38" t="inlineStr">
        <is>
          <t>IF(OR(E64="",AI64=""),"",IF(COUNT(AG64:AH64)=0,"",AI64-LOOKUP(2,1/(AG64:AH64&lt;&gt;""),AG64:AH64)))</t>
        </is>
      </c>
      <c r="AW64" s="38" t="inlineStr">
        <is>
          <t>IF(OR(E64="",AJ64=""),"",IF(COUNT(AG64:AI64)=0,"",AJ64-LOOKUP(2,1/(AG64:AI64&lt;&gt;""),AG64:AI64)))</t>
        </is>
      </c>
      <c r="AX64" s="38" t="inlineStr">
        <is>
          <t>IF(OR(E64="",AK64=""),"",IF(COUNT(AG64:AJ64)=0,"",AK64-LOOKUP(2,1/(AG64:AJ64&lt;&gt;""),AG64:AJ64)))</t>
        </is>
      </c>
      <c r="AY64" s="38" t="inlineStr">
        <is>
          <t>IF(OR(E64="",AL64=""),"",IF(COUNT(AG64:AK64)=0,"",AL64-LOOKUP(2,1/(AG64:AK64&lt;&gt;""),AG64:AK64)))</t>
        </is>
      </c>
      <c r="AZ64" s="38" t="inlineStr">
        <is>
          <t>IF(OR(E64="",AM64=""),"",IF(COUNT(AG64:AL64)=0,"",AM64-LOOKUP(2,1/(AG64:AL64&lt;&gt;""),AG64:AL64)))</t>
        </is>
      </c>
      <c r="BA64" s="38" t="inlineStr">
        <is>
          <t>IF(OR(E64="",AN64=""),"",IF(COUNT(AG64:AM64)=0,"",AN64-LOOKUP(2,1/(AG64:AM64&lt;&gt;""),AG64:AM64)))</t>
        </is>
      </c>
      <c r="BB64" s="38" t="inlineStr">
        <is>
          <t>IF(OR(E64="",AO64=""),"",IF(COUNT(AG64:AN64)=0,"",AO64-LOOKUP(2,1/(AG64:AN64&lt;&gt;""),AG64:AN64)))</t>
        </is>
      </c>
      <c r="BC64" s="38" t="inlineStr">
        <is>
          <t>IF(OR(E64="",AP64=""),"",IF(COUNT(AG64:AO64)=0,"",AP64-LOOKUP(2,1/(AG64:AO64&lt;&gt;""),AG64:AO64)))</t>
        </is>
      </c>
      <c r="BD64" s="38" t="inlineStr">
        <is>
          <t>IF(OR(E64="",AQ64=""),"",IF(COUNT(AG64:AP64)=0,"",AQ64-LOOKUP(2,1/(AG64:AP64&lt;&gt;""),AG64:AP64)))</t>
        </is>
      </c>
      <c r="BE64" s="38" t="inlineStr">
        <is>
          <t>IF(OR(E64="",AR64=""),"",IF(COUNT(AG64:AQ64)=0,"",AR64-LOOKUP(2,1/(AG64:AQ64&lt;&gt;""),AG64:AQ64)))</t>
        </is>
      </c>
      <c r="BF64" s="38" t="inlineStr">
        <is>
          <t>IF(OR(E64="",AS64=""),"",IF(COUNT(AG64:AR64)=0,"",AS64-LOOKUP(2,1/(AG64:AR64&lt;&gt;""),AG64:AR64)))</t>
        </is>
      </c>
      <c r="BG64" s="38" t="inlineStr">
        <is>
          <t>IF(OR(E64="",AT64=""),"",IF(COUNT(AG64:AS64)=0,"",AT64-LOOKUP(2,1/(AG64:AS64&lt;&gt;""),AG64:AS64)))</t>
        </is>
      </c>
      <c r="BH64" s="41" t="inlineStr">
        <is>
          <t>IF(G64="","All_Provinces",IFERROR(VLOOKUP(G64,'07_Lookups'!$A$4:$B$20,2,FALSE),"All_Provinces"))</t>
        </is>
      </c>
      <c r="BI64" s="41" t="inlineStr">
        <is>
          <t>IF(H64="","All_Districts",IFERROR(VLOOKUP(H64,'07_Lookups'!$E$4:$F$42,2,FALSE),"All_Districts"))</t>
        </is>
      </c>
    </row>
    <row r="65" ht="18" customHeight="1">
      <c r="A65" s="32" t="inlineStr">
        <is>
          <t>IF(E65="","",ROW()-3)</t>
        </is>
      </c>
      <c r="B65" s="42" t="inlineStr">
        <is>
          <t>AF2-IS-R-027</t>
        </is>
      </c>
      <c r="C65" s="42" t="inlineStr">
        <is>
          <t>Emergency Food Security Project (EFSP) – WBK/AF-2</t>
        </is>
      </c>
      <c r="D65" s="42" t="inlineStr">
        <is>
          <t>Package # 30-AF2 IS: Rehabilitation of Teshkhan canal and Khushpak Markazi Canals irrigation schemes, located in Ishkashim districts of Badakhshan province.</t>
        </is>
      </c>
      <c r="E65" s="42" t="inlineStr">
        <is>
          <t>Khushpak Markazi Canal Irrigation Scheme</t>
        </is>
      </c>
      <c r="F65" s="42" t="inlineStr">
        <is>
          <t>Irrigation Canal</t>
        </is>
      </c>
      <c r="G65" s="42" t="inlineStr">
        <is>
          <t>Central Highland / Bamyan</t>
        </is>
      </c>
      <c r="H65" s="42" t="inlineStr">
        <is>
          <t>Badakhshan</t>
        </is>
      </c>
      <c r="I65" s="42" t="inlineStr">
        <is>
          <t>Ishkashim</t>
        </is>
      </c>
      <c r="J65" s="42" t="inlineStr">
        <is>
          <t>Osas</t>
        </is>
      </c>
      <c r="K65" s="42" t="inlineStr">
        <is>
          <t>World Bank (WBK/AF-2)</t>
        </is>
      </c>
      <c r="L65" s="42" t="inlineStr">
        <is>
          <t>Remaining</t>
        </is>
      </c>
      <c r="M65" s="42" t="inlineStr">
        <is>
          <t>On/off-farm irrigation</t>
        </is>
      </c>
      <c r="N65" s="42" t="inlineStr">
        <is>
          <t>2.Remain contracts_On&amp;off-farm</t>
        </is>
      </c>
      <c r="O65" s="42" t="inlineStr"/>
      <c r="P65" s="42" t="inlineStr"/>
      <c r="Q65" s="43" t="n">
        <v>220000</v>
      </c>
      <c r="R65" s="35" t="inlineStr">
        <is>
          <t>IF(AO65="","",AO65)</t>
        </is>
      </c>
      <c r="S65" s="44" t="n">
        <v>46399</v>
      </c>
      <c r="T65" s="45" t="n">
        <v>8.9</v>
      </c>
      <c r="U65" s="44" t="n">
        <v>46669</v>
      </c>
      <c r="V65" s="35" t="inlineStr">
        <is>
          <t>IF(U65&lt;&gt;"",U65,IF(OR(R65="",T65=""),"",EDATE(R65,T65)))</t>
        </is>
      </c>
      <c r="W65" s="44" t="n"/>
      <c r="X65" s="45" t="n"/>
      <c r="Y65" s="42" t="inlineStr">
        <is>
          <t>PR to be Raised</t>
        </is>
      </c>
      <c r="Z65" s="42" t="inlineStr">
        <is>
          <t>Three months slack period Jan-Mar during winter. Six months construction period required for two canals</t>
        </is>
      </c>
      <c r="AA65" s="32" t="inlineStr">
        <is>
          <t>IF(E65="","",IF(COUNT(AG65:AT65)=0,IF(Y65="","Not started",Y65),SUBSTITUTE(LOOKUP(2,1/(AG65:AT65&lt;&gt;""),$AG$3:$AT$3),"Date: ","")))</t>
        </is>
      </c>
      <c r="AB65" s="38" t="inlineStr">
        <is>
          <t>IF(OR(E65="",COUNT(AG65:AT65)=0),"",TODAY()-LOOKUP(2,1/(AG65:AT65&lt;&gt;""),AG65:AT65))</t>
        </is>
      </c>
      <c r="AC65" s="38" t="inlineStr">
        <is>
          <t>IF(OR(E65="",COUNT(AG65:AT65)&lt;2),"",LOOKUP(2,1/(AG65:AT65&lt;&gt;""),AG65:AT65)-MIN(AG65:AT65))</t>
        </is>
      </c>
      <c r="AD65" s="38" t="inlineStr">
        <is>
          <t>IF(OR(AB65="",AA65="Not started",AA65=""),"",IFERROR(AB65-IF(VLOOKUP(AA65,'04_Status_Pipeline'!$B$3:$E$20,4,FALSE)="",0,VLOOKUP(AA65,'04_Status_Pipeline'!$B$3:$E$20,4,FALSE)),""))</t>
        </is>
      </c>
      <c r="AE65" s="32" t="inlineStr">
        <is>
          <t>IF(E65="","",IF(OR(Y65="Cancelled",AA65="Cancelled"),"Cancelled",IF(OR(AA65="Completed / Handover",W65&lt;&gt;"",X65&gt;=100),"Completed — on track",IF(L65="Remaining",IF(S65="",IF(V65="","No planned date",IF(TODAY()&gt;V65,"Behind — past planned date",IF(V65-TODAY()&lt;=30,"At risk — close to off track","On track"))),IF(TODAY()&gt;S65,"Behind — award date passed",IF(S65-TODAY()&lt;=30,"At risk — close to off track","On track"))),IF(V65="","No planned date",IF(AND(TODAY()&gt;V65,OR(X65="",X65&lt;100)),"Behind — past end date",IF(AND(R65&lt;&gt;"",V65&lt;&gt;"",X65&lt;&gt;"",(X65&lt;100),((TODAY()-R65)/MAX(V65-R65,1)*100)-X65&gt;15),"Behind — progress lag",IF(AND(V65-TODAY()&lt;=30,V65-TODAY()&gt;=0,OR(X65="",X65&lt;90)),"At risk — close to off track","On track"))))))))</t>
        </is>
      </c>
      <c r="AF65" s="38" t="inlineStr">
        <is>
          <t>IF(OR(E65="",AA65="Completed / Handover",AA65="Cancelled"),"",IF(L65="Remaining",IF(S65&lt;&gt;"",S65-TODAY(),IF(V65="","",V65-TODAY())),IF(V65="","",V65-TODAY())))</t>
        </is>
      </c>
      <c r="AG65" s="44" t="n"/>
      <c r="AH65" s="44" t="n"/>
      <c r="AI65" s="44" t="n"/>
      <c r="AJ65" s="44" t="n"/>
      <c r="AK65" s="44" t="n"/>
      <c r="AL65" s="44" t="n"/>
      <c r="AM65" s="44" t="n"/>
      <c r="AN65" s="44" t="n"/>
      <c r="AO65" s="44" t="n"/>
      <c r="AP65" s="44" t="n"/>
      <c r="AQ65" s="44" t="n"/>
      <c r="AR65" s="40" t="n"/>
      <c r="AS65" s="40" t="n"/>
      <c r="AT65" s="40" t="n"/>
      <c r="AU65" s="38" t="inlineStr">
        <is>
          <t>IF(OR(E65="",AH65=""),"",IF(COUNT(AG65:AG65)=0,"",AH65-LOOKUP(2,1/(AG65:AG65&lt;&gt;""),AG65:AG65)))</t>
        </is>
      </c>
      <c r="AV65" s="38" t="inlineStr">
        <is>
          <t>IF(OR(E65="",AI65=""),"",IF(COUNT(AG65:AH65)=0,"",AI65-LOOKUP(2,1/(AG65:AH65&lt;&gt;""),AG65:AH65)))</t>
        </is>
      </c>
      <c r="AW65" s="38" t="inlineStr">
        <is>
          <t>IF(OR(E65="",AJ65=""),"",IF(COUNT(AG65:AI65)=0,"",AJ65-LOOKUP(2,1/(AG65:AI65&lt;&gt;""),AG65:AI65)))</t>
        </is>
      </c>
      <c r="AX65" s="38" t="inlineStr">
        <is>
          <t>IF(OR(E65="",AK65=""),"",IF(COUNT(AG65:AJ65)=0,"",AK65-LOOKUP(2,1/(AG65:AJ65&lt;&gt;""),AG65:AJ65)))</t>
        </is>
      </c>
      <c r="AY65" s="38" t="inlineStr">
        <is>
          <t>IF(OR(E65="",AL65=""),"",IF(COUNT(AG65:AK65)=0,"",AL65-LOOKUP(2,1/(AG65:AK65&lt;&gt;""),AG65:AK65)))</t>
        </is>
      </c>
      <c r="AZ65" s="38" t="inlineStr">
        <is>
          <t>IF(OR(E65="",AM65=""),"",IF(COUNT(AG65:AL65)=0,"",AM65-LOOKUP(2,1/(AG65:AL65&lt;&gt;""),AG65:AL65)))</t>
        </is>
      </c>
      <c r="BA65" s="38" t="inlineStr">
        <is>
          <t>IF(OR(E65="",AN65=""),"",IF(COUNT(AG65:AM65)=0,"",AN65-LOOKUP(2,1/(AG65:AM65&lt;&gt;""),AG65:AM65)))</t>
        </is>
      </c>
      <c r="BB65" s="38" t="inlineStr">
        <is>
          <t>IF(OR(E65="",AO65=""),"",IF(COUNT(AG65:AN65)=0,"",AO65-LOOKUP(2,1/(AG65:AN65&lt;&gt;""),AG65:AN65)))</t>
        </is>
      </c>
      <c r="BC65" s="38" t="inlineStr">
        <is>
          <t>IF(OR(E65="",AP65=""),"",IF(COUNT(AG65:AO65)=0,"",AP65-LOOKUP(2,1/(AG65:AO65&lt;&gt;""),AG65:AO65)))</t>
        </is>
      </c>
      <c r="BD65" s="38" t="inlineStr">
        <is>
          <t>IF(OR(E65="",AQ65=""),"",IF(COUNT(AG65:AP65)=0,"",AQ65-LOOKUP(2,1/(AG65:AP65&lt;&gt;""),AG65:AP65)))</t>
        </is>
      </c>
      <c r="BE65" s="38" t="inlineStr">
        <is>
          <t>IF(OR(E65="",AR65=""),"",IF(COUNT(AG65:AQ65)=0,"",AR65-LOOKUP(2,1/(AG65:AQ65&lt;&gt;""),AG65:AQ65)))</t>
        </is>
      </c>
      <c r="BF65" s="38" t="inlineStr">
        <is>
          <t>IF(OR(E65="",AS65=""),"",IF(COUNT(AG65:AR65)=0,"",AS65-LOOKUP(2,1/(AG65:AR65&lt;&gt;""),AG65:AR65)))</t>
        </is>
      </c>
      <c r="BG65" s="38" t="inlineStr">
        <is>
          <t>IF(OR(E65="",AT65=""),"",IF(COUNT(AG65:AS65)=0,"",AT65-LOOKUP(2,1/(AG65:AS65&lt;&gt;""),AG65:AS65)))</t>
        </is>
      </c>
      <c r="BH65" s="41" t="inlineStr">
        <is>
          <t>IF(G65="","All_Provinces",IFERROR(VLOOKUP(G65,'07_Lookups'!$A$4:$B$20,2,FALSE),"All_Provinces"))</t>
        </is>
      </c>
      <c r="BI65" s="41" t="inlineStr">
        <is>
          <t>IF(H65="","All_Districts",IFERROR(VLOOKUP(H65,'07_Lookups'!$E$4:$F$42,2,FALSE),"All_Districts"))</t>
        </is>
      </c>
    </row>
    <row r="66" ht="18" customHeight="1">
      <c r="A66" s="32" t="inlineStr">
        <is>
          <t>IF(E66="","",ROW()-3)</t>
        </is>
      </c>
      <c r="B66" s="33" t="inlineStr">
        <is>
          <t>AF2-IS-R-028</t>
        </is>
      </c>
      <c r="C66" s="33" t="inlineStr">
        <is>
          <t>Emergency Food Security Project (EFSP) – WBK/AF-2</t>
        </is>
      </c>
      <c r="D66" s="33" t="inlineStr">
        <is>
          <t>Package #34-AF2 IS: Rehabilitation of Hashtman canal and Qashqasai canal irrigation schemes, located in Qaisar district of Faryab province.</t>
        </is>
      </c>
      <c r="E66" s="33" t="inlineStr">
        <is>
          <t>Hashtman Canal Irrigation scheme</t>
        </is>
      </c>
      <c r="F66" s="33" t="inlineStr">
        <is>
          <t>Irrigation Canal</t>
        </is>
      </c>
      <c r="G66" s="33" t="inlineStr">
        <is>
          <t>Central Highland / Bamyan</t>
        </is>
      </c>
      <c r="H66" s="33" t="inlineStr">
        <is>
          <t>Faryab</t>
        </is>
      </c>
      <c r="I66" s="33" t="inlineStr">
        <is>
          <t>Qaisar</t>
        </is>
      </c>
      <c r="J66" s="33" t="inlineStr">
        <is>
          <t>Chechakto Majnon and Payan Guzar</t>
        </is>
      </c>
      <c r="K66" s="33" t="inlineStr">
        <is>
          <t>World Bank (WBK/AF-2)</t>
        </is>
      </c>
      <c r="L66" s="33" t="inlineStr">
        <is>
          <t>Remaining</t>
        </is>
      </c>
      <c r="M66" s="33" t="inlineStr">
        <is>
          <t>On/off-farm irrigation</t>
        </is>
      </c>
      <c r="N66" s="33" t="inlineStr">
        <is>
          <t>2.Remain contracts_On&amp;off-farm</t>
        </is>
      </c>
      <c r="O66" s="33" t="inlineStr"/>
      <c r="P66" s="33" t="inlineStr"/>
      <c r="Q66" s="34" t="n">
        <v>397007.86</v>
      </c>
      <c r="R66" s="35" t="inlineStr">
        <is>
          <t>IF(AO66="","",AO66)</t>
        </is>
      </c>
      <c r="S66" s="36" t="n">
        <v>46386</v>
      </c>
      <c r="T66" s="37" t="n">
        <v>9.199999999999999</v>
      </c>
      <c r="U66" s="36" t="n">
        <v>46666</v>
      </c>
      <c r="V66" s="35" t="inlineStr">
        <is>
          <t>IF(U66&lt;&gt;"",U66,IF(OR(R66="",T66=""),"",EDATE(R66,T66)))</t>
        </is>
      </c>
      <c r="W66" s="36" t="n"/>
      <c r="X66" s="37" t="n"/>
      <c r="Y66" s="33" t="inlineStr">
        <is>
          <t>ITB Launched</t>
        </is>
      </c>
      <c r="Z66" s="33" t="inlineStr">
        <is>
          <t>Three months slack period Jan-Mar during winter. Seven months construction period required for two canals</t>
        </is>
      </c>
      <c r="AA66" s="32" t="inlineStr">
        <is>
          <t>IF(E66="","",IF(COUNT(AG66:AT66)=0,IF(Y66="","Not started",Y66),SUBSTITUTE(LOOKUP(2,1/(AG66:AT66&lt;&gt;""),$AG$3:$AT$3),"Date: ","")))</t>
        </is>
      </c>
      <c r="AB66" s="38" t="inlineStr">
        <is>
          <t>IF(OR(E66="",COUNT(AG66:AT66)=0),"",TODAY()-LOOKUP(2,1/(AG66:AT66&lt;&gt;""),AG66:AT66))</t>
        </is>
      </c>
      <c r="AC66" s="38" t="inlineStr">
        <is>
          <t>IF(OR(E66="",COUNT(AG66:AT66)&lt;2),"",LOOKUP(2,1/(AG66:AT66&lt;&gt;""),AG66:AT66)-MIN(AG66:AT66))</t>
        </is>
      </c>
      <c r="AD66" s="38" t="inlineStr">
        <is>
          <t>IF(OR(AB66="",AA66="Not started",AA66=""),"",IFERROR(AB66-IF(VLOOKUP(AA66,'04_Status_Pipeline'!$B$3:$E$20,4,FALSE)="",0,VLOOKUP(AA66,'04_Status_Pipeline'!$B$3:$E$20,4,FALSE)),""))</t>
        </is>
      </c>
      <c r="AE66" s="32" t="inlineStr">
        <is>
          <t>IF(E66="","",IF(OR(Y66="Cancelled",AA66="Cancelled"),"Cancelled",IF(OR(AA66="Completed / Handover",W66&lt;&gt;"",X66&gt;=100),"Completed — on track",IF(L66="Remaining",IF(S66="",IF(V66="","No planned date",IF(TODAY()&gt;V66,"Behind — past planned date",IF(V66-TODAY()&lt;=30,"At risk — close to off track","On track"))),IF(TODAY()&gt;S66,"Behind — award date passed",IF(S66-TODAY()&lt;=30,"At risk — close to off track","On track"))),IF(V66="","No planned date",IF(AND(TODAY()&gt;V66,OR(X66="",X66&lt;100)),"Behind — past end date",IF(AND(R66&lt;&gt;"",V66&lt;&gt;"",X66&lt;&gt;"",(X66&lt;100),((TODAY()-R66)/MAX(V66-R66,1)*100)-X66&gt;15),"Behind — progress lag",IF(AND(V66-TODAY()&lt;=30,V66-TODAY()&gt;=0,OR(X66="",X66&lt;90)),"At risk — close to off track","On track"))))))))</t>
        </is>
      </c>
      <c r="AF66" s="38" t="inlineStr">
        <is>
          <t>IF(OR(E66="",AA66="Completed / Handover",AA66="Cancelled"),"",IF(L66="Remaining",IF(S66&lt;&gt;"",S66-TODAY(),IF(V66="","",V66-TODAY())),IF(V66="","",V66-TODAY())))</t>
        </is>
      </c>
      <c r="AG66" s="36" t="n"/>
      <c r="AH66" s="36" t="n"/>
      <c r="AI66" s="36" t="n"/>
      <c r="AJ66" s="36" t="n"/>
      <c r="AK66" s="36" t="n"/>
      <c r="AL66" s="36" t="n"/>
      <c r="AM66" s="36" t="n"/>
      <c r="AN66" s="36" t="n"/>
      <c r="AO66" s="36" t="n"/>
      <c r="AP66" s="36" t="n"/>
      <c r="AQ66" s="36" t="n"/>
      <c r="AR66" s="40" t="n"/>
      <c r="AS66" s="40" t="n"/>
      <c r="AT66" s="40" t="n"/>
      <c r="AU66" s="38" t="inlineStr">
        <is>
          <t>IF(OR(E66="",AH66=""),"",IF(COUNT(AG66:AG66)=0,"",AH66-LOOKUP(2,1/(AG66:AG66&lt;&gt;""),AG66:AG66)))</t>
        </is>
      </c>
      <c r="AV66" s="38" t="inlineStr">
        <is>
          <t>IF(OR(E66="",AI66=""),"",IF(COUNT(AG66:AH66)=0,"",AI66-LOOKUP(2,1/(AG66:AH66&lt;&gt;""),AG66:AH66)))</t>
        </is>
      </c>
      <c r="AW66" s="38" t="inlineStr">
        <is>
          <t>IF(OR(E66="",AJ66=""),"",IF(COUNT(AG66:AI66)=0,"",AJ66-LOOKUP(2,1/(AG66:AI66&lt;&gt;""),AG66:AI66)))</t>
        </is>
      </c>
      <c r="AX66" s="38" t="inlineStr">
        <is>
          <t>IF(OR(E66="",AK66=""),"",IF(COUNT(AG66:AJ66)=0,"",AK66-LOOKUP(2,1/(AG66:AJ66&lt;&gt;""),AG66:AJ66)))</t>
        </is>
      </c>
      <c r="AY66" s="38" t="inlineStr">
        <is>
          <t>IF(OR(E66="",AL66=""),"",IF(COUNT(AG66:AK66)=0,"",AL66-LOOKUP(2,1/(AG66:AK66&lt;&gt;""),AG66:AK66)))</t>
        </is>
      </c>
      <c r="AZ66" s="38" t="inlineStr">
        <is>
          <t>IF(OR(E66="",AM66=""),"",IF(COUNT(AG66:AL66)=0,"",AM66-LOOKUP(2,1/(AG66:AL66&lt;&gt;""),AG66:AL66)))</t>
        </is>
      </c>
      <c r="BA66" s="38" t="inlineStr">
        <is>
          <t>IF(OR(E66="",AN66=""),"",IF(COUNT(AG66:AM66)=0,"",AN66-LOOKUP(2,1/(AG66:AM66&lt;&gt;""),AG66:AM66)))</t>
        </is>
      </c>
      <c r="BB66" s="38" t="inlineStr">
        <is>
          <t>IF(OR(E66="",AO66=""),"",IF(COUNT(AG66:AN66)=0,"",AO66-LOOKUP(2,1/(AG66:AN66&lt;&gt;""),AG66:AN66)))</t>
        </is>
      </c>
      <c r="BC66" s="38" t="inlineStr">
        <is>
          <t>IF(OR(E66="",AP66=""),"",IF(COUNT(AG66:AO66)=0,"",AP66-LOOKUP(2,1/(AG66:AO66&lt;&gt;""),AG66:AO66)))</t>
        </is>
      </c>
      <c r="BD66" s="38" t="inlineStr">
        <is>
          <t>IF(OR(E66="",AQ66=""),"",IF(COUNT(AG66:AP66)=0,"",AQ66-LOOKUP(2,1/(AG66:AP66&lt;&gt;""),AG66:AP66)))</t>
        </is>
      </c>
      <c r="BE66" s="38" t="inlineStr">
        <is>
          <t>IF(OR(E66="",AR66=""),"",IF(COUNT(AG66:AQ66)=0,"",AR66-LOOKUP(2,1/(AG66:AQ66&lt;&gt;""),AG66:AQ66)))</t>
        </is>
      </c>
      <c r="BF66" s="38" t="inlineStr">
        <is>
          <t>IF(OR(E66="",AS66=""),"",IF(COUNT(AG66:AR66)=0,"",AS66-LOOKUP(2,1/(AG66:AR66&lt;&gt;""),AG66:AR66)))</t>
        </is>
      </c>
      <c r="BG66" s="38" t="inlineStr">
        <is>
          <t>IF(OR(E66="",AT66=""),"",IF(COUNT(AG66:AS66)=0,"",AT66-LOOKUP(2,1/(AG66:AS66&lt;&gt;""),AG66:AS66)))</t>
        </is>
      </c>
      <c r="BH66" s="41" t="inlineStr">
        <is>
          <t>IF(G66="","All_Provinces",IFERROR(VLOOKUP(G66,'07_Lookups'!$A$4:$B$20,2,FALSE),"All_Provinces"))</t>
        </is>
      </c>
      <c r="BI66" s="41" t="inlineStr">
        <is>
          <t>IF(H66="","All_Districts",IFERROR(VLOOKUP(H66,'07_Lookups'!$E$4:$F$42,2,FALSE),"All_Districts"))</t>
        </is>
      </c>
    </row>
    <row r="67" ht="18" customHeight="1">
      <c r="A67" s="32" t="inlineStr">
        <is>
          <t>IF(E67="","",ROW()-3)</t>
        </is>
      </c>
      <c r="B67" s="42" t="inlineStr">
        <is>
          <t>AF2-IS-R-029</t>
        </is>
      </c>
      <c r="C67" s="42" t="inlineStr">
        <is>
          <t>Emergency Food Security Project (EFSP) – WBK/AF-2</t>
        </is>
      </c>
      <c r="D67" s="42" t="inlineStr">
        <is>
          <t>Package #34-AF2 IS: Rehabilitation of Hashtman canal and Qashqasai canal irrigation schemes, located in Qaisar district of Faryab province.</t>
        </is>
      </c>
      <c r="E67" s="42" t="inlineStr">
        <is>
          <t>Qashqasai Canal Irrigation scheme</t>
        </is>
      </c>
      <c r="F67" s="42" t="inlineStr">
        <is>
          <t>Irrigation Canal</t>
        </is>
      </c>
      <c r="G67" s="42" t="inlineStr">
        <is>
          <t>Central Highland / Bamyan</t>
        </is>
      </c>
      <c r="H67" s="42" t="inlineStr">
        <is>
          <t>Faryab</t>
        </is>
      </c>
      <c r="I67" s="42" t="inlineStr">
        <is>
          <t>Qaisar</t>
        </is>
      </c>
      <c r="J67" s="42" t="inlineStr">
        <is>
          <t>Yaka Bagh, Kham badal, Pacha Khor, and Borghan Erak.</t>
        </is>
      </c>
      <c r="K67" s="42" t="inlineStr">
        <is>
          <t>World Bank (WBK/AF-2)</t>
        </is>
      </c>
      <c r="L67" s="42" t="inlineStr">
        <is>
          <t>Remaining</t>
        </is>
      </c>
      <c r="M67" s="42" t="inlineStr">
        <is>
          <t>On/off-farm irrigation</t>
        </is>
      </c>
      <c r="N67" s="42" t="inlineStr">
        <is>
          <t>2.Remain contracts_On&amp;off-farm</t>
        </is>
      </c>
      <c r="O67" s="42" t="inlineStr"/>
      <c r="P67" s="42" t="inlineStr"/>
      <c r="Q67" s="43" t="n">
        <v>397007.86</v>
      </c>
      <c r="R67" s="35" t="inlineStr">
        <is>
          <t>IF(AO67="","",AO67)</t>
        </is>
      </c>
      <c r="S67" s="44" t="n">
        <v>46386</v>
      </c>
      <c r="T67" s="45" t="n">
        <v>9.199999999999999</v>
      </c>
      <c r="U67" s="44" t="n">
        <v>46666</v>
      </c>
      <c r="V67" s="35" t="inlineStr">
        <is>
          <t>IF(U67&lt;&gt;"",U67,IF(OR(R67="",T67=""),"",EDATE(R67,T67)))</t>
        </is>
      </c>
      <c r="W67" s="44" t="n"/>
      <c r="X67" s="45" t="n"/>
      <c r="Y67" s="42" t="inlineStr">
        <is>
          <t>ITB Launched</t>
        </is>
      </c>
      <c r="Z67" s="42" t="inlineStr">
        <is>
          <t>Three months slack period Jan-Mar during winter. Seven months construction period required for two canals</t>
        </is>
      </c>
      <c r="AA67" s="32" t="inlineStr">
        <is>
          <t>IF(E67="","",IF(COUNT(AG67:AT67)=0,IF(Y67="","Not started",Y67),SUBSTITUTE(LOOKUP(2,1/(AG67:AT67&lt;&gt;""),$AG$3:$AT$3),"Date: ","")))</t>
        </is>
      </c>
      <c r="AB67" s="38" t="inlineStr">
        <is>
          <t>IF(OR(E67="",COUNT(AG67:AT67)=0),"",TODAY()-LOOKUP(2,1/(AG67:AT67&lt;&gt;""),AG67:AT67))</t>
        </is>
      </c>
      <c r="AC67" s="38" t="inlineStr">
        <is>
          <t>IF(OR(E67="",COUNT(AG67:AT67)&lt;2),"",LOOKUP(2,1/(AG67:AT67&lt;&gt;""),AG67:AT67)-MIN(AG67:AT67))</t>
        </is>
      </c>
      <c r="AD67" s="38" t="inlineStr">
        <is>
          <t>IF(OR(AB67="",AA67="Not started",AA67=""),"",IFERROR(AB67-IF(VLOOKUP(AA67,'04_Status_Pipeline'!$B$3:$E$20,4,FALSE)="",0,VLOOKUP(AA67,'04_Status_Pipeline'!$B$3:$E$20,4,FALSE)),""))</t>
        </is>
      </c>
      <c r="AE67" s="32" t="inlineStr">
        <is>
          <t>IF(E67="","",IF(OR(Y67="Cancelled",AA67="Cancelled"),"Cancelled",IF(OR(AA67="Completed / Handover",W67&lt;&gt;"",X67&gt;=100),"Completed — on track",IF(L67="Remaining",IF(S67="",IF(V67="","No planned date",IF(TODAY()&gt;V67,"Behind — past planned date",IF(V67-TODAY()&lt;=30,"At risk — close to off track","On track"))),IF(TODAY()&gt;S67,"Behind — award date passed",IF(S67-TODAY()&lt;=30,"At risk — close to off track","On track"))),IF(V67="","No planned date",IF(AND(TODAY()&gt;V67,OR(X67="",X67&lt;100)),"Behind — past end date",IF(AND(R67&lt;&gt;"",V67&lt;&gt;"",X67&lt;&gt;"",(X67&lt;100),((TODAY()-R67)/MAX(V67-R67,1)*100)-X67&gt;15),"Behind — progress lag",IF(AND(V67-TODAY()&lt;=30,V67-TODAY()&gt;=0,OR(X67="",X67&lt;90)),"At risk — close to off track","On track"))))))))</t>
        </is>
      </c>
      <c r="AF67" s="38" t="inlineStr">
        <is>
          <t>IF(OR(E67="",AA67="Completed / Handover",AA67="Cancelled"),"",IF(L67="Remaining",IF(S67&lt;&gt;"",S67-TODAY(),IF(V67="","",V67-TODAY())),IF(V67="","",V67-TODAY())))</t>
        </is>
      </c>
      <c r="AG67" s="44" t="n"/>
      <c r="AH67" s="44" t="n"/>
      <c r="AI67" s="44" t="n"/>
      <c r="AJ67" s="44" t="n"/>
      <c r="AK67" s="44" t="n"/>
      <c r="AL67" s="44" t="n"/>
      <c r="AM67" s="44" t="n"/>
      <c r="AN67" s="44" t="n"/>
      <c r="AO67" s="44" t="n"/>
      <c r="AP67" s="44" t="n"/>
      <c r="AQ67" s="44" t="n"/>
      <c r="AR67" s="40" t="n"/>
      <c r="AS67" s="40" t="n"/>
      <c r="AT67" s="40" t="n"/>
      <c r="AU67" s="38" t="inlineStr">
        <is>
          <t>IF(OR(E67="",AH67=""),"",IF(COUNT(AG67:AG67)=0,"",AH67-LOOKUP(2,1/(AG67:AG67&lt;&gt;""),AG67:AG67)))</t>
        </is>
      </c>
      <c r="AV67" s="38" t="inlineStr">
        <is>
          <t>IF(OR(E67="",AI67=""),"",IF(COUNT(AG67:AH67)=0,"",AI67-LOOKUP(2,1/(AG67:AH67&lt;&gt;""),AG67:AH67)))</t>
        </is>
      </c>
      <c r="AW67" s="38" t="inlineStr">
        <is>
          <t>IF(OR(E67="",AJ67=""),"",IF(COUNT(AG67:AI67)=0,"",AJ67-LOOKUP(2,1/(AG67:AI67&lt;&gt;""),AG67:AI67)))</t>
        </is>
      </c>
      <c r="AX67" s="38" t="inlineStr">
        <is>
          <t>IF(OR(E67="",AK67=""),"",IF(COUNT(AG67:AJ67)=0,"",AK67-LOOKUP(2,1/(AG67:AJ67&lt;&gt;""),AG67:AJ67)))</t>
        </is>
      </c>
      <c r="AY67" s="38" t="inlineStr">
        <is>
          <t>IF(OR(E67="",AL67=""),"",IF(COUNT(AG67:AK67)=0,"",AL67-LOOKUP(2,1/(AG67:AK67&lt;&gt;""),AG67:AK67)))</t>
        </is>
      </c>
      <c r="AZ67" s="38" t="inlineStr">
        <is>
          <t>IF(OR(E67="",AM67=""),"",IF(COUNT(AG67:AL67)=0,"",AM67-LOOKUP(2,1/(AG67:AL67&lt;&gt;""),AG67:AL67)))</t>
        </is>
      </c>
      <c r="BA67" s="38" t="inlineStr">
        <is>
          <t>IF(OR(E67="",AN67=""),"",IF(COUNT(AG67:AM67)=0,"",AN67-LOOKUP(2,1/(AG67:AM67&lt;&gt;""),AG67:AM67)))</t>
        </is>
      </c>
      <c r="BB67" s="38" t="inlineStr">
        <is>
          <t>IF(OR(E67="",AO67=""),"",IF(COUNT(AG67:AN67)=0,"",AO67-LOOKUP(2,1/(AG67:AN67&lt;&gt;""),AG67:AN67)))</t>
        </is>
      </c>
      <c r="BC67" s="38" t="inlineStr">
        <is>
          <t>IF(OR(E67="",AP67=""),"",IF(COUNT(AG67:AO67)=0,"",AP67-LOOKUP(2,1/(AG67:AO67&lt;&gt;""),AG67:AO67)))</t>
        </is>
      </c>
      <c r="BD67" s="38" t="inlineStr">
        <is>
          <t>IF(OR(E67="",AQ67=""),"",IF(COUNT(AG67:AP67)=0,"",AQ67-LOOKUP(2,1/(AG67:AP67&lt;&gt;""),AG67:AP67)))</t>
        </is>
      </c>
      <c r="BE67" s="38" t="inlineStr">
        <is>
          <t>IF(OR(E67="",AR67=""),"",IF(COUNT(AG67:AQ67)=0,"",AR67-LOOKUP(2,1/(AG67:AQ67&lt;&gt;""),AG67:AQ67)))</t>
        </is>
      </c>
      <c r="BF67" s="38" t="inlineStr">
        <is>
          <t>IF(OR(E67="",AS67=""),"",IF(COUNT(AG67:AR67)=0,"",AS67-LOOKUP(2,1/(AG67:AR67&lt;&gt;""),AG67:AR67)))</t>
        </is>
      </c>
      <c r="BG67" s="38" t="inlineStr">
        <is>
          <t>IF(OR(E67="",AT67=""),"",IF(COUNT(AG67:AS67)=0,"",AT67-LOOKUP(2,1/(AG67:AS67&lt;&gt;""),AG67:AS67)))</t>
        </is>
      </c>
      <c r="BH67" s="41" t="inlineStr">
        <is>
          <t>IF(G67="","All_Provinces",IFERROR(VLOOKUP(G67,'07_Lookups'!$A$4:$B$20,2,FALSE),"All_Provinces"))</t>
        </is>
      </c>
      <c r="BI67" s="41" t="inlineStr">
        <is>
          <t>IF(H67="","All_Districts",IFERROR(VLOOKUP(H67,'07_Lookups'!$E$4:$F$42,2,FALSE),"All_Districts"))</t>
        </is>
      </c>
    </row>
    <row r="68" ht="18" customHeight="1">
      <c r="A68" s="32" t="inlineStr">
        <is>
          <t>IF(E68="","",ROW()-3)</t>
        </is>
      </c>
      <c r="B68" s="33" t="inlineStr">
        <is>
          <t>AF2-IS-R-030</t>
        </is>
      </c>
      <c r="C68" s="33" t="inlineStr">
        <is>
          <t>Emergency Food Security Project (EFSP) – WBK/AF-2</t>
        </is>
      </c>
      <c r="D68" s="33" t="inlineStr">
        <is>
          <t>Package # 36-AF2 IS: Rehabilitation of Joy Shahr canal and Khanum Arabia canal irrigation schemes, located in Aqcha and Faizabad districts of Jawzjan province.</t>
        </is>
      </c>
      <c r="E68" s="33" t="inlineStr">
        <is>
          <t>Joy Shahr Canal Irrigation scheme</t>
        </is>
      </c>
      <c r="F68" s="33" t="inlineStr">
        <is>
          <t>Irrigation Canal</t>
        </is>
      </c>
      <c r="G68" s="33" t="inlineStr">
        <is>
          <t>Central Highland / Bamyan</t>
        </is>
      </c>
      <c r="H68" s="33" t="inlineStr">
        <is>
          <t>Jawzjan</t>
        </is>
      </c>
      <c r="I68" s="33" t="inlineStr">
        <is>
          <t>Aqcha</t>
        </is>
      </c>
      <c r="J68" s="33" t="inlineStr">
        <is>
          <t>Komak Omarkhan and Jiza</t>
        </is>
      </c>
      <c r="K68" s="33" t="inlineStr">
        <is>
          <t>World Bank (WBK/AF-2)</t>
        </is>
      </c>
      <c r="L68" s="33" t="inlineStr">
        <is>
          <t>Remaining</t>
        </is>
      </c>
      <c r="M68" s="33" t="inlineStr">
        <is>
          <t>On/off-farm irrigation</t>
        </is>
      </c>
      <c r="N68" s="33" t="inlineStr">
        <is>
          <t>2.Remain contracts_On&amp;off-farm</t>
        </is>
      </c>
      <c r="O68" s="33" t="inlineStr"/>
      <c r="P68" s="33" t="inlineStr"/>
      <c r="Q68" s="34" t="n">
        <v>310000</v>
      </c>
      <c r="R68" s="35" t="inlineStr">
        <is>
          <t>IF(AO68="","",AO68)</t>
        </is>
      </c>
      <c r="S68" s="36" t="n">
        <v>46373</v>
      </c>
      <c r="T68" s="37" t="n">
        <v>9.9</v>
      </c>
      <c r="U68" s="36" t="n">
        <v>46673</v>
      </c>
      <c r="V68" s="35" t="inlineStr">
        <is>
          <t>IF(U68&lt;&gt;"",U68,IF(OR(R68="",T68=""),"",EDATE(R68,T68)))</t>
        </is>
      </c>
      <c r="W68" s="36" t="n"/>
      <c r="X68" s="37" t="n"/>
      <c r="Y68" s="33" t="inlineStr">
        <is>
          <t>Under LTO Review</t>
        </is>
      </c>
      <c r="Z68" s="33" t="inlineStr">
        <is>
          <t>Three months slack period Jan-Mar during winter. Seven months construction period required for two canals. Explore split into 2 lots</t>
        </is>
      </c>
      <c r="AA68" s="32" t="inlineStr">
        <is>
          <t>IF(E68="","",IF(COUNT(AG68:AT68)=0,IF(Y68="","Not started",Y68),SUBSTITUTE(LOOKUP(2,1/(AG68:AT68&lt;&gt;""),$AG$3:$AT$3),"Date: ","")))</t>
        </is>
      </c>
      <c r="AB68" s="38" t="inlineStr">
        <is>
          <t>IF(OR(E68="",COUNT(AG68:AT68)=0),"",TODAY()-LOOKUP(2,1/(AG68:AT68&lt;&gt;""),AG68:AT68))</t>
        </is>
      </c>
      <c r="AC68" s="38" t="inlineStr">
        <is>
          <t>IF(OR(E68="",COUNT(AG68:AT68)&lt;2),"",LOOKUP(2,1/(AG68:AT68&lt;&gt;""),AG68:AT68)-MIN(AG68:AT68))</t>
        </is>
      </c>
      <c r="AD68" s="38" t="inlineStr">
        <is>
          <t>IF(OR(AB68="",AA68="Not started",AA68=""),"",IFERROR(AB68-IF(VLOOKUP(AA68,'04_Status_Pipeline'!$B$3:$E$20,4,FALSE)="",0,VLOOKUP(AA68,'04_Status_Pipeline'!$B$3:$E$20,4,FALSE)),""))</t>
        </is>
      </c>
      <c r="AE68" s="32" t="inlineStr">
        <is>
          <t>IF(E68="","",IF(OR(Y68="Cancelled",AA68="Cancelled"),"Cancelled",IF(OR(AA68="Completed / Handover",W68&lt;&gt;"",X68&gt;=100),"Completed — on track",IF(L68="Remaining",IF(S68="",IF(V68="","No planned date",IF(TODAY()&gt;V68,"Behind — past planned date",IF(V68-TODAY()&lt;=30,"At risk — close to off track","On track"))),IF(TODAY()&gt;S68,"Behind — award date passed",IF(S68-TODAY()&lt;=30,"At risk — close to off track","On track"))),IF(V68="","No planned date",IF(AND(TODAY()&gt;V68,OR(X68="",X68&lt;100)),"Behind — past end date",IF(AND(R68&lt;&gt;"",V68&lt;&gt;"",X68&lt;&gt;"",(X68&lt;100),((TODAY()-R68)/MAX(V68-R68,1)*100)-X68&gt;15),"Behind — progress lag",IF(AND(V68-TODAY()&lt;=30,V68-TODAY()&gt;=0,OR(X68="",X68&lt;90)),"At risk — close to off track","On track"))))))))</t>
        </is>
      </c>
      <c r="AF68" s="38" t="inlineStr">
        <is>
          <t>IF(OR(E68="",AA68="Completed / Handover",AA68="Cancelled"),"",IF(L68="Remaining",IF(S68&lt;&gt;"",S68-TODAY(),IF(V68="","",V68-TODAY())),IF(V68="","",V68-TODAY())))</t>
        </is>
      </c>
      <c r="AG68" s="36" t="n"/>
      <c r="AH68" s="36" t="n"/>
      <c r="AI68" s="36" t="n"/>
      <c r="AJ68" s="36" t="n"/>
      <c r="AK68" s="36" t="n"/>
      <c r="AL68" s="36" t="n"/>
      <c r="AM68" s="36" t="n"/>
      <c r="AN68" s="36" t="n"/>
      <c r="AO68" s="36" t="n"/>
      <c r="AP68" s="36" t="n"/>
      <c r="AQ68" s="36" t="n"/>
      <c r="AR68" s="40" t="n"/>
      <c r="AS68" s="40" t="n"/>
      <c r="AT68" s="40" t="n"/>
      <c r="AU68" s="38" t="inlineStr">
        <is>
          <t>IF(OR(E68="",AH68=""),"",IF(COUNT(AG68:AG68)=0,"",AH68-LOOKUP(2,1/(AG68:AG68&lt;&gt;""),AG68:AG68)))</t>
        </is>
      </c>
      <c r="AV68" s="38" t="inlineStr">
        <is>
          <t>IF(OR(E68="",AI68=""),"",IF(COUNT(AG68:AH68)=0,"",AI68-LOOKUP(2,1/(AG68:AH68&lt;&gt;""),AG68:AH68)))</t>
        </is>
      </c>
      <c r="AW68" s="38" t="inlineStr">
        <is>
          <t>IF(OR(E68="",AJ68=""),"",IF(COUNT(AG68:AI68)=0,"",AJ68-LOOKUP(2,1/(AG68:AI68&lt;&gt;""),AG68:AI68)))</t>
        </is>
      </c>
      <c r="AX68" s="38" t="inlineStr">
        <is>
          <t>IF(OR(E68="",AK68=""),"",IF(COUNT(AG68:AJ68)=0,"",AK68-LOOKUP(2,1/(AG68:AJ68&lt;&gt;""),AG68:AJ68)))</t>
        </is>
      </c>
      <c r="AY68" s="38" t="inlineStr">
        <is>
          <t>IF(OR(E68="",AL68=""),"",IF(COUNT(AG68:AK68)=0,"",AL68-LOOKUP(2,1/(AG68:AK68&lt;&gt;""),AG68:AK68)))</t>
        </is>
      </c>
      <c r="AZ68" s="38" t="inlineStr">
        <is>
          <t>IF(OR(E68="",AM68=""),"",IF(COUNT(AG68:AL68)=0,"",AM68-LOOKUP(2,1/(AG68:AL68&lt;&gt;""),AG68:AL68)))</t>
        </is>
      </c>
      <c r="BA68" s="38" t="inlineStr">
        <is>
          <t>IF(OR(E68="",AN68=""),"",IF(COUNT(AG68:AM68)=0,"",AN68-LOOKUP(2,1/(AG68:AM68&lt;&gt;""),AG68:AM68)))</t>
        </is>
      </c>
      <c r="BB68" s="38" t="inlineStr">
        <is>
          <t>IF(OR(E68="",AO68=""),"",IF(COUNT(AG68:AN68)=0,"",AO68-LOOKUP(2,1/(AG68:AN68&lt;&gt;""),AG68:AN68)))</t>
        </is>
      </c>
      <c r="BC68" s="38" t="inlineStr">
        <is>
          <t>IF(OR(E68="",AP68=""),"",IF(COUNT(AG68:AO68)=0,"",AP68-LOOKUP(2,1/(AG68:AO68&lt;&gt;""),AG68:AO68)))</t>
        </is>
      </c>
      <c r="BD68" s="38" t="inlineStr">
        <is>
          <t>IF(OR(E68="",AQ68=""),"",IF(COUNT(AG68:AP68)=0,"",AQ68-LOOKUP(2,1/(AG68:AP68&lt;&gt;""),AG68:AP68)))</t>
        </is>
      </c>
      <c r="BE68" s="38" t="inlineStr">
        <is>
          <t>IF(OR(E68="",AR68=""),"",IF(COUNT(AG68:AQ68)=0,"",AR68-LOOKUP(2,1/(AG68:AQ68&lt;&gt;""),AG68:AQ68)))</t>
        </is>
      </c>
      <c r="BF68" s="38" t="inlineStr">
        <is>
          <t>IF(OR(E68="",AS68=""),"",IF(COUNT(AG68:AR68)=0,"",AS68-LOOKUP(2,1/(AG68:AR68&lt;&gt;""),AG68:AR68)))</t>
        </is>
      </c>
      <c r="BG68" s="38" t="inlineStr">
        <is>
          <t>IF(OR(E68="",AT68=""),"",IF(COUNT(AG68:AS68)=0,"",AT68-LOOKUP(2,1/(AG68:AS68&lt;&gt;""),AG68:AS68)))</t>
        </is>
      </c>
      <c r="BH68" s="41" t="inlineStr">
        <is>
          <t>IF(G68="","All_Provinces",IFERROR(VLOOKUP(G68,'07_Lookups'!$A$4:$B$20,2,FALSE),"All_Provinces"))</t>
        </is>
      </c>
      <c r="BI68" s="41" t="inlineStr">
        <is>
          <t>IF(H68="","All_Districts",IFERROR(VLOOKUP(H68,'07_Lookups'!$E$4:$F$42,2,FALSE),"All_Districts"))</t>
        </is>
      </c>
    </row>
    <row r="69" ht="18" customHeight="1">
      <c r="A69" s="32" t="inlineStr">
        <is>
          <t>IF(E69="","",ROW()-3)</t>
        </is>
      </c>
      <c r="B69" s="42" t="inlineStr">
        <is>
          <t>AF2-IS-R-031</t>
        </is>
      </c>
      <c r="C69" s="42" t="inlineStr">
        <is>
          <t>Emergency Food Security Project (EFSP) – WBK/AF-2</t>
        </is>
      </c>
      <c r="D69" s="42" t="inlineStr">
        <is>
          <t>Package # 36-AF2 IS: Rehabilitation of Joy Shahr canal and Khanum Arabia canal irrigation schemes, located in Aqcha and Faizabad districts of Jawzjan province.</t>
        </is>
      </c>
      <c r="E69" s="42" t="inlineStr">
        <is>
          <t>Khanum Arabia Canal Irrigation scheme</t>
        </is>
      </c>
      <c r="F69" s="42" t="inlineStr">
        <is>
          <t>Irrigation Canal</t>
        </is>
      </c>
      <c r="G69" s="42" t="inlineStr">
        <is>
          <t>Central Highland / Bamyan</t>
        </is>
      </c>
      <c r="H69" s="42" t="inlineStr">
        <is>
          <t>Jawzjan</t>
        </is>
      </c>
      <c r="I69" s="42" t="inlineStr">
        <is>
          <t>Faizabad</t>
        </is>
      </c>
      <c r="J69" s="42" t="inlineStr">
        <is>
          <t>Khanum Arabia, Khanum Turmkania, Shaikhabad and Wazirabad</t>
        </is>
      </c>
      <c r="K69" s="42" t="inlineStr">
        <is>
          <t>World Bank (WBK/AF-2)</t>
        </is>
      </c>
      <c r="L69" s="42" t="inlineStr">
        <is>
          <t>Remaining</t>
        </is>
      </c>
      <c r="M69" s="42" t="inlineStr">
        <is>
          <t>On/off-farm irrigation</t>
        </is>
      </c>
      <c r="N69" s="42" t="inlineStr">
        <is>
          <t>2.Remain contracts_On&amp;off-farm</t>
        </is>
      </c>
      <c r="O69" s="42" t="inlineStr"/>
      <c r="P69" s="42" t="inlineStr"/>
      <c r="Q69" s="43" t="n">
        <v>310000</v>
      </c>
      <c r="R69" s="35" t="inlineStr">
        <is>
          <t>IF(AO69="","",AO69)</t>
        </is>
      </c>
      <c r="S69" s="44" t="n">
        <v>46373</v>
      </c>
      <c r="T69" s="45" t="n">
        <v>9.9</v>
      </c>
      <c r="U69" s="44" t="n">
        <v>46673</v>
      </c>
      <c r="V69" s="35" t="inlineStr">
        <is>
          <t>IF(U69&lt;&gt;"",U69,IF(OR(R69="",T69=""),"",EDATE(R69,T69)))</t>
        </is>
      </c>
      <c r="W69" s="44" t="n"/>
      <c r="X69" s="45" t="n"/>
      <c r="Y69" s="42" t="inlineStr">
        <is>
          <t>Under LTO Review</t>
        </is>
      </c>
      <c r="Z69" s="42" t="inlineStr">
        <is>
          <t>Three months slack period Jan-Mar during winter. Seven months construction period required for two canals. Explore split into 2 lots</t>
        </is>
      </c>
      <c r="AA69" s="32" t="inlineStr">
        <is>
          <t>IF(E69="","",IF(COUNT(AG69:AT69)=0,IF(Y69="","Not started",Y69),SUBSTITUTE(LOOKUP(2,1/(AG69:AT69&lt;&gt;""),$AG$3:$AT$3),"Date: ","")))</t>
        </is>
      </c>
      <c r="AB69" s="38" t="inlineStr">
        <is>
          <t>IF(OR(E69="",COUNT(AG69:AT69)=0),"",TODAY()-LOOKUP(2,1/(AG69:AT69&lt;&gt;""),AG69:AT69))</t>
        </is>
      </c>
      <c r="AC69" s="38" t="inlineStr">
        <is>
          <t>IF(OR(E69="",COUNT(AG69:AT69)&lt;2),"",LOOKUP(2,1/(AG69:AT69&lt;&gt;""),AG69:AT69)-MIN(AG69:AT69))</t>
        </is>
      </c>
      <c r="AD69" s="38" t="inlineStr">
        <is>
          <t>IF(OR(AB69="",AA69="Not started",AA69=""),"",IFERROR(AB69-IF(VLOOKUP(AA69,'04_Status_Pipeline'!$B$3:$E$20,4,FALSE)="",0,VLOOKUP(AA69,'04_Status_Pipeline'!$B$3:$E$20,4,FALSE)),""))</t>
        </is>
      </c>
      <c r="AE69" s="32" t="inlineStr">
        <is>
          <t>IF(E69="","",IF(OR(Y69="Cancelled",AA69="Cancelled"),"Cancelled",IF(OR(AA69="Completed / Handover",W69&lt;&gt;"",X69&gt;=100),"Completed — on track",IF(L69="Remaining",IF(S69="",IF(V69="","No planned date",IF(TODAY()&gt;V69,"Behind — past planned date",IF(V69-TODAY()&lt;=30,"At risk — close to off track","On track"))),IF(TODAY()&gt;S69,"Behind — award date passed",IF(S69-TODAY()&lt;=30,"At risk — close to off track","On track"))),IF(V69="","No planned date",IF(AND(TODAY()&gt;V69,OR(X69="",X69&lt;100)),"Behind — past end date",IF(AND(R69&lt;&gt;"",V69&lt;&gt;"",X69&lt;&gt;"",(X69&lt;100),((TODAY()-R69)/MAX(V69-R69,1)*100)-X69&gt;15),"Behind — progress lag",IF(AND(V69-TODAY()&lt;=30,V69-TODAY()&gt;=0,OR(X69="",X69&lt;90)),"At risk — close to off track","On track"))))))))</t>
        </is>
      </c>
      <c r="AF69" s="38" t="inlineStr">
        <is>
          <t>IF(OR(E69="",AA69="Completed / Handover",AA69="Cancelled"),"",IF(L69="Remaining",IF(S69&lt;&gt;"",S69-TODAY(),IF(V69="","",V69-TODAY())),IF(V69="","",V69-TODAY())))</t>
        </is>
      </c>
      <c r="AG69" s="44" t="n"/>
      <c r="AH69" s="44" t="n"/>
      <c r="AI69" s="44" t="n"/>
      <c r="AJ69" s="44" t="n"/>
      <c r="AK69" s="44" t="n"/>
      <c r="AL69" s="44" t="n"/>
      <c r="AM69" s="44" t="n"/>
      <c r="AN69" s="44" t="n"/>
      <c r="AO69" s="44" t="n"/>
      <c r="AP69" s="44" t="n"/>
      <c r="AQ69" s="44" t="n"/>
      <c r="AR69" s="40" t="n"/>
      <c r="AS69" s="40" t="n"/>
      <c r="AT69" s="40" t="n"/>
      <c r="AU69" s="38" t="inlineStr">
        <is>
          <t>IF(OR(E69="",AH69=""),"",IF(COUNT(AG69:AG69)=0,"",AH69-LOOKUP(2,1/(AG69:AG69&lt;&gt;""),AG69:AG69)))</t>
        </is>
      </c>
      <c r="AV69" s="38" t="inlineStr">
        <is>
          <t>IF(OR(E69="",AI69=""),"",IF(COUNT(AG69:AH69)=0,"",AI69-LOOKUP(2,1/(AG69:AH69&lt;&gt;""),AG69:AH69)))</t>
        </is>
      </c>
      <c r="AW69" s="38" t="inlineStr">
        <is>
          <t>IF(OR(E69="",AJ69=""),"",IF(COUNT(AG69:AI69)=0,"",AJ69-LOOKUP(2,1/(AG69:AI69&lt;&gt;""),AG69:AI69)))</t>
        </is>
      </c>
      <c r="AX69" s="38" t="inlineStr">
        <is>
          <t>IF(OR(E69="",AK69=""),"",IF(COUNT(AG69:AJ69)=0,"",AK69-LOOKUP(2,1/(AG69:AJ69&lt;&gt;""),AG69:AJ69)))</t>
        </is>
      </c>
      <c r="AY69" s="38" t="inlineStr">
        <is>
          <t>IF(OR(E69="",AL69=""),"",IF(COUNT(AG69:AK69)=0,"",AL69-LOOKUP(2,1/(AG69:AK69&lt;&gt;""),AG69:AK69)))</t>
        </is>
      </c>
      <c r="AZ69" s="38" t="inlineStr">
        <is>
          <t>IF(OR(E69="",AM69=""),"",IF(COUNT(AG69:AL69)=0,"",AM69-LOOKUP(2,1/(AG69:AL69&lt;&gt;""),AG69:AL69)))</t>
        </is>
      </c>
      <c r="BA69" s="38" t="inlineStr">
        <is>
          <t>IF(OR(E69="",AN69=""),"",IF(COUNT(AG69:AM69)=0,"",AN69-LOOKUP(2,1/(AG69:AM69&lt;&gt;""),AG69:AM69)))</t>
        </is>
      </c>
      <c r="BB69" s="38" t="inlineStr">
        <is>
          <t>IF(OR(E69="",AO69=""),"",IF(COUNT(AG69:AN69)=0,"",AO69-LOOKUP(2,1/(AG69:AN69&lt;&gt;""),AG69:AN69)))</t>
        </is>
      </c>
      <c r="BC69" s="38" t="inlineStr">
        <is>
          <t>IF(OR(E69="",AP69=""),"",IF(COUNT(AG69:AO69)=0,"",AP69-LOOKUP(2,1/(AG69:AO69&lt;&gt;""),AG69:AO69)))</t>
        </is>
      </c>
      <c r="BD69" s="38" t="inlineStr">
        <is>
          <t>IF(OR(E69="",AQ69=""),"",IF(COUNT(AG69:AP69)=0,"",AQ69-LOOKUP(2,1/(AG69:AP69&lt;&gt;""),AG69:AP69)))</t>
        </is>
      </c>
      <c r="BE69" s="38" t="inlineStr">
        <is>
          <t>IF(OR(E69="",AR69=""),"",IF(COUNT(AG69:AQ69)=0,"",AR69-LOOKUP(2,1/(AG69:AQ69&lt;&gt;""),AG69:AQ69)))</t>
        </is>
      </c>
      <c r="BF69" s="38" t="inlineStr">
        <is>
          <t>IF(OR(E69="",AS69=""),"",IF(COUNT(AG69:AR69)=0,"",AS69-LOOKUP(2,1/(AG69:AR69&lt;&gt;""),AG69:AR69)))</t>
        </is>
      </c>
      <c r="BG69" s="38" t="inlineStr">
        <is>
          <t>IF(OR(E69="",AT69=""),"",IF(COUNT(AG69:AS69)=0,"",AT69-LOOKUP(2,1/(AG69:AS69&lt;&gt;""),AG69:AS69)))</t>
        </is>
      </c>
      <c r="BH69" s="41" t="inlineStr">
        <is>
          <t>IF(G69="","All_Provinces",IFERROR(VLOOKUP(G69,'07_Lookups'!$A$4:$B$20,2,FALSE),"All_Provinces"))</t>
        </is>
      </c>
      <c r="BI69" s="41" t="inlineStr">
        <is>
          <t>IF(H69="","All_Districts",IFERROR(VLOOKUP(H69,'07_Lookups'!$E$4:$F$42,2,FALSE),"All_Districts"))</t>
        </is>
      </c>
    </row>
    <row r="70" ht="18" customHeight="1">
      <c r="A70" s="32" t="inlineStr">
        <is>
          <t>IF(E70="","",ROW()-3)</t>
        </is>
      </c>
      <c r="B70" s="33" t="inlineStr">
        <is>
          <t>AF2-WSM-A-001</t>
        </is>
      </c>
      <c r="C70" s="33" t="inlineStr">
        <is>
          <t>Emergency Food Security Project (EFSP) – WBK/AF-2</t>
        </is>
      </c>
      <c r="D70" s="33" t="inlineStr">
        <is>
          <t>Package #2 -AF2 WSM: Construction of 1. Dareh Shah Toot-1, 2. Dareh ShahToot-2, and 3. Jar Sono check dams in Obe District of Herat Province</t>
        </is>
      </c>
      <c r="E70" s="33" t="inlineStr">
        <is>
          <t>Dareh Shah Toot Check dam-1</t>
        </is>
      </c>
      <c r="F70" s="33" t="inlineStr">
        <is>
          <t>Check Dam</t>
        </is>
      </c>
      <c r="G70" s="33" t="inlineStr">
        <is>
          <t>West / Herat</t>
        </is>
      </c>
      <c r="H70" s="33" t="inlineStr">
        <is>
          <t>Herat</t>
        </is>
      </c>
      <c r="I70" s="33" t="inlineStr">
        <is>
          <t>Obe</t>
        </is>
      </c>
      <c r="J70" s="33" t="inlineStr">
        <is>
          <t>Gonabad, Qala Yar Mohammad Khan, Zori ha, Dasht Servan</t>
        </is>
      </c>
      <c r="K70" s="33" t="inlineStr">
        <is>
          <t>World Bank (WBK/AF-2)</t>
        </is>
      </c>
      <c r="L70" s="33" t="inlineStr">
        <is>
          <t>Awarded</t>
        </is>
      </c>
      <c r="M70" s="33" t="inlineStr">
        <is>
          <t>Watershed / Check dam</t>
        </is>
      </c>
      <c r="N70" s="33" t="inlineStr">
        <is>
          <t>3.WSM awarded contracts</t>
        </is>
      </c>
      <c r="O70" s="33" t="inlineStr">
        <is>
          <t>Shams Afghan Vision Construction and Logistic Services (SAVCC)</t>
        </is>
      </c>
      <c r="P70" s="33" t="inlineStr">
        <is>
          <t>014/2026</t>
        </is>
      </c>
      <c r="Q70" s="34" t="n">
        <v>194033</v>
      </c>
      <c r="R70" s="35" t="inlineStr">
        <is>
          <t>IF(AO70="","",AO70)</t>
        </is>
      </c>
      <c r="S70" s="36" t="n"/>
      <c r="T70" s="37" t="n">
        <v>9.9</v>
      </c>
      <c r="U70" s="36" t="n">
        <v>46364</v>
      </c>
      <c r="V70" s="35" t="inlineStr">
        <is>
          <t>IF(U70&lt;&gt;"",U70,IF(OR(R70="",T70=""),"",EDATE(R70,T70)))</t>
        </is>
      </c>
      <c r="W70" s="36" t="n"/>
      <c r="X70" s="37" t="n">
        <v>95</v>
      </c>
      <c r="Y70" s="33" t="inlineStr">
        <is>
          <t>Under Construction</t>
        </is>
      </c>
      <c r="Z70" s="33" t="inlineStr">
        <is>
          <t>Expected to complete by the end of the contract NTE.</t>
        </is>
      </c>
      <c r="AA70" s="32" t="inlineStr">
        <is>
          <t>IF(E70="","",IF(COUNT(AG70:AT70)=0,IF(Y70="","Not started",Y70),SUBSTITUTE(LOOKUP(2,1/(AG70:AT70&lt;&gt;""),$AG$3:$AT$3),"Date: ","")))</t>
        </is>
      </c>
      <c r="AB70" s="38" t="inlineStr">
        <is>
          <t>IF(OR(E70="",COUNT(AG70:AT70)=0),"",TODAY()-LOOKUP(2,1/(AG70:AT70&lt;&gt;""),AG70:AT70))</t>
        </is>
      </c>
      <c r="AC70" s="38" t="inlineStr">
        <is>
          <t>IF(OR(E70="",COUNT(AG70:AT70)&lt;2),"",LOOKUP(2,1/(AG70:AT70&lt;&gt;""),AG70:AT70)-MIN(AG70:AT70))</t>
        </is>
      </c>
      <c r="AD70" s="38" t="inlineStr">
        <is>
          <t>IF(OR(AB70="",AA70="Not started",AA70=""),"",IFERROR(AB70-IF(VLOOKUP(AA70,'04_Status_Pipeline'!$B$3:$E$20,4,FALSE)="",0,VLOOKUP(AA70,'04_Status_Pipeline'!$B$3:$E$20,4,FALSE)),""))</t>
        </is>
      </c>
      <c r="AE70" s="32" t="inlineStr">
        <is>
          <t>IF(E70="","",IF(OR(Y70="Cancelled",AA70="Cancelled"),"Cancelled",IF(OR(AA70="Completed / Handover",W70&lt;&gt;"",X70&gt;=100),"Completed — on track",IF(L70="Remaining",IF(S70="",IF(V70="","No planned date",IF(TODAY()&gt;V70,"Behind — past planned date",IF(V70-TODAY()&lt;=30,"At risk — close to off track","On track"))),IF(TODAY()&gt;S70,"Behind — award date passed",IF(S70-TODAY()&lt;=30,"At risk — close to off track","On track"))),IF(V70="","No planned date",IF(AND(TODAY()&gt;V70,OR(X70="",X70&lt;100)),"Behind — past end date",IF(AND(R70&lt;&gt;"",V70&lt;&gt;"",X70&lt;&gt;"",(X70&lt;100),((TODAY()-R70)/MAX(V70-R70,1)*100)-X70&gt;15),"Behind — progress lag",IF(AND(V70-TODAY()&lt;=30,V70-TODAY()&gt;=0,OR(X70="",X70&lt;90)),"At risk — close to off track","On track"))))))))</t>
        </is>
      </c>
      <c r="AF70" s="38" t="inlineStr">
        <is>
          <t>IF(OR(E70="",AA70="Completed / Handover",AA70="Cancelled"),"",IF(L70="Remaining",IF(S70&lt;&gt;"",S70-TODAY(),IF(V70="","",V70-TODAY())),IF(V70="","",V70-TODAY())))</t>
        </is>
      </c>
      <c r="AG70" s="39" t="n"/>
      <c r="AH70" s="39" t="n"/>
      <c r="AI70" s="39" t="n"/>
      <c r="AJ70" s="39" t="n"/>
      <c r="AK70" s="39" t="n"/>
      <c r="AL70" s="39" t="n"/>
      <c r="AM70" s="39" t="n"/>
      <c r="AN70" s="39" t="n"/>
      <c r="AO70" s="39" t="n">
        <v>46062</v>
      </c>
      <c r="AP70" s="39" t="n">
        <v>46062</v>
      </c>
      <c r="AQ70" s="39" t="n"/>
      <c r="AR70" s="40" t="n"/>
      <c r="AS70" s="40" t="n"/>
      <c r="AT70" s="40" t="n"/>
      <c r="AU70" s="38" t="inlineStr">
        <is>
          <t>IF(OR(E70="",AH70=""),"",IF(COUNT(AG70:AG70)=0,"",AH70-LOOKUP(2,1/(AG70:AG70&lt;&gt;""),AG70:AG70)))</t>
        </is>
      </c>
      <c r="AV70" s="38" t="inlineStr">
        <is>
          <t>IF(OR(E70="",AI70=""),"",IF(COUNT(AG70:AH70)=0,"",AI70-LOOKUP(2,1/(AG70:AH70&lt;&gt;""),AG70:AH70)))</t>
        </is>
      </c>
      <c r="AW70" s="38" t="inlineStr">
        <is>
          <t>IF(OR(E70="",AJ70=""),"",IF(COUNT(AG70:AI70)=0,"",AJ70-LOOKUP(2,1/(AG70:AI70&lt;&gt;""),AG70:AI70)))</t>
        </is>
      </c>
      <c r="AX70" s="38" t="inlineStr">
        <is>
          <t>IF(OR(E70="",AK70=""),"",IF(COUNT(AG70:AJ70)=0,"",AK70-LOOKUP(2,1/(AG70:AJ70&lt;&gt;""),AG70:AJ70)))</t>
        </is>
      </c>
      <c r="AY70" s="38" t="inlineStr">
        <is>
          <t>IF(OR(E70="",AL70=""),"",IF(COUNT(AG70:AK70)=0,"",AL70-LOOKUP(2,1/(AG70:AK70&lt;&gt;""),AG70:AK70)))</t>
        </is>
      </c>
      <c r="AZ70" s="38" t="inlineStr">
        <is>
          <t>IF(OR(E70="",AM70=""),"",IF(COUNT(AG70:AL70)=0,"",AM70-LOOKUP(2,1/(AG70:AL70&lt;&gt;""),AG70:AL70)))</t>
        </is>
      </c>
      <c r="BA70" s="38" t="inlineStr">
        <is>
          <t>IF(OR(E70="",AN70=""),"",IF(COUNT(AG70:AM70)=0,"",AN70-LOOKUP(2,1/(AG70:AM70&lt;&gt;""),AG70:AM70)))</t>
        </is>
      </c>
      <c r="BB70" s="38" t="inlineStr">
        <is>
          <t>IF(OR(E70="",AO70=""),"",IF(COUNT(AG70:AN70)=0,"",AO70-LOOKUP(2,1/(AG70:AN70&lt;&gt;""),AG70:AN70)))</t>
        </is>
      </c>
      <c r="BC70" s="38" t="inlineStr">
        <is>
          <t>IF(OR(E70="",AP70=""),"",IF(COUNT(AG70:AO70)=0,"",AP70-LOOKUP(2,1/(AG70:AO70&lt;&gt;""),AG70:AO70)))</t>
        </is>
      </c>
      <c r="BD70" s="38" t="inlineStr">
        <is>
          <t>IF(OR(E70="",AQ70=""),"",IF(COUNT(AG70:AP70)=0,"",AQ70-LOOKUP(2,1/(AG70:AP70&lt;&gt;""),AG70:AP70)))</t>
        </is>
      </c>
      <c r="BE70" s="38" t="inlineStr">
        <is>
          <t>IF(OR(E70="",AR70=""),"",IF(COUNT(AG70:AQ70)=0,"",AR70-LOOKUP(2,1/(AG70:AQ70&lt;&gt;""),AG70:AQ70)))</t>
        </is>
      </c>
      <c r="BF70" s="38" t="inlineStr">
        <is>
          <t>IF(OR(E70="",AS70=""),"",IF(COUNT(AG70:AR70)=0,"",AS70-LOOKUP(2,1/(AG70:AR70&lt;&gt;""),AG70:AR70)))</t>
        </is>
      </c>
      <c r="BG70" s="38" t="inlineStr">
        <is>
          <t>IF(OR(E70="",AT70=""),"",IF(COUNT(AG70:AS70)=0,"",AT70-LOOKUP(2,1/(AG70:AS70&lt;&gt;""),AG70:AS70)))</t>
        </is>
      </c>
      <c r="BH70" s="41" t="inlineStr">
        <is>
          <t>IF(G70="","All_Provinces",IFERROR(VLOOKUP(G70,'07_Lookups'!$A$4:$B$20,2,FALSE),"All_Provinces"))</t>
        </is>
      </c>
      <c r="BI70" s="41" t="inlineStr">
        <is>
          <t>IF(H70="","All_Districts",IFERROR(VLOOKUP(H70,'07_Lookups'!$E$4:$F$42,2,FALSE),"All_Districts"))</t>
        </is>
      </c>
    </row>
    <row r="71" ht="18" customHeight="1">
      <c r="A71" s="32" t="inlineStr">
        <is>
          <t>IF(E71="","",ROW()-3)</t>
        </is>
      </c>
      <c r="B71" s="42" t="inlineStr">
        <is>
          <t>AF2-WSM-A-002</t>
        </is>
      </c>
      <c r="C71" s="42" t="inlineStr">
        <is>
          <t>Emergency Food Security Project (EFSP) – WBK/AF-2</t>
        </is>
      </c>
      <c r="D71" s="42" t="inlineStr">
        <is>
          <t>Package #2 -AF2 WSM: Construction of 1. Dareh Shah Toot-1, 2. Dareh ShahToot-2, and 3. Jar Sono check dams in Obe District of Herat Province</t>
        </is>
      </c>
      <c r="E71" s="42" t="inlineStr">
        <is>
          <t>Dareh Shah Toot Check dam-2</t>
        </is>
      </c>
      <c r="F71" s="42" t="inlineStr">
        <is>
          <t>Check Dam</t>
        </is>
      </c>
      <c r="G71" s="42" t="inlineStr">
        <is>
          <t>West / Herat</t>
        </is>
      </c>
      <c r="H71" s="42" t="inlineStr">
        <is>
          <t>Herat</t>
        </is>
      </c>
      <c r="I71" s="42" t="inlineStr">
        <is>
          <t>Obe</t>
        </is>
      </c>
      <c r="J71" s="42" t="inlineStr"/>
      <c r="K71" s="42" t="inlineStr">
        <is>
          <t>World Bank (WBK/AF-2)</t>
        </is>
      </c>
      <c r="L71" s="42" t="inlineStr">
        <is>
          <t>Awarded</t>
        </is>
      </c>
      <c r="M71" s="42" t="inlineStr">
        <is>
          <t>Watershed / Check dam</t>
        </is>
      </c>
      <c r="N71" s="42" t="inlineStr">
        <is>
          <t>3.WSM awarded contracts</t>
        </is>
      </c>
      <c r="O71" s="42" t="inlineStr">
        <is>
          <t>Shams Afghan Vision Construction and Logistic Services (SAVCC)</t>
        </is>
      </c>
      <c r="P71" s="42" t="inlineStr">
        <is>
          <t>014/2026</t>
        </is>
      </c>
      <c r="Q71" s="43" t="n"/>
      <c r="R71" s="35" t="inlineStr">
        <is>
          <t>IF(AO71="","",AO71)</t>
        </is>
      </c>
      <c r="S71" s="44" t="n"/>
      <c r="T71" s="45" t="n">
        <v>9.9</v>
      </c>
      <c r="U71" s="44" t="n">
        <v>46364</v>
      </c>
      <c r="V71" s="35" t="inlineStr">
        <is>
          <t>IF(U71&lt;&gt;"",U71,IF(OR(R71="",T71=""),"",EDATE(R71,T71)))</t>
        </is>
      </c>
      <c r="W71" s="44" t="n"/>
      <c r="X71" s="45" t="n">
        <v>75</v>
      </c>
      <c r="Y71" s="42" t="inlineStr">
        <is>
          <t>Under Construction</t>
        </is>
      </c>
      <c r="Z71" s="42" t="inlineStr">
        <is>
          <t>Expected to complete by the end of the contract NTE.</t>
        </is>
      </c>
      <c r="AA71" s="32" t="inlineStr">
        <is>
          <t>IF(E71="","",IF(COUNT(AG71:AT71)=0,IF(Y71="","Not started",Y71),SUBSTITUTE(LOOKUP(2,1/(AG71:AT71&lt;&gt;""),$AG$3:$AT$3),"Date: ","")))</t>
        </is>
      </c>
      <c r="AB71" s="38" t="inlineStr">
        <is>
          <t>IF(OR(E71="",COUNT(AG71:AT71)=0),"",TODAY()-LOOKUP(2,1/(AG71:AT71&lt;&gt;""),AG71:AT71))</t>
        </is>
      </c>
      <c r="AC71" s="38" t="inlineStr">
        <is>
          <t>IF(OR(E71="",COUNT(AG71:AT71)&lt;2),"",LOOKUP(2,1/(AG71:AT71&lt;&gt;""),AG71:AT71)-MIN(AG71:AT71))</t>
        </is>
      </c>
      <c r="AD71" s="38" t="inlineStr">
        <is>
          <t>IF(OR(AB71="",AA71="Not started",AA71=""),"",IFERROR(AB71-IF(VLOOKUP(AA71,'04_Status_Pipeline'!$B$3:$E$20,4,FALSE)="",0,VLOOKUP(AA71,'04_Status_Pipeline'!$B$3:$E$20,4,FALSE)),""))</t>
        </is>
      </c>
      <c r="AE71" s="32" t="inlineStr">
        <is>
          <t>IF(E71="","",IF(OR(Y71="Cancelled",AA71="Cancelled"),"Cancelled",IF(OR(AA71="Completed / Handover",W71&lt;&gt;"",X71&gt;=100),"Completed — on track",IF(L71="Remaining",IF(S71="",IF(V71="","No planned date",IF(TODAY()&gt;V71,"Behind — past planned date",IF(V71-TODAY()&lt;=30,"At risk — close to off track","On track"))),IF(TODAY()&gt;S71,"Behind — award date passed",IF(S71-TODAY()&lt;=30,"At risk — close to off track","On track"))),IF(V71="","No planned date",IF(AND(TODAY()&gt;V71,OR(X71="",X71&lt;100)),"Behind — past end date",IF(AND(R71&lt;&gt;"",V71&lt;&gt;"",X71&lt;&gt;"",(X71&lt;100),((TODAY()-R71)/MAX(V71-R71,1)*100)-X71&gt;15),"Behind — progress lag",IF(AND(V71-TODAY()&lt;=30,V71-TODAY()&gt;=0,OR(X71="",X71&lt;90)),"At risk — close to off track","On track"))))))))</t>
        </is>
      </c>
      <c r="AF71" s="38" t="inlineStr">
        <is>
          <t>IF(OR(E71="",AA71="Completed / Handover",AA71="Cancelled"),"",IF(L71="Remaining",IF(S71&lt;&gt;"",S71-TODAY(),IF(V71="","",V71-TODAY())),IF(V71="","",V71-TODAY())))</t>
        </is>
      </c>
      <c r="AG71" s="39" t="n"/>
      <c r="AH71" s="39" t="n"/>
      <c r="AI71" s="39" t="n"/>
      <c r="AJ71" s="39" t="n"/>
      <c r="AK71" s="39" t="n"/>
      <c r="AL71" s="39" t="n"/>
      <c r="AM71" s="39" t="n"/>
      <c r="AN71" s="39" t="n"/>
      <c r="AO71" s="39" t="n">
        <v>46062</v>
      </c>
      <c r="AP71" s="39" t="n">
        <v>46062</v>
      </c>
      <c r="AQ71" s="39" t="n"/>
      <c r="AR71" s="40" t="n"/>
      <c r="AS71" s="40" t="n"/>
      <c r="AT71" s="40" t="n"/>
      <c r="AU71" s="38" t="inlineStr">
        <is>
          <t>IF(OR(E71="",AH71=""),"",IF(COUNT(AG71:AG71)=0,"",AH71-LOOKUP(2,1/(AG71:AG71&lt;&gt;""),AG71:AG71)))</t>
        </is>
      </c>
      <c r="AV71" s="38" t="inlineStr">
        <is>
          <t>IF(OR(E71="",AI71=""),"",IF(COUNT(AG71:AH71)=0,"",AI71-LOOKUP(2,1/(AG71:AH71&lt;&gt;""),AG71:AH71)))</t>
        </is>
      </c>
      <c r="AW71" s="38" t="inlineStr">
        <is>
          <t>IF(OR(E71="",AJ71=""),"",IF(COUNT(AG71:AI71)=0,"",AJ71-LOOKUP(2,1/(AG71:AI71&lt;&gt;""),AG71:AI71)))</t>
        </is>
      </c>
      <c r="AX71" s="38" t="inlineStr">
        <is>
          <t>IF(OR(E71="",AK71=""),"",IF(COUNT(AG71:AJ71)=0,"",AK71-LOOKUP(2,1/(AG71:AJ71&lt;&gt;""),AG71:AJ71)))</t>
        </is>
      </c>
      <c r="AY71" s="38" t="inlineStr">
        <is>
          <t>IF(OR(E71="",AL71=""),"",IF(COUNT(AG71:AK71)=0,"",AL71-LOOKUP(2,1/(AG71:AK71&lt;&gt;""),AG71:AK71)))</t>
        </is>
      </c>
      <c r="AZ71" s="38" t="inlineStr">
        <is>
          <t>IF(OR(E71="",AM71=""),"",IF(COUNT(AG71:AL71)=0,"",AM71-LOOKUP(2,1/(AG71:AL71&lt;&gt;""),AG71:AL71)))</t>
        </is>
      </c>
      <c r="BA71" s="38" t="inlineStr">
        <is>
          <t>IF(OR(E71="",AN71=""),"",IF(COUNT(AG71:AM71)=0,"",AN71-LOOKUP(2,1/(AG71:AM71&lt;&gt;""),AG71:AM71)))</t>
        </is>
      </c>
      <c r="BB71" s="38" t="inlineStr">
        <is>
          <t>IF(OR(E71="",AO71=""),"",IF(COUNT(AG71:AN71)=0,"",AO71-LOOKUP(2,1/(AG71:AN71&lt;&gt;""),AG71:AN71)))</t>
        </is>
      </c>
      <c r="BC71" s="38" t="inlineStr">
        <is>
          <t>IF(OR(E71="",AP71=""),"",IF(COUNT(AG71:AO71)=0,"",AP71-LOOKUP(2,1/(AG71:AO71&lt;&gt;""),AG71:AO71)))</t>
        </is>
      </c>
      <c r="BD71" s="38" t="inlineStr">
        <is>
          <t>IF(OR(E71="",AQ71=""),"",IF(COUNT(AG71:AP71)=0,"",AQ71-LOOKUP(2,1/(AG71:AP71&lt;&gt;""),AG71:AP71)))</t>
        </is>
      </c>
      <c r="BE71" s="38" t="inlineStr">
        <is>
          <t>IF(OR(E71="",AR71=""),"",IF(COUNT(AG71:AQ71)=0,"",AR71-LOOKUP(2,1/(AG71:AQ71&lt;&gt;""),AG71:AQ71)))</t>
        </is>
      </c>
      <c r="BF71" s="38" t="inlineStr">
        <is>
          <t>IF(OR(E71="",AS71=""),"",IF(COUNT(AG71:AR71)=0,"",AS71-LOOKUP(2,1/(AG71:AR71&lt;&gt;""),AG71:AR71)))</t>
        </is>
      </c>
      <c r="BG71" s="38" t="inlineStr">
        <is>
          <t>IF(OR(E71="",AT71=""),"",IF(COUNT(AG71:AS71)=0,"",AT71-LOOKUP(2,1/(AG71:AS71&lt;&gt;""),AG71:AS71)))</t>
        </is>
      </c>
      <c r="BH71" s="41" t="inlineStr">
        <is>
          <t>IF(G71="","All_Provinces",IFERROR(VLOOKUP(G71,'07_Lookups'!$A$4:$B$20,2,FALSE),"All_Provinces"))</t>
        </is>
      </c>
      <c r="BI71" s="41" t="inlineStr">
        <is>
          <t>IF(H71="","All_Districts",IFERROR(VLOOKUP(H71,'07_Lookups'!$E$4:$F$42,2,FALSE),"All_Districts"))</t>
        </is>
      </c>
    </row>
    <row r="72" ht="18" customHeight="1">
      <c r="A72" s="32" t="inlineStr">
        <is>
          <t>IF(E72="","",ROW()-3)</t>
        </is>
      </c>
      <c r="B72" s="33" t="inlineStr">
        <is>
          <t>AF2-WSM-A-003</t>
        </is>
      </c>
      <c r="C72" s="33" t="inlineStr">
        <is>
          <t>Emergency Food Security Project (EFSP) – WBK/AF-2</t>
        </is>
      </c>
      <c r="D72" s="33" t="inlineStr">
        <is>
          <t>Package #2 -AF2 WSM: Construction of 1. Dareh Shah Toot-1, 2. Dareh ShahToot-2, and 3. Jar Sono check dams in Obe District of Herat Province</t>
        </is>
      </c>
      <c r="E72" s="33" t="inlineStr">
        <is>
          <t>Jar Sunu Check dam-3</t>
        </is>
      </c>
      <c r="F72" s="33" t="inlineStr">
        <is>
          <t>Check Dam</t>
        </is>
      </c>
      <c r="G72" s="33" t="inlineStr">
        <is>
          <t>West / Herat</t>
        </is>
      </c>
      <c r="H72" s="33" t="inlineStr">
        <is>
          <t>Herat</t>
        </is>
      </c>
      <c r="I72" s="33" t="inlineStr">
        <is>
          <t>Obe</t>
        </is>
      </c>
      <c r="J72" s="33" t="inlineStr"/>
      <c r="K72" s="33" t="inlineStr">
        <is>
          <t>World Bank (WBK/AF-2)</t>
        </is>
      </c>
      <c r="L72" s="33" t="inlineStr">
        <is>
          <t>Awarded</t>
        </is>
      </c>
      <c r="M72" s="33" t="inlineStr">
        <is>
          <t>Watershed / Check dam</t>
        </is>
      </c>
      <c r="N72" s="33" t="inlineStr">
        <is>
          <t>3.WSM awarded contracts</t>
        </is>
      </c>
      <c r="O72" s="33" t="inlineStr">
        <is>
          <t>Shams Afghan Vision Construction and Logistic Services (SAVCC)</t>
        </is>
      </c>
      <c r="P72" s="33" t="inlineStr">
        <is>
          <t>014/2026</t>
        </is>
      </c>
      <c r="Q72" s="34" t="n"/>
      <c r="R72" s="35" t="inlineStr">
        <is>
          <t>IF(AO72="","",AO72)</t>
        </is>
      </c>
      <c r="S72" s="36" t="n"/>
      <c r="T72" s="37" t="n">
        <v>9.9</v>
      </c>
      <c r="U72" s="36" t="n">
        <v>46364</v>
      </c>
      <c r="V72" s="35" t="inlineStr">
        <is>
          <t>IF(U72&lt;&gt;"",U72,IF(OR(R72="",T72=""),"",EDATE(R72,T72)))</t>
        </is>
      </c>
      <c r="W72" s="36" t="n"/>
      <c r="X72" s="37" t="n">
        <v>55</v>
      </c>
      <c r="Y72" s="33" t="inlineStr">
        <is>
          <t>Under Construction</t>
        </is>
      </c>
      <c r="Z72" s="33" t="inlineStr">
        <is>
          <t>Expected to complete by the end of the contract NTE.</t>
        </is>
      </c>
      <c r="AA72" s="32" t="inlineStr">
        <is>
          <t>IF(E72="","",IF(COUNT(AG72:AT72)=0,IF(Y72="","Not started",Y72),SUBSTITUTE(LOOKUP(2,1/(AG72:AT72&lt;&gt;""),$AG$3:$AT$3),"Date: ","")))</t>
        </is>
      </c>
      <c r="AB72" s="38" t="inlineStr">
        <is>
          <t>IF(OR(E72="",COUNT(AG72:AT72)=0),"",TODAY()-LOOKUP(2,1/(AG72:AT72&lt;&gt;""),AG72:AT72))</t>
        </is>
      </c>
      <c r="AC72" s="38" t="inlineStr">
        <is>
          <t>IF(OR(E72="",COUNT(AG72:AT72)&lt;2),"",LOOKUP(2,1/(AG72:AT72&lt;&gt;""),AG72:AT72)-MIN(AG72:AT72))</t>
        </is>
      </c>
      <c r="AD72" s="38" t="inlineStr">
        <is>
          <t>IF(OR(AB72="",AA72="Not started",AA72=""),"",IFERROR(AB72-IF(VLOOKUP(AA72,'04_Status_Pipeline'!$B$3:$E$20,4,FALSE)="",0,VLOOKUP(AA72,'04_Status_Pipeline'!$B$3:$E$20,4,FALSE)),""))</t>
        </is>
      </c>
      <c r="AE72" s="32" t="inlineStr">
        <is>
          <t>IF(E72="","",IF(OR(Y72="Cancelled",AA72="Cancelled"),"Cancelled",IF(OR(AA72="Completed / Handover",W72&lt;&gt;"",X72&gt;=100),"Completed — on track",IF(L72="Remaining",IF(S72="",IF(V72="","No planned date",IF(TODAY()&gt;V72,"Behind — past planned date",IF(V72-TODAY()&lt;=30,"At risk — close to off track","On track"))),IF(TODAY()&gt;S72,"Behind — award date passed",IF(S72-TODAY()&lt;=30,"At risk — close to off track","On track"))),IF(V72="","No planned date",IF(AND(TODAY()&gt;V72,OR(X72="",X72&lt;100)),"Behind — past end date",IF(AND(R72&lt;&gt;"",V72&lt;&gt;"",X72&lt;&gt;"",(X72&lt;100),((TODAY()-R72)/MAX(V72-R72,1)*100)-X72&gt;15),"Behind — progress lag",IF(AND(V72-TODAY()&lt;=30,V72-TODAY()&gt;=0,OR(X72="",X72&lt;90)),"At risk — close to off track","On track"))))))))</t>
        </is>
      </c>
      <c r="AF72" s="38" t="inlineStr">
        <is>
          <t>IF(OR(E72="",AA72="Completed / Handover",AA72="Cancelled"),"",IF(L72="Remaining",IF(S72&lt;&gt;"",S72-TODAY(),IF(V72="","",V72-TODAY())),IF(V72="","",V72-TODAY())))</t>
        </is>
      </c>
      <c r="AG72" s="39" t="n"/>
      <c r="AH72" s="39" t="n"/>
      <c r="AI72" s="39" t="n"/>
      <c r="AJ72" s="39" t="n"/>
      <c r="AK72" s="39" t="n"/>
      <c r="AL72" s="39" t="n"/>
      <c r="AM72" s="39" t="n"/>
      <c r="AN72" s="39" t="n"/>
      <c r="AO72" s="39" t="n">
        <v>46062</v>
      </c>
      <c r="AP72" s="39" t="n">
        <v>46062</v>
      </c>
      <c r="AQ72" s="39" t="n"/>
      <c r="AR72" s="40" t="n"/>
      <c r="AS72" s="40" t="n"/>
      <c r="AT72" s="40" t="n"/>
      <c r="AU72" s="38" t="inlineStr">
        <is>
          <t>IF(OR(E72="",AH72=""),"",IF(COUNT(AG72:AG72)=0,"",AH72-LOOKUP(2,1/(AG72:AG72&lt;&gt;""),AG72:AG72)))</t>
        </is>
      </c>
      <c r="AV72" s="38" t="inlineStr">
        <is>
          <t>IF(OR(E72="",AI72=""),"",IF(COUNT(AG72:AH72)=0,"",AI72-LOOKUP(2,1/(AG72:AH72&lt;&gt;""),AG72:AH72)))</t>
        </is>
      </c>
      <c r="AW72" s="38" t="inlineStr">
        <is>
          <t>IF(OR(E72="",AJ72=""),"",IF(COUNT(AG72:AI72)=0,"",AJ72-LOOKUP(2,1/(AG72:AI72&lt;&gt;""),AG72:AI72)))</t>
        </is>
      </c>
      <c r="AX72" s="38" t="inlineStr">
        <is>
          <t>IF(OR(E72="",AK72=""),"",IF(COUNT(AG72:AJ72)=0,"",AK72-LOOKUP(2,1/(AG72:AJ72&lt;&gt;""),AG72:AJ72)))</t>
        </is>
      </c>
      <c r="AY72" s="38" t="inlineStr">
        <is>
          <t>IF(OR(E72="",AL72=""),"",IF(COUNT(AG72:AK72)=0,"",AL72-LOOKUP(2,1/(AG72:AK72&lt;&gt;""),AG72:AK72)))</t>
        </is>
      </c>
      <c r="AZ72" s="38" t="inlineStr">
        <is>
          <t>IF(OR(E72="",AM72=""),"",IF(COUNT(AG72:AL72)=0,"",AM72-LOOKUP(2,1/(AG72:AL72&lt;&gt;""),AG72:AL72)))</t>
        </is>
      </c>
      <c r="BA72" s="38" t="inlineStr">
        <is>
          <t>IF(OR(E72="",AN72=""),"",IF(COUNT(AG72:AM72)=0,"",AN72-LOOKUP(2,1/(AG72:AM72&lt;&gt;""),AG72:AM72)))</t>
        </is>
      </c>
      <c r="BB72" s="38" t="inlineStr">
        <is>
          <t>IF(OR(E72="",AO72=""),"",IF(COUNT(AG72:AN72)=0,"",AO72-LOOKUP(2,1/(AG72:AN72&lt;&gt;""),AG72:AN72)))</t>
        </is>
      </c>
      <c r="BC72" s="38" t="inlineStr">
        <is>
          <t>IF(OR(E72="",AP72=""),"",IF(COUNT(AG72:AO72)=0,"",AP72-LOOKUP(2,1/(AG72:AO72&lt;&gt;""),AG72:AO72)))</t>
        </is>
      </c>
      <c r="BD72" s="38" t="inlineStr">
        <is>
          <t>IF(OR(E72="",AQ72=""),"",IF(COUNT(AG72:AP72)=0,"",AQ72-LOOKUP(2,1/(AG72:AP72&lt;&gt;""),AG72:AP72)))</t>
        </is>
      </c>
      <c r="BE72" s="38" t="inlineStr">
        <is>
          <t>IF(OR(E72="",AR72=""),"",IF(COUNT(AG72:AQ72)=0,"",AR72-LOOKUP(2,1/(AG72:AQ72&lt;&gt;""),AG72:AQ72)))</t>
        </is>
      </c>
      <c r="BF72" s="38" t="inlineStr">
        <is>
          <t>IF(OR(E72="",AS72=""),"",IF(COUNT(AG72:AR72)=0,"",AS72-LOOKUP(2,1/(AG72:AR72&lt;&gt;""),AG72:AR72)))</t>
        </is>
      </c>
      <c r="BG72" s="38" t="inlineStr">
        <is>
          <t>IF(OR(E72="",AT72=""),"",IF(COUNT(AG72:AS72)=0,"",AT72-LOOKUP(2,1/(AG72:AS72&lt;&gt;""),AG72:AS72)))</t>
        </is>
      </c>
      <c r="BH72" s="41" t="inlineStr">
        <is>
          <t>IF(G72="","All_Provinces",IFERROR(VLOOKUP(G72,'07_Lookups'!$A$4:$B$20,2,FALSE),"All_Provinces"))</t>
        </is>
      </c>
      <c r="BI72" s="41" t="inlineStr">
        <is>
          <t>IF(H72="","All_Districts",IFERROR(VLOOKUP(H72,'07_Lookups'!$E$4:$F$42,2,FALSE),"All_Districts"))</t>
        </is>
      </c>
    </row>
    <row r="73" ht="18" customHeight="1">
      <c r="A73" s="32" t="inlineStr">
        <is>
          <t>IF(E73="","",ROW()-3)</t>
        </is>
      </c>
      <c r="B73" s="42" t="inlineStr">
        <is>
          <t>AF2-WSM-A-004</t>
        </is>
      </c>
      <c r="C73" s="42" t="inlineStr">
        <is>
          <t>Emergency Food Security Project (EFSP) – WBK/AF-2</t>
        </is>
      </c>
      <c r="D73" s="42" t="inlineStr">
        <is>
          <t>Package #3 -AF2 WSM: Construction of Koklam three Check Dams (# 1, # 2 and # 3 ) in Kushk-e-Kohna District of Herat Province</t>
        </is>
      </c>
      <c r="E73" s="42" t="inlineStr">
        <is>
          <t>Jar Koklam, Dara Koklam Bala Check Dam # 1</t>
        </is>
      </c>
      <c r="F73" s="42" t="inlineStr">
        <is>
          <t>Check Dam</t>
        </is>
      </c>
      <c r="G73" s="42" t="inlineStr">
        <is>
          <t>West / Herat</t>
        </is>
      </c>
      <c r="H73" s="42" t="inlineStr">
        <is>
          <t>Herat</t>
        </is>
      </c>
      <c r="I73" s="42" t="inlineStr">
        <is>
          <t>Koshk-e-Kohna</t>
        </is>
      </c>
      <c r="J73" s="42" t="inlineStr">
        <is>
          <t>Koklam village (Jar Koklam, Dara Koklam Bala, Baland Bazar, Jar Ahmad and Pastaliq Bazar)</t>
        </is>
      </c>
      <c r="K73" s="42" t="inlineStr">
        <is>
          <t>World Bank (WBK/AF-2)</t>
        </is>
      </c>
      <c r="L73" s="42" t="inlineStr">
        <is>
          <t>Awarded</t>
        </is>
      </c>
      <c r="M73" s="42" t="inlineStr">
        <is>
          <t>Watershed / Check dam</t>
        </is>
      </c>
      <c r="N73" s="42" t="inlineStr">
        <is>
          <t>3.WSM awarded contracts</t>
        </is>
      </c>
      <c r="O73" s="42" t="inlineStr">
        <is>
          <t>Afghan Aakam Construction and Road Company. JV with D- Amini Mashwani Construction Company (AACC)</t>
        </is>
      </c>
      <c r="P73" s="42" t="inlineStr">
        <is>
          <t>006/2026</t>
        </is>
      </c>
      <c r="Q73" s="43" t="n">
        <v>71140.92</v>
      </c>
      <c r="R73" s="35" t="inlineStr">
        <is>
          <t>IF(AO73="","",AO73)</t>
        </is>
      </c>
      <c r="S73" s="44" t="n"/>
      <c r="T73" s="45" t="n">
        <v>10</v>
      </c>
      <c r="U73" s="44" t="n">
        <v>46346</v>
      </c>
      <c r="V73" s="35" t="inlineStr">
        <is>
          <t>IF(U73&lt;&gt;"",U73,IF(OR(R73="",T73=""),"",EDATE(R73,T73)))</t>
        </is>
      </c>
      <c r="W73" s="44" t="n"/>
      <c r="X73" s="45" t="n">
        <v>89</v>
      </c>
      <c r="Y73" s="42" t="inlineStr">
        <is>
          <t>Under Construction</t>
        </is>
      </c>
      <c r="Z73" s="42" t="inlineStr">
        <is>
          <t>Expected to complete by the end of the contract NTE.</t>
        </is>
      </c>
      <c r="AA73" s="32" t="inlineStr">
        <is>
          <t>IF(E73="","",IF(COUNT(AG73:AT73)=0,IF(Y73="","Not started",Y73),SUBSTITUTE(LOOKUP(2,1/(AG73:AT73&lt;&gt;""),$AG$3:$AT$3),"Date: ","")))</t>
        </is>
      </c>
      <c r="AB73" s="38" t="inlineStr">
        <is>
          <t>IF(OR(E73="",COUNT(AG73:AT73)=0),"",TODAY()-LOOKUP(2,1/(AG73:AT73&lt;&gt;""),AG73:AT73))</t>
        </is>
      </c>
      <c r="AC73" s="38" t="inlineStr">
        <is>
          <t>IF(OR(E73="",COUNT(AG73:AT73)&lt;2),"",LOOKUP(2,1/(AG73:AT73&lt;&gt;""),AG73:AT73)-MIN(AG73:AT73))</t>
        </is>
      </c>
      <c r="AD73" s="38" t="inlineStr">
        <is>
          <t>IF(OR(AB73="",AA73="Not started",AA73=""),"",IFERROR(AB73-IF(VLOOKUP(AA73,'04_Status_Pipeline'!$B$3:$E$20,4,FALSE)="",0,VLOOKUP(AA73,'04_Status_Pipeline'!$B$3:$E$20,4,FALSE)),""))</t>
        </is>
      </c>
      <c r="AE73" s="32" t="inlineStr">
        <is>
          <t>IF(E73="","",IF(OR(Y73="Cancelled",AA73="Cancelled"),"Cancelled",IF(OR(AA73="Completed / Handover",W73&lt;&gt;"",X73&gt;=100),"Completed — on track",IF(L73="Remaining",IF(S73="",IF(V73="","No planned date",IF(TODAY()&gt;V73,"Behind — past planned date",IF(V73-TODAY()&lt;=30,"At risk — close to off track","On track"))),IF(TODAY()&gt;S73,"Behind — award date passed",IF(S73-TODAY()&lt;=30,"At risk — close to off track","On track"))),IF(V73="","No planned date",IF(AND(TODAY()&gt;V73,OR(X73="",X73&lt;100)),"Behind — past end date",IF(AND(R73&lt;&gt;"",V73&lt;&gt;"",X73&lt;&gt;"",(X73&lt;100),((TODAY()-R73)/MAX(V73-R73,1)*100)-X73&gt;15),"Behind — progress lag",IF(AND(V73-TODAY()&lt;=30,V73-TODAY()&gt;=0,OR(X73="",X73&lt;90)),"At risk — close to off track","On track"))))))))</t>
        </is>
      </c>
      <c r="AF73" s="38" t="inlineStr">
        <is>
          <t>IF(OR(E73="",AA73="Completed / Handover",AA73="Cancelled"),"",IF(L73="Remaining",IF(S73&lt;&gt;"",S73-TODAY(),IF(V73="","",V73-TODAY())),IF(V73="","",V73-TODAY())))</t>
        </is>
      </c>
      <c r="AG73" s="39" t="n"/>
      <c r="AH73" s="39" t="n"/>
      <c r="AI73" s="39" t="n"/>
      <c r="AJ73" s="39" t="n"/>
      <c r="AK73" s="39" t="n"/>
      <c r="AL73" s="39" t="n"/>
      <c r="AM73" s="39" t="n"/>
      <c r="AN73" s="39" t="n"/>
      <c r="AO73" s="39" t="n">
        <v>46043</v>
      </c>
      <c r="AP73" s="39" t="n">
        <v>46043</v>
      </c>
      <c r="AQ73" s="39" t="n"/>
      <c r="AR73" s="40" t="n"/>
      <c r="AS73" s="40" t="n"/>
      <c r="AT73" s="40" t="n"/>
      <c r="AU73" s="38" t="inlineStr">
        <is>
          <t>IF(OR(E73="",AH73=""),"",IF(COUNT(AG73:AG73)=0,"",AH73-LOOKUP(2,1/(AG73:AG73&lt;&gt;""),AG73:AG73)))</t>
        </is>
      </c>
      <c r="AV73" s="38" t="inlineStr">
        <is>
          <t>IF(OR(E73="",AI73=""),"",IF(COUNT(AG73:AH73)=0,"",AI73-LOOKUP(2,1/(AG73:AH73&lt;&gt;""),AG73:AH73)))</t>
        </is>
      </c>
      <c r="AW73" s="38" t="inlineStr">
        <is>
          <t>IF(OR(E73="",AJ73=""),"",IF(COUNT(AG73:AI73)=0,"",AJ73-LOOKUP(2,1/(AG73:AI73&lt;&gt;""),AG73:AI73)))</t>
        </is>
      </c>
      <c r="AX73" s="38" t="inlineStr">
        <is>
          <t>IF(OR(E73="",AK73=""),"",IF(COUNT(AG73:AJ73)=0,"",AK73-LOOKUP(2,1/(AG73:AJ73&lt;&gt;""),AG73:AJ73)))</t>
        </is>
      </c>
      <c r="AY73" s="38" t="inlineStr">
        <is>
          <t>IF(OR(E73="",AL73=""),"",IF(COUNT(AG73:AK73)=0,"",AL73-LOOKUP(2,1/(AG73:AK73&lt;&gt;""),AG73:AK73)))</t>
        </is>
      </c>
      <c r="AZ73" s="38" t="inlineStr">
        <is>
          <t>IF(OR(E73="",AM73=""),"",IF(COUNT(AG73:AL73)=0,"",AM73-LOOKUP(2,1/(AG73:AL73&lt;&gt;""),AG73:AL73)))</t>
        </is>
      </c>
      <c r="BA73" s="38" t="inlineStr">
        <is>
          <t>IF(OR(E73="",AN73=""),"",IF(COUNT(AG73:AM73)=0,"",AN73-LOOKUP(2,1/(AG73:AM73&lt;&gt;""),AG73:AM73)))</t>
        </is>
      </c>
      <c r="BB73" s="38" t="inlineStr">
        <is>
          <t>IF(OR(E73="",AO73=""),"",IF(COUNT(AG73:AN73)=0,"",AO73-LOOKUP(2,1/(AG73:AN73&lt;&gt;""),AG73:AN73)))</t>
        </is>
      </c>
      <c r="BC73" s="38" t="inlineStr">
        <is>
          <t>IF(OR(E73="",AP73=""),"",IF(COUNT(AG73:AO73)=0,"",AP73-LOOKUP(2,1/(AG73:AO73&lt;&gt;""),AG73:AO73)))</t>
        </is>
      </c>
      <c r="BD73" s="38" t="inlineStr">
        <is>
          <t>IF(OR(E73="",AQ73=""),"",IF(COUNT(AG73:AP73)=0,"",AQ73-LOOKUP(2,1/(AG73:AP73&lt;&gt;""),AG73:AP73)))</t>
        </is>
      </c>
      <c r="BE73" s="38" t="inlineStr">
        <is>
          <t>IF(OR(E73="",AR73=""),"",IF(COUNT(AG73:AQ73)=0,"",AR73-LOOKUP(2,1/(AG73:AQ73&lt;&gt;""),AG73:AQ73)))</t>
        </is>
      </c>
      <c r="BF73" s="38" t="inlineStr">
        <is>
          <t>IF(OR(E73="",AS73=""),"",IF(COUNT(AG73:AR73)=0,"",AS73-LOOKUP(2,1/(AG73:AR73&lt;&gt;""),AG73:AR73)))</t>
        </is>
      </c>
      <c r="BG73" s="38" t="inlineStr">
        <is>
          <t>IF(OR(E73="",AT73=""),"",IF(COUNT(AG73:AS73)=0,"",AT73-LOOKUP(2,1/(AG73:AS73&lt;&gt;""),AG73:AS73)))</t>
        </is>
      </c>
      <c r="BH73" s="41" t="inlineStr">
        <is>
          <t>IF(G73="","All_Provinces",IFERROR(VLOOKUP(G73,'07_Lookups'!$A$4:$B$20,2,FALSE),"All_Provinces"))</t>
        </is>
      </c>
      <c r="BI73" s="41" t="inlineStr">
        <is>
          <t>IF(H73="","All_Districts",IFERROR(VLOOKUP(H73,'07_Lookups'!$E$4:$F$42,2,FALSE),"All_Districts"))</t>
        </is>
      </c>
    </row>
    <row r="74" ht="18" customHeight="1">
      <c r="A74" s="32" t="inlineStr">
        <is>
          <t>IF(E74="","",ROW()-3)</t>
        </is>
      </c>
      <c r="B74" s="33" t="inlineStr">
        <is>
          <t>AF2-WSM-A-005</t>
        </is>
      </c>
      <c r="C74" s="33" t="inlineStr">
        <is>
          <t>Emergency Food Security Project (EFSP) – WBK/AF-2</t>
        </is>
      </c>
      <c r="D74" s="33" t="inlineStr">
        <is>
          <t>Package #3 -AF2 WSM: Construction of Koklam three Check Dams (# 1, # 2 and # 3 ) in Kushk-e-Kohna District of Herat Province</t>
        </is>
      </c>
      <c r="E74" s="33" t="inlineStr">
        <is>
          <t>Baland Bazar, Jar Ahmad Check Dam # 2</t>
        </is>
      </c>
      <c r="F74" s="33" t="inlineStr">
        <is>
          <t>Check Dam</t>
        </is>
      </c>
      <c r="G74" s="33" t="inlineStr">
        <is>
          <t>West / Herat</t>
        </is>
      </c>
      <c r="H74" s="33" t="inlineStr">
        <is>
          <t>Herat</t>
        </is>
      </c>
      <c r="I74" s="33" t="inlineStr">
        <is>
          <t>Koshk-e-Kohna</t>
        </is>
      </c>
      <c r="J74" s="33" t="inlineStr"/>
      <c r="K74" s="33" t="inlineStr">
        <is>
          <t>World Bank (WBK/AF-2)</t>
        </is>
      </c>
      <c r="L74" s="33" t="inlineStr">
        <is>
          <t>Awarded</t>
        </is>
      </c>
      <c r="M74" s="33" t="inlineStr">
        <is>
          <t>Watershed / Check dam</t>
        </is>
      </c>
      <c r="N74" s="33" t="inlineStr">
        <is>
          <t>3.WSM awarded contracts</t>
        </is>
      </c>
      <c r="O74" s="33" t="inlineStr">
        <is>
          <t>Afghan Aakam Construction and Road Company. JV with D- Amini Mashwani Construction Company (AACC)</t>
        </is>
      </c>
      <c r="P74" s="33" t="inlineStr">
        <is>
          <t>006/2026</t>
        </is>
      </c>
      <c r="Q74" s="34" t="n">
        <v>68058.60000000001</v>
      </c>
      <c r="R74" s="35" t="inlineStr">
        <is>
          <t>IF(AO74="","",AO74)</t>
        </is>
      </c>
      <c r="S74" s="36" t="n"/>
      <c r="T74" s="37" t="n">
        <v>10</v>
      </c>
      <c r="U74" s="36" t="n">
        <v>46346</v>
      </c>
      <c r="V74" s="35" t="inlineStr">
        <is>
          <t>IF(U74&lt;&gt;"",U74,IF(OR(R74="",T74=""),"",EDATE(R74,T74)))</t>
        </is>
      </c>
      <c r="W74" s="36" t="n"/>
      <c r="X74" s="37" t="n">
        <v>70</v>
      </c>
      <c r="Y74" s="33" t="inlineStr">
        <is>
          <t>Under Construction</t>
        </is>
      </c>
      <c r="Z74" s="33" t="inlineStr">
        <is>
          <t>Expected to complete by the end of the contract NTE.</t>
        </is>
      </c>
      <c r="AA74" s="32" t="inlineStr">
        <is>
          <t>IF(E74="","",IF(COUNT(AG74:AT74)=0,IF(Y74="","Not started",Y74),SUBSTITUTE(LOOKUP(2,1/(AG74:AT74&lt;&gt;""),$AG$3:$AT$3),"Date: ","")))</t>
        </is>
      </c>
      <c r="AB74" s="38" t="inlineStr">
        <is>
          <t>IF(OR(E74="",COUNT(AG74:AT74)=0),"",TODAY()-LOOKUP(2,1/(AG74:AT74&lt;&gt;""),AG74:AT74))</t>
        </is>
      </c>
      <c r="AC74" s="38" t="inlineStr">
        <is>
          <t>IF(OR(E74="",COUNT(AG74:AT74)&lt;2),"",LOOKUP(2,1/(AG74:AT74&lt;&gt;""),AG74:AT74)-MIN(AG74:AT74))</t>
        </is>
      </c>
      <c r="AD74" s="38" t="inlineStr">
        <is>
          <t>IF(OR(AB74="",AA74="Not started",AA74=""),"",IFERROR(AB74-IF(VLOOKUP(AA74,'04_Status_Pipeline'!$B$3:$E$20,4,FALSE)="",0,VLOOKUP(AA74,'04_Status_Pipeline'!$B$3:$E$20,4,FALSE)),""))</t>
        </is>
      </c>
      <c r="AE74" s="32" t="inlineStr">
        <is>
          <t>IF(E74="","",IF(OR(Y74="Cancelled",AA74="Cancelled"),"Cancelled",IF(OR(AA74="Completed / Handover",W74&lt;&gt;"",X74&gt;=100),"Completed — on track",IF(L74="Remaining",IF(S74="",IF(V74="","No planned date",IF(TODAY()&gt;V74,"Behind — past planned date",IF(V74-TODAY()&lt;=30,"At risk — close to off track","On track"))),IF(TODAY()&gt;S74,"Behind — award date passed",IF(S74-TODAY()&lt;=30,"At risk — close to off track","On track"))),IF(V74="","No planned date",IF(AND(TODAY()&gt;V74,OR(X74="",X74&lt;100)),"Behind — past end date",IF(AND(R74&lt;&gt;"",V74&lt;&gt;"",X74&lt;&gt;"",(X74&lt;100),((TODAY()-R74)/MAX(V74-R74,1)*100)-X74&gt;15),"Behind — progress lag",IF(AND(V74-TODAY()&lt;=30,V74-TODAY()&gt;=0,OR(X74="",X74&lt;90)),"At risk — close to off track","On track"))))))))</t>
        </is>
      </c>
      <c r="AF74" s="38" t="inlineStr">
        <is>
          <t>IF(OR(E74="",AA74="Completed / Handover",AA74="Cancelled"),"",IF(L74="Remaining",IF(S74&lt;&gt;"",S74-TODAY(),IF(V74="","",V74-TODAY())),IF(V74="","",V74-TODAY())))</t>
        </is>
      </c>
      <c r="AG74" s="39" t="n"/>
      <c r="AH74" s="39" t="n"/>
      <c r="AI74" s="39" t="n"/>
      <c r="AJ74" s="39" t="n"/>
      <c r="AK74" s="39" t="n"/>
      <c r="AL74" s="39" t="n"/>
      <c r="AM74" s="39" t="n"/>
      <c r="AN74" s="39" t="n"/>
      <c r="AO74" s="39" t="n">
        <v>46043</v>
      </c>
      <c r="AP74" s="39" t="n">
        <v>46043</v>
      </c>
      <c r="AQ74" s="39" t="n"/>
      <c r="AR74" s="40" t="n"/>
      <c r="AS74" s="40" t="n"/>
      <c r="AT74" s="40" t="n"/>
      <c r="AU74" s="38" t="inlineStr">
        <is>
          <t>IF(OR(E74="",AH74=""),"",IF(COUNT(AG74:AG74)=0,"",AH74-LOOKUP(2,1/(AG74:AG74&lt;&gt;""),AG74:AG74)))</t>
        </is>
      </c>
      <c r="AV74" s="38" t="inlineStr">
        <is>
          <t>IF(OR(E74="",AI74=""),"",IF(COUNT(AG74:AH74)=0,"",AI74-LOOKUP(2,1/(AG74:AH74&lt;&gt;""),AG74:AH74)))</t>
        </is>
      </c>
      <c r="AW74" s="38" t="inlineStr">
        <is>
          <t>IF(OR(E74="",AJ74=""),"",IF(COUNT(AG74:AI74)=0,"",AJ74-LOOKUP(2,1/(AG74:AI74&lt;&gt;""),AG74:AI74)))</t>
        </is>
      </c>
      <c r="AX74" s="38" t="inlineStr">
        <is>
          <t>IF(OR(E74="",AK74=""),"",IF(COUNT(AG74:AJ74)=0,"",AK74-LOOKUP(2,1/(AG74:AJ74&lt;&gt;""),AG74:AJ74)))</t>
        </is>
      </c>
      <c r="AY74" s="38" t="inlineStr">
        <is>
          <t>IF(OR(E74="",AL74=""),"",IF(COUNT(AG74:AK74)=0,"",AL74-LOOKUP(2,1/(AG74:AK74&lt;&gt;""),AG74:AK74)))</t>
        </is>
      </c>
      <c r="AZ74" s="38" t="inlineStr">
        <is>
          <t>IF(OR(E74="",AM74=""),"",IF(COUNT(AG74:AL74)=0,"",AM74-LOOKUP(2,1/(AG74:AL74&lt;&gt;""),AG74:AL74)))</t>
        </is>
      </c>
      <c r="BA74" s="38" t="inlineStr">
        <is>
          <t>IF(OR(E74="",AN74=""),"",IF(COUNT(AG74:AM74)=0,"",AN74-LOOKUP(2,1/(AG74:AM74&lt;&gt;""),AG74:AM74)))</t>
        </is>
      </c>
      <c r="BB74" s="38" t="inlineStr">
        <is>
          <t>IF(OR(E74="",AO74=""),"",IF(COUNT(AG74:AN74)=0,"",AO74-LOOKUP(2,1/(AG74:AN74&lt;&gt;""),AG74:AN74)))</t>
        </is>
      </c>
      <c r="BC74" s="38" t="inlineStr">
        <is>
          <t>IF(OR(E74="",AP74=""),"",IF(COUNT(AG74:AO74)=0,"",AP74-LOOKUP(2,1/(AG74:AO74&lt;&gt;""),AG74:AO74)))</t>
        </is>
      </c>
      <c r="BD74" s="38" t="inlineStr">
        <is>
          <t>IF(OR(E74="",AQ74=""),"",IF(COUNT(AG74:AP74)=0,"",AQ74-LOOKUP(2,1/(AG74:AP74&lt;&gt;""),AG74:AP74)))</t>
        </is>
      </c>
      <c r="BE74" s="38" t="inlineStr">
        <is>
          <t>IF(OR(E74="",AR74=""),"",IF(COUNT(AG74:AQ74)=0,"",AR74-LOOKUP(2,1/(AG74:AQ74&lt;&gt;""),AG74:AQ74)))</t>
        </is>
      </c>
      <c r="BF74" s="38" t="inlineStr">
        <is>
          <t>IF(OR(E74="",AS74=""),"",IF(COUNT(AG74:AR74)=0,"",AS74-LOOKUP(2,1/(AG74:AR74&lt;&gt;""),AG74:AR74)))</t>
        </is>
      </c>
      <c r="BG74" s="38" t="inlineStr">
        <is>
          <t>IF(OR(E74="",AT74=""),"",IF(COUNT(AG74:AS74)=0,"",AT74-LOOKUP(2,1/(AG74:AS74&lt;&gt;""),AG74:AS74)))</t>
        </is>
      </c>
      <c r="BH74" s="41" t="inlineStr">
        <is>
          <t>IF(G74="","All_Provinces",IFERROR(VLOOKUP(G74,'07_Lookups'!$A$4:$B$20,2,FALSE),"All_Provinces"))</t>
        </is>
      </c>
      <c r="BI74" s="41" t="inlineStr">
        <is>
          <t>IF(H74="","All_Districts",IFERROR(VLOOKUP(H74,'07_Lookups'!$E$4:$F$42,2,FALSE),"All_Districts"))</t>
        </is>
      </c>
    </row>
    <row r="75" ht="18" customHeight="1">
      <c r="A75" s="32" t="inlineStr">
        <is>
          <t>IF(E75="","",ROW()-3)</t>
        </is>
      </c>
      <c r="B75" s="42" t="inlineStr">
        <is>
          <t>AF2-WSM-A-006</t>
        </is>
      </c>
      <c r="C75" s="42" t="inlineStr">
        <is>
          <t>Emergency Food Security Project (EFSP) – WBK/AF-2</t>
        </is>
      </c>
      <c r="D75" s="42" t="inlineStr">
        <is>
          <t>Package #3 -AF2 WSM: Construction of Koklam three Check Dams (# 1, # 2 and # 3 ) in Kushk-e-Kohna District of Herat Province</t>
        </is>
      </c>
      <c r="E75" s="42" t="inlineStr">
        <is>
          <t>Pastaliq Bazar Check Dam # 3</t>
        </is>
      </c>
      <c r="F75" s="42" t="inlineStr">
        <is>
          <t>Check Dam</t>
        </is>
      </c>
      <c r="G75" s="42" t="inlineStr">
        <is>
          <t>West / Herat</t>
        </is>
      </c>
      <c r="H75" s="42" t="inlineStr">
        <is>
          <t>Herat</t>
        </is>
      </c>
      <c r="I75" s="42" t="inlineStr">
        <is>
          <t>Koshk-e-Kohna</t>
        </is>
      </c>
      <c r="J75" s="42" t="inlineStr"/>
      <c r="K75" s="42" t="inlineStr">
        <is>
          <t>World Bank (WBK/AF-2)</t>
        </is>
      </c>
      <c r="L75" s="42" t="inlineStr">
        <is>
          <t>Awarded</t>
        </is>
      </c>
      <c r="M75" s="42" t="inlineStr">
        <is>
          <t>Watershed / Check dam</t>
        </is>
      </c>
      <c r="N75" s="42" t="inlineStr">
        <is>
          <t>3.WSM awarded contracts</t>
        </is>
      </c>
      <c r="O75" s="42" t="inlineStr">
        <is>
          <t>Afghan Aakam Construction and Road Company. JV with D- Amini Mashwani Construction Company (AACC)</t>
        </is>
      </c>
      <c r="P75" s="42" t="inlineStr">
        <is>
          <t>006/2026</t>
        </is>
      </c>
      <c r="Q75" s="43" t="n">
        <v>74256.67999999999</v>
      </c>
      <c r="R75" s="35" t="inlineStr">
        <is>
          <t>IF(AO75="","",AO75)</t>
        </is>
      </c>
      <c r="S75" s="44" t="n"/>
      <c r="T75" s="45" t="n">
        <v>10</v>
      </c>
      <c r="U75" s="44" t="n">
        <v>46346</v>
      </c>
      <c r="V75" s="35" t="inlineStr">
        <is>
          <t>IF(U75&lt;&gt;"",U75,IF(OR(R75="",T75=""),"",EDATE(R75,T75)))</t>
        </is>
      </c>
      <c r="W75" s="44" t="n"/>
      <c r="X75" s="45" t="n">
        <v>30</v>
      </c>
      <c r="Y75" s="42" t="inlineStr">
        <is>
          <t>Under Construction</t>
        </is>
      </c>
      <c r="Z75" s="42" t="inlineStr">
        <is>
          <t>Expected to complete by the end of the contract NTE.</t>
        </is>
      </c>
      <c r="AA75" s="32" t="inlineStr">
        <is>
          <t>IF(E75="","",IF(COUNT(AG75:AT75)=0,IF(Y75="","Not started",Y75),SUBSTITUTE(LOOKUP(2,1/(AG75:AT75&lt;&gt;""),$AG$3:$AT$3),"Date: ","")))</t>
        </is>
      </c>
      <c r="AB75" s="38" t="inlineStr">
        <is>
          <t>IF(OR(E75="",COUNT(AG75:AT75)=0),"",TODAY()-LOOKUP(2,1/(AG75:AT75&lt;&gt;""),AG75:AT75))</t>
        </is>
      </c>
      <c r="AC75" s="38" t="inlineStr">
        <is>
          <t>IF(OR(E75="",COUNT(AG75:AT75)&lt;2),"",LOOKUP(2,1/(AG75:AT75&lt;&gt;""),AG75:AT75)-MIN(AG75:AT75))</t>
        </is>
      </c>
      <c r="AD75" s="38" t="inlineStr">
        <is>
          <t>IF(OR(AB75="",AA75="Not started",AA75=""),"",IFERROR(AB75-IF(VLOOKUP(AA75,'04_Status_Pipeline'!$B$3:$E$20,4,FALSE)="",0,VLOOKUP(AA75,'04_Status_Pipeline'!$B$3:$E$20,4,FALSE)),""))</t>
        </is>
      </c>
      <c r="AE75" s="32" t="inlineStr">
        <is>
          <t>IF(E75="","",IF(OR(Y75="Cancelled",AA75="Cancelled"),"Cancelled",IF(OR(AA75="Completed / Handover",W75&lt;&gt;"",X75&gt;=100),"Completed — on track",IF(L75="Remaining",IF(S75="",IF(V75="","No planned date",IF(TODAY()&gt;V75,"Behind — past planned date",IF(V75-TODAY()&lt;=30,"At risk — close to off track","On track"))),IF(TODAY()&gt;S75,"Behind — award date passed",IF(S75-TODAY()&lt;=30,"At risk — close to off track","On track"))),IF(V75="","No planned date",IF(AND(TODAY()&gt;V75,OR(X75="",X75&lt;100)),"Behind — past end date",IF(AND(R75&lt;&gt;"",V75&lt;&gt;"",X75&lt;&gt;"",(X75&lt;100),((TODAY()-R75)/MAX(V75-R75,1)*100)-X75&gt;15),"Behind — progress lag",IF(AND(V75-TODAY()&lt;=30,V75-TODAY()&gt;=0,OR(X75="",X75&lt;90)),"At risk — close to off track","On track"))))))))</t>
        </is>
      </c>
      <c r="AF75" s="38" t="inlineStr">
        <is>
          <t>IF(OR(E75="",AA75="Completed / Handover",AA75="Cancelled"),"",IF(L75="Remaining",IF(S75&lt;&gt;"",S75-TODAY(),IF(V75="","",V75-TODAY())),IF(V75="","",V75-TODAY())))</t>
        </is>
      </c>
      <c r="AG75" s="39" t="n"/>
      <c r="AH75" s="39" t="n"/>
      <c r="AI75" s="39" t="n"/>
      <c r="AJ75" s="39" t="n"/>
      <c r="AK75" s="39" t="n"/>
      <c r="AL75" s="39" t="n"/>
      <c r="AM75" s="39" t="n"/>
      <c r="AN75" s="39" t="n"/>
      <c r="AO75" s="39" t="n">
        <v>46043</v>
      </c>
      <c r="AP75" s="39" t="n">
        <v>46043</v>
      </c>
      <c r="AQ75" s="39" t="n"/>
      <c r="AR75" s="40" t="n"/>
      <c r="AS75" s="40" t="n"/>
      <c r="AT75" s="40" t="n"/>
      <c r="AU75" s="38" t="inlineStr">
        <is>
          <t>IF(OR(E75="",AH75=""),"",IF(COUNT(AG75:AG75)=0,"",AH75-LOOKUP(2,1/(AG75:AG75&lt;&gt;""),AG75:AG75)))</t>
        </is>
      </c>
      <c r="AV75" s="38" t="inlineStr">
        <is>
          <t>IF(OR(E75="",AI75=""),"",IF(COUNT(AG75:AH75)=0,"",AI75-LOOKUP(2,1/(AG75:AH75&lt;&gt;""),AG75:AH75)))</t>
        </is>
      </c>
      <c r="AW75" s="38" t="inlineStr">
        <is>
          <t>IF(OR(E75="",AJ75=""),"",IF(COUNT(AG75:AI75)=0,"",AJ75-LOOKUP(2,1/(AG75:AI75&lt;&gt;""),AG75:AI75)))</t>
        </is>
      </c>
      <c r="AX75" s="38" t="inlineStr">
        <is>
          <t>IF(OR(E75="",AK75=""),"",IF(COUNT(AG75:AJ75)=0,"",AK75-LOOKUP(2,1/(AG75:AJ75&lt;&gt;""),AG75:AJ75)))</t>
        </is>
      </c>
      <c r="AY75" s="38" t="inlineStr">
        <is>
          <t>IF(OR(E75="",AL75=""),"",IF(COUNT(AG75:AK75)=0,"",AL75-LOOKUP(2,1/(AG75:AK75&lt;&gt;""),AG75:AK75)))</t>
        </is>
      </c>
      <c r="AZ75" s="38" t="inlineStr">
        <is>
          <t>IF(OR(E75="",AM75=""),"",IF(COUNT(AG75:AL75)=0,"",AM75-LOOKUP(2,1/(AG75:AL75&lt;&gt;""),AG75:AL75)))</t>
        </is>
      </c>
      <c r="BA75" s="38" t="inlineStr">
        <is>
          <t>IF(OR(E75="",AN75=""),"",IF(COUNT(AG75:AM75)=0,"",AN75-LOOKUP(2,1/(AG75:AM75&lt;&gt;""),AG75:AM75)))</t>
        </is>
      </c>
      <c r="BB75" s="38" t="inlineStr">
        <is>
          <t>IF(OR(E75="",AO75=""),"",IF(COUNT(AG75:AN75)=0,"",AO75-LOOKUP(2,1/(AG75:AN75&lt;&gt;""),AG75:AN75)))</t>
        </is>
      </c>
      <c r="BC75" s="38" t="inlineStr">
        <is>
          <t>IF(OR(E75="",AP75=""),"",IF(COUNT(AG75:AO75)=0,"",AP75-LOOKUP(2,1/(AG75:AO75&lt;&gt;""),AG75:AO75)))</t>
        </is>
      </c>
      <c r="BD75" s="38" t="inlineStr">
        <is>
          <t>IF(OR(E75="",AQ75=""),"",IF(COUNT(AG75:AP75)=0,"",AQ75-LOOKUP(2,1/(AG75:AP75&lt;&gt;""),AG75:AP75)))</t>
        </is>
      </c>
      <c r="BE75" s="38" t="inlineStr">
        <is>
          <t>IF(OR(E75="",AR75=""),"",IF(COUNT(AG75:AQ75)=0,"",AR75-LOOKUP(2,1/(AG75:AQ75&lt;&gt;""),AG75:AQ75)))</t>
        </is>
      </c>
      <c r="BF75" s="38" t="inlineStr">
        <is>
          <t>IF(OR(E75="",AS75=""),"",IF(COUNT(AG75:AR75)=0,"",AS75-LOOKUP(2,1/(AG75:AR75&lt;&gt;""),AG75:AR75)))</t>
        </is>
      </c>
      <c r="BG75" s="38" t="inlineStr">
        <is>
          <t>IF(OR(E75="",AT75=""),"",IF(COUNT(AG75:AS75)=0,"",AT75-LOOKUP(2,1/(AG75:AS75&lt;&gt;""),AG75:AS75)))</t>
        </is>
      </c>
      <c r="BH75" s="41" t="inlineStr">
        <is>
          <t>IF(G75="","All_Provinces",IFERROR(VLOOKUP(G75,'07_Lookups'!$A$4:$B$20,2,FALSE),"All_Provinces"))</t>
        </is>
      </c>
      <c r="BI75" s="41" t="inlineStr">
        <is>
          <t>IF(H75="","All_Districts",IFERROR(VLOOKUP(H75,'07_Lookups'!$E$4:$F$42,2,FALSE),"All_Districts"))</t>
        </is>
      </c>
    </row>
    <row r="76" ht="18" customHeight="1">
      <c r="A76" s="32" t="inlineStr">
        <is>
          <t>IF(E76="","",ROW()-3)</t>
        </is>
      </c>
      <c r="B76" s="33" t="inlineStr">
        <is>
          <t>AF2-WSM-A-007</t>
        </is>
      </c>
      <c r="C76" s="33" t="inlineStr">
        <is>
          <t>Emergency Food Security Project (EFSP) – WBK/AF-2</t>
        </is>
      </c>
      <c r="D76" s="33" t="inlineStr">
        <is>
          <t>Package #5-AF2 WSM/Part-2: Construction of 4 Check dams of 1.Farman Khil and 2.Kharoti in Qarghaee district of Laghman province; 3. Lokhy Solozi and 4. Lala Kali in Chaparhar districts of Nangarhar province.</t>
        </is>
      </c>
      <c r="E76" s="33" t="inlineStr">
        <is>
          <t>1. Farman khill Check dam</t>
        </is>
      </c>
      <c r="F76" s="33" t="inlineStr">
        <is>
          <t>Check Dam</t>
        </is>
      </c>
      <c r="G76" s="33" t="inlineStr">
        <is>
          <t>East / Jalalabad</t>
        </is>
      </c>
      <c r="H76" s="33" t="inlineStr">
        <is>
          <t>Laghman</t>
        </is>
      </c>
      <c r="I76" s="33" t="inlineStr">
        <is>
          <t>Qarghaee</t>
        </is>
      </c>
      <c r="J76" s="33" t="inlineStr">
        <is>
          <t>Farmankhil</t>
        </is>
      </c>
      <c r="K76" s="33" t="inlineStr">
        <is>
          <t>World Bank (WBK/AF-2)</t>
        </is>
      </c>
      <c r="L76" s="33" t="inlineStr">
        <is>
          <t>Awarded</t>
        </is>
      </c>
      <c r="M76" s="33" t="inlineStr">
        <is>
          <t>Watershed / Check dam</t>
        </is>
      </c>
      <c r="N76" s="33" t="inlineStr">
        <is>
          <t>3.WSM awarded contracts</t>
        </is>
      </c>
      <c r="O76" s="33" t="inlineStr">
        <is>
          <t>Khaliqi Building &amp; Road Construction Company (KBRCC)</t>
        </is>
      </c>
      <c r="P76" s="33" t="inlineStr">
        <is>
          <t>040/2026</t>
        </is>
      </c>
      <c r="Q76" s="34" t="n">
        <v>29781.88</v>
      </c>
      <c r="R76" s="35" t="inlineStr">
        <is>
          <t>IF(AO76="","",AO76)</t>
        </is>
      </c>
      <c r="S76" s="36" t="n"/>
      <c r="T76" s="37" t="n">
        <v>5</v>
      </c>
      <c r="U76" s="36" t="n">
        <v>46324</v>
      </c>
      <c r="V76" s="35" t="inlineStr">
        <is>
          <t>IF(U76&lt;&gt;"",U76,IF(OR(R76="",T76=""),"",EDATE(R76,T76)))</t>
        </is>
      </c>
      <c r="W76" s="36" t="n"/>
      <c r="X76" s="37" t="n">
        <v>50</v>
      </c>
      <c r="Y76" s="33" t="inlineStr">
        <is>
          <t>Under Construction</t>
        </is>
      </c>
      <c r="Z76" s="33" t="inlineStr">
        <is>
          <t>A check dam, a pond and a social structure. Contract extension needs to be sought.</t>
        </is>
      </c>
      <c r="AA76" s="32" t="inlineStr">
        <is>
          <t>IF(E76="","",IF(COUNT(AG76:AT76)=0,IF(Y76="","Not started",Y76),SUBSTITUTE(LOOKUP(2,1/(AG76:AT76&lt;&gt;""),$AG$3:$AT$3),"Date: ","")))</t>
        </is>
      </c>
      <c r="AB76" s="38" t="inlineStr">
        <is>
          <t>IF(OR(E76="",COUNT(AG76:AT76)=0),"",TODAY()-LOOKUP(2,1/(AG76:AT76&lt;&gt;""),AG76:AT76))</t>
        </is>
      </c>
      <c r="AC76" s="38" t="inlineStr">
        <is>
          <t>IF(OR(E76="",COUNT(AG76:AT76)&lt;2),"",LOOKUP(2,1/(AG76:AT76&lt;&gt;""),AG76:AT76)-MIN(AG76:AT76))</t>
        </is>
      </c>
      <c r="AD76" s="38" t="inlineStr">
        <is>
          <t>IF(OR(AB76="",AA76="Not started",AA76=""),"",IFERROR(AB76-IF(VLOOKUP(AA76,'04_Status_Pipeline'!$B$3:$E$20,4,FALSE)="",0,VLOOKUP(AA76,'04_Status_Pipeline'!$B$3:$E$20,4,FALSE)),""))</t>
        </is>
      </c>
      <c r="AE76" s="32" t="inlineStr">
        <is>
          <t>IF(E76="","",IF(OR(Y76="Cancelled",AA76="Cancelled"),"Cancelled",IF(OR(AA76="Completed / Handover",W76&lt;&gt;"",X76&gt;=100),"Completed — on track",IF(L76="Remaining",IF(S76="",IF(V76="","No planned date",IF(TODAY()&gt;V76,"Behind — past planned date",IF(V76-TODAY()&lt;=30,"At risk — close to off track","On track"))),IF(TODAY()&gt;S76,"Behind — award date passed",IF(S76-TODAY()&lt;=30,"At risk — close to off track","On track"))),IF(V76="","No planned date",IF(AND(TODAY()&gt;V76,OR(X76="",X76&lt;100)),"Behind — past end date",IF(AND(R76&lt;&gt;"",V76&lt;&gt;"",X76&lt;&gt;"",(X76&lt;100),((TODAY()-R76)/MAX(V76-R76,1)*100)-X76&gt;15),"Behind — progress lag",IF(AND(V76-TODAY()&lt;=30,V76-TODAY()&gt;=0,OR(X76="",X76&lt;90)),"At risk — close to off track","On track"))))))))</t>
        </is>
      </c>
      <c r="AF76" s="38" t="inlineStr">
        <is>
          <t>IF(OR(E76="",AA76="Completed / Handover",AA76="Cancelled"),"",IF(L76="Remaining",IF(S76&lt;&gt;"",S76-TODAY(),IF(V76="","",V76-TODAY())),IF(V76="","",V76-TODAY())))</t>
        </is>
      </c>
      <c r="AG76" s="39" t="n"/>
      <c r="AH76" s="39" t="n"/>
      <c r="AI76" s="39" t="n"/>
      <c r="AJ76" s="39" t="n"/>
      <c r="AK76" s="39" t="n"/>
      <c r="AL76" s="39" t="n"/>
      <c r="AM76" s="39" t="n"/>
      <c r="AN76" s="39" t="n"/>
      <c r="AO76" s="39" t="n">
        <v>46172</v>
      </c>
      <c r="AP76" s="39" t="n">
        <v>46172</v>
      </c>
      <c r="AQ76" s="39" t="n"/>
      <c r="AR76" s="40" t="n"/>
      <c r="AS76" s="40" t="n"/>
      <c r="AT76" s="40" t="n"/>
      <c r="AU76" s="38" t="inlineStr">
        <is>
          <t>IF(OR(E76="",AH76=""),"",IF(COUNT(AG76:AG76)=0,"",AH76-LOOKUP(2,1/(AG76:AG76&lt;&gt;""),AG76:AG76)))</t>
        </is>
      </c>
      <c r="AV76" s="38" t="inlineStr">
        <is>
          <t>IF(OR(E76="",AI76=""),"",IF(COUNT(AG76:AH76)=0,"",AI76-LOOKUP(2,1/(AG76:AH76&lt;&gt;""),AG76:AH76)))</t>
        </is>
      </c>
      <c r="AW76" s="38" t="inlineStr">
        <is>
          <t>IF(OR(E76="",AJ76=""),"",IF(COUNT(AG76:AI76)=0,"",AJ76-LOOKUP(2,1/(AG76:AI76&lt;&gt;""),AG76:AI76)))</t>
        </is>
      </c>
      <c r="AX76" s="38" t="inlineStr">
        <is>
          <t>IF(OR(E76="",AK76=""),"",IF(COUNT(AG76:AJ76)=0,"",AK76-LOOKUP(2,1/(AG76:AJ76&lt;&gt;""),AG76:AJ76)))</t>
        </is>
      </c>
      <c r="AY76" s="38" t="inlineStr">
        <is>
          <t>IF(OR(E76="",AL76=""),"",IF(COUNT(AG76:AK76)=0,"",AL76-LOOKUP(2,1/(AG76:AK76&lt;&gt;""),AG76:AK76)))</t>
        </is>
      </c>
      <c r="AZ76" s="38" t="inlineStr">
        <is>
          <t>IF(OR(E76="",AM76=""),"",IF(COUNT(AG76:AL76)=0,"",AM76-LOOKUP(2,1/(AG76:AL76&lt;&gt;""),AG76:AL76)))</t>
        </is>
      </c>
      <c r="BA76" s="38" t="inlineStr">
        <is>
          <t>IF(OR(E76="",AN76=""),"",IF(COUNT(AG76:AM76)=0,"",AN76-LOOKUP(2,1/(AG76:AM76&lt;&gt;""),AG76:AM76)))</t>
        </is>
      </c>
      <c r="BB76" s="38" t="inlineStr">
        <is>
          <t>IF(OR(E76="",AO76=""),"",IF(COUNT(AG76:AN76)=0,"",AO76-LOOKUP(2,1/(AG76:AN76&lt;&gt;""),AG76:AN76)))</t>
        </is>
      </c>
      <c r="BC76" s="38" t="inlineStr">
        <is>
          <t>IF(OR(E76="",AP76=""),"",IF(COUNT(AG76:AO76)=0,"",AP76-LOOKUP(2,1/(AG76:AO76&lt;&gt;""),AG76:AO76)))</t>
        </is>
      </c>
      <c r="BD76" s="38" t="inlineStr">
        <is>
          <t>IF(OR(E76="",AQ76=""),"",IF(COUNT(AG76:AP76)=0,"",AQ76-LOOKUP(2,1/(AG76:AP76&lt;&gt;""),AG76:AP76)))</t>
        </is>
      </c>
      <c r="BE76" s="38" t="inlineStr">
        <is>
          <t>IF(OR(E76="",AR76=""),"",IF(COUNT(AG76:AQ76)=0,"",AR76-LOOKUP(2,1/(AG76:AQ76&lt;&gt;""),AG76:AQ76)))</t>
        </is>
      </c>
      <c r="BF76" s="38" t="inlineStr">
        <is>
          <t>IF(OR(E76="",AS76=""),"",IF(COUNT(AG76:AR76)=0,"",AS76-LOOKUP(2,1/(AG76:AR76&lt;&gt;""),AG76:AR76)))</t>
        </is>
      </c>
      <c r="BG76" s="38" t="inlineStr">
        <is>
          <t>IF(OR(E76="",AT76=""),"",IF(COUNT(AG76:AS76)=0,"",AT76-LOOKUP(2,1/(AG76:AS76&lt;&gt;""),AG76:AS76)))</t>
        </is>
      </c>
      <c r="BH76" s="41" t="inlineStr">
        <is>
          <t>IF(G76="","All_Provinces",IFERROR(VLOOKUP(G76,'07_Lookups'!$A$4:$B$20,2,FALSE),"All_Provinces"))</t>
        </is>
      </c>
      <c r="BI76" s="41" t="inlineStr">
        <is>
          <t>IF(H76="","All_Districts",IFERROR(VLOOKUP(H76,'07_Lookups'!$E$4:$F$42,2,FALSE),"All_Districts"))</t>
        </is>
      </c>
    </row>
    <row r="77" ht="18" customHeight="1">
      <c r="A77" s="32" t="inlineStr">
        <is>
          <t>IF(E77="","",ROW()-3)</t>
        </is>
      </c>
      <c r="B77" s="42" t="inlineStr">
        <is>
          <t>AF2-WSM-A-008</t>
        </is>
      </c>
      <c r="C77" s="42" t="inlineStr">
        <is>
          <t>Emergency Food Security Project (EFSP) – WBK/AF-2</t>
        </is>
      </c>
      <c r="D77" s="42" t="inlineStr">
        <is>
          <t>Package #5-AF2 WSM/Part-2: Construction of 4 Check dams of 1.Farman Khil and 2.Kharoti in Qarghaee district of Laghman province; 3. Lokhy Solozi and 4. Lala Kali in Chaparhar districts of Nangarhar province.</t>
        </is>
      </c>
      <c r="E77" s="42" t="inlineStr">
        <is>
          <t>2. Kharoti Check dam</t>
        </is>
      </c>
      <c r="F77" s="42" t="inlineStr">
        <is>
          <t>Check Dam</t>
        </is>
      </c>
      <c r="G77" s="42" t="inlineStr">
        <is>
          <t>East / Jalalabad</t>
        </is>
      </c>
      <c r="H77" s="42" t="inlineStr">
        <is>
          <t>Laghman</t>
        </is>
      </c>
      <c r="I77" s="42" t="inlineStr">
        <is>
          <t>Qarghaee</t>
        </is>
      </c>
      <c r="J77" s="42" t="inlineStr">
        <is>
          <t>Kharoti</t>
        </is>
      </c>
      <c r="K77" s="42" t="inlineStr">
        <is>
          <t>World Bank (WBK/AF-2)</t>
        </is>
      </c>
      <c r="L77" s="42" t="inlineStr">
        <is>
          <t>Awarded</t>
        </is>
      </c>
      <c r="M77" s="42" t="inlineStr">
        <is>
          <t>Watershed / Check dam</t>
        </is>
      </c>
      <c r="N77" s="42" t="inlineStr">
        <is>
          <t>3.WSM awarded contracts</t>
        </is>
      </c>
      <c r="O77" s="42" t="inlineStr">
        <is>
          <t>Khaliqi Building &amp; Road Construction Company (KBRCC)</t>
        </is>
      </c>
      <c r="P77" s="42" t="inlineStr">
        <is>
          <t>040/2026</t>
        </is>
      </c>
      <c r="Q77" s="43" t="n">
        <v>24682.65</v>
      </c>
      <c r="R77" s="35" t="inlineStr">
        <is>
          <t>IF(AO77="","",AO77)</t>
        </is>
      </c>
      <c r="S77" s="44" t="n"/>
      <c r="T77" s="45" t="n">
        <v>5</v>
      </c>
      <c r="U77" s="44" t="n">
        <v>46324</v>
      </c>
      <c r="V77" s="35" t="inlineStr">
        <is>
          <t>IF(U77&lt;&gt;"",U77,IF(OR(R77="",T77=""),"",EDATE(R77,T77)))</t>
        </is>
      </c>
      <c r="W77" s="44" t="n"/>
      <c r="X77" s="45" t="n">
        <v>68</v>
      </c>
      <c r="Y77" s="42" t="inlineStr">
        <is>
          <t>Under Construction</t>
        </is>
      </c>
      <c r="Z77" s="42" t="inlineStr">
        <is>
          <t>A check dam, a pond and a social structure. Contract extension needs to be sought.</t>
        </is>
      </c>
      <c r="AA77" s="32" t="inlineStr">
        <is>
          <t>IF(E77="","",IF(COUNT(AG77:AT77)=0,IF(Y77="","Not started",Y77),SUBSTITUTE(LOOKUP(2,1/(AG77:AT77&lt;&gt;""),$AG$3:$AT$3),"Date: ","")))</t>
        </is>
      </c>
      <c r="AB77" s="38" t="inlineStr">
        <is>
          <t>IF(OR(E77="",COUNT(AG77:AT77)=0),"",TODAY()-LOOKUP(2,1/(AG77:AT77&lt;&gt;""),AG77:AT77))</t>
        </is>
      </c>
      <c r="AC77" s="38" t="inlineStr">
        <is>
          <t>IF(OR(E77="",COUNT(AG77:AT77)&lt;2),"",LOOKUP(2,1/(AG77:AT77&lt;&gt;""),AG77:AT77)-MIN(AG77:AT77))</t>
        </is>
      </c>
      <c r="AD77" s="38" t="inlineStr">
        <is>
          <t>IF(OR(AB77="",AA77="Not started",AA77=""),"",IFERROR(AB77-IF(VLOOKUP(AA77,'04_Status_Pipeline'!$B$3:$E$20,4,FALSE)="",0,VLOOKUP(AA77,'04_Status_Pipeline'!$B$3:$E$20,4,FALSE)),""))</t>
        </is>
      </c>
      <c r="AE77" s="32" t="inlineStr">
        <is>
          <t>IF(E77="","",IF(OR(Y77="Cancelled",AA77="Cancelled"),"Cancelled",IF(OR(AA77="Completed / Handover",W77&lt;&gt;"",X77&gt;=100),"Completed — on track",IF(L77="Remaining",IF(S77="",IF(V77="","No planned date",IF(TODAY()&gt;V77,"Behind — past planned date",IF(V77-TODAY()&lt;=30,"At risk — close to off track","On track"))),IF(TODAY()&gt;S77,"Behind — award date passed",IF(S77-TODAY()&lt;=30,"At risk — close to off track","On track"))),IF(V77="","No planned date",IF(AND(TODAY()&gt;V77,OR(X77="",X77&lt;100)),"Behind — past end date",IF(AND(R77&lt;&gt;"",V77&lt;&gt;"",X77&lt;&gt;"",(X77&lt;100),((TODAY()-R77)/MAX(V77-R77,1)*100)-X77&gt;15),"Behind — progress lag",IF(AND(V77-TODAY()&lt;=30,V77-TODAY()&gt;=0,OR(X77="",X77&lt;90)),"At risk — close to off track","On track"))))))))</t>
        </is>
      </c>
      <c r="AF77" s="38" t="inlineStr">
        <is>
          <t>IF(OR(E77="",AA77="Completed / Handover",AA77="Cancelled"),"",IF(L77="Remaining",IF(S77&lt;&gt;"",S77-TODAY(),IF(V77="","",V77-TODAY())),IF(V77="","",V77-TODAY())))</t>
        </is>
      </c>
      <c r="AG77" s="39" t="n"/>
      <c r="AH77" s="39" t="n"/>
      <c r="AI77" s="39" t="n"/>
      <c r="AJ77" s="39" t="n"/>
      <c r="AK77" s="39" t="n"/>
      <c r="AL77" s="39" t="n"/>
      <c r="AM77" s="39" t="n"/>
      <c r="AN77" s="39" t="n"/>
      <c r="AO77" s="39" t="n">
        <v>46172</v>
      </c>
      <c r="AP77" s="39" t="n">
        <v>46172</v>
      </c>
      <c r="AQ77" s="39" t="n"/>
      <c r="AR77" s="40" t="n"/>
      <c r="AS77" s="40" t="n"/>
      <c r="AT77" s="40" t="n"/>
      <c r="AU77" s="38" t="inlineStr">
        <is>
          <t>IF(OR(E77="",AH77=""),"",IF(COUNT(AG77:AG77)=0,"",AH77-LOOKUP(2,1/(AG77:AG77&lt;&gt;""),AG77:AG77)))</t>
        </is>
      </c>
      <c r="AV77" s="38" t="inlineStr">
        <is>
          <t>IF(OR(E77="",AI77=""),"",IF(COUNT(AG77:AH77)=0,"",AI77-LOOKUP(2,1/(AG77:AH77&lt;&gt;""),AG77:AH77)))</t>
        </is>
      </c>
      <c r="AW77" s="38" t="inlineStr">
        <is>
          <t>IF(OR(E77="",AJ77=""),"",IF(COUNT(AG77:AI77)=0,"",AJ77-LOOKUP(2,1/(AG77:AI77&lt;&gt;""),AG77:AI77)))</t>
        </is>
      </c>
      <c r="AX77" s="38" t="inlineStr">
        <is>
          <t>IF(OR(E77="",AK77=""),"",IF(COUNT(AG77:AJ77)=0,"",AK77-LOOKUP(2,1/(AG77:AJ77&lt;&gt;""),AG77:AJ77)))</t>
        </is>
      </c>
      <c r="AY77" s="38" t="inlineStr">
        <is>
          <t>IF(OR(E77="",AL77=""),"",IF(COUNT(AG77:AK77)=0,"",AL77-LOOKUP(2,1/(AG77:AK77&lt;&gt;""),AG77:AK77)))</t>
        </is>
      </c>
      <c r="AZ77" s="38" t="inlineStr">
        <is>
          <t>IF(OR(E77="",AM77=""),"",IF(COUNT(AG77:AL77)=0,"",AM77-LOOKUP(2,1/(AG77:AL77&lt;&gt;""),AG77:AL77)))</t>
        </is>
      </c>
      <c r="BA77" s="38" t="inlineStr">
        <is>
          <t>IF(OR(E77="",AN77=""),"",IF(COUNT(AG77:AM77)=0,"",AN77-LOOKUP(2,1/(AG77:AM77&lt;&gt;""),AG77:AM77)))</t>
        </is>
      </c>
      <c r="BB77" s="38" t="inlineStr">
        <is>
          <t>IF(OR(E77="",AO77=""),"",IF(COUNT(AG77:AN77)=0,"",AO77-LOOKUP(2,1/(AG77:AN77&lt;&gt;""),AG77:AN77)))</t>
        </is>
      </c>
      <c r="BC77" s="38" t="inlineStr">
        <is>
          <t>IF(OR(E77="",AP77=""),"",IF(COUNT(AG77:AO77)=0,"",AP77-LOOKUP(2,1/(AG77:AO77&lt;&gt;""),AG77:AO77)))</t>
        </is>
      </c>
      <c r="BD77" s="38" t="inlineStr">
        <is>
          <t>IF(OR(E77="",AQ77=""),"",IF(COUNT(AG77:AP77)=0,"",AQ77-LOOKUP(2,1/(AG77:AP77&lt;&gt;""),AG77:AP77)))</t>
        </is>
      </c>
      <c r="BE77" s="38" t="inlineStr">
        <is>
          <t>IF(OR(E77="",AR77=""),"",IF(COUNT(AG77:AQ77)=0,"",AR77-LOOKUP(2,1/(AG77:AQ77&lt;&gt;""),AG77:AQ77)))</t>
        </is>
      </c>
      <c r="BF77" s="38" t="inlineStr">
        <is>
          <t>IF(OR(E77="",AS77=""),"",IF(COUNT(AG77:AR77)=0,"",AS77-LOOKUP(2,1/(AG77:AR77&lt;&gt;""),AG77:AR77)))</t>
        </is>
      </c>
      <c r="BG77" s="38" t="inlineStr">
        <is>
          <t>IF(OR(E77="",AT77=""),"",IF(COUNT(AG77:AS77)=0,"",AT77-LOOKUP(2,1/(AG77:AS77&lt;&gt;""),AG77:AS77)))</t>
        </is>
      </c>
      <c r="BH77" s="41" t="inlineStr">
        <is>
          <t>IF(G77="","All_Provinces",IFERROR(VLOOKUP(G77,'07_Lookups'!$A$4:$B$20,2,FALSE),"All_Provinces"))</t>
        </is>
      </c>
      <c r="BI77" s="41" t="inlineStr">
        <is>
          <t>IF(H77="","All_Districts",IFERROR(VLOOKUP(H77,'07_Lookups'!$E$4:$F$42,2,FALSE),"All_Districts"))</t>
        </is>
      </c>
    </row>
    <row r="78" ht="18" customHeight="1">
      <c r="A78" s="32" t="inlineStr">
        <is>
          <t>IF(E78="","",ROW()-3)</t>
        </is>
      </c>
      <c r="B78" s="33" t="inlineStr">
        <is>
          <t>AF2-WSM-A-009</t>
        </is>
      </c>
      <c r="C78" s="33" t="inlineStr">
        <is>
          <t>Emergency Food Security Project (EFSP) – WBK/AF-2</t>
        </is>
      </c>
      <c r="D78" s="33" t="inlineStr">
        <is>
          <t>Package #5-AF2 WSM/Part-2: Construction of 4 Check dams of 1.Farman Khil and 2.Kharoti in Qarghaee district of Laghman province; 3. Lokhy Solozi and 4. Lala Kali in Chaparhar districts of Nangarhar province.</t>
        </is>
      </c>
      <c r="E78" s="33" t="inlineStr">
        <is>
          <t>3. Lokhy Solozi Check dam</t>
        </is>
      </c>
      <c r="F78" s="33" t="inlineStr">
        <is>
          <t>Check Dam</t>
        </is>
      </c>
      <c r="G78" s="33" t="inlineStr">
        <is>
          <t>East / Jalalabad</t>
        </is>
      </c>
      <c r="H78" s="33" t="inlineStr">
        <is>
          <t>Nangarhar</t>
        </is>
      </c>
      <c r="I78" s="33" t="inlineStr">
        <is>
          <t>Chaparhar</t>
        </is>
      </c>
      <c r="J78" s="33" t="inlineStr">
        <is>
          <t>Lokhy Solozi</t>
        </is>
      </c>
      <c r="K78" s="33" t="inlineStr">
        <is>
          <t>World Bank (WBK/AF-2)</t>
        </is>
      </c>
      <c r="L78" s="33" t="inlineStr">
        <is>
          <t>Awarded</t>
        </is>
      </c>
      <c r="M78" s="33" t="inlineStr">
        <is>
          <t>Watershed / Check dam</t>
        </is>
      </c>
      <c r="N78" s="33" t="inlineStr">
        <is>
          <t>3.WSM awarded contracts</t>
        </is>
      </c>
      <c r="O78" s="33" t="inlineStr">
        <is>
          <t>Khaliqi Building &amp; Road Construction Company (KBRCC)</t>
        </is>
      </c>
      <c r="P78" s="33" t="inlineStr">
        <is>
          <t>040/2026</t>
        </is>
      </c>
      <c r="Q78" s="34" t="n">
        <v>38189.61</v>
      </c>
      <c r="R78" s="35" t="inlineStr">
        <is>
          <t>IF(AO78="","",AO78)</t>
        </is>
      </c>
      <c r="S78" s="36" t="n"/>
      <c r="T78" s="37" t="n">
        <v>5</v>
      </c>
      <c r="U78" s="36" t="n">
        <v>46324</v>
      </c>
      <c r="V78" s="35" t="inlineStr">
        <is>
          <t>IF(U78&lt;&gt;"",U78,IF(OR(R78="",T78=""),"",EDATE(R78,T78)))</t>
        </is>
      </c>
      <c r="W78" s="36" t="n"/>
      <c r="X78" s="37" t="n">
        <v>60</v>
      </c>
      <c r="Y78" s="33" t="inlineStr">
        <is>
          <t>Under Construction</t>
        </is>
      </c>
      <c r="Z78" s="33" t="inlineStr">
        <is>
          <t>A check dam, a pond and a social structure. Contract extension needs to be sought.</t>
        </is>
      </c>
      <c r="AA78" s="32" t="inlineStr">
        <is>
          <t>IF(E78="","",IF(COUNT(AG78:AT78)=0,IF(Y78="","Not started",Y78),SUBSTITUTE(LOOKUP(2,1/(AG78:AT78&lt;&gt;""),$AG$3:$AT$3),"Date: ","")))</t>
        </is>
      </c>
      <c r="AB78" s="38" t="inlineStr">
        <is>
          <t>IF(OR(E78="",COUNT(AG78:AT78)=0),"",TODAY()-LOOKUP(2,1/(AG78:AT78&lt;&gt;""),AG78:AT78))</t>
        </is>
      </c>
      <c r="AC78" s="38" t="inlineStr">
        <is>
          <t>IF(OR(E78="",COUNT(AG78:AT78)&lt;2),"",LOOKUP(2,1/(AG78:AT78&lt;&gt;""),AG78:AT78)-MIN(AG78:AT78))</t>
        </is>
      </c>
      <c r="AD78" s="38" t="inlineStr">
        <is>
          <t>IF(OR(AB78="",AA78="Not started",AA78=""),"",IFERROR(AB78-IF(VLOOKUP(AA78,'04_Status_Pipeline'!$B$3:$E$20,4,FALSE)="",0,VLOOKUP(AA78,'04_Status_Pipeline'!$B$3:$E$20,4,FALSE)),""))</t>
        </is>
      </c>
      <c r="AE78" s="32" t="inlineStr">
        <is>
          <t>IF(E78="","",IF(OR(Y78="Cancelled",AA78="Cancelled"),"Cancelled",IF(OR(AA78="Completed / Handover",W78&lt;&gt;"",X78&gt;=100),"Completed — on track",IF(L78="Remaining",IF(S78="",IF(V78="","No planned date",IF(TODAY()&gt;V78,"Behind — past planned date",IF(V78-TODAY()&lt;=30,"At risk — close to off track","On track"))),IF(TODAY()&gt;S78,"Behind — award date passed",IF(S78-TODAY()&lt;=30,"At risk — close to off track","On track"))),IF(V78="","No planned date",IF(AND(TODAY()&gt;V78,OR(X78="",X78&lt;100)),"Behind — past end date",IF(AND(R78&lt;&gt;"",V78&lt;&gt;"",X78&lt;&gt;"",(X78&lt;100),((TODAY()-R78)/MAX(V78-R78,1)*100)-X78&gt;15),"Behind — progress lag",IF(AND(V78-TODAY()&lt;=30,V78-TODAY()&gt;=0,OR(X78="",X78&lt;90)),"At risk — close to off track","On track"))))))))</t>
        </is>
      </c>
      <c r="AF78" s="38" t="inlineStr">
        <is>
          <t>IF(OR(E78="",AA78="Completed / Handover",AA78="Cancelled"),"",IF(L78="Remaining",IF(S78&lt;&gt;"",S78-TODAY(),IF(V78="","",V78-TODAY())),IF(V78="","",V78-TODAY())))</t>
        </is>
      </c>
      <c r="AG78" s="39" t="n"/>
      <c r="AH78" s="39" t="n"/>
      <c r="AI78" s="39" t="n"/>
      <c r="AJ78" s="39" t="n"/>
      <c r="AK78" s="39" t="n"/>
      <c r="AL78" s="39" t="n"/>
      <c r="AM78" s="39" t="n"/>
      <c r="AN78" s="39" t="n"/>
      <c r="AO78" s="39" t="n">
        <v>46172</v>
      </c>
      <c r="AP78" s="39" t="n">
        <v>46172</v>
      </c>
      <c r="AQ78" s="39" t="n"/>
      <c r="AR78" s="40" t="n"/>
      <c r="AS78" s="40" t="n"/>
      <c r="AT78" s="40" t="n"/>
      <c r="AU78" s="38" t="inlineStr">
        <is>
          <t>IF(OR(E78="",AH78=""),"",IF(COUNT(AG78:AG78)=0,"",AH78-LOOKUP(2,1/(AG78:AG78&lt;&gt;""),AG78:AG78)))</t>
        </is>
      </c>
      <c r="AV78" s="38" t="inlineStr">
        <is>
          <t>IF(OR(E78="",AI78=""),"",IF(COUNT(AG78:AH78)=0,"",AI78-LOOKUP(2,1/(AG78:AH78&lt;&gt;""),AG78:AH78)))</t>
        </is>
      </c>
      <c r="AW78" s="38" t="inlineStr">
        <is>
          <t>IF(OR(E78="",AJ78=""),"",IF(COUNT(AG78:AI78)=0,"",AJ78-LOOKUP(2,1/(AG78:AI78&lt;&gt;""),AG78:AI78)))</t>
        </is>
      </c>
      <c r="AX78" s="38" t="inlineStr">
        <is>
          <t>IF(OR(E78="",AK78=""),"",IF(COUNT(AG78:AJ78)=0,"",AK78-LOOKUP(2,1/(AG78:AJ78&lt;&gt;""),AG78:AJ78)))</t>
        </is>
      </c>
      <c r="AY78" s="38" t="inlineStr">
        <is>
          <t>IF(OR(E78="",AL78=""),"",IF(COUNT(AG78:AK78)=0,"",AL78-LOOKUP(2,1/(AG78:AK78&lt;&gt;""),AG78:AK78)))</t>
        </is>
      </c>
      <c r="AZ78" s="38" t="inlineStr">
        <is>
          <t>IF(OR(E78="",AM78=""),"",IF(COUNT(AG78:AL78)=0,"",AM78-LOOKUP(2,1/(AG78:AL78&lt;&gt;""),AG78:AL78)))</t>
        </is>
      </c>
      <c r="BA78" s="38" t="inlineStr">
        <is>
          <t>IF(OR(E78="",AN78=""),"",IF(COUNT(AG78:AM78)=0,"",AN78-LOOKUP(2,1/(AG78:AM78&lt;&gt;""),AG78:AM78)))</t>
        </is>
      </c>
      <c r="BB78" s="38" t="inlineStr">
        <is>
          <t>IF(OR(E78="",AO78=""),"",IF(COUNT(AG78:AN78)=0,"",AO78-LOOKUP(2,1/(AG78:AN78&lt;&gt;""),AG78:AN78)))</t>
        </is>
      </c>
      <c r="BC78" s="38" t="inlineStr">
        <is>
          <t>IF(OR(E78="",AP78=""),"",IF(COUNT(AG78:AO78)=0,"",AP78-LOOKUP(2,1/(AG78:AO78&lt;&gt;""),AG78:AO78)))</t>
        </is>
      </c>
      <c r="BD78" s="38" t="inlineStr">
        <is>
          <t>IF(OR(E78="",AQ78=""),"",IF(COUNT(AG78:AP78)=0,"",AQ78-LOOKUP(2,1/(AG78:AP78&lt;&gt;""),AG78:AP78)))</t>
        </is>
      </c>
      <c r="BE78" s="38" t="inlineStr">
        <is>
          <t>IF(OR(E78="",AR78=""),"",IF(COUNT(AG78:AQ78)=0,"",AR78-LOOKUP(2,1/(AG78:AQ78&lt;&gt;""),AG78:AQ78)))</t>
        </is>
      </c>
      <c r="BF78" s="38" t="inlineStr">
        <is>
          <t>IF(OR(E78="",AS78=""),"",IF(COUNT(AG78:AR78)=0,"",AS78-LOOKUP(2,1/(AG78:AR78&lt;&gt;""),AG78:AR78)))</t>
        </is>
      </c>
      <c r="BG78" s="38" t="inlineStr">
        <is>
          <t>IF(OR(E78="",AT78=""),"",IF(COUNT(AG78:AS78)=0,"",AT78-LOOKUP(2,1/(AG78:AS78&lt;&gt;""),AG78:AS78)))</t>
        </is>
      </c>
      <c r="BH78" s="41" t="inlineStr">
        <is>
          <t>IF(G78="","All_Provinces",IFERROR(VLOOKUP(G78,'07_Lookups'!$A$4:$B$20,2,FALSE),"All_Provinces"))</t>
        </is>
      </c>
      <c r="BI78" s="41" t="inlineStr">
        <is>
          <t>IF(H78="","All_Districts",IFERROR(VLOOKUP(H78,'07_Lookups'!$E$4:$F$42,2,FALSE),"All_Districts"))</t>
        </is>
      </c>
    </row>
    <row r="79" ht="18" customHeight="1">
      <c r="A79" s="32" t="inlineStr">
        <is>
          <t>IF(E79="","",ROW()-3)</t>
        </is>
      </c>
      <c r="B79" s="42" t="inlineStr">
        <is>
          <t>AF2-WSM-A-010</t>
        </is>
      </c>
      <c r="C79" s="42" t="inlineStr">
        <is>
          <t>Emergency Food Security Project (EFSP) – WBK/AF-2</t>
        </is>
      </c>
      <c r="D79" s="42" t="inlineStr">
        <is>
          <t>Package #5-AF2 WSM/Part-2: Construction of 4 Check dams of 1.Farman Khil and 2.Kharoti in Qarghaee district of Laghman province; 3. Lokhy Solozi and 4. Lala Kali in Chaparhar districts of Nangarhar province.</t>
        </is>
      </c>
      <c r="E79" s="42" t="inlineStr">
        <is>
          <t>4. Lala Kali/Ranju Ghar Check dam</t>
        </is>
      </c>
      <c r="F79" s="42" t="inlineStr">
        <is>
          <t>Check Dam</t>
        </is>
      </c>
      <c r="G79" s="42" t="inlineStr">
        <is>
          <t>East / Jalalabad</t>
        </is>
      </c>
      <c r="H79" s="42" t="inlineStr">
        <is>
          <t>Nangarhar</t>
        </is>
      </c>
      <c r="I79" s="42" t="inlineStr">
        <is>
          <t>Chaparhar</t>
        </is>
      </c>
      <c r="J79" s="42" t="inlineStr">
        <is>
          <t>Lala Kali/Ranjo ghar</t>
        </is>
      </c>
      <c r="K79" s="42" t="inlineStr">
        <is>
          <t>World Bank (WBK/AF-2)</t>
        </is>
      </c>
      <c r="L79" s="42" t="inlineStr">
        <is>
          <t>Awarded</t>
        </is>
      </c>
      <c r="M79" s="42" t="inlineStr">
        <is>
          <t>Watershed / Check dam</t>
        </is>
      </c>
      <c r="N79" s="42" t="inlineStr">
        <is>
          <t>3.WSM awarded contracts</t>
        </is>
      </c>
      <c r="O79" s="42" t="inlineStr">
        <is>
          <t>Khaliqi Building &amp; Road Construction Company (KBRCC)</t>
        </is>
      </c>
      <c r="P79" s="42" t="inlineStr">
        <is>
          <t>040/2026</t>
        </is>
      </c>
      <c r="Q79" s="43" t="n">
        <v>17344.51</v>
      </c>
      <c r="R79" s="35" t="inlineStr">
        <is>
          <t>IF(AO79="","",AO79)</t>
        </is>
      </c>
      <c r="S79" s="44" t="n"/>
      <c r="T79" s="45" t="n">
        <v>5</v>
      </c>
      <c r="U79" s="44" t="n">
        <v>46324</v>
      </c>
      <c r="V79" s="35" t="inlineStr">
        <is>
          <t>IF(U79&lt;&gt;"",U79,IF(OR(R79="",T79=""),"",EDATE(R79,T79)))</t>
        </is>
      </c>
      <c r="W79" s="44" t="n"/>
      <c r="X79" s="45" t="n">
        <v>0</v>
      </c>
      <c r="Y79" s="42" t="inlineStr">
        <is>
          <t>Awarded</t>
        </is>
      </c>
      <c r="Z79" s="42" t="inlineStr">
        <is>
          <t>A check dam, a pond and a social structure. Contract extension needs to be sought.</t>
        </is>
      </c>
      <c r="AA79" s="32" t="inlineStr">
        <is>
          <t>IF(E79="","",IF(COUNT(AG79:AT79)=0,IF(Y79="","Not started",Y79),SUBSTITUTE(LOOKUP(2,1/(AG79:AT79&lt;&gt;""),$AG$3:$AT$3),"Date: ","")))</t>
        </is>
      </c>
      <c r="AB79" s="38" t="inlineStr">
        <is>
          <t>IF(OR(E79="",COUNT(AG79:AT79)=0),"",TODAY()-LOOKUP(2,1/(AG79:AT79&lt;&gt;""),AG79:AT79))</t>
        </is>
      </c>
      <c r="AC79" s="38" t="inlineStr">
        <is>
          <t>IF(OR(E79="",COUNT(AG79:AT79)&lt;2),"",LOOKUP(2,1/(AG79:AT79&lt;&gt;""),AG79:AT79)-MIN(AG79:AT79))</t>
        </is>
      </c>
      <c r="AD79" s="38" t="inlineStr">
        <is>
          <t>IF(OR(AB79="",AA79="Not started",AA79=""),"",IFERROR(AB79-IF(VLOOKUP(AA79,'04_Status_Pipeline'!$B$3:$E$20,4,FALSE)="",0,VLOOKUP(AA79,'04_Status_Pipeline'!$B$3:$E$20,4,FALSE)),""))</t>
        </is>
      </c>
      <c r="AE79" s="32" t="inlineStr">
        <is>
          <t>IF(E79="","",IF(OR(Y79="Cancelled",AA79="Cancelled"),"Cancelled",IF(OR(AA79="Completed / Handover",W79&lt;&gt;"",X79&gt;=100),"Completed — on track",IF(L79="Remaining",IF(S79="",IF(V79="","No planned date",IF(TODAY()&gt;V79,"Behind — past planned date",IF(V79-TODAY()&lt;=30,"At risk — close to off track","On track"))),IF(TODAY()&gt;S79,"Behind — award date passed",IF(S79-TODAY()&lt;=30,"At risk — close to off track","On track"))),IF(V79="","No planned date",IF(AND(TODAY()&gt;V79,OR(X79="",X79&lt;100)),"Behind — past end date",IF(AND(R79&lt;&gt;"",V79&lt;&gt;"",X79&lt;&gt;"",(X79&lt;100),((TODAY()-R79)/MAX(V79-R79,1)*100)-X79&gt;15),"Behind — progress lag",IF(AND(V79-TODAY()&lt;=30,V79-TODAY()&gt;=0,OR(X79="",X79&lt;90)),"At risk — close to off track","On track"))))))))</t>
        </is>
      </c>
      <c r="AF79" s="38" t="inlineStr">
        <is>
          <t>IF(OR(E79="",AA79="Completed / Handover",AA79="Cancelled"),"",IF(L79="Remaining",IF(S79&lt;&gt;"",S79-TODAY(),IF(V79="","",V79-TODAY())),IF(V79="","",V79-TODAY())))</t>
        </is>
      </c>
      <c r="AG79" s="39" t="n"/>
      <c r="AH79" s="39" t="n"/>
      <c r="AI79" s="39" t="n"/>
      <c r="AJ79" s="39" t="n"/>
      <c r="AK79" s="39" t="n"/>
      <c r="AL79" s="39" t="n"/>
      <c r="AM79" s="39" t="n"/>
      <c r="AN79" s="39" t="n"/>
      <c r="AO79" s="39" t="n">
        <v>46172</v>
      </c>
      <c r="AP79" s="39" t="n"/>
      <c r="AQ79" s="39" t="n"/>
      <c r="AR79" s="40" t="n"/>
      <c r="AS79" s="40" t="n"/>
      <c r="AT79" s="40" t="n"/>
      <c r="AU79" s="38" t="inlineStr">
        <is>
          <t>IF(OR(E79="",AH79=""),"",IF(COUNT(AG79:AG79)=0,"",AH79-LOOKUP(2,1/(AG79:AG79&lt;&gt;""),AG79:AG79)))</t>
        </is>
      </c>
      <c r="AV79" s="38" t="inlineStr">
        <is>
          <t>IF(OR(E79="",AI79=""),"",IF(COUNT(AG79:AH79)=0,"",AI79-LOOKUP(2,1/(AG79:AH79&lt;&gt;""),AG79:AH79)))</t>
        </is>
      </c>
      <c r="AW79" s="38" t="inlineStr">
        <is>
          <t>IF(OR(E79="",AJ79=""),"",IF(COUNT(AG79:AI79)=0,"",AJ79-LOOKUP(2,1/(AG79:AI79&lt;&gt;""),AG79:AI79)))</t>
        </is>
      </c>
      <c r="AX79" s="38" t="inlineStr">
        <is>
          <t>IF(OR(E79="",AK79=""),"",IF(COUNT(AG79:AJ79)=0,"",AK79-LOOKUP(2,1/(AG79:AJ79&lt;&gt;""),AG79:AJ79)))</t>
        </is>
      </c>
      <c r="AY79" s="38" t="inlineStr">
        <is>
          <t>IF(OR(E79="",AL79=""),"",IF(COUNT(AG79:AK79)=0,"",AL79-LOOKUP(2,1/(AG79:AK79&lt;&gt;""),AG79:AK79)))</t>
        </is>
      </c>
      <c r="AZ79" s="38" t="inlineStr">
        <is>
          <t>IF(OR(E79="",AM79=""),"",IF(COUNT(AG79:AL79)=0,"",AM79-LOOKUP(2,1/(AG79:AL79&lt;&gt;""),AG79:AL79)))</t>
        </is>
      </c>
      <c r="BA79" s="38" t="inlineStr">
        <is>
          <t>IF(OR(E79="",AN79=""),"",IF(COUNT(AG79:AM79)=0,"",AN79-LOOKUP(2,1/(AG79:AM79&lt;&gt;""),AG79:AM79)))</t>
        </is>
      </c>
      <c r="BB79" s="38" t="inlineStr">
        <is>
          <t>IF(OR(E79="",AO79=""),"",IF(COUNT(AG79:AN79)=0,"",AO79-LOOKUP(2,1/(AG79:AN79&lt;&gt;""),AG79:AN79)))</t>
        </is>
      </c>
      <c r="BC79" s="38" t="inlineStr">
        <is>
          <t>IF(OR(E79="",AP79=""),"",IF(COUNT(AG79:AO79)=0,"",AP79-LOOKUP(2,1/(AG79:AO79&lt;&gt;""),AG79:AO79)))</t>
        </is>
      </c>
      <c r="BD79" s="38" t="inlineStr">
        <is>
          <t>IF(OR(E79="",AQ79=""),"",IF(COUNT(AG79:AP79)=0,"",AQ79-LOOKUP(2,1/(AG79:AP79&lt;&gt;""),AG79:AP79)))</t>
        </is>
      </c>
      <c r="BE79" s="38" t="inlineStr">
        <is>
          <t>IF(OR(E79="",AR79=""),"",IF(COUNT(AG79:AQ79)=0,"",AR79-LOOKUP(2,1/(AG79:AQ79&lt;&gt;""),AG79:AQ79)))</t>
        </is>
      </c>
      <c r="BF79" s="38" t="inlineStr">
        <is>
          <t>IF(OR(E79="",AS79=""),"",IF(COUNT(AG79:AR79)=0,"",AS79-LOOKUP(2,1/(AG79:AR79&lt;&gt;""),AG79:AR79)))</t>
        </is>
      </c>
      <c r="BG79" s="38" t="inlineStr">
        <is>
          <t>IF(OR(E79="",AT79=""),"",IF(COUNT(AG79:AS79)=0,"",AT79-LOOKUP(2,1/(AG79:AS79&lt;&gt;""),AG79:AS79)))</t>
        </is>
      </c>
      <c r="BH79" s="41" t="inlineStr">
        <is>
          <t>IF(G79="","All_Provinces",IFERROR(VLOOKUP(G79,'07_Lookups'!$A$4:$B$20,2,FALSE),"All_Provinces"))</t>
        </is>
      </c>
      <c r="BI79" s="41" t="inlineStr">
        <is>
          <t>IF(H79="","All_Districts",IFERROR(VLOOKUP(H79,'07_Lookups'!$E$4:$F$42,2,FALSE),"All_Districts"))</t>
        </is>
      </c>
    </row>
    <row r="80" ht="18" customHeight="1">
      <c r="A80" s="32" t="inlineStr">
        <is>
          <t>IF(E80="","",ROW()-3)</t>
        </is>
      </c>
      <c r="B80" s="33" t="inlineStr">
        <is>
          <t>AF2-WSM-A-011</t>
        </is>
      </c>
      <c r="C80" s="33" t="inlineStr">
        <is>
          <t>Emergency Food Security Project (EFSP) – WBK/AF-2</t>
        </is>
      </c>
      <c r="D80" s="33" t="inlineStr">
        <is>
          <t>Package #6-AF2 WSM: Construction of Jarobi Tangi, Chaghari and Adore check dams, located in Shirzad, Rodat, and Khogyani, districts of Nangarhar province.</t>
        </is>
      </c>
      <c r="E80" s="33" t="inlineStr">
        <is>
          <t>1. Markikhil/Jarobi Tangi Check dam</t>
        </is>
      </c>
      <c r="F80" s="33" t="inlineStr">
        <is>
          <t>Check Dam</t>
        </is>
      </c>
      <c r="G80" s="33" t="inlineStr">
        <is>
          <t>East / Jalalabad</t>
        </is>
      </c>
      <c r="H80" s="33" t="inlineStr">
        <is>
          <t>Nangarhar</t>
        </is>
      </c>
      <c r="I80" s="33" t="inlineStr">
        <is>
          <t>Sherzad</t>
        </is>
      </c>
      <c r="J80" s="33" t="inlineStr">
        <is>
          <t>Jarobi Tangi</t>
        </is>
      </c>
      <c r="K80" s="33" t="inlineStr">
        <is>
          <t>World Bank (WBK/AF-2)</t>
        </is>
      </c>
      <c r="L80" s="33" t="inlineStr">
        <is>
          <t>Awarded</t>
        </is>
      </c>
      <c r="M80" s="33" t="inlineStr">
        <is>
          <t>Watershed / Check dam</t>
        </is>
      </c>
      <c r="N80" s="33" t="inlineStr">
        <is>
          <t>3.WSM awarded contracts</t>
        </is>
      </c>
      <c r="O80" s="33" t="inlineStr">
        <is>
          <t>Naeemi Safi Construction &amp; Construction Material Company (NSCC)</t>
        </is>
      </c>
      <c r="P80" s="33" t="inlineStr">
        <is>
          <t>065/2026</t>
        </is>
      </c>
      <c r="Q80" s="34" t="n">
        <v>51209.99</v>
      </c>
      <c r="R80" s="35" t="inlineStr">
        <is>
          <t>IF(AO80="","",AO80)</t>
        </is>
      </c>
      <c r="S80" s="36" t="n"/>
      <c r="T80" s="37" t="n">
        <v>6.9</v>
      </c>
      <c r="U80" s="36" t="n">
        <v>46225</v>
      </c>
      <c r="V80" s="35" t="inlineStr">
        <is>
          <t>IF(U80&lt;&gt;"",U80,IF(OR(R80="",T80=""),"",EDATE(R80,T80)))</t>
        </is>
      </c>
      <c r="W80" s="36" t="n"/>
      <c r="X80" s="37" t="n">
        <v>100</v>
      </c>
      <c r="Y80" s="33" t="inlineStr">
        <is>
          <t>Completed / Handover</t>
        </is>
      </c>
      <c r="Z80" s="33" t="inlineStr">
        <is>
          <t>Completed on July, 2026</t>
        </is>
      </c>
      <c r="AA80" s="32" t="inlineStr">
        <is>
          <t>IF(E80="","",IF(COUNT(AG80:AT80)=0,IF(Y80="","Not started",Y80),SUBSTITUTE(LOOKUP(2,1/(AG80:AT80&lt;&gt;""),$AG$3:$AT$3),"Date: ","")))</t>
        </is>
      </c>
      <c r="AB80" s="38" t="inlineStr">
        <is>
          <t>IF(OR(E80="",COUNT(AG80:AT80)=0),"",TODAY()-LOOKUP(2,1/(AG80:AT80&lt;&gt;""),AG80:AT80))</t>
        </is>
      </c>
      <c r="AC80" s="38" t="inlineStr">
        <is>
          <t>IF(OR(E80="",COUNT(AG80:AT80)&lt;2),"",LOOKUP(2,1/(AG80:AT80&lt;&gt;""),AG80:AT80)-MIN(AG80:AT80))</t>
        </is>
      </c>
      <c r="AD80" s="38" t="inlineStr">
        <is>
          <t>IF(OR(AB80="",AA80="Not started",AA80=""),"",IFERROR(AB80-IF(VLOOKUP(AA80,'04_Status_Pipeline'!$B$3:$E$20,4,FALSE)="",0,VLOOKUP(AA80,'04_Status_Pipeline'!$B$3:$E$20,4,FALSE)),""))</t>
        </is>
      </c>
      <c r="AE80" s="32" t="inlineStr">
        <is>
          <t>IF(E80="","",IF(OR(Y80="Cancelled",AA80="Cancelled"),"Cancelled",IF(OR(AA80="Completed / Handover",W80&lt;&gt;"",X80&gt;=100),"Completed — on track",IF(L80="Remaining",IF(S80="",IF(V80="","No planned date",IF(TODAY()&gt;V80,"Behind — past planned date",IF(V80-TODAY()&lt;=30,"At risk — close to off track","On track"))),IF(TODAY()&gt;S80,"Behind — award date passed",IF(S80-TODAY()&lt;=30,"At risk — close to off track","On track"))),IF(V80="","No planned date",IF(AND(TODAY()&gt;V80,OR(X80="",X80&lt;100)),"Behind — past end date",IF(AND(R80&lt;&gt;"",V80&lt;&gt;"",X80&lt;&gt;"",(X80&lt;100),((TODAY()-R80)/MAX(V80-R80,1)*100)-X80&gt;15),"Behind — progress lag",IF(AND(V80-TODAY()&lt;=30,V80-TODAY()&gt;=0,OR(X80="",X80&lt;90)),"At risk — close to off track","On track"))))))))</t>
        </is>
      </c>
      <c r="AF80" s="38" t="inlineStr">
        <is>
          <t>IF(OR(E80="",AA80="Completed / Handover",AA80="Cancelled"),"",IF(L80="Remaining",IF(S80&lt;&gt;"",S80-TODAY(),IF(V80="","",V80-TODAY())),IF(V80="","",V80-TODAY())))</t>
        </is>
      </c>
      <c r="AG80" s="39" t="n"/>
      <c r="AH80" s="39" t="n"/>
      <c r="AI80" s="39" t="n"/>
      <c r="AJ80" s="39" t="n"/>
      <c r="AK80" s="39" t="n"/>
      <c r="AL80" s="39" t="n"/>
      <c r="AM80" s="39" t="n"/>
      <c r="AN80" s="39" t="n"/>
      <c r="AO80" s="39" t="n">
        <v>46014</v>
      </c>
      <c r="AP80" s="39" t="n">
        <v>46014</v>
      </c>
      <c r="AQ80" s="39" t="n">
        <v>46225</v>
      </c>
      <c r="AR80" s="40" t="n"/>
      <c r="AS80" s="40" t="n"/>
      <c r="AT80" s="40" t="n"/>
      <c r="AU80" s="38" t="inlineStr">
        <is>
          <t>IF(OR(E80="",AH80=""),"",IF(COUNT(AG80:AG80)=0,"",AH80-LOOKUP(2,1/(AG80:AG80&lt;&gt;""),AG80:AG80)))</t>
        </is>
      </c>
      <c r="AV80" s="38" t="inlineStr">
        <is>
          <t>IF(OR(E80="",AI80=""),"",IF(COUNT(AG80:AH80)=0,"",AI80-LOOKUP(2,1/(AG80:AH80&lt;&gt;""),AG80:AH80)))</t>
        </is>
      </c>
      <c r="AW80" s="38" t="inlineStr">
        <is>
          <t>IF(OR(E80="",AJ80=""),"",IF(COUNT(AG80:AI80)=0,"",AJ80-LOOKUP(2,1/(AG80:AI80&lt;&gt;""),AG80:AI80)))</t>
        </is>
      </c>
      <c r="AX80" s="38" t="inlineStr">
        <is>
          <t>IF(OR(E80="",AK80=""),"",IF(COUNT(AG80:AJ80)=0,"",AK80-LOOKUP(2,1/(AG80:AJ80&lt;&gt;""),AG80:AJ80)))</t>
        </is>
      </c>
      <c r="AY80" s="38" t="inlineStr">
        <is>
          <t>IF(OR(E80="",AL80=""),"",IF(COUNT(AG80:AK80)=0,"",AL80-LOOKUP(2,1/(AG80:AK80&lt;&gt;""),AG80:AK80)))</t>
        </is>
      </c>
      <c r="AZ80" s="38" t="inlineStr">
        <is>
          <t>IF(OR(E80="",AM80=""),"",IF(COUNT(AG80:AL80)=0,"",AM80-LOOKUP(2,1/(AG80:AL80&lt;&gt;""),AG80:AL80)))</t>
        </is>
      </c>
      <c r="BA80" s="38" t="inlineStr">
        <is>
          <t>IF(OR(E80="",AN80=""),"",IF(COUNT(AG80:AM80)=0,"",AN80-LOOKUP(2,1/(AG80:AM80&lt;&gt;""),AG80:AM80)))</t>
        </is>
      </c>
      <c r="BB80" s="38" t="inlineStr">
        <is>
          <t>IF(OR(E80="",AO80=""),"",IF(COUNT(AG80:AN80)=0,"",AO80-LOOKUP(2,1/(AG80:AN80&lt;&gt;""),AG80:AN80)))</t>
        </is>
      </c>
      <c r="BC80" s="38" t="inlineStr">
        <is>
          <t>IF(OR(E80="",AP80=""),"",IF(COUNT(AG80:AO80)=0,"",AP80-LOOKUP(2,1/(AG80:AO80&lt;&gt;""),AG80:AO80)))</t>
        </is>
      </c>
      <c r="BD80" s="38" t="inlineStr">
        <is>
          <t>IF(OR(E80="",AQ80=""),"",IF(COUNT(AG80:AP80)=0,"",AQ80-LOOKUP(2,1/(AG80:AP80&lt;&gt;""),AG80:AP80)))</t>
        </is>
      </c>
      <c r="BE80" s="38" t="inlineStr">
        <is>
          <t>IF(OR(E80="",AR80=""),"",IF(COUNT(AG80:AQ80)=0,"",AR80-LOOKUP(2,1/(AG80:AQ80&lt;&gt;""),AG80:AQ80)))</t>
        </is>
      </c>
      <c r="BF80" s="38" t="inlineStr">
        <is>
          <t>IF(OR(E80="",AS80=""),"",IF(COUNT(AG80:AR80)=0,"",AS80-LOOKUP(2,1/(AG80:AR80&lt;&gt;""),AG80:AR80)))</t>
        </is>
      </c>
      <c r="BG80" s="38" t="inlineStr">
        <is>
          <t>IF(OR(E80="",AT80=""),"",IF(COUNT(AG80:AS80)=0,"",AT80-LOOKUP(2,1/(AG80:AS80&lt;&gt;""),AG80:AS80)))</t>
        </is>
      </c>
      <c r="BH80" s="41" t="inlineStr">
        <is>
          <t>IF(G80="","All_Provinces",IFERROR(VLOOKUP(G80,'07_Lookups'!$A$4:$B$20,2,FALSE),"All_Provinces"))</t>
        </is>
      </c>
      <c r="BI80" s="41" t="inlineStr">
        <is>
          <t>IF(H80="","All_Districts",IFERROR(VLOOKUP(H80,'07_Lookups'!$E$4:$F$42,2,FALSE),"All_Districts"))</t>
        </is>
      </c>
    </row>
    <row r="81" ht="18" customHeight="1">
      <c r="A81" s="32" t="inlineStr">
        <is>
          <t>IF(E81="","",ROW()-3)</t>
        </is>
      </c>
      <c r="B81" s="42" t="inlineStr">
        <is>
          <t>AF2-WSM-A-012</t>
        </is>
      </c>
      <c r="C81" s="42" t="inlineStr">
        <is>
          <t>Emergency Food Security Project (EFSP) – WBK/AF-2</t>
        </is>
      </c>
      <c r="D81" s="42" t="inlineStr">
        <is>
          <t>Package #6-AF2 WSM: Construction of Jarobi Tangi, Chaghari and Adore check dams, located in Shirzad, Rodat, and Khogyani, districts of Nangarhar province.</t>
        </is>
      </c>
      <c r="E81" s="42" t="inlineStr">
        <is>
          <t>2. Chaghari Check dams</t>
        </is>
      </c>
      <c r="F81" s="42" t="inlineStr">
        <is>
          <t>Check Dam</t>
        </is>
      </c>
      <c r="G81" s="42" t="inlineStr">
        <is>
          <t>East / Jalalabad</t>
        </is>
      </c>
      <c r="H81" s="42" t="inlineStr">
        <is>
          <t>Nangarhar</t>
        </is>
      </c>
      <c r="I81" s="42" t="inlineStr">
        <is>
          <t>Rodat</t>
        </is>
      </c>
      <c r="J81" s="42" t="inlineStr">
        <is>
          <t>Chaghari</t>
        </is>
      </c>
      <c r="K81" s="42" t="inlineStr">
        <is>
          <t>World Bank (WBK/AF-2)</t>
        </is>
      </c>
      <c r="L81" s="42" t="inlineStr">
        <is>
          <t>Awarded</t>
        </is>
      </c>
      <c r="M81" s="42" t="inlineStr">
        <is>
          <t>Watershed / Check dam</t>
        </is>
      </c>
      <c r="N81" s="42" t="inlineStr">
        <is>
          <t>3.WSM awarded contracts</t>
        </is>
      </c>
      <c r="O81" s="42" t="inlineStr">
        <is>
          <t>Naeemi Safi Construction &amp; Construction Material Company (NSCC)</t>
        </is>
      </c>
      <c r="P81" s="42" t="inlineStr">
        <is>
          <t>065/2026</t>
        </is>
      </c>
      <c r="Q81" s="43" t="n">
        <v>27989.43</v>
      </c>
      <c r="R81" s="35" t="inlineStr">
        <is>
          <t>IF(AO81="","",AO81)</t>
        </is>
      </c>
      <c r="S81" s="44" t="n"/>
      <c r="T81" s="45" t="n">
        <v>6.9</v>
      </c>
      <c r="U81" s="44" t="n">
        <v>46225</v>
      </c>
      <c r="V81" s="35" t="inlineStr">
        <is>
          <t>IF(U81&lt;&gt;"",U81,IF(OR(R81="",T81=""),"",EDATE(R81,T81)))</t>
        </is>
      </c>
      <c r="W81" s="44" t="n"/>
      <c r="X81" s="45" t="n">
        <v>100</v>
      </c>
      <c r="Y81" s="42" t="inlineStr">
        <is>
          <t>Completed / Handover</t>
        </is>
      </c>
      <c r="Z81" s="42" t="inlineStr">
        <is>
          <t>Completed on July, 2026</t>
        </is>
      </c>
      <c r="AA81" s="32" t="inlineStr">
        <is>
          <t>IF(E81="","",IF(COUNT(AG81:AT81)=0,IF(Y81="","Not started",Y81),SUBSTITUTE(LOOKUP(2,1/(AG81:AT81&lt;&gt;""),$AG$3:$AT$3),"Date: ","")))</t>
        </is>
      </c>
      <c r="AB81" s="38" t="inlineStr">
        <is>
          <t>IF(OR(E81="",COUNT(AG81:AT81)=0),"",TODAY()-LOOKUP(2,1/(AG81:AT81&lt;&gt;""),AG81:AT81))</t>
        </is>
      </c>
      <c r="AC81" s="38" t="inlineStr">
        <is>
          <t>IF(OR(E81="",COUNT(AG81:AT81)&lt;2),"",LOOKUP(2,1/(AG81:AT81&lt;&gt;""),AG81:AT81)-MIN(AG81:AT81))</t>
        </is>
      </c>
      <c r="AD81" s="38" t="inlineStr">
        <is>
          <t>IF(OR(AB81="",AA81="Not started",AA81=""),"",IFERROR(AB81-IF(VLOOKUP(AA81,'04_Status_Pipeline'!$B$3:$E$20,4,FALSE)="",0,VLOOKUP(AA81,'04_Status_Pipeline'!$B$3:$E$20,4,FALSE)),""))</t>
        </is>
      </c>
      <c r="AE81" s="32" t="inlineStr">
        <is>
          <t>IF(E81="","",IF(OR(Y81="Cancelled",AA81="Cancelled"),"Cancelled",IF(OR(AA81="Completed / Handover",W81&lt;&gt;"",X81&gt;=100),"Completed — on track",IF(L81="Remaining",IF(S81="",IF(V81="","No planned date",IF(TODAY()&gt;V81,"Behind — past planned date",IF(V81-TODAY()&lt;=30,"At risk — close to off track","On track"))),IF(TODAY()&gt;S81,"Behind — award date passed",IF(S81-TODAY()&lt;=30,"At risk — close to off track","On track"))),IF(V81="","No planned date",IF(AND(TODAY()&gt;V81,OR(X81="",X81&lt;100)),"Behind — past end date",IF(AND(R81&lt;&gt;"",V81&lt;&gt;"",X81&lt;&gt;"",(X81&lt;100),((TODAY()-R81)/MAX(V81-R81,1)*100)-X81&gt;15),"Behind — progress lag",IF(AND(V81-TODAY()&lt;=30,V81-TODAY()&gt;=0,OR(X81="",X81&lt;90)),"At risk — close to off track","On track"))))))))</t>
        </is>
      </c>
      <c r="AF81" s="38" t="inlineStr">
        <is>
          <t>IF(OR(E81="",AA81="Completed / Handover",AA81="Cancelled"),"",IF(L81="Remaining",IF(S81&lt;&gt;"",S81-TODAY(),IF(V81="","",V81-TODAY())),IF(V81="","",V81-TODAY())))</t>
        </is>
      </c>
      <c r="AG81" s="39" t="n"/>
      <c r="AH81" s="39" t="n"/>
      <c r="AI81" s="39" t="n"/>
      <c r="AJ81" s="39" t="n"/>
      <c r="AK81" s="39" t="n"/>
      <c r="AL81" s="39" t="n"/>
      <c r="AM81" s="39" t="n"/>
      <c r="AN81" s="39" t="n"/>
      <c r="AO81" s="39" t="n">
        <v>46014</v>
      </c>
      <c r="AP81" s="39" t="n">
        <v>46014</v>
      </c>
      <c r="AQ81" s="39" t="n">
        <v>46225</v>
      </c>
      <c r="AR81" s="40" t="n"/>
      <c r="AS81" s="40" t="n"/>
      <c r="AT81" s="40" t="n"/>
      <c r="AU81" s="38" t="inlineStr">
        <is>
          <t>IF(OR(E81="",AH81=""),"",IF(COUNT(AG81:AG81)=0,"",AH81-LOOKUP(2,1/(AG81:AG81&lt;&gt;""),AG81:AG81)))</t>
        </is>
      </c>
      <c r="AV81" s="38" t="inlineStr">
        <is>
          <t>IF(OR(E81="",AI81=""),"",IF(COUNT(AG81:AH81)=0,"",AI81-LOOKUP(2,1/(AG81:AH81&lt;&gt;""),AG81:AH81)))</t>
        </is>
      </c>
      <c r="AW81" s="38" t="inlineStr">
        <is>
          <t>IF(OR(E81="",AJ81=""),"",IF(COUNT(AG81:AI81)=0,"",AJ81-LOOKUP(2,1/(AG81:AI81&lt;&gt;""),AG81:AI81)))</t>
        </is>
      </c>
      <c r="AX81" s="38" t="inlineStr">
        <is>
          <t>IF(OR(E81="",AK81=""),"",IF(COUNT(AG81:AJ81)=0,"",AK81-LOOKUP(2,1/(AG81:AJ81&lt;&gt;""),AG81:AJ81)))</t>
        </is>
      </c>
      <c r="AY81" s="38" t="inlineStr">
        <is>
          <t>IF(OR(E81="",AL81=""),"",IF(COUNT(AG81:AK81)=0,"",AL81-LOOKUP(2,1/(AG81:AK81&lt;&gt;""),AG81:AK81)))</t>
        </is>
      </c>
      <c r="AZ81" s="38" t="inlineStr">
        <is>
          <t>IF(OR(E81="",AM81=""),"",IF(COUNT(AG81:AL81)=0,"",AM81-LOOKUP(2,1/(AG81:AL81&lt;&gt;""),AG81:AL81)))</t>
        </is>
      </c>
      <c r="BA81" s="38" t="inlineStr">
        <is>
          <t>IF(OR(E81="",AN81=""),"",IF(COUNT(AG81:AM81)=0,"",AN81-LOOKUP(2,1/(AG81:AM81&lt;&gt;""),AG81:AM81)))</t>
        </is>
      </c>
      <c r="BB81" s="38" t="inlineStr">
        <is>
          <t>IF(OR(E81="",AO81=""),"",IF(COUNT(AG81:AN81)=0,"",AO81-LOOKUP(2,1/(AG81:AN81&lt;&gt;""),AG81:AN81)))</t>
        </is>
      </c>
      <c r="BC81" s="38" t="inlineStr">
        <is>
          <t>IF(OR(E81="",AP81=""),"",IF(COUNT(AG81:AO81)=0,"",AP81-LOOKUP(2,1/(AG81:AO81&lt;&gt;""),AG81:AO81)))</t>
        </is>
      </c>
      <c r="BD81" s="38" t="inlineStr">
        <is>
          <t>IF(OR(E81="",AQ81=""),"",IF(COUNT(AG81:AP81)=0,"",AQ81-LOOKUP(2,1/(AG81:AP81&lt;&gt;""),AG81:AP81)))</t>
        </is>
      </c>
      <c r="BE81" s="38" t="inlineStr">
        <is>
          <t>IF(OR(E81="",AR81=""),"",IF(COUNT(AG81:AQ81)=0,"",AR81-LOOKUP(2,1/(AG81:AQ81&lt;&gt;""),AG81:AQ81)))</t>
        </is>
      </c>
      <c r="BF81" s="38" t="inlineStr">
        <is>
          <t>IF(OR(E81="",AS81=""),"",IF(COUNT(AG81:AR81)=0,"",AS81-LOOKUP(2,1/(AG81:AR81&lt;&gt;""),AG81:AR81)))</t>
        </is>
      </c>
      <c r="BG81" s="38" t="inlineStr">
        <is>
          <t>IF(OR(E81="",AT81=""),"",IF(COUNT(AG81:AS81)=0,"",AT81-LOOKUP(2,1/(AG81:AS81&lt;&gt;""),AG81:AS81)))</t>
        </is>
      </c>
      <c r="BH81" s="41" t="inlineStr">
        <is>
          <t>IF(G81="","All_Provinces",IFERROR(VLOOKUP(G81,'07_Lookups'!$A$4:$B$20,2,FALSE),"All_Provinces"))</t>
        </is>
      </c>
      <c r="BI81" s="41" t="inlineStr">
        <is>
          <t>IF(H81="","All_Districts",IFERROR(VLOOKUP(H81,'07_Lookups'!$E$4:$F$42,2,FALSE),"All_Districts"))</t>
        </is>
      </c>
    </row>
    <row r="82" ht="18" customHeight="1">
      <c r="A82" s="32" t="inlineStr">
        <is>
          <t>IF(E82="","",ROW()-3)</t>
        </is>
      </c>
      <c r="B82" s="33" t="inlineStr">
        <is>
          <t>AF2-WSM-A-013</t>
        </is>
      </c>
      <c r="C82" s="33" t="inlineStr">
        <is>
          <t>Emergency Food Security Project (EFSP) – WBK/AF-2</t>
        </is>
      </c>
      <c r="D82" s="33" t="inlineStr">
        <is>
          <t>Package #6-AF2 WSM: Construction of Jarobi Tangi, Chaghari and Adore check dams, located in Shirzad, Rodat, and Khogyani, districts of Nangarhar province.</t>
        </is>
      </c>
      <c r="E82" s="33" t="inlineStr">
        <is>
          <t>3. Adore check dam</t>
        </is>
      </c>
      <c r="F82" s="33" t="inlineStr">
        <is>
          <t>Check Dam</t>
        </is>
      </c>
      <c r="G82" s="33" t="inlineStr">
        <is>
          <t>East / Jalalabad</t>
        </is>
      </c>
      <c r="H82" s="33" t="inlineStr">
        <is>
          <t>Nangarhar</t>
        </is>
      </c>
      <c r="I82" s="33" t="inlineStr">
        <is>
          <t>Khogyani</t>
        </is>
      </c>
      <c r="J82" s="33" t="inlineStr">
        <is>
          <t>Adore</t>
        </is>
      </c>
      <c r="K82" s="33" t="inlineStr">
        <is>
          <t>World Bank (WBK/AF-2)</t>
        </is>
      </c>
      <c r="L82" s="33" t="inlineStr">
        <is>
          <t>Awarded</t>
        </is>
      </c>
      <c r="M82" s="33" t="inlineStr">
        <is>
          <t>Watershed / Check dam</t>
        </is>
      </c>
      <c r="N82" s="33" t="inlineStr">
        <is>
          <t>3.WSM awarded contracts</t>
        </is>
      </c>
      <c r="O82" s="33" t="inlineStr">
        <is>
          <t>Naeemi Safi Construction &amp; Construction Material Company (NSCC)</t>
        </is>
      </c>
      <c r="P82" s="33" t="inlineStr">
        <is>
          <t>065/2026</t>
        </is>
      </c>
      <c r="Q82" s="34" t="n">
        <v>50713.55</v>
      </c>
      <c r="R82" s="35" t="inlineStr">
        <is>
          <t>IF(AO82="","",AO82)</t>
        </is>
      </c>
      <c r="S82" s="36" t="n"/>
      <c r="T82" s="37" t="n">
        <v>6.9</v>
      </c>
      <c r="U82" s="36" t="n">
        <v>46225</v>
      </c>
      <c r="V82" s="35" t="inlineStr">
        <is>
          <t>IF(U82&lt;&gt;"",U82,IF(OR(R82="",T82=""),"",EDATE(R82,T82)))</t>
        </is>
      </c>
      <c r="W82" s="36" t="n"/>
      <c r="X82" s="37" t="n">
        <v>100</v>
      </c>
      <c r="Y82" s="33" t="inlineStr">
        <is>
          <t>Completed / Handover</t>
        </is>
      </c>
      <c r="Z82" s="33" t="inlineStr">
        <is>
          <t>Completed on July, 2026</t>
        </is>
      </c>
      <c r="AA82" s="32" t="inlineStr">
        <is>
          <t>IF(E82="","",IF(COUNT(AG82:AT82)=0,IF(Y82="","Not started",Y82),SUBSTITUTE(LOOKUP(2,1/(AG82:AT82&lt;&gt;""),$AG$3:$AT$3),"Date: ","")))</t>
        </is>
      </c>
      <c r="AB82" s="38" t="inlineStr">
        <is>
          <t>IF(OR(E82="",COUNT(AG82:AT82)=0),"",TODAY()-LOOKUP(2,1/(AG82:AT82&lt;&gt;""),AG82:AT82))</t>
        </is>
      </c>
      <c r="AC82" s="38" t="inlineStr">
        <is>
          <t>IF(OR(E82="",COUNT(AG82:AT82)&lt;2),"",LOOKUP(2,1/(AG82:AT82&lt;&gt;""),AG82:AT82)-MIN(AG82:AT82))</t>
        </is>
      </c>
      <c r="AD82" s="38" t="inlineStr">
        <is>
          <t>IF(OR(AB82="",AA82="Not started",AA82=""),"",IFERROR(AB82-IF(VLOOKUP(AA82,'04_Status_Pipeline'!$B$3:$E$20,4,FALSE)="",0,VLOOKUP(AA82,'04_Status_Pipeline'!$B$3:$E$20,4,FALSE)),""))</t>
        </is>
      </c>
      <c r="AE82" s="32" t="inlineStr">
        <is>
          <t>IF(E82="","",IF(OR(Y82="Cancelled",AA82="Cancelled"),"Cancelled",IF(OR(AA82="Completed / Handover",W82&lt;&gt;"",X82&gt;=100),"Completed — on track",IF(L82="Remaining",IF(S82="",IF(V82="","No planned date",IF(TODAY()&gt;V82,"Behind — past planned date",IF(V82-TODAY()&lt;=30,"At risk — close to off track","On track"))),IF(TODAY()&gt;S82,"Behind — award date passed",IF(S82-TODAY()&lt;=30,"At risk — close to off track","On track"))),IF(V82="","No planned date",IF(AND(TODAY()&gt;V82,OR(X82="",X82&lt;100)),"Behind — past end date",IF(AND(R82&lt;&gt;"",V82&lt;&gt;"",X82&lt;&gt;"",(X82&lt;100),((TODAY()-R82)/MAX(V82-R82,1)*100)-X82&gt;15),"Behind — progress lag",IF(AND(V82-TODAY()&lt;=30,V82-TODAY()&gt;=0,OR(X82="",X82&lt;90)),"At risk — close to off track","On track"))))))))</t>
        </is>
      </c>
      <c r="AF82" s="38" t="inlineStr">
        <is>
          <t>IF(OR(E82="",AA82="Completed / Handover",AA82="Cancelled"),"",IF(L82="Remaining",IF(S82&lt;&gt;"",S82-TODAY(),IF(V82="","",V82-TODAY())),IF(V82="","",V82-TODAY())))</t>
        </is>
      </c>
      <c r="AG82" s="39" t="n"/>
      <c r="AH82" s="39" t="n"/>
      <c r="AI82" s="39" t="n"/>
      <c r="AJ82" s="39" t="n"/>
      <c r="AK82" s="39" t="n"/>
      <c r="AL82" s="39" t="n"/>
      <c r="AM82" s="39" t="n"/>
      <c r="AN82" s="39" t="n"/>
      <c r="AO82" s="39" t="n">
        <v>46014</v>
      </c>
      <c r="AP82" s="39" t="n">
        <v>46014</v>
      </c>
      <c r="AQ82" s="39" t="n">
        <v>46225</v>
      </c>
      <c r="AR82" s="40" t="n"/>
      <c r="AS82" s="40" t="n"/>
      <c r="AT82" s="40" t="n"/>
      <c r="AU82" s="38" t="inlineStr">
        <is>
          <t>IF(OR(E82="",AH82=""),"",IF(COUNT(AG82:AG82)=0,"",AH82-LOOKUP(2,1/(AG82:AG82&lt;&gt;""),AG82:AG82)))</t>
        </is>
      </c>
      <c r="AV82" s="38" t="inlineStr">
        <is>
          <t>IF(OR(E82="",AI82=""),"",IF(COUNT(AG82:AH82)=0,"",AI82-LOOKUP(2,1/(AG82:AH82&lt;&gt;""),AG82:AH82)))</t>
        </is>
      </c>
      <c r="AW82" s="38" t="inlineStr">
        <is>
          <t>IF(OR(E82="",AJ82=""),"",IF(COUNT(AG82:AI82)=0,"",AJ82-LOOKUP(2,1/(AG82:AI82&lt;&gt;""),AG82:AI82)))</t>
        </is>
      </c>
      <c r="AX82" s="38" t="inlineStr">
        <is>
          <t>IF(OR(E82="",AK82=""),"",IF(COUNT(AG82:AJ82)=0,"",AK82-LOOKUP(2,1/(AG82:AJ82&lt;&gt;""),AG82:AJ82)))</t>
        </is>
      </c>
      <c r="AY82" s="38" t="inlineStr">
        <is>
          <t>IF(OR(E82="",AL82=""),"",IF(COUNT(AG82:AK82)=0,"",AL82-LOOKUP(2,1/(AG82:AK82&lt;&gt;""),AG82:AK82)))</t>
        </is>
      </c>
      <c r="AZ82" s="38" t="inlineStr">
        <is>
          <t>IF(OR(E82="",AM82=""),"",IF(COUNT(AG82:AL82)=0,"",AM82-LOOKUP(2,1/(AG82:AL82&lt;&gt;""),AG82:AL82)))</t>
        </is>
      </c>
      <c r="BA82" s="38" t="inlineStr">
        <is>
          <t>IF(OR(E82="",AN82=""),"",IF(COUNT(AG82:AM82)=0,"",AN82-LOOKUP(2,1/(AG82:AM82&lt;&gt;""),AG82:AM82)))</t>
        </is>
      </c>
      <c r="BB82" s="38" t="inlineStr">
        <is>
          <t>IF(OR(E82="",AO82=""),"",IF(COUNT(AG82:AN82)=0,"",AO82-LOOKUP(2,1/(AG82:AN82&lt;&gt;""),AG82:AN82)))</t>
        </is>
      </c>
      <c r="BC82" s="38" t="inlineStr">
        <is>
          <t>IF(OR(E82="",AP82=""),"",IF(COUNT(AG82:AO82)=0,"",AP82-LOOKUP(2,1/(AG82:AO82&lt;&gt;""),AG82:AO82)))</t>
        </is>
      </c>
      <c r="BD82" s="38" t="inlineStr">
        <is>
          <t>IF(OR(E82="",AQ82=""),"",IF(COUNT(AG82:AP82)=0,"",AQ82-LOOKUP(2,1/(AG82:AP82&lt;&gt;""),AG82:AP82)))</t>
        </is>
      </c>
      <c r="BE82" s="38" t="inlineStr">
        <is>
          <t>IF(OR(E82="",AR82=""),"",IF(COUNT(AG82:AQ82)=0,"",AR82-LOOKUP(2,1/(AG82:AQ82&lt;&gt;""),AG82:AQ82)))</t>
        </is>
      </c>
      <c r="BF82" s="38" t="inlineStr">
        <is>
          <t>IF(OR(E82="",AS82=""),"",IF(COUNT(AG82:AR82)=0,"",AS82-LOOKUP(2,1/(AG82:AR82&lt;&gt;""),AG82:AR82)))</t>
        </is>
      </c>
      <c r="BG82" s="38" t="inlineStr">
        <is>
          <t>IF(OR(E82="",AT82=""),"",IF(COUNT(AG82:AS82)=0,"",AT82-LOOKUP(2,1/(AG82:AS82&lt;&gt;""),AG82:AS82)))</t>
        </is>
      </c>
      <c r="BH82" s="41" t="inlineStr">
        <is>
          <t>IF(G82="","All_Provinces",IFERROR(VLOOKUP(G82,'07_Lookups'!$A$4:$B$20,2,FALSE),"All_Provinces"))</t>
        </is>
      </c>
      <c r="BI82" s="41" t="inlineStr">
        <is>
          <t>IF(H82="","All_Districts",IFERROR(VLOOKUP(H82,'07_Lookups'!$E$4:$F$42,2,FALSE),"All_Districts"))</t>
        </is>
      </c>
    </row>
    <row r="83" ht="18" customHeight="1">
      <c r="A83" s="32" t="inlineStr">
        <is>
          <t>IF(E83="","",ROW()-3)</t>
        </is>
      </c>
      <c r="B83" s="42" t="inlineStr">
        <is>
          <t>AF2-WSM-A-014</t>
        </is>
      </c>
      <c r="C83" s="42" t="inlineStr">
        <is>
          <t>Emergency Food Security Project (EFSP) – WBK/AF-2</t>
        </is>
      </c>
      <c r="D83" s="42" t="inlineStr">
        <is>
          <t>Package #7-AF2 WSM: Construction of 3 Check dams of 1.Dargrak, 2. Migano, and 3.Lachagali the Sawkai, Khas Kunar and Narang districts of Kunar province.</t>
        </is>
      </c>
      <c r="E83" s="42" t="inlineStr">
        <is>
          <t>Lachagali Boulder Check Dam and Water Pond</t>
        </is>
      </c>
      <c r="F83" s="42" t="inlineStr">
        <is>
          <t>Check Dam</t>
        </is>
      </c>
      <c r="G83" s="42" t="inlineStr">
        <is>
          <t>East / Jalalabad</t>
        </is>
      </c>
      <c r="H83" s="42" t="inlineStr">
        <is>
          <t>Kunar</t>
        </is>
      </c>
      <c r="I83" s="42" t="inlineStr">
        <is>
          <t>Narang</t>
        </is>
      </c>
      <c r="J83" s="42" t="inlineStr">
        <is>
          <t>Lachagali/ Jaroobi</t>
        </is>
      </c>
      <c r="K83" s="42" t="inlineStr">
        <is>
          <t>World Bank (WBK/AF-2)</t>
        </is>
      </c>
      <c r="L83" s="42" t="inlineStr">
        <is>
          <t>Awarded</t>
        </is>
      </c>
      <c r="M83" s="42" t="inlineStr">
        <is>
          <t>Watershed / Check dam</t>
        </is>
      </c>
      <c r="N83" s="42" t="inlineStr">
        <is>
          <t>3.WSM awarded contracts</t>
        </is>
      </c>
      <c r="O83" s="42" t="inlineStr">
        <is>
          <t>Green Bentley construction Company (GBCC)</t>
        </is>
      </c>
      <c r="P83" s="42" t="inlineStr">
        <is>
          <t>064/2026</t>
        </is>
      </c>
      <c r="Q83" s="43" t="n">
        <v>99590</v>
      </c>
      <c r="R83" s="35" t="inlineStr">
        <is>
          <t>IF(AO83="","",AO83)</t>
        </is>
      </c>
      <c r="S83" s="44" t="n"/>
      <c r="T83" s="45" t="n">
        <v>4.9</v>
      </c>
      <c r="U83" s="44" t="n">
        <v>46456</v>
      </c>
      <c r="V83" s="35" t="inlineStr">
        <is>
          <t>IF(U83&lt;&gt;"",U83,IF(OR(R83="",T83=""),"",EDATE(R83,T83)))</t>
        </is>
      </c>
      <c r="W83" s="44" t="n"/>
      <c r="X83" s="45" t="n">
        <v>0</v>
      </c>
      <c r="Y83" s="42" t="inlineStr">
        <is>
          <t>Completed / Handover</t>
        </is>
      </c>
      <c r="Z83" s="42" t="inlineStr">
        <is>
          <t>Completed on July, 2026</t>
        </is>
      </c>
      <c r="AA83" s="32" t="inlineStr">
        <is>
          <t>IF(E83="","",IF(COUNT(AG83:AT83)=0,IF(Y83="","Not started",Y83),SUBSTITUTE(LOOKUP(2,1/(AG83:AT83&lt;&gt;""),$AG$3:$AT$3),"Date: ","")))</t>
        </is>
      </c>
      <c r="AB83" s="38" t="inlineStr">
        <is>
          <t>IF(OR(E83="",COUNT(AG83:AT83)=0),"",TODAY()-LOOKUP(2,1/(AG83:AT83&lt;&gt;""),AG83:AT83))</t>
        </is>
      </c>
      <c r="AC83" s="38" t="inlineStr">
        <is>
          <t>IF(OR(E83="",COUNT(AG83:AT83)&lt;2),"",LOOKUP(2,1/(AG83:AT83&lt;&gt;""),AG83:AT83)-MIN(AG83:AT83))</t>
        </is>
      </c>
      <c r="AD83" s="38" t="inlineStr">
        <is>
          <t>IF(OR(AB83="",AA83="Not started",AA83=""),"",IFERROR(AB83-IF(VLOOKUP(AA83,'04_Status_Pipeline'!$B$3:$E$20,4,FALSE)="",0,VLOOKUP(AA83,'04_Status_Pipeline'!$B$3:$E$20,4,FALSE)),""))</t>
        </is>
      </c>
      <c r="AE83" s="32" t="inlineStr">
        <is>
          <t>IF(E83="","",IF(OR(Y83="Cancelled",AA83="Cancelled"),"Cancelled",IF(OR(AA83="Completed / Handover",W83&lt;&gt;"",X83&gt;=100),"Completed — on track",IF(L83="Remaining",IF(S83="",IF(V83="","No planned date",IF(TODAY()&gt;V83,"Behind — past planned date",IF(V83-TODAY()&lt;=30,"At risk — close to off track","On track"))),IF(TODAY()&gt;S83,"Behind — award date passed",IF(S83-TODAY()&lt;=30,"At risk — close to off track","On track"))),IF(V83="","No planned date",IF(AND(TODAY()&gt;V83,OR(X83="",X83&lt;100)),"Behind — past end date",IF(AND(R83&lt;&gt;"",V83&lt;&gt;"",X83&lt;&gt;"",(X83&lt;100),((TODAY()-R83)/MAX(V83-R83,1)*100)-X83&gt;15),"Behind — progress lag",IF(AND(V83-TODAY()&lt;=30,V83-TODAY()&gt;=0,OR(X83="",X83&lt;90)),"At risk — close to off track","On track"))))))))</t>
        </is>
      </c>
      <c r="AF83" s="38" t="inlineStr">
        <is>
          <t>IF(OR(E83="",AA83="Completed / Handover",AA83="Cancelled"),"",IF(L83="Remaining",IF(S83&lt;&gt;"",S83-TODAY(),IF(V83="","",V83-TODAY())),IF(V83="","",V83-TODAY())))</t>
        </is>
      </c>
      <c r="AG83" s="39" t="n"/>
      <c r="AH83" s="39" t="n"/>
      <c r="AI83" s="39" t="n"/>
      <c r="AJ83" s="39" t="n"/>
      <c r="AK83" s="39" t="n"/>
      <c r="AL83" s="39" t="n"/>
      <c r="AM83" s="39" t="n"/>
      <c r="AN83" s="39" t="n"/>
      <c r="AO83" s="39" t="n">
        <v>46306</v>
      </c>
      <c r="AP83" s="39" t="n">
        <v>46306</v>
      </c>
      <c r="AQ83" s="39" t="n">
        <v>46456</v>
      </c>
      <c r="AR83" s="40" t="n"/>
      <c r="AS83" s="40" t="n"/>
      <c r="AT83" s="40" t="n"/>
      <c r="AU83" s="38" t="inlineStr">
        <is>
          <t>IF(OR(E83="",AH83=""),"",IF(COUNT(AG83:AG83)=0,"",AH83-LOOKUP(2,1/(AG83:AG83&lt;&gt;""),AG83:AG83)))</t>
        </is>
      </c>
      <c r="AV83" s="38" t="inlineStr">
        <is>
          <t>IF(OR(E83="",AI83=""),"",IF(COUNT(AG83:AH83)=0,"",AI83-LOOKUP(2,1/(AG83:AH83&lt;&gt;""),AG83:AH83)))</t>
        </is>
      </c>
      <c r="AW83" s="38" t="inlineStr">
        <is>
          <t>IF(OR(E83="",AJ83=""),"",IF(COUNT(AG83:AI83)=0,"",AJ83-LOOKUP(2,1/(AG83:AI83&lt;&gt;""),AG83:AI83)))</t>
        </is>
      </c>
      <c r="AX83" s="38" t="inlineStr">
        <is>
          <t>IF(OR(E83="",AK83=""),"",IF(COUNT(AG83:AJ83)=0,"",AK83-LOOKUP(2,1/(AG83:AJ83&lt;&gt;""),AG83:AJ83)))</t>
        </is>
      </c>
      <c r="AY83" s="38" t="inlineStr">
        <is>
          <t>IF(OR(E83="",AL83=""),"",IF(COUNT(AG83:AK83)=0,"",AL83-LOOKUP(2,1/(AG83:AK83&lt;&gt;""),AG83:AK83)))</t>
        </is>
      </c>
      <c r="AZ83" s="38" t="inlineStr">
        <is>
          <t>IF(OR(E83="",AM83=""),"",IF(COUNT(AG83:AL83)=0,"",AM83-LOOKUP(2,1/(AG83:AL83&lt;&gt;""),AG83:AL83)))</t>
        </is>
      </c>
      <c r="BA83" s="38" t="inlineStr">
        <is>
          <t>IF(OR(E83="",AN83=""),"",IF(COUNT(AG83:AM83)=0,"",AN83-LOOKUP(2,1/(AG83:AM83&lt;&gt;""),AG83:AM83)))</t>
        </is>
      </c>
      <c r="BB83" s="38" t="inlineStr">
        <is>
          <t>IF(OR(E83="",AO83=""),"",IF(COUNT(AG83:AN83)=0,"",AO83-LOOKUP(2,1/(AG83:AN83&lt;&gt;""),AG83:AN83)))</t>
        </is>
      </c>
      <c r="BC83" s="38" t="inlineStr">
        <is>
          <t>IF(OR(E83="",AP83=""),"",IF(COUNT(AG83:AO83)=0,"",AP83-LOOKUP(2,1/(AG83:AO83&lt;&gt;""),AG83:AO83)))</t>
        </is>
      </c>
      <c r="BD83" s="38" t="inlineStr">
        <is>
          <t>IF(OR(E83="",AQ83=""),"",IF(COUNT(AG83:AP83)=0,"",AQ83-LOOKUP(2,1/(AG83:AP83&lt;&gt;""),AG83:AP83)))</t>
        </is>
      </c>
      <c r="BE83" s="38" t="inlineStr">
        <is>
          <t>IF(OR(E83="",AR83=""),"",IF(COUNT(AG83:AQ83)=0,"",AR83-LOOKUP(2,1/(AG83:AQ83&lt;&gt;""),AG83:AQ83)))</t>
        </is>
      </c>
      <c r="BF83" s="38" t="inlineStr">
        <is>
          <t>IF(OR(E83="",AS83=""),"",IF(COUNT(AG83:AR83)=0,"",AS83-LOOKUP(2,1/(AG83:AR83&lt;&gt;""),AG83:AR83)))</t>
        </is>
      </c>
      <c r="BG83" s="38" t="inlineStr">
        <is>
          <t>IF(OR(E83="",AT83=""),"",IF(COUNT(AG83:AS83)=0,"",AT83-LOOKUP(2,1/(AG83:AS83&lt;&gt;""),AG83:AS83)))</t>
        </is>
      </c>
      <c r="BH83" s="41" t="inlineStr">
        <is>
          <t>IF(G83="","All_Provinces",IFERROR(VLOOKUP(G83,'07_Lookups'!$A$4:$B$20,2,FALSE),"All_Provinces"))</t>
        </is>
      </c>
      <c r="BI83" s="41" t="inlineStr">
        <is>
          <t>IF(H83="","All_Districts",IFERROR(VLOOKUP(H83,'07_Lookups'!$E$4:$F$42,2,FALSE),"All_Districts"))</t>
        </is>
      </c>
    </row>
    <row r="84" ht="18" customHeight="1">
      <c r="A84" s="32" t="inlineStr">
        <is>
          <t>IF(E84="","",ROW()-3)</t>
        </is>
      </c>
      <c r="B84" s="33" t="inlineStr">
        <is>
          <t>AF2-WSM-A-015</t>
        </is>
      </c>
      <c r="C84" s="33" t="inlineStr">
        <is>
          <t>Emergency Food Security Project (EFSP) – WBK/AF-2</t>
        </is>
      </c>
      <c r="D84" s="33" t="inlineStr">
        <is>
          <t>Package #7-AF2 WSM: Construction of 3 Check dams of 1.Dargrak, 2. Migano, and 3.Lachagali the Sawkai, Khas Kunar and Narang districts of Kunar province.</t>
        </is>
      </c>
      <c r="E84" s="33" t="inlineStr">
        <is>
          <t>Dargarak Check Dam</t>
        </is>
      </c>
      <c r="F84" s="33" t="inlineStr">
        <is>
          <t>Check Dam</t>
        </is>
      </c>
      <c r="G84" s="33" t="inlineStr">
        <is>
          <t>East / Jalalabad</t>
        </is>
      </c>
      <c r="H84" s="33" t="inlineStr">
        <is>
          <t>Kunar</t>
        </is>
      </c>
      <c r="I84" s="33" t="inlineStr">
        <is>
          <t>Sawkai</t>
        </is>
      </c>
      <c r="J84" s="33" t="inlineStr">
        <is>
          <t>Daar Garak</t>
        </is>
      </c>
      <c r="K84" s="33" t="inlineStr">
        <is>
          <t>World Bank (WBK/AF-2)</t>
        </is>
      </c>
      <c r="L84" s="33" t="inlineStr">
        <is>
          <t>Awarded</t>
        </is>
      </c>
      <c r="M84" s="33" t="inlineStr">
        <is>
          <t>Watershed / Check dam</t>
        </is>
      </c>
      <c r="N84" s="33" t="inlineStr">
        <is>
          <t>3.WSM awarded contracts</t>
        </is>
      </c>
      <c r="O84" s="33" t="inlineStr">
        <is>
          <t>Green Bentley construction Company (GBCC)</t>
        </is>
      </c>
      <c r="P84" s="33" t="inlineStr">
        <is>
          <t>064/2026</t>
        </is>
      </c>
      <c r="Q84" s="34" t="n"/>
      <c r="R84" s="35" t="inlineStr">
        <is>
          <t>IF(AO84="","",AO84)</t>
        </is>
      </c>
      <c r="S84" s="36" t="n"/>
      <c r="T84" s="37" t="n">
        <v>4.9</v>
      </c>
      <c r="U84" s="36" t="n">
        <v>46456</v>
      </c>
      <c r="V84" s="35" t="inlineStr">
        <is>
          <t>IF(U84&lt;&gt;"",U84,IF(OR(R84="",T84=""),"",EDATE(R84,T84)))</t>
        </is>
      </c>
      <c r="W84" s="36" t="n"/>
      <c r="X84" s="37" t="n">
        <v>0</v>
      </c>
      <c r="Y84" s="33" t="inlineStr">
        <is>
          <t>Awarded</t>
        </is>
      </c>
      <c r="Z84" s="33" t="inlineStr">
        <is>
          <t>Awarded on 11 oct.2026</t>
        </is>
      </c>
      <c r="AA84" s="32" t="inlineStr">
        <is>
          <t>IF(E84="","",IF(COUNT(AG84:AT84)=0,IF(Y84="","Not started",Y84),SUBSTITUTE(LOOKUP(2,1/(AG84:AT84&lt;&gt;""),$AG$3:$AT$3),"Date: ","")))</t>
        </is>
      </c>
      <c r="AB84" s="38" t="inlineStr">
        <is>
          <t>IF(OR(E84="",COUNT(AG84:AT84)=0),"",TODAY()-LOOKUP(2,1/(AG84:AT84&lt;&gt;""),AG84:AT84))</t>
        </is>
      </c>
      <c r="AC84" s="38" t="inlineStr">
        <is>
          <t>IF(OR(E84="",COUNT(AG84:AT84)&lt;2),"",LOOKUP(2,1/(AG84:AT84&lt;&gt;""),AG84:AT84)-MIN(AG84:AT84))</t>
        </is>
      </c>
      <c r="AD84" s="38" t="inlineStr">
        <is>
          <t>IF(OR(AB84="",AA84="Not started",AA84=""),"",IFERROR(AB84-IF(VLOOKUP(AA84,'04_Status_Pipeline'!$B$3:$E$20,4,FALSE)="",0,VLOOKUP(AA84,'04_Status_Pipeline'!$B$3:$E$20,4,FALSE)),""))</t>
        </is>
      </c>
      <c r="AE84" s="32" t="inlineStr">
        <is>
          <t>IF(E84="","",IF(OR(Y84="Cancelled",AA84="Cancelled"),"Cancelled",IF(OR(AA84="Completed / Handover",W84&lt;&gt;"",X84&gt;=100),"Completed — on track",IF(L84="Remaining",IF(S84="",IF(V84="","No planned date",IF(TODAY()&gt;V84,"Behind — past planned date",IF(V84-TODAY()&lt;=30,"At risk — close to off track","On track"))),IF(TODAY()&gt;S84,"Behind — award date passed",IF(S84-TODAY()&lt;=30,"At risk — close to off track","On track"))),IF(V84="","No planned date",IF(AND(TODAY()&gt;V84,OR(X84="",X84&lt;100)),"Behind — past end date",IF(AND(R84&lt;&gt;"",V84&lt;&gt;"",X84&lt;&gt;"",(X84&lt;100),((TODAY()-R84)/MAX(V84-R84,1)*100)-X84&gt;15),"Behind — progress lag",IF(AND(V84-TODAY()&lt;=30,V84-TODAY()&gt;=0,OR(X84="",X84&lt;90)),"At risk — close to off track","On track"))))))))</t>
        </is>
      </c>
      <c r="AF84" s="38" t="inlineStr">
        <is>
          <t>IF(OR(E84="",AA84="Completed / Handover",AA84="Cancelled"),"",IF(L84="Remaining",IF(S84&lt;&gt;"",S84-TODAY(),IF(V84="","",V84-TODAY())),IF(V84="","",V84-TODAY())))</t>
        </is>
      </c>
      <c r="AG84" s="39" t="n"/>
      <c r="AH84" s="39" t="n"/>
      <c r="AI84" s="39" t="n"/>
      <c r="AJ84" s="39" t="n"/>
      <c r="AK84" s="39" t="n"/>
      <c r="AL84" s="39" t="n"/>
      <c r="AM84" s="39" t="n"/>
      <c r="AN84" s="39" t="n"/>
      <c r="AO84" s="39" t="n">
        <v>46306</v>
      </c>
      <c r="AP84" s="39" t="n"/>
      <c r="AQ84" s="39" t="n"/>
      <c r="AR84" s="40" t="n"/>
      <c r="AS84" s="40" t="n"/>
      <c r="AT84" s="40" t="n"/>
      <c r="AU84" s="38" t="inlineStr">
        <is>
          <t>IF(OR(E84="",AH84=""),"",IF(COUNT(AG84:AG84)=0,"",AH84-LOOKUP(2,1/(AG84:AG84&lt;&gt;""),AG84:AG84)))</t>
        </is>
      </c>
      <c r="AV84" s="38" t="inlineStr">
        <is>
          <t>IF(OR(E84="",AI84=""),"",IF(COUNT(AG84:AH84)=0,"",AI84-LOOKUP(2,1/(AG84:AH84&lt;&gt;""),AG84:AH84)))</t>
        </is>
      </c>
      <c r="AW84" s="38" t="inlineStr">
        <is>
          <t>IF(OR(E84="",AJ84=""),"",IF(COUNT(AG84:AI84)=0,"",AJ84-LOOKUP(2,1/(AG84:AI84&lt;&gt;""),AG84:AI84)))</t>
        </is>
      </c>
      <c r="AX84" s="38" t="inlineStr">
        <is>
          <t>IF(OR(E84="",AK84=""),"",IF(COUNT(AG84:AJ84)=0,"",AK84-LOOKUP(2,1/(AG84:AJ84&lt;&gt;""),AG84:AJ84)))</t>
        </is>
      </c>
      <c r="AY84" s="38" t="inlineStr">
        <is>
          <t>IF(OR(E84="",AL84=""),"",IF(COUNT(AG84:AK84)=0,"",AL84-LOOKUP(2,1/(AG84:AK84&lt;&gt;""),AG84:AK84)))</t>
        </is>
      </c>
      <c r="AZ84" s="38" t="inlineStr">
        <is>
          <t>IF(OR(E84="",AM84=""),"",IF(COUNT(AG84:AL84)=0,"",AM84-LOOKUP(2,1/(AG84:AL84&lt;&gt;""),AG84:AL84)))</t>
        </is>
      </c>
      <c r="BA84" s="38" t="inlineStr">
        <is>
          <t>IF(OR(E84="",AN84=""),"",IF(COUNT(AG84:AM84)=0,"",AN84-LOOKUP(2,1/(AG84:AM84&lt;&gt;""),AG84:AM84)))</t>
        </is>
      </c>
      <c r="BB84" s="38" t="inlineStr">
        <is>
          <t>IF(OR(E84="",AO84=""),"",IF(COUNT(AG84:AN84)=0,"",AO84-LOOKUP(2,1/(AG84:AN84&lt;&gt;""),AG84:AN84)))</t>
        </is>
      </c>
      <c r="BC84" s="38" t="inlineStr">
        <is>
          <t>IF(OR(E84="",AP84=""),"",IF(COUNT(AG84:AO84)=0,"",AP84-LOOKUP(2,1/(AG84:AO84&lt;&gt;""),AG84:AO84)))</t>
        </is>
      </c>
      <c r="BD84" s="38" t="inlineStr">
        <is>
          <t>IF(OR(E84="",AQ84=""),"",IF(COUNT(AG84:AP84)=0,"",AQ84-LOOKUP(2,1/(AG84:AP84&lt;&gt;""),AG84:AP84)))</t>
        </is>
      </c>
      <c r="BE84" s="38" t="inlineStr">
        <is>
          <t>IF(OR(E84="",AR84=""),"",IF(COUNT(AG84:AQ84)=0,"",AR84-LOOKUP(2,1/(AG84:AQ84&lt;&gt;""),AG84:AQ84)))</t>
        </is>
      </c>
      <c r="BF84" s="38" t="inlineStr">
        <is>
          <t>IF(OR(E84="",AS84=""),"",IF(COUNT(AG84:AR84)=0,"",AS84-LOOKUP(2,1/(AG84:AR84&lt;&gt;""),AG84:AR84)))</t>
        </is>
      </c>
      <c r="BG84" s="38" t="inlineStr">
        <is>
          <t>IF(OR(E84="",AT84=""),"",IF(COUNT(AG84:AS84)=0,"",AT84-LOOKUP(2,1/(AG84:AS84&lt;&gt;""),AG84:AS84)))</t>
        </is>
      </c>
      <c r="BH84" s="41" t="inlineStr">
        <is>
          <t>IF(G84="","All_Provinces",IFERROR(VLOOKUP(G84,'07_Lookups'!$A$4:$B$20,2,FALSE),"All_Provinces"))</t>
        </is>
      </c>
      <c r="BI84" s="41" t="inlineStr">
        <is>
          <t>IF(H84="","All_Districts",IFERROR(VLOOKUP(H84,'07_Lookups'!$E$4:$F$42,2,FALSE),"All_Districts"))</t>
        </is>
      </c>
    </row>
    <row r="85" ht="18" customHeight="1">
      <c r="A85" s="32" t="inlineStr">
        <is>
          <t>IF(E85="","",ROW()-3)</t>
        </is>
      </c>
      <c r="B85" s="42" t="inlineStr">
        <is>
          <t>AF2-WSM-A-016</t>
        </is>
      </c>
      <c r="C85" s="42" t="inlineStr">
        <is>
          <t>Emergency Food Security Project (EFSP) – WBK/AF-2</t>
        </is>
      </c>
      <c r="D85" s="42" t="inlineStr">
        <is>
          <t>Package #7-AF2 WSM: Construction of 3 Check dams of 1.Dargrak, 2. Migano, and 3.Lachagali the Sawkai, Khas Kunar and Narang districts of Kunar province.</t>
        </is>
      </c>
      <c r="E85" s="42" t="inlineStr">
        <is>
          <t>Miagan Check Dam</t>
        </is>
      </c>
      <c r="F85" s="42" t="inlineStr">
        <is>
          <t>Check Dam</t>
        </is>
      </c>
      <c r="G85" s="42" t="inlineStr">
        <is>
          <t>East / Jalalabad</t>
        </is>
      </c>
      <c r="H85" s="42" t="inlineStr">
        <is>
          <t>Kunar</t>
        </is>
      </c>
      <c r="I85" s="42" t="inlineStr">
        <is>
          <t>Khas Kunar</t>
        </is>
      </c>
      <c r="J85" s="42" t="inlineStr">
        <is>
          <t>Miagan Kali</t>
        </is>
      </c>
      <c r="K85" s="42" t="inlineStr">
        <is>
          <t>World Bank (WBK/AF-2)</t>
        </is>
      </c>
      <c r="L85" s="42" t="inlineStr">
        <is>
          <t>Awarded</t>
        </is>
      </c>
      <c r="M85" s="42" t="inlineStr">
        <is>
          <t>Watershed / Check dam</t>
        </is>
      </c>
      <c r="N85" s="42" t="inlineStr">
        <is>
          <t>3.WSM awarded contracts</t>
        </is>
      </c>
      <c r="O85" s="42" t="inlineStr">
        <is>
          <t>Green Bentley construction Company (GBCC)</t>
        </is>
      </c>
      <c r="P85" s="42" t="inlineStr">
        <is>
          <t>064/2026</t>
        </is>
      </c>
      <c r="Q85" s="43" t="n"/>
      <c r="R85" s="35" t="inlineStr">
        <is>
          <t>IF(AO85="","",AO85)</t>
        </is>
      </c>
      <c r="S85" s="44" t="n"/>
      <c r="T85" s="45" t="n">
        <v>4.9</v>
      </c>
      <c r="U85" s="44" t="n">
        <v>46456</v>
      </c>
      <c r="V85" s="35" t="inlineStr">
        <is>
          <t>IF(U85&lt;&gt;"",U85,IF(OR(R85="",T85=""),"",EDATE(R85,T85)))</t>
        </is>
      </c>
      <c r="W85" s="44" t="n"/>
      <c r="X85" s="45" t="n">
        <v>0</v>
      </c>
      <c r="Y85" s="42" t="inlineStr">
        <is>
          <t>Awarded</t>
        </is>
      </c>
      <c r="Z85" s="42" t="inlineStr">
        <is>
          <t>Awarded on 11 oct.2026</t>
        </is>
      </c>
      <c r="AA85" s="32" t="inlineStr">
        <is>
          <t>IF(E85="","",IF(COUNT(AG85:AT85)=0,IF(Y85="","Not started",Y85),SUBSTITUTE(LOOKUP(2,1/(AG85:AT85&lt;&gt;""),$AG$3:$AT$3),"Date: ","")))</t>
        </is>
      </c>
      <c r="AB85" s="38" t="inlineStr">
        <is>
          <t>IF(OR(E85="",COUNT(AG85:AT85)=0),"",TODAY()-LOOKUP(2,1/(AG85:AT85&lt;&gt;""),AG85:AT85))</t>
        </is>
      </c>
      <c r="AC85" s="38" t="inlineStr">
        <is>
          <t>IF(OR(E85="",COUNT(AG85:AT85)&lt;2),"",LOOKUP(2,1/(AG85:AT85&lt;&gt;""),AG85:AT85)-MIN(AG85:AT85))</t>
        </is>
      </c>
      <c r="AD85" s="38" t="inlineStr">
        <is>
          <t>IF(OR(AB85="",AA85="Not started",AA85=""),"",IFERROR(AB85-IF(VLOOKUP(AA85,'04_Status_Pipeline'!$B$3:$E$20,4,FALSE)="",0,VLOOKUP(AA85,'04_Status_Pipeline'!$B$3:$E$20,4,FALSE)),""))</t>
        </is>
      </c>
      <c r="AE85" s="32" t="inlineStr">
        <is>
          <t>IF(E85="","",IF(OR(Y85="Cancelled",AA85="Cancelled"),"Cancelled",IF(OR(AA85="Completed / Handover",W85&lt;&gt;"",X85&gt;=100),"Completed — on track",IF(L85="Remaining",IF(S85="",IF(V85="","No planned date",IF(TODAY()&gt;V85,"Behind — past planned date",IF(V85-TODAY()&lt;=30,"At risk — close to off track","On track"))),IF(TODAY()&gt;S85,"Behind — award date passed",IF(S85-TODAY()&lt;=30,"At risk — close to off track","On track"))),IF(V85="","No planned date",IF(AND(TODAY()&gt;V85,OR(X85="",X85&lt;100)),"Behind — past end date",IF(AND(R85&lt;&gt;"",V85&lt;&gt;"",X85&lt;&gt;"",(X85&lt;100),((TODAY()-R85)/MAX(V85-R85,1)*100)-X85&gt;15),"Behind — progress lag",IF(AND(V85-TODAY()&lt;=30,V85-TODAY()&gt;=0,OR(X85="",X85&lt;90)),"At risk — close to off track","On track"))))))))</t>
        </is>
      </c>
      <c r="AF85" s="38" t="inlineStr">
        <is>
          <t>IF(OR(E85="",AA85="Completed / Handover",AA85="Cancelled"),"",IF(L85="Remaining",IF(S85&lt;&gt;"",S85-TODAY(),IF(V85="","",V85-TODAY())),IF(V85="","",V85-TODAY())))</t>
        </is>
      </c>
      <c r="AG85" s="39" t="n"/>
      <c r="AH85" s="39" t="n"/>
      <c r="AI85" s="39" t="n"/>
      <c r="AJ85" s="39" t="n"/>
      <c r="AK85" s="39" t="n"/>
      <c r="AL85" s="39" t="n"/>
      <c r="AM85" s="39" t="n"/>
      <c r="AN85" s="39" t="n"/>
      <c r="AO85" s="39" t="n">
        <v>46306</v>
      </c>
      <c r="AP85" s="39" t="n"/>
      <c r="AQ85" s="39" t="n"/>
      <c r="AR85" s="40" t="n"/>
      <c r="AS85" s="40" t="n"/>
      <c r="AT85" s="40" t="n"/>
      <c r="AU85" s="38" t="inlineStr">
        <is>
          <t>IF(OR(E85="",AH85=""),"",IF(COUNT(AG85:AG85)=0,"",AH85-LOOKUP(2,1/(AG85:AG85&lt;&gt;""),AG85:AG85)))</t>
        </is>
      </c>
      <c r="AV85" s="38" t="inlineStr">
        <is>
          <t>IF(OR(E85="",AI85=""),"",IF(COUNT(AG85:AH85)=0,"",AI85-LOOKUP(2,1/(AG85:AH85&lt;&gt;""),AG85:AH85)))</t>
        </is>
      </c>
      <c r="AW85" s="38" t="inlineStr">
        <is>
          <t>IF(OR(E85="",AJ85=""),"",IF(COUNT(AG85:AI85)=0,"",AJ85-LOOKUP(2,1/(AG85:AI85&lt;&gt;""),AG85:AI85)))</t>
        </is>
      </c>
      <c r="AX85" s="38" t="inlineStr">
        <is>
          <t>IF(OR(E85="",AK85=""),"",IF(COUNT(AG85:AJ85)=0,"",AK85-LOOKUP(2,1/(AG85:AJ85&lt;&gt;""),AG85:AJ85)))</t>
        </is>
      </c>
      <c r="AY85" s="38" t="inlineStr">
        <is>
          <t>IF(OR(E85="",AL85=""),"",IF(COUNT(AG85:AK85)=0,"",AL85-LOOKUP(2,1/(AG85:AK85&lt;&gt;""),AG85:AK85)))</t>
        </is>
      </c>
      <c r="AZ85" s="38" t="inlineStr">
        <is>
          <t>IF(OR(E85="",AM85=""),"",IF(COUNT(AG85:AL85)=0,"",AM85-LOOKUP(2,1/(AG85:AL85&lt;&gt;""),AG85:AL85)))</t>
        </is>
      </c>
      <c r="BA85" s="38" t="inlineStr">
        <is>
          <t>IF(OR(E85="",AN85=""),"",IF(COUNT(AG85:AM85)=0,"",AN85-LOOKUP(2,1/(AG85:AM85&lt;&gt;""),AG85:AM85)))</t>
        </is>
      </c>
      <c r="BB85" s="38" t="inlineStr">
        <is>
          <t>IF(OR(E85="",AO85=""),"",IF(COUNT(AG85:AN85)=0,"",AO85-LOOKUP(2,1/(AG85:AN85&lt;&gt;""),AG85:AN85)))</t>
        </is>
      </c>
      <c r="BC85" s="38" t="inlineStr">
        <is>
          <t>IF(OR(E85="",AP85=""),"",IF(COUNT(AG85:AO85)=0,"",AP85-LOOKUP(2,1/(AG85:AO85&lt;&gt;""),AG85:AO85)))</t>
        </is>
      </c>
      <c r="BD85" s="38" t="inlineStr">
        <is>
          <t>IF(OR(E85="",AQ85=""),"",IF(COUNT(AG85:AP85)=0,"",AQ85-LOOKUP(2,1/(AG85:AP85&lt;&gt;""),AG85:AP85)))</t>
        </is>
      </c>
      <c r="BE85" s="38" t="inlineStr">
        <is>
          <t>IF(OR(E85="",AR85=""),"",IF(COUNT(AG85:AQ85)=0,"",AR85-LOOKUP(2,1/(AG85:AQ85&lt;&gt;""),AG85:AQ85)))</t>
        </is>
      </c>
      <c r="BF85" s="38" t="inlineStr">
        <is>
          <t>IF(OR(E85="",AS85=""),"",IF(COUNT(AG85:AR85)=0,"",AS85-LOOKUP(2,1/(AG85:AR85&lt;&gt;""),AG85:AR85)))</t>
        </is>
      </c>
      <c r="BG85" s="38" t="inlineStr">
        <is>
          <t>IF(OR(E85="",AT85=""),"",IF(COUNT(AG85:AS85)=0,"",AT85-LOOKUP(2,1/(AG85:AS85&lt;&gt;""),AG85:AS85)))</t>
        </is>
      </c>
      <c r="BH85" s="41" t="inlineStr">
        <is>
          <t>IF(G85="","All_Provinces",IFERROR(VLOOKUP(G85,'07_Lookups'!$A$4:$B$20,2,FALSE),"All_Provinces"))</t>
        </is>
      </c>
      <c r="BI85" s="41" t="inlineStr">
        <is>
          <t>IF(H85="","All_Districts",IFERROR(VLOOKUP(H85,'07_Lookups'!$E$4:$F$42,2,FALSE),"All_Districts"))</t>
        </is>
      </c>
    </row>
    <row r="86" ht="18" customHeight="1">
      <c r="A86" s="32" t="inlineStr">
        <is>
          <t>IF(E86="","",ROW()-3)</t>
        </is>
      </c>
      <c r="B86" s="33" t="inlineStr">
        <is>
          <t>AF2-WSM-A-017</t>
        </is>
      </c>
      <c r="C86" s="33" t="inlineStr">
        <is>
          <t>Emergency Food Security Project (EFSP) – WBK/AF-2</t>
        </is>
      </c>
      <c r="D86" s="33" t="inlineStr">
        <is>
          <t>Package #8-AF2 WSM: Construction of 1.Ghazgai Check dam in Khake Jabar districts, 2.Toop Dara Check dam and 3.Toot Dara Check dam in Center/ 13th City district Kabul province.</t>
        </is>
      </c>
      <c r="E86" s="33" t="inlineStr">
        <is>
          <t>1.Toop Dara Check dam</t>
        </is>
      </c>
      <c r="F86" s="33" t="inlineStr">
        <is>
          <t>Check Dam</t>
        </is>
      </c>
      <c r="G86" s="33" t="inlineStr">
        <is>
          <t>Central / Kabul</t>
        </is>
      </c>
      <c r="H86" s="33" t="inlineStr">
        <is>
          <t>Kabul</t>
        </is>
      </c>
      <c r="I86" s="33" t="inlineStr">
        <is>
          <t>Center</t>
        </is>
      </c>
      <c r="J86" s="33" t="inlineStr">
        <is>
          <t>13th district</t>
        </is>
      </c>
      <c r="K86" s="33" t="inlineStr">
        <is>
          <t>World Bank (WBK/AF-2)</t>
        </is>
      </c>
      <c r="L86" s="33" t="inlineStr">
        <is>
          <t>Awarded</t>
        </is>
      </c>
      <c r="M86" s="33" t="inlineStr">
        <is>
          <t>Watershed / Check dam</t>
        </is>
      </c>
      <c r="N86" s="33" t="inlineStr">
        <is>
          <t>3.WSM awarded contracts</t>
        </is>
      </c>
      <c r="O86" s="33" t="inlineStr">
        <is>
          <t>ALTIN CONSTRUCTION AND ROAD BUILDING COMPANY (ACC)</t>
        </is>
      </c>
      <c r="P86" s="33" t="inlineStr">
        <is>
          <t>005/2026</t>
        </is>
      </c>
      <c r="Q86" s="34" t="n">
        <v>65749</v>
      </c>
      <c r="R86" s="35" t="inlineStr">
        <is>
          <t>IF(AO86="","",AO86)</t>
        </is>
      </c>
      <c r="S86" s="36" t="n"/>
      <c r="T86" s="37" t="n">
        <v>6.9</v>
      </c>
      <c r="U86" s="36" t="n">
        <v>46253</v>
      </c>
      <c r="V86" s="35" t="inlineStr">
        <is>
          <t>IF(U86&lt;&gt;"",U86,IF(OR(R86="",T86=""),"",EDATE(R86,T86)))</t>
        </is>
      </c>
      <c r="W86" s="36" t="n"/>
      <c r="X86" s="37" t="n">
        <v>100</v>
      </c>
      <c r="Y86" s="33" t="inlineStr">
        <is>
          <t>Completed / Handover</t>
        </is>
      </c>
      <c r="Z86" s="33" t="inlineStr">
        <is>
          <t>Completed on July, 2026</t>
        </is>
      </c>
      <c r="AA86" s="32" t="inlineStr">
        <is>
          <t>IF(E86="","",IF(COUNT(AG86:AT86)=0,IF(Y86="","Not started",Y86),SUBSTITUTE(LOOKUP(2,1/(AG86:AT86&lt;&gt;""),$AG$3:$AT$3),"Date: ","")))</t>
        </is>
      </c>
      <c r="AB86" s="38" t="inlineStr">
        <is>
          <t>IF(OR(E86="",COUNT(AG86:AT86)=0),"",TODAY()-LOOKUP(2,1/(AG86:AT86&lt;&gt;""),AG86:AT86))</t>
        </is>
      </c>
      <c r="AC86" s="38" t="inlineStr">
        <is>
          <t>IF(OR(E86="",COUNT(AG86:AT86)&lt;2),"",LOOKUP(2,1/(AG86:AT86&lt;&gt;""),AG86:AT86)-MIN(AG86:AT86))</t>
        </is>
      </c>
      <c r="AD86" s="38" t="inlineStr">
        <is>
          <t>IF(OR(AB86="",AA86="Not started",AA86=""),"",IFERROR(AB86-IF(VLOOKUP(AA86,'04_Status_Pipeline'!$B$3:$E$20,4,FALSE)="",0,VLOOKUP(AA86,'04_Status_Pipeline'!$B$3:$E$20,4,FALSE)),""))</t>
        </is>
      </c>
      <c r="AE86" s="32" t="inlineStr">
        <is>
          <t>IF(E86="","",IF(OR(Y86="Cancelled",AA86="Cancelled"),"Cancelled",IF(OR(AA86="Completed / Handover",W86&lt;&gt;"",X86&gt;=100),"Completed — on track",IF(L86="Remaining",IF(S86="",IF(V86="","No planned date",IF(TODAY()&gt;V86,"Behind — past planned date",IF(V86-TODAY()&lt;=30,"At risk — close to off track","On track"))),IF(TODAY()&gt;S86,"Behind — award date passed",IF(S86-TODAY()&lt;=30,"At risk — close to off track","On track"))),IF(V86="","No planned date",IF(AND(TODAY()&gt;V86,OR(X86="",X86&lt;100)),"Behind — past end date",IF(AND(R86&lt;&gt;"",V86&lt;&gt;"",X86&lt;&gt;"",(X86&lt;100),((TODAY()-R86)/MAX(V86-R86,1)*100)-X86&gt;15),"Behind — progress lag",IF(AND(V86-TODAY()&lt;=30,V86-TODAY()&gt;=0,OR(X86="",X86&lt;90)),"At risk — close to off track","On track"))))))))</t>
        </is>
      </c>
      <c r="AF86" s="38" t="inlineStr">
        <is>
          <t>IF(OR(E86="",AA86="Completed / Handover",AA86="Cancelled"),"",IF(L86="Remaining",IF(S86&lt;&gt;"",S86-TODAY(),IF(V86="","",V86-TODAY())),IF(V86="","",V86-TODAY())))</t>
        </is>
      </c>
      <c r="AG86" s="39" t="n"/>
      <c r="AH86" s="39" t="n"/>
      <c r="AI86" s="39" t="n"/>
      <c r="AJ86" s="39" t="n"/>
      <c r="AK86" s="39" t="n"/>
      <c r="AL86" s="39" t="n"/>
      <c r="AM86" s="39" t="n"/>
      <c r="AN86" s="39" t="n"/>
      <c r="AO86" s="39" t="n">
        <v>46042</v>
      </c>
      <c r="AP86" s="39" t="n">
        <v>46042</v>
      </c>
      <c r="AQ86" s="39" t="n">
        <v>46253</v>
      </c>
      <c r="AR86" s="40" t="n"/>
      <c r="AS86" s="40" t="n"/>
      <c r="AT86" s="40" t="n"/>
      <c r="AU86" s="38" t="inlineStr">
        <is>
          <t>IF(OR(E86="",AH86=""),"",IF(COUNT(AG86:AG86)=0,"",AH86-LOOKUP(2,1/(AG86:AG86&lt;&gt;""),AG86:AG86)))</t>
        </is>
      </c>
      <c r="AV86" s="38" t="inlineStr">
        <is>
          <t>IF(OR(E86="",AI86=""),"",IF(COUNT(AG86:AH86)=0,"",AI86-LOOKUP(2,1/(AG86:AH86&lt;&gt;""),AG86:AH86)))</t>
        </is>
      </c>
      <c r="AW86" s="38" t="inlineStr">
        <is>
          <t>IF(OR(E86="",AJ86=""),"",IF(COUNT(AG86:AI86)=0,"",AJ86-LOOKUP(2,1/(AG86:AI86&lt;&gt;""),AG86:AI86)))</t>
        </is>
      </c>
      <c r="AX86" s="38" t="inlineStr">
        <is>
          <t>IF(OR(E86="",AK86=""),"",IF(COUNT(AG86:AJ86)=0,"",AK86-LOOKUP(2,1/(AG86:AJ86&lt;&gt;""),AG86:AJ86)))</t>
        </is>
      </c>
      <c r="AY86" s="38" t="inlineStr">
        <is>
          <t>IF(OR(E86="",AL86=""),"",IF(COUNT(AG86:AK86)=0,"",AL86-LOOKUP(2,1/(AG86:AK86&lt;&gt;""),AG86:AK86)))</t>
        </is>
      </c>
      <c r="AZ86" s="38" t="inlineStr">
        <is>
          <t>IF(OR(E86="",AM86=""),"",IF(COUNT(AG86:AL86)=0,"",AM86-LOOKUP(2,1/(AG86:AL86&lt;&gt;""),AG86:AL86)))</t>
        </is>
      </c>
      <c r="BA86" s="38" t="inlineStr">
        <is>
          <t>IF(OR(E86="",AN86=""),"",IF(COUNT(AG86:AM86)=0,"",AN86-LOOKUP(2,1/(AG86:AM86&lt;&gt;""),AG86:AM86)))</t>
        </is>
      </c>
      <c r="BB86" s="38" t="inlineStr">
        <is>
          <t>IF(OR(E86="",AO86=""),"",IF(COUNT(AG86:AN86)=0,"",AO86-LOOKUP(2,1/(AG86:AN86&lt;&gt;""),AG86:AN86)))</t>
        </is>
      </c>
      <c r="BC86" s="38" t="inlineStr">
        <is>
          <t>IF(OR(E86="",AP86=""),"",IF(COUNT(AG86:AO86)=0,"",AP86-LOOKUP(2,1/(AG86:AO86&lt;&gt;""),AG86:AO86)))</t>
        </is>
      </c>
      <c r="BD86" s="38" t="inlineStr">
        <is>
          <t>IF(OR(E86="",AQ86=""),"",IF(COUNT(AG86:AP86)=0,"",AQ86-LOOKUP(2,1/(AG86:AP86&lt;&gt;""),AG86:AP86)))</t>
        </is>
      </c>
      <c r="BE86" s="38" t="inlineStr">
        <is>
          <t>IF(OR(E86="",AR86=""),"",IF(COUNT(AG86:AQ86)=0,"",AR86-LOOKUP(2,1/(AG86:AQ86&lt;&gt;""),AG86:AQ86)))</t>
        </is>
      </c>
      <c r="BF86" s="38" t="inlineStr">
        <is>
          <t>IF(OR(E86="",AS86=""),"",IF(COUNT(AG86:AR86)=0,"",AS86-LOOKUP(2,1/(AG86:AR86&lt;&gt;""),AG86:AR86)))</t>
        </is>
      </c>
      <c r="BG86" s="38" t="inlineStr">
        <is>
          <t>IF(OR(E86="",AT86=""),"",IF(COUNT(AG86:AS86)=0,"",AT86-LOOKUP(2,1/(AG86:AS86&lt;&gt;""),AG86:AS86)))</t>
        </is>
      </c>
      <c r="BH86" s="41" t="inlineStr">
        <is>
          <t>IF(G86="","All_Provinces",IFERROR(VLOOKUP(G86,'07_Lookups'!$A$4:$B$20,2,FALSE),"All_Provinces"))</t>
        </is>
      </c>
      <c r="BI86" s="41" t="inlineStr">
        <is>
          <t>IF(H86="","All_Districts",IFERROR(VLOOKUP(H86,'07_Lookups'!$E$4:$F$42,2,FALSE),"All_Districts"))</t>
        </is>
      </c>
    </row>
    <row r="87" ht="18" customHeight="1">
      <c r="A87" s="32" t="inlineStr">
        <is>
          <t>IF(E87="","",ROW()-3)</t>
        </is>
      </c>
      <c r="B87" s="42" t="inlineStr">
        <is>
          <t>AF2-WSM-A-018</t>
        </is>
      </c>
      <c r="C87" s="42" t="inlineStr">
        <is>
          <t>Emergency Food Security Project (EFSP) – WBK/AF-2</t>
        </is>
      </c>
      <c r="D87" s="42" t="inlineStr">
        <is>
          <t>Package #8-AF2 WSM: Construction of 1.Ghazgai Check dam in Khake Jabar districts, 2.Toop Dara Check dam and 3.Toot Dara Check dam in Center/ 13th City district Kabul province.</t>
        </is>
      </c>
      <c r="E87" s="42" t="inlineStr">
        <is>
          <t>2.Toot Dara Check dam</t>
        </is>
      </c>
      <c r="F87" s="42" t="inlineStr">
        <is>
          <t>Check Dam</t>
        </is>
      </c>
      <c r="G87" s="42" t="inlineStr">
        <is>
          <t>Central / Kabul</t>
        </is>
      </c>
      <c r="H87" s="42" t="inlineStr">
        <is>
          <t>Kabul</t>
        </is>
      </c>
      <c r="I87" s="42" t="inlineStr">
        <is>
          <t>Center</t>
        </is>
      </c>
      <c r="J87" s="42" t="inlineStr">
        <is>
          <t>13th district</t>
        </is>
      </c>
      <c r="K87" s="42" t="inlineStr">
        <is>
          <t>World Bank (WBK/AF-2)</t>
        </is>
      </c>
      <c r="L87" s="42" t="inlineStr">
        <is>
          <t>Awarded</t>
        </is>
      </c>
      <c r="M87" s="42" t="inlineStr">
        <is>
          <t>Watershed / Check dam</t>
        </is>
      </c>
      <c r="N87" s="42" t="inlineStr">
        <is>
          <t>3.WSM awarded contracts</t>
        </is>
      </c>
      <c r="O87" s="42" t="inlineStr">
        <is>
          <t>ALTIN CONSTRUCTION AND ROAD BUILDING COMPANY (ACC)</t>
        </is>
      </c>
      <c r="P87" s="42" t="inlineStr">
        <is>
          <t>005/2026</t>
        </is>
      </c>
      <c r="Q87" s="43" t="n"/>
      <c r="R87" s="35" t="inlineStr">
        <is>
          <t>IF(AO87="","",AO87)</t>
        </is>
      </c>
      <c r="S87" s="44" t="n"/>
      <c r="T87" s="45" t="n">
        <v>6.9</v>
      </c>
      <c r="U87" s="44" t="n">
        <v>46253</v>
      </c>
      <c r="V87" s="35" t="inlineStr">
        <is>
          <t>IF(U87&lt;&gt;"",U87,IF(OR(R87="",T87=""),"",EDATE(R87,T87)))</t>
        </is>
      </c>
      <c r="W87" s="44" t="n"/>
      <c r="X87" s="45" t="n">
        <v>100</v>
      </c>
      <c r="Y87" s="42" t="inlineStr">
        <is>
          <t>Completed / Handover</t>
        </is>
      </c>
      <c r="Z87" s="42" t="inlineStr">
        <is>
          <t>Completed on July, 2026</t>
        </is>
      </c>
      <c r="AA87" s="32" t="inlineStr">
        <is>
          <t>IF(E87="","",IF(COUNT(AG87:AT87)=0,IF(Y87="","Not started",Y87),SUBSTITUTE(LOOKUP(2,1/(AG87:AT87&lt;&gt;""),$AG$3:$AT$3),"Date: ","")))</t>
        </is>
      </c>
      <c r="AB87" s="38" t="inlineStr">
        <is>
          <t>IF(OR(E87="",COUNT(AG87:AT87)=0),"",TODAY()-LOOKUP(2,1/(AG87:AT87&lt;&gt;""),AG87:AT87))</t>
        </is>
      </c>
      <c r="AC87" s="38" t="inlineStr">
        <is>
          <t>IF(OR(E87="",COUNT(AG87:AT87)&lt;2),"",LOOKUP(2,1/(AG87:AT87&lt;&gt;""),AG87:AT87)-MIN(AG87:AT87))</t>
        </is>
      </c>
      <c r="AD87" s="38" t="inlineStr">
        <is>
          <t>IF(OR(AB87="",AA87="Not started",AA87=""),"",IFERROR(AB87-IF(VLOOKUP(AA87,'04_Status_Pipeline'!$B$3:$E$20,4,FALSE)="",0,VLOOKUP(AA87,'04_Status_Pipeline'!$B$3:$E$20,4,FALSE)),""))</t>
        </is>
      </c>
      <c r="AE87" s="32" t="inlineStr">
        <is>
          <t>IF(E87="","",IF(OR(Y87="Cancelled",AA87="Cancelled"),"Cancelled",IF(OR(AA87="Completed / Handover",W87&lt;&gt;"",X87&gt;=100),"Completed — on track",IF(L87="Remaining",IF(S87="",IF(V87="","No planned date",IF(TODAY()&gt;V87,"Behind — past planned date",IF(V87-TODAY()&lt;=30,"At risk — close to off track","On track"))),IF(TODAY()&gt;S87,"Behind — award date passed",IF(S87-TODAY()&lt;=30,"At risk — close to off track","On track"))),IF(V87="","No planned date",IF(AND(TODAY()&gt;V87,OR(X87="",X87&lt;100)),"Behind — past end date",IF(AND(R87&lt;&gt;"",V87&lt;&gt;"",X87&lt;&gt;"",(X87&lt;100),((TODAY()-R87)/MAX(V87-R87,1)*100)-X87&gt;15),"Behind — progress lag",IF(AND(V87-TODAY()&lt;=30,V87-TODAY()&gt;=0,OR(X87="",X87&lt;90)),"At risk — close to off track","On track"))))))))</t>
        </is>
      </c>
      <c r="AF87" s="38" t="inlineStr">
        <is>
          <t>IF(OR(E87="",AA87="Completed / Handover",AA87="Cancelled"),"",IF(L87="Remaining",IF(S87&lt;&gt;"",S87-TODAY(),IF(V87="","",V87-TODAY())),IF(V87="","",V87-TODAY())))</t>
        </is>
      </c>
      <c r="AG87" s="39" t="n"/>
      <c r="AH87" s="39" t="n"/>
      <c r="AI87" s="39" t="n"/>
      <c r="AJ87" s="39" t="n"/>
      <c r="AK87" s="39" t="n"/>
      <c r="AL87" s="39" t="n"/>
      <c r="AM87" s="39" t="n"/>
      <c r="AN87" s="39" t="n"/>
      <c r="AO87" s="39" t="n">
        <v>46042</v>
      </c>
      <c r="AP87" s="39" t="n">
        <v>46042</v>
      </c>
      <c r="AQ87" s="39" t="n">
        <v>46253</v>
      </c>
      <c r="AR87" s="40" t="n"/>
      <c r="AS87" s="40" t="n"/>
      <c r="AT87" s="40" t="n"/>
      <c r="AU87" s="38" t="inlineStr">
        <is>
          <t>IF(OR(E87="",AH87=""),"",IF(COUNT(AG87:AG87)=0,"",AH87-LOOKUP(2,1/(AG87:AG87&lt;&gt;""),AG87:AG87)))</t>
        </is>
      </c>
      <c r="AV87" s="38" t="inlineStr">
        <is>
          <t>IF(OR(E87="",AI87=""),"",IF(COUNT(AG87:AH87)=0,"",AI87-LOOKUP(2,1/(AG87:AH87&lt;&gt;""),AG87:AH87)))</t>
        </is>
      </c>
      <c r="AW87" s="38" t="inlineStr">
        <is>
          <t>IF(OR(E87="",AJ87=""),"",IF(COUNT(AG87:AI87)=0,"",AJ87-LOOKUP(2,1/(AG87:AI87&lt;&gt;""),AG87:AI87)))</t>
        </is>
      </c>
      <c r="AX87" s="38" t="inlineStr">
        <is>
          <t>IF(OR(E87="",AK87=""),"",IF(COUNT(AG87:AJ87)=0,"",AK87-LOOKUP(2,1/(AG87:AJ87&lt;&gt;""),AG87:AJ87)))</t>
        </is>
      </c>
      <c r="AY87" s="38" t="inlineStr">
        <is>
          <t>IF(OR(E87="",AL87=""),"",IF(COUNT(AG87:AK87)=0,"",AL87-LOOKUP(2,1/(AG87:AK87&lt;&gt;""),AG87:AK87)))</t>
        </is>
      </c>
      <c r="AZ87" s="38" t="inlineStr">
        <is>
          <t>IF(OR(E87="",AM87=""),"",IF(COUNT(AG87:AL87)=0,"",AM87-LOOKUP(2,1/(AG87:AL87&lt;&gt;""),AG87:AL87)))</t>
        </is>
      </c>
      <c r="BA87" s="38" t="inlineStr">
        <is>
          <t>IF(OR(E87="",AN87=""),"",IF(COUNT(AG87:AM87)=0,"",AN87-LOOKUP(2,1/(AG87:AM87&lt;&gt;""),AG87:AM87)))</t>
        </is>
      </c>
      <c r="BB87" s="38" t="inlineStr">
        <is>
          <t>IF(OR(E87="",AO87=""),"",IF(COUNT(AG87:AN87)=0,"",AO87-LOOKUP(2,1/(AG87:AN87&lt;&gt;""),AG87:AN87)))</t>
        </is>
      </c>
      <c r="BC87" s="38" t="inlineStr">
        <is>
          <t>IF(OR(E87="",AP87=""),"",IF(COUNT(AG87:AO87)=0,"",AP87-LOOKUP(2,1/(AG87:AO87&lt;&gt;""),AG87:AO87)))</t>
        </is>
      </c>
      <c r="BD87" s="38" t="inlineStr">
        <is>
          <t>IF(OR(E87="",AQ87=""),"",IF(COUNT(AG87:AP87)=0,"",AQ87-LOOKUP(2,1/(AG87:AP87&lt;&gt;""),AG87:AP87)))</t>
        </is>
      </c>
      <c r="BE87" s="38" t="inlineStr">
        <is>
          <t>IF(OR(E87="",AR87=""),"",IF(COUNT(AG87:AQ87)=0,"",AR87-LOOKUP(2,1/(AG87:AQ87&lt;&gt;""),AG87:AQ87)))</t>
        </is>
      </c>
      <c r="BF87" s="38" t="inlineStr">
        <is>
          <t>IF(OR(E87="",AS87=""),"",IF(COUNT(AG87:AR87)=0,"",AS87-LOOKUP(2,1/(AG87:AR87&lt;&gt;""),AG87:AR87)))</t>
        </is>
      </c>
      <c r="BG87" s="38" t="inlineStr">
        <is>
          <t>IF(OR(E87="",AT87=""),"",IF(COUNT(AG87:AS87)=0,"",AT87-LOOKUP(2,1/(AG87:AS87&lt;&gt;""),AG87:AS87)))</t>
        </is>
      </c>
      <c r="BH87" s="41" t="inlineStr">
        <is>
          <t>IF(G87="","All_Provinces",IFERROR(VLOOKUP(G87,'07_Lookups'!$A$4:$B$20,2,FALSE),"All_Provinces"))</t>
        </is>
      </c>
      <c r="BI87" s="41" t="inlineStr">
        <is>
          <t>IF(H87="","All_Districts",IFERROR(VLOOKUP(H87,'07_Lookups'!$E$4:$F$42,2,FALSE),"All_Districts"))</t>
        </is>
      </c>
    </row>
    <row r="88" ht="18" customHeight="1">
      <c r="A88" s="32" t="inlineStr">
        <is>
          <t>IF(E88="","",ROW()-3)</t>
        </is>
      </c>
      <c r="B88" s="33" t="inlineStr">
        <is>
          <t>AF2-WSM-A-019</t>
        </is>
      </c>
      <c r="C88" s="33" t="inlineStr">
        <is>
          <t>Emergency Food Security Project (EFSP) – WBK/AF-2</t>
        </is>
      </c>
      <c r="D88" s="33" t="inlineStr">
        <is>
          <t>Package #8-AF2 WSM: Construction of 1.Ghazgai Check dam in Khake Jabar districts, 2.Toop Dara Check dam and 3.Toot Dara Check dam in Center/ 13th City district Kabul province.</t>
        </is>
      </c>
      <c r="E88" s="33" t="inlineStr">
        <is>
          <t>3.Ghazgi Check dam</t>
        </is>
      </c>
      <c r="F88" s="33" t="inlineStr">
        <is>
          <t>Check Dam</t>
        </is>
      </c>
      <c r="G88" s="33" t="inlineStr">
        <is>
          <t>Central / Kabul</t>
        </is>
      </c>
      <c r="H88" s="33" t="inlineStr">
        <is>
          <t>Kabul</t>
        </is>
      </c>
      <c r="I88" s="33" t="inlineStr">
        <is>
          <t>Khake Jabar</t>
        </is>
      </c>
      <c r="J88" s="33" t="inlineStr">
        <is>
          <t>Ghazgai</t>
        </is>
      </c>
      <c r="K88" s="33" t="inlineStr">
        <is>
          <t>World Bank (WBK/AF-2)</t>
        </is>
      </c>
      <c r="L88" s="33" t="inlineStr">
        <is>
          <t>Awarded</t>
        </is>
      </c>
      <c r="M88" s="33" t="inlineStr">
        <is>
          <t>Watershed / Check dam</t>
        </is>
      </c>
      <c r="N88" s="33" t="inlineStr">
        <is>
          <t>3.WSM awarded contracts</t>
        </is>
      </c>
      <c r="O88" s="33" t="inlineStr">
        <is>
          <t>ALTIN CONSTRUCTION AND ROAD BUILDING COMPANY (ACC)</t>
        </is>
      </c>
      <c r="P88" s="33" t="inlineStr">
        <is>
          <t>005/2026</t>
        </is>
      </c>
      <c r="Q88" s="34" t="n"/>
      <c r="R88" s="35" t="inlineStr">
        <is>
          <t>IF(AO88="","",AO88)</t>
        </is>
      </c>
      <c r="S88" s="36" t="n"/>
      <c r="T88" s="37" t="n">
        <v>6.9</v>
      </c>
      <c r="U88" s="36" t="n">
        <v>46253</v>
      </c>
      <c r="V88" s="35" t="inlineStr">
        <is>
          <t>IF(U88&lt;&gt;"",U88,IF(OR(R88="",T88=""),"",EDATE(R88,T88)))</t>
        </is>
      </c>
      <c r="W88" s="36" t="n"/>
      <c r="X88" s="37" t="n">
        <v>100</v>
      </c>
      <c r="Y88" s="33" t="inlineStr">
        <is>
          <t>Completed / Handover</t>
        </is>
      </c>
      <c r="Z88" s="33" t="inlineStr">
        <is>
          <t>Completed on July, 2026</t>
        </is>
      </c>
      <c r="AA88" s="32" t="inlineStr">
        <is>
          <t>IF(E88="","",IF(COUNT(AG88:AT88)=0,IF(Y88="","Not started",Y88),SUBSTITUTE(LOOKUP(2,1/(AG88:AT88&lt;&gt;""),$AG$3:$AT$3),"Date: ","")))</t>
        </is>
      </c>
      <c r="AB88" s="38" t="inlineStr">
        <is>
          <t>IF(OR(E88="",COUNT(AG88:AT88)=0),"",TODAY()-LOOKUP(2,1/(AG88:AT88&lt;&gt;""),AG88:AT88))</t>
        </is>
      </c>
      <c r="AC88" s="38" t="inlineStr">
        <is>
          <t>IF(OR(E88="",COUNT(AG88:AT88)&lt;2),"",LOOKUP(2,1/(AG88:AT88&lt;&gt;""),AG88:AT88)-MIN(AG88:AT88))</t>
        </is>
      </c>
      <c r="AD88" s="38" t="inlineStr">
        <is>
          <t>IF(OR(AB88="",AA88="Not started",AA88=""),"",IFERROR(AB88-IF(VLOOKUP(AA88,'04_Status_Pipeline'!$B$3:$E$20,4,FALSE)="",0,VLOOKUP(AA88,'04_Status_Pipeline'!$B$3:$E$20,4,FALSE)),""))</t>
        </is>
      </c>
      <c r="AE88" s="32" t="inlineStr">
        <is>
          <t>IF(E88="","",IF(OR(Y88="Cancelled",AA88="Cancelled"),"Cancelled",IF(OR(AA88="Completed / Handover",W88&lt;&gt;"",X88&gt;=100),"Completed — on track",IF(L88="Remaining",IF(S88="",IF(V88="","No planned date",IF(TODAY()&gt;V88,"Behind — past planned date",IF(V88-TODAY()&lt;=30,"At risk — close to off track","On track"))),IF(TODAY()&gt;S88,"Behind — award date passed",IF(S88-TODAY()&lt;=30,"At risk — close to off track","On track"))),IF(V88="","No planned date",IF(AND(TODAY()&gt;V88,OR(X88="",X88&lt;100)),"Behind — past end date",IF(AND(R88&lt;&gt;"",V88&lt;&gt;"",X88&lt;&gt;"",(X88&lt;100),((TODAY()-R88)/MAX(V88-R88,1)*100)-X88&gt;15),"Behind — progress lag",IF(AND(V88-TODAY()&lt;=30,V88-TODAY()&gt;=0,OR(X88="",X88&lt;90)),"At risk — close to off track","On track"))))))))</t>
        </is>
      </c>
      <c r="AF88" s="38" t="inlineStr">
        <is>
          <t>IF(OR(E88="",AA88="Completed / Handover",AA88="Cancelled"),"",IF(L88="Remaining",IF(S88&lt;&gt;"",S88-TODAY(),IF(V88="","",V88-TODAY())),IF(V88="","",V88-TODAY())))</t>
        </is>
      </c>
      <c r="AG88" s="39" t="n"/>
      <c r="AH88" s="39" t="n"/>
      <c r="AI88" s="39" t="n"/>
      <c r="AJ88" s="39" t="n"/>
      <c r="AK88" s="39" t="n"/>
      <c r="AL88" s="39" t="n"/>
      <c r="AM88" s="39" t="n"/>
      <c r="AN88" s="39" t="n"/>
      <c r="AO88" s="39" t="n">
        <v>46042</v>
      </c>
      <c r="AP88" s="39" t="n">
        <v>46042</v>
      </c>
      <c r="AQ88" s="39" t="n">
        <v>46253</v>
      </c>
      <c r="AR88" s="40" t="n"/>
      <c r="AS88" s="40" t="n"/>
      <c r="AT88" s="40" t="n"/>
      <c r="AU88" s="38" t="inlineStr">
        <is>
          <t>IF(OR(E88="",AH88=""),"",IF(COUNT(AG88:AG88)=0,"",AH88-LOOKUP(2,1/(AG88:AG88&lt;&gt;""),AG88:AG88)))</t>
        </is>
      </c>
      <c r="AV88" s="38" t="inlineStr">
        <is>
          <t>IF(OR(E88="",AI88=""),"",IF(COUNT(AG88:AH88)=0,"",AI88-LOOKUP(2,1/(AG88:AH88&lt;&gt;""),AG88:AH88)))</t>
        </is>
      </c>
      <c r="AW88" s="38" t="inlineStr">
        <is>
          <t>IF(OR(E88="",AJ88=""),"",IF(COUNT(AG88:AI88)=0,"",AJ88-LOOKUP(2,1/(AG88:AI88&lt;&gt;""),AG88:AI88)))</t>
        </is>
      </c>
      <c r="AX88" s="38" t="inlineStr">
        <is>
          <t>IF(OR(E88="",AK88=""),"",IF(COUNT(AG88:AJ88)=0,"",AK88-LOOKUP(2,1/(AG88:AJ88&lt;&gt;""),AG88:AJ88)))</t>
        </is>
      </c>
      <c r="AY88" s="38" t="inlineStr">
        <is>
          <t>IF(OR(E88="",AL88=""),"",IF(COUNT(AG88:AK88)=0,"",AL88-LOOKUP(2,1/(AG88:AK88&lt;&gt;""),AG88:AK88)))</t>
        </is>
      </c>
      <c r="AZ88" s="38" t="inlineStr">
        <is>
          <t>IF(OR(E88="",AM88=""),"",IF(COUNT(AG88:AL88)=0,"",AM88-LOOKUP(2,1/(AG88:AL88&lt;&gt;""),AG88:AL88)))</t>
        </is>
      </c>
      <c r="BA88" s="38" t="inlineStr">
        <is>
          <t>IF(OR(E88="",AN88=""),"",IF(COUNT(AG88:AM88)=0,"",AN88-LOOKUP(2,1/(AG88:AM88&lt;&gt;""),AG88:AM88)))</t>
        </is>
      </c>
      <c r="BB88" s="38" t="inlineStr">
        <is>
          <t>IF(OR(E88="",AO88=""),"",IF(COUNT(AG88:AN88)=0,"",AO88-LOOKUP(2,1/(AG88:AN88&lt;&gt;""),AG88:AN88)))</t>
        </is>
      </c>
      <c r="BC88" s="38" t="inlineStr">
        <is>
          <t>IF(OR(E88="",AP88=""),"",IF(COUNT(AG88:AO88)=0,"",AP88-LOOKUP(2,1/(AG88:AO88&lt;&gt;""),AG88:AO88)))</t>
        </is>
      </c>
      <c r="BD88" s="38" t="inlineStr">
        <is>
          <t>IF(OR(E88="",AQ88=""),"",IF(COUNT(AG88:AP88)=0,"",AQ88-LOOKUP(2,1/(AG88:AP88&lt;&gt;""),AG88:AP88)))</t>
        </is>
      </c>
      <c r="BE88" s="38" t="inlineStr">
        <is>
          <t>IF(OR(E88="",AR88=""),"",IF(COUNT(AG88:AQ88)=0,"",AR88-LOOKUP(2,1/(AG88:AQ88&lt;&gt;""),AG88:AQ88)))</t>
        </is>
      </c>
      <c r="BF88" s="38" t="inlineStr">
        <is>
          <t>IF(OR(E88="",AS88=""),"",IF(COUNT(AG88:AR88)=0,"",AS88-LOOKUP(2,1/(AG88:AR88&lt;&gt;""),AG88:AR88)))</t>
        </is>
      </c>
      <c r="BG88" s="38" t="inlineStr">
        <is>
          <t>IF(OR(E88="",AT88=""),"",IF(COUNT(AG88:AS88)=0,"",AT88-LOOKUP(2,1/(AG88:AS88&lt;&gt;""),AG88:AS88)))</t>
        </is>
      </c>
      <c r="BH88" s="41" t="inlineStr">
        <is>
          <t>IF(G88="","All_Provinces",IFERROR(VLOOKUP(G88,'07_Lookups'!$A$4:$B$20,2,FALSE),"All_Provinces"))</t>
        </is>
      </c>
      <c r="BI88" s="41" t="inlineStr">
        <is>
          <t>IF(H88="","All_Districts",IFERROR(VLOOKUP(H88,'07_Lookups'!$E$4:$F$42,2,FALSE),"All_Districts"))</t>
        </is>
      </c>
    </row>
    <row r="89" ht="18" customHeight="1">
      <c r="A89" s="32" t="inlineStr">
        <is>
          <t>IF(E89="","",ROW()-3)</t>
        </is>
      </c>
      <c r="B89" s="42" t="inlineStr">
        <is>
          <t>AF2-WSM-A-020</t>
        </is>
      </c>
      <c r="C89" s="42" t="inlineStr">
        <is>
          <t>Emergency Food Security Project (EFSP) – WBK/AF-2</t>
        </is>
      </c>
      <c r="D89" s="42" t="inlineStr">
        <is>
          <t>Package #9-AF2 WSM: Construction of 1.Aka Khil Check dam and 2. Sra Qala Check dam in Sayed district, 3.Khar Check dam and 4.Mardala Check dam, located in Jaghatu districts of Wardak province.</t>
        </is>
      </c>
      <c r="E89" s="42" t="inlineStr">
        <is>
          <t>1.Aka Khil Check dams</t>
        </is>
      </c>
      <c r="F89" s="42" t="inlineStr">
        <is>
          <t>Check Dam</t>
        </is>
      </c>
      <c r="G89" s="42" t="inlineStr">
        <is>
          <t>Central / Kabul</t>
        </is>
      </c>
      <c r="H89" s="42" t="inlineStr">
        <is>
          <t>Maidan Wardak</t>
        </is>
      </c>
      <c r="I89" s="42" t="inlineStr">
        <is>
          <t>Sayed Abad</t>
        </is>
      </c>
      <c r="J89" s="42" t="inlineStr">
        <is>
          <t>Aka Khil</t>
        </is>
      </c>
      <c r="K89" s="42" t="inlineStr">
        <is>
          <t>World Bank (WBK/AF-2)</t>
        </is>
      </c>
      <c r="L89" s="42" t="inlineStr">
        <is>
          <t>Awarded</t>
        </is>
      </c>
      <c r="M89" s="42" t="inlineStr">
        <is>
          <t>Watershed / Check dam</t>
        </is>
      </c>
      <c r="N89" s="42" t="inlineStr">
        <is>
          <t>3.WSM awarded contracts</t>
        </is>
      </c>
      <c r="O89" s="42" t="inlineStr">
        <is>
          <t>Sayed Abad Construction Company (SACC)</t>
        </is>
      </c>
      <c r="P89" s="42" t="inlineStr">
        <is>
          <t>021/2026</t>
        </is>
      </c>
      <c r="Q89" s="43" t="n">
        <v>68618.92</v>
      </c>
      <c r="R89" s="35" t="inlineStr">
        <is>
          <t>IF(AO89="","",AO89)</t>
        </is>
      </c>
      <c r="S89" s="44" t="n"/>
      <c r="T89" s="45" t="n">
        <v>7</v>
      </c>
      <c r="U89" s="44" t="n">
        <v>46303</v>
      </c>
      <c r="V89" s="35" t="inlineStr">
        <is>
          <t>IF(U89&lt;&gt;"",U89,IF(OR(R89="",T89=""),"",EDATE(R89,T89)))</t>
        </is>
      </c>
      <c r="W89" s="44" t="n"/>
      <c r="X89" s="45" t="n">
        <v>100</v>
      </c>
      <c r="Y89" s="42" t="inlineStr">
        <is>
          <t>Completed / Handover</t>
        </is>
      </c>
      <c r="Z89" s="42" t="inlineStr">
        <is>
          <t>Completed on August, 2026</t>
        </is>
      </c>
      <c r="AA89" s="32" t="inlineStr">
        <is>
          <t>IF(E89="","",IF(COUNT(AG89:AT89)=0,IF(Y89="","Not started",Y89),SUBSTITUTE(LOOKUP(2,1/(AG89:AT89&lt;&gt;""),$AG$3:$AT$3),"Date: ","")))</t>
        </is>
      </c>
      <c r="AB89" s="38" t="inlineStr">
        <is>
          <t>IF(OR(E89="",COUNT(AG89:AT89)=0),"",TODAY()-LOOKUP(2,1/(AG89:AT89&lt;&gt;""),AG89:AT89))</t>
        </is>
      </c>
      <c r="AC89" s="38" t="inlineStr">
        <is>
          <t>IF(OR(E89="",COUNT(AG89:AT89)&lt;2),"",LOOKUP(2,1/(AG89:AT89&lt;&gt;""),AG89:AT89)-MIN(AG89:AT89))</t>
        </is>
      </c>
      <c r="AD89" s="38" t="inlineStr">
        <is>
          <t>IF(OR(AB89="",AA89="Not started",AA89=""),"",IFERROR(AB89-IF(VLOOKUP(AA89,'04_Status_Pipeline'!$B$3:$E$20,4,FALSE)="",0,VLOOKUP(AA89,'04_Status_Pipeline'!$B$3:$E$20,4,FALSE)),""))</t>
        </is>
      </c>
      <c r="AE89" s="32" t="inlineStr">
        <is>
          <t>IF(E89="","",IF(OR(Y89="Cancelled",AA89="Cancelled"),"Cancelled",IF(OR(AA89="Completed / Handover",W89&lt;&gt;"",X89&gt;=100),"Completed — on track",IF(L89="Remaining",IF(S89="",IF(V89="","No planned date",IF(TODAY()&gt;V89,"Behind — past planned date",IF(V89-TODAY()&lt;=30,"At risk — close to off track","On track"))),IF(TODAY()&gt;S89,"Behind — award date passed",IF(S89-TODAY()&lt;=30,"At risk — close to off track","On track"))),IF(V89="","No planned date",IF(AND(TODAY()&gt;V89,OR(X89="",X89&lt;100)),"Behind — past end date",IF(AND(R89&lt;&gt;"",V89&lt;&gt;"",X89&lt;&gt;"",(X89&lt;100),((TODAY()-R89)/MAX(V89-R89,1)*100)-X89&gt;15),"Behind — progress lag",IF(AND(V89-TODAY()&lt;=30,V89-TODAY()&gt;=0,OR(X89="",X89&lt;90)),"At risk — close to off track","On track"))))))))</t>
        </is>
      </c>
      <c r="AF89" s="38" t="inlineStr">
        <is>
          <t>IF(OR(E89="",AA89="Completed / Handover",AA89="Cancelled"),"",IF(L89="Remaining",IF(S89&lt;&gt;"",S89-TODAY(),IF(V89="","",V89-TODAY())),IF(V89="","",V89-TODAY())))</t>
        </is>
      </c>
      <c r="AG89" s="39" t="n"/>
      <c r="AH89" s="39" t="n"/>
      <c r="AI89" s="39" t="n"/>
      <c r="AJ89" s="39" t="n"/>
      <c r="AK89" s="39" t="n"/>
      <c r="AL89" s="39" t="n"/>
      <c r="AM89" s="39" t="n"/>
      <c r="AN89" s="39" t="n"/>
      <c r="AO89" s="39" t="n">
        <v>46091</v>
      </c>
      <c r="AP89" s="39" t="n">
        <v>46091</v>
      </c>
      <c r="AQ89" s="39" t="n">
        <v>46303</v>
      </c>
      <c r="AR89" s="40" t="n"/>
      <c r="AS89" s="40" t="n"/>
      <c r="AT89" s="40" t="n"/>
      <c r="AU89" s="38" t="inlineStr">
        <is>
          <t>IF(OR(E89="",AH89=""),"",IF(COUNT(AG89:AG89)=0,"",AH89-LOOKUP(2,1/(AG89:AG89&lt;&gt;""),AG89:AG89)))</t>
        </is>
      </c>
      <c r="AV89" s="38" t="inlineStr">
        <is>
          <t>IF(OR(E89="",AI89=""),"",IF(COUNT(AG89:AH89)=0,"",AI89-LOOKUP(2,1/(AG89:AH89&lt;&gt;""),AG89:AH89)))</t>
        </is>
      </c>
      <c r="AW89" s="38" t="inlineStr">
        <is>
          <t>IF(OR(E89="",AJ89=""),"",IF(COUNT(AG89:AI89)=0,"",AJ89-LOOKUP(2,1/(AG89:AI89&lt;&gt;""),AG89:AI89)))</t>
        </is>
      </c>
      <c r="AX89" s="38" t="inlineStr">
        <is>
          <t>IF(OR(E89="",AK89=""),"",IF(COUNT(AG89:AJ89)=0,"",AK89-LOOKUP(2,1/(AG89:AJ89&lt;&gt;""),AG89:AJ89)))</t>
        </is>
      </c>
      <c r="AY89" s="38" t="inlineStr">
        <is>
          <t>IF(OR(E89="",AL89=""),"",IF(COUNT(AG89:AK89)=0,"",AL89-LOOKUP(2,1/(AG89:AK89&lt;&gt;""),AG89:AK89)))</t>
        </is>
      </c>
      <c r="AZ89" s="38" t="inlineStr">
        <is>
          <t>IF(OR(E89="",AM89=""),"",IF(COUNT(AG89:AL89)=0,"",AM89-LOOKUP(2,1/(AG89:AL89&lt;&gt;""),AG89:AL89)))</t>
        </is>
      </c>
      <c r="BA89" s="38" t="inlineStr">
        <is>
          <t>IF(OR(E89="",AN89=""),"",IF(COUNT(AG89:AM89)=0,"",AN89-LOOKUP(2,1/(AG89:AM89&lt;&gt;""),AG89:AM89)))</t>
        </is>
      </c>
      <c r="BB89" s="38" t="inlineStr">
        <is>
          <t>IF(OR(E89="",AO89=""),"",IF(COUNT(AG89:AN89)=0,"",AO89-LOOKUP(2,1/(AG89:AN89&lt;&gt;""),AG89:AN89)))</t>
        </is>
      </c>
      <c r="BC89" s="38" t="inlineStr">
        <is>
          <t>IF(OR(E89="",AP89=""),"",IF(COUNT(AG89:AO89)=0,"",AP89-LOOKUP(2,1/(AG89:AO89&lt;&gt;""),AG89:AO89)))</t>
        </is>
      </c>
      <c r="BD89" s="38" t="inlineStr">
        <is>
          <t>IF(OR(E89="",AQ89=""),"",IF(COUNT(AG89:AP89)=0,"",AQ89-LOOKUP(2,1/(AG89:AP89&lt;&gt;""),AG89:AP89)))</t>
        </is>
      </c>
      <c r="BE89" s="38" t="inlineStr">
        <is>
          <t>IF(OR(E89="",AR89=""),"",IF(COUNT(AG89:AQ89)=0,"",AR89-LOOKUP(2,1/(AG89:AQ89&lt;&gt;""),AG89:AQ89)))</t>
        </is>
      </c>
      <c r="BF89" s="38" t="inlineStr">
        <is>
          <t>IF(OR(E89="",AS89=""),"",IF(COUNT(AG89:AR89)=0,"",AS89-LOOKUP(2,1/(AG89:AR89&lt;&gt;""),AG89:AR89)))</t>
        </is>
      </c>
      <c r="BG89" s="38" t="inlineStr">
        <is>
          <t>IF(OR(E89="",AT89=""),"",IF(COUNT(AG89:AS89)=0,"",AT89-LOOKUP(2,1/(AG89:AS89&lt;&gt;""),AG89:AS89)))</t>
        </is>
      </c>
      <c r="BH89" s="41" t="inlineStr">
        <is>
          <t>IF(G89="","All_Provinces",IFERROR(VLOOKUP(G89,'07_Lookups'!$A$4:$B$20,2,FALSE),"All_Provinces"))</t>
        </is>
      </c>
      <c r="BI89" s="41" t="inlineStr">
        <is>
          <t>IF(H89="","All_Districts",IFERROR(VLOOKUP(H89,'07_Lookups'!$E$4:$F$42,2,FALSE),"All_Districts"))</t>
        </is>
      </c>
    </row>
    <row r="90" ht="18" customHeight="1">
      <c r="A90" s="32" t="inlineStr">
        <is>
          <t>IF(E90="","",ROW()-3)</t>
        </is>
      </c>
      <c r="B90" s="33" t="inlineStr">
        <is>
          <t>AF2-WSM-A-021</t>
        </is>
      </c>
      <c r="C90" s="33" t="inlineStr">
        <is>
          <t>Emergency Food Security Project (EFSP) – WBK/AF-2</t>
        </is>
      </c>
      <c r="D90" s="33" t="inlineStr">
        <is>
          <t>Package #9-AF2 WSM: Construction of 1.Aka Khil Check dam and 2. Sra Qala Check dam in Sayed district, 3.Khar Check dam and 4.Mardala Check dam, located in Jaghatu districts of Wardak province.</t>
        </is>
      </c>
      <c r="E90" s="33" t="inlineStr">
        <is>
          <t>2.Sra Qala Check dams</t>
        </is>
      </c>
      <c r="F90" s="33" t="inlineStr">
        <is>
          <t>Check Dam</t>
        </is>
      </c>
      <c r="G90" s="33" t="inlineStr">
        <is>
          <t>Central / Kabul</t>
        </is>
      </c>
      <c r="H90" s="33" t="inlineStr">
        <is>
          <t>Maidan Wardak</t>
        </is>
      </c>
      <c r="I90" s="33" t="inlineStr">
        <is>
          <t>Sayed Abad</t>
        </is>
      </c>
      <c r="J90" s="33" t="inlineStr">
        <is>
          <t>Sra Qala</t>
        </is>
      </c>
      <c r="K90" s="33" t="inlineStr">
        <is>
          <t>World Bank (WBK/AF-2)</t>
        </is>
      </c>
      <c r="L90" s="33" t="inlineStr">
        <is>
          <t>Awarded</t>
        </is>
      </c>
      <c r="M90" s="33" t="inlineStr">
        <is>
          <t>Watershed / Check dam</t>
        </is>
      </c>
      <c r="N90" s="33" t="inlineStr">
        <is>
          <t>3.WSM awarded contracts</t>
        </is>
      </c>
      <c r="O90" s="33" t="inlineStr">
        <is>
          <t>Sayed Abad Construction Company (SACC)</t>
        </is>
      </c>
      <c r="P90" s="33" t="inlineStr">
        <is>
          <t>021/2026</t>
        </is>
      </c>
      <c r="Q90" s="34" t="n"/>
      <c r="R90" s="35" t="inlineStr">
        <is>
          <t>IF(AO90="","",AO90)</t>
        </is>
      </c>
      <c r="S90" s="36" t="n"/>
      <c r="T90" s="37" t="n">
        <v>7</v>
      </c>
      <c r="U90" s="36" t="n">
        <v>46303</v>
      </c>
      <c r="V90" s="35" t="inlineStr">
        <is>
          <t>IF(U90&lt;&gt;"",U90,IF(OR(R90="",T90=""),"",EDATE(R90,T90)))</t>
        </is>
      </c>
      <c r="W90" s="36" t="n"/>
      <c r="X90" s="37" t="n">
        <v>100</v>
      </c>
      <c r="Y90" s="33" t="inlineStr">
        <is>
          <t>Completed / Handover</t>
        </is>
      </c>
      <c r="Z90" s="33" t="inlineStr">
        <is>
          <t>Completed on August, 2026</t>
        </is>
      </c>
      <c r="AA90" s="32" t="inlineStr">
        <is>
          <t>IF(E90="","",IF(COUNT(AG90:AT90)=0,IF(Y90="","Not started",Y90),SUBSTITUTE(LOOKUP(2,1/(AG90:AT90&lt;&gt;""),$AG$3:$AT$3),"Date: ","")))</t>
        </is>
      </c>
      <c r="AB90" s="38" t="inlineStr">
        <is>
          <t>IF(OR(E90="",COUNT(AG90:AT90)=0),"",TODAY()-LOOKUP(2,1/(AG90:AT90&lt;&gt;""),AG90:AT90))</t>
        </is>
      </c>
      <c r="AC90" s="38" t="inlineStr">
        <is>
          <t>IF(OR(E90="",COUNT(AG90:AT90)&lt;2),"",LOOKUP(2,1/(AG90:AT90&lt;&gt;""),AG90:AT90)-MIN(AG90:AT90))</t>
        </is>
      </c>
      <c r="AD90" s="38" t="inlineStr">
        <is>
          <t>IF(OR(AB90="",AA90="Not started",AA90=""),"",IFERROR(AB90-IF(VLOOKUP(AA90,'04_Status_Pipeline'!$B$3:$E$20,4,FALSE)="",0,VLOOKUP(AA90,'04_Status_Pipeline'!$B$3:$E$20,4,FALSE)),""))</t>
        </is>
      </c>
      <c r="AE90" s="32" t="inlineStr">
        <is>
          <t>IF(E90="","",IF(OR(Y90="Cancelled",AA90="Cancelled"),"Cancelled",IF(OR(AA90="Completed / Handover",W90&lt;&gt;"",X90&gt;=100),"Completed — on track",IF(L90="Remaining",IF(S90="",IF(V90="","No planned date",IF(TODAY()&gt;V90,"Behind — past planned date",IF(V90-TODAY()&lt;=30,"At risk — close to off track","On track"))),IF(TODAY()&gt;S90,"Behind — award date passed",IF(S90-TODAY()&lt;=30,"At risk — close to off track","On track"))),IF(V90="","No planned date",IF(AND(TODAY()&gt;V90,OR(X90="",X90&lt;100)),"Behind — past end date",IF(AND(R90&lt;&gt;"",V90&lt;&gt;"",X90&lt;&gt;"",(X90&lt;100),((TODAY()-R90)/MAX(V90-R90,1)*100)-X90&gt;15),"Behind — progress lag",IF(AND(V90-TODAY()&lt;=30,V90-TODAY()&gt;=0,OR(X90="",X90&lt;90)),"At risk — close to off track","On track"))))))))</t>
        </is>
      </c>
      <c r="AF90" s="38" t="inlineStr">
        <is>
          <t>IF(OR(E90="",AA90="Completed / Handover",AA90="Cancelled"),"",IF(L90="Remaining",IF(S90&lt;&gt;"",S90-TODAY(),IF(V90="","",V90-TODAY())),IF(V90="","",V90-TODAY())))</t>
        </is>
      </c>
      <c r="AG90" s="39" t="n"/>
      <c r="AH90" s="39" t="n"/>
      <c r="AI90" s="39" t="n"/>
      <c r="AJ90" s="39" t="n"/>
      <c r="AK90" s="39" t="n"/>
      <c r="AL90" s="39" t="n"/>
      <c r="AM90" s="39" t="n"/>
      <c r="AN90" s="39" t="n"/>
      <c r="AO90" s="39" t="n">
        <v>46091</v>
      </c>
      <c r="AP90" s="39" t="n">
        <v>46091</v>
      </c>
      <c r="AQ90" s="39" t="n">
        <v>46303</v>
      </c>
      <c r="AR90" s="40" t="n"/>
      <c r="AS90" s="40" t="n"/>
      <c r="AT90" s="40" t="n"/>
      <c r="AU90" s="38" t="inlineStr">
        <is>
          <t>IF(OR(E90="",AH90=""),"",IF(COUNT(AG90:AG90)=0,"",AH90-LOOKUP(2,1/(AG90:AG90&lt;&gt;""),AG90:AG90)))</t>
        </is>
      </c>
      <c r="AV90" s="38" t="inlineStr">
        <is>
          <t>IF(OR(E90="",AI90=""),"",IF(COUNT(AG90:AH90)=0,"",AI90-LOOKUP(2,1/(AG90:AH90&lt;&gt;""),AG90:AH90)))</t>
        </is>
      </c>
      <c r="AW90" s="38" t="inlineStr">
        <is>
          <t>IF(OR(E90="",AJ90=""),"",IF(COUNT(AG90:AI90)=0,"",AJ90-LOOKUP(2,1/(AG90:AI90&lt;&gt;""),AG90:AI90)))</t>
        </is>
      </c>
      <c r="AX90" s="38" t="inlineStr">
        <is>
          <t>IF(OR(E90="",AK90=""),"",IF(COUNT(AG90:AJ90)=0,"",AK90-LOOKUP(2,1/(AG90:AJ90&lt;&gt;""),AG90:AJ90)))</t>
        </is>
      </c>
      <c r="AY90" s="38" t="inlineStr">
        <is>
          <t>IF(OR(E90="",AL90=""),"",IF(COUNT(AG90:AK90)=0,"",AL90-LOOKUP(2,1/(AG90:AK90&lt;&gt;""),AG90:AK90)))</t>
        </is>
      </c>
      <c r="AZ90" s="38" t="inlineStr">
        <is>
          <t>IF(OR(E90="",AM90=""),"",IF(COUNT(AG90:AL90)=0,"",AM90-LOOKUP(2,1/(AG90:AL90&lt;&gt;""),AG90:AL90)))</t>
        </is>
      </c>
      <c r="BA90" s="38" t="inlineStr">
        <is>
          <t>IF(OR(E90="",AN90=""),"",IF(COUNT(AG90:AM90)=0,"",AN90-LOOKUP(2,1/(AG90:AM90&lt;&gt;""),AG90:AM90)))</t>
        </is>
      </c>
      <c r="BB90" s="38" t="inlineStr">
        <is>
          <t>IF(OR(E90="",AO90=""),"",IF(COUNT(AG90:AN90)=0,"",AO90-LOOKUP(2,1/(AG90:AN90&lt;&gt;""),AG90:AN90)))</t>
        </is>
      </c>
      <c r="BC90" s="38" t="inlineStr">
        <is>
          <t>IF(OR(E90="",AP90=""),"",IF(COUNT(AG90:AO90)=0,"",AP90-LOOKUP(2,1/(AG90:AO90&lt;&gt;""),AG90:AO90)))</t>
        </is>
      </c>
      <c r="BD90" s="38" t="inlineStr">
        <is>
          <t>IF(OR(E90="",AQ90=""),"",IF(COUNT(AG90:AP90)=0,"",AQ90-LOOKUP(2,1/(AG90:AP90&lt;&gt;""),AG90:AP90)))</t>
        </is>
      </c>
      <c r="BE90" s="38" t="inlineStr">
        <is>
          <t>IF(OR(E90="",AR90=""),"",IF(COUNT(AG90:AQ90)=0,"",AR90-LOOKUP(2,1/(AG90:AQ90&lt;&gt;""),AG90:AQ90)))</t>
        </is>
      </c>
      <c r="BF90" s="38" t="inlineStr">
        <is>
          <t>IF(OR(E90="",AS90=""),"",IF(COUNT(AG90:AR90)=0,"",AS90-LOOKUP(2,1/(AG90:AR90&lt;&gt;""),AG90:AR90)))</t>
        </is>
      </c>
      <c r="BG90" s="38" t="inlineStr">
        <is>
          <t>IF(OR(E90="",AT90=""),"",IF(COUNT(AG90:AS90)=0,"",AT90-LOOKUP(2,1/(AG90:AS90&lt;&gt;""),AG90:AS90)))</t>
        </is>
      </c>
      <c r="BH90" s="41" t="inlineStr">
        <is>
          <t>IF(G90="","All_Provinces",IFERROR(VLOOKUP(G90,'07_Lookups'!$A$4:$B$20,2,FALSE),"All_Provinces"))</t>
        </is>
      </c>
      <c r="BI90" s="41" t="inlineStr">
        <is>
          <t>IF(H90="","All_Districts",IFERROR(VLOOKUP(H90,'07_Lookups'!$E$4:$F$42,2,FALSE),"All_Districts"))</t>
        </is>
      </c>
    </row>
    <row r="91" ht="18" customHeight="1">
      <c r="A91" s="32" t="inlineStr">
        <is>
          <t>IF(E91="","",ROW()-3)</t>
        </is>
      </c>
      <c r="B91" s="42" t="inlineStr">
        <is>
          <t>AF2-WSM-A-022</t>
        </is>
      </c>
      <c r="C91" s="42" t="inlineStr">
        <is>
          <t>Emergency Food Security Project (EFSP) – WBK/AF-2</t>
        </is>
      </c>
      <c r="D91" s="42" t="inlineStr">
        <is>
          <t>Package #9-AF2 WSM: Construction of 1.Aka Khil Check dam and 2. Sra Qala Check dam in Sayed district, 3.Khar Check dam and 4.Mardala Check dam, located in Jaghatu districts of Wardak province.</t>
        </is>
      </c>
      <c r="E91" s="42" t="inlineStr">
        <is>
          <t>3.Khar Check dams</t>
        </is>
      </c>
      <c r="F91" s="42" t="inlineStr">
        <is>
          <t>Check Dam</t>
        </is>
      </c>
      <c r="G91" s="42" t="inlineStr">
        <is>
          <t>Central / Kabul</t>
        </is>
      </c>
      <c r="H91" s="42" t="inlineStr">
        <is>
          <t>Maidan Wardak</t>
        </is>
      </c>
      <c r="I91" s="42" t="inlineStr">
        <is>
          <t>Jaghatu</t>
        </is>
      </c>
      <c r="J91" s="42" t="inlineStr">
        <is>
          <t>Khar</t>
        </is>
      </c>
      <c r="K91" s="42" t="inlineStr">
        <is>
          <t>World Bank (WBK/AF-2)</t>
        </is>
      </c>
      <c r="L91" s="42" t="inlineStr">
        <is>
          <t>Awarded</t>
        </is>
      </c>
      <c r="M91" s="42" t="inlineStr">
        <is>
          <t>Watershed / Check dam</t>
        </is>
      </c>
      <c r="N91" s="42" t="inlineStr">
        <is>
          <t>3.WSM awarded contracts</t>
        </is>
      </c>
      <c r="O91" s="42" t="inlineStr">
        <is>
          <t>Sayed Abad Construction Company (SACC)</t>
        </is>
      </c>
      <c r="P91" s="42" t="inlineStr">
        <is>
          <t>021/2026</t>
        </is>
      </c>
      <c r="Q91" s="43" t="n"/>
      <c r="R91" s="35" t="inlineStr">
        <is>
          <t>IF(AO91="","",AO91)</t>
        </is>
      </c>
      <c r="S91" s="44" t="n"/>
      <c r="T91" s="45" t="n">
        <v>7</v>
      </c>
      <c r="U91" s="44" t="n">
        <v>46303</v>
      </c>
      <c r="V91" s="35" t="inlineStr">
        <is>
          <t>IF(U91&lt;&gt;"",U91,IF(OR(R91="",T91=""),"",EDATE(R91,T91)))</t>
        </is>
      </c>
      <c r="W91" s="44" t="n"/>
      <c r="X91" s="45" t="n">
        <v>100</v>
      </c>
      <c r="Y91" s="42" t="inlineStr">
        <is>
          <t>Completed / Handover</t>
        </is>
      </c>
      <c r="Z91" s="42" t="inlineStr">
        <is>
          <t>Completed on August, 2026</t>
        </is>
      </c>
      <c r="AA91" s="32" t="inlineStr">
        <is>
          <t>IF(E91="","",IF(COUNT(AG91:AT91)=0,IF(Y91="","Not started",Y91),SUBSTITUTE(LOOKUP(2,1/(AG91:AT91&lt;&gt;""),$AG$3:$AT$3),"Date: ","")))</t>
        </is>
      </c>
      <c r="AB91" s="38" t="inlineStr">
        <is>
          <t>IF(OR(E91="",COUNT(AG91:AT91)=0),"",TODAY()-LOOKUP(2,1/(AG91:AT91&lt;&gt;""),AG91:AT91))</t>
        </is>
      </c>
      <c r="AC91" s="38" t="inlineStr">
        <is>
          <t>IF(OR(E91="",COUNT(AG91:AT91)&lt;2),"",LOOKUP(2,1/(AG91:AT91&lt;&gt;""),AG91:AT91)-MIN(AG91:AT91))</t>
        </is>
      </c>
      <c r="AD91" s="38" t="inlineStr">
        <is>
          <t>IF(OR(AB91="",AA91="Not started",AA91=""),"",IFERROR(AB91-IF(VLOOKUP(AA91,'04_Status_Pipeline'!$B$3:$E$20,4,FALSE)="",0,VLOOKUP(AA91,'04_Status_Pipeline'!$B$3:$E$20,4,FALSE)),""))</t>
        </is>
      </c>
      <c r="AE91" s="32" t="inlineStr">
        <is>
          <t>IF(E91="","",IF(OR(Y91="Cancelled",AA91="Cancelled"),"Cancelled",IF(OR(AA91="Completed / Handover",W91&lt;&gt;"",X91&gt;=100),"Completed — on track",IF(L91="Remaining",IF(S91="",IF(V91="","No planned date",IF(TODAY()&gt;V91,"Behind — past planned date",IF(V91-TODAY()&lt;=30,"At risk — close to off track","On track"))),IF(TODAY()&gt;S91,"Behind — award date passed",IF(S91-TODAY()&lt;=30,"At risk — close to off track","On track"))),IF(V91="","No planned date",IF(AND(TODAY()&gt;V91,OR(X91="",X91&lt;100)),"Behind — past end date",IF(AND(R91&lt;&gt;"",V91&lt;&gt;"",X91&lt;&gt;"",(X91&lt;100),((TODAY()-R91)/MAX(V91-R91,1)*100)-X91&gt;15),"Behind — progress lag",IF(AND(V91-TODAY()&lt;=30,V91-TODAY()&gt;=0,OR(X91="",X91&lt;90)),"At risk — close to off track","On track"))))))))</t>
        </is>
      </c>
      <c r="AF91" s="38" t="inlineStr">
        <is>
          <t>IF(OR(E91="",AA91="Completed / Handover",AA91="Cancelled"),"",IF(L91="Remaining",IF(S91&lt;&gt;"",S91-TODAY(),IF(V91="","",V91-TODAY())),IF(V91="","",V91-TODAY())))</t>
        </is>
      </c>
      <c r="AG91" s="39" t="n"/>
      <c r="AH91" s="39" t="n"/>
      <c r="AI91" s="39" t="n"/>
      <c r="AJ91" s="39" t="n"/>
      <c r="AK91" s="39" t="n"/>
      <c r="AL91" s="39" t="n"/>
      <c r="AM91" s="39" t="n"/>
      <c r="AN91" s="39" t="n"/>
      <c r="AO91" s="39" t="n">
        <v>46091</v>
      </c>
      <c r="AP91" s="39" t="n">
        <v>46091</v>
      </c>
      <c r="AQ91" s="39" t="n">
        <v>46303</v>
      </c>
      <c r="AR91" s="40" t="n"/>
      <c r="AS91" s="40" t="n"/>
      <c r="AT91" s="40" t="n"/>
      <c r="AU91" s="38" t="inlineStr">
        <is>
          <t>IF(OR(E91="",AH91=""),"",IF(COUNT(AG91:AG91)=0,"",AH91-LOOKUP(2,1/(AG91:AG91&lt;&gt;""),AG91:AG91)))</t>
        </is>
      </c>
      <c r="AV91" s="38" t="inlineStr">
        <is>
          <t>IF(OR(E91="",AI91=""),"",IF(COUNT(AG91:AH91)=0,"",AI91-LOOKUP(2,1/(AG91:AH91&lt;&gt;""),AG91:AH91)))</t>
        </is>
      </c>
      <c r="AW91" s="38" t="inlineStr">
        <is>
          <t>IF(OR(E91="",AJ91=""),"",IF(COUNT(AG91:AI91)=0,"",AJ91-LOOKUP(2,1/(AG91:AI91&lt;&gt;""),AG91:AI91)))</t>
        </is>
      </c>
      <c r="AX91" s="38" t="inlineStr">
        <is>
          <t>IF(OR(E91="",AK91=""),"",IF(COUNT(AG91:AJ91)=0,"",AK91-LOOKUP(2,1/(AG91:AJ91&lt;&gt;""),AG91:AJ91)))</t>
        </is>
      </c>
      <c r="AY91" s="38" t="inlineStr">
        <is>
          <t>IF(OR(E91="",AL91=""),"",IF(COUNT(AG91:AK91)=0,"",AL91-LOOKUP(2,1/(AG91:AK91&lt;&gt;""),AG91:AK91)))</t>
        </is>
      </c>
      <c r="AZ91" s="38" t="inlineStr">
        <is>
          <t>IF(OR(E91="",AM91=""),"",IF(COUNT(AG91:AL91)=0,"",AM91-LOOKUP(2,1/(AG91:AL91&lt;&gt;""),AG91:AL91)))</t>
        </is>
      </c>
      <c r="BA91" s="38" t="inlineStr">
        <is>
          <t>IF(OR(E91="",AN91=""),"",IF(COUNT(AG91:AM91)=0,"",AN91-LOOKUP(2,1/(AG91:AM91&lt;&gt;""),AG91:AM91)))</t>
        </is>
      </c>
      <c r="BB91" s="38" t="inlineStr">
        <is>
          <t>IF(OR(E91="",AO91=""),"",IF(COUNT(AG91:AN91)=0,"",AO91-LOOKUP(2,1/(AG91:AN91&lt;&gt;""),AG91:AN91)))</t>
        </is>
      </c>
      <c r="BC91" s="38" t="inlineStr">
        <is>
          <t>IF(OR(E91="",AP91=""),"",IF(COUNT(AG91:AO91)=0,"",AP91-LOOKUP(2,1/(AG91:AO91&lt;&gt;""),AG91:AO91)))</t>
        </is>
      </c>
      <c r="BD91" s="38" t="inlineStr">
        <is>
          <t>IF(OR(E91="",AQ91=""),"",IF(COUNT(AG91:AP91)=0,"",AQ91-LOOKUP(2,1/(AG91:AP91&lt;&gt;""),AG91:AP91)))</t>
        </is>
      </c>
      <c r="BE91" s="38" t="inlineStr">
        <is>
          <t>IF(OR(E91="",AR91=""),"",IF(COUNT(AG91:AQ91)=0,"",AR91-LOOKUP(2,1/(AG91:AQ91&lt;&gt;""),AG91:AQ91)))</t>
        </is>
      </c>
      <c r="BF91" s="38" t="inlineStr">
        <is>
          <t>IF(OR(E91="",AS91=""),"",IF(COUNT(AG91:AR91)=0,"",AS91-LOOKUP(2,1/(AG91:AR91&lt;&gt;""),AG91:AR91)))</t>
        </is>
      </c>
      <c r="BG91" s="38" t="inlineStr">
        <is>
          <t>IF(OR(E91="",AT91=""),"",IF(COUNT(AG91:AS91)=0,"",AT91-LOOKUP(2,1/(AG91:AS91&lt;&gt;""),AG91:AS91)))</t>
        </is>
      </c>
      <c r="BH91" s="41" t="inlineStr">
        <is>
          <t>IF(G91="","All_Provinces",IFERROR(VLOOKUP(G91,'07_Lookups'!$A$4:$B$20,2,FALSE),"All_Provinces"))</t>
        </is>
      </c>
      <c r="BI91" s="41" t="inlineStr">
        <is>
          <t>IF(H91="","All_Districts",IFERROR(VLOOKUP(H91,'07_Lookups'!$E$4:$F$42,2,FALSE),"All_Districts"))</t>
        </is>
      </c>
    </row>
    <row r="92" ht="18" customHeight="1">
      <c r="A92" s="32" t="inlineStr">
        <is>
          <t>IF(E92="","",ROW()-3)</t>
        </is>
      </c>
      <c r="B92" s="33" t="inlineStr">
        <is>
          <t>AF2-WSM-A-023</t>
        </is>
      </c>
      <c r="C92" s="33" t="inlineStr">
        <is>
          <t>Emergency Food Security Project (EFSP) – WBK/AF-2</t>
        </is>
      </c>
      <c r="D92" s="33" t="inlineStr">
        <is>
          <t>Package #9-AF2 WSM: Construction of 1.Aka Khil Check dam and 2. Sra Qala Check dam in Sayed district, 3.Khar Check dam and 4.Mardala Check dam, located in Jaghatu districts of Wardak province.</t>
        </is>
      </c>
      <c r="E92" s="33" t="inlineStr">
        <is>
          <t>4.Mardala Check dams</t>
        </is>
      </c>
      <c r="F92" s="33" t="inlineStr">
        <is>
          <t>Check Dam</t>
        </is>
      </c>
      <c r="G92" s="33" t="inlineStr">
        <is>
          <t>Central / Kabul</t>
        </is>
      </c>
      <c r="H92" s="33" t="inlineStr">
        <is>
          <t>Maidan Wardak</t>
        </is>
      </c>
      <c r="I92" s="33" t="inlineStr">
        <is>
          <t>Jaghatu</t>
        </is>
      </c>
      <c r="J92" s="33" t="inlineStr">
        <is>
          <t>Mardala</t>
        </is>
      </c>
      <c r="K92" s="33" t="inlineStr">
        <is>
          <t>World Bank (WBK/AF-2)</t>
        </is>
      </c>
      <c r="L92" s="33" t="inlineStr">
        <is>
          <t>Awarded</t>
        </is>
      </c>
      <c r="M92" s="33" t="inlineStr">
        <is>
          <t>Watershed / Check dam</t>
        </is>
      </c>
      <c r="N92" s="33" t="inlineStr">
        <is>
          <t>3.WSM awarded contracts</t>
        </is>
      </c>
      <c r="O92" s="33" t="inlineStr">
        <is>
          <t>Sayed Abad Construction Company (SACC)</t>
        </is>
      </c>
      <c r="P92" s="33" t="inlineStr">
        <is>
          <t>021/2026</t>
        </is>
      </c>
      <c r="Q92" s="34" t="n"/>
      <c r="R92" s="35" t="inlineStr">
        <is>
          <t>IF(AO92="","",AO92)</t>
        </is>
      </c>
      <c r="S92" s="36" t="n"/>
      <c r="T92" s="37" t="n">
        <v>7</v>
      </c>
      <c r="U92" s="36" t="n">
        <v>46303</v>
      </c>
      <c r="V92" s="35" t="inlineStr">
        <is>
          <t>IF(U92&lt;&gt;"",U92,IF(OR(R92="",T92=""),"",EDATE(R92,T92)))</t>
        </is>
      </c>
      <c r="W92" s="36" t="n"/>
      <c r="X92" s="37" t="n">
        <v>100</v>
      </c>
      <c r="Y92" s="33" t="inlineStr">
        <is>
          <t>Completed / Handover</t>
        </is>
      </c>
      <c r="Z92" s="33" t="inlineStr">
        <is>
          <t>Completed on August, 2026</t>
        </is>
      </c>
      <c r="AA92" s="32" t="inlineStr">
        <is>
          <t>IF(E92="","",IF(COUNT(AG92:AT92)=0,IF(Y92="","Not started",Y92),SUBSTITUTE(LOOKUP(2,1/(AG92:AT92&lt;&gt;""),$AG$3:$AT$3),"Date: ","")))</t>
        </is>
      </c>
      <c r="AB92" s="38" t="inlineStr">
        <is>
          <t>IF(OR(E92="",COUNT(AG92:AT92)=0),"",TODAY()-LOOKUP(2,1/(AG92:AT92&lt;&gt;""),AG92:AT92))</t>
        </is>
      </c>
      <c r="AC92" s="38" t="inlineStr">
        <is>
          <t>IF(OR(E92="",COUNT(AG92:AT92)&lt;2),"",LOOKUP(2,1/(AG92:AT92&lt;&gt;""),AG92:AT92)-MIN(AG92:AT92))</t>
        </is>
      </c>
      <c r="AD92" s="38" t="inlineStr">
        <is>
          <t>IF(OR(AB92="",AA92="Not started",AA92=""),"",IFERROR(AB92-IF(VLOOKUP(AA92,'04_Status_Pipeline'!$B$3:$E$20,4,FALSE)="",0,VLOOKUP(AA92,'04_Status_Pipeline'!$B$3:$E$20,4,FALSE)),""))</t>
        </is>
      </c>
      <c r="AE92" s="32" t="inlineStr">
        <is>
          <t>IF(E92="","",IF(OR(Y92="Cancelled",AA92="Cancelled"),"Cancelled",IF(OR(AA92="Completed / Handover",W92&lt;&gt;"",X92&gt;=100),"Completed — on track",IF(L92="Remaining",IF(S92="",IF(V92="","No planned date",IF(TODAY()&gt;V92,"Behind — past planned date",IF(V92-TODAY()&lt;=30,"At risk — close to off track","On track"))),IF(TODAY()&gt;S92,"Behind — award date passed",IF(S92-TODAY()&lt;=30,"At risk — close to off track","On track"))),IF(V92="","No planned date",IF(AND(TODAY()&gt;V92,OR(X92="",X92&lt;100)),"Behind — past end date",IF(AND(R92&lt;&gt;"",V92&lt;&gt;"",X92&lt;&gt;"",(X92&lt;100),((TODAY()-R92)/MAX(V92-R92,1)*100)-X92&gt;15),"Behind — progress lag",IF(AND(V92-TODAY()&lt;=30,V92-TODAY()&gt;=0,OR(X92="",X92&lt;90)),"At risk — close to off track","On track"))))))))</t>
        </is>
      </c>
      <c r="AF92" s="38" t="inlineStr">
        <is>
          <t>IF(OR(E92="",AA92="Completed / Handover",AA92="Cancelled"),"",IF(L92="Remaining",IF(S92&lt;&gt;"",S92-TODAY(),IF(V92="","",V92-TODAY())),IF(V92="","",V92-TODAY())))</t>
        </is>
      </c>
      <c r="AG92" s="39" t="n"/>
      <c r="AH92" s="39" t="n"/>
      <c r="AI92" s="39" t="n"/>
      <c r="AJ92" s="39" t="n"/>
      <c r="AK92" s="39" t="n"/>
      <c r="AL92" s="39" t="n"/>
      <c r="AM92" s="39" t="n"/>
      <c r="AN92" s="39" t="n"/>
      <c r="AO92" s="39" t="n">
        <v>46091</v>
      </c>
      <c r="AP92" s="39" t="n">
        <v>46091</v>
      </c>
      <c r="AQ92" s="39" t="n">
        <v>46303</v>
      </c>
      <c r="AR92" s="40" t="n"/>
      <c r="AS92" s="40" t="n"/>
      <c r="AT92" s="40" t="n"/>
      <c r="AU92" s="38" t="inlineStr">
        <is>
          <t>IF(OR(E92="",AH92=""),"",IF(COUNT(AG92:AG92)=0,"",AH92-LOOKUP(2,1/(AG92:AG92&lt;&gt;""),AG92:AG92)))</t>
        </is>
      </c>
      <c r="AV92" s="38" t="inlineStr">
        <is>
          <t>IF(OR(E92="",AI92=""),"",IF(COUNT(AG92:AH92)=0,"",AI92-LOOKUP(2,1/(AG92:AH92&lt;&gt;""),AG92:AH92)))</t>
        </is>
      </c>
      <c r="AW92" s="38" t="inlineStr">
        <is>
          <t>IF(OR(E92="",AJ92=""),"",IF(COUNT(AG92:AI92)=0,"",AJ92-LOOKUP(2,1/(AG92:AI92&lt;&gt;""),AG92:AI92)))</t>
        </is>
      </c>
      <c r="AX92" s="38" t="inlineStr">
        <is>
          <t>IF(OR(E92="",AK92=""),"",IF(COUNT(AG92:AJ92)=0,"",AK92-LOOKUP(2,1/(AG92:AJ92&lt;&gt;""),AG92:AJ92)))</t>
        </is>
      </c>
      <c r="AY92" s="38" t="inlineStr">
        <is>
          <t>IF(OR(E92="",AL92=""),"",IF(COUNT(AG92:AK92)=0,"",AL92-LOOKUP(2,1/(AG92:AK92&lt;&gt;""),AG92:AK92)))</t>
        </is>
      </c>
      <c r="AZ92" s="38" t="inlineStr">
        <is>
          <t>IF(OR(E92="",AM92=""),"",IF(COUNT(AG92:AL92)=0,"",AM92-LOOKUP(2,1/(AG92:AL92&lt;&gt;""),AG92:AL92)))</t>
        </is>
      </c>
      <c r="BA92" s="38" t="inlineStr">
        <is>
          <t>IF(OR(E92="",AN92=""),"",IF(COUNT(AG92:AM92)=0,"",AN92-LOOKUP(2,1/(AG92:AM92&lt;&gt;""),AG92:AM92)))</t>
        </is>
      </c>
      <c r="BB92" s="38" t="inlineStr">
        <is>
          <t>IF(OR(E92="",AO92=""),"",IF(COUNT(AG92:AN92)=0,"",AO92-LOOKUP(2,1/(AG92:AN92&lt;&gt;""),AG92:AN92)))</t>
        </is>
      </c>
      <c r="BC92" s="38" t="inlineStr">
        <is>
          <t>IF(OR(E92="",AP92=""),"",IF(COUNT(AG92:AO92)=0,"",AP92-LOOKUP(2,1/(AG92:AO92&lt;&gt;""),AG92:AO92)))</t>
        </is>
      </c>
      <c r="BD92" s="38" t="inlineStr">
        <is>
          <t>IF(OR(E92="",AQ92=""),"",IF(COUNT(AG92:AP92)=0,"",AQ92-LOOKUP(2,1/(AG92:AP92&lt;&gt;""),AG92:AP92)))</t>
        </is>
      </c>
      <c r="BE92" s="38" t="inlineStr">
        <is>
          <t>IF(OR(E92="",AR92=""),"",IF(COUNT(AG92:AQ92)=0,"",AR92-LOOKUP(2,1/(AG92:AQ92&lt;&gt;""),AG92:AQ92)))</t>
        </is>
      </c>
      <c r="BF92" s="38" t="inlineStr">
        <is>
          <t>IF(OR(E92="",AS92=""),"",IF(COUNT(AG92:AR92)=0,"",AS92-LOOKUP(2,1/(AG92:AR92&lt;&gt;""),AG92:AR92)))</t>
        </is>
      </c>
      <c r="BG92" s="38" t="inlineStr">
        <is>
          <t>IF(OR(E92="",AT92=""),"",IF(COUNT(AG92:AS92)=0,"",AT92-LOOKUP(2,1/(AG92:AS92&lt;&gt;""),AG92:AS92)))</t>
        </is>
      </c>
      <c r="BH92" s="41" t="inlineStr">
        <is>
          <t>IF(G92="","All_Provinces",IFERROR(VLOOKUP(G92,'07_Lookups'!$A$4:$B$20,2,FALSE),"All_Provinces"))</t>
        </is>
      </c>
      <c r="BI92" s="41" t="inlineStr">
        <is>
          <t>IF(H92="","All_Districts",IFERROR(VLOOKUP(H92,'07_Lookups'!$E$4:$F$42,2,FALSE),"All_Districts"))</t>
        </is>
      </c>
    </row>
    <row r="93" ht="18" customHeight="1">
      <c r="A93" s="32" t="inlineStr">
        <is>
          <t>IF(E93="","",ROW()-3)</t>
        </is>
      </c>
      <c r="B93" s="42" t="inlineStr">
        <is>
          <t>AF2-WSM-A-024</t>
        </is>
      </c>
      <c r="C93" s="42" t="inlineStr">
        <is>
          <t>Emergency Food Security Project (EFSP) – WBK/AF-2</t>
        </is>
      </c>
      <c r="D93" s="42" t="inlineStr">
        <is>
          <t>Package #10-AF2 WSM: Construction of Loy Shenkai Check dams # 1 and # 2 in Tagab district, and Shahr-e-Naw Check dam # 3 located in Nijrab districts of Kapisa province.</t>
        </is>
      </c>
      <c r="E93" s="42" t="inlineStr">
        <is>
          <t>1. Loy Shenkai Check dams-1</t>
        </is>
      </c>
      <c r="F93" s="42" t="inlineStr">
        <is>
          <t>Check Dam</t>
        </is>
      </c>
      <c r="G93" s="42" t="inlineStr">
        <is>
          <t>Central / Kabul</t>
        </is>
      </c>
      <c r="H93" s="42" t="inlineStr">
        <is>
          <t>Kapisa</t>
        </is>
      </c>
      <c r="I93" s="42" t="inlineStr">
        <is>
          <t>Tagab</t>
        </is>
      </c>
      <c r="J93" s="42" t="inlineStr">
        <is>
          <t>Loy Shenkai-1</t>
        </is>
      </c>
      <c r="K93" s="42" t="inlineStr">
        <is>
          <t>World Bank (WBK/AF-2)</t>
        </is>
      </c>
      <c r="L93" s="42" t="inlineStr">
        <is>
          <t>Awarded</t>
        </is>
      </c>
      <c r="M93" s="42" t="inlineStr">
        <is>
          <t>Watershed / Check dam</t>
        </is>
      </c>
      <c r="N93" s="42" t="inlineStr">
        <is>
          <t>3.WSM awarded contracts</t>
        </is>
      </c>
      <c r="O93" s="42" t="inlineStr">
        <is>
          <t>Kapisa Kohna Dah Construction Company (KKCC)</t>
        </is>
      </c>
      <c r="P93" s="42" t="inlineStr">
        <is>
          <t>020/2026</t>
        </is>
      </c>
      <c r="Q93" s="43" t="n">
        <v>44028.02</v>
      </c>
      <c r="R93" s="35" t="inlineStr">
        <is>
          <t>IF(AO93="","",AO93)</t>
        </is>
      </c>
      <c r="S93" s="44" t="n"/>
      <c r="T93" s="45" t="n">
        <v>6</v>
      </c>
      <c r="U93" s="44" t="n">
        <v>46273</v>
      </c>
      <c r="V93" s="35" t="inlineStr">
        <is>
          <t>IF(U93&lt;&gt;"",U93,IF(OR(R93="",T93=""),"",EDATE(R93,T93)))</t>
        </is>
      </c>
      <c r="W93" s="44" t="n"/>
      <c r="X93" s="45" t="n">
        <v>100</v>
      </c>
      <c r="Y93" s="42" t="inlineStr">
        <is>
          <t>Completed / Handover</t>
        </is>
      </c>
      <c r="Z93" s="42" t="inlineStr">
        <is>
          <t>Completed on August 2026</t>
        </is>
      </c>
      <c r="AA93" s="32" t="inlineStr">
        <is>
          <t>IF(E93="","",IF(COUNT(AG93:AT93)=0,IF(Y93="","Not started",Y93),SUBSTITUTE(LOOKUP(2,1/(AG93:AT93&lt;&gt;""),$AG$3:$AT$3),"Date: ","")))</t>
        </is>
      </c>
      <c r="AB93" s="38" t="inlineStr">
        <is>
          <t>IF(OR(E93="",COUNT(AG93:AT93)=0),"",TODAY()-LOOKUP(2,1/(AG93:AT93&lt;&gt;""),AG93:AT93))</t>
        </is>
      </c>
      <c r="AC93" s="38" t="inlineStr">
        <is>
          <t>IF(OR(E93="",COUNT(AG93:AT93)&lt;2),"",LOOKUP(2,1/(AG93:AT93&lt;&gt;""),AG93:AT93)-MIN(AG93:AT93))</t>
        </is>
      </c>
      <c r="AD93" s="38" t="inlineStr">
        <is>
          <t>IF(OR(AB93="",AA93="Not started",AA93=""),"",IFERROR(AB93-IF(VLOOKUP(AA93,'04_Status_Pipeline'!$B$3:$E$20,4,FALSE)="",0,VLOOKUP(AA93,'04_Status_Pipeline'!$B$3:$E$20,4,FALSE)),""))</t>
        </is>
      </c>
      <c r="AE93" s="32" t="inlineStr">
        <is>
          <t>IF(E93="","",IF(OR(Y93="Cancelled",AA93="Cancelled"),"Cancelled",IF(OR(AA93="Completed / Handover",W93&lt;&gt;"",X93&gt;=100),"Completed — on track",IF(L93="Remaining",IF(S93="",IF(V93="","No planned date",IF(TODAY()&gt;V93,"Behind — past planned date",IF(V93-TODAY()&lt;=30,"At risk — close to off track","On track"))),IF(TODAY()&gt;S93,"Behind — award date passed",IF(S93-TODAY()&lt;=30,"At risk — close to off track","On track"))),IF(V93="","No planned date",IF(AND(TODAY()&gt;V93,OR(X93="",X93&lt;100)),"Behind — past end date",IF(AND(R93&lt;&gt;"",V93&lt;&gt;"",X93&lt;&gt;"",(X93&lt;100),((TODAY()-R93)/MAX(V93-R93,1)*100)-X93&gt;15),"Behind — progress lag",IF(AND(V93-TODAY()&lt;=30,V93-TODAY()&gt;=0,OR(X93="",X93&lt;90)),"At risk — close to off track","On track"))))))))</t>
        </is>
      </c>
      <c r="AF93" s="38" t="inlineStr">
        <is>
          <t>IF(OR(E93="",AA93="Completed / Handover",AA93="Cancelled"),"",IF(L93="Remaining",IF(S93&lt;&gt;"",S93-TODAY(),IF(V93="","",V93-TODAY())),IF(V93="","",V93-TODAY())))</t>
        </is>
      </c>
      <c r="AG93" s="39" t="n"/>
      <c r="AH93" s="39" t="n"/>
      <c r="AI93" s="39" t="n"/>
      <c r="AJ93" s="39" t="n"/>
      <c r="AK93" s="39" t="n"/>
      <c r="AL93" s="39" t="n"/>
      <c r="AM93" s="39" t="n"/>
      <c r="AN93" s="39" t="n"/>
      <c r="AO93" s="39" t="n">
        <v>46090</v>
      </c>
      <c r="AP93" s="39" t="n">
        <v>46090</v>
      </c>
      <c r="AQ93" s="39" t="n">
        <v>46273</v>
      </c>
      <c r="AR93" s="40" t="n"/>
      <c r="AS93" s="40" t="n"/>
      <c r="AT93" s="40" t="n"/>
      <c r="AU93" s="38" t="inlineStr">
        <is>
          <t>IF(OR(E93="",AH93=""),"",IF(COUNT(AG93:AG93)=0,"",AH93-LOOKUP(2,1/(AG93:AG93&lt;&gt;""),AG93:AG93)))</t>
        </is>
      </c>
      <c r="AV93" s="38" t="inlineStr">
        <is>
          <t>IF(OR(E93="",AI93=""),"",IF(COUNT(AG93:AH93)=0,"",AI93-LOOKUP(2,1/(AG93:AH93&lt;&gt;""),AG93:AH93)))</t>
        </is>
      </c>
      <c r="AW93" s="38" t="inlineStr">
        <is>
          <t>IF(OR(E93="",AJ93=""),"",IF(COUNT(AG93:AI93)=0,"",AJ93-LOOKUP(2,1/(AG93:AI93&lt;&gt;""),AG93:AI93)))</t>
        </is>
      </c>
      <c r="AX93" s="38" t="inlineStr">
        <is>
          <t>IF(OR(E93="",AK93=""),"",IF(COUNT(AG93:AJ93)=0,"",AK93-LOOKUP(2,1/(AG93:AJ93&lt;&gt;""),AG93:AJ93)))</t>
        </is>
      </c>
      <c r="AY93" s="38" t="inlineStr">
        <is>
          <t>IF(OR(E93="",AL93=""),"",IF(COUNT(AG93:AK93)=0,"",AL93-LOOKUP(2,1/(AG93:AK93&lt;&gt;""),AG93:AK93)))</t>
        </is>
      </c>
      <c r="AZ93" s="38" t="inlineStr">
        <is>
          <t>IF(OR(E93="",AM93=""),"",IF(COUNT(AG93:AL93)=0,"",AM93-LOOKUP(2,1/(AG93:AL93&lt;&gt;""),AG93:AL93)))</t>
        </is>
      </c>
      <c r="BA93" s="38" t="inlineStr">
        <is>
          <t>IF(OR(E93="",AN93=""),"",IF(COUNT(AG93:AM93)=0,"",AN93-LOOKUP(2,1/(AG93:AM93&lt;&gt;""),AG93:AM93)))</t>
        </is>
      </c>
      <c r="BB93" s="38" t="inlineStr">
        <is>
          <t>IF(OR(E93="",AO93=""),"",IF(COUNT(AG93:AN93)=0,"",AO93-LOOKUP(2,1/(AG93:AN93&lt;&gt;""),AG93:AN93)))</t>
        </is>
      </c>
      <c r="BC93" s="38" t="inlineStr">
        <is>
          <t>IF(OR(E93="",AP93=""),"",IF(COUNT(AG93:AO93)=0,"",AP93-LOOKUP(2,1/(AG93:AO93&lt;&gt;""),AG93:AO93)))</t>
        </is>
      </c>
      <c r="BD93" s="38" t="inlineStr">
        <is>
          <t>IF(OR(E93="",AQ93=""),"",IF(COUNT(AG93:AP93)=0,"",AQ93-LOOKUP(2,1/(AG93:AP93&lt;&gt;""),AG93:AP93)))</t>
        </is>
      </c>
      <c r="BE93" s="38" t="inlineStr">
        <is>
          <t>IF(OR(E93="",AR93=""),"",IF(COUNT(AG93:AQ93)=0,"",AR93-LOOKUP(2,1/(AG93:AQ93&lt;&gt;""),AG93:AQ93)))</t>
        </is>
      </c>
      <c r="BF93" s="38" t="inlineStr">
        <is>
          <t>IF(OR(E93="",AS93=""),"",IF(COUNT(AG93:AR93)=0,"",AS93-LOOKUP(2,1/(AG93:AR93&lt;&gt;""),AG93:AR93)))</t>
        </is>
      </c>
      <c r="BG93" s="38" t="inlineStr">
        <is>
          <t>IF(OR(E93="",AT93=""),"",IF(COUNT(AG93:AS93)=0,"",AT93-LOOKUP(2,1/(AG93:AS93&lt;&gt;""),AG93:AS93)))</t>
        </is>
      </c>
      <c r="BH93" s="41" t="inlineStr">
        <is>
          <t>IF(G93="","All_Provinces",IFERROR(VLOOKUP(G93,'07_Lookups'!$A$4:$B$20,2,FALSE),"All_Provinces"))</t>
        </is>
      </c>
      <c r="BI93" s="41" t="inlineStr">
        <is>
          <t>IF(H93="","All_Districts",IFERROR(VLOOKUP(H93,'07_Lookups'!$E$4:$F$42,2,FALSE),"All_Districts"))</t>
        </is>
      </c>
    </row>
    <row r="94" ht="18" customHeight="1">
      <c r="A94" s="32" t="inlineStr">
        <is>
          <t>IF(E94="","",ROW()-3)</t>
        </is>
      </c>
      <c r="B94" s="33" t="inlineStr">
        <is>
          <t>AF2-WSM-A-025</t>
        </is>
      </c>
      <c r="C94" s="33" t="inlineStr">
        <is>
          <t>Emergency Food Security Project (EFSP) – WBK/AF-2</t>
        </is>
      </c>
      <c r="D94" s="33" t="inlineStr">
        <is>
          <t>Package #10-AF2 WSM: Construction of Loy Shenkai Check dams # 1 and # 2 in Tagab district, and Shahr-e-Naw Check dam # 3 located in Nijrab districts of Kapisa province.</t>
        </is>
      </c>
      <c r="E94" s="33" t="inlineStr">
        <is>
          <t>2. Loy Shenkai Check dams-2</t>
        </is>
      </c>
      <c r="F94" s="33" t="inlineStr">
        <is>
          <t>Check Dam</t>
        </is>
      </c>
      <c r="G94" s="33" t="inlineStr">
        <is>
          <t>Central / Kabul</t>
        </is>
      </c>
      <c r="H94" s="33" t="inlineStr">
        <is>
          <t>Kapisa</t>
        </is>
      </c>
      <c r="I94" s="33" t="inlineStr">
        <is>
          <t>Tagab</t>
        </is>
      </c>
      <c r="J94" s="33" t="inlineStr">
        <is>
          <t>Loy Shenkai-2</t>
        </is>
      </c>
      <c r="K94" s="33" t="inlineStr">
        <is>
          <t>World Bank (WBK/AF-2)</t>
        </is>
      </c>
      <c r="L94" s="33" t="inlineStr">
        <is>
          <t>Awarded</t>
        </is>
      </c>
      <c r="M94" s="33" t="inlineStr">
        <is>
          <t>Watershed / Check dam</t>
        </is>
      </c>
      <c r="N94" s="33" t="inlineStr">
        <is>
          <t>3.WSM awarded contracts</t>
        </is>
      </c>
      <c r="O94" s="33" t="inlineStr">
        <is>
          <t>Kapisa Kohna Dah Construction Company (KKCC)</t>
        </is>
      </c>
      <c r="P94" s="33" t="inlineStr">
        <is>
          <t>020/2026</t>
        </is>
      </c>
      <c r="Q94" s="34" t="n"/>
      <c r="R94" s="35" t="inlineStr">
        <is>
          <t>IF(AO94="","",AO94)</t>
        </is>
      </c>
      <c r="S94" s="36" t="n"/>
      <c r="T94" s="37" t="n">
        <v>6</v>
      </c>
      <c r="U94" s="36" t="n">
        <v>46273</v>
      </c>
      <c r="V94" s="35" t="inlineStr">
        <is>
          <t>IF(U94&lt;&gt;"",U94,IF(OR(R94="",T94=""),"",EDATE(R94,T94)))</t>
        </is>
      </c>
      <c r="W94" s="36" t="n"/>
      <c r="X94" s="37" t="n">
        <v>100</v>
      </c>
      <c r="Y94" s="33" t="inlineStr">
        <is>
          <t>Completed / Handover</t>
        </is>
      </c>
      <c r="Z94" s="33" t="inlineStr">
        <is>
          <t>Completed on August 2026</t>
        </is>
      </c>
      <c r="AA94" s="32" t="inlineStr">
        <is>
          <t>IF(E94="","",IF(COUNT(AG94:AT94)=0,IF(Y94="","Not started",Y94),SUBSTITUTE(LOOKUP(2,1/(AG94:AT94&lt;&gt;""),$AG$3:$AT$3),"Date: ","")))</t>
        </is>
      </c>
      <c r="AB94" s="38" t="inlineStr">
        <is>
          <t>IF(OR(E94="",COUNT(AG94:AT94)=0),"",TODAY()-LOOKUP(2,1/(AG94:AT94&lt;&gt;""),AG94:AT94))</t>
        </is>
      </c>
      <c r="AC94" s="38" t="inlineStr">
        <is>
          <t>IF(OR(E94="",COUNT(AG94:AT94)&lt;2),"",LOOKUP(2,1/(AG94:AT94&lt;&gt;""),AG94:AT94)-MIN(AG94:AT94))</t>
        </is>
      </c>
      <c r="AD94" s="38" t="inlineStr">
        <is>
          <t>IF(OR(AB94="",AA94="Not started",AA94=""),"",IFERROR(AB94-IF(VLOOKUP(AA94,'04_Status_Pipeline'!$B$3:$E$20,4,FALSE)="",0,VLOOKUP(AA94,'04_Status_Pipeline'!$B$3:$E$20,4,FALSE)),""))</t>
        </is>
      </c>
      <c r="AE94" s="32" t="inlineStr">
        <is>
          <t>IF(E94="","",IF(OR(Y94="Cancelled",AA94="Cancelled"),"Cancelled",IF(OR(AA94="Completed / Handover",W94&lt;&gt;"",X94&gt;=100),"Completed — on track",IF(L94="Remaining",IF(S94="",IF(V94="","No planned date",IF(TODAY()&gt;V94,"Behind — past planned date",IF(V94-TODAY()&lt;=30,"At risk — close to off track","On track"))),IF(TODAY()&gt;S94,"Behind — award date passed",IF(S94-TODAY()&lt;=30,"At risk — close to off track","On track"))),IF(V94="","No planned date",IF(AND(TODAY()&gt;V94,OR(X94="",X94&lt;100)),"Behind — past end date",IF(AND(R94&lt;&gt;"",V94&lt;&gt;"",X94&lt;&gt;"",(X94&lt;100),((TODAY()-R94)/MAX(V94-R94,1)*100)-X94&gt;15),"Behind — progress lag",IF(AND(V94-TODAY()&lt;=30,V94-TODAY()&gt;=0,OR(X94="",X94&lt;90)),"At risk — close to off track","On track"))))))))</t>
        </is>
      </c>
      <c r="AF94" s="38" t="inlineStr">
        <is>
          <t>IF(OR(E94="",AA94="Completed / Handover",AA94="Cancelled"),"",IF(L94="Remaining",IF(S94&lt;&gt;"",S94-TODAY(),IF(V94="","",V94-TODAY())),IF(V94="","",V94-TODAY())))</t>
        </is>
      </c>
      <c r="AG94" s="39" t="n"/>
      <c r="AH94" s="39" t="n"/>
      <c r="AI94" s="39" t="n"/>
      <c r="AJ94" s="39" t="n"/>
      <c r="AK94" s="39" t="n"/>
      <c r="AL94" s="39" t="n"/>
      <c r="AM94" s="39" t="n"/>
      <c r="AN94" s="39" t="n"/>
      <c r="AO94" s="39" t="n">
        <v>46090</v>
      </c>
      <c r="AP94" s="39" t="n">
        <v>46090</v>
      </c>
      <c r="AQ94" s="39" t="n">
        <v>46273</v>
      </c>
      <c r="AR94" s="40" t="n"/>
      <c r="AS94" s="40" t="n"/>
      <c r="AT94" s="40" t="n"/>
      <c r="AU94" s="38" t="inlineStr">
        <is>
          <t>IF(OR(E94="",AH94=""),"",IF(COUNT(AG94:AG94)=0,"",AH94-LOOKUP(2,1/(AG94:AG94&lt;&gt;""),AG94:AG94)))</t>
        </is>
      </c>
      <c r="AV94" s="38" t="inlineStr">
        <is>
          <t>IF(OR(E94="",AI94=""),"",IF(COUNT(AG94:AH94)=0,"",AI94-LOOKUP(2,1/(AG94:AH94&lt;&gt;""),AG94:AH94)))</t>
        </is>
      </c>
      <c r="AW94" s="38" t="inlineStr">
        <is>
          <t>IF(OR(E94="",AJ94=""),"",IF(COUNT(AG94:AI94)=0,"",AJ94-LOOKUP(2,1/(AG94:AI94&lt;&gt;""),AG94:AI94)))</t>
        </is>
      </c>
      <c r="AX94" s="38" t="inlineStr">
        <is>
          <t>IF(OR(E94="",AK94=""),"",IF(COUNT(AG94:AJ94)=0,"",AK94-LOOKUP(2,1/(AG94:AJ94&lt;&gt;""),AG94:AJ94)))</t>
        </is>
      </c>
      <c r="AY94" s="38" t="inlineStr">
        <is>
          <t>IF(OR(E94="",AL94=""),"",IF(COUNT(AG94:AK94)=0,"",AL94-LOOKUP(2,1/(AG94:AK94&lt;&gt;""),AG94:AK94)))</t>
        </is>
      </c>
      <c r="AZ94" s="38" t="inlineStr">
        <is>
          <t>IF(OR(E94="",AM94=""),"",IF(COUNT(AG94:AL94)=0,"",AM94-LOOKUP(2,1/(AG94:AL94&lt;&gt;""),AG94:AL94)))</t>
        </is>
      </c>
      <c r="BA94" s="38" t="inlineStr">
        <is>
          <t>IF(OR(E94="",AN94=""),"",IF(COUNT(AG94:AM94)=0,"",AN94-LOOKUP(2,1/(AG94:AM94&lt;&gt;""),AG94:AM94)))</t>
        </is>
      </c>
      <c r="BB94" s="38" t="inlineStr">
        <is>
          <t>IF(OR(E94="",AO94=""),"",IF(COUNT(AG94:AN94)=0,"",AO94-LOOKUP(2,1/(AG94:AN94&lt;&gt;""),AG94:AN94)))</t>
        </is>
      </c>
      <c r="BC94" s="38" t="inlineStr">
        <is>
          <t>IF(OR(E94="",AP94=""),"",IF(COUNT(AG94:AO94)=0,"",AP94-LOOKUP(2,1/(AG94:AO94&lt;&gt;""),AG94:AO94)))</t>
        </is>
      </c>
      <c r="BD94" s="38" t="inlineStr">
        <is>
          <t>IF(OR(E94="",AQ94=""),"",IF(COUNT(AG94:AP94)=0,"",AQ94-LOOKUP(2,1/(AG94:AP94&lt;&gt;""),AG94:AP94)))</t>
        </is>
      </c>
      <c r="BE94" s="38" t="inlineStr">
        <is>
          <t>IF(OR(E94="",AR94=""),"",IF(COUNT(AG94:AQ94)=0,"",AR94-LOOKUP(2,1/(AG94:AQ94&lt;&gt;""),AG94:AQ94)))</t>
        </is>
      </c>
      <c r="BF94" s="38" t="inlineStr">
        <is>
          <t>IF(OR(E94="",AS94=""),"",IF(COUNT(AG94:AR94)=0,"",AS94-LOOKUP(2,1/(AG94:AR94&lt;&gt;""),AG94:AR94)))</t>
        </is>
      </c>
      <c r="BG94" s="38" t="inlineStr">
        <is>
          <t>IF(OR(E94="",AT94=""),"",IF(COUNT(AG94:AS94)=0,"",AT94-LOOKUP(2,1/(AG94:AS94&lt;&gt;""),AG94:AS94)))</t>
        </is>
      </c>
      <c r="BH94" s="41" t="inlineStr">
        <is>
          <t>IF(G94="","All_Provinces",IFERROR(VLOOKUP(G94,'07_Lookups'!$A$4:$B$20,2,FALSE),"All_Provinces"))</t>
        </is>
      </c>
      <c r="BI94" s="41" t="inlineStr">
        <is>
          <t>IF(H94="","All_Districts",IFERROR(VLOOKUP(H94,'07_Lookups'!$E$4:$F$42,2,FALSE),"All_Districts"))</t>
        </is>
      </c>
    </row>
    <row r="95" ht="18" customHeight="1">
      <c r="A95" s="32" t="inlineStr">
        <is>
          <t>IF(E95="","",ROW()-3)</t>
        </is>
      </c>
      <c r="B95" s="42" t="inlineStr">
        <is>
          <t>AF2-WSM-A-026</t>
        </is>
      </c>
      <c r="C95" s="42" t="inlineStr">
        <is>
          <t>Emergency Food Security Project (EFSP) – WBK/AF-2</t>
        </is>
      </c>
      <c r="D95" s="42" t="inlineStr">
        <is>
          <t>Package #10-AF2 WSM: Construction of Loy Shenkai Check dams # 1 and # 2 in Tagab district, and Shahr-e-Naw Check dam # 3 located in Nijrab districts of Kapisa province.</t>
        </is>
      </c>
      <c r="E95" s="42" t="inlineStr">
        <is>
          <t>3. Shahr-e-Naw Check dam</t>
        </is>
      </c>
      <c r="F95" s="42" t="inlineStr">
        <is>
          <t>Check Dam</t>
        </is>
      </c>
      <c r="G95" s="42" t="inlineStr">
        <is>
          <t>Central / Kabul</t>
        </is>
      </c>
      <c r="H95" s="42" t="inlineStr">
        <is>
          <t>Kapisa</t>
        </is>
      </c>
      <c r="I95" s="42" t="inlineStr">
        <is>
          <t>Nijrab</t>
        </is>
      </c>
      <c r="J95" s="42" t="inlineStr">
        <is>
          <t>Shahr-e-Naw</t>
        </is>
      </c>
      <c r="K95" s="42" t="inlineStr">
        <is>
          <t>World Bank (WBK/AF-2)</t>
        </is>
      </c>
      <c r="L95" s="42" t="inlineStr">
        <is>
          <t>Awarded</t>
        </is>
      </c>
      <c r="M95" s="42" t="inlineStr">
        <is>
          <t>Watershed / Check dam</t>
        </is>
      </c>
      <c r="N95" s="42" t="inlineStr">
        <is>
          <t>3.WSM awarded contracts</t>
        </is>
      </c>
      <c r="O95" s="42" t="inlineStr">
        <is>
          <t>Kapisa Kohna Dah Construction Company (KKCC)</t>
        </is>
      </c>
      <c r="P95" s="42" t="inlineStr">
        <is>
          <t>020/2026</t>
        </is>
      </c>
      <c r="Q95" s="43" t="n"/>
      <c r="R95" s="35" t="inlineStr">
        <is>
          <t>IF(AO95="","",AO95)</t>
        </is>
      </c>
      <c r="S95" s="44" t="n"/>
      <c r="T95" s="45" t="n">
        <v>6</v>
      </c>
      <c r="U95" s="44" t="n">
        <v>46273</v>
      </c>
      <c r="V95" s="35" t="inlineStr">
        <is>
          <t>IF(U95&lt;&gt;"",U95,IF(OR(R95="",T95=""),"",EDATE(R95,T95)))</t>
        </is>
      </c>
      <c r="W95" s="44" t="n"/>
      <c r="X95" s="45" t="n">
        <v>100</v>
      </c>
      <c r="Y95" s="42" t="inlineStr">
        <is>
          <t>Completed / Handover</t>
        </is>
      </c>
      <c r="Z95" s="42" t="inlineStr">
        <is>
          <t>Completed on August 2026</t>
        </is>
      </c>
      <c r="AA95" s="32" t="inlineStr">
        <is>
          <t>IF(E95="","",IF(COUNT(AG95:AT95)=0,IF(Y95="","Not started",Y95),SUBSTITUTE(LOOKUP(2,1/(AG95:AT95&lt;&gt;""),$AG$3:$AT$3),"Date: ","")))</t>
        </is>
      </c>
      <c r="AB95" s="38" t="inlineStr">
        <is>
          <t>IF(OR(E95="",COUNT(AG95:AT95)=0),"",TODAY()-LOOKUP(2,1/(AG95:AT95&lt;&gt;""),AG95:AT95))</t>
        </is>
      </c>
      <c r="AC95" s="38" t="inlineStr">
        <is>
          <t>IF(OR(E95="",COUNT(AG95:AT95)&lt;2),"",LOOKUP(2,1/(AG95:AT95&lt;&gt;""),AG95:AT95)-MIN(AG95:AT95))</t>
        </is>
      </c>
      <c r="AD95" s="38" t="inlineStr">
        <is>
          <t>IF(OR(AB95="",AA95="Not started",AA95=""),"",IFERROR(AB95-IF(VLOOKUP(AA95,'04_Status_Pipeline'!$B$3:$E$20,4,FALSE)="",0,VLOOKUP(AA95,'04_Status_Pipeline'!$B$3:$E$20,4,FALSE)),""))</t>
        </is>
      </c>
      <c r="AE95" s="32" t="inlineStr">
        <is>
          <t>IF(E95="","",IF(OR(Y95="Cancelled",AA95="Cancelled"),"Cancelled",IF(OR(AA95="Completed / Handover",W95&lt;&gt;"",X95&gt;=100),"Completed — on track",IF(L95="Remaining",IF(S95="",IF(V95="","No planned date",IF(TODAY()&gt;V95,"Behind — past planned date",IF(V95-TODAY()&lt;=30,"At risk — close to off track","On track"))),IF(TODAY()&gt;S95,"Behind — award date passed",IF(S95-TODAY()&lt;=30,"At risk — close to off track","On track"))),IF(V95="","No planned date",IF(AND(TODAY()&gt;V95,OR(X95="",X95&lt;100)),"Behind — past end date",IF(AND(R95&lt;&gt;"",V95&lt;&gt;"",X95&lt;&gt;"",(X95&lt;100),((TODAY()-R95)/MAX(V95-R95,1)*100)-X95&gt;15),"Behind — progress lag",IF(AND(V95-TODAY()&lt;=30,V95-TODAY()&gt;=0,OR(X95="",X95&lt;90)),"At risk — close to off track","On track"))))))))</t>
        </is>
      </c>
      <c r="AF95" s="38" t="inlineStr">
        <is>
          <t>IF(OR(E95="",AA95="Completed / Handover",AA95="Cancelled"),"",IF(L95="Remaining",IF(S95&lt;&gt;"",S95-TODAY(),IF(V95="","",V95-TODAY())),IF(V95="","",V95-TODAY())))</t>
        </is>
      </c>
      <c r="AG95" s="39" t="n"/>
      <c r="AH95" s="39" t="n"/>
      <c r="AI95" s="39" t="n"/>
      <c r="AJ95" s="39" t="n"/>
      <c r="AK95" s="39" t="n"/>
      <c r="AL95" s="39" t="n"/>
      <c r="AM95" s="39" t="n"/>
      <c r="AN95" s="39" t="n"/>
      <c r="AO95" s="39" t="n">
        <v>46090</v>
      </c>
      <c r="AP95" s="39" t="n">
        <v>46090</v>
      </c>
      <c r="AQ95" s="39" t="n">
        <v>46273</v>
      </c>
      <c r="AR95" s="40" t="n"/>
      <c r="AS95" s="40" t="n"/>
      <c r="AT95" s="40" t="n"/>
      <c r="AU95" s="38" t="inlineStr">
        <is>
          <t>IF(OR(E95="",AH95=""),"",IF(COUNT(AG95:AG95)=0,"",AH95-LOOKUP(2,1/(AG95:AG95&lt;&gt;""),AG95:AG95)))</t>
        </is>
      </c>
      <c r="AV95" s="38" t="inlineStr">
        <is>
          <t>IF(OR(E95="",AI95=""),"",IF(COUNT(AG95:AH95)=0,"",AI95-LOOKUP(2,1/(AG95:AH95&lt;&gt;""),AG95:AH95)))</t>
        </is>
      </c>
      <c r="AW95" s="38" t="inlineStr">
        <is>
          <t>IF(OR(E95="",AJ95=""),"",IF(COUNT(AG95:AI95)=0,"",AJ95-LOOKUP(2,1/(AG95:AI95&lt;&gt;""),AG95:AI95)))</t>
        </is>
      </c>
      <c r="AX95" s="38" t="inlineStr">
        <is>
          <t>IF(OR(E95="",AK95=""),"",IF(COUNT(AG95:AJ95)=0,"",AK95-LOOKUP(2,1/(AG95:AJ95&lt;&gt;""),AG95:AJ95)))</t>
        </is>
      </c>
      <c r="AY95" s="38" t="inlineStr">
        <is>
          <t>IF(OR(E95="",AL95=""),"",IF(COUNT(AG95:AK95)=0,"",AL95-LOOKUP(2,1/(AG95:AK95&lt;&gt;""),AG95:AK95)))</t>
        </is>
      </c>
      <c r="AZ95" s="38" t="inlineStr">
        <is>
          <t>IF(OR(E95="",AM95=""),"",IF(COUNT(AG95:AL95)=0,"",AM95-LOOKUP(2,1/(AG95:AL95&lt;&gt;""),AG95:AL95)))</t>
        </is>
      </c>
      <c r="BA95" s="38" t="inlineStr">
        <is>
          <t>IF(OR(E95="",AN95=""),"",IF(COUNT(AG95:AM95)=0,"",AN95-LOOKUP(2,1/(AG95:AM95&lt;&gt;""),AG95:AM95)))</t>
        </is>
      </c>
      <c r="BB95" s="38" t="inlineStr">
        <is>
          <t>IF(OR(E95="",AO95=""),"",IF(COUNT(AG95:AN95)=0,"",AO95-LOOKUP(2,1/(AG95:AN95&lt;&gt;""),AG95:AN95)))</t>
        </is>
      </c>
      <c r="BC95" s="38" t="inlineStr">
        <is>
          <t>IF(OR(E95="",AP95=""),"",IF(COUNT(AG95:AO95)=0,"",AP95-LOOKUP(2,1/(AG95:AO95&lt;&gt;""),AG95:AO95)))</t>
        </is>
      </c>
      <c r="BD95" s="38" t="inlineStr">
        <is>
          <t>IF(OR(E95="",AQ95=""),"",IF(COUNT(AG95:AP95)=0,"",AQ95-LOOKUP(2,1/(AG95:AP95&lt;&gt;""),AG95:AP95)))</t>
        </is>
      </c>
      <c r="BE95" s="38" t="inlineStr">
        <is>
          <t>IF(OR(E95="",AR95=""),"",IF(COUNT(AG95:AQ95)=0,"",AR95-LOOKUP(2,1/(AG95:AQ95&lt;&gt;""),AG95:AQ95)))</t>
        </is>
      </c>
      <c r="BF95" s="38" t="inlineStr">
        <is>
          <t>IF(OR(E95="",AS95=""),"",IF(COUNT(AG95:AR95)=0,"",AS95-LOOKUP(2,1/(AG95:AR95&lt;&gt;""),AG95:AR95)))</t>
        </is>
      </c>
      <c r="BG95" s="38" t="inlineStr">
        <is>
          <t>IF(OR(E95="",AT95=""),"",IF(COUNT(AG95:AS95)=0,"",AT95-LOOKUP(2,1/(AG95:AS95&lt;&gt;""),AG95:AS95)))</t>
        </is>
      </c>
      <c r="BH95" s="41" t="inlineStr">
        <is>
          <t>IF(G95="","All_Provinces",IFERROR(VLOOKUP(G95,'07_Lookups'!$A$4:$B$20,2,FALSE),"All_Provinces"))</t>
        </is>
      </c>
      <c r="BI95" s="41" t="inlineStr">
        <is>
          <t>IF(H95="","All_Districts",IFERROR(VLOOKUP(H95,'07_Lookups'!$E$4:$F$42,2,FALSE),"All_Districts"))</t>
        </is>
      </c>
    </row>
    <row r="96" ht="18" customHeight="1">
      <c r="A96" s="32" t="inlineStr">
        <is>
          <t>IF(E96="","",ROW()-3)</t>
        </is>
      </c>
      <c r="B96" s="33" t="inlineStr">
        <is>
          <t>AF2-WSM-A-027</t>
        </is>
      </c>
      <c r="C96" s="33" t="inlineStr">
        <is>
          <t>Emergency Food Security Project (EFSP) – WBK/AF-2</t>
        </is>
      </c>
      <c r="D96" s="33" t="inlineStr">
        <is>
          <t>Package #11-AF2 WSM: Construction of 3 Check dams 1.Wolangak in Shikh Ali, 2.Sanzalai, and 3.Sharkai Olia in Koh-e-Safi district of Parwan province.</t>
        </is>
      </c>
      <c r="E96" s="33" t="inlineStr">
        <is>
          <t>Wolangak Check dams</t>
        </is>
      </c>
      <c r="F96" s="33" t="inlineStr">
        <is>
          <t>Check Dam</t>
        </is>
      </c>
      <c r="G96" s="33" t="inlineStr">
        <is>
          <t>Central / Kabul</t>
        </is>
      </c>
      <c r="H96" s="33" t="inlineStr">
        <is>
          <t>Parwan</t>
        </is>
      </c>
      <c r="I96" s="33" t="inlineStr">
        <is>
          <t>Shikh Ali</t>
        </is>
      </c>
      <c r="J96" s="33" t="inlineStr">
        <is>
          <t>Wolangak</t>
        </is>
      </c>
      <c r="K96" s="33" t="inlineStr">
        <is>
          <t>World Bank (WBK/AF-2)</t>
        </is>
      </c>
      <c r="L96" s="33" t="inlineStr">
        <is>
          <t>Awarded</t>
        </is>
      </c>
      <c r="M96" s="33" t="inlineStr">
        <is>
          <t>Watershed / Check dam</t>
        </is>
      </c>
      <c r="N96" s="33" t="inlineStr">
        <is>
          <t>3.WSM awarded contracts</t>
        </is>
      </c>
      <c r="O96" s="33" t="inlineStr">
        <is>
          <t>Hemat Ghorzang Construction &amp; Logistic Service Company (HGCC)</t>
        </is>
      </c>
      <c r="P96" s="33" t="inlineStr">
        <is>
          <t>043/2026</t>
        </is>
      </c>
      <c r="Q96" s="34" t="n">
        <v>77145</v>
      </c>
      <c r="R96" s="35" t="inlineStr">
        <is>
          <t>IF(AO96="","",AO96)</t>
        </is>
      </c>
      <c r="S96" s="36" t="n"/>
      <c r="T96" s="37" t="n">
        <v>5</v>
      </c>
      <c r="U96" s="36" t="n">
        <v>46349</v>
      </c>
      <c r="V96" s="35" t="inlineStr">
        <is>
          <t>IF(U96&lt;&gt;"",U96,IF(OR(R96="",T96=""),"",EDATE(R96,T96)))</t>
        </is>
      </c>
      <c r="W96" s="36" t="n"/>
      <c r="X96" s="37" t="n">
        <v>0</v>
      </c>
      <c r="Y96" s="33" t="inlineStr">
        <is>
          <t>Completed / Handover</t>
        </is>
      </c>
      <c r="Z96" s="33" t="inlineStr">
        <is>
          <t>Completed on August 2026</t>
        </is>
      </c>
      <c r="AA96" s="32" t="inlineStr">
        <is>
          <t>IF(E96="","",IF(COUNT(AG96:AT96)=0,IF(Y96="","Not started",Y96),SUBSTITUTE(LOOKUP(2,1/(AG96:AT96&lt;&gt;""),$AG$3:$AT$3),"Date: ","")))</t>
        </is>
      </c>
      <c r="AB96" s="38" t="inlineStr">
        <is>
          <t>IF(OR(E96="",COUNT(AG96:AT96)=0),"",TODAY()-LOOKUP(2,1/(AG96:AT96&lt;&gt;""),AG96:AT96))</t>
        </is>
      </c>
      <c r="AC96" s="38" t="inlineStr">
        <is>
          <t>IF(OR(E96="",COUNT(AG96:AT96)&lt;2),"",LOOKUP(2,1/(AG96:AT96&lt;&gt;""),AG96:AT96)-MIN(AG96:AT96))</t>
        </is>
      </c>
      <c r="AD96" s="38" t="inlineStr">
        <is>
          <t>IF(OR(AB96="",AA96="Not started",AA96=""),"",IFERROR(AB96-IF(VLOOKUP(AA96,'04_Status_Pipeline'!$B$3:$E$20,4,FALSE)="",0,VLOOKUP(AA96,'04_Status_Pipeline'!$B$3:$E$20,4,FALSE)),""))</t>
        </is>
      </c>
      <c r="AE96" s="32" t="inlineStr">
        <is>
          <t>IF(E96="","",IF(OR(Y96="Cancelled",AA96="Cancelled"),"Cancelled",IF(OR(AA96="Completed / Handover",W96&lt;&gt;"",X96&gt;=100),"Completed — on track",IF(L96="Remaining",IF(S96="",IF(V96="","No planned date",IF(TODAY()&gt;V96,"Behind — past planned date",IF(V96-TODAY()&lt;=30,"At risk — close to off track","On track"))),IF(TODAY()&gt;S96,"Behind — award date passed",IF(S96-TODAY()&lt;=30,"At risk — close to off track","On track"))),IF(V96="","No planned date",IF(AND(TODAY()&gt;V96,OR(X96="",X96&lt;100)),"Behind — past end date",IF(AND(R96&lt;&gt;"",V96&lt;&gt;"",X96&lt;&gt;"",(X96&lt;100),((TODAY()-R96)/MAX(V96-R96,1)*100)-X96&gt;15),"Behind — progress lag",IF(AND(V96-TODAY()&lt;=30,V96-TODAY()&gt;=0,OR(X96="",X96&lt;90)),"At risk — close to off track","On track"))))))))</t>
        </is>
      </c>
      <c r="AF96" s="38" t="inlineStr">
        <is>
          <t>IF(OR(E96="",AA96="Completed / Handover",AA96="Cancelled"),"",IF(L96="Remaining",IF(S96&lt;&gt;"",S96-TODAY(),IF(V96="","",V96-TODAY())),IF(V96="","",V96-TODAY())))</t>
        </is>
      </c>
      <c r="AG96" s="39" t="n"/>
      <c r="AH96" s="39" t="n"/>
      <c r="AI96" s="39" t="n"/>
      <c r="AJ96" s="39" t="n"/>
      <c r="AK96" s="39" t="n"/>
      <c r="AL96" s="39" t="n"/>
      <c r="AM96" s="39" t="n"/>
      <c r="AN96" s="39" t="n"/>
      <c r="AO96" s="39" t="n">
        <v>46197</v>
      </c>
      <c r="AP96" s="39" t="n">
        <v>46197</v>
      </c>
      <c r="AQ96" s="39" t="n">
        <v>46349</v>
      </c>
      <c r="AR96" s="40" t="n"/>
      <c r="AS96" s="40" t="n"/>
      <c r="AT96" s="40" t="n"/>
      <c r="AU96" s="38" t="inlineStr">
        <is>
          <t>IF(OR(E96="",AH96=""),"",IF(COUNT(AG96:AG96)=0,"",AH96-LOOKUP(2,1/(AG96:AG96&lt;&gt;""),AG96:AG96)))</t>
        </is>
      </c>
      <c r="AV96" s="38" t="inlineStr">
        <is>
          <t>IF(OR(E96="",AI96=""),"",IF(COUNT(AG96:AH96)=0,"",AI96-LOOKUP(2,1/(AG96:AH96&lt;&gt;""),AG96:AH96)))</t>
        </is>
      </c>
      <c r="AW96" s="38" t="inlineStr">
        <is>
          <t>IF(OR(E96="",AJ96=""),"",IF(COUNT(AG96:AI96)=0,"",AJ96-LOOKUP(2,1/(AG96:AI96&lt;&gt;""),AG96:AI96)))</t>
        </is>
      </c>
      <c r="AX96" s="38" t="inlineStr">
        <is>
          <t>IF(OR(E96="",AK96=""),"",IF(COUNT(AG96:AJ96)=0,"",AK96-LOOKUP(2,1/(AG96:AJ96&lt;&gt;""),AG96:AJ96)))</t>
        </is>
      </c>
      <c r="AY96" s="38" t="inlineStr">
        <is>
          <t>IF(OR(E96="",AL96=""),"",IF(COUNT(AG96:AK96)=0,"",AL96-LOOKUP(2,1/(AG96:AK96&lt;&gt;""),AG96:AK96)))</t>
        </is>
      </c>
      <c r="AZ96" s="38" t="inlineStr">
        <is>
          <t>IF(OR(E96="",AM96=""),"",IF(COUNT(AG96:AL96)=0,"",AM96-LOOKUP(2,1/(AG96:AL96&lt;&gt;""),AG96:AL96)))</t>
        </is>
      </c>
      <c r="BA96" s="38" t="inlineStr">
        <is>
          <t>IF(OR(E96="",AN96=""),"",IF(COUNT(AG96:AM96)=0,"",AN96-LOOKUP(2,1/(AG96:AM96&lt;&gt;""),AG96:AM96)))</t>
        </is>
      </c>
      <c r="BB96" s="38" t="inlineStr">
        <is>
          <t>IF(OR(E96="",AO96=""),"",IF(COUNT(AG96:AN96)=0,"",AO96-LOOKUP(2,1/(AG96:AN96&lt;&gt;""),AG96:AN96)))</t>
        </is>
      </c>
      <c r="BC96" s="38" t="inlineStr">
        <is>
          <t>IF(OR(E96="",AP96=""),"",IF(COUNT(AG96:AO96)=0,"",AP96-LOOKUP(2,1/(AG96:AO96&lt;&gt;""),AG96:AO96)))</t>
        </is>
      </c>
      <c r="BD96" s="38" t="inlineStr">
        <is>
          <t>IF(OR(E96="",AQ96=""),"",IF(COUNT(AG96:AP96)=0,"",AQ96-LOOKUP(2,1/(AG96:AP96&lt;&gt;""),AG96:AP96)))</t>
        </is>
      </c>
      <c r="BE96" s="38" t="inlineStr">
        <is>
          <t>IF(OR(E96="",AR96=""),"",IF(COUNT(AG96:AQ96)=0,"",AR96-LOOKUP(2,1/(AG96:AQ96&lt;&gt;""),AG96:AQ96)))</t>
        </is>
      </c>
      <c r="BF96" s="38" t="inlineStr">
        <is>
          <t>IF(OR(E96="",AS96=""),"",IF(COUNT(AG96:AR96)=0,"",AS96-LOOKUP(2,1/(AG96:AR96&lt;&gt;""),AG96:AR96)))</t>
        </is>
      </c>
      <c r="BG96" s="38" t="inlineStr">
        <is>
          <t>IF(OR(E96="",AT96=""),"",IF(COUNT(AG96:AS96)=0,"",AT96-LOOKUP(2,1/(AG96:AS96&lt;&gt;""),AG96:AS96)))</t>
        </is>
      </c>
      <c r="BH96" s="41" t="inlineStr">
        <is>
          <t>IF(G96="","All_Provinces",IFERROR(VLOOKUP(G96,'07_Lookups'!$A$4:$B$20,2,FALSE),"All_Provinces"))</t>
        </is>
      </c>
      <c r="BI96" s="41" t="inlineStr">
        <is>
          <t>IF(H96="","All_Districts",IFERROR(VLOOKUP(H96,'07_Lookups'!$E$4:$F$42,2,FALSE),"All_Districts"))</t>
        </is>
      </c>
    </row>
    <row r="97" ht="18" customHeight="1">
      <c r="A97" s="32" t="inlineStr">
        <is>
          <t>IF(E97="","",ROW()-3)</t>
        </is>
      </c>
      <c r="B97" s="42" t="inlineStr">
        <is>
          <t>AF2-WSM-A-028</t>
        </is>
      </c>
      <c r="C97" s="42" t="inlineStr">
        <is>
          <t>Emergency Food Security Project (EFSP) – WBK/AF-2</t>
        </is>
      </c>
      <c r="D97" s="42" t="inlineStr">
        <is>
          <t>Package #11-AF2 WSM: Construction of 3 Check dams 1.Wolangak in Shikh Ali, 2.Sanzalai, and 3.Sharkai Olia in Koh-e-Safi district of Parwan province.</t>
        </is>
      </c>
      <c r="E97" s="42" t="inlineStr">
        <is>
          <t>Sanzalai and Sharki Olia</t>
        </is>
      </c>
      <c r="F97" s="42" t="inlineStr">
        <is>
          <t>Check Dam</t>
        </is>
      </c>
      <c r="G97" s="42" t="inlineStr">
        <is>
          <t>Central / Kabul</t>
        </is>
      </c>
      <c r="H97" s="42" t="inlineStr">
        <is>
          <t>Parwan</t>
        </is>
      </c>
      <c r="I97" s="42" t="inlineStr">
        <is>
          <t>Koh-e-Safi</t>
        </is>
      </c>
      <c r="J97" s="42" t="inlineStr">
        <is>
          <t>Sanzalai</t>
        </is>
      </c>
      <c r="K97" s="42" t="inlineStr">
        <is>
          <t>World Bank (WBK/AF-2)</t>
        </is>
      </c>
      <c r="L97" s="42" t="inlineStr">
        <is>
          <t>Awarded</t>
        </is>
      </c>
      <c r="M97" s="42" t="inlineStr">
        <is>
          <t>Watershed / Check dam</t>
        </is>
      </c>
      <c r="N97" s="42" t="inlineStr">
        <is>
          <t>3.WSM awarded contracts</t>
        </is>
      </c>
      <c r="O97" s="42" t="inlineStr">
        <is>
          <t>Hemat Ghorzang Construction &amp; Logistic Service Company (HGCC)</t>
        </is>
      </c>
      <c r="P97" s="42" t="inlineStr">
        <is>
          <t>043/2026</t>
        </is>
      </c>
      <c r="Q97" s="43" t="n"/>
      <c r="R97" s="35" t="inlineStr">
        <is>
          <t>IF(AO97="","",AO97)</t>
        </is>
      </c>
      <c r="S97" s="44" t="n"/>
      <c r="T97" s="45" t="n">
        <v>5</v>
      </c>
      <c r="U97" s="44" t="n">
        <v>46349</v>
      </c>
      <c r="V97" s="35" t="inlineStr">
        <is>
          <t>IF(U97&lt;&gt;"",U97,IF(OR(R97="",T97=""),"",EDATE(R97,T97)))</t>
        </is>
      </c>
      <c r="W97" s="44" t="n"/>
      <c r="X97" s="45" t="n">
        <v>20</v>
      </c>
      <c r="Y97" s="42" t="inlineStr">
        <is>
          <t>Completed / Handover</t>
        </is>
      </c>
      <c r="Z97" s="42" t="inlineStr">
        <is>
          <t>Completed on August 2026</t>
        </is>
      </c>
      <c r="AA97" s="32" t="inlineStr">
        <is>
          <t>IF(E97="","",IF(COUNT(AG97:AT97)=0,IF(Y97="","Not started",Y97),SUBSTITUTE(LOOKUP(2,1/(AG97:AT97&lt;&gt;""),$AG$3:$AT$3),"Date: ","")))</t>
        </is>
      </c>
      <c r="AB97" s="38" t="inlineStr">
        <is>
          <t>IF(OR(E97="",COUNT(AG97:AT97)=0),"",TODAY()-LOOKUP(2,1/(AG97:AT97&lt;&gt;""),AG97:AT97))</t>
        </is>
      </c>
      <c r="AC97" s="38" t="inlineStr">
        <is>
          <t>IF(OR(E97="",COUNT(AG97:AT97)&lt;2),"",LOOKUP(2,1/(AG97:AT97&lt;&gt;""),AG97:AT97)-MIN(AG97:AT97))</t>
        </is>
      </c>
      <c r="AD97" s="38" t="inlineStr">
        <is>
          <t>IF(OR(AB97="",AA97="Not started",AA97=""),"",IFERROR(AB97-IF(VLOOKUP(AA97,'04_Status_Pipeline'!$B$3:$E$20,4,FALSE)="",0,VLOOKUP(AA97,'04_Status_Pipeline'!$B$3:$E$20,4,FALSE)),""))</t>
        </is>
      </c>
      <c r="AE97" s="32" t="inlineStr">
        <is>
          <t>IF(E97="","",IF(OR(Y97="Cancelled",AA97="Cancelled"),"Cancelled",IF(OR(AA97="Completed / Handover",W97&lt;&gt;"",X97&gt;=100),"Completed — on track",IF(L97="Remaining",IF(S97="",IF(V97="","No planned date",IF(TODAY()&gt;V97,"Behind — past planned date",IF(V97-TODAY()&lt;=30,"At risk — close to off track","On track"))),IF(TODAY()&gt;S97,"Behind — award date passed",IF(S97-TODAY()&lt;=30,"At risk — close to off track","On track"))),IF(V97="","No planned date",IF(AND(TODAY()&gt;V97,OR(X97="",X97&lt;100)),"Behind — past end date",IF(AND(R97&lt;&gt;"",V97&lt;&gt;"",X97&lt;&gt;"",(X97&lt;100),((TODAY()-R97)/MAX(V97-R97,1)*100)-X97&gt;15),"Behind — progress lag",IF(AND(V97-TODAY()&lt;=30,V97-TODAY()&gt;=0,OR(X97="",X97&lt;90)),"At risk — close to off track","On track"))))))))</t>
        </is>
      </c>
      <c r="AF97" s="38" t="inlineStr">
        <is>
          <t>IF(OR(E97="",AA97="Completed / Handover",AA97="Cancelled"),"",IF(L97="Remaining",IF(S97&lt;&gt;"",S97-TODAY(),IF(V97="","",V97-TODAY())),IF(V97="","",V97-TODAY())))</t>
        </is>
      </c>
      <c r="AG97" s="39" t="n"/>
      <c r="AH97" s="39" t="n"/>
      <c r="AI97" s="39" t="n"/>
      <c r="AJ97" s="39" t="n"/>
      <c r="AK97" s="39" t="n"/>
      <c r="AL97" s="39" t="n"/>
      <c r="AM97" s="39" t="n"/>
      <c r="AN97" s="39" t="n"/>
      <c r="AO97" s="39" t="n">
        <v>46197</v>
      </c>
      <c r="AP97" s="39" t="n">
        <v>46197</v>
      </c>
      <c r="AQ97" s="39" t="n">
        <v>46349</v>
      </c>
      <c r="AR97" s="40" t="n"/>
      <c r="AS97" s="40" t="n"/>
      <c r="AT97" s="40" t="n"/>
      <c r="AU97" s="38" t="inlineStr">
        <is>
          <t>IF(OR(E97="",AH97=""),"",IF(COUNT(AG97:AG97)=0,"",AH97-LOOKUP(2,1/(AG97:AG97&lt;&gt;""),AG97:AG97)))</t>
        </is>
      </c>
      <c r="AV97" s="38" t="inlineStr">
        <is>
          <t>IF(OR(E97="",AI97=""),"",IF(COUNT(AG97:AH97)=0,"",AI97-LOOKUP(2,1/(AG97:AH97&lt;&gt;""),AG97:AH97)))</t>
        </is>
      </c>
      <c r="AW97" s="38" t="inlineStr">
        <is>
          <t>IF(OR(E97="",AJ97=""),"",IF(COUNT(AG97:AI97)=0,"",AJ97-LOOKUP(2,1/(AG97:AI97&lt;&gt;""),AG97:AI97)))</t>
        </is>
      </c>
      <c r="AX97" s="38" t="inlineStr">
        <is>
          <t>IF(OR(E97="",AK97=""),"",IF(COUNT(AG97:AJ97)=0,"",AK97-LOOKUP(2,1/(AG97:AJ97&lt;&gt;""),AG97:AJ97)))</t>
        </is>
      </c>
      <c r="AY97" s="38" t="inlineStr">
        <is>
          <t>IF(OR(E97="",AL97=""),"",IF(COUNT(AG97:AK97)=0,"",AL97-LOOKUP(2,1/(AG97:AK97&lt;&gt;""),AG97:AK97)))</t>
        </is>
      </c>
      <c r="AZ97" s="38" t="inlineStr">
        <is>
          <t>IF(OR(E97="",AM97=""),"",IF(COUNT(AG97:AL97)=0,"",AM97-LOOKUP(2,1/(AG97:AL97&lt;&gt;""),AG97:AL97)))</t>
        </is>
      </c>
      <c r="BA97" s="38" t="inlineStr">
        <is>
          <t>IF(OR(E97="",AN97=""),"",IF(COUNT(AG97:AM97)=0,"",AN97-LOOKUP(2,1/(AG97:AM97&lt;&gt;""),AG97:AM97)))</t>
        </is>
      </c>
      <c r="BB97" s="38" t="inlineStr">
        <is>
          <t>IF(OR(E97="",AO97=""),"",IF(COUNT(AG97:AN97)=0,"",AO97-LOOKUP(2,1/(AG97:AN97&lt;&gt;""),AG97:AN97)))</t>
        </is>
      </c>
      <c r="BC97" s="38" t="inlineStr">
        <is>
          <t>IF(OR(E97="",AP97=""),"",IF(COUNT(AG97:AO97)=0,"",AP97-LOOKUP(2,1/(AG97:AO97&lt;&gt;""),AG97:AO97)))</t>
        </is>
      </c>
      <c r="BD97" s="38" t="inlineStr">
        <is>
          <t>IF(OR(E97="",AQ97=""),"",IF(COUNT(AG97:AP97)=0,"",AQ97-LOOKUP(2,1/(AG97:AP97&lt;&gt;""),AG97:AP97)))</t>
        </is>
      </c>
      <c r="BE97" s="38" t="inlineStr">
        <is>
          <t>IF(OR(E97="",AR97=""),"",IF(COUNT(AG97:AQ97)=0,"",AR97-LOOKUP(2,1/(AG97:AQ97&lt;&gt;""),AG97:AQ97)))</t>
        </is>
      </c>
      <c r="BF97" s="38" t="inlineStr">
        <is>
          <t>IF(OR(E97="",AS97=""),"",IF(COUNT(AG97:AR97)=0,"",AS97-LOOKUP(2,1/(AG97:AR97&lt;&gt;""),AG97:AR97)))</t>
        </is>
      </c>
      <c r="BG97" s="38" t="inlineStr">
        <is>
          <t>IF(OR(E97="",AT97=""),"",IF(COUNT(AG97:AS97)=0,"",AT97-LOOKUP(2,1/(AG97:AS97&lt;&gt;""),AG97:AS97)))</t>
        </is>
      </c>
      <c r="BH97" s="41" t="inlineStr">
        <is>
          <t>IF(G97="","All_Provinces",IFERROR(VLOOKUP(G97,'07_Lookups'!$A$4:$B$20,2,FALSE),"All_Provinces"))</t>
        </is>
      </c>
      <c r="BI97" s="41" t="inlineStr">
        <is>
          <t>IF(H97="","All_Districts",IFERROR(VLOOKUP(H97,'07_Lookups'!$E$4:$F$42,2,FALSE),"All_Districts"))</t>
        </is>
      </c>
    </row>
    <row r="98" ht="18" customHeight="1">
      <c r="A98" s="32" t="inlineStr">
        <is>
          <t>IF(E98="","",ROW()-3)</t>
        </is>
      </c>
      <c r="B98" s="33" t="inlineStr">
        <is>
          <t>AF2-WSM-A-029</t>
        </is>
      </c>
      <c r="C98" s="33" t="inlineStr">
        <is>
          <t>Emergency Food Security Project (EFSP) – WBK/AF-2</t>
        </is>
      </c>
      <c r="D98" s="33" t="inlineStr">
        <is>
          <t>Package #11-AF2 WSM: Construction of 3 Check dams 1.Wolangak in Shikh Ali, 2.Sanzalai, and 3.Sharkai Olia in Koh-e-Safi district of Parwan province.</t>
        </is>
      </c>
      <c r="E98" s="33" t="inlineStr">
        <is>
          <t>Sharkai Olia Check dam</t>
        </is>
      </c>
      <c r="F98" s="33" t="inlineStr">
        <is>
          <t>Check Dam</t>
        </is>
      </c>
      <c r="G98" s="33" t="inlineStr">
        <is>
          <t>Central / Kabul</t>
        </is>
      </c>
      <c r="H98" s="33" t="inlineStr">
        <is>
          <t>Parwan</t>
        </is>
      </c>
      <c r="I98" s="33" t="inlineStr">
        <is>
          <t>Koh-e-Safi</t>
        </is>
      </c>
      <c r="J98" s="33" t="inlineStr">
        <is>
          <t>Sharki Olia</t>
        </is>
      </c>
      <c r="K98" s="33" t="inlineStr">
        <is>
          <t>World Bank (WBK/AF-2)</t>
        </is>
      </c>
      <c r="L98" s="33" t="inlineStr">
        <is>
          <t>Awarded</t>
        </is>
      </c>
      <c r="M98" s="33" t="inlineStr">
        <is>
          <t>Watershed / Check dam</t>
        </is>
      </c>
      <c r="N98" s="33" t="inlineStr">
        <is>
          <t>3.WSM awarded contracts</t>
        </is>
      </c>
      <c r="O98" s="33" t="inlineStr">
        <is>
          <t>Hemat Ghorzang Construction &amp; Logistic Service Company (HGCC)</t>
        </is>
      </c>
      <c r="P98" s="33" t="inlineStr">
        <is>
          <t>043/2026</t>
        </is>
      </c>
      <c r="Q98" s="34" t="n"/>
      <c r="R98" s="35" t="inlineStr">
        <is>
          <t>IF(AO98="","",AO98)</t>
        </is>
      </c>
      <c r="S98" s="36" t="n"/>
      <c r="T98" s="37" t="n">
        <v>5</v>
      </c>
      <c r="U98" s="36" t="n">
        <v>46349</v>
      </c>
      <c r="V98" s="35" t="inlineStr">
        <is>
          <t>IF(U98&lt;&gt;"",U98,IF(OR(R98="",T98=""),"",EDATE(R98,T98)))</t>
        </is>
      </c>
      <c r="W98" s="36" t="n"/>
      <c r="X98" s="37" t="n">
        <v>5</v>
      </c>
      <c r="Y98" s="33" t="inlineStr">
        <is>
          <t>Completed / Handover</t>
        </is>
      </c>
      <c r="Z98" s="33" t="inlineStr">
        <is>
          <t>Completed on August 2026</t>
        </is>
      </c>
      <c r="AA98" s="32" t="inlineStr">
        <is>
          <t>IF(E98="","",IF(COUNT(AG98:AT98)=0,IF(Y98="","Not started",Y98),SUBSTITUTE(LOOKUP(2,1/(AG98:AT98&lt;&gt;""),$AG$3:$AT$3),"Date: ","")))</t>
        </is>
      </c>
      <c r="AB98" s="38" t="inlineStr">
        <is>
          <t>IF(OR(E98="",COUNT(AG98:AT98)=0),"",TODAY()-LOOKUP(2,1/(AG98:AT98&lt;&gt;""),AG98:AT98))</t>
        </is>
      </c>
      <c r="AC98" s="38" t="inlineStr">
        <is>
          <t>IF(OR(E98="",COUNT(AG98:AT98)&lt;2),"",LOOKUP(2,1/(AG98:AT98&lt;&gt;""),AG98:AT98)-MIN(AG98:AT98))</t>
        </is>
      </c>
      <c r="AD98" s="38" t="inlineStr">
        <is>
          <t>IF(OR(AB98="",AA98="Not started",AA98=""),"",IFERROR(AB98-IF(VLOOKUP(AA98,'04_Status_Pipeline'!$B$3:$E$20,4,FALSE)="",0,VLOOKUP(AA98,'04_Status_Pipeline'!$B$3:$E$20,4,FALSE)),""))</t>
        </is>
      </c>
      <c r="AE98" s="32" t="inlineStr">
        <is>
          <t>IF(E98="","",IF(OR(Y98="Cancelled",AA98="Cancelled"),"Cancelled",IF(OR(AA98="Completed / Handover",W98&lt;&gt;"",X98&gt;=100),"Completed — on track",IF(L98="Remaining",IF(S98="",IF(V98="","No planned date",IF(TODAY()&gt;V98,"Behind — past planned date",IF(V98-TODAY()&lt;=30,"At risk — close to off track","On track"))),IF(TODAY()&gt;S98,"Behind — award date passed",IF(S98-TODAY()&lt;=30,"At risk — close to off track","On track"))),IF(V98="","No planned date",IF(AND(TODAY()&gt;V98,OR(X98="",X98&lt;100)),"Behind — past end date",IF(AND(R98&lt;&gt;"",V98&lt;&gt;"",X98&lt;&gt;"",(X98&lt;100),((TODAY()-R98)/MAX(V98-R98,1)*100)-X98&gt;15),"Behind — progress lag",IF(AND(V98-TODAY()&lt;=30,V98-TODAY()&gt;=0,OR(X98="",X98&lt;90)),"At risk — close to off track","On track"))))))))</t>
        </is>
      </c>
      <c r="AF98" s="38" t="inlineStr">
        <is>
          <t>IF(OR(E98="",AA98="Completed / Handover",AA98="Cancelled"),"",IF(L98="Remaining",IF(S98&lt;&gt;"",S98-TODAY(),IF(V98="","",V98-TODAY())),IF(V98="","",V98-TODAY())))</t>
        </is>
      </c>
      <c r="AG98" s="39" t="n"/>
      <c r="AH98" s="39" t="n"/>
      <c r="AI98" s="39" t="n"/>
      <c r="AJ98" s="39" t="n"/>
      <c r="AK98" s="39" t="n"/>
      <c r="AL98" s="39" t="n"/>
      <c r="AM98" s="39" t="n"/>
      <c r="AN98" s="39" t="n"/>
      <c r="AO98" s="39" t="n">
        <v>46197</v>
      </c>
      <c r="AP98" s="39" t="n">
        <v>46197</v>
      </c>
      <c r="AQ98" s="39" t="n">
        <v>46349</v>
      </c>
      <c r="AR98" s="40" t="n"/>
      <c r="AS98" s="40" t="n"/>
      <c r="AT98" s="40" t="n"/>
      <c r="AU98" s="38" t="inlineStr">
        <is>
          <t>IF(OR(E98="",AH98=""),"",IF(COUNT(AG98:AG98)=0,"",AH98-LOOKUP(2,1/(AG98:AG98&lt;&gt;""),AG98:AG98)))</t>
        </is>
      </c>
      <c r="AV98" s="38" t="inlineStr">
        <is>
          <t>IF(OR(E98="",AI98=""),"",IF(COUNT(AG98:AH98)=0,"",AI98-LOOKUP(2,1/(AG98:AH98&lt;&gt;""),AG98:AH98)))</t>
        </is>
      </c>
      <c r="AW98" s="38" t="inlineStr">
        <is>
          <t>IF(OR(E98="",AJ98=""),"",IF(COUNT(AG98:AI98)=0,"",AJ98-LOOKUP(2,1/(AG98:AI98&lt;&gt;""),AG98:AI98)))</t>
        </is>
      </c>
      <c r="AX98" s="38" t="inlineStr">
        <is>
          <t>IF(OR(E98="",AK98=""),"",IF(COUNT(AG98:AJ98)=0,"",AK98-LOOKUP(2,1/(AG98:AJ98&lt;&gt;""),AG98:AJ98)))</t>
        </is>
      </c>
      <c r="AY98" s="38" t="inlineStr">
        <is>
          <t>IF(OR(E98="",AL98=""),"",IF(COUNT(AG98:AK98)=0,"",AL98-LOOKUP(2,1/(AG98:AK98&lt;&gt;""),AG98:AK98)))</t>
        </is>
      </c>
      <c r="AZ98" s="38" t="inlineStr">
        <is>
          <t>IF(OR(E98="",AM98=""),"",IF(COUNT(AG98:AL98)=0,"",AM98-LOOKUP(2,1/(AG98:AL98&lt;&gt;""),AG98:AL98)))</t>
        </is>
      </c>
      <c r="BA98" s="38" t="inlineStr">
        <is>
          <t>IF(OR(E98="",AN98=""),"",IF(COUNT(AG98:AM98)=0,"",AN98-LOOKUP(2,1/(AG98:AM98&lt;&gt;""),AG98:AM98)))</t>
        </is>
      </c>
      <c r="BB98" s="38" t="inlineStr">
        <is>
          <t>IF(OR(E98="",AO98=""),"",IF(COUNT(AG98:AN98)=0,"",AO98-LOOKUP(2,1/(AG98:AN98&lt;&gt;""),AG98:AN98)))</t>
        </is>
      </c>
      <c r="BC98" s="38" t="inlineStr">
        <is>
          <t>IF(OR(E98="",AP98=""),"",IF(COUNT(AG98:AO98)=0,"",AP98-LOOKUP(2,1/(AG98:AO98&lt;&gt;""),AG98:AO98)))</t>
        </is>
      </c>
      <c r="BD98" s="38" t="inlineStr">
        <is>
          <t>IF(OR(E98="",AQ98=""),"",IF(COUNT(AG98:AP98)=0,"",AQ98-LOOKUP(2,1/(AG98:AP98&lt;&gt;""),AG98:AP98)))</t>
        </is>
      </c>
      <c r="BE98" s="38" t="inlineStr">
        <is>
          <t>IF(OR(E98="",AR98=""),"",IF(COUNT(AG98:AQ98)=0,"",AR98-LOOKUP(2,1/(AG98:AQ98&lt;&gt;""),AG98:AQ98)))</t>
        </is>
      </c>
      <c r="BF98" s="38" t="inlineStr">
        <is>
          <t>IF(OR(E98="",AS98=""),"",IF(COUNT(AG98:AR98)=0,"",AS98-LOOKUP(2,1/(AG98:AR98&lt;&gt;""),AG98:AR98)))</t>
        </is>
      </c>
      <c r="BG98" s="38" t="inlineStr">
        <is>
          <t>IF(OR(E98="",AT98=""),"",IF(COUNT(AG98:AS98)=0,"",AT98-LOOKUP(2,1/(AG98:AS98&lt;&gt;""),AG98:AS98)))</t>
        </is>
      </c>
      <c r="BH98" s="41" t="inlineStr">
        <is>
          <t>IF(G98="","All_Provinces",IFERROR(VLOOKUP(G98,'07_Lookups'!$A$4:$B$20,2,FALSE),"All_Provinces"))</t>
        </is>
      </c>
      <c r="BI98" s="41" t="inlineStr">
        <is>
          <t>IF(H98="","All_Districts",IFERROR(VLOOKUP(H98,'07_Lookups'!$E$4:$F$42,2,FALSE),"All_Districts"))</t>
        </is>
      </c>
    </row>
    <row r="99" ht="18" customHeight="1">
      <c r="A99" s="32" t="inlineStr">
        <is>
          <t>IF(E99="","",ROW()-3)</t>
        </is>
      </c>
      <c r="B99" s="42" t="inlineStr">
        <is>
          <t>AF2-WSM-A-030</t>
        </is>
      </c>
      <c r="C99" s="42" t="inlineStr">
        <is>
          <t>Emergency Food Security Project (EFSP) – WBK/AF-2</t>
        </is>
      </c>
      <c r="D99" s="42" t="inlineStr">
        <is>
          <t>Package #13-AF2 WSM: Construction of 4 Check Dams in 4 district sites of 1.Kata Khana in Yakawlang , 2. Nawora in Panjab, 3.Nahorak in Waras, and 4.Bayani in Sayghan districts of Bamyan province</t>
        </is>
      </c>
      <c r="E99" s="42" t="inlineStr">
        <is>
          <t>1.Kata Khana Check dam</t>
        </is>
      </c>
      <c r="F99" s="42" t="inlineStr">
        <is>
          <t>Check Dam</t>
        </is>
      </c>
      <c r="G99" s="42" t="inlineStr">
        <is>
          <t>Central Highland / Bamyan</t>
        </is>
      </c>
      <c r="H99" s="42" t="inlineStr">
        <is>
          <t>Bamyan</t>
        </is>
      </c>
      <c r="I99" s="42" t="inlineStr">
        <is>
          <t>Yakawalang</t>
        </is>
      </c>
      <c r="J99" s="42" t="inlineStr">
        <is>
          <t>Kata Khana, Check dam</t>
        </is>
      </c>
      <c r="K99" s="42" t="inlineStr">
        <is>
          <t>World Bank (WBK/AF-2)</t>
        </is>
      </c>
      <c r="L99" s="42" t="inlineStr">
        <is>
          <t>Awarded</t>
        </is>
      </c>
      <c r="M99" s="42" t="inlineStr">
        <is>
          <t>Watershed / Check dam</t>
        </is>
      </c>
      <c r="N99" s="42" t="inlineStr">
        <is>
          <t>3.WSM awarded contracts</t>
        </is>
      </c>
      <c r="O99" s="42" t="inlineStr">
        <is>
          <t>Estehkam Baba Construction and Road Construction Company (EBCC)</t>
        </is>
      </c>
      <c r="P99" s="42" t="inlineStr">
        <is>
          <t>051/2026</t>
        </is>
      </c>
      <c r="Q99" s="43" t="n">
        <v>66705.50999999999</v>
      </c>
      <c r="R99" s="35" t="inlineStr">
        <is>
          <t>IF(AO99="","",AO99)</t>
        </is>
      </c>
      <c r="S99" s="44" t="n"/>
      <c r="T99" s="45" t="n">
        <v>7</v>
      </c>
      <c r="U99" s="44" t="n">
        <v>46439</v>
      </c>
      <c r="V99" s="35" t="inlineStr">
        <is>
          <t>IF(U99&lt;&gt;"",U99,IF(OR(R99="",T99=""),"",EDATE(R99,T99)))</t>
        </is>
      </c>
      <c r="W99" s="44" t="n"/>
      <c r="X99" s="45" t="n">
        <v>35</v>
      </c>
      <c r="Y99" s="42" t="inlineStr">
        <is>
          <t>Completed / Handover</t>
        </is>
      </c>
      <c r="Z99" s="42" t="inlineStr">
        <is>
          <t>Completed on August 2026</t>
        </is>
      </c>
      <c r="AA99" s="32" t="inlineStr">
        <is>
          <t>IF(E99="","",IF(COUNT(AG99:AT99)=0,IF(Y99="","Not started",Y99),SUBSTITUTE(LOOKUP(2,1/(AG99:AT99&lt;&gt;""),$AG$3:$AT$3),"Date: ","")))</t>
        </is>
      </c>
      <c r="AB99" s="38" t="inlineStr">
        <is>
          <t>IF(OR(E99="",COUNT(AG99:AT99)=0),"",TODAY()-LOOKUP(2,1/(AG99:AT99&lt;&gt;""),AG99:AT99))</t>
        </is>
      </c>
      <c r="AC99" s="38" t="inlineStr">
        <is>
          <t>IF(OR(E99="",COUNT(AG99:AT99)&lt;2),"",LOOKUP(2,1/(AG99:AT99&lt;&gt;""),AG99:AT99)-MIN(AG99:AT99))</t>
        </is>
      </c>
      <c r="AD99" s="38" t="inlineStr">
        <is>
          <t>IF(OR(AB99="",AA99="Not started",AA99=""),"",IFERROR(AB99-IF(VLOOKUP(AA99,'04_Status_Pipeline'!$B$3:$E$20,4,FALSE)="",0,VLOOKUP(AA99,'04_Status_Pipeline'!$B$3:$E$20,4,FALSE)),""))</t>
        </is>
      </c>
      <c r="AE99" s="32" t="inlineStr">
        <is>
          <t>IF(E99="","",IF(OR(Y99="Cancelled",AA99="Cancelled"),"Cancelled",IF(OR(AA99="Completed / Handover",W99&lt;&gt;"",X99&gt;=100),"Completed — on track",IF(L99="Remaining",IF(S99="",IF(V99="","No planned date",IF(TODAY()&gt;V99,"Behind — past planned date",IF(V99-TODAY()&lt;=30,"At risk — close to off track","On track"))),IF(TODAY()&gt;S99,"Behind — award date passed",IF(S99-TODAY()&lt;=30,"At risk — close to off track","On track"))),IF(V99="","No planned date",IF(AND(TODAY()&gt;V99,OR(X99="",X99&lt;100)),"Behind — past end date",IF(AND(R99&lt;&gt;"",V99&lt;&gt;"",X99&lt;&gt;"",(X99&lt;100),((TODAY()-R99)/MAX(V99-R99,1)*100)-X99&gt;15),"Behind — progress lag",IF(AND(V99-TODAY()&lt;=30,V99-TODAY()&gt;=0,OR(X99="",X99&lt;90)),"At risk — close to off track","On track"))))))))</t>
        </is>
      </c>
      <c r="AF99" s="38" t="inlineStr">
        <is>
          <t>IF(OR(E99="",AA99="Completed / Handover",AA99="Cancelled"),"",IF(L99="Remaining",IF(S99&lt;&gt;"",S99-TODAY(),IF(V99="","",V99-TODAY())),IF(V99="","",V99-TODAY())))</t>
        </is>
      </c>
      <c r="AG99" s="39" t="n"/>
      <c r="AH99" s="39" t="n"/>
      <c r="AI99" s="39" t="n"/>
      <c r="AJ99" s="39" t="n"/>
      <c r="AK99" s="39" t="n"/>
      <c r="AL99" s="39" t="n"/>
      <c r="AM99" s="39" t="n"/>
      <c r="AN99" s="39" t="n"/>
      <c r="AO99" s="39" t="n">
        <v>46225</v>
      </c>
      <c r="AP99" s="39" t="n">
        <v>46225</v>
      </c>
      <c r="AQ99" s="39" t="n">
        <v>46439</v>
      </c>
      <c r="AR99" s="40" t="n"/>
      <c r="AS99" s="40" t="n"/>
      <c r="AT99" s="40" t="n"/>
      <c r="AU99" s="38" t="inlineStr">
        <is>
          <t>IF(OR(E99="",AH99=""),"",IF(COUNT(AG99:AG99)=0,"",AH99-LOOKUP(2,1/(AG99:AG99&lt;&gt;""),AG99:AG99)))</t>
        </is>
      </c>
      <c r="AV99" s="38" t="inlineStr">
        <is>
          <t>IF(OR(E99="",AI99=""),"",IF(COUNT(AG99:AH99)=0,"",AI99-LOOKUP(2,1/(AG99:AH99&lt;&gt;""),AG99:AH99)))</t>
        </is>
      </c>
      <c r="AW99" s="38" t="inlineStr">
        <is>
          <t>IF(OR(E99="",AJ99=""),"",IF(COUNT(AG99:AI99)=0,"",AJ99-LOOKUP(2,1/(AG99:AI99&lt;&gt;""),AG99:AI99)))</t>
        </is>
      </c>
      <c r="AX99" s="38" t="inlineStr">
        <is>
          <t>IF(OR(E99="",AK99=""),"",IF(COUNT(AG99:AJ99)=0,"",AK99-LOOKUP(2,1/(AG99:AJ99&lt;&gt;""),AG99:AJ99)))</t>
        </is>
      </c>
      <c r="AY99" s="38" t="inlineStr">
        <is>
          <t>IF(OR(E99="",AL99=""),"",IF(COUNT(AG99:AK99)=0,"",AL99-LOOKUP(2,1/(AG99:AK99&lt;&gt;""),AG99:AK99)))</t>
        </is>
      </c>
      <c r="AZ99" s="38" t="inlineStr">
        <is>
          <t>IF(OR(E99="",AM99=""),"",IF(COUNT(AG99:AL99)=0,"",AM99-LOOKUP(2,1/(AG99:AL99&lt;&gt;""),AG99:AL99)))</t>
        </is>
      </c>
      <c r="BA99" s="38" t="inlineStr">
        <is>
          <t>IF(OR(E99="",AN99=""),"",IF(COUNT(AG99:AM99)=0,"",AN99-LOOKUP(2,1/(AG99:AM99&lt;&gt;""),AG99:AM99)))</t>
        </is>
      </c>
      <c r="BB99" s="38" t="inlineStr">
        <is>
          <t>IF(OR(E99="",AO99=""),"",IF(COUNT(AG99:AN99)=0,"",AO99-LOOKUP(2,1/(AG99:AN99&lt;&gt;""),AG99:AN99)))</t>
        </is>
      </c>
      <c r="BC99" s="38" t="inlineStr">
        <is>
          <t>IF(OR(E99="",AP99=""),"",IF(COUNT(AG99:AO99)=0,"",AP99-LOOKUP(2,1/(AG99:AO99&lt;&gt;""),AG99:AO99)))</t>
        </is>
      </c>
      <c r="BD99" s="38" t="inlineStr">
        <is>
          <t>IF(OR(E99="",AQ99=""),"",IF(COUNT(AG99:AP99)=0,"",AQ99-LOOKUP(2,1/(AG99:AP99&lt;&gt;""),AG99:AP99)))</t>
        </is>
      </c>
      <c r="BE99" s="38" t="inlineStr">
        <is>
          <t>IF(OR(E99="",AR99=""),"",IF(COUNT(AG99:AQ99)=0,"",AR99-LOOKUP(2,1/(AG99:AQ99&lt;&gt;""),AG99:AQ99)))</t>
        </is>
      </c>
      <c r="BF99" s="38" t="inlineStr">
        <is>
          <t>IF(OR(E99="",AS99=""),"",IF(COUNT(AG99:AR99)=0,"",AS99-LOOKUP(2,1/(AG99:AR99&lt;&gt;""),AG99:AR99)))</t>
        </is>
      </c>
      <c r="BG99" s="38" t="inlineStr">
        <is>
          <t>IF(OR(E99="",AT99=""),"",IF(COUNT(AG99:AS99)=0,"",AT99-LOOKUP(2,1/(AG99:AS99&lt;&gt;""),AG99:AS99)))</t>
        </is>
      </c>
      <c r="BH99" s="41" t="inlineStr">
        <is>
          <t>IF(G99="","All_Provinces",IFERROR(VLOOKUP(G99,'07_Lookups'!$A$4:$B$20,2,FALSE),"All_Provinces"))</t>
        </is>
      </c>
      <c r="BI99" s="41" t="inlineStr">
        <is>
          <t>IF(H99="","All_Districts",IFERROR(VLOOKUP(H99,'07_Lookups'!$E$4:$F$42,2,FALSE),"All_Districts"))</t>
        </is>
      </c>
    </row>
    <row r="100" ht="18" customHeight="1">
      <c r="A100" s="32" t="inlineStr">
        <is>
          <t>IF(E100="","",ROW()-3)</t>
        </is>
      </c>
      <c r="B100" s="33" t="inlineStr">
        <is>
          <t>AF2-WSM-A-031</t>
        </is>
      </c>
      <c r="C100" s="33" t="inlineStr">
        <is>
          <t>Emergency Food Security Project (EFSP) – WBK/AF-2</t>
        </is>
      </c>
      <c r="D100" s="33" t="inlineStr">
        <is>
          <t>Package #13-AF2 WSM: Construction of 4 Check Dams in 4 district sites of 1.Kata Khana in Yakawlang , 2. Nawora in Panjab, 3.Nahorak in Waras, and 4.Bayani in Sayghan districts of Bamyan province</t>
        </is>
      </c>
      <c r="E100" s="33" t="inlineStr">
        <is>
          <t>2.Nawora Check dam</t>
        </is>
      </c>
      <c r="F100" s="33" t="inlineStr">
        <is>
          <t>Check Dam</t>
        </is>
      </c>
      <c r="G100" s="33" t="inlineStr">
        <is>
          <t>Central Highland / Bamyan</t>
        </is>
      </c>
      <c r="H100" s="33" t="inlineStr">
        <is>
          <t>Bamyan</t>
        </is>
      </c>
      <c r="I100" s="33" t="inlineStr">
        <is>
          <t>Panjab</t>
        </is>
      </c>
      <c r="J100" s="33" t="inlineStr">
        <is>
          <t>Nawora</t>
        </is>
      </c>
      <c r="K100" s="33" t="inlineStr">
        <is>
          <t>World Bank (WBK/AF-2)</t>
        </is>
      </c>
      <c r="L100" s="33" t="inlineStr">
        <is>
          <t>Awarded</t>
        </is>
      </c>
      <c r="M100" s="33" t="inlineStr">
        <is>
          <t>Watershed / Check dam</t>
        </is>
      </c>
      <c r="N100" s="33" t="inlineStr">
        <is>
          <t>3.WSM awarded contracts</t>
        </is>
      </c>
      <c r="O100" s="33" t="inlineStr">
        <is>
          <t>Estehkam Baba Construction and Road Construction Company (EBCC)</t>
        </is>
      </c>
      <c r="P100" s="33" t="inlineStr">
        <is>
          <t>051/2026</t>
        </is>
      </c>
      <c r="Q100" s="34" t="n">
        <v>52796.76</v>
      </c>
      <c r="R100" s="35" t="inlineStr">
        <is>
          <t>IF(AO100="","",AO100)</t>
        </is>
      </c>
      <c r="S100" s="36" t="n"/>
      <c r="T100" s="37" t="n">
        <v>7</v>
      </c>
      <c r="U100" s="36" t="n">
        <v>46439</v>
      </c>
      <c r="V100" s="35" t="inlineStr">
        <is>
          <t>IF(U100&lt;&gt;"",U100,IF(OR(R100="",T100=""),"",EDATE(R100,T100)))</t>
        </is>
      </c>
      <c r="W100" s="36" t="n"/>
      <c r="X100" s="37" t="n">
        <v>45</v>
      </c>
      <c r="Y100" s="33" t="inlineStr">
        <is>
          <t>Completed / Handover</t>
        </is>
      </c>
      <c r="Z100" s="33" t="inlineStr">
        <is>
          <t>Completed on August 2026</t>
        </is>
      </c>
      <c r="AA100" s="32" t="inlineStr">
        <is>
          <t>IF(E100="","",IF(COUNT(AG100:AT100)=0,IF(Y100="","Not started",Y100),SUBSTITUTE(LOOKUP(2,1/(AG100:AT100&lt;&gt;""),$AG$3:$AT$3),"Date: ","")))</t>
        </is>
      </c>
      <c r="AB100" s="38" t="inlineStr">
        <is>
          <t>IF(OR(E100="",COUNT(AG100:AT100)=0),"",TODAY()-LOOKUP(2,1/(AG100:AT100&lt;&gt;""),AG100:AT100))</t>
        </is>
      </c>
      <c r="AC100" s="38" t="inlineStr">
        <is>
          <t>IF(OR(E100="",COUNT(AG100:AT100)&lt;2),"",LOOKUP(2,1/(AG100:AT100&lt;&gt;""),AG100:AT100)-MIN(AG100:AT100))</t>
        </is>
      </c>
      <c r="AD100" s="38" t="inlineStr">
        <is>
          <t>IF(OR(AB100="",AA100="Not started",AA100=""),"",IFERROR(AB100-IF(VLOOKUP(AA100,'04_Status_Pipeline'!$B$3:$E$20,4,FALSE)="",0,VLOOKUP(AA100,'04_Status_Pipeline'!$B$3:$E$20,4,FALSE)),""))</t>
        </is>
      </c>
      <c r="AE100" s="32" t="inlineStr">
        <is>
          <t>IF(E100="","",IF(OR(Y100="Cancelled",AA100="Cancelled"),"Cancelled",IF(OR(AA100="Completed / Handover",W100&lt;&gt;"",X100&gt;=100),"Completed — on track",IF(L100="Remaining",IF(S100="",IF(V100="","No planned date",IF(TODAY()&gt;V100,"Behind — past planned date",IF(V100-TODAY()&lt;=30,"At risk — close to off track","On track"))),IF(TODAY()&gt;S100,"Behind — award date passed",IF(S100-TODAY()&lt;=30,"At risk — close to off track","On track"))),IF(V100="","No planned date",IF(AND(TODAY()&gt;V100,OR(X100="",X100&lt;100)),"Behind — past end date",IF(AND(R100&lt;&gt;"",V100&lt;&gt;"",X100&lt;&gt;"",(X100&lt;100),((TODAY()-R100)/MAX(V100-R100,1)*100)-X100&gt;15),"Behind — progress lag",IF(AND(V100-TODAY()&lt;=30,V100-TODAY()&gt;=0,OR(X100="",X100&lt;90)),"At risk — close to off track","On track"))))))))</t>
        </is>
      </c>
      <c r="AF100" s="38" t="inlineStr">
        <is>
          <t>IF(OR(E100="",AA100="Completed / Handover",AA100="Cancelled"),"",IF(L100="Remaining",IF(S100&lt;&gt;"",S100-TODAY(),IF(V100="","",V100-TODAY())),IF(V100="","",V100-TODAY())))</t>
        </is>
      </c>
      <c r="AG100" s="39" t="n"/>
      <c r="AH100" s="39" t="n"/>
      <c r="AI100" s="39" t="n"/>
      <c r="AJ100" s="39" t="n"/>
      <c r="AK100" s="39" t="n"/>
      <c r="AL100" s="39" t="n"/>
      <c r="AM100" s="39" t="n"/>
      <c r="AN100" s="39" t="n"/>
      <c r="AO100" s="39" t="n">
        <v>46225</v>
      </c>
      <c r="AP100" s="39" t="n">
        <v>46225</v>
      </c>
      <c r="AQ100" s="39" t="n">
        <v>46439</v>
      </c>
      <c r="AR100" s="40" t="n"/>
      <c r="AS100" s="40" t="n"/>
      <c r="AT100" s="40" t="n"/>
      <c r="AU100" s="38" t="inlineStr">
        <is>
          <t>IF(OR(E100="",AH100=""),"",IF(COUNT(AG100:AG100)=0,"",AH100-LOOKUP(2,1/(AG100:AG100&lt;&gt;""),AG100:AG100)))</t>
        </is>
      </c>
      <c r="AV100" s="38" t="inlineStr">
        <is>
          <t>IF(OR(E100="",AI100=""),"",IF(COUNT(AG100:AH100)=0,"",AI100-LOOKUP(2,1/(AG100:AH100&lt;&gt;""),AG100:AH100)))</t>
        </is>
      </c>
      <c r="AW100" s="38" t="inlineStr">
        <is>
          <t>IF(OR(E100="",AJ100=""),"",IF(COUNT(AG100:AI100)=0,"",AJ100-LOOKUP(2,1/(AG100:AI100&lt;&gt;""),AG100:AI100)))</t>
        </is>
      </c>
      <c r="AX100" s="38" t="inlineStr">
        <is>
          <t>IF(OR(E100="",AK100=""),"",IF(COUNT(AG100:AJ100)=0,"",AK100-LOOKUP(2,1/(AG100:AJ100&lt;&gt;""),AG100:AJ100)))</t>
        </is>
      </c>
      <c r="AY100" s="38" t="inlineStr">
        <is>
          <t>IF(OR(E100="",AL100=""),"",IF(COUNT(AG100:AK100)=0,"",AL100-LOOKUP(2,1/(AG100:AK100&lt;&gt;""),AG100:AK100)))</t>
        </is>
      </c>
      <c r="AZ100" s="38" t="inlineStr">
        <is>
          <t>IF(OR(E100="",AM100=""),"",IF(COUNT(AG100:AL100)=0,"",AM100-LOOKUP(2,1/(AG100:AL100&lt;&gt;""),AG100:AL100)))</t>
        </is>
      </c>
      <c r="BA100" s="38" t="inlineStr">
        <is>
          <t>IF(OR(E100="",AN100=""),"",IF(COUNT(AG100:AM100)=0,"",AN100-LOOKUP(2,1/(AG100:AM100&lt;&gt;""),AG100:AM100)))</t>
        </is>
      </c>
      <c r="BB100" s="38" t="inlineStr">
        <is>
          <t>IF(OR(E100="",AO100=""),"",IF(COUNT(AG100:AN100)=0,"",AO100-LOOKUP(2,1/(AG100:AN100&lt;&gt;""),AG100:AN100)))</t>
        </is>
      </c>
      <c r="BC100" s="38" t="inlineStr">
        <is>
          <t>IF(OR(E100="",AP100=""),"",IF(COUNT(AG100:AO100)=0,"",AP100-LOOKUP(2,1/(AG100:AO100&lt;&gt;""),AG100:AO100)))</t>
        </is>
      </c>
      <c r="BD100" s="38" t="inlineStr">
        <is>
          <t>IF(OR(E100="",AQ100=""),"",IF(COUNT(AG100:AP100)=0,"",AQ100-LOOKUP(2,1/(AG100:AP100&lt;&gt;""),AG100:AP100)))</t>
        </is>
      </c>
      <c r="BE100" s="38" t="inlineStr">
        <is>
          <t>IF(OR(E100="",AR100=""),"",IF(COUNT(AG100:AQ100)=0,"",AR100-LOOKUP(2,1/(AG100:AQ100&lt;&gt;""),AG100:AQ100)))</t>
        </is>
      </c>
      <c r="BF100" s="38" t="inlineStr">
        <is>
          <t>IF(OR(E100="",AS100=""),"",IF(COUNT(AG100:AR100)=0,"",AS100-LOOKUP(2,1/(AG100:AR100&lt;&gt;""),AG100:AR100)))</t>
        </is>
      </c>
      <c r="BG100" s="38" t="inlineStr">
        <is>
          <t>IF(OR(E100="",AT100=""),"",IF(COUNT(AG100:AS100)=0,"",AT100-LOOKUP(2,1/(AG100:AS100&lt;&gt;""),AG100:AS100)))</t>
        </is>
      </c>
      <c r="BH100" s="41" t="inlineStr">
        <is>
          <t>IF(G100="","All_Provinces",IFERROR(VLOOKUP(G100,'07_Lookups'!$A$4:$B$20,2,FALSE),"All_Provinces"))</t>
        </is>
      </c>
      <c r="BI100" s="41" t="inlineStr">
        <is>
          <t>IF(H100="","All_Districts",IFERROR(VLOOKUP(H100,'07_Lookups'!$E$4:$F$42,2,FALSE),"All_Districts"))</t>
        </is>
      </c>
    </row>
    <row r="101" ht="18" customHeight="1">
      <c r="A101" s="32" t="inlineStr">
        <is>
          <t>IF(E101="","",ROW()-3)</t>
        </is>
      </c>
      <c r="B101" s="42" t="inlineStr">
        <is>
          <t>AF2-WSM-A-032</t>
        </is>
      </c>
      <c r="C101" s="42" t="inlineStr">
        <is>
          <t>Emergency Food Security Project (EFSP) – WBK/AF-2</t>
        </is>
      </c>
      <c r="D101" s="42" t="inlineStr">
        <is>
          <t>Package #13-AF2 WSM: Construction of 4 Check Dams in 4 district sites of 1.Kata Khana in Yakawlang , 2. Nawora in Panjab, 3.Nahorak in Waras, and 4.Bayani in Sayghan districts of Bamyan province</t>
        </is>
      </c>
      <c r="E101" s="42" t="inlineStr">
        <is>
          <t>3.Nahorak Check dam</t>
        </is>
      </c>
      <c r="F101" s="42" t="inlineStr">
        <is>
          <t>Check Dam</t>
        </is>
      </c>
      <c r="G101" s="42" t="inlineStr">
        <is>
          <t>Central Highland / Bamyan</t>
        </is>
      </c>
      <c r="H101" s="42" t="inlineStr">
        <is>
          <t>Bamyan</t>
        </is>
      </c>
      <c r="I101" s="42" t="inlineStr">
        <is>
          <t>Waras</t>
        </is>
      </c>
      <c r="J101" s="42" t="inlineStr">
        <is>
          <t>Nahorak</t>
        </is>
      </c>
      <c r="K101" s="42" t="inlineStr">
        <is>
          <t>World Bank (WBK/AF-2)</t>
        </is>
      </c>
      <c r="L101" s="42" t="inlineStr">
        <is>
          <t>Awarded</t>
        </is>
      </c>
      <c r="M101" s="42" t="inlineStr">
        <is>
          <t>Watershed / Check dam</t>
        </is>
      </c>
      <c r="N101" s="42" t="inlineStr">
        <is>
          <t>3.WSM awarded contracts</t>
        </is>
      </c>
      <c r="O101" s="42" t="inlineStr">
        <is>
          <t>Estehkam Baba Construction and Road Construction Company (EBCC)</t>
        </is>
      </c>
      <c r="P101" s="42" t="inlineStr">
        <is>
          <t>051/2026</t>
        </is>
      </c>
      <c r="Q101" s="43" t="n">
        <v>54600.65</v>
      </c>
      <c r="R101" s="35" t="inlineStr">
        <is>
          <t>IF(AO101="","",AO101)</t>
        </is>
      </c>
      <c r="S101" s="44" t="n"/>
      <c r="T101" s="45" t="n">
        <v>7</v>
      </c>
      <c r="U101" s="44" t="n">
        <v>46439</v>
      </c>
      <c r="V101" s="35" t="inlineStr">
        <is>
          <t>IF(U101&lt;&gt;"",U101,IF(OR(R101="",T101=""),"",EDATE(R101,T101)))</t>
        </is>
      </c>
      <c r="W101" s="44" t="n"/>
      <c r="X101" s="45" t="n">
        <v>60</v>
      </c>
      <c r="Y101" s="42" t="inlineStr">
        <is>
          <t>Completed / Handover</t>
        </is>
      </c>
      <c r="Z101" s="42" t="inlineStr">
        <is>
          <t>Completed on August 2026</t>
        </is>
      </c>
      <c r="AA101" s="32" t="inlineStr">
        <is>
          <t>IF(E101="","",IF(COUNT(AG101:AT101)=0,IF(Y101="","Not started",Y101),SUBSTITUTE(LOOKUP(2,1/(AG101:AT101&lt;&gt;""),$AG$3:$AT$3),"Date: ","")))</t>
        </is>
      </c>
      <c r="AB101" s="38" t="inlineStr">
        <is>
          <t>IF(OR(E101="",COUNT(AG101:AT101)=0),"",TODAY()-LOOKUP(2,1/(AG101:AT101&lt;&gt;""),AG101:AT101))</t>
        </is>
      </c>
      <c r="AC101" s="38" t="inlineStr">
        <is>
          <t>IF(OR(E101="",COUNT(AG101:AT101)&lt;2),"",LOOKUP(2,1/(AG101:AT101&lt;&gt;""),AG101:AT101)-MIN(AG101:AT101))</t>
        </is>
      </c>
      <c r="AD101" s="38" t="inlineStr">
        <is>
          <t>IF(OR(AB101="",AA101="Not started",AA101=""),"",IFERROR(AB101-IF(VLOOKUP(AA101,'04_Status_Pipeline'!$B$3:$E$20,4,FALSE)="",0,VLOOKUP(AA101,'04_Status_Pipeline'!$B$3:$E$20,4,FALSE)),""))</t>
        </is>
      </c>
      <c r="AE101" s="32" t="inlineStr">
        <is>
          <t>IF(E101="","",IF(OR(Y101="Cancelled",AA101="Cancelled"),"Cancelled",IF(OR(AA101="Completed / Handover",W101&lt;&gt;"",X101&gt;=100),"Completed — on track",IF(L101="Remaining",IF(S101="",IF(V101="","No planned date",IF(TODAY()&gt;V101,"Behind — past planned date",IF(V101-TODAY()&lt;=30,"At risk — close to off track","On track"))),IF(TODAY()&gt;S101,"Behind — award date passed",IF(S101-TODAY()&lt;=30,"At risk — close to off track","On track"))),IF(V101="","No planned date",IF(AND(TODAY()&gt;V101,OR(X101="",X101&lt;100)),"Behind — past end date",IF(AND(R101&lt;&gt;"",V101&lt;&gt;"",X101&lt;&gt;"",(X101&lt;100),((TODAY()-R101)/MAX(V101-R101,1)*100)-X101&gt;15),"Behind — progress lag",IF(AND(V101-TODAY()&lt;=30,V101-TODAY()&gt;=0,OR(X101="",X101&lt;90)),"At risk — close to off track","On track"))))))))</t>
        </is>
      </c>
      <c r="AF101" s="38" t="inlineStr">
        <is>
          <t>IF(OR(E101="",AA101="Completed / Handover",AA101="Cancelled"),"",IF(L101="Remaining",IF(S101&lt;&gt;"",S101-TODAY(),IF(V101="","",V101-TODAY())),IF(V101="","",V101-TODAY())))</t>
        </is>
      </c>
      <c r="AG101" s="39" t="n"/>
      <c r="AH101" s="39" t="n"/>
      <c r="AI101" s="39" t="n"/>
      <c r="AJ101" s="39" t="n"/>
      <c r="AK101" s="39" t="n"/>
      <c r="AL101" s="39" t="n"/>
      <c r="AM101" s="39" t="n"/>
      <c r="AN101" s="39" t="n"/>
      <c r="AO101" s="39" t="n">
        <v>46225</v>
      </c>
      <c r="AP101" s="39" t="n">
        <v>46225</v>
      </c>
      <c r="AQ101" s="39" t="n">
        <v>46439</v>
      </c>
      <c r="AR101" s="40" t="n"/>
      <c r="AS101" s="40" t="n"/>
      <c r="AT101" s="40" t="n"/>
      <c r="AU101" s="38" t="inlineStr">
        <is>
          <t>IF(OR(E101="",AH101=""),"",IF(COUNT(AG101:AG101)=0,"",AH101-LOOKUP(2,1/(AG101:AG101&lt;&gt;""),AG101:AG101)))</t>
        </is>
      </c>
      <c r="AV101" s="38" t="inlineStr">
        <is>
          <t>IF(OR(E101="",AI101=""),"",IF(COUNT(AG101:AH101)=0,"",AI101-LOOKUP(2,1/(AG101:AH101&lt;&gt;""),AG101:AH101)))</t>
        </is>
      </c>
      <c r="AW101" s="38" t="inlineStr">
        <is>
          <t>IF(OR(E101="",AJ101=""),"",IF(COUNT(AG101:AI101)=0,"",AJ101-LOOKUP(2,1/(AG101:AI101&lt;&gt;""),AG101:AI101)))</t>
        </is>
      </c>
      <c r="AX101" s="38" t="inlineStr">
        <is>
          <t>IF(OR(E101="",AK101=""),"",IF(COUNT(AG101:AJ101)=0,"",AK101-LOOKUP(2,1/(AG101:AJ101&lt;&gt;""),AG101:AJ101)))</t>
        </is>
      </c>
      <c r="AY101" s="38" t="inlineStr">
        <is>
          <t>IF(OR(E101="",AL101=""),"",IF(COUNT(AG101:AK101)=0,"",AL101-LOOKUP(2,1/(AG101:AK101&lt;&gt;""),AG101:AK101)))</t>
        </is>
      </c>
      <c r="AZ101" s="38" t="inlineStr">
        <is>
          <t>IF(OR(E101="",AM101=""),"",IF(COUNT(AG101:AL101)=0,"",AM101-LOOKUP(2,1/(AG101:AL101&lt;&gt;""),AG101:AL101)))</t>
        </is>
      </c>
      <c r="BA101" s="38" t="inlineStr">
        <is>
          <t>IF(OR(E101="",AN101=""),"",IF(COUNT(AG101:AM101)=0,"",AN101-LOOKUP(2,1/(AG101:AM101&lt;&gt;""),AG101:AM101)))</t>
        </is>
      </c>
      <c r="BB101" s="38" t="inlineStr">
        <is>
          <t>IF(OR(E101="",AO101=""),"",IF(COUNT(AG101:AN101)=0,"",AO101-LOOKUP(2,1/(AG101:AN101&lt;&gt;""),AG101:AN101)))</t>
        </is>
      </c>
      <c r="BC101" s="38" t="inlineStr">
        <is>
          <t>IF(OR(E101="",AP101=""),"",IF(COUNT(AG101:AO101)=0,"",AP101-LOOKUP(2,1/(AG101:AO101&lt;&gt;""),AG101:AO101)))</t>
        </is>
      </c>
      <c r="BD101" s="38" t="inlineStr">
        <is>
          <t>IF(OR(E101="",AQ101=""),"",IF(COUNT(AG101:AP101)=0,"",AQ101-LOOKUP(2,1/(AG101:AP101&lt;&gt;""),AG101:AP101)))</t>
        </is>
      </c>
      <c r="BE101" s="38" t="inlineStr">
        <is>
          <t>IF(OR(E101="",AR101=""),"",IF(COUNT(AG101:AQ101)=0,"",AR101-LOOKUP(2,1/(AG101:AQ101&lt;&gt;""),AG101:AQ101)))</t>
        </is>
      </c>
      <c r="BF101" s="38" t="inlineStr">
        <is>
          <t>IF(OR(E101="",AS101=""),"",IF(COUNT(AG101:AR101)=0,"",AS101-LOOKUP(2,1/(AG101:AR101&lt;&gt;""),AG101:AR101)))</t>
        </is>
      </c>
      <c r="BG101" s="38" t="inlineStr">
        <is>
          <t>IF(OR(E101="",AT101=""),"",IF(COUNT(AG101:AS101)=0,"",AT101-LOOKUP(2,1/(AG101:AS101&lt;&gt;""),AG101:AS101)))</t>
        </is>
      </c>
      <c r="BH101" s="41" t="inlineStr">
        <is>
          <t>IF(G101="","All_Provinces",IFERROR(VLOOKUP(G101,'07_Lookups'!$A$4:$B$20,2,FALSE),"All_Provinces"))</t>
        </is>
      </c>
      <c r="BI101" s="41" t="inlineStr">
        <is>
          <t>IF(H101="","All_Districts",IFERROR(VLOOKUP(H101,'07_Lookups'!$E$4:$F$42,2,FALSE),"All_Districts"))</t>
        </is>
      </c>
    </row>
    <row r="102" ht="18" customHeight="1">
      <c r="A102" s="32" t="inlineStr">
        <is>
          <t>IF(E102="","",ROW()-3)</t>
        </is>
      </c>
      <c r="B102" s="33" t="inlineStr">
        <is>
          <t>AF2-WSM-A-033</t>
        </is>
      </c>
      <c r="C102" s="33" t="inlineStr">
        <is>
          <t>Emergency Food Security Project (EFSP) – WBK/AF-2</t>
        </is>
      </c>
      <c r="D102" s="33" t="inlineStr">
        <is>
          <t>Package #13-AF2 WSM: Construction of 4 Check Dams in 4 district sites of 1.Kata Khana in Yakawlang , 2. Nawora in Panjab, 3.Nahorak in Waras, and 4.Bayani in Sayghan districts of Bamyan province</t>
        </is>
      </c>
      <c r="E102" s="33" t="inlineStr">
        <is>
          <t>4.Bayani Check dam</t>
        </is>
      </c>
      <c r="F102" s="33" t="inlineStr">
        <is>
          <t>Check Dam</t>
        </is>
      </c>
      <c r="G102" s="33" t="inlineStr">
        <is>
          <t>Central Highland / Bamyan</t>
        </is>
      </c>
      <c r="H102" s="33" t="inlineStr">
        <is>
          <t>Bamyan</t>
        </is>
      </c>
      <c r="I102" s="33" t="inlineStr">
        <is>
          <t>Sayghan</t>
        </is>
      </c>
      <c r="J102" s="33" t="inlineStr">
        <is>
          <t>Bayani</t>
        </is>
      </c>
      <c r="K102" s="33" t="inlineStr">
        <is>
          <t>World Bank (WBK/AF-2)</t>
        </is>
      </c>
      <c r="L102" s="33" t="inlineStr">
        <is>
          <t>Awarded</t>
        </is>
      </c>
      <c r="M102" s="33" t="inlineStr">
        <is>
          <t>Watershed / Check dam</t>
        </is>
      </c>
      <c r="N102" s="33" t="inlineStr">
        <is>
          <t>3.WSM awarded contracts</t>
        </is>
      </c>
      <c r="O102" s="33" t="inlineStr">
        <is>
          <t>Estehkam Baba Construction and Road Construction Company (EBCC)</t>
        </is>
      </c>
      <c r="P102" s="33" t="inlineStr">
        <is>
          <t>051/2026</t>
        </is>
      </c>
      <c r="Q102" s="34" t="n">
        <v>35843.07</v>
      </c>
      <c r="R102" s="35" t="inlineStr">
        <is>
          <t>IF(AO102="","",AO102)</t>
        </is>
      </c>
      <c r="S102" s="36" t="n"/>
      <c r="T102" s="37" t="n">
        <v>7</v>
      </c>
      <c r="U102" s="36" t="n">
        <v>46439</v>
      </c>
      <c r="V102" s="35" t="inlineStr">
        <is>
          <t>IF(U102&lt;&gt;"",U102,IF(OR(R102="",T102=""),"",EDATE(R102,T102)))</t>
        </is>
      </c>
      <c r="W102" s="36" t="n"/>
      <c r="X102" s="37" t="n">
        <v>50</v>
      </c>
      <c r="Y102" s="33" t="inlineStr">
        <is>
          <t>Completed / Handover</t>
        </is>
      </c>
      <c r="Z102" s="33" t="inlineStr">
        <is>
          <t>Completed on August 2026</t>
        </is>
      </c>
      <c r="AA102" s="32" t="inlineStr">
        <is>
          <t>IF(E102="","",IF(COUNT(AG102:AT102)=0,IF(Y102="","Not started",Y102),SUBSTITUTE(LOOKUP(2,1/(AG102:AT102&lt;&gt;""),$AG$3:$AT$3),"Date: ","")))</t>
        </is>
      </c>
      <c r="AB102" s="38" t="inlineStr">
        <is>
          <t>IF(OR(E102="",COUNT(AG102:AT102)=0),"",TODAY()-LOOKUP(2,1/(AG102:AT102&lt;&gt;""),AG102:AT102))</t>
        </is>
      </c>
      <c r="AC102" s="38" t="inlineStr">
        <is>
          <t>IF(OR(E102="",COUNT(AG102:AT102)&lt;2),"",LOOKUP(2,1/(AG102:AT102&lt;&gt;""),AG102:AT102)-MIN(AG102:AT102))</t>
        </is>
      </c>
      <c r="AD102" s="38" t="inlineStr">
        <is>
          <t>IF(OR(AB102="",AA102="Not started",AA102=""),"",IFERROR(AB102-IF(VLOOKUP(AA102,'04_Status_Pipeline'!$B$3:$E$20,4,FALSE)="",0,VLOOKUP(AA102,'04_Status_Pipeline'!$B$3:$E$20,4,FALSE)),""))</t>
        </is>
      </c>
      <c r="AE102" s="32" t="inlineStr">
        <is>
          <t>IF(E102="","",IF(OR(Y102="Cancelled",AA102="Cancelled"),"Cancelled",IF(OR(AA102="Completed / Handover",W102&lt;&gt;"",X102&gt;=100),"Completed — on track",IF(L102="Remaining",IF(S102="",IF(V102="","No planned date",IF(TODAY()&gt;V102,"Behind — past planned date",IF(V102-TODAY()&lt;=30,"At risk — close to off track","On track"))),IF(TODAY()&gt;S102,"Behind — award date passed",IF(S102-TODAY()&lt;=30,"At risk — close to off track","On track"))),IF(V102="","No planned date",IF(AND(TODAY()&gt;V102,OR(X102="",X102&lt;100)),"Behind — past end date",IF(AND(R102&lt;&gt;"",V102&lt;&gt;"",X102&lt;&gt;"",(X102&lt;100),((TODAY()-R102)/MAX(V102-R102,1)*100)-X102&gt;15),"Behind — progress lag",IF(AND(V102-TODAY()&lt;=30,V102-TODAY()&gt;=0,OR(X102="",X102&lt;90)),"At risk — close to off track","On track"))))))))</t>
        </is>
      </c>
      <c r="AF102" s="38" t="inlineStr">
        <is>
          <t>IF(OR(E102="",AA102="Completed / Handover",AA102="Cancelled"),"",IF(L102="Remaining",IF(S102&lt;&gt;"",S102-TODAY(),IF(V102="","",V102-TODAY())),IF(V102="","",V102-TODAY())))</t>
        </is>
      </c>
      <c r="AG102" s="39" t="n"/>
      <c r="AH102" s="39" t="n"/>
      <c r="AI102" s="39" t="n"/>
      <c r="AJ102" s="39" t="n"/>
      <c r="AK102" s="39" t="n"/>
      <c r="AL102" s="39" t="n"/>
      <c r="AM102" s="39" t="n"/>
      <c r="AN102" s="39" t="n"/>
      <c r="AO102" s="39" t="n">
        <v>46225</v>
      </c>
      <c r="AP102" s="39" t="n">
        <v>46225</v>
      </c>
      <c r="AQ102" s="39" t="n">
        <v>46439</v>
      </c>
      <c r="AR102" s="40" t="n"/>
      <c r="AS102" s="40" t="n"/>
      <c r="AT102" s="40" t="n"/>
      <c r="AU102" s="38" t="inlineStr">
        <is>
          <t>IF(OR(E102="",AH102=""),"",IF(COUNT(AG102:AG102)=0,"",AH102-LOOKUP(2,1/(AG102:AG102&lt;&gt;""),AG102:AG102)))</t>
        </is>
      </c>
      <c r="AV102" s="38" t="inlineStr">
        <is>
          <t>IF(OR(E102="",AI102=""),"",IF(COUNT(AG102:AH102)=0,"",AI102-LOOKUP(2,1/(AG102:AH102&lt;&gt;""),AG102:AH102)))</t>
        </is>
      </c>
      <c r="AW102" s="38" t="inlineStr">
        <is>
          <t>IF(OR(E102="",AJ102=""),"",IF(COUNT(AG102:AI102)=0,"",AJ102-LOOKUP(2,1/(AG102:AI102&lt;&gt;""),AG102:AI102)))</t>
        </is>
      </c>
      <c r="AX102" s="38" t="inlineStr">
        <is>
          <t>IF(OR(E102="",AK102=""),"",IF(COUNT(AG102:AJ102)=0,"",AK102-LOOKUP(2,1/(AG102:AJ102&lt;&gt;""),AG102:AJ102)))</t>
        </is>
      </c>
      <c r="AY102" s="38" t="inlineStr">
        <is>
          <t>IF(OR(E102="",AL102=""),"",IF(COUNT(AG102:AK102)=0,"",AL102-LOOKUP(2,1/(AG102:AK102&lt;&gt;""),AG102:AK102)))</t>
        </is>
      </c>
      <c r="AZ102" s="38" t="inlineStr">
        <is>
          <t>IF(OR(E102="",AM102=""),"",IF(COUNT(AG102:AL102)=0,"",AM102-LOOKUP(2,1/(AG102:AL102&lt;&gt;""),AG102:AL102)))</t>
        </is>
      </c>
      <c r="BA102" s="38" t="inlineStr">
        <is>
          <t>IF(OR(E102="",AN102=""),"",IF(COUNT(AG102:AM102)=0,"",AN102-LOOKUP(2,1/(AG102:AM102&lt;&gt;""),AG102:AM102)))</t>
        </is>
      </c>
      <c r="BB102" s="38" t="inlineStr">
        <is>
          <t>IF(OR(E102="",AO102=""),"",IF(COUNT(AG102:AN102)=0,"",AO102-LOOKUP(2,1/(AG102:AN102&lt;&gt;""),AG102:AN102)))</t>
        </is>
      </c>
      <c r="BC102" s="38" t="inlineStr">
        <is>
          <t>IF(OR(E102="",AP102=""),"",IF(COUNT(AG102:AO102)=0,"",AP102-LOOKUP(2,1/(AG102:AO102&lt;&gt;""),AG102:AO102)))</t>
        </is>
      </c>
      <c r="BD102" s="38" t="inlineStr">
        <is>
          <t>IF(OR(E102="",AQ102=""),"",IF(COUNT(AG102:AP102)=0,"",AQ102-LOOKUP(2,1/(AG102:AP102&lt;&gt;""),AG102:AP102)))</t>
        </is>
      </c>
      <c r="BE102" s="38" t="inlineStr">
        <is>
          <t>IF(OR(E102="",AR102=""),"",IF(COUNT(AG102:AQ102)=0,"",AR102-LOOKUP(2,1/(AG102:AQ102&lt;&gt;""),AG102:AQ102)))</t>
        </is>
      </c>
      <c r="BF102" s="38" t="inlineStr">
        <is>
          <t>IF(OR(E102="",AS102=""),"",IF(COUNT(AG102:AR102)=0,"",AS102-LOOKUP(2,1/(AG102:AR102&lt;&gt;""),AG102:AR102)))</t>
        </is>
      </c>
      <c r="BG102" s="38" t="inlineStr">
        <is>
          <t>IF(OR(E102="",AT102=""),"",IF(COUNT(AG102:AS102)=0,"",AT102-LOOKUP(2,1/(AG102:AS102&lt;&gt;""),AG102:AS102)))</t>
        </is>
      </c>
      <c r="BH102" s="41" t="inlineStr">
        <is>
          <t>IF(G102="","All_Provinces",IFERROR(VLOOKUP(G102,'07_Lookups'!$A$4:$B$20,2,FALSE),"All_Provinces"))</t>
        </is>
      </c>
      <c r="BI102" s="41" t="inlineStr">
        <is>
          <t>IF(H102="","All_Districts",IFERROR(VLOOKUP(H102,'07_Lookups'!$E$4:$F$42,2,FALSE),"All_Districts"))</t>
        </is>
      </c>
    </row>
    <row r="103" ht="18" customHeight="1">
      <c r="A103" s="32" t="inlineStr">
        <is>
          <t>IF(E103="","",ROW()-3)</t>
        </is>
      </c>
      <c r="B103" s="42" t="inlineStr">
        <is>
          <t>AF2-WSM-A-034</t>
        </is>
      </c>
      <c r="C103" s="42" t="inlineStr">
        <is>
          <t>Emergency Food Security Project (EFSP) – WBK/AF-2</t>
        </is>
      </c>
      <c r="D103" s="42" t="inlineStr">
        <is>
          <t>Package #14-AF2 WSM: Construction of 1.Shahristan Check dama in Shahristan district, 2.Miramor Check dam in Miramor district, and 3.Khidir Check dams in Khidir districts of Daykundi province.</t>
        </is>
      </c>
      <c r="E103" s="42" t="inlineStr">
        <is>
          <t>1. Shahristan Check dam</t>
        </is>
      </c>
      <c r="F103" s="42" t="inlineStr">
        <is>
          <t>Check Dam</t>
        </is>
      </c>
      <c r="G103" s="42" t="inlineStr">
        <is>
          <t>Central Highland / Bamyan</t>
        </is>
      </c>
      <c r="H103" s="42" t="inlineStr">
        <is>
          <t>Daykundi</t>
        </is>
      </c>
      <c r="I103" s="42" t="inlineStr">
        <is>
          <t>Shahristan</t>
        </is>
      </c>
      <c r="J103" s="42" t="inlineStr">
        <is>
          <t>Dar Band, Dasht-e Safid, Madar, Lorange</t>
        </is>
      </c>
      <c r="K103" s="42" t="inlineStr">
        <is>
          <t>World Bank (WBK/AF-2)</t>
        </is>
      </c>
      <c r="L103" s="42" t="inlineStr">
        <is>
          <t>Awarded</t>
        </is>
      </c>
      <c r="M103" s="42" t="inlineStr">
        <is>
          <t>Watershed / Check dam</t>
        </is>
      </c>
      <c r="N103" s="42" t="inlineStr">
        <is>
          <t>3.WSM awarded contracts</t>
        </is>
      </c>
      <c r="O103" s="42" t="inlineStr">
        <is>
          <t>Da Maidan Zawahnono Construction Company (DMZCC)</t>
        </is>
      </c>
      <c r="P103" s="42" t="inlineStr">
        <is>
          <t>025/2026</t>
        </is>
      </c>
      <c r="Q103" s="43" t="n">
        <v>52946.05</v>
      </c>
      <c r="R103" s="35" t="inlineStr">
        <is>
          <t>IF(AO103="","",AO103)</t>
        </is>
      </c>
      <c r="S103" s="44" t="n"/>
      <c r="T103" s="45" t="n">
        <v>7</v>
      </c>
      <c r="U103" s="44" t="n">
        <v>46325</v>
      </c>
      <c r="V103" s="35" t="inlineStr">
        <is>
          <t>IF(U103&lt;&gt;"",U103,IF(OR(R103="",T103=""),"",EDATE(R103,T103)))</t>
        </is>
      </c>
      <c r="W103" s="44" t="n"/>
      <c r="X103" s="45" t="n">
        <v>100</v>
      </c>
      <c r="Y103" s="42" t="inlineStr">
        <is>
          <t>Completed / Handover</t>
        </is>
      </c>
      <c r="Z103" s="42" t="inlineStr">
        <is>
          <t>Completed on Sep, 2026</t>
        </is>
      </c>
      <c r="AA103" s="32" t="inlineStr">
        <is>
          <t>IF(E103="","",IF(COUNT(AG103:AT103)=0,IF(Y103="","Not started",Y103),SUBSTITUTE(LOOKUP(2,1/(AG103:AT103&lt;&gt;""),$AG$3:$AT$3),"Date: ","")))</t>
        </is>
      </c>
      <c r="AB103" s="38" t="inlineStr">
        <is>
          <t>IF(OR(E103="",COUNT(AG103:AT103)=0),"",TODAY()-LOOKUP(2,1/(AG103:AT103&lt;&gt;""),AG103:AT103))</t>
        </is>
      </c>
      <c r="AC103" s="38" t="inlineStr">
        <is>
          <t>IF(OR(E103="",COUNT(AG103:AT103)&lt;2),"",LOOKUP(2,1/(AG103:AT103&lt;&gt;""),AG103:AT103)-MIN(AG103:AT103))</t>
        </is>
      </c>
      <c r="AD103" s="38" t="inlineStr">
        <is>
          <t>IF(OR(AB103="",AA103="Not started",AA103=""),"",IFERROR(AB103-IF(VLOOKUP(AA103,'04_Status_Pipeline'!$B$3:$E$20,4,FALSE)="",0,VLOOKUP(AA103,'04_Status_Pipeline'!$B$3:$E$20,4,FALSE)),""))</t>
        </is>
      </c>
      <c r="AE103" s="32" t="inlineStr">
        <is>
          <t>IF(E103="","",IF(OR(Y103="Cancelled",AA103="Cancelled"),"Cancelled",IF(OR(AA103="Completed / Handover",W103&lt;&gt;"",X103&gt;=100),"Completed — on track",IF(L103="Remaining",IF(S103="",IF(V103="","No planned date",IF(TODAY()&gt;V103,"Behind — past planned date",IF(V103-TODAY()&lt;=30,"At risk — close to off track","On track"))),IF(TODAY()&gt;S103,"Behind — award date passed",IF(S103-TODAY()&lt;=30,"At risk — close to off track","On track"))),IF(V103="","No planned date",IF(AND(TODAY()&gt;V103,OR(X103="",X103&lt;100)),"Behind — past end date",IF(AND(R103&lt;&gt;"",V103&lt;&gt;"",X103&lt;&gt;"",(X103&lt;100),((TODAY()-R103)/MAX(V103-R103,1)*100)-X103&gt;15),"Behind — progress lag",IF(AND(V103-TODAY()&lt;=30,V103-TODAY()&gt;=0,OR(X103="",X103&lt;90)),"At risk — close to off track","On track"))))))))</t>
        </is>
      </c>
      <c r="AF103" s="38" t="inlineStr">
        <is>
          <t>IF(OR(E103="",AA103="Completed / Handover",AA103="Cancelled"),"",IF(L103="Remaining",IF(S103&lt;&gt;"",S103-TODAY(),IF(V103="","",V103-TODAY())),IF(V103="","",V103-TODAY())))</t>
        </is>
      </c>
      <c r="AG103" s="39" t="n"/>
      <c r="AH103" s="39" t="n"/>
      <c r="AI103" s="39" t="n"/>
      <c r="AJ103" s="39" t="n"/>
      <c r="AK103" s="39" t="n"/>
      <c r="AL103" s="39" t="n"/>
      <c r="AM103" s="39" t="n"/>
      <c r="AN103" s="39" t="n"/>
      <c r="AO103" s="39" t="n">
        <v>46113</v>
      </c>
      <c r="AP103" s="39" t="n">
        <v>46113</v>
      </c>
      <c r="AQ103" s="39" t="n">
        <v>46325</v>
      </c>
      <c r="AR103" s="40" t="n"/>
      <c r="AS103" s="40" t="n"/>
      <c r="AT103" s="40" t="n"/>
      <c r="AU103" s="38" t="inlineStr">
        <is>
          <t>IF(OR(E103="",AH103=""),"",IF(COUNT(AG103:AG103)=0,"",AH103-LOOKUP(2,1/(AG103:AG103&lt;&gt;""),AG103:AG103)))</t>
        </is>
      </c>
      <c r="AV103" s="38" t="inlineStr">
        <is>
          <t>IF(OR(E103="",AI103=""),"",IF(COUNT(AG103:AH103)=0,"",AI103-LOOKUP(2,1/(AG103:AH103&lt;&gt;""),AG103:AH103)))</t>
        </is>
      </c>
      <c r="AW103" s="38" t="inlineStr">
        <is>
          <t>IF(OR(E103="",AJ103=""),"",IF(COUNT(AG103:AI103)=0,"",AJ103-LOOKUP(2,1/(AG103:AI103&lt;&gt;""),AG103:AI103)))</t>
        </is>
      </c>
      <c r="AX103" s="38" t="inlineStr">
        <is>
          <t>IF(OR(E103="",AK103=""),"",IF(COUNT(AG103:AJ103)=0,"",AK103-LOOKUP(2,1/(AG103:AJ103&lt;&gt;""),AG103:AJ103)))</t>
        </is>
      </c>
      <c r="AY103" s="38" t="inlineStr">
        <is>
          <t>IF(OR(E103="",AL103=""),"",IF(COUNT(AG103:AK103)=0,"",AL103-LOOKUP(2,1/(AG103:AK103&lt;&gt;""),AG103:AK103)))</t>
        </is>
      </c>
      <c r="AZ103" s="38" t="inlineStr">
        <is>
          <t>IF(OR(E103="",AM103=""),"",IF(COUNT(AG103:AL103)=0,"",AM103-LOOKUP(2,1/(AG103:AL103&lt;&gt;""),AG103:AL103)))</t>
        </is>
      </c>
      <c r="BA103" s="38" t="inlineStr">
        <is>
          <t>IF(OR(E103="",AN103=""),"",IF(COUNT(AG103:AM103)=0,"",AN103-LOOKUP(2,1/(AG103:AM103&lt;&gt;""),AG103:AM103)))</t>
        </is>
      </c>
      <c r="BB103" s="38" t="inlineStr">
        <is>
          <t>IF(OR(E103="",AO103=""),"",IF(COUNT(AG103:AN103)=0,"",AO103-LOOKUP(2,1/(AG103:AN103&lt;&gt;""),AG103:AN103)))</t>
        </is>
      </c>
      <c r="BC103" s="38" t="inlineStr">
        <is>
          <t>IF(OR(E103="",AP103=""),"",IF(COUNT(AG103:AO103)=0,"",AP103-LOOKUP(2,1/(AG103:AO103&lt;&gt;""),AG103:AO103)))</t>
        </is>
      </c>
      <c r="BD103" s="38" t="inlineStr">
        <is>
          <t>IF(OR(E103="",AQ103=""),"",IF(COUNT(AG103:AP103)=0,"",AQ103-LOOKUP(2,1/(AG103:AP103&lt;&gt;""),AG103:AP103)))</t>
        </is>
      </c>
      <c r="BE103" s="38" t="inlineStr">
        <is>
          <t>IF(OR(E103="",AR103=""),"",IF(COUNT(AG103:AQ103)=0,"",AR103-LOOKUP(2,1/(AG103:AQ103&lt;&gt;""),AG103:AQ103)))</t>
        </is>
      </c>
      <c r="BF103" s="38" t="inlineStr">
        <is>
          <t>IF(OR(E103="",AS103=""),"",IF(COUNT(AG103:AR103)=0,"",AS103-LOOKUP(2,1/(AG103:AR103&lt;&gt;""),AG103:AR103)))</t>
        </is>
      </c>
      <c r="BG103" s="38" t="inlineStr">
        <is>
          <t>IF(OR(E103="",AT103=""),"",IF(COUNT(AG103:AS103)=0,"",AT103-LOOKUP(2,1/(AG103:AS103&lt;&gt;""),AG103:AS103)))</t>
        </is>
      </c>
      <c r="BH103" s="41" t="inlineStr">
        <is>
          <t>IF(G103="","All_Provinces",IFERROR(VLOOKUP(G103,'07_Lookups'!$A$4:$B$20,2,FALSE),"All_Provinces"))</t>
        </is>
      </c>
      <c r="BI103" s="41" t="inlineStr">
        <is>
          <t>IF(H103="","All_Districts",IFERROR(VLOOKUP(H103,'07_Lookups'!$E$4:$F$42,2,FALSE),"All_Districts"))</t>
        </is>
      </c>
    </row>
    <row r="104" ht="18" customHeight="1">
      <c r="A104" s="32" t="inlineStr">
        <is>
          <t>IF(E104="","",ROW()-3)</t>
        </is>
      </c>
      <c r="B104" s="33" t="inlineStr">
        <is>
          <t>AF2-WSM-A-035</t>
        </is>
      </c>
      <c r="C104" s="33" t="inlineStr">
        <is>
          <t>Emergency Food Security Project (EFSP) – WBK/AF-2</t>
        </is>
      </c>
      <c r="D104" s="33" t="inlineStr">
        <is>
          <t>Package #14-AF2 WSM: Construction of 1.Shahristan Check dama in Shahristan district, 2.Miramor Check dam in Miramor district, and 3.Khidir Check dams in Khidir districts of Daykundi province.</t>
        </is>
      </c>
      <c r="E104" s="33" t="inlineStr">
        <is>
          <t>2. Miramor Check dam</t>
        </is>
      </c>
      <c r="F104" s="33" t="inlineStr">
        <is>
          <t>Check Dam</t>
        </is>
      </c>
      <c r="G104" s="33" t="inlineStr">
        <is>
          <t>Central Highland / Bamyan</t>
        </is>
      </c>
      <c r="H104" s="33" t="inlineStr">
        <is>
          <t>Daykundi</t>
        </is>
      </c>
      <c r="I104" s="33" t="inlineStr">
        <is>
          <t>Miramor</t>
        </is>
      </c>
      <c r="J104" s="33" t="inlineStr">
        <is>
          <t>Folad, Deh Ghulam,</t>
        </is>
      </c>
      <c r="K104" s="33" t="inlineStr">
        <is>
          <t>World Bank (WBK/AF-2)</t>
        </is>
      </c>
      <c r="L104" s="33" t="inlineStr">
        <is>
          <t>Awarded</t>
        </is>
      </c>
      <c r="M104" s="33" t="inlineStr">
        <is>
          <t>Watershed / Check dam</t>
        </is>
      </c>
      <c r="N104" s="33" t="inlineStr">
        <is>
          <t>3.WSM awarded contracts</t>
        </is>
      </c>
      <c r="O104" s="33" t="inlineStr">
        <is>
          <t>Da Maidan Zawahnono Construction Company (DMZCC)</t>
        </is>
      </c>
      <c r="P104" s="33" t="inlineStr">
        <is>
          <t>025/2026</t>
        </is>
      </c>
      <c r="Q104" s="34" t="n">
        <v>48360.86</v>
      </c>
      <c r="R104" s="35" t="inlineStr">
        <is>
          <t>IF(AO104="","",AO104)</t>
        </is>
      </c>
      <c r="S104" s="36" t="n"/>
      <c r="T104" s="37" t="n">
        <v>7</v>
      </c>
      <c r="U104" s="36" t="n">
        <v>46325</v>
      </c>
      <c r="V104" s="35" t="inlineStr">
        <is>
          <t>IF(U104&lt;&gt;"",U104,IF(OR(R104="",T104=""),"",EDATE(R104,T104)))</t>
        </is>
      </c>
      <c r="W104" s="36" t="n"/>
      <c r="X104" s="37" t="n">
        <v>100</v>
      </c>
      <c r="Y104" s="33" t="inlineStr">
        <is>
          <t>Completed / Handover</t>
        </is>
      </c>
      <c r="Z104" s="33" t="inlineStr">
        <is>
          <t>Completed on Sep, 2026</t>
        </is>
      </c>
      <c r="AA104" s="32" t="inlineStr">
        <is>
          <t>IF(E104="","",IF(COUNT(AG104:AT104)=0,IF(Y104="","Not started",Y104),SUBSTITUTE(LOOKUP(2,1/(AG104:AT104&lt;&gt;""),$AG$3:$AT$3),"Date: ","")))</t>
        </is>
      </c>
      <c r="AB104" s="38" t="inlineStr">
        <is>
          <t>IF(OR(E104="",COUNT(AG104:AT104)=0),"",TODAY()-LOOKUP(2,1/(AG104:AT104&lt;&gt;""),AG104:AT104))</t>
        </is>
      </c>
      <c r="AC104" s="38" t="inlineStr">
        <is>
          <t>IF(OR(E104="",COUNT(AG104:AT104)&lt;2),"",LOOKUP(2,1/(AG104:AT104&lt;&gt;""),AG104:AT104)-MIN(AG104:AT104))</t>
        </is>
      </c>
      <c r="AD104" s="38" t="inlineStr">
        <is>
          <t>IF(OR(AB104="",AA104="Not started",AA104=""),"",IFERROR(AB104-IF(VLOOKUP(AA104,'04_Status_Pipeline'!$B$3:$E$20,4,FALSE)="",0,VLOOKUP(AA104,'04_Status_Pipeline'!$B$3:$E$20,4,FALSE)),""))</t>
        </is>
      </c>
      <c r="AE104" s="32" t="inlineStr">
        <is>
          <t>IF(E104="","",IF(OR(Y104="Cancelled",AA104="Cancelled"),"Cancelled",IF(OR(AA104="Completed / Handover",W104&lt;&gt;"",X104&gt;=100),"Completed — on track",IF(L104="Remaining",IF(S104="",IF(V104="","No planned date",IF(TODAY()&gt;V104,"Behind — past planned date",IF(V104-TODAY()&lt;=30,"At risk — close to off track","On track"))),IF(TODAY()&gt;S104,"Behind — award date passed",IF(S104-TODAY()&lt;=30,"At risk — close to off track","On track"))),IF(V104="","No planned date",IF(AND(TODAY()&gt;V104,OR(X104="",X104&lt;100)),"Behind — past end date",IF(AND(R104&lt;&gt;"",V104&lt;&gt;"",X104&lt;&gt;"",(X104&lt;100),((TODAY()-R104)/MAX(V104-R104,1)*100)-X104&gt;15),"Behind — progress lag",IF(AND(V104-TODAY()&lt;=30,V104-TODAY()&gt;=0,OR(X104="",X104&lt;90)),"At risk — close to off track","On track"))))))))</t>
        </is>
      </c>
      <c r="AF104" s="38" t="inlineStr">
        <is>
          <t>IF(OR(E104="",AA104="Completed / Handover",AA104="Cancelled"),"",IF(L104="Remaining",IF(S104&lt;&gt;"",S104-TODAY(),IF(V104="","",V104-TODAY())),IF(V104="","",V104-TODAY())))</t>
        </is>
      </c>
      <c r="AG104" s="39" t="n"/>
      <c r="AH104" s="39" t="n"/>
      <c r="AI104" s="39" t="n"/>
      <c r="AJ104" s="39" t="n"/>
      <c r="AK104" s="39" t="n"/>
      <c r="AL104" s="39" t="n"/>
      <c r="AM104" s="39" t="n"/>
      <c r="AN104" s="39" t="n"/>
      <c r="AO104" s="39" t="n">
        <v>46113</v>
      </c>
      <c r="AP104" s="39" t="n">
        <v>46113</v>
      </c>
      <c r="AQ104" s="39" t="n">
        <v>46325</v>
      </c>
      <c r="AR104" s="40" t="n"/>
      <c r="AS104" s="40" t="n"/>
      <c r="AT104" s="40" t="n"/>
      <c r="AU104" s="38" t="inlineStr">
        <is>
          <t>IF(OR(E104="",AH104=""),"",IF(COUNT(AG104:AG104)=0,"",AH104-LOOKUP(2,1/(AG104:AG104&lt;&gt;""),AG104:AG104)))</t>
        </is>
      </c>
      <c r="AV104" s="38" t="inlineStr">
        <is>
          <t>IF(OR(E104="",AI104=""),"",IF(COUNT(AG104:AH104)=0,"",AI104-LOOKUP(2,1/(AG104:AH104&lt;&gt;""),AG104:AH104)))</t>
        </is>
      </c>
      <c r="AW104" s="38" t="inlineStr">
        <is>
          <t>IF(OR(E104="",AJ104=""),"",IF(COUNT(AG104:AI104)=0,"",AJ104-LOOKUP(2,1/(AG104:AI104&lt;&gt;""),AG104:AI104)))</t>
        </is>
      </c>
      <c r="AX104" s="38" t="inlineStr">
        <is>
          <t>IF(OR(E104="",AK104=""),"",IF(COUNT(AG104:AJ104)=0,"",AK104-LOOKUP(2,1/(AG104:AJ104&lt;&gt;""),AG104:AJ104)))</t>
        </is>
      </c>
      <c r="AY104" s="38" t="inlineStr">
        <is>
          <t>IF(OR(E104="",AL104=""),"",IF(COUNT(AG104:AK104)=0,"",AL104-LOOKUP(2,1/(AG104:AK104&lt;&gt;""),AG104:AK104)))</t>
        </is>
      </c>
      <c r="AZ104" s="38" t="inlineStr">
        <is>
          <t>IF(OR(E104="",AM104=""),"",IF(COUNT(AG104:AL104)=0,"",AM104-LOOKUP(2,1/(AG104:AL104&lt;&gt;""),AG104:AL104)))</t>
        </is>
      </c>
      <c r="BA104" s="38" t="inlineStr">
        <is>
          <t>IF(OR(E104="",AN104=""),"",IF(COUNT(AG104:AM104)=0,"",AN104-LOOKUP(2,1/(AG104:AM104&lt;&gt;""),AG104:AM104)))</t>
        </is>
      </c>
      <c r="BB104" s="38" t="inlineStr">
        <is>
          <t>IF(OR(E104="",AO104=""),"",IF(COUNT(AG104:AN104)=0,"",AO104-LOOKUP(2,1/(AG104:AN104&lt;&gt;""),AG104:AN104)))</t>
        </is>
      </c>
      <c r="BC104" s="38" t="inlineStr">
        <is>
          <t>IF(OR(E104="",AP104=""),"",IF(COUNT(AG104:AO104)=0,"",AP104-LOOKUP(2,1/(AG104:AO104&lt;&gt;""),AG104:AO104)))</t>
        </is>
      </c>
      <c r="BD104" s="38" t="inlineStr">
        <is>
          <t>IF(OR(E104="",AQ104=""),"",IF(COUNT(AG104:AP104)=0,"",AQ104-LOOKUP(2,1/(AG104:AP104&lt;&gt;""),AG104:AP104)))</t>
        </is>
      </c>
      <c r="BE104" s="38" t="inlineStr">
        <is>
          <t>IF(OR(E104="",AR104=""),"",IF(COUNT(AG104:AQ104)=0,"",AR104-LOOKUP(2,1/(AG104:AQ104&lt;&gt;""),AG104:AQ104)))</t>
        </is>
      </c>
      <c r="BF104" s="38" t="inlineStr">
        <is>
          <t>IF(OR(E104="",AS104=""),"",IF(COUNT(AG104:AR104)=0,"",AS104-LOOKUP(2,1/(AG104:AR104&lt;&gt;""),AG104:AR104)))</t>
        </is>
      </c>
      <c r="BG104" s="38" t="inlineStr">
        <is>
          <t>IF(OR(E104="",AT104=""),"",IF(COUNT(AG104:AS104)=0,"",AT104-LOOKUP(2,1/(AG104:AS104&lt;&gt;""),AG104:AS104)))</t>
        </is>
      </c>
      <c r="BH104" s="41" t="inlineStr">
        <is>
          <t>IF(G104="","All_Provinces",IFERROR(VLOOKUP(G104,'07_Lookups'!$A$4:$B$20,2,FALSE),"All_Provinces"))</t>
        </is>
      </c>
      <c r="BI104" s="41" t="inlineStr">
        <is>
          <t>IF(H104="","All_Districts",IFERROR(VLOOKUP(H104,'07_Lookups'!$E$4:$F$42,2,FALSE),"All_Districts"))</t>
        </is>
      </c>
    </row>
    <row r="105" ht="18" customHeight="1">
      <c r="A105" s="32" t="inlineStr">
        <is>
          <t>IF(E105="","",ROW()-3)</t>
        </is>
      </c>
      <c r="B105" s="42" t="inlineStr">
        <is>
          <t>AF2-WSM-A-036</t>
        </is>
      </c>
      <c r="C105" s="42" t="inlineStr">
        <is>
          <t>Emergency Food Security Project (EFSP) – WBK/AF-2</t>
        </is>
      </c>
      <c r="D105" s="42" t="inlineStr">
        <is>
          <t>Package #14-AF2 WSM: Construction of 1.Shahristan Check dama in Shahristan district, 2.Miramor Check dam in Miramor district, and 3.Khidir Check dams in Khidir districts of Daykundi province.</t>
        </is>
      </c>
      <c r="E105" s="42" t="inlineStr">
        <is>
          <t>3. Khidir Check dam</t>
        </is>
      </c>
      <c r="F105" s="42" t="inlineStr">
        <is>
          <t>Check Dam</t>
        </is>
      </c>
      <c r="G105" s="42" t="inlineStr">
        <is>
          <t>Central Highland / Bamyan</t>
        </is>
      </c>
      <c r="H105" s="42" t="inlineStr">
        <is>
          <t>Daykundi</t>
        </is>
      </c>
      <c r="I105" s="42" t="inlineStr">
        <is>
          <t>Khidir</t>
        </is>
      </c>
      <c r="J105" s="42" t="inlineStr">
        <is>
          <t>Dahan-e Degshoyak, Dahan-e Mardakmoda</t>
        </is>
      </c>
      <c r="K105" s="42" t="inlineStr">
        <is>
          <t>World Bank (WBK/AF-2)</t>
        </is>
      </c>
      <c r="L105" s="42" t="inlineStr">
        <is>
          <t>Awarded</t>
        </is>
      </c>
      <c r="M105" s="42" t="inlineStr">
        <is>
          <t>Watershed / Check dam</t>
        </is>
      </c>
      <c r="N105" s="42" t="inlineStr">
        <is>
          <t>3.WSM awarded contracts</t>
        </is>
      </c>
      <c r="O105" s="42" t="inlineStr">
        <is>
          <t>Da Maidan Zawahnono Construction Company (DMZCC)</t>
        </is>
      </c>
      <c r="P105" s="42" t="inlineStr">
        <is>
          <t>025/2026</t>
        </is>
      </c>
      <c r="Q105" s="43" t="n">
        <v>40132.5</v>
      </c>
      <c r="R105" s="35" t="inlineStr">
        <is>
          <t>IF(AO105="","",AO105)</t>
        </is>
      </c>
      <c r="S105" s="44" t="n"/>
      <c r="T105" s="45" t="n">
        <v>7</v>
      </c>
      <c r="U105" s="44" t="n">
        <v>46325</v>
      </c>
      <c r="V105" s="35" t="inlineStr">
        <is>
          <t>IF(U105&lt;&gt;"",U105,IF(OR(R105="",T105=""),"",EDATE(R105,T105)))</t>
        </is>
      </c>
      <c r="W105" s="44" t="n"/>
      <c r="X105" s="45" t="n">
        <v>100</v>
      </c>
      <c r="Y105" s="42" t="inlineStr">
        <is>
          <t>Completed / Handover</t>
        </is>
      </c>
      <c r="Z105" s="42" t="inlineStr">
        <is>
          <t>Completed on Sep, 2026</t>
        </is>
      </c>
      <c r="AA105" s="32" t="inlineStr">
        <is>
          <t>IF(E105="","",IF(COUNT(AG105:AT105)=0,IF(Y105="","Not started",Y105),SUBSTITUTE(LOOKUP(2,1/(AG105:AT105&lt;&gt;""),$AG$3:$AT$3),"Date: ","")))</t>
        </is>
      </c>
      <c r="AB105" s="38" t="inlineStr">
        <is>
          <t>IF(OR(E105="",COUNT(AG105:AT105)=0),"",TODAY()-LOOKUP(2,1/(AG105:AT105&lt;&gt;""),AG105:AT105))</t>
        </is>
      </c>
      <c r="AC105" s="38" t="inlineStr">
        <is>
          <t>IF(OR(E105="",COUNT(AG105:AT105)&lt;2),"",LOOKUP(2,1/(AG105:AT105&lt;&gt;""),AG105:AT105)-MIN(AG105:AT105))</t>
        </is>
      </c>
      <c r="AD105" s="38" t="inlineStr">
        <is>
          <t>IF(OR(AB105="",AA105="Not started",AA105=""),"",IFERROR(AB105-IF(VLOOKUP(AA105,'04_Status_Pipeline'!$B$3:$E$20,4,FALSE)="",0,VLOOKUP(AA105,'04_Status_Pipeline'!$B$3:$E$20,4,FALSE)),""))</t>
        </is>
      </c>
      <c r="AE105" s="32" t="inlineStr">
        <is>
          <t>IF(E105="","",IF(OR(Y105="Cancelled",AA105="Cancelled"),"Cancelled",IF(OR(AA105="Completed / Handover",W105&lt;&gt;"",X105&gt;=100),"Completed — on track",IF(L105="Remaining",IF(S105="",IF(V105="","No planned date",IF(TODAY()&gt;V105,"Behind — past planned date",IF(V105-TODAY()&lt;=30,"At risk — close to off track","On track"))),IF(TODAY()&gt;S105,"Behind — award date passed",IF(S105-TODAY()&lt;=30,"At risk — close to off track","On track"))),IF(V105="","No planned date",IF(AND(TODAY()&gt;V105,OR(X105="",X105&lt;100)),"Behind — past end date",IF(AND(R105&lt;&gt;"",V105&lt;&gt;"",X105&lt;&gt;"",(X105&lt;100),((TODAY()-R105)/MAX(V105-R105,1)*100)-X105&gt;15),"Behind — progress lag",IF(AND(V105-TODAY()&lt;=30,V105-TODAY()&gt;=0,OR(X105="",X105&lt;90)),"At risk — close to off track","On track"))))))))</t>
        </is>
      </c>
      <c r="AF105" s="38" t="inlineStr">
        <is>
          <t>IF(OR(E105="",AA105="Completed / Handover",AA105="Cancelled"),"",IF(L105="Remaining",IF(S105&lt;&gt;"",S105-TODAY(),IF(V105="","",V105-TODAY())),IF(V105="","",V105-TODAY())))</t>
        </is>
      </c>
      <c r="AG105" s="39" t="n"/>
      <c r="AH105" s="39" t="n"/>
      <c r="AI105" s="39" t="n"/>
      <c r="AJ105" s="39" t="n"/>
      <c r="AK105" s="39" t="n"/>
      <c r="AL105" s="39" t="n"/>
      <c r="AM105" s="39" t="n"/>
      <c r="AN105" s="39" t="n"/>
      <c r="AO105" s="39" t="n">
        <v>46113</v>
      </c>
      <c r="AP105" s="39" t="n">
        <v>46113</v>
      </c>
      <c r="AQ105" s="39" t="n">
        <v>46325</v>
      </c>
      <c r="AR105" s="40" t="n"/>
      <c r="AS105" s="40" t="n"/>
      <c r="AT105" s="40" t="n"/>
      <c r="AU105" s="38" t="inlineStr">
        <is>
          <t>IF(OR(E105="",AH105=""),"",IF(COUNT(AG105:AG105)=0,"",AH105-LOOKUP(2,1/(AG105:AG105&lt;&gt;""),AG105:AG105)))</t>
        </is>
      </c>
      <c r="AV105" s="38" t="inlineStr">
        <is>
          <t>IF(OR(E105="",AI105=""),"",IF(COUNT(AG105:AH105)=0,"",AI105-LOOKUP(2,1/(AG105:AH105&lt;&gt;""),AG105:AH105)))</t>
        </is>
      </c>
      <c r="AW105" s="38" t="inlineStr">
        <is>
          <t>IF(OR(E105="",AJ105=""),"",IF(COUNT(AG105:AI105)=0,"",AJ105-LOOKUP(2,1/(AG105:AI105&lt;&gt;""),AG105:AI105)))</t>
        </is>
      </c>
      <c r="AX105" s="38" t="inlineStr">
        <is>
          <t>IF(OR(E105="",AK105=""),"",IF(COUNT(AG105:AJ105)=0,"",AK105-LOOKUP(2,1/(AG105:AJ105&lt;&gt;""),AG105:AJ105)))</t>
        </is>
      </c>
      <c r="AY105" s="38" t="inlineStr">
        <is>
          <t>IF(OR(E105="",AL105=""),"",IF(COUNT(AG105:AK105)=0,"",AL105-LOOKUP(2,1/(AG105:AK105&lt;&gt;""),AG105:AK105)))</t>
        </is>
      </c>
      <c r="AZ105" s="38" t="inlineStr">
        <is>
          <t>IF(OR(E105="",AM105=""),"",IF(COUNT(AG105:AL105)=0,"",AM105-LOOKUP(2,1/(AG105:AL105&lt;&gt;""),AG105:AL105)))</t>
        </is>
      </c>
      <c r="BA105" s="38" t="inlineStr">
        <is>
          <t>IF(OR(E105="",AN105=""),"",IF(COUNT(AG105:AM105)=0,"",AN105-LOOKUP(2,1/(AG105:AM105&lt;&gt;""),AG105:AM105)))</t>
        </is>
      </c>
      <c r="BB105" s="38" t="inlineStr">
        <is>
          <t>IF(OR(E105="",AO105=""),"",IF(COUNT(AG105:AN105)=0,"",AO105-LOOKUP(2,1/(AG105:AN105&lt;&gt;""),AG105:AN105)))</t>
        </is>
      </c>
      <c r="BC105" s="38" t="inlineStr">
        <is>
          <t>IF(OR(E105="",AP105=""),"",IF(COUNT(AG105:AO105)=0,"",AP105-LOOKUP(2,1/(AG105:AO105&lt;&gt;""),AG105:AO105)))</t>
        </is>
      </c>
      <c r="BD105" s="38" t="inlineStr">
        <is>
          <t>IF(OR(E105="",AQ105=""),"",IF(COUNT(AG105:AP105)=0,"",AQ105-LOOKUP(2,1/(AG105:AP105&lt;&gt;""),AG105:AP105)))</t>
        </is>
      </c>
      <c r="BE105" s="38" t="inlineStr">
        <is>
          <t>IF(OR(E105="",AR105=""),"",IF(COUNT(AG105:AQ105)=0,"",AR105-LOOKUP(2,1/(AG105:AQ105&lt;&gt;""),AG105:AQ105)))</t>
        </is>
      </c>
      <c r="BF105" s="38" t="inlineStr">
        <is>
          <t>IF(OR(E105="",AS105=""),"",IF(COUNT(AG105:AR105)=0,"",AS105-LOOKUP(2,1/(AG105:AR105&lt;&gt;""),AG105:AR105)))</t>
        </is>
      </c>
      <c r="BG105" s="38" t="inlineStr">
        <is>
          <t>IF(OR(E105="",AT105=""),"",IF(COUNT(AG105:AS105)=0,"",AT105-LOOKUP(2,1/(AG105:AS105&lt;&gt;""),AG105:AS105)))</t>
        </is>
      </c>
      <c r="BH105" s="41" t="inlineStr">
        <is>
          <t>IF(G105="","All_Provinces",IFERROR(VLOOKUP(G105,'07_Lookups'!$A$4:$B$20,2,FALSE),"All_Provinces"))</t>
        </is>
      </c>
      <c r="BI105" s="41" t="inlineStr">
        <is>
          <t>IF(H105="","All_Districts",IFERROR(VLOOKUP(H105,'07_Lookups'!$E$4:$F$42,2,FALSE),"All_Districts"))</t>
        </is>
      </c>
    </row>
    <row r="106" ht="18" customHeight="1">
      <c r="A106" s="32" t="inlineStr">
        <is>
          <t>IF(E106="","",ROW()-3)</t>
        </is>
      </c>
      <c r="B106" s="33" t="inlineStr">
        <is>
          <t>AF2-WSM-A-037</t>
        </is>
      </c>
      <c r="C106" s="33" t="inlineStr">
        <is>
          <t>Emergency Food Security Project (EFSP) – WBK/AF-2</t>
        </is>
      </c>
      <c r="D106" s="33" t="inlineStr">
        <is>
          <t>Package #15-AF2 WSM: Construction of 3 Check dams of 1. Sangmom, 2. Shilan Korga, and 3.Khulbar in Nili, Ashtarlay, and Sang Takhta districts of Daykundi province.</t>
        </is>
      </c>
      <c r="E106" s="33" t="inlineStr">
        <is>
          <t>Sangmom Check dam</t>
        </is>
      </c>
      <c r="F106" s="33" t="inlineStr">
        <is>
          <t>Check Dam</t>
        </is>
      </c>
      <c r="G106" s="33" t="inlineStr">
        <is>
          <t>Central Highland / Bamyan</t>
        </is>
      </c>
      <c r="H106" s="33" t="inlineStr">
        <is>
          <t>Daykundi</t>
        </is>
      </c>
      <c r="I106" s="33" t="inlineStr">
        <is>
          <t>Nili</t>
        </is>
      </c>
      <c r="J106" s="33" t="inlineStr">
        <is>
          <t>Sangmom</t>
        </is>
      </c>
      <c r="K106" s="33" t="inlineStr">
        <is>
          <t>World Bank (WBK/AF-2)</t>
        </is>
      </c>
      <c r="L106" s="33" t="inlineStr">
        <is>
          <t>Awarded</t>
        </is>
      </c>
      <c r="M106" s="33" t="inlineStr">
        <is>
          <t>Watershed / Check dam</t>
        </is>
      </c>
      <c r="N106" s="33" t="inlineStr">
        <is>
          <t>3.WSM awarded contracts</t>
        </is>
      </c>
      <c r="O106" s="33" t="inlineStr">
        <is>
          <t>Bahartamadun Construction Company (BCC)</t>
        </is>
      </c>
      <c r="P106" s="33" t="inlineStr">
        <is>
          <t>065/2026</t>
        </is>
      </c>
      <c r="Q106" s="34" t="n">
        <v>179455</v>
      </c>
      <c r="R106" s="35" t="inlineStr">
        <is>
          <t>IF(AO106="","",AO106)</t>
        </is>
      </c>
      <c r="S106" s="36" t="n"/>
      <c r="T106" s="37" t="n">
        <v>4.9</v>
      </c>
      <c r="U106" s="36" t="n">
        <v>46453</v>
      </c>
      <c r="V106" s="35" t="inlineStr">
        <is>
          <t>IF(U106&lt;&gt;"",U106,IF(OR(R106="",T106=""),"",EDATE(R106,T106)))</t>
        </is>
      </c>
      <c r="W106" s="36" t="n"/>
      <c r="X106" s="37" t="n"/>
      <c r="Y106" s="33" t="inlineStr">
        <is>
          <t>Completed / Handover</t>
        </is>
      </c>
      <c r="Z106" s="33" t="inlineStr">
        <is>
          <t>Completed on Sep, 2026</t>
        </is>
      </c>
      <c r="AA106" s="32" t="inlineStr">
        <is>
          <t>IF(E106="","",IF(COUNT(AG106:AT106)=0,IF(Y106="","Not started",Y106),SUBSTITUTE(LOOKUP(2,1/(AG106:AT106&lt;&gt;""),$AG$3:$AT$3),"Date: ","")))</t>
        </is>
      </c>
      <c r="AB106" s="38" t="inlineStr">
        <is>
          <t>IF(OR(E106="",COUNT(AG106:AT106)=0),"",TODAY()-LOOKUP(2,1/(AG106:AT106&lt;&gt;""),AG106:AT106))</t>
        </is>
      </c>
      <c r="AC106" s="38" t="inlineStr">
        <is>
          <t>IF(OR(E106="",COUNT(AG106:AT106)&lt;2),"",LOOKUP(2,1/(AG106:AT106&lt;&gt;""),AG106:AT106)-MIN(AG106:AT106))</t>
        </is>
      </c>
      <c r="AD106" s="38" t="inlineStr">
        <is>
          <t>IF(OR(AB106="",AA106="Not started",AA106=""),"",IFERROR(AB106-IF(VLOOKUP(AA106,'04_Status_Pipeline'!$B$3:$E$20,4,FALSE)="",0,VLOOKUP(AA106,'04_Status_Pipeline'!$B$3:$E$20,4,FALSE)),""))</t>
        </is>
      </c>
      <c r="AE106" s="32" t="inlineStr">
        <is>
          <t>IF(E106="","",IF(OR(Y106="Cancelled",AA106="Cancelled"),"Cancelled",IF(OR(AA106="Completed / Handover",W106&lt;&gt;"",X106&gt;=100),"Completed — on track",IF(L106="Remaining",IF(S106="",IF(V106="","No planned date",IF(TODAY()&gt;V106,"Behind — past planned date",IF(V106-TODAY()&lt;=30,"At risk — close to off track","On track"))),IF(TODAY()&gt;S106,"Behind — award date passed",IF(S106-TODAY()&lt;=30,"At risk — close to off track","On track"))),IF(V106="","No planned date",IF(AND(TODAY()&gt;V106,OR(X106="",X106&lt;100)),"Behind — past end date",IF(AND(R106&lt;&gt;"",V106&lt;&gt;"",X106&lt;&gt;"",(X106&lt;100),((TODAY()-R106)/MAX(V106-R106,1)*100)-X106&gt;15),"Behind — progress lag",IF(AND(V106-TODAY()&lt;=30,V106-TODAY()&gt;=0,OR(X106="",X106&lt;90)),"At risk — close to off track","On track"))))))))</t>
        </is>
      </c>
      <c r="AF106" s="38" t="inlineStr">
        <is>
          <t>IF(OR(E106="",AA106="Completed / Handover",AA106="Cancelled"),"",IF(L106="Remaining",IF(S106&lt;&gt;"",S106-TODAY(),IF(V106="","",V106-TODAY())),IF(V106="","",V106-TODAY())))</t>
        </is>
      </c>
      <c r="AG106" s="39" t="n"/>
      <c r="AH106" s="39" t="n"/>
      <c r="AI106" s="39" t="n"/>
      <c r="AJ106" s="39" t="n"/>
      <c r="AK106" s="39" t="n"/>
      <c r="AL106" s="39" t="n"/>
      <c r="AM106" s="39" t="n"/>
      <c r="AN106" s="39" t="n"/>
      <c r="AO106" s="39" t="n">
        <v>46303</v>
      </c>
      <c r="AP106" s="39" t="n">
        <v>46303</v>
      </c>
      <c r="AQ106" s="39" t="n">
        <v>46453</v>
      </c>
      <c r="AR106" s="40" t="n"/>
      <c r="AS106" s="40" t="n"/>
      <c r="AT106" s="40" t="n"/>
      <c r="AU106" s="38" t="inlineStr">
        <is>
          <t>IF(OR(E106="",AH106=""),"",IF(COUNT(AG106:AG106)=0,"",AH106-LOOKUP(2,1/(AG106:AG106&lt;&gt;""),AG106:AG106)))</t>
        </is>
      </c>
      <c r="AV106" s="38" t="inlineStr">
        <is>
          <t>IF(OR(E106="",AI106=""),"",IF(COUNT(AG106:AH106)=0,"",AI106-LOOKUP(2,1/(AG106:AH106&lt;&gt;""),AG106:AH106)))</t>
        </is>
      </c>
      <c r="AW106" s="38" t="inlineStr">
        <is>
          <t>IF(OR(E106="",AJ106=""),"",IF(COUNT(AG106:AI106)=0,"",AJ106-LOOKUP(2,1/(AG106:AI106&lt;&gt;""),AG106:AI106)))</t>
        </is>
      </c>
      <c r="AX106" s="38" t="inlineStr">
        <is>
          <t>IF(OR(E106="",AK106=""),"",IF(COUNT(AG106:AJ106)=0,"",AK106-LOOKUP(2,1/(AG106:AJ106&lt;&gt;""),AG106:AJ106)))</t>
        </is>
      </c>
      <c r="AY106" s="38" t="inlineStr">
        <is>
          <t>IF(OR(E106="",AL106=""),"",IF(COUNT(AG106:AK106)=0,"",AL106-LOOKUP(2,1/(AG106:AK106&lt;&gt;""),AG106:AK106)))</t>
        </is>
      </c>
      <c r="AZ106" s="38" t="inlineStr">
        <is>
          <t>IF(OR(E106="",AM106=""),"",IF(COUNT(AG106:AL106)=0,"",AM106-LOOKUP(2,1/(AG106:AL106&lt;&gt;""),AG106:AL106)))</t>
        </is>
      </c>
      <c r="BA106" s="38" t="inlineStr">
        <is>
          <t>IF(OR(E106="",AN106=""),"",IF(COUNT(AG106:AM106)=0,"",AN106-LOOKUP(2,1/(AG106:AM106&lt;&gt;""),AG106:AM106)))</t>
        </is>
      </c>
      <c r="BB106" s="38" t="inlineStr">
        <is>
          <t>IF(OR(E106="",AO106=""),"",IF(COUNT(AG106:AN106)=0,"",AO106-LOOKUP(2,1/(AG106:AN106&lt;&gt;""),AG106:AN106)))</t>
        </is>
      </c>
      <c r="BC106" s="38" t="inlineStr">
        <is>
          <t>IF(OR(E106="",AP106=""),"",IF(COUNT(AG106:AO106)=0,"",AP106-LOOKUP(2,1/(AG106:AO106&lt;&gt;""),AG106:AO106)))</t>
        </is>
      </c>
      <c r="BD106" s="38" t="inlineStr">
        <is>
          <t>IF(OR(E106="",AQ106=""),"",IF(COUNT(AG106:AP106)=0,"",AQ106-LOOKUP(2,1/(AG106:AP106&lt;&gt;""),AG106:AP106)))</t>
        </is>
      </c>
      <c r="BE106" s="38" t="inlineStr">
        <is>
          <t>IF(OR(E106="",AR106=""),"",IF(COUNT(AG106:AQ106)=0,"",AR106-LOOKUP(2,1/(AG106:AQ106&lt;&gt;""),AG106:AQ106)))</t>
        </is>
      </c>
      <c r="BF106" s="38" t="inlineStr">
        <is>
          <t>IF(OR(E106="",AS106=""),"",IF(COUNT(AG106:AR106)=0,"",AS106-LOOKUP(2,1/(AG106:AR106&lt;&gt;""),AG106:AR106)))</t>
        </is>
      </c>
      <c r="BG106" s="38" t="inlineStr">
        <is>
          <t>IF(OR(E106="",AT106=""),"",IF(COUNT(AG106:AS106)=0,"",AT106-LOOKUP(2,1/(AG106:AS106&lt;&gt;""),AG106:AS106)))</t>
        </is>
      </c>
      <c r="BH106" s="41" t="inlineStr">
        <is>
          <t>IF(G106="","All_Provinces",IFERROR(VLOOKUP(G106,'07_Lookups'!$A$4:$B$20,2,FALSE),"All_Provinces"))</t>
        </is>
      </c>
      <c r="BI106" s="41" t="inlineStr">
        <is>
          <t>IF(H106="","All_Districts",IFERROR(VLOOKUP(H106,'07_Lookups'!$E$4:$F$42,2,FALSE),"All_Districts"))</t>
        </is>
      </c>
    </row>
    <row r="107" ht="18" customHeight="1">
      <c r="A107" s="32" t="inlineStr">
        <is>
          <t>IF(E107="","",ROW()-3)</t>
        </is>
      </c>
      <c r="B107" s="42" t="inlineStr">
        <is>
          <t>AF2-WSM-A-038</t>
        </is>
      </c>
      <c r="C107" s="42" t="inlineStr">
        <is>
          <t>Emergency Food Security Project (EFSP) – WBK/AF-2</t>
        </is>
      </c>
      <c r="D107" s="42" t="inlineStr">
        <is>
          <t>Package #15-AF2 WSM: Construction of 3 Check dams of 1. Sangmom, 2. Shilan Korga, and 3.Khulbar in Nili, Ashtarlay, and Sang Takhta districts of Daykundi province.</t>
        </is>
      </c>
      <c r="E107" s="42" t="inlineStr">
        <is>
          <t>Shilan Korga Check dam</t>
        </is>
      </c>
      <c r="F107" s="42" t="inlineStr">
        <is>
          <t>Check Dam</t>
        </is>
      </c>
      <c r="G107" s="42" t="inlineStr">
        <is>
          <t>Central Highland / Bamyan</t>
        </is>
      </c>
      <c r="H107" s="42" t="inlineStr">
        <is>
          <t>Daykundi</t>
        </is>
      </c>
      <c r="I107" s="42" t="inlineStr">
        <is>
          <t>Ashtarlay</t>
        </is>
      </c>
      <c r="J107" s="42" t="inlineStr">
        <is>
          <t>Korga-e Shelan, Naiak-e Shelan</t>
        </is>
      </c>
      <c r="K107" s="42" t="inlineStr">
        <is>
          <t>World Bank (WBK/AF-2)</t>
        </is>
      </c>
      <c r="L107" s="42" t="inlineStr">
        <is>
          <t>Awarded</t>
        </is>
      </c>
      <c r="M107" s="42" t="inlineStr">
        <is>
          <t>Watershed / Check dam</t>
        </is>
      </c>
      <c r="N107" s="42" t="inlineStr">
        <is>
          <t>3.WSM awarded contracts</t>
        </is>
      </c>
      <c r="O107" s="42" t="inlineStr">
        <is>
          <t>Bahartamadun Construction Company (BCC)</t>
        </is>
      </c>
      <c r="P107" s="42" t="inlineStr">
        <is>
          <t>065/2026</t>
        </is>
      </c>
      <c r="Q107" s="43" t="n"/>
      <c r="R107" s="35" t="inlineStr">
        <is>
          <t>IF(AO107="","",AO107)</t>
        </is>
      </c>
      <c r="S107" s="44" t="n"/>
      <c r="T107" s="45" t="n">
        <v>4.9</v>
      </c>
      <c r="U107" s="44" t="n">
        <v>46453</v>
      </c>
      <c r="V107" s="35" t="inlineStr">
        <is>
          <t>IF(U107&lt;&gt;"",U107,IF(OR(R107="",T107=""),"",EDATE(R107,T107)))</t>
        </is>
      </c>
      <c r="W107" s="44" t="n"/>
      <c r="X107" s="45" t="n"/>
      <c r="Y107" s="42" t="inlineStr">
        <is>
          <t>Completed / Handover</t>
        </is>
      </c>
      <c r="Z107" s="42" t="inlineStr">
        <is>
          <t>Completed on Sep, 2026</t>
        </is>
      </c>
      <c r="AA107" s="32" t="inlineStr">
        <is>
          <t>IF(E107="","",IF(COUNT(AG107:AT107)=0,IF(Y107="","Not started",Y107),SUBSTITUTE(LOOKUP(2,1/(AG107:AT107&lt;&gt;""),$AG$3:$AT$3),"Date: ","")))</t>
        </is>
      </c>
      <c r="AB107" s="38" t="inlineStr">
        <is>
          <t>IF(OR(E107="",COUNT(AG107:AT107)=0),"",TODAY()-LOOKUP(2,1/(AG107:AT107&lt;&gt;""),AG107:AT107))</t>
        </is>
      </c>
      <c r="AC107" s="38" t="inlineStr">
        <is>
          <t>IF(OR(E107="",COUNT(AG107:AT107)&lt;2),"",LOOKUP(2,1/(AG107:AT107&lt;&gt;""),AG107:AT107)-MIN(AG107:AT107))</t>
        </is>
      </c>
      <c r="AD107" s="38" t="inlineStr">
        <is>
          <t>IF(OR(AB107="",AA107="Not started",AA107=""),"",IFERROR(AB107-IF(VLOOKUP(AA107,'04_Status_Pipeline'!$B$3:$E$20,4,FALSE)="",0,VLOOKUP(AA107,'04_Status_Pipeline'!$B$3:$E$20,4,FALSE)),""))</t>
        </is>
      </c>
      <c r="AE107" s="32" t="inlineStr">
        <is>
          <t>IF(E107="","",IF(OR(Y107="Cancelled",AA107="Cancelled"),"Cancelled",IF(OR(AA107="Completed / Handover",W107&lt;&gt;"",X107&gt;=100),"Completed — on track",IF(L107="Remaining",IF(S107="",IF(V107="","No planned date",IF(TODAY()&gt;V107,"Behind — past planned date",IF(V107-TODAY()&lt;=30,"At risk — close to off track","On track"))),IF(TODAY()&gt;S107,"Behind — award date passed",IF(S107-TODAY()&lt;=30,"At risk — close to off track","On track"))),IF(V107="","No planned date",IF(AND(TODAY()&gt;V107,OR(X107="",X107&lt;100)),"Behind — past end date",IF(AND(R107&lt;&gt;"",V107&lt;&gt;"",X107&lt;&gt;"",(X107&lt;100),((TODAY()-R107)/MAX(V107-R107,1)*100)-X107&gt;15),"Behind — progress lag",IF(AND(V107-TODAY()&lt;=30,V107-TODAY()&gt;=0,OR(X107="",X107&lt;90)),"At risk — close to off track","On track"))))))))</t>
        </is>
      </c>
      <c r="AF107" s="38" t="inlineStr">
        <is>
          <t>IF(OR(E107="",AA107="Completed / Handover",AA107="Cancelled"),"",IF(L107="Remaining",IF(S107&lt;&gt;"",S107-TODAY(),IF(V107="","",V107-TODAY())),IF(V107="","",V107-TODAY())))</t>
        </is>
      </c>
      <c r="AG107" s="39" t="n"/>
      <c r="AH107" s="39" t="n"/>
      <c r="AI107" s="39" t="n"/>
      <c r="AJ107" s="39" t="n"/>
      <c r="AK107" s="39" t="n"/>
      <c r="AL107" s="39" t="n"/>
      <c r="AM107" s="39" t="n"/>
      <c r="AN107" s="39" t="n"/>
      <c r="AO107" s="39" t="n">
        <v>46303</v>
      </c>
      <c r="AP107" s="39" t="n">
        <v>46303</v>
      </c>
      <c r="AQ107" s="39" t="n">
        <v>46453</v>
      </c>
      <c r="AR107" s="40" t="n"/>
      <c r="AS107" s="40" t="n"/>
      <c r="AT107" s="40" t="n"/>
      <c r="AU107" s="38" t="inlineStr">
        <is>
          <t>IF(OR(E107="",AH107=""),"",IF(COUNT(AG107:AG107)=0,"",AH107-LOOKUP(2,1/(AG107:AG107&lt;&gt;""),AG107:AG107)))</t>
        </is>
      </c>
      <c r="AV107" s="38" t="inlineStr">
        <is>
          <t>IF(OR(E107="",AI107=""),"",IF(COUNT(AG107:AH107)=0,"",AI107-LOOKUP(2,1/(AG107:AH107&lt;&gt;""),AG107:AH107)))</t>
        </is>
      </c>
      <c r="AW107" s="38" t="inlineStr">
        <is>
          <t>IF(OR(E107="",AJ107=""),"",IF(COUNT(AG107:AI107)=0,"",AJ107-LOOKUP(2,1/(AG107:AI107&lt;&gt;""),AG107:AI107)))</t>
        </is>
      </c>
      <c r="AX107" s="38" t="inlineStr">
        <is>
          <t>IF(OR(E107="",AK107=""),"",IF(COUNT(AG107:AJ107)=0,"",AK107-LOOKUP(2,1/(AG107:AJ107&lt;&gt;""),AG107:AJ107)))</t>
        </is>
      </c>
      <c r="AY107" s="38" t="inlineStr">
        <is>
          <t>IF(OR(E107="",AL107=""),"",IF(COUNT(AG107:AK107)=0,"",AL107-LOOKUP(2,1/(AG107:AK107&lt;&gt;""),AG107:AK107)))</t>
        </is>
      </c>
      <c r="AZ107" s="38" t="inlineStr">
        <is>
          <t>IF(OR(E107="",AM107=""),"",IF(COUNT(AG107:AL107)=0,"",AM107-LOOKUP(2,1/(AG107:AL107&lt;&gt;""),AG107:AL107)))</t>
        </is>
      </c>
      <c r="BA107" s="38" t="inlineStr">
        <is>
          <t>IF(OR(E107="",AN107=""),"",IF(COUNT(AG107:AM107)=0,"",AN107-LOOKUP(2,1/(AG107:AM107&lt;&gt;""),AG107:AM107)))</t>
        </is>
      </c>
      <c r="BB107" s="38" t="inlineStr">
        <is>
          <t>IF(OR(E107="",AO107=""),"",IF(COUNT(AG107:AN107)=0,"",AO107-LOOKUP(2,1/(AG107:AN107&lt;&gt;""),AG107:AN107)))</t>
        </is>
      </c>
      <c r="BC107" s="38" t="inlineStr">
        <is>
          <t>IF(OR(E107="",AP107=""),"",IF(COUNT(AG107:AO107)=0,"",AP107-LOOKUP(2,1/(AG107:AO107&lt;&gt;""),AG107:AO107)))</t>
        </is>
      </c>
      <c r="BD107" s="38" t="inlineStr">
        <is>
          <t>IF(OR(E107="",AQ107=""),"",IF(COUNT(AG107:AP107)=0,"",AQ107-LOOKUP(2,1/(AG107:AP107&lt;&gt;""),AG107:AP107)))</t>
        </is>
      </c>
      <c r="BE107" s="38" t="inlineStr">
        <is>
          <t>IF(OR(E107="",AR107=""),"",IF(COUNT(AG107:AQ107)=0,"",AR107-LOOKUP(2,1/(AG107:AQ107&lt;&gt;""),AG107:AQ107)))</t>
        </is>
      </c>
      <c r="BF107" s="38" t="inlineStr">
        <is>
          <t>IF(OR(E107="",AS107=""),"",IF(COUNT(AG107:AR107)=0,"",AS107-LOOKUP(2,1/(AG107:AR107&lt;&gt;""),AG107:AR107)))</t>
        </is>
      </c>
      <c r="BG107" s="38" t="inlineStr">
        <is>
          <t>IF(OR(E107="",AT107=""),"",IF(COUNT(AG107:AS107)=0,"",AT107-LOOKUP(2,1/(AG107:AS107&lt;&gt;""),AG107:AS107)))</t>
        </is>
      </c>
      <c r="BH107" s="41" t="inlineStr">
        <is>
          <t>IF(G107="","All_Provinces",IFERROR(VLOOKUP(G107,'07_Lookups'!$A$4:$B$20,2,FALSE),"All_Provinces"))</t>
        </is>
      </c>
      <c r="BI107" s="41" t="inlineStr">
        <is>
          <t>IF(H107="","All_Districts",IFERROR(VLOOKUP(H107,'07_Lookups'!$E$4:$F$42,2,FALSE),"All_Districts"))</t>
        </is>
      </c>
    </row>
    <row r="108" ht="18" customHeight="1">
      <c r="A108" s="32" t="inlineStr">
        <is>
          <t>IF(E108="","",ROW()-3)</t>
        </is>
      </c>
      <c r="B108" s="33" t="inlineStr">
        <is>
          <t>AF2-WSM-A-039</t>
        </is>
      </c>
      <c r="C108" s="33" t="inlineStr">
        <is>
          <t>Emergency Food Security Project (EFSP) – WBK/AF-2</t>
        </is>
      </c>
      <c r="D108" s="33" t="inlineStr">
        <is>
          <t>Package #15-AF2 WSM: Construction of 3 Check dams of 1. Sangmom, 2. Shilan Korga, and 3.Khulbar in Nili, Ashtarlay, and Sang Takhta districts of Daykundi province.</t>
        </is>
      </c>
      <c r="E108" s="33" t="inlineStr">
        <is>
          <t>Khulbarg Check dam</t>
        </is>
      </c>
      <c r="F108" s="33" t="inlineStr">
        <is>
          <t>Check Dam</t>
        </is>
      </c>
      <c r="G108" s="33" t="inlineStr">
        <is>
          <t>Central Highland / Bamyan</t>
        </is>
      </c>
      <c r="H108" s="33" t="inlineStr">
        <is>
          <t>Daykundi</t>
        </is>
      </c>
      <c r="I108" s="33" t="inlineStr">
        <is>
          <t>Sang Takht wa Bandar</t>
        </is>
      </c>
      <c r="J108" s="33" t="inlineStr">
        <is>
          <t>Shamshir Sang, Dughur Ulya &amp; Sufla</t>
        </is>
      </c>
      <c r="K108" s="33" t="inlineStr">
        <is>
          <t>World Bank (WBK/AF-2)</t>
        </is>
      </c>
      <c r="L108" s="33" t="inlineStr">
        <is>
          <t>Awarded</t>
        </is>
      </c>
      <c r="M108" s="33" t="inlineStr">
        <is>
          <t>Watershed / Check dam</t>
        </is>
      </c>
      <c r="N108" s="33" t="inlineStr">
        <is>
          <t>3.WSM awarded contracts</t>
        </is>
      </c>
      <c r="O108" s="33" t="inlineStr">
        <is>
          <t>Bahartamadun Construction Company (BCC)</t>
        </is>
      </c>
      <c r="P108" s="33" t="inlineStr">
        <is>
          <t>065/2026</t>
        </is>
      </c>
      <c r="Q108" s="34" t="n"/>
      <c r="R108" s="35" t="inlineStr">
        <is>
          <t>IF(AO108="","",AO108)</t>
        </is>
      </c>
      <c r="S108" s="36" t="n"/>
      <c r="T108" s="37" t="n">
        <v>4.9</v>
      </c>
      <c r="U108" s="36" t="n">
        <v>46453</v>
      </c>
      <c r="V108" s="35" t="inlineStr">
        <is>
          <t>IF(U108&lt;&gt;"",U108,IF(OR(R108="",T108=""),"",EDATE(R108,T108)))</t>
        </is>
      </c>
      <c r="W108" s="36" t="n"/>
      <c r="X108" s="37" t="n"/>
      <c r="Y108" s="33" t="inlineStr">
        <is>
          <t>Completed / Handover</t>
        </is>
      </c>
      <c r="Z108" s="33" t="inlineStr">
        <is>
          <t>Completed on Sep, 2026</t>
        </is>
      </c>
      <c r="AA108" s="32" t="inlineStr">
        <is>
          <t>IF(E108="","",IF(COUNT(AG108:AT108)=0,IF(Y108="","Not started",Y108),SUBSTITUTE(LOOKUP(2,1/(AG108:AT108&lt;&gt;""),$AG$3:$AT$3),"Date: ","")))</t>
        </is>
      </c>
      <c r="AB108" s="38" t="inlineStr">
        <is>
          <t>IF(OR(E108="",COUNT(AG108:AT108)=0),"",TODAY()-LOOKUP(2,1/(AG108:AT108&lt;&gt;""),AG108:AT108))</t>
        </is>
      </c>
      <c r="AC108" s="38" t="inlineStr">
        <is>
          <t>IF(OR(E108="",COUNT(AG108:AT108)&lt;2),"",LOOKUP(2,1/(AG108:AT108&lt;&gt;""),AG108:AT108)-MIN(AG108:AT108))</t>
        </is>
      </c>
      <c r="AD108" s="38" t="inlineStr">
        <is>
          <t>IF(OR(AB108="",AA108="Not started",AA108=""),"",IFERROR(AB108-IF(VLOOKUP(AA108,'04_Status_Pipeline'!$B$3:$E$20,4,FALSE)="",0,VLOOKUP(AA108,'04_Status_Pipeline'!$B$3:$E$20,4,FALSE)),""))</t>
        </is>
      </c>
      <c r="AE108" s="32" t="inlineStr">
        <is>
          <t>IF(E108="","",IF(OR(Y108="Cancelled",AA108="Cancelled"),"Cancelled",IF(OR(AA108="Completed / Handover",W108&lt;&gt;"",X108&gt;=100),"Completed — on track",IF(L108="Remaining",IF(S108="",IF(V108="","No planned date",IF(TODAY()&gt;V108,"Behind — past planned date",IF(V108-TODAY()&lt;=30,"At risk — close to off track","On track"))),IF(TODAY()&gt;S108,"Behind — award date passed",IF(S108-TODAY()&lt;=30,"At risk — close to off track","On track"))),IF(V108="","No planned date",IF(AND(TODAY()&gt;V108,OR(X108="",X108&lt;100)),"Behind — past end date",IF(AND(R108&lt;&gt;"",V108&lt;&gt;"",X108&lt;&gt;"",(X108&lt;100),((TODAY()-R108)/MAX(V108-R108,1)*100)-X108&gt;15),"Behind — progress lag",IF(AND(V108-TODAY()&lt;=30,V108-TODAY()&gt;=0,OR(X108="",X108&lt;90)),"At risk — close to off track","On track"))))))))</t>
        </is>
      </c>
      <c r="AF108" s="38" t="inlineStr">
        <is>
          <t>IF(OR(E108="",AA108="Completed / Handover",AA108="Cancelled"),"",IF(L108="Remaining",IF(S108&lt;&gt;"",S108-TODAY(),IF(V108="","",V108-TODAY())),IF(V108="","",V108-TODAY())))</t>
        </is>
      </c>
      <c r="AG108" s="39" t="n"/>
      <c r="AH108" s="39" t="n"/>
      <c r="AI108" s="39" t="n"/>
      <c r="AJ108" s="39" t="n"/>
      <c r="AK108" s="39" t="n"/>
      <c r="AL108" s="39" t="n"/>
      <c r="AM108" s="39" t="n"/>
      <c r="AN108" s="39" t="n"/>
      <c r="AO108" s="39" t="n">
        <v>46303</v>
      </c>
      <c r="AP108" s="39" t="n">
        <v>46303</v>
      </c>
      <c r="AQ108" s="39" t="n">
        <v>46453</v>
      </c>
      <c r="AR108" s="40" t="n"/>
      <c r="AS108" s="40" t="n"/>
      <c r="AT108" s="40" t="n"/>
      <c r="AU108" s="38" t="inlineStr">
        <is>
          <t>IF(OR(E108="",AH108=""),"",IF(COUNT(AG108:AG108)=0,"",AH108-LOOKUP(2,1/(AG108:AG108&lt;&gt;""),AG108:AG108)))</t>
        </is>
      </c>
      <c r="AV108" s="38" t="inlineStr">
        <is>
          <t>IF(OR(E108="",AI108=""),"",IF(COUNT(AG108:AH108)=0,"",AI108-LOOKUP(2,1/(AG108:AH108&lt;&gt;""),AG108:AH108)))</t>
        </is>
      </c>
      <c r="AW108" s="38" t="inlineStr">
        <is>
          <t>IF(OR(E108="",AJ108=""),"",IF(COUNT(AG108:AI108)=0,"",AJ108-LOOKUP(2,1/(AG108:AI108&lt;&gt;""),AG108:AI108)))</t>
        </is>
      </c>
      <c r="AX108" s="38" t="inlineStr">
        <is>
          <t>IF(OR(E108="",AK108=""),"",IF(COUNT(AG108:AJ108)=0,"",AK108-LOOKUP(2,1/(AG108:AJ108&lt;&gt;""),AG108:AJ108)))</t>
        </is>
      </c>
      <c r="AY108" s="38" t="inlineStr">
        <is>
          <t>IF(OR(E108="",AL108=""),"",IF(COUNT(AG108:AK108)=0,"",AL108-LOOKUP(2,1/(AG108:AK108&lt;&gt;""),AG108:AK108)))</t>
        </is>
      </c>
      <c r="AZ108" s="38" t="inlineStr">
        <is>
          <t>IF(OR(E108="",AM108=""),"",IF(COUNT(AG108:AL108)=0,"",AM108-LOOKUP(2,1/(AG108:AL108&lt;&gt;""),AG108:AL108)))</t>
        </is>
      </c>
      <c r="BA108" s="38" t="inlineStr">
        <is>
          <t>IF(OR(E108="",AN108=""),"",IF(COUNT(AG108:AM108)=0,"",AN108-LOOKUP(2,1/(AG108:AM108&lt;&gt;""),AG108:AM108)))</t>
        </is>
      </c>
      <c r="BB108" s="38" t="inlineStr">
        <is>
          <t>IF(OR(E108="",AO108=""),"",IF(COUNT(AG108:AN108)=0,"",AO108-LOOKUP(2,1/(AG108:AN108&lt;&gt;""),AG108:AN108)))</t>
        </is>
      </c>
      <c r="BC108" s="38" t="inlineStr">
        <is>
          <t>IF(OR(E108="",AP108=""),"",IF(COUNT(AG108:AO108)=0,"",AP108-LOOKUP(2,1/(AG108:AO108&lt;&gt;""),AG108:AO108)))</t>
        </is>
      </c>
      <c r="BD108" s="38" t="inlineStr">
        <is>
          <t>IF(OR(E108="",AQ108=""),"",IF(COUNT(AG108:AP108)=0,"",AQ108-LOOKUP(2,1/(AG108:AP108&lt;&gt;""),AG108:AP108)))</t>
        </is>
      </c>
      <c r="BE108" s="38" t="inlineStr">
        <is>
          <t>IF(OR(E108="",AR108=""),"",IF(COUNT(AG108:AQ108)=0,"",AR108-LOOKUP(2,1/(AG108:AQ108&lt;&gt;""),AG108:AQ108)))</t>
        </is>
      </c>
      <c r="BF108" s="38" t="inlineStr">
        <is>
          <t>IF(OR(E108="",AS108=""),"",IF(COUNT(AG108:AR108)=0,"",AS108-LOOKUP(2,1/(AG108:AR108&lt;&gt;""),AG108:AR108)))</t>
        </is>
      </c>
      <c r="BG108" s="38" t="inlineStr">
        <is>
          <t>IF(OR(E108="",AT108=""),"",IF(COUNT(AG108:AS108)=0,"",AT108-LOOKUP(2,1/(AG108:AS108&lt;&gt;""),AG108:AS108)))</t>
        </is>
      </c>
      <c r="BH108" s="41" t="inlineStr">
        <is>
          <t>IF(G108="","All_Provinces",IFERROR(VLOOKUP(G108,'07_Lookups'!$A$4:$B$20,2,FALSE),"All_Provinces"))</t>
        </is>
      </c>
      <c r="BI108" s="41" t="inlineStr">
        <is>
          <t>IF(H108="","All_Districts",IFERROR(VLOOKUP(H108,'07_Lookups'!$E$4:$F$42,2,FALSE),"All_Districts"))</t>
        </is>
      </c>
    </row>
    <row r="109" ht="18" customHeight="1">
      <c r="A109" s="32" t="inlineStr">
        <is>
          <t>IF(E109="","",ROW()-3)</t>
        </is>
      </c>
      <c r="B109" s="42" t="inlineStr">
        <is>
          <t>AF2-WSM-A-040</t>
        </is>
      </c>
      <c r="C109" s="42" t="inlineStr">
        <is>
          <t>Emergency Food Security Project (EFSP) – WBK/AF-2</t>
        </is>
      </c>
      <c r="D109" s="42" t="inlineStr">
        <is>
          <t>Package #16-AF2 WSM: Construction of Panami Check dams, located in Mohammad Agha district of Logar province.</t>
        </is>
      </c>
      <c r="E109" s="42" t="inlineStr">
        <is>
          <t>Panami Check dam</t>
        </is>
      </c>
      <c r="F109" s="42" t="inlineStr">
        <is>
          <t>Check Dam</t>
        </is>
      </c>
      <c r="G109" s="42" t="inlineStr">
        <is>
          <t>Southeast / Gardez</t>
        </is>
      </c>
      <c r="H109" s="42" t="inlineStr">
        <is>
          <t>Logar</t>
        </is>
      </c>
      <c r="I109" s="42" t="inlineStr">
        <is>
          <t>M.Agha</t>
        </is>
      </c>
      <c r="J109" s="42" t="inlineStr">
        <is>
          <t>Ab Bazak (Panami)</t>
        </is>
      </c>
      <c r="K109" s="42" t="inlineStr">
        <is>
          <t>World Bank (WBK/AF-2)</t>
        </is>
      </c>
      <c r="L109" s="42" t="inlineStr">
        <is>
          <t>Awarded</t>
        </is>
      </c>
      <c r="M109" s="42" t="inlineStr">
        <is>
          <t>Watershed / Check dam</t>
        </is>
      </c>
      <c r="N109" s="42" t="inlineStr">
        <is>
          <t>3.WSM awarded contracts</t>
        </is>
      </c>
      <c r="O109" s="42" t="inlineStr">
        <is>
          <t>Sayed Shirazi Construction and Road Building Company (SCRC)</t>
        </is>
      </c>
      <c r="P109" s="42" t="inlineStr">
        <is>
          <t>030/2026</t>
        </is>
      </c>
      <c r="Q109" s="43" t="n">
        <v>109583.21</v>
      </c>
      <c r="R109" s="35" t="inlineStr">
        <is>
          <t>IF(AO109="","",AO109)</t>
        </is>
      </c>
      <c r="S109" s="44" t="n"/>
      <c r="T109" s="45" t="n">
        <v>7</v>
      </c>
      <c r="U109" s="44" t="n">
        <v>46343</v>
      </c>
      <c r="V109" s="35" t="inlineStr">
        <is>
          <t>IF(U109&lt;&gt;"",U109,IF(OR(R109="",T109=""),"",EDATE(R109,T109)))</t>
        </is>
      </c>
      <c r="W109" s="44" t="n"/>
      <c r="X109" s="45" t="n">
        <v>64</v>
      </c>
      <c r="Y109" s="42" t="inlineStr">
        <is>
          <t>Completed / Handover</t>
        </is>
      </c>
      <c r="Z109" s="42" t="inlineStr">
        <is>
          <t>Completed on Sep, 2026</t>
        </is>
      </c>
      <c r="AA109" s="32" t="inlineStr">
        <is>
          <t>IF(E109="","",IF(COUNT(AG109:AT109)=0,IF(Y109="","Not started",Y109),SUBSTITUTE(LOOKUP(2,1/(AG109:AT109&lt;&gt;""),$AG$3:$AT$3),"Date: ","")))</t>
        </is>
      </c>
      <c r="AB109" s="38" t="inlineStr">
        <is>
          <t>IF(OR(E109="",COUNT(AG109:AT109)=0),"",TODAY()-LOOKUP(2,1/(AG109:AT109&lt;&gt;""),AG109:AT109))</t>
        </is>
      </c>
      <c r="AC109" s="38" t="inlineStr">
        <is>
          <t>IF(OR(E109="",COUNT(AG109:AT109)&lt;2),"",LOOKUP(2,1/(AG109:AT109&lt;&gt;""),AG109:AT109)-MIN(AG109:AT109))</t>
        </is>
      </c>
      <c r="AD109" s="38" t="inlineStr">
        <is>
          <t>IF(OR(AB109="",AA109="Not started",AA109=""),"",IFERROR(AB109-IF(VLOOKUP(AA109,'04_Status_Pipeline'!$B$3:$E$20,4,FALSE)="",0,VLOOKUP(AA109,'04_Status_Pipeline'!$B$3:$E$20,4,FALSE)),""))</t>
        </is>
      </c>
      <c r="AE109" s="32" t="inlineStr">
        <is>
          <t>IF(E109="","",IF(OR(Y109="Cancelled",AA109="Cancelled"),"Cancelled",IF(OR(AA109="Completed / Handover",W109&lt;&gt;"",X109&gt;=100),"Completed — on track",IF(L109="Remaining",IF(S109="",IF(V109="","No planned date",IF(TODAY()&gt;V109,"Behind — past planned date",IF(V109-TODAY()&lt;=30,"At risk — close to off track","On track"))),IF(TODAY()&gt;S109,"Behind — award date passed",IF(S109-TODAY()&lt;=30,"At risk — close to off track","On track"))),IF(V109="","No planned date",IF(AND(TODAY()&gt;V109,OR(X109="",X109&lt;100)),"Behind — past end date",IF(AND(R109&lt;&gt;"",V109&lt;&gt;"",X109&lt;&gt;"",(X109&lt;100),((TODAY()-R109)/MAX(V109-R109,1)*100)-X109&gt;15),"Behind — progress lag",IF(AND(V109-TODAY()&lt;=30,V109-TODAY()&gt;=0,OR(X109="",X109&lt;90)),"At risk — close to off track","On track"))))))))</t>
        </is>
      </c>
      <c r="AF109" s="38" t="inlineStr">
        <is>
          <t>IF(OR(E109="",AA109="Completed / Handover",AA109="Cancelled"),"",IF(L109="Remaining",IF(S109&lt;&gt;"",S109-TODAY(),IF(V109="","",V109-TODAY())),IF(V109="","",V109-TODAY())))</t>
        </is>
      </c>
      <c r="AG109" s="39" t="n"/>
      <c r="AH109" s="39" t="n"/>
      <c r="AI109" s="39" t="n"/>
      <c r="AJ109" s="39" t="n"/>
      <c r="AK109" s="39" t="n"/>
      <c r="AL109" s="39" t="n"/>
      <c r="AM109" s="39" t="n"/>
      <c r="AN109" s="39" t="n"/>
      <c r="AO109" s="39" t="n">
        <v>46130</v>
      </c>
      <c r="AP109" s="39" t="n">
        <v>46130</v>
      </c>
      <c r="AQ109" s="39" t="n">
        <v>46343</v>
      </c>
      <c r="AR109" s="40" t="n"/>
      <c r="AS109" s="40" t="n"/>
      <c r="AT109" s="40" t="n"/>
      <c r="AU109" s="38" t="inlineStr">
        <is>
          <t>IF(OR(E109="",AH109=""),"",IF(COUNT(AG109:AG109)=0,"",AH109-LOOKUP(2,1/(AG109:AG109&lt;&gt;""),AG109:AG109)))</t>
        </is>
      </c>
      <c r="AV109" s="38" t="inlineStr">
        <is>
          <t>IF(OR(E109="",AI109=""),"",IF(COUNT(AG109:AH109)=0,"",AI109-LOOKUP(2,1/(AG109:AH109&lt;&gt;""),AG109:AH109)))</t>
        </is>
      </c>
      <c r="AW109" s="38" t="inlineStr">
        <is>
          <t>IF(OR(E109="",AJ109=""),"",IF(COUNT(AG109:AI109)=0,"",AJ109-LOOKUP(2,1/(AG109:AI109&lt;&gt;""),AG109:AI109)))</t>
        </is>
      </c>
      <c r="AX109" s="38" t="inlineStr">
        <is>
          <t>IF(OR(E109="",AK109=""),"",IF(COUNT(AG109:AJ109)=0,"",AK109-LOOKUP(2,1/(AG109:AJ109&lt;&gt;""),AG109:AJ109)))</t>
        </is>
      </c>
      <c r="AY109" s="38" t="inlineStr">
        <is>
          <t>IF(OR(E109="",AL109=""),"",IF(COUNT(AG109:AK109)=0,"",AL109-LOOKUP(2,1/(AG109:AK109&lt;&gt;""),AG109:AK109)))</t>
        </is>
      </c>
      <c r="AZ109" s="38" t="inlineStr">
        <is>
          <t>IF(OR(E109="",AM109=""),"",IF(COUNT(AG109:AL109)=0,"",AM109-LOOKUP(2,1/(AG109:AL109&lt;&gt;""),AG109:AL109)))</t>
        </is>
      </c>
      <c r="BA109" s="38" t="inlineStr">
        <is>
          <t>IF(OR(E109="",AN109=""),"",IF(COUNT(AG109:AM109)=0,"",AN109-LOOKUP(2,1/(AG109:AM109&lt;&gt;""),AG109:AM109)))</t>
        </is>
      </c>
      <c r="BB109" s="38" t="inlineStr">
        <is>
          <t>IF(OR(E109="",AO109=""),"",IF(COUNT(AG109:AN109)=0,"",AO109-LOOKUP(2,1/(AG109:AN109&lt;&gt;""),AG109:AN109)))</t>
        </is>
      </c>
      <c r="BC109" s="38" t="inlineStr">
        <is>
          <t>IF(OR(E109="",AP109=""),"",IF(COUNT(AG109:AO109)=0,"",AP109-LOOKUP(2,1/(AG109:AO109&lt;&gt;""),AG109:AO109)))</t>
        </is>
      </c>
      <c r="BD109" s="38" t="inlineStr">
        <is>
          <t>IF(OR(E109="",AQ109=""),"",IF(COUNT(AG109:AP109)=0,"",AQ109-LOOKUP(2,1/(AG109:AP109&lt;&gt;""),AG109:AP109)))</t>
        </is>
      </c>
      <c r="BE109" s="38" t="inlineStr">
        <is>
          <t>IF(OR(E109="",AR109=""),"",IF(COUNT(AG109:AQ109)=0,"",AR109-LOOKUP(2,1/(AG109:AQ109&lt;&gt;""),AG109:AQ109)))</t>
        </is>
      </c>
      <c r="BF109" s="38" t="inlineStr">
        <is>
          <t>IF(OR(E109="",AS109=""),"",IF(COUNT(AG109:AR109)=0,"",AS109-LOOKUP(2,1/(AG109:AR109&lt;&gt;""),AG109:AR109)))</t>
        </is>
      </c>
      <c r="BG109" s="38" t="inlineStr">
        <is>
          <t>IF(OR(E109="",AT109=""),"",IF(COUNT(AG109:AS109)=0,"",AT109-LOOKUP(2,1/(AG109:AS109&lt;&gt;""),AG109:AS109)))</t>
        </is>
      </c>
      <c r="BH109" s="41" t="inlineStr">
        <is>
          <t>IF(G109="","All_Provinces",IFERROR(VLOOKUP(G109,'07_Lookups'!$A$4:$B$20,2,FALSE),"All_Provinces"))</t>
        </is>
      </c>
      <c r="BI109" s="41" t="inlineStr">
        <is>
          <t>IF(H109="","All_Districts",IFERROR(VLOOKUP(H109,'07_Lookups'!$E$4:$F$42,2,FALSE),"All_Districts"))</t>
        </is>
      </c>
    </row>
    <row r="110" ht="18" customHeight="1">
      <c r="A110" s="32" t="inlineStr">
        <is>
          <t>IF(E110="","",ROW()-3)</t>
        </is>
      </c>
      <c r="B110" s="33" t="inlineStr">
        <is>
          <t>AF2-WSM-A-041</t>
        </is>
      </c>
      <c r="C110" s="33" t="inlineStr">
        <is>
          <t>Emergency Food Security Project (EFSP) – WBK/AF-2</t>
        </is>
      </c>
      <c r="D110" s="33" t="inlineStr">
        <is>
          <t>Package #18-AF2 WSM: Construction of Muqarab Check dams, located in Gelan districts of Ghazni province.</t>
        </is>
      </c>
      <c r="E110" s="33" t="inlineStr">
        <is>
          <t>Muqarab Check dam</t>
        </is>
      </c>
      <c r="F110" s="33" t="inlineStr">
        <is>
          <t>Check Dam</t>
        </is>
      </c>
      <c r="G110" s="33" t="inlineStr">
        <is>
          <t>Southeast / Gardez</t>
        </is>
      </c>
      <c r="H110" s="33" t="inlineStr">
        <is>
          <t>Ghazni</t>
        </is>
      </c>
      <c r="I110" s="33" t="inlineStr">
        <is>
          <t>Gelan</t>
        </is>
      </c>
      <c r="J110" s="33" t="inlineStr">
        <is>
          <t>Muqarab</t>
        </is>
      </c>
      <c r="K110" s="33" t="inlineStr">
        <is>
          <t>World Bank (WBK/AF-2)</t>
        </is>
      </c>
      <c r="L110" s="33" t="inlineStr">
        <is>
          <t>Awarded</t>
        </is>
      </c>
      <c r="M110" s="33" t="inlineStr">
        <is>
          <t>Watershed / Check dam</t>
        </is>
      </c>
      <c r="N110" s="33" t="inlineStr">
        <is>
          <t>3.WSM awarded contracts</t>
        </is>
      </c>
      <c r="O110" s="33" t="inlineStr">
        <is>
          <t>Hemat safi construction company (HSCC)</t>
        </is>
      </c>
      <c r="P110" s="33" t="inlineStr">
        <is>
          <t>047/2026</t>
        </is>
      </c>
      <c r="Q110" s="34" t="n">
        <v>79567.97</v>
      </c>
      <c r="R110" s="35" t="inlineStr">
        <is>
          <t>IF(AO110="","",AO110)</t>
        </is>
      </c>
      <c r="S110" s="36" t="n"/>
      <c r="T110" s="37" t="n">
        <v>6</v>
      </c>
      <c r="U110" s="36" t="n">
        <v>46409</v>
      </c>
      <c r="V110" s="35" t="inlineStr">
        <is>
          <t>IF(U110&lt;&gt;"",U110,IF(OR(R110="",T110=""),"",EDATE(R110,T110)))</t>
        </is>
      </c>
      <c r="W110" s="36" t="n"/>
      <c r="X110" s="37" t="n">
        <v>36</v>
      </c>
      <c r="Y110" s="33" t="inlineStr">
        <is>
          <t>Completed / Handover</t>
        </is>
      </c>
      <c r="Z110" s="33" t="inlineStr">
        <is>
          <t>Completed on Sep, 2026</t>
        </is>
      </c>
      <c r="AA110" s="32" t="inlineStr">
        <is>
          <t>IF(E110="","",IF(COUNT(AG110:AT110)=0,IF(Y110="","Not started",Y110),SUBSTITUTE(LOOKUP(2,1/(AG110:AT110&lt;&gt;""),$AG$3:$AT$3),"Date: ","")))</t>
        </is>
      </c>
      <c r="AB110" s="38" t="inlineStr">
        <is>
          <t>IF(OR(E110="",COUNT(AG110:AT110)=0),"",TODAY()-LOOKUP(2,1/(AG110:AT110&lt;&gt;""),AG110:AT110))</t>
        </is>
      </c>
      <c r="AC110" s="38" t="inlineStr">
        <is>
          <t>IF(OR(E110="",COUNT(AG110:AT110)&lt;2),"",LOOKUP(2,1/(AG110:AT110&lt;&gt;""),AG110:AT110)-MIN(AG110:AT110))</t>
        </is>
      </c>
      <c r="AD110" s="38" t="inlineStr">
        <is>
          <t>IF(OR(AB110="",AA110="Not started",AA110=""),"",IFERROR(AB110-IF(VLOOKUP(AA110,'04_Status_Pipeline'!$B$3:$E$20,4,FALSE)="",0,VLOOKUP(AA110,'04_Status_Pipeline'!$B$3:$E$20,4,FALSE)),""))</t>
        </is>
      </c>
      <c r="AE110" s="32" t="inlineStr">
        <is>
          <t>IF(E110="","",IF(OR(Y110="Cancelled",AA110="Cancelled"),"Cancelled",IF(OR(AA110="Completed / Handover",W110&lt;&gt;"",X110&gt;=100),"Completed — on track",IF(L110="Remaining",IF(S110="",IF(V110="","No planned date",IF(TODAY()&gt;V110,"Behind — past planned date",IF(V110-TODAY()&lt;=30,"At risk — close to off track","On track"))),IF(TODAY()&gt;S110,"Behind — award date passed",IF(S110-TODAY()&lt;=30,"At risk — close to off track","On track"))),IF(V110="","No planned date",IF(AND(TODAY()&gt;V110,OR(X110="",X110&lt;100)),"Behind — past end date",IF(AND(R110&lt;&gt;"",V110&lt;&gt;"",X110&lt;&gt;"",(X110&lt;100),((TODAY()-R110)/MAX(V110-R110,1)*100)-X110&gt;15),"Behind — progress lag",IF(AND(V110-TODAY()&lt;=30,V110-TODAY()&gt;=0,OR(X110="",X110&lt;90)),"At risk — close to off track","On track"))))))))</t>
        </is>
      </c>
      <c r="AF110" s="38" t="inlineStr">
        <is>
          <t>IF(OR(E110="",AA110="Completed / Handover",AA110="Cancelled"),"",IF(L110="Remaining",IF(S110&lt;&gt;"",S110-TODAY(),IF(V110="","",V110-TODAY())),IF(V110="","",V110-TODAY())))</t>
        </is>
      </c>
      <c r="AG110" s="39" t="n"/>
      <c r="AH110" s="39" t="n"/>
      <c r="AI110" s="39" t="n"/>
      <c r="AJ110" s="39" t="n"/>
      <c r="AK110" s="39" t="n"/>
      <c r="AL110" s="39" t="n"/>
      <c r="AM110" s="39" t="n"/>
      <c r="AN110" s="39" t="n"/>
      <c r="AO110" s="39" t="n">
        <v>46226</v>
      </c>
      <c r="AP110" s="39" t="n">
        <v>46226</v>
      </c>
      <c r="AQ110" s="39" t="n">
        <v>46409</v>
      </c>
      <c r="AR110" s="40" t="n"/>
      <c r="AS110" s="40" t="n"/>
      <c r="AT110" s="40" t="n"/>
      <c r="AU110" s="38" t="inlineStr">
        <is>
          <t>IF(OR(E110="",AH110=""),"",IF(COUNT(AG110:AG110)=0,"",AH110-LOOKUP(2,1/(AG110:AG110&lt;&gt;""),AG110:AG110)))</t>
        </is>
      </c>
      <c r="AV110" s="38" t="inlineStr">
        <is>
          <t>IF(OR(E110="",AI110=""),"",IF(COUNT(AG110:AH110)=0,"",AI110-LOOKUP(2,1/(AG110:AH110&lt;&gt;""),AG110:AH110)))</t>
        </is>
      </c>
      <c r="AW110" s="38" t="inlineStr">
        <is>
          <t>IF(OR(E110="",AJ110=""),"",IF(COUNT(AG110:AI110)=0,"",AJ110-LOOKUP(2,1/(AG110:AI110&lt;&gt;""),AG110:AI110)))</t>
        </is>
      </c>
      <c r="AX110" s="38" t="inlineStr">
        <is>
          <t>IF(OR(E110="",AK110=""),"",IF(COUNT(AG110:AJ110)=0,"",AK110-LOOKUP(2,1/(AG110:AJ110&lt;&gt;""),AG110:AJ110)))</t>
        </is>
      </c>
      <c r="AY110" s="38" t="inlineStr">
        <is>
          <t>IF(OR(E110="",AL110=""),"",IF(COUNT(AG110:AK110)=0,"",AL110-LOOKUP(2,1/(AG110:AK110&lt;&gt;""),AG110:AK110)))</t>
        </is>
      </c>
      <c r="AZ110" s="38" t="inlineStr">
        <is>
          <t>IF(OR(E110="",AM110=""),"",IF(COUNT(AG110:AL110)=0,"",AM110-LOOKUP(2,1/(AG110:AL110&lt;&gt;""),AG110:AL110)))</t>
        </is>
      </c>
      <c r="BA110" s="38" t="inlineStr">
        <is>
          <t>IF(OR(E110="",AN110=""),"",IF(COUNT(AG110:AM110)=0,"",AN110-LOOKUP(2,1/(AG110:AM110&lt;&gt;""),AG110:AM110)))</t>
        </is>
      </c>
      <c r="BB110" s="38" t="inlineStr">
        <is>
          <t>IF(OR(E110="",AO110=""),"",IF(COUNT(AG110:AN110)=0,"",AO110-LOOKUP(2,1/(AG110:AN110&lt;&gt;""),AG110:AN110)))</t>
        </is>
      </c>
      <c r="BC110" s="38" t="inlineStr">
        <is>
          <t>IF(OR(E110="",AP110=""),"",IF(COUNT(AG110:AO110)=0,"",AP110-LOOKUP(2,1/(AG110:AO110&lt;&gt;""),AG110:AO110)))</t>
        </is>
      </c>
      <c r="BD110" s="38" t="inlineStr">
        <is>
          <t>IF(OR(E110="",AQ110=""),"",IF(COUNT(AG110:AP110)=0,"",AQ110-LOOKUP(2,1/(AG110:AP110&lt;&gt;""),AG110:AP110)))</t>
        </is>
      </c>
      <c r="BE110" s="38" t="inlineStr">
        <is>
          <t>IF(OR(E110="",AR110=""),"",IF(COUNT(AG110:AQ110)=0,"",AR110-LOOKUP(2,1/(AG110:AQ110&lt;&gt;""),AG110:AQ110)))</t>
        </is>
      </c>
      <c r="BF110" s="38" t="inlineStr">
        <is>
          <t>IF(OR(E110="",AS110=""),"",IF(COUNT(AG110:AR110)=0,"",AS110-LOOKUP(2,1/(AG110:AR110&lt;&gt;""),AG110:AR110)))</t>
        </is>
      </c>
      <c r="BG110" s="38" t="inlineStr">
        <is>
          <t>IF(OR(E110="",AT110=""),"",IF(COUNT(AG110:AS110)=0,"",AT110-LOOKUP(2,1/(AG110:AS110&lt;&gt;""),AG110:AS110)))</t>
        </is>
      </c>
      <c r="BH110" s="41" t="inlineStr">
        <is>
          <t>IF(G110="","All_Provinces",IFERROR(VLOOKUP(G110,'07_Lookups'!$A$4:$B$20,2,FALSE),"All_Provinces"))</t>
        </is>
      </c>
      <c r="BI110" s="41" t="inlineStr">
        <is>
          <t>IF(H110="","All_Districts",IFERROR(VLOOKUP(H110,'07_Lookups'!$E$4:$F$42,2,FALSE),"All_Districts"))</t>
        </is>
      </c>
    </row>
    <row r="111" ht="18" customHeight="1">
      <c r="A111" s="32" t="inlineStr">
        <is>
          <t>IF(E111="","",ROW()-3)</t>
        </is>
      </c>
      <c r="B111" s="42" t="inlineStr">
        <is>
          <t>AF2-WSM-A-042</t>
        </is>
      </c>
      <c r="C111" s="42" t="inlineStr">
        <is>
          <t>Emergency Food Security Project (EFSP) – WBK/AF-2</t>
        </is>
      </c>
      <c r="D111" s="42" t="inlineStr">
        <is>
          <t>Package #21-AF2 WSM: Construction of 4 Check Dams 1.Choghazey and 2.Sardarkey in Arghistan, 3. Loy Laher in Spin Boldak and 4.Ab Samad Aka in Takhta Pull districts of Kandahar province.</t>
        </is>
      </c>
      <c r="E111" s="42" t="inlineStr">
        <is>
          <t>Choghazey Check Dam</t>
        </is>
      </c>
      <c r="F111" s="42" t="inlineStr">
        <is>
          <t>Check Dam</t>
        </is>
      </c>
      <c r="G111" s="42" t="inlineStr">
        <is>
          <t>South / Kandahar</t>
        </is>
      </c>
      <c r="H111" s="42" t="inlineStr">
        <is>
          <t>Kandahar</t>
        </is>
      </c>
      <c r="I111" s="42" t="inlineStr">
        <is>
          <t>Arghistan</t>
        </is>
      </c>
      <c r="J111" s="42" t="inlineStr">
        <is>
          <t>Ab Samad Aka</t>
        </is>
      </c>
      <c r="K111" s="42" t="inlineStr">
        <is>
          <t>World Bank (WBK/AF-2)</t>
        </is>
      </c>
      <c r="L111" s="42" t="inlineStr">
        <is>
          <t>Awarded</t>
        </is>
      </c>
      <c r="M111" s="42" t="inlineStr">
        <is>
          <t>Watershed / Check dam</t>
        </is>
      </c>
      <c r="N111" s="42" t="inlineStr">
        <is>
          <t>3.WSM awarded contracts</t>
        </is>
      </c>
      <c r="O111" s="42" t="inlineStr">
        <is>
          <t>Bakhter Pairoz Construction Company (BPCC)</t>
        </is>
      </c>
      <c r="P111" s="42" t="inlineStr">
        <is>
          <t>031/2026</t>
        </is>
      </c>
      <c r="Q111" s="43" t="n">
        <v>12021.06</v>
      </c>
      <c r="R111" s="35" t="inlineStr">
        <is>
          <t>IF(AO111="","",AO111)</t>
        </is>
      </c>
      <c r="S111" s="44" t="n"/>
      <c r="T111" s="45" t="n">
        <v>5</v>
      </c>
      <c r="U111" s="44" t="n">
        <v>46292</v>
      </c>
      <c r="V111" s="35" t="inlineStr">
        <is>
          <t>IF(U111&lt;&gt;"",U111,IF(OR(R111="",T111=""),"",EDATE(R111,T111)))</t>
        </is>
      </c>
      <c r="W111" s="44" t="n"/>
      <c r="X111" s="45" t="n">
        <v>100</v>
      </c>
      <c r="Y111" s="42" t="inlineStr">
        <is>
          <t>Completed / Handover</t>
        </is>
      </c>
      <c r="Z111" s="42" t="inlineStr">
        <is>
          <t>Completed on Sep, 2026</t>
        </is>
      </c>
      <c r="AA111" s="32" t="inlineStr">
        <is>
          <t>IF(E111="","",IF(COUNT(AG111:AT111)=0,IF(Y111="","Not started",Y111),SUBSTITUTE(LOOKUP(2,1/(AG111:AT111&lt;&gt;""),$AG$3:$AT$3),"Date: ","")))</t>
        </is>
      </c>
      <c r="AB111" s="38" t="inlineStr">
        <is>
          <t>IF(OR(E111="",COUNT(AG111:AT111)=0),"",TODAY()-LOOKUP(2,1/(AG111:AT111&lt;&gt;""),AG111:AT111))</t>
        </is>
      </c>
      <c r="AC111" s="38" t="inlineStr">
        <is>
          <t>IF(OR(E111="",COUNT(AG111:AT111)&lt;2),"",LOOKUP(2,1/(AG111:AT111&lt;&gt;""),AG111:AT111)-MIN(AG111:AT111))</t>
        </is>
      </c>
      <c r="AD111" s="38" t="inlineStr">
        <is>
          <t>IF(OR(AB111="",AA111="Not started",AA111=""),"",IFERROR(AB111-IF(VLOOKUP(AA111,'04_Status_Pipeline'!$B$3:$E$20,4,FALSE)="",0,VLOOKUP(AA111,'04_Status_Pipeline'!$B$3:$E$20,4,FALSE)),""))</t>
        </is>
      </c>
      <c r="AE111" s="32" t="inlineStr">
        <is>
          <t>IF(E111="","",IF(OR(Y111="Cancelled",AA111="Cancelled"),"Cancelled",IF(OR(AA111="Completed / Handover",W111&lt;&gt;"",X111&gt;=100),"Completed — on track",IF(L111="Remaining",IF(S111="",IF(V111="","No planned date",IF(TODAY()&gt;V111,"Behind — past planned date",IF(V111-TODAY()&lt;=30,"At risk — close to off track","On track"))),IF(TODAY()&gt;S111,"Behind — award date passed",IF(S111-TODAY()&lt;=30,"At risk — close to off track","On track"))),IF(V111="","No planned date",IF(AND(TODAY()&gt;V111,OR(X111="",X111&lt;100)),"Behind — past end date",IF(AND(R111&lt;&gt;"",V111&lt;&gt;"",X111&lt;&gt;"",(X111&lt;100),((TODAY()-R111)/MAX(V111-R111,1)*100)-X111&gt;15),"Behind — progress lag",IF(AND(V111-TODAY()&lt;=30,V111-TODAY()&gt;=0,OR(X111="",X111&lt;90)),"At risk — close to off track","On track"))))))))</t>
        </is>
      </c>
      <c r="AF111" s="38" t="inlineStr">
        <is>
          <t>IF(OR(E111="",AA111="Completed / Handover",AA111="Cancelled"),"",IF(L111="Remaining",IF(S111&lt;&gt;"",S111-TODAY(),IF(V111="","",V111-TODAY())),IF(V111="","",V111-TODAY())))</t>
        </is>
      </c>
      <c r="AG111" s="39" t="n"/>
      <c r="AH111" s="39" t="n"/>
      <c r="AI111" s="39" t="n"/>
      <c r="AJ111" s="39" t="n"/>
      <c r="AK111" s="39" t="n"/>
      <c r="AL111" s="39" t="n"/>
      <c r="AM111" s="39" t="n"/>
      <c r="AN111" s="39" t="n"/>
      <c r="AO111" s="39" t="n">
        <v>46140</v>
      </c>
      <c r="AP111" s="39" t="n">
        <v>46140</v>
      </c>
      <c r="AQ111" s="39" t="n">
        <v>46292</v>
      </c>
      <c r="AR111" s="40" t="n"/>
      <c r="AS111" s="40" t="n"/>
      <c r="AT111" s="40" t="n"/>
      <c r="AU111" s="38" t="inlineStr">
        <is>
          <t>IF(OR(E111="",AH111=""),"",IF(COUNT(AG111:AG111)=0,"",AH111-LOOKUP(2,1/(AG111:AG111&lt;&gt;""),AG111:AG111)))</t>
        </is>
      </c>
      <c r="AV111" s="38" t="inlineStr">
        <is>
          <t>IF(OR(E111="",AI111=""),"",IF(COUNT(AG111:AH111)=0,"",AI111-LOOKUP(2,1/(AG111:AH111&lt;&gt;""),AG111:AH111)))</t>
        </is>
      </c>
      <c r="AW111" s="38" t="inlineStr">
        <is>
          <t>IF(OR(E111="",AJ111=""),"",IF(COUNT(AG111:AI111)=0,"",AJ111-LOOKUP(2,1/(AG111:AI111&lt;&gt;""),AG111:AI111)))</t>
        </is>
      </c>
      <c r="AX111" s="38" t="inlineStr">
        <is>
          <t>IF(OR(E111="",AK111=""),"",IF(COUNT(AG111:AJ111)=0,"",AK111-LOOKUP(2,1/(AG111:AJ111&lt;&gt;""),AG111:AJ111)))</t>
        </is>
      </c>
      <c r="AY111" s="38" t="inlineStr">
        <is>
          <t>IF(OR(E111="",AL111=""),"",IF(COUNT(AG111:AK111)=0,"",AL111-LOOKUP(2,1/(AG111:AK111&lt;&gt;""),AG111:AK111)))</t>
        </is>
      </c>
      <c r="AZ111" s="38" t="inlineStr">
        <is>
          <t>IF(OR(E111="",AM111=""),"",IF(COUNT(AG111:AL111)=0,"",AM111-LOOKUP(2,1/(AG111:AL111&lt;&gt;""),AG111:AL111)))</t>
        </is>
      </c>
      <c r="BA111" s="38" t="inlineStr">
        <is>
          <t>IF(OR(E111="",AN111=""),"",IF(COUNT(AG111:AM111)=0,"",AN111-LOOKUP(2,1/(AG111:AM111&lt;&gt;""),AG111:AM111)))</t>
        </is>
      </c>
      <c r="BB111" s="38" t="inlineStr">
        <is>
          <t>IF(OR(E111="",AO111=""),"",IF(COUNT(AG111:AN111)=0,"",AO111-LOOKUP(2,1/(AG111:AN111&lt;&gt;""),AG111:AN111)))</t>
        </is>
      </c>
      <c r="BC111" s="38" t="inlineStr">
        <is>
          <t>IF(OR(E111="",AP111=""),"",IF(COUNT(AG111:AO111)=0,"",AP111-LOOKUP(2,1/(AG111:AO111&lt;&gt;""),AG111:AO111)))</t>
        </is>
      </c>
      <c r="BD111" s="38" t="inlineStr">
        <is>
          <t>IF(OR(E111="",AQ111=""),"",IF(COUNT(AG111:AP111)=0,"",AQ111-LOOKUP(2,1/(AG111:AP111&lt;&gt;""),AG111:AP111)))</t>
        </is>
      </c>
      <c r="BE111" s="38" t="inlineStr">
        <is>
          <t>IF(OR(E111="",AR111=""),"",IF(COUNT(AG111:AQ111)=0,"",AR111-LOOKUP(2,1/(AG111:AQ111&lt;&gt;""),AG111:AQ111)))</t>
        </is>
      </c>
      <c r="BF111" s="38" t="inlineStr">
        <is>
          <t>IF(OR(E111="",AS111=""),"",IF(COUNT(AG111:AR111)=0,"",AS111-LOOKUP(2,1/(AG111:AR111&lt;&gt;""),AG111:AR111)))</t>
        </is>
      </c>
      <c r="BG111" s="38" t="inlineStr">
        <is>
          <t>IF(OR(E111="",AT111=""),"",IF(COUNT(AG111:AS111)=0,"",AT111-LOOKUP(2,1/(AG111:AS111&lt;&gt;""),AG111:AS111)))</t>
        </is>
      </c>
      <c r="BH111" s="41" t="inlineStr">
        <is>
          <t>IF(G111="","All_Provinces",IFERROR(VLOOKUP(G111,'07_Lookups'!$A$4:$B$20,2,FALSE),"All_Provinces"))</t>
        </is>
      </c>
      <c r="BI111" s="41" t="inlineStr">
        <is>
          <t>IF(H111="","All_Districts",IFERROR(VLOOKUP(H111,'07_Lookups'!$E$4:$F$42,2,FALSE),"All_Districts"))</t>
        </is>
      </c>
    </row>
    <row r="112" ht="18" customHeight="1">
      <c r="A112" s="32" t="inlineStr">
        <is>
          <t>IF(E112="","",ROW()-3)</t>
        </is>
      </c>
      <c r="B112" s="33" t="inlineStr">
        <is>
          <t>AF2-WSM-A-043</t>
        </is>
      </c>
      <c r="C112" s="33" t="inlineStr">
        <is>
          <t>Emergency Food Security Project (EFSP) – WBK/AF-2</t>
        </is>
      </c>
      <c r="D112" s="33" t="inlineStr">
        <is>
          <t>Package #21-AF2 WSM: Construction of 4 Check Dams 1.Choghazey and 2.Sardarkey in Arghistan, 3. Loy Laher in Spin Boldak and 4.Ab Samad Aka in Takhta Pull districts of Kandahar province.</t>
        </is>
      </c>
      <c r="E112" s="33" t="inlineStr">
        <is>
          <t>Sardarkey Check Dam</t>
        </is>
      </c>
      <c r="F112" s="33" t="inlineStr">
        <is>
          <t>Check Dam</t>
        </is>
      </c>
      <c r="G112" s="33" t="inlineStr">
        <is>
          <t>South / Kandahar</t>
        </is>
      </c>
      <c r="H112" s="33" t="inlineStr">
        <is>
          <t>Kandahar</t>
        </is>
      </c>
      <c r="I112" s="33" t="inlineStr">
        <is>
          <t>Arghistan</t>
        </is>
      </c>
      <c r="J112" s="33" t="inlineStr">
        <is>
          <t>Loy Laher</t>
        </is>
      </c>
      <c r="K112" s="33" t="inlineStr">
        <is>
          <t>World Bank (WBK/AF-2)</t>
        </is>
      </c>
      <c r="L112" s="33" t="inlineStr">
        <is>
          <t>Awarded</t>
        </is>
      </c>
      <c r="M112" s="33" t="inlineStr">
        <is>
          <t>Watershed / Check dam</t>
        </is>
      </c>
      <c r="N112" s="33" t="inlineStr">
        <is>
          <t>3.WSM awarded contracts</t>
        </is>
      </c>
      <c r="O112" s="33" t="inlineStr">
        <is>
          <t>Bakhter Pairoz Construction Company (BPCC)</t>
        </is>
      </c>
      <c r="P112" s="33" t="inlineStr">
        <is>
          <t>031/2026</t>
        </is>
      </c>
      <c r="Q112" s="34" t="n">
        <v>34095.16</v>
      </c>
      <c r="R112" s="35" t="inlineStr">
        <is>
          <t>IF(AO112="","",AO112)</t>
        </is>
      </c>
      <c r="S112" s="36" t="n"/>
      <c r="T112" s="37" t="n">
        <v>5</v>
      </c>
      <c r="U112" s="36" t="n">
        <v>46292</v>
      </c>
      <c r="V112" s="35" t="inlineStr">
        <is>
          <t>IF(U112&lt;&gt;"",U112,IF(OR(R112="",T112=""),"",EDATE(R112,T112)))</t>
        </is>
      </c>
      <c r="W112" s="36" t="n"/>
      <c r="X112" s="37" t="n">
        <v>95</v>
      </c>
      <c r="Y112" s="33" t="inlineStr">
        <is>
          <t>Completed / Handover</t>
        </is>
      </c>
      <c r="Z112" s="33" t="inlineStr">
        <is>
          <t>Completed on Sep, 2026</t>
        </is>
      </c>
      <c r="AA112" s="32" t="inlineStr">
        <is>
          <t>IF(E112="","",IF(COUNT(AG112:AT112)=0,IF(Y112="","Not started",Y112),SUBSTITUTE(LOOKUP(2,1/(AG112:AT112&lt;&gt;""),$AG$3:$AT$3),"Date: ","")))</t>
        </is>
      </c>
      <c r="AB112" s="38" t="inlineStr">
        <is>
          <t>IF(OR(E112="",COUNT(AG112:AT112)=0),"",TODAY()-LOOKUP(2,1/(AG112:AT112&lt;&gt;""),AG112:AT112))</t>
        </is>
      </c>
      <c r="AC112" s="38" t="inlineStr">
        <is>
          <t>IF(OR(E112="",COUNT(AG112:AT112)&lt;2),"",LOOKUP(2,1/(AG112:AT112&lt;&gt;""),AG112:AT112)-MIN(AG112:AT112))</t>
        </is>
      </c>
      <c r="AD112" s="38" t="inlineStr">
        <is>
          <t>IF(OR(AB112="",AA112="Not started",AA112=""),"",IFERROR(AB112-IF(VLOOKUP(AA112,'04_Status_Pipeline'!$B$3:$E$20,4,FALSE)="",0,VLOOKUP(AA112,'04_Status_Pipeline'!$B$3:$E$20,4,FALSE)),""))</t>
        </is>
      </c>
      <c r="AE112" s="32" t="inlineStr">
        <is>
          <t>IF(E112="","",IF(OR(Y112="Cancelled",AA112="Cancelled"),"Cancelled",IF(OR(AA112="Completed / Handover",W112&lt;&gt;"",X112&gt;=100),"Completed — on track",IF(L112="Remaining",IF(S112="",IF(V112="","No planned date",IF(TODAY()&gt;V112,"Behind — past planned date",IF(V112-TODAY()&lt;=30,"At risk — close to off track","On track"))),IF(TODAY()&gt;S112,"Behind — award date passed",IF(S112-TODAY()&lt;=30,"At risk — close to off track","On track"))),IF(V112="","No planned date",IF(AND(TODAY()&gt;V112,OR(X112="",X112&lt;100)),"Behind — past end date",IF(AND(R112&lt;&gt;"",V112&lt;&gt;"",X112&lt;&gt;"",(X112&lt;100),((TODAY()-R112)/MAX(V112-R112,1)*100)-X112&gt;15),"Behind — progress lag",IF(AND(V112-TODAY()&lt;=30,V112-TODAY()&gt;=0,OR(X112="",X112&lt;90)),"At risk — close to off track","On track"))))))))</t>
        </is>
      </c>
      <c r="AF112" s="38" t="inlineStr">
        <is>
          <t>IF(OR(E112="",AA112="Completed / Handover",AA112="Cancelled"),"",IF(L112="Remaining",IF(S112&lt;&gt;"",S112-TODAY(),IF(V112="","",V112-TODAY())),IF(V112="","",V112-TODAY())))</t>
        </is>
      </c>
      <c r="AG112" s="39" t="n"/>
      <c r="AH112" s="39" t="n"/>
      <c r="AI112" s="39" t="n"/>
      <c r="AJ112" s="39" t="n"/>
      <c r="AK112" s="39" t="n"/>
      <c r="AL112" s="39" t="n"/>
      <c r="AM112" s="39" t="n"/>
      <c r="AN112" s="39" t="n"/>
      <c r="AO112" s="39" t="n">
        <v>46140</v>
      </c>
      <c r="AP112" s="39" t="n">
        <v>46140</v>
      </c>
      <c r="AQ112" s="39" t="n">
        <v>46292</v>
      </c>
      <c r="AR112" s="40" t="n"/>
      <c r="AS112" s="40" t="n"/>
      <c r="AT112" s="40" t="n"/>
      <c r="AU112" s="38" t="inlineStr">
        <is>
          <t>IF(OR(E112="",AH112=""),"",IF(COUNT(AG112:AG112)=0,"",AH112-LOOKUP(2,1/(AG112:AG112&lt;&gt;""),AG112:AG112)))</t>
        </is>
      </c>
      <c r="AV112" s="38" t="inlineStr">
        <is>
          <t>IF(OR(E112="",AI112=""),"",IF(COUNT(AG112:AH112)=0,"",AI112-LOOKUP(2,1/(AG112:AH112&lt;&gt;""),AG112:AH112)))</t>
        </is>
      </c>
      <c r="AW112" s="38" t="inlineStr">
        <is>
          <t>IF(OR(E112="",AJ112=""),"",IF(COUNT(AG112:AI112)=0,"",AJ112-LOOKUP(2,1/(AG112:AI112&lt;&gt;""),AG112:AI112)))</t>
        </is>
      </c>
      <c r="AX112" s="38" t="inlineStr">
        <is>
          <t>IF(OR(E112="",AK112=""),"",IF(COUNT(AG112:AJ112)=0,"",AK112-LOOKUP(2,1/(AG112:AJ112&lt;&gt;""),AG112:AJ112)))</t>
        </is>
      </c>
      <c r="AY112" s="38" t="inlineStr">
        <is>
          <t>IF(OR(E112="",AL112=""),"",IF(COUNT(AG112:AK112)=0,"",AL112-LOOKUP(2,1/(AG112:AK112&lt;&gt;""),AG112:AK112)))</t>
        </is>
      </c>
      <c r="AZ112" s="38" t="inlineStr">
        <is>
          <t>IF(OR(E112="",AM112=""),"",IF(COUNT(AG112:AL112)=0,"",AM112-LOOKUP(2,1/(AG112:AL112&lt;&gt;""),AG112:AL112)))</t>
        </is>
      </c>
      <c r="BA112" s="38" t="inlineStr">
        <is>
          <t>IF(OR(E112="",AN112=""),"",IF(COUNT(AG112:AM112)=0,"",AN112-LOOKUP(2,1/(AG112:AM112&lt;&gt;""),AG112:AM112)))</t>
        </is>
      </c>
      <c r="BB112" s="38" t="inlineStr">
        <is>
          <t>IF(OR(E112="",AO112=""),"",IF(COUNT(AG112:AN112)=0,"",AO112-LOOKUP(2,1/(AG112:AN112&lt;&gt;""),AG112:AN112)))</t>
        </is>
      </c>
      <c r="BC112" s="38" t="inlineStr">
        <is>
          <t>IF(OR(E112="",AP112=""),"",IF(COUNT(AG112:AO112)=0,"",AP112-LOOKUP(2,1/(AG112:AO112&lt;&gt;""),AG112:AO112)))</t>
        </is>
      </c>
      <c r="BD112" s="38" t="inlineStr">
        <is>
          <t>IF(OR(E112="",AQ112=""),"",IF(COUNT(AG112:AP112)=0,"",AQ112-LOOKUP(2,1/(AG112:AP112&lt;&gt;""),AG112:AP112)))</t>
        </is>
      </c>
      <c r="BE112" s="38" t="inlineStr">
        <is>
          <t>IF(OR(E112="",AR112=""),"",IF(COUNT(AG112:AQ112)=0,"",AR112-LOOKUP(2,1/(AG112:AQ112&lt;&gt;""),AG112:AQ112)))</t>
        </is>
      </c>
      <c r="BF112" s="38" t="inlineStr">
        <is>
          <t>IF(OR(E112="",AS112=""),"",IF(COUNT(AG112:AR112)=0,"",AS112-LOOKUP(2,1/(AG112:AR112&lt;&gt;""),AG112:AR112)))</t>
        </is>
      </c>
      <c r="BG112" s="38" t="inlineStr">
        <is>
          <t>IF(OR(E112="",AT112=""),"",IF(COUNT(AG112:AS112)=0,"",AT112-LOOKUP(2,1/(AG112:AS112&lt;&gt;""),AG112:AS112)))</t>
        </is>
      </c>
      <c r="BH112" s="41" t="inlineStr">
        <is>
          <t>IF(G112="","All_Provinces",IFERROR(VLOOKUP(G112,'07_Lookups'!$A$4:$B$20,2,FALSE),"All_Provinces"))</t>
        </is>
      </c>
      <c r="BI112" s="41" t="inlineStr">
        <is>
          <t>IF(H112="","All_Districts",IFERROR(VLOOKUP(H112,'07_Lookups'!$E$4:$F$42,2,FALSE),"All_Districts"))</t>
        </is>
      </c>
    </row>
    <row r="113" ht="18" customHeight="1">
      <c r="A113" s="32" t="inlineStr">
        <is>
          <t>IF(E113="","",ROW()-3)</t>
        </is>
      </c>
      <c r="B113" s="42" t="inlineStr">
        <is>
          <t>AF2-WSM-A-044</t>
        </is>
      </c>
      <c r="C113" s="42" t="inlineStr">
        <is>
          <t>Emergency Food Security Project (EFSP) – WBK/AF-2</t>
        </is>
      </c>
      <c r="D113" s="42" t="inlineStr">
        <is>
          <t>Package #21-AF2 WSM: Construction of 4 Check Dams 1.Choghazey and 2.Sardarkey in Arghistan, 3. Loy Laher in Spin Boldak and 4.Ab Samad Aka in Takhta Pull districts of Kandahar province.</t>
        </is>
      </c>
      <c r="E113" s="42" t="inlineStr">
        <is>
          <t>Loy Laher Check Dam</t>
        </is>
      </c>
      <c r="F113" s="42" t="inlineStr">
        <is>
          <t>Check Dam</t>
        </is>
      </c>
      <c r="G113" s="42" t="inlineStr">
        <is>
          <t>South / Kandahar</t>
        </is>
      </c>
      <c r="H113" s="42" t="inlineStr">
        <is>
          <t>Kandahar</t>
        </is>
      </c>
      <c r="I113" s="42" t="inlineStr">
        <is>
          <t>Spin Boldak</t>
        </is>
      </c>
      <c r="J113" s="42" t="inlineStr">
        <is>
          <t>Sardarkey</t>
        </is>
      </c>
      <c r="K113" s="42" t="inlineStr">
        <is>
          <t>World Bank (WBK/AF-2)</t>
        </is>
      </c>
      <c r="L113" s="42" t="inlineStr">
        <is>
          <t>Awarded</t>
        </is>
      </c>
      <c r="M113" s="42" t="inlineStr">
        <is>
          <t>Watershed / Check dam</t>
        </is>
      </c>
      <c r="N113" s="42" t="inlineStr">
        <is>
          <t>3.WSM awarded contracts</t>
        </is>
      </c>
      <c r="O113" s="42" t="inlineStr">
        <is>
          <t>Bakhter Pairoz Construction Company (BPCC)</t>
        </is>
      </c>
      <c r="P113" s="42" t="inlineStr">
        <is>
          <t>031/2026</t>
        </is>
      </c>
      <c r="Q113" s="43" t="n">
        <v>30196.08</v>
      </c>
      <c r="R113" s="35" t="inlineStr">
        <is>
          <t>IF(AO113="","",AO113)</t>
        </is>
      </c>
      <c r="S113" s="44" t="n"/>
      <c r="T113" s="45" t="n">
        <v>5</v>
      </c>
      <c r="U113" s="44" t="n">
        <v>46292</v>
      </c>
      <c r="V113" s="35" t="inlineStr">
        <is>
          <t>IF(U113&lt;&gt;"",U113,IF(OR(R113="",T113=""),"",EDATE(R113,T113)))</t>
        </is>
      </c>
      <c r="W113" s="44" t="n"/>
      <c r="X113" s="45" t="n">
        <v>15</v>
      </c>
      <c r="Y113" s="42" t="inlineStr">
        <is>
          <t>Completed / Handover</t>
        </is>
      </c>
      <c r="Z113" s="42" t="inlineStr">
        <is>
          <t>Completed on Sep, 2026</t>
        </is>
      </c>
      <c r="AA113" s="32" t="inlineStr">
        <is>
          <t>IF(E113="","",IF(COUNT(AG113:AT113)=0,IF(Y113="","Not started",Y113),SUBSTITUTE(LOOKUP(2,1/(AG113:AT113&lt;&gt;""),$AG$3:$AT$3),"Date: ","")))</t>
        </is>
      </c>
      <c r="AB113" s="38" t="inlineStr">
        <is>
          <t>IF(OR(E113="",COUNT(AG113:AT113)=0),"",TODAY()-LOOKUP(2,1/(AG113:AT113&lt;&gt;""),AG113:AT113))</t>
        </is>
      </c>
      <c r="AC113" s="38" t="inlineStr">
        <is>
          <t>IF(OR(E113="",COUNT(AG113:AT113)&lt;2),"",LOOKUP(2,1/(AG113:AT113&lt;&gt;""),AG113:AT113)-MIN(AG113:AT113))</t>
        </is>
      </c>
      <c r="AD113" s="38" t="inlineStr">
        <is>
          <t>IF(OR(AB113="",AA113="Not started",AA113=""),"",IFERROR(AB113-IF(VLOOKUP(AA113,'04_Status_Pipeline'!$B$3:$E$20,4,FALSE)="",0,VLOOKUP(AA113,'04_Status_Pipeline'!$B$3:$E$20,4,FALSE)),""))</t>
        </is>
      </c>
      <c r="AE113" s="32" t="inlineStr">
        <is>
          <t>IF(E113="","",IF(OR(Y113="Cancelled",AA113="Cancelled"),"Cancelled",IF(OR(AA113="Completed / Handover",W113&lt;&gt;"",X113&gt;=100),"Completed — on track",IF(L113="Remaining",IF(S113="",IF(V113="","No planned date",IF(TODAY()&gt;V113,"Behind — past planned date",IF(V113-TODAY()&lt;=30,"At risk — close to off track","On track"))),IF(TODAY()&gt;S113,"Behind — award date passed",IF(S113-TODAY()&lt;=30,"At risk — close to off track","On track"))),IF(V113="","No planned date",IF(AND(TODAY()&gt;V113,OR(X113="",X113&lt;100)),"Behind — past end date",IF(AND(R113&lt;&gt;"",V113&lt;&gt;"",X113&lt;&gt;"",(X113&lt;100),((TODAY()-R113)/MAX(V113-R113,1)*100)-X113&gt;15),"Behind — progress lag",IF(AND(V113-TODAY()&lt;=30,V113-TODAY()&gt;=0,OR(X113="",X113&lt;90)),"At risk — close to off track","On track"))))))))</t>
        </is>
      </c>
      <c r="AF113" s="38" t="inlineStr">
        <is>
          <t>IF(OR(E113="",AA113="Completed / Handover",AA113="Cancelled"),"",IF(L113="Remaining",IF(S113&lt;&gt;"",S113-TODAY(),IF(V113="","",V113-TODAY())),IF(V113="","",V113-TODAY())))</t>
        </is>
      </c>
      <c r="AG113" s="39" t="n"/>
      <c r="AH113" s="39" t="n"/>
      <c r="AI113" s="39" t="n"/>
      <c r="AJ113" s="39" t="n"/>
      <c r="AK113" s="39" t="n"/>
      <c r="AL113" s="39" t="n"/>
      <c r="AM113" s="39" t="n"/>
      <c r="AN113" s="39" t="n"/>
      <c r="AO113" s="39" t="n">
        <v>46140</v>
      </c>
      <c r="AP113" s="39" t="n">
        <v>46140</v>
      </c>
      <c r="AQ113" s="39" t="n">
        <v>46292</v>
      </c>
      <c r="AR113" s="40" t="n"/>
      <c r="AS113" s="40" t="n"/>
      <c r="AT113" s="40" t="n"/>
      <c r="AU113" s="38" t="inlineStr">
        <is>
          <t>IF(OR(E113="",AH113=""),"",IF(COUNT(AG113:AG113)=0,"",AH113-LOOKUP(2,1/(AG113:AG113&lt;&gt;""),AG113:AG113)))</t>
        </is>
      </c>
      <c r="AV113" s="38" t="inlineStr">
        <is>
          <t>IF(OR(E113="",AI113=""),"",IF(COUNT(AG113:AH113)=0,"",AI113-LOOKUP(2,1/(AG113:AH113&lt;&gt;""),AG113:AH113)))</t>
        </is>
      </c>
      <c r="AW113" s="38" t="inlineStr">
        <is>
          <t>IF(OR(E113="",AJ113=""),"",IF(COUNT(AG113:AI113)=0,"",AJ113-LOOKUP(2,1/(AG113:AI113&lt;&gt;""),AG113:AI113)))</t>
        </is>
      </c>
      <c r="AX113" s="38" t="inlineStr">
        <is>
          <t>IF(OR(E113="",AK113=""),"",IF(COUNT(AG113:AJ113)=0,"",AK113-LOOKUP(2,1/(AG113:AJ113&lt;&gt;""),AG113:AJ113)))</t>
        </is>
      </c>
      <c r="AY113" s="38" t="inlineStr">
        <is>
          <t>IF(OR(E113="",AL113=""),"",IF(COUNT(AG113:AK113)=0,"",AL113-LOOKUP(2,1/(AG113:AK113&lt;&gt;""),AG113:AK113)))</t>
        </is>
      </c>
      <c r="AZ113" s="38" t="inlineStr">
        <is>
          <t>IF(OR(E113="",AM113=""),"",IF(COUNT(AG113:AL113)=0,"",AM113-LOOKUP(2,1/(AG113:AL113&lt;&gt;""),AG113:AL113)))</t>
        </is>
      </c>
      <c r="BA113" s="38" t="inlineStr">
        <is>
          <t>IF(OR(E113="",AN113=""),"",IF(COUNT(AG113:AM113)=0,"",AN113-LOOKUP(2,1/(AG113:AM113&lt;&gt;""),AG113:AM113)))</t>
        </is>
      </c>
      <c r="BB113" s="38" t="inlineStr">
        <is>
          <t>IF(OR(E113="",AO113=""),"",IF(COUNT(AG113:AN113)=0,"",AO113-LOOKUP(2,1/(AG113:AN113&lt;&gt;""),AG113:AN113)))</t>
        </is>
      </c>
      <c r="BC113" s="38" t="inlineStr">
        <is>
          <t>IF(OR(E113="",AP113=""),"",IF(COUNT(AG113:AO113)=0,"",AP113-LOOKUP(2,1/(AG113:AO113&lt;&gt;""),AG113:AO113)))</t>
        </is>
      </c>
      <c r="BD113" s="38" t="inlineStr">
        <is>
          <t>IF(OR(E113="",AQ113=""),"",IF(COUNT(AG113:AP113)=0,"",AQ113-LOOKUP(2,1/(AG113:AP113&lt;&gt;""),AG113:AP113)))</t>
        </is>
      </c>
      <c r="BE113" s="38" t="inlineStr">
        <is>
          <t>IF(OR(E113="",AR113=""),"",IF(COUNT(AG113:AQ113)=0,"",AR113-LOOKUP(2,1/(AG113:AQ113&lt;&gt;""),AG113:AQ113)))</t>
        </is>
      </c>
      <c r="BF113" s="38" t="inlineStr">
        <is>
          <t>IF(OR(E113="",AS113=""),"",IF(COUNT(AG113:AR113)=0,"",AS113-LOOKUP(2,1/(AG113:AR113&lt;&gt;""),AG113:AR113)))</t>
        </is>
      </c>
      <c r="BG113" s="38" t="inlineStr">
        <is>
          <t>IF(OR(E113="",AT113=""),"",IF(COUNT(AG113:AS113)=0,"",AT113-LOOKUP(2,1/(AG113:AS113&lt;&gt;""),AG113:AS113)))</t>
        </is>
      </c>
      <c r="BH113" s="41" t="inlineStr">
        <is>
          <t>IF(G113="","All_Provinces",IFERROR(VLOOKUP(G113,'07_Lookups'!$A$4:$B$20,2,FALSE),"All_Provinces"))</t>
        </is>
      </c>
      <c r="BI113" s="41" t="inlineStr">
        <is>
          <t>IF(H113="","All_Districts",IFERROR(VLOOKUP(H113,'07_Lookups'!$E$4:$F$42,2,FALSE),"All_Districts"))</t>
        </is>
      </c>
    </row>
    <row r="114" ht="18" customHeight="1">
      <c r="A114" s="32" t="inlineStr">
        <is>
          <t>IF(E114="","",ROW()-3)</t>
        </is>
      </c>
      <c r="B114" s="33" t="inlineStr">
        <is>
          <t>AF2-WSM-A-045</t>
        </is>
      </c>
      <c r="C114" s="33" t="inlineStr">
        <is>
          <t>Emergency Food Security Project (EFSP) – WBK/AF-2</t>
        </is>
      </c>
      <c r="D114" s="33" t="inlineStr">
        <is>
          <t>Package #21-AF2 WSM: Construction of 4 Check Dams 1.Choghazey and 2.Sardarkey in Arghistan, 3. Loy Laher in Spin Boldak and 4.Ab Samad Aka in Takhta Pull districts of Kandahar province.</t>
        </is>
      </c>
      <c r="E114" s="33" t="inlineStr">
        <is>
          <t>Ab Samad Aka Check Dam</t>
        </is>
      </c>
      <c r="F114" s="33" t="inlineStr">
        <is>
          <t>Check Dam</t>
        </is>
      </c>
      <c r="G114" s="33" t="inlineStr">
        <is>
          <t>South / Kandahar</t>
        </is>
      </c>
      <c r="H114" s="33" t="inlineStr">
        <is>
          <t>Kandahar</t>
        </is>
      </c>
      <c r="I114" s="33" t="inlineStr">
        <is>
          <t>Takhta Pul</t>
        </is>
      </c>
      <c r="J114" s="33" t="inlineStr">
        <is>
          <t>Choghazey</t>
        </is>
      </c>
      <c r="K114" s="33" t="inlineStr">
        <is>
          <t>World Bank (WBK/AF-2)</t>
        </is>
      </c>
      <c r="L114" s="33" t="inlineStr">
        <is>
          <t>Awarded</t>
        </is>
      </c>
      <c r="M114" s="33" t="inlineStr">
        <is>
          <t>Watershed / Check dam</t>
        </is>
      </c>
      <c r="N114" s="33" t="inlineStr">
        <is>
          <t>3.WSM awarded contracts</t>
        </is>
      </c>
      <c r="O114" s="33" t="inlineStr">
        <is>
          <t>Bakhter Pairoz Construction Company (BPCC)</t>
        </is>
      </c>
      <c r="P114" s="33" t="inlineStr">
        <is>
          <t>031/2026</t>
        </is>
      </c>
      <c r="Q114" s="34" t="n">
        <v>38337.07</v>
      </c>
      <c r="R114" s="35" t="inlineStr">
        <is>
          <t>IF(AO114="","",AO114)</t>
        </is>
      </c>
      <c r="S114" s="36" t="n"/>
      <c r="T114" s="37" t="n">
        <v>5</v>
      </c>
      <c r="U114" s="36" t="n">
        <v>46292</v>
      </c>
      <c r="V114" s="35" t="inlineStr">
        <is>
          <t>IF(U114&lt;&gt;"",U114,IF(OR(R114="",T114=""),"",EDATE(R114,T114)))</t>
        </is>
      </c>
      <c r="W114" s="36" t="n"/>
      <c r="X114" s="37" t="n">
        <v>10</v>
      </c>
      <c r="Y114" s="33" t="inlineStr">
        <is>
          <t>Completed / Handover</t>
        </is>
      </c>
      <c r="Z114" s="33" t="inlineStr">
        <is>
          <t>Completed on Sep, 2026</t>
        </is>
      </c>
      <c r="AA114" s="32" t="inlineStr">
        <is>
          <t>IF(E114="","",IF(COUNT(AG114:AT114)=0,IF(Y114="","Not started",Y114),SUBSTITUTE(LOOKUP(2,1/(AG114:AT114&lt;&gt;""),$AG$3:$AT$3),"Date: ","")))</t>
        </is>
      </c>
      <c r="AB114" s="38" t="inlineStr">
        <is>
          <t>IF(OR(E114="",COUNT(AG114:AT114)=0),"",TODAY()-LOOKUP(2,1/(AG114:AT114&lt;&gt;""),AG114:AT114))</t>
        </is>
      </c>
      <c r="AC114" s="38" t="inlineStr">
        <is>
          <t>IF(OR(E114="",COUNT(AG114:AT114)&lt;2),"",LOOKUP(2,1/(AG114:AT114&lt;&gt;""),AG114:AT114)-MIN(AG114:AT114))</t>
        </is>
      </c>
      <c r="AD114" s="38" t="inlineStr">
        <is>
          <t>IF(OR(AB114="",AA114="Not started",AA114=""),"",IFERROR(AB114-IF(VLOOKUP(AA114,'04_Status_Pipeline'!$B$3:$E$20,4,FALSE)="",0,VLOOKUP(AA114,'04_Status_Pipeline'!$B$3:$E$20,4,FALSE)),""))</t>
        </is>
      </c>
      <c r="AE114" s="32" t="inlineStr">
        <is>
          <t>IF(E114="","",IF(OR(Y114="Cancelled",AA114="Cancelled"),"Cancelled",IF(OR(AA114="Completed / Handover",W114&lt;&gt;"",X114&gt;=100),"Completed — on track",IF(L114="Remaining",IF(S114="",IF(V114="","No planned date",IF(TODAY()&gt;V114,"Behind — past planned date",IF(V114-TODAY()&lt;=30,"At risk — close to off track","On track"))),IF(TODAY()&gt;S114,"Behind — award date passed",IF(S114-TODAY()&lt;=30,"At risk — close to off track","On track"))),IF(V114="","No planned date",IF(AND(TODAY()&gt;V114,OR(X114="",X114&lt;100)),"Behind — past end date",IF(AND(R114&lt;&gt;"",V114&lt;&gt;"",X114&lt;&gt;"",(X114&lt;100),((TODAY()-R114)/MAX(V114-R114,1)*100)-X114&gt;15),"Behind — progress lag",IF(AND(V114-TODAY()&lt;=30,V114-TODAY()&gt;=0,OR(X114="",X114&lt;90)),"At risk — close to off track","On track"))))))))</t>
        </is>
      </c>
      <c r="AF114" s="38" t="inlineStr">
        <is>
          <t>IF(OR(E114="",AA114="Completed / Handover",AA114="Cancelled"),"",IF(L114="Remaining",IF(S114&lt;&gt;"",S114-TODAY(),IF(V114="","",V114-TODAY())),IF(V114="","",V114-TODAY())))</t>
        </is>
      </c>
      <c r="AG114" s="39" t="n"/>
      <c r="AH114" s="39" t="n"/>
      <c r="AI114" s="39" t="n"/>
      <c r="AJ114" s="39" t="n"/>
      <c r="AK114" s="39" t="n"/>
      <c r="AL114" s="39" t="n"/>
      <c r="AM114" s="39" t="n"/>
      <c r="AN114" s="39" t="n"/>
      <c r="AO114" s="39" t="n">
        <v>46140</v>
      </c>
      <c r="AP114" s="39" t="n">
        <v>46140</v>
      </c>
      <c r="AQ114" s="39" t="n">
        <v>46292</v>
      </c>
      <c r="AR114" s="40" t="n"/>
      <c r="AS114" s="40" t="n"/>
      <c r="AT114" s="40" t="n"/>
      <c r="AU114" s="38" t="inlineStr">
        <is>
          <t>IF(OR(E114="",AH114=""),"",IF(COUNT(AG114:AG114)=0,"",AH114-LOOKUP(2,1/(AG114:AG114&lt;&gt;""),AG114:AG114)))</t>
        </is>
      </c>
      <c r="AV114" s="38" t="inlineStr">
        <is>
          <t>IF(OR(E114="",AI114=""),"",IF(COUNT(AG114:AH114)=0,"",AI114-LOOKUP(2,1/(AG114:AH114&lt;&gt;""),AG114:AH114)))</t>
        </is>
      </c>
      <c r="AW114" s="38" t="inlineStr">
        <is>
          <t>IF(OR(E114="",AJ114=""),"",IF(COUNT(AG114:AI114)=0,"",AJ114-LOOKUP(2,1/(AG114:AI114&lt;&gt;""),AG114:AI114)))</t>
        </is>
      </c>
      <c r="AX114" s="38" t="inlineStr">
        <is>
          <t>IF(OR(E114="",AK114=""),"",IF(COUNT(AG114:AJ114)=0,"",AK114-LOOKUP(2,1/(AG114:AJ114&lt;&gt;""),AG114:AJ114)))</t>
        </is>
      </c>
      <c r="AY114" s="38" t="inlineStr">
        <is>
          <t>IF(OR(E114="",AL114=""),"",IF(COUNT(AG114:AK114)=0,"",AL114-LOOKUP(2,1/(AG114:AK114&lt;&gt;""),AG114:AK114)))</t>
        </is>
      </c>
      <c r="AZ114" s="38" t="inlineStr">
        <is>
          <t>IF(OR(E114="",AM114=""),"",IF(COUNT(AG114:AL114)=0,"",AM114-LOOKUP(2,1/(AG114:AL114&lt;&gt;""),AG114:AL114)))</t>
        </is>
      </c>
      <c r="BA114" s="38" t="inlineStr">
        <is>
          <t>IF(OR(E114="",AN114=""),"",IF(COUNT(AG114:AM114)=0,"",AN114-LOOKUP(2,1/(AG114:AM114&lt;&gt;""),AG114:AM114)))</t>
        </is>
      </c>
      <c r="BB114" s="38" t="inlineStr">
        <is>
          <t>IF(OR(E114="",AO114=""),"",IF(COUNT(AG114:AN114)=0,"",AO114-LOOKUP(2,1/(AG114:AN114&lt;&gt;""),AG114:AN114)))</t>
        </is>
      </c>
      <c r="BC114" s="38" t="inlineStr">
        <is>
          <t>IF(OR(E114="",AP114=""),"",IF(COUNT(AG114:AO114)=0,"",AP114-LOOKUP(2,1/(AG114:AO114&lt;&gt;""),AG114:AO114)))</t>
        </is>
      </c>
      <c r="BD114" s="38" t="inlineStr">
        <is>
          <t>IF(OR(E114="",AQ114=""),"",IF(COUNT(AG114:AP114)=0,"",AQ114-LOOKUP(2,1/(AG114:AP114&lt;&gt;""),AG114:AP114)))</t>
        </is>
      </c>
      <c r="BE114" s="38" t="inlineStr">
        <is>
          <t>IF(OR(E114="",AR114=""),"",IF(COUNT(AG114:AQ114)=0,"",AR114-LOOKUP(2,1/(AG114:AQ114&lt;&gt;""),AG114:AQ114)))</t>
        </is>
      </c>
      <c r="BF114" s="38" t="inlineStr">
        <is>
          <t>IF(OR(E114="",AS114=""),"",IF(COUNT(AG114:AR114)=0,"",AS114-LOOKUP(2,1/(AG114:AR114&lt;&gt;""),AG114:AR114)))</t>
        </is>
      </c>
      <c r="BG114" s="38" t="inlineStr">
        <is>
          <t>IF(OR(E114="",AT114=""),"",IF(COUNT(AG114:AS114)=0,"",AT114-LOOKUP(2,1/(AG114:AS114&lt;&gt;""),AG114:AS114)))</t>
        </is>
      </c>
      <c r="BH114" s="41" t="inlineStr">
        <is>
          <t>IF(G114="","All_Provinces",IFERROR(VLOOKUP(G114,'07_Lookups'!$A$4:$B$20,2,FALSE),"All_Provinces"))</t>
        </is>
      </c>
      <c r="BI114" s="41" t="inlineStr">
        <is>
          <t>IF(H114="","All_Districts",IFERROR(VLOOKUP(H114,'07_Lookups'!$E$4:$F$42,2,FALSE),"All_Districts"))</t>
        </is>
      </c>
    </row>
    <row r="115" ht="18" customHeight="1">
      <c r="A115" s="32" t="inlineStr">
        <is>
          <t>IF(E115="","",ROW()-3)</t>
        </is>
      </c>
      <c r="B115" s="42" t="inlineStr">
        <is>
          <t>AF2-WSM-A-046</t>
        </is>
      </c>
      <c r="C115" s="42" t="inlineStr">
        <is>
          <t>Emergency Food Security Project (EFSP) – WBK/AF-2</t>
        </is>
      </c>
      <c r="D115" s="42" t="inlineStr">
        <is>
          <t>Package #23-AF2 WSM: Construction of 1,Payazak, 2.Sharak, 3.Khairtot, and 4. Mula Hanifiya Check Dams, located in Shawalikot district of Kandahar province.</t>
        </is>
      </c>
      <c r="E115" s="42" t="inlineStr">
        <is>
          <t>Payazak Check Dam</t>
        </is>
      </c>
      <c r="F115" s="42" t="inlineStr">
        <is>
          <t>Check Dam</t>
        </is>
      </c>
      <c r="G115" s="42" t="inlineStr">
        <is>
          <t>South / Kandahar</t>
        </is>
      </c>
      <c r="H115" s="42" t="inlineStr">
        <is>
          <t>Kandahar</t>
        </is>
      </c>
      <c r="I115" s="42" t="inlineStr">
        <is>
          <t>Shawalikot</t>
        </is>
      </c>
      <c r="J115" s="42" t="inlineStr">
        <is>
          <t>Payazak</t>
        </is>
      </c>
      <c r="K115" s="42" t="inlineStr">
        <is>
          <t>World Bank (WBK/AF-2)</t>
        </is>
      </c>
      <c r="L115" s="42" t="inlineStr">
        <is>
          <t>Awarded</t>
        </is>
      </c>
      <c r="M115" s="42" t="inlineStr">
        <is>
          <t>Watershed / Check dam</t>
        </is>
      </c>
      <c r="N115" s="42" t="inlineStr">
        <is>
          <t>3.WSM awarded contracts</t>
        </is>
      </c>
      <c r="O115" s="42" t="inlineStr">
        <is>
          <t>Afghan Laser Engineering and Construction Company (ALCC)</t>
        </is>
      </c>
      <c r="P115" s="42" t="inlineStr">
        <is>
          <t>057/2026</t>
        </is>
      </c>
      <c r="Q115" s="43" t="n">
        <v>28065.1</v>
      </c>
      <c r="R115" s="35" t="inlineStr">
        <is>
          <t>IF(AO115="","",AO115)</t>
        </is>
      </c>
      <c r="S115" s="44" t="n"/>
      <c r="T115" s="45" t="n">
        <v>5</v>
      </c>
      <c r="U115" s="44" t="n">
        <v>46079</v>
      </c>
      <c r="V115" s="35" t="inlineStr">
        <is>
          <t>IF(U115&lt;&gt;"",U115,IF(OR(R115="",T115=""),"",EDATE(R115,T115)))</t>
        </is>
      </c>
      <c r="W115" s="44" t="n"/>
      <c r="X115" s="45" t="n">
        <v>0</v>
      </c>
      <c r="Y115" s="42" t="inlineStr">
        <is>
          <t>Completed / Handover</t>
        </is>
      </c>
      <c r="Z115" s="42" t="inlineStr">
        <is>
          <t>Completed on Sep, 2026</t>
        </is>
      </c>
      <c r="AA115" s="32" t="inlineStr">
        <is>
          <t>IF(E115="","",IF(COUNT(AG115:AT115)=0,IF(Y115="","Not started",Y115),SUBSTITUTE(LOOKUP(2,1/(AG115:AT115&lt;&gt;""),$AG$3:$AT$3),"Date: ","")))</t>
        </is>
      </c>
      <c r="AB115" s="38" t="inlineStr">
        <is>
          <t>IF(OR(E115="",COUNT(AG115:AT115)=0),"",TODAY()-LOOKUP(2,1/(AG115:AT115&lt;&gt;""),AG115:AT115))</t>
        </is>
      </c>
      <c r="AC115" s="38" t="inlineStr">
        <is>
          <t>IF(OR(E115="",COUNT(AG115:AT115)&lt;2),"",LOOKUP(2,1/(AG115:AT115&lt;&gt;""),AG115:AT115)-MIN(AG115:AT115))</t>
        </is>
      </c>
      <c r="AD115" s="38" t="inlineStr">
        <is>
          <t>IF(OR(AB115="",AA115="Not started",AA115=""),"",IFERROR(AB115-IF(VLOOKUP(AA115,'04_Status_Pipeline'!$B$3:$E$20,4,FALSE)="",0,VLOOKUP(AA115,'04_Status_Pipeline'!$B$3:$E$20,4,FALSE)),""))</t>
        </is>
      </c>
      <c r="AE115" s="32" t="inlineStr">
        <is>
          <t>IF(E115="","",IF(OR(Y115="Cancelled",AA115="Cancelled"),"Cancelled",IF(OR(AA115="Completed / Handover",W115&lt;&gt;"",X115&gt;=100),"Completed — on track",IF(L115="Remaining",IF(S115="",IF(V115="","No planned date",IF(TODAY()&gt;V115,"Behind — past planned date",IF(V115-TODAY()&lt;=30,"At risk — close to off track","On track"))),IF(TODAY()&gt;S115,"Behind — award date passed",IF(S115-TODAY()&lt;=30,"At risk — close to off track","On track"))),IF(V115="","No planned date",IF(AND(TODAY()&gt;V115,OR(X115="",X115&lt;100)),"Behind — past end date",IF(AND(R115&lt;&gt;"",V115&lt;&gt;"",X115&lt;&gt;"",(X115&lt;100),((TODAY()-R115)/MAX(V115-R115,1)*100)-X115&gt;15),"Behind — progress lag",IF(AND(V115-TODAY()&lt;=30,V115-TODAY()&gt;=0,OR(X115="",X115&lt;90)),"At risk — close to off track","On track"))))))))</t>
        </is>
      </c>
      <c r="AF115" s="38" t="inlineStr">
        <is>
          <t>IF(OR(E115="",AA115="Completed / Handover",AA115="Cancelled"),"",IF(L115="Remaining",IF(S115&lt;&gt;"",S115-TODAY(),IF(V115="","",V115-TODAY())),IF(V115="","",V115-TODAY())))</t>
        </is>
      </c>
      <c r="AG115" s="39" t="n"/>
      <c r="AH115" s="39" t="n"/>
      <c r="AI115" s="39" t="n"/>
      <c r="AJ115" s="39" t="n"/>
      <c r="AK115" s="39" t="n"/>
      <c r="AL115" s="39" t="n"/>
      <c r="AM115" s="39" t="n"/>
      <c r="AN115" s="39" t="n"/>
      <c r="AO115" s="39" t="n">
        <v>46261</v>
      </c>
      <c r="AP115" s="39" t="n">
        <v>46261</v>
      </c>
      <c r="AQ115" s="39" t="n">
        <v>46079</v>
      </c>
      <c r="AR115" s="40" t="n"/>
      <c r="AS115" s="40" t="n"/>
      <c r="AT115" s="40" t="n"/>
      <c r="AU115" s="38" t="inlineStr">
        <is>
          <t>IF(OR(E115="",AH115=""),"",IF(COUNT(AG115:AG115)=0,"",AH115-LOOKUP(2,1/(AG115:AG115&lt;&gt;""),AG115:AG115)))</t>
        </is>
      </c>
      <c r="AV115" s="38" t="inlineStr">
        <is>
          <t>IF(OR(E115="",AI115=""),"",IF(COUNT(AG115:AH115)=0,"",AI115-LOOKUP(2,1/(AG115:AH115&lt;&gt;""),AG115:AH115)))</t>
        </is>
      </c>
      <c r="AW115" s="38" t="inlineStr">
        <is>
          <t>IF(OR(E115="",AJ115=""),"",IF(COUNT(AG115:AI115)=0,"",AJ115-LOOKUP(2,1/(AG115:AI115&lt;&gt;""),AG115:AI115)))</t>
        </is>
      </c>
      <c r="AX115" s="38" t="inlineStr">
        <is>
          <t>IF(OR(E115="",AK115=""),"",IF(COUNT(AG115:AJ115)=0,"",AK115-LOOKUP(2,1/(AG115:AJ115&lt;&gt;""),AG115:AJ115)))</t>
        </is>
      </c>
      <c r="AY115" s="38" t="inlineStr">
        <is>
          <t>IF(OR(E115="",AL115=""),"",IF(COUNT(AG115:AK115)=0,"",AL115-LOOKUP(2,1/(AG115:AK115&lt;&gt;""),AG115:AK115)))</t>
        </is>
      </c>
      <c r="AZ115" s="38" t="inlineStr">
        <is>
          <t>IF(OR(E115="",AM115=""),"",IF(COUNT(AG115:AL115)=0,"",AM115-LOOKUP(2,1/(AG115:AL115&lt;&gt;""),AG115:AL115)))</t>
        </is>
      </c>
      <c r="BA115" s="38" t="inlineStr">
        <is>
          <t>IF(OR(E115="",AN115=""),"",IF(COUNT(AG115:AM115)=0,"",AN115-LOOKUP(2,1/(AG115:AM115&lt;&gt;""),AG115:AM115)))</t>
        </is>
      </c>
      <c r="BB115" s="38" t="inlineStr">
        <is>
          <t>IF(OR(E115="",AO115=""),"",IF(COUNT(AG115:AN115)=0,"",AO115-LOOKUP(2,1/(AG115:AN115&lt;&gt;""),AG115:AN115)))</t>
        </is>
      </c>
      <c r="BC115" s="38" t="inlineStr">
        <is>
          <t>IF(OR(E115="",AP115=""),"",IF(COUNT(AG115:AO115)=0,"",AP115-LOOKUP(2,1/(AG115:AO115&lt;&gt;""),AG115:AO115)))</t>
        </is>
      </c>
      <c r="BD115" s="38" t="inlineStr">
        <is>
          <t>IF(OR(E115="",AQ115=""),"",IF(COUNT(AG115:AP115)=0,"",AQ115-LOOKUP(2,1/(AG115:AP115&lt;&gt;""),AG115:AP115)))</t>
        </is>
      </c>
      <c r="BE115" s="38" t="inlineStr">
        <is>
          <t>IF(OR(E115="",AR115=""),"",IF(COUNT(AG115:AQ115)=0,"",AR115-LOOKUP(2,1/(AG115:AQ115&lt;&gt;""),AG115:AQ115)))</t>
        </is>
      </c>
      <c r="BF115" s="38" t="inlineStr">
        <is>
          <t>IF(OR(E115="",AS115=""),"",IF(COUNT(AG115:AR115)=0,"",AS115-LOOKUP(2,1/(AG115:AR115&lt;&gt;""),AG115:AR115)))</t>
        </is>
      </c>
      <c r="BG115" s="38" t="inlineStr">
        <is>
          <t>IF(OR(E115="",AT115=""),"",IF(COUNT(AG115:AS115)=0,"",AT115-LOOKUP(2,1/(AG115:AS115&lt;&gt;""),AG115:AS115)))</t>
        </is>
      </c>
      <c r="BH115" s="41" t="inlineStr">
        <is>
          <t>IF(G115="","All_Provinces",IFERROR(VLOOKUP(G115,'07_Lookups'!$A$4:$B$20,2,FALSE),"All_Provinces"))</t>
        </is>
      </c>
      <c r="BI115" s="41" t="inlineStr">
        <is>
          <t>IF(H115="","All_Districts",IFERROR(VLOOKUP(H115,'07_Lookups'!$E$4:$F$42,2,FALSE),"All_Districts"))</t>
        </is>
      </c>
    </row>
    <row r="116" ht="18" customHeight="1">
      <c r="A116" s="32" t="inlineStr">
        <is>
          <t>IF(E116="","",ROW()-3)</t>
        </is>
      </c>
      <c r="B116" s="33" t="inlineStr">
        <is>
          <t>AF2-WSM-A-047</t>
        </is>
      </c>
      <c r="C116" s="33" t="inlineStr">
        <is>
          <t>Emergency Food Security Project (EFSP) – WBK/AF-2</t>
        </is>
      </c>
      <c r="D116" s="33" t="inlineStr">
        <is>
          <t>Package #23-AF2 WSM: Construction of 1,Payazak, 2.Sharak, 3.Khairtot, and 4. Mula Hanifiya Check Dams, located in Shawalikot district of Kandahar province.</t>
        </is>
      </c>
      <c r="E116" s="33" t="inlineStr">
        <is>
          <t>Sharak Check Dam</t>
        </is>
      </c>
      <c r="F116" s="33" t="inlineStr">
        <is>
          <t>Check Dam</t>
        </is>
      </c>
      <c r="G116" s="33" t="inlineStr">
        <is>
          <t>South / Kandahar</t>
        </is>
      </c>
      <c r="H116" s="33" t="inlineStr">
        <is>
          <t>Kandahar</t>
        </is>
      </c>
      <c r="I116" s="33" t="inlineStr">
        <is>
          <t>Shawalikot</t>
        </is>
      </c>
      <c r="J116" s="33" t="inlineStr">
        <is>
          <t>Sharak</t>
        </is>
      </c>
      <c r="K116" s="33" t="inlineStr">
        <is>
          <t>World Bank (WBK/AF-2)</t>
        </is>
      </c>
      <c r="L116" s="33" t="inlineStr">
        <is>
          <t>Awarded</t>
        </is>
      </c>
      <c r="M116" s="33" t="inlineStr">
        <is>
          <t>Watershed / Check dam</t>
        </is>
      </c>
      <c r="N116" s="33" t="inlineStr">
        <is>
          <t>3.WSM awarded contracts</t>
        </is>
      </c>
      <c r="O116" s="33" t="inlineStr">
        <is>
          <t>Afghan Laser Engineering and Construction Company (ALCC)</t>
        </is>
      </c>
      <c r="P116" s="33" t="inlineStr">
        <is>
          <t>057/2026</t>
        </is>
      </c>
      <c r="Q116" s="34" t="n">
        <v>34142.26</v>
      </c>
      <c r="R116" s="35" t="inlineStr">
        <is>
          <t>IF(AO116="","",AO116)</t>
        </is>
      </c>
      <c r="S116" s="36" t="n"/>
      <c r="T116" s="37" t="n">
        <v>5</v>
      </c>
      <c r="U116" s="36" t="n">
        <v>46079</v>
      </c>
      <c r="V116" s="35" t="inlineStr">
        <is>
          <t>IF(U116&lt;&gt;"",U116,IF(OR(R116="",T116=""),"",EDATE(R116,T116)))</t>
        </is>
      </c>
      <c r="W116" s="36" t="n"/>
      <c r="X116" s="37" t="n">
        <v>0</v>
      </c>
      <c r="Y116" s="33" t="inlineStr">
        <is>
          <t>Completed / Handover</t>
        </is>
      </c>
      <c r="Z116" s="33" t="inlineStr">
        <is>
          <t>Completed on Sep, 2026</t>
        </is>
      </c>
      <c r="AA116" s="32" t="inlineStr">
        <is>
          <t>IF(E116="","",IF(COUNT(AG116:AT116)=0,IF(Y116="","Not started",Y116),SUBSTITUTE(LOOKUP(2,1/(AG116:AT116&lt;&gt;""),$AG$3:$AT$3),"Date: ","")))</t>
        </is>
      </c>
      <c r="AB116" s="38" t="inlineStr">
        <is>
          <t>IF(OR(E116="",COUNT(AG116:AT116)=0),"",TODAY()-LOOKUP(2,1/(AG116:AT116&lt;&gt;""),AG116:AT116))</t>
        </is>
      </c>
      <c r="AC116" s="38" t="inlineStr">
        <is>
          <t>IF(OR(E116="",COUNT(AG116:AT116)&lt;2),"",LOOKUP(2,1/(AG116:AT116&lt;&gt;""),AG116:AT116)-MIN(AG116:AT116))</t>
        </is>
      </c>
      <c r="AD116" s="38" t="inlineStr">
        <is>
          <t>IF(OR(AB116="",AA116="Not started",AA116=""),"",IFERROR(AB116-IF(VLOOKUP(AA116,'04_Status_Pipeline'!$B$3:$E$20,4,FALSE)="",0,VLOOKUP(AA116,'04_Status_Pipeline'!$B$3:$E$20,4,FALSE)),""))</t>
        </is>
      </c>
      <c r="AE116" s="32" t="inlineStr">
        <is>
          <t>IF(E116="","",IF(OR(Y116="Cancelled",AA116="Cancelled"),"Cancelled",IF(OR(AA116="Completed / Handover",W116&lt;&gt;"",X116&gt;=100),"Completed — on track",IF(L116="Remaining",IF(S116="",IF(V116="","No planned date",IF(TODAY()&gt;V116,"Behind — past planned date",IF(V116-TODAY()&lt;=30,"At risk — close to off track","On track"))),IF(TODAY()&gt;S116,"Behind — award date passed",IF(S116-TODAY()&lt;=30,"At risk — close to off track","On track"))),IF(V116="","No planned date",IF(AND(TODAY()&gt;V116,OR(X116="",X116&lt;100)),"Behind — past end date",IF(AND(R116&lt;&gt;"",V116&lt;&gt;"",X116&lt;&gt;"",(X116&lt;100),((TODAY()-R116)/MAX(V116-R116,1)*100)-X116&gt;15),"Behind — progress lag",IF(AND(V116-TODAY()&lt;=30,V116-TODAY()&gt;=0,OR(X116="",X116&lt;90)),"At risk — close to off track","On track"))))))))</t>
        </is>
      </c>
      <c r="AF116" s="38" t="inlineStr">
        <is>
          <t>IF(OR(E116="",AA116="Completed / Handover",AA116="Cancelled"),"",IF(L116="Remaining",IF(S116&lt;&gt;"",S116-TODAY(),IF(V116="","",V116-TODAY())),IF(V116="","",V116-TODAY())))</t>
        </is>
      </c>
      <c r="AG116" s="39" t="n"/>
      <c r="AH116" s="39" t="n"/>
      <c r="AI116" s="39" t="n"/>
      <c r="AJ116" s="39" t="n"/>
      <c r="AK116" s="39" t="n"/>
      <c r="AL116" s="39" t="n"/>
      <c r="AM116" s="39" t="n"/>
      <c r="AN116" s="39" t="n"/>
      <c r="AO116" s="39" t="n">
        <v>46261</v>
      </c>
      <c r="AP116" s="39" t="n">
        <v>46261</v>
      </c>
      <c r="AQ116" s="39" t="n">
        <v>46079</v>
      </c>
      <c r="AR116" s="40" t="n"/>
      <c r="AS116" s="40" t="n"/>
      <c r="AT116" s="40" t="n"/>
      <c r="AU116" s="38" t="inlineStr">
        <is>
          <t>IF(OR(E116="",AH116=""),"",IF(COUNT(AG116:AG116)=0,"",AH116-LOOKUP(2,1/(AG116:AG116&lt;&gt;""),AG116:AG116)))</t>
        </is>
      </c>
      <c r="AV116" s="38" t="inlineStr">
        <is>
          <t>IF(OR(E116="",AI116=""),"",IF(COUNT(AG116:AH116)=0,"",AI116-LOOKUP(2,1/(AG116:AH116&lt;&gt;""),AG116:AH116)))</t>
        </is>
      </c>
      <c r="AW116" s="38" t="inlineStr">
        <is>
          <t>IF(OR(E116="",AJ116=""),"",IF(COUNT(AG116:AI116)=0,"",AJ116-LOOKUP(2,1/(AG116:AI116&lt;&gt;""),AG116:AI116)))</t>
        </is>
      </c>
      <c r="AX116" s="38" t="inlineStr">
        <is>
          <t>IF(OR(E116="",AK116=""),"",IF(COUNT(AG116:AJ116)=0,"",AK116-LOOKUP(2,1/(AG116:AJ116&lt;&gt;""),AG116:AJ116)))</t>
        </is>
      </c>
      <c r="AY116" s="38" t="inlineStr">
        <is>
          <t>IF(OR(E116="",AL116=""),"",IF(COUNT(AG116:AK116)=0,"",AL116-LOOKUP(2,1/(AG116:AK116&lt;&gt;""),AG116:AK116)))</t>
        </is>
      </c>
      <c r="AZ116" s="38" t="inlineStr">
        <is>
          <t>IF(OR(E116="",AM116=""),"",IF(COUNT(AG116:AL116)=0,"",AM116-LOOKUP(2,1/(AG116:AL116&lt;&gt;""),AG116:AL116)))</t>
        </is>
      </c>
      <c r="BA116" s="38" t="inlineStr">
        <is>
          <t>IF(OR(E116="",AN116=""),"",IF(COUNT(AG116:AM116)=0,"",AN116-LOOKUP(2,1/(AG116:AM116&lt;&gt;""),AG116:AM116)))</t>
        </is>
      </c>
      <c r="BB116" s="38" t="inlineStr">
        <is>
          <t>IF(OR(E116="",AO116=""),"",IF(COUNT(AG116:AN116)=0,"",AO116-LOOKUP(2,1/(AG116:AN116&lt;&gt;""),AG116:AN116)))</t>
        </is>
      </c>
      <c r="BC116" s="38" t="inlineStr">
        <is>
          <t>IF(OR(E116="",AP116=""),"",IF(COUNT(AG116:AO116)=0,"",AP116-LOOKUP(2,1/(AG116:AO116&lt;&gt;""),AG116:AO116)))</t>
        </is>
      </c>
      <c r="BD116" s="38" t="inlineStr">
        <is>
          <t>IF(OR(E116="",AQ116=""),"",IF(COUNT(AG116:AP116)=0,"",AQ116-LOOKUP(2,1/(AG116:AP116&lt;&gt;""),AG116:AP116)))</t>
        </is>
      </c>
      <c r="BE116" s="38" t="inlineStr">
        <is>
          <t>IF(OR(E116="",AR116=""),"",IF(COUNT(AG116:AQ116)=0,"",AR116-LOOKUP(2,1/(AG116:AQ116&lt;&gt;""),AG116:AQ116)))</t>
        </is>
      </c>
      <c r="BF116" s="38" t="inlineStr">
        <is>
          <t>IF(OR(E116="",AS116=""),"",IF(COUNT(AG116:AR116)=0,"",AS116-LOOKUP(2,1/(AG116:AR116&lt;&gt;""),AG116:AR116)))</t>
        </is>
      </c>
      <c r="BG116" s="38" t="inlineStr">
        <is>
          <t>IF(OR(E116="",AT116=""),"",IF(COUNT(AG116:AS116)=0,"",AT116-LOOKUP(2,1/(AG116:AS116&lt;&gt;""),AG116:AS116)))</t>
        </is>
      </c>
      <c r="BH116" s="41" t="inlineStr">
        <is>
          <t>IF(G116="","All_Provinces",IFERROR(VLOOKUP(G116,'07_Lookups'!$A$4:$B$20,2,FALSE),"All_Provinces"))</t>
        </is>
      </c>
      <c r="BI116" s="41" t="inlineStr">
        <is>
          <t>IF(H116="","All_Districts",IFERROR(VLOOKUP(H116,'07_Lookups'!$E$4:$F$42,2,FALSE),"All_Districts"))</t>
        </is>
      </c>
    </row>
    <row r="117" ht="18" customHeight="1">
      <c r="A117" s="32" t="inlineStr">
        <is>
          <t>IF(E117="","",ROW()-3)</t>
        </is>
      </c>
      <c r="B117" s="42" t="inlineStr">
        <is>
          <t>AF2-WSM-A-048</t>
        </is>
      </c>
      <c r="C117" s="42" t="inlineStr">
        <is>
          <t>Emergency Food Security Project (EFSP) – WBK/AF-2</t>
        </is>
      </c>
      <c r="D117" s="42" t="inlineStr">
        <is>
          <t>Package #23-AF2 WSM: Construction of 1,Payazak, 2.Sharak, 3.Khairtot, and 4. Mula Hanifiya Check Dams, located in Shawalikot district of Kandahar province.</t>
        </is>
      </c>
      <c r="E117" s="42" t="inlineStr">
        <is>
          <t>Khairtot Check Dam</t>
        </is>
      </c>
      <c r="F117" s="42" t="inlineStr">
        <is>
          <t>Check Dam</t>
        </is>
      </c>
      <c r="G117" s="42" t="inlineStr">
        <is>
          <t>South / Kandahar</t>
        </is>
      </c>
      <c r="H117" s="42" t="inlineStr">
        <is>
          <t>Kandahar</t>
        </is>
      </c>
      <c r="I117" s="42" t="inlineStr">
        <is>
          <t>Shawalikot</t>
        </is>
      </c>
      <c r="J117" s="42" t="inlineStr">
        <is>
          <t>Khairtot</t>
        </is>
      </c>
      <c r="K117" s="42" t="inlineStr">
        <is>
          <t>World Bank (WBK/AF-2)</t>
        </is>
      </c>
      <c r="L117" s="42" t="inlineStr">
        <is>
          <t>Awarded</t>
        </is>
      </c>
      <c r="M117" s="42" t="inlineStr">
        <is>
          <t>Watershed / Check dam</t>
        </is>
      </c>
      <c r="N117" s="42" t="inlineStr">
        <is>
          <t>3.WSM awarded contracts</t>
        </is>
      </c>
      <c r="O117" s="42" t="inlineStr">
        <is>
          <t>Afghan Laser Engineering and Construction Company (ALCC)</t>
        </is>
      </c>
      <c r="P117" s="42" t="inlineStr">
        <is>
          <t>057/2026</t>
        </is>
      </c>
      <c r="Q117" s="43" t="n">
        <v>34668.62</v>
      </c>
      <c r="R117" s="35" t="inlineStr">
        <is>
          <t>IF(AO117="","",AO117)</t>
        </is>
      </c>
      <c r="S117" s="44" t="n"/>
      <c r="T117" s="45" t="n">
        <v>5</v>
      </c>
      <c r="U117" s="44" t="n">
        <v>46079</v>
      </c>
      <c r="V117" s="35" t="inlineStr">
        <is>
          <t>IF(U117&lt;&gt;"",U117,IF(OR(R117="",T117=""),"",EDATE(R117,T117)))</t>
        </is>
      </c>
      <c r="W117" s="44" t="n"/>
      <c r="X117" s="45" t="n">
        <v>0</v>
      </c>
      <c r="Y117" s="42" t="inlineStr">
        <is>
          <t>Completed / Handover</t>
        </is>
      </c>
      <c r="Z117" s="42" t="inlineStr">
        <is>
          <t>Completed on Sep, 2026</t>
        </is>
      </c>
      <c r="AA117" s="32" t="inlineStr">
        <is>
          <t>IF(E117="","",IF(COUNT(AG117:AT117)=0,IF(Y117="","Not started",Y117),SUBSTITUTE(LOOKUP(2,1/(AG117:AT117&lt;&gt;""),$AG$3:$AT$3),"Date: ","")))</t>
        </is>
      </c>
      <c r="AB117" s="38" t="inlineStr">
        <is>
          <t>IF(OR(E117="",COUNT(AG117:AT117)=0),"",TODAY()-LOOKUP(2,1/(AG117:AT117&lt;&gt;""),AG117:AT117))</t>
        </is>
      </c>
      <c r="AC117" s="38" t="inlineStr">
        <is>
          <t>IF(OR(E117="",COUNT(AG117:AT117)&lt;2),"",LOOKUP(2,1/(AG117:AT117&lt;&gt;""),AG117:AT117)-MIN(AG117:AT117))</t>
        </is>
      </c>
      <c r="AD117" s="38" t="inlineStr">
        <is>
          <t>IF(OR(AB117="",AA117="Not started",AA117=""),"",IFERROR(AB117-IF(VLOOKUP(AA117,'04_Status_Pipeline'!$B$3:$E$20,4,FALSE)="",0,VLOOKUP(AA117,'04_Status_Pipeline'!$B$3:$E$20,4,FALSE)),""))</t>
        </is>
      </c>
      <c r="AE117" s="32" t="inlineStr">
        <is>
          <t>IF(E117="","",IF(OR(Y117="Cancelled",AA117="Cancelled"),"Cancelled",IF(OR(AA117="Completed / Handover",W117&lt;&gt;"",X117&gt;=100),"Completed — on track",IF(L117="Remaining",IF(S117="",IF(V117="","No planned date",IF(TODAY()&gt;V117,"Behind — past planned date",IF(V117-TODAY()&lt;=30,"At risk — close to off track","On track"))),IF(TODAY()&gt;S117,"Behind — award date passed",IF(S117-TODAY()&lt;=30,"At risk — close to off track","On track"))),IF(V117="","No planned date",IF(AND(TODAY()&gt;V117,OR(X117="",X117&lt;100)),"Behind — past end date",IF(AND(R117&lt;&gt;"",V117&lt;&gt;"",X117&lt;&gt;"",(X117&lt;100),((TODAY()-R117)/MAX(V117-R117,1)*100)-X117&gt;15),"Behind — progress lag",IF(AND(V117-TODAY()&lt;=30,V117-TODAY()&gt;=0,OR(X117="",X117&lt;90)),"At risk — close to off track","On track"))))))))</t>
        </is>
      </c>
      <c r="AF117" s="38" t="inlineStr">
        <is>
          <t>IF(OR(E117="",AA117="Completed / Handover",AA117="Cancelled"),"",IF(L117="Remaining",IF(S117&lt;&gt;"",S117-TODAY(),IF(V117="","",V117-TODAY())),IF(V117="","",V117-TODAY())))</t>
        </is>
      </c>
      <c r="AG117" s="39" t="n"/>
      <c r="AH117" s="39" t="n"/>
      <c r="AI117" s="39" t="n"/>
      <c r="AJ117" s="39" t="n"/>
      <c r="AK117" s="39" t="n"/>
      <c r="AL117" s="39" t="n"/>
      <c r="AM117" s="39" t="n"/>
      <c r="AN117" s="39" t="n"/>
      <c r="AO117" s="39" t="n">
        <v>46261</v>
      </c>
      <c r="AP117" s="39" t="n">
        <v>46261</v>
      </c>
      <c r="AQ117" s="39" t="n">
        <v>46079</v>
      </c>
      <c r="AR117" s="40" t="n"/>
      <c r="AS117" s="40" t="n"/>
      <c r="AT117" s="40" t="n"/>
      <c r="AU117" s="38" t="inlineStr">
        <is>
          <t>IF(OR(E117="",AH117=""),"",IF(COUNT(AG117:AG117)=0,"",AH117-LOOKUP(2,1/(AG117:AG117&lt;&gt;""),AG117:AG117)))</t>
        </is>
      </c>
      <c r="AV117" s="38" t="inlineStr">
        <is>
          <t>IF(OR(E117="",AI117=""),"",IF(COUNT(AG117:AH117)=0,"",AI117-LOOKUP(2,1/(AG117:AH117&lt;&gt;""),AG117:AH117)))</t>
        </is>
      </c>
      <c r="AW117" s="38" t="inlineStr">
        <is>
          <t>IF(OR(E117="",AJ117=""),"",IF(COUNT(AG117:AI117)=0,"",AJ117-LOOKUP(2,1/(AG117:AI117&lt;&gt;""),AG117:AI117)))</t>
        </is>
      </c>
      <c r="AX117" s="38" t="inlineStr">
        <is>
          <t>IF(OR(E117="",AK117=""),"",IF(COUNT(AG117:AJ117)=0,"",AK117-LOOKUP(2,1/(AG117:AJ117&lt;&gt;""),AG117:AJ117)))</t>
        </is>
      </c>
      <c r="AY117" s="38" t="inlineStr">
        <is>
          <t>IF(OR(E117="",AL117=""),"",IF(COUNT(AG117:AK117)=0,"",AL117-LOOKUP(2,1/(AG117:AK117&lt;&gt;""),AG117:AK117)))</t>
        </is>
      </c>
      <c r="AZ117" s="38" t="inlineStr">
        <is>
          <t>IF(OR(E117="",AM117=""),"",IF(COUNT(AG117:AL117)=0,"",AM117-LOOKUP(2,1/(AG117:AL117&lt;&gt;""),AG117:AL117)))</t>
        </is>
      </c>
      <c r="BA117" s="38" t="inlineStr">
        <is>
          <t>IF(OR(E117="",AN117=""),"",IF(COUNT(AG117:AM117)=0,"",AN117-LOOKUP(2,1/(AG117:AM117&lt;&gt;""),AG117:AM117)))</t>
        </is>
      </c>
      <c r="BB117" s="38" t="inlineStr">
        <is>
          <t>IF(OR(E117="",AO117=""),"",IF(COUNT(AG117:AN117)=0,"",AO117-LOOKUP(2,1/(AG117:AN117&lt;&gt;""),AG117:AN117)))</t>
        </is>
      </c>
      <c r="BC117" s="38" t="inlineStr">
        <is>
          <t>IF(OR(E117="",AP117=""),"",IF(COUNT(AG117:AO117)=0,"",AP117-LOOKUP(2,1/(AG117:AO117&lt;&gt;""),AG117:AO117)))</t>
        </is>
      </c>
      <c r="BD117" s="38" t="inlineStr">
        <is>
          <t>IF(OR(E117="",AQ117=""),"",IF(COUNT(AG117:AP117)=0,"",AQ117-LOOKUP(2,1/(AG117:AP117&lt;&gt;""),AG117:AP117)))</t>
        </is>
      </c>
      <c r="BE117" s="38" t="inlineStr">
        <is>
          <t>IF(OR(E117="",AR117=""),"",IF(COUNT(AG117:AQ117)=0,"",AR117-LOOKUP(2,1/(AG117:AQ117&lt;&gt;""),AG117:AQ117)))</t>
        </is>
      </c>
      <c r="BF117" s="38" t="inlineStr">
        <is>
          <t>IF(OR(E117="",AS117=""),"",IF(COUNT(AG117:AR117)=0,"",AS117-LOOKUP(2,1/(AG117:AR117&lt;&gt;""),AG117:AR117)))</t>
        </is>
      </c>
      <c r="BG117" s="38" t="inlineStr">
        <is>
          <t>IF(OR(E117="",AT117=""),"",IF(COUNT(AG117:AS117)=0,"",AT117-LOOKUP(2,1/(AG117:AS117&lt;&gt;""),AG117:AS117)))</t>
        </is>
      </c>
      <c r="BH117" s="41" t="inlineStr">
        <is>
          <t>IF(G117="","All_Provinces",IFERROR(VLOOKUP(G117,'07_Lookups'!$A$4:$B$20,2,FALSE),"All_Provinces"))</t>
        </is>
      </c>
      <c r="BI117" s="41" t="inlineStr">
        <is>
          <t>IF(H117="","All_Districts",IFERROR(VLOOKUP(H117,'07_Lookups'!$E$4:$F$42,2,FALSE),"All_Districts"))</t>
        </is>
      </c>
    </row>
    <row r="118" ht="18" customHeight="1">
      <c r="A118" s="32" t="inlineStr">
        <is>
          <t>IF(E118="","",ROW()-3)</t>
        </is>
      </c>
      <c r="B118" s="33" t="inlineStr">
        <is>
          <t>AF2-WSM-A-049</t>
        </is>
      </c>
      <c r="C118" s="33" t="inlineStr">
        <is>
          <t>Emergency Food Security Project (EFSP) – WBK/AF-2</t>
        </is>
      </c>
      <c r="D118" s="33" t="inlineStr">
        <is>
          <t>Package #23-AF2 WSM: Construction of 1,Payazak, 2.Sharak, 3.Khairtot, and 4. Mula Hanifiya Check Dams, located in Shawalikot district of Kandahar province.</t>
        </is>
      </c>
      <c r="E118" s="33" t="inlineStr">
        <is>
          <t>Mula Hanifiya Check Dam</t>
        </is>
      </c>
      <c r="F118" s="33" t="inlineStr">
        <is>
          <t>Check Dam</t>
        </is>
      </c>
      <c r="G118" s="33" t="inlineStr">
        <is>
          <t>South / Kandahar</t>
        </is>
      </c>
      <c r="H118" s="33" t="inlineStr">
        <is>
          <t>Kandahar</t>
        </is>
      </c>
      <c r="I118" s="33" t="inlineStr">
        <is>
          <t>Shawalikot</t>
        </is>
      </c>
      <c r="J118" s="33" t="inlineStr">
        <is>
          <t>Mula Hanifiya</t>
        </is>
      </c>
      <c r="K118" s="33" t="inlineStr">
        <is>
          <t>World Bank (WBK/AF-2)</t>
        </is>
      </c>
      <c r="L118" s="33" t="inlineStr">
        <is>
          <t>Awarded</t>
        </is>
      </c>
      <c r="M118" s="33" t="inlineStr">
        <is>
          <t>Watershed / Check dam</t>
        </is>
      </c>
      <c r="N118" s="33" t="inlineStr">
        <is>
          <t>3.WSM awarded contracts</t>
        </is>
      </c>
      <c r="O118" s="33" t="inlineStr">
        <is>
          <t>Afghan Laser Engineering and Construction Company (ALCC)</t>
        </is>
      </c>
      <c r="P118" s="33" t="inlineStr">
        <is>
          <t>057/2026</t>
        </is>
      </c>
      <c r="Q118" s="34" t="n">
        <v>27314.98</v>
      </c>
      <c r="R118" s="35" t="inlineStr">
        <is>
          <t>IF(AO118="","",AO118)</t>
        </is>
      </c>
      <c r="S118" s="36" t="n"/>
      <c r="T118" s="37" t="n">
        <v>5</v>
      </c>
      <c r="U118" s="36" t="n">
        <v>46079</v>
      </c>
      <c r="V118" s="35" t="inlineStr">
        <is>
          <t>IF(U118&lt;&gt;"",U118,IF(OR(R118="",T118=""),"",EDATE(R118,T118)))</t>
        </is>
      </c>
      <c r="W118" s="36" t="n"/>
      <c r="X118" s="37" t="n">
        <v>0</v>
      </c>
      <c r="Y118" s="33" t="inlineStr">
        <is>
          <t>Completed / Handover</t>
        </is>
      </c>
      <c r="Z118" s="33" t="inlineStr">
        <is>
          <t>Completed on Sep, 2026</t>
        </is>
      </c>
      <c r="AA118" s="32" t="inlineStr">
        <is>
          <t>IF(E118="","",IF(COUNT(AG118:AT118)=0,IF(Y118="","Not started",Y118),SUBSTITUTE(LOOKUP(2,1/(AG118:AT118&lt;&gt;""),$AG$3:$AT$3),"Date: ","")))</t>
        </is>
      </c>
      <c r="AB118" s="38" t="inlineStr">
        <is>
          <t>IF(OR(E118="",COUNT(AG118:AT118)=0),"",TODAY()-LOOKUP(2,1/(AG118:AT118&lt;&gt;""),AG118:AT118))</t>
        </is>
      </c>
      <c r="AC118" s="38" t="inlineStr">
        <is>
          <t>IF(OR(E118="",COUNT(AG118:AT118)&lt;2),"",LOOKUP(2,1/(AG118:AT118&lt;&gt;""),AG118:AT118)-MIN(AG118:AT118))</t>
        </is>
      </c>
      <c r="AD118" s="38" t="inlineStr">
        <is>
          <t>IF(OR(AB118="",AA118="Not started",AA118=""),"",IFERROR(AB118-IF(VLOOKUP(AA118,'04_Status_Pipeline'!$B$3:$E$20,4,FALSE)="",0,VLOOKUP(AA118,'04_Status_Pipeline'!$B$3:$E$20,4,FALSE)),""))</t>
        </is>
      </c>
      <c r="AE118" s="32" t="inlineStr">
        <is>
          <t>IF(E118="","",IF(OR(Y118="Cancelled",AA118="Cancelled"),"Cancelled",IF(OR(AA118="Completed / Handover",W118&lt;&gt;"",X118&gt;=100),"Completed — on track",IF(L118="Remaining",IF(S118="",IF(V118="","No planned date",IF(TODAY()&gt;V118,"Behind — past planned date",IF(V118-TODAY()&lt;=30,"At risk — close to off track","On track"))),IF(TODAY()&gt;S118,"Behind — award date passed",IF(S118-TODAY()&lt;=30,"At risk — close to off track","On track"))),IF(V118="","No planned date",IF(AND(TODAY()&gt;V118,OR(X118="",X118&lt;100)),"Behind — past end date",IF(AND(R118&lt;&gt;"",V118&lt;&gt;"",X118&lt;&gt;"",(X118&lt;100),((TODAY()-R118)/MAX(V118-R118,1)*100)-X118&gt;15),"Behind — progress lag",IF(AND(V118-TODAY()&lt;=30,V118-TODAY()&gt;=0,OR(X118="",X118&lt;90)),"At risk — close to off track","On track"))))))))</t>
        </is>
      </c>
      <c r="AF118" s="38" t="inlineStr">
        <is>
          <t>IF(OR(E118="",AA118="Completed / Handover",AA118="Cancelled"),"",IF(L118="Remaining",IF(S118&lt;&gt;"",S118-TODAY(),IF(V118="","",V118-TODAY())),IF(V118="","",V118-TODAY())))</t>
        </is>
      </c>
      <c r="AG118" s="39" t="n"/>
      <c r="AH118" s="39" t="n"/>
      <c r="AI118" s="39" t="n"/>
      <c r="AJ118" s="39" t="n"/>
      <c r="AK118" s="39" t="n"/>
      <c r="AL118" s="39" t="n"/>
      <c r="AM118" s="39" t="n"/>
      <c r="AN118" s="39" t="n"/>
      <c r="AO118" s="39" t="n">
        <v>46261</v>
      </c>
      <c r="AP118" s="39" t="n">
        <v>46261</v>
      </c>
      <c r="AQ118" s="39" t="n">
        <v>46079</v>
      </c>
      <c r="AR118" s="40" t="n"/>
      <c r="AS118" s="40" t="n"/>
      <c r="AT118" s="40" t="n"/>
      <c r="AU118" s="38" t="inlineStr">
        <is>
          <t>IF(OR(E118="",AH118=""),"",IF(COUNT(AG118:AG118)=0,"",AH118-LOOKUP(2,1/(AG118:AG118&lt;&gt;""),AG118:AG118)))</t>
        </is>
      </c>
      <c r="AV118" s="38" t="inlineStr">
        <is>
          <t>IF(OR(E118="",AI118=""),"",IF(COUNT(AG118:AH118)=0,"",AI118-LOOKUP(2,1/(AG118:AH118&lt;&gt;""),AG118:AH118)))</t>
        </is>
      </c>
      <c r="AW118" s="38" t="inlineStr">
        <is>
          <t>IF(OR(E118="",AJ118=""),"",IF(COUNT(AG118:AI118)=0,"",AJ118-LOOKUP(2,1/(AG118:AI118&lt;&gt;""),AG118:AI118)))</t>
        </is>
      </c>
      <c r="AX118" s="38" t="inlineStr">
        <is>
          <t>IF(OR(E118="",AK118=""),"",IF(COUNT(AG118:AJ118)=0,"",AK118-LOOKUP(2,1/(AG118:AJ118&lt;&gt;""),AG118:AJ118)))</t>
        </is>
      </c>
      <c r="AY118" s="38" t="inlineStr">
        <is>
          <t>IF(OR(E118="",AL118=""),"",IF(COUNT(AG118:AK118)=0,"",AL118-LOOKUP(2,1/(AG118:AK118&lt;&gt;""),AG118:AK118)))</t>
        </is>
      </c>
      <c r="AZ118" s="38" t="inlineStr">
        <is>
          <t>IF(OR(E118="",AM118=""),"",IF(COUNT(AG118:AL118)=0,"",AM118-LOOKUP(2,1/(AG118:AL118&lt;&gt;""),AG118:AL118)))</t>
        </is>
      </c>
      <c r="BA118" s="38" t="inlineStr">
        <is>
          <t>IF(OR(E118="",AN118=""),"",IF(COUNT(AG118:AM118)=0,"",AN118-LOOKUP(2,1/(AG118:AM118&lt;&gt;""),AG118:AM118)))</t>
        </is>
      </c>
      <c r="BB118" s="38" t="inlineStr">
        <is>
          <t>IF(OR(E118="",AO118=""),"",IF(COUNT(AG118:AN118)=0,"",AO118-LOOKUP(2,1/(AG118:AN118&lt;&gt;""),AG118:AN118)))</t>
        </is>
      </c>
      <c r="BC118" s="38" t="inlineStr">
        <is>
          <t>IF(OR(E118="",AP118=""),"",IF(COUNT(AG118:AO118)=0,"",AP118-LOOKUP(2,1/(AG118:AO118&lt;&gt;""),AG118:AO118)))</t>
        </is>
      </c>
      <c r="BD118" s="38" t="inlineStr">
        <is>
          <t>IF(OR(E118="",AQ118=""),"",IF(COUNT(AG118:AP118)=0,"",AQ118-LOOKUP(2,1/(AG118:AP118&lt;&gt;""),AG118:AP118)))</t>
        </is>
      </c>
      <c r="BE118" s="38" t="inlineStr">
        <is>
          <t>IF(OR(E118="",AR118=""),"",IF(COUNT(AG118:AQ118)=0,"",AR118-LOOKUP(2,1/(AG118:AQ118&lt;&gt;""),AG118:AQ118)))</t>
        </is>
      </c>
      <c r="BF118" s="38" t="inlineStr">
        <is>
          <t>IF(OR(E118="",AS118=""),"",IF(COUNT(AG118:AR118)=0,"",AS118-LOOKUP(2,1/(AG118:AR118&lt;&gt;""),AG118:AR118)))</t>
        </is>
      </c>
      <c r="BG118" s="38" t="inlineStr">
        <is>
          <t>IF(OR(E118="",AT118=""),"",IF(COUNT(AG118:AS118)=0,"",AT118-LOOKUP(2,1/(AG118:AS118&lt;&gt;""),AG118:AS118)))</t>
        </is>
      </c>
      <c r="BH118" s="41" t="inlineStr">
        <is>
          <t>IF(G118="","All_Provinces",IFERROR(VLOOKUP(G118,'07_Lookups'!$A$4:$B$20,2,FALSE),"All_Provinces"))</t>
        </is>
      </c>
      <c r="BI118" s="41" t="inlineStr">
        <is>
          <t>IF(H118="","All_Districts",IFERROR(VLOOKUP(H118,'07_Lookups'!$E$4:$F$42,2,FALSE),"All_Districts"))</t>
        </is>
      </c>
    </row>
    <row r="119" ht="18" customHeight="1">
      <c r="A119" s="32" t="inlineStr">
        <is>
          <t>IF(E119="","",ROW()-3)</t>
        </is>
      </c>
      <c r="B119" s="42" t="inlineStr">
        <is>
          <t>AF2-WSM-A-050</t>
        </is>
      </c>
      <c r="C119" s="42" t="inlineStr">
        <is>
          <t>Emergency Food Security Project (EFSP) – WBK/AF-2</t>
        </is>
      </c>
      <c r="D119" s="42"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19" s="42" t="inlineStr">
        <is>
          <t>1. Yawol Ha Check Dam-1</t>
        </is>
      </c>
      <c r="F119" s="42" t="inlineStr">
        <is>
          <t>Check Dam</t>
        </is>
      </c>
      <c r="G119" s="42" t="inlineStr">
        <is>
          <t>Northeast / Kunduz</t>
        </is>
      </c>
      <c r="H119" s="42" t="inlineStr">
        <is>
          <t>Badakhshan</t>
        </is>
      </c>
      <c r="I119" s="42" t="inlineStr">
        <is>
          <t>Teshkan</t>
        </is>
      </c>
      <c r="J119" s="42" t="inlineStr">
        <is>
          <t>Yawol Ha-1</t>
        </is>
      </c>
      <c r="K119" s="42" t="inlineStr">
        <is>
          <t>World Bank (WBK/AF-2)</t>
        </is>
      </c>
      <c r="L119" s="42" t="inlineStr">
        <is>
          <t>Awarded</t>
        </is>
      </c>
      <c r="M119" s="42" t="inlineStr">
        <is>
          <t>Watershed / Check dam</t>
        </is>
      </c>
      <c r="N119" s="42" t="inlineStr">
        <is>
          <t>3.WSM awarded contracts</t>
        </is>
      </c>
      <c r="O119" s="42" t="inlineStr">
        <is>
          <t>Faiz Qurbani Construction Company (FQCC)</t>
        </is>
      </c>
      <c r="P119" s="42" t="inlineStr">
        <is>
          <t>027/2026</t>
        </is>
      </c>
      <c r="Q119" s="43" t="n">
        <v>28489.9</v>
      </c>
      <c r="R119" s="35" t="inlineStr">
        <is>
          <t>IF(AO119="","",AO119)</t>
        </is>
      </c>
      <c r="S119" s="44" t="n"/>
      <c r="T119" s="45" t="n">
        <v>7</v>
      </c>
      <c r="U119" s="44" t="n">
        <v>46334</v>
      </c>
      <c r="V119" s="35" t="inlineStr">
        <is>
          <t>IF(U119&lt;&gt;"",U119,IF(OR(R119="",T119=""),"",EDATE(R119,T119)))</t>
        </is>
      </c>
      <c r="W119" s="44" t="n"/>
      <c r="X119" s="45" t="n">
        <v>10</v>
      </c>
      <c r="Y119" s="42" t="inlineStr">
        <is>
          <t>Completed / Handover</t>
        </is>
      </c>
      <c r="Z119" s="42" t="inlineStr">
        <is>
          <t>Completed on Sep, 2026</t>
        </is>
      </c>
      <c r="AA119" s="32" t="inlineStr">
        <is>
          <t>IF(E119="","",IF(COUNT(AG119:AT119)=0,IF(Y119="","Not started",Y119),SUBSTITUTE(LOOKUP(2,1/(AG119:AT119&lt;&gt;""),$AG$3:$AT$3),"Date: ","")))</t>
        </is>
      </c>
      <c r="AB119" s="38" t="inlineStr">
        <is>
          <t>IF(OR(E119="",COUNT(AG119:AT119)=0),"",TODAY()-LOOKUP(2,1/(AG119:AT119&lt;&gt;""),AG119:AT119))</t>
        </is>
      </c>
      <c r="AC119" s="38" t="inlineStr">
        <is>
          <t>IF(OR(E119="",COUNT(AG119:AT119)&lt;2),"",LOOKUP(2,1/(AG119:AT119&lt;&gt;""),AG119:AT119)-MIN(AG119:AT119))</t>
        </is>
      </c>
      <c r="AD119" s="38" t="inlineStr">
        <is>
          <t>IF(OR(AB119="",AA119="Not started",AA119=""),"",IFERROR(AB119-IF(VLOOKUP(AA119,'04_Status_Pipeline'!$B$3:$E$20,4,FALSE)="",0,VLOOKUP(AA119,'04_Status_Pipeline'!$B$3:$E$20,4,FALSE)),""))</t>
        </is>
      </c>
      <c r="AE119" s="32" t="inlineStr">
        <is>
          <t>IF(E119="","",IF(OR(Y119="Cancelled",AA119="Cancelled"),"Cancelled",IF(OR(AA119="Completed / Handover",W119&lt;&gt;"",X119&gt;=100),"Completed — on track",IF(L119="Remaining",IF(S119="",IF(V119="","No planned date",IF(TODAY()&gt;V119,"Behind — past planned date",IF(V119-TODAY()&lt;=30,"At risk — close to off track","On track"))),IF(TODAY()&gt;S119,"Behind — award date passed",IF(S119-TODAY()&lt;=30,"At risk — close to off track","On track"))),IF(V119="","No planned date",IF(AND(TODAY()&gt;V119,OR(X119="",X119&lt;100)),"Behind — past end date",IF(AND(R119&lt;&gt;"",V119&lt;&gt;"",X119&lt;&gt;"",(X119&lt;100),((TODAY()-R119)/MAX(V119-R119,1)*100)-X119&gt;15),"Behind — progress lag",IF(AND(V119-TODAY()&lt;=30,V119-TODAY()&gt;=0,OR(X119="",X119&lt;90)),"At risk — close to off track","On track"))))))))</t>
        </is>
      </c>
      <c r="AF119" s="38" t="inlineStr">
        <is>
          <t>IF(OR(E119="",AA119="Completed / Handover",AA119="Cancelled"),"",IF(L119="Remaining",IF(S119&lt;&gt;"",S119-TODAY(),IF(V119="","",V119-TODAY())),IF(V119="","",V119-TODAY())))</t>
        </is>
      </c>
      <c r="AG119" s="39" t="n"/>
      <c r="AH119" s="39" t="n"/>
      <c r="AI119" s="39" t="n"/>
      <c r="AJ119" s="39" t="n"/>
      <c r="AK119" s="39" t="n"/>
      <c r="AL119" s="39" t="n"/>
      <c r="AM119" s="39" t="n"/>
      <c r="AN119" s="39" t="n"/>
      <c r="AO119" s="39" t="n">
        <v>46121</v>
      </c>
      <c r="AP119" s="39" t="n">
        <v>46121</v>
      </c>
      <c r="AQ119" s="39" t="n">
        <v>46334</v>
      </c>
      <c r="AR119" s="40" t="n"/>
      <c r="AS119" s="40" t="n"/>
      <c r="AT119" s="40" t="n"/>
      <c r="AU119" s="38" t="inlineStr">
        <is>
          <t>IF(OR(E119="",AH119=""),"",IF(COUNT(AG119:AG119)=0,"",AH119-LOOKUP(2,1/(AG119:AG119&lt;&gt;""),AG119:AG119)))</t>
        </is>
      </c>
      <c r="AV119" s="38" t="inlineStr">
        <is>
          <t>IF(OR(E119="",AI119=""),"",IF(COUNT(AG119:AH119)=0,"",AI119-LOOKUP(2,1/(AG119:AH119&lt;&gt;""),AG119:AH119)))</t>
        </is>
      </c>
      <c r="AW119" s="38" t="inlineStr">
        <is>
          <t>IF(OR(E119="",AJ119=""),"",IF(COUNT(AG119:AI119)=0,"",AJ119-LOOKUP(2,1/(AG119:AI119&lt;&gt;""),AG119:AI119)))</t>
        </is>
      </c>
      <c r="AX119" s="38" t="inlineStr">
        <is>
          <t>IF(OR(E119="",AK119=""),"",IF(COUNT(AG119:AJ119)=0,"",AK119-LOOKUP(2,1/(AG119:AJ119&lt;&gt;""),AG119:AJ119)))</t>
        </is>
      </c>
      <c r="AY119" s="38" t="inlineStr">
        <is>
          <t>IF(OR(E119="",AL119=""),"",IF(COUNT(AG119:AK119)=0,"",AL119-LOOKUP(2,1/(AG119:AK119&lt;&gt;""),AG119:AK119)))</t>
        </is>
      </c>
      <c r="AZ119" s="38" t="inlineStr">
        <is>
          <t>IF(OR(E119="",AM119=""),"",IF(COUNT(AG119:AL119)=0,"",AM119-LOOKUP(2,1/(AG119:AL119&lt;&gt;""),AG119:AL119)))</t>
        </is>
      </c>
      <c r="BA119" s="38" t="inlineStr">
        <is>
          <t>IF(OR(E119="",AN119=""),"",IF(COUNT(AG119:AM119)=0,"",AN119-LOOKUP(2,1/(AG119:AM119&lt;&gt;""),AG119:AM119)))</t>
        </is>
      </c>
      <c r="BB119" s="38" t="inlineStr">
        <is>
          <t>IF(OR(E119="",AO119=""),"",IF(COUNT(AG119:AN119)=0,"",AO119-LOOKUP(2,1/(AG119:AN119&lt;&gt;""),AG119:AN119)))</t>
        </is>
      </c>
      <c r="BC119" s="38" t="inlineStr">
        <is>
          <t>IF(OR(E119="",AP119=""),"",IF(COUNT(AG119:AO119)=0,"",AP119-LOOKUP(2,1/(AG119:AO119&lt;&gt;""),AG119:AO119)))</t>
        </is>
      </c>
      <c r="BD119" s="38" t="inlineStr">
        <is>
          <t>IF(OR(E119="",AQ119=""),"",IF(COUNT(AG119:AP119)=0,"",AQ119-LOOKUP(2,1/(AG119:AP119&lt;&gt;""),AG119:AP119)))</t>
        </is>
      </c>
      <c r="BE119" s="38" t="inlineStr">
        <is>
          <t>IF(OR(E119="",AR119=""),"",IF(COUNT(AG119:AQ119)=0,"",AR119-LOOKUP(2,1/(AG119:AQ119&lt;&gt;""),AG119:AQ119)))</t>
        </is>
      </c>
      <c r="BF119" s="38" t="inlineStr">
        <is>
          <t>IF(OR(E119="",AS119=""),"",IF(COUNT(AG119:AR119)=0,"",AS119-LOOKUP(2,1/(AG119:AR119&lt;&gt;""),AG119:AR119)))</t>
        </is>
      </c>
      <c r="BG119" s="38" t="inlineStr">
        <is>
          <t>IF(OR(E119="",AT119=""),"",IF(COUNT(AG119:AS119)=0,"",AT119-LOOKUP(2,1/(AG119:AS119&lt;&gt;""),AG119:AS119)))</t>
        </is>
      </c>
      <c r="BH119" s="41" t="inlineStr">
        <is>
          <t>IF(G119="","All_Provinces",IFERROR(VLOOKUP(G119,'07_Lookups'!$A$4:$B$20,2,FALSE),"All_Provinces"))</t>
        </is>
      </c>
      <c r="BI119" s="41" t="inlineStr">
        <is>
          <t>IF(H119="","All_Districts",IFERROR(VLOOKUP(H119,'07_Lookups'!$E$4:$F$42,2,FALSE),"All_Districts"))</t>
        </is>
      </c>
    </row>
    <row r="120" ht="18" customHeight="1">
      <c r="A120" s="32" t="inlineStr">
        <is>
          <t>IF(E120="","",ROW()-3)</t>
        </is>
      </c>
      <c r="B120" s="33" t="inlineStr">
        <is>
          <t>AF2-WSM-A-051</t>
        </is>
      </c>
      <c r="C120" s="33" t="inlineStr">
        <is>
          <t>Emergency Food Security Project (EFSP) – WBK/AF-2</t>
        </is>
      </c>
      <c r="D120" s="33"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20" s="33" t="inlineStr">
        <is>
          <t>2. Yawol Ha Check Dam-2</t>
        </is>
      </c>
      <c r="F120" s="33" t="inlineStr">
        <is>
          <t>Check Dam</t>
        </is>
      </c>
      <c r="G120" s="33" t="inlineStr">
        <is>
          <t>Northeast / Kunduz</t>
        </is>
      </c>
      <c r="H120" s="33" t="inlineStr">
        <is>
          <t>Badakhshan</t>
        </is>
      </c>
      <c r="I120" s="33" t="inlineStr">
        <is>
          <t>Teshkan</t>
        </is>
      </c>
      <c r="J120" s="33" t="inlineStr">
        <is>
          <t>Yawol Ha-2</t>
        </is>
      </c>
      <c r="K120" s="33" t="inlineStr">
        <is>
          <t>World Bank (WBK/AF-2)</t>
        </is>
      </c>
      <c r="L120" s="33" t="inlineStr">
        <is>
          <t>Awarded</t>
        </is>
      </c>
      <c r="M120" s="33" t="inlineStr">
        <is>
          <t>Watershed / Check dam</t>
        </is>
      </c>
      <c r="N120" s="33" t="inlineStr">
        <is>
          <t>3.WSM awarded contracts</t>
        </is>
      </c>
      <c r="O120" s="33" t="inlineStr">
        <is>
          <t>Faiz Qurbani Construction Company (FQCC)</t>
        </is>
      </c>
      <c r="P120" s="33" t="inlineStr">
        <is>
          <t>027/2026</t>
        </is>
      </c>
      <c r="Q120" s="34" t="n">
        <v>29242.96</v>
      </c>
      <c r="R120" s="35" t="inlineStr">
        <is>
          <t>IF(AO120="","",AO120)</t>
        </is>
      </c>
      <c r="S120" s="36" t="n"/>
      <c r="T120" s="37" t="n">
        <v>7</v>
      </c>
      <c r="U120" s="36" t="n">
        <v>46334</v>
      </c>
      <c r="V120" s="35" t="inlineStr">
        <is>
          <t>IF(U120&lt;&gt;"",U120,IF(OR(R120="",T120=""),"",EDATE(R120,T120)))</t>
        </is>
      </c>
      <c r="W120" s="36" t="n"/>
      <c r="X120" s="37" t="n">
        <v>0</v>
      </c>
      <c r="Y120" s="33" t="inlineStr">
        <is>
          <t>Completed / Handover</t>
        </is>
      </c>
      <c r="Z120" s="33" t="inlineStr">
        <is>
          <t>Completed on Sep, 2026</t>
        </is>
      </c>
      <c r="AA120" s="32" t="inlineStr">
        <is>
          <t>IF(E120="","",IF(COUNT(AG120:AT120)=0,IF(Y120="","Not started",Y120),SUBSTITUTE(LOOKUP(2,1/(AG120:AT120&lt;&gt;""),$AG$3:$AT$3),"Date: ","")))</t>
        </is>
      </c>
      <c r="AB120" s="38" t="inlineStr">
        <is>
          <t>IF(OR(E120="",COUNT(AG120:AT120)=0),"",TODAY()-LOOKUP(2,1/(AG120:AT120&lt;&gt;""),AG120:AT120))</t>
        </is>
      </c>
      <c r="AC120" s="38" t="inlineStr">
        <is>
          <t>IF(OR(E120="",COUNT(AG120:AT120)&lt;2),"",LOOKUP(2,1/(AG120:AT120&lt;&gt;""),AG120:AT120)-MIN(AG120:AT120))</t>
        </is>
      </c>
      <c r="AD120" s="38" t="inlineStr">
        <is>
          <t>IF(OR(AB120="",AA120="Not started",AA120=""),"",IFERROR(AB120-IF(VLOOKUP(AA120,'04_Status_Pipeline'!$B$3:$E$20,4,FALSE)="",0,VLOOKUP(AA120,'04_Status_Pipeline'!$B$3:$E$20,4,FALSE)),""))</t>
        </is>
      </c>
      <c r="AE120" s="32" t="inlineStr">
        <is>
          <t>IF(E120="","",IF(OR(Y120="Cancelled",AA120="Cancelled"),"Cancelled",IF(OR(AA120="Completed / Handover",W120&lt;&gt;"",X120&gt;=100),"Completed — on track",IF(L120="Remaining",IF(S120="",IF(V120="","No planned date",IF(TODAY()&gt;V120,"Behind — past planned date",IF(V120-TODAY()&lt;=30,"At risk — close to off track","On track"))),IF(TODAY()&gt;S120,"Behind — award date passed",IF(S120-TODAY()&lt;=30,"At risk — close to off track","On track"))),IF(V120="","No planned date",IF(AND(TODAY()&gt;V120,OR(X120="",X120&lt;100)),"Behind — past end date",IF(AND(R120&lt;&gt;"",V120&lt;&gt;"",X120&lt;&gt;"",(X120&lt;100),((TODAY()-R120)/MAX(V120-R120,1)*100)-X120&gt;15),"Behind — progress lag",IF(AND(V120-TODAY()&lt;=30,V120-TODAY()&gt;=0,OR(X120="",X120&lt;90)),"At risk — close to off track","On track"))))))))</t>
        </is>
      </c>
      <c r="AF120" s="38" t="inlineStr">
        <is>
          <t>IF(OR(E120="",AA120="Completed / Handover",AA120="Cancelled"),"",IF(L120="Remaining",IF(S120&lt;&gt;"",S120-TODAY(),IF(V120="","",V120-TODAY())),IF(V120="","",V120-TODAY())))</t>
        </is>
      </c>
      <c r="AG120" s="39" t="n"/>
      <c r="AH120" s="39" t="n"/>
      <c r="AI120" s="39" t="n"/>
      <c r="AJ120" s="39" t="n"/>
      <c r="AK120" s="39" t="n"/>
      <c r="AL120" s="39" t="n"/>
      <c r="AM120" s="39" t="n"/>
      <c r="AN120" s="39" t="n"/>
      <c r="AO120" s="39" t="n">
        <v>46121</v>
      </c>
      <c r="AP120" s="39" t="n">
        <v>46121</v>
      </c>
      <c r="AQ120" s="39" t="n">
        <v>46334</v>
      </c>
      <c r="AR120" s="40" t="n"/>
      <c r="AS120" s="40" t="n"/>
      <c r="AT120" s="40" t="n"/>
      <c r="AU120" s="38" t="inlineStr">
        <is>
          <t>IF(OR(E120="",AH120=""),"",IF(COUNT(AG120:AG120)=0,"",AH120-LOOKUP(2,1/(AG120:AG120&lt;&gt;""),AG120:AG120)))</t>
        </is>
      </c>
      <c r="AV120" s="38" t="inlineStr">
        <is>
          <t>IF(OR(E120="",AI120=""),"",IF(COUNT(AG120:AH120)=0,"",AI120-LOOKUP(2,1/(AG120:AH120&lt;&gt;""),AG120:AH120)))</t>
        </is>
      </c>
      <c r="AW120" s="38" t="inlineStr">
        <is>
          <t>IF(OR(E120="",AJ120=""),"",IF(COUNT(AG120:AI120)=0,"",AJ120-LOOKUP(2,1/(AG120:AI120&lt;&gt;""),AG120:AI120)))</t>
        </is>
      </c>
      <c r="AX120" s="38" t="inlineStr">
        <is>
          <t>IF(OR(E120="",AK120=""),"",IF(COUNT(AG120:AJ120)=0,"",AK120-LOOKUP(2,1/(AG120:AJ120&lt;&gt;""),AG120:AJ120)))</t>
        </is>
      </c>
      <c r="AY120" s="38" t="inlineStr">
        <is>
          <t>IF(OR(E120="",AL120=""),"",IF(COUNT(AG120:AK120)=0,"",AL120-LOOKUP(2,1/(AG120:AK120&lt;&gt;""),AG120:AK120)))</t>
        </is>
      </c>
      <c r="AZ120" s="38" t="inlineStr">
        <is>
          <t>IF(OR(E120="",AM120=""),"",IF(COUNT(AG120:AL120)=0,"",AM120-LOOKUP(2,1/(AG120:AL120&lt;&gt;""),AG120:AL120)))</t>
        </is>
      </c>
      <c r="BA120" s="38" t="inlineStr">
        <is>
          <t>IF(OR(E120="",AN120=""),"",IF(COUNT(AG120:AM120)=0,"",AN120-LOOKUP(2,1/(AG120:AM120&lt;&gt;""),AG120:AM120)))</t>
        </is>
      </c>
      <c r="BB120" s="38" t="inlineStr">
        <is>
          <t>IF(OR(E120="",AO120=""),"",IF(COUNT(AG120:AN120)=0,"",AO120-LOOKUP(2,1/(AG120:AN120&lt;&gt;""),AG120:AN120)))</t>
        </is>
      </c>
      <c r="BC120" s="38" t="inlineStr">
        <is>
          <t>IF(OR(E120="",AP120=""),"",IF(COUNT(AG120:AO120)=0,"",AP120-LOOKUP(2,1/(AG120:AO120&lt;&gt;""),AG120:AO120)))</t>
        </is>
      </c>
      <c r="BD120" s="38" t="inlineStr">
        <is>
          <t>IF(OR(E120="",AQ120=""),"",IF(COUNT(AG120:AP120)=0,"",AQ120-LOOKUP(2,1/(AG120:AP120&lt;&gt;""),AG120:AP120)))</t>
        </is>
      </c>
      <c r="BE120" s="38" t="inlineStr">
        <is>
          <t>IF(OR(E120="",AR120=""),"",IF(COUNT(AG120:AQ120)=0,"",AR120-LOOKUP(2,1/(AG120:AQ120&lt;&gt;""),AG120:AQ120)))</t>
        </is>
      </c>
      <c r="BF120" s="38" t="inlineStr">
        <is>
          <t>IF(OR(E120="",AS120=""),"",IF(COUNT(AG120:AR120)=0,"",AS120-LOOKUP(2,1/(AG120:AR120&lt;&gt;""),AG120:AR120)))</t>
        </is>
      </c>
      <c r="BG120" s="38" t="inlineStr">
        <is>
          <t>IF(OR(E120="",AT120=""),"",IF(COUNT(AG120:AS120)=0,"",AT120-LOOKUP(2,1/(AG120:AS120&lt;&gt;""),AG120:AS120)))</t>
        </is>
      </c>
      <c r="BH120" s="41" t="inlineStr">
        <is>
          <t>IF(G120="","All_Provinces",IFERROR(VLOOKUP(G120,'07_Lookups'!$A$4:$B$20,2,FALSE),"All_Provinces"))</t>
        </is>
      </c>
      <c r="BI120" s="41" t="inlineStr">
        <is>
          <t>IF(H120="","All_Districts",IFERROR(VLOOKUP(H120,'07_Lookups'!$E$4:$F$42,2,FALSE),"All_Districts"))</t>
        </is>
      </c>
    </row>
    <row r="121" ht="18" customHeight="1">
      <c r="A121" s="32" t="inlineStr">
        <is>
          <t>IF(E121="","",ROW()-3)</t>
        </is>
      </c>
      <c r="B121" s="42" t="inlineStr">
        <is>
          <t>AF2-WSM-A-052</t>
        </is>
      </c>
      <c r="C121" s="42" t="inlineStr">
        <is>
          <t>Emergency Food Security Project (EFSP) – WBK/AF-2</t>
        </is>
      </c>
      <c r="D121" s="42"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21" s="42" t="inlineStr">
        <is>
          <t>3.Sewak Dara Kelaki Check Dam</t>
        </is>
      </c>
      <c r="F121" s="42" t="inlineStr">
        <is>
          <t>Check Dam</t>
        </is>
      </c>
      <c r="G121" s="42" t="inlineStr">
        <is>
          <t>Northeast / Kunduz</t>
        </is>
      </c>
      <c r="H121" s="42" t="inlineStr">
        <is>
          <t>Badakhshan</t>
        </is>
      </c>
      <c r="I121" s="42" t="inlineStr">
        <is>
          <t>Darayim</t>
        </is>
      </c>
      <c r="J121" s="42" t="inlineStr">
        <is>
          <t>Sewak Dara</t>
        </is>
      </c>
      <c r="K121" s="42" t="inlineStr">
        <is>
          <t>World Bank (WBK/AF-2)</t>
        </is>
      </c>
      <c r="L121" s="42" t="inlineStr">
        <is>
          <t>Awarded</t>
        </is>
      </c>
      <c r="M121" s="42" t="inlineStr">
        <is>
          <t>Watershed / Check dam</t>
        </is>
      </c>
      <c r="N121" s="42" t="inlineStr">
        <is>
          <t>3.WSM awarded contracts</t>
        </is>
      </c>
      <c r="O121" s="42" t="inlineStr">
        <is>
          <t>Faiz Qurbani Construction Company (FQCC)</t>
        </is>
      </c>
      <c r="P121" s="42" t="inlineStr">
        <is>
          <t>027/2026</t>
        </is>
      </c>
      <c r="Q121" s="43" t="n">
        <v>59018.99</v>
      </c>
      <c r="R121" s="35" t="inlineStr">
        <is>
          <t>IF(AO121="","",AO121)</t>
        </is>
      </c>
      <c r="S121" s="44" t="n"/>
      <c r="T121" s="45" t="n">
        <v>7</v>
      </c>
      <c r="U121" s="44" t="n">
        <v>46334</v>
      </c>
      <c r="V121" s="35" t="inlineStr">
        <is>
          <t>IF(U121&lt;&gt;"",U121,IF(OR(R121="",T121=""),"",EDATE(R121,T121)))</t>
        </is>
      </c>
      <c r="W121" s="44" t="n"/>
      <c r="X121" s="45" t="n">
        <v>100</v>
      </c>
      <c r="Y121" s="42" t="inlineStr">
        <is>
          <t>Completed / Handover</t>
        </is>
      </c>
      <c r="Z121" s="42" t="inlineStr">
        <is>
          <t>Completed on Sep, 2026</t>
        </is>
      </c>
      <c r="AA121" s="32" t="inlineStr">
        <is>
          <t>IF(E121="","",IF(COUNT(AG121:AT121)=0,IF(Y121="","Not started",Y121),SUBSTITUTE(LOOKUP(2,1/(AG121:AT121&lt;&gt;""),$AG$3:$AT$3),"Date: ","")))</t>
        </is>
      </c>
      <c r="AB121" s="38" t="inlineStr">
        <is>
          <t>IF(OR(E121="",COUNT(AG121:AT121)=0),"",TODAY()-LOOKUP(2,1/(AG121:AT121&lt;&gt;""),AG121:AT121))</t>
        </is>
      </c>
      <c r="AC121" s="38" t="inlineStr">
        <is>
          <t>IF(OR(E121="",COUNT(AG121:AT121)&lt;2),"",LOOKUP(2,1/(AG121:AT121&lt;&gt;""),AG121:AT121)-MIN(AG121:AT121))</t>
        </is>
      </c>
      <c r="AD121" s="38" t="inlineStr">
        <is>
          <t>IF(OR(AB121="",AA121="Not started",AA121=""),"",IFERROR(AB121-IF(VLOOKUP(AA121,'04_Status_Pipeline'!$B$3:$E$20,4,FALSE)="",0,VLOOKUP(AA121,'04_Status_Pipeline'!$B$3:$E$20,4,FALSE)),""))</t>
        </is>
      </c>
      <c r="AE121" s="32" t="inlineStr">
        <is>
          <t>IF(E121="","",IF(OR(Y121="Cancelled",AA121="Cancelled"),"Cancelled",IF(OR(AA121="Completed / Handover",W121&lt;&gt;"",X121&gt;=100),"Completed — on track",IF(L121="Remaining",IF(S121="",IF(V121="","No planned date",IF(TODAY()&gt;V121,"Behind — past planned date",IF(V121-TODAY()&lt;=30,"At risk — close to off track","On track"))),IF(TODAY()&gt;S121,"Behind — award date passed",IF(S121-TODAY()&lt;=30,"At risk — close to off track","On track"))),IF(V121="","No planned date",IF(AND(TODAY()&gt;V121,OR(X121="",X121&lt;100)),"Behind — past end date",IF(AND(R121&lt;&gt;"",V121&lt;&gt;"",X121&lt;&gt;"",(X121&lt;100),((TODAY()-R121)/MAX(V121-R121,1)*100)-X121&gt;15),"Behind — progress lag",IF(AND(V121-TODAY()&lt;=30,V121-TODAY()&gt;=0,OR(X121="",X121&lt;90)),"At risk — close to off track","On track"))))))))</t>
        </is>
      </c>
      <c r="AF121" s="38" t="inlineStr">
        <is>
          <t>IF(OR(E121="",AA121="Completed / Handover",AA121="Cancelled"),"",IF(L121="Remaining",IF(S121&lt;&gt;"",S121-TODAY(),IF(V121="","",V121-TODAY())),IF(V121="","",V121-TODAY())))</t>
        </is>
      </c>
      <c r="AG121" s="39" t="n"/>
      <c r="AH121" s="39" t="n"/>
      <c r="AI121" s="39" t="n"/>
      <c r="AJ121" s="39" t="n"/>
      <c r="AK121" s="39" t="n"/>
      <c r="AL121" s="39" t="n"/>
      <c r="AM121" s="39" t="n"/>
      <c r="AN121" s="39" t="n"/>
      <c r="AO121" s="39" t="n">
        <v>46121</v>
      </c>
      <c r="AP121" s="39" t="n">
        <v>46121</v>
      </c>
      <c r="AQ121" s="39" t="n">
        <v>46334</v>
      </c>
      <c r="AR121" s="40" t="n"/>
      <c r="AS121" s="40" t="n"/>
      <c r="AT121" s="40" t="n"/>
      <c r="AU121" s="38" t="inlineStr">
        <is>
          <t>IF(OR(E121="",AH121=""),"",IF(COUNT(AG121:AG121)=0,"",AH121-LOOKUP(2,1/(AG121:AG121&lt;&gt;""),AG121:AG121)))</t>
        </is>
      </c>
      <c r="AV121" s="38" t="inlineStr">
        <is>
          <t>IF(OR(E121="",AI121=""),"",IF(COUNT(AG121:AH121)=0,"",AI121-LOOKUP(2,1/(AG121:AH121&lt;&gt;""),AG121:AH121)))</t>
        </is>
      </c>
      <c r="AW121" s="38" t="inlineStr">
        <is>
          <t>IF(OR(E121="",AJ121=""),"",IF(COUNT(AG121:AI121)=0,"",AJ121-LOOKUP(2,1/(AG121:AI121&lt;&gt;""),AG121:AI121)))</t>
        </is>
      </c>
      <c r="AX121" s="38" t="inlineStr">
        <is>
          <t>IF(OR(E121="",AK121=""),"",IF(COUNT(AG121:AJ121)=0,"",AK121-LOOKUP(2,1/(AG121:AJ121&lt;&gt;""),AG121:AJ121)))</t>
        </is>
      </c>
      <c r="AY121" s="38" t="inlineStr">
        <is>
          <t>IF(OR(E121="",AL121=""),"",IF(COUNT(AG121:AK121)=0,"",AL121-LOOKUP(2,1/(AG121:AK121&lt;&gt;""),AG121:AK121)))</t>
        </is>
      </c>
      <c r="AZ121" s="38" t="inlineStr">
        <is>
          <t>IF(OR(E121="",AM121=""),"",IF(COUNT(AG121:AL121)=0,"",AM121-LOOKUP(2,1/(AG121:AL121&lt;&gt;""),AG121:AL121)))</t>
        </is>
      </c>
      <c r="BA121" s="38" t="inlineStr">
        <is>
          <t>IF(OR(E121="",AN121=""),"",IF(COUNT(AG121:AM121)=0,"",AN121-LOOKUP(2,1/(AG121:AM121&lt;&gt;""),AG121:AM121)))</t>
        </is>
      </c>
      <c r="BB121" s="38" t="inlineStr">
        <is>
          <t>IF(OR(E121="",AO121=""),"",IF(COUNT(AG121:AN121)=0,"",AO121-LOOKUP(2,1/(AG121:AN121&lt;&gt;""),AG121:AN121)))</t>
        </is>
      </c>
      <c r="BC121" s="38" t="inlineStr">
        <is>
          <t>IF(OR(E121="",AP121=""),"",IF(COUNT(AG121:AO121)=0,"",AP121-LOOKUP(2,1/(AG121:AO121&lt;&gt;""),AG121:AO121)))</t>
        </is>
      </c>
      <c r="BD121" s="38" t="inlineStr">
        <is>
          <t>IF(OR(E121="",AQ121=""),"",IF(COUNT(AG121:AP121)=0,"",AQ121-LOOKUP(2,1/(AG121:AP121&lt;&gt;""),AG121:AP121)))</t>
        </is>
      </c>
      <c r="BE121" s="38" t="inlineStr">
        <is>
          <t>IF(OR(E121="",AR121=""),"",IF(COUNT(AG121:AQ121)=0,"",AR121-LOOKUP(2,1/(AG121:AQ121&lt;&gt;""),AG121:AQ121)))</t>
        </is>
      </c>
      <c r="BF121" s="38" t="inlineStr">
        <is>
          <t>IF(OR(E121="",AS121=""),"",IF(COUNT(AG121:AR121)=0,"",AS121-LOOKUP(2,1/(AG121:AR121&lt;&gt;""),AG121:AR121)))</t>
        </is>
      </c>
      <c r="BG121" s="38" t="inlineStr">
        <is>
          <t>IF(OR(E121="",AT121=""),"",IF(COUNT(AG121:AS121)=0,"",AT121-LOOKUP(2,1/(AG121:AS121&lt;&gt;""),AG121:AS121)))</t>
        </is>
      </c>
      <c r="BH121" s="41" t="inlineStr">
        <is>
          <t>IF(G121="","All_Provinces",IFERROR(VLOOKUP(G121,'07_Lookups'!$A$4:$B$20,2,FALSE),"All_Provinces"))</t>
        </is>
      </c>
      <c r="BI121" s="41" t="inlineStr">
        <is>
          <t>IF(H121="","All_Districts",IFERROR(VLOOKUP(H121,'07_Lookups'!$E$4:$F$42,2,FALSE),"All_Districts"))</t>
        </is>
      </c>
    </row>
    <row r="122" ht="18" customHeight="1">
      <c r="A122" s="32" t="inlineStr">
        <is>
          <t>IF(E122="","",ROW()-3)</t>
        </is>
      </c>
      <c r="B122" s="33" t="inlineStr">
        <is>
          <t>AF2-WSM-A-053</t>
        </is>
      </c>
      <c r="C122" s="33" t="inlineStr">
        <is>
          <t>Emergency Food Security Project (EFSP) – WBK/AF-2</t>
        </is>
      </c>
      <c r="D122" s="33"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22" s="33" t="inlineStr">
        <is>
          <t>4. Golaki Check Dam</t>
        </is>
      </c>
      <c r="F122" s="33" t="inlineStr">
        <is>
          <t>Check Dam</t>
        </is>
      </c>
      <c r="G122" s="33" t="inlineStr">
        <is>
          <t>Northeast / Kunduz</t>
        </is>
      </c>
      <c r="H122" s="33" t="inlineStr">
        <is>
          <t>Badakhshan</t>
        </is>
      </c>
      <c r="I122" s="33" t="inlineStr">
        <is>
          <t>Darayim</t>
        </is>
      </c>
      <c r="J122" s="33" t="inlineStr">
        <is>
          <t>Golaki</t>
        </is>
      </c>
      <c r="K122" s="33" t="inlineStr">
        <is>
          <t>World Bank (WBK/AF-2)</t>
        </is>
      </c>
      <c r="L122" s="33" t="inlineStr">
        <is>
          <t>Awarded</t>
        </is>
      </c>
      <c r="M122" s="33" t="inlineStr">
        <is>
          <t>Watershed / Check dam</t>
        </is>
      </c>
      <c r="N122" s="33" t="inlineStr">
        <is>
          <t>3.WSM awarded contracts</t>
        </is>
      </c>
      <c r="O122" s="33" t="inlineStr">
        <is>
          <t>Faiz Qurbani Construction Company (FQCC)</t>
        </is>
      </c>
      <c r="P122" s="33" t="inlineStr">
        <is>
          <t>027/2026</t>
        </is>
      </c>
      <c r="Q122" s="34" t="n">
        <v>62408.88</v>
      </c>
      <c r="R122" s="35" t="inlineStr">
        <is>
          <t>IF(AO122="","",AO122)</t>
        </is>
      </c>
      <c r="S122" s="36" t="n"/>
      <c r="T122" s="37" t="n">
        <v>7</v>
      </c>
      <c r="U122" s="36" t="n">
        <v>46334</v>
      </c>
      <c r="V122" s="35" t="inlineStr">
        <is>
          <t>IF(U122&lt;&gt;"",U122,IF(OR(R122="",T122=""),"",EDATE(R122,T122)))</t>
        </is>
      </c>
      <c r="W122" s="36" t="n"/>
      <c r="X122" s="37" t="n">
        <v>100</v>
      </c>
      <c r="Y122" s="33" t="inlineStr">
        <is>
          <t>Completed / Handover</t>
        </is>
      </c>
      <c r="Z122" s="33" t="inlineStr">
        <is>
          <t>Completed on Sep, 2026</t>
        </is>
      </c>
      <c r="AA122" s="32" t="inlineStr">
        <is>
          <t>IF(E122="","",IF(COUNT(AG122:AT122)=0,IF(Y122="","Not started",Y122),SUBSTITUTE(LOOKUP(2,1/(AG122:AT122&lt;&gt;""),$AG$3:$AT$3),"Date: ","")))</t>
        </is>
      </c>
      <c r="AB122" s="38" t="inlineStr">
        <is>
          <t>IF(OR(E122="",COUNT(AG122:AT122)=0),"",TODAY()-LOOKUP(2,1/(AG122:AT122&lt;&gt;""),AG122:AT122))</t>
        </is>
      </c>
      <c r="AC122" s="38" t="inlineStr">
        <is>
          <t>IF(OR(E122="",COUNT(AG122:AT122)&lt;2),"",LOOKUP(2,1/(AG122:AT122&lt;&gt;""),AG122:AT122)-MIN(AG122:AT122))</t>
        </is>
      </c>
      <c r="AD122" s="38" t="inlineStr">
        <is>
          <t>IF(OR(AB122="",AA122="Not started",AA122=""),"",IFERROR(AB122-IF(VLOOKUP(AA122,'04_Status_Pipeline'!$B$3:$E$20,4,FALSE)="",0,VLOOKUP(AA122,'04_Status_Pipeline'!$B$3:$E$20,4,FALSE)),""))</t>
        </is>
      </c>
      <c r="AE122" s="32" t="inlineStr">
        <is>
          <t>IF(E122="","",IF(OR(Y122="Cancelled",AA122="Cancelled"),"Cancelled",IF(OR(AA122="Completed / Handover",W122&lt;&gt;"",X122&gt;=100),"Completed — on track",IF(L122="Remaining",IF(S122="",IF(V122="","No planned date",IF(TODAY()&gt;V122,"Behind — past planned date",IF(V122-TODAY()&lt;=30,"At risk — close to off track","On track"))),IF(TODAY()&gt;S122,"Behind — award date passed",IF(S122-TODAY()&lt;=30,"At risk — close to off track","On track"))),IF(V122="","No planned date",IF(AND(TODAY()&gt;V122,OR(X122="",X122&lt;100)),"Behind — past end date",IF(AND(R122&lt;&gt;"",V122&lt;&gt;"",X122&lt;&gt;"",(X122&lt;100),((TODAY()-R122)/MAX(V122-R122,1)*100)-X122&gt;15),"Behind — progress lag",IF(AND(V122-TODAY()&lt;=30,V122-TODAY()&gt;=0,OR(X122="",X122&lt;90)),"At risk — close to off track","On track"))))))))</t>
        </is>
      </c>
      <c r="AF122" s="38" t="inlineStr">
        <is>
          <t>IF(OR(E122="",AA122="Completed / Handover",AA122="Cancelled"),"",IF(L122="Remaining",IF(S122&lt;&gt;"",S122-TODAY(),IF(V122="","",V122-TODAY())),IF(V122="","",V122-TODAY())))</t>
        </is>
      </c>
      <c r="AG122" s="39" t="n"/>
      <c r="AH122" s="39" t="n"/>
      <c r="AI122" s="39" t="n"/>
      <c r="AJ122" s="39" t="n"/>
      <c r="AK122" s="39" t="n"/>
      <c r="AL122" s="39" t="n"/>
      <c r="AM122" s="39" t="n"/>
      <c r="AN122" s="39" t="n"/>
      <c r="AO122" s="39" t="n">
        <v>46121</v>
      </c>
      <c r="AP122" s="39" t="n">
        <v>46121</v>
      </c>
      <c r="AQ122" s="39" t="n">
        <v>46334</v>
      </c>
      <c r="AR122" s="40" t="n"/>
      <c r="AS122" s="40" t="n"/>
      <c r="AT122" s="40" t="n"/>
      <c r="AU122" s="38" t="inlineStr">
        <is>
          <t>IF(OR(E122="",AH122=""),"",IF(COUNT(AG122:AG122)=0,"",AH122-LOOKUP(2,1/(AG122:AG122&lt;&gt;""),AG122:AG122)))</t>
        </is>
      </c>
      <c r="AV122" s="38" t="inlineStr">
        <is>
          <t>IF(OR(E122="",AI122=""),"",IF(COUNT(AG122:AH122)=0,"",AI122-LOOKUP(2,1/(AG122:AH122&lt;&gt;""),AG122:AH122)))</t>
        </is>
      </c>
      <c r="AW122" s="38" t="inlineStr">
        <is>
          <t>IF(OR(E122="",AJ122=""),"",IF(COUNT(AG122:AI122)=0,"",AJ122-LOOKUP(2,1/(AG122:AI122&lt;&gt;""),AG122:AI122)))</t>
        </is>
      </c>
      <c r="AX122" s="38" t="inlineStr">
        <is>
          <t>IF(OR(E122="",AK122=""),"",IF(COUNT(AG122:AJ122)=0,"",AK122-LOOKUP(2,1/(AG122:AJ122&lt;&gt;""),AG122:AJ122)))</t>
        </is>
      </c>
      <c r="AY122" s="38" t="inlineStr">
        <is>
          <t>IF(OR(E122="",AL122=""),"",IF(COUNT(AG122:AK122)=0,"",AL122-LOOKUP(2,1/(AG122:AK122&lt;&gt;""),AG122:AK122)))</t>
        </is>
      </c>
      <c r="AZ122" s="38" t="inlineStr">
        <is>
          <t>IF(OR(E122="",AM122=""),"",IF(COUNT(AG122:AL122)=0,"",AM122-LOOKUP(2,1/(AG122:AL122&lt;&gt;""),AG122:AL122)))</t>
        </is>
      </c>
      <c r="BA122" s="38" t="inlineStr">
        <is>
          <t>IF(OR(E122="",AN122=""),"",IF(COUNT(AG122:AM122)=0,"",AN122-LOOKUP(2,1/(AG122:AM122&lt;&gt;""),AG122:AM122)))</t>
        </is>
      </c>
      <c r="BB122" s="38" t="inlineStr">
        <is>
          <t>IF(OR(E122="",AO122=""),"",IF(COUNT(AG122:AN122)=0,"",AO122-LOOKUP(2,1/(AG122:AN122&lt;&gt;""),AG122:AN122)))</t>
        </is>
      </c>
      <c r="BC122" s="38" t="inlineStr">
        <is>
          <t>IF(OR(E122="",AP122=""),"",IF(COUNT(AG122:AO122)=0,"",AP122-LOOKUP(2,1/(AG122:AO122&lt;&gt;""),AG122:AO122)))</t>
        </is>
      </c>
      <c r="BD122" s="38" t="inlineStr">
        <is>
          <t>IF(OR(E122="",AQ122=""),"",IF(COUNT(AG122:AP122)=0,"",AQ122-LOOKUP(2,1/(AG122:AP122&lt;&gt;""),AG122:AP122)))</t>
        </is>
      </c>
      <c r="BE122" s="38" t="inlineStr">
        <is>
          <t>IF(OR(E122="",AR122=""),"",IF(COUNT(AG122:AQ122)=0,"",AR122-LOOKUP(2,1/(AG122:AQ122&lt;&gt;""),AG122:AQ122)))</t>
        </is>
      </c>
      <c r="BF122" s="38" t="inlineStr">
        <is>
          <t>IF(OR(E122="",AS122=""),"",IF(COUNT(AG122:AR122)=0,"",AS122-LOOKUP(2,1/(AG122:AR122&lt;&gt;""),AG122:AR122)))</t>
        </is>
      </c>
      <c r="BG122" s="38" t="inlineStr">
        <is>
          <t>IF(OR(E122="",AT122=""),"",IF(COUNT(AG122:AS122)=0,"",AT122-LOOKUP(2,1/(AG122:AS122&lt;&gt;""),AG122:AS122)))</t>
        </is>
      </c>
      <c r="BH122" s="41" t="inlineStr">
        <is>
          <t>IF(G122="","All_Provinces",IFERROR(VLOOKUP(G122,'07_Lookups'!$A$4:$B$20,2,FALSE),"All_Provinces"))</t>
        </is>
      </c>
      <c r="BI122" s="41" t="inlineStr">
        <is>
          <t>IF(H122="","All_Districts",IFERROR(VLOOKUP(H122,'07_Lookups'!$E$4:$F$42,2,FALSE),"All_Districts"))</t>
        </is>
      </c>
    </row>
    <row r="123" ht="18" customHeight="1">
      <c r="A123" s="32" t="inlineStr">
        <is>
          <t>IF(E123="","",ROW()-3)</t>
        </is>
      </c>
      <c r="B123" s="42" t="inlineStr">
        <is>
          <t>AF2-WSM-A-054</t>
        </is>
      </c>
      <c r="C123" s="42" t="inlineStr">
        <is>
          <t>Emergency Food Security Project (EFSP) – WBK/AF-2</t>
        </is>
      </c>
      <c r="D123" s="42"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23" s="42" t="inlineStr">
        <is>
          <t>5. Khanaqa Check Dam</t>
        </is>
      </c>
      <c r="F123" s="42" t="inlineStr">
        <is>
          <t>Check Dam</t>
        </is>
      </c>
      <c r="G123" s="42" t="inlineStr">
        <is>
          <t>Northeast / Kunduz</t>
        </is>
      </c>
      <c r="H123" s="42" t="inlineStr">
        <is>
          <t>Badakhshan</t>
        </is>
      </c>
      <c r="I123" s="42" t="inlineStr">
        <is>
          <t>Arghanj Khwah</t>
        </is>
      </c>
      <c r="J123" s="42" t="inlineStr">
        <is>
          <t>Khanaqa</t>
        </is>
      </c>
      <c r="K123" s="42" t="inlineStr">
        <is>
          <t>World Bank (WBK/AF-2)</t>
        </is>
      </c>
      <c r="L123" s="42" t="inlineStr">
        <is>
          <t>Awarded</t>
        </is>
      </c>
      <c r="M123" s="42" t="inlineStr">
        <is>
          <t>Watershed / Check dam</t>
        </is>
      </c>
      <c r="N123" s="42" t="inlineStr">
        <is>
          <t>3.WSM awarded contracts</t>
        </is>
      </c>
      <c r="O123" s="42" t="inlineStr">
        <is>
          <t>Faiz Qurbani Construction Company (FQCC)</t>
        </is>
      </c>
      <c r="P123" s="42" t="inlineStr">
        <is>
          <t>027/2026</t>
        </is>
      </c>
      <c r="Q123" s="43" t="n">
        <v>29058.49</v>
      </c>
      <c r="R123" s="35" t="inlineStr">
        <is>
          <t>IF(AO123="","",AO123)</t>
        </is>
      </c>
      <c r="S123" s="44" t="n"/>
      <c r="T123" s="45" t="n">
        <v>7</v>
      </c>
      <c r="U123" s="44" t="n">
        <v>46334</v>
      </c>
      <c r="V123" s="35" t="inlineStr">
        <is>
          <t>IF(U123&lt;&gt;"",U123,IF(OR(R123="",T123=""),"",EDATE(R123,T123)))</t>
        </is>
      </c>
      <c r="W123" s="44" t="n"/>
      <c r="X123" s="45" t="n">
        <v>0</v>
      </c>
      <c r="Y123" s="42" t="inlineStr">
        <is>
          <t>Completed / Handover</t>
        </is>
      </c>
      <c r="Z123" s="42" t="inlineStr">
        <is>
          <t>Completed on Sep, 2026</t>
        </is>
      </c>
      <c r="AA123" s="32" t="inlineStr">
        <is>
          <t>IF(E123="","",IF(COUNT(AG123:AT123)=0,IF(Y123="","Not started",Y123),SUBSTITUTE(LOOKUP(2,1/(AG123:AT123&lt;&gt;""),$AG$3:$AT$3),"Date: ","")))</t>
        </is>
      </c>
      <c r="AB123" s="38" t="inlineStr">
        <is>
          <t>IF(OR(E123="",COUNT(AG123:AT123)=0),"",TODAY()-LOOKUP(2,1/(AG123:AT123&lt;&gt;""),AG123:AT123))</t>
        </is>
      </c>
      <c r="AC123" s="38" t="inlineStr">
        <is>
          <t>IF(OR(E123="",COUNT(AG123:AT123)&lt;2),"",LOOKUP(2,1/(AG123:AT123&lt;&gt;""),AG123:AT123)-MIN(AG123:AT123))</t>
        </is>
      </c>
      <c r="AD123" s="38" t="inlineStr">
        <is>
          <t>IF(OR(AB123="",AA123="Not started",AA123=""),"",IFERROR(AB123-IF(VLOOKUP(AA123,'04_Status_Pipeline'!$B$3:$E$20,4,FALSE)="",0,VLOOKUP(AA123,'04_Status_Pipeline'!$B$3:$E$20,4,FALSE)),""))</t>
        </is>
      </c>
      <c r="AE123" s="32" t="inlineStr">
        <is>
          <t>IF(E123="","",IF(OR(Y123="Cancelled",AA123="Cancelled"),"Cancelled",IF(OR(AA123="Completed / Handover",W123&lt;&gt;"",X123&gt;=100),"Completed — on track",IF(L123="Remaining",IF(S123="",IF(V123="","No planned date",IF(TODAY()&gt;V123,"Behind — past planned date",IF(V123-TODAY()&lt;=30,"At risk — close to off track","On track"))),IF(TODAY()&gt;S123,"Behind — award date passed",IF(S123-TODAY()&lt;=30,"At risk — close to off track","On track"))),IF(V123="","No planned date",IF(AND(TODAY()&gt;V123,OR(X123="",X123&lt;100)),"Behind — past end date",IF(AND(R123&lt;&gt;"",V123&lt;&gt;"",X123&lt;&gt;"",(X123&lt;100),((TODAY()-R123)/MAX(V123-R123,1)*100)-X123&gt;15),"Behind — progress lag",IF(AND(V123-TODAY()&lt;=30,V123-TODAY()&gt;=0,OR(X123="",X123&lt;90)),"At risk — close to off track","On track"))))))))</t>
        </is>
      </c>
      <c r="AF123" s="38" t="inlineStr">
        <is>
          <t>IF(OR(E123="",AA123="Completed / Handover",AA123="Cancelled"),"",IF(L123="Remaining",IF(S123&lt;&gt;"",S123-TODAY(),IF(V123="","",V123-TODAY())),IF(V123="","",V123-TODAY())))</t>
        </is>
      </c>
      <c r="AG123" s="39" t="n"/>
      <c r="AH123" s="39" t="n"/>
      <c r="AI123" s="39" t="n"/>
      <c r="AJ123" s="39" t="n"/>
      <c r="AK123" s="39" t="n"/>
      <c r="AL123" s="39" t="n"/>
      <c r="AM123" s="39" t="n"/>
      <c r="AN123" s="39" t="n"/>
      <c r="AO123" s="39" t="n">
        <v>46121</v>
      </c>
      <c r="AP123" s="39" t="n">
        <v>46121</v>
      </c>
      <c r="AQ123" s="39" t="n">
        <v>46334</v>
      </c>
      <c r="AR123" s="40" t="n"/>
      <c r="AS123" s="40" t="n"/>
      <c r="AT123" s="40" t="n"/>
      <c r="AU123" s="38" t="inlineStr">
        <is>
          <t>IF(OR(E123="",AH123=""),"",IF(COUNT(AG123:AG123)=0,"",AH123-LOOKUP(2,1/(AG123:AG123&lt;&gt;""),AG123:AG123)))</t>
        </is>
      </c>
      <c r="AV123" s="38" t="inlineStr">
        <is>
          <t>IF(OR(E123="",AI123=""),"",IF(COUNT(AG123:AH123)=0,"",AI123-LOOKUP(2,1/(AG123:AH123&lt;&gt;""),AG123:AH123)))</t>
        </is>
      </c>
      <c r="AW123" s="38" t="inlineStr">
        <is>
          <t>IF(OR(E123="",AJ123=""),"",IF(COUNT(AG123:AI123)=0,"",AJ123-LOOKUP(2,1/(AG123:AI123&lt;&gt;""),AG123:AI123)))</t>
        </is>
      </c>
      <c r="AX123" s="38" t="inlineStr">
        <is>
          <t>IF(OR(E123="",AK123=""),"",IF(COUNT(AG123:AJ123)=0,"",AK123-LOOKUP(2,1/(AG123:AJ123&lt;&gt;""),AG123:AJ123)))</t>
        </is>
      </c>
      <c r="AY123" s="38" t="inlineStr">
        <is>
          <t>IF(OR(E123="",AL123=""),"",IF(COUNT(AG123:AK123)=0,"",AL123-LOOKUP(2,1/(AG123:AK123&lt;&gt;""),AG123:AK123)))</t>
        </is>
      </c>
      <c r="AZ123" s="38" t="inlineStr">
        <is>
          <t>IF(OR(E123="",AM123=""),"",IF(COUNT(AG123:AL123)=0,"",AM123-LOOKUP(2,1/(AG123:AL123&lt;&gt;""),AG123:AL123)))</t>
        </is>
      </c>
      <c r="BA123" s="38" t="inlineStr">
        <is>
          <t>IF(OR(E123="",AN123=""),"",IF(COUNT(AG123:AM123)=0,"",AN123-LOOKUP(2,1/(AG123:AM123&lt;&gt;""),AG123:AM123)))</t>
        </is>
      </c>
      <c r="BB123" s="38" t="inlineStr">
        <is>
          <t>IF(OR(E123="",AO123=""),"",IF(COUNT(AG123:AN123)=0,"",AO123-LOOKUP(2,1/(AG123:AN123&lt;&gt;""),AG123:AN123)))</t>
        </is>
      </c>
      <c r="BC123" s="38" t="inlineStr">
        <is>
          <t>IF(OR(E123="",AP123=""),"",IF(COUNT(AG123:AO123)=0,"",AP123-LOOKUP(2,1/(AG123:AO123&lt;&gt;""),AG123:AO123)))</t>
        </is>
      </c>
      <c r="BD123" s="38" t="inlineStr">
        <is>
          <t>IF(OR(E123="",AQ123=""),"",IF(COUNT(AG123:AP123)=0,"",AQ123-LOOKUP(2,1/(AG123:AP123&lt;&gt;""),AG123:AP123)))</t>
        </is>
      </c>
      <c r="BE123" s="38" t="inlineStr">
        <is>
          <t>IF(OR(E123="",AR123=""),"",IF(COUNT(AG123:AQ123)=0,"",AR123-LOOKUP(2,1/(AG123:AQ123&lt;&gt;""),AG123:AQ123)))</t>
        </is>
      </c>
      <c r="BF123" s="38" t="inlineStr">
        <is>
          <t>IF(OR(E123="",AS123=""),"",IF(COUNT(AG123:AR123)=0,"",AS123-LOOKUP(2,1/(AG123:AR123&lt;&gt;""),AG123:AR123)))</t>
        </is>
      </c>
      <c r="BG123" s="38" t="inlineStr">
        <is>
          <t>IF(OR(E123="",AT123=""),"",IF(COUNT(AG123:AS123)=0,"",AT123-LOOKUP(2,1/(AG123:AS123&lt;&gt;""),AG123:AS123)))</t>
        </is>
      </c>
      <c r="BH123" s="41" t="inlineStr">
        <is>
          <t>IF(G123="","All_Provinces",IFERROR(VLOOKUP(G123,'07_Lookups'!$A$4:$B$20,2,FALSE),"All_Provinces"))</t>
        </is>
      </c>
      <c r="BI123" s="41" t="inlineStr">
        <is>
          <t>IF(H123="","All_Districts",IFERROR(VLOOKUP(H123,'07_Lookups'!$E$4:$F$42,2,FALSE),"All_Districts"))</t>
        </is>
      </c>
    </row>
    <row r="124" ht="18" customHeight="1">
      <c r="A124" s="32" t="inlineStr">
        <is>
          <t>IF(E124="","",ROW()-3)</t>
        </is>
      </c>
      <c r="B124" s="33" t="inlineStr">
        <is>
          <t>AF2-WSM-A-055</t>
        </is>
      </c>
      <c r="C124" s="33" t="inlineStr">
        <is>
          <t>Emergency Food Security Project (EFSP) – WBK/AF-2</t>
        </is>
      </c>
      <c r="D124" s="33"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24" s="33" t="inlineStr">
        <is>
          <t>6. Sum Darra Check Dam</t>
        </is>
      </c>
      <c r="F124" s="33" t="inlineStr">
        <is>
          <t>Check Dam</t>
        </is>
      </c>
      <c r="G124" s="33" t="inlineStr">
        <is>
          <t>Northeast / Kunduz</t>
        </is>
      </c>
      <c r="H124" s="33" t="inlineStr">
        <is>
          <t>Badakhshan</t>
        </is>
      </c>
      <c r="I124" s="33" t="inlineStr">
        <is>
          <t>Arghanj Khwah</t>
        </is>
      </c>
      <c r="J124" s="33" t="inlineStr">
        <is>
          <t>Sum Dara</t>
        </is>
      </c>
      <c r="K124" s="33" t="inlineStr">
        <is>
          <t>World Bank (WBK/AF-2)</t>
        </is>
      </c>
      <c r="L124" s="33" t="inlineStr">
        <is>
          <t>Awarded</t>
        </is>
      </c>
      <c r="M124" s="33" t="inlineStr">
        <is>
          <t>Watershed / Check dam</t>
        </is>
      </c>
      <c r="N124" s="33" t="inlineStr">
        <is>
          <t>3.WSM awarded contracts</t>
        </is>
      </c>
      <c r="O124" s="33" t="inlineStr">
        <is>
          <t>Faiz Qurbani Construction Company (FQCC)</t>
        </is>
      </c>
      <c r="P124" s="33" t="inlineStr">
        <is>
          <t>027/2026</t>
        </is>
      </c>
      <c r="Q124" s="34" t="n">
        <v>31519.9</v>
      </c>
      <c r="R124" s="35" t="inlineStr">
        <is>
          <t>IF(AO124="","",AO124)</t>
        </is>
      </c>
      <c r="S124" s="36" t="n"/>
      <c r="T124" s="37" t="n">
        <v>7</v>
      </c>
      <c r="U124" s="36" t="n">
        <v>46334</v>
      </c>
      <c r="V124" s="35" t="inlineStr">
        <is>
          <t>IF(U124&lt;&gt;"",U124,IF(OR(R124="",T124=""),"",EDATE(R124,T124)))</t>
        </is>
      </c>
      <c r="W124" s="36" t="n"/>
      <c r="X124" s="37" t="n">
        <v>0</v>
      </c>
      <c r="Y124" s="33" t="inlineStr">
        <is>
          <t>Completed / Handover</t>
        </is>
      </c>
      <c r="Z124" s="33" t="inlineStr">
        <is>
          <t>Completed on Sep, 2026</t>
        </is>
      </c>
      <c r="AA124" s="32" t="inlineStr">
        <is>
          <t>IF(E124="","",IF(COUNT(AG124:AT124)=0,IF(Y124="","Not started",Y124),SUBSTITUTE(LOOKUP(2,1/(AG124:AT124&lt;&gt;""),$AG$3:$AT$3),"Date: ","")))</t>
        </is>
      </c>
      <c r="AB124" s="38" t="inlineStr">
        <is>
          <t>IF(OR(E124="",COUNT(AG124:AT124)=0),"",TODAY()-LOOKUP(2,1/(AG124:AT124&lt;&gt;""),AG124:AT124))</t>
        </is>
      </c>
      <c r="AC124" s="38" t="inlineStr">
        <is>
          <t>IF(OR(E124="",COUNT(AG124:AT124)&lt;2),"",LOOKUP(2,1/(AG124:AT124&lt;&gt;""),AG124:AT124)-MIN(AG124:AT124))</t>
        </is>
      </c>
      <c r="AD124" s="38" t="inlineStr">
        <is>
          <t>IF(OR(AB124="",AA124="Not started",AA124=""),"",IFERROR(AB124-IF(VLOOKUP(AA124,'04_Status_Pipeline'!$B$3:$E$20,4,FALSE)="",0,VLOOKUP(AA124,'04_Status_Pipeline'!$B$3:$E$20,4,FALSE)),""))</t>
        </is>
      </c>
      <c r="AE124" s="32" t="inlineStr">
        <is>
          <t>IF(E124="","",IF(OR(Y124="Cancelled",AA124="Cancelled"),"Cancelled",IF(OR(AA124="Completed / Handover",W124&lt;&gt;"",X124&gt;=100),"Completed — on track",IF(L124="Remaining",IF(S124="",IF(V124="","No planned date",IF(TODAY()&gt;V124,"Behind — past planned date",IF(V124-TODAY()&lt;=30,"At risk — close to off track","On track"))),IF(TODAY()&gt;S124,"Behind — award date passed",IF(S124-TODAY()&lt;=30,"At risk — close to off track","On track"))),IF(V124="","No planned date",IF(AND(TODAY()&gt;V124,OR(X124="",X124&lt;100)),"Behind — past end date",IF(AND(R124&lt;&gt;"",V124&lt;&gt;"",X124&lt;&gt;"",(X124&lt;100),((TODAY()-R124)/MAX(V124-R124,1)*100)-X124&gt;15),"Behind — progress lag",IF(AND(V124-TODAY()&lt;=30,V124-TODAY()&gt;=0,OR(X124="",X124&lt;90)),"At risk — close to off track","On track"))))))))</t>
        </is>
      </c>
      <c r="AF124" s="38" t="inlineStr">
        <is>
          <t>IF(OR(E124="",AA124="Completed / Handover",AA124="Cancelled"),"",IF(L124="Remaining",IF(S124&lt;&gt;"",S124-TODAY(),IF(V124="","",V124-TODAY())),IF(V124="","",V124-TODAY())))</t>
        </is>
      </c>
      <c r="AG124" s="39" t="n"/>
      <c r="AH124" s="39" t="n"/>
      <c r="AI124" s="39" t="n"/>
      <c r="AJ124" s="39" t="n"/>
      <c r="AK124" s="39" t="n"/>
      <c r="AL124" s="39" t="n"/>
      <c r="AM124" s="39" t="n"/>
      <c r="AN124" s="39" t="n"/>
      <c r="AO124" s="39" t="n">
        <v>46121</v>
      </c>
      <c r="AP124" s="39" t="n">
        <v>46121</v>
      </c>
      <c r="AQ124" s="39" t="n">
        <v>46334</v>
      </c>
      <c r="AR124" s="40" t="n"/>
      <c r="AS124" s="40" t="n"/>
      <c r="AT124" s="40" t="n"/>
      <c r="AU124" s="38" t="inlineStr">
        <is>
          <t>IF(OR(E124="",AH124=""),"",IF(COUNT(AG124:AG124)=0,"",AH124-LOOKUP(2,1/(AG124:AG124&lt;&gt;""),AG124:AG124)))</t>
        </is>
      </c>
      <c r="AV124" s="38" t="inlineStr">
        <is>
          <t>IF(OR(E124="",AI124=""),"",IF(COUNT(AG124:AH124)=0,"",AI124-LOOKUP(2,1/(AG124:AH124&lt;&gt;""),AG124:AH124)))</t>
        </is>
      </c>
      <c r="AW124" s="38" t="inlineStr">
        <is>
          <t>IF(OR(E124="",AJ124=""),"",IF(COUNT(AG124:AI124)=0,"",AJ124-LOOKUP(2,1/(AG124:AI124&lt;&gt;""),AG124:AI124)))</t>
        </is>
      </c>
      <c r="AX124" s="38" t="inlineStr">
        <is>
          <t>IF(OR(E124="",AK124=""),"",IF(COUNT(AG124:AJ124)=0,"",AK124-LOOKUP(2,1/(AG124:AJ124&lt;&gt;""),AG124:AJ124)))</t>
        </is>
      </c>
      <c r="AY124" s="38" t="inlineStr">
        <is>
          <t>IF(OR(E124="",AL124=""),"",IF(COUNT(AG124:AK124)=0,"",AL124-LOOKUP(2,1/(AG124:AK124&lt;&gt;""),AG124:AK124)))</t>
        </is>
      </c>
      <c r="AZ124" s="38" t="inlineStr">
        <is>
          <t>IF(OR(E124="",AM124=""),"",IF(COUNT(AG124:AL124)=0,"",AM124-LOOKUP(2,1/(AG124:AL124&lt;&gt;""),AG124:AL124)))</t>
        </is>
      </c>
      <c r="BA124" s="38" t="inlineStr">
        <is>
          <t>IF(OR(E124="",AN124=""),"",IF(COUNT(AG124:AM124)=0,"",AN124-LOOKUP(2,1/(AG124:AM124&lt;&gt;""),AG124:AM124)))</t>
        </is>
      </c>
      <c r="BB124" s="38" t="inlineStr">
        <is>
          <t>IF(OR(E124="",AO124=""),"",IF(COUNT(AG124:AN124)=0,"",AO124-LOOKUP(2,1/(AG124:AN124&lt;&gt;""),AG124:AN124)))</t>
        </is>
      </c>
      <c r="BC124" s="38" t="inlineStr">
        <is>
          <t>IF(OR(E124="",AP124=""),"",IF(COUNT(AG124:AO124)=0,"",AP124-LOOKUP(2,1/(AG124:AO124&lt;&gt;""),AG124:AO124)))</t>
        </is>
      </c>
      <c r="BD124" s="38" t="inlineStr">
        <is>
          <t>IF(OR(E124="",AQ124=""),"",IF(COUNT(AG124:AP124)=0,"",AQ124-LOOKUP(2,1/(AG124:AP124&lt;&gt;""),AG124:AP124)))</t>
        </is>
      </c>
      <c r="BE124" s="38" t="inlineStr">
        <is>
          <t>IF(OR(E124="",AR124=""),"",IF(COUNT(AG124:AQ124)=0,"",AR124-LOOKUP(2,1/(AG124:AQ124&lt;&gt;""),AG124:AQ124)))</t>
        </is>
      </c>
      <c r="BF124" s="38" t="inlineStr">
        <is>
          <t>IF(OR(E124="",AS124=""),"",IF(COUNT(AG124:AR124)=0,"",AS124-LOOKUP(2,1/(AG124:AR124&lt;&gt;""),AG124:AR124)))</t>
        </is>
      </c>
      <c r="BG124" s="38" t="inlineStr">
        <is>
          <t>IF(OR(E124="",AT124=""),"",IF(COUNT(AG124:AS124)=0,"",AT124-LOOKUP(2,1/(AG124:AS124&lt;&gt;""),AG124:AS124)))</t>
        </is>
      </c>
      <c r="BH124" s="41" t="inlineStr">
        <is>
          <t>IF(G124="","All_Provinces",IFERROR(VLOOKUP(G124,'07_Lookups'!$A$4:$B$20,2,FALSE),"All_Provinces"))</t>
        </is>
      </c>
      <c r="BI124" s="41" t="inlineStr">
        <is>
          <t>IF(H124="","All_Districts",IFERROR(VLOOKUP(H124,'07_Lookups'!$E$4:$F$42,2,FALSE),"All_Districts"))</t>
        </is>
      </c>
    </row>
    <row r="125" ht="18" customHeight="1">
      <c r="A125" s="32" t="inlineStr">
        <is>
          <t>IF(E125="","",ROW()-3)</t>
        </is>
      </c>
      <c r="B125" s="42" t="inlineStr">
        <is>
          <t>AF2-WSM-A-056</t>
        </is>
      </c>
      <c r="C125" s="42" t="inlineStr">
        <is>
          <t>Emergency Food Security Project (EFSP) – WBK/AF-2</t>
        </is>
      </c>
      <c r="D125" s="42" t="inlineStr">
        <is>
          <t>Package #27-AF2 WSM: Construction of 5 Check Dams in 5 district sites of 1. Sholish Darra in Namak Ab, 2.Gaji Darra in Hazar Sumoch, 3.Silaba in Khwaja Ghar, 4.Shoor Toghai in Khwaja Bahawudd in and 5.Khalyazi in Yangi Qala districts of Takhar province.</t>
        </is>
      </c>
      <c r="E125" s="42" t="inlineStr">
        <is>
          <t>1.Sholish Darra Check Dam</t>
        </is>
      </c>
      <c r="F125" s="42" t="inlineStr">
        <is>
          <t>Check Dam</t>
        </is>
      </c>
      <c r="G125" s="42" t="inlineStr">
        <is>
          <t>Northeast / Kunduz</t>
        </is>
      </c>
      <c r="H125" s="42" t="inlineStr">
        <is>
          <t>Takhar</t>
        </is>
      </c>
      <c r="I125" s="42" t="inlineStr">
        <is>
          <t>Namak Ab</t>
        </is>
      </c>
      <c r="J125" s="42" t="inlineStr">
        <is>
          <t>Sholish Darra</t>
        </is>
      </c>
      <c r="K125" s="42" t="inlineStr">
        <is>
          <t>World Bank (WBK/AF-2)</t>
        </is>
      </c>
      <c r="L125" s="42" t="inlineStr">
        <is>
          <t>Awarded</t>
        </is>
      </c>
      <c r="M125" s="42" t="inlineStr">
        <is>
          <t>Watershed / Check dam</t>
        </is>
      </c>
      <c r="N125" s="42" t="inlineStr">
        <is>
          <t>3.WSM awarded contracts</t>
        </is>
      </c>
      <c r="O125" s="42" t="inlineStr">
        <is>
          <t>Shafiqullah Wahidi Construction Company (SWCC)</t>
        </is>
      </c>
      <c r="P125" s="42" t="inlineStr">
        <is>
          <t>037/2026</t>
        </is>
      </c>
      <c r="Q125" s="43" t="n">
        <v>29465.27</v>
      </c>
      <c r="R125" s="35" t="inlineStr">
        <is>
          <t>IF(AO125="","",AO125)</t>
        </is>
      </c>
      <c r="S125" s="44" t="n"/>
      <c r="T125" s="45" t="n">
        <v>6</v>
      </c>
      <c r="U125" s="44" t="n">
        <v>46346</v>
      </c>
      <c r="V125" s="35" t="inlineStr">
        <is>
          <t>IF(U125&lt;&gt;"",U125,IF(OR(R125="",T125=""),"",EDATE(R125,T125)))</t>
        </is>
      </c>
      <c r="W125" s="44" t="n"/>
      <c r="X125" s="45" t="n">
        <v>0</v>
      </c>
      <c r="Y125" s="42" t="inlineStr">
        <is>
          <t>Completed / Handover</t>
        </is>
      </c>
      <c r="Z125" s="42" t="inlineStr">
        <is>
          <t>Completed on Sep, 2026</t>
        </is>
      </c>
      <c r="AA125" s="32" t="inlineStr">
        <is>
          <t>IF(E125="","",IF(COUNT(AG125:AT125)=0,IF(Y125="","Not started",Y125),SUBSTITUTE(LOOKUP(2,1/(AG125:AT125&lt;&gt;""),$AG$3:$AT$3),"Date: ","")))</t>
        </is>
      </c>
      <c r="AB125" s="38" t="inlineStr">
        <is>
          <t>IF(OR(E125="",COUNT(AG125:AT125)=0),"",TODAY()-LOOKUP(2,1/(AG125:AT125&lt;&gt;""),AG125:AT125))</t>
        </is>
      </c>
      <c r="AC125" s="38" t="inlineStr">
        <is>
          <t>IF(OR(E125="",COUNT(AG125:AT125)&lt;2),"",LOOKUP(2,1/(AG125:AT125&lt;&gt;""),AG125:AT125)-MIN(AG125:AT125))</t>
        </is>
      </c>
      <c r="AD125" s="38" t="inlineStr">
        <is>
          <t>IF(OR(AB125="",AA125="Not started",AA125=""),"",IFERROR(AB125-IF(VLOOKUP(AA125,'04_Status_Pipeline'!$B$3:$E$20,4,FALSE)="",0,VLOOKUP(AA125,'04_Status_Pipeline'!$B$3:$E$20,4,FALSE)),""))</t>
        </is>
      </c>
      <c r="AE125" s="32" t="inlineStr">
        <is>
          <t>IF(E125="","",IF(OR(Y125="Cancelled",AA125="Cancelled"),"Cancelled",IF(OR(AA125="Completed / Handover",W125&lt;&gt;"",X125&gt;=100),"Completed — on track",IF(L125="Remaining",IF(S125="",IF(V125="","No planned date",IF(TODAY()&gt;V125,"Behind — past planned date",IF(V125-TODAY()&lt;=30,"At risk — close to off track","On track"))),IF(TODAY()&gt;S125,"Behind — award date passed",IF(S125-TODAY()&lt;=30,"At risk — close to off track","On track"))),IF(V125="","No planned date",IF(AND(TODAY()&gt;V125,OR(X125="",X125&lt;100)),"Behind — past end date",IF(AND(R125&lt;&gt;"",V125&lt;&gt;"",X125&lt;&gt;"",(X125&lt;100),((TODAY()-R125)/MAX(V125-R125,1)*100)-X125&gt;15),"Behind — progress lag",IF(AND(V125-TODAY()&lt;=30,V125-TODAY()&gt;=0,OR(X125="",X125&lt;90)),"At risk — close to off track","On track"))))))))</t>
        </is>
      </c>
      <c r="AF125" s="38" t="inlineStr">
        <is>
          <t>IF(OR(E125="",AA125="Completed / Handover",AA125="Cancelled"),"",IF(L125="Remaining",IF(S125&lt;&gt;"",S125-TODAY(),IF(V125="","",V125-TODAY())),IF(V125="","",V125-TODAY())))</t>
        </is>
      </c>
      <c r="AG125" s="39" t="n"/>
      <c r="AH125" s="39" t="n"/>
      <c r="AI125" s="39" t="n"/>
      <c r="AJ125" s="39" t="n"/>
      <c r="AK125" s="39" t="n"/>
      <c r="AL125" s="39" t="n"/>
      <c r="AM125" s="39" t="n"/>
      <c r="AN125" s="39" t="n"/>
      <c r="AO125" s="39" t="n">
        <v>46163</v>
      </c>
      <c r="AP125" s="39" t="n">
        <v>46163</v>
      </c>
      <c r="AQ125" s="39" t="n">
        <v>46346</v>
      </c>
      <c r="AR125" s="40" t="n"/>
      <c r="AS125" s="40" t="n"/>
      <c r="AT125" s="40" t="n"/>
      <c r="AU125" s="38" t="inlineStr">
        <is>
          <t>IF(OR(E125="",AH125=""),"",IF(COUNT(AG125:AG125)=0,"",AH125-LOOKUP(2,1/(AG125:AG125&lt;&gt;""),AG125:AG125)))</t>
        </is>
      </c>
      <c r="AV125" s="38" t="inlineStr">
        <is>
          <t>IF(OR(E125="",AI125=""),"",IF(COUNT(AG125:AH125)=0,"",AI125-LOOKUP(2,1/(AG125:AH125&lt;&gt;""),AG125:AH125)))</t>
        </is>
      </c>
      <c r="AW125" s="38" t="inlineStr">
        <is>
          <t>IF(OR(E125="",AJ125=""),"",IF(COUNT(AG125:AI125)=0,"",AJ125-LOOKUP(2,1/(AG125:AI125&lt;&gt;""),AG125:AI125)))</t>
        </is>
      </c>
      <c r="AX125" s="38" t="inlineStr">
        <is>
          <t>IF(OR(E125="",AK125=""),"",IF(COUNT(AG125:AJ125)=0,"",AK125-LOOKUP(2,1/(AG125:AJ125&lt;&gt;""),AG125:AJ125)))</t>
        </is>
      </c>
      <c r="AY125" s="38" t="inlineStr">
        <is>
          <t>IF(OR(E125="",AL125=""),"",IF(COUNT(AG125:AK125)=0,"",AL125-LOOKUP(2,1/(AG125:AK125&lt;&gt;""),AG125:AK125)))</t>
        </is>
      </c>
      <c r="AZ125" s="38" t="inlineStr">
        <is>
          <t>IF(OR(E125="",AM125=""),"",IF(COUNT(AG125:AL125)=0,"",AM125-LOOKUP(2,1/(AG125:AL125&lt;&gt;""),AG125:AL125)))</t>
        </is>
      </c>
      <c r="BA125" s="38" t="inlineStr">
        <is>
          <t>IF(OR(E125="",AN125=""),"",IF(COUNT(AG125:AM125)=0,"",AN125-LOOKUP(2,1/(AG125:AM125&lt;&gt;""),AG125:AM125)))</t>
        </is>
      </c>
      <c r="BB125" s="38" t="inlineStr">
        <is>
          <t>IF(OR(E125="",AO125=""),"",IF(COUNT(AG125:AN125)=0,"",AO125-LOOKUP(2,1/(AG125:AN125&lt;&gt;""),AG125:AN125)))</t>
        </is>
      </c>
      <c r="BC125" s="38" t="inlineStr">
        <is>
          <t>IF(OR(E125="",AP125=""),"",IF(COUNT(AG125:AO125)=0,"",AP125-LOOKUP(2,1/(AG125:AO125&lt;&gt;""),AG125:AO125)))</t>
        </is>
      </c>
      <c r="BD125" s="38" t="inlineStr">
        <is>
          <t>IF(OR(E125="",AQ125=""),"",IF(COUNT(AG125:AP125)=0,"",AQ125-LOOKUP(2,1/(AG125:AP125&lt;&gt;""),AG125:AP125)))</t>
        </is>
      </c>
      <c r="BE125" s="38" t="inlineStr">
        <is>
          <t>IF(OR(E125="",AR125=""),"",IF(COUNT(AG125:AQ125)=0,"",AR125-LOOKUP(2,1/(AG125:AQ125&lt;&gt;""),AG125:AQ125)))</t>
        </is>
      </c>
      <c r="BF125" s="38" t="inlineStr">
        <is>
          <t>IF(OR(E125="",AS125=""),"",IF(COUNT(AG125:AR125)=0,"",AS125-LOOKUP(2,1/(AG125:AR125&lt;&gt;""),AG125:AR125)))</t>
        </is>
      </c>
      <c r="BG125" s="38" t="inlineStr">
        <is>
          <t>IF(OR(E125="",AT125=""),"",IF(COUNT(AG125:AS125)=0,"",AT125-LOOKUP(2,1/(AG125:AS125&lt;&gt;""),AG125:AS125)))</t>
        </is>
      </c>
      <c r="BH125" s="41" t="inlineStr">
        <is>
          <t>IF(G125="","All_Provinces",IFERROR(VLOOKUP(G125,'07_Lookups'!$A$4:$B$20,2,FALSE),"All_Provinces"))</t>
        </is>
      </c>
      <c r="BI125" s="41" t="inlineStr">
        <is>
          <t>IF(H125="","All_Districts",IFERROR(VLOOKUP(H125,'07_Lookups'!$E$4:$F$42,2,FALSE),"All_Districts"))</t>
        </is>
      </c>
    </row>
    <row r="126" ht="18" customHeight="1">
      <c r="A126" s="32" t="inlineStr">
        <is>
          <t>IF(E126="","",ROW()-3)</t>
        </is>
      </c>
      <c r="B126" s="33" t="inlineStr">
        <is>
          <t>AF2-WSM-A-057</t>
        </is>
      </c>
      <c r="C126" s="33" t="inlineStr">
        <is>
          <t>Emergency Food Security Project (EFSP) – WBK/AF-2</t>
        </is>
      </c>
      <c r="D126" s="33" t="inlineStr">
        <is>
          <t>Package #27-AF2 WSM: Construction of 5 Check Dams in 5 district sites of 1. Sholish Darra in Namak Ab, 2.Gaji Darra in Hazar Sumoch, 3.Silaba in Khwaja Ghar, 4.Shoor Toghai in Khwaja Bahawudd in and 5.Khalyazi in Yangi Qala districts of Takhar province.</t>
        </is>
      </c>
      <c r="E126" s="33" t="inlineStr">
        <is>
          <t>2.Gaji Darra Check Dam</t>
        </is>
      </c>
      <c r="F126" s="33" t="inlineStr">
        <is>
          <t>Check Dam</t>
        </is>
      </c>
      <c r="G126" s="33" t="inlineStr">
        <is>
          <t>Northeast / Kunduz</t>
        </is>
      </c>
      <c r="H126" s="33" t="inlineStr">
        <is>
          <t>Takhar</t>
        </is>
      </c>
      <c r="I126" s="33" t="inlineStr">
        <is>
          <t>Hazar Sumoch</t>
        </is>
      </c>
      <c r="J126" s="33" t="inlineStr">
        <is>
          <t>Gaji Darra</t>
        </is>
      </c>
      <c r="K126" s="33" t="inlineStr">
        <is>
          <t>World Bank (WBK/AF-2)</t>
        </is>
      </c>
      <c r="L126" s="33" t="inlineStr">
        <is>
          <t>Awarded</t>
        </is>
      </c>
      <c r="M126" s="33" t="inlineStr">
        <is>
          <t>Watershed / Check dam</t>
        </is>
      </c>
      <c r="N126" s="33" t="inlineStr">
        <is>
          <t>3.WSM awarded contracts</t>
        </is>
      </c>
      <c r="O126" s="33" t="inlineStr">
        <is>
          <t>Shafiqullah Wahidi Construction Company (SWCC)</t>
        </is>
      </c>
      <c r="P126" s="33" t="inlineStr">
        <is>
          <t>037/2026</t>
        </is>
      </c>
      <c r="Q126" s="34" t="n">
        <v>28776.59</v>
      </c>
      <c r="R126" s="35" t="inlineStr">
        <is>
          <t>IF(AO126="","",AO126)</t>
        </is>
      </c>
      <c r="S126" s="36" t="n"/>
      <c r="T126" s="37" t="n">
        <v>6</v>
      </c>
      <c r="U126" s="36" t="n">
        <v>46346</v>
      </c>
      <c r="V126" s="35" t="inlineStr">
        <is>
          <t>IF(U126&lt;&gt;"",U126,IF(OR(R126="",T126=""),"",EDATE(R126,T126)))</t>
        </is>
      </c>
      <c r="W126" s="36" t="n"/>
      <c r="X126" s="37" t="n">
        <v>0</v>
      </c>
      <c r="Y126" s="33" t="inlineStr">
        <is>
          <t>Completed / Handover</t>
        </is>
      </c>
      <c r="Z126" s="33" t="inlineStr">
        <is>
          <t>Completed on Sep, 2026</t>
        </is>
      </c>
      <c r="AA126" s="32" t="inlineStr">
        <is>
          <t>IF(E126="","",IF(COUNT(AG126:AT126)=0,IF(Y126="","Not started",Y126),SUBSTITUTE(LOOKUP(2,1/(AG126:AT126&lt;&gt;""),$AG$3:$AT$3),"Date: ","")))</t>
        </is>
      </c>
      <c r="AB126" s="38" t="inlineStr">
        <is>
          <t>IF(OR(E126="",COUNT(AG126:AT126)=0),"",TODAY()-LOOKUP(2,1/(AG126:AT126&lt;&gt;""),AG126:AT126))</t>
        </is>
      </c>
      <c r="AC126" s="38" t="inlineStr">
        <is>
          <t>IF(OR(E126="",COUNT(AG126:AT126)&lt;2),"",LOOKUP(2,1/(AG126:AT126&lt;&gt;""),AG126:AT126)-MIN(AG126:AT126))</t>
        </is>
      </c>
      <c r="AD126" s="38" t="inlineStr">
        <is>
          <t>IF(OR(AB126="",AA126="Not started",AA126=""),"",IFERROR(AB126-IF(VLOOKUP(AA126,'04_Status_Pipeline'!$B$3:$E$20,4,FALSE)="",0,VLOOKUP(AA126,'04_Status_Pipeline'!$B$3:$E$20,4,FALSE)),""))</t>
        </is>
      </c>
      <c r="AE126" s="32" t="inlineStr">
        <is>
          <t>IF(E126="","",IF(OR(Y126="Cancelled",AA126="Cancelled"),"Cancelled",IF(OR(AA126="Completed / Handover",W126&lt;&gt;"",X126&gt;=100),"Completed — on track",IF(L126="Remaining",IF(S126="",IF(V126="","No planned date",IF(TODAY()&gt;V126,"Behind — past planned date",IF(V126-TODAY()&lt;=30,"At risk — close to off track","On track"))),IF(TODAY()&gt;S126,"Behind — award date passed",IF(S126-TODAY()&lt;=30,"At risk — close to off track","On track"))),IF(V126="","No planned date",IF(AND(TODAY()&gt;V126,OR(X126="",X126&lt;100)),"Behind — past end date",IF(AND(R126&lt;&gt;"",V126&lt;&gt;"",X126&lt;&gt;"",(X126&lt;100),((TODAY()-R126)/MAX(V126-R126,1)*100)-X126&gt;15),"Behind — progress lag",IF(AND(V126-TODAY()&lt;=30,V126-TODAY()&gt;=0,OR(X126="",X126&lt;90)),"At risk — close to off track","On track"))))))))</t>
        </is>
      </c>
      <c r="AF126" s="38" t="inlineStr">
        <is>
          <t>IF(OR(E126="",AA126="Completed / Handover",AA126="Cancelled"),"",IF(L126="Remaining",IF(S126&lt;&gt;"",S126-TODAY(),IF(V126="","",V126-TODAY())),IF(V126="","",V126-TODAY())))</t>
        </is>
      </c>
      <c r="AG126" s="39" t="n"/>
      <c r="AH126" s="39" t="n"/>
      <c r="AI126" s="39" t="n"/>
      <c r="AJ126" s="39" t="n"/>
      <c r="AK126" s="39" t="n"/>
      <c r="AL126" s="39" t="n"/>
      <c r="AM126" s="39" t="n"/>
      <c r="AN126" s="39" t="n"/>
      <c r="AO126" s="39" t="n">
        <v>46163</v>
      </c>
      <c r="AP126" s="39" t="n">
        <v>46163</v>
      </c>
      <c r="AQ126" s="39" t="n">
        <v>46346</v>
      </c>
      <c r="AR126" s="40" t="n"/>
      <c r="AS126" s="40" t="n"/>
      <c r="AT126" s="40" t="n"/>
      <c r="AU126" s="38" t="inlineStr">
        <is>
          <t>IF(OR(E126="",AH126=""),"",IF(COUNT(AG126:AG126)=0,"",AH126-LOOKUP(2,1/(AG126:AG126&lt;&gt;""),AG126:AG126)))</t>
        </is>
      </c>
      <c r="AV126" s="38" t="inlineStr">
        <is>
          <t>IF(OR(E126="",AI126=""),"",IF(COUNT(AG126:AH126)=0,"",AI126-LOOKUP(2,1/(AG126:AH126&lt;&gt;""),AG126:AH126)))</t>
        </is>
      </c>
      <c r="AW126" s="38" t="inlineStr">
        <is>
          <t>IF(OR(E126="",AJ126=""),"",IF(COUNT(AG126:AI126)=0,"",AJ126-LOOKUP(2,1/(AG126:AI126&lt;&gt;""),AG126:AI126)))</t>
        </is>
      </c>
      <c r="AX126" s="38" t="inlineStr">
        <is>
          <t>IF(OR(E126="",AK126=""),"",IF(COUNT(AG126:AJ126)=0,"",AK126-LOOKUP(2,1/(AG126:AJ126&lt;&gt;""),AG126:AJ126)))</t>
        </is>
      </c>
      <c r="AY126" s="38" t="inlineStr">
        <is>
          <t>IF(OR(E126="",AL126=""),"",IF(COUNT(AG126:AK126)=0,"",AL126-LOOKUP(2,1/(AG126:AK126&lt;&gt;""),AG126:AK126)))</t>
        </is>
      </c>
      <c r="AZ126" s="38" t="inlineStr">
        <is>
          <t>IF(OR(E126="",AM126=""),"",IF(COUNT(AG126:AL126)=0,"",AM126-LOOKUP(2,1/(AG126:AL126&lt;&gt;""),AG126:AL126)))</t>
        </is>
      </c>
      <c r="BA126" s="38" t="inlineStr">
        <is>
          <t>IF(OR(E126="",AN126=""),"",IF(COUNT(AG126:AM126)=0,"",AN126-LOOKUP(2,1/(AG126:AM126&lt;&gt;""),AG126:AM126)))</t>
        </is>
      </c>
      <c r="BB126" s="38" t="inlineStr">
        <is>
          <t>IF(OR(E126="",AO126=""),"",IF(COUNT(AG126:AN126)=0,"",AO126-LOOKUP(2,1/(AG126:AN126&lt;&gt;""),AG126:AN126)))</t>
        </is>
      </c>
      <c r="BC126" s="38" t="inlineStr">
        <is>
          <t>IF(OR(E126="",AP126=""),"",IF(COUNT(AG126:AO126)=0,"",AP126-LOOKUP(2,1/(AG126:AO126&lt;&gt;""),AG126:AO126)))</t>
        </is>
      </c>
      <c r="BD126" s="38" t="inlineStr">
        <is>
          <t>IF(OR(E126="",AQ126=""),"",IF(COUNT(AG126:AP126)=0,"",AQ126-LOOKUP(2,1/(AG126:AP126&lt;&gt;""),AG126:AP126)))</t>
        </is>
      </c>
      <c r="BE126" s="38" t="inlineStr">
        <is>
          <t>IF(OR(E126="",AR126=""),"",IF(COUNT(AG126:AQ126)=0,"",AR126-LOOKUP(2,1/(AG126:AQ126&lt;&gt;""),AG126:AQ126)))</t>
        </is>
      </c>
      <c r="BF126" s="38" t="inlineStr">
        <is>
          <t>IF(OR(E126="",AS126=""),"",IF(COUNT(AG126:AR126)=0,"",AS126-LOOKUP(2,1/(AG126:AR126&lt;&gt;""),AG126:AR126)))</t>
        </is>
      </c>
      <c r="BG126" s="38" t="inlineStr">
        <is>
          <t>IF(OR(E126="",AT126=""),"",IF(COUNT(AG126:AS126)=0,"",AT126-LOOKUP(2,1/(AG126:AS126&lt;&gt;""),AG126:AS126)))</t>
        </is>
      </c>
      <c r="BH126" s="41" t="inlineStr">
        <is>
          <t>IF(G126="","All_Provinces",IFERROR(VLOOKUP(G126,'07_Lookups'!$A$4:$B$20,2,FALSE),"All_Provinces"))</t>
        </is>
      </c>
      <c r="BI126" s="41" t="inlineStr">
        <is>
          <t>IF(H126="","All_Districts",IFERROR(VLOOKUP(H126,'07_Lookups'!$E$4:$F$42,2,FALSE),"All_Districts"))</t>
        </is>
      </c>
    </row>
    <row r="127" ht="18" customHeight="1">
      <c r="A127" s="32" t="inlineStr">
        <is>
          <t>IF(E127="","",ROW()-3)</t>
        </is>
      </c>
      <c r="B127" s="42" t="inlineStr">
        <is>
          <t>AF2-WSM-A-058</t>
        </is>
      </c>
      <c r="C127" s="42" t="inlineStr">
        <is>
          <t>Emergency Food Security Project (EFSP) – WBK/AF-2</t>
        </is>
      </c>
      <c r="D127" s="42" t="inlineStr">
        <is>
          <t>Package #27-AF2 WSM: Construction of 5 Check Dams in 5 district sites of 1. Sholish Darra in Namak Ab, 2.Gaji Darra in Hazar Sumoch, 3.Silaba in Khwaja Ghar, 4.Shoor Toghai in Khwaja Bahawudd in and 5.Khalyazi in Yangi Qala districts of Takhar province.</t>
        </is>
      </c>
      <c r="E127" s="42" t="inlineStr">
        <is>
          <t>3.Silaba Check Dam</t>
        </is>
      </c>
      <c r="F127" s="42" t="inlineStr">
        <is>
          <t>Check Dam</t>
        </is>
      </c>
      <c r="G127" s="42" t="inlineStr">
        <is>
          <t>Northeast / Kunduz</t>
        </is>
      </c>
      <c r="H127" s="42" t="inlineStr">
        <is>
          <t>Takhar</t>
        </is>
      </c>
      <c r="I127" s="42" t="inlineStr">
        <is>
          <t>Khwaja Ghar</t>
        </is>
      </c>
      <c r="J127" s="42" t="inlineStr">
        <is>
          <t>Charagh Sai-e, Silaba</t>
        </is>
      </c>
      <c r="K127" s="42" t="inlineStr">
        <is>
          <t>World Bank (WBK/AF-2)</t>
        </is>
      </c>
      <c r="L127" s="42" t="inlineStr">
        <is>
          <t>Awarded</t>
        </is>
      </c>
      <c r="M127" s="42" t="inlineStr">
        <is>
          <t>Watershed / Check dam</t>
        </is>
      </c>
      <c r="N127" s="42" t="inlineStr">
        <is>
          <t>3.WSM awarded contracts</t>
        </is>
      </c>
      <c r="O127" s="42" t="inlineStr">
        <is>
          <t>Shafiqullah Wahidi Construction Company (SWCC)</t>
        </is>
      </c>
      <c r="P127" s="42" t="inlineStr">
        <is>
          <t>037/2026</t>
        </is>
      </c>
      <c r="Q127" s="43" t="n">
        <v>17455.39</v>
      </c>
      <c r="R127" s="35" t="inlineStr">
        <is>
          <t>IF(AO127="","",AO127)</t>
        </is>
      </c>
      <c r="S127" s="44" t="n"/>
      <c r="T127" s="45" t="n">
        <v>6</v>
      </c>
      <c r="U127" s="44" t="n">
        <v>46346</v>
      </c>
      <c r="V127" s="35" t="inlineStr">
        <is>
          <t>IF(U127&lt;&gt;"",U127,IF(OR(R127="",T127=""),"",EDATE(R127,T127)))</t>
        </is>
      </c>
      <c r="W127" s="44" t="n"/>
      <c r="X127" s="45" t="n">
        <v>100</v>
      </c>
      <c r="Y127" s="42" t="inlineStr">
        <is>
          <t>Completed / Handover</t>
        </is>
      </c>
      <c r="Z127" s="42" t="inlineStr">
        <is>
          <t>Completed on Sep, 2026</t>
        </is>
      </c>
      <c r="AA127" s="32" t="inlineStr">
        <is>
          <t>IF(E127="","",IF(COUNT(AG127:AT127)=0,IF(Y127="","Not started",Y127),SUBSTITUTE(LOOKUP(2,1/(AG127:AT127&lt;&gt;""),$AG$3:$AT$3),"Date: ","")))</t>
        </is>
      </c>
      <c r="AB127" s="38" t="inlineStr">
        <is>
          <t>IF(OR(E127="",COUNT(AG127:AT127)=0),"",TODAY()-LOOKUP(2,1/(AG127:AT127&lt;&gt;""),AG127:AT127))</t>
        </is>
      </c>
      <c r="AC127" s="38" t="inlineStr">
        <is>
          <t>IF(OR(E127="",COUNT(AG127:AT127)&lt;2),"",LOOKUP(2,1/(AG127:AT127&lt;&gt;""),AG127:AT127)-MIN(AG127:AT127))</t>
        </is>
      </c>
      <c r="AD127" s="38" t="inlineStr">
        <is>
          <t>IF(OR(AB127="",AA127="Not started",AA127=""),"",IFERROR(AB127-IF(VLOOKUP(AA127,'04_Status_Pipeline'!$B$3:$E$20,4,FALSE)="",0,VLOOKUP(AA127,'04_Status_Pipeline'!$B$3:$E$20,4,FALSE)),""))</t>
        </is>
      </c>
      <c r="AE127" s="32" t="inlineStr">
        <is>
          <t>IF(E127="","",IF(OR(Y127="Cancelled",AA127="Cancelled"),"Cancelled",IF(OR(AA127="Completed / Handover",W127&lt;&gt;"",X127&gt;=100),"Completed — on track",IF(L127="Remaining",IF(S127="",IF(V127="","No planned date",IF(TODAY()&gt;V127,"Behind — past planned date",IF(V127-TODAY()&lt;=30,"At risk — close to off track","On track"))),IF(TODAY()&gt;S127,"Behind — award date passed",IF(S127-TODAY()&lt;=30,"At risk — close to off track","On track"))),IF(V127="","No planned date",IF(AND(TODAY()&gt;V127,OR(X127="",X127&lt;100)),"Behind — past end date",IF(AND(R127&lt;&gt;"",V127&lt;&gt;"",X127&lt;&gt;"",(X127&lt;100),((TODAY()-R127)/MAX(V127-R127,1)*100)-X127&gt;15),"Behind — progress lag",IF(AND(V127-TODAY()&lt;=30,V127-TODAY()&gt;=0,OR(X127="",X127&lt;90)),"At risk — close to off track","On track"))))))))</t>
        </is>
      </c>
      <c r="AF127" s="38" t="inlineStr">
        <is>
          <t>IF(OR(E127="",AA127="Completed / Handover",AA127="Cancelled"),"",IF(L127="Remaining",IF(S127&lt;&gt;"",S127-TODAY(),IF(V127="","",V127-TODAY())),IF(V127="","",V127-TODAY())))</t>
        </is>
      </c>
      <c r="AG127" s="39" t="n"/>
      <c r="AH127" s="39" t="n"/>
      <c r="AI127" s="39" t="n"/>
      <c r="AJ127" s="39" t="n"/>
      <c r="AK127" s="39" t="n"/>
      <c r="AL127" s="39" t="n"/>
      <c r="AM127" s="39" t="n"/>
      <c r="AN127" s="39" t="n"/>
      <c r="AO127" s="39" t="n">
        <v>46163</v>
      </c>
      <c r="AP127" s="39" t="n">
        <v>46163</v>
      </c>
      <c r="AQ127" s="39" t="n">
        <v>46346</v>
      </c>
      <c r="AR127" s="40" t="n"/>
      <c r="AS127" s="40" t="n"/>
      <c r="AT127" s="40" t="n"/>
      <c r="AU127" s="38" t="inlineStr">
        <is>
          <t>IF(OR(E127="",AH127=""),"",IF(COUNT(AG127:AG127)=0,"",AH127-LOOKUP(2,1/(AG127:AG127&lt;&gt;""),AG127:AG127)))</t>
        </is>
      </c>
      <c r="AV127" s="38" t="inlineStr">
        <is>
          <t>IF(OR(E127="",AI127=""),"",IF(COUNT(AG127:AH127)=0,"",AI127-LOOKUP(2,1/(AG127:AH127&lt;&gt;""),AG127:AH127)))</t>
        </is>
      </c>
      <c r="AW127" s="38" t="inlineStr">
        <is>
          <t>IF(OR(E127="",AJ127=""),"",IF(COUNT(AG127:AI127)=0,"",AJ127-LOOKUP(2,1/(AG127:AI127&lt;&gt;""),AG127:AI127)))</t>
        </is>
      </c>
      <c r="AX127" s="38" t="inlineStr">
        <is>
          <t>IF(OR(E127="",AK127=""),"",IF(COUNT(AG127:AJ127)=0,"",AK127-LOOKUP(2,1/(AG127:AJ127&lt;&gt;""),AG127:AJ127)))</t>
        </is>
      </c>
      <c r="AY127" s="38" t="inlineStr">
        <is>
          <t>IF(OR(E127="",AL127=""),"",IF(COUNT(AG127:AK127)=0,"",AL127-LOOKUP(2,1/(AG127:AK127&lt;&gt;""),AG127:AK127)))</t>
        </is>
      </c>
      <c r="AZ127" s="38" t="inlineStr">
        <is>
          <t>IF(OR(E127="",AM127=""),"",IF(COUNT(AG127:AL127)=0,"",AM127-LOOKUP(2,1/(AG127:AL127&lt;&gt;""),AG127:AL127)))</t>
        </is>
      </c>
      <c r="BA127" s="38" t="inlineStr">
        <is>
          <t>IF(OR(E127="",AN127=""),"",IF(COUNT(AG127:AM127)=0,"",AN127-LOOKUP(2,1/(AG127:AM127&lt;&gt;""),AG127:AM127)))</t>
        </is>
      </c>
      <c r="BB127" s="38" t="inlineStr">
        <is>
          <t>IF(OR(E127="",AO127=""),"",IF(COUNT(AG127:AN127)=0,"",AO127-LOOKUP(2,1/(AG127:AN127&lt;&gt;""),AG127:AN127)))</t>
        </is>
      </c>
      <c r="BC127" s="38" t="inlineStr">
        <is>
          <t>IF(OR(E127="",AP127=""),"",IF(COUNT(AG127:AO127)=0,"",AP127-LOOKUP(2,1/(AG127:AO127&lt;&gt;""),AG127:AO127)))</t>
        </is>
      </c>
      <c r="BD127" s="38" t="inlineStr">
        <is>
          <t>IF(OR(E127="",AQ127=""),"",IF(COUNT(AG127:AP127)=0,"",AQ127-LOOKUP(2,1/(AG127:AP127&lt;&gt;""),AG127:AP127)))</t>
        </is>
      </c>
      <c r="BE127" s="38" t="inlineStr">
        <is>
          <t>IF(OR(E127="",AR127=""),"",IF(COUNT(AG127:AQ127)=0,"",AR127-LOOKUP(2,1/(AG127:AQ127&lt;&gt;""),AG127:AQ127)))</t>
        </is>
      </c>
      <c r="BF127" s="38" t="inlineStr">
        <is>
          <t>IF(OR(E127="",AS127=""),"",IF(COUNT(AG127:AR127)=0,"",AS127-LOOKUP(2,1/(AG127:AR127&lt;&gt;""),AG127:AR127)))</t>
        </is>
      </c>
      <c r="BG127" s="38" t="inlineStr">
        <is>
          <t>IF(OR(E127="",AT127=""),"",IF(COUNT(AG127:AS127)=0,"",AT127-LOOKUP(2,1/(AG127:AS127&lt;&gt;""),AG127:AS127)))</t>
        </is>
      </c>
      <c r="BH127" s="41" t="inlineStr">
        <is>
          <t>IF(G127="","All_Provinces",IFERROR(VLOOKUP(G127,'07_Lookups'!$A$4:$B$20,2,FALSE),"All_Provinces"))</t>
        </is>
      </c>
      <c r="BI127" s="41" t="inlineStr">
        <is>
          <t>IF(H127="","All_Districts",IFERROR(VLOOKUP(H127,'07_Lookups'!$E$4:$F$42,2,FALSE),"All_Districts"))</t>
        </is>
      </c>
    </row>
    <row r="128" ht="18" customHeight="1">
      <c r="A128" s="32" t="inlineStr">
        <is>
          <t>IF(E128="","",ROW()-3)</t>
        </is>
      </c>
      <c r="B128" s="33" t="inlineStr">
        <is>
          <t>AF2-WSM-A-059</t>
        </is>
      </c>
      <c r="C128" s="33" t="inlineStr">
        <is>
          <t>Emergency Food Security Project (EFSP) – WBK/AF-2</t>
        </is>
      </c>
      <c r="D128" s="33" t="inlineStr">
        <is>
          <t>Package #27-AF2 WSM: Construction of 5 Check Dams in 5 district sites of 1. Sholish Darra in Namak Ab, 2.Gaji Darra in Hazar Sumoch, 3.Silaba in Khwaja Ghar, 4.Shoor Toghai in Khwaja Bahawudd in and 5.Khalyazi in Yangi Qala districts of Takhar province.</t>
        </is>
      </c>
      <c r="E128" s="33" t="inlineStr">
        <is>
          <t>4.Shoor Toghai Check Dam</t>
        </is>
      </c>
      <c r="F128" s="33" t="inlineStr">
        <is>
          <t>Check Dam</t>
        </is>
      </c>
      <c r="G128" s="33" t="inlineStr">
        <is>
          <t>Northeast / Kunduz</t>
        </is>
      </c>
      <c r="H128" s="33" t="inlineStr">
        <is>
          <t>Takhar</t>
        </is>
      </c>
      <c r="I128" s="33" t="inlineStr">
        <is>
          <t>Khwaja Bahawuddin</t>
        </is>
      </c>
      <c r="J128" s="33" t="inlineStr">
        <is>
          <t>Shoor Toghai and Koratam</t>
        </is>
      </c>
      <c r="K128" s="33" t="inlineStr">
        <is>
          <t>World Bank (WBK/AF-2)</t>
        </is>
      </c>
      <c r="L128" s="33" t="inlineStr">
        <is>
          <t>Awarded</t>
        </is>
      </c>
      <c r="M128" s="33" t="inlineStr">
        <is>
          <t>Watershed / Check dam</t>
        </is>
      </c>
      <c r="N128" s="33" t="inlineStr">
        <is>
          <t>3.WSM awarded contracts</t>
        </is>
      </c>
      <c r="O128" s="33" t="inlineStr">
        <is>
          <t>Shafiqullah Wahidi Construction Company (SWCC)</t>
        </is>
      </c>
      <c r="P128" s="33" t="inlineStr">
        <is>
          <t>037/2026</t>
        </is>
      </c>
      <c r="Q128" s="34" t="n">
        <v>93678.89999999999</v>
      </c>
      <c r="R128" s="35" t="inlineStr">
        <is>
          <t>IF(AO128="","",AO128)</t>
        </is>
      </c>
      <c r="S128" s="36" t="n"/>
      <c r="T128" s="37" t="n">
        <v>6</v>
      </c>
      <c r="U128" s="36" t="n">
        <v>46346</v>
      </c>
      <c r="V128" s="35" t="inlineStr">
        <is>
          <t>IF(U128&lt;&gt;"",U128,IF(OR(R128="",T128=""),"",EDATE(R128,T128)))</t>
        </is>
      </c>
      <c r="W128" s="36" t="n"/>
      <c r="X128" s="37" t="n">
        <v>80</v>
      </c>
      <c r="Y128" s="33" t="inlineStr">
        <is>
          <t>Completed / Handover</t>
        </is>
      </c>
      <c r="Z128" s="33" t="inlineStr">
        <is>
          <t>Completed on Sep, 2026</t>
        </is>
      </c>
      <c r="AA128" s="32" t="inlineStr">
        <is>
          <t>IF(E128="","",IF(COUNT(AG128:AT128)=0,IF(Y128="","Not started",Y128),SUBSTITUTE(LOOKUP(2,1/(AG128:AT128&lt;&gt;""),$AG$3:$AT$3),"Date: ","")))</t>
        </is>
      </c>
      <c r="AB128" s="38" t="inlineStr">
        <is>
          <t>IF(OR(E128="",COUNT(AG128:AT128)=0),"",TODAY()-LOOKUP(2,1/(AG128:AT128&lt;&gt;""),AG128:AT128))</t>
        </is>
      </c>
      <c r="AC128" s="38" t="inlineStr">
        <is>
          <t>IF(OR(E128="",COUNT(AG128:AT128)&lt;2),"",LOOKUP(2,1/(AG128:AT128&lt;&gt;""),AG128:AT128)-MIN(AG128:AT128))</t>
        </is>
      </c>
      <c r="AD128" s="38" t="inlineStr">
        <is>
          <t>IF(OR(AB128="",AA128="Not started",AA128=""),"",IFERROR(AB128-IF(VLOOKUP(AA128,'04_Status_Pipeline'!$B$3:$E$20,4,FALSE)="",0,VLOOKUP(AA128,'04_Status_Pipeline'!$B$3:$E$20,4,FALSE)),""))</t>
        </is>
      </c>
      <c r="AE128" s="32" t="inlineStr">
        <is>
          <t>IF(E128="","",IF(OR(Y128="Cancelled",AA128="Cancelled"),"Cancelled",IF(OR(AA128="Completed / Handover",W128&lt;&gt;"",X128&gt;=100),"Completed — on track",IF(L128="Remaining",IF(S128="",IF(V128="","No planned date",IF(TODAY()&gt;V128,"Behind — past planned date",IF(V128-TODAY()&lt;=30,"At risk — close to off track","On track"))),IF(TODAY()&gt;S128,"Behind — award date passed",IF(S128-TODAY()&lt;=30,"At risk — close to off track","On track"))),IF(V128="","No planned date",IF(AND(TODAY()&gt;V128,OR(X128="",X128&lt;100)),"Behind — past end date",IF(AND(R128&lt;&gt;"",V128&lt;&gt;"",X128&lt;&gt;"",(X128&lt;100),((TODAY()-R128)/MAX(V128-R128,1)*100)-X128&gt;15),"Behind — progress lag",IF(AND(V128-TODAY()&lt;=30,V128-TODAY()&gt;=0,OR(X128="",X128&lt;90)),"At risk — close to off track","On track"))))))))</t>
        </is>
      </c>
      <c r="AF128" s="38" t="inlineStr">
        <is>
          <t>IF(OR(E128="",AA128="Completed / Handover",AA128="Cancelled"),"",IF(L128="Remaining",IF(S128&lt;&gt;"",S128-TODAY(),IF(V128="","",V128-TODAY())),IF(V128="","",V128-TODAY())))</t>
        </is>
      </c>
      <c r="AG128" s="39" t="n"/>
      <c r="AH128" s="39" t="n"/>
      <c r="AI128" s="39" t="n"/>
      <c r="AJ128" s="39" t="n"/>
      <c r="AK128" s="39" t="n"/>
      <c r="AL128" s="39" t="n"/>
      <c r="AM128" s="39" t="n"/>
      <c r="AN128" s="39" t="n"/>
      <c r="AO128" s="39" t="n">
        <v>46163</v>
      </c>
      <c r="AP128" s="39" t="n">
        <v>46163</v>
      </c>
      <c r="AQ128" s="39" t="n">
        <v>46346</v>
      </c>
      <c r="AR128" s="40" t="n"/>
      <c r="AS128" s="40" t="n"/>
      <c r="AT128" s="40" t="n"/>
      <c r="AU128" s="38" t="inlineStr">
        <is>
          <t>IF(OR(E128="",AH128=""),"",IF(COUNT(AG128:AG128)=0,"",AH128-LOOKUP(2,1/(AG128:AG128&lt;&gt;""),AG128:AG128)))</t>
        </is>
      </c>
      <c r="AV128" s="38" t="inlineStr">
        <is>
          <t>IF(OR(E128="",AI128=""),"",IF(COUNT(AG128:AH128)=0,"",AI128-LOOKUP(2,1/(AG128:AH128&lt;&gt;""),AG128:AH128)))</t>
        </is>
      </c>
      <c r="AW128" s="38" t="inlineStr">
        <is>
          <t>IF(OR(E128="",AJ128=""),"",IF(COUNT(AG128:AI128)=0,"",AJ128-LOOKUP(2,1/(AG128:AI128&lt;&gt;""),AG128:AI128)))</t>
        </is>
      </c>
      <c r="AX128" s="38" t="inlineStr">
        <is>
          <t>IF(OR(E128="",AK128=""),"",IF(COUNT(AG128:AJ128)=0,"",AK128-LOOKUP(2,1/(AG128:AJ128&lt;&gt;""),AG128:AJ128)))</t>
        </is>
      </c>
      <c r="AY128" s="38" t="inlineStr">
        <is>
          <t>IF(OR(E128="",AL128=""),"",IF(COUNT(AG128:AK128)=0,"",AL128-LOOKUP(2,1/(AG128:AK128&lt;&gt;""),AG128:AK128)))</t>
        </is>
      </c>
      <c r="AZ128" s="38" t="inlineStr">
        <is>
          <t>IF(OR(E128="",AM128=""),"",IF(COUNT(AG128:AL128)=0,"",AM128-LOOKUP(2,1/(AG128:AL128&lt;&gt;""),AG128:AL128)))</t>
        </is>
      </c>
      <c r="BA128" s="38" t="inlineStr">
        <is>
          <t>IF(OR(E128="",AN128=""),"",IF(COUNT(AG128:AM128)=0,"",AN128-LOOKUP(2,1/(AG128:AM128&lt;&gt;""),AG128:AM128)))</t>
        </is>
      </c>
      <c r="BB128" s="38" t="inlineStr">
        <is>
          <t>IF(OR(E128="",AO128=""),"",IF(COUNT(AG128:AN128)=0,"",AO128-LOOKUP(2,1/(AG128:AN128&lt;&gt;""),AG128:AN128)))</t>
        </is>
      </c>
      <c r="BC128" s="38" t="inlineStr">
        <is>
          <t>IF(OR(E128="",AP128=""),"",IF(COUNT(AG128:AO128)=0,"",AP128-LOOKUP(2,1/(AG128:AO128&lt;&gt;""),AG128:AO128)))</t>
        </is>
      </c>
      <c r="BD128" s="38" t="inlineStr">
        <is>
          <t>IF(OR(E128="",AQ128=""),"",IF(COUNT(AG128:AP128)=0,"",AQ128-LOOKUP(2,1/(AG128:AP128&lt;&gt;""),AG128:AP128)))</t>
        </is>
      </c>
      <c r="BE128" s="38" t="inlineStr">
        <is>
          <t>IF(OR(E128="",AR128=""),"",IF(COUNT(AG128:AQ128)=0,"",AR128-LOOKUP(2,1/(AG128:AQ128&lt;&gt;""),AG128:AQ128)))</t>
        </is>
      </c>
      <c r="BF128" s="38" t="inlineStr">
        <is>
          <t>IF(OR(E128="",AS128=""),"",IF(COUNT(AG128:AR128)=0,"",AS128-LOOKUP(2,1/(AG128:AR128&lt;&gt;""),AG128:AR128)))</t>
        </is>
      </c>
      <c r="BG128" s="38" t="inlineStr">
        <is>
          <t>IF(OR(E128="",AT128=""),"",IF(COUNT(AG128:AS128)=0,"",AT128-LOOKUP(2,1/(AG128:AS128&lt;&gt;""),AG128:AS128)))</t>
        </is>
      </c>
      <c r="BH128" s="41" t="inlineStr">
        <is>
          <t>IF(G128="","All_Provinces",IFERROR(VLOOKUP(G128,'07_Lookups'!$A$4:$B$20,2,FALSE),"All_Provinces"))</t>
        </is>
      </c>
      <c r="BI128" s="41" t="inlineStr">
        <is>
          <t>IF(H128="","All_Districts",IFERROR(VLOOKUP(H128,'07_Lookups'!$E$4:$F$42,2,FALSE),"All_Districts"))</t>
        </is>
      </c>
    </row>
    <row r="129" ht="18" customHeight="1">
      <c r="A129" s="32" t="inlineStr">
        <is>
          <t>IF(E129="","",ROW()-3)</t>
        </is>
      </c>
      <c r="B129" s="42" t="inlineStr">
        <is>
          <t>AF2-WSM-A-060</t>
        </is>
      </c>
      <c r="C129" s="42" t="inlineStr">
        <is>
          <t>Emergency Food Security Project (EFSP) – WBK/AF-2</t>
        </is>
      </c>
      <c r="D129" s="42" t="inlineStr">
        <is>
          <t>Package #27-AF2 WSM: Construction of 5 Check Dams in 5 district sites of 1. Sholish Darra in Namak Ab, 2.Gaji Darra in Hazar Sumoch, 3.Silaba in Khwaja Ghar, 4.Shoor Toghai in Khwaja Bahawudd in and 5.Khalyazi in Yangi Qala districts of Takhar province.</t>
        </is>
      </c>
      <c r="E129" s="42" t="inlineStr">
        <is>
          <t>5.Khalyazi Check Dam</t>
        </is>
      </c>
      <c r="F129" s="42" t="inlineStr">
        <is>
          <t>Check Dam</t>
        </is>
      </c>
      <c r="G129" s="42" t="inlineStr">
        <is>
          <t>Northeast / Kunduz</t>
        </is>
      </c>
      <c r="H129" s="42" t="inlineStr">
        <is>
          <t>Takhar</t>
        </is>
      </c>
      <c r="I129" s="42" t="inlineStr">
        <is>
          <t>Yangi Qala</t>
        </is>
      </c>
      <c r="J129" s="42" t="inlineStr">
        <is>
          <t>Khalyazi</t>
        </is>
      </c>
      <c r="K129" s="42" t="inlineStr">
        <is>
          <t>World Bank (WBK/AF-2)</t>
        </is>
      </c>
      <c r="L129" s="42" t="inlineStr">
        <is>
          <t>Awarded</t>
        </is>
      </c>
      <c r="M129" s="42" t="inlineStr">
        <is>
          <t>Watershed / Check dam</t>
        </is>
      </c>
      <c r="N129" s="42" t="inlineStr">
        <is>
          <t>3.WSM awarded contracts</t>
        </is>
      </c>
      <c r="O129" s="42" t="inlineStr">
        <is>
          <t>Shafiqullah Wahidi Construction Company (SWCC)</t>
        </is>
      </c>
      <c r="P129" s="42" t="inlineStr">
        <is>
          <t>037/2026</t>
        </is>
      </c>
      <c r="Q129" s="43" t="n">
        <v>30229.57</v>
      </c>
      <c r="R129" s="35" t="inlineStr">
        <is>
          <t>IF(AO129="","",AO129)</t>
        </is>
      </c>
      <c r="S129" s="44" t="n"/>
      <c r="T129" s="45" t="n">
        <v>6</v>
      </c>
      <c r="U129" s="44" t="n">
        <v>46346</v>
      </c>
      <c r="V129" s="35" t="inlineStr">
        <is>
          <t>IF(U129&lt;&gt;"",U129,IF(OR(R129="",T129=""),"",EDATE(R129,T129)))</t>
        </is>
      </c>
      <c r="W129" s="44" t="n"/>
      <c r="X129" s="45" t="n">
        <v>0</v>
      </c>
      <c r="Y129" s="42" t="inlineStr">
        <is>
          <t>Completed / Handover</t>
        </is>
      </c>
      <c r="Z129" s="42" t="inlineStr">
        <is>
          <t>Completed on Sep, 2026</t>
        </is>
      </c>
      <c r="AA129" s="32" t="inlineStr">
        <is>
          <t>IF(E129="","",IF(COUNT(AG129:AT129)=0,IF(Y129="","Not started",Y129),SUBSTITUTE(LOOKUP(2,1/(AG129:AT129&lt;&gt;""),$AG$3:$AT$3),"Date: ","")))</t>
        </is>
      </c>
      <c r="AB129" s="38" t="inlineStr">
        <is>
          <t>IF(OR(E129="",COUNT(AG129:AT129)=0),"",TODAY()-LOOKUP(2,1/(AG129:AT129&lt;&gt;""),AG129:AT129))</t>
        </is>
      </c>
      <c r="AC129" s="38" t="inlineStr">
        <is>
          <t>IF(OR(E129="",COUNT(AG129:AT129)&lt;2),"",LOOKUP(2,1/(AG129:AT129&lt;&gt;""),AG129:AT129)-MIN(AG129:AT129))</t>
        </is>
      </c>
      <c r="AD129" s="38" t="inlineStr">
        <is>
          <t>IF(OR(AB129="",AA129="Not started",AA129=""),"",IFERROR(AB129-IF(VLOOKUP(AA129,'04_Status_Pipeline'!$B$3:$E$20,4,FALSE)="",0,VLOOKUP(AA129,'04_Status_Pipeline'!$B$3:$E$20,4,FALSE)),""))</t>
        </is>
      </c>
      <c r="AE129" s="32" t="inlineStr">
        <is>
          <t>IF(E129="","",IF(OR(Y129="Cancelled",AA129="Cancelled"),"Cancelled",IF(OR(AA129="Completed / Handover",W129&lt;&gt;"",X129&gt;=100),"Completed — on track",IF(L129="Remaining",IF(S129="",IF(V129="","No planned date",IF(TODAY()&gt;V129,"Behind — past planned date",IF(V129-TODAY()&lt;=30,"At risk — close to off track","On track"))),IF(TODAY()&gt;S129,"Behind — award date passed",IF(S129-TODAY()&lt;=30,"At risk — close to off track","On track"))),IF(V129="","No planned date",IF(AND(TODAY()&gt;V129,OR(X129="",X129&lt;100)),"Behind — past end date",IF(AND(R129&lt;&gt;"",V129&lt;&gt;"",X129&lt;&gt;"",(X129&lt;100),((TODAY()-R129)/MAX(V129-R129,1)*100)-X129&gt;15),"Behind — progress lag",IF(AND(V129-TODAY()&lt;=30,V129-TODAY()&gt;=0,OR(X129="",X129&lt;90)),"At risk — close to off track","On track"))))))))</t>
        </is>
      </c>
      <c r="AF129" s="38" t="inlineStr">
        <is>
          <t>IF(OR(E129="",AA129="Completed / Handover",AA129="Cancelled"),"",IF(L129="Remaining",IF(S129&lt;&gt;"",S129-TODAY(),IF(V129="","",V129-TODAY())),IF(V129="","",V129-TODAY())))</t>
        </is>
      </c>
      <c r="AG129" s="39" t="n"/>
      <c r="AH129" s="39" t="n"/>
      <c r="AI129" s="39" t="n"/>
      <c r="AJ129" s="39" t="n"/>
      <c r="AK129" s="39" t="n"/>
      <c r="AL129" s="39" t="n"/>
      <c r="AM129" s="39" t="n"/>
      <c r="AN129" s="39" t="n"/>
      <c r="AO129" s="39" t="n">
        <v>46163</v>
      </c>
      <c r="AP129" s="39" t="n">
        <v>46163</v>
      </c>
      <c r="AQ129" s="39" t="n">
        <v>46346</v>
      </c>
      <c r="AR129" s="40" t="n"/>
      <c r="AS129" s="40" t="n"/>
      <c r="AT129" s="40" t="n"/>
      <c r="AU129" s="38" t="inlineStr">
        <is>
          <t>IF(OR(E129="",AH129=""),"",IF(COUNT(AG129:AG129)=0,"",AH129-LOOKUP(2,1/(AG129:AG129&lt;&gt;""),AG129:AG129)))</t>
        </is>
      </c>
      <c r="AV129" s="38" t="inlineStr">
        <is>
          <t>IF(OR(E129="",AI129=""),"",IF(COUNT(AG129:AH129)=0,"",AI129-LOOKUP(2,1/(AG129:AH129&lt;&gt;""),AG129:AH129)))</t>
        </is>
      </c>
      <c r="AW129" s="38" t="inlineStr">
        <is>
          <t>IF(OR(E129="",AJ129=""),"",IF(COUNT(AG129:AI129)=0,"",AJ129-LOOKUP(2,1/(AG129:AI129&lt;&gt;""),AG129:AI129)))</t>
        </is>
      </c>
      <c r="AX129" s="38" t="inlineStr">
        <is>
          <t>IF(OR(E129="",AK129=""),"",IF(COUNT(AG129:AJ129)=0,"",AK129-LOOKUP(2,1/(AG129:AJ129&lt;&gt;""),AG129:AJ129)))</t>
        </is>
      </c>
      <c r="AY129" s="38" t="inlineStr">
        <is>
          <t>IF(OR(E129="",AL129=""),"",IF(COUNT(AG129:AK129)=0,"",AL129-LOOKUP(2,1/(AG129:AK129&lt;&gt;""),AG129:AK129)))</t>
        </is>
      </c>
      <c r="AZ129" s="38" t="inlineStr">
        <is>
          <t>IF(OR(E129="",AM129=""),"",IF(COUNT(AG129:AL129)=0,"",AM129-LOOKUP(2,1/(AG129:AL129&lt;&gt;""),AG129:AL129)))</t>
        </is>
      </c>
      <c r="BA129" s="38" t="inlineStr">
        <is>
          <t>IF(OR(E129="",AN129=""),"",IF(COUNT(AG129:AM129)=0,"",AN129-LOOKUP(2,1/(AG129:AM129&lt;&gt;""),AG129:AM129)))</t>
        </is>
      </c>
      <c r="BB129" s="38" t="inlineStr">
        <is>
          <t>IF(OR(E129="",AO129=""),"",IF(COUNT(AG129:AN129)=0,"",AO129-LOOKUP(2,1/(AG129:AN129&lt;&gt;""),AG129:AN129)))</t>
        </is>
      </c>
      <c r="BC129" s="38" t="inlineStr">
        <is>
          <t>IF(OR(E129="",AP129=""),"",IF(COUNT(AG129:AO129)=0,"",AP129-LOOKUP(2,1/(AG129:AO129&lt;&gt;""),AG129:AO129)))</t>
        </is>
      </c>
      <c r="BD129" s="38" t="inlineStr">
        <is>
          <t>IF(OR(E129="",AQ129=""),"",IF(COUNT(AG129:AP129)=0,"",AQ129-LOOKUP(2,1/(AG129:AP129&lt;&gt;""),AG129:AP129)))</t>
        </is>
      </c>
      <c r="BE129" s="38" t="inlineStr">
        <is>
          <t>IF(OR(E129="",AR129=""),"",IF(COUNT(AG129:AQ129)=0,"",AR129-LOOKUP(2,1/(AG129:AQ129&lt;&gt;""),AG129:AQ129)))</t>
        </is>
      </c>
      <c r="BF129" s="38" t="inlineStr">
        <is>
          <t>IF(OR(E129="",AS129=""),"",IF(COUNT(AG129:AR129)=0,"",AS129-LOOKUP(2,1/(AG129:AR129&lt;&gt;""),AG129:AR129)))</t>
        </is>
      </c>
      <c r="BG129" s="38" t="inlineStr">
        <is>
          <t>IF(OR(E129="",AT129=""),"",IF(COUNT(AG129:AS129)=0,"",AT129-LOOKUP(2,1/(AG129:AS129&lt;&gt;""),AG129:AS129)))</t>
        </is>
      </c>
      <c r="BH129" s="41" t="inlineStr">
        <is>
          <t>IF(G129="","All_Provinces",IFERROR(VLOOKUP(G129,'07_Lookups'!$A$4:$B$20,2,FALSE),"All_Provinces"))</t>
        </is>
      </c>
      <c r="BI129" s="41" t="inlineStr">
        <is>
          <t>IF(H129="","All_Districts",IFERROR(VLOOKUP(H129,'07_Lookups'!$E$4:$F$42,2,FALSE),"All_Districts"))</t>
        </is>
      </c>
    </row>
    <row r="130" ht="18" customHeight="1">
      <c r="A130" s="32" t="inlineStr">
        <is>
          <t>IF(E130="","",ROW()-3)</t>
        </is>
      </c>
      <c r="B130" s="33" t="inlineStr">
        <is>
          <t>AF2-WSM-A-061</t>
        </is>
      </c>
      <c r="C130" s="33" t="inlineStr">
        <is>
          <t>Emergency Food Security Project (EFSP) – WBK/AF-2</t>
        </is>
      </c>
      <c r="D130" s="33" t="inlineStr">
        <is>
          <t>Package #28-AF2 WSM: Construction of 2 Check dams of 1. Chatqa Sai in Dahna-e-Ghori and 2.Tahiryan in Baghlan Markazi districts of Baghlan province.</t>
        </is>
      </c>
      <c r="E130" s="33" t="inlineStr">
        <is>
          <t>Chatqa Sai Check Dam</t>
        </is>
      </c>
      <c r="F130" s="33" t="inlineStr">
        <is>
          <t>Check Dam</t>
        </is>
      </c>
      <c r="G130" s="33" t="inlineStr">
        <is>
          <t>Northeast / Kunduz</t>
        </is>
      </c>
      <c r="H130" s="33" t="inlineStr">
        <is>
          <t>Baghlan</t>
        </is>
      </c>
      <c r="I130" s="33" t="inlineStr">
        <is>
          <t>Dahna-e-Ghori</t>
        </is>
      </c>
      <c r="J130" s="33" t="inlineStr">
        <is>
          <t>Chatqa Sai</t>
        </is>
      </c>
      <c r="K130" s="33" t="inlineStr">
        <is>
          <t>World Bank (WBK/AF-2)</t>
        </is>
      </c>
      <c r="L130" s="33" t="inlineStr">
        <is>
          <t>Awarded</t>
        </is>
      </c>
      <c r="M130" s="33" t="inlineStr">
        <is>
          <t>Watershed / Check dam</t>
        </is>
      </c>
      <c r="N130" s="33" t="inlineStr">
        <is>
          <t>3.WSM awarded contracts</t>
        </is>
      </c>
      <c r="O130" s="33" t="inlineStr">
        <is>
          <t>Arman Sharq Construction Company ASCC)</t>
        </is>
      </c>
      <c r="P130" s="33" t="inlineStr">
        <is>
          <t>054/2026</t>
        </is>
      </c>
      <c r="Q130" s="34" t="n">
        <v>62969</v>
      </c>
      <c r="R130" s="35" t="inlineStr">
        <is>
          <t>IF(AO130="","",AO130)</t>
        </is>
      </c>
      <c r="S130" s="36" t="n"/>
      <c r="T130" s="37" t="n">
        <v>4</v>
      </c>
      <c r="U130" s="36" t="n">
        <v>46363</v>
      </c>
      <c r="V130" s="35" t="inlineStr">
        <is>
          <t>IF(U130&lt;&gt;"",U130,IF(OR(R130="",T130=""),"",EDATE(R130,T130)))</t>
        </is>
      </c>
      <c r="W130" s="36" t="n"/>
      <c r="X130" s="37" t="n">
        <v>70</v>
      </c>
      <c r="Y130" s="33" t="inlineStr">
        <is>
          <t>Completed / Handover</t>
        </is>
      </c>
      <c r="Z130" s="33" t="inlineStr">
        <is>
          <t>Completed on Sep, 2026</t>
        </is>
      </c>
      <c r="AA130" s="32" t="inlineStr">
        <is>
          <t>IF(E130="","",IF(COUNT(AG130:AT130)=0,IF(Y130="","Not started",Y130),SUBSTITUTE(LOOKUP(2,1/(AG130:AT130&lt;&gt;""),$AG$3:$AT$3),"Date: ","")))</t>
        </is>
      </c>
      <c r="AB130" s="38" t="inlineStr">
        <is>
          <t>IF(OR(E130="",COUNT(AG130:AT130)=0),"",TODAY()-LOOKUP(2,1/(AG130:AT130&lt;&gt;""),AG130:AT130))</t>
        </is>
      </c>
      <c r="AC130" s="38" t="inlineStr">
        <is>
          <t>IF(OR(E130="",COUNT(AG130:AT130)&lt;2),"",LOOKUP(2,1/(AG130:AT130&lt;&gt;""),AG130:AT130)-MIN(AG130:AT130))</t>
        </is>
      </c>
      <c r="AD130" s="38" t="inlineStr">
        <is>
          <t>IF(OR(AB130="",AA130="Not started",AA130=""),"",IFERROR(AB130-IF(VLOOKUP(AA130,'04_Status_Pipeline'!$B$3:$E$20,4,FALSE)="",0,VLOOKUP(AA130,'04_Status_Pipeline'!$B$3:$E$20,4,FALSE)),""))</t>
        </is>
      </c>
      <c r="AE130" s="32" t="inlineStr">
        <is>
          <t>IF(E130="","",IF(OR(Y130="Cancelled",AA130="Cancelled"),"Cancelled",IF(OR(AA130="Completed / Handover",W130&lt;&gt;"",X130&gt;=100),"Completed — on track",IF(L130="Remaining",IF(S130="",IF(V130="","No planned date",IF(TODAY()&gt;V130,"Behind — past planned date",IF(V130-TODAY()&lt;=30,"At risk — close to off track","On track"))),IF(TODAY()&gt;S130,"Behind — award date passed",IF(S130-TODAY()&lt;=30,"At risk — close to off track","On track"))),IF(V130="","No planned date",IF(AND(TODAY()&gt;V130,OR(X130="",X130&lt;100)),"Behind — past end date",IF(AND(R130&lt;&gt;"",V130&lt;&gt;"",X130&lt;&gt;"",(X130&lt;100),((TODAY()-R130)/MAX(V130-R130,1)*100)-X130&gt;15),"Behind — progress lag",IF(AND(V130-TODAY()&lt;=30,V130-TODAY()&gt;=0,OR(X130="",X130&lt;90)),"At risk — close to off track","On track"))))))))</t>
        </is>
      </c>
      <c r="AF130" s="38" t="inlineStr">
        <is>
          <t>IF(OR(E130="",AA130="Completed / Handover",AA130="Cancelled"),"",IF(L130="Remaining",IF(S130&lt;&gt;"",S130-TODAY(),IF(V130="","",V130-TODAY())),IF(V130="","",V130-TODAY())))</t>
        </is>
      </c>
      <c r="AG130" s="39" t="n"/>
      <c r="AH130" s="39" t="n"/>
      <c r="AI130" s="39" t="n"/>
      <c r="AJ130" s="39" t="n"/>
      <c r="AK130" s="39" t="n"/>
      <c r="AL130" s="39" t="n"/>
      <c r="AM130" s="39" t="n"/>
      <c r="AN130" s="39" t="n"/>
      <c r="AO130" s="39" t="n">
        <v>46242</v>
      </c>
      <c r="AP130" s="39" t="n">
        <v>46242</v>
      </c>
      <c r="AQ130" s="39" t="n">
        <v>46363</v>
      </c>
      <c r="AR130" s="40" t="n"/>
      <c r="AS130" s="40" t="n"/>
      <c r="AT130" s="40" t="n"/>
      <c r="AU130" s="38" t="inlineStr">
        <is>
          <t>IF(OR(E130="",AH130=""),"",IF(COUNT(AG130:AG130)=0,"",AH130-LOOKUP(2,1/(AG130:AG130&lt;&gt;""),AG130:AG130)))</t>
        </is>
      </c>
      <c r="AV130" s="38" t="inlineStr">
        <is>
          <t>IF(OR(E130="",AI130=""),"",IF(COUNT(AG130:AH130)=0,"",AI130-LOOKUP(2,1/(AG130:AH130&lt;&gt;""),AG130:AH130)))</t>
        </is>
      </c>
      <c r="AW130" s="38" t="inlineStr">
        <is>
          <t>IF(OR(E130="",AJ130=""),"",IF(COUNT(AG130:AI130)=0,"",AJ130-LOOKUP(2,1/(AG130:AI130&lt;&gt;""),AG130:AI130)))</t>
        </is>
      </c>
      <c r="AX130" s="38" t="inlineStr">
        <is>
          <t>IF(OR(E130="",AK130=""),"",IF(COUNT(AG130:AJ130)=0,"",AK130-LOOKUP(2,1/(AG130:AJ130&lt;&gt;""),AG130:AJ130)))</t>
        </is>
      </c>
      <c r="AY130" s="38" t="inlineStr">
        <is>
          <t>IF(OR(E130="",AL130=""),"",IF(COUNT(AG130:AK130)=0,"",AL130-LOOKUP(2,1/(AG130:AK130&lt;&gt;""),AG130:AK130)))</t>
        </is>
      </c>
      <c r="AZ130" s="38" t="inlineStr">
        <is>
          <t>IF(OR(E130="",AM130=""),"",IF(COUNT(AG130:AL130)=0,"",AM130-LOOKUP(2,1/(AG130:AL130&lt;&gt;""),AG130:AL130)))</t>
        </is>
      </c>
      <c r="BA130" s="38" t="inlineStr">
        <is>
          <t>IF(OR(E130="",AN130=""),"",IF(COUNT(AG130:AM130)=0,"",AN130-LOOKUP(2,1/(AG130:AM130&lt;&gt;""),AG130:AM130)))</t>
        </is>
      </c>
      <c r="BB130" s="38" t="inlineStr">
        <is>
          <t>IF(OR(E130="",AO130=""),"",IF(COUNT(AG130:AN130)=0,"",AO130-LOOKUP(2,1/(AG130:AN130&lt;&gt;""),AG130:AN130)))</t>
        </is>
      </c>
      <c r="BC130" s="38" t="inlineStr">
        <is>
          <t>IF(OR(E130="",AP130=""),"",IF(COUNT(AG130:AO130)=0,"",AP130-LOOKUP(2,1/(AG130:AO130&lt;&gt;""),AG130:AO130)))</t>
        </is>
      </c>
      <c r="BD130" s="38" t="inlineStr">
        <is>
          <t>IF(OR(E130="",AQ130=""),"",IF(COUNT(AG130:AP130)=0,"",AQ130-LOOKUP(2,1/(AG130:AP130&lt;&gt;""),AG130:AP130)))</t>
        </is>
      </c>
      <c r="BE130" s="38" t="inlineStr">
        <is>
          <t>IF(OR(E130="",AR130=""),"",IF(COUNT(AG130:AQ130)=0,"",AR130-LOOKUP(2,1/(AG130:AQ130&lt;&gt;""),AG130:AQ130)))</t>
        </is>
      </c>
      <c r="BF130" s="38" t="inlineStr">
        <is>
          <t>IF(OR(E130="",AS130=""),"",IF(COUNT(AG130:AR130)=0,"",AS130-LOOKUP(2,1/(AG130:AR130&lt;&gt;""),AG130:AR130)))</t>
        </is>
      </c>
      <c r="BG130" s="38" t="inlineStr">
        <is>
          <t>IF(OR(E130="",AT130=""),"",IF(COUNT(AG130:AS130)=0,"",AT130-LOOKUP(2,1/(AG130:AS130&lt;&gt;""),AG130:AS130)))</t>
        </is>
      </c>
      <c r="BH130" s="41" t="inlineStr">
        <is>
          <t>IF(G130="","All_Provinces",IFERROR(VLOOKUP(G130,'07_Lookups'!$A$4:$B$20,2,FALSE),"All_Provinces"))</t>
        </is>
      </c>
      <c r="BI130" s="41" t="inlineStr">
        <is>
          <t>IF(H130="","All_Districts",IFERROR(VLOOKUP(H130,'07_Lookups'!$E$4:$F$42,2,FALSE),"All_Districts"))</t>
        </is>
      </c>
    </row>
    <row r="131" ht="18" customHeight="1">
      <c r="A131" s="32" t="inlineStr">
        <is>
          <t>IF(E131="","",ROW()-3)</t>
        </is>
      </c>
      <c r="B131" s="42" t="inlineStr">
        <is>
          <t>AF2-WSM-A-062</t>
        </is>
      </c>
      <c r="C131" s="42" t="inlineStr">
        <is>
          <t>Emergency Food Security Project (EFSP) – WBK/AF-2</t>
        </is>
      </c>
      <c r="D131" s="42" t="inlineStr">
        <is>
          <t>Package #28-AF2 WSM: Construction of 2 Check dams of 1. Chatqa Sai in Dahna-e-Ghori and 2.Tahiryan in Baghlan Markazi districts of Baghlan province.</t>
        </is>
      </c>
      <c r="E131" s="42" t="inlineStr">
        <is>
          <t>Tahiryan Check Dam</t>
        </is>
      </c>
      <c r="F131" s="42" t="inlineStr">
        <is>
          <t>Check Dam</t>
        </is>
      </c>
      <c r="G131" s="42" t="inlineStr">
        <is>
          <t>Northeast / Kunduz</t>
        </is>
      </c>
      <c r="H131" s="42" t="inlineStr">
        <is>
          <t>Baghlan</t>
        </is>
      </c>
      <c r="I131" s="42" t="inlineStr">
        <is>
          <t>Baghlan Markazi</t>
        </is>
      </c>
      <c r="J131" s="42" t="inlineStr">
        <is>
          <t>Tahiryan</t>
        </is>
      </c>
      <c r="K131" s="42" t="inlineStr">
        <is>
          <t>World Bank (WBK/AF-2)</t>
        </is>
      </c>
      <c r="L131" s="42" t="inlineStr">
        <is>
          <t>Awarded</t>
        </is>
      </c>
      <c r="M131" s="42" t="inlineStr">
        <is>
          <t>Watershed / Check dam</t>
        </is>
      </c>
      <c r="N131" s="42" t="inlineStr">
        <is>
          <t>3.WSM awarded contracts</t>
        </is>
      </c>
      <c r="O131" s="42" t="inlineStr">
        <is>
          <t>Arman Sharq Construction Company ASCC)</t>
        </is>
      </c>
      <c r="P131" s="42" t="inlineStr">
        <is>
          <t>054/2026</t>
        </is>
      </c>
      <c r="Q131" s="43" t="n">
        <v>36531</v>
      </c>
      <c r="R131" s="35" t="inlineStr">
        <is>
          <t>IF(AO131="","",AO131)</t>
        </is>
      </c>
      <c r="S131" s="44" t="n"/>
      <c r="T131" s="45" t="n">
        <v>4</v>
      </c>
      <c r="U131" s="44" t="n">
        <v>46363</v>
      </c>
      <c r="V131" s="35" t="inlineStr">
        <is>
          <t>IF(U131&lt;&gt;"",U131,IF(OR(R131="",T131=""),"",EDATE(R131,T131)))</t>
        </is>
      </c>
      <c r="W131" s="44" t="n"/>
      <c r="X131" s="45" t="n">
        <v>5</v>
      </c>
      <c r="Y131" s="42" t="inlineStr">
        <is>
          <t>Completed / Handover</t>
        </is>
      </c>
      <c r="Z131" s="42" t="inlineStr">
        <is>
          <t>Completed on Sep, 2026</t>
        </is>
      </c>
      <c r="AA131" s="32" t="inlineStr">
        <is>
          <t>IF(E131="","",IF(COUNT(AG131:AT131)=0,IF(Y131="","Not started",Y131),SUBSTITUTE(LOOKUP(2,1/(AG131:AT131&lt;&gt;""),$AG$3:$AT$3),"Date: ","")))</t>
        </is>
      </c>
      <c r="AB131" s="38" t="inlineStr">
        <is>
          <t>IF(OR(E131="",COUNT(AG131:AT131)=0),"",TODAY()-LOOKUP(2,1/(AG131:AT131&lt;&gt;""),AG131:AT131))</t>
        </is>
      </c>
      <c r="AC131" s="38" t="inlineStr">
        <is>
          <t>IF(OR(E131="",COUNT(AG131:AT131)&lt;2),"",LOOKUP(2,1/(AG131:AT131&lt;&gt;""),AG131:AT131)-MIN(AG131:AT131))</t>
        </is>
      </c>
      <c r="AD131" s="38" t="inlineStr">
        <is>
          <t>IF(OR(AB131="",AA131="Not started",AA131=""),"",IFERROR(AB131-IF(VLOOKUP(AA131,'04_Status_Pipeline'!$B$3:$E$20,4,FALSE)="",0,VLOOKUP(AA131,'04_Status_Pipeline'!$B$3:$E$20,4,FALSE)),""))</t>
        </is>
      </c>
      <c r="AE131" s="32" t="inlineStr">
        <is>
          <t>IF(E131="","",IF(OR(Y131="Cancelled",AA131="Cancelled"),"Cancelled",IF(OR(AA131="Completed / Handover",W131&lt;&gt;"",X131&gt;=100),"Completed — on track",IF(L131="Remaining",IF(S131="",IF(V131="","No planned date",IF(TODAY()&gt;V131,"Behind — past planned date",IF(V131-TODAY()&lt;=30,"At risk — close to off track","On track"))),IF(TODAY()&gt;S131,"Behind — award date passed",IF(S131-TODAY()&lt;=30,"At risk — close to off track","On track"))),IF(V131="","No planned date",IF(AND(TODAY()&gt;V131,OR(X131="",X131&lt;100)),"Behind — past end date",IF(AND(R131&lt;&gt;"",V131&lt;&gt;"",X131&lt;&gt;"",(X131&lt;100),((TODAY()-R131)/MAX(V131-R131,1)*100)-X131&gt;15),"Behind — progress lag",IF(AND(V131-TODAY()&lt;=30,V131-TODAY()&gt;=0,OR(X131="",X131&lt;90)),"At risk — close to off track","On track"))))))))</t>
        </is>
      </c>
      <c r="AF131" s="38" t="inlineStr">
        <is>
          <t>IF(OR(E131="",AA131="Completed / Handover",AA131="Cancelled"),"",IF(L131="Remaining",IF(S131&lt;&gt;"",S131-TODAY(),IF(V131="","",V131-TODAY())),IF(V131="","",V131-TODAY())))</t>
        </is>
      </c>
      <c r="AG131" s="39" t="n"/>
      <c r="AH131" s="39" t="n"/>
      <c r="AI131" s="39" t="n"/>
      <c r="AJ131" s="39" t="n"/>
      <c r="AK131" s="39" t="n"/>
      <c r="AL131" s="39" t="n"/>
      <c r="AM131" s="39" t="n"/>
      <c r="AN131" s="39" t="n"/>
      <c r="AO131" s="39" t="n">
        <v>46242</v>
      </c>
      <c r="AP131" s="39" t="n">
        <v>46242</v>
      </c>
      <c r="AQ131" s="39" t="n">
        <v>46363</v>
      </c>
      <c r="AR131" s="40" t="n"/>
      <c r="AS131" s="40" t="n"/>
      <c r="AT131" s="40" t="n"/>
      <c r="AU131" s="38" t="inlineStr">
        <is>
          <t>IF(OR(E131="",AH131=""),"",IF(COUNT(AG131:AG131)=0,"",AH131-LOOKUP(2,1/(AG131:AG131&lt;&gt;""),AG131:AG131)))</t>
        </is>
      </c>
      <c r="AV131" s="38" t="inlineStr">
        <is>
          <t>IF(OR(E131="",AI131=""),"",IF(COUNT(AG131:AH131)=0,"",AI131-LOOKUP(2,1/(AG131:AH131&lt;&gt;""),AG131:AH131)))</t>
        </is>
      </c>
      <c r="AW131" s="38" t="inlineStr">
        <is>
          <t>IF(OR(E131="",AJ131=""),"",IF(COUNT(AG131:AI131)=0,"",AJ131-LOOKUP(2,1/(AG131:AI131&lt;&gt;""),AG131:AI131)))</t>
        </is>
      </c>
      <c r="AX131" s="38" t="inlineStr">
        <is>
          <t>IF(OR(E131="",AK131=""),"",IF(COUNT(AG131:AJ131)=0,"",AK131-LOOKUP(2,1/(AG131:AJ131&lt;&gt;""),AG131:AJ131)))</t>
        </is>
      </c>
      <c r="AY131" s="38" t="inlineStr">
        <is>
          <t>IF(OR(E131="",AL131=""),"",IF(COUNT(AG131:AK131)=0,"",AL131-LOOKUP(2,1/(AG131:AK131&lt;&gt;""),AG131:AK131)))</t>
        </is>
      </c>
      <c r="AZ131" s="38" t="inlineStr">
        <is>
          <t>IF(OR(E131="",AM131=""),"",IF(COUNT(AG131:AL131)=0,"",AM131-LOOKUP(2,1/(AG131:AL131&lt;&gt;""),AG131:AL131)))</t>
        </is>
      </c>
      <c r="BA131" s="38" t="inlineStr">
        <is>
          <t>IF(OR(E131="",AN131=""),"",IF(COUNT(AG131:AM131)=0,"",AN131-LOOKUP(2,1/(AG131:AM131&lt;&gt;""),AG131:AM131)))</t>
        </is>
      </c>
      <c r="BB131" s="38" t="inlineStr">
        <is>
          <t>IF(OR(E131="",AO131=""),"",IF(COUNT(AG131:AN131)=0,"",AO131-LOOKUP(2,1/(AG131:AN131&lt;&gt;""),AG131:AN131)))</t>
        </is>
      </c>
      <c r="BC131" s="38" t="inlineStr">
        <is>
          <t>IF(OR(E131="",AP131=""),"",IF(COUNT(AG131:AO131)=0,"",AP131-LOOKUP(2,1/(AG131:AO131&lt;&gt;""),AG131:AO131)))</t>
        </is>
      </c>
      <c r="BD131" s="38" t="inlineStr">
        <is>
          <t>IF(OR(E131="",AQ131=""),"",IF(COUNT(AG131:AP131)=0,"",AQ131-LOOKUP(2,1/(AG131:AP131&lt;&gt;""),AG131:AP131)))</t>
        </is>
      </c>
      <c r="BE131" s="38" t="inlineStr">
        <is>
          <t>IF(OR(E131="",AR131=""),"",IF(COUNT(AG131:AQ131)=0,"",AR131-LOOKUP(2,1/(AG131:AQ131&lt;&gt;""),AG131:AQ131)))</t>
        </is>
      </c>
      <c r="BF131" s="38" t="inlineStr">
        <is>
          <t>IF(OR(E131="",AS131=""),"",IF(COUNT(AG131:AR131)=0,"",AS131-LOOKUP(2,1/(AG131:AR131&lt;&gt;""),AG131:AR131)))</t>
        </is>
      </c>
      <c r="BG131" s="38" t="inlineStr">
        <is>
          <t>IF(OR(E131="",AT131=""),"",IF(COUNT(AG131:AS131)=0,"",AT131-LOOKUP(2,1/(AG131:AS131&lt;&gt;""),AG131:AS131)))</t>
        </is>
      </c>
      <c r="BH131" s="41" t="inlineStr">
        <is>
          <t>IF(G131="","All_Provinces",IFERROR(VLOOKUP(G131,'07_Lookups'!$A$4:$B$20,2,FALSE),"All_Provinces"))</t>
        </is>
      </c>
      <c r="BI131" s="41" t="inlineStr">
        <is>
          <t>IF(H131="","All_Districts",IFERROR(VLOOKUP(H131,'07_Lookups'!$E$4:$F$42,2,FALSE),"All_Districts"))</t>
        </is>
      </c>
    </row>
    <row r="132" ht="18" customHeight="1">
      <c r="A132" s="32" t="inlineStr">
        <is>
          <t>IF(E132="","",ROW()-3)</t>
        </is>
      </c>
      <c r="B132" s="33" t="inlineStr">
        <is>
          <t>AF2-WSM-A-063</t>
        </is>
      </c>
      <c r="C132" s="33" t="inlineStr">
        <is>
          <t>Emergency Food Security Project (EFSP) – WBK/AF-2</t>
        </is>
      </c>
      <c r="D132" s="33" t="inlineStr">
        <is>
          <t>Package # 29-AF2 WSM: Construction 1. Alburs and 2. Marmul Check dams, located in Marmul and Alburs districts of Balkh province</t>
        </is>
      </c>
      <c r="E132" s="33" t="inlineStr">
        <is>
          <t>Alburz Check dam</t>
        </is>
      </c>
      <c r="F132" s="33" t="inlineStr">
        <is>
          <t>Check Dam</t>
        </is>
      </c>
      <c r="G132" s="33" t="inlineStr">
        <is>
          <t>North / Mazar</t>
        </is>
      </c>
      <c r="H132" s="33" t="inlineStr">
        <is>
          <t>Balkh</t>
        </is>
      </c>
      <c r="I132" s="33" t="inlineStr">
        <is>
          <t>Alburz</t>
        </is>
      </c>
      <c r="J132" s="33" t="inlineStr">
        <is>
          <t>Barga Turkmaniya, Tagab-e-Emam Sahib Fatima Khail, Khedr Khail</t>
        </is>
      </c>
      <c r="K132" s="33" t="inlineStr">
        <is>
          <t>World Bank (WBK/AF-2)</t>
        </is>
      </c>
      <c r="L132" s="33" t="inlineStr">
        <is>
          <t>Awarded</t>
        </is>
      </c>
      <c r="M132" s="33" t="inlineStr">
        <is>
          <t>Watershed / Check dam</t>
        </is>
      </c>
      <c r="N132" s="33" t="inlineStr">
        <is>
          <t>3.WSM awarded contracts</t>
        </is>
      </c>
      <c r="O132" s="33" t="inlineStr">
        <is>
          <t>Omar Mortaza Construction &amp; Road Building JV Karwan Seraji Construction and Road Building Company (OMCC&amp;KSCC)</t>
        </is>
      </c>
      <c r="P132" s="33" t="inlineStr">
        <is>
          <t>034/2026</t>
        </is>
      </c>
      <c r="Q132" s="34" t="n">
        <v>54628.26</v>
      </c>
      <c r="R132" s="35" t="inlineStr">
        <is>
          <t>IF(AO132="","",AO132)</t>
        </is>
      </c>
      <c r="S132" s="36" t="n"/>
      <c r="T132" s="37" t="n">
        <v>5</v>
      </c>
      <c r="U132" s="36" t="n">
        <v>46306</v>
      </c>
      <c r="V132" s="35" t="inlineStr">
        <is>
          <t>IF(U132&lt;&gt;"",U132,IF(OR(R132="",T132=""),"",EDATE(R132,T132)))</t>
        </is>
      </c>
      <c r="W132" s="36" t="n"/>
      <c r="X132" s="37" t="n">
        <v>100</v>
      </c>
      <c r="Y132" s="33" t="inlineStr">
        <is>
          <t>Completed / Handover</t>
        </is>
      </c>
      <c r="Z132" s="33" t="inlineStr">
        <is>
          <t>Completed on Sep, 2026</t>
        </is>
      </c>
      <c r="AA132" s="32" t="inlineStr">
        <is>
          <t>IF(E132="","",IF(COUNT(AG132:AT132)=0,IF(Y132="","Not started",Y132),SUBSTITUTE(LOOKUP(2,1/(AG132:AT132&lt;&gt;""),$AG$3:$AT$3),"Date: ","")))</t>
        </is>
      </c>
      <c r="AB132" s="38" t="inlineStr">
        <is>
          <t>IF(OR(E132="",COUNT(AG132:AT132)=0),"",TODAY()-LOOKUP(2,1/(AG132:AT132&lt;&gt;""),AG132:AT132))</t>
        </is>
      </c>
      <c r="AC132" s="38" t="inlineStr">
        <is>
          <t>IF(OR(E132="",COUNT(AG132:AT132)&lt;2),"",LOOKUP(2,1/(AG132:AT132&lt;&gt;""),AG132:AT132)-MIN(AG132:AT132))</t>
        </is>
      </c>
      <c r="AD132" s="38" t="inlineStr">
        <is>
          <t>IF(OR(AB132="",AA132="Not started",AA132=""),"",IFERROR(AB132-IF(VLOOKUP(AA132,'04_Status_Pipeline'!$B$3:$E$20,4,FALSE)="",0,VLOOKUP(AA132,'04_Status_Pipeline'!$B$3:$E$20,4,FALSE)),""))</t>
        </is>
      </c>
      <c r="AE132" s="32" t="inlineStr">
        <is>
          <t>IF(E132="","",IF(OR(Y132="Cancelled",AA132="Cancelled"),"Cancelled",IF(OR(AA132="Completed / Handover",W132&lt;&gt;"",X132&gt;=100),"Completed — on track",IF(L132="Remaining",IF(S132="",IF(V132="","No planned date",IF(TODAY()&gt;V132,"Behind — past planned date",IF(V132-TODAY()&lt;=30,"At risk — close to off track","On track"))),IF(TODAY()&gt;S132,"Behind — award date passed",IF(S132-TODAY()&lt;=30,"At risk — close to off track","On track"))),IF(V132="","No planned date",IF(AND(TODAY()&gt;V132,OR(X132="",X132&lt;100)),"Behind — past end date",IF(AND(R132&lt;&gt;"",V132&lt;&gt;"",X132&lt;&gt;"",(X132&lt;100),((TODAY()-R132)/MAX(V132-R132,1)*100)-X132&gt;15),"Behind — progress lag",IF(AND(V132-TODAY()&lt;=30,V132-TODAY()&gt;=0,OR(X132="",X132&lt;90)),"At risk — close to off track","On track"))))))))</t>
        </is>
      </c>
      <c r="AF132" s="38" t="inlineStr">
        <is>
          <t>IF(OR(E132="",AA132="Completed / Handover",AA132="Cancelled"),"",IF(L132="Remaining",IF(S132&lt;&gt;"",S132-TODAY(),IF(V132="","",V132-TODAY())),IF(V132="","",V132-TODAY())))</t>
        </is>
      </c>
      <c r="AG132" s="39" t="n"/>
      <c r="AH132" s="39" t="n"/>
      <c r="AI132" s="39" t="n"/>
      <c r="AJ132" s="39" t="n"/>
      <c r="AK132" s="39" t="n"/>
      <c r="AL132" s="39" t="n"/>
      <c r="AM132" s="39" t="n"/>
      <c r="AN132" s="39" t="n"/>
      <c r="AO132" s="39" t="n">
        <v>46154</v>
      </c>
      <c r="AP132" s="39" t="n">
        <v>46154</v>
      </c>
      <c r="AQ132" s="39" t="n">
        <v>46306</v>
      </c>
      <c r="AR132" s="40" t="n"/>
      <c r="AS132" s="40" t="n"/>
      <c r="AT132" s="40" t="n"/>
      <c r="AU132" s="38" t="inlineStr">
        <is>
          <t>IF(OR(E132="",AH132=""),"",IF(COUNT(AG132:AG132)=0,"",AH132-LOOKUP(2,1/(AG132:AG132&lt;&gt;""),AG132:AG132)))</t>
        </is>
      </c>
      <c r="AV132" s="38" t="inlineStr">
        <is>
          <t>IF(OR(E132="",AI132=""),"",IF(COUNT(AG132:AH132)=0,"",AI132-LOOKUP(2,1/(AG132:AH132&lt;&gt;""),AG132:AH132)))</t>
        </is>
      </c>
      <c r="AW132" s="38" t="inlineStr">
        <is>
          <t>IF(OR(E132="",AJ132=""),"",IF(COUNT(AG132:AI132)=0,"",AJ132-LOOKUP(2,1/(AG132:AI132&lt;&gt;""),AG132:AI132)))</t>
        </is>
      </c>
      <c r="AX132" s="38" t="inlineStr">
        <is>
          <t>IF(OR(E132="",AK132=""),"",IF(COUNT(AG132:AJ132)=0,"",AK132-LOOKUP(2,1/(AG132:AJ132&lt;&gt;""),AG132:AJ132)))</t>
        </is>
      </c>
      <c r="AY132" s="38" t="inlineStr">
        <is>
          <t>IF(OR(E132="",AL132=""),"",IF(COUNT(AG132:AK132)=0,"",AL132-LOOKUP(2,1/(AG132:AK132&lt;&gt;""),AG132:AK132)))</t>
        </is>
      </c>
      <c r="AZ132" s="38" t="inlineStr">
        <is>
          <t>IF(OR(E132="",AM132=""),"",IF(COUNT(AG132:AL132)=0,"",AM132-LOOKUP(2,1/(AG132:AL132&lt;&gt;""),AG132:AL132)))</t>
        </is>
      </c>
      <c r="BA132" s="38" t="inlineStr">
        <is>
          <t>IF(OR(E132="",AN132=""),"",IF(COUNT(AG132:AM132)=0,"",AN132-LOOKUP(2,1/(AG132:AM132&lt;&gt;""),AG132:AM132)))</t>
        </is>
      </c>
      <c r="BB132" s="38" t="inlineStr">
        <is>
          <t>IF(OR(E132="",AO132=""),"",IF(COUNT(AG132:AN132)=0,"",AO132-LOOKUP(2,1/(AG132:AN132&lt;&gt;""),AG132:AN132)))</t>
        </is>
      </c>
      <c r="BC132" s="38" t="inlineStr">
        <is>
          <t>IF(OR(E132="",AP132=""),"",IF(COUNT(AG132:AO132)=0,"",AP132-LOOKUP(2,1/(AG132:AO132&lt;&gt;""),AG132:AO132)))</t>
        </is>
      </c>
      <c r="BD132" s="38" t="inlineStr">
        <is>
          <t>IF(OR(E132="",AQ132=""),"",IF(COUNT(AG132:AP132)=0,"",AQ132-LOOKUP(2,1/(AG132:AP132&lt;&gt;""),AG132:AP132)))</t>
        </is>
      </c>
      <c r="BE132" s="38" t="inlineStr">
        <is>
          <t>IF(OR(E132="",AR132=""),"",IF(COUNT(AG132:AQ132)=0,"",AR132-LOOKUP(2,1/(AG132:AQ132&lt;&gt;""),AG132:AQ132)))</t>
        </is>
      </c>
      <c r="BF132" s="38" t="inlineStr">
        <is>
          <t>IF(OR(E132="",AS132=""),"",IF(COUNT(AG132:AR132)=0,"",AS132-LOOKUP(2,1/(AG132:AR132&lt;&gt;""),AG132:AR132)))</t>
        </is>
      </c>
      <c r="BG132" s="38" t="inlineStr">
        <is>
          <t>IF(OR(E132="",AT132=""),"",IF(COUNT(AG132:AS132)=0,"",AT132-LOOKUP(2,1/(AG132:AS132&lt;&gt;""),AG132:AS132)))</t>
        </is>
      </c>
      <c r="BH132" s="41" t="inlineStr">
        <is>
          <t>IF(G132="","All_Provinces",IFERROR(VLOOKUP(G132,'07_Lookups'!$A$4:$B$20,2,FALSE),"All_Provinces"))</t>
        </is>
      </c>
      <c r="BI132" s="41" t="inlineStr">
        <is>
          <t>IF(H132="","All_Districts",IFERROR(VLOOKUP(H132,'07_Lookups'!$E$4:$F$42,2,FALSE),"All_Districts"))</t>
        </is>
      </c>
    </row>
    <row r="133" ht="18" customHeight="1">
      <c r="A133" s="32" t="inlineStr">
        <is>
          <t>IF(E133="","",ROW()-3)</t>
        </is>
      </c>
      <c r="B133" s="42" t="inlineStr">
        <is>
          <t>AF2-WSM-A-064</t>
        </is>
      </c>
      <c r="C133" s="42" t="inlineStr">
        <is>
          <t>Emergency Food Security Project (EFSP) – WBK/AF-2</t>
        </is>
      </c>
      <c r="D133" s="42" t="inlineStr">
        <is>
          <t>Package # 29-AF2 WSM: Construction 1. Alburs and 2. Marmul Check dams, located in Marmul and Alburs districts of Balkh province</t>
        </is>
      </c>
      <c r="E133" s="42" t="inlineStr">
        <is>
          <t>Marmul Check dam</t>
        </is>
      </c>
      <c r="F133" s="42" t="inlineStr">
        <is>
          <t>Check Dam</t>
        </is>
      </c>
      <c r="G133" s="42" t="inlineStr">
        <is>
          <t>North / Mazar</t>
        </is>
      </c>
      <c r="H133" s="42" t="inlineStr">
        <is>
          <t>Balkh</t>
        </is>
      </c>
      <c r="I133" s="42" t="inlineStr">
        <is>
          <t>Marmul</t>
        </is>
      </c>
      <c r="J133" s="42" t="inlineStr">
        <is>
          <t>Pusht-e-Baghcha and Charmaghz Say</t>
        </is>
      </c>
      <c r="K133" s="42" t="inlineStr">
        <is>
          <t>World Bank (WBK/AF-2)</t>
        </is>
      </c>
      <c r="L133" s="42" t="inlineStr">
        <is>
          <t>Awarded</t>
        </is>
      </c>
      <c r="M133" s="42" t="inlineStr">
        <is>
          <t>Watershed / Check dam</t>
        </is>
      </c>
      <c r="N133" s="42" t="inlineStr">
        <is>
          <t>3.WSM awarded contracts</t>
        </is>
      </c>
      <c r="O133" s="42" t="inlineStr">
        <is>
          <t>Omar Mortaza Construction &amp; Road Building JV Karwan Seraji Construction and Road Building Company (OMCC&amp;KSCC)</t>
        </is>
      </c>
      <c r="P133" s="42" t="inlineStr">
        <is>
          <t>034/2026</t>
        </is>
      </c>
      <c r="Q133" s="43" t="n">
        <v>45083.74</v>
      </c>
      <c r="R133" s="35" t="inlineStr">
        <is>
          <t>IF(AO133="","",AO133)</t>
        </is>
      </c>
      <c r="S133" s="44" t="n"/>
      <c r="T133" s="45" t="n">
        <v>5</v>
      </c>
      <c r="U133" s="44" t="n">
        <v>46306</v>
      </c>
      <c r="V133" s="35" t="inlineStr">
        <is>
          <t>IF(U133&lt;&gt;"",U133,IF(OR(R133="",T133=""),"",EDATE(R133,T133)))</t>
        </is>
      </c>
      <c r="W133" s="44" t="n"/>
      <c r="X133" s="45" t="n">
        <v>98</v>
      </c>
      <c r="Y133" s="42" t="inlineStr">
        <is>
          <t>Completed / Handover</t>
        </is>
      </c>
      <c r="Z133" s="42" t="inlineStr">
        <is>
          <t>Completed on Sep, 2026</t>
        </is>
      </c>
      <c r="AA133" s="32" t="inlineStr">
        <is>
          <t>IF(E133="","",IF(COUNT(AG133:AT133)=0,IF(Y133="","Not started",Y133),SUBSTITUTE(LOOKUP(2,1/(AG133:AT133&lt;&gt;""),$AG$3:$AT$3),"Date: ","")))</t>
        </is>
      </c>
      <c r="AB133" s="38" t="inlineStr">
        <is>
          <t>IF(OR(E133="",COUNT(AG133:AT133)=0),"",TODAY()-LOOKUP(2,1/(AG133:AT133&lt;&gt;""),AG133:AT133))</t>
        </is>
      </c>
      <c r="AC133" s="38" t="inlineStr">
        <is>
          <t>IF(OR(E133="",COUNT(AG133:AT133)&lt;2),"",LOOKUP(2,1/(AG133:AT133&lt;&gt;""),AG133:AT133)-MIN(AG133:AT133))</t>
        </is>
      </c>
      <c r="AD133" s="38" t="inlineStr">
        <is>
          <t>IF(OR(AB133="",AA133="Not started",AA133=""),"",IFERROR(AB133-IF(VLOOKUP(AA133,'04_Status_Pipeline'!$B$3:$E$20,4,FALSE)="",0,VLOOKUP(AA133,'04_Status_Pipeline'!$B$3:$E$20,4,FALSE)),""))</t>
        </is>
      </c>
      <c r="AE133" s="32" t="inlineStr">
        <is>
          <t>IF(E133="","",IF(OR(Y133="Cancelled",AA133="Cancelled"),"Cancelled",IF(OR(AA133="Completed / Handover",W133&lt;&gt;"",X133&gt;=100),"Completed — on track",IF(L133="Remaining",IF(S133="",IF(V133="","No planned date",IF(TODAY()&gt;V133,"Behind — past planned date",IF(V133-TODAY()&lt;=30,"At risk — close to off track","On track"))),IF(TODAY()&gt;S133,"Behind — award date passed",IF(S133-TODAY()&lt;=30,"At risk — close to off track","On track"))),IF(V133="","No planned date",IF(AND(TODAY()&gt;V133,OR(X133="",X133&lt;100)),"Behind — past end date",IF(AND(R133&lt;&gt;"",V133&lt;&gt;"",X133&lt;&gt;"",(X133&lt;100),((TODAY()-R133)/MAX(V133-R133,1)*100)-X133&gt;15),"Behind — progress lag",IF(AND(V133-TODAY()&lt;=30,V133-TODAY()&gt;=0,OR(X133="",X133&lt;90)),"At risk — close to off track","On track"))))))))</t>
        </is>
      </c>
      <c r="AF133" s="38" t="inlineStr">
        <is>
          <t>IF(OR(E133="",AA133="Completed / Handover",AA133="Cancelled"),"",IF(L133="Remaining",IF(S133&lt;&gt;"",S133-TODAY(),IF(V133="","",V133-TODAY())),IF(V133="","",V133-TODAY())))</t>
        </is>
      </c>
      <c r="AG133" s="39" t="n"/>
      <c r="AH133" s="39" t="n"/>
      <c r="AI133" s="39" t="n"/>
      <c r="AJ133" s="39" t="n"/>
      <c r="AK133" s="39" t="n"/>
      <c r="AL133" s="39" t="n"/>
      <c r="AM133" s="39" t="n"/>
      <c r="AN133" s="39" t="n"/>
      <c r="AO133" s="39" t="n">
        <v>46154</v>
      </c>
      <c r="AP133" s="39" t="n">
        <v>46154</v>
      </c>
      <c r="AQ133" s="39" t="n">
        <v>46306</v>
      </c>
      <c r="AR133" s="40" t="n"/>
      <c r="AS133" s="40" t="n"/>
      <c r="AT133" s="40" t="n"/>
      <c r="AU133" s="38" t="inlineStr">
        <is>
          <t>IF(OR(E133="",AH133=""),"",IF(COUNT(AG133:AG133)=0,"",AH133-LOOKUP(2,1/(AG133:AG133&lt;&gt;""),AG133:AG133)))</t>
        </is>
      </c>
      <c r="AV133" s="38" t="inlineStr">
        <is>
          <t>IF(OR(E133="",AI133=""),"",IF(COUNT(AG133:AH133)=0,"",AI133-LOOKUP(2,1/(AG133:AH133&lt;&gt;""),AG133:AH133)))</t>
        </is>
      </c>
      <c r="AW133" s="38" t="inlineStr">
        <is>
          <t>IF(OR(E133="",AJ133=""),"",IF(COUNT(AG133:AI133)=0,"",AJ133-LOOKUP(2,1/(AG133:AI133&lt;&gt;""),AG133:AI133)))</t>
        </is>
      </c>
      <c r="AX133" s="38" t="inlineStr">
        <is>
          <t>IF(OR(E133="",AK133=""),"",IF(COUNT(AG133:AJ133)=0,"",AK133-LOOKUP(2,1/(AG133:AJ133&lt;&gt;""),AG133:AJ133)))</t>
        </is>
      </c>
      <c r="AY133" s="38" t="inlineStr">
        <is>
          <t>IF(OR(E133="",AL133=""),"",IF(COUNT(AG133:AK133)=0,"",AL133-LOOKUP(2,1/(AG133:AK133&lt;&gt;""),AG133:AK133)))</t>
        </is>
      </c>
      <c r="AZ133" s="38" t="inlineStr">
        <is>
          <t>IF(OR(E133="",AM133=""),"",IF(COUNT(AG133:AL133)=0,"",AM133-LOOKUP(2,1/(AG133:AL133&lt;&gt;""),AG133:AL133)))</t>
        </is>
      </c>
      <c r="BA133" s="38" t="inlineStr">
        <is>
          <t>IF(OR(E133="",AN133=""),"",IF(COUNT(AG133:AM133)=0,"",AN133-LOOKUP(2,1/(AG133:AM133&lt;&gt;""),AG133:AM133)))</t>
        </is>
      </c>
      <c r="BB133" s="38" t="inlineStr">
        <is>
          <t>IF(OR(E133="",AO133=""),"",IF(COUNT(AG133:AN133)=0,"",AO133-LOOKUP(2,1/(AG133:AN133&lt;&gt;""),AG133:AN133)))</t>
        </is>
      </c>
      <c r="BC133" s="38" t="inlineStr">
        <is>
          <t>IF(OR(E133="",AP133=""),"",IF(COUNT(AG133:AO133)=0,"",AP133-LOOKUP(2,1/(AG133:AO133&lt;&gt;""),AG133:AO133)))</t>
        </is>
      </c>
      <c r="BD133" s="38" t="inlineStr">
        <is>
          <t>IF(OR(E133="",AQ133=""),"",IF(COUNT(AG133:AP133)=0,"",AQ133-LOOKUP(2,1/(AG133:AP133&lt;&gt;""),AG133:AP133)))</t>
        </is>
      </c>
      <c r="BE133" s="38" t="inlineStr">
        <is>
          <t>IF(OR(E133="",AR133=""),"",IF(COUNT(AG133:AQ133)=0,"",AR133-LOOKUP(2,1/(AG133:AQ133&lt;&gt;""),AG133:AQ133)))</t>
        </is>
      </c>
      <c r="BF133" s="38" t="inlineStr">
        <is>
          <t>IF(OR(E133="",AS133=""),"",IF(COUNT(AG133:AR133)=0,"",AS133-LOOKUP(2,1/(AG133:AR133&lt;&gt;""),AG133:AR133)))</t>
        </is>
      </c>
      <c r="BG133" s="38" t="inlineStr">
        <is>
          <t>IF(OR(E133="",AT133=""),"",IF(COUNT(AG133:AS133)=0,"",AT133-LOOKUP(2,1/(AG133:AS133&lt;&gt;""),AG133:AS133)))</t>
        </is>
      </c>
      <c r="BH133" s="41" t="inlineStr">
        <is>
          <t>IF(G133="","All_Provinces",IFERROR(VLOOKUP(G133,'07_Lookups'!$A$4:$B$20,2,FALSE),"All_Provinces"))</t>
        </is>
      </c>
      <c r="BI133" s="41" t="inlineStr">
        <is>
          <t>IF(H133="","All_Districts",IFERROR(VLOOKUP(H133,'07_Lookups'!$E$4:$F$42,2,FALSE),"All_Districts"))</t>
        </is>
      </c>
    </row>
    <row r="134" ht="18" customHeight="1">
      <c r="A134" s="32" t="inlineStr">
        <is>
          <t>IF(E134="","",ROW()-3)</t>
        </is>
      </c>
      <c r="B134" s="33" t="inlineStr">
        <is>
          <t>AF2-WSM-A-065</t>
        </is>
      </c>
      <c r="C134" s="33" t="inlineStr">
        <is>
          <t>Emergency Food Security Project (EFSP) – WBK/AF-2</t>
        </is>
      </c>
      <c r="D134" s="33" t="inlineStr">
        <is>
          <t>Package #30-AF2 WSM: Construction of 5 Check Damas of A. Majar site # 1 and site # 2; B.Elyasgar site # 3, site 4 and site # 5, located in Aljahad district of Sar-e-Pul province.</t>
        </is>
      </c>
      <c r="E134" s="33" t="inlineStr">
        <is>
          <t>Majar Check dam</t>
        </is>
      </c>
      <c r="F134" s="33" t="inlineStr">
        <is>
          <t>Check Dam</t>
        </is>
      </c>
      <c r="G134" s="33" t="inlineStr">
        <is>
          <t>North / Mazar</t>
        </is>
      </c>
      <c r="H134" s="33" t="inlineStr">
        <is>
          <t>Sar-e-Pul</t>
        </is>
      </c>
      <c r="I134" s="33" t="inlineStr">
        <is>
          <t>Aljahad</t>
        </is>
      </c>
      <c r="J134" s="33" t="inlineStr">
        <is>
          <t>Mullah Baba, Bahauden, Katlo Soy, Majar Ulia, Majar Aji</t>
        </is>
      </c>
      <c r="K134" s="33" t="inlineStr">
        <is>
          <t>World Bank (WBK/AF-2)</t>
        </is>
      </c>
      <c r="L134" s="33" t="inlineStr">
        <is>
          <t>Awarded</t>
        </is>
      </c>
      <c r="M134" s="33" t="inlineStr">
        <is>
          <t>Watershed / Check dam</t>
        </is>
      </c>
      <c r="N134" s="33" t="inlineStr">
        <is>
          <t>3.WSM awarded contracts</t>
        </is>
      </c>
      <c r="O134" s="33" t="inlineStr">
        <is>
          <t>Waheed Wahaj Construction Company (WWCC)</t>
        </is>
      </c>
      <c r="P134" s="33" t="inlineStr">
        <is>
          <t>050/2026</t>
        </is>
      </c>
      <c r="Q134" s="34" t="n">
        <v>22485.14</v>
      </c>
      <c r="R134" s="35" t="inlineStr">
        <is>
          <t>IF(AO134="","",AO134)</t>
        </is>
      </c>
      <c r="S134" s="36" t="n"/>
      <c r="T134" s="37" t="n">
        <v>4</v>
      </c>
      <c r="U134" s="36" t="n">
        <v>46348</v>
      </c>
      <c r="V134" s="35" t="inlineStr">
        <is>
          <t>IF(U134&lt;&gt;"",U134,IF(OR(R134="",T134=""),"",EDATE(R134,T134)))</t>
        </is>
      </c>
      <c r="W134" s="36" t="n"/>
      <c r="X134" s="37" t="n">
        <v>6</v>
      </c>
      <c r="Y134" s="33" t="inlineStr">
        <is>
          <t>Under Construction</t>
        </is>
      </c>
      <c r="Z134" s="33" t="inlineStr">
        <is>
          <t>The contract has recently been awarded. Mobilization is being carried out by the contractor.</t>
        </is>
      </c>
      <c r="AA134" s="32" t="inlineStr">
        <is>
          <t>IF(E134="","",IF(COUNT(AG134:AT134)=0,IF(Y134="","Not started",Y134),SUBSTITUTE(LOOKUP(2,1/(AG134:AT134&lt;&gt;""),$AG$3:$AT$3),"Date: ","")))</t>
        </is>
      </c>
      <c r="AB134" s="38" t="inlineStr">
        <is>
          <t>IF(OR(E134="",COUNT(AG134:AT134)=0),"",TODAY()-LOOKUP(2,1/(AG134:AT134&lt;&gt;""),AG134:AT134))</t>
        </is>
      </c>
      <c r="AC134" s="38" t="inlineStr">
        <is>
          <t>IF(OR(E134="",COUNT(AG134:AT134)&lt;2),"",LOOKUP(2,1/(AG134:AT134&lt;&gt;""),AG134:AT134)-MIN(AG134:AT134))</t>
        </is>
      </c>
      <c r="AD134" s="38" t="inlineStr">
        <is>
          <t>IF(OR(AB134="",AA134="Not started",AA134=""),"",IFERROR(AB134-IF(VLOOKUP(AA134,'04_Status_Pipeline'!$B$3:$E$20,4,FALSE)="",0,VLOOKUP(AA134,'04_Status_Pipeline'!$B$3:$E$20,4,FALSE)),""))</t>
        </is>
      </c>
      <c r="AE134" s="32" t="inlineStr">
        <is>
          <t>IF(E134="","",IF(OR(Y134="Cancelled",AA134="Cancelled"),"Cancelled",IF(OR(AA134="Completed / Handover",W134&lt;&gt;"",X134&gt;=100),"Completed — on track",IF(L134="Remaining",IF(S134="",IF(V134="","No planned date",IF(TODAY()&gt;V134,"Behind — past planned date",IF(V134-TODAY()&lt;=30,"At risk — close to off track","On track"))),IF(TODAY()&gt;S134,"Behind — award date passed",IF(S134-TODAY()&lt;=30,"At risk — close to off track","On track"))),IF(V134="","No planned date",IF(AND(TODAY()&gt;V134,OR(X134="",X134&lt;100)),"Behind — past end date",IF(AND(R134&lt;&gt;"",V134&lt;&gt;"",X134&lt;&gt;"",(X134&lt;100),((TODAY()-R134)/MAX(V134-R134,1)*100)-X134&gt;15),"Behind — progress lag",IF(AND(V134-TODAY()&lt;=30,V134-TODAY()&gt;=0,OR(X134="",X134&lt;90)),"At risk — close to off track","On track"))))))))</t>
        </is>
      </c>
      <c r="AF134" s="38" t="inlineStr">
        <is>
          <t>IF(OR(E134="",AA134="Completed / Handover",AA134="Cancelled"),"",IF(L134="Remaining",IF(S134&lt;&gt;"",S134-TODAY(),IF(V134="","",V134-TODAY())),IF(V134="","",V134-TODAY())))</t>
        </is>
      </c>
      <c r="AG134" s="39" t="n"/>
      <c r="AH134" s="39" t="n"/>
      <c r="AI134" s="39" t="n"/>
      <c r="AJ134" s="39" t="n"/>
      <c r="AK134" s="39" t="n"/>
      <c r="AL134" s="39" t="n"/>
      <c r="AM134" s="39" t="n"/>
      <c r="AN134" s="39" t="n"/>
      <c r="AO134" s="39" t="n">
        <v>46226</v>
      </c>
      <c r="AP134" s="39" t="n">
        <v>46226</v>
      </c>
      <c r="AQ134" s="39" t="n"/>
      <c r="AR134" s="40" t="n"/>
      <c r="AS134" s="40" t="n"/>
      <c r="AT134" s="40" t="n"/>
      <c r="AU134" s="38" t="inlineStr">
        <is>
          <t>IF(OR(E134="",AH134=""),"",IF(COUNT(AG134:AG134)=0,"",AH134-LOOKUP(2,1/(AG134:AG134&lt;&gt;""),AG134:AG134)))</t>
        </is>
      </c>
      <c r="AV134" s="38" t="inlineStr">
        <is>
          <t>IF(OR(E134="",AI134=""),"",IF(COUNT(AG134:AH134)=0,"",AI134-LOOKUP(2,1/(AG134:AH134&lt;&gt;""),AG134:AH134)))</t>
        </is>
      </c>
      <c r="AW134" s="38" t="inlineStr">
        <is>
          <t>IF(OR(E134="",AJ134=""),"",IF(COUNT(AG134:AI134)=0,"",AJ134-LOOKUP(2,1/(AG134:AI134&lt;&gt;""),AG134:AI134)))</t>
        </is>
      </c>
      <c r="AX134" s="38" t="inlineStr">
        <is>
          <t>IF(OR(E134="",AK134=""),"",IF(COUNT(AG134:AJ134)=0,"",AK134-LOOKUP(2,1/(AG134:AJ134&lt;&gt;""),AG134:AJ134)))</t>
        </is>
      </c>
      <c r="AY134" s="38" t="inlineStr">
        <is>
          <t>IF(OR(E134="",AL134=""),"",IF(COUNT(AG134:AK134)=0,"",AL134-LOOKUP(2,1/(AG134:AK134&lt;&gt;""),AG134:AK134)))</t>
        </is>
      </c>
      <c r="AZ134" s="38" t="inlineStr">
        <is>
          <t>IF(OR(E134="",AM134=""),"",IF(COUNT(AG134:AL134)=0,"",AM134-LOOKUP(2,1/(AG134:AL134&lt;&gt;""),AG134:AL134)))</t>
        </is>
      </c>
      <c r="BA134" s="38" t="inlineStr">
        <is>
          <t>IF(OR(E134="",AN134=""),"",IF(COUNT(AG134:AM134)=0,"",AN134-LOOKUP(2,1/(AG134:AM134&lt;&gt;""),AG134:AM134)))</t>
        </is>
      </c>
      <c r="BB134" s="38" t="inlineStr">
        <is>
          <t>IF(OR(E134="",AO134=""),"",IF(COUNT(AG134:AN134)=0,"",AO134-LOOKUP(2,1/(AG134:AN134&lt;&gt;""),AG134:AN134)))</t>
        </is>
      </c>
      <c r="BC134" s="38" t="inlineStr">
        <is>
          <t>IF(OR(E134="",AP134=""),"",IF(COUNT(AG134:AO134)=0,"",AP134-LOOKUP(2,1/(AG134:AO134&lt;&gt;""),AG134:AO134)))</t>
        </is>
      </c>
      <c r="BD134" s="38" t="inlineStr">
        <is>
          <t>IF(OR(E134="",AQ134=""),"",IF(COUNT(AG134:AP134)=0,"",AQ134-LOOKUP(2,1/(AG134:AP134&lt;&gt;""),AG134:AP134)))</t>
        </is>
      </c>
      <c r="BE134" s="38" t="inlineStr">
        <is>
          <t>IF(OR(E134="",AR134=""),"",IF(COUNT(AG134:AQ134)=0,"",AR134-LOOKUP(2,1/(AG134:AQ134&lt;&gt;""),AG134:AQ134)))</t>
        </is>
      </c>
      <c r="BF134" s="38" t="inlineStr">
        <is>
          <t>IF(OR(E134="",AS134=""),"",IF(COUNT(AG134:AR134)=0,"",AS134-LOOKUP(2,1/(AG134:AR134&lt;&gt;""),AG134:AR134)))</t>
        </is>
      </c>
      <c r="BG134" s="38" t="inlineStr">
        <is>
          <t>IF(OR(E134="",AT134=""),"",IF(COUNT(AG134:AS134)=0,"",AT134-LOOKUP(2,1/(AG134:AS134&lt;&gt;""),AG134:AS134)))</t>
        </is>
      </c>
      <c r="BH134" s="41" t="inlineStr">
        <is>
          <t>IF(G134="","All_Provinces",IFERROR(VLOOKUP(G134,'07_Lookups'!$A$4:$B$20,2,FALSE),"All_Provinces"))</t>
        </is>
      </c>
      <c r="BI134" s="41" t="inlineStr">
        <is>
          <t>IF(H134="","All_Districts",IFERROR(VLOOKUP(H134,'07_Lookups'!$E$4:$F$42,2,FALSE),"All_Districts"))</t>
        </is>
      </c>
    </row>
    <row r="135" ht="18" customHeight="1">
      <c r="A135" s="32" t="inlineStr">
        <is>
          <t>IF(E135="","",ROW()-3)</t>
        </is>
      </c>
      <c r="B135" s="42" t="inlineStr">
        <is>
          <t>AF2-WSM-A-066</t>
        </is>
      </c>
      <c r="C135" s="42" t="inlineStr">
        <is>
          <t>Emergency Food Security Project (EFSP) – WBK/AF-2</t>
        </is>
      </c>
      <c r="D135" s="42" t="inlineStr">
        <is>
          <t>Package #30-AF2 WSM: Construction of 5 Check Damas of A. Majar site # 1 and site # 2; B.Elyasgar site # 3, site 4 and site # 5, located in Aljahad district of Sar-e-Pul province.</t>
        </is>
      </c>
      <c r="E135" s="42" t="inlineStr">
        <is>
          <t>Elyasgar Check dam</t>
        </is>
      </c>
      <c r="F135" s="42" t="inlineStr">
        <is>
          <t>Check Dam</t>
        </is>
      </c>
      <c r="G135" s="42" t="inlineStr">
        <is>
          <t>North / Mazar</t>
        </is>
      </c>
      <c r="H135" s="42" t="inlineStr">
        <is>
          <t>Sar-e-Pul</t>
        </is>
      </c>
      <c r="I135" s="42" t="inlineStr">
        <is>
          <t>Aljahad</t>
        </is>
      </c>
      <c r="J135" s="42" t="inlineStr">
        <is>
          <t>Ayob, Jar Abdara, Mula Salam, Haji Talib, Hajib Pirak</t>
        </is>
      </c>
      <c r="K135" s="42" t="inlineStr">
        <is>
          <t>World Bank (WBK/AF-2)</t>
        </is>
      </c>
      <c r="L135" s="42" t="inlineStr">
        <is>
          <t>Awarded</t>
        </is>
      </c>
      <c r="M135" s="42" t="inlineStr">
        <is>
          <t>Watershed / Check dam</t>
        </is>
      </c>
      <c r="N135" s="42" t="inlineStr">
        <is>
          <t>3.WSM awarded contracts</t>
        </is>
      </c>
      <c r="O135" s="42" t="inlineStr">
        <is>
          <t>Waheed Wahaj Construction Company (WWCC)</t>
        </is>
      </c>
      <c r="P135" s="42" t="inlineStr">
        <is>
          <t>050/2026</t>
        </is>
      </c>
      <c r="Q135" s="43" t="n">
        <v>48085.97</v>
      </c>
      <c r="R135" s="35" t="inlineStr">
        <is>
          <t>IF(AO135="","",AO135)</t>
        </is>
      </c>
      <c r="S135" s="44" t="n"/>
      <c r="T135" s="45" t="n">
        <v>4</v>
      </c>
      <c r="U135" s="44" t="n">
        <v>46348</v>
      </c>
      <c r="V135" s="35" t="inlineStr">
        <is>
          <t>IF(U135&lt;&gt;"",U135,IF(OR(R135="",T135=""),"",EDATE(R135,T135)))</t>
        </is>
      </c>
      <c r="W135" s="44" t="n"/>
      <c r="X135" s="45" t="n">
        <v>6</v>
      </c>
      <c r="Y135" s="42" t="inlineStr">
        <is>
          <t>Under Construction</t>
        </is>
      </c>
      <c r="Z135" s="42" t="inlineStr">
        <is>
          <t>The contract has recently been awarded. Mobilization is being carried out by the contractor.</t>
        </is>
      </c>
      <c r="AA135" s="32" t="inlineStr">
        <is>
          <t>IF(E135="","",IF(COUNT(AG135:AT135)=0,IF(Y135="","Not started",Y135),SUBSTITUTE(LOOKUP(2,1/(AG135:AT135&lt;&gt;""),$AG$3:$AT$3),"Date: ","")))</t>
        </is>
      </c>
      <c r="AB135" s="38" t="inlineStr">
        <is>
          <t>IF(OR(E135="",COUNT(AG135:AT135)=0),"",TODAY()-LOOKUP(2,1/(AG135:AT135&lt;&gt;""),AG135:AT135))</t>
        </is>
      </c>
      <c r="AC135" s="38" t="inlineStr">
        <is>
          <t>IF(OR(E135="",COUNT(AG135:AT135)&lt;2),"",LOOKUP(2,1/(AG135:AT135&lt;&gt;""),AG135:AT135)-MIN(AG135:AT135))</t>
        </is>
      </c>
      <c r="AD135" s="38" t="inlineStr">
        <is>
          <t>IF(OR(AB135="",AA135="Not started",AA135=""),"",IFERROR(AB135-IF(VLOOKUP(AA135,'04_Status_Pipeline'!$B$3:$E$20,4,FALSE)="",0,VLOOKUP(AA135,'04_Status_Pipeline'!$B$3:$E$20,4,FALSE)),""))</t>
        </is>
      </c>
      <c r="AE135" s="32" t="inlineStr">
        <is>
          <t>IF(E135="","",IF(OR(Y135="Cancelled",AA135="Cancelled"),"Cancelled",IF(OR(AA135="Completed / Handover",W135&lt;&gt;"",X135&gt;=100),"Completed — on track",IF(L135="Remaining",IF(S135="",IF(V135="","No planned date",IF(TODAY()&gt;V135,"Behind — past planned date",IF(V135-TODAY()&lt;=30,"At risk — close to off track","On track"))),IF(TODAY()&gt;S135,"Behind — award date passed",IF(S135-TODAY()&lt;=30,"At risk — close to off track","On track"))),IF(V135="","No planned date",IF(AND(TODAY()&gt;V135,OR(X135="",X135&lt;100)),"Behind — past end date",IF(AND(R135&lt;&gt;"",V135&lt;&gt;"",X135&lt;&gt;"",(X135&lt;100),((TODAY()-R135)/MAX(V135-R135,1)*100)-X135&gt;15),"Behind — progress lag",IF(AND(V135-TODAY()&lt;=30,V135-TODAY()&gt;=0,OR(X135="",X135&lt;90)),"At risk — close to off track","On track"))))))))</t>
        </is>
      </c>
      <c r="AF135" s="38" t="inlineStr">
        <is>
          <t>IF(OR(E135="",AA135="Completed / Handover",AA135="Cancelled"),"",IF(L135="Remaining",IF(S135&lt;&gt;"",S135-TODAY(),IF(V135="","",V135-TODAY())),IF(V135="","",V135-TODAY())))</t>
        </is>
      </c>
      <c r="AG135" s="39" t="n"/>
      <c r="AH135" s="39" t="n"/>
      <c r="AI135" s="39" t="n"/>
      <c r="AJ135" s="39" t="n"/>
      <c r="AK135" s="39" t="n"/>
      <c r="AL135" s="39" t="n"/>
      <c r="AM135" s="39" t="n"/>
      <c r="AN135" s="39" t="n"/>
      <c r="AO135" s="39" t="n">
        <v>46226</v>
      </c>
      <c r="AP135" s="39" t="n">
        <v>46226</v>
      </c>
      <c r="AQ135" s="39" t="n"/>
      <c r="AR135" s="40" t="n"/>
      <c r="AS135" s="40" t="n"/>
      <c r="AT135" s="40" t="n"/>
      <c r="AU135" s="38" t="inlineStr">
        <is>
          <t>IF(OR(E135="",AH135=""),"",IF(COUNT(AG135:AG135)=0,"",AH135-LOOKUP(2,1/(AG135:AG135&lt;&gt;""),AG135:AG135)))</t>
        </is>
      </c>
      <c r="AV135" s="38" t="inlineStr">
        <is>
          <t>IF(OR(E135="",AI135=""),"",IF(COUNT(AG135:AH135)=0,"",AI135-LOOKUP(2,1/(AG135:AH135&lt;&gt;""),AG135:AH135)))</t>
        </is>
      </c>
      <c r="AW135" s="38" t="inlineStr">
        <is>
          <t>IF(OR(E135="",AJ135=""),"",IF(COUNT(AG135:AI135)=0,"",AJ135-LOOKUP(2,1/(AG135:AI135&lt;&gt;""),AG135:AI135)))</t>
        </is>
      </c>
      <c r="AX135" s="38" t="inlineStr">
        <is>
          <t>IF(OR(E135="",AK135=""),"",IF(COUNT(AG135:AJ135)=0,"",AK135-LOOKUP(2,1/(AG135:AJ135&lt;&gt;""),AG135:AJ135)))</t>
        </is>
      </c>
      <c r="AY135" s="38" t="inlineStr">
        <is>
          <t>IF(OR(E135="",AL135=""),"",IF(COUNT(AG135:AK135)=0,"",AL135-LOOKUP(2,1/(AG135:AK135&lt;&gt;""),AG135:AK135)))</t>
        </is>
      </c>
      <c r="AZ135" s="38" t="inlineStr">
        <is>
          <t>IF(OR(E135="",AM135=""),"",IF(COUNT(AG135:AL135)=0,"",AM135-LOOKUP(2,1/(AG135:AL135&lt;&gt;""),AG135:AL135)))</t>
        </is>
      </c>
      <c r="BA135" s="38" t="inlineStr">
        <is>
          <t>IF(OR(E135="",AN135=""),"",IF(COUNT(AG135:AM135)=0,"",AN135-LOOKUP(2,1/(AG135:AM135&lt;&gt;""),AG135:AM135)))</t>
        </is>
      </c>
      <c r="BB135" s="38" t="inlineStr">
        <is>
          <t>IF(OR(E135="",AO135=""),"",IF(COUNT(AG135:AN135)=0,"",AO135-LOOKUP(2,1/(AG135:AN135&lt;&gt;""),AG135:AN135)))</t>
        </is>
      </c>
      <c r="BC135" s="38" t="inlineStr">
        <is>
          <t>IF(OR(E135="",AP135=""),"",IF(COUNT(AG135:AO135)=0,"",AP135-LOOKUP(2,1/(AG135:AO135&lt;&gt;""),AG135:AO135)))</t>
        </is>
      </c>
      <c r="BD135" s="38" t="inlineStr">
        <is>
          <t>IF(OR(E135="",AQ135=""),"",IF(COUNT(AG135:AP135)=0,"",AQ135-LOOKUP(2,1/(AG135:AP135&lt;&gt;""),AG135:AP135)))</t>
        </is>
      </c>
      <c r="BE135" s="38" t="inlineStr">
        <is>
          <t>IF(OR(E135="",AR135=""),"",IF(COUNT(AG135:AQ135)=0,"",AR135-LOOKUP(2,1/(AG135:AQ135&lt;&gt;""),AG135:AQ135)))</t>
        </is>
      </c>
      <c r="BF135" s="38" t="inlineStr">
        <is>
          <t>IF(OR(E135="",AS135=""),"",IF(COUNT(AG135:AR135)=0,"",AS135-LOOKUP(2,1/(AG135:AR135&lt;&gt;""),AG135:AR135)))</t>
        </is>
      </c>
      <c r="BG135" s="38" t="inlineStr">
        <is>
          <t>IF(OR(E135="",AT135=""),"",IF(COUNT(AG135:AS135)=0,"",AT135-LOOKUP(2,1/(AG135:AS135&lt;&gt;""),AG135:AS135)))</t>
        </is>
      </c>
      <c r="BH135" s="41" t="inlineStr">
        <is>
          <t>IF(G135="","All_Provinces",IFERROR(VLOOKUP(G135,'07_Lookups'!$A$4:$B$20,2,FALSE),"All_Provinces"))</t>
        </is>
      </c>
      <c r="BI135" s="41" t="inlineStr">
        <is>
          <t>IF(H135="","All_Districts",IFERROR(VLOOKUP(H135,'07_Lookups'!$E$4:$F$42,2,FALSE),"All_Districts"))</t>
        </is>
      </c>
    </row>
    <row r="136" ht="18" customHeight="1">
      <c r="A136" s="32" t="inlineStr">
        <is>
          <t>IF(E136="","",ROW()-3)</t>
        </is>
      </c>
      <c r="B136" s="33" t="inlineStr">
        <is>
          <t>AF2-WSM-A-067</t>
        </is>
      </c>
      <c r="C136" s="33" t="inlineStr">
        <is>
          <t>Emergency Food Security Project (EFSP) – WBK/AF-2</t>
        </is>
      </c>
      <c r="D136" s="33" t="inlineStr">
        <is>
          <t>Package # 31-AF2 WSM: Construction of 1. Khaibar and 2. Chelgazi Check dams, located in Khaibar and Chelgazi districts of Faryab province.</t>
        </is>
      </c>
      <c r="E136" s="33" t="inlineStr">
        <is>
          <t>Khaibar Check dam</t>
        </is>
      </c>
      <c r="F136" s="33" t="inlineStr">
        <is>
          <t>Check Dam</t>
        </is>
      </c>
      <c r="G136" s="33" t="inlineStr">
        <is>
          <t>North / Mazar</t>
        </is>
      </c>
      <c r="H136" s="33" t="inlineStr">
        <is>
          <t>Faryab</t>
        </is>
      </c>
      <c r="I136" s="33" t="inlineStr">
        <is>
          <t>Khaibar</t>
        </is>
      </c>
      <c r="J136" s="33" t="inlineStr">
        <is>
          <t>Mesh mast and Pasha Khan Abdal</t>
        </is>
      </c>
      <c r="K136" s="33" t="inlineStr">
        <is>
          <t>World Bank (WBK/AF-2)</t>
        </is>
      </c>
      <c r="L136" s="33" t="inlineStr">
        <is>
          <t>Awarded</t>
        </is>
      </c>
      <c r="M136" s="33" t="inlineStr">
        <is>
          <t>Watershed / Check dam</t>
        </is>
      </c>
      <c r="N136" s="33" t="inlineStr">
        <is>
          <t>3.WSM awarded contracts</t>
        </is>
      </c>
      <c r="O136" s="33" t="inlineStr">
        <is>
          <t>Malik Hajdar Construction and Road Company (MHCC)</t>
        </is>
      </c>
      <c r="P136" s="33" t="inlineStr">
        <is>
          <t>033/2026</t>
        </is>
      </c>
      <c r="Q136" s="34" t="n">
        <v>44507.76</v>
      </c>
      <c r="R136" s="35" t="inlineStr">
        <is>
          <t>IF(AO136="","",AO136)</t>
        </is>
      </c>
      <c r="S136" s="36" t="n"/>
      <c r="T136" s="37" t="n">
        <v>4</v>
      </c>
      <c r="U136" s="36" t="n">
        <v>46271</v>
      </c>
      <c r="V136" s="35" t="inlineStr">
        <is>
          <t>IF(U136&lt;&gt;"",U136,IF(OR(R136="",T136=""),"",EDATE(R136,T136)))</t>
        </is>
      </c>
      <c r="W136" s="36" t="n"/>
      <c r="X136" s="37" t="n">
        <v>100</v>
      </c>
      <c r="Y136" s="33" t="inlineStr">
        <is>
          <t>Completed / Handover</t>
        </is>
      </c>
      <c r="Z136" s="33" t="inlineStr">
        <is>
          <t>Completed on Aug, 2026</t>
        </is>
      </c>
      <c r="AA136" s="32" t="inlineStr">
        <is>
          <t>IF(E136="","",IF(COUNT(AG136:AT136)=0,IF(Y136="","Not started",Y136),SUBSTITUTE(LOOKUP(2,1/(AG136:AT136&lt;&gt;""),$AG$3:$AT$3),"Date: ","")))</t>
        </is>
      </c>
      <c r="AB136" s="38" t="inlineStr">
        <is>
          <t>IF(OR(E136="",COUNT(AG136:AT136)=0),"",TODAY()-LOOKUP(2,1/(AG136:AT136&lt;&gt;""),AG136:AT136))</t>
        </is>
      </c>
      <c r="AC136" s="38" t="inlineStr">
        <is>
          <t>IF(OR(E136="",COUNT(AG136:AT136)&lt;2),"",LOOKUP(2,1/(AG136:AT136&lt;&gt;""),AG136:AT136)-MIN(AG136:AT136))</t>
        </is>
      </c>
      <c r="AD136" s="38" t="inlineStr">
        <is>
          <t>IF(OR(AB136="",AA136="Not started",AA136=""),"",IFERROR(AB136-IF(VLOOKUP(AA136,'04_Status_Pipeline'!$B$3:$E$20,4,FALSE)="",0,VLOOKUP(AA136,'04_Status_Pipeline'!$B$3:$E$20,4,FALSE)),""))</t>
        </is>
      </c>
      <c r="AE136" s="32" t="inlineStr">
        <is>
          <t>IF(E136="","",IF(OR(Y136="Cancelled",AA136="Cancelled"),"Cancelled",IF(OR(AA136="Completed / Handover",W136&lt;&gt;"",X136&gt;=100),"Completed — on track",IF(L136="Remaining",IF(S136="",IF(V136="","No planned date",IF(TODAY()&gt;V136,"Behind — past planned date",IF(V136-TODAY()&lt;=30,"At risk — close to off track","On track"))),IF(TODAY()&gt;S136,"Behind — award date passed",IF(S136-TODAY()&lt;=30,"At risk — close to off track","On track"))),IF(V136="","No planned date",IF(AND(TODAY()&gt;V136,OR(X136="",X136&lt;100)),"Behind — past end date",IF(AND(R136&lt;&gt;"",V136&lt;&gt;"",X136&lt;&gt;"",(X136&lt;100),((TODAY()-R136)/MAX(V136-R136,1)*100)-X136&gt;15),"Behind — progress lag",IF(AND(V136-TODAY()&lt;=30,V136-TODAY()&gt;=0,OR(X136="",X136&lt;90)),"At risk — close to off track","On track"))))))))</t>
        </is>
      </c>
      <c r="AF136" s="38" t="inlineStr">
        <is>
          <t>IF(OR(E136="",AA136="Completed / Handover",AA136="Cancelled"),"",IF(L136="Remaining",IF(S136&lt;&gt;"",S136-TODAY(),IF(V136="","",V136-TODAY())),IF(V136="","",V136-TODAY())))</t>
        </is>
      </c>
      <c r="AG136" s="39" t="n"/>
      <c r="AH136" s="39" t="n"/>
      <c r="AI136" s="39" t="n"/>
      <c r="AJ136" s="39" t="n"/>
      <c r="AK136" s="39" t="n"/>
      <c r="AL136" s="39" t="n"/>
      <c r="AM136" s="39" t="n"/>
      <c r="AN136" s="39" t="n"/>
      <c r="AO136" s="39" t="n">
        <v>46149</v>
      </c>
      <c r="AP136" s="39" t="n">
        <v>46149</v>
      </c>
      <c r="AQ136" s="39" t="n">
        <v>46271</v>
      </c>
      <c r="AR136" s="40" t="n"/>
      <c r="AS136" s="40" t="n"/>
      <c r="AT136" s="40" t="n"/>
      <c r="AU136" s="38" t="inlineStr">
        <is>
          <t>IF(OR(E136="",AH136=""),"",IF(COUNT(AG136:AG136)=0,"",AH136-LOOKUP(2,1/(AG136:AG136&lt;&gt;""),AG136:AG136)))</t>
        </is>
      </c>
      <c r="AV136" s="38" t="inlineStr">
        <is>
          <t>IF(OR(E136="",AI136=""),"",IF(COUNT(AG136:AH136)=0,"",AI136-LOOKUP(2,1/(AG136:AH136&lt;&gt;""),AG136:AH136)))</t>
        </is>
      </c>
      <c r="AW136" s="38" t="inlineStr">
        <is>
          <t>IF(OR(E136="",AJ136=""),"",IF(COUNT(AG136:AI136)=0,"",AJ136-LOOKUP(2,1/(AG136:AI136&lt;&gt;""),AG136:AI136)))</t>
        </is>
      </c>
      <c r="AX136" s="38" t="inlineStr">
        <is>
          <t>IF(OR(E136="",AK136=""),"",IF(COUNT(AG136:AJ136)=0,"",AK136-LOOKUP(2,1/(AG136:AJ136&lt;&gt;""),AG136:AJ136)))</t>
        </is>
      </c>
      <c r="AY136" s="38" t="inlineStr">
        <is>
          <t>IF(OR(E136="",AL136=""),"",IF(COUNT(AG136:AK136)=0,"",AL136-LOOKUP(2,1/(AG136:AK136&lt;&gt;""),AG136:AK136)))</t>
        </is>
      </c>
      <c r="AZ136" s="38" t="inlineStr">
        <is>
          <t>IF(OR(E136="",AM136=""),"",IF(COUNT(AG136:AL136)=0,"",AM136-LOOKUP(2,1/(AG136:AL136&lt;&gt;""),AG136:AL136)))</t>
        </is>
      </c>
      <c r="BA136" s="38" t="inlineStr">
        <is>
          <t>IF(OR(E136="",AN136=""),"",IF(COUNT(AG136:AM136)=0,"",AN136-LOOKUP(2,1/(AG136:AM136&lt;&gt;""),AG136:AM136)))</t>
        </is>
      </c>
      <c r="BB136" s="38" t="inlineStr">
        <is>
          <t>IF(OR(E136="",AO136=""),"",IF(COUNT(AG136:AN136)=0,"",AO136-LOOKUP(2,1/(AG136:AN136&lt;&gt;""),AG136:AN136)))</t>
        </is>
      </c>
      <c r="BC136" s="38" t="inlineStr">
        <is>
          <t>IF(OR(E136="",AP136=""),"",IF(COUNT(AG136:AO136)=0,"",AP136-LOOKUP(2,1/(AG136:AO136&lt;&gt;""),AG136:AO136)))</t>
        </is>
      </c>
      <c r="BD136" s="38" t="inlineStr">
        <is>
          <t>IF(OR(E136="",AQ136=""),"",IF(COUNT(AG136:AP136)=0,"",AQ136-LOOKUP(2,1/(AG136:AP136&lt;&gt;""),AG136:AP136)))</t>
        </is>
      </c>
      <c r="BE136" s="38" t="inlineStr">
        <is>
          <t>IF(OR(E136="",AR136=""),"",IF(COUNT(AG136:AQ136)=0,"",AR136-LOOKUP(2,1/(AG136:AQ136&lt;&gt;""),AG136:AQ136)))</t>
        </is>
      </c>
      <c r="BF136" s="38" t="inlineStr">
        <is>
          <t>IF(OR(E136="",AS136=""),"",IF(COUNT(AG136:AR136)=0,"",AS136-LOOKUP(2,1/(AG136:AR136&lt;&gt;""),AG136:AR136)))</t>
        </is>
      </c>
      <c r="BG136" s="38" t="inlineStr">
        <is>
          <t>IF(OR(E136="",AT136=""),"",IF(COUNT(AG136:AS136)=0,"",AT136-LOOKUP(2,1/(AG136:AS136&lt;&gt;""),AG136:AS136)))</t>
        </is>
      </c>
      <c r="BH136" s="41" t="inlineStr">
        <is>
          <t>IF(G136="","All_Provinces",IFERROR(VLOOKUP(G136,'07_Lookups'!$A$4:$B$20,2,FALSE),"All_Provinces"))</t>
        </is>
      </c>
      <c r="BI136" s="41" t="inlineStr">
        <is>
          <t>IF(H136="","All_Districts",IFERROR(VLOOKUP(H136,'07_Lookups'!$E$4:$F$42,2,FALSE),"All_Districts"))</t>
        </is>
      </c>
    </row>
    <row r="137" ht="18" customHeight="1">
      <c r="A137" s="32" t="inlineStr">
        <is>
          <t>IF(E137="","",ROW()-3)</t>
        </is>
      </c>
      <c r="B137" s="42" t="inlineStr">
        <is>
          <t>AF2-WSM-A-068</t>
        </is>
      </c>
      <c r="C137" s="42" t="inlineStr">
        <is>
          <t>Emergency Food Security Project (EFSP) – WBK/AF-2</t>
        </is>
      </c>
      <c r="D137" s="42" t="inlineStr">
        <is>
          <t>Package # 31-AF2 WSM: Construction of 1. Khaibar and 2. Chelgazi Check dams, located in Khaibar and Chelgazi districts of Faryab province.</t>
        </is>
      </c>
      <c r="E137" s="42" t="inlineStr">
        <is>
          <t>Chelgazi Check dam</t>
        </is>
      </c>
      <c r="F137" s="42" t="inlineStr">
        <is>
          <t>Check Dam</t>
        </is>
      </c>
      <c r="G137" s="42" t="inlineStr">
        <is>
          <t>North / Mazar</t>
        </is>
      </c>
      <c r="H137" s="42" t="inlineStr">
        <is>
          <t>Faryab</t>
        </is>
      </c>
      <c r="I137" s="42" t="inlineStr">
        <is>
          <t>Chelgazi</t>
        </is>
      </c>
      <c r="J137" s="42" t="inlineStr">
        <is>
          <t>Hazar qala and Aq Mazar</t>
        </is>
      </c>
      <c r="K137" s="42" t="inlineStr">
        <is>
          <t>World Bank (WBK/AF-2)</t>
        </is>
      </c>
      <c r="L137" s="42" t="inlineStr">
        <is>
          <t>Awarded</t>
        </is>
      </c>
      <c r="M137" s="42" t="inlineStr">
        <is>
          <t>Watershed / Check dam</t>
        </is>
      </c>
      <c r="N137" s="42" t="inlineStr">
        <is>
          <t>3.WSM awarded contracts</t>
        </is>
      </c>
      <c r="O137" s="42" t="inlineStr">
        <is>
          <t>Malik Hajdar Construction and Road Company (MHCC)</t>
        </is>
      </c>
      <c r="P137" s="42" t="inlineStr">
        <is>
          <t>033/2026</t>
        </is>
      </c>
      <c r="Q137" s="43" t="n">
        <v>36101.03</v>
      </c>
      <c r="R137" s="35" t="inlineStr">
        <is>
          <t>IF(AO137="","",AO137)</t>
        </is>
      </c>
      <c r="S137" s="44" t="n"/>
      <c r="T137" s="45" t="n">
        <v>4</v>
      </c>
      <c r="U137" s="44" t="n">
        <v>46271</v>
      </c>
      <c r="V137" s="35" t="inlineStr">
        <is>
          <t>IF(U137&lt;&gt;"",U137,IF(OR(R137="",T137=""),"",EDATE(R137,T137)))</t>
        </is>
      </c>
      <c r="W137" s="44" t="n"/>
      <c r="X137" s="45" t="n">
        <v>100</v>
      </c>
      <c r="Y137" s="42" t="inlineStr">
        <is>
          <t>Completed / Handover</t>
        </is>
      </c>
      <c r="Z137" s="42" t="inlineStr">
        <is>
          <t>Completed on Aug, 2026</t>
        </is>
      </c>
      <c r="AA137" s="32" t="inlineStr">
        <is>
          <t>IF(E137="","",IF(COUNT(AG137:AT137)=0,IF(Y137="","Not started",Y137),SUBSTITUTE(LOOKUP(2,1/(AG137:AT137&lt;&gt;""),$AG$3:$AT$3),"Date: ","")))</t>
        </is>
      </c>
      <c r="AB137" s="38" t="inlineStr">
        <is>
          <t>IF(OR(E137="",COUNT(AG137:AT137)=0),"",TODAY()-LOOKUP(2,1/(AG137:AT137&lt;&gt;""),AG137:AT137))</t>
        </is>
      </c>
      <c r="AC137" s="38" t="inlineStr">
        <is>
          <t>IF(OR(E137="",COUNT(AG137:AT137)&lt;2),"",LOOKUP(2,1/(AG137:AT137&lt;&gt;""),AG137:AT137)-MIN(AG137:AT137))</t>
        </is>
      </c>
      <c r="AD137" s="38" t="inlineStr">
        <is>
          <t>IF(OR(AB137="",AA137="Not started",AA137=""),"",IFERROR(AB137-IF(VLOOKUP(AA137,'04_Status_Pipeline'!$B$3:$E$20,4,FALSE)="",0,VLOOKUP(AA137,'04_Status_Pipeline'!$B$3:$E$20,4,FALSE)),""))</t>
        </is>
      </c>
      <c r="AE137" s="32" t="inlineStr">
        <is>
          <t>IF(E137="","",IF(OR(Y137="Cancelled",AA137="Cancelled"),"Cancelled",IF(OR(AA137="Completed / Handover",W137&lt;&gt;"",X137&gt;=100),"Completed — on track",IF(L137="Remaining",IF(S137="",IF(V137="","No planned date",IF(TODAY()&gt;V137,"Behind — past planned date",IF(V137-TODAY()&lt;=30,"At risk — close to off track","On track"))),IF(TODAY()&gt;S137,"Behind — award date passed",IF(S137-TODAY()&lt;=30,"At risk — close to off track","On track"))),IF(V137="","No planned date",IF(AND(TODAY()&gt;V137,OR(X137="",X137&lt;100)),"Behind — past end date",IF(AND(R137&lt;&gt;"",V137&lt;&gt;"",X137&lt;&gt;"",(X137&lt;100),((TODAY()-R137)/MAX(V137-R137,1)*100)-X137&gt;15),"Behind — progress lag",IF(AND(V137-TODAY()&lt;=30,V137-TODAY()&gt;=0,OR(X137="",X137&lt;90)),"At risk — close to off track","On track"))))))))</t>
        </is>
      </c>
      <c r="AF137" s="38" t="inlineStr">
        <is>
          <t>IF(OR(E137="",AA137="Completed / Handover",AA137="Cancelled"),"",IF(L137="Remaining",IF(S137&lt;&gt;"",S137-TODAY(),IF(V137="","",V137-TODAY())),IF(V137="","",V137-TODAY())))</t>
        </is>
      </c>
      <c r="AG137" s="39" t="n"/>
      <c r="AH137" s="39" t="n"/>
      <c r="AI137" s="39" t="n"/>
      <c r="AJ137" s="39" t="n"/>
      <c r="AK137" s="39" t="n"/>
      <c r="AL137" s="39" t="n"/>
      <c r="AM137" s="39" t="n"/>
      <c r="AN137" s="39" t="n"/>
      <c r="AO137" s="39" t="n">
        <v>46149</v>
      </c>
      <c r="AP137" s="39" t="n">
        <v>46149</v>
      </c>
      <c r="AQ137" s="39" t="n">
        <v>46271</v>
      </c>
      <c r="AR137" s="40" t="n"/>
      <c r="AS137" s="40" t="n"/>
      <c r="AT137" s="40" t="n"/>
      <c r="AU137" s="38" t="inlineStr">
        <is>
          <t>IF(OR(E137="",AH137=""),"",IF(COUNT(AG137:AG137)=0,"",AH137-LOOKUP(2,1/(AG137:AG137&lt;&gt;""),AG137:AG137)))</t>
        </is>
      </c>
      <c r="AV137" s="38" t="inlineStr">
        <is>
          <t>IF(OR(E137="",AI137=""),"",IF(COUNT(AG137:AH137)=0,"",AI137-LOOKUP(2,1/(AG137:AH137&lt;&gt;""),AG137:AH137)))</t>
        </is>
      </c>
      <c r="AW137" s="38" t="inlineStr">
        <is>
          <t>IF(OR(E137="",AJ137=""),"",IF(COUNT(AG137:AI137)=0,"",AJ137-LOOKUP(2,1/(AG137:AI137&lt;&gt;""),AG137:AI137)))</t>
        </is>
      </c>
      <c r="AX137" s="38" t="inlineStr">
        <is>
          <t>IF(OR(E137="",AK137=""),"",IF(COUNT(AG137:AJ137)=0,"",AK137-LOOKUP(2,1/(AG137:AJ137&lt;&gt;""),AG137:AJ137)))</t>
        </is>
      </c>
      <c r="AY137" s="38" t="inlineStr">
        <is>
          <t>IF(OR(E137="",AL137=""),"",IF(COUNT(AG137:AK137)=0,"",AL137-LOOKUP(2,1/(AG137:AK137&lt;&gt;""),AG137:AK137)))</t>
        </is>
      </c>
      <c r="AZ137" s="38" t="inlineStr">
        <is>
          <t>IF(OR(E137="",AM137=""),"",IF(COUNT(AG137:AL137)=0,"",AM137-LOOKUP(2,1/(AG137:AL137&lt;&gt;""),AG137:AL137)))</t>
        </is>
      </c>
      <c r="BA137" s="38" t="inlineStr">
        <is>
          <t>IF(OR(E137="",AN137=""),"",IF(COUNT(AG137:AM137)=0,"",AN137-LOOKUP(2,1/(AG137:AM137&lt;&gt;""),AG137:AM137)))</t>
        </is>
      </c>
      <c r="BB137" s="38" t="inlineStr">
        <is>
          <t>IF(OR(E137="",AO137=""),"",IF(COUNT(AG137:AN137)=0,"",AO137-LOOKUP(2,1/(AG137:AN137&lt;&gt;""),AG137:AN137)))</t>
        </is>
      </c>
      <c r="BC137" s="38" t="inlineStr">
        <is>
          <t>IF(OR(E137="",AP137=""),"",IF(COUNT(AG137:AO137)=0,"",AP137-LOOKUP(2,1/(AG137:AO137&lt;&gt;""),AG137:AO137)))</t>
        </is>
      </c>
      <c r="BD137" s="38" t="inlineStr">
        <is>
          <t>IF(OR(E137="",AQ137=""),"",IF(COUNT(AG137:AP137)=0,"",AQ137-LOOKUP(2,1/(AG137:AP137&lt;&gt;""),AG137:AP137)))</t>
        </is>
      </c>
      <c r="BE137" s="38" t="inlineStr">
        <is>
          <t>IF(OR(E137="",AR137=""),"",IF(COUNT(AG137:AQ137)=0,"",AR137-LOOKUP(2,1/(AG137:AQ137&lt;&gt;""),AG137:AQ137)))</t>
        </is>
      </c>
      <c r="BF137" s="38" t="inlineStr">
        <is>
          <t>IF(OR(E137="",AS137=""),"",IF(COUNT(AG137:AR137)=0,"",AS137-LOOKUP(2,1/(AG137:AR137&lt;&gt;""),AG137:AR137)))</t>
        </is>
      </c>
      <c r="BG137" s="38" t="inlineStr">
        <is>
          <t>IF(OR(E137="",AT137=""),"",IF(COUNT(AG137:AS137)=0,"",AT137-LOOKUP(2,1/(AG137:AS137&lt;&gt;""),AG137:AS137)))</t>
        </is>
      </c>
      <c r="BH137" s="41" t="inlineStr">
        <is>
          <t>IF(G137="","All_Provinces",IFERROR(VLOOKUP(G137,'07_Lookups'!$A$4:$B$20,2,FALSE),"All_Provinces"))</t>
        </is>
      </c>
      <c r="BI137" s="41" t="inlineStr">
        <is>
          <t>IF(H137="","All_Districts",IFERROR(VLOOKUP(H137,'07_Lookups'!$E$4:$F$42,2,FALSE),"All_Districts"))</t>
        </is>
      </c>
    </row>
    <row r="138" ht="18" customHeight="1">
      <c r="A138" s="32" t="inlineStr">
        <is>
          <t>IF(E138="","",ROW()-3)</t>
        </is>
      </c>
      <c r="B138" s="33" t="inlineStr">
        <is>
          <t>AF2-WSM-A-069</t>
        </is>
      </c>
      <c r="C138" s="33" t="inlineStr">
        <is>
          <t>Emergency Food Security Project (EFSP) – WBK/AF-2</t>
        </is>
      </c>
      <c r="D138" s="33" t="inlineStr">
        <is>
          <t>Package #32-AF2 WSM: Construction of Tai Khunak 4 Check dams of A. Khoja Momin site # 1 and site # 2, B. Sari Shor site # 3 and site #4, located in Aybak district of Samangan province.</t>
        </is>
      </c>
      <c r="E138" s="33" t="inlineStr">
        <is>
          <t>Taikhunak (Khoja Momen) Check dams site # 1 and #2</t>
        </is>
      </c>
      <c r="F138" s="33" t="inlineStr">
        <is>
          <t>Check Dam</t>
        </is>
      </c>
      <c r="G138" s="33" t="inlineStr">
        <is>
          <t>North / Mazar</t>
        </is>
      </c>
      <c r="H138" s="33" t="inlineStr">
        <is>
          <t>Samangan</t>
        </is>
      </c>
      <c r="I138" s="33" t="inlineStr">
        <is>
          <t>Aybak</t>
        </is>
      </c>
      <c r="J138" s="33" t="inlineStr">
        <is>
          <t>Shorabak, Khoja Momen.</t>
        </is>
      </c>
      <c r="K138" s="33" t="inlineStr">
        <is>
          <t>World Bank (WBK/AF-2)</t>
        </is>
      </c>
      <c r="L138" s="33" t="inlineStr">
        <is>
          <t>Awarded</t>
        </is>
      </c>
      <c r="M138" s="33" t="inlineStr">
        <is>
          <t>Watershed / Check dam</t>
        </is>
      </c>
      <c r="N138" s="33" t="inlineStr">
        <is>
          <t>3.WSM awarded contracts</t>
        </is>
      </c>
      <c r="O138" s="33" t="inlineStr">
        <is>
          <t>Mudeser Bigmurad Construction Company (MBCC)</t>
        </is>
      </c>
      <c r="P138" s="33" t="inlineStr">
        <is>
          <t>045/2026</t>
        </is>
      </c>
      <c r="Q138" s="34" t="n">
        <v>61755.98</v>
      </c>
      <c r="R138" s="35" t="inlineStr">
        <is>
          <t>IF(AO138="","",AO138)</t>
        </is>
      </c>
      <c r="S138" s="36" t="n"/>
      <c r="T138" s="37" t="n">
        <v>4</v>
      </c>
      <c r="U138" s="36" t="n">
        <v>46347</v>
      </c>
      <c r="V138" s="35" t="inlineStr">
        <is>
          <t>IF(U138&lt;&gt;"",U138,IF(OR(R138="",T138=""),"",EDATE(R138,T138)))</t>
        </is>
      </c>
      <c r="W138" s="36" t="n"/>
      <c r="X138" s="37" t="n">
        <v>30</v>
      </c>
      <c r="Y138" s="33" t="inlineStr">
        <is>
          <t>Under Construction</t>
        </is>
      </c>
      <c r="Z138" s="33" t="inlineStr">
        <is>
          <t>The contract has recently been awarded; Mobilzation has started.</t>
        </is>
      </c>
      <c r="AA138" s="32" t="inlineStr">
        <is>
          <t>IF(E138="","",IF(COUNT(AG138:AT138)=0,IF(Y138="","Not started",Y138),SUBSTITUTE(LOOKUP(2,1/(AG138:AT138&lt;&gt;""),$AG$3:$AT$3),"Date: ","")))</t>
        </is>
      </c>
      <c r="AB138" s="38" t="inlineStr">
        <is>
          <t>IF(OR(E138="",COUNT(AG138:AT138)=0),"",TODAY()-LOOKUP(2,1/(AG138:AT138&lt;&gt;""),AG138:AT138))</t>
        </is>
      </c>
      <c r="AC138" s="38" t="inlineStr">
        <is>
          <t>IF(OR(E138="",COUNT(AG138:AT138)&lt;2),"",LOOKUP(2,1/(AG138:AT138&lt;&gt;""),AG138:AT138)-MIN(AG138:AT138))</t>
        </is>
      </c>
      <c r="AD138" s="38" t="inlineStr">
        <is>
          <t>IF(OR(AB138="",AA138="Not started",AA138=""),"",IFERROR(AB138-IF(VLOOKUP(AA138,'04_Status_Pipeline'!$B$3:$E$20,4,FALSE)="",0,VLOOKUP(AA138,'04_Status_Pipeline'!$B$3:$E$20,4,FALSE)),""))</t>
        </is>
      </c>
      <c r="AE138" s="32" t="inlineStr">
        <is>
          <t>IF(E138="","",IF(OR(Y138="Cancelled",AA138="Cancelled"),"Cancelled",IF(OR(AA138="Completed / Handover",W138&lt;&gt;"",X138&gt;=100),"Completed — on track",IF(L138="Remaining",IF(S138="",IF(V138="","No planned date",IF(TODAY()&gt;V138,"Behind — past planned date",IF(V138-TODAY()&lt;=30,"At risk — close to off track","On track"))),IF(TODAY()&gt;S138,"Behind — award date passed",IF(S138-TODAY()&lt;=30,"At risk — close to off track","On track"))),IF(V138="","No planned date",IF(AND(TODAY()&gt;V138,OR(X138="",X138&lt;100)),"Behind — past end date",IF(AND(R138&lt;&gt;"",V138&lt;&gt;"",X138&lt;&gt;"",(X138&lt;100),((TODAY()-R138)/MAX(V138-R138,1)*100)-X138&gt;15),"Behind — progress lag",IF(AND(V138-TODAY()&lt;=30,V138-TODAY()&gt;=0,OR(X138="",X138&lt;90)),"At risk — close to off track","On track"))))))))</t>
        </is>
      </c>
      <c r="AF138" s="38" t="inlineStr">
        <is>
          <t>IF(OR(E138="",AA138="Completed / Handover",AA138="Cancelled"),"",IF(L138="Remaining",IF(S138&lt;&gt;"",S138-TODAY(),IF(V138="","",V138-TODAY())),IF(V138="","",V138-TODAY())))</t>
        </is>
      </c>
      <c r="AG138" s="39" t="n"/>
      <c r="AH138" s="39" t="n"/>
      <c r="AI138" s="39" t="n"/>
      <c r="AJ138" s="39" t="n"/>
      <c r="AK138" s="39" t="n"/>
      <c r="AL138" s="39" t="n"/>
      <c r="AM138" s="39" t="n"/>
      <c r="AN138" s="39" t="n"/>
      <c r="AO138" s="39" t="n">
        <v>46225</v>
      </c>
      <c r="AP138" s="39" t="n">
        <v>46225</v>
      </c>
      <c r="AQ138" s="39" t="n"/>
      <c r="AR138" s="40" t="n"/>
      <c r="AS138" s="40" t="n"/>
      <c r="AT138" s="40" t="n"/>
      <c r="AU138" s="38" t="inlineStr">
        <is>
          <t>IF(OR(E138="",AH138=""),"",IF(COUNT(AG138:AG138)=0,"",AH138-LOOKUP(2,1/(AG138:AG138&lt;&gt;""),AG138:AG138)))</t>
        </is>
      </c>
      <c r="AV138" s="38" t="inlineStr">
        <is>
          <t>IF(OR(E138="",AI138=""),"",IF(COUNT(AG138:AH138)=0,"",AI138-LOOKUP(2,1/(AG138:AH138&lt;&gt;""),AG138:AH138)))</t>
        </is>
      </c>
      <c r="AW138" s="38" t="inlineStr">
        <is>
          <t>IF(OR(E138="",AJ138=""),"",IF(COUNT(AG138:AI138)=0,"",AJ138-LOOKUP(2,1/(AG138:AI138&lt;&gt;""),AG138:AI138)))</t>
        </is>
      </c>
      <c r="AX138" s="38" t="inlineStr">
        <is>
          <t>IF(OR(E138="",AK138=""),"",IF(COUNT(AG138:AJ138)=0,"",AK138-LOOKUP(2,1/(AG138:AJ138&lt;&gt;""),AG138:AJ138)))</t>
        </is>
      </c>
      <c r="AY138" s="38" t="inlineStr">
        <is>
          <t>IF(OR(E138="",AL138=""),"",IF(COUNT(AG138:AK138)=0,"",AL138-LOOKUP(2,1/(AG138:AK138&lt;&gt;""),AG138:AK138)))</t>
        </is>
      </c>
      <c r="AZ138" s="38" t="inlineStr">
        <is>
          <t>IF(OR(E138="",AM138=""),"",IF(COUNT(AG138:AL138)=0,"",AM138-LOOKUP(2,1/(AG138:AL138&lt;&gt;""),AG138:AL138)))</t>
        </is>
      </c>
      <c r="BA138" s="38" t="inlineStr">
        <is>
          <t>IF(OR(E138="",AN138=""),"",IF(COUNT(AG138:AM138)=0,"",AN138-LOOKUP(2,1/(AG138:AM138&lt;&gt;""),AG138:AM138)))</t>
        </is>
      </c>
      <c r="BB138" s="38" t="inlineStr">
        <is>
          <t>IF(OR(E138="",AO138=""),"",IF(COUNT(AG138:AN138)=0,"",AO138-LOOKUP(2,1/(AG138:AN138&lt;&gt;""),AG138:AN138)))</t>
        </is>
      </c>
      <c r="BC138" s="38" t="inlineStr">
        <is>
          <t>IF(OR(E138="",AP138=""),"",IF(COUNT(AG138:AO138)=0,"",AP138-LOOKUP(2,1/(AG138:AO138&lt;&gt;""),AG138:AO138)))</t>
        </is>
      </c>
      <c r="BD138" s="38" t="inlineStr">
        <is>
          <t>IF(OR(E138="",AQ138=""),"",IF(COUNT(AG138:AP138)=0,"",AQ138-LOOKUP(2,1/(AG138:AP138&lt;&gt;""),AG138:AP138)))</t>
        </is>
      </c>
      <c r="BE138" s="38" t="inlineStr">
        <is>
          <t>IF(OR(E138="",AR138=""),"",IF(COUNT(AG138:AQ138)=0,"",AR138-LOOKUP(2,1/(AG138:AQ138&lt;&gt;""),AG138:AQ138)))</t>
        </is>
      </c>
      <c r="BF138" s="38" t="inlineStr">
        <is>
          <t>IF(OR(E138="",AS138=""),"",IF(COUNT(AG138:AR138)=0,"",AS138-LOOKUP(2,1/(AG138:AR138&lt;&gt;""),AG138:AR138)))</t>
        </is>
      </c>
      <c r="BG138" s="38" t="inlineStr">
        <is>
          <t>IF(OR(E138="",AT138=""),"",IF(COUNT(AG138:AS138)=0,"",AT138-LOOKUP(2,1/(AG138:AS138&lt;&gt;""),AG138:AS138)))</t>
        </is>
      </c>
      <c r="BH138" s="41" t="inlineStr">
        <is>
          <t>IF(G138="","All_Provinces",IFERROR(VLOOKUP(G138,'07_Lookups'!$A$4:$B$20,2,FALSE),"All_Provinces"))</t>
        </is>
      </c>
      <c r="BI138" s="41" t="inlineStr">
        <is>
          <t>IF(H138="","All_Districts",IFERROR(VLOOKUP(H138,'07_Lookups'!$E$4:$F$42,2,FALSE),"All_Districts"))</t>
        </is>
      </c>
    </row>
    <row r="139" ht="18" customHeight="1">
      <c r="A139" s="32" t="inlineStr">
        <is>
          <t>IF(E139="","",ROW()-3)</t>
        </is>
      </c>
      <c r="B139" s="42" t="inlineStr">
        <is>
          <t>AF2-WSM-A-070</t>
        </is>
      </c>
      <c r="C139" s="42" t="inlineStr">
        <is>
          <t>Emergency Food Security Project (EFSP) – WBK/AF-2</t>
        </is>
      </c>
      <c r="D139" s="42" t="inlineStr">
        <is>
          <t>Package #32-AF2 WSM: Construction of Tai Khunak 4 Check dams of A. Khoja Momin site # 1 and site # 2, B. Sari Shor site # 3 and site #4, located in Aybak district of Samangan province.</t>
        </is>
      </c>
      <c r="E139" s="42" t="inlineStr">
        <is>
          <t>Taikhunak (Sari Shor) 2 Check dams site # 3 and # 4</t>
        </is>
      </c>
      <c r="F139" s="42" t="inlineStr">
        <is>
          <t>Check Dam</t>
        </is>
      </c>
      <c r="G139" s="42" t="inlineStr">
        <is>
          <t>North / Mazar</t>
        </is>
      </c>
      <c r="H139" s="42" t="inlineStr">
        <is>
          <t>Samangan</t>
        </is>
      </c>
      <c r="I139" s="42" t="inlineStr">
        <is>
          <t>Aybak</t>
        </is>
      </c>
      <c r="J139" s="42" t="inlineStr">
        <is>
          <t>Sar-i-Shor, Ozon Say</t>
        </is>
      </c>
      <c r="K139" s="42" t="inlineStr">
        <is>
          <t>World Bank (WBK/AF-2)</t>
        </is>
      </c>
      <c r="L139" s="42" t="inlineStr">
        <is>
          <t>Awarded</t>
        </is>
      </c>
      <c r="M139" s="42" t="inlineStr">
        <is>
          <t>Watershed / Check dam</t>
        </is>
      </c>
      <c r="N139" s="42" t="inlineStr">
        <is>
          <t>3.WSM awarded contracts</t>
        </is>
      </c>
      <c r="O139" s="42" t="inlineStr">
        <is>
          <t>Mudeser Bigmurad Construction Company (MBCC)</t>
        </is>
      </c>
      <c r="P139" s="42" t="inlineStr">
        <is>
          <t>045/2026</t>
        </is>
      </c>
      <c r="Q139" s="43" t="n">
        <v>53185.5</v>
      </c>
      <c r="R139" s="35" t="inlineStr">
        <is>
          <t>IF(AO139="","",AO139)</t>
        </is>
      </c>
      <c r="S139" s="44" t="n"/>
      <c r="T139" s="45" t="n">
        <v>4</v>
      </c>
      <c r="U139" s="44" t="n">
        <v>46347</v>
      </c>
      <c r="V139" s="35" t="inlineStr">
        <is>
          <t>IF(U139&lt;&gt;"",U139,IF(OR(R139="",T139=""),"",EDATE(R139,T139)))</t>
        </is>
      </c>
      <c r="W139" s="44" t="n"/>
      <c r="X139" s="45" t="n">
        <v>19.5</v>
      </c>
      <c r="Y139" s="42" t="inlineStr">
        <is>
          <t>Under Construction</t>
        </is>
      </c>
      <c r="Z139" s="42" t="inlineStr">
        <is>
          <t>The contract has recently been awarded; Mobilzation has started.</t>
        </is>
      </c>
      <c r="AA139" s="32" t="inlineStr">
        <is>
          <t>IF(E139="","",IF(COUNT(AG139:AT139)=0,IF(Y139="","Not started",Y139),SUBSTITUTE(LOOKUP(2,1/(AG139:AT139&lt;&gt;""),$AG$3:$AT$3),"Date: ","")))</t>
        </is>
      </c>
      <c r="AB139" s="38" t="inlineStr">
        <is>
          <t>IF(OR(E139="",COUNT(AG139:AT139)=0),"",TODAY()-LOOKUP(2,1/(AG139:AT139&lt;&gt;""),AG139:AT139))</t>
        </is>
      </c>
      <c r="AC139" s="38" t="inlineStr">
        <is>
          <t>IF(OR(E139="",COUNT(AG139:AT139)&lt;2),"",LOOKUP(2,1/(AG139:AT139&lt;&gt;""),AG139:AT139)-MIN(AG139:AT139))</t>
        </is>
      </c>
      <c r="AD139" s="38" t="inlineStr">
        <is>
          <t>IF(OR(AB139="",AA139="Not started",AA139=""),"",IFERROR(AB139-IF(VLOOKUP(AA139,'04_Status_Pipeline'!$B$3:$E$20,4,FALSE)="",0,VLOOKUP(AA139,'04_Status_Pipeline'!$B$3:$E$20,4,FALSE)),""))</t>
        </is>
      </c>
      <c r="AE139" s="32" t="inlineStr">
        <is>
          <t>IF(E139="","",IF(OR(Y139="Cancelled",AA139="Cancelled"),"Cancelled",IF(OR(AA139="Completed / Handover",W139&lt;&gt;"",X139&gt;=100),"Completed — on track",IF(L139="Remaining",IF(S139="",IF(V139="","No planned date",IF(TODAY()&gt;V139,"Behind — past planned date",IF(V139-TODAY()&lt;=30,"At risk — close to off track","On track"))),IF(TODAY()&gt;S139,"Behind — award date passed",IF(S139-TODAY()&lt;=30,"At risk — close to off track","On track"))),IF(V139="","No planned date",IF(AND(TODAY()&gt;V139,OR(X139="",X139&lt;100)),"Behind — past end date",IF(AND(R139&lt;&gt;"",V139&lt;&gt;"",X139&lt;&gt;"",(X139&lt;100),((TODAY()-R139)/MAX(V139-R139,1)*100)-X139&gt;15),"Behind — progress lag",IF(AND(V139-TODAY()&lt;=30,V139-TODAY()&gt;=0,OR(X139="",X139&lt;90)),"At risk — close to off track","On track"))))))))</t>
        </is>
      </c>
      <c r="AF139" s="38" t="inlineStr">
        <is>
          <t>IF(OR(E139="",AA139="Completed / Handover",AA139="Cancelled"),"",IF(L139="Remaining",IF(S139&lt;&gt;"",S139-TODAY(),IF(V139="","",V139-TODAY())),IF(V139="","",V139-TODAY())))</t>
        </is>
      </c>
      <c r="AG139" s="39" t="n"/>
      <c r="AH139" s="39" t="n"/>
      <c r="AI139" s="39" t="n"/>
      <c r="AJ139" s="39" t="n"/>
      <c r="AK139" s="39" t="n"/>
      <c r="AL139" s="39" t="n"/>
      <c r="AM139" s="39" t="n"/>
      <c r="AN139" s="39" t="n"/>
      <c r="AO139" s="39" t="n">
        <v>46225</v>
      </c>
      <c r="AP139" s="39" t="n">
        <v>46225</v>
      </c>
      <c r="AQ139" s="39" t="n"/>
      <c r="AR139" s="40" t="n"/>
      <c r="AS139" s="40" t="n"/>
      <c r="AT139" s="40" t="n"/>
      <c r="AU139" s="38" t="inlineStr">
        <is>
          <t>IF(OR(E139="",AH139=""),"",IF(COUNT(AG139:AG139)=0,"",AH139-LOOKUP(2,1/(AG139:AG139&lt;&gt;""),AG139:AG139)))</t>
        </is>
      </c>
      <c r="AV139" s="38" t="inlineStr">
        <is>
          <t>IF(OR(E139="",AI139=""),"",IF(COUNT(AG139:AH139)=0,"",AI139-LOOKUP(2,1/(AG139:AH139&lt;&gt;""),AG139:AH139)))</t>
        </is>
      </c>
      <c r="AW139" s="38" t="inlineStr">
        <is>
          <t>IF(OR(E139="",AJ139=""),"",IF(COUNT(AG139:AI139)=0,"",AJ139-LOOKUP(2,1/(AG139:AI139&lt;&gt;""),AG139:AI139)))</t>
        </is>
      </c>
      <c r="AX139" s="38" t="inlineStr">
        <is>
          <t>IF(OR(E139="",AK139=""),"",IF(COUNT(AG139:AJ139)=0,"",AK139-LOOKUP(2,1/(AG139:AJ139&lt;&gt;""),AG139:AJ139)))</t>
        </is>
      </c>
      <c r="AY139" s="38" t="inlineStr">
        <is>
          <t>IF(OR(E139="",AL139=""),"",IF(COUNT(AG139:AK139)=0,"",AL139-LOOKUP(2,1/(AG139:AK139&lt;&gt;""),AG139:AK139)))</t>
        </is>
      </c>
      <c r="AZ139" s="38" t="inlineStr">
        <is>
          <t>IF(OR(E139="",AM139=""),"",IF(COUNT(AG139:AL139)=0,"",AM139-LOOKUP(2,1/(AG139:AL139&lt;&gt;""),AG139:AL139)))</t>
        </is>
      </c>
      <c r="BA139" s="38" t="inlineStr">
        <is>
          <t>IF(OR(E139="",AN139=""),"",IF(COUNT(AG139:AM139)=0,"",AN139-LOOKUP(2,1/(AG139:AM139&lt;&gt;""),AG139:AM139)))</t>
        </is>
      </c>
      <c r="BB139" s="38" t="inlineStr">
        <is>
          <t>IF(OR(E139="",AO139=""),"",IF(COUNT(AG139:AN139)=0,"",AO139-LOOKUP(2,1/(AG139:AN139&lt;&gt;""),AG139:AN139)))</t>
        </is>
      </c>
      <c r="BC139" s="38" t="inlineStr">
        <is>
          <t>IF(OR(E139="",AP139=""),"",IF(COUNT(AG139:AO139)=0,"",AP139-LOOKUP(2,1/(AG139:AO139&lt;&gt;""),AG139:AO139)))</t>
        </is>
      </c>
      <c r="BD139" s="38" t="inlineStr">
        <is>
          <t>IF(OR(E139="",AQ139=""),"",IF(COUNT(AG139:AP139)=0,"",AQ139-LOOKUP(2,1/(AG139:AP139&lt;&gt;""),AG139:AP139)))</t>
        </is>
      </c>
      <c r="BE139" s="38" t="inlineStr">
        <is>
          <t>IF(OR(E139="",AR139=""),"",IF(COUNT(AG139:AQ139)=0,"",AR139-LOOKUP(2,1/(AG139:AQ139&lt;&gt;""),AG139:AQ139)))</t>
        </is>
      </c>
      <c r="BF139" s="38" t="inlineStr">
        <is>
          <t>IF(OR(E139="",AS139=""),"",IF(COUNT(AG139:AR139)=0,"",AS139-LOOKUP(2,1/(AG139:AR139&lt;&gt;""),AG139:AR139)))</t>
        </is>
      </c>
      <c r="BG139" s="38" t="inlineStr">
        <is>
          <t>IF(OR(E139="",AT139=""),"",IF(COUNT(AG139:AS139)=0,"",AT139-LOOKUP(2,1/(AG139:AS139&lt;&gt;""),AG139:AS139)))</t>
        </is>
      </c>
      <c r="BH139" s="41" t="inlineStr">
        <is>
          <t>IF(G139="","All_Provinces",IFERROR(VLOOKUP(G139,'07_Lookups'!$A$4:$B$20,2,FALSE),"All_Provinces"))</t>
        </is>
      </c>
      <c r="BI139" s="41" t="inlineStr">
        <is>
          <t>IF(H139="","All_Districts",IFERROR(VLOOKUP(H139,'07_Lookups'!$E$4:$F$42,2,FALSE),"All_Districts"))</t>
        </is>
      </c>
    </row>
    <row r="140" ht="18" customHeight="1">
      <c r="A140" s="32" t="inlineStr">
        <is>
          <t>IF(E140="","",ROW()-3)</t>
        </is>
      </c>
      <c r="B140" s="33" t="inlineStr">
        <is>
          <t>AF2-WSM-R-001</t>
        </is>
      </c>
      <c r="C140" s="33" t="inlineStr">
        <is>
          <t>Emergency Food Security Project (EFSP) – WBK/AF-2</t>
        </is>
      </c>
      <c r="D140" s="33" t="inlineStr">
        <is>
          <t>Package #1-AF2 WSM: Construction of Dara Garmak Check dam, located in Qadis districts of Badghis province</t>
        </is>
      </c>
      <c r="E140" s="33" t="inlineStr">
        <is>
          <t>Dara Garmak Check dam</t>
        </is>
      </c>
      <c r="F140" s="33" t="inlineStr">
        <is>
          <t>Check Dam</t>
        </is>
      </c>
      <c r="G140" s="33" t="inlineStr">
        <is>
          <t>West / Herat</t>
        </is>
      </c>
      <c r="H140" s="33" t="inlineStr">
        <is>
          <t>Badghis</t>
        </is>
      </c>
      <c r="I140" s="33" t="inlineStr">
        <is>
          <t>Qadis</t>
        </is>
      </c>
      <c r="J140" s="33" t="inlineStr">
        <is>
          <t>Langar</t>
        </is>
      </c>
      <c r="K140" s="33" t="inlineStr">
        <is>
          <t>World Bank (WBK/AF-2)</t>
        </is>
      </c>
      <c r="L140" s="33" t="inlineStr">
        <is>
          <t>Remaining</t>
        </is>
      </c>
      <c r="M140" s="33" t="inlineStr">
        <is>
          <t>Watershed / Check dam</t>
        </is>
      </c>
      <c r="N140" s="33" t="inlineStr">
        <is>
          <t>4.WSM remaining contracts</t>
        </is>
      </c>
      <c r="O140" s="33" t="inlineStr"/>
      <c r="P140" s="33" t="inlineStr"/>
      <c r="Q140" s="34" t="n">
        <v>131000</v>
      </c>
      <c r="R140" s="35" t="inlineStr">
        <is>
          <t>IF(AO140="","",AO140)</t>
        </is>
      </c>
      <c r="S140" s="36" t="n">
        <v>46361</v>
      </c>
      <c r="T140" s="37" t="n">
        <v>8.9</v>
      </c>
      <c r="U140" s="36" t="n">
        <v>46631</v>
      </c>
      <c r="V140" s="35" t="inlineStr">
        <is>
          <t>IF(U140&lt;&gt;"",U140,IF(OR(R140="",T140=""),"",EDATE(R140,T140)))</t>
        </is>
      </c>
      <c r="W140" s="36" t="n"/>
      <c r="X140" s="37" t="n"/>
      <c r="Y140" s="33" t="inlineStr">
        <is>
          <t>PR to be Raised</t>
        </is>
      </c>
      <c r="Z140" s="33" t="inlineStr">
        <is>
          <t>Construction of the check dam will be completed in six months. Additional three months have been kept as slack period during Jan-March.</t>
        </is>
      </c>
      <c r="AA140" s="32" t="inlineStr">
        <is>
          <t>IF(E140="","",IF(COUNT(AG140:AT140)=0,IF(Y140="","Not started",Y140),SUBSTITUTE(LOOKUP(2,1/(AG140:AT140&lt;&gt;""),$AG$3:$AT$3),"Date: ","")))</t>
        </is>
      </c>
      <c r="AB140" s="38" t="inlineStr">
        <is>
          <t>IF(OR(E140="",COUNT(AG140:AT140)=0),"",TODAY()-LOOKUP(2,1/(AG140:AT140&lt;&gt;""),AG140:AT140))</t>
        </is>
      </c>
      <c r="AC140" s="38" t="inlineStr">
        <is>
          <t>IF(OR(E140="",COUNT(AG140:AT140)&lt;2),"",LOOKUP(2,1/(AG140:AT140&lt;&gt;""),AG140:AT140)-MIN(AG140:AT140))</t>
        </is>
      </c>
      <c r="AD140" s="38" t="inlineStr">
        <is>
          <t>IF(OR(AB140="",AA140="Not started",AA140=""),"",IFERROR(AB140-IF(VLOOKUP(AA140,'04_Status_Pipeline'!$B$3:$E$20,4,FALSE)="",0,VLOOKUP(AA140,'04_Status_Pipeline'!$B$3:$E$20,4,FALSE)),""))</t>
        </is>
      </c>
      <c r="AE140" s="32" t="inlineStr">
        <is>
          <t>IF(E140="","",IF(OR(Y140="Cancelled",AA140="Cancelled"),"Cancelled",IF(OR(AA140="Completed / Handover",W140&lt;&gt;"",X140&gt;=100),"Completed — on track",IF(L140="Remaining",IF(S140="",IF(V140="","No planned date",IF(TODAY()&gt;V140,"Behind — past planned date",IF(V140-TODAY()&lt;=30,"At risk — close to off track","On track"))),IF(TODAY()&gt;S140,"Behind — award date passed",IF(S140-TODAY()&lt;=30,"At risk — close to off track","On track"))),IF(V140="","No planned date",IF(AND(TODAY()&gt;V140,OR(X140="",X140&lt;100)),"Behind — past end date",IF(AND(R140&lt;&gt;"",V140&lt;&gt;"",X140&lt;&gt;"",(X140&lt;100),((TODAY()-R140)/MAX(V140-R140,1)*100)-X140&gt;15),"Behind — progress lag",IF(AND(V140-TODAY()&lt;=30,V140-TODAY()&gt;=0,OR(X140="",X140&lt;90)),"At risk — close to off track","On track"))))))))</t>
        </is>
      </c>
      <c r="AF140" s="38" t="inlineStr">
        <is>
          <t>IF(OR(E140="",AA140="Completed / Handover",AA140="Cancelled"),"",IF(L140="Remaining",IF(S140&lt;&gt;"",S140-TODAY(),IF(V140="","",V140-TODAY())),IF(V140="","",V140-TODAY())))</t>
        </is>
      </c>
      <c r="AG140" s="36" t="n"/>
      <c r="AH140" s="36" t="n"/>
      <c r="AI140" s="36" t="n"/>
      <c r="AJ140" s="36" t="n"/>
      <c r="AK140" s="36" t="n"/>
      <c r="AL140" s="36" t="n"/>
      <c r="AM140" s="36" t="n"/>
      <c r="AN140" s="36" t="n"/>
      <c r="AO140" s="36" t="n"/>
      <c r="AP140" s="36" t="n"/>
      <c r="AQ140" s="36" t="n"/>
      <c r="AR140" s="40" t="n"/>
      <c r="AS140" s="40" t="n"/>
      <c r="AT140" s="40" t="n"/>
      <c r="AU140" s="38" t="inlineStr">
        <is>
          <t>IF(OR(E140="",AH140=""),"",IF(COUNT(AG140:AG140)=0,"",AH140-LOOKUP(2,1/(AG140:AG140&lt;&gt;""),AG140:AG140)))</t>
        </is>
      </c>
      <c r="AV140" s="38" t="inlineStr">
        <is>
          <t>IF(OR(E140="",AI140=""),"",IF(COUNT(AG140:AH140)=0,"",AI140-LOOKUP(2,1/(AG140:AH140&lt;&gt;""),AG140:AH140)))</t>
        </is>
      </c>
      <c r="AW140" s="38" t="inlineStr">
        <is>
          <t>IF(OR(E140="",AJ140=""),"",IF(COUNT(AG140:AI140)=0,"",AJ140-LOOKUP(2,1/(AG140:AI140&lt;&gt;""),AG140:AI140)))</t>
        </is>
      </c>
      <c r="AX140" s="38" t="inlineStr">
        <is>
          <t>IF(OR(E140="",AK140=""),"",IF(COUNT(AG140:AJ140)=0,"",AK140-LOOKUP(2,1/(AG140:AJ140&lt;&gt;""),AG140:AJ140)))</t>
        </is>
      </c>
      <c r="AY140" s="38" t="inlineStr">
        <is>
          <t>IF(OR(E140="",AL140=""),"",IF(COUNT(AG140:AK140)=0,"",AL140-LOOKUP(2,1/(AG140:AK140&lt;&gt;""),AG140:AK140)))</t>
        </is>
      </c>
      <c r="AZ140" s="38" t="inlineStr">
        <is>
          <t>IF(OR(E140="",AM140=""),"",IF(COUNT(AG140:AL140)=0,"",AM140-LOOKUP(2,1/(AG140:AL140&lt;&gt;""),AG140:AL140)))</t>
        </is>
      </c>
      <c r="BA140" s="38" t="inlineStr">
        <is>
          <t>IF(OR(E140="",AN140=""),"",IF(COUNT(AG140:AM140)=0,"",AN140-LOOKUP(2,1/(AG140:AM140&lt;&gt;""),AG140:AM140)))</t>
        </is>
      </c>
      <c r="BB140" s="38" t="inlineStr">
        <is>
          <t>IF(OR(E140="",AO140=""),"",IF(COUNT(AG140:AN140)=0,"",AO140-LOOKUP(2,1/(AG140:AN140&lt;&gt;""),AG140:AN140)))</t>
        </is>
      </c>
      <c r="BC140" s="38" t="inlineStr">
        <is>
          <t>IF(OR(E140="",AP140=""),"",IF(COUNT(AG140:AO140)=0,"",AP140-LOOKUP(2,1/(AG140:AO140&lt;&gt;""),AG140:AO140)))</t>
        </is>
      </c>
      <c r="BD140" s="38" t="inlineStr">
        <is>
          <t>IF(OR(E140="",AQ140=""),"",IF(COUNT(AG140:AP140)=0,"",AQ140-LOOKUP(2,1/(AG140:AP140&lt;&gt;""),AG140:AP140)))</t>
        </is>
      </c>
      <c r="BE140" s="38" t="inlineStr">
        <is>
          <t>IF(OR(E140="",AR140=""),"",IF(COUNT(AG140:AQ140)=0,"",AR140-LOOKUP(2,1/(AG140:AQ140&lt;&gt;""),AG140:AQ140)))</t>
        </is>
      </c>
      <c r="BF140" s="38" t="inlineStr">
        <is>
          <t>IF(OR(E140="",AS140=""),"",IF(COUNT(AG140:AR140)=0,"",AS140-LOOKUP(2,1/(AG140:AR140&lt;&gt;""),AG140:AR140)))</t>
        </is>
      </c>
      <c r="BG140" s="38" t="inlineStr">
        <is>
          <t>IF(OR(E140="",AT140=""),"",IF(COUNT(AG140:AS140)=0,"",AT140-LOOKUP(2,1/(AG140:AS140&lt;&gt;""),AG140:AS140)))</t>
        </is>
      </c>
      <c r="BH140" s="41" t="inlineStr">
        <is>
          <t>IF(G140="","All_Provinces",IFERROR(VLOOKUP(G140,'07_Lookups'!$A$4:$B$20,2,FALSE),"All_Provinces"))</t>
        </is>
      </c>
      <c r="BI140" s="41" t="inlineStr">
        <is>
          <t>IF(H140="","All_Districts",IFERROR(VLOOKUP(H140,'07_Lookups'!$E$4:$F$42,2,FALSE),"All_Districts"))</t>
        </is>
      </c>
    </row>
    <row r="141" ht="18" customHeight="1">
      <c r="A141" s="32" t="inlineStr">
        <is>
          <t>IF(E141="","",ROW()-3)</t>
        </is>
      </c>
      <c r="B141" s="42" t="inlineStr">
        <is>
          <t>AF2-WSM-R-002</t>
        </is>
      </c>
      <c r="C141" s="42" t="inlineStr">
        <is>
          <t>Emergency Food Security Project (EFSP) – WBK/AF-2</t>
        </is>
      </c>
      <c r="D141" s="42" t="inlineStr">
        <is>
          <t>Package #4-AF2 WSM: Construction of .Qalai Gerd check dam in Firozkoh dustrict of Ghor province.</t>
        </is>
      </c>
      <c r="E141" s="42" t="inlineStr">
        <is>
          <t>Qalai Gerd Check dam</t>
        </is>
      </c>
      <c r="F141" s="42" t="inlineStr">
        <is>
          <t>Check Dam</t>
        </is>
      </c>
      <c r="G141" s="42" t="inlineStr">
        <is>
          <t>West / Herat</t>
        </is>
      </c>
      <c r="H141" s="42" t="inlineStr">
        <is>
          <t>Ghor</t>
        </is>
      </c>
      <c r="I141" s="42" t="inlineStr">
        <is>
          <t>Firozkoh</t>
        </is>
      </c>
      <c r="J141" s="42" t="inlineStr">
        <is>
          <t>Qalai Gerd</t>
        </is>
      </c>
      <c r="K141" s="42" t="inlineStr">
        <is>
          <t>World Bank (WBK/AF-2)</t>
        </is>
      </c>
      <c r="L141" s="42" t="inlineStr">
        <is>
          <t>Remaining</t>
        </is>
      </c>
      <c r="M141" s="42" t="inlineStr">
        <is>
          <t>Watershed / Check dam</t>
        </is>
      </c>
      <c r="N141" s="42" t="inlineStr">
        <is>
          <t>4.WSM remaining contracts</t>
        </is>
      </c>
      <c r="O141" s="42" t="inlineStr"/>
      <c r="P141" s="42" t="inlineStr"/>
      <c r="Q141" s="43" t="n">
        <v>219000</v>
      </c>
      <c r="R141" s="35" t="inlineStr">
        <is>
          <t>IF(AO141="","",AO141)</t>
        </is>
      </c>
      <c r="S141" s="44" t="n">
        <v>46366</v>
      </c>
      <c r="T141" s="45" t="n">
        <v>9.9</v>
      </c>
      <c r="U141" s="44" t="n">
        <v>46666</v>
      </c>
      <c r="V141" s="35" t="inlineStr">
        <is>
          <t>IF(U141&lt;&gt;"",U141,IF(OR(R141="",T141=""),"",EDATE(R141,T141)))</t>
        </is>
      </c>
      <c r="W141" s="44" t="n"/>
      <c r="X141" s="45" t="n"/>
      <c r="Y141" s="42" t="inlineStr">
        <is>
          <t>PR to be Raised</t>
        </is>
      </c>
      <c r="Z141" s="42" t="inlineStr">
        <is>
          <t>Construction of the check dam will be completed in seven months. Additional three months have been kept as slack period during Jan-March.</t>
        </is>
      </c>
      <c r="AA141" s="32" t="inlineStr">
        <is>
          <t>IF(E141="","",IF(COUNT(AG141:AT141)=0,IF(Y141="","Not started",Y141),SUBSTITUTE(LOOKUP(2,1/(AG141:AT141&lt;&gt;""),$AG$3:$AT$3),"Date: ","")))</t>
        </is>
      </c>
      <c r="AB141" s="38" t="inlineStr">
        <is>
          <t>IF(OR(E141="",COUNT(AG141:AT141)=0),"",TODAY()-LOOKUP(2,1/(AG141:AT141&lt;&gt;""),AG141:AT141))</t>
        </is>
      </c>
      <c r="AC141" s="38" t="inlineStr">
        <is>
          <t>IF(OR(E141="",COUNT(AG141:AT141)&lt;2),"",LOOKUP(2,1/(AG141:AT141&lt;&gt;""),AG141:AT141)-MIN(AG141:AT141))</t>
        </is>
      </c>
      <c r="AD141" s="38" t="inlineStr">
        <is>
          <t>IF(OR(AB141="",AA141="Not started",AA141=""),"",IFERROR(AB141-IF(VLOOKUP(AA141,'04_Status_Pipeline'!$B$3:$E$20,4,FALSE)="",0,VLOOKUP(AA141,'04_Status_Pipeline'!$B$3:$E$20,4,FALSE)),""))</t>
        </is>
      </c>
      <c r="AE141" s="32" t="inlineStr">
        <is>
          <t>IF(E141="","",IF(OR(Y141="Cancelled",AA141="Cancelled"),"Cancelled",IF(OR(AA141="Completed / Handover",W141&lt;&gt;"",X141&gt;=100),"Completed — on track",IF(L141="Remaining",IF(S141="",IF(V141="","No planned date",IF(TODAY()&gt;V141,"Behind — past planned date",IF(V141-TODAY()&lt;=30,"At risk — close to off track","On track"))),IF(TODAY()&gt;S141,"Behind — award date passed",IF(S141-TODAY()&lt;=30,"At risk — close to off track","On track"))),IF(V141="","No planned date",IF(AND(TODAY()&gt;V141,OR(X141="",X141&lt;100)),"Behind — past end date",IF(AND(R141&lt;&gt;"",V141&lt;&gt;"",X141&lt;&gt;"",(X141&lt;100),((TODAY()-R141)/MAX(V141-R141,1)*100)-X141&gt;15),"Behind — progress lag",IF(AND(V141-TODAY()&lt;=30,V141-TODAY()&gt;=0,OR(X141="",X141&lt;90)),"At risk — close to off track","On track"))))))))</t>
        </is>
      </c>
      <c r="AF141" s="38" t="inlineStr">
        <is>
          <t>IF(OR(E141="",AA141="Completed / Handover",AA141="Cancelled"),"",IF(L141="Remaining",IF(S141&lt;&gt;"",S141-TODAY(),IF(V141="","",V141-TODAY())),IF(V141="","",V141-TODAY())))</t>
        </is>
      </c>
      <c r="AG141" s="44" t="n"/>
      <c r="AH141" s="44" t="n"/>
      <c r="AI141" s="44" t="n"/>
      <c r="AJ141" s="44" t="n"/>
      <c r="AK141" s="44" t="n"/>
      <c r="AL141" s="44" t="n"/>
      <c r="AM141" s="44" t="n"/>
      <c r="AN141" s="44" t="n"/>
      <c r="AO141" s="44" t="n"/>
      <c r="AP141" s="44" t="n"/>
      <c r="AQ141" s="44" t="n"/>
      <c r="AR141" s="40" t="n"/>
      <c r="AS141" s="40" t="n"/>
      <c r="AT141" s="40" t="n"/>
      <c r="AU141" s="38" t="inlineStr">
        <is>
          <t>IF(OR(E141="",AH141=""),"",IF(COUNT(AG141:AG141)=0,"",AH141-LOOKUP(2,1/(AG141:AG141&lt;&gt;""),AG141:AG141)))</t>
        </is>
      </c>
      <c r="AV141" s="38" t="inlineStr">
        <is>
          <t>IF(OR(E141="",AI141=""),"",IF(COUNT(AG141:AH141)=0,"",AI141-LOOKUP(2,1/(AG141:AH141&lt;&gt;""),AG141:AH141)))</t>
        </is>
      </c>
      <c r="AW141" s="38" t="inlineStr">
        <is>
          <t>IF(OR(E141="",AJ141=""),"",IF(COUNT(AG141:AI141)=0,"",AJ141-LOOKUP(2,1/(AG141:AI141&lt;&gt;""),AG141:AI141)))</t>
        </is>
      </c>
      <c r="AX141" s="38" t="inlineStr">
        <is>
          <t>IF(OR(E141="",AK141=""),"",IF(COUNT(AG141:AJ141)=0,"",AK141-LOOKUP(2,1/(AG141:AJ141&lt;&gt;""),AG141:AJ141)))</t>
        </is>
      </c>
      <c r="AY141" s="38" t="inlineStr">
        <is>
          <t>IF(OR(E141="",AL141=""),"",IF(COUNT(AG141:AK141)=0,"",AL141-LOOKUP(2,1/(AG141:AK141&lt;&gt;""),AG141:AK141)))</t>
        </is>
      </c>
      <c r="AZ141" s="38" t="inlineStr">
        <is>
          <t>IF(OR(E141="",AM141=""),"",IF(COUNT(AG141:AL141)=0,"",AM141-LOOKUP(2,1/(AG141:AL141&lt;&gt;""),AG141:AL141)))</t>
        </is>
      </c>
      <c r="BA141" s="38" t="inlineStr">
        <is>
          <t>IF(OR(E141="",AN141=""),"",IF(COUNT(AG141:AM141)=0,"",AN141-LOOKUP(2,1/(AG141:AM141&lt;&gt;""),AG141:AM141)))</t>
        </is>
      </c>
      <c r="BB141" s="38" t="inlineStr">
        <is>
          <t>IF(OR(E141="",AO141=""),"",IF(COUNT(AG141:AN141)=0,"",AO141-LOOKUP(2,1/(AG141:AN141&lt;&gt;""),AG141:AN141)))</t>
        </is>
      </c>
      <c r="BC141" s="38" t="inlineStr">
        <is>
          <t>IF(OR(E141="",AP141=""),"",IF(COUNT(AG141:AO141)=0,"",AP141-LOOKUP(2,1/(AG141:AO141&lt;&gt;""),AG141:AO141)))</t>
        </is>
      </c>
      <c r="BD141" s="38" t="inlineStr">
        <is>
          <t>IF(OR(E141="",AQ141=""),"",IF(COUNT(AG141:AP141)=0,"",AQ141-LOOKUP(2,1/(AG141:AP141&lt;&gt;""),AG141:AP141)))</t>
        </is>
      </c>
      <c r="BE141" s="38" t="inlineStr">
        <is>
          <t>IF(OR(E141="",AR141=""),"",IF(COUNT(AG141:AQ141)=0,"",AR141-LOOKUP(2,1/(AG141:AQ141&lt;&gt;""),AG141:AQ141)))</t>
        </is>
      </c>
      <c r="BF141" s="38" t="inlineStr">
        <is>
          <t>IF(OR(E141="",AS141=""),"",IF(COUNT(AG141:AR141)=0,"",AS141-LOOKUP(2,1/(AG141:AR141&lt;&gt;""),AG141:AR141)))</t>
        </is>
      </c>
      <c r="BG141" s="38" t="inlineStr">
        <is>
          <t>IF(OR(E141="",AT141=""),"",IF(COUNT(AG141:AS141)=0,"",AT141-LOOKUP(2,1/(AG141:AS141&lt;&gt;""),AG141:AS141)))</t>
        </is>
      </c>
      <c r="BH141" s="41" t="inlineStr">
        <is>
          <t>IF(G141="","All_Provinces",IFERROR(VLOOKUP(G141,'07_Lookups'!$A$4:$B$20,2,FALSE),"All_Provinces"))</t>
        </is>
      </c>
      <c r="BI141" s="41" t="inlineStr">
        <is>
          <t>IF(H141="","All_Districts",IFERROR(VLOOKUP(H141,'07_Lookups'!$E$4:$F$42,2,FALSE),"All_Districts"))</t>
        </is>
      </c>
    </row>
    <row r="142" ht="18" customHeight="1">
      <c r="A142" s="32" t="inlineStr">
        <is>
          <t>IF(E142="","",ROW()-3)</t>
        </is>
      </c>
      <c r="B142" s="33" t="inlineStr">
        <is>
          <t>AF2-WSM-R-003</t>
        </is>
      </c>
      <c r="C142" s="33" t="inlineStr">
        <is>
          <t>Emergency Food Security Project (EFSP) – WBK/AF-2</t>
        </is>
      </c>
      <c r="D142" s="33" t="inlineStr">
        <is>
          <t>Package #12-AF2 WSM: Construction of 4 Check dams 1. Qoli Ghafoor, 2. Dara-e-Qala-e-Qazi in PD#13 Kabul city, 3.Gul Mohammad and 4.Qala-e-Shah Mahmood in Deh Sabz district of Kabul province.</t>
        </is>
      </c>
      <c r="E142" s="33" t="inlineStr">
        <is>
          <t>Qoli Ghafoor, Dara-e-Qala-e-Qazi Check dams</t>
        </is>
      </c>
      <c r="F142" s="33" t="inlineStr">
        <is>
          <t>Check Dam</t>
        </is>
      </c>
      <c r="G142" s="33" t="inlineStr">
        <is>
          <t>Central / Kabul</t>
        </is>
      </c>
      <c r="H142" s="33" t="inlineStr">
        <is>
          <t>Kabul</t>
        </is>
      </c>
      <c r="I142" s="33" t="inlineStr">
        <is>
          <t>PD#13 Kabul</t>
        </is>
      </c>
      <c r="J142" s="33" t="inlineStr">
        <is>
          <t>Qoli Ghafoor, Dara-e-Qala-e-Qazi</t>
        </is>
      </c>
      <c r="K142" s="33" t="inlineStr">
        <is>
          <t>World Bank (WBK/AF-2)</t>
        </is>
      </c>
      <c r="L142" s="33" t="inlineStr">
        <is>
          <t>Remaining</t>
        </is>
      </c>
      <c r="M142" s="33" t="inlineStr">
        <is>
          <t>Watershed / Check dam</t>
        </is>
      </c>
      <c r="N142" s="33" t="inlineStr">
        <is>
          <t>4.WSM remaining contracts</t>
        </is>
      </c>
      <c r="O142" s="33" t="inlineStr"/>
      <c r="P142" s="33" t="inlineStr"/>
      <c r="Q142" s="34" t="n">
        <v>197430</v>
      </c>
      <c r="R142" s="35" t="inlineStr">
        <is>
          <t>IF(AO142="","",AO142)</t>
        </is>
      </c>
      <c r="S142" s="36" t="n">
        <v>46371</v>
      </c>
      <c r="T142" s="37" t="n">
        <v>8.9</v>
      </c>
      <c r="U142" s="36" t="n">
        <v>46641</v>
      </c>
      <c r="V142" s="35" t="inlineStr">
        <is>
          <t>IF(U142&lt;&gt;"",U142,IF(OR(R142="",T142=""),"",EDATE(R142,T142)))</t>
        </is>
      </c>
      <c r="W142" s="36" t="n"/>
      <c r="X142" s="37" t="n"/>
      <c r="Y142" s="33" t="inlineStr">
        <is>
          <t>PR to be Raised</t>
        </is>
      </c>
      <c r="Z142" s="33" t="inlineStr">
        <is>
          <t>Construction of the check dam will be completed in seven months. Additional three months have been kept as slack period during Jan-March.</t>
        </is>
      </c>
      <c r="AA142" s="32" t="inlineStr">
        <is>
          <t>IF(E142="","",IF(COUNT(AG142:AT142)=0,IF(Y142="","Not started",Y142),SUBSTITUTE(LOOKUP(2,1/(AG142:AT142&lt;&gt;""),$AG$3:$AT$3),"Date: ","")))</t>
        </is>
      </c>
      <c r="AB142" s="38" t="inlineStr">
        <is>
          <t>IF(OR(E142="",COUNT(AG142:AT142)=0),"",TODAY()-LOOKUP(2,1/(AG142:AT142&lt;&gt;""),AG142:AT142))</t>
        </is>
      </c>
      <c r="AC142" s="38" t="inlineStr">
        <is>
          <t>IF(OR(E142="",COUNT(AG142:AT142)&lt;2),"",LOOKUP(2,1/(AG142:AT142&lt;&gt;""),AG142:AT142)-MIN(AG142:AT142))</t>
        </is>
      </c>
      <c r="AD142" s="38" t="inlineStr">
        <is>
          <t>IF(OR(AB142="",AA142="Not started",AA142=""),"",IFERROR(AB142-IF(VLOOKUP(AA142,'04_Status_Pipeline'!$B$3:$E$20,4,FALSE)="",0,VLOOKUP(AA142,'04_Status_Pipeline'!$B$3:$E$20,4,FALSE)),""))</t>
        </is>
      </c>
      <c r="AE142" s="32" t="inlineStr">
        <is>
          <t>IF(E142="","",IF(OR(Y142="Cancelled",AA142="Cancelled"),"Cancelled",IF(OR(AA142="Completed / Handover",W142&lt;&gt;"",X142&gt;=100),"Completed — on track",IF(L142="Remaining",IF(S142="",IF(V142="","No planned date",IF(TODAY()&gt;V142,"Behind — past planned date",IF(V142-TODAY()&lt;=30,"At risk — close to off track","On track"))),IF(TODAY()&gt;S142,"Behind — award date passed",IF(S142-TODAY()&lt;=30,"At risk — close to off track","On track"))),IF(V142="","No planned date",IF(AND(TODAY()&gt;V142,OR(X142="",X142&lt;100)),"Behind — past end date",IF(AND(R142&lt;&gt;"",V142&lt;&gt;"",X142&lt;&gt;"",(X142&lt;100),((TODAY()-R142)/MAX(V142-R142,1)*100)-X142&gt;15),"Behind — progress lag",IF(AND(V142-TODAY()&lt;=30,V142-TODAY()&gt;=0,OR(X142="",X142&lt;90)),"At risk — close to off track","On track"))))))))</t>
        </is>
      </c>
      <c r="AF142" s="38" t="inlineStr">
        <is>
          <t>IF(OR(E142="",AA142="Completed / Handover",AA142="Cancelled"),"",IF(L142="Remaining",IF(S142&lt;&gt;"",S142-TODAY(),IF(V142="","",V142-TODAY())),IF(V142="","",V142-TODAY())))</t>
        </is>
      </c>
      <c r="AG142" s="36" t="n"/>
      <c r="AH142" s="36" t="n"/>
      <c r="AI142" s="36" t="n"/>
      <c r="AJ142" s="36" t="n"/>
      <c r="AK142" s="36" t="n"/>
      <c r="AL142" s="36" t="n"/>
      <c r="AM142" s="36" t="n"/>
      <c r="AN142" s="36" t="n"/>
      <c r="AO142" s="36" t="n"/>
      <c r="AP142" s="36" t="n"/>
      <c r="AQ142" s="36" t="n"/>
      <c r="AR142" s="40" t="n"/>
      <c r="AS142" s="40" t="n"/>
      <c r="AT142" s="40" t="n"/>
      <c r="AU142" s="38" t="inlineStr">
        <is>
          <t>IF(OR(E142="",AH142=""),"",IF(COUNT(AG142:AG142)=0,"",AH142-LOOKUP(2,1/(AG142:AG142&lt;&gt;""),AG142:AG142)))</t>
        </is>
      </c>
      <c r="AV142" s="38" t="inlineStr">
        <is>
          <t>IF(OR(E142="",AI142=""),"",IF(COUNT(AG142:AH142)=0,"",AI142-LOOKUP(2,1/(AG142:AH142&lt;&gt;""),AG142:AH142)))</t>
        </is>
      </c>
      <c r="AW142" s="38" t="inlineStr">
        <is>
          <t>IF(OR(E142="",AJ142=""),"",IF(COUNT(AG142:AI142)=0,"",AJ142-LOOKUP(2,1/(AG142:AI142&lt;&gt;""),AG142:AI142)))</t>
        </is>
      </c>
      <c r="AX142" s="38" t="inlineStr">
        <is>
          <t>IF(OR(E142="",AK142=""),"",IF(COUNT(AG142:AJ142)=0,"",AK142-LOOKUP(2,1/(AG142:AJ142&lt;&gt;""),AG142:AJ142)))</t>
        </is>
      </c>
      <c r="AY142" s="38" t="inlineStr">
        <is>
          <t>IF(OR(E142="",AL142=""),"",IF(COUNT(AG142:AK142)=0,"",AL142-LOOKUP(2,1/(AG142:AK142&lt;&gt;""),AG142:AK142)))</t>
        </is>
      </c>
      <c r="AZ142" s="38" t="inlineStr">
        <is>
          <t>IF(OR(E142="",AM142=""),"",IF(COUNT(AG142:AL142)=0,"",AM142-LOOKUP(2,1/(AG142:AL142&lt;&gt;""),AG142:AL142)))</t>
        </is>
      </c>
      <c r="BA142" s="38" t="inlineStr">
        <is>
          <t>IF(OR(E142="",AN142=""),"",IF(COUNT(AG142:AM142)=0,"",AN142-LOOKUP(2,1/(AG142:AM142&lt;&gt;""),AG142:AM142)))</t>
        </is>
      </c>
      <c r="BB142" s="38" t="inlineStr">
        <is>
          <t>IF(OR(E142="",AO142=""),"",IF(COUNT(AG142:AN142)=0,"",AO142-LOOKUP(2,1/(AG142:AN142&lt;&gt;""),AG142:AN142)))</t>
        </is>
      </c>
      <c r="BC142" s="38" t="inlineStr">
        <is>
          <t>IF(OR(E142="",AP142=""),"",IF(COUNT(AG142:AO142)=0,"",AP142-LOOKUP(2,1/(AG142:AO142&lt;&gt;""),AG142:AO142)))</t>
        </is>
      </c>
      <c r="BD142" s="38" t="inlineStr">
        <is>
          <t>IF(OR(E142="",AQ142=""),"",IF(COUNT(AG142:AP142)=0,"",AQ142-LOOKUP(2,1/(AG142:AP142&lt;&gt;""),AG142:AP142)))</t>
        </is>
      </c>
      <c r="BE142" s="38" t="inlineStr">
        <is>
          <t>IF(OR(E142="",AR142=""),"",IF(COUNT(AG142:AQ142)=0,"",AR142-LOOKUP(2,1/(AG142:AQ142&lt;&gt;""),AG142:AQ142)))</t>
        </is>
      </c>
      <c r="BF142" s="38" t="inlineStr">
        <is>
          <t>IF(OR(E142="",AS142=""),"",IF(COUNT(AG142:AR142)=0,"",AS142-LOOKUP(2,1/(AG142:AR142&lt;&gt;""),AG142:AR142)))</t>
        </is>
      </c>
      <c r="BG142" s="38" t="inlineStr">
        <is>
          <t>IF(OR(E142="",AT142=""),"",IF(COUNT(AG142:AS142)=0,"",AT142-LOOKUP(2,1/(AG142:AS142&lt;&gt;""),AG142:AS142)))</t>
        </is>
      </c>
      <c r="BH142" s="41" t="inlineStr">
        <is>
          <t>IF(G142="","All_Provinces",IFERROR(VLOOKUP(G142,'07_Lookups'!$A$4:$B$20,2,FALSE),"All_Provinces"))</t>
        </is>
      </c>
      <c r="BI142" s="41" t="inlineStr">
        <is>
          <t>IF(H142="","All_Districts",IFERROR(VLOOKUP(H142,'07_Lookups'!$E$4:$F$42,2,FALSE),"All_Districts"))</t>
        </is>
      </c>
    </row>
    <row r="143" ht="18" customHeight="1">
      <c r="A143" s="32" t="inlineStr">
        <is>
          <t>IF(E143="","",ROW()-3)</t>
        </is>
      </c>
      <c r="B143" s="42" t="inlineStr">
        <is>
          <t>AF2-WSM-R-004</t>
        </is>
      </c>
      <c r="C143" s="42" t="inlineStr">
        <is>
          <t>Emergency Food Security Project (EFSP) – WBK/AF-2</t>
        </is>
      </c>
      <c r="D143" s="42" t="inlineStr">
        <is>
          <t>Package #12-AF2 WSM: Construction of 4 Check dams 1. Qoli Ghafoor, 2. Dara-e-Qala-e-Qazi in PD#13 Kabul city, 3.Gul Mohammad and 4.Qala-e-Shah Mahmood in Deh Sabz district of Kabul province.</t>
        </is>
      </c>
      <c r="E143" s="42" t="inlineStr">
        <is>
          <t>Gul Mohammad, Qalai e Shah mohammad Check dams</t>
        </is>
      </c>
      <c r="F143" s="42" t="inlineStr">
        <is>
          <t>Check Dam</t>
        </is>
      </c>
      <c r="G143" s="42" t="inlineStr">
        <is>
          <t>Central / Kabul</t>
        </is>
      </c>
      <c r="H143" s="42" t="inlineStr">
        <is>
          <t>Kabul</t>
        </is>
      </c>
      <c r="I143" s="42" t="inlineStr">
        <is>
          <t>Deh Sabz</t>
        </is>
      </c>
      <c r="J143" s="42" t="inlineStr">
        <is>
          <t>Gul Mohammad, Qalai e Shah mohammad</t>
        </is>
      </c>
      <c r="K143" s="42" t="inlineStr">
        <is>
          <t>World Bank (WBK/AF-2)</t>
        </is>
      </c>
      <c r="L143" s="42" t="inlineStr">
        <is>
          <t>Remaining</t>
        </is>
      </c>
      <c r="M143" s="42" t="inlineStr">
        <is>
          <t>Watershed / Check dam</t>
        </is>
      </c>
      <c r="N143" s="42" t="inlineStr">
        <is>
          <t>4.WSM remaining contracts</t>
        </is>
      </c>
      <c r="O143" s="42" t="inlineStr"/>
      <c r="P143" s="42" t="inlineStr"/>
      <c r="Q143" s="43" t="n">
        <v>197430</v>
      </c>
      <c r="R143" s="35" t="inlineStr">
        <is>
          <t>IF(AO143="","",AO143)</t>
        </is>
      </c>
      <c r="S143" s="44" t="n">
        <v>46371</v>
      </c>
      <c r="T143" s="45" t="n">
        <v>8.9</v>
      </c>
      <c r="U143" s="44" t="n">
        <v>46641</v>
      </c>
      <c r="V143" s="35" t="inlineStr">
        <is>
          <t>IF(U143&lt;&gt;"",U143,IF(OR(R143="",T143=""),"",EDATE(R143,T143)))</t>
        </is>
      </c>
      <c r="W143" s="44" t="n"/>
      <c r="X143" s="45" t="n"/>
      <c r="Y143" s="42" t="inlineStr">
        <is>
          <t>PR to be Raised</t>
        </is>
      </c>
      <c r="Z143" s="42" t="inlineStr">
        <is>
          <t>Construction of the check dam will be completed in seven months. Additional three months have been kept as slack period during Jan-March.</t>
        </is>
      </c>
      <c r="AA143" s="32" t="inlineStr">
        <is>
          <t>IF(E143="","",IF(COUNT(AG143:AT143)=0,IF(Y143="","Not started",Y143),SUBSTITUTE(LOOKUP(2,1/(AG143:AT143&lt;&gt;""),$AG$3:$AT$3),"Date: ","")))</t>
        </is>
      </c>
      <c r="AB143" s="38" t="inlineStr">
        <is>
          <t>IF(OR(E143="",COUNT(AG143:AT143)=0),"",TODAY()-LOOKUP(2,1/(AG143:AT143&lt;&gt;""),AG143:AT143))</t>
        </is>
      </c>
      <c r="AC143" s="38" t="inlineStr">
        <is>
          <t>IF(OR(E143="",COUNT(AG143:AT143)&lt;2),"",LOOKUP(2,1/(AG143:AT143&lt;&gt;""),AG143:AT143)-MIN(AG143:AT143))</t>
        </is>
      </c>
      <c r="AD143" s="38" t="inlineStr">
        <is>
          <t>IF(OR(AB143="",AA143="Not started",AA143=""),"",IFERROR(AB143-IF(VLOOKUP(AA143,'04_Status_Pipeline'!$B$3:$E$20,4,FALSE)="",0,VLOOKUP(AA143,'04_Status_Pipeline'!$B$3:$E$20,4,FALSE)),""))</t>
        </is>
      </c>
      <c r="AE143" s="32" t="inlineStr">
        <is>
          <t>IF(E143="","",IF(OR(Y143="Cancelled",AA143="Cancelled"),"Cancelled",IF(OR(AA143="Completed / Handover",W143&lt;&gt;"",X143&gt;=100),"Completed — on track",IF(L143="Remaining",IF(S143="",IF(V143="","No planned date",IF(TODAY()&gt;V143,"Behind — past planned date",IF(V143-TODAY()&lt;=30,"At risk — close to off track","On track"))),IF(TODAY()&gt;S143,"Behind — award date passed",IF(S143-TODAY()&lt;=30,"At risk — close to off track","On track"))),IF(V143="","No planned date",IF(AND(TODAY()&gt;V143,OR(X143="",X143&lt;100)),"Behind — past end date",IF(AND(R143&lt;&gt;"",V143&lt;&gt;"",X143&lt;&gt;"",(X143&lt;100),((TODAY()-R143)/MAX(V143-R143,1)*100)-X143&gt;15),"Behind — progress lag",IF(AND(V143-TODAY()&lt;=30,V143-TODAY()&gt;=0,OR(X143="",X143&lt;90)),"At risk — close to off track","On track"))))))))</t>
        </is>
      </c>
      <c r="AF143" s="38" t="inlineStr">
        <is>
          <t>IF(OR(E143="",AA143="Completed / Handover",AA143="Cancelled"),"",IF(L143="Remaining",IF(S143&lt;&gt;"",S143-TODAY(),IF(V143="","",V143-TODAY())),IF(V143="","",V143-TODAY())))</t>
        </is>
      </c>
      <c r="AG143" s="44" t="n"/>
      <c r="AH143" s="44" t="n"/>
      <c r="AI143" s="44" t="n"/>
      <c r="AJ143" s="44" t="n"/>
      <c r="AK143" s="44" t="n"/>
      <c r="AL143" s="44" t="n"/>
      <c r="AM143" s="44" t="n"/>
      <c r="AN143" s="44" t="n"/>
      <c r="AO143" s="44" t="n"/>
      <c r="AP143" s="44" t="n"/>
      <c r="AQ143" s="44" t="n"/>
      <c r="AR143" s="40" t="n"/>
      <c r="AS143" s="40" t="n"/>
      <c r="AT143" s="40" t="n"/>
      <c r="AU143" s="38" t="inlineStr">
        <is>
          <t>IF(OR(E143="",AH143=""),"",IF(COUNT(AG143:AG143)=0,"",AH143-LOOKUP(2,1/(AG143:AG143&lt;&gt;""),AG143:AG143)))</t>
        </is>
      </c>
      <c r="AV143" s="38" t="inlineStr">
        <is>
          <t>IF(OR(E143="",AI143=""),"",IF(COUNT(AG143:AH143)=0,"",AI143-LOOKUP(2,1/(AG143:AH143&lt;&gt;""),AG143:AH143)))</t>
        </is>
      </c>
      <c r="AW143" s="38" t="inlineStr">
        <is>
          <t>IF(OR(E143="",AJ143=""),"",IF(COUNT(AG143:AI143)=0,"",AJ143-LOOKUP(2,1/(AG143:AI143&lt;&gt;""),AG143:AI143)))</t>
        </is>
      </c>
      <c r="AX143" s="38" t="inlineStr">
        <is>
          <t>IF(OR(E143="",AK143=""),"",IF(COUNT(AG143:AJ143)=0,"",AK143-LOOKUP(2,1/(AG143:AJ143&lt;&gt;""),AG143:AJ143)))</t>
        </is>
      </c>
      <c r="AY143" s="38" t="inlineStr">
        <is>
          <t>IF(OR(E143="",AL143=""),"",IF(COUNT(AG143:AK143)=0,"",AL143-LOOKUP(2,1/(AG143:AK143&lt;&gt;""),AG143:AK143)))</t>
        </is>
      </c>
      <c r="AZ143" s="38" t="inlineStr">
        <is>
          <t>IF(OR(E143="",AM143=""),"",IF(COUNT(AG143:AL143)=0,"",AM143-LOOKUP(2,1/(AG143:AL143&lt;&gt;""),AG143:AL143)))</t>
        </is>
      </c>
      <c r="BA143" s="38" t="inlineStr">
        <is>
          <t>IF(OR(E143="",AN143=""),"",IF(COUNT(AG143:AM143)=0,"",AN143-LOOKUP(2,1/(AG143:AM143&lt;&gt;""),AG143:AM143)))</t>
        </is>
      </c>
      <c r="BB143" s="38" t="inlineStr">
        <is>
          <t>IF(OR(E143="",AO143=""),"",IF(COUNT(AG143:AN143)=0,"",AO143-LOOKUP(2,1/(AG143:AN143&lt;&gt;""),AG143:AN143)))</t>
        </is>
      </c>
      <c r="BC143" s="38" t="inlineStr">
        <is>
          <t>IF(OR(E143="",AP143=""),"",IF(COUNT(AG143:AO143)=0,"",AP143-LOOKUP(2,1/(AG143:AO143&lt;&gt;""),AG143:AO143)))</t>
        </is>
      </c>
      <c r="BD143" s="38" t="inlineStr">
        <is>
          <t>IF(OR(E143="",AQ143=""),"",IF(COUNT(AG143:AP143)=0,"",AQ143-LOOKUP(2,1/(AG143:AP143&lt;&gt;""),AG143:AP143)))</t>
        </is>
      </c>
      <c r="BE143" s="38" t="inlineStr">
        <is>
          <t>IF(OR(E143="",AR143=""),"",IF(COUNT(AG143:AQ143)=0,"",AR143-LOOKUP(2,1/(AG143:AQ143&lt;&gt;""),AG143:AQ143)))</t>
        </is>
      </c>
      <c r="BF143" s="38" t="inlineStr">
        <is>
          <t>IF(OR(E143="",AS143=""),"",IF(COUNT(AG143:AR143)=0,"",AS143-LOOKUP(2,1/(AG143:AR143&lt;&gt;""),AG143:AR143)))</t>
        </is>
      </c>
      <c r="BG143" s="38" t="inlineStr">
        <is>
          <t>IF(OR(E143="",AT143=""),"",IF(COUNT(AG143:AS143)=0,"",AT143-LOOKUP(2,1/(AG143:AS143&lt;&gt;""),AG143:AS143)))</t>
        </is>
      </c>
      <c r="BH143" s="41" t="inlineStr">
        <is>
          <t>IF(G143="","All_Provinces",IFERROR(VLOOKUP(G143,'07_Lookups'!$A$4:$B$20,2,FALSE),"All_Provinces"))</t>
        </is>
      </c>
      <c r="BI143" s="41" t="inlineStr">
        <is>
          <t>IF(H143="","All_Districts",IFERROR(VLOOKUP(H143,'07_Lookups'!$E$4:$F$42,2,FALSE),"All_Districts"))</t>
        </is>
      </c>
    </row>
    <row r="144" ht="18" customHeight="1">
      <c r="A144" s="32" t="inlineStr">
        <is>
          <t>IF(E144="","",ROW()-3)</t>
        </is>
      </c>
      <c r="B144" s="33" t="inlineStr">
        <is>
          <t>AF2-WSM-R-005</t>
        </is>
      </c>
      <c r="C144" s="33" t="inlineStr">
        <is>
          <t>Emergency Food Security Project (EFSP) – WBK/AF-2</t>
        </is>
      </c>
      <c r="D144" s="33" t="inlineStr">
        <is>
          <t>Package #17-AF2 WSM: Construction of Ghoriza Check dams, located in Sayed Karam districts of Paktya province.</t>
        </is>
      </c>
      <c r="E144" s="33" t="inlineStr">
        <is>
          <t>Ghawreza Check dam</t>
        </is>
      </c>
      <c r="F144" s="33" t="inlineStr">
        <is>
          <t>Check Dam</t>
        </is>
      </c>
      <c r="G144" s="33" t="inlineStr">
        <is>
          <t>Southeast / Gardez</t>
        </is>
      </c>
      <c r="H144" s="33" t="inlineStr">
        <is>
          <t>Paktya</t>
        </is>
      </c>
      <c r="I144" s="33" t="inlineStr">
        <is>
          <t>Sayed Karam</t>
        </is>
      </c>
      <c r="J144" s="33" t="inlineStr">
        <is>
          <t>Bara Ghoriza</t>
        </is>
      </c>
      <c r="K144" s="33" t="inlineStr">
        <is>
          <t>World Bank (WBK/AF-2)</t>
        </is>
      </c>
      <c r="L144" s="33" t="inlineStr">
        <is>
          <t>Remaining</t>
        </is>
      </c>
      <c r="M144" s="33" t="inlineStr">
        <is>
          <t>Watershed / Check dam</t>
        </is>
      </c>
      <c r="N144" s="33" t="inlineStr">
        <is>
          <t>4.WSM remaining contracts</t>
        </is>
      </c>
      <c r="O144" s="33" t="inlineStr"/>
      <c r="P144" s="33" t="inlineStr"/>
      <c r="Q144" s="34" t="n">
        <v>86330</v>
      </c>
      <c r="R144" s="35" t="inlineStr">
        <is>
          <t>IF(AO144="","",AO144)</t>
        </is>
      </c>
      <c r="S144" s="36" t="n">
        <v>46346</v>
      </c>
      <c r="T144" s="37" t="n">
        <v>7.2</v>
      </c>
      <c r="U144" s="36" t="n">
        <v>46566</v>
      </c>
      <c r="V144" s="35" t="inlineStr">
        <is>
          <t>IF(U144&lt;&gt;"",U144,IF(OR(R144="",T144=""),"",EDATE(R144,T144)))</t>
        </is>
      </c>
      <c r="W144" s="36" t="n"/>
      <c r="X144" s="37" t="n"/>
      <c r="Y144" s="33" t="inlineStr">
        <is>
          <t>PR to be Raised</t>
        </is>
      </c>
      <c r="Z144" s="33" t="inlineStr">
        <is>
          <t>Construction of the check dam will be completed in four months. 20-Dec to March end as the slack period.</t>
        </is>
      </c>
      <c r="AA144" s="32" t="inlineStr">
        <is>
          <t>IF(E144="","",IF(COUNT(AG144:AT144)=0,IF(Y144="","Not started",Y144),SUBSTITUTE(LOOKUP(2,1/(AG144:AT144&lt;&gt;""),$AG$3:$AT$3),"Date: ","")))</t>
        </is>
      </c>
      <c r="AB144" s="38" t="inlineStr">
        <is>
          <t>IF(OR(E144="",COUNT(AG144:AT144)=0),"",TODAY()-LOOKUP(2,1/(AG144:AT144&lt;&gt;""),AG144:AT144))</t>
        </is>
      </c>
      <c r="AC144" s="38" t="inlineStr">
        <is>
          <t>IF(OR(E144="",COUNT(AG144:AT144)&lt;2),"",LOOKUP(2,1/(AG144:AT144&lt;&gt;""),AG144:AT144)-MIN(AG144:AT144))</t>
        </is>
      </c>
      <c r="AD144" s="38" t="inlineStr">
        <is>
          <t>IF(OR(AB144="",AA144="Not started",AA144=""),"",IFERROR(AB144-IF(VLOOKUP(AA144,'04_Status_Pipeline'!$B$3:$E$20,4,FALSE)="",0,VLOOKUP(AA144,'04_Status_Pipeline'!$B$3:$E$20,4,FALSE)),""))</t>
        </is>
      </c>
      <c r="AE144" s="32" t="inlineStr">
        <is>
          <t>IF(E144="","",IF(OR(Y144="Cancelled",AA144="Cancelled"),"Cancelled",IF(OR(AA144="Completed / Handover",W144&lt;&gt;"",X144&gt;=100),"Completed — on track",IF(L144="Remaining",IF(S144="",IF(V144="","No planned date",IF(TODAY()&gt;V144,"Behind — past planned date",IF(V144-TODAY()&lt;=30,"At risk — close to off track","On track"))),IF(TODAY()&gt;S144,"Behind — award date passed",IF(S144-TODAY()&lt;=30,"At risk — close to off track","On track"))),IF(V144="","No planned date",IF(AND(TODAY()&gt;V144,OR(X144="",X144&lt;100)),"Behind — past end date",IF(AND(R144&lt;&gt;"",V144&lt;&gt;"",X144&lt;&gt;"",(X144&lt;100),((TODAY()-R144)/MAX(V144-R144,1)*100)-X144&gt;15),"Behind — progress lag",IF(AND(V144-TODAY()&lt;=30,V144-TODAY()&gt;=0,OR(X144="",X144&lt;90)),"At risk — close to off track","On track"))))))))</t>
        </is>
      </c>
      <c r="AF144" s="38" t="inlineStr">
        <is>
          <t>IF(OR(E144="",AA144="Completed / Handover",AA144="Cancelled"),"",IF(L144="Remaining",IF(S144&lt;&gt;"",S144-TODAY(),IF(V144="","",V144-TODAY())),IF(V144="","",V144-TODAY())))</t>
        </is>
      </c>
      <c r="AG144" s="36" t="n"/>
      <c r="AH144" s="36" t="n"/>
      <c r="AI144" s="36" t="n"/>
      <c r="AJ144" s="36" t="n"/>
      <c r="AK144" s="36" t="n"/>
      <c r="AL144" s="36" t="n"/>
      <c r="AM144" s="36" t="n"/>
      <c r="AN144" s="36" t="n"/>
      <c r="AO144" s="36" t="n"/>
      <c r="AP144" s="36" t="n"/>
      <c r="AQ144" s="36" t="n"/>
      <c r="AR144" s="40" t="n"/>
      <c r="AS144" s="40" t="n"/>
      <c r="AT144" s="40" t="n"/>
      <c r="AU144" s="38" t="inlineStr">
        <is>
          <t>IF(OR(E144="",AH144=""),"",IF(COUNT(AG144:AG144)=0,"",AH144-LOOKUP(2,1/(AG144:AG144&lt;&gt;""),AG144:AG144)))</t>
        </is>
      </c>
      <c r="AV144" s="38" t="inlineStr">
        <is>
          <t>IF(OR(E144="",AI144=""),"",IF(COUNT(AG144:AH144)=0,"",AI144-LOOKUP(2,1/(AG144:AH144&lt;&gt;""),AG144:AH144)))</t>
        </is>
      </c>
      <c r="AW144" s="38" t="inlineStr">
        <is>
          <t>IF(OR(E144="",AJ144=""),"",IF(COUNT(AG144:AI144)=0,"",AJ144-LOOKUP(2,1/(AG144:AI144&lt;&gt;""),AG144:AI144)))</t>
        </is>
      </c>
      <c r="AX144" s="38" t="inlineStr">
        <is>
          <t>IF(OR(E144="",AK144=""),"",IF(COUNT(AG144:AJ144)=0,"",AK144-LOOKUP(2,1/(AG144:AJ144&lt;&gt;""),AG144:AJ144)))</t>
        </is>
      </c>
      <c r="AY144" s="38" t="inlineStr">
        <is>
          <t>IF(OR(E144="",AL144=""),"",IF(COUNT(AG144:AK144)=0,"",AL144-LOOKUP(2,1/(AG144:AK144&lt;&gt;""),AG144:AK144)))</t>
        </is>
      </c>
      <c r="AZ144" s="38" t="inlineStr">
        <is>
          <t>IF(OR(E144="",AM144=""),"",IF(COUNT(AG144:AL144)=0,"",AM144-LOOKUP(2,1/(AG144:AL144&lt;&gt;""),AG144:AL144)))</t>
        </is>
      </c>
      <c r="BA144" s="38" t="inlineStr">
        <is>
          <t>IF(OR(E144="",AN144=""),"",IF(COUNT(AG144:AM144)=0,"",AN144-LOOKUP(2,1/(AG144:AM144&lt;&gt;""),AG144:AM144)))</t>
        </is>
      </c>
      <c r="BB144" s="38" t="inlineStr">
        <is>
          <t>IF(OR(E144="",AO144=""),"",IF(COUNT(AG144:AN144)=0,"",AO144-LOOKUP(2,1/(AG144:AN144&lt;&gt;""),AG144:AN144)))</t>
        </is>
      </c>
      <c r="BC144" s="38" t="inlineStr">
        <is>
          <t>IF(OR(E144="",AP144=""),"",IF(COUNT(AG144:AO144)=0,"",AP144-LOOKUP(2,1/(AG144:AO144&lt;&gt;""),AG144:AO144)))</t>
        </is>
      </c>
      <c r="BD144" s="38" t="inlineStr">
        <is>
          <t>IF(OR(E144="",AQ144=""),"",IF(COUNT(AG144:AP144)=0,"",AQ144-LOOKUP(2,1/(AG144:AP144&lt;&gt;""),AG144:AP144)))</t>
        </is>
      </c>
      <c r="BE144" s="38" t="inlineStr">
        <is>
          <t>IF(OR(E144="",AR144=""),"",IF(COUNT(AG144:AQ144)=0,"",AR144-LOOKUP(2,1/(AG144:AQ144&lt;&gt;""),AG144:AQ144)))</t>
        </is>
      </c>
      <c r="BF144" s="38" t="inlineStr">
        <is>
          <t>IF(OR(E144="",AS144=""),"",IF(COUNT(AG144:AR144)=0,"",AS144-LOOKUP(2,1/(AG144:AR144&lt;&gt;""),AG144:AR144)))</t>
        </is>
      </c>
      <c r="BG144" s="38" t="inlineStr">
        <is>
          <t>IF(OR(E144="",AT144=""),"",IF(COUNT(AG144:AS144)=0,"",AT144-LOOKUP(2,1/(AG144:AS144&lt;&gt;""),AG144:AS144)))</t>
        </is>
      </c>
      <c r="BH144" s="41" t="inlineStr">
        <is>
          <t>IF(G144="","All_Provinces",IFERROR(VLOOKUP(G144,'07_Lookups'!$A$4:$B$20,2,FALSE),"All_Provinces"))</t>
        </is>
      </c>
      <c r="BI144" s="41" t="inlineStr">
        <is>
          <t>IF(H144="","All_Districts",IFERROR(VLOOKUP(H144,'07_Lookups'!$E$4:$F$42,2,FALSE),"All_Districts"))</t>
        </is>
      </c>
    </row>
    <row r="145" ht="18" customHeight="1">
      <c r="A145" s="32" t="inlineStr">
        <is>
          <t>IF(E145="","",ROW()-3)</t>
        </is>
      </c>
      <c r="B145" s="42" t="inlineStr">
        <is>
          <t>AF2-WSM-R-006</t>
        </is>
      </c>
      <c r="C145" s="42" t="inlineStr">
        <is>
          <t>Emergency Food Security Project (EFSP) – WBK/AF-2</t>
        </is>
      </c>
      <c r="D145" s="42" t="inlineStr">
        <is>
          <t>Package #19-AF2 WSM: Construction of two Check dams 1. Wazgarai and 2. Chenargai in Zazai Maidan districts of Khost province.</t>
        </is>
      </c>
      <c r="E145" s="42" t="inlineStr">
        <is>
          <t>Wozgarai and Chenargai Check dams</t>
        </is>
      </c>
      <c r="F145" s="42" t="inlineStr">
        <is>
          <t>Check Dam</t>
        </is>
      </c>
      <c r="G145" s="42" t="inlineStr">
        <is>
          <t>Southeast / Gardez</t>
        </is>
      </c>
      <c r="H145" s="42" t="inlineStr">
        <is>
          <t>Khost</t>
        </is>
      </c>
      <c r="I145" s="42" t="inlineStr">
        <is>
          <t>Zazai Maidan</t>
        </is>
      </c>
      <c r="J145" s="42" t="inlineStr">
        <is>
          <t>3.Wozgarai, Majbor Abad and Chenargai</t>
        </is>
      </c>
      <c r="K145" s="42" t="inlineStr">
        <is>
          <t>World Bank (WBK/AF-2)</t>
        </is>
      </c>
      <c r="L145" s="42" t="inlineStr">
        <is>
          <t>Remaining</t>
        </is>
      </c>
      <c r="M145" s="42" t="inlineStr">
        <is>
          <t>Watershed / Check dam</t>
        </is>
      </c>
      <c r="N145" s="42" t="inlineStr">
        <is>
          <t>4.WSM remaining contracts</t>
        </is>
      </c>
      <c r="O145" s="42" t="inlineStr"/>
      <c r="P145" s="42" t="inlineStr"/>
      <c r="Q145" s="43" t="n">
        <v>85715.75999999999</v>
      </c>
      <c r="R145" s="35" t="inlineStr">
        <is>
          <t>IF(AO145="","",AO145)</t>
        </is>
      </c>
      <c r="S145" s="44" t="n">
        <v>46356</v>
      </c>
      <c r="T145" s="45" t="n">
        <v>6.9</v>
      </c>
      <c r="U145" s="44" t="n">
        <v>46566</v>
      </c>
      <c r="V145" s="35" t="inlineStr">
        <is>
          <t>IF(U145&lt;&gt;"",U145,IF(OR(R145="",T145=""),"",EDATE(R145,T145)))</t>
        </is>
      </c>
      <c r="W145" s="44" t="n"/>
      <c r="X145" s="45" t="n"/>
      <c r="Y145" s="42" t="inlineStr">
        <is>
          <t>ITB Launched</t>
        </is>
      </c>
      <c r="Z145" s="42" t="inlineStr">
        <is>
          <t>Construction of the check dam will be completed in four months. Jan to March end as the slack period.</t>
        </is>
      </c>
      <c r="AA145" s="32" t="inlineStr">
        <is>
          <t>IF(E145="","",IF(COUNT(AG145:AT145)=0,IF(Y145="","Not started",Y145),SUBSTITUTE(LOOKUP(2,1/(AG145:AT145&lt;&gt;""),$AG$3:$AT$3),"Date: ","")))</t>
        </is>
      </c>
      <c r="AB145" s="38" t="inlineStr">
        <is>
          <t>IF(OR(E145="",COUNT(AG145:AT145)=0),"",TODAY()-LOOKUP(2,1/(AG145:AT145&lt;&gt;""),AG145:AT145))</t>
        </is>
      </c>
      <c r="AC145" s="38" t="inlineStr">
        <is>
          <t>IF(OR(E145="",COUNT(AG145:AT145)&lt;2),"",LOOKUP(2,1/(AG145:AT145&lt;&gt;""),AG145:AT145)-MIN(AG145:AT145))</t>
        </is>
      </c>
      <c r="AD145" s="38" t="inlineStr">
        <is>
          <t>IF(OR(AB145="",AA145="Not started",AA145=""),"",IFERROR(AB145-IF(VLOOKUP(AA145,'04_Status_Pipeline'!$B$3:$E$20,4,FALSE)="",0,VLOOKUP(AA145,'04_Status_Pipeline'!$B$3:$E$20,4,FALSE)),""))</t>
        </is>
      </c>
      <c r="AE145" s="32" t="inlineStr">
        <is>
          <t>IF(E145="","",IF(OR(Y145="Cancelled",AA145="Cancelled"),"Cancelled",IF(OR(AA145="Completed / Handover",W145&lt;&gt;"",X145&gt;=100),"Completed — on track",IF(L145="Remaining",IF(S145="",IF(V145="","No planned date",IF(TODAY()&gt;V145,"Behind — past planned date",IF(V145-TODAY()&lt;=30,"At risk — close to off track","On track"))),IF(TODAY()&gt;S145,"Behind — award date passed",IF(S145-TODAY()&lt;=30,"At risk — close to off track","On track"))),IF(V145="","No planned date",IF(AND(TODAY()&gt;V145,OR(X145="",X145&lt;100)),"Behind — past end date",IF(AND(R145&lt;&gt;"",V145&lt;&gt;"",X145&lt;&gt;"",(X145&lt;100),((TODAY()-R145)/MAX(V145-R145,1)*100)-X145&gt;15),"Behind — progress lag",IF(AND(V145-TODAY()&lt;=30,V145-TODAY()&gt;=0,OR(X145="",X145&lt;90)),"At risk — close to off track","On track"))))))))</t>
        </is>
      </c>
      <c r="AF145" s="38" t="inlineStr">
        <is>
          <t>IF(OR(E145="",AA145="Completed / Handover",AA145="Cancelled"),"",IF(L145="Remaining",IF(S145&lt;&gt;"",S145-TODAY(),IF(V145="","",V145-TODAY())),IF(V145="","",V145-TODAY())))</t>
        </is>
      </c>
      <c r="AG145" s="44" t="n"/>
      <c r="AH145" s="44" t="n"/>
      <c r="AI145" s="44" t="n"/>
      <c r="AJ145" s="44" t="n"/>
      <c r="AK145" s="44" t="n"/>
      <c r="AL145" s="44" t="n"/>
      <c r="AM145" s="44" t="n"/>
      <c r="AN145" s="44" t="n"/>
      <c r="AO145" s="44" t="n"/>
      <c r="AP145" s="44" t="n"/>
      <c r="AQ145" s="44" t="n"/>
      <c r="AR145" s="40" t="n"/>
      <c r="AS145" s="40" t="n"/>
      <c r="AT145" s="40" t="n"/>
      <c r="AU145" s="38" t="inlineStr">
        <is>
          <t>IF(OR(E145="",AH145=""),"",IF(COUNT(AG145:AG145)=0,"",AH145-LOOKUP(2,1/(AG145:AG145&lt;&gt;""),AG145:AG145)))</t>
        </is>
      </c>
      <c r="AV145" s="38" t="inlineStr">
        <is>
          <t>IF(OR(E145="",AI145=""),"",IF(COUNT(AG145:AH145)=0,"",AI145-LOOKUP(2,1/(AG145:AH145&lt;&gt;""),AG145:AH145)))</t>
        </is>
      </c>
      <c r="AW145" s="38" t="inlineStr">
        <is>
          <t>IF(OR(E145="",AJ145=""),"",IF(COUNT(AG145:AI145)=0,"",AJ145-LOOKUP(2,1/(AG145:AI145&lt;&gt;""),AG145:AI145)))</t>
        </is>
      </c>
      <c r="AX145" s="38" t="inlineStr">
        <is>
          <t>IF(OR(E145="",AK145=""),"",IF(COUNT(AG145:AJ145)=0,"",AK145-LOOKUP(2,1/(AG145:AJ145&lt;&gt;""),AG145:AJ145)))</t>
        </is>
      </c>
      <c r="AY145" s="38" t="inlineStr">
        <is>
          <t>IF(OR(E145="",AL145=""),"",IF(COUNT(AG145:AK145)=0,"",AL145-LOOKUP(2,1/(AG145:AK145&lt;&gt;""),AG145:AK145)))</t>
        </is>
      </c>
      <c r="AZ145" s="38" t="inlineStr">
        <is>
          <t>IF(OR(E145="",AM145=""),"",IF(COUNT(AG145:AL145)=0,"",AM145-LOOKUP(2,1/(AG145:AL145&lt;&gt;""),AG145:AL145)))</t>
        </is>
      </c>
      <c r="BA145" s="38" t="inlineStr">
        <is>
          <t>IF(OR(E145="",AN145=""),"",IF(COUNT(AG145:AM145)=0,"",AN145-LOOKUP(2,1/(AG145:AM145&lt;&gt;""),AG145:AM145)))</t>
        </is>
      </c>
      <c r="BB145" s="38" t="inlineStr">
        <is>
          <t>IF(OR(E145="",AO145=""),"",IF(COUNT(AG145:AN145)=0,"",AO145-LOOKUP(2,1/(AG145:AN145&lt;&gt;""),AG145:AN145)))</t>
        </is>
      </c>
      <c r="BC145" s="38" t="inlineStr">
        <is>
          <t>IF(OR(E145="",AP145=""),"",IF(COUNT(AG145:AO145)=0,"",AP145-LOOKUP(2,1/(AG145:AO145&lt;&gt;""),AG145:AO145)))</t>
        </is>
      </c>
      <c r="BD145" s="38" t="inlineStr">
        <is>
          <t>IF(OR(E145="",AQ145=""),"",IF(COUNT(AG145:AP145)=0,"",AQ145-LOOKUP(2,1/(AG145:AP145&lt;&gt;""),AG145:AP145)))</t>
        </is>
      </c>
      <c r="BE145" s="38" t="inlineStr">
        <is>
          <t>IF(OR(E145="",AR145=""),"",IF(COUNT(AG145:AQ145)=0,"",AR145-LOOKUP(2,1/(AG145:AQ145&lt;&gt;""),AG145:AQ145)))</t>
        </is>
      </c>
      <c r="BF145" s="38" t="inlineStr">
        <is>
          <t>IF(OR(E145="",AS145=""),"",IF(COUNT(AG145:AR145)=0,"",AS145-LOOKUP(2,1/(AG145:AR145&lt;&gt;""),AG145:AR145)))</t>
        </is>
      </c>
      <c r="BG145" s="38" t="inlineStr">
        <is>
          <t>IF(OR(E145="",AT145=""),"",IF(COUNT(AG145:AS145)=0,"",AT145-LOOKUP(2,1/(AG145:AS145&lt;&gt;""),AG145:AS145)))</t>
        </is>
      </c>
      <c r="BH145" s="41" t="inlineStr">
        <is>
          <t>IF(G145="","All_Provinces",IFERROR(VLOOKUP(G145,'07_Lookups'!$A$4:$B$20,2,FALSE),"All_Provinces"))</t>
        </is>
      </c>
      <c r="BI145" s="41" t="inlineStr">
        <is>
          <t>IF(H145="","All_Districts",IFERROR(VLOOKUP(H145,'07_Lookups'!$E$4:$F$42,2,FALSE),"All_Districts"))</t>
        </is>
      </c>
    </row>
    <row r="146" ht="18" customHeight="1">
      <c r="A146" s="32" t="inlineStr">
        <is>
          <t>IF(E146="","",ROW()-3)</t>
        </is>
      </c>
      <c r="B146" s="33" t="inlineStr">
        <is>
          <t>AF2-WSM-R-007</t>
        </is>
      </c>
      <c r="C146" s="33" t="inlineStr">
        <is>
          <t>Emergency Food Security Project (EFSP) – WBK/AF-2</t>
        </is>
      </c>
      <c r="D146" s="33" t="inlineStr">
        <is>
          <t>Package #20-AF2 WSM: Construction of Sapari Check dams, located in Sarubi districts of Paktika province.</t>
        </is>
      </c>
      <c r="E146" s="33" t="inlineStr">
        <is>
          <t>Sapari Check dam</t>
        </is>
      </c>
      <c r="F146" s="33" t="inlineStr">
        <is>
          <t>Check Dam</t>
        </is>
      </c>
      <c r="G146" s="33" t="inlineStr">
        <is>
          <t>Southeast / Gardez</t>
        </is>
      </c>
      <c r="H146" s="33" t="inlineStr">
        <is>
          <t>Paktika</t>
        </is>
      </c>
      <c r="I146" s="33" t="inlineStr">
        <is>
          <t>Sarubi</t>
        </is>
      </c>
      <c r="J146" s="33" t="inlineStr">
        <is>
          <t>Abas Khil</t>
        </is>
      </c>
      <c r="K146" s="33" t="inlineStr">
        <is>
          <t>World Bank (WBK/AF-2)</t>
        </is>
      </c>
      <c r="L146" s="33" t="inlineStr">
        <is>
          <t>Remaining</t>
        </is>
      </c>
      <c r="M146" s="33" t="inlineStr">
        <is>
          <t>Watershed / Check dam</t>
        </is>
      </c>
      <c r="N146" s="33" t="inlineStr">
        <is>
          <t>4.WSM remaining contracts</t>
        </is>
      </c>
      <c r="O146" s="33" t="inlineStr"/>
      <c r="P146" s="33" t="inlineStr"/>
      <c r="Q146" s="34" t="n">
        <v>84683</v>
      </c>
      <c r="R146" s="35" t="inlineStr">
        <is>
          <t>IF(AO146="","",AO146)</t>
        </is>
      </c>
      <c r="S146" s="36" t="n">
        <v>46351</v>
      </c>
      <c r="T146" s="37" t="n">
        <v>7.2</v>
      </c>
      <c r="U146" s="36" t="n">
        <v>46571</v>
      </c>
      <c r="V146" s="35" t="inlineStr">
        <is>
          <t>IF(U146&lt;&gt;"",U146,IF(OR(R146="",T146=""),"",EDATE(R146,T146)))</t>
        </is>
      </c>
      <c r="W146" s="36" t="n"/>
      <c r="X146" s="37" t="n"/>
      <c r="Y146" s="33" t="inlineStr">
        <is>
          <t>PR to be Raised</t>
        </is>
      </c>
      <c r="Z146" s="33" t="inlineStr">
        <is>
          <t>Construction of the check dam will be completed in four months. Jan to March end as the slack period.</t>
        </is>
      </c>
      <c r="AA146" s="32" t="inlineStr">
        <is>
          <t>IF(E146="","",IF(COUNT(AG146:AT146)=0,IF(Y146="","Not started",Y146),SUBSTITUTE(LOOKUP(2,1/(AG146:AT146&lt;&gt;""),$AG$3:$AT$3),"Date: ","")))</t>
        </is>
      </c>
      <c r="AB146" s="38" t="inlineStr">
        <is>
          <t>IF(OR(E146="",COUNT(AG146:AT146)=0),"",TODAY()-LOOKUP(2,1/(AG146:AT146&lt;&gt;""),AG146:AT146))</t>
        </is>
      </c>
      <c r="AC146" s="38" t="inlineStr">
        <is>
          <t>IF(OR(E146="",COUNT(AG146:AT146)&lt;2),"",LOOKUP(2,1/(AG146:AT146&lt;&gt;""),AG146:AT146)-MIN(AG146:AT146))</t>
        </is>
      </c>
      <c r="AD146" s="38" t="inlineStr">
        <is>
          <t>IF(OR(AB146="",AA146="Not started",AA146=""),"",IFERROR(AB146-IF(VLOOKUP(AA146,'04_Status_Pipeline'!$B$3:$E$20,4,FALSE)="",0,VLOOKUP(AA146,'04_Status_Pipeline'!$B$3:$E$20,4,FALSE)),""))</t>
        </is>
      </c>
      <c r="AE146" s="32" t="inlineStr">
        <is>
          <t>IF(E146="","",IF(OR(Y146="Cancelled",AA146="Cancelled"),"Cancelled",IF(OR(AA146="Completed / Handover",W146&lt;&gt;"",X146&gt;=100),"Completed — on track",IF(L146="Remaining",IF(S146="",IF(V146="","No planned date",IF(TODAY()&gt;V146,"Behind — past planned date",IF(V146-TODAY()&lt;=30,"At risk — close to off track","On track"))),IF(TODAY()&gt;S146,"Behind — award date passed",IF(S146-TODAY()&lt;=30,"At risk — close to off track","On track"))),IF(V146="","No planned date",IF(AND(TODAY()&gt;V146,OR(X146="",X146&lt;100)),"Behind — past end date",IF(AND(R146&lt;&gt;"",V146&lt;&gt;"",X146&lt;&gt;"",(X146&lt;100),((TODAY()-R146)/MAX(V146-R146,1)*100)-X146&gt;15),"Behind — progress lag",IF(AND(V146-TODAY()&lt;=30,V146-TODAY()&gt;=0,OR(X146="",X146&lt;90)),"At risk — close to off track","On track"))))))))</t>
        </is>
      </c>
      <c r="AF146" s="38" t="inlineStr">
        <is>
          <t>IF(OR(E146="",AA146="Completed / Handover",AA146="Cancelled"),"",IF(L146="Remaining",IF(S146&lt;&gt;"",S146-TODAY(),IF(V146="","",V146-TODAY())),IF(V146="","",V146-TODAY())))</t>
        </is>
      </c>
      <c r="AG146" s="36" t="n"/>
      <c r="AH146" s="36" t="n"/>
      <c r="AI146" s="36" t="n"/>
      <c r="AJ146" s="36" t="n"/>
      <c r="AK146" s="36" t="n"/>
      <c r="AL146" s="36" t="n"/>
      <c r="AM146" s="36" t="n"/>
      <c r="AN146" s="36" t="n"/>
      <c r="AO146" s="36" t="n"/>
      <c r="AP146" s="36" t="n"/>
      <c r="AQ146" s="36" t="n"/>
      <c r="AR146" s="40" t="n"/>
      <c r="AS146" s="40" t="n"/>
      <c r="AT146" s="40" t="n"/>
      <c r="AU146" s="38" t="inlineStr">
        <is>
          <t>IF(OR(E146="",AH146=""),"",IF(COUNT(AG146:AG146)=0,"",AH146-LOOKUP(2,1/(AG146:AG146&lt;&gt;""),AG146:AG146)))</t>
        </is>
      </c>
      <c r="AV146" s="38" t="inlineStr">
        <is>
          <t>IF(OR(E146="",AI146=""),"",IF(COUNT(AG146:AH146)=0,"",AI146-LOOKUP(2,1/(AG146:AH146&lt;&gt;""),AG146:AH146)))</t>
        </is>
      </c>
      <c r="AW146" s="38" t="inlineStr">
        <is>
          <t>IF(OR(E146="",AJ146=""),"",IF(COUNT(AG146:AI146)=0,"",AJ146-LOOKUP(2,1/(AG146:AI146&lt;&gt;""),AG146:AI146)))</t>
        </is>
      </c>
      <c r="AX146" s="38" t="inlineStr">
        <is>
          <t>IF(OR(E146="",AK146=""),"",IF(COUNT(AG146:AJ146)=0,"",AK146-LOOKUP(2,1/(AG146:AJ146&lt;&gt;""),AG146:AJ146)))</t>
        </is>
      </c>
      <c r="AY146" s="38" t="inlineStr">
        <is>
          <t>IF(OR(E146="",AL146=""),"",IF(COUNT(AG146:AK146)=0,"",AL146-LOOKUP(2,1/(AG146:AK146&lt;&gt;""),AG146:AK146)))</t>
        </is>
      </c>
      <c r="AZ146" s="38" t="inlineStr">
        <is>
          <t>IF(OR(E146="",AM146=""),"",IF(COUNT(AG146:AL146)=0,"",AM146-LOOKUP(2,1/(AG146:AL146&lt;&gt;""),AG146:AL146)))</t>
        </is>
      </c>
      <c r="BA146" s="38" t="inlineStr">
        <is>
          <t>IF(OR(E146="",AN146=""),"",IF(COUNT(AG146:AM146)=0,"",AN146-LOOKUP(2,1/(AG146:AM146&lt;&gt;""),AG146:AM146)))</t>
        </is>
      </c>
      <c r="BB146" s="38" t="inlineStr">
        <is>
          <t>IF(OR(E146="",AO146=""),"",IF(COUNT(AG146:AN146)=0,"",AO146-LOOKUP(2,1/(AG146:AN146&lt;&gt;""),AG146:AN146)))</t>
        </is>
      </c>
      <c r="BC146" s="38" t="inlineStr">
        <is>
          <t>IF(OR(E146="",AP146=""),"",IF(COUNT(AG146:AO146)=0,"",AP146-LOOKUP(2,1/(AG146:AO146&lt;&gt;""),AG146:AO146)))</t>
        </is>
      </c>
      <c r="BD146" s="38" t="inlineStr">
        <is>
          <t>IF(OR(E146="",AQ146=""),"",IF(COUNT(AG146:AP146)=0,"",AQ146-LOOKUP(2,1/(AG146:AP146&lt;&gt;""),AG146:AP146)))</t>
        </is>
      </c>
      <c r="BE146" s="38" t="inlineStr">
        <is>
          <t>IF(OR(E146="",AR146=""),"",IF(COUNT(AG146:AQ146)=0,"",AR146-LOOKUP(2,1/(AG146:AQ146&lt;&gt;""),AG146:AQ146)))</t>
        </is>
      </c>
      <c r="BF146" s="38" t="inlineStr">
        <is>
          <t>IF(OR(E146="",AS146=""),"",IF(COUNT(AG146:AR146)=0,"",AS146-LOOKUP(2,1/(AG146:AR146&lt;&gt;""),AG146:AR146)))</t>
        </is>
      </c>
      <c r="BG146" s="38" t="inlineStr">
        <is>
          <t>IF(OR(E146="",AT146=""),"",IF(COUNT(AG146:AS146)=0,"",AT146-LOOKUP(2,1/(AG146:AS146&lt;&gt;""),AG146:AS146)))</t>
        </is>
      </c>
      <c r="BH146" s="41" t="inlineStr">
        <is>
          <t>IF(G146="","All_Provinces",IFERROR(VLOOKUP(G146,'07_Lookups'!$A$4:$B$20,2,FALSE),"All_Provinces"))</t>
        </is>
      </c>
      <c r="BI146" s="41" t="inlineStr">
        <is>
          <t>IF(H146="","All_Districts",IFERROR(VLOOKUP(H146,'07_Lookups'!$E$4:$F$42,2,FALSE),"All_Districts"))</t>
        </is>
      </c>
    </row>
    <row r="147" ht="18" customHeight="1">
      <c r="A147" s="32" t="inlineStr">
        <is>
          <t>IF(E147="","",ROW()-3)</t>
        </is>
      </c>
      <c r="B147" s="42" t="inlineStr">
        <is>
          <t>AF2-WSM-R-008</t>
        </is>
      </c>
      <c r="C147" s="42" t="inlineStr">
        <is>
          <t>Emergency Food Security Project (EFSP) – WBK/AF-2</t>
        </is>
      </c>
      <c r="D147" s="42" t="inlineStr">
        <is>
          <t>Package #22-AF2 WSM: Construction of 5 Check dams 1.Kocni Karez , 2.By Khosh , 3. Ghul Khani, 4. Chy Dara in Ghorak district , and 5. Khanjak Mastan Aka in Nesh district of Kandahar province.</t>
        </is>
      </c>
      <c r="E147" s="42" t="inlineStr">
        <is>
          <t>Kocni Karez Check Dam</t>
        </is>
      </c>
      <c r="F147" s="42" t="inlineStr">
        <is>
          <t>Check Dam</t>
        </is>
      </c>
      <c r="G147" s="42" t="inlineStr">
        <is>
          <t>South / Kandahar</t>
        </is>
      </c>
      <c r="H147" s="42" t="inlineStr">
        <is>
          <t>Kandahar</t>
        </is>
      </c>
      <c r="I147" s="42" t="inlineStr">
        <is>
          <t>Ghorak</t>
        </is>
      </c>
      <c r="J147" s="42" t="inlineStr">
        <is>
          <t>Kocni Karez Village</t>
        </is>
      </c>
      <c r="K147" s="42" t="inlineStr">
        <is>
          <t>World Bank (WBK/AF-2)</t>
        </is>
      </c>
      <c r="L147" s="42" t="inlineStr">
        <is>
          <t>Remaining</t>
        </is>
      </c>
      <c r="M147" s="42" t="inlineStr">
        <is>
          <t>Watershed / Check dam</t>
        </is>
      </c>
      <c r="N147" s="42" t="inlineStr">
        <is>
          <t>4.WSM remaining contracts</t>
        </is>
      </c>
      <c r="O147" s="42" t="inlineStr"/>
      <c r="P147" s="42" t="inlineStr"/>
      <c r="Q147" s="43" t="n">
        <v>135000</v>
      </c>
      <c r="R147" s="35" t="inlineStr">
        <is>
          <t>IF(AO147="","",AO147)</t>
        </is>
      </c>
      <c r="S147" s="44" t="n">
        <v>46356</v>
      </c>
      <c r="T147" s="45" t="n">
        <v>5.9</v>
      </c>
      <c r="U147" s="44" t="n">
        <v>46536</v>
      </c>
      <c r="V147" s="35" t="inlineStr">
        <is>
          <t>IF(U147&lt;&gt;"",U147,IF(OR(R147="",T147=""),"",EDATE(R147,T147)))</t>
        </is>
      </c>
      <c r="W147" s="44" t="n"/>
      <c r="X147" s="45" t="n"/>
      <c r="Y147" s="42" t="inlineStr">
        <is>
          <t>Under Design</t>
        </is>
      </c>
      <c r="Z147" s="42" t="inlineStr">
        <is>
          <t>Technical clearance is expected to receive at end October. PR raised and ITB launched by the first week of November and award of contract by the end of November. Construction period for six months</t>
        </is>
      </c>
      <c r="AA147" s="32" t="inlineStr">
        <is>
          <t>IF(E147="","",IF(COUNT(AG147:AT147)=0,IF(Y147="","Not started",Y147),SUBSTITUTE(LOOKUP(2,1/(AG147:AT147&lt;&gt;""),$AG$3:$AT$3),"Date: ","")))</t>
        </is>
      </c>
      <c r="AB147" s="38" t="inlineStr">
        <is>
          <t>IF(OR(E147="",COUNT(AG147:AT147)=0),"",TODAY()-LOOKUP(2,1/(AG147:AT147&lt;&gt;""),AG147:AT147))</t>
        </is>
      </c>
      <c r="AC147" s="38" t="inlineStr">
        <is>
          <t>IF(OR(E147="",COUNT(AG147:AT147)&lt;2),"",LOOKUP(2,1/(AG147:AT147&lt;&gt;""),AG147:AT147)-MIN(AG147:AT147))</t>
        </is>
      </c>
      <c r="AD147" s="38" t="inlineStr">
        <is>
          <t>IF(OR(AB147="",AA147="Not started",AA147=""),"",IFERROR(AB147-IF(VLOOKUP(AA147,'04_Status_Pipeline'!$B$3:$E$20,4,FALSE)="",0,VLOOKUP(AA147,'04_Status_Pipeline'!$B$3:$E$20,4,FALSE)),""))</t>
        </is>
      </c>
      <c r="AE147" s="32" t="inlineStr">
        <is>
          <t>IF(E147="","",IF(OR(Y147="Cancelled",AA147="Cancelled"),"Cancelled",IF(OR(AA147="Completed / Handover",W147&lt;&gt;"",X147&gt;=100),"Completed — on track",IF(L147="Remaining",IF(S147="",IF(V147="","No planned date",IF(TODAY()&gt;V147,"Behind — past planned date",IF(V147-TODAY()&lt;=30,"At risk — close to off track","On track"))),IF(TODAY()&gt;S147,"Behind — award date passed",IF(S147-TODAY()&lt;=30,"At risk — close to off track","On track"))),IF(V147="","No planned date",IF(AND(TODAY()&gt;V147,OR(X147="",X147&lt;100)),"Behind — past end date",IF(AND(R147&lt;&gt;"",V147&lt;&gt;"",X147&lt;&gt;"",(X147&lt;100),((TODAY()-R147)/MAX(V147-R147,1)*100)-X147&gt;15),"Behind — progress lag",IF(AND(V147-TODAY()&lt;=30,V147-TODAY()&gt;=0,OR(X147="",X147&lt;90)),"At risk — close to off track","On track"))))))))</t>
        </is>
      </c>
      <c r="AF147" s="38" t="inlineStr">
        <is>
          <t>IF(OR(E147="",AA147="Completed / Handover",AA147="Cancelled"),"",IF(L147="Remaining",IF(S147&lt;&gt;"",S147-TODAY(),IF(V147="","",V147-TODAY())),IF(V147="","",V147-TODAY())))</t>
        </is>
      </c>
      <c r="AG147" s="44" t="n"/>
      <c r="AH147" s="44" t="n"/>
      <c r="AI147" s="44" t="n"/>
      <c r="AJ147" s="44" t="n"/>
      <c r="AK147" s="44" t="n"/>
      <c r="AL147" s="44" t="n"/>
      <c r="AM147" s="44" t="n"/>
      <c r="AN147" s="44" t="n"/>
      <c r="AO147" s="44" t="n"/>
      <c r="AP147" s="44" t="n"/>
      <c r="AQ147" s="44" t="n"/>
      <c r="AR147" s="40" t="n"/>
      <c r="AS147" s="40" t="n"/>
      <c r="AT147" s="40" t="n"/>
      <c r="AU147" s="38" t="inlineStr">
        <is>
          <t>IF(OR(E147="",AH147=""),"",IF(COUNT(AG147:AG147)=0,"",AH147-LOOKUP(2,1/(AG147:AG147&lt;&gt;""),AG147:AG147)))</t>
        </is>
      </c>
      <c r="AV147" s="38" t="inlineStr">
        <is>
          <t>IF(OR(E147="",AI147=""),"",IF(COUNT(AG147:AH147)=0,"",AI147-LOOKUP(2,1/(AG147:AH147&lt;&gt;""),AG147:AH147)))</t>
        </is>
      </c>
      <c r="AW147" s="38" t="inlineStr">
        <is>
          <t>IF(OR(E147="",AJ147=""),"",IF(COUNT(AG147:AI147)=0,"",AJ147-LOOKUP(2,1/(AG147:AI147&lt;&gt;""),AG147:AI147)))</t>
        </is>
      </c>
      <c r="AX147" s="38" t="inlineStr">
        <is>
          <t>IF(OR(E147="",AK147=""),"",IF(COUNT(AG147:AJ147)=0,"",AK147-LOOKUP(2,1/(AG147:AJ147&lt;&gt;""),AG147:AJ147)))</t>
        </is>
      </c>
      <c r="AY147" s="38" t="inlineStr">
        <is>
          <t>IF(OR(E147="",AL147=""),"",IF(COUNT(AG147:AK147)=0,"",AL147-LOOKUP(2,1/(AG147:AK147&lt;&gt;""),AG147:AK147)))</t>
        </is>
      </c>
      <c r="AZ147" s="38" t="inlineStr">
        <is>
          <t>IF(OR(E147="",AM147=""),"",IF(COUNT(AG147:AL147)=0,"",AM147-LOOKUP(2,1/(AG147:AL147&lt;&gt;""),AG147:AL147)))</t>
        </is>
      </c>
      <c r="BA147" s="38" t="inlineStr">
        <is>
          <t>IF(OR(E147="",AN147=""),"",IF(COUNT(AG147:AM147)=0,"",AN147-LOOKUP(2,1/(AG147:AM147&lt;&gt;""),AG147:AM147)))</t>
        </is>
      </c>
      <c r="BB147" s="38" t="inlineStr">
        <is>
          <t>IF(OR(E147="",AO147=""),"",IF(COUNT(AG147:AN147)=0,"",AO147-LOOKUP(2,1/(AG147:AN147&lt;&gt;""),AG147:AN147)))</t>
        </is>
      </c>
      <c r="BC147" s="38" t="inlineStr">
        <is>
          <t>IF(OR(E147="",AP147=""),"",IF(COUNT(AG147:AO147)=0,"",AP147-LOOKUP(2,1/(AG147:AO147&lt;&gt;""),AG147:AO147)))</t>
        </is>
      </c>
      <c r="BD147" s="38" t="inlineStr">
        <is>
          <t>IF(OR(E147="",AQ147=""),"",IF(COUNT(AG147:AP147)=0,"",AQ147-LOOKUP(2,1/(AG147:AP147&lt;&gt;""),AG147:AP147)))</t>
        </is>
      </c>
      <c r="BE147" s="38" t="inlineStr">
        <is>
          <t>IF(OR(E147="",AR147=""),"",IF(COUNT(AG147:AQ147)=0,"",AR147-LOOKUP(2,1/(AG147:AQ147&lt;&gt;""),AG147:AQ147)))</t>
        </is>
      </c>
      <c r="BF147" s="38" t="inlineStr">
        <is>
          <t>IF(OR(E147="",AS147=""),"",IF(COUNT(AG147:AR147)=0,"",AS147-LOOKUP(2,1/(AG147:AR147&lt;&gt;""),AG147:AR147)))</t>
        </is>
      </c>
      <c r="BG147" s="38" t="inlineStr">
        <is>
          <t>IF(OR(E147="",AT147=""),"",IF(COUNT(AG147:AS147)=0,"",AT147-LOOKUP(2,1/(AG147:AS147&lt;&gt;""),AG147:AS147)))</t>
        </is>
      </c>
      <c r="BH147" s="41" t="inlineStr">
        <is>
          <t>IF(G147="","All_Provinces",IFERROR(VLOOKUP(G147,'07_Lookups'!$A$4:$B$20,2,FALSE),"All_Provinces"))</t>
        </is>
      </c>
      <c r="BI147" s="41" t="inlineStr">
        <is>
          <t>IF(H147="","All_Districts",IFERROR(VLOOKUP(H147,'07_Lookups'!$E$4:$F$42,2,FALSE),"All_Districts"))</t>
        </is>
      </c>
    </row>
    <row r="148" ht="18" customHeight="1">
      <c r="A148" s="32" t="inlineStr">
        <is>
          <t>IF(E148="","",ROW()-3)</t>
        </is>
      </c>
      <c r="B148" s="33" t="inlineStr">
        <is>
          <t>AF2-WSM-R-009</t>
        </is>
      </c>
      <c r="C148" s="33" t="inlineStr">
        <is>
          <t>Emergency Food Security Project (EFSP) – WBK/AF-2</t>
        </is>
      </c>
      <c r="D148" s="33" t="inlineStr">
        <is>
          <t>Package #22-AF2 WSM: Construction of 5 Check dams 1.Kocni Karez , 2.By Khosh , 3. Ghul Khani, 4. Chy Dara in Ghorak district , and 5. Khanjak Mastan Aka in Nesh district of Kandahar province.</t>
        </is>
      </c>
      <c r="E148" s="33" t="inlineStr">
        <is>
          <t>By Khosh Dara Check Dam</t>
        </is>
      </c>
      <c r="F148" s="33" t="inlineStr">
        <is>
          <t>Check Dam</t>
        </is>
      </c>
      <c r="G148" s="33" t="inlineStr">
        <is>
          <t>South / Kandahar</t>
        </is>
      </c>
      <c r="H148" s="33" t="inlineStr">
        <is>
          <t>Kandahar</t>
        </is>
      </c>
      <c r="I148" s="33" t="inlineStr">
        <is>
          <t>Ghorak</t>
        </is>
      </c>
      <c r="J148" s="33" t="inlineStr">
        <is>
          <t>By Khosh Village</t>
        </is>
      </c>
      <c r="K148" s="33" t="inlineStr">
        <is>
          <t>World Bank (WBK/AF-2)</t>
        </is>
      </c>
      <c r="L148" s="33" t="inlineStr">
        <is>
          <t>Remaining</t>
        </is>
      </c>
      <c r="M148" s="33" t="inlineStr">
        <is>
          <t>Watershed / Check dam</t>
        </is>
      </c>
      <c r="N148" s="33" t="inlineStr">
        <is>
          <t>4.WSM remaining contracts</t>
        </is>
      </c>
      <c r="O148" s="33" t="inlineStr"/>
      <c r="P148" s="33" t="inlineStr"/>
      <c r="Q148" s="34" t="n">
        <v>135000</v>
      </c>
      <c r="R148" s="35" t="inlineStr">
        <is>
          <t>IF(AO148="","",AO148)</t>
        </is>
      </c>
      <c r="S148" s="36" t="n">
        <v>46356</v>
      </c>
      <c r="T148" s="37" t="n">
        <v>5.9</v>
      </c>
      <c r="U148" s="36" t="n">
        <v>46536</v>
      </c>
      <c r="V148" s="35" t="inlineStr">
        <is>
          <t>IF(U148&lt;&gt;"",U148,IF(OR(R148="",T148=""),"",EDATE(R148,T148)))</t>
        </is>
      </c>
      <c r="W148" s="36" t="n"/>
      <c r="X148" s="37" t="n"/>
      <c r="Y148" s="33" t="inlineStr">
        <is>
          <t>Under Design</t>
        </is>
      </c>
      <c r="Z148" s="33" t="inlineStr">
        <is>
          <t>Technical clearance is expected to receive at end October. PR raised and ITB launched by the first week of November and award of contract by the end of November. Construction period for six months</t>
        </is>
      </c>
      <c r="AA148" s="32" t="inlineStr">
        <is>
          <t>IF(E148="","",IF(COUNT(AG148:AT148)=0,IF(Y148="","Not started",Y148),SUBSTITUTE(LOOKUP(2,1/(AG148:AT148&lt;&gt;""),$AG$3:$AT$3),"Date: ","")))</t>
        </is>
      </c>
      <c r="AB148" s="38" t="inlineStr">
        <is>
          <t>IF(OR(E148="",COUNT(AG148:AT148)=0),"",TODAY()-LOOKUP(2,1/(AG148:AT148&lt;&gt;""),AG148:AT148))</t>
        </is>
      </c>
      <c r="AC148" s="38" t="inlineStr">
        <is>
          <t>IF(OR(E148="",COUNT(AG148:AT148)&lt;2),"",LOOKUP(2,1/(AG148:AT148&lt;&gt;""),AG148:AT148)-MIN(AG148:AT148))</t>
        </is>
      </c>
      <c r="AD148" s="38" t="inlineStr">
        <is>
          <t>IF(OR(AB148="",AA148="Not started",AA148=""),"",IFERROR(AB148-IF(VLOOKUP(AA148,'04_Status_Pipeline'!$B$3:$E$20,4,FALSE)="",0,VLOOKUP(AA148,'04_Status_Pipeline'!$B$3:$E$20,4,FALSE)),""))</t>
        </is>
      </c>
      <c r="AE148" s="32" t="inlineStr">
        <is>
          <t>IF(E148="","",IF(OR(Y148="Cancelled",AA148="Cancelled"),"Cancelled",IF(OR(AA148="Completed / Handover",W148&lt;&gt;"",X148&gt;=100),"Completed — on track",IF(L148="Remaining",IF(S148="",IF(V148="","No planned date",IF(TODAY()&gt;V148,"Behind — past planned date",IF(V148-TODAY()&lt;=30,"At risk — close to off track","On track"))),IF(TODAY()&gt;S148,"Behind — award date passed",IF(S148-TODAY()&lt;=30,"At risk — close to off track","On track"))),IF(V148="","No planned date",IF(AND(TODAY()&gt;V148,OR(X148="",X148&lt;100)),"Behind — past end date",IF(AND(R148&lt;&gt;"",V148&lt;&gt;"",X148&lt;&gt;"",(X148&lt;100),((TODAY()-R148)/MAX(V148-R148,1)*100)-X148&gt;15),"Behind — progress lag",IF(AND(V148-TODAY()&lt;=30,V148-TODAY()&gt;=0,OR(X148="",X148&lt;90)),"At risk — close to off track","On track"))))))))</t>
        </is>
      </c>
      <c r="AF148" s="38" t="inlineStr">
        <is>
          <t>IF(OR(E148="",AA148="Completed / Handover",AA148="Cancelled"),"",IF(L148="Remaining",IF(S148&lt;&gt;"",S148-TODAY(),IF(V148="","",V148-TODAY())),IF(V148="","",V148-TODAY())))</t>
        </is>
      </c>
      <c r="AG148" s="36" t="n"/>
      <c r="AH148" s="36" t="n"/>
      <c r="AI148" s="36" t="n"/>
      <c r="AJ148" s="36" t="n"/>
      <c r="AK148" s="36" t="n"/>
      <c r="AL148" s="36" t="n"/>
      <c r="AM148" s="36" t="n"/>
      <c r="AN148" s="36" t="n"/>
      <c r="AO148" s="36" t="n"/>
      <c r="AP148" s="36" t="n"/>
      <c r="AQ148" s="36" t="n"/>
      <c r="AR148" s="40" t="n"/>
      <c r="AS148" s="40" t="n"/>
      <c r="AT148" s="40" t="n"/>
      <c r="AU148" s="38" t="inlineStr">
        <is>
          <t>IF(OR(E148="",AH148=""),"",IF(COUNT(AG148:AG148)=0,"",AH148-LOOKUP(2,1/(AG148:AG148&lt;&gt;""),AG148:AG148)))</t>
        </is>
      </c>
      <c r="AV148" s="38" t="inlineStr">
        <is>
          <t>IF(OR(E148="",AI148=""),"",IF(COUNT(AG148:AH148)=0,"",AI148-LOOKUP(2,1/(AG148:AH148&lt;&gt;""),AG148:AH148)))</t>
        </is>
      </c>
      <c r="AW148" s="38" t="inlineStr">
        <is>
          <t>IF(OR(E148="",AJ148=""),"",IF(COUNT(AG148:AI148)=0,"",AJ148-LOOKUP(2,1/(AG148:AI148&lt;&gt;""),AG148:AI148)))</t>
        </is>
      </c>
      <c r="AX148" s="38" t="inlineStr">
        <is>
          <t>IF(OR(E148="",AK148=""),"",IF(COUNT(AG148:AJ148)=0,"",AK148-LOOKUP(2,1/(AG148:AJ148&lt;&gt;""),AG148:AJ148)))</t>
        </is>
      </c>
      <c r="AY148" s="38" t="inlineStr">
        <is>
          <t>IF(OR(E148="",AL148=""),"",IF(COUNT(AG148:AK148)=0,"",AL148-LOOKUP(2,1/(AG148:AK148&lt;&gt;""),AG148:AK148)))</t>
        </is>
      </c>
      <c r="AZ148" s="38" t="inlineStr">
        <is>
          <t>IF(OR(E148="",AM148=""),"",IF(COUNT(AG148:AL148)=0,"",AM148-LOOKUP(2,1/(AG148:AL148&lt;&gt;""),AG148:AL148)))</t>
        </is>
      </c>
      <c r="BA148" s="38" t="inlineStr">
        <is>
          <t>IF(OR(E148="",AN148=""),"",IF(COUNT(AG148:AM148)=0,"",AN148-LOOKUP(2,1/(AG148:AM148&lt;&gt;""),AG148:AM148)))</t>
        </is>
      </c>
      <c r="BB148" s="38" t="inlineStr">
        <is>
          <t>IF(OR(E148="",AO148=""),"",IF(COUNT(AG148:AN148)=0,"",AO148-LOOKUP(2,1/(AG148:AN148&lt;&gt;""),AG148:AN148)))</t>
        </is>
      </c>
      <c r="BC148" s="38" t="inlineStr">
        <is>
          <t>IF(OR(E148="",AP148=""),"",IF(COUNT(AG148:AO148)=0,"",AP148-LOOKUP(2,1/(AG148:AO148&lt;&gt;""),AG148:AO148)))</t>
        </is>
      </c>
      <c r="BD148" s="38" t="inlineStr">
        <is>
          <t>IF(OR(E148="",AQ148=""),"",IF(COUNT(AG148:AP148)=0,"",AQ148-LOOKUP(2,1/(AG148:AP148&lt;&gt;""),AG148:AP148)))</t>
        </is>
      </c>
      <c r="BE148" s="38" t="inlineStr">
        <is>
          <t>IF(OR(E148="",AR148=""),"",IF(COUNT(AG148:AQ148)=0,"",AR148-LOOKUP(2,1/(AG148:AQ148&lt;&gt;""),AG148:AQ148)))</t>
        </is>
      </c>
      <c r="BF148" s="38" t="inlineStr">
        <is>
          <t>IF(OR(E148="",AS148=""),"",IF(COUNT(AG148:AR148)=0,"",AS148-LOOKUP(2,1/(AG148:AR148&lt;&gt;""),AG148:AR148)))</t>
        </is>
      </c>
      <c r="BG148" s="38" t="inlineStr">
        <is>
          <t>IF(OR(E148="",AT148=""),"",IF(COUNT(AG148:AS148)=0,"",AT148-LOOKUP(2,1/(AG148:AS148&lt;&gt;""),AG148:AS148)))</t>
        </is>
      </c>
      <c r="BH148" s="41" t="inlineStr">
        <is>
          <t>IF(G148="","All_Provinces",IFERROR(VLOOKUP(G148,'07_Lookups'!$A$4:$B$20,2,FALSE),"All_Provinces"))</t>
        </is>
      </c>
      <c r="BI148" s="41" t="inlineStr">
        <is>
          <t>IF(H148="","All_Districts",IFERROR(VLOOKUP(H148,'07_Lookups'!$E$4:$F$42,2,FALSE),"All_Districts"))</t>
        </is>
      </c>
    </row>
    <row r="149" ht="18" customHeight="1">
      <c r="A149" s="32" t="inlineStr">
        <is>
          <t>IF(E149="","",ROW()-3)</t>
        </is>
      </c>
      <c r="B149" s="42" t="inlineStr">
        <is>
          <t>AF2-WSM-R-010</t>
        </is>
      </c>
      <c r="C149" s="42" t="inlineStr">
        <is>
          <t>Emergency Food Security Project (EFSP) – WBK/AF-2</t>
        </is>
      </c>
      <c r="D149" s="42" t="inlineStr">
        <is>
          <t>Package #22-AF2 WSM: Construction of 5 Check dams 1.Kocni Karez , 2.By Khosh , 3. Ghul Khani, 4. Chy Dara in Ghorak district , and 5. Khanjak Mastan Aka in Nesh district of Kandahar province.</t>
        </is>
      </c>
      <c r="E149" s="42" t="inlineStr">
        <is>
          <t>Ghul Khani Dara Check Dam</t>
        </is>
      </c>
      <c r="F149" s="42" t="inlineStr">
        <is>
          <t>Check Dam</t>
        </is>
      </c>
      <c r="G149" s="42" t="inlineStr">
        <is>
          <t>South / Kandahar</t>
        </is>
      </c>
      <c r="H149" s="42" t="inlineStr">
        <is>
          <t>Kandahar</t>
        </is>
      </c>
      <c r="I149" s="42" t="inlineStr">
        <is>
          <t>Ghorak</t>
        </is>
      </c>
      <c r="J149" s="42" t="inlineStr">
        <is>
          <t>Ghul Khani Village</t>
        </is>
      </c>
      <c r="K149" s="42" t="inlineStr">
        <is>
          <t>World Bank (WBK/AF-2)</t>
        </is>
      </c>
      <c r="L149" s="42" t="inlineStr">
        <is>
          <t>Remaining</t>
        </is>
      </c>
      <c r="M149" s="42" t="inlineStr">
        <is>
          <t>Watershed / Check dam</t>
        </is>
      </c>
      <c r="N149" s="42" t="inlineStr">
        <is>
          <t>4.WSM remaining contracts</t>
        </is>
      </c>
      <c r="O149" s="42" t="inlineStr"/>
      <c r="P149" s="42" t="inlineStr"/>
      <c r="Q149" s="43" t="n">
        <v>135000</v>
      </c>
      <c r="R149" s="35" t="inlineStr">
        <is>
          <t>IF(AO149="","",AO149)</t>
        </is>
      </c>
      <c r="S149" s="44" t="n">
        <v>46356</v>
      </c>
      <c r="T149" s="45" t="n">
        <v>5.9</v>
      </c>
      <c r="U149" s="44" t="n">
        <v>46536</v>
      </c>
      <c r="V149" s="35" t="inlineStr">
        <is>
          <t>IF(U149&lt;&gt;"",U149,IF(OR(R149="",T149=""),"",EDATE(R149,T149)))</t>
        </is>
      </c>
      <c r="W149" s="44" t="n"/>
      <c r="X149" s="45" t="n"/>
      <c r="Y149" s="42" t="inlineStr">
        <is>
          <t>Under Design</t>
        </is>
      </c>
      <c r="Z149" s="42" t="inlineStr">
        <is>
          <t>Technical clearance is expected to receive at end October. PR raised and ITB launched by the first week of November and award of contract by the end of November. Construction period for six months</t>
        </is>
      </c>
      <c r="AA149" s="32" t="inlineStr">
        <is>
          <t>IF(E149="","",IF(COUNT(AG149:AT149)=0,IF(Y149="","Not started",Y149),SUBSTITUTE(LOOKUP(2,1/(AG149:AT149&lt;&gt;""),$AG$3:$AT$3),"Date: ","")))</t>
        </is>
      </c>
      <c r="AB149" s="38" t="inlineStr">
        <is>
          <t>IF(OR(E149="",COUNT(AG149:AT149)=0),"",TODAY()-LOOKUP(2,1/(AG149:AT149&lt;&gt;""),AG149:AT149))</t>
        </is>
      </c>
      <c r="AC149" s="38" t="inlineStr">
        <is>
          <t>IF(OR(E149="",COUNT(AG149:AT149)&lt;2),"",LOOKUP(2,1/(AG149:AT149&lt;&gt;""),AG149:AT149)-MIN(AG149:AT149))</t>
        </is>
      </c>
      <c r="AD149" s="38" t="inlineStr">
        <is>
          <t>IF(OR(AB149="",AA149="Not started",AA149=""),"",IFERROR(AB149-IF(VLOOKUP(AA149,'04_Status_Pipeline'!$B$3:$E$20,4,FALSE)="",0,VLOOKUP(AA149,'04_Status_Pipeline'!$B$3:$E$20,4,FALSE)),""))</t>
        </is>
      </c>
      <c r="AE149" s="32" t="inlineStr">
        <is>
          <t>IF(E149="","",IF(OR(Y149="Cancelled",AA149="Cancelled"),"Cancelled",IF(OR(AA149="Completed / Handover",W149&lt;&gt;"",X149&gt;=100),"Completed — on track",IF(L149="Remaining",IF(S149="",IF(V149="","No planned date",IF(TODAY()&gt;V149,"Behind — past planned date",IF(V149-TODAY()&lt;=30,"At risk — close to off track","On track"))),IF(TODAY()&gt;S149,"Behind — award date passed",IF(S149-TODAY()&lt;=30,"At risk — close to off track","On track"))),IF(V149="","No planned date",IF(AND(TODAY()&gt;V149,OR(X149="",X149&lt;100)),"Behind — past end date",IF(AND(R149&lt;&gt;"",V149&lt;&gt;"",X149&lt;&gt;"",(X149&lt;100),((TODAY()-R149)/MAX(V149-R149,1)*100)-X149&gt;15),"Behind — progress lag",IF(AND(V149-TODAY()&lt;=30,V149-TODAY()&gt;=0,OR(X149="",X149&lt;90)),"At risk — close to off track","On track"))))))))</t>
        </is>
      </c>
      <c r="AF149" s="38" t="inlineStr">
        <is>
          <t>IF(OR(E149="",AA149="Completed / Handover",AA149="Cancelled"),"",IF(L149="Remaining",IF(S149&lt;&gt;"",S149-TODAY(),IF(V149="","",V149-TODAY())),IF(V149="","",V149-TODAY())))</t>
        </is>
      </c>
      <c r="AG149" s="44" t="n"/>
      <c r="AH149" s="44" t="n"/>
      <c r="AI149" s="44" t="n"/>
      <c r="AJ149" s="44" t="n"/>
      <c r="AK149" s="44" t="n"/>
      <c r="AL149" s="44" t="n"/>
      <c r="AM149" s="44" t="n"/>
      <c r="AN149" s="44" t="n"/>
      <c r="AO149" s="44" t="n"/>
      <c r="AP149" s="44" t="n"/>
      <c r="AQ149" s="44" t="n"/>
      <c r="AR149" s="40" t="n"/>
      <c r="AS149" s="40" t="n"/>
      <c r="AT149" s="40" t="n"/>
      <c r="AU149" s="38" t="inlineStr">
        <is>
          <t>IF(OR(E149="",AH149=""),"",IF(COUNT(AG149:AG149)=0,"",AH149-LOOKUP(2,1/(AG149:AG149&lt;&gt;""),AG149:AG149)))</t>
        </is>
      </c>
      <c r="AV149" s="38" t="inlineStr">
        <is>
          <t>IF(OR(E149="",AI149=""),"",IF(COUNT(AG149:AH149)=0,"",AI149-LOOKUP(2,1/(AG149:AH149&lt;&gt;""),AG149:AH149)))</t>
        </is>
      </c>
      <c r="AW149" s="38" t="inlineStr">
        <is>
          <t>IF(OR(E149="",AJ149=""),"",IF(COUNT(AG149:AI149)=0,"",AJ149-LOOKUP(2,1/(AG149:AI149&lt;&gt;""),AG149:AI149)))</t>
        </is>
      </c>
      <c r="AX149" s="38" t="inlineStr">
        <is>
          <t>IF(OR(E149="",AK149=""),"",IF(COUNT(AG149:AJ149)=0,"",AK149-LOOKUP(2,1/(AG149:AJ149&lt;&gt;""),AG149:AJ149)))</t>
        </is>
      </c>
      <c r="AY149" s="38" t="inlineStr">
        <is>
          <t>IF(OR(E149="",AL149=""),"",IF(COUNT(AG149:AK149)=0,"",AL149-LOOKUP(2,1/(AG149:AK149&lt;&gt;""),AG149:AK149)))</t>
        </is>
      </c>
      <c r="AZ149" s="38" t="inlineStr">
        <is>
          <t>IF(OR(E149="",AM149=""),"",IF(COUNT(AG149:AL149)=0,"",AM149-LOOKUP(2,1/(AG149:AL149&lt;&gt;""),AG149:AL149)))</t>
        </is>
      </c>
      <c r="BA149" s="38" t="inlineStr">
        <is>
          <t>IF(OR(E149="",AN149=""),"",IF(COUNT(AG149:AM149)=0,"",AN149-LOOKUP(2,1/(AG149:AM149&lt;&gt;""),AG149:AM149)))</t>
        </is>
      </c>
      <c r="BB149" s="38" t="inlineStr">
        <is>
          <t>IF(OR(E149="",AO149=""),"",IF(COUNT(AG149:AN149)=0,"",AO149-LOOKUP(2,1/(AG149:AN149&lt;&gt;""),AG149:AN149)))</t>
        </is>
      </c>
      <c r="BC149" s="38" t="inlineStr">
        <is>
          <t>IF(OR(E149="",AP149=""),"",IF(COUNT(AG149:AO149)=0,"",AP149-LOOKUP(2,1/(AG149:AO149&lt;&gt;""),AG149:AO149)))</t>
        </is>
      </c>
      <c r="BD149" s="38" t="inlineStr">
        <is>
          <t>IF(OR(E149="",AQ149=""),"",IF(COUNT(AG149:AP149)=0,"",AQ149-LOOKUP(2,1/(AG149:AP149&lt;&gt;""),AG149:AP149)))</t>
        </is>
      </c>
      <c r="BE149" s="38" t="inlineStr">
        <is>
          <t>IF(OR(E149="",AR149=""),"",IF(COUNT(AG149:AQ149)=0,"",AR149-LOOKUP(2,1/(AG149:AQ149&lt;&gt;""),AG149:AQ149)))</t>
        </is>
      </c>
      <c r="BF149" s="38" t="inlineStr">
        <is>
          <t>IF(OR(E149="",AS149=""),"",IF(COUNT(AG149:AR149)=0,"",AS149-LOOKUP(2,1/(AG149:AR149&lt;&gt;""),AG149:AR149)))</t>
        </is>
      </c>
      <c r="BG149" s="38" t="inlineStr">
        <is>
          <t>IF(OR(E149="",AT149=""),"",IF(COUNT(AG149:AS149)=0,"",AT149-LOOKUP(2,1/(AG149:AS149&lt;&gt;""),AG149:AS149)))</t>
        </is>
      </c>
      <c r="BH149" s="41" t="inlineStr">
        <is>
          <t>IF(G149="","All_Provinces",IFERROR(VLOOKUP(G149,'07_Lookups'!$A$4:$B$20,2,FALSE),"All_Provinces"))</t>
        </is>
      </c>
      <c r="BI149" s="41" t="inlineStr">
        <is>
          <t>IF(H149="","All_Districts",IFERROR(VLOOKUP(H149,'07_Lookups'!$E$4:$F$42,2,FALSE),"All_Districts"))</t>
        </is>
      </c>
    </row>
    <row r="150" ht="18" customHeight="1">
      <c r="A150" s="32" t="inlineStr">
        <is>
          <t>IF(E150="","",ROW()-3)</t>
        </is>
      </c>
      <c r="B150" s="33" t="inlineStr">
        <is>
          <t>AF2-WSM-R-011</t>
        </is>
      </c>
      <c r="C150" s="33" t="inlineStr">
        <is>
          <t>Emergency Food Security Project (EFSP) – WBK/AF-2</t>
        </is>
      </c>
      <c r="D150" s="33" t="inlineStr">
        <is>
          <t>Package #22-AF2 WSM: Construction of 5 Check dams 1.Kocni Karez , 2.By Khosh , 3. Ghul Khani, 4. Chy Dara in Ghorak district , and 5. Khanjak Mastan Aka in Nesh district of Kandahar province.</t>
        </is>
      </c>
      <c r="E150" s="33" t="inlineStr">
        <is>
          <t>Chy Dara Check Dam</t>
        </is>
      </c>
      <c r="F150" s="33" t="inlineStr">
        <is>
          <t>Check Dam</t>
        </is>
      </c>
      <c r="G150" s="33" t="inlineStr">
        <is>
          <t>South / Kandahar</t>
        </is>
      </c>
      <c r="H150" s="33" t="inlineStr">
        <is>
          <t>Kandahar</t>
        </is>
      </c>
      <c r="I150" s="33" t="inlineStr">
        <is>
          <t>Ghorak</t>
        </is>
      </c>
      <c r="J150" s="33" t="inlineStr">
        <is>
          <t>Chy dar Village</t>
        </is>
      </c>
      <c r="K150" s="33" t="inlineStr">
        <is>
          <t>World Bank (WBK/AF-2)</t>
        </is>
      </c>
      <c r="L150" s="33" t="inlineStr">
        <is>
          <t>Remaining</t>
        </is>
      </c>
      <c r="M150" s="33" t="inlineStr">
        <is>
          <t>Watershed / Check dam</t>
        </is>
      </c>
      <c r="N150" s="33" t="inlineStr">
        <is>
          <t>4.WSM remaining contracts</t>
        </is>
      </c>
      <c r="O150" s="33" t="inlineStr"/>
      <c r="P150" s="33" t="inlineStr"/>
      <c r="Q150" s="34" t="n">
        <v>135000</v>
      </c>
      <c r="R150" s="35" t="inlineStr">
        <is>
          <t>IF(AO150="","",AO150)</t>
        </is>
      </c>
      <c r="S150" s="36" t="n">
        <v>46356</v>
      </c>
      <c r="T150" s="37" t="n">
        <v>5.9</v>
      </c>
      <c r="U150" s="36" t="n">
        <v>46536</v>
      </c>
      <c r="V150" s="35" t="inlineStr">
        <is>
          <t>IF(U150&lt;&gt;"",U150,IF(OR(R150="",T150=""),"",EDATE(R150,T150)))</t>
        </is>
      </c>
      <c r="W150" s="36" t="n"/>
      <c r="X150" s="37" t="n"/>
      <c r="Y150" s="33" t="inlineStr">
        <is>
          <t>Under Design</t>
        </is>
      </c>
      <c r="Z150" s="33" t="inlineStr">
        <is>
          <t>Technical clearance is expected to receive at end October. PR raised and ITB launched by the first week of November and award of contract by the end of November. Construction period for six months</t>
        </is>
      </c>
      <c r="AA150" s="32" t="inlineStr">
        <is>
          <t>IF(E150="","",IF(COUNT(AG150:AT150)=0,IF(Y150="","Not started",Y150),SUBSTITUTE(LOOKUP(2,1/(AG150:AT150&lt;&gt;""),$AG$3:$AT$3),"Date: ","")))</t>
        </is>
      </c>
      <c r="AB150" s="38" t="inlineStr">
        <is>
          <t>IF(OR(E150="",COUNT(AG150:AT150)=0),"",TODAY()-LOOKUP(2,1/(AG150:AT150&lt;&gt;""),AG150:AT150))</t>
        </is>
      </c>
      <c r="AC150" s="38" t="inlineStr">
        <is>
          <t>IF(OR(E150="",COUNT(AG150:AT150)&lt;2),"",LOOKUP(2,1/(AG150:AT150&lt;&gt;""),AG150:AT150)-MIN(AG150:AT150))</t>
        </is>
      </c>
      <c r="AD150" s="38" t="inlineStr">
        <is>
          <t>IF(OR(AB150="",AA150="Not started",AA150=""),"",IFERROR(AB150-IF(VLOOKUP(AA150,'04_Status_Pipeline'!$B$3:$E$20,4,FALSE)="",0,VLOOKUP(AA150,'04_Status_Pipeline'!$B$3:$E$20,4,FALSE)),""))</t>
        </is>
      </c>
      <c r="AE150" s="32" t="inlineStr">
        <is>
          <t>IF(E150="","",IF(OR(Y150="Cancelled",AA150="Cancelled"),"Cancelled",IF(OR(AA150="Completed / Handover",W150&lt;&gt;"",X150&gt;=100),"Completed — on track",IF(L150="Remaining",IF(S150="",IF(V150="","No planned date",IF(TODAY()&gt;V150,"Behind — past planned date",IF(V150-TODAY()&lt;=30,"At risk — close to off track","On track"))),IF(TODAY()&gt;S150,"Behind — award date passed",IF(S150-TODAY()&lt;=30,"At risk — close to off track","On track"))),IF(V150="","No planned date",IF(AND(TODAY()&gt;V150,OR(X150="",X150&lt;100)),"Behind — past end date",IF(AND(R150&lt;&gt;"",V150&lt;&gt;"",X150&lt;&gt;"",(X150&lt;100),((TODAY()-R150)/MAX(V150-R150,1)*100)-X150&gt;15),"Behind — progress lag",IF(AND(V150-TODAY()&lt;=30,V150-TODAY()&gt;=0,OR(X150="",X150&lt;90)),"At risk — close to off track","On track"))))))))</t>
        </is>
      </c>
      <c r="AF150" s="38" t="inlineStr">
        <is>
          <t>IF(OR(E150="",AA150="Completed / Handover",AA150="Cancelled"),"",IF(L150="Remaining",IF(S150&lt;&gt;"",S150-TODAY(),IF(V150="","",V150-TODAY())),IF(V150="","",V150-TODAY())))</t>
        </is>
      </c>
      <c r="AG150" s="36" t="n"/>
      <c r="AH150" s="36" t="n"/>
      <c r="AI150" s="36" t="n"/>
      <c r="AJ150" s="36" t="n"/>
      <c r="AK150" s="36" t="n"/>
      <c r="AL150" s="36" t="n"/>
      <c r="AM150" s="36" t="n"/>
      <c r="AN150" s="36" t="n"/>
      <c r="AO150" s="36" t="n"/>
      <c r="AP150" s="36" t="n"/>
      <c r="AQ150" s="36" t="n"/>
      <c r="AR150" s="40" t="n"/>
      <c r="AS150" s="40" t="n"/>
      <c r="AT150" s="40" t="n"/>
      <c r="AU150" s="38" t="inlineStr">
        <is>
          <t>IF(OR(E150="",AH150=""),"",IF(COUNT(AG150:AG150)=0,"",AH150-LOOKUP(2,1/(AG150:AG150&lt;&gt;""),AG150:AG150)))</t>
        </is>
      </c>
      <c r="AV150" s="38" t="inlineStr">
        <is>
          <t>IF(OR(E150="",AI150=""),"",IF(COUNT(AG150:AH150)=0,"",AI150-LOOKUP(2,1/(AG150:AH150&lt;&gt;""),AG150:AH150)))</t>
        </is>
      </c>
      <c r="AW150" s="38" t="inlineStr">
        <is>
          <t>IF(OR(E150="",AJ150=""),"",IF(COUNT(AG150:AI150)=0,"",AJ150-LOOKUP(2,1/(AG150:AI150&lt;&gt;""),AG150:AI150)))</t>
        </is>
      </c>
      <c r="AX150" s="38" t="inlineStr">
        <is>
          <t>IF(OR(E150="",AK150=""),"",IF(COUNT(AG150:AJ150)=0,"",AK150-LOOKUP(2,1/(AG150:AJ150&lt;&gt;""),AG150:AJ150)))</t>
        </is>
      </c>
      <c r="AY150" s="38" t="inlineStr">
        <is>
          <t>IF(OR(E150="",AL150=""),"",IF(COUNT(AG150:AK150)=0,"",AL150-LOOKUP(2,1/(AG150:AK150&lt;&gt;""),AG150:AK150)))</t>
        </is>
      </c>
      <c r="AZ150" s="38" t="inlineStr">
        <is>
          <t>IF(OR(E150="",AM150=""),"",IF(COUNT(AG150:AL150)=0,"",AM150-LOOKUP(2,1/(AG150:AL150&lt;&gt;""),AG150:AL150)))</t>
        </is>
      </c>
      <c r="BA150" s="38" t="inlineStr">
        <is>
          <t>IF(OR(E150="",AN150=""),"",IF(COUNT(AG150:AM150)=0,"",AN150-LOOKUP(2,1/(AG150:AM150&lt;&gt;""),AG150:AM150)))</t>
        </is>
      </c>
      <c r="BB150" s="38" t="inlineStr">
        <is>
          <t>IF(OR(E150="",AO150=""),"",IF(COUNT(AG150:AN150)=0,"",AO150-LOOKUP(2,1/(AG150:AN150&lt;&gt;""),AG150:AN150)))</t>
        </is>
      </c>
      <c r="BC150" s="38" t="inlineStr">
        <is>
          <t>IF(OR(E150="",AP150=""),"",IF(COUNT(AG150:AO150)=0,"",AP150-LOOKUP(2,1/(AG150:AO150&lt;&gt;""),AG150:AO150)))</t>
        </is>
      </c>
      <c r="BD150" s="38" t="inlineStr">
        <is>
          <t>IF(OR(E150="",AQ150=""),"",IF(COUNT(AG150:AP150)=0,"",AQ150-LOOKUP(2,1/(AG150:AP150&lt;&gt;""),AG150:AP150)))</t>
        </is>
      </c>
      <c r="BE150" s="38" t="inlineStr">
        <is>
          <t>IF(OR(E150="",AR150=""),"",IF(COUNT(AG150:AQ150)=0,"",AR150-LOOKUP(2,1/(AG150:AQ150&lt;&gt;""),AG150:AQ150)))</t>
        </is>
      </c>
      <c r="BF150" s="38" t="inlineStr">
        <is>
          <t>IF(OR(E150="",AS150=""),"",IF(COUNT(AG150:AR150)=0,"",AS150-LOOKUP(2,1/(AG150:AR150&lt;&gt;""),AG150:AR150)))</t>
        </is>
      </c>
      <c r="BG150" s="38" t="inlineStr">
        <is>
          <t>IF(OR(E150="",AT150=""),"",IF(COUNT(AG150:AS150)=0,"",AT150-LOOKUP(2,1/(AG150:AS150&lt;&gt;""),AG150:AS150)))</t>
        </is>
      </c>
      <c r="BH150" s="41" t="inlineStr">
        <is>
          <t>IF(G150="","All_Provinces",IFERROR(VLOOKUP(G150,'07_Lookups'!$A$4:$B$20,2,FALSE),"All_Provinces"))</t>
        </is>
      </c>
      <c r="BI150" s="41" t="inlineStr">
        <is>
          <t>IF(H150="","All_Districts",IFERROR(VLOOKUP(H150,'07_Lookups'!$E$4:$F$42,2,FALSE),"All_Districts"))</t>
        </is>
      </c>
    </row>
    <row r="151" ht="18" customHeight="1">
      <c r="A151" s="32" t="inlineStr">
        <is>
          <t>IF(E151="","",ROW()-3)</t>
        </is>
      </c>
      <c r="B151" s="42" t="inlineStr">
        <is>
          <t>AF2-WSM-R-012</t>
        </is>
      </c>
      <c r="C151" s="42" t="inlineStr">
        <is>
          <t>Emergency Food Security Project (EFSP) – WBK/AF-2</t>
        </is>
      </c>
      <c r="D151" s="42" t="inlineStr">
        <is>
          <t>Package #22-AF2 WSM: Construction of 5 Check dams 1.Kocni Karez , 2.By Khosh , 3. Ghul Khani, 4. Chy Dara in Ghorak district , and 5. Khanjak Mastan Aka in Nesh district of Kandahar province.</t>
        </is>
      </c>
      <c r="E151" s="42" t="inlineStr">
        <is>
          <t>Khanjak Check Dam</t>
        </is>
      </c>
      <c r="F151" s="42" t="inlineStr">
        <is>
          <t>Check Dam</t>
        </is>
      </c>
      <c r="G151" s="42" t="inlineStr">
        <is>
          <t>South / Kandahar</t>
        </is>
      </c>
      <c r="H151" s="42" t="inlineStr">
        <is>
          <t>Kandahar</t>
        </is>
      </c>
      <c r="I151" s="42" t="inlineStr">
        <is>
          <t>Nesh</t>
        </is>
      </c>
      <c r="J151" s="42" t="inlineStr">
        <is>
          <t>Khanjak Mastan Aka</t>
        </is>
      </c>
      <c r="K151" s="42" t="inlineStr">
        <is>
          <t>World Bank (WBK/AF-2)</t>
        </is>
      </c>
      <c r="L151" s="42" t="inlineStr">
        <is>
          <t>Remaining</t>
        </is>
      </c>
      <c r="M151" s="42" t="inlineStr">
        <is>
          <t>Watershed / Check dam</t>
        </is>
      </c>
      <c r="N151" s="42" t="inlineStr">
        <is>
          <t>4.WSM remaining contracts</t>
        </is>
      </c>
      <c r="O151" s="42" t="inlineStr"/>
      <c r="P151" s="42" t="inlineStr"/>
      <c r="Q151" s="43" t="n">
        <v>135000</v>
      </c>
      <c r="R151" s="35" t="inlineStr">
        <is>
          <t>IF(AO151="","",AO151)</t>
        </is>
      </c>
      <c r="S151" s="44" t="n">
        <v>46356</v>
      </c>
      <c r="T151" s="45" t="n">
        <v>5.9</v>
      </c>
      <c r="U151" s="44" t="n">
        <v>46536</v>
      </c>
      <c r="V151" s="35" t="inlineStr">
        <is>
          <t>IF(U151&lt;&gt;"",U151,IF(OR(R151="",T151=""),"",EDATE(R151,T151)))</t>
        </is>
      </c>
      <c r="W151" s="44" t="n"/>
      <c r="X151" s="45" t="n"/>
      <c r="Y151" s="42" t="inlineStr">
        <is>
          <t>Under Design</t>
        </is>
      </c>
      <c r="Z151" s="42" t="inlineStr">
        <is>
          <t>Technical clearance is expected to receive at end October. PR raised and ITB launched by the first week of November and award of contract by the end of November. Construction period for six months</t>
        </is>
      </c>
      <c r="AA151" s="32" t="inlineStr">
        <is>
          <t>IF(E151="","",IF(COUNT(AG151:AT151)=0,IF(Y151="","Not started",Y151),SUBSTITUTE(LOOKUP(2,1/(AG151:AT151&lt;&gt;""),$AG$3:$AT$3),"Date: ","")))</t>
        </is>
      </c>
      <c r="AB151" s="38" t="inlineStr">
        <is>
          <t>IF(OR(E151="",COUNT(AG151:AT151)=0),"",TODAY()-LOOKUP(2,1/(AG151:AT151&lt;&gt;""),AG151:AT151))</t>
        </is>
      </c>
      <c r="AC151" s="38" t="inlineStr">
        <is>
          <t>IF(OR(E151="",COUNT(AG151:AT151)&lt;2),"",LOOKUP(2,1/(AG151:AT151&lt;&gt;""),AG151:AT151)-MIN(AG151:AT151))</t>
        </is>
      </c>
      <c r="AD151" s="38" t="inlineStr">
        <is>
          <t>IF(OR(AB151="",AA151="Not started",AA151=""),"",IFERROR(AB151-IF(VLOOKUP(AA151,'04_Status_Pipeline'!$B$3:$E$20,4,FALSE)="",0,VLOOKUP(AA151,'04_Status_Pipeline'!$B$3:$E$20,4,FALSE)),""))</t>
        </is>
      </c>
      <c r="AE151" s="32" t="inlineStr">
        <is>
          <t>IF(E151="","",IF(OR(Y151="Cancelled",AA151="Cancelled"),"Cancelled",IF(OR(AA151="Completed / Handover",W151&lt;&gt;"",X151&gt;=100),"Completed — on track",IF(L151="Remaining",IF(S151="",IF(V151="","No planned date",IF(TODAY()&gt;V151,"Behind — past planned date",IF(V151-TODAY()&lt;=30,"At risk — close to off track","On track"))),IF(TODAY()&gt;S151,"Behind — award date passed",IF(S151-TODAY()&lt;=30,"At risk — close to off track","On track"))),IF(V151="","No planned date",IF(AND(TODAY()&gt;V151,OR(X151="",X151&lt;100)),"Behind — past end date",IF(AND(R151&lt;&gt;"",V151&lt;&gt;"",X151&lt;&gt;"",(X151&lt;100),((TODAY()-R151)/MAX(V151-R151,1)*100)-X151&gt;15),"Behind — progress lag",IF(AND(V151-TODAY()&lt;=30,V151-TODAY()&gt;=0,OR(X151="",X151&lt;90)),"At risk — close to off track","On track"))))))))</t>
        </is>
      </c>
      <c r="AF151" s="38" t="inlineStr">
        <is>
          <t>IF(OR(E151="",AA151="Completed / Handover",AA151="Cancelled"),"",IF(L151="Remaining",IF(S151&lt;&gt;"",S151-TODAY(),IF(V151="","",V151-TODAY())),IF(V151="","",V151-TODAY())))</t>
        </is>
      </c>
      <c r="AG151" s="44" t="n"/>
      <c r="AH151" s="44" t="n"/>
      <c r="AI151" s="44" t="n"/>
      <c r="AJ151" s="44" t="n"/>
      <c r="AK151" s="44" t="n"/>
      <c r="AL151" s="44" t="n"/>
      <c r="AM151" s="44" t="n"/>
      <c r="AN151" s="44" t="n"/>
      <c r="AO151" s="44" t="n"/>
      <c r="AP151" s="44" t="n"/>
      <c r="AQ151" s="44" t="n"/>
      <c r="AR151" s="40" t="n"/>
      <c r="AS151" s="40" t="n"/>
      <c r="AT151" s="40" t="n"/>
      <c r="AU151" s="38" t="inlineStr">
        <is>
          <t>IF(OR(E151="",AH151=""),"",IF(COUNT(AG151:AG151)=0,"",AH151-LOOKUP(2,1/(AG151:AG151&lt;&gt;""),AG151:AG151)))</t>
        </is>
      </c>
      <c r="AV151" s="38" t="inlineStr">
        <is>
          <t>IF(OR(E151="",AI151=""),"",IF(COUNT(AG151:AH151)=0,"",AI151-LOOKUP(2,1/(AG151:AH151&lt;&gt;""),AG151:AH151)))</t>
        </is>
      </c>
      <c r="AW151" s="38" t="inlineStr">
        <is>
          <t>IF(OR(E151="",AJ151=""),"",IF(COUNT(AG151:AI151)=0,"",AJ151-LOOKUP(2,1/(AG151:AI151&lt;&gt;""),AG151:AI151)))</t>
        </is>
      </c>
      <c r="AX151" s="38" t="inlineStr">
        <is>
          <t>IF(OR(E151="",AK151=""),"",IF(COUNT(AG151:AJ151)=0,"",AK151-LOOKUP(2,1/(AG151:AJ151&lt;&gt;""),AG151:AJ151)))</t>
        </is>
      </c>
      <c r="AY151" s="38" t="inlineStr">
        <is>
          <t>IF(OR(E151="",AL151=""),"",IF(COUNT(AG151:AK151)=0,"",AL151-LOOKUP(2,1/(AG151:AK151&lt;&gt;""),AG151:AK151)))</t>
        </is>
      </c>
      <c r="AZ151" s="38" t="inlineStr">
        <is>
          <t>IF(OR(E151="",AM151=""),"",IF(COUNT(AG151:AL151)=0,"",AM151-LOOKUP(2,1/(AG151:AL151&lt;&gt;""),AG151:AL151)))</t>
        </is>
      </c>
      <c r="BA151" s="38" t="inlineStr">
        <is>
          <t>IF(OR(E151="",AN151=""),"",IF(COUNT(AG151:AM151)=0,"",AN151-LOOKUP(2,1/(AG151:AM151&lt;&gt;""),AG151:AM151)))</t>
        </is>
      </c>
      <c r="BB151" s="38" t="inlineStr">
        <is>
          <t>IF(OR(E151="",AO151=""),"",IF(COUNT(AG151:AN151)=0,"",AO151-LOOKUP(2,1/(AG151:AN151&lt;&gt;""),AG151:AN151)))</t>
        </is>
      </c>
      <c r="BC151" s="38" t="inlineStr">
        <is>
          <t>IF(OR(E151="",AP151=""),"",IF(COUNT(AG151:AO151)=0,"",AP151-LOOKUP(2,1/(AG151:AO151&lt;&gt;""),AG151:AO151)))</t>
        </is>
      </c>
      <c r="BD151" s="38" t="inlineStr">
        <is>
          <t>IF(OR(E151="",AQ151=""),"",IF(COUNT(AG151:AP151)=0,"",AQ151-LOOKUP(2,1/(AG151:AP151&lt;&gt;""),AG151:AP151)))</t>
        </is>
      </c>
      <c r="BE151" s="38" t="inlineStr">
        <is>
          <t>IF(OR(E151="",AR151=""),"",IF(COUNT(AG151:AQ151)=0,"",AR151-LOOKUP(2,1/(AG151:AQ151&lt;&gt;""),AG151:AQ151)))</t>
        </is>
      </c>
      <c r="BF151" s="38" t="inlineStr">
        <is>
          <t>IF(OR(E151="",AS151=""),"",IF(COUNT(AG151:AR151)=0,"",AS151-LOOKUP(2,1/(AG151:AR151&lt;&gt;""),AG151:AR151)))</t>
        </is>
      </c>
      <c r="BG151" s="38" t="inlineStr">
        <is>
          <t>IF(OR(E151="",AT151=""),"",IF(COUNT(AG151:AS151)=0,"",AT151-LOOKUP(2,1/(AG151:AS151&lt;&gt;""),AG151:AS151)))</t>
        </is>
      </c>
      <c r="BH151" s="41" t="inlineStr">
        <is>
          <t>IF(G151="","All_Provinces",IFERROR(VLOOKUP(G151,'07_Lookups'!$A$4:$B$20,2,FALSE),"All_Provinces"))</t>
        </is>
      </c>
      <c r="BI151" s="41" t="inlineStr">
        <is>
          <t>IF(H151="","All_Districts",IFERROR(VLOOKUP(H151,'07_Lookups'!$E$4:$F$42,2,FALSE),"All_Districts"))</t>
        </is>
      </c>
    </row>
    <row r="152" ht="18" customHeight="1">
      <c r="A152" s="32" t="inlineStr">
        <is>
          <t>IF(E152="","",ROW()-3)</t>
        </is>
      </c>
      <c r="B152" s="33" t="inlineStr">
        <is>
          <t>AF2-WSM-R-013</t>
        </is>
      </c>
      <c r="C152" s="33" t="inlineStr">
        <is>
          <t>Emergency Food Security Project (EFSP) – WBK/AF-2</t>
        </is>
      </c>
      <c r="D152" s="33" t="inlineStr">
        <is>
          <t>Package #24-AF2 WSM: Construction of 5 Check dams 1. Kashata Tangi, 2. Forodi, 3. Valary in Nawzad district, 4.Band Khawanin, and 5.Tykhoghi in Washer district of Helmand province.</t>
        </is>
      </c>
      <c r="E152" s="33" t="inlineStr">
        <is>
          <t>Kashata Tangi Check Dam</t>
        </is>
      </c>
      <c r="F152" s="33" t="inlineStr">
        <is>
          <t>Check Dam</t>
        </is>
      </c>
      <c r="G152" s="33" t="inlineStr">
        <is>
          <t>South / Kandahar</t>
        </is>
      </c>
      <c r="H152" s="33" t="inlineStr">
        <is>
          <t>Helmand</t>
        </is>
      </c>
      <c r="I152" s="33" t="inlineStr">
        <is>
          <t>Nawzad</t>
        </is>
      </c>
      <c r="J152" s="33" t="inlineStr">
        <is>
          <t>Kashata Tangi Village</t>
        </is>
      </c>
      <c r="K152" s="33" t="inlineStr">
        <is>
          <t>World Bank (WBK/AF-2)</t>
        </is>
      </c>
      <c r="L152" s="33" t="inlineStr">
        <is>
          <t>Remaining</t>
        </is>
      </c>
      <c r="M152" s="33" t="inlineStr">
        <is>
          <t>Watershed / Check dam</t>
        </is>
      </c>
      <c r="N152" s="33" t="inlineStr">
        <is>
          <t>4.WSM remaining contracts</t>
        </is>
      </c>
      <c r="O152" s="33" t="inlineStr"/>
      <c r="P152" s="33" t="inlineStr"/>
      <c r="Q152" s="34" t="n">
        <v>125000</v>
      </c>
      <c r="R152" s="35" t="inlineStr">
        <is>
          <t>IF(AO152="","",AO152)</t>
        </is>
      </c>
      <c r="S152" s="36" t="n">
        <v>46359</v>
      </c>
      <c r="T152" s="37" t="n">
        <v>5.9</v>
      </c>
      <c r="U152" s="36" t="n">
        <v>46539</v>
      </c>
      <c r="V152" s="35" t="inlineStr">
        <is>
          <t>IF(U152&lt;&gt;"",U152,IF(OR(R152="",T152=""),"",EDATE(R152,T152)))</t>
        </is>
      </c>
      <c r="W152" s="36" t="n"/>
      <c r="X152" s="37" t="n"/>
      <c r="Y152" s="33" t="inlineStr">
        <is>
          <t>Under Design</t>
        </is>
      </c>
      <c r="Z152" s="33" t="inlineStr">
        <is>
          <t>Technical clearance is expected to receive at first week of November. PR raised and ITB launched by the second week of November and award of contract by the first week of December. Construction period for six months</t>
        </is>
      </c>
      <c r="AA152" s="32" t="inlineStr">
        <is>
          <t>IF(E152="","",IF(COUNT(AG152:AT152)=0,IF(Y152="","Not started",Y152),SUBSTITUTE(LOOKUP(2,1/(AG152:AT152&lt;&gt;""),$AG$3:$AT$3),"Date: ","")))</t>
        </is>
      </c>
      <c r="AB152" s="38" t="inlineStr">
        <is>
          <t>IF(OR(E152="",COUNT(AG152:AT152)=0),"",TODAY()-LOOKUP(2,1/(AG152:AT152&lt;&gt;""),AG152:AT152))</t>
        </is>
      </c>
      <c r="AC152" s="38" t="inlineStr">
        <is>
          <t>IF(OR(E152="",COUNT(AG152:AT152)&lt;2),"",LOOKUP(2,1/(AG152:AT152&lt;&gt;""),AG152:AT152)-MIN(AG152:AT152))</t>
        </is>
      </c>
      <c r="AD152" s="38" t="inlineStr">
        <is>
          <t>IF(OR(AB152="",AA152="Not started",AA152=""),"",IFERROR(AB152-IF(VLOOKUP(AA152,'04_Status_Pipeline'!$B$3:$E$20,4,FALSE)="",0,VLOOKUP(AA152,'04_Status_Pipeline'!$B$3:$E$20,4,FALSE)),""))</t>
        </is>
      </c>
      <c r="AE152" s="32" t="inlineStr">
        <is>
          <t>IF(E152="","",IF(OR(Y152="Cancelled",AA152="Cancelled"),"Cancelled",IF(OR(AA152="Completed / Handover",W152&lt;&gt;"",X152&gt;=100),"Completed — on track",IF(L152="Remaining",IF(S152="",IF(V152="","No planned date",IF(TODAY()&gt;V152,"Behind — past planned date",IF(V152-TODAY()&lt;=30,"At risk — close to off track","On track"))),IF(TODAY()&gt;S152,"Behind — award date passed",IF(S152-TODAY()&lt;=30,"At risk — close to off track","On track"))),IF(V152="","No planned date",IF(AND(TODAY()&gt;V152,OR(X152="",X152&lt;100)),"Behind — past end date",IF(AND(R152&lt;&gt;"",V152&lt;&gt;"",X152&lt;&gt;"",(X152&lt;100),((TODAY()-R152)/MAX(V152-R152,1)*100)-X152&gt;15),"Behind — progress lag",IF(AND(V152-TODAY()&lt;=30,V152-TODAY()&gt;=0,OR(X152="",X152&lt;90)),"At risk — close to off track","On track"))))))))</t>
        </is>
      </c>
      <c r="AF152" s="38" t="inlineStr">
        <is>
          <t>IF(OR(E152="",AA152="Completed / Handover",AA152="Cancelled"),"",IF(L152="Remaining",IF(S152&lt;&gt;"",S152-TODAY(),IF(V152="","",V152-TODAY())),IF(V152="","",V152-TODAY())))</t>
        </is>
      </c>
      <c r="AG152" s="36" t="n"/>
      <c r="AH152" s="36" t="n"/>
      <c r="AI152" s="36" t="n"/>
      <c r="AJ152" s="36" t="n"/>
      <c r="AK152" s="36" t="n"/>
      <c r="AL152" s="36" t="n"/>
      <c r="AM152" s="36" t="n"/>
      <c r="AN152" s="36" t="n"/>
      <c r="AO152" s="36" t="n"/>
      <c r="AP152" s="36" t="n"/>
      <c r="AQ152" s="36" t="n"/>
      <c r="AR152" s="40" t="n"/>
      <c r="AS152" s="40" t="n"/>
      <c r="AT152" s="40" t="n"/>
      <c r="AU152" s="38" t="inlineStr">
        <is>
          <t>IF(OR(E152="",AH152=""),"",IF(COUNT(AG152:AG152)=0,"",AH152-LOOKUP(2,1/(AG152:AG152&lt;&gt;""),AG152:AG152)))</t>
        </is>
      </c>
      <c r="AV152" s="38" t="inlineStr">
        <is>
          <t>IF(OR(E152="",AI152=""),"",IF(COUNT(AG152:AH152)=0,"",AI152-LOOKUP(2,1/(AG152:AH152&lt;&gt;""),AG152:AH152)))</t>
        </is>
      </c>
      <c r="AW152" s="38" t="inlineStr">
        <is>
          <t>IF(OR(E152="",AJ152=""),"",IF(COUNT(AG152:AI152)=0,"",AJ152-LOOKUP(2,1/(AG152:AI152&lt;&gt;""),AG152:AI152)))</t>
        </is>
      </c>
      <c r="AX152" s="38" t="inlineStr">
        <is>
          <t>IF(OR(E152="",AK152=""),"",IF(COUNT(AG152:AJ152)=0,"",AK152-LOOKUP(2,1/(AG152:AJ152&lt;&gt;""),AG152:AJ152)))</t>
        </is>
      </c>
      <c r="AY152" s="38" t="inlineStr">
        <is>
          <t>IF(OR(E152="",AL152=""),"",IF(COUNT(AG152:AK152)=0,"",AL152-LOOKUP(2,1/(AG152:AK152&lt;&gt;""),AG152:AK152)))</t>
        </is>
      </c>
      <c r="AZ152" s="38" t="inlineStr">
        <is>
          <t>IF(OR(E152="",AM152=""),"",IF(COUNT(AG152:AL152)=0,"",AM152-LOOKUP(2,1/(AG152:AL152&lt;&gt;""),AG152:AL152)))</t>
        </is>
      </c>
      <c r="BA152" s="38" t="inlineStr">
        <is>
          <t>IF(OR(E152="",AN152=""),"",IF(COUNT(AG152:AM152)=0,"",AN152-LOOKUP(2,1/(AG152:AM152&lt;&gt;""),AG152:AM152)))</t>
        </is>
      </c>
      <c r="BB152" s="38" t="inlineStr">
        <is>
          <t>IF(OR(E152="",AO152=""),"",IF(COUNT(AG152:AN152)=0,"",AO152-LOOKUP(2,1/(AG152:AN152&lt;&gt;""),AG152:AN152)))</t>
        </is>
      </c>
      <c r="BC152" s="38" t="inlineStr">
        <is>
          <t>IF(OR(E152="",AP152=""),"",IF(COUNT(AG152:AO152)=0,"",AP152-LOOKUP(2,1/(AG152:AO152&lt;&gt;""),AG152:AO152)))</t>
        </is>
      </c>
      <c r="BD152" s="38" t="inlineStr">
        <is>
          <t>IF(OR(E152="",AQ152=""),"",IF(COUNT(AG152:AP152)=0,"",AQ152-LOOKUP(2,1/(AG152:AP152&lt;&gt;""),AG152:AP152)))</t>
        </is>
      </c>
      <c r="BE152" s="38" t="inlineStr">
        <is>
          <t>IF(OR(E152="",AR152=""),"",IF(COUNT(AG152:AQ152)=0,"",AR152-LOOKUP(2,1/(AG152:AQ152&lt;&gt;""),AG152:AQ152)))</t>
        </is>
      </c>
      <c r="BF152" s="38" t="inlineStr">
        <is>
          <t>IF(OR(E152="",AS152=""),"",IF(COUNT(AG152:AR152)=0,"",AS152-LOOKUP(2,1/(AG152:AR152&lt;&gt;""),AG152:AR152)))</t>
        </is>
      </c>
      <c r="BG152" s="38" t="inlineStr">
        <is>
          <t>IF(OR(E152="",AT152=""),"",IF(COUNT(AG152:AS152)=0,"",AT152-LOOKUP(2,1/(AG152:AS152&lt;&gt;""),AG152:AS152)))</t>
        </is>
      </c>
      <c r="BH152" s="41" t="inlineStr">
        <is>
          <t>IF(G152="","All_Provinces",IFERROR(VLOOKUP(G152,'07_Lookups'!$A$4:$B$20,2,FALSE),"All_Provinces"))</t>
        </is>
      </c>
      <c r="BI152" s="41" t="inlineStr">
        <is>
          <t>IF(H152="","All_Districts",IFERROR(VLOOKUP(H152,'07_Lookups'!$E$4:$F$42,2,FALSE),"All_Districts"))</t>
        </is>
      </c>
    </row>
    <row r="153" ht="18" customHeight="1">
      <c r="A153" s="32" t="inlineStr">
        <is>
          <t>IF(E153="","",ROW()-3)</t>
        </is>
      </c>
      <c r="B153" s="42" t="inlineStr">
        <is>
          <t>AF2-WSM-R-014</t>
        </is>
      </c>
      <c r="C153" s="42" t="inlineStr">
        <is>
          <t>Emergency Food Security Project (EFSP) – WBK/AF-2</t>
        </is>
      </c>
      <c r="D153" s="42" t="inlineStr">
        <is>
          <t>Package #24-AF2 WSM: Construction of 5 Check dams 1. Kashata Tangi, 2. Forodi, 3. Valary in Nawzad district, 4.Band Khawanin, and 5.Tykhoghi in Washer district of Helmand province.</t>
        </is>
      </c>
      <c r="E153" s="42" t="inlineStr">
        <is>
          <t>Forodi Check Dam</t>
        </is>
      </c>
      <c r="F153" s="42" t="inlineStr">
        <is>
          <t>Check Dam</t>
        </is>
      </c>
      <c r="G153" s="42" t="inlineStr">
        <is>
          <t>South / Kandahar</t>
        </is>
      </c>
      <c r="H153" s="42" t="inlineStr">
        <is>
          <t>Helmand</t>
        </is>
      </c>
      <c r="I153" s="42" t="inlineStr">
        <is>
          <t>Nawzad</t>
        </is>
      </c>
      <c r="J153" s="42" t="inlineStr">
        <is>
          <t>Zoroji Village</t>
        </is>
      </c>
      <c r="K153" s="42" t="inlineStr">
        <is>
          <t>World Bank (WBK/AF-2)</t>
        </is>
      </c>
      <c r="L153" s="42" t="inlineStr">
        <is>
          <t>Remaining</t>
        </is>
      </c>
      <c r="M153" s="42" t="inlineStr">
        <is>
          <t>Watershed / Check dam</t>
        </is>
      </c>
      <c r="N153" s="42" t="inlineStr">
        <is>
          <t>4.WSM remaining contracts</t>
        </is>
      </c>
      <c r="O153" s="42" t="inlineStr"/>
      <c r="P153" s="42" t="inlineStr"/>
      <c r="Q153" s="43" t="n">
        <v>125000</v>
      </c>
      <c r="R153" s="35" t="inlineStr">
        <is>
          <t>IF(AO153="","",AO153)</t>
        </is>
      </c>
      <c r="S153" s="44" t="n">
        <v>46359</v>
      </c>
      <c r="T153" s="45" t="n">
        <v>5.9</v>
      </c>
      <c r="U153" s="44" t="n">
        <v>46539</v>
      </c>
      <c r="V153" s="35" t="inlineStr">
        <is>
          <t>IF(U153&lt;&gt;"",U153,IF(OR(R153="",T153=""),"",EDATE(R153,T153)))</t>
        </is>
      </c>
      <c r="W153" s="44" t="n"/>
      <c r="X153" s="45" t="n"/>
      <c r="Y153" s="42" t="inlineStr">
        <is>
          <t>Under Design</t>
        </is>
      </c>
      <c r="Z153" s="42" t="inlineStr">
        <is>
          <t>Technical clearance is expected to receive at first week of November. PR raised and ITB launched by the second week of November and award of contract by the first week of December. Construction period for six months</t>
        </is>
      </c>
      <c r="AA153" s="32" t="inlineStr">
        <is>
          <t>IF(E153="","",IF(COUNT(AG153:AT153)=0,IF(Y153="","Not started",Y153),SUBSTITUTE(LOOKUP(2,1/(AG153:AT153&lt;&gt;""),$AG$3:$AT$3),"Date: ","")))</t>
        </is>
      </c>
      <c r="AB153" s="38" t="inlineStr">
        <is>
          <t>IF(OR(E153="",COUNT(AG153:AT153)=0),"",TODAY()-LOOKUP(2,1/(AG153:AT153&lt;&gt;""),AG153:AT153))</t>
        </is>
      </c>
      <c r="AC153" s="38" t="inlineStr">
        <is>
          <t>IF(OR(E153="",COUNT(AG153:AT153)&lt;2),"",LOOKUP(2,1/(AG153:AT153&lt;&gt;""),AG153:AT153)-MIN(AG153:AT153))</t>
        </is>
      </c>
      <c r="AD153" s="38" t="inlineStr">
        <is>
          <t>IF(OR(AB153="",AA153="Not started",AA153=""),"",IFERROR(AB153-IF(VLOOKUP(AA153,'04_Status_Pipeline'!$B$3:$E$20,4,FALSE)="",0,VLOOKUP(AA153,'04_Status_Pipeline'!$B$3:$E$20,4,FALSE)),""))</t>
        </is>
      </c>
      <c r="AE153" s="32" t="inlineStr">
        <is>
          <t>IF(E153="","",IF(OR(Y153="Cancelled",AA153="Cancelled"),"Cancelled",IF(OR(AA153="Completed / Handover",W153&lt;&gt;"",X153&gt;=100),"Completed — on track",IF(L153="Remaining",IF(S153="",IF(V153="","No planned date",IF(TODAY()&gt;V153,"Behind — past planned date",IF(V153-TODAY()&lt;=30,"At risk — close to off track","On track"))),IF(TODAY()&gt;S153,"Behind — award date passed",IF(S153-TODAY()&lt;=30,"At risk — close to off track","On track"))),IF(V153="","No planned date",IF(AND(TODAY()&gt;V153,OR(X153="",X153&lt;100)),"Behind — past end date",IF(AND(R153&lt;&gt;"",V153&lt;&gt;"",X153&lt;&gt;"",(X153&lt;100),((TODAY()-R153)/MAX(V153-R153,1)*100)-X153&gt;15),"Behind — progress lag",IF(AND(V153-TODAY()&lt;=30,V153-TODAY()&gt;=0,OR(X153="",X153&lt;90)),"At risk — close to off track","On track"))))))))</t>
        </is>
      </c>
      <c r="AF153" s="38" t="inlineStr">
        <is>
          <t>IF(OR(E153="",AA153="Completed / Handover",AA153="Cancelled"),"",IF(L153="Remaining",IF(S153&lt;&gt;"",S153-TODAY(),IF(V153="","",V153-TODAY())),IF(V153="","",V153-TODAY())))</t>
        </is>
      </c>
      <c r="AG153" s="44" t="n"/>
      <c r="AH153" s="44" t="n"/>
      <c r="AI153" s="44" t="n"/>
      <c r="AJ153" s="44" t="n"/>
      <c r="AK153" s="44" t="n"/>
      <c r="AL153" s="44" t="n"/>
      <c r="AM153" s="44" t="n"/>
      <c r="AN153" s="44" t="n"/>
      <c r="AO153" s="44" t="n"/>
      <c r="AP153" s="44" t="n"/>
      <c r="AQ153" s="44" t="n"/>
      <c r="AR153" s="40" t="n"/>
      <c r="AS153" s="40" t="n"/>
      <c r="AT153" s="40" t="n"/>
      <c r="AU153" s="38" t="inlineStr">
        <is>
          <t>IF(OR(E153="",AH153=""),"",IF(COUNT(AG153:AG153)=0,"",AH153-LOOKUP(2,1/(AG153:AG153&lt;&gt;""),AG153:AG153)))</t>
        </is>
      </c>
      <c r="AV153" s="38" t="inlineStr">
        <is>
          <t>IF(OR(E153="",AI153=""),"",IF(COUNT(AG153:AH153)=0,"",AI153-LOOKUP(2,1/(AG153:AH153&lt;&gt;""),AG153:AH153)))</t>
        </is>
      </c>
      <c r="AW153" s="38" t="inlineStr">
        <is>
          <t>IF(OR(E153="",AJ153=""),"",IF(COUNT(AG153:AI153)=0,"",AJ153-LOOKUP(2,1/(AG153:AI153&lt;&gt;""),AG153:AI153)))</t>
        </is>
      </c>
      <c r="AX153" s="38" t="inlineStr">
        <is>
          <t>IF(OR(E153="",AK153=""),"",IF(COUNT(AG153:AJ153)=0,"",AK153-LOOKUP(2,1/(AG153:AJ153&lt;&gt;""),AG153:AJ153)))</t>
        </is>
      </c>
      <c r="AY153" s="38" t="inlineStr">
        <is>
          <t>IF(OR(E153="",AL153=""),"",IF(COUNT(AG153:AK153)=0,"",AL153-LOOKUP(2,1/(AG153:AK153&lt;&gt;""),AG153:AK153)))</t>
        </is>
      </c>
      <c r="AZ153" s="38" t="inlineStr">
        <is>
          <t>IF(OR(E153="",AM153=""),"",IF(COUNT(AG153:AL153)=0,"",AM153-LOOKUP(2,1/(AG153:AL153&lt;&gt;""),AG153:AL153)))</t>
        </is>
      </c>
      <c r="BA153" s="38" t="inlineStr">
        <is>
          <t>IF(OR(E153="",AN153=""),"",IF(COUNT(AG153:AM153)=0,"",AN153-LOOKUP(2,1/(AG153:AM153&lt;&gt;""),AG153:AM153)))</t>
        </is>
      </c>
      <c r="BB153" s="38" t="inlineStr">
        <is>
          <t>IF(OR(E153="",AO153=""),"",IF(COUNT(AG153:AN153)=0,"",AO153-LOOKUP(2,1/(AG153:AN153&lt;&gt;""),AG153:AN153)))</t>
        </is>
      </c>
      <c r="BC153" s="38" t="inlineStr">
        <is>
          <t>IF(OR(E153="",AP153=""),"",IF(COUNT(AG153:AO153)=0,"",AP153-LOOKUP(2,1/(AG153:AO153&lt;&gt;""),AG153:AO153)))</t>
        </is>
      </c>
      <c r="BD153" s="38" t="inlineStr">
        <is>
          <t>IF(OR(E153="",AQ153=""),"",IF(COUNT(AG153:AP153)=0,"",AQ153-LOOKUP(2,1/(AG153:AP153&lt;&gt;""),AG153:AP153)))</t>
        </is>
      </c>
      <c r="BE153" s="38" t="inlineStr">
        <is>
          <t>IF(OR(E153="",AR153=""),"",IF(COUNT(AG153:AQ153)=0,"",AR153-LOOKUP(2,1/(AG153:AQ153&lt;&gt;""),AG153:AQ153)))</t>
        </is>
      </c>
      <c r="BF153" s="38" t="inlineStr">
        <is>
          <t>IF(OR(E153="",AS153=""),"",IF(COUNT(AG153:AR153)=0,"",AS153-LOOKUP(2,1/(AG153:AR153&lt;&gt;""),AG153:AR153)))</t>
        </is>
      </c>
      <c r="BG153" s="38" t="inlineStr">
        <is>
          <t>IF(OR(E153="",AT153=""),"",IF(COUNT(AG153:AS153)=0,"",AT153-LOOKUP(2,1/(AG153:AS153&lt;&gt;""),AG153:AS153)))</t>
        </is>
      </c>
      <c r="BH153" s="41" t="inlineStr">
        <is>
          <t>IF(G153="","All_Provinces",IFERROR(VLOOKUP(G153,'07_Lookups'!$A$4:$B$20,2,FALSE),"All_Provinces"))</t>
        </is>
      </c>
      <c r="BI153" s="41" t="inlineStr">
        <is>
          <t>IF(H153="","All_Districts",IFERROR(VLOOKUP(H153,'07_Lookups'!$E$4:$F$42,2,FALSE),"All_Districts"))</t>
        </is>
      </c>
    </row>
    <row r="154" ht="18" customHeight="1">
      <c r="A154" s="32" t="inlineStr">
        <is>
          <t>IF(E154="","",ROW()-3)</t>
        </is>
      </c>
      <c r="B154" s="33" t="inlineStr">
        <is>
          <t>AF2-WSM-R-015</t>
        </is>
      </c>
      <c r="C154" s="33" t="inlineStr">
        <is>
          <t>Emergency Food Security Project (EFSP) – WBK/AF-2</t>
        </is>
      </c>
      <c r="D154" s="33" t="inlineStr">
        <is>
          <t>Package #24-AF2 WSM: Construction of 5 Check dams 1. Kashata Tangi, 2. Forodi, 3. Valary in Nawzad district, 4.Band Khawanin, and 5.Tykhoghi in Washer district of Helmand province.</t>
        </is>
      </c>
      <c r="E154" s="33" t="inlineStr">
        <is>
          <t>Valary Check Dam</t>
        </is>
      </c>
      <c r="F154" s="33" t="inlineStr">
        <is>
          <t>Check Dam</t>
        </is>
      </c>
      <c r="G154" s="33" t="inlineStr">
        <is>
          <t>South / Kandahar</t>
        </is>
      </c>
      <c r="H154" s="33" t="inlineStr">
        <is>
          <t>Helmand</t>
        </is>
      </c>
      <c r="I154" s="33" t="inlineStr">
        <is>
          <t>Nawzad</t>
        </is>
      </c>
      <c r="J154" s="33" t="inlineStr">
        <is>
          <t>Valary village</t>
        </is>
      </c>
      <c r="K154" s="33" t="inlineStr">
        <is>
          <t>World Bank (WBK/AF-2)</t>
        </is>
      </c>
      <c r="L154" s="33" t="inlineStr">
        <is>
          <t>Remaining</t>
        </is>
      </c>
      <c r="M154" s="33" t="inlineStr">
        <is>
          <t>Watershed / Check dam</t>
        </is>
      </c>
      <c r="N154" s="33" t="inlineStr">
        <is>
          <t>4.WSM remaining contracts</t>
        </is>
      </c>
      <c r="O154" s="33" t="inlineStr"/>
      <c r="P154" s="33" t="inlineStr"/>
      <c r="Q154" s="34" t="n">
        <v>125000</v>
      </c>
      <c r="R154" s="35" t="inlineStr">
        <is>
          <t>IF(AO154="","",AO154)</t>
        </is>
      </c>
      <c r="S154" s="36" t="n">
        <v>46359</v>
      </c>
      <c r="T154" s="37" t="n">
        <v>5.9</v>
      </c>
      <c r="U154" s="36" t="n">
        <v>46539</v>
      </c>
      <c r="V154" s="35" t="inlineStr">
        <is>
          <t>IF(U154&lt;&gt;"",U154,IF(OR(R154="",T154=""),"",EDATE(R154,T154)))</t>
        </is>
      </c>
      <c r="W154" s="36" t="n"/>
      <c r="X154" s="37" t="n"/>
      <c r="Y154" s="33" t="inlineStr">
        <is>
          <t>Under Design</t>
        </is>
      </c>
      <c r="Z154" s="33" t="inlineStr">
        <is>
          <t>Technical clearance is expected to receive at first week of November. PR raised and ITB launched by the second week of November and award of contract by the first week of December. Construction period for six months</t>
        </is>
      </c>
      <c r="AA154" s="32" t="inlineStr">
        <is>
          <t>IF(E154="","",IF(COUNT(AG154:AT154)=0,IF(Y154="","Not started",Y154),SUBSTITUTE(LOOKUP(2,1/(AG154:AT154&lt;&gt;""),$AG$3:$AT$3),"Date: ","")))</t>
        </is>
      </c>
      <c r="AB154" s="38" t="inlineStr">
        <is>
          <t>IF(OR(E154="",COUNT(AG154:AT154)=0),"",TODAY()-LOOKUP(2,1/(AG154:AT154&lt;&gt;""),AG154:AT154))</t>
        </is>
      </c>
      <c r="AC154" s="38" t="inlineStr">
        <is>
          <t>IF(OR(E154="",COUNT(AG154:AT154)&lt;2),"",LOOKUP(2,1/(AG154:AT154&lt;&gt;""),AG154:AT154)-MIN(AG154:AT154))</t>
        </is>
      </c>
      <c r="AD154" s="38" t="inlineStr">
        <is>
          <t>IF(OR(AB154="",AA154="Not started",AA154=""),"",IFERROR(AB154-IF(VLOOKUP(AA154,'04_Status_Pipeline'!$B$3:$E$20,4,FALSE)="",0,VLOOKUP(AA154,'04_Status_Pipeline'!$B$3:$E$20,4,FALSE)),""))</t>
        </is>
      </c>
      <c r="AE154" s="32" t="inlineStr">
        <is>
          <t>IF(E154="","",IF(OR(Y154="Cancelled",AA154="Cancelled"),"Cancelled",IF(OR(AA154="Completed / Handover",W154&lt;&gt;"",X154&gt;=100),"Completed — on track",IF(L154="Remaining",IF(S154="",IF(V154="","No planned date",IF(TODAY()&gt;V154,"Behind — past planned date",IF(V154-TODAY()&lt;=30,"At risk — close to off track","On track"))),IF(TODAY()&gt;S154,"Behind — award date passed",IF(S154-TODAY()&lt;=30,"At risk — close to off track","On track"))),IF(V154="","No planned date",IF(AND(TODAY()&gt;V154,OR(X154="",X154&lt;100)),"Behind — past end date",IF(AND(R154&lt;&gt;"",V154&lt;&gt;"",X154&lt;&gt;"",(X154&lt;100),((TODAY()-R154)/MAX(V154-R154,1)*100)-X154&gt;15),"Behind — progress lag",IF(AND(V154-TODAY()&lt;=30,V154-TODAY()&gt;=0,OR(X154="",X154&lt;90)),"At risk — close to off track","On track"))))))))</t>
        </is>
      </c>
      <c r="AF154" s="38" t="inlineStr">
        <is>
          <t>IF(OR(E154="",AA154="Completed / Handover",AA154="Cancelled"),"",IF(L154="Remaining",IF(S154&lt;&gt;"",S154-TODAY(),IF(V154="","",V154-TODAY())),IF(V154="","",V154-TODAY())))</t>
        </is>
      </c>
      <c r="AG154" s="36" t="n"/>
      <c r="AH154" s="36" t="n"/>
      <c r="AI154" s="36" t="n"/>
      <c r="AJ154" s="36" t="n"/>
      <c r="AK154" s="36" t="n"/>
      <c r="AL154" s="36" t="n"/>
      <c r="AM154" s="36" t="n"/>
      <c r="AN154" s="36" t="n"/>
      <c r="AO154" s="36" t="n"/>
      <c r="AP154" s="36" t="n"/>
      <c r="AQ154" s="36" t="n"/>
      <c r="AR154" s="40" t="n"/>
      <c r="AS154" s="40" t="n"/>
      <c r="AT154" s="40" t="n"/>
      <c r="AU154" s="38" t="inlineStr">
        <is>
          <t>IF(OR(E154="",AH154=""),"",IF(COUNT(AG154:AG154)=0,"",AH154-LOOKUP(2,1/(AG154:AG154&lt;&gt;""),AG154:AG154)))</t>
        </is>
      </c>
      <c r="AV154" s="38" t="inlineStr">
        <is>
          <t>IF(OR(E154="",AI154=""),"",IF(COUNT(AG154:AH154)=0,"",AI154-LOOKUP(2,1/(AG154:AH154&lt;&gt;""),AG154:AH154)))</t>
        </is>
      </c>
      <c r="AW154" s="38" t="inlineStr">
        <is>
          <t>IF(OR(E154="",AJ154=""),"",IF(COUNT(AG154:AI154)=0,"",AJ154-LOOKUP(2,1/(AG154:AI154&lt;&gt;""),AG154:AI154)))</t>
        </is>
      </c>
      <c r="AX154" s="38" t="inlineStr">
        <is>
          <t>IF(OR(E154="",AK154=""),"",IF(COUNT(AG154:AJ154)=0,"",AK154-LOOKUP(2,1/(AG154:AJ154&lt;&gt;""),AG154:AJ154)))</t>
        </is>
      </c>
      <c r="AY154" s="38" t="inlineStr">
        <is>
          <t>IF(OR(E154="",AL154=""),"",IF(COUNT(AG154:AK154)=0,"",AL154-LOOKUP(2,1/(AG154:AK154&lt;&gt;""),AG154:AK154)))</t>
        </is>
      </c>
      <c r="AZ154" s="38" t="inlineStr">
        <is>
          <t>IF(OR(E154="",AM154=""),"",IF(COUNT(AG154:AL154)=0,"",AM154-LOOKUP(2,1/(AG154:AL154&lt;&gt;""),AG154:AL154)))</t>
        </is>
      </c>
      <c r="BA154" s="38" t="inlineStr">
        <is>
          <t>IF(OR(E154="",AN154=""),"",IF(COUNT(AG154:AM154)=0,"",AN154-LOOKUP(2,1/(AG154:AM154&lt;&gt;""),AG154:AM154)))</t>
        </is>
      </c>
      <c r="BB154" s="38" t="inlineStr">
        <is>
          <t>IF(OR(E154="",AO154=""),"",IF(COUNT(AG154:AN154)=0,"",AO154-LOOKUP(2,1/(AG154:AN154&lt;&gt;""),AG154:AN154)))</t>
        </is>
      </c>
      <c r="BC154" s="38" t="inlineStr">
        <is>
          <t>IF(OR(E154="",AP154=""),"",IF(COUNT(AG154:AO154)=0,"",AP154-LOOKUP(2,1/(AG154:AO154&lt;&gt;""),AG154:AO154)))</t>
        </is>
      </c>
      <c r="BD154" s="38" t="inlineStr">
        <is>
          <t>IF(OR(E154="",AQ154=""),"",IF(COUNT(AG154:AP154)=0,"",AQ154-LOOKUP(2,1/(AG154:AP154&lt;&gt;""),AG154:AP154)))</t>
        </is>
      </c>
      <c r="BE154" s="38" t="inlineStr">
        <is>
          <t>IF(OR(E154="",AR154=""),"",IF(COUNT(AG154:AQ154)=0,"",AR154-LOOKUP(2,1/(AG154:AQ154&lt;&gt;""),AG154:AQ154)))</t>
        </is>
      </c>
      <c r="BF154" s="38" t="inlineStr">
        <is>
          <t>IF(OR(E154="",AS154=""),"",IF(COUNT(AG154:AR154)=0,"",AS154-LOOKUP(2,1/(AG154:AR154&lt;&gt;""),AG154:AR154)))</t>
        </is>
      </c>
      <c r="BG154" s="38" t="inlineStr">
        <is>
          <t>IF(OR(E154="",AT154=""),"",IF(COUNT(AG154:AS154)=0,"",AT154-LOOKUP(2,1/(AG154:AS154&lt;&gt;""),AG154:AS154)))</t>
        </is>
      </c>
      <c r="BH154" s="41" t="inlineStr">
        <is>
          <t>IF(G154="","All_Provinces",IFERROR(VLOOKUP(G154,'07_Lookups'!$A$4:$B$20,2,FALSE),"All_Provinces"))</t>
        </is>
      </c>
      <c r="BI154" s="41" t="inlineStr">
        <is>
          <t>IF(H154="","All_Districts",IFERROR(VLOOKUP(H154,'07_Lookups'!$E$4:$F$42,2,FALSE),"All_Districts"))</t>
        </is>
      </c>
    </row>
    <row r="155" ht="18" customHeight="1">
      <c r="A155" s="32" t="inlineStr">
        <is>
          <t>IF(E155="","",ROW()-3)</t>
        </is>
      </c>
      <c r="B155" s="42" t="inlineStr">
        <is>
          <t>AF2-WSM-R-016</t>
        </is>
      </c>
      <c r="C155" s="42" t="inlineStr">
        <is>
          <t>Emergency Food Security Project (EFSP) – WBK/AF-2</t>
        </is>
      </c>
      <c r="D155" s="42" t="inlineStr">
        <is>
          <t>Package #24-AF2 WSM: Construction of 5 Check dams 1. Kashata Tangi, 2. Forodi, 3. Valary in Nawzad district, 4.Band Khawanin, and 5.Tykhoghi in Washer district of Helmand province.</t>
        </is>
      </c>
      <c r="E155" s="42" t="inlineStr">
        <is>
          <t>Band Khawanin check dam</t>
        </is>
      </c>
      <c r="F155" s="42" t="inlineStr">
        <is>
          <t>Check Dam</t>
        </is>
      </c>
      <c r="G155" s="42" t="inlineStr">
        <is>
          <t>South / Kandahar</t>
        </is>
      </c>
      <c r="H155" s="42" t="inlineStr">
        <is>
          <t>Helmand</t>
        </is>
      </c>
      <c r="I155" s="42" t="inlineStr">
        <is>
          <t>Washer</t>
        </is>
      </c>
      <c r="J155" s="42" t="inlineStr">
        <is>
          <t>Shaposhta Village</t>
        </is>
      </c>
      <c r="K155" s="42" t="inlineStr">
        <is>
          <t>World Bank (WBK/AF-2)</t>
        </is>
      </c>
      <c r="L155" s="42" t="inlineStr">
        <is>
          <t>Remaining</t>
        </is>
      </c>
      <c r="M155" s="42" t="inlineStr">
        <is>
          <t>Watershed / Check dam</t>
        </is>
      </c>
      <c r="N155" s="42" t="inlineStr">
        <is>
          <t>4.WSM remaining contracts</t>
        </is>
      </c>
      <c r="O155" s="42" t="inlineStr"/>
      <c r="P155" s="42" t="inlineStr"/>
      <c r="Q155" s="43" t="n">
        <v>125000</v>
      </c>
      <c r="R155" s="35" t="inlineStr">
        <is>
          <t>IF(AO155="","",AO155)</t>
        </is>
      </c>
      <c r="S155" s="44" t="n">
        <v>46359</v>
      </c>
      <c r="T155" s="45" t="n">
        <v>5.9</v>
      </c>
      <c r="U155" s="44" t="n">
        <v>46539</v>
      </c>
      <c r="V155" s="35" t="inlineStr">
        <is>
          <t>IF(U155&lt;&gt;"",U155,IF(OR(R155="",T155=""),"",EDATE(R155,T155)))</t>
        </is>
      </c>
      <c r="W155" s="44" t="n"/>
      <c r="X155" s="45" t="n"/>
      <c r="Y155" s="42" t="inlineStr">
        <is>
          <t>Under Design</t>
        </is>
      </c>
      <c r="Z155" s="42" t="inlineStr">
        <is>
          <t>Technical clearance is expected to receive at first week of November. PR raised and ITB launched by the second week of November and award of contract by the first week of December. Construction period for six months</t>
        </is>
      </c>
      <c r="AA155" s="32" t="inlineStr">
        <is>
          <t>IF(E155="","",IF(COUNT(AG155:AT155)=0,IF(Y155="","Not started",Y155),SUBSTITUTE(LOOKUP(2,1/(AG155:AT155&lt;&gt;""),$AG$3:$AT$3),"Date: ","")))</t>
        </is>
      </c>
      <c r="AB155" s="38" t="inlineStr">
        <is>
          <t>IF(OR(E155="",COUNT(AG155:AT155)=0),"",TODAY()-LOOKUP(2,1/(AG155:AT155&lt;&gt;""),AG155:AT155))</t>
        </is>
      </c>
      <c r="AC155" s="38" t="inlineStr">
        <is>
          <t>IF(OR(E155="",COUNT(AG155:AT155)&lt;2),"",LOOKUP(2,1/(AG155:AT155&lt;&gt;""),AG155:AT155)-MIN(AG155:AT155))</t>
        </is>
      </c>
      <c r="AD155" s="38" t="inlineStr">
        <is>
          <t>IF(OR(AB155="",AA155="Not started",AA155=""),"",IFERROR(AB155-IF(VLOOKUP(AA155,'04_Status_Pipeline'!$B$3:$E$20,4,FALSE)="",0,VLOOKUP(AA155,'04_Status_Pipeline'!$B$3:$E$20,4,FALSE)),""))</t>
        </is>
      </c>
      <c r="AE155" s="32" t="inlineStr">
        <is>
          <t>IF(E155="","",IF(OR(Y155="Cancelled",AA155="Cancelled"),"Cancelled",IF(OR(AA155="Completed / Handover",W155&lt;&gt;"",X155&gt;=100),"Completed — on track",IF(L155="Remaining",IF(S155="",IF(V155="","No planned date",IF(TODAY()&gt;V155,"Behind — past planned date",IF(V155-TODAY()&lt;=30,"At risk — close to off track","On track"))),IF(TODAY()&gt;S155,"Behind — award date passed",IF(S155-TODAY()&lt;=30,"At risk — close to off track","On track"))),IF(V155="","No planned date",IF(AND(TODAY()&gt;V155,OR(X155="",X155&lt;100)),"Behind — past end date",IF(AND(R155&lt;&gt;"",V155&lt;&gt;"",X155&lt;&gt;"",(X155&lt;100),((TODAY()-R155)/MAX(V155-R155,1)*100)-X155&gt;15),"Behind — progress lag",IF(AND(V155-TODAY()&lt;=30,V155-TODAY()&gt;=0,OR(X155="",X155&lt;90)),"At risk — close to off track","On track"))))))))</t>
        </is>
      </c>
      <c r="AF155" s="38" t="inlineStr">
        <is>
          <t>IF(OR(E155="",AA155="Completed / Handover",AA155="Cancelled"),"",IF(L155="Remaining",IF(S155&lt;&gt;"",S155-TODAY(),IF(V155="","",V155-TODAY())),IF(V155="","",V155-TODAY())))</t>
        </is>
      </c>
      <c r="AG155" s="44" t="n"/>
      <c r="AH155" s="44" t="n"/>
      <c r="AI155" s="44" t="n"/>
      <c r="AJ155" s="44" t="n"/>
      <c r="AK155" s="44" t="n"/>
      <c r="AL155" s="44" t="n"/>
      <c r="AM155" s="44" t="n"/>
      <c r="AN155" s="44" t="n"/>
      <c r="AO155" s="44" t="n"/>
      <c r="AP155" s="44" t="n"/>
      <c r="AQ155" s="44" t="n"/>
      <c r="AR155" s="40" t="n"/>
      <c r="AS155" s="40" t="n"/>
      <c r="AT155" s="40" t="n"/>
      <c r="AU155" s="38" t="inlineStr">
        <is>
          <t>IF(OR(E155="",AH155=""),"",IF(COUNT(AG155:AG155)=0,"",AH155-LOOKUP(2,1/(AG155:AG155&lt;&gt;""),AG155:AG155)))</t>
        </is>
      </c>
      <c r="AV155" s="38" t="inlineStr">
        <is>
          <t>IF(OR(E155="",AI155=""),"",IF(COUNT(AG155:AH155)=0,"",AI155-LOOKUP(2,1/(AG155:AH155&lt;&gt;""),AG155:AH155)))</t>
        </is>
      </c>
      <c r="AW155" s="38" t="inlineStr">
        <is>
          <t>IF(OR(E155="",AJ155=""),"",IF(COUNT(AG155:AI155)=0,"",AJ155-LOOKUP(2,1/(AG155:AI155&lt;&gt;""),AG155:AI155)))</t>
        </is>
      </c>
      <c r="AX155" s="38" t="inlineStr">
        <is>
          <t>IF(OR(E155="",AK155=""),"",IF(COUNT(AG155:AJ155)=0,"",AK155-LOOKUP(2,1/(AG155:AJ155&lt;&gt;""),AG155:AJ155)))</t>
        </is>
      </c>
      <c r="AY155" s="38" t="inlineStr">
        <is>
          <t>IF(OR(E155="",AL155=""),"",IF(COUNT(AG155:AK155)=0,"",AL155-LOOKUP(2,1/(AG155:AK155&lt;&gt;""),AG155:AK155)))</t>
        </is>
      </c>
      <c r="AZ155" s="38" t="inlineStr">
        <is>
          <t>IF(OR(E155="",AM155=""),"",IF(COUNT(AG155:AL155)=0,"",AM155-LOOKUP(2,1/(AG155:AL155&lt;&gt;""),AG155:AL155)))</t>
        </is>
      </c>
      <c r="BA155" s="38" t="inlineStr">
        <is>
          <t>IF(OR(E155="",AN155=""),"",IF(COUNT(AG155:AM155)=0,"",AN155-LOOKUP(2,1/(AG155:AM155&lt;&gt;""),AG155:AM155)))</t>
        </is>
      </c>
      <c r="BB155" s="38" t="inlineStr">
        <is>
          <t>IF(OR(E155="",AO155=""),"",IF(COUNT(AG155:AN155)=0,"",AO155-LOOKUP(2,1/(AG155:AN155&lt;&gt;""),AG155:AN155)))</t>
        </is>
      </c>
      <c r="BC155" s="38" t="inlineStr">
        <is>
          <t>IF(OR(E155="",AP155=""),"",IF(COUNT(AG155:AO155)=0,"",AP155-LOOKUP(2,1/(AG155:AO155&lt;&gt;""),AG155:AO155)))</t>
        </is>
      </c>
      <c r="BD155" s="38" t="inlineStr">
        <is>
          <t>IF(OR(E155="",AQ155=""),"",IF(COUNT(AG155:AP155)=0,"",AQ155-LOOKUP(2,1/(AG155:AP155&lt;&gt;""),AG155:AP155)))</t>
        </is>
      </c>
      <c r="BE155" s="38" t="inlineStr">
        <is>
          <t>IF(OR(E155="",AR155=""),"",IF(COUNT(AG155:AQ155)=0,"",AR155-LOOKUP(2,1/(AG155:AQ155&lt;&gt;""),AG155:AQ155)))</t>
        </is>
      </c>
      <c r="BF155" s="38" t="inlineStr">
        <is>
          <t>IF(OR(E155="",AS155=""),"",IF(COUNT(AG155:AR155)=0,"",AS155-LOOKUP(2,1/(AG155:AR155&lt;&gt;""),AG155:AR155)))</t>
        </is>
      </c>
      <c r="BG155" s="38" t="inlineStr">
        <is>
          <t>IF(OR(E155="",AT155=""),"",IF(COUNT(AG155:AS155)=0,"",AT155-LOOKUP(2,1/(AG155:AS155&lt;&gt;""),AG155:AS155)))</t>
        </is>
      </c>
      <c r="BH155" s="41" t="inlineStr">
        <is>
          <t>IF(G155="","All_Provinces",IFERROR(VLOOKUP(G155,'07_Lookups'!$A$4:$B$20,2,FALSE),"All_Provinces"))</t>
        </is>
      </c>
      <c r="BI155" s="41" t="inlineStr">
        <is>
          <t>IF(H155="","All_Districts",IFERROR(VLOOKUP(H155,'07_Lookups'!$E$4:$F$42,2,FALSE),"All_Districts"))</t>
        </is>
      </c>
    </row>
    <row r="156" ht="18" customHeight="1">
      <c r="A156" s="32" t="inlineStr">
        <is>
          <t>IF(E156="","",ROW()-3)</t>
        </is>
      </c>
      <c r="B156" s="33" t="inlineStr">
        <is>
          <t>AF2-WSM-R-017</t>
        </is>
      </c>
      <c r="C156" s="33" t="inlineStr">
        <is>
          <t>Emergency Food Security Project (EFSP) – WBK/AF-2</t>
        </is>
      </c>
      <c r="D156" s="33" t="inlineStr">
        <is>
          <t>Package #24-AF2 WSM: Construction of 5 Check dams 1. Kashata Tangi, 2. Forodi, 3. Valary in Nawzad district, 4.Band Khawanin, and 5.Tykhoghi in Washer district of Helmand province.</t>
        </is>
      </c>
      <c r="E156" s="33" t="inlineStr">
        <is>
          <t>Tykhoghi Check Dam</t>
        </is>
      </c>
      <c r="F156" s="33" t="inlineStr">
        <is>
          <t>Check Dam</t>
        </is>
      </c>
      <c r="G156" s="33" t="inlineStr">
        <is>
          <t>South / Kandahar</t>
        </is>
      </c>
      <c r="H156" s="33" t="inlineStr">
        <is>
          <t>Helmand</t>
        </is>
      </c>
      <c r="I156" s="33" t="inlineStr">
        <is>
          <t>Washer</t>
        </is>
      </c>
      <c r="J156" s="33" t="inlineStr">
        <is>
          <t>Koshki Spid Villag</t>
        </is>
      </c>
      <c r="K156" s="33" t="inlineStr">
        <is>
          <t>World Bank (WBK/AF-2)</t>
        </is>
      </c>
      <c r="L156" s="33" t="inlineStr">
        <is>
          <t>Remaining</t>
        </is>
      </c>
      <c r="M156" s="33" t="inlineStr">
        <is>
          <t>Watershed / Check dam</t>
        </is>
      </c>
      <c r="N156" s="33" t="inlineStr">
        <is>
          <t>4.WSM remaining contracts</t>
        </is>
      </c>
      <c r="O156" s="33" t="inlineStr"/>
      <c r="P156" s="33" t="inlineStr"/>
      <c r="Q156" s="34" t="n">
        <v>125000</v>
      </c>
      <c r="R156" s="35" t="inlineStr">
        <is>
          <t>IF(AO156="","",AO156)</t>
        </is>
      </c>
      <c r="S156" s="36" t="n">
        <v>46359</v>
      </c>
      <c r="T156" s="37" t="n">
        <v>5.9</v>
      </c>
      <c r="U156" s="36" t="n">
        <v>46539</v>
      </c>
      <c r="V156" s="35" t="inlineStr">
        <is>
          <t>IF(U156&lt;&gt;"",U156,IF(OR(R156="",T156=""),"",EDATE(R156,T156)))</t>
        </is>
      </c>
      <c r="W156" s="36" t="n"/>
      <c r="X156" s="37" t="n"/>
      <c r="Y156" s="33" t="inlineStr">
        <is>
          <t>Under Design</t>
        </is>
      </c>
      <c r="Z156" s="33" t="inlineStr">
        <is>
          <t>Technical clearance is expected to receive at first week of November. PR raised and ITB launched by the second week of November and award of contract by the first week of December. Construction period for six months</t>
        </is>
      </c>
      <c r="AA156" s="32" t="inlineStr">
        <is>
          <t>IF(E156="","",IF(COUNT(AG156:AT156)=0,IF(Y156="","Not started",Y156),SUBSTITUTE(LOOKUP(2,1/(AG156:AT156&lt;&gt;""),$AG$3:$AT$3),"Date: ","")))</t>
        </is>
      </c>
      <c r="AB156" s="38" t="inlineStr">
        <is>
          <t>IF(OR(E156="",COUNT(AG156:AT156)=0),"",TODAY()-LOOKUP(2,1/(AG156:AT156&lt;&gt;""),AG156:AT156))</t>
        </is>
      </c>
      <c r="AC156" s="38" t="inlineStr">
        <is>
          <t>IF(OR(E156="",COUNT(AG156:AT156)&lt;2),"",LOOKUP(2,1/(AG156:AT156&lt;&gt;""),AG156:AT156)-MIN(AG156:AT156))</t>
        </is>
      </c>
      <c r="AD156" s="38" t="inlineStr">
        <is>
          <t>IF(OR(AB156="",AA156="Not started",AA156=""),"",IFERROR(AB156-IF(VLOOKUP(AA156,'04_Status_Pipeline'!$B$3:$E$20,4,FALSE)="",0,VLOOKUP(AA156,'04_Status_Pipeline'!$B$3:$E$20,4,FALSE)),""))</t>
        </is>
      </c>
      <c r="AE156" s="32" t="inlineStr">
        <is>
          <t>IF(E156="","",IF(OR(Y156="Cancelled",AA156="Cancelled"),"Cancelled",IF(OR(AA156="Completed / Handover",W156&lt;&gt;"",X156&gt;=100),"Completed — on track",IF(L156="Remaining",IF(S156="",IF(V156="","No planned date",IF(TODAY()&gt;V156,"Behind — past planned date",IF(V156-TODAY()&lt;=30,"At risk — close to off track","On track"))),IF(TODAY()&gt;S156,"Behind — award date passed",IF(S156-TODAY()&lt;=30,"At risk — close to off track","On track"))),IF(V156="","No planned date",IF(AND(TODAY()&gt;V156,OR(X156="",X156&lt;100)),"Behind — past end date",IF(AND(R156&lt;&gt;"",V156&lt;&gt;"",X156&lt;&gt;"",(X156&lt;100),((TODAY()-R156)/MAX(V156-R156,1)*100)-X156&gt;15),"Behind — progress lag",IF(AND(V156-TODAY()&lt;=30,V156-TODAY()&gt;=0,OR(X156="",X156&lt;90)),"At risk — close to off track","On track"))))))))</t>
        </is>
      </c>
      <c r="AF156" s="38" t="inlineStr">
        <is>
          <t>IF(OR(E156="",AA156="Completed / Handover",AA156="Cancelled"),"",IF(L156="Remaining",IF(S156&lt;&gt;"",S156-TODAY(),IF(V156="","",V156-TODAY())),IF(V156="","",V156-TODAY())))</t>
        </is>
      </c>
      <c r="AG156" s="36" t="n"/>
      <c r="AH156" s="36" t="n"/>
      <c r="AI156" s="36" t="n"/>
      <c r="AJ156" s="36" t="n"/>
      <c r="AK156" s="36" t="n"/>
      <c r="AL156" s="36" t="n"/>
      <c r="AM156" s="36" t="n"/>
      <c r="AN156" s="36" t="n"/>
      <c r="AO156" s="36" t="n"/>
      <c r="AP156" s="36" t="n"/>
      <c r="AQ156" s="36" t="n"/>
      <c r="AR156" s="40" t="n"/>
      <c r="AS156" s="40" t="n"/>
      <c r="AT156" s="40" t="n"/>
      <c r="AU156" s="38" t="inlineStr">
        <is>
          <t>IF(OR(E156="",AH156=""),"",IF(COUNT(AG156:AG156)=0,"",AH156-LOOKUP(2,1/(AG156:AG156&lt;&gt;""),AG156:AG156)))</t>
        </is>
      </c>
      <c r="AV156" s="38" t="inlineStr">
        <is>
          <t>IF(OR(E156="",AI156=""),"",IF(COUNT(AG156:AH156)=0,"",AI156-LOOKUP(2,1/(AG156:AH156&lt;&gt;""),AG156:AH156)))</t>
        </is>
      </c>
      <c r="AW156" s="38" t="inlineStr">
        <is>
          <t>IF(OR(E156="",AJ156=""),"",IF(COUNT(AG156:AI156)=0,"",AJ156-LOOKUP(2,1/(AG156:AI156&lt;&gt;""),AG156:AI156)))</t>
        </is>
      </c>
      <c r="AX156" s="38" t="inlineStr">
        <is>
          <t>IF(OR(E156="",AK156=""),"",IF(COUNT(AG156:AJ156)=0,"",AK156-LOOKUP(2,1/(AG156:AJ156&lt;&gt;""),AG156:AJ156)))</t>
        </is>
      </c>
      <c r="AY156" s="38" t="inlineStr">
        <is>
          <t>IF(OR(E156="",AL156=""),"",IF(COUNT(AG156:AK156)=0,"",AL156-LOOKUP(2,1/(AG156:AK156&lt;&gt;""),AG156:AK156)))</t>
        </is>
      </c>
      <c r="AZ156" s="38" t="inlineStr">
        <is>
          <t>IF(OR(E156="",AM156=""),"",IF(COUNT(AG156:AL156)=0,"",AM156-LOOKUP(2,1/(AG156:AL156&lt;&gt;""),AG156:AL156)))</t>
        </is>
      </c>
      <c r="BA156" s="38" t="inlineStr">
        <is>
          <t>IF(OR(E156="",AN156=""),"",IF(COUNT(AG156:AM156)=0,"",AN156-LOOKUP(2,1/(AG156:AM156&lt;&gt;""),AG156:AM156)))</t>
        </is>
      </c>
      <c r="BB156" s="38" t="inlineStr">
        <is>
          <t>IF(OR(E156="",AO156=""),"",IF(COUNT(AG156:AN156)=0,"",AO156-LOOKUP(2,1/(AG156:AN156&lt;&gt;""),AG156:AN156)))</t>
        </is>
      </c>
      <c r="BC156" s="38" t="inlineStr">
        <is>
          <t>IF(OR(E156="",AP156=""),"",IF(COUNT(AG156:AO156)=0,"",AP156-LOOKUP(2,1/(AG156:AO156&lt;&gt;""),AG156:AO156)))</t>
        </is>
      </c>
      <c r="BD156" s="38" t="inlineStr">
        <is>
          <t>IF(OR(E156="",AQ156=""),"",IF(COUNT(AG156:AP156)=0,"",AQ156-LOOKUP(2,1/(AG156:AP156&lt;&gt;""),AG156:AP156)))</t>
        </is>
      </c>
      <c r="BE156" s="38" t="inlineStr">
        <is>
          <t>IF(OR(E156="",AR156=""),"",IF(COUNT(AG156:AQ156)=0,"",AR156-LOOKUP(2,1/(AG156:AQ156&lt;&gt;""),AG156:AQ156)))</t>
        </is>
      </c>
      <c r="BF156" s="38" t="inlineStr">
        <is>
          <t>IF(OR(E156="",AS156=""),"",IF(COUNT(AG156:AR156)=0,"",AS156-LOOKUP(2,1/(AG156:AR156&lt;&gt;""),AG156:AR156)))</t>
        </is>
      </c>
      <c r="BG156" s="38" t="inlineStr">
        <is>
          <t>IF(OR(E156="",AT156=""),"",IF(COUNT(AG156:AS156)=0,"",AT156-LOOKUP(2,1/(AG156:AS156&lt;&gt;""),AG156:AS156)))</t>
        </is>
      </c>
      <c r="BH156" s="41" t="inlineStr">
        <is>
          <t>IF(G156="","All_Provinces",IFERROR(VLOOKUP(G156,'07_Lookups'!$A$4:$B$20,2,FALSE),"All_Provinces"))</t>
        </is>
      </c>
      <c r="BI156" s="41" t="inlineStr">
        <is>
          <t>IF(H156="","All_Districts",IFERROR(VLOOKUP(H156,'07_Lookups'!$E$4:$F$42,2,FALSE),"All_Districts"))</t>
        </is>
      </c>
    </row>
    <row r="157" ht="18" customHeight="1">
      <c r="A157" s="32" t="inlineStr">
        <is>
          <t>IF(E157="","",ROW()-3)</t>
        </is>
      </c>
      <c r="B157" s="42" t="inlineStr">
        <is>
          <t>AF2-WSM-R-018</t>
        </is>
      </c>
      <c r="C157" s="42" t="inlineStr">
        <is>
          <t>Emergency Food Security Project (EFSP) – WBK/AF-2</t>
        </is>
      </c>
      <c r="D157" s="42" t="inlineStr">
        <is>
          <t>Package #25-AF2 WSM: Construction of Qali Gaz, Ghobana, and Nawi Kach Check dams, located in Mizana district of Zabul province.</t>
        </is>
      </c>
      <c r="E157" s="42" t="inlineStr">
        <is>
          <t>Qali Gaz Check Dam</t>
        </is>
      </c>
      <c r="F157" s="42" t="inlineStr">
        <is>
          <t>Check Dam</t>
        </is>
      </c>
      <c r="G157" s="42" t="inlineStr">
        <is>
          <t>South / Kandahar</t>
        </is>
      </c>
      <c r="H157" s="42" t="inlineStr">
        <is>
          <t>Zabul</t>
        </is>
      </c>
      <c r="I157" s="42" t="inlineStr">
        <is>
          <t>Mizana</t>
        </is>
      </c>
      <c r="J157" s="42" t="inlineStr">
        <is>
          <t>Qali Gaz Village</t>
        </is>
      </c>
      <c r="K157" s="42" t="inlineStr">
        <is>
          <t>World Bank (WBK/AF-2)</t>
        </is>
      </c>
      <c r="L157" s="42" t="inlineStr">
        <is>
          <t>Remaining</t>
        </is>
      </c>
      <c r="M157" s="42" t="inlineStr">
        <is>
          <t>Watershed / Check dam</t>
        </is>
      </c>
      <c r="N157" s="42" t="inlineStr">
        <is>
          <t>4.WSM remaining contracts</t>
        </is>
      </c>
      <c r="O157" s="42" t="inlineStr"/>
      <c r="P157" s="42" t="inlineStr"/>
      <c r="Q157" s="43" t="n">
        <v>97679</v>
      </c>
      <c r="R157" s="35" t="inlineStr">
        <is>
          <t>IF(AO157="","",AO157)</t>
        </is>
      </c>
      <c r="S157" s="44" t="n">
        <v>46351</v>
      </c>
      <c r="T157" s="45" t="n">
        <v>6.9</v>
      </c>
      <c r="U157" s="44" t="n">
        <v>46561</v>
      </c>
      <c r="V157" s="35" t="inlineStr">
        <is>
          <t>IF(U157&lt;&gt;"",U157,IF(OR(R157="",T157=""),"",EDATE(R157,T157)))</t>
        </is>
      </c>
      <c r="W157" s="44" t="n"/>
      <c r="X157" s="45" t="n"/>
      <c r="Y157" s="42" t="inlineStr">
        <is>
          <t>PR to be Raised</t>
        </is>
      </c>
      <c r="Z157" s="42" t="inlineStr">
        <is>
          <t>Construction period seven months including slack period.</t>
        </is>
      </c>
      <c r="AA157" s="32" t="inlineStr">
        <is>
          <t>IF(E157="","",IF(COUNT(AG157:AT157)=0,IF(Y157="","Not started",Y157),SUBSTITUTE(LOOKUP(2,1/(AG157:AT157&lt;&gt;""),$AG$3:$AT$3),"Date: ","")))</t>
        </is>
      </c>
      <c r="AB157" s="38" t="inlineStr">
        <is>
          <t>IF(OR(E157="",COUNT(AG157:AT157)=0),"",TODAY()-LOOKUP(2,1/(AG157:AT157&lt;&gt;""),AG157:AT157))</t>
        </is>
      </c>
      <c r="AC157" s="38" t="inlineStr">
        <is>
          <t>IF(OR(E157="",COUNT(AG157:AT157)&lt;2),"",LOOKUP(2,1/(AG157:AT157&lt;&gt;""),AG157:AT157)-MIN(AG157:AT157))</t>
        </is>
      </c>
      <c r="AD157" s="38" t="inlineStr">
        <is>
          <t>IF(OR(AB157="",AA157="Not started",AA157=""),"",IFERROR(AB157-IF(VLOOKUP(AA157,'04_Status_Pipeline'!$B$3:$E$20,4,FALSE)="",0,VLOOKUP(AA157,'04_Status_Pipeline'!$B$3:$E$20,4,FALSE)),""))</t>
        </is>
      </c>
      <c r="AE157" s="32" t="inlineStr">
        <is>
          <t>IF(E157="","",IF(OR(Y157="Cancelled",AA157="Cancelled"),"Cancelled",IF(OR(AA157="Completed / Handover",W157&lt;&gt;"",X157&gt;=100),"Completed — on track",IF(L157="Remaining",IF(S157="",IF(V157="","No planned date",IF(TODAY()&gt;V157,"Behind — past planned date",IF(V157-TODAY()&lt;=30,"At risk — close to off track","On track"))),IF(TODAY()&gt;S157,"Behind — award date passed",IF(S157-TODAY()&lt;=30,"At risk — close to off track","On track"))),IF(V157="","No planned date",IF(AND(TODAY()&gt;V157,OR(X157="",X157&lt;100)),"Behind — past end date",IF(AND(R157&lt;&gt;"",V157&lt;&gt;"",X157&lt;&gt;"",(X157&lt;100),((TODAY()-R157)/MAX(V157-R157,1)*100)-X157&gt;15),"Behind — progress lag",IF(AND(V157-TODAY()&lt;=30,V157-TODAY()&gt;=0,OR(X157="",X157&lt;90)),"At risk — close to off track","On track"))))))))</t>
        </is>
      </c>
      <c r="AF157" s="38" t="inlineStr">
        <is>
          <t>IF(OR(E157="",AA157="Completed / Handover",AA157="Cancelled"),"",IF(L157="Remaining",IF(S157&lt;&gt;"",S157-TODAY(),IF(V157="","",V157-TODAY())),IF(V157="","",V157-TODAY())))</t>
        </is>
      </c>
      <c r="AG157" s="44" t="n"/>
      <c r="AH157" s="44" t="n"/>
      <c r="AI157" s="44" t="n"/>
      <c r="AJ157" s="44" t="n"/>
      <c r="AK157" s="44" t="n"/>
      <c r="AL157" s="44" t="n"/>
      <c r="AM157" s="44" t="n"/>
      <c r="AN157" s="44" t="n"/>
      <c r="AO157" s="44" t="n"/>
      <c r="AP157" s="44" t="n"/>
      <c r="AQ157" s="44" t="n"/>
      <c r="AR157" s="40" t="n"/>
      <c r="AS157" s="40" t="n"/>
      <c r="AT157" s="40" t="n"/>
      <c r="AU157" s="38" t="inlineStr">
        <is>
          <t>IF(OR(E157="",AH157=""),"",IF(COUNT(AG157:AG157)=0,"",AH157-LOOKUP(2,1/(AG157:AG157&lt;&gt;""),AG157:AG157)))</t>
        </is>
      </c>
      <c r="AV157" s="38" t="inlineStr">
        <is>
          <t>IF(OR(E157="",AI157=""),"",IF(COUNT(AG157:AH157)=0,"",AI157-LOOKUP(2,1/(AG157:AH157&lt;&gt;""),AG157:AH157)))</t>
        </is>
      </c>
      <c r="AW157" s="38" t="inlineStr">
        <is>
          <t>IF(OR(E157="",AJ157=""),"",IF(COUNT(AG157:AI157)=0,"",AJ157-LOOKUP(2,1/(AG157:AI157&lt;&gt;""),AG157:AI157)))</t>
        </is>
      </c>
      <c r="AX157" s="38" t="inlineStr">
        <is>
          <t>IF(OR(E157="",AK157=""),"",IF(COUNT(AG157:AJ157)=0,"",AK157-LOOKUP(2,1/(AG157:AJ157&lt;&gt;""),AG157:AJ157)))</t>
        </is>
      </c>
      <c r="AY157" s="38" t="inlineStr">
        <is>
          <t>IF(OR(E157="",AL157=""),"",IF(COUNT(AG157:AK157)=0,"",AL157-LOOKUP(2,1/(AG157:AK157&lt;&gt;""),AG157:AK157)))</t>
        </is>
      </c>
      <c r="AZ157" s="38" t="inlineStr">
        <is>
          <t>IF(OR(E157="",AM157=""),"",IF(COUNT(AG157:AL157)=0,"",AM157-LOOKUP(2,1/(AG157:AL157&lt;&gt;""),AG157:AL157)))</t>
        </is>
      </c>
      <c r="BA157" s="38" t="inlineStr">
        <is>
          <t>IF(OR(E157="",AN157=""),"",IF(COUNT(AG157:AM157)=0,"",AN157-LOOKUP(2,1/(AG157:AM157&lt;&gt;""),AG157:AM157)))</t>
        </is>
      </c>
      <c r="BB157" s="38" t="inlineStr">
        <is>
          <t>IF(OR(E157="",AO157=""),"",IF(COUNT(AG157:AN157)=0,"",AO157-LOOKUP(2,1/(AG157:AN157&lt;&gt;""),AG157:AN157)))</t>
        </is>
      </c>
      <c r="BC157" s="38" t="inlineStr">
        <is>
          <t>IF(OR(E157="",AP157=""),"",IF(COUNT(AG157:AO157)=0,"",AP157-LOOKUP(2,1/(AG157:AO157&lt;&gt;""),AG157:AO157)))</t>
        </is>
      </c>
      <c r="BD157" s="38" t="inlineStr">
        <is>
          <t>IF(OR(E157="",AQ157=""),"",IF(COUNT(AG157:AP157)=0,"",AQ157-LOOKUP(2,1/(AG157:AP157&lt;&gt;""),AG157:AP157)))</t>
        </is>
      </c>
      <c r="BE157" s="38" t="inlineStr">
        <is>
          <t>IF(OR(E157="",AR157=""),"",IF(COUNT(AG157:AQ157)=0,"",AR157-LOOKUP(2,1/(AG157:AQ157&lt;&gt;""),AG157:AQ157)))</t>
        </is>
      </c>
      <c r="BF157" s="38" t="inlineStr">
        <is>
          <t>IF(OR(E157="",AS157=""),"",IF(COUNT(AG157:AR157)=0,"",AS157-LOOKUP(2,1/(AG157:AR157&lt;&gt;""),AG157:AR157)))</t>
        </is>
      </c>
      <c r="BG157" s="38" t="inlineStr">
        <is>
          <t>IF(OR(E157="",AT157=""),"",IF(COUNT(AG157:AS157)=0,"",AT157-LOOKUP(2,1/(AG157:AS157&lt;&gt;""),AG157:AS157)))</t>
        </is>
      </c>
      <c r="BH157" s="41" t="inlineStr">
        <is>
          <t>IF(G157="","All_Provinces",IFERROR(VLOOKUP(G157,'07_Lookups'!$A$4:$B$20,2,FALSE),"All_Provinces"))</t>
        </is>
      </c>
      <c r="BI157" s="41" t="inlineStr">
        <is>
          <t>IF(H157="","All_Districts",IFERROR(VLOOKUP(H157,'07_Lookups'!$E$4:$F$42,2,FALSE),"All_Districts"))</t>
        </is>
      </c>
    </row>
    <row r="158" ht="18" customHeight="1">
      <c r="A158" s="32" t="inlineStr">
        <is>
          <t>IF(E158="","",ROW()-3)</t>
        </is>
      </c>
      <c r="B158" s="33" t="inlineStr">
        <is>
          <t>AF2-WSM-R-019</t>
        </is>
      </c>
      <c r="C158" s="33" t="inlineStr">
        <is>
          <t>Emergency Food Security Project (EFSP) – WBK/AF-2</t>
        </is>
      </c>
      <c r="D158" s="33" t="inlineStr">
        <is>
          <t>Package #25-AF2 WSM: Construction of Qali Gaz, Ghobana, and Nawi Kach Check dams, located in Mizana district of Zabul province.</t>
        </is>
      </c>
      <c r="E158" s="33" t="inlineStr">
        <is>
          <t>Ghobana Check Dam</t>
        </is>
      </c>
      <c r="F158" s="33" t="inlineStr">
        <is>
          <t>Check Dam</t>
        </is>
      </c>
      <c r="G158" s="33" t="inlineStr">
        <is>
          <t>South / Kandahar</t>
        </is>
      </c>
      <c r="H158" s="33" t="inlineStr">
        <is>
          <t>Zabul</t>
        </is>
      </c>
      <c r="I158" s="33" t="inlineStr">
        <is>
          <t>Mizana</t>
        </is>
      </c>
      <c r="J158" s="33" t="inlineStr">
        <is>
          <t>Takhom Village</t>
        </is>
      </c>
      <c r="K158" s="33" t="inlineStr">
        <is>
          <t>World Bank (WBK/AF-2)</t>
        </is>
      </c>
      <c r="L158" s="33" t="inlineStr">
        <is>
          <t>Remaining</t>
        </is>
      </c>
      <c r="M158" s="33" t="inlineStr">
        <is>
          <t>Watershed / Check dam</t>
        </is>
      </c>
      <c r="N158" s="33" t="inlineStr">
        <is>
          <t>4.WSM remaining contracts</t>
        </is>
      </c>
      <c r="O158" s="33" t="inlineStr"/>
      <c r="P158" s="33" t="inlineStr"/>
      <c r="Q158" s="34" t="n">
        <v>97679</v>
      </c>
      <c r="R158" s="35" t="inlineStr">
        <is>
          <t>IF(AO158="","",AO158)</t>
        </is>
      </c>
      <c r="S158" s="36" t="n">
        <v>46351</v>
      </c>
      <c r="T158" s="37" t="n">
        <v>6.9</v>
      </c>
      <c r="U158" s="36" t="n">
        <v>46561</v>
      </c>
      <c r="V158" s="35" t="inlineStr">
        <is>
          <t>IF(U158&lt;&gt;"",U158,IF(OR(R158="",T158=""),"",EDATE(R158,T158)))</t>
        </is>
      </c>
      <c r="W158" s="36" t="n"/>
      <c r="X158" s="37" t="n"/>
      <c r="Y158" s="33" t="inlineStr">
        <is>
          <t>PR to be Raised</t>
        </is>
      </c>
      <c r="Z158" s="33" t="inlineStr">
        <is>
          <t>Construction period seven months including slack period.</t>
        </is>
      </c>
      <c r="AA158" s="32" t="inlineStr">
        <is>
          <t>IF(E158="","",IF(COUNT(AG158:AT158)=0,IF(Y158="","Not started",Y158),SUBSTITUTE(LOOKUP(2,1/(AG158:AT158&lt;&gt;""),$AG$3:$AT$3),"Date: ","")))</t>
        </is>
      </c>
      <c r="AB158" s="38" t="inlineStr">
        <is>
          <t>IF(OR(E158="",COUNT(AG158:AT158)=0),"",TODAY()-LOOKUP(2,1/(AG158:AT158&lt;&gt;""),AG158:AT158))</t>
        </is>
      </c>
      <c r="AC158" s="38" t="inlineStr">
        <is>
          <t>IF(OR(E158="",COUNT(AG158:AT158)&lt;2),"",LOOKUP(2,1/(AG158:AT158&lt;&gt;""),AG158:AT158)-MIN(AG158:AT158))</t>
        </is>
      </c>
      <c r="AD158" s="38" t="inlineStr">
        <is>
          <t>IF(OR(AB158="",AA158="Not started",AA158=""),"",IFERROR(AB158-IF(VLOOKUP(AA158,'04_Status_Pipeline'!$B$3:$E$20,4,FALSE)="",0,VLOOKUP(AA158,'04_Status_Pipeline'!$B$3:$E$20,4,FALSE)),""))</t>
        </is>
      </c>
      <c r="AE158" s="32" t="inlineStr">
        <is>
          <t>IF(E158="","",IF(OR(Y158="Cancelled",AA158="Cancelled"),"Cancelled",IF(OR(AA158="Completed / Handover",W158&lt;&gt;"",X158&gt;=100),"Completed — on track",IF(L158="Remaining",IF(S158="",IF(V158="","No planned date",IF(TODAY()&gt;V158,"Behind — past planned date",IF(V158-TODAY()&lt;=30,"At risk — close to off track","On track"))),IF(TODAY()&gt;S158,"Behind — award date passed",IF(S158-TODAY()&lt;=30,"At risk — close to off track","On track"))),IF(V158="","No planned date",IF(AND(TODAY()&gt;V158,OR(X158="",X158&lt;100)),"Behind — past end date",IF(AND(R158&lt;&gt;"",V158&lt;&gt;"",X158&lt;&gt;"",(X158&lt;100),((TODAY()-R158)/MAX(V158-R158,1)*100)-X158&gt;15),"Behind — progress lag",IF(AND(V158-TODAY()&lt;=30,V158-TODAY()&gt;=0,OR(X158="",X158&lt;90)),"At risk — close to off track","On track"))))))))</t>
        </is>
      </c>
      <c r="AF158" s="38" t="inlineStr">
        <is>
          <t>IF(OR(E158="",AA158="Completed / Handover",AA158="Cancelled"),"",IF(L158="Remaining",IF(S158&lt;&gt;"",S158-TODAY(),IF(V158="","",V158-TODAY())),IF(V158="","",V158-TODAY())))</t>
        </is>
      </c>
      <c r="AG158" s="36" t="n"/>
      <c r="AH158" s="36" t="n"/>
      <c r="AI158" s="36" t="n"/>
      <c r="AJ158" s="36" t="n"/>
      <c r="AK158" s="36" t="n"/>
      <c r="AL158" s="36" t="n"/>
      <c r="AM158" s="36" t="n"/>
      <c r="AN158" s="36" t="n"/>
      <c r="AO158" s="36" t="n"/>
      <c r="AP158" s="36" t="n"/>
      <c r="AQ158" s="36" t="n"/>
      <c r="AR158" s="40" t="n"/>
      <c r="AS158" s="40" t="n"/>
      <c r="AT158" s="40" t="n"/>
      <c r="AU158" s="38" t="inlineStr">
        <is>
          <t>IF(OR(E158="",AH158=""),"",IF(COUNT(AG158:AG158)=0,"",AH158-LOOKUP(2,1/(AG158:AG158&lt;&gt;""),AG158:AG158)))</t>
        </is>
      </c>
      <c r="AV158" s="38" t="inlineStr">
        <is>
          <t>IF(OR(E158="",AI158=""),"",IF(COUNT(AG158:AH158)=0,"",AI158-LOOKUP(2,1/(AG158:AH158&lt;&gt;""),AG158:AH158)))</t>
        </is>
      </c>
      <c r="AW158" s="38" t="inlineStr">
        <is>
          <t>IF(OR(E158="",AJ158=""),"",IF(COUNT(AG158:AI158)=0,"",AJ158-LOOKUP(2,1/(AG158:AI158&lt;&gt;""),AG158:AI158)))</t>
        </is>
      </c>
      <c r="AX158" s="38" t="inlineStr">
        <is>
          <t>IF(OR(E158="",AK158=""),"",IF(COUNT(AG158:AJ158)=0,"",AK158-LOOKUP(2,1/(AG158:AJ158&lt;&gt;""),AG158:AJ158)))</t>
        </is>
      </c>
      <c r="AY158" s="38" t="inlineStr">
        <is>
          <t>IF(OR(E158="",AL158=""),"",IF(COUNT(AG158:AK158)=0,"",AL158-LOOKUP(2,1/(AG158:AK158&lt;&gt;""),AG158:AK158)))</t>
        </is>
      </c>
      <c r="AZ158" s="38" t="inlineStr">
        <is>
          <t>IF(OR(E158="",AM158=""),"",IF(COUNT(AG158:AL158)=0,"",AM158-LOOKUP(2,1/(AG158:AL158&lt;&gt;""),AG158:AL158)))</t>
        </is>
      </c>
      <c r="BA158" s="38" t="inlineStr">
        <is>
          <t>IF(OR(E158="",AN158=""),"",IF(COUNT(AG158:AM158)=0,"",AN158-LOOKUP(2,1/(AG158:AM158&lt;&gt;""),AG158:AM158)))</t>
        </is>
      </c>
      <c r="BB158" s="38" t="inlineStr">
        <is>
          <t>IF(OR(E158="",AO158=""),"",IF(COUNT(AG158:AN158)=0,"",AO158-LOOKUP(2,1/(AG158:AN158&lt;&gt;""),AG158:AN158)))</t>
        </is>
      </c>
      <c r="BC158" s="38" t="inlineStr">
        <is>
          <t>IF(OR(E158="",AP158=""),"",IF(COUNT(AG158:AO158)=0,"",AP158-LOOKUP(2,1/(AG158:AO158&lt;&gt;""),AG158:AO158)))</t>
        </is>
      </c>
      <c r="BD158" s="38" t="inlineStr">
        <is>
          <t>IF(OR(E158="",AQ158=""),"",IF(COUNT(AG158:AP158)=0,"",AQ158-LOOKUP(2,1/(AG158:AP158&lt;&gt;""),AG158:AP158)))</t>
        </is>
      </c>
      <c r="BE158" s="38" t="inlineStr">
        <is>
          <t>IF(OR(E158="",AR158=""),"",IF(COUNT(AG158:AQ158)=0,"",AR158-LOOKUP(2,1/(AG158:AQ158&lt;&gt;""),AG158:AQ158)))</t>
        </is>
      </c>
      <c r="BF158" s="38" t="inlineStr">
        <is>
          <t>IF(OR(E158="",AS158=""),"",IF(COUNT(AG158:AR158)=0,"",AS158-LOOKUP(2,1/(AG158:AR158&lt;&gt;""),AG158:AR158)))</t>
        </is>
      </c>
      <c r="BG158" s="38" t="inlineStr">
        <is>
          <t>IF(OR(E158="",AT158=""),"",IF(COUNT(AG158:AS158)=0,"",AT158-LOOKUP(2,1/(AG158:AS158&lt;&gt;""),AG158:AS158)))</t>
        </is>
      </c>
      <c r="BH158" s="41" t="inlineStr">
        <is>
          <t>IF(G158="","All_Provinces",IFERROR(VLOOKUP(G158,'07_Lookups'!$A$4:$B$20,2,FALSE),"All_Provinces"))</t>
        </is>
      </c>
      <c r="BI158" s="41" t="inlineStr">
        <is>
          <t>IF(H158="","All_Districts",IFERROR(VLOOKUP(H158,'07_Lookups'!$E$4:$F$42,2,FALSE),"All_Districts"))</t>
        </is>
      </c>
    </row>
    <row r="159" ht="18" customHeight="1">
      <c r="A159" s="32" t="inlineStr">
        <is>
          <t>IF(E159="","",ROW()-3)</t>
        </is>
      </c>
      <c r="B159" s="42" t="inlineStr">
        <is>
          <t>AF2-WSM-R-020</t>
        </is>
      </c>
      <c r="C159" s="42" t="inlineStr">
        <is>
          <t>Emergency Food Security Project (EFSP) – WBK/AF-2</t>
        </is>
      </c>
      <c r="D159" s="42" t="inlineStr">
        <is>
          <t>Package #25-AF2 WSM: Construction of Qali Gaz, Ghobana, and Nawi Kach Check dams, located in Mizana district of Zabul province.</t>
        </is>
      </c>
      <c r="E159" s="42" t="inlineStr">
        <is>
          <t>Nawi Kach Check Dam</t>
        </is>
      </c>
      <c r="F159" s="42" t="inlineStr">
        <is>
          <t>Check Dam</t>
        </is>
      </c>
      <c r="G159" s="42" t="inlineStr">
        <is>
          <t>South / Kandahar</t>
        </is>
      </c>
      <c r="H159" s="42" t="inlineStr">
        <is>
          <t>Zabul</t>
        </is>
      </c>
      <c r="I159" s="42" t="inlineStr">
        <is>
          <t>Mizana</t>
        </is>
      </c>
      <c r="J159" s="42" t="inlineStr">
        <is>
          <t>Landi Nawa Village</t>
        </is>
      </c>
      <c r="K159" s="42" t="inlineStr">
        <is>
          <t>World Bank (WBK/AF-2)</t>
        </is>
      </c>
      <c r="L159" s="42" t="inlineStr">
        <is>
          <t>Remaining</t>
        </is>
      </c>
      <c r="M159" s="42" t="inlineStr">
        <is>
          <t>Watershed / Check dam</t>
        </is>
      </c>
      <c r="N159" s="42" t="inlineStr">
        <is>
          <t>4.WSM remaining contracts</t>
        </is>
      </c>
      <c r="O159" s="42" t="inlineStr"/>
      <c r="P159" s="42" t="inlineStr"/>
      <c r="Q159" s="43" t="n">
        <v>97679</v>
      </c>
      <c r="R159" s="35" t="inlineStr">
        <is>
          <t>IF(AO159="","",AO159)</t>
        </is>
      </c>
      <c r="S159" s="44" t="n">
        <v>46351</v>
      </c>
      <c r="T159" s="45" t="n">
        <v>6.9</v>
      </c>
      <c r="U159" s="44" t="n">
        <v>46561</v>
      </c>
      <c r="V159" s="35" t="inlineStr">
        <is>
          <t>IF(U159&lt;&gt;"",U159,IF(OR(R159="",T159=""),"",EDATE(R159,T159)))</t>
        </is>
      </c>
      <c r="W159" s="44" t="n"/>
      <c r="X159" s="45" t="n"/>
      <c r="Y159" s="42" t="inlineStr">
        <is>
          <t>PR to be Raised</t>
        </is>
      </c>
      <c r="Z159" s="42" t="inlineStr">
        <is>
          <t>Construction period seven months including slack period.</t>
        </is>
      </c>
      <c r="AA159" s="32" t="inlineStr">
        <is>
          <t>IF(E159="","",IF(COUNT(AG159:AT159)=0,IF(Y159="","Not started",Y159),SUBSTITUTE(LOOKUP(2,1/(AG159:AT159&lt;&gt;""),$AG$3:$AT$3),"Date: ","")))</t>
        </is>
      </c>
      <c r="AB159" s="38" t="inlineStr">
        <is>
          <t>IF(OR(E159="",COUNT(AG159:AT159)=0),"",TODAY()-LOOKUP(2,1/(AG159:AT159&lt;&gt;""),AG159:AT159))</t>
        </is>
      </c>
      <c r="AC159" s="38" t="inlineStr">
        <is>
          <t>IF(OR(E159="",COUNT(AG159:AT159)&lt;2),"",LOOKUP(2,1/(AG159:AT159&lt;&gt;""),AG159:AT159)-MIN(AG159:AT159))</t>
        </is>
      </c>
      <c r="AD159" s="38" t="inlineStr">
        <is>
          <t>IF(OR(AB159="",AA159="Not started",AA159=""),"",IFERROR(AB159-IF(VLOOKUP(AA159,'04_Status_Pipeline'!$B$3:$E$20,4,FALSE)="",0,VLOOKUP(AA159,'04_Status_Pipeline'!$B$3:$E$20,4,FALSE)),""))</t>
        </is>
      </c>
      <c r="AE159" s="32" t="inlineStr">
        <is>
          <t>IF(E159="","",IF(OR(Y159="Cancelled",AA159="Cancelled"),"Cancelled",IF(OR(AA159="Completed / Handover",W159&lt;&gt;"",X159&gt;=100),"Completed — on track",IF(L159="Remaining",IF(S159="",IF(V159="","No planned date",IF(TODAY()&gt;V159,"Behind — past planned date",IF(V159-TODAY()&lt;=30,"At risk — close to off track","On track"))),IF(TODAY()&gt;S159,"Behind — award date passed",IF(S159-TODAY()&lt;=30,"At risk — close to off track","On track"))),IF(V159="","No planned date",IF(AND(TODAY()&gt;V159,OR(X159="",X159&lt;100)),"Behind — past end date",IF(AND(R159&lt;&gt;"",V159&lt;&gt;"",X159&lt;&gt;"",(X159&lt;100),((TODAY()-R159)/MAX(V159-R159,1)*100)-X159&gt;15),"Behind — progress lag",IF(AND(V159-TODAY()&lt;=30,V159-TODAY()&gt;=0,OR(X159="",X159&lt;90)),"At risk — close to off track","On track"))))))))</t>
        </is>
      </c>
      <c r="AF159" s="38" t="inlineStr">
        <is>
          <t>IF(OR(E159="",AA159="Completed / Handover",AA159="Cancelled"),"",IF(L159="Remaining",IF(S159&lt;&gt;"",S159-TODAY(),IF(V159="","",V159-TODAY())),IF(V159="","",V159-TODAY())))</t>
        </is>
      </c>
      <c r="AG159" s="44" t="n"/>
      <c r="AH159" s="44" t="n"/>
      <c r="AI159" s="44" t="n"/>
      <c r="AJ159" s="44" t="n"/>
      <c r="AK159" s="44" t="n"/>
      <c r="AL159" s="44" t="n"/>
      <c r="AM159" s="44" t="n"/>
      <c r="AN159" s="44" t="n"/>
      <c r="AO159" s="44" t="n"/>
      <c r="AP159" s="44" t="n"/>
      <c r="AQ159" s="44" t="n"/>
      <c r="AR159" s="40" t="n"/>
      <c r="AS159" s="40" t="n"/>
      <c r="AT159" s="40" t="n"/>
      <c r="AU159" s="38" t="inlineStr">
        <is>
          <t>IF(OR(E159="",AH159=""),"",IF(COUNT(AG159:AG159)=0,"",AH159-LOOKUP(2,1/(AG159:AG159&lt;&gt;""),AG159:AG159)))</t>
        </is>
      </c>
      <c r="AV159" s="38" t="inlineStr">
        <is>
          <t>IF(OR(E159="",AI159=""),"",IF(COUNT(AG159:AH159)=0,"",AI159-LOOKUP(2,1/(AG159:AH159&lt;&gt;""),AG159:AH159)))</t>
        </is>
      </c>
      <c r="AW159" s="38" t="inlineStr">
        <is>
          <t>IF(OR(E159="",AJ159=""),"",IF(COUNT(AG159:AI159)=0,"",AJ159-LOOKUP(2,1/(AG159:AI159&lt;&gt;""),AG159:AI159)))</t>
        </is>
      </c>
      <c r="AX159" s="38" t="inlineStr">
        <is>
          <t>IF(OR(E159="",AK159=""),"",IF(COUNT(AG159:AJ159)=0,"",AK159-LOOKUP(2,1/(AG159:AJ159&lt;&gt;""),AG159:AJ159)))</t>
        </is>
      </c>
      <c r="AY159" s="38" t="inlineStr">
        <is>
          <t>IF(OR(E159="",AL159=""),"",IF(COUNT(AG159:AK159)=0,"",AL159-LOOKUP(2,1/(AG159:AK159&lt;&gt;""),AG159:AK159)))</t>
        </is>
      </c>
      <c r="AZ159" s="38" t="inlineStr">
        <is>
          <t>IF(OR(E159="",AM159=""),"",IF(COUNT(AG159:AL159)=0,"",AM159-LOOKUP(2,1/(AG159:AL159&lt;&gt;""),AG159:AL159)))</t>
        </is>
      </c>
      <c r="BA159" s="38" t="inlineStr">
        <is>
          <t>IF(OR(E159="",AN159=""),"",IF(COUNT(AG159:AM159)=0,"",AN159-LOOKUP(2,1/(AG159:AM159&lt;&gt;""),AG159:AM159)))</t>
        </is>
      </c>
      <c r="BB159" s="38" t="inlineStr">
        <is>
          <t>IF(OR(E159="",AO159=""),"",IF(COUNT(AG159:AN159)=0,"",AO159-LOOKUP(2,1/(AG159:AN159&lt;&gt;""),AG159:AN159)))</t>
        </is>
      </c>
      <c r="BC159" s="38" t="inlineStr">
        <is>
          <t>IF(OR(E159="",AP159=""),"",IF(COUNT(AG159:AO159)=0,"",AP159-LOOKUP(2,1/(AG159:AO159&lt;&gt;""),AG159:AO159)))</t>
        </is>
      </c>
      <c r="BD159" s="38" t="inlineStr">
        <is>
          <t>IF(OR(E159="",AQ159=""),"",IF(COUNT(AG159:AP159)=0,"",AQ159-LOOKUP(2,1/(AG159:AP159&lt;&gt;""),AG159:AP159)))</t>
        </is>
      </c>
      <c r="BE159" s="38" t="inlineStr">
        <is>
          <t>IF(OR(E159="",AR159=""),"",IF(COUNT(AG159:AQ159)=0,"",AR159-LOOKUP(2,1/(AG159:AQ159&lt;&gt;""),AG159:AQ159)))</t>
        </is>
      </c>
      <c r="BF159" s="38" t="inlineStr">
        <is>
          <t>IF(OR(E159="",AS159=""),"",IF(COUNT(AG159:AR159)=0,"",AS159-LOOKUP(2,1/(AG159:AR159&lt;&gt;""),AG159:AR159)))</t>
        </is>
      </c>
      <c r="BG159" s="38" t="inlineStr">
        <is>
          <t>IF(OR(E159="",AT159=""),"",IF(COUNT(AG159:AS159)=0,"",AT159-LOOKUP(2,1/(AG159:AS159&lt;&gt;""),AG159:AS159)))</t>
        </is>
      </c>
      <c r="BH159" s="41" t="inlineStr">
        <is>
          <t>IF(G159="","All_Provinces",IFERROR(VLOOKUP(G159,'07_Lookups'!$A$4:$B$20,2,FALSE),"All_Provinces"))</t>
        </is>
      </c>
      <c r="BI159" s="41" t="inlineStr">
        <is>
          <t>IF(H159="","All_Districts",IFERROR(VLOOKUP(H159,'07_Lookups'!$E$4:$F$42,2,FALSE),"All_Districts"))</t>
        </is>
      </c>
    </row>
    <row r="160" ht="18" customHeight="1">
      <c r="A160" s="32" t="inlineStr">
        <is>
          <t>IF(E160="","",ROW()-3)</t>
        </is>
      </c>
      <c r="B160" s="33" t="inlineStr">
        <is>
          <t>AF2-WSM-R-021</t>
        </is>
      </c>
      <c r="C160" s="33" t="inlineStr">
        <is>
          <t>Emergency Food Security Project (EFSP) – WBK/AF-2</t>
        </is>
      </c>
      <c r="D160" s="33" t="inlineStr">
        <is>
          <t>Package #34-AF2 WSM: Construction of two Check dams, 1.Tawqus Sangaw and 2. Khalkoma in Kalbad and Ali Abad district of Kunduz province.</t>
        </is>
      </c>
      <c r="E160" s="33" t="inlineStr">
        <is>
          <t>Tawqus Sangaw Check Dam</t>
        </is>
      </c>
      <c r="F160" s="33" t="inlineStr">
        <is>
          <t>Check Dam</t>
        </is>
      </c>
      <c r="G160" s="33" t="inlineStr">
        <is>
          <t>South / Kandahar</t>
        </is>
      </c>
      <c r="H160" s="33" t="inlineStr">
        <is>
          <t>Kunduz</t>
        </is>
      </c>
      <c r="I160" s="33" t="inlineStr">
        <is>
          <t>Kalbad</t>
        </is>
      </c>
      <c r="J160" s="33" t="inlineStr">
        <is>
          <t>Tawqus Sangaw</t>
        </is>
      </c>
      <c r="K160" s="33" t="inlineStr">
        <is>
          <t>World Bank (WBK/AF-2)</t>
        </is>
      </c>
      <c r="L160" s="33" t="inlineStr">
        <is>
          <t>Remaining</t>
        </is>
      </c>
      <c r="M160" s="33" t="inlineStr">
        <is>
          <t>Watershed / Check dam</t>
        </is>
      </c>
      <c r="N160" s="33" t="inlineStr">
        <is>
          <t>4.WSM remaining contracts</t>
        </is>
      </c>
      <c r="O160" s="33" t="inlineStr"/>
      <c r="P160" s="33" t="inlineStr"/>
      <c r="Q160" s="34" t="n">
        <v>66984.58</v>
      </c>
      <c r="R160" s="35" t="inlineStr">
        <is>
          <t>IF(AO160="","",AO160)</t>
        </is>
      </c>
      <c r="S160" s="36" t="n">
        <v>46326</v>
      </c>
      <c r="T160" s="37" t="n">
        <v>5.9</v>
      </c>
      <c r="U160" s="36" t="n">
        <v>46506</v>
      </c>
      <c r="V160" s="35" t="inlineStr">
        <is>
          <t>IF(U160&lt;&gt;"",U160,IF(OR(R160="",T160=""),"",EDATE(R160,T160)))</t>
        </is>
      </c>
      <c r="W160" s="36" t="n"/>
      <c r="X160" s="37" t="n"/>
      <c r="Y160" s="33" t="inlineStr">
        <is>
          <t>ITB Launched</t>
        </is>
      </c>
      <c r="Z160" s="33" t="inlineStr">
        <is>
          <t>Construction period six months including slack period (Dec-Jan).</t>
        </is>
      </c>
      <c r="AA160" s="32" t="inlineStr">
        <is>
          <t>IF(E160="","",IF(COUNT(AG160:AT160)=0,IF(Y160="","Not started",Y160),SUBSTITUTE(LOOKUP(2,1/(AG160:AT160&lt;&gt;""),$AG$3:$AT$3),"Date: ","")))</t>
        </is>
      </c>
      <c r="AB160" s="38" t="inlineStr">
        <is>
          <t>IF(OR(E160="",COUNT(AG160:AT160)=0),"",TODAY()-LOOKUP(2,1/(AG160:AT160&lt;&gt;""),AG160:AT160))</t>
        </is>
      </c>
      <c r="AC160" s="38" t="inlineStr">
        <is>
          <t>IF(OR(E160="",COUNT(AG160:AT160)&lt;2),"",LOOKUP(2,1/(AG160:AT160&lt;&gt;""),AG160:AT160)-MIN(AG160:AT160))</t>
        </is>
      </c>
      <c r="AD160" s="38" t="inlineStr">
        <is>
          <t>IF(OR(AB160="",AA160="Not started",AA160=""),"",IFERROR(AB160-IF(VLOOKUP(AA160,'04_Status_Pipeline'!$B$3:$E$20,4,FALSE)="",0,VLOOKUP(AA160,'04_Status_Pipeline'!$B$3:$E$20,4,FALSE)),""))</t>
        </is>
      </c>
      <c r="AE160" s="32" t="inlineStr">
        <is>
          <t>IF(E160="","",IF(OR(Y160="Cancelled",AA160="Cancelled"),"Cancelled",IF(OR(AA160="Completed / Handover",W160&lt;&gt;"",X160&gt;=100),"Completed — on track",IF(L160="Remaining",IF(S160="",IF(V160="","No planned date",IF(TODAY()&gt;V160,"Behind — past planned date",IF(V160-TODAY()&lt;=30,"At risk — close to off track","On track"))),IF(TODAY()&gt;S160,"Behind — award date passed",IF(S160-TODAY()&lt;=30,"At risk — close to off track","On track"))),IF(V160="","No planned date",IF(AND(TODAY()&gt;V160,OR(X160="",X160&lt;100)),"Behind — past end date",IF(AND(R160&lt;&gt;"",V160&lt;&gt;"",X160&lt;&gt;"",(X160&lt;100),((TODAY()-R160)/MAX(V160-R160,1)*100)-X160&gt;15),"Behind — progress lag",IF(AND(V160-TODAY()&lt;=30,V160-TODAY()&gt;=0,OR(X160="",X160&lt;90)),"At risk — close to off track","On track"))))))))</t>
        </is>
      </c>
      <c r="AF160" s="38" t="inlineStr">
        <is>
          <t>IF(OR(E160="",AA160="Completed / Handover",AA160="Cancelled"),"",IF(L160="Remaining",IF(S160&lt;&gt;"",S160-TODAY(),IF(V160="","",V160-TODAY())),IF(V160="","",V160-TODAY())))</t>
        </is>
      </c>
      <c r="AG160" s="36" t="n"/>
      <c r="AH160" s="36" t="n"/>
      <c r="AI160" s="36" t="n"/>
      <c r="AJ160" s="36" t="n"/>
      <c r="AK160" s="36" t="n"/>
      <c r="AL160" s="36" t="n"/>
      <c r="AM160" s="36" t="n"/>
      <c r="AN160" s="36" t="n"/>
      <c r="AO160" s="36" t="n"/>
      <c r="AP160" s="36" t="n"/>
      <c r="AQ160" s="36" t="n"/>
      <c r="AR160" s="40" t="n"/>
      <c r="AS160" s="40" t="n"/>
      <c r="AT160" s="40" t="n"/>
      <c r="AU160" s="38" t="inlineStr">
        <is>
          <t>IF(OR(E160="",AH160=""),"",IF(COUNT(AG160:AG160)=0,"",AH160-LOOKUP(2,1/(AG160:AG160&lt;&gt;""),AG160:AG160)))</t>
        </is>
      </c>
      <c r="AV160" s="38" t="inlineStr">
        <is>
          <t>IF(OR(E160="",AI160=""),"",IF(COUNT(AG160:AH160)=0,"",AI160-LOOKUP(2,1/(AG160:AH160&lt;&gt;""),AG160:AH160)))</t>
        </is>
      </c>
      <c r="AW160" s="38" t="inlineStr">
        <is>
          <t>IF(OR(E160="",AJ160=""),"",IF(COUNT(AG160:AI160)=0,"",AJ160-LOOKUP(2,1/(AG160:AI160&lt;&gt;""),AG160:AI160)))</t>
        </is>
      </c>
      <c r="AX160" s="38" t="inlineStr">
        <is>
          <t>IF(OR(E160="",AK160=""),"",IF(COUNT(AG160:AJ160)=0,"",AK160-LOOKUP(2,1/(AG160:AJ160&lt;&gt;""),AG160:AJ160)))</t>
        </is>
      </c>
      <c r="AY160" s="38" t="inlineStr">
        <is>
          <t>IF(OR(E160="",AL160=""),"",IF(COUNT(AG160:AK160)=0,"",AL160-LOOKUP(2,1/(AG160:AK160&lt;&gt;""),AG160:AK160)))</t>
        </is>
      </c>
      <c r="AZ160" s="38" t="inlineStr">
        <is>
          <t>IF(OR(E160="",AM160=""),"",IF(COUNT(AG160:AL160)=0,"",AM160-LOOKUP(2,1/(AG160:AL160&lt;&gt;""),AG160:AL160)))</t>
        </is>
      </c>
      <c r="BA160" s="38" t="inlineStr">
        <is>
          <t>IF(OR(E160="",AN160=""),"",IF(COUNT(AG160:AM160)=0,"",AN160-LOOKUP(2,1/(AG160:AM160&lt;&gt;""),AG160:AM160)))</t>
        </is>
      </c>
      <c r="BB160" s="38" t="inlineStr">
        <is>
          <t>IF(OR(E160="",AO160=""),"",IF(COUNT(AG160:AN160)=0,"",AO160-LOOKUP(2,1/(AG160:AN160&lt;&gt;""),AG160:AN160)))</t>
        </is>
      </c>
      <c r="BC160" s="38" t="inlineStr">
        <is>
          <t>IF(OR(E160="",AP160=""),"",IF(COUNT(AG160:AO160)=0,"",AP160-LOOKUP(2,1/(AG160:AO160&lt;&gt;""),AG160:AO160)))</t>
        </is>
      </c>
      <c r="BD160" s="38" t="inlineStr">
        <is>
          <t>IF(OR(E160="",AQ160=""),"",IF(COUNT(AG160:AP160)=0,"",AQ160-LOOKUP(2,1/(AG160:AP160&lt;&gt;""),AG160:AP160)))</t>
        </is>
      </c>
      <c r="BE160" s="38" t="inlineStr">
        <is>
          <t>IF(OR(E160="",AR160=""),"",IF(COUNT(AG160:AQ160)=0,"",AR160-LOOKUP(2,1/(AG160:AQ160&lt;&gt;""),AG160:AQ160)))</t>
        </is>
      </c>
      <c r="BF160" s="38" t="inlineStr">
        <is>
          <t>IF(OR(E160="",AS160=""),"",IF(COUNT(AG160:AR160)=0,"",AS160-LOOKUP(2,1/(AG160:AR160&lt;&gt;""),AG160:AR160)))</t>
        </is>
      </c>
      <c r="BG160" s="38" t="inlineStr">
        <is>
          <t>IF(OR(E160="",AT160=""),"",IF(COUNT(AG160:AS160)=0,"",AT160-LOOKUP(2,1/(AG160:AS160&lt;&gt;""),AG160:AS160)))</t>
        </is>
      </c>
      <c r="BH160" s="41" t="inlineStr">
        <is>
          <t>IF(G160="","All_Provinces",IFERROR(VLOOKUP(G160,'07_Lookups'!$A$4:$B$20,2,FALSE),"All_Provinces"))</t>
        </is>
      </c>
      <c r="BI160" s="41" t="inlineStr">
        <is>
          <t>IF(H160="","All_Districts",IFERROR(VLOOKUP(H160,'07_Lookups'!$E$4:$F$42,2,FALSE),"All_Districts"))</t>
        </is>
      </c>
    </row>
    <row r="161" ht="18" customHeight="1">
      <c r="A161" s="32" t="inlineStr">
        <is>
          <t>IF(E161="","",ROW()-3)</t>
        </is>
      </c>
      <c r="B161" s="42" t="inlineStr">
        <is>
          <t>AF2-WSM-R-022</t>
        </is>
      </c>
      <c r="C161" s="42" t="inlineStr">
        <is>
          <t>Emergency Food Security Project (EFSP) – WBK/AF-2</t>
        </is>
      </c>
      <c r="D161" s="42" t="inlineStr">
        <is>
          <t>Package #34-AF2 WSM: Construction of two Check dams, 1.Tawqus Sangaw and 2. Khalkoma in Kalbad and Ali Abad district of Kunduz province.</t>
        </is>
      </c>
      <c r="E161" s="42" t="inlineStr">
        <is>
          <t>Khalkoma Check Dam</t>
        </is>
      </c>
      <c r="F161" s="42" t="inlineStr">
        <is>
          <t>Check Dam</t>
        </is>
      </c>
      <c r="G161" s="42" t="inlineStr">
        <is>
          <t>South / Kandahar</t>
        </is>
      </c>
      <c r="H161" s="42" t="inlineStr">
        <is>
          <t>Kunduz</t>
        </is>
      </c>
      <c r="I161" s="42" t="inlineStr">
        <is>
          <t>Ali Abad</t>
        </is>
      </c>
      <c r="J161" s="42" t="inlineStr">
        <is>
          <t>Khalkoma</t>
        </is>
      </c>
      <c r="K161" s="42" t="inlineStr">
        <is>
          <t>World Bank (WBK/AF-2)</t>
        </is>
      </c>
      <c r="L161" s="42" t="inlineStr">
        <is>
          <t>Remaining</t>
        </is>
      </c>
      <c r="M161" s="42" t="inlineStr">
        <is>
          <t>Watershed / Check dam</t>
        </is>
      </c>
      <c r="N161" s="42" t="inlineStr">
        <is>
          <t>4.WSM remaining contracts</t>
        </is>
      </c>
      <c r="O161" s="42" t="inlineStr"/>
      <c r="P161" s="42" t="inlineStr"/>
      <c r="Q161" s="43" t="n">
        <v>66984.58</v>
      </c>
      <c r="R161" s="35" t="inlineStr">
        <is>
          <t>IF(AO161="","",AO161)</t>
        </is>
      </c>
      <c r="S161" s="44" t="n">
        <v>46326</v>
      </c>
      <c r="T161" s="45" t="n">
        <v>5.9</v>
      </c>
      <c r="U161" s="44" t="n">
        <v>46506</v>
      </c>
      <c r="V161" s="35" t="inlineStr">
        <is>
          <t>IF(U161&lt;&gt;"",U161,IF(OR(R161="",T161=""),"",EDATE(R161,T161)))</t>
        </is>
      </c>
      <c r="W161" s="44" t="n"/>
      <c r="X161" s="45" t="n"/>
      <c r="Y161" s="42" t="inlineStr">
        <is>
          <t>ITB Launched</t>
        </is>
      </c>
      <c r="Z161" s="42" t="inlineStr">
        <is>
          <t>Construction period six months including slack period (Dec-Jan).</t>
        </is>
      </c>
      <c r="AA161" s="32" t="inlineStr">
        <is>
          <t>IF(E161="","",IF(COUNT(AG161:AT161)=0,IF(Y161="","Not started",Y161),SUBSTITUTE(LOOKUP(2,1/(AG161:AT161&lt;&gt;""),$AG$3:$AT$3),"Date: ","")))</t>
        </is>
      </c>
      <c r="AB161" s="38" t="inlineStr">
        <is>
          <t>IF(OR(E161="",COUNT(AG161:AT161)=0),"",TODAY()-LOOKUP(2,1/(AG161:AT161&lt;&gt;""),AG161:AT161))</t>
        </is>
      </c>
      <c r="AC161" s="38" t="inlineStr">
        <is>
          <t>IF(OR(E161="",COUNT(AG161:AT161)&lt;2),"",LOOKUP(2,1/(AG161:AT161&lt;&gt;""),AG161:AT161)-MIN(AG161:AT161))</t>
        </is>
      </c>
      <c r="AD161" s="38" t="inlineStr">
        <is>
          <t>IF(OR(AB161="",AA161="Not started",AA161=""),"",IFERROR(AB161-IF(VLOOKUP(AA161,'04_Status_Pipeline'!$B$3:$E$20,4,FALSE)="",0,VLOOKUP(AA161,'04_Status_Pipeline'!$B$3:$E$20,4,FALSE)),""))</t>
        </is>
      </c>
      <c r="AE161" s="32" t="inlineStr">
        <is>
          <t>IF(E161="","",IF(OR(Y161="Cancelled",AA161="Cancelled"),"Cancelled",IF(OR(AA161="Completed / Handover",W161&lt;&gt;"",X161&gt;=100),"Completed — on track",IF(L161="Remaining",IF(S161="",IF(V161="","No planned date",IF(TODAY()&gt;V161,"Behind — past planned date",IF(V161-TODAY()&lt;=30,"At risk — close to off track","On track"))),IF(TODAY()&gt;S161,"Behind — award date passed",IF(S161-TODAY()&lt;=30,"At risk — close to off track","On track"))),IF(V161="","No planned date",IF(AND(TODAY()&gt;V161,OR(X161="",X161&lt;100)),"Behind — past end date",IF(AND(R161&lt;&gt;"",V161&lt;&gt;"",X161&lt;&gt;"",(X161&lt;100),((TODAY()-R161)/MAX(V161-R161,1)*100)-X161&gt;15),"Behind — progress lag",IF(AND(V161-TODAY()&lt;=30,V161-TODAY()&gt;=0,OR(X161="",X161&lt;90)),"At risk — close to off track","On track"))))))))</t>
        </is>
      </c>
      <c r="AF161" s="38" t="inlineStr">
        <is>
          <t>IF(OR(E161="",AA161="Completed / Handover",AA161="Cancelled"),"",IF(L161="Remaining",IF(S161&lt;&gt;"",S161-TODAY(),IF(V161="","",V161-TODAY())),IF(V161="","",V161-TODAY())))</t>
        </is>
      </c>
      <c r="AG161" s="44" t="n"/>
      <c r="AH161" s="44" t="n"/>
      <c r="AI161" s="44" t="n"/>
      <c r="AJ161" s="44" t="n"/>
      <c r="AK161" s="44" t="n"/>
      <c r="AL161" s="44" t="n"/>
      <c r="AM161" s="44" t="n"/>
      <c r="AN161" s="44" t="n"/>
      <c r="AO161" s="44" t="n"/>
      <c r="AP161" s="44" t="n"/>
      <c r="AQ161" s="44" t="n"/>
      <c r="AR161" s="40" t="n"/>
      <c r="AS161" s="40" t="n"/>
      <c r="AT161" s="40" t="n"/>
      <c r="AU161" s="38" t="inlineStr">
        <is>
          <t>IF(OR(E161="",AH161=""),"",IF(COUNT(AG161:AG161)=0,"",AH161-LOOKUP(2,1/(AG161:AG161&lt;&gt;""),AG161:AG161)))</t>
        </is>
      </c>
      <c r="AV161" s="38" t="inlineStr">
        <is>
          <t>IF(OR(E161="",AI161=""),"",IF(COUNT(AG161:AH161)=0,"",AI161-LOOKUP(2,1/(AG161:AH161&lt;&gt;""),AG161:AH161)))</t>
        </is>
      </c>
      <c r="AW161" s="38" t="inlineStr">
        <is>
          <t>IF(OR(E161="",AJ161=""),"",IF(COUNT(AG161:AI161)=0,"",AJ161-LOOKUP(2,1/(AG161:AI161&lt;&gt;""),AG161:AI161)))</t>
        </is>
      </c>
      <c r="AX161" s="38" t="inlineStr">
        <is>
          <t>IF(OR(E161="",AK161=""),"",IF(COUNT(AG161:AJ161)=0,"",AK161-LOOKUP(2,1/(AG161:AJ161&lt;&gt;""),AG161:AJ161)))</t>
        </is>
      </c>
      <c r="AY161" s="38" t="inlineStr">
        <is>
          <t>IF(OR(E161="",AL161=""),"",IF(COUNT(AG161:AK161)=0,"",AL161-LOOKUP(2,1/(AG161:AK161&lt;&gt;""),AG161:AK161)))</t>
        </is>
      </c>
      <c r="AZ161" s="38" t="inlineStr">
        <is>
          <t>IF(OR(E161="",AM161=""),"",IF(COUNT(AG161:AL161)=0,"",AM161-LOOKUP(2,1/(AG161:AL161&lt;&gt;""),AG161:AL161)))</t>
        </is>
      </c>
      <c r="BA161" s="38" t="inlineStr">
        <is>
          <t>IF(OR(E161="",AN161=""),"",IF(COUNT(AG161:AM161)=0,"",AN161-LOOKUP(2,1/(AG161:AM161&lt;&gt;""),AG161:AM161)))</t>
        </is>
      </c>
      <c r="BB161" s="38" t="inlineStr">
        <is>
          <t>IF(OR(E161="",AO161=""),"",IF(COUNT(AG161:AN161)=0,"",AO161-LOOKUP(2,1/(AG161:AN161&lt;&gt;""),AG161:AN161)))</t>
        </is>
      </c>
      <c r="BC161" s="38" t="inlineStr">
        <is>
          <t>IF(OR(E161="",AP161=""),"",IF(COUNT(AG161:AO161)=0,"",AP161-LOOKUP(2,1/(AG161:AO161&lt;&gt;""),AG161:AO161)))</t>
        </is>
      </c>
      <c r="BD161" s="38" t="inlineStr">
        <is>
          <t>IF(OR(E161="",AQ161=""),"",IF(COUNT(AG161:AP161)=0,"",AQ161-LOOKUP(2,1/(AG161:AP161&lt;&gt;""),AG161:AP161)))</t>
        </is>
      </c>
      <c r="BE161" s="38" t="inlineStr">
        <is>
          <t>IF(OR(E161="",AR161=""),"",IF(COUNT(AG161:AQ161)=0,"",AR161-LOOKUP(2,1/(AG161:AQ161&lt;&gt;""),AG161:AQ161)))</t>
        </is>
      </c>
      <c r="BF161" s="38" t="inlineStr">
        <is>
          <t>IF(OR(E161="",AS161=""),"",IF(COUNT(AG161:AR161)=0,"",AS161-LOOKUP(2,1/(AG161:AR161&lt;&gt;""),AG161:AR161)))</t>
        </is>
      </c>
      <c r="BG161" s="38" t="inlineStr">
        <is>
          <t>IF(OR(E161="",AT161=""),"",IF(COUNT(AG161:AS161)=0,"",AT161-LOOKUP(2,1/(AG161:AS161&lt;&gt;""),AG161:AS161)))</t>
        </is>
      </c>
      <c r="BH161" s="41" t="inlineStr">
        <is>
          <t>IF(G161="","All_Provinces",IFERROR(VLOOKUP(G161,'07_Lookups'!$A$4:$B$20,2,FALSE),"All_Provinces"))</t>
        </is>
      </c>
      <c r="BI161" s="41" t="inlineStr">
        <is>
          <t>IF(H161="","All_Districts",IFERROR(VLOOKUP(H161,'07_Lookups'!$E$4:$F$42,2,FALSE),"All_Districts"))</t>
        </is>
      </c>
    </row>
    <row r="162" ht="18" customHeight="1">
      <c r="A162" s="32" t="inlineStr">
        <is>
          <t>IF(E162="","",ROW()-3)</t>
        </is>
      </c>
      <c r="B162" s="33" t="inlineStr">
        <is>
          <t>AF2-WSM-R-023</t>
        </is>
      </c>
      <c r="C162" s="33" t="inlineStr">
        <is>
          <t>Emergency Food Security Project (EFSP) – WBK/AF-2</t>
        </is>
      </c>
      <c r="D162" s="33" t="inlineStr">
        <is>
          <t>Package #33-AF2 WSM: Construction of 2 Check dams of Ala Taba-1 and Ala Taba-2 in Ablurz district of Balkh province.</t>
        </is>
      </c>
      <c r="E162" s="33" t="inlineStr">
        <is>
          <t>Ala Taba-1</t>
        </is>
      </c>
      <c r="F162" s="33" t="inlineStr">
        <is>
          <t>Check Dam</t>
        </is>
      </c>
      <c r="G162" s="33" t="inlineStr">
        <is>
          <t>North / Mazar</t>
        </is>
      </c>
      <c r="H162" s="33" t="inlineStr">
        <is>
          <t>Balkh</t>
        </is>
      </c>
      <c r="I162" s="33" t="inlineStr">
        <is>
          <t>Alburz</t>
        </is>
      </c>
      <c r="J162" s="33" t="inlineStr">
        <is>
          <t>Chashma Gudar and Ala Tawa</t>
        </is>
      </c>
      <c r="K162" s="33" t="inlineStr">
        <is>
          <t>World Bank (WBK/AF-2)</t>
        </is>
      </c>
      <c r="L162" s="33" t="inlineStr">
        <is>
          <t>Remaining</t>
        </is>
      </c>
      <c r="M162" s="33" t="inlineStr">
        <is>
          <t>Watershed / Check dam</t>
        </is>
      </c>
      <c r="N162" s="33" t="inlineStr">
        <is>
          <t>4.WSM remaining contracts</t>
        </is>
      </c>
      <c r="O162" s="33" t="inlineStr"/>
      <c r="P162" s="33" t="inlineStr"/>
      <c r="Q162" s="34" t="n">
        <v>55029</v>
      </c>
      <c r="R162" s="35" t="inlineStr">
        <is>
          <t>IF(AO162="","",AO162)</t>
        </is>
      </c>
      <c r="S162" s="36" t="n">
        <v>46351</v>
      </c>
      <c r="T162" s="37" t="n">
        <v>5.9</v>
      </c>
      <c r="U162" s="36" t="n">
        <v>46531</v>
      </c>
      <c r="V162" s="35" t="inlineStr">
        <is>
          <t>IF(U162&lt;&gt;"",U162,IF(OR(R162="",T162=""),"",EDATE(R162,T162)))</t>
        </is>
      </c>
      <c r="W162" s="36" t="n"/>
      <c r="X162" s="37" t="n"/>
      <c r="Y162" s="33" t="inlineStr">
        <is>
          <t>PR to be Raised</t>
        </is>
      </c>
      <c r="Z162" s="33" t="inlineStr">
        <is>
          <t>Construction period six months including slack period (Dec-Jan).</t>
        </is>
      </c>
      <c r="AA162" s="32" t="inlineStr">
        <is>
          <t>IF(E162="","",IF(COUNT(AG162:AT162)=0,IF(Y162="","Not started",Y162),SUBSTITUTE(LOOKUP(2,1/(AG162:AT162&lt;&gt;""),$AG$3:$AT$3),"Date: ","")))</t>
        </is>
      </c>
      <c r="AB162" s="38" t="inlineStr">
        <is>
          <t>IF(OR(E162="",COUNT(AG162:AT162)=0),"",TODAY()-LOOKUP(2,1/(AG162:AT162&lt;&gt;""),AG162:AT162))</t>
        </is>
      </c>
      <c r="AC162" s="38" t="inlineStr">
        <is>
          <t>IF(OR(E162="",COUNT(AG162:AT162)&lt;2),"",LOOKUP(2,1/(AG162:AT162&lt;&gt;""),AG162:AT162)-MIN(AG162:AT162))</t>
        </is>
      </c>
      <c r="AD162" s="38" t="inlineStr">
        <is>
          <t>IF(OR(AB162="",AA162="Not started",AA162=""),"",IFERROR(AB162-IF(VLOOKUP(AA162,'04_Status_Pipeline'!$B$3:$E$20,4,FALSE)="",0,VLOOKUP(AA162,'04_Status_Pipeline'!$B$3:$E$20,4,FALSE)),""))</t>
        </is>
      </c>
      <c r="AE162" s="32" t="inlineStr">
        <is>
          <t>IF(E162="","",IF(OR(Y162="Cancelled",AA162="Cancelled"),"Cancelled",IF(OR(AA162="Completed / Handover",W162&lt;&gt;"",X162&gt;=100),"Completed — on track",IF(L162="Remaining",IF(S162="",IF(V162="","No planned date",IF(TODAY()&gt;V162,"Behind — past planned date",IF(V162-TODAY()&lt;=30,"At risk — close to off track","On track"))),IF(TODAY()&gt;S162,"Behind — award date passed",IF(S162-TODAY()&lt;=30,"At risk — close to off track","On track"))),IF(V162="","No planned date",IF(AND(TODAY()&gt;V162,OR(X162="",X162&lt;100)),"Behind — past end date",IF(AND(R162&lt;&gt;"",V162&lt;&gt;"",X162&lt;&gt;"",(X162&lt;100),((TODAY()-R162)/MAX(V162-R162,1)*100)-X162&gt;15),"Behind — progress lag",IF(AND(V162-TODAY()&lt;=30,V162-TODAY()&gt;=0,OR(X162="",X162&lt;90)),"At risk — close to off track","On track"))))))))</t>
        </is>
      </c>
      <c r="AF162" s="38" t="inlineStr">
        <is>
          <t>IF(OR(E162="",AA162="Completed / Handover",AA162="Cancelled"),"",IF(L162="Remaining",IF(S162&lt;&gt;"",S162-TODAY(),IF(V162="","",V162-TODAY())),IF(V162="","",V162-TODAY())))</t>
        </is>
      </c>
      <c r="AG162" s="36" t="n"/>
      <c r="AH162" s="36" t="n"/>
      <c r="AI162" s="36" t="n"/>
      <c r="AJ162" s="36" t="n"/>
      <c r="AK162" s="36" t="n"/>
      <c r="AL162" s="36" t="n"/>
      <c r="AM162" s="36" t="n"/>
      <c r="AN162" s="36" t="n"/>
      <c r="AO162" s="36" t="n"/>
      <c r="AP162" s="36" t="n"/>
      <c r="AQ162" s="36" t="n"/>
      <c r="AR162" s="40" t="n"/>
      <c r="AS162" s="40" t="n"/>
      <c r="AT162" s="40" t="n"/>
      <c r="AU162" s="38" t="inlineStr">
        <is>
          <t>IF(OR(E162="",AH162=""),"",IF(COUNT(AG162:AG162)=0,"",AH162-LOOKUP(2,1/(AG162:AG162&lt;&gt;""),AG162:AG162)))</t>
        </is>
      </c>
      <c r="AV162" s="38" t="inlineStr">
        <is>
          <t>IF(OR(E162="",AI162=""),"",IF(COUNT(AG162:AH162)=0,"",AI162-LOOKUP(2,1/(AG162:AH162&lt;&gt;""),AG162:AH162)))</t>
        </is>
      </c>
      <c r="AW162" s="38" t="inlineStr">
        <is>
          <t>IF(OR(E162="",AJ162=""),"",IF(COUNT(AG162:AI162)=0,"",AJ162-LOOKUP(2,1/(AG162:AI162&lt;&gt;""),AG162:AI162)))</t>
        </is>
      </c>
      <c r="AX162" s="38" t="inlineStr">
        <is>
          <t>IF(OR(E162="",AK162=""),"",IF(COUNT(AG162:AJ162)=0,"",AK162-LOOKUP(2,1/(AG162:AJ162&lt;&gt;""),AG162:AJ162)))</t>
        </is>
      </c>
      <c r="AY162" s="38" t="inlineStr">
        <is>
          <t>IF(OR(E162="",AL162=""),"",IF(COUNT(AG162:AK162)=0,"",AL162-LOOKUP(2,1/(AG162:AK162&lt;&gt;""),AG162:AK162)))</t>
        </is>
      </c>
      <c r="AZ162" s="38" t="inlineStr">
        <is>
          <t>IF(OR(E162="",AM162=""),"",IF(COUNT(AG162:AL162)=0,"",AM162-LOOKUP(2,1/(AG162:AL162&lt;&gt;""),AG162:AL162)))</t>
        </is>
      </c>
      <c r="BA162" s="38" t="inlineStr">
        <is>
          <t>IF(OR(E162="",AN162=""),"",IF(COUNT(AG162:AM162)=0,"",AN162-LOOKUP(2,1/(AG162:AM162&lt;&gt;""),AG162:AM162)))</t>
        </is>
      </c>
      <c r="BB162" s="38" t="inlineStr">
        <is>
          <t>IF(OR(E162="",AO162=""),"",IF(COUNT(AG162:AN162)=0,"",AO162-LOOKUP(2,1/(AG162:AN162&lt;&gt;""),AG162:AN162)))</t>
        </is>
      </c>
      <c r="BC162" s="38" t="inlineStr">
        <is>
          <t>IF(OR(E162="",AP162=""),"",IF(COUNT(AG162:AO162)=0,"",AP162-LOOKUP(2,1/(AG162:AO162&lt;&gt;""),AG162:AO162)))</t>
        </is>
      </c>
      <c r="BD162" s="38" t="inlineStr">
        <is>
          <t>IF(OR(E162="",AQ162=""),"",IF(COUNT(AG162:AP162)=0,"",AQ162-LOOKUP(2,1/(AG162:AP162&lt;&gt;""),AG162:AP162)))</t>
        </is>
      </c>
      <c r="BE162" s="38" t="inlineStr">
        <is>
          <t>IF(OR(E162="",AR162=""),"",IF(COUNT(AG162:AQ162)=0,"",AR162-LOOKUP(2,1/(AG162:AQ162&lt;&gt;""),AG162:AQ162)))</t>
        </is>
      </c>
      <c r="BF162" s="38" t="inlineStr">
        <is>
          <t>IF(OR(E162="",AS162=""),"",IF(COUNT(AG162:AR162)=0,"",AS162-LOOKUP(2,1/(AG162:AR162&lt;&gt;""),AG162:AR162)))</t>
        </is>
      </c>
      <c r="BG162" s="38" t="inlineStr">
        <is>
          <t>IF(OR(E162="",AT162=""),"",IF(COUNT(AG162:AS162)=0,"",AT162-LOOKUP(2,1/(AG162:AS162&lt;&gt;""),AG162:AS162)))</t>
        </is>
      </c>
      <c r="BH162" s="41" t="inlineStr">
        <is>
          <t>IF(G162="","All_Provinces",IFERROR(VLOOKUP(G162,'07_Lookups'!$A$4:$B$20,2,FALSE),"All_Provinces"))</t>
        </is>
      </c>
      <c r="BI162" s="41" t="inlineStr">
        <is>
          <t>IF(H162="","All_Districts",IFERROR(VLOOKUP(H162,'07_Lookups'!$E$4:$F$42,2,FALSE),"All_Districts"))</t>
        </is>
      </c>
    </row>
    <row r="163" ht="18" customHeight="1">
      <c r="A163" s="32" t="inlineStr">
        <is>
          <t>IF(E163="","",ROW()-3)</t>
        </is>
      </c>
      <c r="B163" s="42" t="inlineStr">
        <is>
          <t>AF2-WSM-R-024</t>
        </is>
      </c>
      <c r="C163" s="42" t="inlineStr">
        <is>
          <t>Emergency Food Security Project (EFSP) – WBK/AF-2</t>
        </is>
      </c>
      <c r="D163" s="42" t="inlineStr">
        <is>
          <t>Package #33-AF2 WSM: Construction of 2 Check dams of Ala Taba-1 and Ala Taba-2 in Ablurz district of Balkh province.</t>
        </is>
      </c>
      <c r="E163" s="42" t="inlineStr">
        <is>
          <t>Ala Taba-2</t>
        </is>
      </c>
      <c r="F163" s="42" t="inlineStr">
        <is>
          <t>Check Dam</t>
        </is>
      </c>
      <c r="G163" s="42" t="inlineStr">
        <is>
          <t>North / Mazar</t>
        </is>
      </c>
      <c r="H163" s="42" t="inlineStr">
        <is>
          <t>Balkh</t>
        </is>
      </c>
      <c r="I163" s="42" t="inlineStr">
        <is>
          <t>Alburz</t>
        </is>
      </c>
      <c r="J163" s="42" t="inlineStr">
        <is>
          <t>Sang Toda and Charso</t>
        </is>
      </c>
      <c r="K163" s="42" t="inlineStr">
        <is>
          <t>World Bank (WBK/AF-2)</t>
        </is>
      </c>
      <c r="L163" s="42" t="inlineStr">
        <is>
          <t>Remaining</t>
        </is>
      </c>
      <c r="M163" s="42" t="inlineStr">
        <is>
          <t>Watershed / Check dam</t>
        </is>
      </c>
      <c r="N163" s="42" t="inlineStr">
        <is>
          <t>4.WSM remaining contracts</t>
        </is>
      </c>
      <c r="O163" s="42" t="inlineStr"/>
      <c r="P163" s="42" t="inlineStr"/>
      <c r="Q163" s="43" t="n">
        <v>55029</v>
      </c>
      <c r="R163" s="35" t="inlineStr">
        <is>
          <t>IF(AO163="","",AO163)</t>
        </is>
      </c>
      <c r="S163" s="44" t="n">
        <v>46351</v>
      </c>
      <c r="T163" s="45" t="n">
        <v>5.9</v>
      </c>
      <c r="U163" s="44" t="n">
        <v>46531</v>
      </c>
      <c r="V163" s="35" t="inlineStr">
        <is>
          <t>IF(U163&lt;&gt;"",U163,IF(OR(R163="",T163=""),"",EDATE(R163,T163)))</t>
        </is>
      </c>
      <c r="W163" s="44" t="n"/>
      <c r="X163" s="45" t="n"/>
      <c r="Y163" s="42" t="inlineStr">
        <is>
          <t>PR to be Raised</t>
        </is>
      </c>
      <c r="Z163" s="42" t="inlineStr">
        <is>
          <t>Construction period six months including slack period (Dec-Jan).</t>
        </is>
      </c>
      <c r="AA163" s="32" t="inlineStr">
        <is>
          <t>IF(E163="","",IF(COUNT(AG163:AT163)=0,IF(Y163="","Not started",Y163),SUBSTITUTE(LOOKUP(2,1/(AG163:AT163&lt;&gt;""),$AG$3:$AT$3),"Date: ","")))</t>
        </is>
      </c>
      <c r="AB163" s="38" t="inlineStr">
        <is>
          <t>IF(OR(E163="",COUNT(AG163:AT163)=0),"",TODAY()-LOOKUP(2,1/(AG163:AT163&lt;&gt;""),AG163:AT163))</t>
        </is>
      </c>
      <c r="AC163" s="38" t="inlineStr">
        <is>
          <t>IF(OR(E163="",COUNT(AG163:AT163)&lt;2),"",LOOKUP(2,1/(AG163:AT163&lt;&gt;""),AG163:AT163)-MIN(AG163:AT163))</t>
        </is>
      </c>
      <c r="AD163" s="38" t="inlineStr">
        <is>
          <t>IF(OR(AB163="",AA163="Not started",AA163=""),"",IFERROR(AB163-IF(VLOOKUP(AA163,'04_Status_Pipeline'!$B$3:$E$20,4,FALSE)="",0,VLOOKUP(AA163,'04_Status_Pipeline'!$B$3:$E$20,4,FALSE)),""))</t>
        </is>
      </c>
      <c r="AE163" s="32" t="inlineStr">
        <is>
          <t>IF(E163="","",IF(OR(Y163="Cancelled",AA163="Cancelled"),"Cancelled",IF(OR(AA163="Completed / Handover",W163&lt;&gt;"",X163&gt;=100),"Completed — on track",IF(L163="Remaining",IF(S163="",IF(V163="","No planned date",IF(TODAY()&gt;V163,"Behind — past planned date",IF(V163-TODAY()&lt;=30,"At risk — close to off track","On track"))),IF(TODAY()&gt;S163,"Behind — award date passed",IF(S163-TODAY()&lt;=30,"At risk — close to off track","On track"))),IF(V163="","No planned date",IF(AND(TODAY()&gt;V163,OR(X163="",X163&lt;100)),"Behind — past end date",IF(AND(R163&lt;&gt;"",V163&lt;&gt;"",X163&lt;&gt;"",(X163&lt;100),((TODAY()-R163)/MAX(V163-R163,1)*100)-X163&gt;15),"Behind — progress lag",IF(AND(V163-TODAY()&lt;=30,V163-TODAY()&gt;=0,OR(X163="",X163&lt;90)),"At risk — close to off track","On track"))))))))</t>
        </is>
      </c>
      <c r="AF163" s="38" t="inlineStr">
        <is>
          <t>IF(OR(E163="",AA163="Completed / Handover",AA163="Cancelled"),"",IF(L163="Remaining",IF(S163&lt;&gt;"",S163-TODAY(),IF(V163="","",V163-TODAY())),IF(V163="","",V163-TODAY())))</t>
        </is>
      </c>
      <c r="AG163" s="44" t="n"/>
      <c r="AH163" s="44" t="n"/>
      <c r="AI163" s="44" t="n"/>
      <c r="AJ163" s="44" t="n"/>
      <c r="AK163" s="44" t="n"/>
      <c r="AL163" s="44" t="n"/>
      <c r="AM163" s="44" t="n"/>
      <c r="AN163" s="44" t="n"/>
      <c r="AO163" s="44" t="n"/>
      <c r="AP163" s="44" t="n"/>
      <c r="AQ163" s="44" t="n"/>
      <c r="AR163" s="40" t="n"/>
      <c r="AS163" s="40" t="n"/>
      <c r="AT163" s="40" t="n"/>
      <c r="AU163" s="38" t="inlineStr">
        <is>
          <t>IF(OR(E163="",AH163=""),"",IF(COUNT(AG163:AG163)=0,"",AH163-LOOKUP(2,1/(AG163:AG163&lt;&gt;""),AG163:AG163)))</t>
        </is>
      </c>
      <c r="AV163" s="38" t="inlineStr">
        <is>
          <t>IF(OR(E163="",AI163=""),"",IF(COUNT(AG163:AH163)=0,"",AI163-LOOKUP(2,1/(AG163:AH163&lt;&gt;""),AG163:AH163)))</t>
        </is>
      </c>
      <c r="AW163" s="38" t="inlineStr">
        <is>
          <t>IF(OR(E163="",AJ163=""),"",IF(COUNT(AG163:AI163)=0,"",AJ163-LOOKUP(2,1/(AG163:AI163&lt;&gt;""),AG163:AI163)))</t>
        </is>
      </c>
      <c r="AX163" s="38" t="inlineStr">
        <is>
          <t>IF(OR(E163="",AK163=""),"",IF(COUNT(AG163:AJ163)=0,"",AK163-LOOKUP(2,1/(AG163:AJ163&lt;&gt;""),AG163:AJ163)))</t>
        </is>
      </c>
      <c r="AY163" s="38" t="inlineStr">
        <is>
          <t>IF(OR(E163="",AL163=""),"",IF(COUNT(AG163:AK163)=0,"",AL163-LOOKUP(2,1/(AG163:AK163&lt;&gt;""),AG163:AK163)))</t>
        </is>
      </c>
      <c r="AZ163" s="38" t="inlineStr">
        <is>
          <t>IF(OR(E163="",AM163=""),"",IF(COUNT(AG163:AL163)=0,"",AM163-LOOKUP(2,1/(AG163:AL163&lt;&gt;""),AG163:AL163)))</t>
        </is>
      </c>
      <c r="BA163" s="38" t="inlineStr">
        <is>
          <t>IF(OR(E163="",AN163=""),"",IF(COUNT(AG163:AM163)=0,"",AN163-LOOKUP(2,1/(AG163:AM163&lt;&gt;""),AG163:AM163)))</t>
        </is>
      </c>
      <c r="BB163" s="38" t="inlineStr">
        <is>
          <t>IF(OR(E163="",AO163=""),"",IF(COUNT(AG163:AN163)=0,"",AO163-LOOKUP(2,1/(AG163:AN163&lt;&gt;""),AG163:AN163)))</t>
        </is>
      </c>
      <c r="BC163" s="38" t="inlineStr">
        <is>
          <t>IF(OR(E163="",AP163=""),"",IF(COUNT(AG163:AO163)=0,"",AP163-LOOKUP(2,1/(AG163:AO163&lt;&gt;""),AG163:AO163)))</t>
        </is>
      </c>
      <c r="BD163" s="38" t="inlineStr">
        <is>
          <t>IF(OR(E163="",AQ163=""),"",IF(COUNT(AG163:AP163)=0,"",AQ163-LOOKUP(2,1/(AG163:AP163&lt;&gt;""),AG163:AP163)))</t>
        </is>
      </c>
      <c r="BE163" s="38" t="inlineStr">
        <is>
          <t>IF(OR(E163="",AR163=""),"",IF(COUNT(AG163:AQ163)=0,"",AR163-LOOKUP(2,1/(AG163:AQ163&lt;&gt;""),AG163:AQ163)))</t>
        </is>
      </c>
      <c r="BF163" s="38" t="inlineStr">
        <is>
          <t>IF(OR(E163="",AS163=""),"",IF(COUNT(AG163:AR163)=0,"",AS163-LOOKUP(2,1/(AG163:AR163&lt;&gt;""),AG163:AR163)))</t>
        </is>
      </c>
      <c r="BG163" s="38" t="inlineStr">
        <is>
          <t>IF(OR(E163="",AT163=""),"",IF(COUNT(AG163:AS163)=0,"",AT163-LOOKUP(2,1/(AG163:AS163&lt;&gt;""),AG163:AS163)))</t>
        </is>
      </c>
      <c r="BH163" s="41" t="inlineStr">
        <is>
          <t>IF(G163="","All_Provinces",IFERROR(VLOOKUP(G163,'07_Lookups'!$A$4:$B$20,2,FALSE),"All_Provinces"))</t>
        </is>
      </c>
      <c r="BI163" s="41" t="inlineStr">
        <is>
          <t>IF(H163="","All_Districts",IFERROR(VLOOKUP(H163,'07_Lookups'!$E$4:$F$42,2,FALSE),"All_Districts"))</t>
        </is>
      </c>
    </row>
    <row r="164" ht="18" customHeight="1">
      <c r="A164" s="32" t="inlineStr">
        <is>
          <t>IF(E164="","",ROW()-3)</t>
        </is>
      </c>
      <c r="B164" s="33" t="inlineStr">
        <is>
          <t>AF2-DIS-R-001</t>
        </is>
      </c>
      <c r="C164" s="33" t="inlineStr">
        <is>
          <t>Emergency Food Security Project (EFSP) – WBK/AF-2</t>
        </is>
      </c>
      <c r="D164" s="3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4" s="33" t="inlineStr">
        <is>
          <t>Jakana Drip Irrigation schemes</t>
        </is>
      </c>
      <c r="F164" s="33" t="inlineStr">
        <is>
          <t>Drip Irrigation</t>
        </is>
      </c>
      <c r="G164" s="33" t="inlineStr">
        <is>
          <t>West / Herat</t>
        </is>
      </c>
      <c r="H164" s="33" t="inlineStr">
        <is>
          <t>Badghis</t>
        </is>
      </c>
      <c r="I164" s="33" t="inlineStr">
        <is>
          <t>Moqur</t>
        </is>
      </c>
      <c r="J164" s="33" t="inlineStr">
        <is>
          <t>Jakana</t>
        </is>
      </c>
      <c r="K164" s="33" t="inlineStr">
        <is>
          <t>World Bank (WBK/AF-2)</t>
        </is>
      </c>
      <c r="L164" s="33" t="inlineStr">
        <is>
          <t>Remaining</t>
        </is>
      </c>
      <c r="M164" s="33" t="inlineStr">
        <is>
          <t>Drip irrigation</t>
        </is>
      </c>
      <c r="N164" s="33" t="inlineStr">
        <is>
          <t>5. Drip Irrigation systems</t>
        </is>
      </c>
      <c r="O164" s="33" t="inlineStr">
        <is>
          <t>Sobhan</t>
        </is>
      </c>
      <c r="P164" s="33" t="inlineStr"/>
      <c r="Q164" s="34" t="n">
        <v>7977.58</v>
      </c>
      <c r="R164" s="35" t="inlineStr">
        <is>
          <t>IF(AO164="","",AO164)</t>
        </is>
      </c>
      <c r="S164" s="36" t="n">
        <v>46361</v>
      </c>
      <c r="T164" s="37" t="n">
        <v>5.8</v>
      </c>
      <c r="U164" s="36" t="n">
        <v>46537</v>
      </c>
      <c r="V164" s="35" t="inlineStr">
        <is>
          <t>IF(U164&lt;&gt;"",U164,IF(OR(R164="",T164=""),"",EDATE(R164,T164)))</t>
        </is>
      </c>
      <c r="W164" s="36" t="n"/>
      <c r="X164" s="37" t="n"/>
      <c r="Y164" s="33" t="inlineStr">
        <is>
          <t>Retendered (Re-ITB)</t>
        </is>
      </c>
      <c r="Z164" s="33" t="inlineStr">
        <is>
          <t>Work starting from March 2026. A total of 90 days for completion Slack period until end February 2026. | Farmer: Sobhan</t>
        </is>
      </c>
      <c r="AA164" s="32" t="inlineStr">
        <is>
          <t>IF(E164="","",IF(COUNT(AG164:AT164)=0,IF(Y164="","Not started",Y164),SUBSTITUTE(LOOKUP(2,1/(AG164:AT164&lt;&gt;""),$AG$3:$AT$3),"Date: ","")))</t>
        </is>
      </c>
      <c r="AB164" s="38" t="inlineStr">
        <is>
          <t>IF(OR(E164="",COUNT(AG164:AT164)=0),"",TODAY()-LOOKUP(2,1/(AG164:AT164&lt;&gt;""),AG164:AT164))</t>
        </is>
      </c>
      <c r="AC164" s="38" t="inlineStr">
        <is>
          <t>IF(OR(E164="",COUNT(AG164:AT164)&lt;2),"",LOOKUP(2,1/(AG164:AT164&lt;&gt;""),AG164:AT164)-MIN(AG164:AT164))</t>
        </is>
      </c>
      <c r="AD164" s="38" t="inlineStr">
        <is>
          <t>IF(OR(AB164="",AA164="Not started",AA164=""),"",IFERROR(AB164-IF(VLOOKUP(AA164,'04_Status_Pipeline'!$B$3:$E$20,4,FALSE)="",0,VLOOKUP(AA164,'04_Status_Pipeline'!$B$3:$E$20,4,FALSE)),""))</t>
        </is>
      </c>
      <c r="AE164" s="32" t="inlineStr">
        <is>
          <t>IF(E164="","",IF(OR(Y164="Cancelled",AA164="Cancelled"),"Cancelled",IF(OR(AA164="Completed / Handover",W164&lt;&gt;"",X164&gt;=100),"Completed — on track",IF(L164="Remaining",IF(S164="",IF(V164="","No planned date",IF(TODAY()&gt;V164,"Behind — past planned date",IF(V164-TODAY()&lt;=30,"At risk — close to off track","On track"))),IF(TODAY()&gt;S164,"Behind — award date passed",IF(S164-TODAY()&lt;=30,"At risk — close to off track","On track"))),IF(V164="","No planned date",IF(AND(TODAY()&gt;V164,OR(X164="",X164&lt;100)),"Behind — past end date",IF(AND(R164&lt;&gt;"",V164&lt;&gt;"",X164&lt;&gt;"",(X164&lt;100),((TODAY()-R164)/MAX(V164-R164,1)*100)-X164&gt;15),"Behind — progress lag",IF(AND(V164-TODAY()&lt;=30,V164-TODAY()&gt;=0,OR(X164="",X164&lt;90)),"At risk — close to off track","On track"))))))))</t>
        </is>
      </c>
      <c r="AF164" s="38" t="inlineStr">
        <is>
          <t>IF(OR(E164="",AA164="Completed / Handover",AA164="Cancelled"),"",IF(L164="Remaining",IF(S164&lt;&gt;"",S164-TODAY(),IF(V164="","",V164-TODAY())),IF(V164="","",V164-TODAY())))</t>
        </is>
      </c>
      <c r="AG164" s="36" t="n"/>
      <c r="AH164" s="36" t="n"/>
      <c r="AI164" s="36" t="n"/>
      <c r="AJ164" s="36" t="n"/>
      <c r="AK164" s="36" t="n"/>
      <c r="AL164" s="36" t="n"/>
      <c r="AM164" s="36" t="n"/>
      <c r="AN164" s="36" t="n"/>
      <c r="AO164" s="36" t="n"/>
      <c r="AP164" s="36" t="n"/>
      <c r="AQ164" s="36" t="n"/>
      <c r="AR164" s="40" t="n"/>
      <c r="AS164" s="40" t="n"/>
      <c r="AT164" s="40" t="n"/>
      <c r="AU164" s="38" t="inlineStr">
        <is>
          <t>IF(OR(E164="",AH164=""),"",IF(COUNT(AG164:AG164)=0,"",AH164-LOOKUP(2,1/(AG164:AG164&lt;&gt;""),AG164:AG164)))</t>
        </is>
      </c>
      <c r="AV164" s="38" t="inlineStr">
        <is>
          <t>IF(OR(E164="",AI164=""),"",IF(COUNT(AG164:AH164)=0,"",AI164-LOOKUP(2,1/(AG164:AH164&lt;&gt;""),AG164:AH164)))</t>
        </is>
      </c>
      <c r="AW164" s="38" t="inlineStr">
        <is>
          <t>IF(OR(E164="",AJ164=""),"",IF(COUNT(AG164:AI164)=0,"",AJ164-LOOKUP(2,1/(AG164:AI164&lt;&gt;""),AG164:AI164)))</t>
        </is>
      </c>
      <c r="AX164" s="38" t="inlineStr">
        <is>
          <t>IF(OR(E164="",AK164=""),"",IF(COUNT(AG164:AJ164)=0,"",AK164-LOOKUP(2,1/(AG164:AJ164&lt;&gt;""),AG164:AJ164)))</t>
        </is>
      </c>
      <c r="AY164" s="38" t="inlineStr">
        <is>
          <t>IF(OR(E164="",AL164=""),"",IF(COUNT(AG164:AK164)=0,"",AL164-LOOKUP(2,1/(AG164:AK164&lt;&gt;""),AG164:AK164)))</t>
        </is>
      </c>
      <c r="AZ164" s="38" t="inlineStr">
        <is>
          <t>IF(OR(E164="",AM164=""),"",IF(COUNT(AG164:AL164)=0,"",AM164-LOOKUP(2,1/(AG164:AL164&lt;&gt;""),AG164:AL164)))</t>
        </is>
      </c>
      <c r="BA164" s="38" t="inlineStr">
        <is>
          <t>IF(OR(E164="",AN164=""),"",IF(COUNT(AG164:AM164)=0,"",AN164-LOOKUP(2,1/(AG164:AM164&lt;&gt;""),AG164:AM164)))</t>
        </is>
      </c>
      <c r="BB164" s="38" t="inlineStr">
        <is>
          <t>IF(OR(E164="",AO164=""),"",IF(COUNT(AG164:AN164)=0,"",AO164-LOOKUP(2,1/(AG164:AN164&lt;&gt;""),AG164:AN164)))</t>
        </is>
      </c>
      <c r="BC164" s="38" t="inlineStr">
        <is>
          <t>IF(OR(E164="",AP164=""),"",IF(COUNT(AG164:AO164)=0,"",AP164-LOOKUP(2,1/(AG164:AO164&lt;&gt;""),AG164:AO164)))</t>
        </is>
      </c>
      <c r="BD164" s="38" t="inlineStr">
        <is>
          <t>IF(OR(E164="",AQ164=""),"",IF(COUNT(AG164:AP164)=0,"",AQ164-LOOKUP(2,1/(AG164:AP164&lt;&gt;""),AG164:AP164)))</t>
        </is>
      </c>
      <c r="BE164" s="38" t="inlineStr">
        <is>
          <t>IF(OR(E164="",AR164=""),"",IF(COUNT(AG164:AQ164)=0,"",AR164-LOOKUP(2,1/(AG164:AQ164&lt;&gt;""),AG164:AQ164)))</t>
        </is>
      </c>
      <c r="BF164" s="38" t="inlineStr">
        <is>
          <t>IF(OR(E164="",AS164=""),"",IF(COUNT(AG164:AR164)=0,"",AS164-LOOKUP(2,1/(AG164:AR164&lt;&gt;""),AG164:AR164)))</t>
        </is>
      </c>
      <c r="BG164" s="38" t="inlineStr">
        <is>
          <t>IF(OR(E164="",AT164=""),"",IF(COUNT(AG164:AS164)=0,"",AT164-LOOKUP(2,1/(AG164:AS164&lt;&gt;""),AG164:AS164)))</t>
        </is>
      </c>
      <c r="BH164" s="41" t="inlineStr">
        <is>
          <t>IF(G164="","All_Provinces",IFERROR(VLOOKUP(G164,'07_Lookups'!$A$4:$B$20,2,FALSE),"All_Provinces"))</t>
        </is>
      </c>
      <c r="BI164" s="41" t="inlineStr">
        <is>
          <t>IF(H164="","All_Districts",IFERROR(VLOOKUP(H164,'07_Lookups'!$E$4:$F$42,2,FALSE),"All_Districts"))</t>
        </is>
      </c>
    </row>
    <row r="165" ht="18" customHeight="1">
      <c r="A165" s="32" t="inlineStr">
        <is>
          <t>IF(E165="","",ROW()-3)</t>
        </is>
      </c>
      <c r="B165" s="42" t="inlineStr">
        <is>
          <t>AF2-DIS-R-002</t>
        </is>
      </c>
      <c r="C165" s="42" t="inlineStr">
        <is>
          <t>Emergency Food Security Project (EFSP) – WBK/AF-2</t>
        </is>
      </c>
      <c r="D165" s="4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5" s="42" t="inlineStr">
        <is>
          <t>Baghak Drip Irrigation schemes</t>
        </is>
      </c>
      <c r="F165" s="42" t="inlineStr">
        <is>
          <t>Drip Irrigation</t>
        </is>
      </c>
      <c r="G165" s="42" t="inlineStr">
        <is>
          <t>West / Herat</t>
        </is>
      </c>
      <c r="H165" s="42" t="inlineStr">
        <is>
          <t>Badghis</t>
        </is>
      </c>
      <c r="I165" s="42" t="inlineStr">
        <is>
          <t>Qala-e-Naw</t>
        </is>
      </c>
      <c r="J165" s="42" t="inlineStr">
        <is>
          <t>Baghak</t>
        </is>
      </c>
      <c r="K165" s="42" t="inlineStr">
        <is>
          <t>World Bank (WBK/AF-2)</t>
        </is>
      </c>
      <c r="L165" s="42" t="inlineStr">
        <is>
          <t>Remaining</t>
        </is>
      </c>
      <c r="M165" s="42" t="inlineStr">
        <is>
          <t>Drip irrigation</t>
        </is>
      </c>
      <c r="N165" s="42" t="inlineStr">
        <is>
          <t>5. Drip Irrigation systems</t>
        </is>
      </c>
      <c r="O165" s="42" t="inlineStr">
        <is>
          <t>Edi Mohammad</t>
        </is>
      </c>
      <c r="P165" s="42" t="inlineStr"/>
      <c r="Q165" s="43" t="n">
        <v>8943.67</v>
      </c>
      <c r="R165" s="35" t="inlineStr">
        <is>
          <t>IF(AO165="","",AO165)</t>
        </is>
      </c>
      <c r="S165" s="44" t="n">
        <v>46361</v>
      </c>
      <c r="T165" s="45" t="n">
        <v>5.8</v>
      </c>
      <c r="U165" s="44" t="n">
        <v>46537</v>
      </c>
      <c r="V165" s="35" t="inlineStr">
        <is>
          <t>IF(U165&lt;&gt;"",U165,IF(OR(R165="",T165=""),"",EDATE(R165,T165)))</t>
        </is>
      </c>
      <c r="W165" s="44" t="n"/>
      <c r="X165" s="45" t="n"/>
      <c r="Y165" s="42" t="inlineStr">
        <is>
          <t>Retendered (Re-ITB)</t>
        </is>
      </c>
      <c r="Z165" s="42" t="inlineStr">
        <is>
          <t>Work starting from March 2026. A total of 90 days for completion Slack period until end February 2026. | Farmer: Edi Mohammad</t>
        </is>
      </c>
      <c r="AA165" s="32" t="inlineStr">
        <is>
          <t>IF(E165="","",IF(COUNT(AG165:AT165)=0,IF(Y165="","Not started",Y165),SUBSTITUTE(LOOKUP(2,1/(AG165:AT165&lt;&gt;""),$AG$3:$AT$3),"Date: ","")))</t>
        </is>
      </c>
      <c r="AB165" s="38" t="inlineStr">
        <is>
          <t>IF(OR(E165="",COUNT(AG165:AT165)=0),"",TODAY()-LOOKUP(2,1/(AG165:AT165&lt;&gt;""),AG165:AT165))</t>
        </is>
      </c>
      <c r="AC165" s="38" t="inlineStr">
        <is>
          <t>IF(OR(E165="",COUNT(AG165:AT165)&lt;2),"",LOOKUP(2,1/(AG165:AT165&lt;&gt;""),AG165:AT165)-MIN(AG165:AT165))</t>
        </is>
      </c>
      <c r="AD165" s="38" t="inlineStr">
        <is>
          <t>IF(OR(AB165="",AA165="Not started",AA165=""),"",IFERROR(AB165-IF(VLOOKUP(AA165,'04_Status_Pipeline'!$B$3:$E$20,4,FALSE)="",0,VLOOKUP(AA165,'04_Status_Pipeline'!$B$3:$E$20,4,FALSE)),""))</t>
        </is>
      </c>
      <c r="AE165" s="32" t="inlineStr">
        <is>
          <t>IF(E165="","",IF(OR(Y165="Cancelled",AA165="Cancelled"),"Cancelled",IF(OR(AA165="Completed / Handover",W165&lt;&gt;"",X165&gt;=100),"Completed — on track",IF(L165="Remaining",IF(S165="",IF(V165="","No planned date",IF(TODAY()&gt;V165,"Behind — past planned date",IF(V165-TODAY()&lt;=30,"At risk — close to off track","On track"))),IF(TODAY()&gt;S165,"Behind — award date passed",IF(S165-TODAY()&lt;=30,"At risk — close to off track","On track"))),IF(V165="","No planned date",IF(AND(TODAY()&gt;V165,OR(X165="",X165&lt;100)),"Behind — past end date",IF(AND(R165&lt;&gt;"",V165&lt;&gt;"",X165&lt;&gt;"",(X165&lt;100),((TODAY()-R165)/MAX(V165-R165,1)*100)-X165&gt;15),"Behind — progress lag",IF(AND(V165-TODAY()&lt;=30,V165-TODAY()&gt;=0,OR(X165="",X165&lt;90)),"At risk — close to off track","On track"))))))))</t>
        </is>
      </c>
      <c r="AF165" s="38" t="inlineStr">
        <is>
          <t>IF(OR(E165="",AA165="Completed / Handover",AA165="Cancelled"),"",IF(L165="Remaining",IF(S165&lt;&gt;"",S165-TODAY(),IF(V165="","",V165-TODAY())),IF(V165="","",V165-TODAY())))</t>
        </is>
      </c>
      <c r="AG165" s="44" t="n"/>
      <c r="AH165" s="44" t="n"/>
      <c r="AI165" s="44" t="n"/>
      <c r="AJ165" s="44" t="n"/>
      <c r="AK165" s="44" t="n"/>
      <c r="AL165" s="44" t="n"/>
      <c r="AM165" s="44" t="n"/>
      <c r="AN165" s="44" t="n"/>
      <c r="AO165" s="44" t="n"/>
      <c r="AP165" s="44" t="n"/>
      <c r="AQ165" s="44" t="n"/>
      <c r="AR165" s="40" t="n"/>
      <c r="AS165" s="40" t="n"/>
      <c r="AT165" s="40" t="n"/>
      <c r="AU165" s="38" t="inlineStr">
        <is>
          <t>IF(OR(E165="",AH165=""),"",IF(COUNT(AG165:AG165)=0,"",AH165-LOOKUP(2,1/(AG165:AG165&lt;&gt;""),AG165:AG165)))</t>
        </is>
      </c>
      <c r="AV165" s="38" t="inlineStr">
        <is>
          <t>IF(OR(E165="",AI165=""),"",IF(COUNT(AG165:AH165)=0,"",AI165-LOOKUP(2,1/(AG165:AH165&lt;&gt;""),AG165:AH165)))</t>
        </is>
      </c>
      <c r="AW165" s="38" t="inlineStr">
        <is>
          <t>IF(OR(E165="",AJ165=""),"",IF(COUNT(AG165:AI165)=0,"",AJ165-LOOKUP(2,1/(AG165:AI165&lt;&gt;""),AG165:AI165)))</t>
        </is>
      </c>
      <c r="AX165" s="38" t="inlineStr">
        <is>
          <t>IF(OR(E165="",AK165=""),"",IF(COUNT(AG165:AJ165)=0,"",AK165-LOOKUP(2,1/(AG165:AJ165&lt;&gt;""),AG165:AJ165)))</t>
        </is>
      </c>
      <c r="AY165" s="38" t="inlineStr">
        <is>
          <t>IF(OR(E165="",AL165=""),"",IF(COUNT(AG165:AK165)=0,"",AL165-LOOKUP(2,1/(AG165:AK165&lt;&gt;""),AG165:AK165)))</t>
        </is>
      </c>
      <c r="AZ165" s="38" t="inlineStr">
        <is>
          <t>IF(OR(E165="",AM165=""),"",IF(COUNT(AG165:AL165)=0,"",AM165-LOOKUP(2,1/(AG165:AL165&lt;&gt;""),AG165:AL165)))</t>
        </is>
      </c>
      <c r="BA165" s="38" t="inlineStr">
        <is>
          <t>IF(OR(E165="",AN165=""),"",IF(COUNT(AG165:AM165)=0,"",AN165-LOOKUP(2,1/(AG165:AM165&lt;&gt;""),AG165:AM165)))</t>
        </is>
      </c>
      <c r="BB165" s="38" t="inlineStr">
        <is>
          <t>IF(OR(E165="",AO165=""),"",IF(COUNT(AG165:AN165)=0,"",AO165-LOOKUP(2,1/(AG165:AN165&lt;&gt;""),AG165:AN165)))</t>
        </is>
      </c>
      <c r="BC165" s="38" t="inlineStr">
        <is>
          <t>IF(OR(E165="",AP165=""),"",IF(COUNT(AG165:AO165)=0,"",AP165-LOOKUP(2,1/(AG165:AO165&lt;&gt;""),AG165:AO165)))</t>
        </is>
      </c>
      <c r="BD165" s="38" t="inlineStr">
        <is>
          <t>IF(OR(E165="",AQ165=""),"",IF(COUNT(AG165:AP165)=0,"",AQ165-LOOKUP(2,1/(AG165:AP165&lt;&gt;""),AG165:AP165)))</t>
        </is>
      </c>
      <c r="BE165" s="38" t="inlineStr">
        <is>
          <t>IF(OR(E165="",AR165=""),"",IF(COUNT(AG165:AQ165)=0,"",AR165-LOOKUP(2,1/(AG165:AQ165&lt;&gt;""),AG165:AQ165)))</t>
        </is>
      </c>
      <c r="BF165" s="38" t="inlineStr">
        <is>
          <t>IF(OR(E165="",AS165=""),"",IF(COUNT(AG165:AR165)=0,"",AS165-LOOKUP(2,1/(AG165:AR165&lt;&gt;""),AG165:AR165)))</t>
        </is>
      </c>
      <c r="BG165" s="38" t="inlineStr">
        <is>
          <t>IF(OR(E165="",AT165=""),"",IF(COUNT(AG165:AS165)=0,"",AT165-LOOKUP(2,1/(AG165:AS165&lt;&gt;""),AG165:AS165)))</t>
        </is>
      </c>
      <c r="BH165" s="41" t="inlineStr">
        <is>
          <t>IF(G165="","All_Provinces",IFERROR(VLOOKUP(G165,'07_Lookups'!$A$4:$B$20,2,FALSE),"All_Provinces"))</t>
        </is>
      </c>
      <c r="BI165" s="41" t="inlineStr">
        <is>
          <t>IF(H165="","All_Districts",IFERROR(VLOOKUP(H165,'07_Lookups'!$E$4:$F$42,2,FALSE),"All_Districts"))</t>
        </is>
      </c>
    </row>
    <row r="166" ht="18" customHeight="1">
      <c r="A166" s="32" t="inlineStr">
        <is>
          <t>IF(E166="","",ROW()-3)</t>
        </is>
      </c>
      <c r="B166" s="33" t="inlineStr">
        <is>
          <t>AF2-DIS-R-003</t>
        </is>
      </c>
      <c r="C166" s="33" t="inlineStr">
        <is>
          <t>Emergency Food Security Project (EFSP) – WBK/AF-2</t>
        </is>
      </c>
      <c r="D166" s="3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6" s="33" t="inlineStr">
        <is>
          <t>Kharistan Drip Irrigation schemes</t>
        </is>
      </c>
      <c r="F166" s="33" t="inlineStr">
        <is>
          <t>Drip Irrigation</t>
        </is>
      </c>
      <c r="G166" s="33" t="inlineStr">
        <is>
          <t>West / Herat</t>
        </is>
      </c>
      <c r="H166" s="33" t="inlineStr">
        <is>
          <t>Badghis</t>
        </is>
      </c>
      <c r="I166" s="33" t="inlineStr">
        <is>
          <t>Moqur</t>
        </is>
      </c>
      <c r="J166" s="33" t="inlineStr">
        <is>
          <t>Kharistan</t>
        </is>
      </c>
      <c r="K166" s="33" t="inlineStr">
        <is>
          <t>World Bank (WBK/AF-2)</t>
        </is>
      </c>
      <c r="L166" s="33" t="inlineStr">
        <is>
          <t>Remaining</t>
        </is>
      </c>
      <c r="M166" s="33" t="inlineStr">
        <is>
          <t>Drip irrigation</t>
        </is>
      </c>
      <c r="N166" s="33" t="inlineStr">
        <is>
          <t>5. Drip Irrigation systems</t>
        </is>
      </c>
      <c r="O166" s="33" t="inlineStr">
        <is>
          <t>Saifuddin</t>
        </is>
      </c>
      <c r="P166" s="33" t="inlineStr"/>
      <c r="Q166" s="34" t="n">
        <v>9550.690000000001</v>
      </c>
      <c r="R166" s="35" t="inlineStr">
        <is>
          <t>IF(AO166="","",AO166)</t>
        </is>
      </c>
      <c r="S166" s="36" t="n">
        <v>46361</v>
      </c>
      <c r="T166" s="37" t="n">
        <v>5.8</v>
      </c>
      <c r="U166" s="36" t="n">
        <v>46537</v>
      </c>
      <c r="V166" s="35" t="inlineStr">
        <is>
          <t>IF(U166&lt;&gt;"",U166,IF(OR(R166="",T166=""),"",EDATE(R166,T166)))</t>
        </is>
      </c>
      <c r="W166" s="36" t="n"/>
      <c r="X166" s="37" t="n"/>
      <c r="Y166" s="33" t="inlineStr">
        <is>
          <t>Retendered (Re-ITB)</t>
        </is>
      </c>
      <c r="Z166" s="33" t="inlineStr">
        <is>
          <t>Work starting from March 2026. A total of 90 days for completion Slack period until end February 2026. | Farmer: Saifuddin</t>
        </is>
      </c>
      <c r="AA166" s="32" t="inlineStr">
        <is>
          <t>IF(E166="","",IF(COUNT(AG166:AT166)=0,IF(Y166="","Not started",Y166),SUBSTITUTE(LOOKUP(2,1/(AG166:AT166&lt;&gt;""),$AG$3:$AT$3),"Date: ","")))</t>
        </is>
      </c>
      <c r="AB166" s="38" t="inlineStr">
        <is>
          <t>IF(OR(E166="",COUNT(AG166:AT166)=0),"",TODAY()-LOOKUP(2,1/(AG166:AT166&lt;&gt;""),AG166:AT166))</t>
        </is>
      </c>
      <c r="AC166" s="38" t="inlineStr">
        <is>
          <t>IF(OR(E166="",COUNT(AG166:AT166)&lt;2),"",LOOKUP(2,1/(AG166:AT166&lt;&gt;""),AG166:AT166)-MIN(AG166:AT166))</t>
        </is>
      </c>
      <c r="AD166" s="38" t="inlineStr">
        <is>
          <t>IF(OR(AB166="",AA166="Not started",AA166=""),"",IFERROR(AB166-IF(VLOOKUP(AA166,'04_Status_Pipeline'!$B$3:$E$20,4,FALSE)="",0,VLOOKUP(AA166,'04_Status_Pipeline'!$B$3:$E$20,4,FALSE)),""))</t>
        </is>
      </c>
      <c r="AE166" s="32" t="inlineStr">
        <is>
          <t>IF(E166="","",IF(OR(Y166="Cancelled",AA166="Cancelled"),"Cancelled",IF(OR(AA166="Completed / Handover",W166&lt;&gt;"",X166&gt;=100),"Completed — on track",IF(L166="Remaining",IF(S166="",IF(V166="","No planned date",IF(TODAY()&gt;V166,"Behind — past planned date",IF(V166-TODAY()&lt;=30,"At risk — close to off track","On track"))),IF(TODAY()&gt;S166,"Behind — award date passed",IF(S166-TODAY()&lt;=30,"At risk — close to off track","On track"))),IF(V166="","No planned date",IF(AND(TODAY()&gt;V166,OR(X166="",X166&lt;100)),"Behind — past end date",IF(AND(R166&lt;&gt;"",V166&lt;&gt;"",X166&lt;&gt;"",(X166&lt;100),((TODAY()-R166)/MAX(V166-R166,1)*100)-X166&gt;15),"Behind — progress lag",IF(AND(V166-TODAY()&lt;=30,V166-TODAY()&gt;=0,OR(X166="",X166&lt;90)),"At risk — close to off track","On track"))))))))</t>
        </is>
      </c>
      <c r="AF166" s="38" t="inlineStr">
        <is>
          <t>IF(OR(E166="",AA166="Completed / Handover",AA166="Cancelled"),"",IF(L166="Remaining",IF(S166&lt;&gt;"",S166-TODAY(),IF(V166="","",V166-TODAY())),IF(V166="","",V166-TODAY())))</t>
        </is>
      </c>
      <c r="AG166" s="36" t="n"/>
      <c r="AH166" s="36" t="n"/>
      <c r="AI166" s="36" t="n"/>
      <c r="AJ166" s="36" t="n"/>
      <c r="AK166" s="36" t="n"/>
      <c r="AL166" s="36" t="n"/>
      <c r="AM166" s="36" t="n"/>
      <c r="AN166" s="36" t="n"/>
      <c r="AO166" s="36" t="n"/>
      <c r="AP166" s="36" t="n"/>
      <c r="AQ166" s="36" t="n"/>
      <c r="AR166" s="40" t="n"/>
      <c r="AS166" s="40" t="n"/>
      <c r="AT166" s="40" t="n"/>
      <c r="AU166" s="38" t="inlineStr">
        <is>
          <t>IF(OR(E166="",AH166=""),"",IF(COUNT(AG166:AG166)=0,"",AH166-LOOKUP(2,1/(AG166:AG166&lt;&gt;""),AG166:AG166)))</t>
        </is>
      </c>
      <c r="AV166" s="38" t="inlineStr">
        <is>
          <t>IF(OR(E166="",AI166=""),"",IF(COUNT(AG166:AH166)=0,"",AI166-LOOKUP(2,1/(AG166:AH166&lt;&gt;""),AG166:AH166)))</t>
        </is>
      </c>
      <c r="AW166" s="38" t="inlineStr">
        <is>
          <t>IF(OR(E166="",AJ166=""),"",IF(COUNT(AG166:AI166)=0,"",AJ166-LOOKUP(2,1/(AG166:AI166&lt;&gt;""),AG166:AI166)))</t>
        </is>
      </c>
      <c r="AX166" s="38" t="inlineStr">
        <is>
          <t>IF(OR(E166="",AK166=""),"",IF(COUNT(AG166:AJ166)=0,"",AK166-LOOKUP(2,1/(AG166:AJ166&lt;&gt;""),AG166:AJ166)))</t>
        </is>
      </c>
      <c r="AY166" s="38" t="inlineStr">
        <is>
          <t>IF(OR(E166="",AL166=""),"",IF(COUNT(AG166:AK166)=0,"",AL166-LOOKUP(2,1/(AG166:AK166&lt;&gt;""),AG166:AK166)))</t>
        </is>
      </c>
      <c r="AZ166" s="38" t="inlineStr">
        <is>
          <t>IF(OR(E166="",AM166=""),"",IF(COUNT(AG166:AL166)=0,"",AM166-LOOKUP(2,1/(AG166:AL166&lt;&gt;""),AG166:AL166)))</t>
        </is>
      </c>
      <c r="BA166" s="38" t="inlineStr">
        <is>
          <t>IF(OR(E166="",AN166=""),"",IF(COUNT(AG166:AM166)=0,"",AN166-LOOKUP(2,1/(AG166:AM166&lt;&gt;""),AG166:AM166)))</t>
        </is>
      </c>
      <c r="BB166" s="38" t="inlineStr">
        <is>
          <t>IF(OR(E166="",AO166=""),"",IF(COUNT(AG166:AN166)=0,"",AO166-LOOKUP(2,1/(AG166:AN166&lt;&gt;""),AG166:AN166)))</t>
        </is>
      </c>
      <c r="BC166" s="38" t="inlineStr">
        <is>
          <t>IF(OR(E166="",AP166=""),"",IF(COUNT(AG166:AO166)=0,"",AP166-LOOKUP(2,1/(AG166:AO166&lt;&gt;""),AG166:AO166)))</t>
        </is>
      </c>
      <c r="BD166" s="38" t="inlineStr">
        <is>
          <t>IF(OR(E166="",AQ166=""),"",IF(COUNT(AG166:AP166)=0,"",AQ166-LOOKUP(2,1/(AG166:AP166&lt;&gt;""),AG166:AP166)))</t>
        </is>
      </c>
      <c r="BE166" s="38" t="inlineStr">
        <is>
          <t>IF(OR(E166="",AR166=""),"",IF(COUNT(AG166:AQ166)=0,"",AR166-LOOKUP(2,1/(AG166:AQ166&lt;&gt;""),AG166:AQ166)))</t>
        </is>
      </c>
      <c r="BF166" s="38" t="inlineStr">
        <is>
          <t>IF(OR(E166="",AS166=""),"",IF(COUNT(AG166:AR166)=0,"",AS166-LOOKUP(2,1/(AG166:AR166&lt;&gt;""),AG166:AR166)))</t>
        </is>
      </c>
      <c r="BG166" s="38" t="inlineStr">
        <is>
          <t>IF(OR(E166="",AT166=""),"",IF(COUNT(AG166:AS166)=0,"",AT166-LOOKUP(2,1/(AG166:AS166&lt;&gt;""),AG166:AS166)))</t>
        </is>
      </c>
      <c r="BH166" s="41" t="inlineStr">
        <is>
          <t>IF(G166="","All_Provinces",IFERROR(VLOOKUP(G166,'07_Lookups'!$A$4:$B$20,2,FALSE),"All_Provinces"))</t>
        </is>
      </c>
      <c r="BI166" s="41" t="inlineStr">
        <is>
          <t>IF(H166="","All_Districts",IFERROR(VLOOKUP(H166,'07_Lookups'!$E$4:$F$42,2,FALSE),"All_Districts"))</t>
        </is>
      </c>
    </row>
    <row r="167" ht="18" customHeight="1">
      <c r="A167" s="32" t="inlineStr">
        <is>
          <t>IF(E167="","",ROW()-3)</t>
        </is>
      </c>
      <c r="B167" s="42" t="inlineStr">
        <is>
          <t>AF2-DIS-R-004</t>
        </is>
      </c>
      <c r="C167" s="42" t="inlineStr">
        <is>
          <t>Emergency Food Security Project (EFSP) – WBK/AF-2</t>
        </is>
      </c>
      <c r="D167" s="4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7" s="42" t="inlineStr">
        <is>
          <t>Ahangaran Drip Irrigation schemes</t>
        </is>
      </c>
      <c r="F167" s="42" t="inlineStr">
        <is>
          <t>Drip Irrigation</t>
        </is>
      </c>
      <c r="G167" s="42" t="inlineStr">
        <is>
          <t>West / Herat</t>
        </is>
      </c>
      <c r="H167" s="42" t="inlineStr">
        <is>
          <t>Ghor</t>
        </is>
      </c>
      <c r="I167" s="42" t="inlineStr">
        <is>
          <t>Firozkoh</t>
        </is>
      </c>
      <c r="J167" s="42" t="inlineStr">
        <is>
          <t>Ahangaran</t>
        </is>
      </c>
      <c r="K167" s="42" t="inlineStr">
        <is>
          <t>World Bank (WBK/AF-2)</t>
        </is>
      </c>
      <c r="L167" s="42" t="inlineStr">
        <is>
          <t>Remaining</t>
        </is>
      </c>
      <c r="M167" s="42" t="inlineStr">
        <is>
          <t>Drip irrigation</t>
        </is>
      </c>
      <c r="N167" s="42" t="inlineStr">
        <is>
          <t>5. Drip Irrigation systems</t>
        </is>
      </c>
      <c r="O167" s="42" t="inlineStr">
        <is>
          <t>Haji Yaqoub</t>
        </is>
      </c>
      <c r="P167" s="42" t="inlineStr"/>
      <c r="Q167" s="43" t="n">
        <v>5783.61</v>
      </c>
      <c r="R167" s="35" t="inlineStr">
        <is>
          <t>IF(AO167="","",AO167)</t>
        </is>
      </c>
      <c r="S167" s="44" t="n">
        <v>46361</v>
      </c>
      <c r="T167" s="45" t="n">
        <v>5.8</v>
      </c>
      <c r="U167" s="44" t="n">
        <v>46537</v>
      </c>
      <c r="V167" s="35" t="inlineStr">
        <is>
          <t>IF(U167&lt;&gt;"",U167,IF(OR(R167="",T167=""),"",EDATE(R167,T167)))</t>
        </is>
      </c>
      <c r="W167" s="44" t="n"/>
      <c r="X167" s="45" t="n"/>
      <c r="Y167" s="42" t="inlineStr">
        <is>
          <t>Retendered (Re-ITB)</t>
        </is>
      </c>
      <c r="Z167" s="42" t="inlineStr">
        <is>
          <t>Work starting from March 2026. A total of 90 days for completion Slack period until end February 2026. | Farmer: Haji Yaqoub</t>
        </is>
      </c>
      <c r="AA167" s="32" t="inlineStr">
        <is>
          <t>IF(E167="","",IF(COUNT(AG167:AT167)=0,IF(Y167="","Not started",Y167),SUBSTITUTE(LOOKUP(2,1/(AG167:AT167&lt;&gt;""),$AG$3:$AT$3),"Date: ","")))</t>
        </is>
      </c>
      <c r="AB167" s="38" t="inlineStr">
        <is>
          <t>IF(OR(E167="",COUNT(AG167:AT167)=0),"",TODAY()-LOOKUP(2,1/(AG167:AT167&lt;&gt;""),AG167:AT167))</t>
        </is>
      </c>
      <c r="AC167" s="38" t="inlineStr">
        <is>
          <t>IF(OR(E167="",COUNT(AG167:AT167)&lt;2),"",LOOKUP(2,1/(AG167:AT167&lt;&gt;""),AG167:AT167)-MIN(AG167:AT167))</t>
        </is>
      </c>
      <c r="AD167" s="38" t="inlineStr">
        <is>
          <t>IF(OR(AB167="",AA167="Not started",AA167=""),"",IFERROR(AB167-IF(VLOOKUP(AA167,'04_Status_Pipeline'!$B$3:$E$20,4,FALSE)="",0,VLOOKUP(AA167,'04_Status_Pipeline'!$B$3:$E$20,4,FALSE)),""))</t>
        </is>
      </c>
      <c r="AE167" s="32" t="inlineStr">
        <is>
          <t>IF(E167="","",IF(OR(Y167="Cancelled",AA167="Cancelled"),"Cancelled",IF(OR(AA167="Completed / Handover",W167&lt;&gt;"",X167&gt;=100),"Completed — on track",IF(L167="Remaining",IF(S167="",IF(V167="","No planned date",IF(TODAY()&gt;V167,"Behind — past planned date",IF(V167-TODAY()&lt;=30,"At risk — close to off track","On track"))),IF(TODAY()&gt;S167,"Behind — award date passed",IF(S167-TODAY()&lt;=30,"At risk — close to off track","On track"))),IF(V167="","No planned date",IF(AND(TODAY()&gt;V167,OR(X167="",X167&lt;100)),"Behind — past end date",IF(AND(R167&lt;&gt;"",V167&lt;&gt;"",X167&lt;&gt;"",(X167&lt;100),((TODAY()-R167)/MAX(V167-R167,1)*100)-X167&gt;15),"Behind — progress lag",IF(AND(V167-TODAY()&lt;=30,V167-TODAY()&gt;=0,OR(X167="",X167&lt;90)),"At risk — close to off track","On track"))))))))</t>
        </is>
      </c>
      <c r="AF167" s="38" t="inlineStr">
        <is>
          <t>IF(OR(E167="",AA167="Completed / Handover",AA167="Cancelled"),"",IF(L167="Remaining",IF(S167&lt;&gt;"",S167-TODAY(),IF(V167="","",V167-TODAY())),IF(V167="","",V167-TODAY())))</t>
        </is>
      </c>
      <c r="AG167" s="44" t="n"/>
      <c r="AH167" s="44" t="n"/>
      <c r="AI167" s="44" t="n"/>
      <c r="AJ167" s="44" t="n"/>
      <c r="AK167" s="44" t="n"/>
      <c r="AL167" s="44" t="n"/>
      <c r="AM167" s="44" t="n"/>
      <c r="AN167" s="44" t="n"/>
      <c r="AO167" s="44" t="n"/>
      <c r="AP167" s="44" t="n"/>
      <c r="AQ167" s="44" t="n"/>
      <c r="AR167" s="40" t="n"/>
      <c r="AS167" s="40" t="n"/>
      <c r="AT167" s="40" t="n"/>
      <c r="AU167" s="38" t="inlineStr">
        <is>
          <t>IF(OR(E167="",AH167=""),"",IF(COUNT(AG167:AG167)=0,"",AH167-LOOKUP(2,1/(AG167:AG167&lt;&gt;""),AG167:AG167)))</t>
        </is>
      </c>
      <c r="AV167" s="38" t="inlineStr">
        <is>
          <t>IF(OR(E167="",AI167=""),"",IF(COUNT(AG167:AH167)=0,"",AI167-LOOKUP(2,1/(AG167:AH167&lt;&gt;""),AG167:AH167)))</t>
        </is>
      </c>
      <c r="AW167" s="38" t="inlineStr">
        <is>
          <t>IF(OR(E167="",AJ167=""),"",IF(COUNT(AG167:AI167)=0,"",AJ167-LOOKUP(2,1/(AG167:AI167&lt;&gt;""),AG167:AI167)))</t>
        </is>
      </c>
      <c r="AX167" s="38" t="inlineStr">
        <is>
          <t>IF(OR(E167="",AK167=""),"",IF(COUNT(AG167:AJ167)=0,"",AK167-LOOKUP(2,1/(AG167:AJ167&lt;&gt;""),AG167:AJ167)))</t>
        </is>
      </c>
      <c r="AY167" s="38" t="inlineStr">
        <is>
          <t>IF(OR(E167="",AL167=""),"",IF(COUNT(AG167:AK167)=0,"",AL167-LOOKUP(2,1/(AG167:AK167&lt;&gt;""),AG167:AK167)))</t>
        </is>
      </c>
      <c r="AZ167" s="38" t="inlineStr">
        <is>
          <t>IF(OR(E167="",AM167=""),"",IF(COUNT(AG167:AL167)=0,"",AM167-LOOKUP(2,1/(AG167:AL167&lt;&gt;""),AG167:AL167)))</t>
        </is>
      </c>
      <c r="BA167" s="38" t="inlineStr">
        <is>
          <t>IF(OR(E167="",AN167=""),"",IF(COUNT(AG167:AM167)=0,"",AN167-LOOKUP(2,1/(AG167:AM167&lt;&gt;""),AG167:AM167)))</t>
        </is>
      </c>
      <c r="BB167" s="38" t="inlineStr">
        <is>
          <t>IF(OR(E167="",AO167=""),"",IF(COUNT(AG167:AN167)=0,"",AO167-LOOKUP(2,1/(AG167:AN167&lt;&gt;""),AG167:AN167)))</t>
        </is>
      </c>
      <c r="BC167" s="38" t="inlineStr">
        <is>
          <t>IF(OR(E167="",AP167=""),"",IF(COUNT(AG167:AO167)=0,"",AP167-LOOKUP(2,1/(AG167:AO167&lt;&gt;""),AG167:AO167)))</t>
        </is>
      </c>
      <c r="BD167" s="38" t="inlineStr">
        <is>
          <t>IF(OR(E167="",AQ167=""),"",IF(COUNT(AG167:AP167)=0,"",AQ167-LOOKUP(2,1/(AG167:AP167&lt;&gt;""),AG167:AP167)))</t>
        </is>
      </c>
      <c r="BE167" s="38" t="inlineStr">
        <is>
          <t>IF(OR(E167="",AR167=""),"",IF(COUNT(AG167:AQ167)=0,"",AR167-LOOKUP(2,1/(AG167:AQ167&lt;&gt;""),AG167:AQ167)))</t>
        </is>
      </c>
      <c r="BF167" s="38" t="inlineStr">
        <is>
          <t>IF(OR(E167="",AS167=""),"",IF(COUNT(AG167:AR167)=0,"",AS167-LOOKUP(2,1/(AG167:AR167&lt;&gt;""),AG167:AR167)))</t>
        </is>
      </c>
      <c r="BG167" s="38" t="inlineStr">
        <is>
          <t>IF(OR(E167="",AT167=""),"",IF(COUNT(AG167:AS167)=0,"",AT167-LOOKUP(2,1/(AG167:AS167&lt;&gt;""),AG167:AS167)))</t>
        </is>
      </c>
      <c r="BH167" s="41" t="inlineStr">
        <is>
          <t>IF(G167="","All_Provinces",IFERROR(VLOOKUP(G167,'07_Lookups'!$A$4:$B$20,2,FALSE),"All_Provinces"))</t>
        </is>
      </c>
      <c r="BI167" s="41" t="inlineStr">
        <is>
          <t>IF(H167="","All_Districts",IFERROR(VLOOKUP(H167,'07_Lookups'!$E$4:$F$42,2,FALSE),"All_Districts"))</t>
        </is>
      </c>
    </row>
    <row r="168" ht="18" customHeight="1">
      <c r="A168" s="32" t="inlineStr">
        <is>
          <t>IF(E168="","",ROW()-3)</t>
        </is>
      </c>
      <c r="B168" s="33" t="inlineStr">
        <is>
          <t>AF2-DIS-R-005</t>
        </is>
      </c>
      <c r="C168" s="33" t="inlineStr">
        <is>
          <t>Emergency Food Security Project (EFSP) – WBK/AF-2</t>
        </is>
      </c>
      <c r="D168" s="3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8" s="33" t="inlineStr">
        <is>
          <t>Hamaye Khan Drip Irrigation schemes</t>
        </is>
      </c>
      <c r="F168" s="33" t="inlineStr">
        <is>
          <t>Drip Irrigation</t>
        </is>
      </c>
      <c r="G168" s="33" t="inlineStr">
        <is>
          <t>West / Herat</t>
        </is>
      </c>
      <c r="H168" s="33" t="inlineStr">
        <is>
          <t>Ghor</t>
        </is>
      </c>
      <c r="I168" s="33" t="inlineStr">
        <is>
          <t>Dawlatyar</t>
        </is>
      </c>
      <c r="J168" s="33" t="inlineStr">
        <is>
          <t>Hamaye khan</t>
        </is>
      </c>
      <c r="K168" s="33" t="inlineStr">
        <is>
          <t>World Bank (WBK/AF-2)</t>
        </is>
      </c>
      <c r="L168" s="33" t="inlineStr">
        <is>
          <t>Remaining</t>
        </is>
      </c>
      <c r="M168" s="33" t="inlineStr">
        <is>
          <t>Drip irrigation</t>
        </is>
      </c>
      <c r="N168" s="33" t="inlineStr">
        <is>
          <t>5. Drip Irrigation systems</t>
        </is>
      </c>
      <c r="O168" s="33" t="inlineStr">
        <is>
          <t>Haji Abdul Qaiyom</t>
        </is>
      </c>
      <c r="P168" s="33" t="inlineStr"/>
      <c r="Q168" s="34" t="n">
        <v>6737.72</v>
      </c>
      <c r="R168" s="35" t="inlineStr">
        <is>
          <t>IF(AO168="","",AO168)</t>
        </is>
      </c>
      <c r="S168" s="36" t="n">
        <v>46361</v>
      </c>
      <c r="T168" s="37" t="n">
        <v>5.8</v>
      </c>
      <c r="U168" s="36" t="n">
        <v>46537</v>
      </c>
      <c r="V168" s="35" t="inlineStr">
        <is>
          <t>IF(U168&lt;&gt;"",U168,IF(OR(R168="",T168=""),"",EDATE(R168,T168)))</t>
        </is>
      </c>
      <c r="W168" s="36" t="n"/>
      <c r="X168" s="37" t="n"/>
      <c r="Y168" s="33" t="inlineStr">
        <is>
          <t>Retendered (Re-ITB)</t>
        </is>
      </c>
      <c r="Z168" s="33" t="inlineStr">
        <is>
          <t>Work starting from March 2026. A total of 90 days for completion Slack period until end February 2026. | Farmer: Haji Abdul Qaiyom</t>
        </is>
      </c>
      <c r="AA168" s="32" t="inlineStr">
        <is>
          <t>IF(E168="","",IF(COUNT(AG168:AT168)=0,IF(Y168="","Not started",Y168),SUBSTITUTE(LOOKUP(2,1/(AG168:AT168&lt;&gt;""),$AG$3:$AT$3),"Date: ","")))</t>
        </is>
      </c>
      <c r="AB168" s="38" t="inlineStr">
        <is>
          <t>IF(OR(E168="",COUNT(AG168:AT168)=0),"",TODAY()-LOOKUP(2,1/(AG168:AT168&lt;&gt;""),AG168:AT168))</t>
        </is>
      </c>
      <c r="AC168" s="38" t="inlineStr">
        <is>
          <t>IF(OR(E168="",COUNT(AG168:AT168)&lt;2),"",LOOKUP(2,1/(AG168:AT168&lt;&gt;""),AG168:AT168)-MIN(AG168:AT168))</t>
        </is>
      </c>
      <c r="AD168" s="38" t="inlineStr">
        <is>
          <t>IF(OR(AB168="",AA168="Not started",AA168=""),"",IFERROR(AB168-IF(VLOOKUP(AA168,'04_Status_Pipeline'!$B$3:$E$20,4,FALSE)="",0,VLOOKUP(AA168,'04_Status_Pipeline'!$B$3:$E$20,4,FALSE)),""))</t>
        </is>
      </c>
      <c r="AE168" s="32" t="inlineStr">
        <is>
          <t>IF(E168="","",IF(OR(Y168="Cancelled",AA168="Cancelled"),"Cancelled",IF(OR(AA168="Completed / Handover",W168&lt;&gt;"",X168&gt;=100),"Completed — on track",IF(L168="Remaining",IF(S168="",IF(V168="","No planned date",IF(TODAY()&gt;V168,"Behind — past planned date",IF(V168-TODAY()&lt;=30,"At risk — close to off track","On track"))),IF(TODAY()&gt;S168,"Behind — award date passed",IF(S168-TODAY()&lt;=30,"At risk — close to off track","On track"))),IF(V168="","No planned date",IF(AND(TODAY()&gt;V168,OR(X168="",X168&lt;100)),"Behind — past end date",IF(AND(R168&lt;&gt;"",V168&lt;&gt;"",X168&lt;&gt;"",(X168&lt;100),((TODAY()-R168)/MAX(V168-R168,1)*100)-X168&gt;15),"Behind — progress lag",IF(AND(V168-TODAY()&lt;=30,V168-TODAY()&gt;=0,OR(X168="",X168&lt;90)),"At risk — close to off track","On track"))))))))</t>
        </is>
      </c>
      <c r="AF168" s="38" t="inlineStr">
        <is>
          <t>IF(OR(E168="",AA168="Completed / Handover",AA168="Cancelled"),"",IF(L168="Remaining",IF(S168&lt;&gt;"",S168-TODAY(),IF(V168="","",V168-TODAY())),IF(V168="","",V168-TODAY())))</t>
        </is>
      </c>
      <c r="AG168" s="36" t="n"/>
      <c r="AH168" s="36" t="n"/>
      <c r="AI168" s="36" t="n"/>
      <c r="AJ168" s="36" t="n"/>
      <c r="AK168" s="36" t="n"/>
      <c r="AL168" s="36" t="n"/>
      <c r="AM168" s="36" t="n"/>
      <c r="AN168" s="36" t="n"/>
      <c r="AO168" s="36" t="n"/>
      <c r="AP168" s="36" t="n"/>
      <c r="AQ168" s="36" t="n"/>
      <c r="AR168" s="40" t="n"/>
      <c r="AS168" s="40" t="n"/>
      <c r="AT168" s="40" t="n"/>
      <c r="AU168" s="38" t="inlineStr">
        <is>
          <t>IF(OR(E168="",AH168=""),"",IF(COUNT(AG168:AG168)=0,"",AH168-LOOKUP(2,1/(AG168:AG168&lt;&gt;""),AG168:AG168)))</t>
        </is>
      </c>
      <c r="AV168" s="38" t="inlineStr">
        <is>
          <t>IF(OR(E168="",AI168=""),"",IF(COUNT(AG168:AH168)=0,"",AI168-LOOKUP(2,1/(AG168:AH168&lt;&gt;""),AG168:AH168)))</t>
        </is>
      </c>
      <c r="AW168" s="38" t="inlineStr">
        <is>
          <t>IF(OR(E168="",AJ168=""),"",IF(COUNT(AG168:AI168)=0,"",AJ168-LOOKUP(2,1/(AG168:AI168&lt;&gt;""),AG168:AI168)))</t>
        </is>
      </c>
      <c r="AX168" s="38" t="inlineStr">
        <is>
          <t>IF(OR(E168="",AK168=""),"",IF(COUNT(AG168:AJ168)=0,"",AK168-LOOKUP(2,1/(AG168:AJ168&lt;&gt;""),AG168:AJ168)))</t>
        </is>
      </c>
      <c r="AY168" s="38" t="inlineStr">
        <is>
          <t>IF(OR(E168="",AL168=""),"",IF(COUNT(AG168:AK168)=0,"",AL168-LOOKUP(2,1/(AG168:AK168&lt;&gt;""),AG168:AK168)))</t>
        </is>
      </c>
      <c r="AZ168" s="38" t="inlineStr">
        <is>
          <t>IF(OR(E168="",AM168=""),"",IF(COUNT(AG168:AL168)=0,"",AM168-LOOKUP(2,1/(AG168:AL168&lt;&gt;""),AG168:AL168)))</t>
        </is>
      </c>
      <c r="BA168" s="38" t="inlineStr">
        <is>
          <t>IF(OR(E168="",AN168=""),"",IF(COUNT(AG168:AM168)=0,"",AN168-LOOKUP(2,1/(AG168:AM168&lt;&gt;""),AG168:AM168)))</t>
        </is>
      </c>
      <c r="BB168" s="38" t="inlineStr">
        <is>
          <t>IF(OR(E168="",AO168=""),"",IF(COUNT(AG168:AN168)=0,"",AO168-LOOKUP(2,1/(AG168:AN168&lt;&gt;""),AG168:AN168)))</t>
        </is>
      </c>
      <c r="BC168" s="38" t="inlineStr">
        <is>
          <t>IF(OR(E168="",AP168=""),"",IF(COUNT(AG168:AO168)=0,"",AP168-LOOKUP(2,1/(AG168:AO168&lt;&gt;""),AG168:AO168)))</t>
        </is>
      </c>
      <c r="BD168" s="38" t="inlineStr">
        <is>
          <t>IF(OR(E168="",AQ168=""),"",IF(COUNT(AG168:AP168)=0,"",AQ168-LOOKUP(2,1/(AG168:AP168&lt;&gt;""),AG168:AP168)))</t>
        </is>
      </c>
      <c r="BE168" s="38" t="inlineStr">
        <is>
          <t>IF(OR(E168="",AR168=""),"",IF(COUNT(AG168:AQ168)=0,"",AR168-LOOKUP(2,1/(AG168:AQ168&lt;&gt;""),AG168:AQ168)))</t>
        </is>
      </c>
      <c r="BF168" s="38" t="inlineStr">
        <is>
          <t>IF(OR(E168="",AS168=""),"",IF(COUNT(AG168:AR168)=0,"",AS168-LOOKUP(2,1/(AG168:AR168&lt;&gt;""),AG168:AR168)))</t>
        </is>
      </c>
      <c r="BG168" s="38" t="inlineStr">
        <is>
          <t>IF(OR(E168="",AT168=""),"",IF(COUNT(AG168:AS168)=0,"",AT168-LOOKUP(2,1/(AG168:AS168&lt;&gt;""),AG168:AS168)))</t>
        </is>
      </c>
      <c r="BH168" s="41" t="inlineStr">
        <is>
          <t>IF(G168="","All_Provinces",IFERROR(VLOOKUP(G168,'07_Lookups'!$A$4:$B$20,2,FALSE),"All_Provinces"))</t>
        </is>
      </c>
      <c r="BI168" s="41" t="inlineStr">
        <is>
          <t>IF(H168="","All_Districts",IFERROR(VLOOKUP(H168,'07_Lookups'!$E$4:$F$42,2,FALSE),"All_Districts"))</t>
        </is>
      </c>
    </row>
    <row r="169" ht="18" customHeight="1">
      <c r="A169" s="32" t="inlineStr">
        <is>
          <t>IF(E169="","",ROW()-3)</t>
        </is>
      </c>
      <c r="B169" s="42" t="inlineStr">
        <is>
          <t>AF2-DIS-R-006</t>
        </is>
      </c>
      <c r="C169" s="42" t="inlineStr">
        <is>
          <t>Emergency Food Security Project (EFSP) – WBK/AF-2</t>
        </is>
      </c>
      <c r="D169" s="4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9" s="42" t="inlineStr">
        <is>
          <t>Shadeh Olia Drip Irrigation Scheme</t>
        </is>
      </c>
      <c r="F169" s="42" t="inlineStr">
        <is>
          <t>Drip Irrigation</t>
        </is>
      </c>
      <c r="G169" s="42" t="inlineStr">
        <is>
          <t>West / Herat</t>
        </is>
      </c>
      <c r="H169" s="42" t="inlineStr">
        <is>
          <t>Herat</t>
        </is>
      </c>
      <c r="I169" s="42" t="inlineStr">
        <is>
          <t>Zinda Jan</t>
        </is>
      </c>
      <c r="J169" s="42" t="inlineStr">
        <is>
          <t>Shadeh Olia</t>
        </is>
      </c>
      <c r="K169" s="42" t="inlineStr">
        <is>
          <t>World Bank (WBK/AF-2)</t>
        </is>
      </c>
      <c r="L169" s="42" t="inlineStr">
        <is>
          <t>Remaining</t>
        </is>
      </c>
      <c r="M169" s="42" t="inlineStr">
        <is>
          <t>Drip irrigation</t>
        </is>
      </c>
      <c r="N169" s="42" t="inlineStr">
        <is>
          <t>5. Drip Irrigation systems</t>
        </is>
      </c>
      <c r="O169" s="42" t="inlineStr">
        <is>
          <t>Abdul Ghafour</t>
        </is>
      </c>
      <c r="P169" s="42" t="inlineStr"/>
      <c r="Q169" s="43" t="n">
        <v>6110.88</v>
      </c>
      <c r="R169" s="35" t="inlineStr">
        <is>
          <t>IF(AO169="","",AO169)</t>
        </is>
      </c>
      <c r="S169" s="44" t="n">
        <v>46361</v>
      </c>
      <c r="T169" s="45" t="n">
        <v>5.8</v>
      </c>
      <c r="U169" s="44" t="n">
        <v>46537</v>
      </c>
      <c r="V169" s="35" t="inlineStr">
        <is>
          <t>IF(U169&lt;&gt;"",U169,IF(OR(R169="",T169=""),"",EDATE(R169,T169)))</t>
        </is>
      </c>
      <c r="W169" s="44" t="n"/>
      <c r="X169" s="45" t="n"/>
      <c r="Y169" s="42" t="inlineStr">
        <is>
          <t>Retendered (Re-ITB)</t>
        </is>
      </c>
      <c r="Z169" s="42" t="inlineStr">
        <is>
          <t>Work starting from March 2026. A total of 90 days for completion Slack period until end February 2026. | Farmer: Abdul Ghafour</t>
        </is>
      </c>
      <c r="AA169" s="32" t="inlineStr">
        <is>
          <t>IF(E169="","",IF(COUNT(AG169:AT169)=0,IF(Y169="","Not started",Y169),SUBSTITUTE(LOOKUP(2,1/(AG169:AT169&lt;&gt;""),$AG$3:$AT$3),"Date: ","")))</t>
        </is>
      </c>
      <c r="AB169" s="38" t="inlineStr">
        <is>
          <t>IF(OR(E169="",COUNT(AG169:AT169)=0),"",TODAY()-LOOKUP(2,1/(AG169:AT169&lt;&gt;""),AG169:AT169))</t>
        </is>
      </c>
      <c r="AC169" s="38" t="inlineStr">
        <is>
          <t>IF(OR(E169="",COUNT(AG169:AT169)&lt;2),"",LOOKUP(2,1/(AG169:AT169&lt;&gt;""),AG169:AT169)-MIN(AG169:AT169))</t>
        </is>
      </c>
      <c r="AD169" s="38" t="inlineStr">
        <is>
          <t>IF(OR(AB169="",AA169="Not started",AA169=""),"",IFERROR(AB169-IF(VLOOKUP(AA169,'04_Status_Pipeline'!$B$3:$E$20,4,FALSE)="",0,VLOOKUP(AA169,'04_Status_Pipeline'!$B$3:$E$20,4,FALSE)),""))</t>
        </is>
      </c>
      <c r="AE169" s="32" t="inlineStr">
        <is>
          <t>IF(E169="","",IF(OR(Y169="Cancelled",AA169="Cancelled"),"Cancelled",IF(OR(AA169="Completed / Handover",W169&lt;&gt;"",X169&gt;=100),"Completed — on track",IF(L169="Remaining",IF(S169="",IF(V169="","No planned date",IF(TODAY()&gt;V169,"Behind — past planned date",IF(V169-TODAY()&lt;=30,"At risk — close to off track","On track"))),IF(TODAY()&gt;S169,"Behind — award date passed",IF(S169-TODAY()&lt;=30,"At risk — close to off track","On track"))),IF(V169="","No planned date",IF(AND(TODAY()&gt;V169,OR(X169="",X169&lt;100)),"Behind — past end date",IF(AND(R169&lt;&gt;"",V169&lt;&gt;"",X169&lt;&gt;"",(X169&lt;100),((TODAY()-R169)/MAX(V169-R169,1)*100)-X169&gt;15),"Behind — progress lag",IF(AND(V169-TODAY()&lt;=30,V169-TODAY()&gt;=0,OR(X169="",X169&lt;90)),"At risk — close to off track","On track"))))))))</t>
        </is>
      </c>
      <c r="AF169" s="38" t="inlineStr">
        <is>
          <t>IF(OR(E169="",AA169="Completed / Handover",AA169="Cancelled"),"",IF(L169="Remaining",IF(S169&lt;&gt;"",S169-TODAY(),IF(V169="","",V169-TODAY())),IF(V169="","",V169-TODAY())))</t>
        </is>
      </c>
      <c r="AG169" s="44" t="n"/>
      <c r="AH169" s="44" t="n"/>
      <c r="AI169" s="44" t="n"/>
      <c r="AJ169" s="44" t="n"/>
      <c r="AK169" s="44" t="n"/>
      <c r="AL169" s="44" t="n"/>
      <c r="AM169" s="44" t="n"/>
      <c r="AN169" s="44" t="n"/>
      <c r="AO169" s="44" t="n"/>
      <c r="AP169" s="44" t="n"/>
      <c r="AQ169" s="44" t="n"/>
      <c r="AR169" s="40" t="n"/>
      <c r="AS169" s="40" t="n"/>
      <c r="AT169" s="40" t="n"/>
      <c r="AU169" s="38" t="inlineStr">
        <is>
          <t>IF(OR(E169="",AH169=""),"",IF(COUNT(AG169:AG169)=0,"",AH169-LOOKUP(2,1/(AG169:AG169&lt;&gt;""),AG169:AG169)))</t>
        </is>
      </c>
      <c r="AV169" s="38" t="inlineStr">
        <is>
          <t>IF(OR(E169="",AI169=""),"",IF(COUNT(AG169:AH169)=0,"",AI169-LOOKUP(2,1/(AG169:AH169&lt;&gt;""),AG169:AH169)))</t>
        </is>
      </c>
      <c r="AW169" s="38" t="inlineStr">
        <is>
          <t>IF(OR(E169="",AJ169=""),"",IF(COUNT(AG169:AI169)=0,"",AJ169-LOOKUP(2,1/(AG169:AI169&lt;&gt;""),AG169:AI169)))</t>
        </is>
      </c>
      <c r="AX169" s="38" t="inlineStr">
        <is>
          <t>IF(OR(E169="",AK169=""),"",IF(COUNT(AG169:AJ169)=0,"",AK169-LOOKUP(2,1/(AG169:AJ169&lt;&gt;""),AG169:AJ169)))</t>
        </is>
      </c>
      <c r="AY169" s="38" t="inlineStr">
        <is>
          <t>IF(OR(E169="",AL169=""),"",IF(COUNT(AG169:AK169)=0,"",AL169-LOOKUP(2,1/(AG169:AK169&lt;&gt;""),AG169:AK169)))</t>
        </is>
      </c>
      <c r="AZ169" s="38" t="inlineStr">
        <is>
          <t>IF(OR(E169="",AM169=""),"",IF(COUNT(AG169:AL169)=0,"",AM169-LOOKUP(2,1/(AG169:AL169&lt;&gt;""),AG169:AL169)))</t>
        </is>
      </c>
      <c r="BA169" s="38" t="inlineStr">
        <is>
          <t>IF(OR(E169="",AN169=""),"",IF(COUNT(AG169:AM169)=0,"",AN169-LOOKUP(2,1/(AG169:AM169&lt;&gt;""),AG169:AM169)))</t>
        </is>
      </c>
      <c r="BB169" s="38" t="inlineStr">
        <is>
          <t>IF(OR(E169="",AO169=""),"",IF(COUNT(AG169:AN169)=0,"",AO169-LOOKUP(2,1/(AG169:AN169&lt;&gt;""),AG169:AN169)))</t>
        </is>
      </c>
      <c r="BC169" s="38" t="inlineStr">
        <is>
          <t>IF(OR(E169="",AP169=""),"",IF(COUNT(AG169:AO169)=0,"",AP169-LOOKUP(2,1/(AG169:AO169&lt;&gt;""),AG169:AO169)))</t>
        </is>
      </c>
      <c r="BD169" s="38" t="inlineStr">
        <is>
          <t>IF(OR(E169="",AQ169=""),"",IF(COUNT(AG169:AP169)=0,"",AQ169-LOOKUP(2,1/(AG169:AP169&lt;&gt;""),AG169:AP169)))</t>
        </is>
      </c>
      <c r="BE169" s="38" t="inlineStr">
        <is>
          <t>IF(OR(E169="",AR169=""),"",IF(COUNT(AG169:AQ169)=0,"",AR169-LOOKUP(2,1/(AG169:AQ169&lt;&gt;""),AG169:AQ169)))</t>
        </is>
      </c>
      <c r="BF169" s="38" t="inlineStr">
        <is>
          <t>IF(OR(E169="",AS169=""),"",IF(COUNT(AG169:AR169)=0,"",AS169-LOOKUP(2,1/(AG169:AR169&lt;&gt;""),AG169:AR169)))</t>
        </is>
      </c>
      <c r="BG169" s="38" t="inlineStr">
        <is>
          <t>IF(OR(E169="",AT169=""),"",IF(COUNT(AG169:AS169)=0,"",AT169-LOOKUP(2,1/(AG169:AS169&lt;&gt;""),AG169:AS169)))</t>
        </is>
      </c>
      <c r="BH169" s="41" t="inlineStr">
        <is>
          <t>IF(G169="","All_Provinces",IFERROR(VLOOKUP(G169,'07_Lookups'!$A$4:$B$20,2,FALSE),"All_Provinces"))</t>
        </is>
      </c>
      <c r="BI169" s="41" t="inlineStr">
        <is>
          <t>IF(H169="","All_Districts",IFERROR(VLOOKUP(H169,'07_Lookups'!$E$4:$F$42,2,FALSE),"All_Districts"))</t>
        </is>
      </c>
    </row>
    <row r="170" ht="18" customHeight="1">
      <c r="A170" s="32" t="inlineStr">
        <is>
          <t>IF(E170="","",ROW()-3)</t>
        </is>
      </c>
      <c r="B170" s="33" t="inlineStr">
        <is>
          <t>AF2-DIS-R-007</t>
        </is>
      </c>
      <c r="C170" s="33" t="inlineStr">
        <is>
          <t>Emergency Food Security Project (EFSP) – WBK/AF-2</t>
        </is>
      </c>
      <c r="D170" s="3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70" s="33" t="inlineStr">
        <is>
          <t>Shadeh Sofla Drip Irrigation Scheme</t>
        </is>
      </c>
      <c r="F170" s="33" t="inlineStr">
        <is>
          <t>Drip Irrigation</t>
        </is>
      </c>
      <c r="G170" s="33" t="inlineStr">
        <is>
          <t>West / Herat</t>
        </is>
      </c>
      <c r="H170" s="33" t="inlineStr">
        <is>
          <t>Herat</t>
        </is>
      </c>
      <c r="I170" s="33" t="inlineStr">
        <is>
          <t>Zinda Jan</t>
        </is>
      </c>
      <c r="J170" s="33" t="inlineStr">
        <is>
          <t>Shadeh Sofla</t>
        </is>
      </c>
      <c r="K170" s="33" t="inlineStr">
        <is>
          <t>World Bank (WBK/AF-2)</t>
        </is>
      </c>
      <c r="L170" s="33" t="inlineStr">
        <is>
          <t>Remaining</t>
        </is>
      </c>
      <c r="M170" s="33" t="inlineStr">
        <is>
          <t>Drip irrigation</t>
        </is>
      </c>
      <c r="N170" s="33" t="inlineStr">
        <is>
          <t>5. Drip Irrigation systems</t>
        </is>
      </c>
      <c r="O170" s="33" t="inlineStr">
        <is>
          <t>Ahmad Zia</t>
        </is>
      </c>
      <c r="P170" s="33" t="inlineStr"/>
      <c r="Q170" s="34" t="n">
        <v>6495.85</v>
      </c>
      <c r="R170" s="35" t="inlineStr">
        <is>
          <t>IF(AO170="","",AO170)</t>
        </is>
      </c>
      <c r="S170" s="36" t="n">
        <v>46361</v>
      </c>
      <c r="T170" s="37" t="n">
        <v>5.8</v>
      </c>
      <c r="U170" s="36" t="n">
        <v>46537</v>
      </c>
      <c r="V170" s="35" t="inlineStr">
        <is>
          <t>IF(U170&lt;&gt;"",U170,IF(OR(R170="",T170=""),"",EDATE(R170,T170)))</t>
        </is>
      </c>
      <c r="W170" s="36" t="n"/>
      <c r="X170" s="37" t="n"/>
      <c r="Y170" s="33" t="inlineStr">
        <is>
          <t>Retendered (Re-ITB)</t>
        </is>
      </c>
      <c r="Z170" s="33" t="inlineStr">
        <is>
          <t>Work starting from March 2026. A total of 90 days for completion Slack period until end February 2026. | Farmer: Ahmad Zia</t>
        </is>
      </c>
      <c r="AA170" s="32" t="inlineStr">
        <is>
          <t>IF(E170="","",IF(COUNT(AG170:AT170)=0,IF(Y170="","Not started",Y170),SUBSTITUTE(LOOKUP(2,1/(AG170:AT170&lt;&gt;""),$AG$3:$AT$3),"Date: ","")))</t>
        </is>
      </c>
      <c r="AB170" s="38" t="inlineStr">
        <is>
          <t>IF(OR(E170="",COUNT(AG170:AT170)=0),"",TODAY()-LOOKUP(2,1/(AG170:AT170&lt;&gt;""),AG170:AT170))</t>
        </is>
      </c>
      <c r="AC170" s="38" t="inlineStr">
        <is>
          <t>IF(OR(E170="",COUNT(AG170:AT170)&lt;2),"",LOOKUP(2,1/(AG170:AT170&lt;&gt;""),AG170:AT170)-MIN(AG170:AT170))</t>
        </is>
      </c>
      <c r="AD170" s="38" t="inlineStr">
        <is>
          <t>IF(OR(AB170="",AA170="Not started",AA170=""),"",IFERROR(AB170-IF(VLOOKUP(AA170,'04_Status_Pipeline'!$B$3:$E$20,4,FALSE)="",0,VLOOKUP(AA170,'04_Status_Pipeline'!$B$3:$E$20,4,FALSE)),""))</t>
        </is>
      </c>
      <c r="AE170" s="32" t="inlineStr">
        <is>
          <t>IF(E170="","",IF(OR(Y170="Cancelled",AA170="Cancelled"),"Cancelled",IF(OR(AA170="Completed / Handover",W170&lt;&gt;"",X170&gt;=100),"Completed — on track",IF(L170="Remaining",IF(S170="",IF(V170="","No planned date",IF(TODAY()&gt;V170,"Behind — past planned date",IF(V170-TODAY()&lt;=30,"At risk — close to off track","On track"))),IF(TODAY()&gt;S170,"Behind — award date passed",IF(S170-TODAY()&lt;=30,"At risk — close to off track","On track"))),IF(V170="","No planned date",IF(AND(TODAY()&gt;V170,OR(X170="",X170&lt;100)),"Behind — past end date",IF(AND(R170&lt;&gt;"",V170&lt;&gt;"",X170&lt;&gt;"",(X170&lt;100),((TODAY()-R170)/MAX(V170-R170,1)*100)-X170&gt;15),"Behind — progress lag",IF(AND(V170-TODAY()&lt;=30,V170-TODAY()&gt;=0,OR(X170="",X170&lt;90)),"At risk — close to off track","On track"))))))))</t>
        </is>
      </c>
      <c r="AF170" s="38" t="inlineStr">
        <is>
          <t>IF(OR(E170="",AA170="Completed / Handover",AA170="Cancelled"),"",IF(L170="Remaining",IF(S170&lt;&gt;"",S170-TODAY(),IF(V170="","",V170-TODAY())),IF(V170="","",V170-TODAY())))</t>
        </is>
      </c>
      <c r="AG170" s="36" t="n"/>
      <c r="AH170" s="36" t="n"/>
      <c r="AI170" s="36" t="n"/>
      <c r="AJ170" s="36" t="n"/>
      <c r="AK170" s="36" t="n"/>
      <c r="AL170" s="36" t="n"/>
      <c r="AM170" s="36" t="n"/>
      <c r="AN170" s="36" t="n"/>
      <c r="AO170" s="36" t="n"/>
      <c r="AP170" s="36" t="n"/>
      <c r="AQ170" s="36" t="n"/>
      <c r="AR170" s="40" t="n"/>
      <c r="AS170" s="40" t="n"/>
      <c r="AT170" s="40" t="n"/>
      <c r="AU170" s="38" t="inlineStr">
        <is>
          <t>IF(OR(E170="",AH170=""),"",IF(COUNT(AG170:AG170)=0,"",AH170-LOOKUP(2,1/(AG170:AG170&lt;&gt;""),AG170:AG170)))</t>
        </is>
      </c>
      <c r="AV170" s="38" t="inlineStr">
        <is>
          <t>IF(OR(E170="",AI170=""),"",IF(COUNT(AG170:AH170)=0,"",AI170-LOOKUP(2,1/(AG170:AH170&lt;&gt;""),AG170:AH170)))</t>
        </is>
      </c>
      <c r="AW170" s="38" t="inlineStr">
        <is>
          <t>IF(OR(E170="",AJ170=""),"",IF(COUNT(AG170:AI170)=0,"",AJ170-LOOKUP(2,1/(AG170:AI170&lt;&gt;""),AG170:AI170)))</t>
        </is>
      </c>
      <c r="AX170" s="38" t="inlineStr">
        <is>
          <t>IF(OR(E170="",AK170=""),"",IF(COUNT(AG170:AJ170)=0,"",AK170-LOOKUP(2,1/(AG170:AJ170&lt;&gt;""),AG170:AJ170)))</t>
        </is>
      </c>
      <c r="AY170" s="38" t="inlineStr">
        <is>
          <t>IF(OR(E170="",AL170=""),"",IF(COUNT(AG170:AK170)=0,"",AL170-LOOKUP(2,1/(AG170:AK170&lt;&gt;""),AG170:AK170)))</t>
        </is>
      </c>
      <c r="AZ170" s="38" t="inlineStr">
        <is>
          <t>IF(OR(E170="",AM170=""),"",IF(COUNT(AG170:AL170)=0,"",AM170-LOOKUP(2,1/(AG170:AL170&lt;&gt;""),AG170:AL170)))</t>
        </is>
      </c>
      <c r="BA170" s="38" t="inlineStr">
        <is>
          <t>IF(OR(E170="",AN170=""),"",IF(COUNT(AG170:AM170)=0,"",AN170-LOOKUP(2,1/(AG170:AM170&lt;&gt;""),AG170:AM170)))</t>
        </is>
      </c>
      <c r="BB170" s="38" t="inlineStr">
        <is>
          <t>IF(OR(E170="",AO170=""),"",IF(COUNT(AG170:AN170)=0,"",AO170-LOOKUP(2,1/(AG170:AN170&lt;&gt;""),AG170:AN170)))</t>
        </is>
      </c>
      <c r="BC170" s="38" t="inlineStr">
        <is>
          <t>IF(OR(E170="",AP170=""),"",IF(COUNT(AG170:AO170)=0,"",AP170-LOOKUP(2,1/(AG170:AO170&lt;&gt;""),AG170:AO170)))</t>
        </is>
      </c>
      <c r="BD170" s="38" t="inlineStr">
        <is>
          <t>IF(OR(E170="",AQ170=""),"",IF(COUNT(AG170:AP170)=0,"",AQ170-LOOKUP(2,1/(AG170:AP170&lt;&gt;""),AG170:AP170)))</t>
        </is>
      </c>
      <c r="BE170" s="38" t="inlineStr">
        <is>
          <t>IF(OR(E170="",AR170=""),"",IF(COUNT(AG170:AQ170)=0,"",AR170-LOOKUP(2,1/(AG170:AQ170&lt;&gt;""),AG170:AQ170)))</t>
        </is>
      </c>
      <c r="BF170" s="38" t="inlineStr">
        <is>
          <t>IF(OR(E170="",AS170=""),"",IF(COUNT(AG170:AR170)=0,"",AS170-LOOKUP(2,1/(AG170:AR170&lt;&gt;""),AG170:AR170)))</t>
        </is>
      </c>
      <c r="BG170" s="38" t="inlineStr">
        <is>
          <t>IF(OR(E170="",AT170=""),"",IF(COUNT(AG170:AS170)=0,"",AT170-LOOKUP(2,1/(AG170:AS170&lt;&gt;""),AG170:AS170)))</t>
        </is>
      </c>
      <c r="BH170" s="41" t="inlineStr">
        <is>
          <t>IF(G170="","All_Provinces",IFERROR(VLOOKUP(G170,'07_Lookups'!$A$4:$B$20,2,FALSE),"All_Provinces"))</t>
        </is>
      </c>
      <c r="BI170" s="41" t="inlineStr">
        <is>
          <t>IF(H170="","All_Districts",IFERROR(VLOOKUP(H170,'07_Lookups'!$E$4:$F$42,2,FALSE),"All_Districts"))</t>
        </is>
      </c>
    </row>
    <row r="171" ht="18" customHeight="1">
      <c r="A171" s="32" t="inlineStr">
        <is>
          <t>IF(E171="","",ROW()-3)</t>
        </is>
      </c>
      <c r="B171" s="42" t="inlineStr">
        <is>
          <t>AF2-DIS-R-008</t>
        </is>
      </c>
      <c r="C171" s="42" t="inlineStr">
        <is>
          <t>Emergency Food Security Project (EFSP) – WBK/AF-2</t>
        </is>
      </c>
      <c r="D171" s="42" t="inlineStr">
        <is>
          <t>Package #1.B-WBK/AF2 DIS: Demonstration 7 Drip irrigation schemes of 1. Doormishi, 2. Khodrawan, 3. Karez Naw, 4.Koklam Olia, 5. Koklam Sofla, 6 Joi Sultani and 7. Kushk Kohna in Kushk Rabat Sangi and Kushk e Kohna Districts of Herat Province.</t>
        </is>
      </c>
      <c r="E171" s="42" t="inlineStr">
        <is>
          <t>Doormishi Drip Irrigation Scheme</t>
        </is>
      </c>
      <c r="F171" s="42" t="inlineStr">
        <is>
          <t>Drip Irrigation</t>
        </is>
      </c>
      <c r="G171" s="42" t="inlineStr">
        <is>
          <t>West / Herat</t>
        </is>
      </c>
      <c r="H171" s="42" t="inlineStr">
        <is>
          <t>Herat</t>
        </is>
      </c>
      <c r="I171" s="42" t="inlineStr">
        <is>
          <t>Kushk e Rabat Sangi</t>
        </is>
      </c>
      <c r="J171" s="42" t="inlineStr">
        <is>
          <t>Dormishi</t>
        </is>
      </c>
      <c r="K171" s="42" t="inlineStr">
        <is>
          <t>World Bank (WBK/AF-2)</t>
        </is>
      </c>
      <c r="L171" s="42" t="inlineStr">
        <is>
          <t>Remaining</t>
        </is>
      </c>
      <c r="M171" s="42" t="inlineStr">
        <is>
          <t>Drip irrigation</t>
        </is>
      </c>
      <c r="N171" s="42" t="inlineStr">
        <is>
          <t>5. Drip Irrigation systems</t>
        </is>
      </c>
      <c r="O171" s="42" t="inlineStr">
        <is>
          <t>Abdul Qayum</t>
        </is>
      </c>
      <c r="P171" s="42" t="inlineStr"/>
      <c r="Q171" s="43" t="n">
        <v>6771.4</v>
      </c>
      <c r="R171" s="35" t="inlineStr">
        <is>
          <t>IF(AO171="","",AO171)</t>
        </is>
      </c>
      <c r="S171" s="44" t="n">
        <v>46371</v>
      </c>
      <c r="T171" s="45" t="n">
        <v>4.4</v>
      </c>
      <c r="U171" s="44" t="n">
        <v>46506</v>
      </c>
      <c r="V171" s="35" t="inlineStr">
        <is>
          <t>IF(U171&lt;&gt;"",U171,IF(OR(R171="",T171=""),"",EDATE(R171,T171)))</t>
        </is>
      </c>
      <c r="W171" s="44" t="n"/>
      <c r="X171" s="45" t="n"/>
      <c r="Y171" s="42" t="inlineStr">
        <is>
          <t>Retendered (Re-ITB)</t>
        </is>
      </c>
      <c r="Z171" s="42" t="inlineStr">
        <is>
          <t>Work starting from March 2026. A total of 90 days for completion Slack period until end February 2026. | Farmer: Abdul Qayum</t>
        </is>
      </c>
      <c r="AA171" s="32" t="inlineStr">
        <is>
          <t>IF(E171="","",IF(COUNT(AG171:AT171)=0,IF(Y171="","Not started",Y171),SUBSTITUTE(LOOKUP(2,1/(AG171:AT171&lt;&gt;""),$AG$3:$AT$3),"Date: ","")))</t>
        </is>
      </c>
      <c r="AB171" s="38" t="inlineStr">
        <is>
          <t>IF(OR(E171="",COUNT(AG171:AT171)=0),"",TODAY()-LOOKUP(2,1/(AG171:AT171&lt;&gt;""),AG171:AT171))</t>
        </is>
      </c>
      <c r="AC171" s="38" t="inlineStr">
        <is>
          <t>IF(OR(E171="",COUNT(AG171:AT171)&lt;2),"",LOOKUP(2,1/(AG171:AT171&lt;&gt;""),AG171:AT171)-MIN(AG171:AT171))</t>
        </is>
      </c>
      <c r="AD171" s="38" t="inlineStr">
        <is>
          <t>IF(OR(AB171="",AA171="Not started",AA171=""),"",IFERROR(AB171-IF(VLOOKUP(AA171,'04_Status_Pipeline'!$B$3:$E$20,4,FALSE)="",0,VLOOKUP(AA171,'04_Status_Pipeline'!$B$3:$E$20,4,FALSE)),""))</t>
        </is>
      </c>
      <c r="AE171" s="32" t="inlineStr">
        <is>
          <t>IF(E171="","",IF(OR(Y171="Cancelled",AA171="Cancelled"),"Cancelled",IF(OR(AA171="Completed / Handover",W171&lt;&gt;"",X171&gt;=100),"Completed — on track",IF(L171="Remaining",IF(S171="",IF(V171="","No planned date",IF(TODAY()&gt;V171,"Behind — past planned date",IF(V171-TODAY()&lt;=30,"At risk — close to off track","On track"))),IF(TODAY()&gt;S171,"Behind — award date passed",IF(S171-TODAY()&lt;=30,"At risk — close to off track","On track"))),IF(V171="","No planned date",IF(AND(TODAY()&gt;V171,OR(X171="",X171&lt;100)),"Behind — past end date",IF(AND(R171&lt;&gt;"",V171&lt;&gt;"",X171&lt;&gt;"",(X171&lt;100),((TODAY()-R171)/MAX(V171-R171,1)*100)-X171&gt;15),"Behind — progress lag",IF(AND(V171-TODAY()&lt;=30,V171-TODAY()&gt;=0,OR(X171="",X171&lt;90)),"At risk — close to off track","On track"))))))))</t>
        </is>
      </c>
      <c r="AF171" s="38" t="inlineStr">
        <is>
          <t>IF(OR(E171="",AA171="Completed / Handover",AA171="Cancelled"),"",IF(L171="Remaining",IF(S171&lt;&gt;"",S171-TODAY(),IF(V171="","",V171-TODAY())),IF(V171="","",V171-TODAY())))</t>
        </is>
      </c>
      <c r="AG171" s="44" t="n"/>
      <c r="AH171" s="44" t="n"/>
      <c r="AI171" s="44" t="n"/>
      <c r="AJ171" s="44" t="n"/>
      <c r="AK171" s="44" t="n"/>
      <c r="AL171" s="44" t="n"/>
      <c r="AM171" s="44" t="n"/>
      <c r="AN171" s="44" t="n"/>
      <c r="AO171" s="44" t="n"/>
      <c r="AP171" s="44" t="n"/>
      <c r="AQ171" s="44" t="n"/>
      <c r="AR171" s="40" t="n"/>
      <c r="AS171" s="40" t="n"/>
      <c r="AT171" s="40" t="n"/>
      <c r="AU171" s="38" t="inlineStr">
        <is>
          <t>IF(OR(E171="",AH171=""),"",IF(COUNT(AG171:AG171)=0,"",AH171-LOOKUP(2,1/(AG171:AG171&lt;&gt;""),AG171:AG171)))</t>
        </is>
      </c>
      <c r="AV171" s="38" t="inlineStr">
        <is>
          <t>IF(OR(E171="",AI171=""),"",IF(COUNT(AG171:AH171)=0,"",AI171-LOOKUP(2,1/(AG171:AH171&lt;&gt;""),AG171:AH171)))</t>
        </is>
      </c>
      <c r="AW171" s="38" t="inlineStr">
        <is>
          <t>IF(OR(E171="",AJ171=""),"",IF(COUNT(AG171:AI171)=0,"",AJ171-LOOKUP(2,1/(AG171:AI171&lt;&gt;""),AG171:AI171)))</t>
        </is>
      </c>
      <c r="AX171" s="38" t="inlineStr">
        <is>
          <t>IF(OR(E171="",AK171=""),"",IF(COUNT(AG171:AJ171)=0,"",AK171-LOOKUP(2,1/(AG171:AJ171&lt;&gt;""),AG171:AJ171)))</t>
        </is>
      </c>
      <c r="AY171" s="38" t="inlineStr">
        <is>
          <t>IF(OR(E171="",AL171=""),"",IF(COUNT(AG171:AK171)=0,"",AL171-LOOKUP(2,1/(AG171:AK171&lt;&gt;""),AG171:AK171)))</t>
        </is>
      </c>
      <c r="AZ171" s="38" t="inlineStr">
        <is>
          <t>IF(OR(E171="",AM171=""),"",IF(COUNT(AG171:AL171)=0,"",AM171-LOOKUP(2,1/(AG171:AL171&lt;&gt;""),AG171:AL171)))</t>
        </is>
      </c>
      <c r="BA171" s="38" t="inlineStr">
        <is>
          <t>IF(OR(E171="",AN171=""),"",IF(COUNT(AG171:AM171)=0,"",AN171-LOOKUP(2,1/(AG171:AM171&lt;&gt;""),AG171:AM171)))</t>
        </is>
      </c>
      <c r="BB171" s="38" t="inlineStr">
        <is>
          <t>IF(OR(E171="",AO171=""),"",IF(COUNT(AG171:AN171)=0,"",AO171-LOOKUP(2,1/(AG171:AN171&lt;&gt;""),AG171:AN171)))</t>
        </is>
      </c>
      <c r="BC171" s="38" t="inlineStr">
        <is>
          <t>IF(OR(E171="",AP171=""),"",IF(COUNT(AG171:AO171)=0,"",AP171-LOOKUP(2,1/(AG171:AO171&lt;&gt;""),AG171:AO171)))</t>
        </is>
      </c>
      <c r="BD171" s="38" t="inlineStr">
        <is>
          <t>IF(OR(E171="",AQ171=""),"",IF(COUNT(AG171:AP171)=0,"",AQ171-LOOKUP(2,1/(AG171:AP171&lt;&gt;""),AG171:AP171)))</t>
        </is>
      </c>
      <c r="BE171" s="38" t="inlineStr">
        <is>
          <t>IF(OR(E171="",AR171=""),"",IF(COUNT(AG171:AQ171)=0,"",AR171-LOOKUP(2,1/(AG171:AQ171&lt;&gt;""),AG171:AQ171)))</t>
        </is>
      </c>
      <c r="BF171" s="38" t="inlineStr">
        <is>
          <t>IF(OR(E171="",AS171=""),"",IF(COUNT(AG171:AR171)=0,"",AS171-LOOKUP(2,1/(AG171:AR171&lt;&gt;""),AG171:AR171)))</t>
        </is>
      </c>
      <c r="BG171" s="38" t="inlineStr">
        <is>
          <t>IF(OR(E171="",AT171=""),"",IF(COUNT(AG171:AS171)=0,"",AT171-LOOKUP(2,1/(AG171:AS171&lt;&gt;""),AG171:AS171)))</t>
        </is>
      </c>
      <c r="BH171" s="41" t="inlineStr">
        <is>
          <t>IF(G171="","All_Provinces",IFERROR(VLOOKUP(G171,'07_Lookups'!$A$4:$B$20,2,FALSE),"All_Provinces"))</t>
        </is>
      </c>
      <c r="BI171" s="41" t="inlineStr">
        <is>
          <t>IF(H171="","All_Districts",IFERROR(VLOOKUP(H171,'07_Lookups'!$E$4:$F$42,2,FALSE),"All_Districts"))</t>
        </is>
      </c>
    </row>
    <row r="172" ht="18" customHeight="1">
      <c r="A172" s="32" t="inlineStr">
        <is>
          <t>IF(E172="","",ROW()-3)</t>
        </is>
      </c>
      <c r="B172" s="33" t="inlineStr">
        <is>
          <t>AF2-DIS-R-009</t>
        </is>
      </c>
      <c r="C172" s="33" t="inlineStr">
        <is>
          <t>Emergency Food Security Project (EFSP) – WBK/AF-2</t>
        </is>
      </c>
      <c r="D172" s="33" t="inlineStr">
        <is>
          <t>Package #1.B-WBK/AF2 DIS: Demonstration 7 Drip irrigation schemes of 1. Doormishi, 2. Khodrawan, 3. Karez Naw, 4.Koklam Olia, 5. Koklam Sofla, 6 Joi Sultani and 7. Kushk Kohna in Kushk Rabat Sangi and Kushk e Kohna Districts of Herat Province.</t>
        </is>
      </c>
      <c r="E172" s="33" t="inlineStr">
        <is>
          <t>Khodrawan Drip Irrigation schemes</t>
        </is>
      </c>
      <c r="F172" s="33" t="inlineStr">
        <is>
          <t>Drip Irrigation</t>
        </is>
      </c>
      <c r="G172" s="33" t="inlineStr">
        <is>
          <t>West / Herat</t>
        </is>
      </c>
      <c r="H172" s="33" t="inlineStr">
        <is>
          <t>Herat</t>
        </is>
      </c>
      <c r="I172" s="33" t="inlineStr">
        <is>
          <t>Kushk e Rabat Sangi</t>
        </is>
      </c>
      <c r="J172" s="33" t="inlineStr">
        <is>
          <t>Khodrawan</t>
        </is>
      </c>
      <c r="K172" s="33" t="inlineStr">
        <is>
          <t>World Bank (WBK/AF-2)</t>
        </is>
      </c>
      <c r="L172" s="33" t="inlineStr">
        <is>
          <t>Remaining</t>
        </is>
      </c>
      <c r="M172" s="33" t="inlineStr">
        <is>
          <t>Drip irrigation</t>
        </is>
      </c>
      <c r="N172" s="33" t="inlineStr">
        <is>
          <t>5. Drip Irrigation systems</t>
        </is>
      </c>
      <c r="O172" s="33" t="inlineStr">
        <is>
          <t>Sadullah</t>
        </is>
      </c>
      <c r="P172" s="33" t="inlineStr"/>
      <c r="Q172" s="34" t="n">
        <v>8259.969999999999</v>
      </c>
      <c r="R172" s="35" t="inlineStr">
        <is>
          <t>IF(AO172="","",AO172)</t>
        </is>
      </c>
      <c r="S172" s="36" t="n">
        <v>46371</v>
      </c>
      <c r="T172" s="37" t="n">
        <v>4.4</v>
      </c>
      <c r="U172" s="36" t="n">
        <v>46506</v>
      </c>
      <c r="V172" s="35" t="inlineStr">
        <is>
          <t>IF(U172&lt;&gt;"",U172,IF(OR(R172="",T172=""),"",EDATE(R172,T172)))</t>
        </is>
      </c>
      <c r="W172" s="36" t="n"/>
      <c r="X172" s="37" t="n"/>
      <c r="Y172" s="33" t="inlineStr">
        <is>
          <t>Retendered (Re-ITB)</t>
        </is>
      </c>
      <c r="Z172" s="33" t="inlineStr">
        <is>
          <t>Work starting from March 2026. A total of 90 days for completion Slack period until end February 2026. | Farmer: Sadullah</t>
        </is>
      </c>
      <c r="AA172" s="32" t="inlineStr">
        <is>
          <t>IF(E172="","",IF(COUNT(AG172:AT172)=0,IF(Y172="","Not started",Y172),SUBSTITUTE(LOOKUP(2,1/(AG172:AT172&lt;&gt;""),$AG$3:$AT$3),"Date: ","")))</t>
        </is>
      </c>
      <c r="AB172" s="38" t="inlineStr">
        <is>
          <t>IF(OR(E172="",COUNT(AG172:AT172)=0),"",TODAY()-LOOKUP(2,1/(AG172:AT172&lt;&gt;""),AG172:AT172))</t>
        </is>
      </c>
      <c r="AC172" s="38" t="inlineStr">
        <is>
          <t>IF(OR(E172="",COUNT(AG172:AT172)&lt;2),"",LOOKUP(2,1/(AG172:AT172&lt;&gt;""),AG172:AT172)-MIN(AG172:AT172))</t>
        </is>
      </c>
      <c r="AD172" s="38" t="inlineStr">
        <is>
          <t>IF(OR(AB172="",AA172="Not started",AA172=""),"",IFERROR(AB172-IF(VLOOKUP(AA172,'04_Status_Pipeline'!$B$3:$E$20,4,FALSE)="",0,VLOOKUP(AA172,'04_Status_Pipeline'!$B$3:$E$20,4,FALSE)),""))</t>
        </is>
      </c>
      <c r="AE172" s="32" t="inlineStr">
        <is>
          <t>IF(E172="","",IF(OR(Y172="Cancelled",AA172="Cancelled"),"Cancelled",IF(OR(AA172="Completed / Handover",W172&lt;&gt;"",X172&gt;=100),"Completed — on track",IF(L172="Remaining",IF(S172="",IF(V172="","No planned date",IF(TODAY()&gt;V172,"Behind — past planned date",IF(V172-TODAY()&lt;=30,"At risk — close to off track","On track"))),IF(TODAY()&gt;S172,"Behind — award date passed",IF(S172-TODAY()&lt;=30,"At risk — close to off track","On track"))),IF(V172="","No planned date",IF(AND(TODAY()&gt;V172,OR(X172="",X172&lt;100)),"Behind — past end date",IF(AND(R172&lt;&gt;"",V172&lt;&gt;"",X172&lt;&gt;"",(X172&lt;100),((TODAY()-R172)/MAX(V172-R172,1)*100)-X172&gt;15),"Behind — progress lag",IF(AND(V172-TODAY()&lt;=30,V172-TODAY()&gt;=0,OR(X172="",X172&lt;90)),"At risk — close to off track","On track"))))))))</t>
        </is>
      </c>
      <c r="AF172" s="38" t="inlineStr">
        <is>
          <t>IF(OR(E172="",AA172="Completed / Handover",AA172="Cancelled"),"",IF(L172="Remaining",IF(S172&lt;&gt;"",S172-TODAY(),IF(V172="","",V172-TODAY())),IF(V172="","",V172-TODAY())))</t>
        </is>
      </c>
      <c r="AG172" s="36" t="n"/>
      <c r="AH172" s="36" t="n"/>
      <c r="AI172" s="36" t="n"/>
      <c r="AJ172" s="36" t="n"/>
      <c r="AK172" s="36" t="n"/>
      <c r="AL172" s="36" t="n"/>
      <c r="AM172" s="36" t="n"/>
      <c r="AN172" s="36" t="n"/>
      <c r="AO172" s="36" t="n"/>
      <c r="AP172" s="36" t="n"/>
      <c r="AQ172" s="36" t="n"/>
      <c r="AR172" s="40" t="n"/>
      <c r="AS172" s="40" t="n"/>
      <c r="AT172" s="40" t="n"/>
      <c r="AU172" s="38" t="inlineStr">
        <is>
          <t>IF(OR(E172="",AH172=""),"",IF(COUNT(AG172:AG172)=0,"",AH172-LOOKUP(2,1/(AG172:AG172&lt;&gt;""),AG172:AG172)))</t>
        </is>
      </c>
      <c r="AV172" s="38" t="inlineStr">
        <is>
          <t>IF(OR(E172="",AI172=""),"",IF(COUNT(AG172:AH172)=0,"",AI172-LOOKUP(2,1/(AG172:AH172&lt;&gt;""),AG172:AH172)))</t>
        </is>
      </c>
      <c r="AW172" s="38" t="inlineStr">
        <is>
          <t>IF(OR(E172="",AJ172=""),"",IF(COUNT(AG172:AI172)=0,"",AJ172-LOOKUP(2,1/(AG172:AI172&lt;&gt;""),AG172:AI172)))</t>
        </is>
      </c>
      <c r="AX172" s="38" t="inlineStr">
        <is>
          <t>IF(OR(E172="",AK172=""),"",IF(COUNT(AG172:AJ172)=0,"",AK172-LOOKUP(2,1/(AG172:AJ172&lt;&gt;""),AG172:AJ172)))</t>
        </is>
      </c>
      <c r="AY172" s="38" t="inlineStr">
        <is>
          <t>IF(OR(E172="",AL172=""),"",IF(COUNT(AG172:AK172)=0,"",AL172-LOOKUP(2,1/(AG172:AK172&lt;&gt;""),AG172:AK172)))</t>
        </is>
      </c>
      <c r="AZ172" s="38" t="inlineStr">
        <is>
          <t>IF(OR(E172="",AM172=""),"",IF(COUNT(AG172:AL172)=0,"",AM172-LOOKUP(2,1/(AG172:AL172&lt;&gt;""),AG172:AL172)))</t>
        </is>
      </c>
      <c r="BA172" s="38" t="inlineStr">
        <is>
          <t>IF(OR(E172="",AN172=""),"",IF(COUNT(AG172:AM172)=0,"",AN172-LOOKUP(2,1/(AG172:AM172&lt;&gt;""),AG172:AM172)))</t>
        </is>
      </c>
      <c r="BB172" s="38" t="inlineStr">
        <is>
          <t>IF(OR(E172="",AO172=""),"",IF(COUNT(AG172:AN172)=0,"",AO172-LOOKUP(2,1/(AG172:AN172&lt;&gt;""),AG172:AN172)))</t>
        </is>
      </c>
      <c r="BC172" s="38" t="inlineStr">
        <is>
          <t>IF(OR(E172="",AP172=""),"",IF(COUNT(AG172:AO172)=0,"",AP172-LOOKUP(2,1/(AG172:AO172&lt;&gt;""),AG172:AO172)))</t>
        </is>
      </c>
      <c r="BD172" s="38" t="inlineStr">
        <is>
          <t>IF(OR(E172="",AQ172=""),"",IF(COUNT(AG172:AP172)=0,"",AQ172-LOOKUP(2,1/(AG172:AP172&lt;&gt;""),AG172:AP172)))</t>
        </is>
      </c>
      <c r="BE172" s="38" t="inlineStr">
        <is>
          <t>IF(OR(E172="",AR172=""),"",IF(COUNT(AG172:AQ172)=0,"",AR172-LOOKUP(2,1/(AG172:AQ172&lt;&gt;""),AG172:AQ172)))</t>
        </is>
      </c>
      <c r="BF172" s="38" t="inlineStr">
        <is>
          <t>IF(OR(E172="",AS172=""),"",IF(COUNT(AG172:AR172)=0,"",AS172-LOOKUP(2,1/(AG172:AR172&lt;&gt;""),AG172:AR172)))</t>
        </is>
      </c>
      <c r="BG172" s="38" t="inlineStr">
        <is>
          <t>IF(OR(E172="",AT172=""),"",IF(COUNT(AG172:AS172)=0,"",AT172-LOOKUP(2,1/(AG172:AS172&lt;&gt;""),AG172:AS172)))</t>
        </is>
      </c>
      <c r="BH172" s="41" t="inlineStr">
        <is>
          <t>IF(G172="","All_Provinces",IFERROR(VLOOKUP(G172,'07_Lookups'!$A$4:$B$20,2,FALSE),"All_Provinces"))</t>
        </is>
      </c>
      <c r="BI172" s="41" t="inlineStr">
        <is>
          <t>IF(H172="","All_Districts",IFERROR(VLOOKUP(H172,'07_Lookups'!$E$4:$F$42,2,FALSE),"All_Districts"))</t>
        </is>
      </c>
    </row>
    <row r="173" ht="18" customHeight="1">
      <c r="A173" s="32" t="inlineStr">
        <is>
          <t>IF(E173="","",ROW()-3)</t>
        </is>
      </c>
      <c r="B173" s="42" t="inlineStr">
        <is>
          <t>AF2-DIS-R-010</t>
        </is>
      </c>
      <c r="C173" s="42" t="inlineStr">
        <is>
          <t>Emergency Food Security Project (EFSP) – WBK/AF-2</t>
        </is>
      </c>
      <c r="D173" s="42" t="inlineStr">
        <is>
          <t>Package #1.B-WBK/AF2 DIS: Demonstration 7 Drip irrigation schemes of 1. Doormishi, 2. Khodrawan, 3. Karez Naw, 4.Koklam Olia, 5. Koklam Sofla, 6 Joi Sultani and 7. Kushk Kohna in Kushk Rabat Sangi and Kushk e Kohna Districts of Herat Province.</t>
        </is>
      </c>
      <c r="E173" s="42" t="inlineStr">
        <is>
          <t>Karez Naw Drip Irrigation schemes</t>
        </is>
      </c>
      <c r="F173" s="42" t="inlineStr">
        <is>
          <t>Drip Irrigation</t>
        </is>
      </c>
      <c r="G173" s="42" t="inlineStr">
        <is>
          <t>West / Herat</t>
        </is>
      </c>
      <c r="H173" s="42" t="inlineStr">
        <is>
          <t>Herat</t>
        </is>
      </c>
      <c r="I173" s="42" t="inlineStr">
        <is>
          <t>Kushk e Rabat Sangi</t>
        </is>
      </c>
      <c r="J173" s="42" t="inlineStr">
        <is>
          <t>Karez Naw</t>
        </is>
      </c>
      <c r="K173" s="42" t="inlineStr">
        <is>
          <t>World Bank (WBK/AF-2)</t>
        </is>
      </c>
      <c r="L173" s="42" t="inlineStr">
        <is>
          <t>Remaining</t>
        </is>
      </c>
      <c r="M173" s="42" t="inlineStr">
        <is>
          <t>Drip irrigation</t>
        </is>
      </c>
      <c r="N173" s="42" t="inlineStr">
        <is>
          <t>5. Drip Irrigation systems</t>
        </is>
      </c>
      <c r="O173" s="42" t="inlineStr">
        <is>
          <t>Ghulam Mahboob</t>
        </is>
      </c>
      <c r="P173" s="42" t="inlineStr"/>
      <c r="Q173" s="43" t="n">
        <v>8066.29</v>
      </c>
      <c r="R173" s="35" t="inlineStr">
        <is>
          <t>IF(AO173="","",AO173)</t>
        </is>
      </c>
      <c r="S173" s="44" t="n">
        <v>46371</v>
      </c>
      <c r="T173" s="45" t="n">
        <v>4.4</v>
      </c>
      <c r="U173" s="44" t="n">
        <v>46506</v>
      </c>
      <c r="V173" s="35" t="inlineStr">
        <is>
          <t>IF(U173&lt;&gt;"",U173,IF(OR(R173="",T173=""),"",EDATE(R173,T173)))</t>
        </is>
      </c>
      <c r="W173" s="44" t="n"/>
      <c r="X173" s="45" t="n"/>
      <c r="Y173" s="42" t="inlineStr">
        <is>
          <t>Retendered (Re-ITB)</t>
        </is>
      </c>
      <c r="Z173" s="42" t="inlineStr">
        <is>
          <t>Work starting from March 2026. A total of 90 days for completion Slack period until end February 2026. | Farmer: Ghulam Mahboob</t>
        </is>
      </c>
      <c r="AA173" s="32" t="inlineStr">
        <is>
          <t>IF(E173="","",IF(COUNT(AG173:AT173)=0,IF(Y173="","Not started",Y173),SUBSTITUTE(LOOKUP(2,1/(AG173:AT173&lt;&gt;""),$AG$3:$AT$3),"Date: ","")))</t>
        </is>
      </c>
      <c r="AB173" s="38" t="inlineStr">
        <is>
          <t>IF(OR(E173="",COUNT(AG173:AT173)=0),"",TODAY()-LOOKUP(2,1/(AG173:AT173&lt;&gt;""),AG173:AT173))</t>
        </is>
      </c>
      <c r="AC173" s="38" t="inlineStr">
        <is>
          <t>IF(OR(E173="",COUNT(AG173:AT173)&lt;2),"",LOOKUP(2,1/(AG173:AT173&lt;&gt;""),AG173:AT173)-MIN(AG173:AT173))</t>
        </is>
      </c>
      <c r="AD173" s="38" t="inlineStr">
        <is>
          <t>IF(OR(AB173="",AA173="Not started",AA173=""),"",IFERROR(AB173-IF(VLOOKUP(AA173,'04_Status_Pipeline'!$B$3:$E$20,4,FALSE)="",0,VLOOKUP(AA173,'04_Status_Pipeline'!$B$3:$E$20,4,FALSE)),""))</t>
        </is>
      </c>
      <c r="AE173" s="32" t="inlineStr">
        <is>
          <t>IF(E173="","",IF(OR(Y173="Cancelled",AA173="Cancelled"),"Cancelled",IF(OR(AA173="Completed / Handover",W173&lt;&gt;"",X173&gt;=100),"Completed — on track",IF(L173="Remaining",IF(S173="",IF(V173="","No planned date",IF(TODAY()&gt;V173,"Behind — past planned date",IF(V173-TODAY()&lt;=30,"At risk — close to off track","On track"))),IF(TODAY()&gt;S173,"Behind — award date passed",IF(S173-TODAY()&lt;=30,"At risk — close to off track","On track"))),IF(V173="","No planned date",IF(AND(TODAY()&gt;V173,OR(X173="",X173&lt;100)),"Behind — past end date",IF(AND(R173&lt;&gt;"",V173&lt;&gt;"",X173&lt;&gt;"",(X173&lt;100),((TODAY()-R173)/MAX(V173-R173,1)*100)-X173&gt;15),"Behind — progress lag",IF(AND(V173-TODAY()&lt;=30,V173-TODAY()&gt;=0,OR(X173="",X173&lt;90)),"At risk — close to off track","On track"))))))))</t>
        </is>
      </c>
      <c r="AF173" s="38" t="inlineStr">
        <is>
          <t>IF(OR(E173="",AA173="Completed / Handover",AA173="Cancelled"),"",IF(L173="Remaining",IF(S173&lt;&gt;"",S173-TODAY(),IF(V173="","",V173-TODAY())),IF(V173="","",V173-TODAY())))</t>
        </is>
      </c>
      <c r="AG173" s="44" t="n"/>
      <c r="AH173" s="44" t="n"/>
      <c r="AI173" s="44" t="n"/>
      <c r="AJ173" s="44" t="n"/>
      <c r="AK173" s="44" t="n"/>
      <c r="AL173" s="44" t="n"/>
      <c r="AM173" s="44" t="n"/>
      <c r="AN173" s="44" t="n"/>
      <c r="AO173" s="44" t="n"/>
      <c r="AP173" s="44" t="n"/>
      <c r="AQ173" s="44" t="n"/>
      <c r="AR173" s="40" t="n"/>
      <c r="AS173" s="40" t="n"/>
      <c r="AT173" s="40" t="n"/>
      <c r="AU173" s="38" t="inlineStr">
        <is>
          <t>IF(OR(E173="",AH173=""),"",IF(COUNT(AG173:AG173)=0,"",AH173-LOOKUP(2,1/(AG173:AG173&lt;&gt;""),AG173:AG173)))</t>
        </is>
      </c>
      <c r="AV173" s="38" t="inlineStr">
        <is>
          <t>IF(OR(E173="",AI173=""),"",IF(COUNT(AG173:AH173)=0,"",AI173-LOOKUP(2,1/(AG173:AH173&lt;&gt;""),AG173:AH173)))</t>
        </is>
      </c>
      <c r="AW173" s="38" t="inlineStr">
        <is>
          <t>IF(OR(E173="",AJ173=""),"",IF(COUNT(AG173:AI173)=0,"",AJ173-LOOKUP(2,1/(AG173:AI173&lt;&gt;""),AG173:AI173)))</t>
        </is>
      </c>
      <c r="AX173" s="38" t="inlineStr">
        <is>
          <t>IF(OR(E173="",AK173=""),"",IF(COUNT(AG173:AJ173)=0,"",AK173-LOOKUP(2,1/(AG173:AJ173&lt;&gt;""),AG173:AJ173)))</t>
        </is>
      </c>
      <c r="AY173" s="38" t="inlineStr">
        <is>
          <t>IF(OR(E173="",AL173=""),"",IF(COUNT(AG173:AK173)=0,"",AL173-LOOKUP(2,1/(AG173:AK173&lt;&gt;""),AG173:AK173)))</t>
        </is>
      </c>
      <c r="AZ173" s="38" t="inlineStr">
        <is>
          <t>IF(OR(E173="",AM173=""),"",IF(COUNT(AG173:AL173)=0,"",AM173-LOOKUP(2,1/(AG173:AL173&lt;&gt;""),AG173:AL173)))</t>
        </is>
      </c>
      <c r="BA173" s="38" t="inlineStr">
        <is>
          <t>IF(OR(E173="",AN173=""),"",IF(COUNT(AG173:AM173)=0,"",AN173-LOOKUP(2,1/(AG173:AM173&lt;&gt;""),AG173:AM173)))</t>
        </is>
      </c>
      <c r="BB173" s="38" t="inlineStr">
        <is>
          <t>IF(OR(E173="",AO173=""),"",IF(COUNT(AG173:AN173)=0,"",AO173-LOOKUP(2,1/(AG173:AN173&lt;&gt;""),AG173:AN173)))</t>
        </is>
      </c>
      <c r="BC173" s="38" t="inlineStr">
        <is>
          <t>IF(OR(E173="",AP173=""),"",IF(COUNT(AG173:AO173)=0,"",AP173-LOOKUP(2,1/(AG173:AO173&lt;&gt;""),AG173:AO173)))</t>
        </is>
      </c>
      <c r="BD173" s="38" t="inlineStr">
        <is>
          <t>IF(OR(E173="",AQ173=""),"",IF(COUNT(AG173:AP173)=0,"",AQ173-LOOKUP(2,1/(AG173:AP173&lt;&gt;""),AG173:AP173)))</t>
        </is>
      </c>
      <c r="BE173" s="38" t="inlineStr">
        <is>
          <t>IF(OR(E173="",AR173=""),"",IF(COUNT(AG173:AQ173)=0,"",AR173-LOOKUP(2,1/(AG173:AQ173&lt;&gt;""),AG173:AQ173)))</t>
        </is>
      </c>
      <c r="BF173" s="38" t="inlineStr">
        <is>
          <t>IF(OR(E173="",AS173=""),"",IF(COUNT(AG173:AR173)=0,"",AS173-LOOKUP(2,1/(AG173:AR173&lt;&gt;""),AG173:AR173)))</t>
        </is>
      </c>
      <c r="BG173" s="38" t="inlineStr">
        <is>
          <t>IF(OR(E173="",AT173=""),"",IF(COUNT(AG173:AS173)=0,"",AT173-LOOKUP(2,1/(AG173:AS173&lt;&gt;""),AG173:AS173)))</t>
        </is>
      </c>
      <c r="BH173" s="41" t="inlineStr">
        <is>
          <t>IF(G173="","All_Provinces",IFERROR(VLOOKUP(G173,'07_Lookups'!$A$4:$B$20,2,FALSE),"All_Provinces"))</t>
        </is>
      </c>
      <c r="BI173" s="41" t="inlineStr">
        <is>
          <t>IF(H173="","All_Districts",IFERROR(VLOOKUP(H173,'07_Lookups'!$E$4:$F$42,2,FALSE),"All_Districts"))</t>
        </is>
      </c>
    </row>
    <row r="174" ht="18" customHeight="1">
      <c r="A174" s="32" t="inlineStr">
        <is>
          <t>IF(E174="","",ROW()-3)</t>
        </is>
      </c>
      <c r="B174" s="33" t="inlineStr">
        <is>
          <t>AF2-DIS-R-011</t>
        </is>
      </c>
      <c r="C174" s="33" t="inlineStr">
        <is>
          <t>Emergency Food Security Project (EFSP) – WBK/AF-2</t>
        </is>
      </c>
      <c r="D174" s="33" t="inlineStr">
        <is>
          <t>Package #1.B-WBK/AF2 DIS: Demonstration 7 Drip irrigation schemes of 1. Doormishi, 2. Khodrawan, 3. Karez Naw, 4.Koklam Olia, 5. Koklam Sofla, 6 Joi Sultani and 7. Kushk Kohna in Kushk Rabat Sangi and Kushk e Kohna Districts of Herat Province.</t>
        </is>
      </c>
      <c r="E174" s="33" t="inlineStr">
        <is>
          <t>Koklam Olia Drip Irrigation schemes</t>
        </is>
      </c>
      <c r="F174" s="33" t="inlineStr">
        <is>
          <t>Drip Irrigation</t>
        </is>
      </c>
      <c r="G174" s="33" t="inlineStr">
        <is>
          <t>West / Herat</t>
        </is>
      </c>
      <c r="H174" s="33" t="inlineStr">
        <is>
          <t>Herat</t>
        </is>
      </c>
      <c r="I174" s="33" t="inlineStr">
        <is>
          <t>Kushk e Kohna</t>
        </is>
      </c>
      <c r="J174" s="33" t="inlineStr">
        <is>
          <t>Koklam Olia</t>
        </is>
      </c>
      <c r="K174" s="33" t="inlineStr">
        <is>
          <t>World Bank (WBK/AF-2)</t>
        </is>
      </c>
      <c r="L174" s="33" t="inlineStr">
        <is>
          <t>Remaining</t>
        </is>
      </c>
      <c r="M174" s="33" t="inlineStr">
        <is>
          <t>Drip irrigation</t>
        </is>
      </c>
      <c r="N174" s="33" t="inlineStr">
        <is>
          <t>5. Drip Irrigation systems</t>
        </is>
      </c>
      <c r="O174" s="33" t="inlineStr">
        <is>
          <t>Fazl Ahmad</t>
        </is>
      </c>
      <c r="P174" s="33" t="inlineStr"/>
      <c r="Q174" s="34" t="n">
        <v>9545.190000000001</v>
      </c>
      <c r="R174" s="35" t="inlineStr">
        <is>
          <t>IF(AO174="","",AO174)</t>
        </is>
      </c>
      <c r="S174" s="36" t="n">
        <v>46371</v>
      </c>
      <c r="T174" s="37" t="n">
        <v>4.4</v>
      </c>
      <c r="U174" s="36" t="n">
        <v>46506</v>
      </c>
      <c r="V174" s="35" t="inlineStr">
        <is>
          <t>IF(U174&lt;&gt;"",U174,IF(OR(R174="",T174=""),"",EDATE(R174,T174)))</t>
        </is>
      </c>
      <c r="W174" s="36" t="n"/>
      <c r="X174" s="37" t="n"/>
      <c r="Y174" s="33" t="inlineStr">
        <is>
          <t>Retendered (Re-ITB)</t>
        </is>
      </c>
      <c r="Z174" s="33" t="inlineStr">
        <is>
          <t>Work starting from March 2026. A total of 90 days for completion Slack period until end February 2026. | Farmer: Fazl Ahmad</t>
        </is>
      </c>
      <c r="AA174" s="32" t="inlineStr">
        <is>
          <t>IF(E174="","",IF(COUNT(AG174:AT174)=0,IF(Y174="","Not started",Y174),SUBSTITUTE(LOOKUP(2,1/(AG174:AT174&lt;&gt;""),$AG$3:$AT$3),"Date: ","")))</t>
        </is>
      </c>
      <c r="AB174" s="38" t="inlineStr">
        <is>
          <t>IF(OR(E174="",COUNT(AG174:AT174)=0),"",TODAY()-LOOKUP(2,1/(AG174:AT174&lt;&gt;""),AG174:AT174))</t>
        </is>
      </c>
      <c r="AC174" s="38" t="inlineStr">
        <is>
          <t>IF(OR(E174="",COUNT(AG174:AT174)&lt;2),"",LOOKUP(2,1/(AG174:AT174&lt;&gt;""),AG174:AT174)-MIN(AG174:AT174))</t>
        </is>
      </c>
      <c r="AD174" s="38" t="inlineStr">
        <is>
          <t>IF(OR(AB174="",AA174="Not started",AA174=""),"",IFERROR(AB174-IF(VLOOKUP(AA174,'04_Status_Pipeline'!$B$3:$E$20,4,FALSE)="",0,VLOOKUP(AA174,'04_Status_Pipeline'!$B$3:$E$20,4,FALSE)),""))</t>
        </is>
      </c>
      <c r="AE174" s="32" t="inlineStr">
        <is>
          <t>IF(E174="","",IF(OR(Y174="Cancelled",AA174="Cancelled"),"Cancelled",IF(OR(AA174="Completed / Handover",W174&lt;&gt;"",X174&gt;=100),"Completed — on track",IF(L174="Remaining",IF(S174="",IF(V174="","No planned date",IF(TODAY()&gt;V174,"Behind — past planned date",IF(V174-TODAY()&lt;=30,"At risk — close to off track","On track"))),IF(TODAY()&gt;S174,"Behind — award date passed",IF(S174-TODAY()&lt;=30,"At risk — close to off track","On track"))),IF(V174="","No planned date",IF(AND(TODAY()&gt;V174,OR(X174="",X174&lt;100)),"Behind — past end date",IF(AND(R174&lt;&gt;"",V174&lt;&gt;"",X174&lt;&gt;"",(X174&lt;100),((TODAY()-R174)/MAX(V174-R174,1)*100)-X174&gt;15),"Behind — progress lag",IF(AND(V174-TODAY()&lt;=30,V174-TODAY()&gt;=0,OR(X174="",X174&lt;90)),"At risk — close to off track","On track"))))))))</t>
        </is>
      </c>
      <c r="AF174" s="38" t="inlineStr">
        <is>
          <t>IF(OR(E174="",AA174="Completed / Handover",AA174="Cancelled"),"",IF(L174="Remaining",IF(S174&lt;&gt;"",S174-TODAY(),IF(V174="","",V174-TODAY())),IF(V174="","",V174-TODAY())))</t>
        </is>
      </c>
      <c r="AG174" s="36" t="n"/>
      <c r="AH174" s="36" t="n"/>
      <c r="AI174" s="36" t="n"/>
      <c r="AJ174" s="36" t="n"/>
      <c r="AK174" s="36" t="n"/>
      <c r="AL174" s="36" t="n"/>
      <c r="AM174" s="36" t="n"/>
      <c r="AN174" s="36" t="n"/>
      <c r="AO174" s="36" t="n"/>
      <c r="AP174" s="36" t="n"/>
      <c r="AQ174" s="36" t="n"/>
      <c r="AR174" s="40" t="n"/>
      <c r="AS174" s="40" t="n"/>
      <c r="AT174" s="40" t="n"/>
      <c r="AU174" s="38" t="inlineStr">
        <is>
          <t>IF(OR(E174="",AH174=""),"",IF(COUNT(AG174:AG174)=0,"",AH174-LOOKUP(2,1/(AG174:AG174&lt;&gt;""),AG174:AG174)))</t>
        </is>
      </c>
      <c r="AV174" s="38" t="inlineStr">
        <is>
          <t>IF(OR(E174="",AI174=""),"",IF(COUNT(AG174:AH174)=0,"",AI174-LOOKUP(2,1/(AG174:AH174&lt;&gt;""),AG174:AH174)))</t>
        </is>
      </c>
      <c r="AW174" s="38" t="inlineStr">
        <is>
          <t>IF(OR(E174="",AJ174=""),"",IF(COUNT(AG174:AI174)=0,"",AJ174-LOOKUP(2,1/(AG174:AI174&lt;&gt;""),AG174:AI174)))</t>
        </is>
      </c>
      <c r="AX174" s="38" t="inlineStr">
        <is>
          <t>IF(OR(E174="",AK174=""),"",IF(COUNT(AG174:AJ174)=0,"",AK174-LOOKUP(2,1/(AG174:AJ174&lt;&gt;""),AG174:AJ174)))</t>
        </is>
      </c>
      <c r="AY174" s="38" t="inlineStr">
        <is>
          <t>IF(OR(E174="",AL174=""),"",IF(COUNT(AG174:AK174)=0,"",AL174-LOOKUP(2,1/(AG174:AK174&lt;&gt;""),AG174:AK174)))</t>
        </is>
      </c>
      <c r="AZ174" s="38" t="inlineStr">
        <is>
          <t>IF(OR(E174="",AM174=""),"",IF(COUNT(AG174:AL174)=0,"",AM174-LOOKUP(2,1/(AG174:AL174&lt;&gt;""),AG174:AL174)))</t>
        </is>
      </c>
      <c r="BA174" s="38" t="inlineStr">
        <is>
          <t>IF(OR(E174="",AN174=""),"",IF(COUNT(AG174:AM174)=0,"",AN174-LOOKUP(2,1/(AG174:AM174&lt;&gt;""),AG174:AM174)))</t>
        </is>
      </c>
      <c r="BB174" s="38" t="inlineStr">
        <is>
          <t>IF(OR(E174="",AO174=""),"",IF(COUNT(AG174:AN174)=0,"",AO174-LOOKUP(2,1/(AG174:AN174&lt;&gt;""),AG174:AN174)))</t>
        </is>
      </c>
      <c r="BC174" s="38" t="inlineStr">
        <is>
          <t>IF(OR(E174="",AP174=""),"",IF(COUNT(AG174:AO174)=0,"",AP174-LOOKUP(2,1/(AG174:AO174&lt;&gt;""),AG174:AO174)))</t>
        </is>
      </c>
      <c r="BD174" s="38" t="inlineStr">
        <is>
          <t>IF(OR(E174="",AQ174=""),"",IF(COUNT(AG174:AP174)=0,"",AQ174-LOOKUP(2,1/(AG174:AP174&lt;&gt;""),AG174:AP174)))</t>
        </is>
      </c>
      <c r="BE174" s="38" t="inlineStr">
        <is>
          <t>IF(OR(E174="",AR174=""),"",IF(COUNT(AG174:AQ174)=0,"",AR174-LOOKUP(2,1/(AG174:AQ174&lt;&gt;""),AG174:AQ174)))</t>
        </is>
      </c>
      <c r="BF174" s="38" t="inlineStr">
        <is>
          <t>IF(OR(E174="",AS174=""),"",IF(COUNT(AG174:AR174)=0,"",AS174-LOOKUP(2,1/(AG174:AR174&lt;&gt;""),AG174:AR174)))</t>
        </is>
      </c>
      <c r="BG174" s="38" t="inlineStr">
        <is>
          <t>IF(OR(E174="",AT174=""),"",IF(COUNT(AG174:AS174)=0,"",AT174-LOOKUP(2,1/(AG174:AS174&lt;&gt;""),AG174:AS174)))</t>
        </is>
      </c>
      <c r="BH174" s="41" t="inlineStr">
        <is>
          <t>IF(G174="","All_Provinces",IFERROR(VLOOKUP(G174,'07_Lookups'!$A$4:$B$20,2,FALSE),"All_Provinces"))</t>
        </is>
      </c>
      <c r="BI174" s="41" t="inlineStr">
        <is>
          <t>IF(H174="","All_Districts",IFERROR(VLOOKUP(H174,'07_Lookups'!$E$4:$F$42,2,FALSE),"All_Districts"))</t>
        </is>
      </c>
    </row>
    <row r="175" ht="18" customHeight="1">
      <c r="A175" s="32" t="inlineStr">
        <is>
          <t>IF(E175="","",ROW()-3)</t>
        </is>
      </c>
      <c r="B175" s="42" t="inlineStr">
        <is>
          <t>AF2-DIS-R-012</t>
        </is>
      </c>
      <c r="C175" s="42" t="inlineStr">
        <is>
          <t>Emergency Food Security Project (EFSP) – WBK/AF-2</t>
        </is>
      </c>
      <c r="D175" s="42" t="inlineStr">
        <is>
          <t>Package #1.B-WBK/AF2 DIS: Demonstration 7 Drip irrigation schemes of 1. Doormishi, 2. Khodrawan, 3. Karez Naw, 4.Koklam Olia, 5. Koklam Sofla, 6 Joi Sultani and 7. Kushk Kohna in Kushk Rabat Sangi and Kushk e Kohna Districts of Herat Province.</t>
        </is>
      </c>
      <c r="E175" s="42" t="inlineStr">
        <is>
          <t>Koklam Sofla Drip Irrigation schemes</t>
        </is>
      </c>
      <c r="F175" s="42" t="inlineStr">
        <is>
          <t>Drip Irrigation</t>
        </is>
      </c>
      <c r="G175" s="42" t="inlineStr">
        <is>
          <t>West / Herat</t>
        </is>
      </c>
      <c r="H175" s="42" t="inlineStr">
        <is>
          <t>Herat</t>
        </is>
      </c>
      <c r="I175" s="42" t="inlineStr">
        <is>
          <t>Kushk e Kohna</t>
        </is>
      </c>
      <c r="J175" s="42" t="inlineStr">
        <is>
          <t>Koklam Sofla</t>
        </is>
      </c>
      <c r="K175" s="42" t="inlineStr">
        <is>
          <t>World Bank (WBK/AF-2)</t>
        </is>
      </c>
      <c r="L175" s="42" t="inlineStr">
        <is>
          <t>Remaining</t>
        </is>
      </c>
      <c r="M175" s="42" t="inlineStr">
        <is>
          <t>Drip irrigation</t>
        </is>
      </c>
      <c r="N175" s="42" t="inlineStr">
        <is>
          <t>5. Drip Irrigation systems</t>
        </is>
      </c>
      <c r="O175" s="42" t="inlineStr">
        <is>
          <t>Nesar Ahmad, Koklam</t>
        </is>
      </c>
      <c r="P175" s="42" t="inlineStr"/>
      <c r="Q175" s="43" t="n">
        <v>7974.31</v>
      </c>
      <c r="R175" s="35" t="inlineStr">
        <is>
          <t>IF(AO175="","",AO175)</t>
        </is>
      </c>
      <c r="S175" s="44" t="n">
        <v>46371</v>
      </c>
      <c r="T175" s="45" t="n">
        <v>4.4</v>
      </c>
      <c r="U175" s="44" t="n">
        <v>46506</v>
      </c>
      <c r="V175" s="35" t="inlineStr">
        <is>
          <t>IF(U175&lt;&gt;"",U175,IF(OR(R175="",T175=""),"",EDATE(R175,T175)))</t>
        </is>
      </c>
      <c r="W175" s="44" t="n"/>
      <c r="X175" s="45" t="n"/>
      <c r="Y175" s="42" t="inlineStr">
        <is>
          <t>Retendered (Re-ITB)</t>
        </is>
      </c>
      <c r="Z175" s="42" t="inlineStr">
        <is>
          <t>Work starting from March 2026. A total of 90 days for completion Slack period until end February 2026. | Farmer: Nesar Ahmad, Koklam</t>
        </is>
      </c>
      <c r="AA175" s="32" t="inlineStr">
        <is>
          <t>IF(E175="","",IF(COUNT(AG175:AT175)=0,IF(Y175="","Not started",Y175),SUBSTITUTE(LOOKUP(2,1/(AG175:AT175&lt;&gt;""),$AG$3:$AT$3),"Date: ","")))</t>
        </is>
      </c>
      <c r="AB175" s="38" t="inlineStr">
        <is>
          <t>IF(OR(E175="",COUNT(AG175:AT175)=0),"",TODAY()-LOOKUP(2,1/(AG175:AT175&lt;&gt;""),AG175:AT175))</t>
        </is>
      </c>
      <c r="AC175" s="38" t="inlineStr">
        <is>
          <t>IF(OR(E175="",COUNT(AG175:AT175)&lt;2),"",LOOKUP(2,1/(AG175:AT175&lt;&gt;""),AG175:AT175)-MIN(AG175:AT175))</t>
        </is>
      </c>
      <c r="AD175" s="38" t="inlineStr">
        <is>
          <t>IF(OR(AB175="",AA175="Not started",AA175=""),"",IFERROR(AB175-IF(VLOOKUP(AA175,'04_Status_Pipeline'!$B$3:$E$20,4,FALSE)="",0,VLOOKUP(AA175,'04_Status_Pipeline'!$B$3:$E$20,4,FALSE)),""))</t>
        </is>
      </c>
      <c r="AE175" s="32" t="inlineStr">
        <is>
          <t>IF(E175="","",IF(OR(Y175="Cancelled",AA175="Cancelled"),"Cancelled",IF(OR(AA175="Completed / Handover",W175&lt;&gt;"",X175&gt;=100),"Completed — on track",IF(L175="Remaining",IF(S175="",IF(V175="","No planned date",IF(TODAY()&gt;V175,"Behind — past planned date",IF(V175-TODAY()&lt;=30,"At risk — close to off track","On track"))),IF(TODAY()&gt;S175,"Behind — award date passed",IF(S175-TODAY()&lt;=30,"At risk — close to off track","On track"))),IF(V175="","No planned date",IF(AND(TODAY()&gt;V175,OR(X175="",X175&lt;100)),"Behind — past end date",IF(AND(R175&lt;&gt;"",V175&lt;&gt;"",X175&lt;&gt;"",(X175&lt;100),((TODAY()-R175)/MAX(V175-R175,1)*100)-X175&gt;15),"Behind — progress lag",IF(AND(V175-TODAY()&lt;=30,V175-TODAY()&gt;=0,OR(X175="",X175&lt;90)),"At risk — close to off track","On track"))))))))</t>
        </is>
      </c>
      <c r="AF175" s="38" t="inlineStr">
        <is>
          <t>IF(OR(E175="",AA175="Completed / Handover",AA175="Cancelled"),"",IF(L175="Remaining",IF(S175&lt;&gt;"",S175-TODAY(),IF(V175="","",V175-TODAY())),IF(V175="","",V175-TODAY())))</t>
        </is>
      </c>
      <c r="AG175" s="44" t="n"/>
      <c r="AH175" s="44" t="n"/>
      <c r="AI175" s="44" t="n"/>
      <c r="AJ175" s="44" t="n"/>
      <c r="AK175" s="44" t="n"/>
      <c r="AL175" s="44" t="n"/>
      <c r="AM175" s="44" t="n"/>
      <c r="AN175" s="44" t="n"/>
      <c r="AO175" s="44" t="n"/>
      <c r="AP175" s="44" t="n"/>
      <c r="AQ175" s="44" t="n"/>
      <c r="AR175" s="40" t="n"/>
      <c r="AS175" s="40" t="n"/>
      <c r="AT175" s="40" t="n"/>
      <c r="AU175" s="38" t="inlineStr">
        <is>
          <t>IF(OR(E175="",AH175=""),"",IF(COUNT(AG175:AG175)=0,"",AH175-LOOKUP(2,1/(AG175:AG175&lt;&gt;""),AG175:AG175)))</t>
        </is>
      </c>
      <c r="AV175" s="38" t="inlineStr">
        <is>
          <t>IF(OR(E175="",AI175=""),"",IF(COUNT(AG175:AH175)=0,"",AI175-LOOKUP(2,1/(AG175:AH175&lt;&gt;""),AG175:AH175)))</t>
        </is>
      </c>
      <c r="AW175" s="38" t="inlineStr">
        <is>
          <t>IF(OR(E175="",AJ175=""),"",IF(COUNT(AG175:AI175)=0,"",AJ175-LOOKUP(2,1/(AG175:AI175&lt;&gt;""),AG175:AI175)))</t>
        </is>
      </c>
      <c r="AX175" s="38" t="inlineStr">
        <is>
          <t>IF(OR(E175="",AK175=""),"",IF(COUNT(AG175:AJ175)=0,"",AK175-LOOKUP(2,1/(AG175:AJ175&lt;&gt;""),AG175:AJ175)))</t>
        </is>
      </c>
      <c r="AY175" s="38" t="inlineStr">
        <is>
          <t>IF(OR(E175="",AL175=""),"",IF(COUNT(AG175:AK175)=0,"",AL175-LOOKUP(2,1/(AG175:AK175&lt;&gt;""),AG175:AK175)))</t>
        </is>
      </c>
      <c r="AZ175" s="38" t="inlineStr">
        <is>
          <t>IF(OR(E175="",AM175=""),"",IF(COUNT(AG175:AL175)=0,"",AM175-LOOKUP(2,1/(AG175:AL175&lt;&gt;""),AG175:AL175)))</t>
        </is>
      </c>
      <c r="BA175" s="38" t="inlineStr">
        <is>
          <t>IF(OR(E175="",AN175=""),"",IF(COUNT(AG175:AM175)=0,"",AN175-LOOKUP(2,1/(AG175:AM175&lt;&gt;""),AG175:AM175)))</t>
        </is>
      </c>
      <c r="BB175" s="38" t="inlineStr">
        <is>
          <t>IF(OR(E175="",AO175=""),"",IF(COUNT(AG175:AN175)=0,"",AO175-LOOKUP(2,1/(AG175:AN175&lt;&gt;""),AG175:AN175)))</t>
        </is>
      </c>
      <c r="BC175" s="38" t="inlineStr">
        <is>
          <t>IF(OR(E175="",AP175=""),"",IF(COUNT(AG175:AO175)=0,"",AP175-LOOKUP(2,1/(AG175:AO175&lt;&gt;""),AG175:AO175)))</t>
        </is>
      </c>
      <c r="BD175" s="38" t="inlineStr">
        <is>
          <t>IF(OR(E175="",AQ175=""),"",IF(COUNT(AG175:AP175)=0,"",AQ175-LOOKUP(2,1/(AG175:AP175&lt;&gt;""),AG175:AP175)))</t>
        </is>
      </c>
      <c r="BE175" s="38" t="inlineStr">
        <is>
          <t>IF(OR(E175="",AR175=""),"",IF(COUNT(AG175:AQ175)=0,"",AR175-LOOKUP(2,1/(AG175:AQ175&lt;&gt;""),AG175:AQ175)))</t>
        </is>
      </c>
      <c r="BF175" s="38" t="inlineStr">
        <is>
          <t>IF(OR(E175="",AS175=""),"",IF(COUNT(AG175:AR175)=0,"",AS175-LOOKUP(2,1/(AG175:AR175&lt;&gt;""),AG175:AR175)))</t>
        </is>
      </c>
      <c r="BG175" s="38" t="inlineStr">
        <is>
          <t>IF(OR(E175="",AT175=""),"",IF(COUNT(AG175:AS175)=0,"",AT175-LOOKUP(2,1/(AG175:AS175&lt;&gt;""),AG175:AS175)))</t>
        </is>
      </c>
      <c r="BH175" s="41" t="inlineStr">
        <is>
          <t>IF(G175="","All_Provinces",IFERROR(VLOOKUP(G175,'07_Lookups'!$A$4:$B$20,2,FALSE),"All_Provinces"))</t>
        </is>
      </c>
      <c r="BI175" s="41" t="inlineStr">
        <is>
          <t>IF(H175="","All_Districts",IFERROR(VLOOKUP(H175,'07_Lookups'!$E$4:$F$42,2,FALSE),"All_Districts"))</t>
        </is>
      </c>
    </row>
    <row r="176" ht="18" customHeight="1">
      <c r="A176" s="32" t="inlineStr">
        <is>
          <t>IF(E176="","",ROW()-3)</t>
        </is>
      </c>
      <c r="B176" s="33" t="inlineStr">
        <is>
          <t>AF2-DIS-R-013</t>
        </is>
      </c>
      <c r="C176" s="33" t="inlineStr">
        <is>
          <t>Emergency Food Security Project (EFSP) – WBK/AF-2</t>
        </is>
      </c>
      <c r="D176" s="33" t="inlineStr">
        <is>
          <t>Package #1.B-WBK/AF2 DIS: Demonstration 7 Drip irrigation schemes of 1. Doormishi, 2. Khodrawan, 3. Karez Naw, 4.Koklam Olia, 5. Koklam Sofla, 6 Joi Sultani and 7. Kushk Kohna in Kushk Rabat Sangi and Kushk e Kohna Districts of Herat Province.</t>
        </is>
      </c>
      <c r="E176" s="33" t="inlineStr">
        <is>
          <t>Joi Sultani Drip Irrigation schemes</t>
        </is>
      </c>
      <c r="F176" s="33" t="inlineStr">
        <is>
          <t>Drip Irrigation</t>
        </is>
      </c>
      <c r="G176" s="33" t="inlineStr">
        <is>
          <t>West / Herat</t>
        </is>
      </c>
      <c r="H176" s="33" t="inlineStr">
        <is>
          <t>Herat</t>
        </is>
      </c>
      <c r="I176" s="33" t="inlineStr">
        <is>
          <t>Kushk e Kohna</t>
        </is>
      </c>
      <c r="J176" s="33" t="inlineStr">
        <is>
          <t>Joy sultany</t>
        </is>
      </c>
      <c r="K176" s="33" t="inlineStr">
        <is>
          <t>World Bank (WBK/AF-2)</t>
        </is>
      </c>
      <c r="L176" s="33" t="inlineStr">
        <is>
          <t>Remaining</t>
        </is>
      </c>
      <c r="M176" s="33" t="inlineStr">
        <is>
          <t>Drip irrigation</t>
        </is>
      </c>
      <c r="N176" s="33" t="inlineStr">
        <is>
          <t>5. Drip Irrigation systems</t>
        </is>
      </c>
      <c r="O176" s="33" t="inlineStr">
        <is>
          <t>Habiburahman</t>
        </is>
      </c>
      <c r="P176" s="33" t="inlineStr"/>
      <c r="Q176" s="34" t="n">
        <v>6417.22</v>
      </c>
      <c r="R176" s="35" t="inlineStr">
        <is>
          <t>IF(AO176="","",AO176)</t>
        </is>
      </c>
      <c r="S176" s="36" t="n">
        <v>46371</v>
      </c>
      <c r="T176" s="37" t="n">
        <v>4.4</v>
      </c>
      <c r="U176" s="36" t="n">
        <v>46506</v>
      </c>
      <c r="V176" s="35" t="inlineStr">
        <is>
          <t>IF(U176&lt;&gt;"",U176,IF(OR(R176="",T176=""),"",EDATE(R176,T176)))</t>
        </is>
      </c>
      <c r="W176" s="36" t="n"/>
      <c r="X176" s="37" t="n"/>
      <c r="Y176" s="33" t="inlineStr">
        <is>
          <t>Retendered (Re-ITB)</t>
        </is>
      </c>
      <c r="Z176" s="33" t="inlineStr">
        <is>
          <t>Work starting from March 2026. A total of 90 days for completion Slack period until end February 2026. | Farmer: Habiburahman</t>
        </is>
      </c>
      <c r="AA176" s="32" t="inlineStr">
        <is>
          <t>IF(E176="","",IF(COUNT(AG176:AT176)=0,IF(Y176="","Not started",Y176),SUBSTITUTE(LOOKUP(2,1/(AG176:AT176&lt;&gt;""),$AG$3:$AT$3),"Date: ","")))</t>
        </is>
      </c>
      <c r="AB176" s="38" t="inlineStr">
        <is>
          <t>IF(OR(E176="",COUNT(AG176:AT176)=0),"",TODAY()-LOOKUP(2,1/(AG176:AT176&lt;&gt;""),AG176:AT176))</t>
        </is>
      </c>
      <c r="AC176" s="38" t="inlineStr">
        <is>
          <t>IF(OR(E176="",COUNT(AG176:AT176)&lt;2),"",LOOKUP(2,1/(AG176:AT176&lt;&gt;""),AG176:AT176)-MIN(AG176:AT176))</t>
        </is>
      </c>
      <c r="AD176" s="38" t="inlineStr">
        <is>
          <t>IF(OR(AB176="",AA176="Not started",AA176=""),"",IFERROR(AB176-IF(VLOOKUP(AA176,'04_Status_Pipeline'!$B$3:$E$20,4,FALSE)="",0,VLOOKUP(AA176,'04_Status_Pipeline'!$B$3:$E$20,4,FALSE)),""))</t>
        </is>
      </c>
      <c r="AE176" s="32" t="inlineStr">
        <is>
          <t>IF(E176="","",IF(OR(Y176="Cancelled",AA176="Cancelled"),"Cancelled",IF(OR(AA176="Completed / Handover",W176&lt;&gt;"",X176&gt;=100),"Completed — on track",IF(L176="Remaining",IF(S176="",IF(V176="","No planned date",IF(TODAY()&gt;V176,"Behind — past planned date",IF(V176-TODAY()&lt;=30,"At risk — close to off track","On track"))),IF(TODAY()&gt;S176,"Behind — award date passed",IF(S176-TODAY()&lt;=30,"At risk — close to off track","On track"))),IF(V176="","No planned date",IF(AND(TODAY()&gt;V176,OR(X176="",X176&lt;100)),"Behind — past end date",IF(AND(R176&lt;&gt;"",V176&lt;&gt;"",X176&lt;&gt;"",(X176&lt;100),((TODAY()-R176)/MAX(V176-R176,1)*100)-X176&gt;15),"Behind — progress lag",IF(AND(V176-TODAY()&lt;=30,V176-TODAY()&gt;=0,OR(X176="",X176&lt;90)),"At risk — close to off track","On track"))))))))</t>
        </is>
      </c>
      <c r="AF176" s="38" t="inlineStr">
        <is>
          <t>IF(OR(E176="",AA176="Completed / Handover",AA176="Cancelled"),"",IF(L176="Remaining",IF(S176&lt;&gt;"",S176-TODAY(),IF(V176="","",V176-TODAY())),IF(V176="","",V176-TODAY())))</t>
        </is>
      </c>
      <c r="AG176" s="36" t="n"/>
      <c r="AH176" s="36" t="n"/>
      <c r="AI176" s="36" t="n"/>
      <c r="AJ176" s="36" t="n"/>
      <c r="AK176" s="36" t="n"/>
      <c r="AL176" s="36" t="n"/>
      <c r="AM176" s="36" t="n"/>
      <c r="AN176" s="36" t="n"/>
      <c r="AO176" s="36" t="n"/>
      <c r="AP176" s="36" t="n"/>
      <c r="AQ176" s="36" t="n"/>
      <c r="AR176" s="40" t="n"/>
      <c r="AS176" s="40" t="n"/>
      <c r="AT176" s="40" t="n"/>
      <c r="AU176" s="38" t="inlineStr">
        <is>
          <t>IF(OR(E176="",AH176=""),"",IF(COUNT(AG176:AG176)=0,"",AH176-LOOKUP(2,1/(AG176:AG176&lt;&gt;""),AG176:AG176)))</t>
        </is>
      </c>
      <c r="AV176" s="38" t="inlineStr">
        <is>
          <t>IF(OR(E176="",AI176=""),"",IF(COUNT(AG176:AH176)=0,"",AI176-LOOKUP(2,1/(AG176:AH176&lt;&gt;""),AG176:AH176)))</t>
        </is>
      </c>
      <c r="AW176" s="38" t="inlineStr">
        <is>
          <t>IF(OR(E176="",AJ176=""),"",IF(COUNT(AG176:AI176)=0,"",AJ176-LOOKUP(2,1/(AG176:AI176&lt;&gt;""),AG176:AI176)))</t>
        </is>
      </c>
      <c r="AX176" s="38" t="inlineStr">
        <is>
          <t>IF(OR(E176="",AK176=""),"",IF(COUNT(AG176:AJ176)=0,"",AK176-LOOKUP(2,1/(AG176:AJ176&lt;&gt;""),AG176:AJ176)))</t>
        </is>
      </c>
      <c r="AY176" s="38" t="inlineStr">
        <is>
          <t>IF(OR(E176="",AL176=""),"",IF(COUNT(AG176:AK176)=0,"",AL176-LOOKUP(2,1/(AG176:AK176&lt;&gt;""),AG176:AK176)))</t>
        </is>
      </c>
      <c r="AZ176" s="38" t="inlineStr">
        <is>
          <t>IF(OR(E176="",AM176=""),"",IF(COUNT(AG176:AL176)=0,"",AM176-LOOKUP(2,1/(AG176:AL176&lt;&gt;""),AG176:AL176)))</t>
        </is>
      </c>
      <c r="BA176" s="38" t="inlineStr">
        <is>
          <t>IF(OR(E176="",AN176=""),"",IF(COUNT(AG176:AM176)=0,"",AN176-LOOKUP(2,1/(AG176:AM176&lt;&gt;""),AG176:AM176)))</t>
        </is>
      </c>
      <c r="BB176" s="38" t="inlineStr">
        <is>
          <t>IF(OR(E176="",AO176=""),"",IF(COUNT(AG176:AN176)=0,"",AO176-LOOKUP(2,1/(AG176:AN176&lt;&gt;""),AG176:AN176)))</t>
        </is>
      </c>
      <c r="BC176" s="38" t="inlineStr">
        <is>
          <t>IF(OR(E176="",AP176=""),"",IF(COUNT(AG176:AO176)=0,"",AP176-LOOKUP(2,1/(AG176:AO176&lt;&gt;""),AG176:AO176)))</t>
        </is>
      </c>
      <c r="BD176" s="38" t="inlineStr">
        <is>
          <t>IF(OR(E176="",AQ176=""),"",IF(COUNT(AG176:AP176)=0,"",AQ176-LOOKUP(2,1/(AG176:AP176&lt;&gt;""),AG176:AP176)))</t>
        </is>
      </c>
      <c r="BE176" s="38" t="inlineStr">
        <is>
          <t>IF(OR(E176="",AR176=""),"",IF(COUNT(AG176:AQ176)=0,"",AR176-LOOKUP(2,1/(AG176:AQ176&lt;&gt;""),AG176:AQ176)))</t>
        </is>
      </c>
      <c r="BF176" s="38" t="inlineStr">
        <is>
          <t>IF(OR(E176="",AS176=""),"",IF(COUNT(AG176:AR176)=0,"",AS176-LOOKUP(2,1/(AG176:AR176&lt;&gt;""),AG176:AR176)))</t>
        </is>
      </c>
      <c r="BG176" s="38" t="inlineStr">
        <is>
          <t>IF(OR(E176="",AT176=""),"",IF(COUNT(AG176:AS176)=0,"",AT176-LOOKUP(2,1/(AG176:AS176&lt;&gt;""),AG176:AS176)))</t>
        </is>
      </c>
      <c r="BH176" s="41" t="inlineStr">
        <is>
          <t>IF(G176="","All_Provinces",IFERROR(VLOOKUP(G176,'07_Lookups'!$A$4:$B$20,2,FALSE),"All_Provinces"))</t>
        </is>
      </c>
      <c r="BI176" s="41" t="inlineStr">
        <is>
          <t>IF(H176="","All_Districts",IFERROR(VLOOKUP(H176,'07_Lookups'!$E$4:$F$42,2,FALSE),"All_Districts"))</t>
        </is>
      </c>
    </row>
    <row r="177" ht="18" customHeight="1">
      <c r="A177" s="32" t="inlineStr">
        <is>
          <t>IF(E177="","",ROW()-3)</t>
        </is>
      </c>
      <c r="B177" s="42" t="inlineStr">
        <is>
          <t>AF2-DIS-R-014</t>
        </is>
      </c>
      <c r="C177" s="42" t="inlineStr">
        <is>
          <t>Emergency Food Security Project (EFSP) – WBK/AF-2</t>
        </is>
      </c>
      <c r="D177" s="42" t="inlineStr">
        <is>
          <t>Package #1.B-WBK/AF2 DIS: Demonstration 7 Drip irrigation schemes of 1. Doormishi, 2. Khodrawan, 3. Karez Naw, 4.Koklam Olia, 5. Koklam Sofla, 6 Joi Sultani and 7. Kushk Kohna in Kushk Rabat Sangi and Kushk e Kohna Districts of Herat Province.</t>
        </is>
      </c>
      <c r="E177" s="42" t="inlineStr">
        <is>
          <t>Kushk Kohna Drip Irrigation schemes</t>
        </is>
      </c>
      <c r="F177" s="42" t="inlineStr">
        <is>
          <t>Drip Irrigation</t>
        </is>
      </c>
      <c r="G177" s="42" t="inlineStr">
        <is>
          <t>West / Herat</t>
        </is>
      </c>
      <c r="H177" s="42" t="inlineStr">
        <is>
          <t>Herat</t>
        </is>
      </c>
      <c r="I177" s="42" t="inlineStr">
        <is>
          <t>Kushk e Kohna</t>
        </is>
      </c>
      <c r="J177" s="42" t="inlineStr">
        <is>
          <t>Kushk Kohna</t>
        </is>
      </c>
      <c r="K177" s="42" t="inlineStr">
        <is>
          <t>World Bank (WBK/AF-2)</t>
        </is>
      </c>
      <c r="L177" s="42" t="inlineStr">
        <is>
          <t>Remaining</t>
        </is>
      </c>
      <c r="M177" s="42" t="inlineStr">
        <is>
          <t>Drip irrigation</t>
        </is>
      </c>
      <c r="N177" s="42" t="inlineStr">
        <is>
          <t>5. Drip Irrigation systems</t>
        </is>
      </c>
      <c r="O177" s="42" t="inlineStr">
        <is>
          <t>Mohammad Ibrahim</t>
        </is>
      </c>
      <c r="P177" s="42" t="inlineStr"/>
      <c r="Q177" s="43" t="n">
        <v>10465.62</v>
      </c>
      <c r="R177" s="35" t="inlineStr">
        <is>
          <t>IF(AO177="","",AO177)</t>
        </is>
      </c>
      <c r="S177" s="44" t="n">
        <v>46371</v>
      </c>
      <c r="T177" s="45" t="n">
        <v>4.4</v>
      </c>
      <c r="U177" s="44" t="n">
        <v>46506</v>
      </c>
      <c r="V177" s="35" t="inlineStr">
        <is>
          <t>IF(U177&lt;&gt;"",U177,IF(OR(R177="",T177=""),"",EDATE(R177,T177)))</t>
        </is>
      </c>
      <c r="W177" s="44" t="n"/>
      <c r="X177" s="45" t="n"/>
      <c r="Y177" s="42" t="inlineStr">
        <is>
          <t>Retendered (Re-ITB)</t>
        </is>
      </c>
      <c r="Z177" s="42" t="inlineStr">
        <is>
          <t>Work starting from March 2026. A total of 90 days for completion Slack period until end February 2026. | Farmer: Mohammad Ibrahim</t>
        </is>
      </c>
      <c r="AA177" s="32" t="inlineStr">
        <is>
          <t>IF(E177="","",IF(COUNT(AG177:AT177)=0,IF(Y177="","Not started",Y177),SUBSTITUTE(LOOKUP(2,1/(AG177:AT177&lt;&gt;""),$AG$3:$AT$3),"Date: ","")))</t>
        </is>
      </c>
      <c r="AB177" s="38" t="inlineStr">
        <is>
          <t>IF(OR(E177="",COUNT(AG177:AT177)=0),"",TODAY()-LOOKUP(2,1/(AG177:AT177&lt;&gt;""),AG177:AT177))</t>
        </is>
      </c>
      <c r="AC177" s="38" t="inlineStr">
        <is>
          <t>IF(OR(E177="",COUNT(AG177:AT177)&lt;2),"",LOOKUP(2,1/(AG177:AT177&lt;&gt;""),AG177:AT177)-MIN(AG177:AT177))</t>
        </is>
      </c>
      <c r="AD177" s="38" t="inlineStr">
        <is>
          <t>IF(OR(AB177="",AA177="Not started",AA177=""),"",IFERROR(AB177-IF(VLOOKUP(AA177,'04_Status_Pipeline'!$B$3:$E$20,4,FALSE)="",0,VLOOKUP(AA177,'04_Status_Pipeline'!$B$3:$E$20,4,FALSE)),""))</t>
        </is>
      </c>
      <c r="AE177" s="32" t="inlineStr">
        <is>
          <t>IF(E177="","",IF(OR(Y177="Cancelled",AA177="Cancelled"),"Cancelled",IF(OR(AA177="Completed / Handover",W177&lt;&gt;"",X177&gt;=100),"Completed — on track",IF(L177="Remaining",IF(S177="",IF(V177="","No planned date",IF(TODAY()&gt;V177,"Behind — past planned date",IF(V177-TODAY()&lt;=30,"At risk — close to off track","On track"))),IF(TODAY()&gt;S177,"Behind — award date passed",IF(S177-TODAY()&lt;=30,"At risk — close to off track","On track"))),IF(V177="","No planned date",IF(AND(TODAY()&gt;V177,OR(X177="",X177&lt;100)),"Behind — past end date",IF(AND(R177&lt;&gt;"",V177&lt;&gt;"",X177&lt;&gt;"",(X177&lt;100),((TODAY()-R177)/MAX(V177-R177,1)*100)-X177&gt;15),"Behind — progress lag",IF(AND(V177-TODAY()&lt;=30,V177-TODAY()&gt;=0,OR(X177="",X177&lt;90)),"At risk — close to off track","On track"))))))))</t>
        </is>
      </c>
      <c r="AF177" s="38" t="inlineStr">
        <is>
          <t>IF(OR(E177="",AA177="Completed / Handover",AA177="Cancelled"),"",IF(L177="Remaining",IF(S177&lt;&gt;"",S177-TODAY(),IF(V177="","",V177-TODAY())),IF(V177="","",V177-TODAY())))</t>
        </is>
      </c>
      <c r="AG177" s="44" t="n"/>
      <c r="AH177" s="44" t="n"/>
      <c r="AI177" s="44" t="n"/>
      <c r="AJ177" s="44" t="n"/>
      <c r="AK177" s="44" t="n"/>
      <c r="AL177" s="44" t="n"/>
      <c r="AM177" s="44" t="n"/>
      <c r="AN177" s="44" t="n"/>
      <c r="AO177" s="44" t="n"/>
      <c r="AP177" s="44" t="n"/>
      <c r="AQ177" s="44" t="n"/>
      <c r="AR177" s="40" t="n"/>
      <c r="AS177" s="40" t="n"/>
      <c r="AT177" s="40" t="n"/>
      <c r="AU177" s="38" t="inlineStr">
        <is>
          <t>IF(OR(E177="",AH177=""),"",IF(COUNT(AG177:AG177)=0,"",AH177-LOOKUP(2,1/(AG177:AG177&lt;&gt;""),AG177:AG177)))</t>
        </is>
      </c>
      <c r="AV177" s="38" t="inlineStr">
        <is>
          <t>IF(OR(E177="",AI177=""),"",IF(COUNT(AG177:AH177)=0,"",AI177-LOOKUP(2,1/(AG177:AH177&lt;&gt;""),AG177:AH177)))</t>
        </is>
      </c>
      <c r="AW177" s="38" t="inlineStr">
        <is>
          <t>IF(OR(E177="",AJ177=""),"",IF(COUNT(AG177:AI177)=0,"",AJ177-LOOKUP(2,1/(AG177:AI177&lt;&gt;""),AG177:AI177)))</t>
        </is>
      </c>
      <c r="AX177" s="38" t="inlineStr">
        <is>
          <t>IF(OR(E177="",AK177=""),"",IF(COUNT(AG177:AJ177)=0,"",AK177-LOOKUP(2,1/(AG177:AJ177&lt;&gt;""),AG177:AJ177)))</t>
        </is>
      </c>
      <c r="AY177" s="38" t="inlineStr">
        <is>
          <t>IF(OR(E177="",AL177=""),"",IF(COUNT(AG177:AK177)=0,"",AL177-LOOKUP(2,1/(AG177:AK177&lt;&gt;""),AG177:AK177)))</t>
        </is>
      </c>
      <c r="AZ177" s="38" t="inlineStr">
        <is>
          <t>IF(OR(E177="",AM177=""),"",IF(COUNT(AG177:AL177)=0,"",AM177-LOOKUP(2,1/(AG177:AL177&lt;&gt;""),AG177:AL177)))</t>
        </is>
      </c>
      <c r="BA177" s="38" t="inlineStr">
        <is>
          <t>IF(OR(E177="",AN177=""),"",IF(COUNT(AG177:AM177)=0,"",AN177-LOOKUP(2,1/(AG177:AM177&lt;&gt;""),AG177:AM177)))</t>
        </is>
      </c>
      <c r="BB177" s="38" t="inlineStr">
        <is>
          <t>IF(OR(E177="",AO177=""),"",IF(COUNT(AG177:AN177)=0,"",AO177-LOOKUP(2,1/(AG177:AN177&lt;&gt;""),AG177:AN177)))</t>
        </is>
      </c>
      <c r="BC177" s="38" t="inlineStr">
        <is>
          <t>IF(OR(E177="",AP177=""),"",IF(COUNT(AG177:AO177)=0,"",AP177-LOOKUP(2,1/(AG177:AO177&lt;&gt;""),AG177:AO177)))</t>
        </is>
      </c>
      <c r="BD177" s="38" t="inlineStr">
        <is>
          <t>IF(OR(E177="",AQ177=""),"",IF(COUNT(AG177:AP177)=0,"",AQ177-LOOKUP(2,1/(AG177:AP177&lt;&gt;""),AG177:AP177)))</t>
        </is>
      </c>
      <c r="BE177" s="38" t="inlineStr">
        <is>
          <t>IF(OR(E177="",AR177=""),"",IF(COUNT(AG177:AQ177)=0,"",AR177-LOOKUP(2,1/(AG177:AQ177&lt;&gt;""),AG177:AQ177)))</t>
        </is>
      </c>
      <c r="BF177" s="38" t="inlineStr">
        <is>
          <t>IF(OR(E177="",AS177=""),"",IF(COUNT(AG177:AR177)=0,"",AS177-LOOKUP(2,1/(AG177:AR177&lt;&gt;""),AG177:AR177)))</t>
        </is>
      </c>
      <c r="BG177" s="38" t="inlineStr">
        <is>
          <t>IF(OR(E177="",AT177=""),"",IF(COUNT(AG177:AS177)=0,"",AT177-LOOKUP(2,1/(AG177:AS177&lt;&gt;""),AG177:AS177)))</t>
        </is>
      </c>
      <c r="BH177" s="41" t="inlineStr">
        <is>
          <t>IF(G177="","All_Provinces",IFERROR(VLOOKUP(G177,'07_Lookups'!$A$4:$B$20,2,FALSE),"All_Provinces"))</t>
        </is>
      </c>
      <c r="BI177" s="41" t="inlineStr">
        <is>
          <t>IF(H177="","All_Districts",IFERROR(VLOOKUP(H177,'07_Lookups'!$E$4:$F$42,2,FALSE),"All_Districts"))</t>
        </is>
      </c>
    </row>
    <row r="178" ht="18" customHeight="1">
      <c r="A178" s="32" t="inlineStr">
        <is>
          <t>IF(E178="","",ROW()-3)</t>
        </is>
      </c>
      <c r="B178" s="33" t="inlineStr">
        <is>
          <t>AF2-DIS-R-015</t>
        </is>
      </c>
      <c r="C178" s="33" t="inlineStr">
        <is>
          <t>Emergency Food Security Project (EFSP) – WBK/AF-2</t>
        </is>
      </c>
      <c r="D178"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78" s="33" t="inlineStr">
        <is>
          <t>1. Abdul Qadir Drip Irrigation Scheme</t>
        </is>
      </c>
      <c r="F178" s="33" t="inlineStr">
        <is>
          <t>Drip Irrigation</t>
        </is>
      </c>
      <c r="G178" s="33" t="inlineStr">
        <is>
          <t>East / Jalalabad</t>
        </is>
      </c>
      <c r="H178" s="33" t="inlineStr">
        <is>
          <t>Laghman</t>
        </is>
      </c>
      <c r="I178" s="33" t="inlineStr">
        <is>
          <t>Alishing</t>
        </is>
      </c>
      <c r="J178" s="33" t="inlineStr">
        <is>
          <t>Darwesh Abad</t>
        </is>
      </c>
      <c r="K178" s="33" t="inlineStr">
        <is>
          <t>World Bank (WBK/AF-2)</t>
        </is>
      </c>
      <c r="L178" s="33" t="inlineStr">
        <is>
          <t>Remaining</t>
        </is>
      </c>
      <c r="M178" s="33" t="inlineStr">
        <is>
          <t>Drip irrigation</t>
        </is>
      </c>
      <c r="N178" s="33" t="inlineStr">
        <is>
          <t>5. Drip Irrigation systems</t>
        </is>
      </c>
      <c r="O178" s="33" t="inlineStr">
        <is>
          <t>Abdul Qadeer</t>
        </is>
      </c>
      <c r="P178" s="33" t="inlineStr"/>
      <c r="Q178" s="34" t="n">
        <v>13115.38</v>
      </c>
      <c r="R178" s="35" t="inlineStr">
        <is>
          <t>IF(AO178="","",AO178)</t>
        </is>
      </c>
      <c r="S178" s="36" t="n">
        <v>46380</v>
      </c>
      <c r="T178" s="37" t="n">
        <v>4.9</v>
      </c>
      <c r="U178" s="36" t="n">
        <v>46530</v>
      </c>
      <c r="V178" s="35" t="inlineStr">
        <is>
          <t>IF(U178&lt;&gt;"",U178,IF(OR(R178="",T178=""),"",EDATE(R178,T178)))</t>
        </is>
      </c>
      <c r="W178" s="36" t="n"/>
      <c r="X178" s="37" t="n"/>
      <c r="Y178" s="33" t="inlineStr">
        <is>
          <t>Retendered (Re-ITB)</t>
        </is>
      </c>
      <c r="Z178" s="33" t="inlineStr">
        <is>
          <t>Five month construction period. No slack period considered for Laghman and Nagrahar and two months slack period for Kunar and Nuristan. '- | Farmer: Abdul Qadeer</t>
        </is>
      </c>
      <c r="AA178" s="32" t="inlineStr">
        <is>
          <t>IF(E178="","",IF(COUNT(AG178:AT178)=0,IF(Y178="","Not started",Y178),SUBSTITUTE(LOOKUP(2,1/(AG178:AT178&lt;&gt;""),$AG$3:$AT$3),"Date: ","")))</t>
        </is>
      </c>
      <c r="AB178" s="38" t="inlineStr">
        <is>
          <t>IF(OR(E178="",COUNT(AG178:AT178)=0),"",TODAY()-LOOKUP(2,1/(AG178:AT178&lt;&gt;""),AG178:AT178))</t>
        </is>
      </c>
      <c r="AC178" s="38" t="inlineStr">
        <is>
          <t>IF(OR(E178="",COUNT(AG178:AT178)&lt;2),"",LOOKUP(2,1/(AG178:AT178&lt;&gt;""),AG178:AT178)-MIN(AG178:AT178))</t>
        </is>
      </c>
      <c r="AD178" s="38" t="inlineStr">
        <is>
          <t>IF(OR(AB178="",AA178="Not started",AA178=""),"",IFERROR(AB178-IF(VLOOKUP(AA178,'04_Status_Pipeline'!$B$3:$E$20,4,FALSE)="",0,VLOOKUP(AA178,'04_Status_Pipeline'!$B$3:$E$20,4,FALSE)),""))</t>
        </is>
      </c>
      <c r="AE178" s="32" t="inlineStr">
        <is>
          <t>IF(E178="","",IF(OR(Y178="Cancelled",AA178="Cancelled"),"Cancelled",IF(OR(AA178="Completed / Handover",W178&lt;&gt;"",X178&gt;=100),"Completed — on track",IF(L178="Remaining",IF(S178="",IF(V178="","No planned date",IF(TODAY()&gt;V178,"Behind — past planned date",IF(V178-TODAY()&lt;=30,"At risk — close to off track","On track"))),IF(TODAY()&gt;S178,"Behind — award date passed",IF(S178-TODAY()&lt;=30,"At risk — close to off track","On track"))),IF(V178="","No planned date",IF(AND(TODAY()&gt;V178,OR(X178="",X178&lt;100)),"Behind — past end date",IF(AND(R178&lt;&gt;"",V178&lt;&gt;"",X178&lt;&gt;"",(X178&lt;100),((TODAY()-R178)/MAX(V178-R178,1)*100)-X178&gt;15),"Behind — progress lag",IF(AND(V178-TODAY()&lt;=30,V178-TODAY()&gt;=0,OR(X178="",X178&lt;90)),"At risk — close to off track","On track"))))))))</t>
        </is>
      </c>
      <c r="AF178" s="38" t="inlineStr">
        <is>
          <t>IF(OR(E178="",AA178="Completed / Handover",AA178="Cancelled"),"",IF(L178="Remaining",IF(S178&lt;&gt;"",S178-TODAY(),IF(V178="","",V178-TODAY())),IF(V178="","",V178-TODAY())))</t>
        </is>
      </c>
      <c r="AG178" s="36" t="n"/>
      <c r="AH178" s="36" t="n"/>
      <c r="AI178" s="36" t="n"/>
      <c r="AJ178" s="36" t="n"/>
      <c r="AK178" s="36" t="n"/>
      <c r="AL178" s="36" t="n"/>
      <c r="AM178" s="36" t="n"/>
      <c r="AN178" s="36" t="n"/>
      <c r="AO178" s="36" t="n"/>
      <c r="AP178" s="36" t="n"/>
      <c r="AQ178" s="36" t="n"/>
      <c r="AR178" s="40" t="n"/>
      <c r="AS178" s="40" t="n"/>
      <c r="AT178" s="40" t="n"/>
      <c r="AU178" s="38" t="inlineStr">
        <is>
          <t>IF(OR(E178="",AH178=""),"",IF(COUNT(AG178:AG178)=0,"",AH178-LOOKUP(2,1/(AG178:AG178&lt;&gt;""),AG178:AG178)))</t>
        </is>
      </c>
      <c r="AV178" s="38" t="inlineStr">
        <is>
          <t>IF(OR(E178="",AI178=""),"",IF(COUNT(AG178:AH178)=0,"",AI178-LOOKUP(2,1/(AG178:AH178&lt;&gt;""),AG178:AH178)))</t>
        </is>
      </c>
      <c r="AW178" s="38" t="inlineStr">
        <is>
          <t>IF(OR(E178="",AJ178=""),"",IF(COUNT(AG178:AI178)=0,"",AJ178-LOOKUP(2,1/(AG178:AI178&lt;&gt;""),AG178:AI178)))</t>
        </is>
      </c>
      <c r="AX178" s="38" t="inlineStr">
        <is>
          <t>IF(OR(E178="",AK178=""),"",IF(COUNT(AG178:AJ178)=0,"",AK178-LOOKUP(2,1/(AG178:AJ178&lt;&gt;""),AG178:AJ178)))</t>
        </is>
      </c>
      <c r="AY178" s="38" t="inlineStr">
        <is>
          <t>IF(OR(E178="",AL178=""),"",IF(COUNT(AG178:AK178)=0,"",AL178-LOOKUP(2,1/(AG178:AK178&lt;&gt;""),AG178:AK178)))</t>
        </is>
      </c>
      <c r="AZ178" s="38" t="inlineStr">
        <is>
          <t>IF(OR(E178="",AM178=""),"",IF(COUNT(AG178:AL178)=0,"",AM178-LOOKUP(2,1/(AG178:AL178&lt;&gt;""),AG178:AL178)))</t>
        </is>
      </c>
      <c r="BA178" s="38" t="inlineStr">
        <is>
          <t>IF(OR(E178="",AN178=""),"",IF(COUNT(AG178:AM178)=0,"",AN178-LOOKUP(2,1/(AG178:AM178&lt;&gt;""),AG178:AM178)))</t>
        </is>
      </c>
      <c r="BB178" s="38" t="inlineStr">
        <is>
          <t>IF(OR(E178="",AO178=""),"",IF(COUNT(AG178:AN178)=0,"",AO178-LOOKUP(2,1/(AG178:AN178&lt;&gt;""),AG178:AN178)))</t>
        </is>
      </c>
      <c r="BC178" s="38" t="inlineStr">
        <is>
          <t>IF(OR(E178="",AP178=""),"",IF(COUNT(AG178:AO178)=0,"",AP178-LOOKUP(2,1/(AG178:AO178&lt;&gt;""),AG178:AO178)))</t>
        </is>
      </c>
      <c r="BD178" s="38" t="inlineStr">
        <is>
          <t>IF(OR(E178="",AQ178=""),"",IF(COUNT(AG178:AP178)=0,"",AQ178-LOOKUP(2,1/(AG178:AP178&lt;&gt;""),AG178:AP178)))</t>
        </is>
      </c>
      <c r="BE178" s="38" t="inlineStr">
        <is>
          <t>IF(OR(E178="",AR178=""),"",IF(COUNT(AG178:AQ178)=0,"",AR178-LOOKUP(2,1/(AG178:AQ178&lt;&gt;""),AG178:AQ178)))</t>
        </is>
      </c>
      <c r="BF178" s="38" t="inlineStr">
        <is>
          <t>IF(OR(E178="",AS178=""),"",IF(COUNT(AG178:AR178)=0,"",AS178-LOOKUP(2,1/(AG178:AR178&lt;&gt;""),AG178:AR178)))</t>
        </is>
      </c>
      <c r="BG178" s="38" t="inlineStr">
        <is>
          <t>IF(OR(E178="",AT178=""),"",IF(COUNT(AG178:AS178)=0,"",AT178-LOOKUP(2,1/(AG178:AS178&lt;&gt;""),AG178:AS178)))</t>
        </is>
      </c>
      <c r="BH178" s="41" t="inlineStr">
        <is>
          <t>IF(G178="","All_Provinces",IFERROR(VLOOKUP(G178,'07_Lookups'!$A$4:$B$20,2,FALSE),"All_Provinces"))</t>
        </is>
      </c>
      <c r="BI178" s="41" t="inlineStr">
        <is>
          <t>IF(H178="","All_Districts",IFERROR(VLOOKUP(H178,'07_Lookups'!$E$4:$F$42,2,FALSE),"All_Districts"))</t>
        </is>
      </c>
    </row>
    <row r="179" ht="18" customHeight="1">
      <c r="A179" s="32" t="inlineStr">
        <is>
          <t>IF(E179="","",ROW()-3)</t>
        </is>
      </c>
      <c r="B179" s="42" t="inlineStr">
        <is>
          <t>AF2-DIS-R-016</t>
        </is>
      </c>
      <c r="C179" s="42" t="inlineStr">
        <is>
          <t>Emergency Food Security Project (EFSP) – WBK/AF-2</t>
        </is>
      </c>
      <c r="D179"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79" s="42" t="inlineStr">
        <is>
          <t>2. Abdul Raqib drip Irrigation Scheme</t>
        </is>
      </c>
      <c r="F179" s="42" t="inlineStr">
        <is>
          <t>Drip Irrigation</t>
        </is>
      </c>
      <c r="G179" s="42" t="inlineStr">
        <is>
          <t>East / Jalalabad</t>
        </is>
      </c>
      <c r="H179" s="42" t="inlineStr">
        <is>
          <t>Nangarhar</t>
        </is>
      </c>
      <c r="I179" s="42" t="inlineStr">
        <is>
          <t>Pacheragam</t>
        </is>
      </c>
      <c r="J179" s="42" t="inlineStr">
        <is>
          <t>Landi Khil</t>
        </is>
      </c>
      <c r="K179" s="42" t="inlineStr">
        <is>
          <t>World Bank (WBK/AF-2)</t>
        </is>
      </c>
      <c r="L179" s="42" t="inlineStr">
        <is>
          <t>Remaining</t>
        </is>
      </c>
      <c r="M179" s="42" t="inlineStr">
        <is>
          <t>Drip irrigation</t>
        </is>
      </c>
      <c r="N179" s="42" t="inlineStr">
        <is>
          <t>5. Drip Irrigation systems</t>
        </is>
      </c>
      <c r="O179" s="42" t="inlineStr">
        <is>
          <t>Abdur Raqeeb</t>
        </is>
      </c>
      <c r="P179" s="42" t="inlineStr"/>
      <c r="Q179" s="43" t="n"/>
      <c r="R179" s="35" t="inlineStr">
        <is>
          <t>IF(AO179="","",AO179)</t>
        </is>
      </c>
      <c r="S179" s="44" t="n">
        <v>46380</v>
      </c>
      <c r="T179" s="45" t="n">
        <v>4.9</v>
      </c>
      <c r="U179" s="44" t="n">
        <v>46530</v>
      </c>
      <c r="V179" s="35" t="inlineStr">
        <is>
          <t>IF(U179&lt;&gt;"",U179,IF(OR(R179="",T179=""),"",EDATE(R179,T179)))</t>
        </is>
      </c>
      <c r="W179" s="44" t="n"/>
      <c r="X179" s="45" t="n"/>
      <c r="Y179" s="42" t="inlineStr">
        <is>
          <t>Retendered (Re-ITB)</t>
        </is>
      </c>
      <c r="Z179" s="42" t="inlineStr">
        <is>
          <t>Five month construction period. No slack period considered for Laghman and Nagrahar and two months slack period for Kunar and Nuristan. '- | Farmer: Abdur Raqeeb</t>
        </is>
      </c>
      <c r="AA179" s="32" t="inlineStr">
        <is>
          <t>IF(E179="","",IF(COUNT(AG179:AT179)=0,IF(Y179="","Not started",Y179),SUBSTITUTE(LOOKUP(2,1/(AG179:AT179&lt;&gt;""),$AG$3:$AT$3),"Date: ","")))</t>
        </is>
      </c>
      <c r="AB179" s="38" t="inlineStr">
        <is>
          <t>IF(OR(E179="",COUNT(AG179:AT179)=0),"",TODAY()-LOOKUP(2,1/(AG179:AT179&lt;&gt;""),AG179:AT179))</t>
        </is>
      </c>
      <c r="AC179" s="38" t="inlineStr">
        <is>
          <t>IF(OR(E179="",COUNT(AG179:AT179)&lt;2),"",LOOKUP(2,1/(AG179:AT179&lt;&gt;""),AG179:AT179)-MIN(AG179:AT179))</t>
        </is>
      </c>
      <c r="AD179" s="38" t="inlineStr">
        <is>
          <t>IF(OR(AB179="",AA179="Not started",AA179=""),"",IFERROR(AB179-IF(VLOOKUP(AA179,'04_Status_Pipeline'!$B$3:$E$20,4,FALSE)="",0,VLOOKUP(AA179,'04_Status_Pipeline'!$B$3:$E$20,4,FALSE)),""))</t>
        </is>
      </c>
      <c r="AE179" s="32" t="inlineStr">
        <is>
          <t>IF(E179="","",IF(OR(Y179="Cancelled",AA179="Cancelled"),"Cancelled",IF(OR(AA179="Completed / Handover",W179&lt;&gt;"",X179&gt;=100),"Completed — on track",IF(L179="Remaining",IF(S179="",IF(V179="","No planned date",IF(TODAY()&gt;V179,"Behind — past planned date",IF(V179-TODAY()&lt;=30,"At risk — close to off track","On track"))),IF(TODAY()&gt;S179,"Behind — award date passed",IF(S179-TODAY()&lt;=30,"At risk — close to off track","On track"))),IF(V179="","No planned date",IF(AND(TODAY()&gt;V179,OR(X179="",X179&lt;100)),"Behind — past end date",IF(AND(R179&lt;&gt;"",V179&lt;&gt;"",X179&lt;&gt;"",(X179&lt;100),((TODAY()-R179)/MAX(V179-R179,1)*100)-X179&gt;15),"Behind — progress lag",IF(AND(V179-TODAY()&lt;=30,V179-TODAY()&gt;=0,OR(X179="",X179&lt;90)),"At risk — close to off track","On track"))))))))</t>
        </is>
      </c>
      <c r="AF179" s="38" t="inlineStr">
        <is>
          <t>IF(OR(E179="",AA179="Completed / Handover",AA179="Cancelled"),"",IF(L179="Remaining",IF(S179&lt;&gt;"",S179-TODAY(),IF(V179="","",V179-TODAY())),IF(V179="","",V179-TODAY())))</t>
        </is>
      </c>
      <c r="AG179" s="44" t="n"/>
      <c r="AH179" s="44" t="n"/>
      <c r="AI179" s="44" t="n"/>
      <c r="AJ179" s="44" t="n"/>
      <c r="AK179" s="44" t="n"/>
      <c r="AL179" s="44" t="n"/>
      <c r="AM179" s="44" t="n"/>
      <c r="AN179" s="44" t="n"/>
      <c r="AO179" s="44" t="n"/>
      <c r="AP179" s="44" t="n"/>
      <c r="AQ179" s="44" t="n"/>
      <c r="AR179" s="40" t="n"/>
      <c r="AS179" s="40" t="n"/>
      <c r="AT179" s="40" t="n"/>
      <c r="AU179" s="38" t="inlineStr">
        <is>
          <t>IF(OR(E179="",AH179=""),"",IF(COUNT(AG179:AG179)=0,"",AH179-LOOKUP(2,1/(AG179:AG179&lt;&gt;""),AG179:AG179)))</t>
        </is>
      </c>
      <c r="AV179" s="38" t="inlineStr">
        <is>
          <t>IF(OR(E179="",AI179=""),"",IF(COUNT(AG179:AH179)=0,"",AI179-LOOKUP(2,1/(AG179:AH179&lt;&gt;""),AG179:AH179)))</t>
        </is>
      </c>
      <c r="AW179" s="38" t="inlineStr">
        <is>
          <t>IF(OR(E179="",AJ179=""),"",IF(COUNT(AG179:AI179)=0,"",AJ179-LOOKUP(2,1/(AG179:AI179&lt;&gt;""),AG179:AI179)))</t>
        </is>
      </c>
      <c r="AX179" s="38" t="inlineStr">
        <is>
          <t>IF(OR(E179="",AK179=""),"",IF(COUNT(AG179:AJ179)=0,"",AK179-LOOKUP(2,1/(AG179:AJ179&lt;&gt;""),AG179:AJ179)))</t>
        </is>
      </c>
      <c r="AY179" s="38" t="inlineStr">
        <is>
          <t>IF(OR(E179="",AL179=""),"",IF(COUNT(AG179:AK179)=0,"",AL179-LOOKUP(2,1/(AG179:AK179&lt;&gt;""),AG179:AK179)))</t>
        </is>
      </c>
      <c r="AZ179" s="38" t="inlineStr">
        <is>
          <t>IF(OR(E179="",AM179=""),"",IF(COUNT(AG179:AL179)=0,"",AM179-LOOKUP(2,1/(AG179:AL179&lt;&gt;""),AG179:AL179)))</t>
        </is>
      </c>
      <c r="BA179" s="38" t="inlineStr">
        <is>
          <t>IF(OR(E179="",AN179=""),"",IF(COUNT(AG179:AM179)=0,"",AN179-LOOKUP(2,1/(AG179:AM179&lt;&gt;""),AG179:AM179)))</t>
        </is>
      </c>
      <c r="BB179" s="38" t="inlineStr">
        <is>
          <t>IF(OR(E179="",AO179=""),"",IF(COUNT(AG179:AN179)=0,"",AO179-LOOKUP(2,1/(AG179:AN179&lt;&gt;""),AG179:AN179)))</t>
        </is>
      </c>
      <c r="BC179" s="38" t="inlineStr">
        <is>
          <t>IF(OR(E179="",AP179=""),"",IF(COUNT(AG179:AO179)=0,"",AP179-LOOKUP(2,1/(AG179:AO179&lt;&gt;""),AG179:AO179)))</t>
        </is>
      </c>
      <c r="BD179" s="38" t="inlineStr">
        <is>
          <t>IF(OR(E179="",AQ179=""),"",IF(COUNT(AG179:AP179)=0,"",AQ179-LOOKUP(2,1/(AG179:AP179&lt;&gt;""),AG179:AP179)))</t>
        </is>
      </c>
      <c r="BE179" s="38" t="inlineStr">
        <is>
          <t>IF(OR(E179="",AR179=""),"",IF(COUNT(AG179:AQ179)=0,"",AR179-LOOKUP(2,1/(AG179:AQ179&lt;&gt;""),AG179:AQ179)))</t>
        </is>
      </c>
      <c r="BF179" s="38" t="inlineStr">
        <is>
          <t>IF(OR(E179="",AS179=""),"",IF(COUNT(AG179:AR179)=0,"",AS179-LOOKUP(2,1/(AG179:AR179&lt;&gt;""),AG179:AR179)))</t>
        </is>
      </c>
      <c r="BG179" s="38" t="inlineStr">
        <is>
          <t>IF(OR(E179="",AT179=""),"",IF(COUNT(AG179:AS179)=0,"",AT179-LOOKUP(2,1/(AG179:AS179&lt;&gt;""),AG179:AS179)))</t>
        </is>
      </c>
      <c r="BH179" s="41" t="inlineStr">
        <is>
          <t>IF(G179="","All_Provinces",IFERROR(VLOOKUP(G179,'07_Lookups'!$A$4:$B$20,2,FALSE),"All_Provinces"))</t>
        </is>
      </c>
      <c r="BI179" s="41" t="inlineStr">
        <is>
          <t>IF(H179="","All_Districts",IFERROR(VLOOKUP(H179,'07_Lookups'!$E$4:$F$42,2,FALSE),"All_Districts"))</t>
        </is>
      </c>
    </row>
    <row r="180" ht="18" customHeight="1">
      <c r="A180" s="32" t="inlineStr">
        <is>
          <t>IF(E180="","",ROW()-3)</t>
        </is>
      </c>
      <c r="B180" s="33" t="inlineStr">
        <is>
          <t>AF2-DIS-R-017</t>
        </is>
      </c>
      <c r="C180" s="33" t="inlineStr">
        <is>
          <t>Emergency Food Security Project (EFSP) – WBK/AF-2</t>
        </is>
      </c>
      <c r="D180"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0" s="33" t="inlineStr">
        <is>
          <t>3. Nazar Khan Drip Irrigation Scheme</t>
        </is>
      </c>
      <c r="F180" s="33" t="inlineStr">
        <is>
          <t>Drip Irrigation</t>
        </is>
      </c>
      <c r="G180" s="33" t="inlineStr">
        <is>
          <t>East / Jalalabad</t>
        </is>
      </c>
      <c r="H180" s="33" t="inlineStr">
        <is>
          <t>Nangarhar</t>
        </is>
      </c>
      <c r="I180" s="33" t="inlineStr">
        <is>
          <t>Batikot</t>
        </is>
      </c>
      <c r="J180" s="33" t="inlineStr">
        <is>
          <t>Heabat Khil</t>
        </is>
      </c>
      <c r="K180" s="33" t="inlineStr">
        <is>
          <t>World Bank (WBK/AF-2)</t>
        </is>
      </c>
      <c r="L180" s="33" t="inlineStr">
        <is>
          <t>Remaining</t>
        </is>
      </c>
      <c r="M180" s="33" t="inlineStr">
        <is>
          <t>Drip irrigation</t>
        </is>
      </c>
      <c r="N180" s="33" t="inlineStr">
        <is>
          <t>5. Drip Irrigation systems</t>
        </is>
      </c>
      <c r="O180" s="33" t="inlineStr">
        <is>
          <t>Nazar Khan</t>
        </is>
      </c>
      <c r="P180" s="33" t="inlineStr"/>
      <c r="Q180" s="34" t="n"/>
      <c r="R180" s="35" t="inlineStr">
        <is>
          <t>IF(AO180="","",AO180)</t>
        </is>
      </c>
      <c r="S180" s="36" t="n">
        <v>46380</v>
      </c>
      <c r="T180" s="37" t="n">
        <v>4.9</v>
      </c>
      <c r="U180" s="36" t="n">
        <v>46530</v>
      </c>
      <c r="V180" s="35" t="inlineStr">
        <is>
          <t>IF(U180&lt;&gt;"",U180,IF(OR(R180="",T180=""),"",EDATE(R180,T180)))</t>
        </is>
      </c>
      <c r="W180" s="36" t="n"/>
      <c r="X180" s="37" t="n"/>
      <c r="Y180" s="33" t="inlineStr">
        <is>
          <t>Retendered (Re-ITB)</t>
        </is>
      </c>
      <c r="Z180" s="33" t="inlineStr">
        <is>
          <t>Five month construction period. No slack period considered for Laghman and Nagrahar and two months slack period for Kunar and Nuristan. '- | Farmer: Nazar Khan</t>
        </is>
      </c>
      <c r="AA180" s="32" t="inlineStr">
        <is>
          <t>IF(E180="","",IF(COUNT(AG180:AT180)=0,IF(Y180="","Not started",Y180),SUBSTITUTE(LOOKUP(2,1/(AG180:AT180&lt;&gt;""),$AG$3:$AT$3),"Date: ","")))</t>
        </is>
      </c>
      <c r="AB180" s="38" t="inlineStr">
        <is>
          <t>IF(OR(E180="",COUNT(AG180:AT180)=0),"",TODAY()-LOOKUP(2,1/(AG180:AT180&lt;&gt;""),AG180:AT180))</t>
        </is>
      </c>
      <c r="AC180" s="38" t="inlineStr">
        <is>
          <t>IF(OR(E180="",COUNT(AG180:AT180)&lt;2),"",LOOKUP(2,1/(AG180:AT180&lt;&gt;""),AG180:AT180)-MIN(AG180:AT180))</t>
        </is>
      </c>
      <c r="AD180" s="38" t="inlineStr">
        <is>
          <t>IF(OR(AB180="",AA180="Not started",AA180=""),"",IFERROR(AB180-IF(VLOOKUP(AA180,'04_Status_Pipeline'!$B$3:$E$20,4,FALSE)="",0,VLOOKUP(AA180,'04_Status_Pipeline'!$B$3:$E$20,4,FALSE)),""))</t>
        </is>
      </c>
      <c r="AE180" s="32" t="inlineStr">
        <is>
          <t>IF(E180="","",IF(OR(Y180="Cancelled",AA180="Cancelled"),"Cancelled",IF(OR(AA180="Completed / Handover",W180&lt;&gt;"",X180&gt;=100),"Completed — on track",IF(L180="Remaining",IF(S180="",IF(V180="","No planned date",IF(TODAY()&gt;V180,"Behind — past planned date",IF(V180-TODAY()&lt;=30,"At risk — close to off track","On track"))),IF(TODAY()&gt;S180,"Behind — award date passed",IF(S180-TODAY()&lt;=30,"At risk — close to off track","On track"))),IF(V180="","No planned date",IF(AND(TODAY()&gt;V180,OR(X180="",X180&lt;100)),"Behind — past end date",IF(AND(R180&lt;&gt;"",V180&lt;&gt;"",X180&lt;&gt;"",(X180&lt;100),((TODAY()-R180)/MAX(V180-R180,1)*100)-X180&gt;15),"Behind — progress lag",IF(AND(V180-TODAY()&lt;=30,V180-TODAY()&gt;=0,OR(X180="",X180&lt;90)),"At risk — close to off track","On track"))))))))</t>
        </is>
      </c>
      <c r="AF180" s="38" t="inlineStr">
        <is>
          <t>IF(OR(E180="",AA180="Completed / Handover",AA180="Cancelled"),"",IF(L180="Remaining",IF(S180&lt;&gt;"",S180-TODAY(),IF(V180="","",V180-TODAY())),IF(V180="","",V180-TODAY())))</t>
        </is>
      </c>
      <c r="AG180" s="36" t="n"/>
      <c r="AH180" s="36" t="n"/>
      <c r="AI180" s="36" t="n"/>
      <c r="AJ180" s="36" t="n"/>
      <c r="AK180" s="36" t="n"/>
      <c r="AL180" s="36" t="n"/>
      <c r="AM180" s="36" t="n"/>
      <c r="AN180" s="36" t="n"/>
      <c r="AO180" s="36" t="n"/>
      <c r="AP180" s="36" t="n"/>
      <c r="AQ180" s="36" t="n"/>
      <c r="AR180" s="40" t="n"/>
      <c r="AS180" s="40" t="n"/>
      <c r="AT180" s="40" t="n"/>
      <c r="AU180" s="38" t="inlineStr">
        <is>
          <t>IF(OR(E180="",AH180=""),"",IF(COUNT(AG180:AG180)=0,"",AH180-LOOKUP(2,1/(AG180:AG180&lt;&gt;""),AG180:AG180)))</t>
        </is>
      </c>
      <c r="AV180" s="38" t="inlineStr">
        <is>
          <t>IF(OR(E180="",AI180=""),"",IF(COUNT(AG180:AH180)=0,"",AI180-LOOKUP(2,1/(AG180:AH180&lt;&gt;""),AG180:AH180)))</t>
        </is>
      </c>
      <c r="AW180" s="38" t="inlineStr">
        <is>
          <t>IF(OR(E180="",AJ180=""),"",IF(COUNT(AG180:AI180)=0,"",AJ180-LOOKUP(2,1/(AG180:AI180&lt;&gt;""),AG180:AI180)))</t>
        </is>
      </c>
      <c r="AX180" s="38" t="inlineStr">
        <is>
          <t>IF(OR(E180="",AK180=""),"",IF(COUNT(AG180:AJ180)=0,"",AK180-LOOKUP(2,1/(AG180:AJ180&lt;&gt;""),AG180:AJ180)))</t>
        </is>
      </c>
      <c r="AY180" s="38" t="inlineStr">
        <is>
          <t>IF(OR(E180="",AL180=""),"",IF(COUNT(AG180:AK180)=0,"",AL180-LOOKUP(2,1/(AG180:AK180&lt;&gt;""),AG180:AK180)))</t>
        </is>
      </c>
      <c r="AZ180" s="38" t="inlineStr">
        <is>
          <t>IF(OR(E180="",AM180=""),"",IF(COUNT(AG180:AL180)=0,"",AM180-LOOKUP(2,1/(AG180:AL180&lt;&gt;""),AG180:AL180)))</t>
        </is>
      </c>
      <c r="BA180" s="38" t="inlineStr">
        <is>
          <t>IF(OR(E180="",AN180=""),"",IF(COUNT(AG180:AM180)=0,"",AN180-LOOKUP(2,1/(AG180:AM180&lt;&gt;""),AG180:AM180)))</t>
        </is>
      </c>
      <c r="BB180" s="38" t="inlineStr">
        <is>
          <t>IF(OR(E180="",AO180=""),"",IF(COUNT(AG180:AN180)=0,"",AO180-LOOKUP(2,1/(AG180:AN180&lt;&gt;""),AG180:AN180)))</t>
        </is>
      </c>
      <c r="BC180" s="38" t="inlineStr">
        <is>
          <t>IF(OR(E180="",AP180=""),"",IF(COUNT(AG180:AO180)=0,"",AP180-LOOKUP(2,1/(AG180:AO180&lt;&gt;""),AG180:AO180)))</t>
        </is>
      </c>
      <c r="BD180" s="38" t="inlineStr">
        <is>
          <t>IF(OR(E180="",AQ180=""),"",IF(COUNT(AG180:AP180)=0,"",AQ180-LOOKUP(2,1/(AG180:AP180&lt;&gt;""),AG180:AP180)))</t>
        </is>
      </c>
      <c r="BE180" s="38" t="inlineStr">
        <is>
          <t>IF(OR(E180="",AR180=""),"",IF(COUNT(AG180:AQ180)=0,"",AR180-LOOKUP(2,1/(AG180:AQ180&lt;&gt;""),AG180:AQ180)))</t>
        </is>
      </c>
      <c r="BF180" s="38" t="inlineStr">
        <is>
          <t>IF(OR(E180="",AS180=""),"",IF(COUNT(AG180:AR180)=0,"",AS180-LOOKUP(2,1/(AG180:AR180&lt;&gt;""),AG180:AR180)))</t>
        </is>
      </c>
      <c r="BG180" s="38" t="inlineStr">
        <is>
          <t>IF(OR(E180="",AT180=""),"",IF(COUNT(AG180:AS180)=0,"",AT180-LOOKUP(2,1/(AG180:AS180&lt;&gt;""),AG180:AS180)))</t>
        </is>
      </c>
      <c r="BH180" s="41" t="inlineStr">
        <is>
          <t>IF(G180="","All_Provinces",IFERROR(VLOOKUP(G180,'07_Lookups'!$A$4:$B$20,2,FALSE),"All_Provinces"))</t>
        </is>
      </c>
      <c r="BI180" s="41" t="inlineStr">
        <is>
          <t>IF(H180="","All_Districts",IFERROR(VLOOKUP(H180,'07_Lookups'!$E$4:$F$42,2,FALSE),"All_Districts"))</t>
        </is>
      </c>
    </row>
    <row r="181" ht="18" customHeight="1">
      <c r="A181" s="32" t="inlineStr">
        <is>
          <t>IF(E181="","",ROW()-3)</t>
        </is>
      </c>
      <c r="B181" s="42" t="inlineStr">
        <is>
          <t>AF2-DIS-R-018</t>
        </is>
      </c>
      <c r="C181" s="42" t="inlineStr">
        <is>
          <t>Emergency Food Security Project (EFSP) – WBK/AF-2</t>
        </is>
      </c>
      <c r="D181"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1" s="42" t="inlineStr">
        <is>
          <t>4.Khas Kunar Drip Irrigation Scheme</t>
        </is>
      </c>
      <c r="F181" s="42" t="inlineStr">
        <is>
          <t>Drip Irrigation</t>
        </is>
      </c>
      <c r="G181" s="42" t="inlineStr">
        <is>
          <t>East / Jalalabad</t>
        </is>
      </c>
      <c r="H181" s="42" t="inlineStr">
        <is>
          <t>Kunar</t>
        </is>
      </c>
      <c r="I181" s="42" t="inlineStr">
        <is>
          <t>Khas Kunar</t>
        </is>
      </c>
      <c r="J181" s="42" t="inlineStr">
        <is>
          <t>Chanchan</t>
        </is>
      </c>
      <c r="K181" s="42" t="inlineStr">
        <is>
          <t>World Bank (WBK/AF-2)</t>
        </is>
      </c>
      <c r="L181" s="42" t="inlineStr">
        <is>
          <t>Remaining</t>
        </is>
      </c>
      <c r="M181" s="42" t="inlineStr">
        <is>
          <t>Drip irrigation</t>
        </is>
      </c>
      <c r="N181" s="42" t="inlineStr">
        <is>
          <t>5. Drip Irrigation systems</t>
        </is>
      </c>
      <c r="O181" s="42" t="inlineStr">
        <is>
          <t>M. Nabi</t>
        </is>
      </c>
      <c r="P181" s="42" t="inlineStr"/>
      <c r="Q181" s="43" t="n">
        <v>6935.5</v>
      </c>
      <c r="R181" s="35" t="inlineStr">
        <is>
          <t>IF(AO181="","",AO181)</t>
        </is>
      </c>
      <c r="S181" s="44" t="n">
        <v>46380</v>
      </c>
      <c r="T181" s="45" t="n">
        <v>4.9</v>
      </c>
      <c r="U181" s="44" t="n">
        <v>46530</v>
      </c>
      <c r="V181" s="35" t="inlineStr">
        <is>
          <t>IF(U181&lt;&gt;"",U181,IF(OR(R181="",T181=""),"",EDATE(R181,T181)))</t>
        </is>
      </c>
      <c r="W181" s="44" t="n"/>
      <c r="X181" s="45" t="n"/>
      <c r="Y181" s="42" t="inlineStr">
        <is>
          <t>Retendered (Re-ITB)</t>
        </is>
      </c>
      <c r="Z181" s="42" t="inlineStr">
        <is>
          <t>Five month construction period. No slack period considered for Laghman and Nagrahar and two months slack period for Kunar and Nuristan. '- | Farmer: M. Nabi</t>
        </is>
      </c>
      <c r="AA181" s="32" t="inlineStr">
        <is>
          <t>IF(E181="","",IF(COUNT(AG181:AT181)=0,IF(Y181="","Not started",Y181),SUBSTITUTE(LOOKUP(2,1/(AG181:AT181&lt;&gt;""),$AG$3:$AT$3),"Date: ","")))</t>
        </is>
      </c>
      <c r="AB181" s="38" t="inlineStr">
        <is>
          <t>IF(OR(E181="",COUNT(AG181:AT181)=0),"",TODAY()-LOOKUP(2,1/(AG181:AT181&lt;&gt;""),AG181:AT181))</t>
        </is>
      </c>
      <c r="AC181" s="38" t="inlineStr">
        <is>
          <t>IF(OR(E181="",COUNT(AG181:AT181)&lt;2),"",LOOKUP(2,1/(AG181:AT181&lt;&gt;""),AG181:AT181)-MIN(AG181:AT181))</t>
        </is>
      </c>
      <c r="AD181" s="38" t="inlineStr">
        <is>
          <t>IF(OR(AB181="",AA181="Not started",AA181=""),"",IFERROR(AB181-IF(VLOOKUP(AA181,'04_Status_Pipeline'!$B$3:$E$20,4,FALSE)="",0,VLOOKUP(AA181,'04_Status_Pipeline'!$B$3:$E$20,4,FALSE)),""))</t>
        </is>
      </c>
      <c r="AE181" s="32" t="inlineStr">
        <is>
          <t>IF(E181="","",IF(OR(Y181="Cancelled",AA181="Cancelled"),"Cancelled",IF(OR(AA181="Completed / Handover",W181&lt;&gt;"",X181&gt;=100),"Completed — on track",IF(L181="Remaining",IF(S181="",IF(V181="","No planned date",IF(TODAY()&gt;V181,"Behind — past planned date",IF(V181-TODAY()&lt;=30,"At risk — close to off track","On track"))),IF(TODAY()&gt;S181,"Behind — award date passed",IF(S181-TODAY()&lt;=30,"At risk — close to off track","On track"))),IF(V181="","No planned date",IF(AND(TODAY()&gt;V181,OR(X181="",X181&lt;100)),"Behind — past end date",IF(AND(R181&lt;&gt;"",V181&lt;&gt;"",X181&lt;&gt;"",(X181&lt;100),((TODAY()-R181)/MAX(V181-R181,1)*100)-X181&gt;15),"Behind — progress lag",IF(AND(V181-TODAY()&lt;=30,V181-TODAY()&gt;=0,OR(X181="",X181&lt;90)),"At risk — close to off track","On track"))))))))</t>
        </is>
      </c>
      <c r="AF181" s="38" t="inlineStr">
        <is>
          <t>IF(OR(E181="",AA181="Completed / Handover",AA181="Cancelled"),"",IF(L181="Remaining",IF(S181&lt;&gt;"",S181-TODAY(),IF(V181="","",V181-TODAY())),IF(V181="","",V181-TODAY())))</t>
        </is>
      </c>
      <c r="AG181" s="44" t="n"/>
      <c r="AH181" s="44" t="n"/>
      <c r="AI181" s="44" t="n"/>
      <c r="AJ181" s="44" t="n"/>
      <c r="AK181" s="44" t="n"/>
      <c r="AL181" s="44" t="n"/>
      <c r="AM181" s="44" t="n"/>
      <c r="AN181" s="44" t="n"/>
      <c r="AO181" s="44" t="n"/>
      <c r="AP181" s="44" t="n"/>
      <c r="AQ181" s="44" t="n"/>
      <c r="AR181" s="40" t="n"/>
      <c r="AS181" s="40" t="n"/>
      <c r="AT181" s="40" t="n"/>
      <c r="AU181" s="38" t="inlineStr">
        <is>
          <t>IF(OR(E181="",AH181=""),"",IF(COUNT(AG181:AG181)=0,"",AH181-LOOKUP(2,1/(AG181:AG181&lt;&gt;""),AG181:AG181)))</t>
        </is>
      </c>
      <c r="AV181" s="38" t="inlineStr">
        <is>
          <t>IF(OR(E181="",AI181=""),"",IF(COUNT(AG181:AH181)=0,"",AI181-LOOKUP(2,1/(AG181:AH181&lt;&gt;""),AG181:AH181)))</t>
        </is>
      </c>
      <c r="AW181" s="38" t="inlineStr">
        <is>
          <t>IF(OR(E181="",AJ181=""),"",IF(COUNT(AG181:AI181)=0,"",AJ181-LOOKUP(2,1/(AG181:AI181&lt;&gt;""),AG181:AI181)))</t>
        </is>
      </c>
      <c r="AX181" s="38" t="inlineStr">
        <is>
          <t>IF(OR(E181="",AK181=""),"",IF(COUNT(AG181:AJ181)=0,"",AK181-LOOKUP(2,1/(AG181:AJ181&lt;&gt;""),AG181:AJ181)))</t>
        </is>
      </c>
      <c r="AY181" s="38" t="inlineStr">
        <is>
          <t>IF(OR(E181="",AL181=""),"",IF(COUNT(AG181:AK181)=0,"",AL181-LOOKUP(2,1/(AG181:AK181&lt;&gt;""),AG181:AK181)))</t>
        </is>
      </c>
      <c r="AZ181" s="38" t="inlineStr">
        <is>
          <t>IF(OR(E181="",AM181=""),"",IF(COUNT(AG181:AL181)=0,"",AM181-LOOKUP(2,1/(AG181:AL181&lt;&gt;""),AG181:AL181)))</t>
        </is>
      </c>
      <c r="BA181" s="38" t="inlineStr">
        <is>
          <t>IF(OR(E181="",AN181=""),"",IF(COUNT(AG181:AM181)=0,"",AN181-LOOKUP(2,1/(AG181:AM181&lt;&gt;""),AG181:AM181)))</t>
        </is>
      </c>
      <c r="BB181" s="38" t="inlineStr">
        <is>
          <t>IF(OR(E181="",AO181=""),"",IF(COUNT(AG181:AN181)=0,"",AO181-LOOKUP(2,1/(AG181:AN181&lt;&gt;""),AG181:AN181)))</t>
        </is>
      </c>
      <c r="BC181" s="38" t="inlineStr">
        <is>
          <t>IF(OR(E181="",AP181=""),"",IF(COUNT(AG181:AO181)=0,"",AP181-LOOKUP(2,1/(AG181:AO181&lt;&gt;""),AG181:AO181)))</t>
        </is>
      </c>
      <c r="BD181" s="38" t="inlineStr">
        <is>
          <t>IF(OR(E181="",AQ181=""),"",IF(COUNT(AG181:AP181)=0,"",AQ181-LOOKUP(2,1/(AG181:AP181&lt;&gt;""),AG181:AP181)))</t>
        </is>
      </c>
      <c r="BE181" s="38" t="inlineStr">
        <is>
          <t>IF(OR(E181="",AR181=""),"",IF(COUNT(AG181:AQ181)=0,"",AR181-LOOKUP(2,1/(AG181:AQ181&lt;&gt;""),AG181:AQ181)))</t>
        </is>
      </c>
      <c r="BF181" s="38" t="inlineStr">
        <is>
          <t>IF(OR(E181="",AS181=""),"",IF(COUNT(AG181:AR181)=0,"",AS181-LOOKUP(2,1/(AG181:AR181&lt;&gt;""),AG181:AR181)))</t>
        </is>
      </c>
      <c r="BG181" s="38" t="inlineStr">
        <is>
          <t>IF(OR(E181="",AT181=""),"",IF(COUNT(AG181:AS181)=0,"",AT181-LOOKUP(2,1/(AG181:AS181&lt;&gt;""),AG181:AS181)))</t>
        </is>
      </c>
      <c r="BH181" s="41" t="inlineStr">
        <is>
          <t>IF(G181="","All_Provinces",IFERROR(VLOOKUP(G181,'07_Lookups'!$A$4:$B$20,2,FALSE),"All_Provinces"))</t>
        </is>
      </c>
      <c r="BI181" s="41" t="inlineStr">
        <is>
          <t>IF(H181="","All_Districts",IFERROR(VLOOKUP(H181,'07_Lookups'!$E$4:$F$42,2,FALSE),"All_Districts"))</t>
        </is>
      </c>
    </row>
    <row r="182" ht="18" customHeight="1">
      <c r="A182" s="32" t="inlineStr">
        <is>
          <t>IF(E182="","",ROW()-3)</t>
        </is>
      </c>
      <c r="B182" s="33" t="inlineStr">
        <is>
          <t>AF2-DIS-R-019</t>
        </is>
      </c>
      <c r="C182" s="33" t="inlineStr">
        <is>
          <t>Emergency Food Security Project (EFSP) – WBK/AF-2</t>
        </is>
      </c>
      <c r="D182"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2" s="33" t="inlineStr">
        <is>
          <t>5.Asmar Drip Irrigation Scheme</t>
        </is>
      </c>
      <c r="F182" s="33" t="inlineStr">
        <is>
          <t>Drip Irrigation</t>
        </is>
      </c>
      <c r="G182" s="33" t="inlineStr">
        <is>
          <t>East / Jalalabad</t>
        </is>
      </c>
      <c r="H182" s="33" t="inlineStr">
        <is>
          <t>Kunar</t>
        </is>
      </c>
      <c r="I182" s="33" t="inlineStr">
        <is>
          <t>Asmar</t>
        </is>
      </c>
      <c r="J182" s="33" t="inlineStr">
        <is>
          <t>Baylaye</t>
        </is>
      </c>
      <c r="K182" s="33" t="inlineStr">
        <is>
          <t>World Bank (WBK/AF-2)</t>
        </is>
      </c>
      <c r="L182" s="33" t="inlineStr">
        <is>
          <t>Remaining</t>
        </is>
      </c>
      <c r="M182" s="33" t="inlineStr">
        <is>
          <t>Drip irrigation</t>
        </is>
      </c>
      <c r="N182" s="33" t="inlineStr">
        <is>
          <t>5. Drip Irrigation systems</t>
        </is>
      </c>
      <c r="O182" s="33" t="inlineStr">
        <is>
          <t>Malik Rostam</t>
        </is>
      </c>
      <c r="P182" s="33" t="inlineStr"/>
      <c r="Q182" s="34" t="n">
        <v>4921.9</v>
      </c>
      <c r="R182" s="35" t="inlineStr">
        <is>
          <t>IF(AO182="","",AO182)</t>
        </is>
      </c>
      <c r="S182" s="36" t="n">
        <v>46380</v>
      </c>
      <c r="T182" s="37" t="n">
        <v>4.9</v>
      </c>
      <c r="U182" s="36" t="n">
        <v>46530</v>
      </c>
      <c r="V182" s="35" t="inlineStr">
        <is>
          <t>IF(U182&lt;&gt;"",U182,IF(OR(R182="",T182=""),"",EDATE(R182,T182)))</t>
        </is>
      </c>
      <c r="W182" s="36" t="n"/>
      <c r="X182" s="37" t="n"/>
      <c r="Y182" s="33" t="inlineStr">
        <is>
          <t>Retendered (Re-ITB)</t>
        </is>
      </c>
      <c r="Z182" s="33" t="inlineStr">
        <is>
          <t>Five month construction period. No slack period considered for Laghman and Nagrahar and two months slack period for Kunar and Nuristan. '- | Farmer: Malik Rostam</t>
        </is>
      </c>
      <c r="AA182" s="32" t="inlineStr">
        <is>
          <t>IF(E182="","",IF(COUNT(AG182:AT182)=0,IF(Y182="","Not started",Y182),SUBSTITUTE(LOOKUP(2,1/(AG182:AT182&lt;&gt;""),$AG$3:$AT$3),"Date: ","")))</t>
        </is>
      </c>
      <c r="AB182" s="38" t="inlineStr">
        <is>
          <t>IF(OR(E182="",COUNT(AG182:AT182)=0),"",TODAY()-LOOKUP(2,1/(AG182:AT182&lt;&gt;""),AG182:AT182))</t>
        </is>
      </c>
      <c r="AC182" s="38" t="inlineStr">
        <is>
          <t>IF(OR(E182="",COUNT(AG182:AT182)&lt;2),"",LOOKUP(2,1/(AG182:AT182&lt;&gt;""),AG182:AT182)-MIN(AG182:AT182))</t>
        </is>
      </c>
      <c r="AD182" s="38" t="inlineStr">
        <is>
          <t>IF(OR(AB182="",AA182="Not started",AA182=""),"",IFERROR(AB182-IF(VLOOKUP(AA182,'04_Status_Pipeline'!$B$3:$E$20,4,FALSE)="",0,VLOOKUP(AA182,'04_Status_Pipeline'!$B$3:$E$20,4,FALSE)),""))</t>
        </is>
      </c>
      <c r="AE182" s="32" t="inlineStr">
        <is>
          <t>IF(E182="","",IF(OR(Y182="Cancelled",AA182="Cancelled"),"Cancelled",IF(OR(AA182="Completed / Handover",W182&lt;&gt;"",X182&gt;=100),"Completed — on track",IF(L182="Remaining",IF(S182="",IF(V182="","No planned date",IF(TODAY()&gt;V182,"Behind — past planned date",IF(V182-TODAY()&lt;=30,"At risk — close to off track","On track"))),IF(TODAY()&gt;S182,"Behind — award date passed",IF(S182-TODAY()&lt;=30,"At risk — close to off track","On track"))),IF(V182="","No planned date",IF(AND(TODAY()&gt;V182,OR(X182="",X182&lt;100)),"Behind — past end date",IF(AND(R182&lt;&gt;"",V182&lt;&gt;"",X182&lt;&gt;"",(X182&lt;100),((TODAY()-R182)/MAX(V182-R182,1)*100)-X182&gt;15),"Behind — progress lag",IF(AND(V182-TODAY()&lt;=30,V182-TODAY()&gt;=0,OR(X182="",X182&lt;90)),"At risk — close to off track","On track"))))))))</t>
        </is>
      </c>
      <c r="AF182" s="38" t="inlineStr">
        <is>
          <t>IF(OR(E182="",AA182="Completed / Handover",AA182="Cancelled"),"",IF(L182="Remaining",IF(S182&lt;&gt;"",S182-TODAY(),IF(V182="","",V182-TODAY())),IF(V182="","",V182-TODAY())))</t>
        </is>
      </c>
      <c r="AG182" s="36" t="n"/>
      <c r="AH182" s="36" t="n"/>
      <c r="AI182" s="36" t="n"/>
      <c r="AJ182" s="36" t="n"/>
      <c r="AK182" s="36" t="n"/>
      <c r="AL182" s="36" t="n"/>
      <c r="AM182" s="36" t="n"/>
      <c r="AN182" s="36" t="n"/>
      <c r="AO182" s="36" t="n"/>
      <c r="AP182" s="36" t="n"/>
      <c r="AQ182" s="36" t="n"/>
      <c r="AR182" s="40" t="n"/>
      <c r="AS182" s="40" t="n"/>
      <c r="AT182" s="40" t="n"/>
      <c r="AU182" s="38" t="inlineStr">
        <is>
          <t>IF(OR(E182="",AH182=""),"",IF(COUNT(AG182:AG182)=0,"",AH182-LOOKUP(2,1/(AG182:AG182&lt;&gt;""),AG182:AG182)))</t>
        </is>
      </c>
      <c r="AV182" s="38" t="inlineStr">
        <is>
          <t>IF(OR(E182="",AI182=""),"",IF(COUNT(AG182:AH182)=0,"",AI182-LOOKUP(2,1/(AG182:AH182&lt;&gt;""),AG182:AH182)))</t>
        </is>
      </c>
      <c r="AW182" s="38" t="inlineStr">
        <is>
          <t>IF(OR(E182="",AJ182=""),"",IF(COUNT(AG182:AI182)=0,"",AJ182-LOOKUP(2,1/(AG182:AI182&lt;&gt;""),AG182:AI182)))</t>
        </is>
      </c>
      <c r="AX182" s="38" t="inlineStr">
        <is>
          <t>IF(OR(E182="",AK182=""),"",IF(COUNT(AG182:AJ182)=0,"",AK182-LOOKUP(2,1/(AG182:AJ182&lt;&gt;""),AG182:AJ182)))</t>
        </is>
      </c>
      <c r="AY182" s="38" t="inlineStr">
        <is>
          <t>IF(OR(E182="",AL182=""),"",IF(COUNT(AG182:AK182)=0,"",AL182-LOOKUP(2,1/(AG182:AK182&lt;&gt;""),AG182:AK182)))</t>
        </is>
      </c>
      <c r="AZ182" s="38" t="inlineStr">
        <is>
          <t>IF(OR(E182="",AM182=""),"",IF(COUNT(AG182:AL182)=0,"",AM182-LOOKUP(2,1/(AG182:AL182&lt;&gt;""),AG182:AL182)))</t>
        </is>
      </c>
      <c r="BA182" s="38" t="inlineStr">
        <is>
          <t>IF(OR(E182="",AN182=""),"",IF(COUNT(AG182:AM182)=0,"",AN182-LOOKUP(2,1/(AG182:AM182&lt;&gt;""),AG182:AM182)))</t>
        </is>
      </c>
      <c r="BB182" s="38" t="inlineStr">
        <is>
          <t>IF(OR(E182="",AO182=""),"",IF(COUNT(AG182:AN182)=0,"",AO182-LOOKUP(2,1/(AG182:AN182&lt;&gt;""),AG182:AN182)))</t>
        </is>
      </c>
      <c r="BC182" s="38" t="inlineStr">
        <is>
          <t>IF(OR(E182="",AP182=""),"",IF(COUNT(AG182:AO182)=0,"",AP182-LOOKUP(2,1/(AG182:AO182&lt;&gt;""),AG182:AO182)))</t>
        </is>
      </c>
      <c r="BD182" s="38" t="inlineStr">
        <is>
          <t>IF(OR(E182="",AQ182=""),"",IF(COUNT(AG182:AP182)=0,"",AQ182-LOOKUP(2,1/(AG182:AP182&lt;&gt;""),AG182:AP182)))</t>
        </is>
      </c>
      <c r="BE182" s="38" t="inlineStr">
        <is>
          <t>IF(OR(E182="",AR182=""),"",IF(COUNT(AG182:AQ182)=0,"",AR182-LOOKUP(2,1/(AG182:AQ182&lt;&gt;""),AG182:AQ182)))</t>
        </is>
      </c>
      <c r="BF182" s="38" t="inlineStr">
        <is>
          <t>IF(OR(E182="",AS182=""),"",IF(COUNT(AG182:AR182)=0,"",AS182-LOOKUP(2,1/(AG182:AR182&lt;&gt;""),AG182:AR182)))</t>
        </is>
      </c>
      <c r="BG182" s="38" t="inlineStr">
        <is>
          <t>IF(OR(E182="",AT182=""),"",IF(COUNT(AG182:AS182)=0,"",AT182-LOOKUP(2,1/(AG182:AS182&lt;&gt;""),AG182:AS182)))</t>
        </is>
      </c>
      <c r="BH182" s="41" t="inlineStr">
        <is>
          <t>IF(G182="","All_Provinces",IFERROR(VLOOKUP(G182,'07_Lookups'!$A$4:$B$20,2,FALSE),"All_Provinces"))</t>
        </is>
      </c>
      <c r="BI182" s="41" t="inlineStr">
        <is>
          <t>IF(H182="","All_Districts",IFERROR(VLOOKUP(H182,'07_Lookups'!$E$4:$F$42,2,FALSE),"All_Districts"))</t>
        </is>
      </c>
    </row>
    <row r="183" ht="18" customHeight="1">
      <c r="A183" s="32" t="inlineStr">
        <is>
          <t>IF(E183="","",ROW()-3)</t>
        </is>
      </c>
      <c r="B183" s="42" t="inlineStr">
        <is>
          <t>AF2-DIS-R-020</t>
        </is>
      </c>
      <c r="C183" s="42" t="inlineStr">
        <is>
          <t>Emergency Food Security Project (EFSP) – WBK/AF-2</t>
        </is>
      </c>
      <c r="D183"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3" s="42" t="inlineStr">
        <is>
          <t>6.Manogai Drip Irrigation Scheme</t>
        </is>
      </c>
      <c r="F183" s="42" t="inlineStr">
        <is>
          <t>Drip Irrigation</t>
        </is>
      </c>
      <c r="G183" s="42" t="inlineStr">
        <is>
          <t>East / Jalalabad</t>
        </is>
      </c>
      <c r="H183" s="42" t="inlineStr">
        <is>
          <t>Kunar</t>
        </is>
      </c>
      <c r="I183" s="42" t="inlineStr">
        <is>
          <t>Manogai</t>
        </is>
      </c>
      <c r="J183" s="42" t="inlineStr">
        <is>
          <t>Dabarzai</t>
        </is>
      </c>
      <c r="K183" s="42" t="inlineStr">
        <is>
          <t>World Bank (WBK/AF-2)</t>
        </is>
      </c>
      <c r="L183" s="42" t="inlineStr">
        <is>
          <t>Remaining</t>
        </is>
      </c>
      <c r="M183" s="42" t="inlineStr">
        <is>
          <t>Drip irrigation</t>
        </is>
      </c>
      <c r="N183" s="42" t="inlineStr">
        <is>
          <t>5. Drip Irrigation systems</t>
        </is>
      </c>
      <c r="O183" s="42" t="inlineStr">
        <is>
          <t>M. Afzal</t>
        </is>
      </c>
      <c r="P183" s="42" t="inlineStr"/>
      <c r="Q183" s="43" t="n">
        <v>5530.7</v>
      </c>
      <c r="R183" s="35" t="inlineStr">
        <is>
          <t>IF(AO183="","",AO183)</t>
        </is>
      </c>
      <c r="S183" s="44" t="n">
        <v>46380</v>
      </c>
      <c r="T183" s="45" t="n">
        <v>4.9</v>
      </c>
      <c r="U183" s="44" t="n">
        <v>46530</v>
      </c>
      <c r="V183" s="35" t="inlineStr">
        <is>
          <t>IF(U183&lt;&gt;"",U183,IF(OR(R183="",T183=""),"",EDATE(R183,T183)))</t>
        </is>
      </c>
      <c r="W183" s="44" t="n"/>
      <c r="X183" s="45" t="n"/>
      <c r="Y183" s="42" t="inlineStr">
        <is>
          <t>Retendered (Re-ITB)</t>
        </is>
      </c>
      <c r="Z183" s="42" t="inlineStr">
        <is>
          <t>Five month construction period. No slack period considered for Laghman and Nagrahar and two months slack period for Kunar and Nuristan. '- | Farmer: M. Afzal</t>
        </is>
      </c>
      <c r="AA183" s="32" t="inlineStr">
        <is>
          <t>IF(E183="","",IF(COUNT(AG183:AT183)=0,IF(Y183="","Not started",Y183),SUBSTITUTE(LOOKUP(2,1/(AG183:AT183&lt;&gt;""),$AG$3:$AT$3),"Date: ","")))</t>
        </is>
      </c>
      <c r="AB183" s="38" t="inlineStr">
        <is>
          <t>IF(OR(E183="",COUNT(AG183:AT183)=0),"",TODAY()-LOOKUP(2,1/(AG183:AT183&lt;&gt;""),AG183:AT183))</t>
        </is>
      </c>
      <c r="AC183" s="38" t="inlineStr">
        <is>
          <t>IF(OR(E183="",COUNT(AG183:AT183)&lt;2),"",LOOKUP(2,1/(AG183:AT183&lt;&gt;""),AG183:AT183)-MIN(AG183:AT183))</t>
        </is>
      </c>
      <c r="AD183" s="38" t="inlineStr">
        <is>
          <t>IF(OR(AB183="",AA183="Not started",AA183=""),"",IFERROR(AB183-IF(VLOOKUP(AA183,'04_Status_Pipeline'!$B$3:$E$20,4,FALSE)="",0,VLOOKUP(AA183,'04_Status_Pipeline'!$B$3:$E$20,4,FALSE)),""))</t>
        </is>
      </c>
      <c r="AE183" s="32" t="inlineStr">
        <is>
          <t>IF(E183="","",IF(OR(Y183="Cancelled",AA183="Cancelled"),"Cancelled",IF(OR(AA183="Completed / Handover",W183&lt;&gt;"",X183&gt;=100),"Completed — on track",IF(L183="Remaining",IF(S183="",IF(V183="","No planned date",IF(TODAY()&gt;V183,"Behind — past planned date",IF(V183-TODAY()&lt;=30,"At risk — close to off track","On track"))),IF(TODAY()&gt;S183,"Behind — award date passed",IF(S183-TODAY()&lt;=30,"At risk — close to off track","On track"))),IF(V183="","No planned date",IF(AND(TODAY()&gt;V183,OR(X183="",X183&lt;100)),"Behind — past end date",IF(AND(R183&lt;&gt;"",V183&lt;&gt;"",X183&lt;&gt;"",(X183&lt;100),((TODAY()-R183)/MAX(V183-R183,1)*100)-X183&gt;15),"Behind — progress lag",IF(AND(V183-TODAY()&lt;=30,V183-TODAY()&gt;=0,OR(X183="",X183&lt;90)),"At risk — close to off track","On track"))))))))</t>
        </is>
      </c>
      <c r="AF183" s="38" t="inlineStr">
        <is>
          <t>IF(OR(E183="",AA183="Completed / Handover",AA183="Cancelled"),"",IF(L183="Remaining",IF(S183&lt;&gt;"",S183-TODAY(),IF(V183="","",V183-TODAY())),IF(V183="","",V183-TODAY())))</t>
        </is>
      </c>
      <c r="AG183" s="44" t="n"/>
      <c r="AH183" s="44" t="n"/>
      <c r="AI183" s="44" t="n"/>
      <c r="AJ183" s="44" t="n"/>
      <c r="AK183" s="44" t="n"/>
      <c r="AL183" s="44" t="n"/>
      <c r="AM183" s="44" t="n"/>
      <c r="AN183" s="44" t="n"/>
      <c r="AO183" s="44" t="n"/>
      <c r="AP183" s="44" t="n"/>
      <c r="AQ183" s="44" t="n"/>
      <c r="AR183" s="40" t="n"/>
      <c r="AS183" s="40" t="n"/>
      <c r="AT183" s="40" t="n"/>
      <c r="AU183" s="38" t="inlineStr">
        <is>
          <t>IF(OR(E183="",AH183=""),"",IF(COUNT(AG183:AG183)=0,"",AH183-LOOKUP(2,1/(AG183:AG183&lt;&gt;""),AG183:AG183)))</t>
        </is>
      </c>
      <c r="AV183" s="38" t="inlineStr">
        <is>
          <t>IF(OR(E183="",AI183=""),"",IF(COUNT(AG183:AH183)=0,"",AI183-LOOKUP(2,1/(AG183:AH183&lt;&gt;""),AG183:AH183)))</t>
        </is>
      </c>
      <c r="AW183" s="38" t="inlineStr">
        <is>
          <t>IF(OR(E183="",AJ183=""),"",IF(COUNT(AG183:AI183)=0,"",AJ183-LOOKUP(2,1/(AG183:AI183&lt;&gt;""),AG183:AI183)))</t>
        </is>
      </c>
      <c r="AX183" s="38" t="inlineStr">
        <is>
          <t>IF(OR(E183="",AK183=""),"",IF(COUNT(AG183:AJ183)=0,"",AK183-LOOKUP(2,1/(AG183:AJ183&lt;&gt;""),AG183:AJ183)))</t>
        </is>
      </c>
      <c r="AY183" s="38" t="inlineStr">
        <is>
          <t>IF(OR(E183="",AL183=""),"",IF(COUNT(AG183:AK183)=0,"",AL183-LOOKUP(2,1/(AG183:AK183&lt;&gt;""),AG183:AK183)))</t>
        </is>
      </c>
      <c r="AZ183" s="38" t="inlineStr">
        <is>
          <t>IF(OR(E183="",AM183=""),"",IF(COUNT(AG183:AL183)=0,"",AM183-LOOKUP(2,1/(AG183:AL183&lt;&gt;""),AG183:AL183)))</t>
        </is>
      </c>
      <c r="BA183" s="38" t="inlineStr">
        <is>
          <t>IF(OR(E183="",AN183=""),"",IF(COUNT(AG183:AM183)=0,"",AN183-LOOKUP(2,1/(AG183:AM183&lt;&gt;""),AG183:AM183)))</t>
        </is>
      </c>
      <c r="BB183" s="38" t="inlineStr">
        <is>
          <t>IF(OR(E183="",AO183=""),"",IF(COUNT(AG183:AN183)=0,"",AO183-LOOKUP(2,1/(AG183:AN183&lt;&gt;""),AG183:AN183)))</t>
        </is>
      </c>
      <c r="BC183" s="38" t="inlineStr">
        <is>
          <t>IF(OR(E183="",AP183=""),"",IF(COUNT(AG183:AO183)=0,"",AP183-LOOKUP(2,1/(AG183:AO183&lt;&gt;""),AG183:AO183)))</t>
        </is>
      </c>
      <c r="BD183" s="38" t="inlineStr">
        <is>
          <t>IF(OR(E183="",AQ183=""),"",IF(COUNT(AG183:AP183)=0,"",AQ183-LOOKUP(2,1/(AG183:AP183&lt;&gt;""),AG183:AP183)))</t>
        </is>
      </c>
      <c r="BE183" s="38" t="inlineStr">
        <is>
          <t>IF(OR(E183="",AR183=""),"",IF(COUNT(AG183:AQ183)=0,"",AR183-LOOKUP(2,1/(AG183:AQ183&lt;&gt;""),AG183:AQ183)))</t>
        </is>
      </c>
      <c r="BF183" s="38" t="inlineStr">
        <is>
          <t>IF(OR(E183="",AS183=""),"",IF(COUNT(AG183:AR183)=0,"",AS183-LOOKUP(2,1/(AG183:AR183&lt;&gt;""),AG183:AR183)))</t>
        </is>
      </c>
      <c r="BG183" s="38" t="inlineStr">
        <is>
          <t>IF(OR(E183="",AT183=""),"",IF(COUNT(AG183:AS183)=0,"",AT183-LOOKUP(2,1/(AG183:AS183&lt;&gt;""),AG183:AS183)))</t>
        </is>
      </c>
      <c r="BH183" s="41" t="inlineStr">
        <is>
          <t>IF(G183="","All_Provinces",IFERROR(VLOOKUP(G183,'07_Lookups'!$A$4:$B$20,2,FALSE),"All_Provinces"))</t>
        </is>
      </c>
      <c r="BI183" s="41" t="inlineStr">
        <is>
          <t>IF(H183="","All_Districts",IFERROR(VLOOKUP(H183,'07_Lookups'!$E$4:$F$42,2,FALSE),"All_Districts"))</t>
        </is>
      </c>
    </row>
    <row r="184" ht="18" customHeight="1">
      <c r="A184" s="32" t="inlineStr">
        <is>
          <t>IF(E184="","",ROW()-3)</t>
        </is>
      </c>
      <c r="B184" s="33" t="inlineStr">
        <is>
          <t>AF2-DIS-R-021</t>
        </is>
      </c>
      <c r="C184" s="33" t="inlineStr">
        <is>
          <t>Emergency Food Security Project (EFSP) – WBK/AF-2</t>
        </is>
      </c>
      <c r="D184"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4" s="33" t="inlineStr">
        <is>
          <t>7.Kunar University Drip irrigation Scheme</t>
        </is>
      </c>
      <c r="F184" s="33" t="inlineStr">
        <is>
          <t>Drip Irrigation</t>
        </is>
      </c>
      <c r="G184" s="33" t="inlineStr">
        <is>
          <t>East / Jalalabad</t>
        </is>
      </c>
      <c r="H184" s="33" t="inlineStr">
        <is>
          <t>Kunar</t>
        </is>
      </c>
      <c r="I184" s="33" t="inlineStr">
        <is>
          <t>Asadabad</t>
        </is>
      </c>
      <c r="J184" s="33" t="inlineStr">
        <is>
          <t>Kunar University</t>
        </is>
      </c>
      <c r="K184" s="33" t="inlineStr">
        <is>
          <t>World Bank (WBK/AF-2)</t>
        </is>
      </c>
      <c r="L184" s="33" t="inlineStr">
        <is>
          <t>Remaining</t>
        </is>
      </c>
      <c r="M184" s="33" t="inlineStr">
        <is>
          <t>Drip irrigation</t>
        </is>
      </c>
      <c r="N184" s="33" t="inlineStr">
        <is>
          <t>5. Drip Irrigation systems</t>
        </is>
      </c>
      <c r="O184" s="33" t="inlineStr">
        <is>
          <t>Kunar University</t>
        </is>
      </c>
      <c r="P184" s="33" t="inlineStr"/>
      <c r="Q184" s="34" t="n">
        <v>4255.5</v>
      </c>
      <c r="R184" s="35" t="inlineStr">
        <is>
          <t>IF(AO184="","",AO184)</t>
        </is>
      </c>
      <c r="S184" s="36" t="n">
        <v>46380</v>
      </c>
      <c r="T184" s="37" t="n">
        <v>4.9</v>
      </c>
      <c r="U184" s="36" t="n">
        <v>46530</v>
      </c>
      <c r="V184" s="35" t="inlineStr">
        <is>
          <t>IF(U184&lt;&gt;"",U184,IF(OR(R184="",T184=""),"",EDATE(R184,T184)))</t>
        </is>
      </c>
      <c r="W184" s="36" t="n"/>
      <c r="X184" s="37" t="n"/>
      <c r="Y184" s="33" t="inlineStr">
        <is>
          <t>Retendered (Re-ITB)</t>
        </is>
      </c>
      <c r="Z184" s="33" t="inlineStr">
        <is>
          <t>Five month construction period. No slack period considered for Laghman and Nagrahar and two months slack period for Kunar and Nuristan. '- | Farmer: Kunar University</t>
        </is>
      </c>
      <c r="AA184" s="32" t="inlineStr">
        <is>
          <t>IF(E184="","",IF(COUNT(AG184:AT184)=0,IF(Y184="","Not started",Y184),SUBSTITUTE(LOOKUP(2,1/(AG184:AT184&lt;&gt;""),$AG$3:$AT$3),"Date: ","")))</t>
        </is>
      </c>
      <c r="AB184" s="38" t="inlineStr">
        <is>
          <t>IF(OR(E184="",COUNT(AG184:AT184)=0),"",TODAY()-LOOKUP(2,1/(AG184:AT184&lt;&gt;""),AG184:AT184))</t>
        </is>
      </c>
      <c r="AC184" s="38" t="inlineStr">
        <is>
          <t>IF(OR(E184="",COUNT(AG184:AT184)&lt;2),"",LOOKUP(2,1/(AG184:AT184&lt;&gt;""),AG184:AT184)-MIN(AG184:AT184))</t>
        </is>
      </c>
      <c r="AD184" s="38" t="inlineStr">
        <is>
          <t>IF(OR(AB184="",AA184="Not started",AA184=""),"",IFERROR(AB184-IF(VLOOKUP(AA184,'04_Status_Pipeline'!$B$3:$E$20,4,FALSE)="",0,VLOOKUP(AA184,'04_Status_Pipeline'!$B$3:$E$20,4,FALSE)),""))</t>
        </is>
      </c>
      <c r="AE184" s="32" t="inlineStr">
        <is>
          <t>IF(E184="","",IF(OR(Y184="Cancelled",AA184="Cancelled"),"Cancelled",IF(OR(AA184="Completed / Handover",W184&lt;&gt;"",X184&gt;=100),"Completed — on track",IF(L184="Remaining",IF(S184="",IF(V184="","No planned date",IF(TODAY()&gt;V184,"Behind — past planned date",IF(V184-TODAY()&lt;=30,"At risk — close to off track","On track"))),IF(TODAY()&gt;S184,"Behind — award date passed",IF(S184-TODAY()&lt;=30,"At risk — close to off track","On track"))),IF(V184="","No planned date",IF(AND(TODAY()&gt;V184,OR(X184="",X184&lt;100)),"Behind — past end date",IF(AND(R184&lt;&gt;"",V184&lt;&gt;"",X184&lt;&gt;"",(X184&lt;100),((TODAY()-R184)/MAX(V184-R184,1)*100)-X184&gt;15),"Behind — progress lag",IF(AND(V184-TODAY()&lt;=30,V184-TODAY()&gt;=0,OR(X184="",X184&lt;90)),"At risk — close to off track","On track"))))))))</t>
        </is>
      </c>
      <c r="AF184" s="38" t="inlineStr">
        <is>
          <t>IF(OR(E184="",AA184="Completed / Handover",AA184="Cancelled"),"",IF(L184="Remaining",IF(S184&lt;&gt;"",S184-TODAY(),IF(V184="","",V184-TODAY())),IF(V184="","",V184-TODAY())))</t>
        </is>
      </c>
      <c r="AG184" s="36" t="n"/>
      <c r="AH184" s="36" t="n"/>
      <c r="AI184" s="36" t="n"/>
      <c r="AJ184" s="36" t="n"/>
      <c r="AK184" s="36" t="n"/>
      <c r="AL184" s="36" t="n"/>
      <c r="AM184" s="36" t="n"/>
      <c r="AN184" s="36" t="n"/>
      <c r="AO184" s="36" t="n"/>
      <c r="AP184" s="36" t="n"/>
      <c r="AQ184" s="36" t="n"/>
      <c r="AR184" s="40" t="n"/>
      <c r="AS184" s="40" t="n"/>
      <c r="AT184" s="40" t="n"/>
      <c r="AU184" s="38" t="inlineStr">
        <is>
          <t>IF(OR(E184="",AH184=""),"",IF(COUNT(AG184:AG184)=0,"",AH184-LOOKUP(2,1/(AG184:AG184&lt;&gt;""),AG184:AG184)))</t>
        </is>
      </c>
      <c r="AV184" s="38" t="inlineStr">
        <is>
          <t>IF(OR(E184="",AI184=""),"",IF(COUNT(AG184:AH184)=0,"",AI184-LOOKUP(2,1/(AG184:AH184&lt;&gt;""),AG184:AH184)))</t>
        </is>
      </c>
      <c r="AW184" s="38" t="inlineStr">
        <is>
          <t>IF(OR(E184="",AJ184=""),"",IF(COUNT(AG184:AI184)=0,"",AJ184-LOOKUP(2,1/(AG184:AI184&lt;&gt;""),AG184:AI184)))</t>
        </is>
      </c>
      <c r="AX184" s="38" t="inlineStr">
        <is>
          <t>IF(OR(E184="",AK184=""),"",IF(COUNT(AG184:AJ184)=0,"",AK184-LOOKUP(2,1/(AG184:AJ184&lt;&gt;""),AG184:AJ184)))</t>
        </is>
      </c>
      <c r="AY184" s="38" t="inlineStr">
        <is>
          <t>IF(OR(E184="",AL184=""),"",IF(COUNT(AG184:AK184)=0,"",AL184-LOOKUP(2,1/(AG184:AK184&lt;&gt;""),AG184:AK184)))</t>
        </is>
      </c>
      <c r="AZ184" s="38" t="inlineStr">
        <is>
          <t>IF(OR(E184="",AM184=""),"",IF(COUNT(AG184:AL184)=0,"",AM184-LOOKUP(2,1/(AG184:AL184&lt;&gt;""),AG184:AL184)))</t>
        </is>
      </c>
      <c r="BA184" s="38" t="inlineStr">
        <is>
          <t>IF(OR(E184="",AN184=""),"",IF(COUNT(AG184:AM184)=0,"",AN184-LOOKUP(2,1/(AG184:AM184&lt;&gt;""),AG184:AM184)))</t>
        </is>
      </c>
      <c r="BB184" s="38" t="inlineStr">
        <is>
          <t>IF(OR(E184="",AO184=""),"",IF(COUNT(AG184:AN184)=0,"",AO184-LOOKUP(2,1/(AG184:AN184&lt;&gt;""),AG184:AN184)))</t>
        </is>
      </c>
      <c r="BC184" s="38" t="inlineStr">
        <is>
          <t>IF(OR(E184="",AP184=""),"",IF(COUNT(AG184:AO184)=0,"",AP184-LOOKUP(2,1/(AG184:AO184&lt;&gt;""),AG184:AO184)))</t>
        </is>
      </c>
      <c r="BD184" s="38" t="inlineStr">
        <is>
          <t>IF(OR(E184="",AQ184=""),"",IF(COUNT(AG184:AP184)=0,"",AQ184-LOOKUP(2,1/(AG184:AP184&lt;&gt;""),AG184:AP184)))</t>
        </is>
      </c>
      <c r="BE184" s="38" t="inlineStr">
        <is>
          <t>IF(OR(E184="",AR184=""),"",IF(COUNT(AG184:AQ184)=0,"",AR184-LOOKUP(2,1/(AG184:AQ184&lt;&gt;""),AG184:AQ184)))</t>
        </is>
      </c>
      <c r="BF184" s="38" t="inlineStr">
        <is>
          <t>IF(OR(E184="",AS184=""),"",IF(COUNT(AG184:AR184)=0,"",AS184-LOOKUP(2,1/(AG184:AR184&lt;&gt;""),AG184:AR184)))</t>
        </is>
      </c>
      <c r="BG184" s="38" t="inlineStr">
        <is>
          <t>IF(OR(E184="",AT184=""),"",IF(COUNT(AG184:AS184)=0,"",AT184-LOOKUP(2,1/(AG184:AS184&lt;&gt;""),AG184:AS184)))</t>
        </is>
      </c>
      <c r="BH184" s="41" t="inlineStr">
        <is>
          <t>IF(G184="","All_Provinces",IFERROR(VLOOKUP(G184,'07_Lookups'!$A$4:$B$20,2,FALSE),"All_Provinces"))</t>
        </is>
      </c>
      <c r="BI184" s="41" t="inlineStr">
        <is>
          <t>IF(H184="","All_Districts",IFERROR(VLOOKUP(H184,'07_Lookups'!$E$4:$F$42,2,FALSE),"All_Districts"))</t>
        </is>
      </c>
    </row>
    <row r="185" ht="18" customHeight="1">
      <c r="A185" s="32" t="inlineStr">
        <is>
          <t>IF(E185="","",ROW()-3)</t>
        </is>
      </c>
      <c r="B185" s="42" t="inlineStr">
        <is>
          <t>AF2-DIS-R-022</t>
        </is>
      </c>
      <c r="C185" s="42" t="inlineStr">
        <is>
          <t>Emergency Food Security Project (EFSP) – WBK/AF-2</t>
        </is>
      </c>
      <c r="D185"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5" s="42" t="inlineStr">
        <is>
          <t>8.Parun Drip irrigation Site</t>
        </is>
      </c>
      <c r="F185" s="42" t="inlineStr">
        <is>
          <t>Drip Irrigation</t>
        </is>
      </c>
      <c r="G185" s="42" t="inlineStr">
        <is>
          <t>East / Jalalabad</t>
        </is>
      </c>
      <c r="H185" s="42" t="inlineStr">
        <is>
          <t>Nuristan</t>
        </is>
      </c>
      <c r="I185" s="42" t="inlineStr">
        <is>
          <t>Parun</t>
        </is>
      </c>
      <c r="J185" s="42" t="inlineStr">
        <is>
          <t>Ishtivi</t>
        </is>
      </c>
      <c r="K185" s="42" t="inlineStr">
        <is>
          <t>World Bank (WBK/AF-2)</t>
        </is>
      </c>
      <c r="L185" s="42" t="inlineStr">
        <is>
          <t>Remaining</t>
        </is>
      </c>
      <c r="M185" s="42" t="inlineStr">
        <is>
          <t>Drip irrigation</t>
        </is>
      </c>
      <c r="N185" s="42" t="inlineStr">
        <is>
          <t>5. Drip Irrigation systems</t>
        </is>
      </c>
      <c r="O185" s="42" t="inlineStr">
        <is>
          <t>Ehsanullah</t>
        </is>
      </c>
      <c r="P185" s="42" t="inlineStr"/>
      <c r="Q185" s="43" t="n">
        <v>5725.3</v>
      </c>
      <c r="R185" s="35" t="inlineStr">
        <is>
          <t>IF(AO185="","",AO185)</t>
        </is>
      </c>
      <c r="S185" s="44" t="n">
        <v>46380</v>
      </c>
      <c r="T185" s="45" t="n">
        <v>4.9</v>
      </c>
      <c r="U185" s="44" t="n">
        <v>46530</v>
      </c>
      <c r="V185" s="35" t="inlineStr">
        <is>
          <t>IF(U185&lt;&gt;"",U185,IF(OR(R185="",T185=""),"",EDATE(R185,T185)))</t>
        </is>
      </c>
      <c r="W185" s="44" t="n"/>
      <c r="X185" s="45" t="n"/>
      <c r="Y185" s="42" t="inlineStr">
        <is>
          <t>Retendered (Re-ITB)</t>
        </is>
      </c>
      <c r="Z185" s="42" t="inlineStr">
        <is>
          <t>Five month construction period. No slack period considered for Laghman and Nagrahar and two months slack period for Kunar and Nuristan. '- | Farmer: Ehsanullah</t>
        </is>
      </c>
      <c r="AA185" s="32" t="inlineStr">
        <is>
          <t>IF(E185="","",IF(COUNT(AG185:AT185)=0,IF(Y185="","Not started",Y185),SUBSTITUTE(LOOKUP(2,1/(AG185:AT185&lt;&gt;""),$AG$3:$AT$3),"Date: ","")))</t>
        </is>
      </c>
      <c r="AB185" s="38" t="inlineStr">
        <is>
          <t>IF(OR(E185="",COUNT(AG185:AT185)=0),"",TODAY()-LOOKUP(2,1/(AG185:AT185&lt;&gt;""),AG185:AT185))</t>
        </is>
      </c>
      <c r="AC185" s="38" t="inlineStr">
        <is>
          <t>IF(OR(E185="",COUNT(AG185:AT185)&lt;2),"",LOOKUP(2,1/(AG185:AT185&lt;&gt;""),AG185:AT185)-MIN(AG185:AT185))</t>
        </is>
      </c>
      <c r="AD185" s="38" t="inlineStr">
        <is>
          <t>IF(OR(AB185="",AA185="Not started",AA185=""),"",IFERROR(AB185-IF(VLOOKUP(AA185,'04_Status_Pipeline'!$B$3:$E$20,4,FALSE)="",0,VLOOKUP(AA185,'04_Status_Pipeline'!$B$3:$E$20,4,FALSE)),""))</t>
        </is>
      </c>
      <c r="AE185" s="32" t="inlineStr">
        <is>
          <t>IF(E185="","",IF(OR(Y185="Cancelled",AA185="Cancelled"),"Cancelled",IF(OR(AA185="Completed / Handover",W185&lt;&gt;"",X185&gt;=100),"Completed — on track",IF(L185="Remaining",IF(S185="",IF(V185="","No planned date",IF(TODAY()&gt;V185,"Behind — past planned date",IF(V185-TODAY()&lt;=30,"At risk — close to off track","On track"))),IF(TODAY()&gt;S185,"Behind — award date passed",IF(S185-TODAY()&lt;=30,"At risk — close to off track","On track"))),IF(V185="","No planned date",IF(AND(TODAY()&gt;V185,OR(X185="",X185&lt;100)),"Behind — past end date",IF(AND(R185&lt;&gt;"",V185&lt;&gt;"",X185&lt;&gt;"",(X185&lt;100),((TODAY()-R185)/MAX(V185-R185,1)*100)-X185&gt;15),"Behind — progress lag",IF(AND(V185-TODAY()&lt;=30,V185-TODAY()&gt;=0,OR(X185="",X185&lt;90)),"At risk — close to off track","On track"))))))))</t>
        </is>
      </c>
      <c r="AF185" s="38" t="inlineStr">
        <is>
          <t>IF(OR(E185="",AA185="Completed / Handover",AA185="Cancelled"),"",IF(L185="Remaining",IF(S185&lt;&gt;"",S185-TODAY(),IF(V185="","",V185-TODAY())),IF(V185="","",V185-TODAY())))</t>
        </is>
      </c>
      <c r="AG185" s="44" t="n"/>
      <c r="AH185" s="44" t="n"/>
      <c r="AI185" s="44" t="n"/>
      <c r="AJ185" s="44" t="n"/>
      <c r="AK185" s="44" t="n"/>
      <c r="AL185" s="44" t="n"/>
      <c r="AM185" s="44" t="n"/>
      <c r="AN185" s="44" t="n"/>
      <c r="AO185" s="44" t="n"/>
      <c r="AP185" s="44" t="n"/>
      <c r="AQ185" s="44" t="n"/>
      <c r="AR185" s="40" t="n"/>
      <c r="AS185" s="40" t="n"/>
      <c r="AT185" s="40" t="n"/>
      <c r="AU185" s="38" t="inlineStr">
        <is>
          <t>IF(OR(E185="",AH185=""),"",IF(COUNT(AG185:AG185)=0,"",AH185-LOOKUP(2,1/(AG185:AG185&lt;&gt;""),AG185:AG185)))</t>
        </is>
      </c>
      <c r="AV185" s="38" t="inlineStr">
        <is>
          <t>IF(OR(E185="",AI185=""),"",IF(COUNT(AG185:AH185)=0,"",AI185-LOOKUP(2,1/(AG185:AH185&lt;&gt;""),AG185:AH185)))</t>
        </is>
      </c>
      <c r="AW185" s="38" t="inlineStr">
        <is>
          <t>IF(OR(E185="",AJ185=""),"",IF(COUNT(AG185:AI185)=0,"",AJ185-LOOKUP(2,1/(AG185:AI185&lt;&gt;""),AG185:AI185)))</t>
        </is>
      </c>
      <c r="AX185" s="38" t="inlineStr">
        <is>
          <t>IF(OR(E185="",AK185=""),"",IF(COUNT(AG185:AJ185)=0,"",AK185-LOOKUP(2,1/(AG185:AJ185&lt;&gt;""),AG185:AJ185)))</t>
        </is>
      </c>
      <c r="AY185" s="38" t="inlineStr">
        <is>
          <t>IF(OR(E185="",AL185=""),"",IF(COUNT(AG185:AK185)=0,"",AL185-LOOKUP(2,1/(AG185:AK185&lt;&gt;""),AG185:AK185)))</t>
        </is>
      </c>
      <c r="AZ185" s="38" t="inlineStr">
        <is>
          <t>IF(OR(E185="",AM185=""),"",IF(COUNT(AG185:AL185)=0,"",AM185-LOOKUP(2,1/(AG185:AL185&lt;&gt;""),AG185:AL185)))</t>
        </is>
      </c>
      <c r="BA185" s="38" t="inlineStr">
        <is>
          <t>IF(OR(E185="",AN185=""),"",IF(COUNT(AG185:AM185)=0,"",AN185-LOOKUP(2,1/(AG185:AM185&lt;&gt;""),AG185:AM185)))</t>
        </is>
      </c>
      <c r="BB185" s="38" t="inlineStr">
        <is>
          <t>IF(OR(E185="",AO185=""),"",IF(COUNT(AG185:AN185)=0,"",AO185-LOOKUP(2,1/(AG185:AN185&lt;&gt;""),AG185:AN185)))</t>
        </is>
      </c>
      <c r="BC185" s="38" t="inlineStr">
        <is>
          <t>IF(OR(E185="",AP185=""),"",IF(COUNT(AG185:AO185)=0,"",AP185-LOOKUP(2,1/(AG185:AO185&lt;&gt;""),AG185:AO185)))</t>
        </is>
      </c>
      <c r="BD185" s="38" t="inlineStr">
        <is>
          <t>IF(OR(E185="",AQ185=""),"",IF(COUNT(AG185:AP185)=0,"",AQ185-LOOKUP(2,1/(AG185:AP185&lt;&gt;""),AG185:AP185)))</t>
        </is>
      </c>
      <c r="BE185" s="38" t="inlineStr">
        <is>
          <t>IF(OR(E185="",AR185=""),"",IF(COUNT(AG185:AQ185)=0,"",AR185-LOOKUP(2,1/(AG185:AQ185&lt;&gt;""),AG185:AQ185)))</t>
        </is>
      </c>
      <c r="BF185" s="38" t="inlineStr">
        <is>
          <t>IF(OR(E185="",AS185=""),"",IF(COUNT(AG185:AR185)=0,"",AS185-LOOKUP(2,1/(AG185:AR185&lt;&gt;""),AG185:AR185)))</t>
        </is>
      </c>
      <c r="BG185" s="38" t="inlineStr">
        <is>
          <t>IF(OR(E185="",AT185=""),"",IF(COUNT(AG185:AS185)=0,"",AT185-LOOKUP(2,1/(AG185:AS185&lt;&gt;""),AG185:AS185)))</t>
        </is>
      </c>
      <c r="BH185" s="41" t="inlineStr">
        <is>
          <t>IF(G185="","All_Provinces",IFERROR(VLOOKUP(G185,'07_Lookups'!$A$4:$B$20,2,FALSE),"All_Provinces"))</t>
        </is>
      </c>
      <c r="BI185" s="41" t="inlineStr">
        <is>
          <t>IF(H185="","All_Districts",IFERROR(VLOOKUP(H185,'07_Lookups'!$E$4:$F$42,2,FALSE),"All_Districts"))</t>
        </is>
      </c>
    </row>
    <row r="186" ht="18" customHeight="1">
      <c r="A186" s="32" t="inlineStr">
        <is>
          <t>IF(E186="","",ROW()-3)</t>
        </is>
      </c>
      <c r="B186" s="33" t="inlineStr">
        <is>
          <t>AF2-DIS-R-023</t>
        </is>
      </c>
      <c r="C186" s="33" t="inlineStr">
        <is>
          <t>Emergency Food Security Project (EFSP) – WBK/AF-2</t>
        </is>
      </c>
      <c r="D186"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6" s="33" t="inlineStr">
        <is>
          <t>9.Mateeullah Drip irrigation Site</t>
        </is>
      </c>
      <c r="F186" s="33" t="inlineStr">
        <is>
          <t>Drip Irrigation</t>
        </is>
      </c>
      <c r="G186" s="33" t="inlineStr">
        <is>
          <t>East / Jalalabad</t>
        </is>
      </c>
      <c r="H186" s="33" t="inlineStr">
        <is>
          <t>Nuristan</t>
        </is>
      </c>
      <c r="I186" s="33" t="inlineStr">
        <is>
          <t>Parun</t>
        </is>
      </c>
      <c r="J186" s="33" t="inlineStr">
        <is>
          <t>Pronz</t>
        </is>
      </c>
      <c r="K186" s="33" t="inlineStr">
        <is>
          <t>World Bank (WBK/AF-2)</t>
        </is>
      </c>
      <c r="L186" s="33" t="inlineStr">
        <is>
          <t>Remaining</t>
        </is>
      </c>
      <c r="M186" s="33" t="inlineStr">
        <is>
          <t>Drip irrigation</t>
        </is>
      </c>
      <c r="N186" s="33" t="inlineStr">
        <is>
          <t>5. Drip Irrigation systems</t>
        </is>
      </c>
      <c r="O186" s="33" t="inlineStr">
        <is>
          <t>Mateeullah</t>
        </is>
      </c>
      <c r="P186" s="33" t="inlineStr"/>
      <c r="Q186" s="34" t="n">
        <v>5216.26</v>
      </c>
      <c r="R186" s="35" t="inlineStr">
        <is>
          <t>IF(AO186="","",AO186)</t>
        </is>
      </c>
      <c r="S186" s="36" t="n">
        <v>46380</v>
      </c>
      <c r="T186" s="37" t="n">
        <v>4.9</v>
      </c>
      <c r="U186" s="36" t="n">
        <v>46530</v>
      </c>
      <c r="V186" s="35" t="inlineStr">
        <is>
          <t>IF(U186&lt;&gt;"",U186,IF(OR(R186="",T186=""),"",EDATE(R186,T186)))</t>
        </is>
      </c>
      <c r="W186" s="36" t="n"/>
      <c r="X186" s="37" t="n"/>
      <c r="Y186" s="33" t="inlineStr">
        <is>
          <t>Retendered (Re-ITB)</t>
        </is>
      </c>
      <c r="Z186" s="33" t="inlineStr">
        <is>
          <t>Five month construction period. No slack period considered for Laghman and Nagrahar and two months slack period for Kunar and Nuristan. '- | Farmer: Mateeullah</t>
        </is>
      </c>
      <c r="AA186" s="32" t="inlineStr">
        <is>
          <t>IF(E186="","",IF(COUNT(AG186:AT186)=0,IF(Y186="","Not started",Y186),SUBSTITUTE(LOOKUP(2,1/(AG186:AT186&lt;&gt;""),$AG$3:$AT$3),"Date: ","")))</t>
        </is>
      </c>
      <c r="AB186" s="38" t="inlineStr">
        <is>
          <t>IF(OR(E186="",COUNT(AG186:AT186)=0),"",TODAY()-LOOKUP(2,1/(AG186:AT186&lt;&gt;""),AG186:AT186))</t>
        </is>
      </c>
      <c r="AC186" s="38" t="inlineStr">
        <is>
          <t>IF(OR(E186="",COUNT(AG186:AT186)&lt;2),"",LOOKUP(2,1/(AG186:AT186&lt;&gt;""),AG186:AT186)-MIN(AG186:AT186))</t>
        </is>
      </c>
      <c r="AD186" s="38" t="inlineStr">
        <is>
          <t>IF(OR(AB186="",AA186="Not started",AA186=""),"",IFERROR(AB186-IF(VLOOKUP(AA186,'04_Status_Pipeline'!$B$3:$E$20,4,FALSE)="",0,VLOOKUP(AA186,'04_Status_Pipeline'!$B$3:$E$20,4,FALSE)),""))</t>
        </is>
      </c>
      <c r="AE186" s="32" t="inlineStr">
        <is>
          <t>IF(E186="","",IF(OR(Y186="Cancelled",AA186="Cancelled"),"Cancelled",IF(OR(AA186="Completed / Handover",W186&lt;&gt;"",X186&gt;=100),"Completed — on track",IF(L186="Remaining",IF(S186="",IF(V186="","No planned date",IF(TODAY()&gt;V186,"Behind — past planned date",IF(V186-TODAY()&lt;=30,"At risk — close to off track","On track"))),IF(TODAY()&gt;S186,"Behind — award date passed",IF(S186-TODAY()&lt;=30,"At risk — close to off track","On track"))),IF(V186="","No planned date",IF(AND(TODAY()&gt;V186,OR(X186="",X186&lt;100)),"Behind — past end date",IF(AND(R186&lt;&gt;"",V186&lt;&gt;"",X186&lt;&gt;"",(X186&lt;100),((TODAY()-R186)/MAX(V186-R186,1)*100)-X186&gt;15),"Behind — progress lag",IF(AND(V186-TODAY()&lt;=30,V186-TODAY()&gt;=0,OR(X186="",X186&lt;90)),"At risk — close to off track","On track"))))))))</t>
        </is>
      </c>
      <c r="AF186" s="38" t="inlineStr">
        <is>
          <t>IF(OR(E186="",AA186="Completed / Handover",AA186="Cancelled"),"",IF(L186="Remaining",IF(S186&lt;&gt;"",S186-TODAY(),IF(V186="","",V186-TODAY())),IF(V186="","",V186-TODAY())))</t>
        </is>
      </c>
      <c r="AG186" s="36" t="n"/>
      <c r="AH186" s="36" t="n"/>
      <c r="AI186" s="36" t="n"/>
      <c r="AJ186" s="36" t="n"/>
      <c r="AK186" s="36" t="n"/>
      <c r="AL186" s="36" t="n"/>
      <c r="AM186" s="36" t="n"/>
      <c r="AN186" s="36" t="n"/>
      <c r="AO186" s="36" t="n"/>
      <c r="AP186" s="36" t="n"/>
      <c r="AQ186" s="36" t="n"/>
      <c r="AR186" s="40" t="n"/>
      <c r="AS186" s="40" t="n"/>
      <c r="AT186" s="40" t="n"/>
      <c r="AU186" s="38" t="inlineStr">
        <is>
          <t>IF(OR(E186="",AH186=""),"",IF(COUNT(AG186:AG186)=0,"",AH186-LOOKUP(2,1/(AG186:AG186&lt;&gt;""),AG186:AG186)))</t>
        </is>
      </c>
      <c r="AV186" s="38" t="inlineStr">
        <is>
          <t>IF(OR(E186="",AI186=""),"",IF(COUNT(AG186:AH186)=0,"",AI186-LOOKUP(2,1/(AG186:AH186&lt;&gt;""),AG186:AH186)))</t>
        </is>
      </c>
      <c r="AW186" s="38" t="inlineStr">
        <is>
          <t>IF(OR(E186="",AJ186=""),"",IF(COUNT(AG186:AI186)=0,"",AJ186-LOOKUP(2,1/(AG186:AI186&lt;&gt;""),AG186:AI186)))</t>
        </is>
      </c>
      <c r="AX186" s="38" t="inlineStr">
        <is>
          <t>IF(OR(E186="",AK186=""),"",IF(COUNT(AG186:AJ186)=0,"",AK186-LOOKUP(2,1/(AG186:AJ186&lt;&gt;""),AG186:AJ186)))</t>
        </is>
      </c>
      <c r="AY186" s="38" t="inlineStr">
        <is>
          <t>IF(OR(E186="",AL186=""),"",IF(COUNT(AG186:AK186)=0,"",AL186-LOOKUP(2,1/(AG186:AK186&lt;&gt;""),AG186:AK186)))</t>
        </is>
      </c>
      <c r="AZ186" s="38" t="inlineStr">
        <is>
          <t>IF(OR(E186="",AM186=""),"",IF(COUNT(AG186:AL186)=0,"",AM186-LOOKUP(2,1/(AG186:AL186&lt;&gt;""),AG186:AL186)))</t>
        </is>
      </c>
      <c r="BA186" s="38" t="inlineStr">
        <is>
          <t>IF(OR(E186="",AN186=""),"",IF(COUNT(AG186:AM186)=0,"",AN186-LOOKUP(2,1/(AG186:AM186&lt;&gt;""),AG186:AM186)))</t>
        </is>
      </c>
      <c r="BB186" s="38" t="inlineStr">
        <is>
          <t>IF(OR(E186="",AO186=""),"",IF(COUNT(AG186:AN186)=0,"",AO186-LOOKUP(2,1/(AG186:AN186&lt;&gt;""),AG186:AN186)))</t>
        </is>
      </c>
      <c r="BC186" s="38" t="inlineStr">
        <is>
          <t>IF(OR(E186="",AP186=""),"",IF(COUNT(AG186:AO186)=0,"",AP186-LOOKUP(2,1/(AG186:AO186&lt;&gt;""),AG186:AO186)))</t>
        </is>
      </c>
      <c r="BD186" s="38" t="inlineStr">
        <is>
          <t>IF(OR(E186="",AQ186=""),"",IF(COUNT(AG186:AP186)=0,"",AQ186-LOOKUP(2,1/(AG186:AP186&lt;&gt;""),AG186:AP186)))</t>
        </is>
      </c>
      <c r="BE186" s="38" t="inlineStr">
        <is>
          <t>IF(OR(E186="",AR186=""),"",IF(COUNT(AG186:AQ186)=0,"",AR186-LOOKUP(2,1/(AG186:AQ186&lt;&gt;""),AG186:AQ186)))</t>
        </is>
      </c>
      <c r="BF186" s="38" t="inlineStr">
        <is>
          <t>IF(OR(E186="",AS186=""),"",IF(COUNT(AG186:AR186)=0,"",AS186-LOOKUP(2,1/(AG186:AR186&lt;&gt;""),AG186:AR186)))</t>
        </is>
      </c>
      <c r="BG186" s="38" t="inlineStr">
        <is>
          <t>IF(OR(E186="",AT186=""),"",IF(COUNT(AG186:AS186)=0,"",AT186-LOOKUP(2,1/(AG186:AS186&lt;&gt;""),AG186:AS186)))</t>
        </is>
      </c>
      <c r="BH186" s="41" t="inlineStr">
        <is>
          <t>IF(G186="","All_Provinces",IFERROR(VLOOKUP(G186,'07_Lookups'!$A$4:$B$20,2,FALSE),"All_Provinces"))</t>
        </is>
      </c>
      <c r="BI186" s="41" t="inlineStr">
        <is>
          <t>IF(H186="","All_Districts",IFERROR(VLOOKUP(H186,'07_Lookups'!$E$4:$F$42,2,FALSE),"All_Districts"))</t>
        </is>
      </c>
    </row>
    <row r="187" ht="18" customHeight="1">
      <c r="A187" s="32" t="inlineStr">
        <is>
          <t>IF(E187="","",ROW()-3)</t>
        </is>
      </c>
      <c r="B187" s="42" t="inlineStr">
        <is>
          <t>AF2-DIS-R-024</t>
        </is>
      </c>
      <c r="C187" s="42" t="inlineStr">
        <is>
          <t>Emergency Food Security Project (EFSP) – WBK/AF-2</t>
        </is>
      </c>
      <c r="D187"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7" s="42" t="inlineStr">
        <is>
          <t>10.Habibullah Drip irrigation Site</t>
        </is>
      </c>
      <c r="F187" s="42" t="inlineStr">
        <is>
          <t>Drip Irrigation</t>
        </is>
      </c>
      <c r="G187" s="42" t="inlineStr">
        <is>
          <t>East / Jalalabad</t>
        </is>
      </c>
      <c r="H187" s="42" t="inlineStr">
        <is>
          <t>Nuristan</t>
        </is>
      </c>
      <c r="I187" s="42" t="inlineStr">
        <is>
          <t>Barg-e-Matal</t>
        </is>
      </c>
      <c r="J187" s="42" t="inlineStr">
        <is>
          <t>Barg-e-Matal Sharqi</t>
        </is>
      </c>
      <c r="K187" s="42" t="inlineStr">
        <is>
          <t>World Bank (WBK/AF-2)</t>
        </is>
      </c>
      <c r="L187" s="42" t="inlineStr">
        <is>
          <t>Remaining</t>
        </is>
      </c>
      <c r="M187" s="42" t="inlineStr">
        <is>
          <t>Drip irrigation</t>
        </is>
      </c>
      <c r="N187" s="42" t="inlineStr">
        <is>
          <t>5. Drip Irrigation systems</t>
        </is>
      </c>
      <c r="O187" s="42" t="inlineStr">
        <is>
          <t>Habibullah</t>
        </is>
      </c>
      <c r="P187" s="42" t="inlineStr"/>
      <c r="Q187" s="43" t="n">
        <v>4194.9</v>
      </c>
      <c r="R187" s="35" t="inlineStr">
        <is>
          <t>IF(AO187="","",AO187)</t>
        </is>
      </c>
      <c r="S187" s="44" t="n">
        <v>46380</v>
      </c>
      <c r="T187" s="45" t="n">
        <v>4.9</v>
      </c>
      <c r="U187" s="44" t="n">
        <v>46530</v>
      </c>
      <c r="V187" s="35" t="inlineStr">
        <is>
          <t>IF(U187&lt;&gt;"",U187,IF(OR(R187="",T187=""),"",EDATE(R187,T187)))</t>
        </is>
      </c>
      <c r="W187" s="44" t="n"/>
      <c r="X187" s="45" t="n"/>
      <c r="Y187" s="42" t="inlineStr">
        <is>
          <t>Retendered (Re-ITB)</t>
        </is>
      </c>
      <c r="Z187" s="42" t="inlineStr">
        <is>
          <t>Five month construction period. No slack period considered for Laghman and Nagrahar and two months slack period for Kunar and Nuristan. '- | Farmer: Habibullah</t>
        </is>
      </c>
      <c r="AA187" s="32" t="inlineStr">
        <is>
          <t>IF(E187="","",IF(COUNT(AG187:AT187)=0,IF(Y187="","Not started",Y187),SUBSTITUTE(LOOKUP(2,1/(AG187:AT187&lt;&gt;""),$AG$3:$AT$3),"Date: ","")))</t>
        </is>
      </c>
      <c r="AB187" s="38" t="inlineStr">
        <is>
          <t>IF(OR(E187="",COUNT(AG187:AT187)=0),"",TODAY()-LOOKUP(2,1/(AG187:AT187&lt;&gt;""),AG187:AT187))</t>
        </is>
      </c>
      <c r="AC187" s="38" t="inlineStr">
        <is>
          <t>IF(OR(E187="",COUNT(AG187:AT187)&lt;2),"",LOOKUP(2,1/(AG187:AT187&lt;&gt;""),AG187:AT187)-MIN(AG187:AT187))</t>
        </is>
      </c>
      <c r="AD187" s="38" t="inlineStr">
        <is>
          <t>IF(OR(AB187="",AA187="Not started",AA187=""),"",IFERROR(AB187-IF(VLOOKUP(AA187,'04_Status_Pipeline'!$B$3:$E$20,4,FALSE)="",0,VLOOKUP(AA187,'04_Status_Pipeline'!$B$3:$E$20,4,FALSE)),""))</t>
        </is>
      </c>
      <c r="AE187" s="32" t="inlineStr">
        <is>
          <t>IF(E187="","",IF(OR(Y187="Cancelled",AA187="Cancelled"),"Cancelled",IF(OR(AA187="Completed / Handover",W187&lt;&gt;"",X187&gt;=100),"Completed — on track",IF(L187="Remaining",IF(S187="",IF(V187="","No planned date",IF(TODAY()&gt;V187,"Behind — past planned date",IF(V187-TODAY()&lt;=30,"At risk — close to off track","On track"))),IF(TODAY()&gt;S187,"Behind — award date passed",IF(S187-TODAY()&lt;=30,"At risk — close to off track","On track"))),IF(V187="","No planned date",IF(AND(TODAY()&gt;V187,OR(X187="",X187&lt;100)),"Behind — past end date",IF(AND(R187&lt;&gt;"",V187&lt;&gt;"",X187&lt;&gt;"",(X187&lt;100),((TODAY()-R187)/MAX(V187-R187,1)*100)-X187&gt;15),"Behind — progress lag",IF(AND(V187-TODAY()&lt;=30,V187-TODAY()&gt;=0,OR(X187="",X187&lt;90)),"At risk — close to off track","On track"))))))))</t>
        </is>
      </c>
      <c r="AF187" s="38" t="inlineStr">
        <is>
          <t>IF(OR(E187="",AA187="Completed / Handover",AA187="Cancelled"),"",IF(L187="Remaining",IF(S187&lt;&gt;"",S187-TODAY(),IF(V187="","",V187-TODAY())),IF(V187="","",V187-TODAY())))</t>
        </is>
      </c>
      <c r="AG187" s="44" t="n"/>
      <c r="AH187" s="44" t="n"/>
      <c r="AI187" s="44" t="n"/>
      <c r="AJ187" s="44" t="n"/>
      <c r="AK187" s="44" t="n"/>
      <c r="AL187" s="44" t="n"/>
      <c r="AM187" s="44" t="n"/>
      <c r="AN187" s="44" t="n"/>
      <c r="AO187" s="44" t="n"/>
      <c r="AP187" s="44" t="n"/>
      <c r="AQ187" s="44" t="n"/>
      <c r="AR187" s="40" t="n"/>
      <c r="AS187" s="40" t="n"/>
      <c r="AT187" s="40" t="n"/>
      <c r="AU187" s="38" t="inlineStr">
        <is>
          <t>IF(OR(E187="",AH187=""),"",IF(COUNT(AG187:AG187)=0,"",AH187-LOOKUP(2,1/(AG187:AG187&lt;&gt;""),AG187:AG187)))</t>
        </is>
      </c>
      <c r="AV187" s="38" t="inlineStr">
        <is>
          <t>IF(OR(E187="",AI187=""),"",IF(COUNT(AG187:AH187)=0,"",AI187-LOOKUP(2,1/(AG187:AH187&lt;&gt;""),AG187:AH187)))</t>
        </is>
      </c>
      <c r="AW187" s="38" t="inlineStr">
        <is>
          <t>IF(OR(E187="",AJ187=""),"",IF(COUNT(AG187:AI187)=0,"",AJ187-LOOKUP(2,1/(AG187:AI187&lt;&gt;""),AG187:AI187)))</t>
        </is>
      </c>
      <c r="AX187" s="38" t="inlineStr">
        <is>
          <t>IF(OR(E187="",AK187=""),"",IF(COUNT(AG187:AJ187)=0,"",AK187-LOOKUP(2,1/(AG187:AJ187&lt;&gt;""),AG187:AJ187)))</t>
        </is>
      </c>
      <c r="AY187" s="38" t="inlineStr">
        <is>
          <t>IF(OR(E187="",AL187=""),"",IF(COUNT(AG187:AK187)=0,"",AL187-LOOKUP(2,1/(AG187:AK187&lt;&gt;""),AG187:AK187)))</t>
        </is>
      </c>
      <c r="AZ187" s="38" t="inlineStr">
        <is>
          <t>IF(OR(E187="",AM187=""),"",IF(COUNT(AG187:AL187)=0,"",AM187-LOOKUP(2,1/(AG187:AL187&lt;&gt;""),AG187:AL187)))</t>
        </is>
      </c>
      <c r="BA187" s="38" t="inlineStr">
        <is>
          <t>IF(OR(E187="",AN187=""),"",IF(COUNT(AG187:AM187)=0,"",AN187-LOOKUP(2,1/(AG187:AM187&lt;&gt;""),AG187:AM187)))</t>
        </is>
      </c>
      <c r="BB187" s="38" t="inlineStr">
        <is>
          <t>IF(OR(E187="",AO187=""),"",IF(COUNT(AG187:AN187)=0,"",AO187-LOOKUP(2,1/(AG187:AN187&lt;&gt;""),AG187:AN187)))</t>
        </is>
      </c>
      <c r="BC187" s="38" t="inlineStr">
        <is>
          <t>IF(OR(E187="",AP187=""),"",IF(COUNT(AG187:AO187)=0,"",AP187-LOOKUP(2,1/(AG187:AO187&lt;&gt;""),AG187:AO187)))</t>
        </is>
      </c>
      <c r="BD187" s="38" t="inlineStr">
        <is>
          <t>IF(OR(E187="",AQ187=""),"",IF(COUNT(AG187:AP187)=0,"",AQ187-LOOKUP(2,1/(AG187:AP187&lt;&gt;""),AG187:AP187)))</t>
        </is>
      </c>
      <c r="BE187" s="38" t="inlineStr">
        <is>
          <t>IF(OR(E187="",AR187=""),"",IF(COUNT(AG187:AQ187)=0,"",AR187-LOOKUP(2,1/(AG187:AQ187&lt;&gt;""),AG187:AQ187)))</t>
        </is>
      </c>
      <c r="BF187" s="38" t="inlineStr">
        <is>
          <t>IF(OR(E187="",AS187=""),"",IF(COUNT(AG187:AR187)=0,"",AS187-LOOKUP(2,1/(AG187:AR187&lt;&gt;""),AG187:AR187)))</t>
        </is>
      </c>
      <c r="BG187" s="38" t="inlineStr">
        <is>
          <t>IF(OR(E187="",AT187=""),"",IF(COUNT(AG187:AS187)=0,"",AT187-LOOKUP(2,1/(AG187:AS187&lt;&gt;""),AG187:AS187)))</t>
        </is>
      </c>
      <c r="BH187" s="41" t="inlineStr">
        <is>
          <t>IF(G187="","All_Provinces",IFERROR(VLOOKUP(G187,'07_Lookups'!$A$4:$B$20,2,FALSE),"All_Provinces"))</t>
        </is>
      </c>
      <c r="BI187" s="41" t="inlineStr">
        <is>
          <t>IF(H187="","All_Districts",IFERROR(VLOOKUP(H187,'07_Lookups'!$E$4:$F$42,2,FALSE),"All_Districts"))</t>
        </is>
      </c>
    </row>
    <row r="188" ht="18" customHeight="1">
      <c r="A188" s="32" t="inlineStr">
        <is>
          <t>IF(E188="","",ROW()-3)</t>
        </is>
      </c>
      <c r="B188" s="33" t="inlineStr">
        <is>
          <t>AF2-DIS-R-025</t>
        </is>
      </c>
      <c r="C188" s="33" t="inlineStr">
        <is>
          <t>Emergency Food Security Project (EFSP) – WBK/AF-2</t>
        </is>
      </c>
      <c r="D188"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8" s="33" t="inlineStr">
        <is>
          <t>11.Surkhrood Drip irrigation Site</t>
        </is>
      </c>
      <c r="F188" s="33" t="inlineStr">
        <is>
          <t>Drip Irrigation</t>
        </is>
      </c>
      <c r="G188" s="33" t="inlineStr">
        <is>
          <t>East / Jalalabad</t>
        </is>
      </c>
      <c r="H188" s="33" t="inlineStr">
        <is>
          <t>Nangarhar</t>
        </is>
      </c>
      <c r="I188" s="33" t="inlineStr">
        <is>
          <t>Sorkhrud</t>
        </is>
      </c>
      <c r="J188" s="33" t="inlineStr">
        <is>
          <t>Fatih Abad</t>
        </is>
      </c>
      <c r="K188" s="33" t="inlineStr">
        <is>
          <t>World Bank (WBK/AF-2)</t>
        </is>
      </c>
      <c r="L188" s="33" t="inlineStr">
        <is>
          <t>Remaining</t>
        </is>
      </c>
      <c r="M188" s="33" t="inlineStr">
        <is>
          <t>Drip irrigation</t>
        </is>
      </c>
      <c r="N188" s="33" t="inlineStr">
        <is>
          <t>5. Drip Irrigation systems</t>
        </is>
      </c>
      <c r="O188" s="33" t="inlineStr">
        <is>
          <t>Ehsanullah</t>
        </is>
      </c>
      <c r="P188" s="33" t="inlineStr"/>
      <c r="Q188" s="34" t="n">
        <v>4831.74</v>
      </c>
      <c r="R188" s="35" t="inlineStr">
        <is>
          <t>IF(AO188="","",AO188)</t>
        </is>
      </c>
      <c r="S188" s="36" t="n">
        <v>46380</v>
      </c>
      <c r="T188" s="37" t="n">
        <v>4.9</v>
      </c>
      <c r="U188" s="36" t="n">
        <v>46530</v>
      </c>
      <c r="V188" s="35" t="inlineStr">
        <is>
          <t>IF(U188&lt;&gt;"",U188,IF(OR(R188="",T188=""),"",EDATE(R188,T188)))</t>
        </is>
      </c>
      <c r="W188" s="36" t="n"/>
      <c r="X188" s="37" t="n"/>
      <c r="Y188" s="33" t="inlineStr">
        <is>
          <t>Retendered (Re-ITB)</t>
        </is>
      </c>
      <c r="Z188" s="33" t="inlineStr">
        <is>
          <t>Five month construction period. No slack period considered for Laghman and Nagrahar and two months slack period for Kunar and Nuristan. '- | Farmer: Ehsanullah</t>
        </is>
      </c>
      <c r="AA188" s="32" t="inlineStr">
        <is>
          <t>IF(E188="","",IF(COUNT(AG188:AT188)=0,IF(Y188="","Not started",Y188),SUBSTITUTE(LOOKUP(2,1/(AG188:AT188&lt;&gt;""),$AG$3:$AT$3),"Date: ","")))</t>
        </is>
      </c>
      <c r="AB188" s="38" t="inlineStr">
        <is>
          <t>IF(OR(E188="",COUNT(AG188:AT188)=0),"",TODAY()-LOOKUP(2,1/(AG188:AT188&lt;&gt;""),AG188:AT188))</t>
        </is>
      </c>
      <c r="AC188" s="38" t="inlineStr">
        <is>
          <t>IF(OR(E188="",COUNT(AG188:AT188)&lt;2),"",LOOKUP(2,1/(AG188:AT188&lt;&gt;""),AG188:AT188)-MIN(AG188:AT188))</t>
        </is>
      </c>
      <c r="AD188" s="38" t="inlineStr">
        <is>
          <t>IF(OR(AB188="",AA188="Not started",AA188=""),"",IFERROR(AB188-IF(VLOOKUP(AA188,'04_Status_Pipeline'!$B$3:$E$20,4,FALSE)="",0,VLOOKUP(AA188,'04_Status_Pipeline'!$B$3:$E$20,4,FALSE)),""))</t>
        </is>
      </c>
      <c r="AE188" s="32" t="inlineStr">
        <is>
          <t>IF(E188="","",IF(OR(Y188="Cancelled",AA188="Cancelled"),"Cancelled",IF(OR(AA188="Completed / Handover",W188&lt;&gt;"",X188&gt;=100),"Completed — on track",IF(L188="Remaining",IF(S188="",IF(V188="","No planned date",IF(TODAY()&gt;V188,"Behind — past planned date",IF(V188-TODAY()&lt;=30,"At risk — close to off track","On track"))),IF(TODAY()&gt;S188,"Behind — award date passed",IF(S188-TODAY()&lt;=30,"At risk — close to off track","On track"))),IF(V188="","No planned date",IF(AND(TODAY()&gt;V188,OR(X188="",X188&lt;100)),"Behind — past end date",IF(AND(R188&lt;&gt;"",V188&lt;&gt;"",X188&lt;&gt;"",(X188&lt;100),((TODAY()-R188)/MAX(V188-R188,1)*100)-X188&gt;15),"Behind — progress lag",IF(AND(V188-TODAY()&lt;=30,V188-TODAY()&gt;=0,OR(X188="",X188&lt;90)),"At risk — close to off track","On track"))))))))</t>
        </is>
      </c>
      <c r="AF188" s="38" t="inlineStr">
        <is>
          <t>IF(OR(E188="",AA188="Completed / Handover",AA188="Cancelled"),"",IF(L188="Remaining",IF(S188&lt;&gt;"",S188-TODAY(),IF(V188="","",V188-TODAY())),IF(V188="","",V188-TODAY())))</t>
        </is>
      </c>
      <c r="AG188" s="36" t="n"/>
      <c r="AH188" s="36" t="n"/>
      <c r="AI188" s="36" t="n"/>
      <c r="AJ188" s="36" t="n"/>
      <c r="AK188" s="36" t="n"/>
      <c r="AL188" s="36" t="n"/>
      <c r="AM188" s="36" t="n"/>
      <c r="AN188" s="36" t="n"/>
      <c r="AO188" s="36" t="n"/>
      <c r="AP188" s="36" t="n"/>
      <c r="AQ188" s="36" t="n"/>
      <c r="AR188" s="40" t="n"/>
      <c r="AS188" s="40" t="n"/>
      <c r="AT188" s="40" t="n"/>
      <c r="AU188" s="38" t="inlineStr">
        <is>
          <t>IF(OR(E188="",AH188=""),"",IF(COUNT(AG188:AG188)=0,"",AH188-LOOKUP(2,1/(AG188:AG188&lt;&gt;""),AG188:AG188)))</t>
        </is>
      </c>
      <c r="AV188" s="38" t="inlineStr">
        <is>
          <t>IF(OR(E188="",AI188=""),"",IF(COUNT(AG188:AH188)=0,"",AI188-LOOKUP(2,1/(AG188:AH188&lt;&gt;""),AG188:AH188)))</t>
        </is>
      </c>
      <c r="AW188" s="38" t="inlineStr">
        <is>
          <t>IF(OR(E188="",AJ188=""),"",IF(COUNT(AG188:AI188)=0,"",AJ188-LOOKUP(2,1/(AG188:AI188&lt;&gt;""),AG188:AI188)))</t>
        </is>
      </c>
      <c r="AX188" s="38" t="inlineStr">
        <is>
          <t>IF(OR(E188="",AK188=""),"",IF(COUNT(AG188:AJ188)=0,"",AK188-LOOKUP(2,1/(AG188:AJ188&lt;&gt;""),AG188:AJ188)))</t>
        </is>
      </c>
      <c r="AY188" s="38" t="inlineStr">
        <is>
          <t>IF(OR(E188="",AL188=""),"",IF(COUNT(AG188:AK188)=0,"",AL188-LOOKUP(2,1/(AG188:AK188&lt;&gt;""),AG188:AK188)))</t>
        </is>
      </c>
      <c r="AZ188" s="38" t="inlineStr">
        <is>
          <t>IF(OR(E188="",AM188=""),"",IF(COUNT(AG188:AL188)=0,"",AM188-LOOKUP(2,1/(AG188:AL188&lt;&gt;""),AG188:AL188)))</t>
        </is>
      </c>
      <c r="BA188" s="38" t="inlineStr">
        <is>
          <t>IF(OR(E188="",AN188=""),"",IF(COUNT(AG188:AM188)=0,"",AN188-LOOKUP(2,1/(AG188:AM188&lt;&gt;""),AG188:AM188)))</t>
        </is>
      </c>
      <c r="BB188" s="38" t="inlineStr">
        <is>
          <t>IF(OR(E188="",AO188=""),"",IF(COUNT(AG188:AN188)=0,"",AO188-LOOKUP(2,1/(AG188:AN188&lt;&gt;""),AG188:AN188)))</t>
        </is>
      </c>
      <c r="BC188" s="38" t="inlineStr">
        <is>
          <t>IF(OR(E188="",AP188=""),"",IF(COUNT(AG188:AO188)=0,"",AP188-LOOKUP(2,1/(AG188:AO188&lt;&gt;""),AG188:AO188)))</t>
        </is>
      </c>
      <c r="BD188" s="38" t="inlineStr">
        <is>
          <t>IF(OR(E188="",AQ188=""),"",IF(COUNT(AG188:AP188)=0,"",AQ188-LOOKUP(2,1/(AG188:AP188&lt;&gt;""),AG188:AP188)))</t>
        </is>
      </c>
      <c r="BE188" s="38" t="inlineStr">
        <is>
          <t>IF(OR(E188="",AR188=""),"",IF(COUNT(AG188:AQ188)=0,"",AR188-LOOKUP(2,1/(AG188:AQ188&lt;&gt;""),AG188:AQ188)))</t>
        </is>
      </c>
      <c r="BF188" s="38" t="inlineStr">
        <is>
          <t>IF(OR(E188="",AS188=""),"",IF(COUNT(AG188:AR188)=0,"",AS188-LOOKUP(2,1/(AG188:AR188&lt;&gt;""),AG188:AR188)))</t>
        </is>
      </c>
      <c r="BG188" s="38" t="inlineStr">
        <is>
          <t>IF(OR(E188="",AT188=""),"",IF(COUNT(AG188:AS188)=0,"",AT188-LOOKUP(2,1/(AG188:AS188&lt;&gt;""),AG188:AS188)))</t>
        </is>
      </c>
      <c r="BH188" s="41" t="inlineStr">
        <is>
          <t>IF(G188="","All_Provinces",IFERROR(VLOOKUP(G188,'07_Lookups'!$A$4:$B$20,2,FALSE),"All_Provinces"))</t>
        </is>
      </c>
      <c r="BI188" s="41" t="inlineStr">
        <is>
          <t>IF(H188="","All_Districts",IFERROR(VLOOKUP(H188,'07_Lookups'!$E$4:$F$42,2,FALSE),"All_Districts"))</t>
        </is>
      </c>
    </row>
    <row r="189" ht="18" customHeight="1">
      <c r="A189" s="32" t="inlineStr">
        <is>
          <t>IF(E189="","",ROW()-3)</t>
        </is>
      </c>
      <c r="B189" s="42" t="inlineStr">
        <is>
          <t>AF2-DIS-R-026</t>
        </is>
      </c>
      <c r="C189" s="42" t="inlineStr">
        <is>
          <t>Emergency Food Security Project (EFSP) – WBK/AF-2</t>
        </is>
      </c>
      <c r="D189"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9" s="42" t="inlineStr">
        <is>
          <t>12.Khewa Drip irrigation Site</t>
        </is>
      </c>
      <c r="F189" s="42" t="inlineStr">
        <is>
          <t>Drip Irrigation</t>
        </is>
      </c>
      <c r="G189" s="42" t="inlineStr">
        <is>
          <t>East / Jalalabad</t>
        </is>
      </c>
      <c r="H189" s="42" t="inlineStr">
        <is>
          <t>Nangarhar</t>
        </is>
      </c>
      <c r="I189" s="42" t="inlineStr">
        <is>
          <t>Khewa</t>
        </is>
      </c>
      <c r="J189" s="42" t="inlineStr">
        <is>
          <t>Sarjal</t>
        </is>
      </c>
      <c r="K189" s="42" t="inlineStr">
        <is>
          <t>World Bank (WBK/AF-2)</t>
        </is>
      </c>
      <c r="L189" s="42" t="inlineStr">
        <is>
          <t>Remaining</t>
        </is>
      </c>
      <c r="M189" s="42" t="inlineStr">
        <is>
          <t>Drip irrigation</t>
        </is>
      </c>
      <c r="N189" s="42" t="inlineStr">
        <is>
          <t>5. Drip Irrigation systems</t>
        </is>
      </c>
      <c r="O189" s="42" t="inlineStr">
        <is>
          <t>Ramin</t>
        </is>
      </c>
      <c r="P189" s="42" t="inlineStr"/>
      <c r="Q189" s="43" t="n">
        <v>3562.46</v>
      </c>
      <c r="R189" s="35" t="inlineStr">
        <is>
          <t>IF(AO189="","",AO189)</t>
        </is>
      </c>
      <c r="S189" s="44" t="n">
        <v>46380</v>
      </c>
      <c r="T189" s="45" t="n">
        <v>4.9</v>
      </c>
      <c r="U189" s="44" t="n">
        <v>46530</v>
      </c>
      <c r="V189" s="35" t="inlineStr">
        <is>
          <t>IF(U189&lt;&gt;"",U189,IF(OR(R189="",T189=""),"",EDATE(R189,T189)))</t>
        </is>
      </c>
      <c r="W189" s="44" t="n"/>
      <c r="X189" s="45" t="n"/>
      <c r="Y189" s="42" t="inlineStr">
        <is>
          <t>Retendered (Re-ITB)</t>
        </is>
      </c>
      <c r="Z189" s="42" t="inlineStr">
        <is>
          <t>Five month construction period. No slack period considered for Laghman and Nagrahar and two months slack period for Kunar and Nuristan. '- | Farmer: Ramin</t>
        </is>
      </c>
      <c r="AA189" s="32" t="inlineStr">
        <is>
          <t>IF(E189="","",IF(COUNT(AG189:AT189)=0,IF(Y189="","Not started",Y189),SUBSTITUTE(LOOKUP(2,1/(AG189:AT189&lt;&gt;""),$AG$3:$AT$3),"Date: ","")))</t>
        </is>
      </c>
      <c r="AB189" s="38" t="inlineStr">
        <is>
          <t>IF(OR(E189="",COUNT(AG189:AT189)=0),"",TODAY()-LOOKUP(2,1/(AG189:AT189&lt;&gt;""),AG189:AT189))</t>
        </is>
      </c>
      <c r="AC189" s="38" t="inlineStr">
        <is>
          <t>IF(OR(E189="",COUNT(AG189:AT189)&lt;2),"",LOOKUP(2,1/(AG189:AT189&lt;&gt;""),AG189:AT189)-MIN(AG189:AT189))</t>
        </is>
      </c>
      <c r="AD189" s="38" t="inlineStr">
        <is>
          <t>IF(OR(AB189="",AA189="Not started",AA189=""),"",IFERROR(AB189-IF(VLOOKUP(AA189,'04_Status_Pipeline'!$B$3:$E$20,4,FALSE)="",0,VLOOKUP(AA189,'04_Status_Pipeline'!$B$3:$E$20,4,FALSE)),""))</t>
        </is>
      </c>
      <c r="AE189" s="32" t="inlineStr">
        <is>
          <t>IF(E189="","",IF(OR(Y189="Cancelled",AA189="Cancelled"),"Cancelled",IF(OR(AA189="Completed / Handover",W189&lt;&gt;"",X189&gt;=100),"Completed — on track",IF(L189="Remaining",IF(S189="",IF(V189="","No planned date",IF(TODAY()&gt;V189,"Behind — past planned date",IF(V189-TODAY()&lt;=30,"At risk — close to off track","On track"))),IF(TODAY()&gt;S189,"Behind — award date passed",IF(S189-TODAY()&lt;=30,"At risk — close to off track","On track"))),IF(V189="","No planned date",IF(AND(TODAY()&gt;V189,OR(X189="",X189&lt;100)),"Behind — past end date",IF(AND(R189&lt;&gt;"",V189&lt;&gt;"",X189&lt;&gt;"",(X189&lt;100),((TODAY()-R189)/MAX(V189-R189,1)*100)-X189&gt;15),"Behind — progress lag",IF(AND(V189-TODAY()&lt;=30,V189-TODAY()&gt;=0,OR(X189="",X189&lt;90)),"At risk — close to off track","On track"))))))))</t>
        </is>
      </c>
      <c r="AF189" s="38" t="inlineStr">
        <is>
          <t>IF(OR(E189="",AA189="Completed / Handover",AA189="Cancelled"),"",IF(L189="Remaining",IF(S189&lt;&gt;"",S189-TODAY(),IF(V189="","",V189-TODAY())),IF(V189="","",V189-TODAY())))</t>
        </is>
      </c>
      <c r="AG189" s="44" t="n"/>
      <c r="AH189" s="44" t="n"/>
      <c r="AI189" s="44" t="n"/>
      <c r="AJ189" s="44" t="n"/>
      <c r="AK189" s="44" t="n"/>
      <c r="AL189" s="44" t="n"/>
      <c r="AM189" s="44" t="n"/>
      <c r="AN189" s="44" t="n"/>
      <c r="AO189" s="44" t="n"/>
      <c r="AP189" s="44" t="n"/>
      <c r="AQ189" s="44" t="n"/>
      <c r="AR189" s="40" t="n"/>
      <c r="AS189" s="40" t="n"/>
      <c r="AT189" s="40" t="n"/>
      <c r="AU189" s="38" t="inlineStr">
        <is>
          <t>IF(OR(E189="",AH189=""),"",IF(COUNT(AG189:AG189)=0,"",AH189-LOOKUP(2,1/(AG189:AG189&lt;&gt;""),AG189:AG189)))</t>
        </is>
      </c>
      <c r="AV189" s="38" t="inlineStr">
        <is>
          <t>IF(OR(E189="",AI189=""),"",IF(COUNT(AG189:AH189)=0,"",AI189-LOOKUP(2,1/(AG189:AH189&lt;&gt;""),AG189:AH189)))</t>
        </is>
      </c>
      <c r="AW189" s="38" t="inlineStr">
        <is>
          <t>IF(OR(E189="",AJ189=""),"",IF(COUNT(AG189:AI189)=0,"",AJ189-LOOKUP(2,1/(AG189:AI189&lt;&gt;""),AG189:AI189)))</t>
        </is>
      </c>
      <c r="AX189" s="38" t="inlineStr">
        <is>
          <t>IF(OR(E189="",AK189=""),"",IF(COUNT(AG189:AJ189)=0,"",AK189-LOOKUP(2,1/(AG189:AJ189&lt;&gt;""),AG189:AJ189)))</t>
        </is>
      </c>
      <c r="AY189" s="38" t="inlineStr">
        <is>
          <t>IF(OR(E189="",AL189=""),"",IF(COUNT(AG189:AK189)=0,"",AL189-LOOKUP(2,1/(AG189:AK189&lt;&gt;""),AG189:AK189)))</t>
        </is>
      </c>
      <c r="AZ189" s="38" t="inlineStr">
        <is>
          <t>IF(OR(E189="",AM189=""),"",IF(COUNT(AG189:AL189)=0,"",AM189-LOOKUP(2,1/(AG189:AL189&lt;&gt;""),AG189:AL189)))</t>
        </is>
      </c>
      <c r="BA189" s="38" t="inlineStr">
        <is>
          <t>IF(OR(E189="",AN189=""),"",IF(COUNT(AG189:AM189)=0,"",AN189-LOOKUP(2,1/(AG189:AM189&lt;&gt;""),AG189:AM189)))</t>
        </is>
      </c>
      <c r="BB189" s="38" t="inlineStr">
        <is>
          <t>IF(OR(E189="",AO189=""),"",IF(COUNT(AG189:AN189)=0,"",AO189-LOOKUP(2,1/(AG189:AN189&lt;&gt;""),AG189:AN189)))</t>
        </is>
      </c>
      <c r="BC189" s="38" t="inlineStr">
        <is>
          <t>IF(OR(E189="",AP189=""),"",IF(COUNT(AG189:AO189)=0,"",AP189-LOOKUP(2,1/(AG189:AO189&lt;&gt;""),AG189:AO189)))</t>
        </is>
      </c>
      <c r="BD189" s="38" t="inlineStr">
        <is>
          <t>IF(OR(E189="",AQ189=""),"",IF(COUNT(AG189:AP189)=0,"",AQ189-LOOKUP(2,1/(AG189:AP189&lt;&gt;""),AG189:AP189)))</t>
        </is>
      </c>
      <c r="BE189" s="38" t="inlineStr">
        <is>
          <t>IF(OR(E189="",AR189=""),"",IF(COUNT(AG189:AQ189)=0,"",AR189-LOOKUP(2,1/(AG189:AQ189&lt;&gt;""),AG189:AQ189)))</t>
        </is>
      </c>
      <c r="BF189" s="38" t="inlineStr">
        <is>
          <t>IF(OR(E189="",AS189=""),"",IF(COUNT(AG189:AR189)=0,"",AS189-LOOKUP(2,1/(AG189:AR189&lt;&gt;""),AG189:AR189)))</t>
        </is>
      </c>
      <c r="BG189" s="38" t="inlineStr">
        <is>
          <t>IF(OR(E189="",AT189=""),"",IF(COUNT(AG189:AS189)=0,"",AT189-LOOKUP(2,1/(AG189:AS189&lt;&gt;""),AG189:AS189)))</t>
        </is>
      </c>
      <c r="BH189" s="41" t="inlineStr">
        <is>
          <t>IF(G189="","All_Provinces",IFERROR(VLOOKUP(G189,'07_Lookups'!$A$4:$B$20,2,FALSE),"All_Provinces"))</t>
        </is>
      </c>
      <c r="BI189" s="41" t="inlineStr">
        <is>
          <t>IF(H189="","All_Districts",IFERROR(VLOOKUP(H189,'07_Lookups'!$E$4:$F$42,2,FALSE),"All_Districts"))</t>
        </is>
      </c>
    </row>
    <row r="190" ht="18" customHeight="1">
      <c r="A190" s="32" t="inlineStr">
        <is>
          <t>IF(E190="","",ROW()-3)</t>
        </is>
      </c>
      <c r="B190" s="33" t="inlineStr">
        <is>
          <t>AF2-DIS-R-027</t>
        </is>
      </c>
      <c r="C190" s="33" t="inlineStr">
        <is>
          <t>Emergency Food Security Project (EFSP) – WBK/AF-2</t>
        </is>
      </c>
      <c r="D190" s="33" t="inlineStr">
        <is>
          <t>Package #3-WBK/AF2 DIS: Demonstration of 14 Drip irrigation schemes at 13 district sites of 1. Parwan, 2. Kabul, 3. Wardak and 4. Kapisa provinces.</t>
        </is>
      </c>
      <c r="E190" s="33" t="inlineStr">
        <is>
          <t>Dahan Rabat Drip irrigation schemes</t>
        </is>
      </c>
      <c r="F190" s="33" t="inlineStr">
        <is>
          <t>Drip Irrigation</t>
        </is>
      </c>
      <c r="G190" s="33" t="inlineStr">
        <is>
          <t>Central / Kabul</t>
        </is>
      </c>
      <c r="H190" s="33" t="inlineStr">
        <is>
          <t>Parwan</t>
        </is>
      </c>
      <c r="I190" s="33" t="inlineStr">
        <is>
          <t>Shikh Ali</t>
        </is>
      </c>
      <c r="J190" s="33" t="inlineStr">
        <is>
          <t>Dahan Rabat</t>
        </is>
      </c>
      <c r="K190" s="33" t="inlineStr">
        <is>
          <t>World Bank (WBK/AF-2)</t>
        </is>
      </c>
      <c r="L190" s="33" t="inlineStr">
        <is>
          <t>Remaining</t>
        </is>
      </c>
      <c r="M190" s="33" t="inlineStr">
        <is>
          <t>Drip irrigation</t>
        </is>
      </c>
      <c r="N190" s="33" t="inlineStr">
        <is>
          <t>5. Drip Irrigation systems</t>
        </is>
      </c>
      <c r="O190" s="33" t="inlineStr">
        <is>
          <t>Abdullah</t>
        </is>
      </c>
      <c r="P190" s="33" t="inlineStr"/>
      <c r="Q190" s="34" t="n">
        <v>4250</v>
      </c>
      <c r="R190" s="35" t="inlineStr">
        <is>
          <t>IF(AO190="","",AO190)</t>
        </is>
      </c>
      <c r="S190" s="36" t="n">
        <v>46371</v>
      </c>
      <c r="T190" s="37" t="n">
        <v>6.4</v>
      </c>
      <c r="U190" s="36" t="n">
        <v>46566</v>
      </c>
      <c r="V190" s="35" t="inlineStr">
        <is>
          <t>IF(U190&lt;&gt;"",U190,IF(OR(R190="",T190=""),"",EDATE(R190,T190)))</t>
        </is>
      </c>
      <c r="W190" s="36" t="n"/>
      <c r="X190" s="37" t="n"/>
      <c r="Y190" s="33" t="inlineStr">
        <is>
          <t>Retendered (Re-ITB)</t>
        </is>
      </c>
      <c r="Z190" s="33" t="inlineStr">
        <is>
          <t>Slack period from mid December to March 2026. Four months construction period.'- | Farmer: Abdullah</t>
        </is>
      </c>
      <c r="AA190" s="32" t="inlineStr">
        <is>
          <t>IF(E190="","",IF(COUNT(AG190:AT190)=0,IF(Y190="","Not started",Y190),SUBSTITUTE(LOOKUP(2,1/(AG190:AT190&lt;&gt;""),$AG$3:$AT$3),"Date: ","")))</t>
        </is>
      </c>
      <c r="AB190" s="38" t="inlineStr">
        <is>
          <t>IF(OR(E190="",COUNT(AG190:AT190)=0),"",TODAY()-LOOKUP(2,1/(AG190:AT190&lt;&gt;""),AG190:AT190))</t>
        </is>
      </c>
      <c r="AC190" s="38" t="inlineStr">
        <is>
          <t>IF(OR(E190="",COUNT(AG190:AT190)&lt;2),"",LOOKUP(2,1/(AG190:AT190&lt;&gt;""),AG190:AT190)-MIN(AG190:AT190))</t>
        </is>
      </c>
      <c r="AD190" s="38" t="inlineStr">
        <is>
          <t>IF(OR(AB190="",AA190="Not started",AA190=""),"",IFERROR(AB190-IF(VLOOKUP(AA190,'04_Status_Pipeline'!$B$3:$E$20,4,FALSE)="",0,VLOOKUP(AA190,'04_Status_Pipeline'!$B$3:$E$20,4,FALSE)),""))</t>
        </is>
      </c>
      <c r="AE190" s="32" t="inlineStr">
        <is>
          <t>IF(E190="","",IF(OR(Y190="Cancelled",AA190="Cancelled"),"Cancelled",IF(OR(AA190="Completed / Handover",W190&lt;&gt;"",X190&gt;=100),"Completed — on track",IF(L190="Remaining",IF(S190="",IF(V190="","No planned date",IF(TODAY()&gt;V190,"Behind — past planned date",IF(V190-TODAY()&lt;=30,"At risk — close to off track","On track"))),IF(TODAY()&gt;S190,"Behind — award date passed",IF(S190-TODAY()&lt;=30,"At risk — close to off track","On track"))),IF(V190="","No planned date",IF(AND(TODAY()&gt;V190,OR(X190="",X190&lt;100)),"Behind — past end date",IF(AND(R190&lt;&gt;"",V190&lt;&gt;"",X190&lt;&gt;"",(X190&lt;100),((TODAY()-R190)/MAX(V190-R190,1)*100)-X190&gt;15),"Behind — progress lag",IF(AND(V190-TODAY()&lt;=30,V190-TODAY()&gt;=0,OR(X190="",X190&lt;90)),"At risk — close to off track","On track"))))))))</t>
        </is>
      </c>
      <c r="AF190" s="38" t="inlineStr">
        <is>
          <t>IF(OR(E190="",AA190="Completed / Handover",AA190="Cancelled"),"",IF(L190="Remaining",IF(S190&lt;&gt;"",S190-TODAY(),IF(V190="","",V190-TODAY())),IF(V190="","",V190-TODAY())))</t>
        </is>
      </c>
      <c r="AG190" s="36" t="n"/>
      <c r="AH190" s="36" t="n"/>
      <c r="AI190" s="36" t="n"/>
      <c r="AJ190" s="36" t="n"/>
      <c r="AK190" s="36" t="n"/>
      <c r="AL190" s="36" t="n"/>
      <c r="AM190" s="36" t="n"/>
      <c r="AN190" s="36" t="n"/>
      <c r="AO190" s="36" t="n"/>
      <c r="AP190" s="36" t="n"/>
      <c r="AQ190" s="36" t="n"/>
      <c r="AR190" s="40" t="n"/>
      <c r="AS190" s="40" t="n"/>
      <c r="AT190" s="40" t="n"/>
      <c r="AU190" s="38" t="inlineStr">
        <is>
          <t>IF(OR(E190="",AH190=""),"",IF(COUNT(AG190:AG190)=0,"",AH190-LOOKUP(2,1/(AG190:AG190&lt;&gt;""),AG190:AG190)))</t>
        </is>
      </c>
      <c r="AV190" s="38" t="inlineStr">
        <is>
          <t>IF(OR(E190="",AI190=""),"",IF(COUNT(AG190:AH190)=0,"",AI190-LOOKUP(2,1/(AG190:AH190&lt;&gt;""),AG190:AH190)))</t>
        </is>
      </c>
      <c r="AW190" s="38" t="inlineStr">
        <is>
          <t>IF(OR(E190="",AJ190=""),"",IF(COUNT(AG190:AI190)=0,"",AJ190-LOOKUP(2,1/(AG190:AI190&lt;&gt;""),AG190:AI190)))</t>
        </is>
      </c>
      <c r="AX190" s="38" t="inlineStr">
        <is>
          <t>IF(OR(E190="",AK190=""),"",IF(COUNT(AG190:AJ190)=0,"",AK190-LOOKUP(2,1/(AG190:AJ190&lt;&gt;""),AG190:AJ190)))</t>
        </is>
      </c>
      <c r="AY190" s="38" t="inlineStr">
        <is>
          <t>IF(OR(E190="",AL190=""),"",IF(COUNT(AG190:AK190)=0,"",AL190-LOOKUP(2,1/(AG190:AK190&lt;&gt;""),AG190:AK190)))</t>
        </is>
      </c>
      <c r="AZ190" s="38" t="inlineStr">
        <is>
          <t>IF(OR(E190="",AM190=""),"",IF(COUNT(AG190:AL190)=0,"",AM190-LOOKUP(2,1/(AG190:AL190&lt;&gt;""),AG190:AL190)))</t>
        </is>
      </c>
      <c r="BA190" s="38" t="inlineStr">
        <is>
          <t>IF(OR(E190="",AN190=""),"",IF(COUNT(AG190:AM190)=0,"",AN190-LOOKUP(2,1/(AG190:AM190&lt;&gt;""),AG190:AM190)))</t>
        </is>
      </c>
      <c r="BB190" s="38" t="inlineStr">
        <is>
          <t>IF(OR(E190="",AO190=""),"",IF(COUNT(AG190:AN190)=0,"",AO190-LOOKUP(2,1/(AG190:AN190&lt;&gt;""),AG190:AN190)))</t>
        </is>
      </c>
      <c r="BC190" s="38" t="inlineStr">
        <is>
          <t>IF(OR(E190="",AP190=""),"",IF(COUNT(AG190:AO190)=0,"",AP190-LOOKUP(2,1/(AG190:AO190&lt;&gt;""),AG190:AO190)))</t>
        </is>
      </c>
      <c r="BD190" s="38" t="inlineStr">
        <is>
          <t>IF(OR(E190="",AQ190=""),"",IF(COUNT(AG190:AP190)=0,"",AQ190-LOOKUP(2,1/(AG190:AP190&lt;&gt;""),AG190:AP190)))</t>
        </is>
      </c>
      <c r="BE190" s="38" t="inlineStr">
        <is>
          <t>IF(OR(E190="",AR190=""),"",IF(COUNT(AG190:AQ190)=0,"",AR190-LOOKUP(2,1/(AG190:AQ190&lt;&gt;""),AG190:AQ190)))</t>
        </is>
      </c>
      <c r="BF190" s="38" t="inlineStr">
        <is>
          <t>IF(OR(E190="",AS190=""),"",IF(COUNT(AG190:AR190)=0,"",AS190-LOOKUP(2,1/(AG190:AR190&lt;&gt;""),AG190:AR190)))</t>
        </is>
      </c>
      <c r="BG190" s="38" t="inlineStr">
        <is>
          <t>IF(OR(E190="",AT190=""),"",IF(COUNT(AG190:AS190)=0,"",AT190-LOOKUP(2,1/(AG190:AS190&lt;&gt;""),AG190:AS190)))</t>
        </is>
      </c>
      <c r="BH190" s="41" t="inlineStr">
        <is>
          <t>IF(G190="","All_Provinces",IFERROR(VLOOKUP(G190,'07_Lookups'!$A$4:$B$20,2,FALSE),"All_Provinces"))</t>
        </is>
      </c>
      <c r="BI190" s="41" t="inlineStr">
        <is>
          <t>IF(H190="","All_Districts",IFERROR(VLOOKUP(H190,'07_Lookups'!$E$4:$F$42,2,FALSE),"All_Districts"))</t>
        </is>
      </c>
    </row>
    <row r="191" ht="18" customHeight="1">
      <c r="A191" s="32" t="inlineStr">
        <is>
          <t>IF(E191="","",ROW()-3)</t>
        </is>
      </c>
      <c r="B191" s="42" t="inlineStr">
        <is>
          <t>AF2-DIS-R-028</t>
        </is>
      </c>
      <c r="C191" s="42" t="inlineStr">
        <is>
          <t>Emergency Food Security Project (EFSP) – WBK/AF-2</t>
        </is>
      </c>
      <c r="D191" s="42" t="inlineStr">
        <is>
          <t>Package #3-WBK/AF2 DIS: Demonstration of 14 Drip irrigation schemes at 13 district sites of 1. Parwan, 2. Kabul, 3. Wardak and 4. Kapisa provinces.</t>
        </is>
      </c>
      <c r="E191" s="42" t="inlineStr">
        <is>
          <t>Lolenj Drip irrigation schemes</t>
        </is>
      </c>
      <c r="F191" s="42" t="inlineStr">
        <is>
          <t>Drip Irrigation</t>
        </is>
      </c>
      <c r="G191" s="42" t="inlineStr">
        <is>
          <t>Central / Kabul</t>
        </is>
      </c>
      <c r="H191" s="42" t="inlineStr">
        <is>
          <t>Parwan</t>
        </is>
      </c>
      <c r="I191" s="42" t="inlineStr">
        <is>
          <t>Surkh Parsa</t>
        </is>
      </c>
      <c r="J191" s="42" t="inlineStr">
        <is>
          <t>Lolenj</t>
        </is>
      </c>
      <c r="K191" s="42" t="inlineStr">
        <is>
          <t>World Bank (WBK/AF-2)</t>
        </is>
      </c>
      <c r="L191" s="42" t="inlineStr">
        <is>
          <t>Remaining</t>
        </is>
      </c>
      <c r="M191" s="42" t="inlineStr">
        <is>
          <t>Drip irrigation</t>
        </is>
      </c>
      <c r="N191" s="42" t="inlineStr">
        <is>
          <t>5. Drip Irrigation systems</t>
        </is>
      </c>
      <c r="O191" s="42" t="inlineStr">
        <is>
          <t>Ghulam Haider Shah</t>
        </is>
      </c>
      <c r="P191" s="42" t="inlineStr"/>
      <c r="Q191" s="43" t="n">
        <v>8500</v>
      </c>
      <c r="R191" s="35" t="inlineStr">
        <is>
          <t>IF(AO191="","",AO191)</t>
        </is>
      </c>
      <c r="S191" s="44" t="n">
        <v>46371</v>
      </c>
      <c r="T191" s="45" t="n">
        <v>6.4</v>
      </c>
      <c r="U191" s="44" t="n">
        <v>46566</v>
      </c>
      <c r="V191" s="35" t="inlineStr">
        <is>
          <t>IF(U191&lt;&gt;"",U191,IF(OR(R191="",T191=""),"",EDATE(R191,T191)))</t>
        </is>
      </c>
      <c r="W191" s="44" t="n"/>
      <c r="X191" s="45" t="n"/>
      <c r="Y191" s="42" t="inlineStr">
        <is>
          <t>Retendered (Re-ITB)</t>
        </is>
      </c>
      <c r="Z191" s="42" t="inlineStr">
        <is>
          <t>Slack period from mid December to March 2026. Four months construction period.'- | Farmer: Ghulam Haider Shah</t>
        </is>
      </c>
      <c r="AA191" s="32" t="inlineStr">
        <is>
          <t>IF(E191="","",IF(COUNT(AG191:AT191)=0,IF(Y191="","Not started",Y191),SUBSTITUTE(LOOKUP(2,1/(AG191:AT191&lt;&gt;""),$AG$3:$AT$3),"Date: ","")))</t>
        </is>
      </c>
      <c r="AB191" s="38" t="inlineStr">
        <is>
          <t>IF(OR(E191="",COUNT(AG191:AT191)=0),"",TODAY()-LOOKUP(2,1/(AG191:AT191&lt;&gt;""),AG191:AT191))</t>
        </is>
      </c>
      <c r="AC191" s="38" t="inlineStr">
        <is>
          <t>IF(OR(E191="",COUNT(AG191:AT191)&lt;2),"",LOOKUP(2,1/(AG191:AT191&lt;&gt;""),AG191:AT191)-MIN(AG191:AT191))</t>
        </is>
      </c>
      <c r="AD191" s="38" t="inlineStr">
        <is>
          <t>IF(OR(AB191="",AA191="Not started",AA191=""),"",IFERROR(AB191-IF(VLOOKUP(AA191,'04_Status_Pipeline'!$B$3:$E$20,4,FALSE)="",0,VLOOKUP(AA191,'04_Status_Pipeline'!$B$3:$E$20,4,FALSE)),""))</t>
        </is>
      </c>
      <c r="AE191" s="32" t="inlineStr">
        <is>
          <t>IF(E191="","",IF(OR(Y191="Cancelled",AA191="Cancelled"),"Cancelled",IF(OR(AA191="Completed / Handover",W191&lt;&gt;"",X191&gt;=100),"Completed — on track",IF(L191="Remaining",IF(S191="",IF(V191="","No planned date",IF(TODAY()&gt;V191,"Behind — past planned date",IF(V191-TODAY()&lt;=30,"At risk — close to off track","On track"))),IF(TODAY()&gt;S191,"Behind — award date passed",IF(S191-TODAY()&lt;=30,"At risk — close to off track","On track"))),IF(V191="","No planned date",IF(AND(TODAY()&gt;V191,OR(X191="",X191&lt;100)),"Behind — past end date",IF(AND(R191&lt;&gt;"",V191&lt;&gt;"",X191&lt;&gt;"",(X191&lt;100),((TODAY()-R191)/MAX(V191-R191,1)*100)-X191&gt;15),"Behind — progress lag",IF(AND(V191-TODAY()&lt;=30,V191-TODAY()&gt;=0,OR(X191="",X191&lt;90)),"At risk — close to off track","On track"))))))))</t>
        </is>
      </c>
      <c r="AF191" s="38" t="inlineStr">
        <is>
          <t>IF(OR(E191="",AA191="Completed / Handover",AA191="Cancelled"),"",IF(L191="Remaining",IF(S191&lt;&gt;"",S191-TODAY(),IF(V191="","",V191-TODAY())),IF(V191="","",V191-TODAY())))</t>
        </is>
      </c>
      <c r="AG191" s="44" t="n"/>
      <c r="AH191" s="44" t="n"/>
      <c r="AI191" s="44" t="n"/>
      <c r="AJ191" s="44" t="n"/>
      <c r="AK191" s="44" t="n"/>
      <c r="AL191" s="44" t="n"/>
      <c r="AM191" s="44" t="n"/>
      <c r="AN191" s="44" t="n"/>
      <c r="AO191" s="44" t="n"/>
      <c r="AP191" s="44" t="n"/>
      <c r="AQ191" s="44" t="n"/>
      <c r="AR191" s="40" t="n"/>
      <c r="AS191" s="40" t="n"/>
      <c r="AT191" s="40" t="n"/>
      <c r="AU191" s="38" t="inlineStr">
        <is>
          <t>IF(OR(E191="",AH191=""),"",IF(COUNT(AG191:AG191)=0,"",AH191-LOOKUP(2,1/(AG191:AG191&lt;&gt;""),AG191:AG191)))</t>
        </is>
      </c>
      <c r="AV191" s="38" t="inlineStr">
        <is>
          <t>IF(OR(E191="",AI191=""),"",IF(COUNT(AG191:AH191)=0,"",AI191-LOOKUP(2,1/(AG191:AH191&lt;&gt;""),AG191:AH191)))</t>
        </is>
      </c>
      <c r="AW191" s="38" t="inlineStr">
        <is>
          <t>IF(OR(E191="",AJ191=""),"",IF(COUNT(AG191:AI191)=0,"",AJ191-LOOKUP(2,1/(AG191:AI191&lt;&gt;""),AG191:AI191)))</t>
        </is>
      </c>
      <c r="AX191" s="38" t="inlineStr">
        <is>
          <t>IF(OR(E191="",AK191=""),"",IF(COUNT(AG191:AJ191)=0,"",AK191-LOOKUP(2,1/(AG191:AJ191&lt;&gt;""),AG191:AJ191)))</t>
        </is>
      </c>
      <c r="AY191" s="38" t="inlineStr">
        <is>
          <t>IF(OR(E191="",AL191=""),"",IF(COUNT(AG191:AK191)=0,"",AL191-LOOKUP(2,1/(AG191:AK191&lt;&gt;""),AG191:AK191)))</t>
        </is>
      </c>
      <c r="AZ191" s="38" t="inlineStr">
        <is>
          <t>IF(OR(E191="",AM191=""),"",IF(COUNT(AG191:AL191)=0,"",AM191-LOOKUP(2,1/(AG191:AL191&lt;&gt;""),AG191:AL191)))</t>
        </is>
      </c>
      <c r="BA191" s="38" t="inlineStr">
        <is>
          <t>IF(OR(E191="",AN191=""),"",IF(COUNT(AG191:AM191)=0,"",AN191-LOOKUP(2,1/(AG191:AM191&lt;&gt;""),AG191:AM191)))</t>
        </is>
      </c>
      <c r="BB191" s="38" t="inlineStr">
        <is>
          <t>IF(OR(E191="",AO191=""),"",IF(COUNT(AG191:AN191)=0,"",AO191-LOOKUP(2,1/(AG191:AN191&lt;&gt;""),AG191:AN191)))</t>
        </is>
      </c>
      <c r="BC191" s="38" t="inlineStr">
        <is>
          <t>IF(OR(E191="",AP191=""),"",IF(COUNT(AG191:AO191)=0,"",AP191-LOOKUP(2,1/(AG191:AO191&lt;&gt;""),AG191:AO191)))</t>
        </is>
      </c>
      <c r="BD191" s="38" t="inlineStr">
        <is>
          <t>IF(OR(E191="",AQ191=""),"",IF(COUNT(AG191:AP191)=0,"",AQ191-LOOKUP(2,1/(AG191:AP191&lt;&gt;""),AG191:AP191)))</t>
        </is>
      </c>
      <c r="BE191" s="38" t="inlineStr">
        <is>
          <t>IF(OR(E191="",AR191=""),"",IF(COUNT(AG191:AQ191)=0,"",AR191-LOOKUP(2,1/(AG191:AQ191&lt;&gt;""),AG191:AQ191)))</t>
        </is>
      </c>
      <c r="BF191" s="38" t="inlineStr">
        <is>
          <t>IF(OR(E191="",AS191=""),"",IF(COUNT(AG191:AR191)=0,"",AS191-LOOKUP(2,1/(AG191:AR191&lt;&gt;""),AG191:AR191)))</t>
        </is>
      </c>
      <c r="BG191" s="38" t="inlineStr">
        <is>
          <t>IF(OR(E191="",AT191=""),"",IF(COUNT(AG191:AS191)=0,"",AT191-LOOKUP(2,1/(AG191:AS191&lt;&gt;""),AG191:AS191)))</t>
        </is>
      </c>
      <c r="BH191" s="41" t="inlineStr">
        <is>
          <t>IF(G191="","All_Provinces",IFERROR(VLOOKUP(G191,'07_Lookups'!$A$4:$B$20,2,FALSE),"All_Provinces"))</t>
        </is>
      </c>
      <c r="BI191" s="41" t="inlineStr">
        <is>
          <t>IF(H191="","All_Districts",IFERROR(VLOOKUP(H191,'07_Lookups'!$E$4:$F$42,2,FALSE),"All_Districts"))</t>
        </is>
      </c>
    </row>
    <row r="192" ht="18" customHeight="1">
      <c r="A192" s="32" t="inlineStr">
        <is>
          <t>IF(E192="","",ROW()-3)</t>
        </is>
      </c>
      <c r="B192" s="33" t="inlineStr">
        <is>
          <t>AF2-DIS-R-029</t>
        </is>
      </c>
      <c r="C192" s="33" t="inlineStr">
        <is>
          <t>Emergency Food Security Project (EFSP) – WBK/AF-2</t>
        </is>
      </c>
      <c r="D192" s="33" t="inlineStr">
        <is>
          <t>Package #3-WBK/AF2 DIS: Demonstration of 14 Drip irrigation schemes at 13 district sites of 1. Parwan, 2. Kabul, 3. Wardak and 4. Kapisa provinces.</t>
        </is>
      </c>
      <c r="E192" s="33" t="inlineStr">
        <is>
          <t>Qala-e- Nasro Drip irrigation schemes</t>
        </is>
      </c>
      <c r="F192" s="33" t="inlineStr">
        <is>
          <t>Drip Irrigation</t>
        </is>
      </c>
      <c r="G192" s="33" t="inlineStr">
        <is>
          <t>Central / Kabul</t>
        </is>
      </c>
      <c r="H192" s="33" t="inlineStr">
        <is>
          <t>Parwan</t>
        </is>
      </c>
      <c r="I192" s="33" t="inlineStr">
        <is>
          <t>Bagram</t>
        </is>
      </c>
      <c r="J192" s="33" t="inlineStr">
        <is>
          <t>Qala-e- Nasro</t>
        </is>
      </c>
      <c r="K192" s="33" t="inlineStr">
        <is>
          <t>World Bank (WBK/AF-2)</t>
        </is>
      </c>
      <c r="L192" s="33" t="inlineStr">
        <is>
          <t>Remaining</t>
        </is>
      </c>
      <c r="M192" s="33" t="inlineStr">
        <is>
          <t>Drip irrigation</t>
        </is>
      </c>
      <c r="N192" s="33" t="inlineStr">
        <is>
          <t>5. Drip Irrigation systems</t>
        </is>
      </c>
      <c r="O192" s="33" t="inlineStr">
        <is>
          <t>Mohammad Waseem</t>
        </is>
      </c>
      <c r="P192" s="33" t="inlineStr"/>
      <c r="Q192" s="34" t="n">
        <v>4250</v>
      </c>
      <c r="R192" s="35" t="inlineStr">
        <is>
          <t>IF(AO192="","",AO192)</t>
        </is>
      </c>
      <c r="S192" s="36" t="n">
        <v>46371</v>
      </c>
      <c r="T192" s="37" t="n">
        <v>6.4</v>
      </c>
      <c r="U192" s="36" t="n">
        <v>46566</v>
      </c>
      <c r="V192" s="35" t="inlineStr">
        <is>
          <t>IF(U192&lt;&gt;"",U192,IF(OR(R192="",T192=""),"",EDATE(R192,T192)))</t>
        </is>
      </c>
      <c r="W192" s="36" t="n"/>
      <c r="X192" s="37" t="n"/>
      <c r="Y192" s="33" t="inlineStr">
        <is>
          <t>Retendered (Re-ITB)</t>
        </is>
      </c>
      <c r="Z192" s="33" t="inlineStr">
        <is>
          <t>Slack period from mid December to March 2026. Four months construction period.'- | Farmer: Mohammad Waseem</t>
        </is>
      </c>
      <c r="AA192" s="32" t="inlineStr">
        <is>
          <t>IF(E192="","",IF(COUNT(AG192:AT192)=0,IF(Y192="","Not started",Y192),SUBSTITUTE(LOOKUP(2,1/(AG192:AT192&lt;&gt;""),$AG$3:$AT$3),"Date: ","")))</t>
        </is>
      </c>
      <c r="AB192" s="38" t="inlineStr">
        <is>
          <t>IF(OR(E192="",COUNT(AG192:AT192)=0),"",TODAY()-LOOKUP(2,1/(AG192:AT192&lt;&gt;""),AG192:AT192))</t>
        </is>
      </c>
      <c r="AC192" s="38" t="inlineStr">
        <is>
          <t>IF(OR(E192="",COUNT(AG192:AT192)&lt;2),"",LOOKUP(2,1/(AG192:AT192&lt;&gt;""),AG192:AT192)-MIN(AG192:AT192))</t>
        </is>
      </c>
      <c r="AD192" s="38" t="inlineStr">
        <is>
          <t>IF(OR(AB192="",AA192="Not started",AA192=""),"",IFERROR(AB192-IF(VLOOKUP(AA192,'04_Status_Pipeline'!$B$3:$E$20,4,FALSE)="",0,VLOOKUP(AA192,'04_Status_Pipeline'!$B$3:$E$20,4,FALSE)),""))</t>
        </is>
      </c>
      <c r="AE192" s="32" t="inlineStr">
        <is>
          <t>IF(E192="","",IF(OR(Y192="Cancelled",AA192="Cancelled"),"Cancelled",IF(OR(AA192="Completed / Handover",W192&lt;&gt;"",X192&gt;=100),"Completed — on track",IF(L192="Remaining",IF(S192="",IF(V192="","No planned date",IF(TODAY()&gt;V192,"Behind — past planned date",IF(V192-TODAY()&lt;=30,"At risk — close to off track","On track"))),IF(TODAY()&gt;S192,"Behind — award date passed",IF(S192-TODAY()&lt;=30,"At risk — close to off track","On track"))),IF(V192="","No planned date",IF(AND(TODAY()&gt;V192,OR(X192="",X192&lt;100)),"Behind — past end date",IF(AND(R192&lt;&gt;"",V192&lt;&gt;"",X192&lt;&gt;"",(X192&lt;100),((TODAY()-R192)/MAX(V192-R192,1)*100)-X192&gt;15),"Behind — progress lag",IF(AND(V192-TODAY()&lt;=30,V192-TODAY()&gt;=0,OR(X192="",X192&lt;90)),"At risk — close to off track","On track"))))))))</t>
        </is>
      </c>
      <c r="AF192" s="38" t="inlineStr">
        <is>
          <t>IF(OR(E192="",AA192="Completed / Handover",AA192="Cancelled"),"",IF(L192="Remaining",IF(S192&lt;&gt;"",S192-TODAY(),IF(V192="","",V192-TODAY())),IF(V192="","",V192-TODAY())))</t>
        </is>
      </c>
      <c r="AG192" s="36" t="n"/>
      <c r="AH192" s="36" t="n"/>
      <c r="AI192" s="36" t="n"/>
      <c r="AJ192" s="36" t="n"/>
      <c r="AK192" s="36" t="n"/>
      <c r="AL192" s="36" t="n"/>
      <c r="AM192" s="36" t="n"/>
      <c r="AN192" s="36" t="n"/>
      <c r="AO192" s="36" t="n"/>
      <c r="AP192" s="36" t="n"/>
      <c r="AQ192" s="36" t="n"/>
      <c r="AR192" s="40" t="n"/>
      <c r="AS192" s="40" t="n"/>
      <c r="AT192" s="40" t="n"/>
      <c r="AU192" s="38" t="inlineStr">
        <is>
          <t>IF(OR(E192="",AH192=""),"",IF(COUNT(AG192:AG192)=0,"",AH192-LOOKUP(2,1/(AG192:AG192&lt;&gt;""),AG192:AG192)))</t>
        </is>
      </c>
      <c r="AV192" s="38" t="inlineStr">
        <is>
          <t>IF(OR(E192="",AI192=""),"",IF(COUNT(AG192:AH192)=0,"",AI192-LOOKUP(2,1/(AG192:AH192&lt;&gt;""),AG192:AH192)))</t>
        </is>
      </c>
      <c r="AW192" s="38" t="inlineStr">
        <is>
          <t>IF(OR(E192="",AJ192=""),"",IF(COUNT(AG192:AI192)=0,"",AJ192-LOOKUP(2,1/(AG192:AI192&lt;&gt;""),AG192:AI192)))</t>
        </is>
      </c>
      <c r="AX192" s="38" t="inlineStr">
        <is>
          <t>IF(OR(E192="",AK192=""),"",IF(COUNT(AG192:AJ192)=0,"",AK192-LOOKUP(2,1/(AG192:AJ192&lt;&gt;""),AG192:AJ192)))</t>
        </is>
      </c>
      <c r="AY192" s="38" t="inlineStr">
        <is>
          <t>IF(OR(E192="",AL192=""),"",IF(COUNT(AG192:AK192)=0,"",AL192-LOOKUP(2,1/(AG192:AK192&lt;&gt;""),AG192:AK192)))</t>
        </is>
      </c>
      <c r="AZ192" s="38" t="inlineStr">
        <is>
          <t>IF(OR(E192="",AM192=""),"",IF(COUNT(AG192:AL192)=0,"",AM192-LOOKUP(2,1/(AG192:AL192&lt;&gt;""),AG192:AL192)))</t>
        </is>
      </c>
      <c r="BA192" s="38" t="inlineStr">
        <is>
          <t>IF(OR(E192="",AN192=""),"",IF(COUNT(AG192:AM192)=0,"",AN192-LOOKUP(2,1/(AG192:AM192&lt;&gt;""),AG192:AM192)))</t>
        </is>
      </c>
      <c r="BB192" s="38" t="inlineStr">
        <is>
          <t>IF(OR(E192="",AO192=""),"",IF(COUNT(AG192:AN192)=0,"",AO192-LOOKUP(2,1/(AG192:AN192&lt;&gt;""),AG192:AN192)))</t>
        </is>
      </c>
      <c r="BC192" s="38" t="inlineStr">
        <is>
          <t>IF(OR(E192="",AP192=""),"",IF(COUNT(AG192:AO192)=0,"",AP192-LOOKUP(2,1/(AG192:AO192&lt;&gt;""),AG192:AO192)))</t>
        </is>
      </c>
      <c r="BD192" s="38" t="inlineStr">
        <is>
          <t>IF(OR(E192="",AQ192=""),"",IF(COUNT(AG192:AP192)=0,"",AQ192-LOOKUP(2,1/(AG192:AP192&lt;&gt;""),AG192:AP192)))</t>
        </is>
      </c>
      <c r="BE192" s="38" t="inlineStr">
        <is>
          <t>IF(OR(E192="",AR192=""),"",IF(COUNT(AG192:AQ192)=0,"",AR192-LOOKUP(2,1/(AG192:AQ192&lt;&gt;""),AG192:AQ192)))</t>
        </is>
      </c>
      <c r="BF192" s="38" t="inlineStr">
        <is>
          <t>IF(OR(E192="",AS192=""),"",IF(COUNT(AG192:AR192)=0,"",AS192-LOOKUP(2,1/(AG192:AR192&lt;&gt;""),AG192:AR192)))</t>
        </is>
      </c>
      <c r="BG192" s="38" t="inlineStr">
        <is>
          <t>IF(OR(E192="",AT192=""),"",IF(COUNT(AG192:AS192)=0,"",AT192-LOOKUP(2,1/(AG192:AS192&lt;&gt;""),AG192:AS192)))</t>
        </is>
      </c>
      <c r="BH192" s="41" t="inlineStr">
        <is>
          <t>IF(G192="","All_Provinces",IFERROR(VLOOKUP(G192,'07_Lookups'!$A$4:$B$20,2,FALSE),"All_Provinces"))</t>
        </is>
      </c>
      <c r="BI192" s="41" t="inlineStr">
        <is>
          <t>IF(H192="","All_Districts",IFERROR(VLOOKUP(H192,'07_Lookups'!$E$4:$F$42,2,FALSE),"All_Districts"))</t>
        </is>
      </c>
    </row>
    <row r="193" ht="18" customHeight="1">
      <c r="A193" s="32" t="inlineStr">
        <is>
          <t>IF(E193="","",ROW()-3)</t>
        </is>
      </c>
      <c r="B193" s="42" t="inlineStr">
        <is>
          <t>AF2-DIS-R-030</t>
        </is>
      </c>
      <c r="C193" s="42" t="inlineStr">
        <is>
          <t>Emergency Food Security Project (EFSP) – WBK/AF-2</t>
        </is>
      </c>
      <c r="D193" s="42" t="inlineStr">
        <is>
          <t>Package #3-WBK/AF2 DIS: Demonstration of 14 Drip irrigation schemes at 13 district sites of 1. Parwan, 2. Kabul, 3. Wardak and 4. Kapisa provinces.</t>
        </is>
      </c>
      <c r="E193" s="42" t="inlineStr">
        <is>
          <t>Goga Manda Drip irrigation schemes</t>
        </is>
      </c>
      <c r="F193" s="42" t="inlineStr">
        <is>
          <t>Drip Irrigation</t>
        </is>
      </c>
      <c r="G193" s="42" t="inlineStr">
        <is>
          <t>Central / Kabul</t>
        </is>
      </c>
      <c r="H193" s="42" t="inlineStr">
        <is>
          <t>Kabul</t>
        </is>
      </c>
      <c r="I193" s="42" t="inlineStr">
        <is>
          <t>Sarobi</t>
        </is>
      </c>
      <c r="J193" s="42" t="inlineStr">
        <is>
          <t>Goga manda</t>
        </is>
      </c>
      <c r="K193" s="42" t="inlineStr">
        <is>
          <t>World Bank (WBK/AF-2)</t>
        </is>
      </c>
      <c r="L193" s="42" t="inlineStr">
        <is>
          <t>Remaining</t>
        </is>
      </c>
      <c r="M193" s="42" t="inlineStr">
        <is>
          <t>Drip irrigation</t>
        </is>
      </c>
      <c r="N193" s="42" t="inlineStr">
        <is>
          <t>5. Drip Irrigation systems</t>
        </is>
      </c>
      <c r="O193" s="42" t="inlineStr">
        <is>
          <t>Hayatullah</t>
        </is>
      </c>
      <c r="P193" s="42" t="inlineStr"/>
      <c r="Q193" s="43" t="n">
        <v>4250</v>
      </c>
      <c r="R193" s="35" t="inlineStr">
        <is>
          <t>IF(AO193="","",AO193)</t>
        </is>
      </c>
      <c r="S193" s="44" t="n">
        <v>46376</v>
      </c>
      <c r="T193" s="45" t="n">
        <v>6.3</v>
      </c>
      <c r="U193" s="44" t="n">
        <v>46568</v>
      </c>
      <c r="V193" s="35" t="inlineStr">
        <is>
          <t>IF(U193&lt;&gt;"",U193,IF(OR(R193="",T193=""),"",EDATE(R193,T193)))</t>
        </is>
      </c>
      <c r="W193" s="44" t="n"/>
      <c r="X193" s="45" t="n"/>
      <c r="Y193" s="42" t="inlineStr">
        <is>
          <t>Retendered (Re-ITB)</t>
        </is>
      </c>
      <c r="Z193" s="42" t="inlineStr">
        <is>
          <t>Slack period from mid December to March 2026. Four months construction period.''- | Farmer: Hayatullah</t>
        </is>
      </c>
      <c r="AA193" s="32" t="inlineStr">
        <is>
          <t>IF(E193="","",IF(COUNT(AG193:AT193)=0,IF(Y193="","Not started",Y193),SUBSTITUTE(LOOKUP(2,1/(AG193:AT193&lt;&gt;""),$AG$3:$AT$3),"Date: ","")))</t>
        </is>
      </c>
      <c r="AB193" s="38" t="inlineStr">
        <is>
          <t>IF(OR(E193="",COUNT(AG193:AT193)=0),"",TODAY()-LOOKUP(2,1/(AG193:AT193&lt;&gt;""),AG193:AT193))</t>
        </is>
      </c>
      <c r="AC193" s="38" t="inlineStr">
        <is>
          <t>IF(OR(E193="",COUNT(AG193:AT193)&lt;2),"",LOOKUP(2,1/(AG193:AT193&lt;&gt;""),AG193:AT193)-MIN(AG193:AT193))</t>
        </is>
      </c>
      <c r="AD193" s="38" t="inlineStr">
        <is>
          <t>IF(OR(AB193="",AA193="Not started",AA193=""),"",IFERROR(AB193-IF(VLOOKUP(AA193,'04_Status_Pipeline'!$B$3:$E$20,4,FALSE)="",0,VLOOKUP(AA193,'04_Status_Pipeline'!$B$3:$E$20,4,FALSE)),""))</t>
        </is>
      </c>
      <c r="AE193" s="32" t="inlineStr">
        <is>
          <t>IF(E193="","",IF(OR(Y193="Cancelled",AA193="Cancelled"),"Cancelled",IF(OR(AA193="Completed / Handover",W193&lt;&gt;"",X193&gt;=100),"Completed — on track",IF(L193="Remaining",IF(S193="",IF(V193="","No planned date",IF(TODAY()&gt;V193,"Behind — past planned date",IF(V193-TODAY()&lt;=30,"At risk — close to off track","On track"))),IF(TODAY()&gt;S193,"Behind — award date passed",IF(S193-TODAY()&lt;=30,"At risk — close to off track","On track"))),IF(V193="","No planned date",IF(AND(TODAY()&gt;V193,OR(X193="",X193&lt;100)),"Behind — past end date",IF(AND(R193&lt;&gt;"",V193&lt;&gt;"",X193&lt;&gt;"",(X193&lt;100),((TODAY()-R193)/MAX(V193-R193,1)*100)-X193&gt;15),"Behind — progress lag",IF(AND(V193-TODAY()&lt;=30,V193-TODAY()&gt;=0,OR(X193="",X193&lt;90)),"At risk — close to off track","On track"))))))))</t>
        </is>
      </c>
      <c r="AF193" s="38" t="inlineStr">
        <is>
          <t>IF(OR(E193="",AA193="Completed / Handover",AA193="Cancelled"),"",IF(L193="Remaining",IF(S193&lt;&gt;"",S193-TODAY(),IF(V193="","",V193-TODAY())),IF(V193="","",V193-TODAY())))</t>
        </is>
      </c>
      <c r="AG193" s="44" t="n"/>
      <c r="AH193" s="44" t="n"/>
      <c r="AI193" s="44" t="n"/>
      <c r="AJ193" s="44" t="n"/>
      <c r="AK193" s="44" t="n"/>
      <c r="AL193" s="44" t="n"/>
      <c r="AM193" s="44" t="n"/>
      <c r="AN193" s="44" t="n"/>
      <c r="AO193" s="44" t="n"/>
      <c r="AP193" s="44" t="n"/>
      <c r="AQ193" s="44" t="n"/>
      <c r="AR193" s="40" t="n"/>
      <c r="AS193" s="40" t="n"/>
      <c r="AT193" s="40" t="n"/>
      <c r="AU193" s="38" t="inlineStr">
        <is>
          <t>IF(OR(E193="",AH193=""),"",IF(COUNT(AG193:AG193)=0,"",AH193-LOOKUP(2,1/(AG193:AG193&lt;&gt;""),AG193:AG193)))</t>
        </is>
      </c>
      <c r="AV193" s="38" t="inlineStr">
        <is>
          <t>IF(OR(E193="",AI193=""),"",IF(COUNT(AG193:AH193)=0,"",AI193-LOOKUP(2,1/(AG193:AH193&lt;&gt;""),AG193:AH193)))</t>
        </is>
      </c>
      <c r="AW193" s="38" t="inlineStr">
        <is>
          <t>IF(OR(E193="",AJ193=""),"",IF(COUNT(AG193:AI193)=0,"",AJ193-LOOKUP(2,1/(AG193:AI193&lt;&gt;""),AG193:AI193)))</t>
        </is>
      </c>
      <c r="AX193" s="38" t="inlineStr">
        <is>
          <t>IF(OR(E193="",AK193=""),"",IF(COUNT(AG193:AJ193)=0,"",AK193-LOOKUP(2,1/(AG193:AJ193&lt;&gt;""),AG193:AJ193)))</t>
        </is>
      </c>
      <c r="AY193" s="38" t="inlineStr">
        <is>
          <t>IF(OR(E193="",AL193=""),"",IF(COUNT(AG193:AK193)=0,"",AL193-LOOKUP(2,1/(AG193:AK193&lt;&gt;""),AG193:AK193)))</t>
        </is>
      </c>
      <c r="AZ193" s="38" t="inlineStr">
        <is>
          <t>IF(OR(E193="",AM193=""),"",IF(COUNT(AG193:AL193)=0,"",AM193-LOOKUP(2,1/(AG193:AL193&lt;&gt;""),AG193:AL193)))</t>
        </is>
      </c>
      <c r="BA193" s="38" t="inlineStr">
        <is>
          <t>IF(OR(E193="",AN193=""),"",IF(COUNT(AG193:AM193)=0,"",AN193-LOOKUP(2,1/(AG193:AM193&lt;&gt;""),AG193:AM193)))</t>
        </is>
      </c>
      <c r="BB193" s="38" t="inlineStr">
        <is>
          <t>IF(OR(E193="",AO193=""),"",IF(COUNT(AG193:AN193)=0,"",AO193-LOOKUP(2,1/(AG193:AN193&lt;&gt;""),AG193:AN193)))</t>
        </is>
      </c>
      <c r="BC193" s="38" t="inlineStr">
        <is>
          <t>IF(OR(E193="",AP193=""),"",IF(COUNT(AG193:AO193)=0,"",AP193-LOOKUP(2,1/(AG193:AO193&lt;&gt;""),AG193:AO193)))</t>
        </is>
      </c>
      <c r="BD193" s="38" t="inlineStr">
        <is>
          <t>IF(OR(E193="",AQ193=""),"",IF(COUNT(AG193:AP193)=0,"",AQ193-LOOKUP(2,1/(AG193:AP193&lt;&gt;""),AG193:AP193)))</t>
        </is>
      </c>
      <c r="BE193" s="38" t="inlineStr">
        <is>
          <t>IF(OR(E193="",AR193=""),"",IF(COUNT(AG193:AQ193)=0,"",AR193-LOOKUP(2,1/(AG193:AQ193&lt;&gt;""),AG193:AQ193)))</t>
        </is>
      </c>
      <c r="BF193" s="38" t="inlineStr">
        <is>
          <t>IF(OR(E193="",AS193=""),"",IF(COUNT(AG193:AR193)=0,"",AS193-LOOKUP(2,1/(AG193:AR193&lt;&gt;""),AG193:AR193)))</t>
        </is>
      </c>
      <c r="BG193" s="38" t="inlineStr">
        <is>
          <t>IF(OR(E193="",AT193=""),"",IF(COUNT(AG193:AS193)=0,"",AT193-LOOKUP(2,1/(AG193:AS193&lt;&gt;""),AG193:AS193)))</t>
        </is>
      </c>
      <c r="BH193" s="41" t="inlineStr">
        <is>
          <t>IF(G193="","All_Provinces",IFERROR(VLOOKUP(G193,'07_Lookups'!$A$4:$B$20,2,FALSE),"All_Provinces"))</t>
        </is>
      </c>
      <c r="BI193" s="41" t="inlineStr">
        <is>
          <t>IF(H193="","All_Districts",IFERROR(VLOOKUP(H193,'07_Lookups'!$E$4:$F$42,2,FALSE),"All_Districts"))</t>
        </is>
      </c>
    </row>
    <row r="194" ht="18" customHeight="1">
      <c r="A194" s="32" t="inlineStr">
        <is>
          <t>IF(E194="","",ROW()-3)</t>
        </is>
      </c>
      <c r="B194" s="33" t="inlineStr">
        <is>
          <t>AF2-DIS-R-031</t>
        </is>
      </c>
      <c r="C194" s="33" t="inlineStr">
        <is>
          <t>Emergency Food Security Project (EFSP) – WBK/AF-2</t>
        </is>
      </c>
      <c r="D194" s="33" t="inlineStr">
        <is>
          <t>Package #3-WBK/AF2 DIS: Demonstration of 14 Drip irrigation schemes at 13 district sites of 1. Parwan, 2. Kabul, 3. Wardak and 4. Kapisa provinces.</t>
        </is>
      </c>
      <c r="E194" s="33" t="inlineStr">
        <is>
          <t>Qafas Qala Drip irrigation schemes</t>
        </is>
      </c>
      <c r="F194" s="33" t="inlineStr">
        <is>
          <t>Drip Irrigation</t>
        </is>
      </c>
      <c r="G194" s="33" t="inlineStr">
        <is>
          <t>Central / Kabul</t>
        </is>
      </c>
      <c r="H194" s="33" t="inlineStr">
        <is>
          <t>Kabul</t>
        </is>
      </c>
      <c r="I194" s="33" t="inlineStr">
        <is>
          <t>Khak-e-Jabar</t>
        </is>
      </c>
      <c r="J194" s="33" t="inlineStr">
        <is>
          <t>Qafas Qala</t>
        </is>
      </c>
      <c r="K194" s="33" t="inlineStr">
        <is>
          <t>World Bank (WBK/AF-2)</t>
        </is>
      </c>
      <c r="L194" s="33" t="inlineStr">
        <is>
          <t>Remaining</t>
        </is>
      </c>
      <c r="M194" s="33" t="inlineStr">
        <is>
          <t>Drip irrigation</t>
        </is>
      </c>
      <c r="N194" s="33" t="inlineStr">
        <is>
          <t>5. Drip Irrigation systems</t>
        </is>
      </c>
      <c r="O194" s="33" t="inlineStr">
        <is>
          <t>Jalal</t>
        </is>
      </c>
      <c r="P194" s="33" t="inlineStr"/>
      <c r="Q194" s="34" t="n">
        <v>8500</v>
      </c>
      <c r="R194" s="35" t="inlineStr">
        <is>
          <t>IF(AO194="","",AO194)</t>
        </is>
      </c>
      <c r="S194" s="36" t="n">
        <v>46376</v>
      </c>
      <c r="T194" s="37" t="n">
        <v>6.3</v>
      </c>
      <c r="U194" s="36" t="n">
        <v>46568</v>
      </c>
      <c r="V194" s="35" t="inlineStr">
        <is>
          <t>IF(U194&lt;&gt;"",U194,IF(OR(R194="",T194=""),"",EDATE(R194,T194)))</t>
        </is>
      </c>
      <c r="W194" s="36" t="n"/>
      <c r="X194" s="37" t="n"/>
      <c r="Y194" s="33" t="inlineStr">
        <is>
          <t>Retendered (Re-ITB)</t>
        </is>
      </c>
      <c r="Z194" s="33" t="inlineStr">
        <is>
          <t>Slack period from mid December to March 2026. Four months construction period.''- | Farmer: Jalal</t>
        </is>
      </c>
      <c r="AA194" s="32" t="inlineStr">
        <is>
          <t>IF(E194="","",IF(COUNT(AG194:AT194)=0,IF(Y194="","Not started",Y194),SUBSTITUTE(LOOKUP(2,1/(AG194:AT194&lt;&gt;""),$AG$3:$AT$3),"Date: ","")))</t>
        </is>
      </c>
      <c r="AB194" s="38" t="inlineStr">
        <is>
          <t>IF(OR(E194="",COUNT(AG194:AT194)=0),"",TODAY()-LOOKUP(2,1/(AG194:AT194&lt;&gt;""),AG194:AT194))</t>
        </is>
      </c>
      <c r="AC194" s="38" t="inlineStr">
        <is>
          <t>IF(OR(E194="",COUNT(AG194:AT194)&lt;2),"",LOOKUP(2,1/(AG194:AT194&lt;&gt;""),AG194:AT194)-MIN(AG194:AT194))</t>
        </is>
      </c>
      <c r="AD194" s="38" t="inlineStr">
        <is>
          <t>IF(OR(AB194="",AA194="Not started",AA194=""),"",IFERROR(AB194-IF(VLOOKUP(AA194,'04_Status_Pipeline'!$B$3:$E$20,4,FALSE)="",0,VLOOKUP(AA194,'04_Status_Pipeline'!$B$3:$E$20,4,FALSE)),""))</t>
        </is>
      </c>
      <c r="AE194" s="32" t="inlineStr">
        <is>
          <t>IF(E194="","",IF(OR(Y194="Cancelled",AA194="Cancelled"),"Cancelled",IF(OR(AA194="Completed / Handover",W194&lt;&gt;"",X194&gt;=100),"Completed — on track",IF(L194="Remaining",IF(S194="",IF(V194="","No planned date",IF(TODAY()&gt;V194,"Behind — past planned date",IF(V194-TODAY()&lt;=30,"At risk — close to off track","On track"))),IF(TODAY()&gt;S194,"Behind — award date passed",IF(S194-TODAY()&lt;=30,"At risk — close to off track","On track"))),IF(V194="","No planned date",IF(AND(TODAY()&gt;V194,OR(X194="",X194&lt;100)),"Behind — past end date",IF(AND(R194&lt;&gt;"",V194&lt;&gt;"",X194&lt;&gt;"",(X194&lt;100),((TODAY()-R194)/MAX(V194-R194,1)*100)-X194&gt;15),"Behind — progress lag",IF(AND(V194-TODAY()&lt;=30,V194-TODAY()&gt;=0,OR(X194="",X194&lt;90)),"At risk — close to off track","On track"))))))))</t>
        </is>
      </c>
      <c r="AF194" s="38" t="inlineStr">
        <is>
          <t>IF(OR(E194="",AA194="Completed / Handover",AA194="Cancelled"),"",IF(L194="Remaining",IF(S194&lt;&gt;"",S194-TODAY(),IF(V194="","",V194-TODAY())),IF(V194="","",V194-TODAY())))</t>
        </is>
      </c>
      <c r="AG194" s="36" t="n"/>
      <c r="AH194" s="36" t="n"/>
      <c r="AI194" s="36" t="n"/>
      <c r="AJ194" s="36" t="n"/>
      <c r="AK194" s="36" t="n"/>
      <c r="AL194" s="36" t="n"/>
      <c r="AM194" s="36" t="n"/>
      <c r="AN194" s="36" t="n"/>
      <c r="AO194" s="36" t="n"/>
      <c r="AP194" s="36" t="n"/>
      <c r="AQ194" s="36" t="n"/>
      <c r="AR194" s="40" t="n"/>
      <c r="AS194" s="40" t="n"/>
      <c r="AT194" s="40" t="n"/>
      <c r="AU194" s="38" t="inlineStr">
        <is>
          <t>IF(OR(E194="",AH194=""),"",IF(COUNT(AG194:AG194)=0,"",AH194-LOOKUP(2,1/(AG194:AG194&lt;&gt;""),AG194:AG194)))</t>
        </is>
      </c>
      <c r="AV194" s="38" t="inlineStr">
        <is>
          <t>IF(OR(E194="",AI194=""),"",IF(COUNT(AG194:AH194)=0,"",AI194-LOOKUP(2,1/(AG194:AH194&lt;&gt;""),AG194:AH194)))</t>
        </is>
      </c>
      <c r="AW194" s="38" t="inlineStr">
        <is>
          <t>IF(OR(E194="",AJ194=""),"",IF(COUNT(AG194:AI194)=0,"",AJ194-LOOKUP(2,1/(AG194:AI194&lt;&gt;""),AG194:AI194)))</t>
        </is>
      </c>
      <c r="AX194" s="38" t="inlineStr">
        <is>
          <t>IF(OR(E194="",AK194=""),"",IF(COUNT(AG194:AJ194)=0,"",AK194-LOOKUP(2,1/(AG194:AJ194&lt;&gt;""),AG194:AJ194)))</t>
        </is>
      </c>
      <c r="AY194" s="38" t="inlineStr">
        <is>
          <t>IF(OR(E194="",AL194=""),"",IF(COUNT(AG194:AK194)=0,"",AL194-LOOKUP(2,1/(AG194:AK194&lt;&gt;""),AG194:AK194)))</t>
        </is>
      </c>
      <c r="AZ194" s="38" t="inlineStr">
        <is>
          <t>IF(OR(E194="",AM194=""),"",IF(COUNT(AG194:AL194)=0,"",AM194-LOOKUP(2,1/(AG194:AL194&lt;&gt;""),AG194:AL194)))</t>
        </is>
      </c>
      <c r="BA194" s="38" t="inlineStr">
        <is>
          <t>IF(OR(E194="",AN194=""),"",IF(COUNT(AG194:AM194)=0,"",AN194-LOOKUP(2,1/(AG194:AM194&lt;&gt;""),AG194:AM194)))</t>
        </is>
      </c>
      <c r="BB194" s="38" t="inlineStr">
        <is>
          <t>IF(OR(E194="",AO194=""),"",IF(COUNT(AG194:AN194)=0,"",AO194-LOOKUP(2,1/(AG194:AN194&lt;&gt;""),AG194:AN194)))</t>
        </is>
      </c>
      <c r="BC194" s="38" t="inlineStr">
        <is>
          <t>IF(OR(E194="",AP194=""),"",IF(COUNT(AG194:AO194)=0,"",AP194-LOOKUP(2,1/(AG194:AO194&lt;&gt;""),AG194:AO194)))</t>
        </is>
      </c>
      <c r="BD194" s="38" t="inlineStr">
        <is>
          <t>IF(OR(E194="",AQ194=""),"",IF(COUNT(AG194:AP194)=0,"",AQ194-LOOKUP(2,1/(AG194:AP194&lt;&gt;""),AG194:AP194)))</t>
        </is>
      </c>
      <c r="BE194" s="38" t="inlineStr">
        <is>
          <t>IF(OR(E194="",AR194=""),"",IF(COUNT(AG194:AQ194)=0,"",AR194-LOOKUP(2,1/(AG194:AQ194&lt;&gt;""),AG194:AQ194)))</t>
        </is>
      </c>
      <c r="BF194" s="38" t="inlineStr">
        <is>
          <t>IF(OR(E194="",AS194=""),"",IF(COUNT(AG194:AR194)=0,"",AS194-LOOKUP(2,1/(AG194:AR194&lt;&gt;""),AG194:AR194)))</t>
        </is>
      </c>
      <c r="BG194" s="38" t="inlineStr">
        <is>
          <t>IF(OR(E194="",AT194=""),"",IF(COUNT(AG194:AS194)=0,"",AT194-LOOKUP(2,1/(AG194:AS194&lt;&gt;""),AG194:AS194)))</t>
        </is>
      </c>
      <c r="BH194" s="41" t="inlineStr">
        <is>
          <t>IF(G194="","All_Provinces",IFERROR(VLOOKUP(G194,'07_Lookups'!$A$4:$B$20,2,FALSE),"All_Provinces"))</t>
        </is>
      </c>
      <c r="BI194" s="41" t="inlineStr">
        <is>
          <t>IF(H194="","All_Districts",IFERROR(VLOOKUP(H194,'07_Lookups'!$E$4:$F$42,2,FALSE),"All_Districts"))</t>
        </is>
      </c>
    </row>
    <row r="195" ht="18" customHeight="1">
      <c r="A195" s="32" t="inlineStr">
        <is>
          <t>IF(E195="","",ROW()-3)</t>
        </is>
      </c>
      <c r="B195" s="42" t="inlineStr">
        <is>
          <t>AF2-DIS-R-032</t>
        </is>
      </c>
      <c r="C195" s="42" t="inlineStr">
        <is>
          <t>Emergency Food Security Project (EFSP) – WBK/AF-2</t>
        </is>
      </c>
      <c r="D195" s="42" t="inlineStr">
        <is>
          <t>Package #3-WBK/AF2 DIS: Demonstration of 14 Drip irrigation schemes at 13 district sites of 1. Parwan, 2. Kabul, 3. Wardak and 4. Kapisa provinces.</t>
        </is>
      </c>
      <c r="E195" s="42" t="inlineStr">
        <is>
          <t>Arghande Bala Drip irrigation schemes</t>
        </is>
      </c>
      <c r="F195" s="42" t="inlineStr">
        <is>
          <t>Drip Irrigation</t>
        </is>
      </c>
      <c r="G195" s="42" t="inlineStr">
        <is>
          <t>Central / Kabul</t>
        </is>
      </c>
      <c r="H195" s="42" t="inlineStr">
        <is>
          <t>Kabul</t>
        </is>
      </c>
      <c r="I195" s="42" t="inlineStr">
        <is>
          <t>Paghman</t>
        </is>
      </c>
      <c r="J195" s="42" t="inlineStr">
        <is>
          <t>Arghande bala</t>
        </is>
      </c>
      <c r="K195" s="42" t="inlineStr">
        <is>
          <t>World Bank (WBK/AF-2)</t>
        </is>
      </c>
      <c r="L195" s="42" t="inlineStr">
        <is>
          <t>Remaining</t>
        </is>
      </c>
      <c r="M195" s="42" t="inlineStr">
        <is>
          <t>Drip irrigation</t>
        </is>
      </c>
      <c r="N195" s="42" t="inlineStr">
        <is>
          <t>5. Drip Irrigation systems</t>
        </is>
      </c>
      <c r="O195" s="42" t="inlineStr">
        <is>
          <t>Mohammad Yousaf</t>
        </is>
      </c>
      <c r="P195" s="42" t="inlineStr"/>
      <c r="Q195" s="43" t="n">
        <v>8500</v>
      </c>
      <c r="R195" s="35" t="inlineStr">
        <is>
          <t>IF(AO195="","",AO195)</t>
        </is>
      </c>
      <c r="S195" s="44" t="n">
        <v>46376</v>
      </c>
      <c r="T195" s="45" t="n">
        <v>6.3</v>
      </c>
      <c r="U195" s="44" t="n">
        <v>46568</v>
      </c>
      <c r="V195" s="35" t="inlineStr">
        <is>
          <t>IF(U195&lt;&gt;"",U195,IF(OR(R195="",T195=""),"",EDATE(R195,T195)))</t>
        </is>
      </c>
      <c r="W195" s="44" t="n"/>
      <c r="X195" s="45" t="n"/>
      <c r="Y195" s="42" t="inlineStr">
        <is>
          <t>Retendered (Re-ITB)</t>
        </is>
      </c>
      <c r="Z195" s="42" t="inlineStr">
        <is>
          <t>Slack period from mid December to March 2026. Four months construction period.''- | Farmer: Mohammad Yousaf</t>
        </is>
      </c>
      <c r="AA195" s="32" t="inlineStr">
        <is>
          <t>IF(E195="","",IF(COUNT(AG195:AT195)=0,IF(Y195="","Not started",Y195),SUBSTITUTE(LOOKUP(2,1/(AG195:AT195&lt;&gt;""),$AG$3:$AT$3),"Date: ","")))</t>
        </is>
      </c>
      <c r="AB195" s="38" t="inlineStr">
        <is>
          <t>IF(OR(E195="",COUNT(AG195:AT195)=0),"",TODAY()-LOOKUP(2,1/(AG195:AT195&lt;&gt;""),AG195:AT195))</t>
        </is>
      </c>
      <c r="AC195" s="38" t="inlineStr">
        <is>
          <t>IF(OR(E195="",COUNT(AG195:AT195)&lt;2),"",LOOKUP(2,1/(AG195:AT195&lt;&gt;""),AG195:AT195)-MIN(AG195:AT195))</t>
        </is>
      </c>
      <c r="AD195" s="38" t="inlineStr">
        <is>
          <t>IF(OR(AB195="",AA195="Not started",AA195=""),"",IFERROR(AB195-IF(VLOOKUP(AA195,'04_Status_Pipeline'!$B$3:$E$20,4,FALSE)="",0,VLOOKUP(AA195,'04_Status_Pipeline'!$B$3:$E$20,4,FALSE)),""))</t>
        </is>
      </c>
      <c r="AE195" s="32" t="inlineStr">
        <is>
          <t>IF(E195="","",IF(OR(Y195="Cancelled",AA195="Cancelled"),"Cancelled",IF(OR(AA195="Completed / Handover",W195&lt;&gt;"",X195&gt;=100),"Completed — on track",IF(L195="Remaining",IF(S195="",IF(V195="","No planned date",IF(TODAY()&gt;V195,"Behind — past planned date",IF(V195-TODAY()&lt;=30,"At risk — close to off track","On track"))),IF(TODAY()&gt;S195,"Behind — award date passed",IF(S195-TODAY()&lt;=30,"At risk — close to off track","On track"))),IF(V195="","No planned date",IF(AND(TODAY()&gt;V195,OR(X195="",X195&lt;100)),"Behind — past end date",IF(AND(R195&lt;&gt;"",V195&lt;&gt;"",X195&lt;&gt;"",(X195&lt;100),((TODAY()-R195)/MAX(V195-R195,1)*100)-X195&gt;15),"Behind — progress lag",IF(AND(V195-TODAY()&lt;=30,V195-TODAY()&gt;=0,OR(X195="",X195&lt;90)),"At risk — close to off track","On track"))))))))</t>
        </is>
      </c>
      <c r="AF195" s="38" t="inlineStr">
        <is>
          <t>IF(OR(E195="",AA195="Completed / Handover",AA195="Cancelled"),"",IF(L195="Remaining",IF(S195&lt;&gt;"",S195-TODAY(),IF(V195="","",V195-TODAY())),IF(V195="","",V195-TODAY())))</t>
        </is>
      </c>
      <c r="AG195" s="44" t="n"/>
      <c r="AH195" s="44" t="n"/>
      <c r="AI195" s="44" t="n"/>
      <c r="AJ195" s="44" t="n"/>
      <c r="AK195" s="44" t="n"/>
      <c r="AL195" s="44" t="n"/>
      <c r="AM195" s="44" t="n"/>
      <c r="AN195" s="44" t="n"/>
      <c r="AO195" s="44" t="n"/>
      <c r="AP195" s="44" t="n"/>
      <c r="AQ195" s="44" t="n"/>
      <c r="AR195" s="40" t="n"/>
      <c r="AS195" s="40" t="n"/>
      <c r="AT195" s="40" t="n"/>
      <c r="AU195" s="38" t="inlineStr">
        <is>
          <t>IF(OR(E195="",AH195=""),"",IF(COUNT(AG195:AG195)=0,"",AH195-LOOKUP(2,1/(AG195:AG195&lt;&gt;""),AG195:AG195)))</t>
        </is>
      </c>
      <c r="AV195" s="38" t="inlineStr">
        <is>
          <t>IF(OR(E195="",AI195=""),"",IF(COUNT(AG195:AH195)=0,"",AI195-LOOKUP(2,1/(AG195:AH195&lt;&gt;""),AG195:AH195)))</t>
        </is>
      </c>
      <c r="AW195" s="38" t="inlineStr">
        <is>
          <t>IF(OR(E195="",AJ195=""),"",IF(COUNT(AG195:AI195)=0,"",AJ195-LOOKUP(2,1/(AG195:AI195&lt;&gt;""),AG195:AI195)))</t>
        </is>
      </c>
      <c r="AX195" s="38" t="inlineStr">
        <is>
          <t>IF(OR(E195="",AK195=""),"",IF(COUNT(AG195:AJ195)=0,"",AK195-LOOKUP(2,1/(AG195:AJ195&lt;&gt;""),AG195:AJ195)))</t>
        </is>
      </c>
      <c r="AY195" s="38" t="inlineStr">
        <is>
          <t>IF(OR(E195="",AL195=""),"",IF(COUNT(AG195:AK195)=0,"",AL195-LOOKUP(2,1/(AG195:AK195&lt;&gt;""),AG195:AK195)))</t>
        </is>
      </c>
      <c r="AZ195" s="38" t="inlineStr">
        <is>
          <t>IF(OR(E195="",AM195=""),"",IF(COUNT(AG195:AL195)=0,"",AM195-LOOKUP(2,1/(AG195:AL195&lt;&gt;""),AG195:AL195)))</t>
        </is>
      </c>
      <c r="BA195" s="38" t="inlineStr">
        <is>
          <t>IF(OR(E195="",AN195=""),"",IF(COUNT(AG195:AM195)=0,"",AN195-LOOKUP(2,1/(AG195:AM195&lt;&gt;""),AG195:AM195)))</t>
        </is>
      </c>
      <c r="BB195" s="38" t="inlineStr">
        <is>
          <t>IF(OR(E195="",AO195=""),"",IF(COUNT(AG195:AN195)=0,"",AO195-LOOKUP(2,1/(AG195:AN195&lt;&gt;""),AG195:AN195)))</t>
        </is>
      </c>
      <c r="BC195" s="38" t="inlineStr">
        <is>
          <t>IF(OR(E195="",AP195=""),"",IF(COUNT(AG195:AO195)=0,"",AP195-LOOKUP(2,1/(AG195:AO195&lt;&gt;""),AG195:AO195)))</t>
        </is>
      </c>
      <c r="BD195" s="38" t="inlineStr">
        <is>
          <t>IF(OR(E195="",AQ195=""),"",IF(COUNT(AG195:AP195)=0,"",AQ195-LOOKUP(2,1/(AG195:AP195&lt;&gt;""),AG195:AP195)))</t>
        </is>
      </c>
      <c r="BE195" s="38" t="inlineStr">
        <is>
          <t>IF(OR(E195="",AR195=""),"",IF(COUNT(AG195:AQ195)=0,"",AR195-LOOKUP(2,1/(AG195:AQ195&lt;&gt;""),AG195:AQ195)))</t>
        </is>
      </c>
      <c r="BF195" s="38" t="inlineStr">
        <is>
          <t>IF(OR(E195="",AS195=""),"",IF(COUNT(AG195:AR195)=0,"",AS195-LOOKUP(2,1/(AG195:AR195&lt;&gt;""),AG195:AR195)))</t>
        </is>
      </c>
      <c r="BG195" s="38" t="inlineStr">
        <is>
          <t>IF(OR(E195="",AT195=""),"",IF(COUNT(AG195:AS195)=0,"",AT195-LOOKUP(2,1/(AG195:AS195&lt;&gt;""),AG195:AS195)))</t>
        </is>
      </c>
      <c r="BH195" s="41" t="inlineStr">
        <is>
          <t>IF(G195="","All_Provinces",IFERROR(VLOOKUP(G195,'07_Lookups'!$A$4:$B$20,2,FALSE),"All_Provinces"))</t>
        </is>
      </c>
      <c r="BI195" s="41" t="inlineStr">
        <is>
          <t>IF(H195="","All_Districts",IFERROR(VLOOKUP(H195,'07_Lookups'!$E$4:$F$42,2,FALSE),"All_Districts"))</t>
        </is>
      </c>
    </row>
    <row r="196" ht="18" customHeight="1">
      <c r="A196" s="32" t="inlineStr">
        <is>
          <t>IF(E196="","",ROW()-3)</t>
        </is>
      </c>
      <c r="B196" s="33" t="inlineStr">
        <is>
          <t>AF2-DIS-R-033</t>
        </is>
      </c>
      <c r="C196" s="33" t="inlineStr">
        <is>
          <t>Emergency Food Security Project (EFSP) – WBK/AF-2</t>
        </is>
      </c>
      <c r="D196" s="33" t="inlineStr">
        <is>
          <t>Package #3-WBK/AF2 DIS: Demonstration of 14 Drip irrigation schemes at 13 district sites of 1. Parwan, 2. Kabul, 3. Wardak and 4. Kapisa provinces.</t>
        </is>
      </c>
      <c r="E196" s="33" t="inlineStr">
        <is>
          <t>Zar Shakh Drip irrigation schemes</t>
        </is>
      </c>
      <c r="F196" s="33" t="inlineStr">
        <is>
          <t>Drip Irrigation</t>
        </is>
      </c>
      <c r="G196" s="33" t="inlineStr">
        <is>
          <t>Central / Kabul</t>
        </is>
      </c>
      <c r="H196" s="33" t="inlineStr">
        <is>
          <t>Kabul</t>
        </is>
      </c>
      <c r="I196" s="33" t="inlineStr">
        <is>
          <t>Paghman</t>
        </is>
      </c>
      <c r="J196" s="33" t="inlineStr">
        <is>
          <t>Zar Shakh</t>
        </is>
      </c>
      <c r="K196" s="33" t="inlineStr">
        <is>
          <t>World Bank (WBK/AF-2)</t>
        </is>
      </c>
      <c r="L196" s="33" t="inlineStr">
        <is>
          <t>Remaining</t>
        </is>
      </c>
      <c r="M196" s="33" t="inlineStr">
        <is>
          <t>Drip irrigation</t>
        </is>
      </c>
      <c r="N196" s="33" t="inlineStr">
        <is>
          <t>5. Drip Irrigation systems</t>
        </is>
      </c>
      <c r="O196" s="33" t="inlineStr">
        <is>
          <t>Khairullah Zia</t>
        </is>
      </c>
      <c r="P196" s="33" t="inlineStr"/>
      <c r="Q196" s="34" t="n">
        <v>4250</v>
      </c>
      <c r="R196" s="35" t="inlineStr">
        <is>
          <t>IF(AO196="","",AO196)</t>
        </is>
      </c>
      <c r="S196" s="36" t="n">
        <v>46376</v>
      </c>
      <c r="T196" s="37" t="n">
        <v>6.3</v>
      </c>
      <c r="U196" s="36" t="n">
        <v>46568</v>
      </c>
      <c r="V196" s="35" t="inlineStr">
        <is>
          <t>IF(U196&lt;&gt;"",U196,IF(OR(R196="",T196=""),"",EDATE(R196,T196)))</t>
        </is>
      </c>
      <c r="W196" s="36" t="n"/>
      <c r="X196" s="37" t="n"/>
      <c r="Y196" s="33" t="inlineStr">
        <is>
          <t>Retendered (Re-ITB)</t>
        </is>
      </c>
      <c r="Z196" s="33" t="inlineStr">
        <is>
          <t>Slack period from mid December to March 2026. Four months construction period.''- | Farmer: Khairullah Zia</t>
        </is>
      </c>
      <c r="AA196" s="32" t="inlineStr">
        <is>
          <t>IF(E196="","",IF(COUNT(AG196:AT196)=0,IF(Y196="","Not started",Y196),SUBSTITUTE(LOOKUP(2,1/(AG196:AT196&lt;&gt;""),$AG$3:$AT$3),"Date: ","")))</t>
        </is>
      </c>
      <c r="AB196" s="38" t="inlineStr">
        <is>
          <t>IF(OR(E196="",COUNT(AG196:AT196)=0),"",TODAY()-LOOKUP(2,1/(AG196:AT196&lt;&gt;""),AG196:AT196))</t>
        </is>
      </c>
      <c r="AC196" s="38" t="inlineStr">
        <is>
          <t>IF(OR(E196="",COUNT(AG196:AT196)&lt;2),"",LOOKUP(2,1/(AG196:AT196&lt;&gt;""),AG196:AT196)-MIN(AG196:AT196))</t>
        </is>
      </c>
      <c r="AD196" s="38" t="inlineStr">
        <is>
          <t>IF(OR(AB196="",AA196="Not started",AA196=""),"",IFERROR(AB196-IF(VLOOKUP(AA196,'04_Status_Pipeline'!$B$3:$E$20,4,FALSE)="",0,VLOOKUP(AA196,'04_Status_Pipeline'!$B$3:$E$20,4,FALSE)),""))</t>
        </is>
      </c>
      <c r="AE196" s="32" t="inlineStr">
        <is>
          <t>IF(E196="","",IF(OR(Y196="Cancelled",AA196="Cancelled"),"Cancelled",IF(OR(AA196="Completed / Handover",W196&lt;&gt;"",X196&gt;=100),"Completed — on track",IF(L196="Remaining",IF(S196="",IF(V196="","No planned date",IF(TODAY()&gt;V196,"Behind — past planned date",IF(V196-TODAY()&lt;=30,"At risk — close to off track","On track"))),IF(TODAY()&gt;S196,"Behind — award date passed",IF(S196-TODAY()&lt;=30,"At risk — close to off track","On track"))),IF(V196="","No planned date",IF(AND(TODAY()&gt;V196,OR(X196="",X196&lt;100)),"Behind — past end date",IF(AND(R196&lt;&gt;"",V196&lt;&gt;"",X196&lt;&gt;"",(X196&lt;100),((TODAY()-R196)/MAX(V196-R196,1)*100)-X196&gt;15),"Behind — progress lag",IF(AND(V196-TODAY()&lt;=30,V196-TODAY()&gt;=0,OR(X196="",X196&lt;90)),"At risk — close to off track","On track"))))))))</t>
        </is>
      </c>
      <c r="AF196" s="38" t="inlineStr">
        <is>
          <t>IF(OR(E196="",AA196="Completed / Handover",AA196="Cancelled"),"",IF(L196="Remaining",IF(S196&lt;&gt;"",S196-TODAY(),IF(V196="","",V196-TODAY())),IF(V196="","",V196-TODAY())))</t>
        </is>
      </c>
      <c r="AG196" s="36" t="n"/>
      <c r="AH196" s="36" t="n"/>
      <c r="AI196" s="36" t="n"/>
      <c r="AJ196" s="36" t="n"/>
      <c r="AK196" s="36" t="n"/>
      <c r="AL196" s="36" t="n"/>
      <c r="AM196" s="36" t="n"/>
      <c r="AN196" s="36" t="n"/>
      <c r="AO196" s="36" t="n"/>
      <c r="AP196" s="36" t="n"/>
      <c r="AQ196" s="36" t="n"/>
      <c r="AR196" s="40" t="n"/>
      <c r="AS196" s="40" t="n"/>
      <c r="AT196" s="40" t="n"/>
      <c r="AU196" s="38" t="inlineStr">
        <is>
          <t>IF(OR(E196="",AH196=""),"",IF(COUNT(AG196:AG196)=0,"",AH196-LOOKUP(2,1/(AG196:AG196&lt;&gt;""),AG196:AG196)))</t>
        </is>
      </c>
      <c r="AV196" s="38" t="inlineStr">
        <is>
          <t>IF(OR(E196="",AI196=""),"",IF(COUNT(AG196:AH196)=0,"",AI196-LOOKUP(2,1/(AG196:AH196&lt;&gt;""),AG196:AH196)))</t>
        </is>
      </c>
      <c r="AW196" s="38" t="inlineStr">
        <is>
          <t>IF(OR(E196="",AJ196=""),"",IF(COUNT(AG196:AI196)=0,"",AJ196-LOOKUP(2,1/(AG196:AI196&lt;&gt;""),AG196:AI196)))</t>
        </is>
      </c>
      <c r="AX196" s="38" t="inlineStr">
        <is>
          <t>IF(OR(E196="",AK196=""),"",IF(COUNT(AG196:AJ196)=0,"",AK196-LOOKUP(2,1/(AG196:AJ196&lt;&gt;""),AG196:AJ196)))</t>
        </is>
      </c>
      <c r="AY196" s="38" t="inlineStr">
        <is>
          <t>IF(OR(E196="",AL196=""),"",IF(COUNT(AG196:AK196)=0,"",AL196-LOOKUP(2,1/(AG196:AK196&lt;&gt;""),AG196:AK196)))</t>
        </is>
      </c>
      <c r="AZ196" s="38" t="inlineStr">
        <is>
          <t>IF(OR(E196="",AM196=""),"",IF(COUNT(AG196:AL196)=0,"",AM196-LOOKUP(2,1/(AG196:AL196&lt;&gt;""),AG196:AL196)))</t>
        </is>
      </c>
      <c r="BA196" s="38" t="inlineStr">
        <is>
          <t>IF(OR(E196="",AN196=""),"",IF(COUNT(AG196:AM196)=0,"",AN196-LOOKUP(2,1/(AG196:AM196&lt;&gt;""),AG196:AM196)))</t>
        </is>
      </c>
      <c r="BB196" s="38" t="inlineStr">
        <is>
          <t>IF(OR(E196="",AO196=""),"",IF(COUNT(AG196:AN196)=0,"",AO196-LOOKUP(2,1/(AG196:AN196&lt;&gt;""),AG196:AN196)))</t>
        </is>
      </c>
      <c r="BC196" s="38" t="inlineStr">
        <is>
          <t>IF(OR(E196="",AP196=""),"",IF(COUNT(AG196:AO196)=0,"",AP196-LOOKUP(2,1/(AG196:AO196&lt;&gt;""),AG196:AO196)))</t>
        </is>
      </c>
      <c r="BD196" s="38" t="inlineStr">
        <is>
          <t>IF(OR(E196="",AQ196=""),"",IF(COUNT(AG196:AP196)=0,"",AQ196-LOOKUP(2,1/(AG196:AP196&lt;&gt;""),AG196:AP196)))</t>
        </is>
      </c>
      <c r="BE196" s="38" t="inlineStr">
        <is>
          <t>IF(OR(E196="",AR196=""),"",IF(COUNT(AG196:AQ196)=0,"",AR196-LOOKUP(2,1/(AG196:AQ196&lt;&gt;""),AG196:AQ196)))</t>
        </is>
      </c>
      <c r="BF196" s="38" t="inlineStr">
        <is>
          <t>IF(OR(E196="",AS196=""),"",IF(COUNT(AG196:AR196)=0,"",AS196-LOOKUP(2,1/(AG196:AR196&lt;&gt;""),AG196:AR196)))</t>
        </is>
      </c>
      <c r="BG196" s="38" t="inlineStr">
        <is>
          <t>IF(OR(E196="",AT196=""),"",IF(COUNT(AG196:AS196)=0,"",AT196-LOOKUP(2,1/(AG196:AS196&lt;&gt;""),AG196:AS196)))</t>
        </is>
      </c>
      <c r="BH196" s="41" t="inlineStr">
        <is>
          <t>IF(G196="","All_Provinces",IFERROR(VLOOKUP(G196,'07_Lookups'!$A$4:$B$20,2,FALSE),"All_Provinces"))</t>
        </is>
      </c>
      <c r="BI196" s="41" t="inlineStr">
        <is>
          <t>IF(H196="","All_Districts",IFERROR(VLOOKUP(H196,'07_Lookups'!$E$4:$F$42,2,FALSE),"All_Districts"))</t>
        </is>
      </c>
    </row>
    <row r="197" ht="18" customHeight="1">
      <c r="A197" s="32" t="inlineStr">
        <is>
          <t>IF(E197="","",ROW()-3)</t>
        </is>
      </c>
      <c r="B197" s="42" t="inlineStr">
        <is>
          <t>AF2-DIS-R-034</t>
        </is>
      </c>
      <c r="C197" s="42" t="inlineStr">
        <is>
          <t>Emergency Food Security Project (EFSP) – WBK/AF-2</t>
        </is>
      </c>
      <c r="D197" s="42" t="inlineStr">
        <is>
          <t>Package #3-WBK/AF2 DIS: Demonstration of 14 Drip irrigation schemes at 13 district sites of 1. Parwan, 2. Kabul, 3. Wardak and 4. Kapisa provinces.</t>
        </is>
      </c>
      <c r="E197" s="42" t="inlineStr">
        <is>
          <t>Khar Drip irrigation schemes</t>
        </is>
      </c>
      <c r="F197" s="42" t="inlineStr">
        <is>
          <t>Drip Irrigation</t>
        </is>
      </c>
      <c r="G197" s="42" t="inlineStr">
        <is>
          <t>Central / Kabul</t>
        </is>
      </c>
      <c r="H197" s="42" t="inlineStr">
        <is>
          <t>Wardak</t>
        </is>
      </c>
      <c r="I197" s="42" t="inlineStr">
        <is>
          <t>Jaghatu</t>
        </is>
      </c>
      <c r="J197" s="42" t="inlineStr">
        <is>
          <t>Khar</t>
        </is>
      </c>
      <c r="K197" s="42" t="inlineStr">
        <is>
          <t>World Bank (WBK/AF-2)</t>
        </is>
      </c>
      <c r="L197" s="42" t="inlineStr">
        <is>
          <t>Remaining</t>
        </is>
      </c>
      <c r="M197" s="42" t="inlineStr">
        <is>
          <t>Drip irrigation</t>
        </is>
      </c>
      <c r="N197" s="42" t="inlineStr">
        <is>
          <t>5. Drip Irrigation systems</t>
        </is>
      </c>
      <c r="O197" s="42" t="inlineStr">
        <is>
          <t>Mohammad Akbar</t>
        </is>
      </c>
      <c r="P197" s="42" t="inlineStr"/>
      <c r="Q197" s="43" t="n">
        <v>8500</v>
      </c>
      <c r="R197" s="35" t="inlineStr">
        <is>
          <t>IF(AO197="","",AO197)</t>
        </is>
      </c>
      <c r="S197" s="44" t="n">
        <v>46381</v>
      </c>
      <c r="T197" s="45" t="n">
        <v>6.3</v>
      </c>
      <c r="U197" s="44" t="n">
        <v>46573</v>
      </c>
      <c r="V197" s="35" t="inlineStr">
        <is>
          <t>IF(U197&lt;&gt;"",U197,IF(OR(R197="",T197=""),"",EDATE(R197,T197)))</t>
        </is>
      </c>
      <c r="W197" s="44" t="n"/>
      <c r="X197" s="45" t="n"/>
      <c r="Y197" s="42" t="inlineStr">
        <is>
          <t>Retendered (Re-ITB)</t>
        </is>
      </c>
      <c r="Z197" s="42" t="inlineStr">
        <is>
          <t>Slack period from mid December to March 2026. Four months construction period.''- | Farmer: Mohammad Akbar</t>
        </is>
      </c>
      <c r="AA197" s="32" t="inlineStr">
        <is>
          <t>IF(E197="","",IF(COUNT(AG197:AT197)=0,IF(Y197="","Not started",Y197),SUBSTITUTE(LOOKUP(2,1/(AG197:AT197&lt;&gt;""),$AG$3:$AT$3),"Date: ","")))</t>
        </is>
      </c>
      <c r="AB197" s="38" t="inlineStr">
        <is>
          <t>IF(OR(E197="",COUNT(AG197:AT197)=0),"",TODAY()-LOOKUP(2,1/(AG197:AT197&lt;&gt;""),AG197:AT197))</t>
        </is>
      </c>
      <c r="AC197" s="38" t="inlineStr">
        <is>
          <t>IF(OR(E197="",COUNT(AG197:AT197)&lt;2),"",LOOKUP(2,1/(AG197:AT197&lt;&gt;""),AG197:AT197)-MIN(AG197:AT197))</t>
        </is>
      </c>
      <c r="AD197" s="38" t="inlineStr">
        <is>
          <t>IF(OR(AB197="",AA197="Not started",AA197=""),"",IFERROR(AB197-IF(VLOOKUP(AA197,'04_Status_Pipeline'!$B$3:$E$20,4,FALSE)="",0,VLOOKUP(AA197,'04_Status_Pipeline'!$B$3:$E$20,4,FALSE)),""))</t>
        </is>
      </c>
      <c r="AE197" s="32" t="inlineStr">
        <is>
          <t>IF(E197="","",IF(OR(Y197="Cancelled",AA197="Cancelled"),"Cancelled",IF(OR(AA197="Completed / Handover",W197&lt;&gt;"",X197&gt;=100),"Completed — on track",IF(L197="Remaining",IF(S197="",IF(V197="","No planned date",IF(TODAY()&gt;V197,"Behind — past planned date",IF(V197-TODAY()&lt;=30,"At risk — close to off track","On track"))),IF(TODAY()&gt;S197,"Behind — award date passed",IF(S197-TODAY()&lt;=30,"At risk — close to off track","On track"))),IF(V197="","No planned date",IF(AND(TODAY()&gt;V197,OR(X197="",X197&lt;100)),"Behind — past end date",IF(AND(R197&lt;&gt;"",V197&lt;&gt;"",X197&lt;&gt;"",(X197&lt;100),((TODAY()-R197)/MAX(V197-R197,1)*100)-X197&gt;15),"Behind — progress lag",IF(AND(V197-TODAY()&lt;=30,V197-TODAY()&gt;=0,OR(X197="",X197&lt;90)),"At risk — close to off track","On track"))))))))</t>
        </is>
      </c>
      <c r="AF197" s="38" t="inlineStr">
        <is>
          <t>IF(OR(E197="",AA197="Completed / Handover",AA197="Cancelled"),"",IF(L197="Remaining",IF(S197&lt;&gt;"",S197-TODAY(),IF(V197="","",V197-TODAY())),IF(V197="","",V197-TODAY())))</t>
        </is>
      </c>
      <c r="AG197" s="44" t="n"/>
      <c r="AH197" s="44" t="n"/>
      <c r="AI197" s="44" t="n"/>
      <c r="AJ197" s="44" t="n"/>
      <c r="AK197" s="44" t="n"/>
      <c r="AL197" s="44" t="n"/>
      <c r="AM197" s="44" t="n"/>
      <c r="AN197" s="44" t="n"/>
      <c r="AO197" s="44" t="n"/>
      <c r="AP197" s="44" t="n"/>
      <c r="AQ197" s="44" t="n"/>
      <c r="AR197" s="40" t="n"/>
      <c r="AS197" s="40" t="n"/>
      <c r="AT197" s="40" t="n"/>
      <c r="AU197" s="38" t="inlineStr">
        <is>
          <t>IF(OR(E197="",AH197=""),"",IF(COUNT(AG197:AG197)=0,"",AH197-LOOKUP(2,1/(AG197:AG197&lt;&gt;""),AG197:AG197)))</t>
        </is>
      </c>
      <c r="AV197" s="38" t="inlineStr">
        <is>
          <t>IF(OR(E197="",AI197=""),"",IF(COUNT(AG197:AH197)=0,"",AI197-LOOKUP(2,1/(AG197:AH197&lt;&gt;""),AG197:AH197)))</t>
        </is>
      </c>
      <c r="AW197" s="38" t="inlineStr">
        <is>
          <t>IF(OR(E197="",AJ197=""),"",IF(COUNT(AG197:AI197)=0,"",AJ197-LOOKUP(2,1/(AG197:AI197&lt;&gt;""),AG197:AI197)))</t>
        </is>
      </c>
      <c r="AX197" s="38" t="inlineStr">
        <is>
          <t>IF(OR(E197="",AK197=""),"",IF(COUNT(AG197:AJ197)=0,"",AK197-LOOKUP(2,1/(AG197:AJ197&lt;&gt;""),AG197:AJ197)))</t>
        </is>
      </c>
      <c r="AY197" s="38" t="inlineStr">
        <is>
          <t>IF(OR(E197="",AL197=""),"",IF(COUNT(AG197:AK197)=0,"",AL197-LOOKUP(2,1/(AG197:AK197&lt;&gt;""),AG197:AK197)))</t>
        </is>
      </c>
      <c r="AZ197" s="38" t="inlineStr">
        <is>
          <t>IF(OR(E197="",AM197=""),"",IF(COUNT(AG197:AL197)=0,"",AM197-LOOKUP(2,1/(AG197:AL197&lt;&gt;""),AG197:AL197)))</t>
        </is>
      </c>
      <c r="BA197" s="38" t="inlineStr">
        <is>
          <t>IF(OR(E197="",AN197=""),"",IF(COUNT(AG197:AM197)=0,"",AN197-LOOKUP(2,1/(AG197:AM197&lt;&gt;""),AG197:AM197)))</t>
        </is>
      </c>
      <c r="BB197" s="38" t="inlineStr">
        <is>
          <t>IF(OR(E197="",AO197=""),"",IF(COUNT(AG197:AN197)=0,"",AO197-LOOKUP(2,1/(AG197:AN197&lt;&gt;""),AG197:AN197)))</t>
        </is>
      </c>
      <c r="BC197" s="38" t="inlineStr">
        <is>
          <t>IF(OR(E197="",AP197=""),"",IF(COUNT(AG197:AO197)=0,"",AP197-LOOKUP(2,1/(AG197:AO197&lt;&gt;""),AG197:AO197)))</t>
        </is>
      </c>
      <c r="BD197" s="38" t="inlineStr">
        <is>
          <t>IF(OR(E197="",AQ197=""),"",IF(COUNT(AG197:AP197)=0,"",AQ197-LOOKUP(2,1/(AG197:AP197&lt;&gt;""),AG197:AP197)))</t>
        </is>
      </c>
      <c r="BE197" s="38" t="inlineStr">
        <is>
          <t>IF(OR(E197="",AR197=""),"",IF(COUNT(AG197:AQ197)=0,"",AR197-LOOKUP(2,1/(AG197:AQ197&lt;&gt;""),AG197:AQ197)))</t>
        </is>
      </c>
      <c r="BF197" s="38" t="inlineStr">
        <is>
          <t>IF(OR(E197="",AS197=""),"",IF(COUNT(AG197:AR197)=0,"",AS197-LOOKUP(2,1/(AG197:AR197&lt;&gt;""),AG197:AR197)))</t>
        </is>
      </c>
      <c r="BG197" s="38" t="inlineStr">
        <is>
          <t>IF(OR(E197="",AT197=""),"",IF(COUNT(AG197:AS197)=0,"",AT197-LOOKUP(2,1/(AG197:AS197&lt;&gt;""),AG197:AS197)))</t>
        </is>
      </c>
      <c r="BH197" s="41" t="inlineStr">
        <is>
          <t>IF(G197="","All_Provinces",IFERROR(VLOOKUP(G197,'07_Lookups'!$A$4:$B$20,2,FALSE),"All_Provinces"))</t>
        </is>
      </c>
      <c r="BI197" s="41" t="inlineStr">
        <is>
          <t>IF(H197="","All_Districts",IFERROR(VLOOKUP(H197,'07_Lookups'!$E$4:$F$42,2,FALSE),"All_Districts"))</t>
        </is>
      </c>
    </row>
    <row r="198" ht="18" customHeight="1">
      <c r="A198" s="32" t="inlineStr">
        <is>
          <t>IF(E198="","",ROW()-3)</t>
        </is>
      </c>
      <c r="B198" s="33" t="inlineStr">
        <is>
          <t>AF2-DIS-R-035</t>
        </is>
      </c>
      <c r="C198" s="33" t="inlineStr">
        <is>
          <t>Emergency Food Security Project (EFSP) – WBK/AF-2</t>
        </is>
      </c>
      <c r="D198" s="33" t="inlineStr">
        <is>
          <t>Package #3-WBK/AF2 DIS: Demonstration of 14 Drip irrigation schemes at 13 district sites of 1. Parwan, 2. Kabul, 3. Wardak and 4. Kapisa provinces.</t>
        </is>
      </c>
      <c r="E198" s="33" t="inlineStr">
        <is>
          <t>Madad Drip irrigation schemes</t>
        </is>
      </c>
      <c r="F198" s="33" t="inlineStr">
        <is>
          <t>Drip Irrigation</t>
        </is>
      </c>
      <c r="G198" s="33" t="inlineStr">
        <is>
          <t>Central / Kabul</t>
        </is>
      </c>
      <c r="H198" s="33" t="inlineStr">
        <is>
          <t>Wardak</t>
        </is>
      </c>
      <c r="I198" s="33" t="inlineStr">
        <is>
          <t>Chack</t>
        </is>
      </c>
      <c r="J198" s="33" t="inlineStr">
        <is>
          <t>Madad</t>
        </is>
      </c>
      <c r="K198" s="33" t="inlineStr">
        <is>
          <t>World Bank (WBK/AF-2)</t>
        </is>
      </c>
      <c r="L198" s="33" t="inlineStr">
        <is>
          <t>Remaining</t>
        </is>
      </c>
      <c r="M198" s="33" t="inlineStr">
        <is>
          <t>Drip irrigation</t>
        </is>
      </c>
      <c r="N198" s="33" t="inlineStr">
        <is>
          <t>5. Drip Irrigation systems</t>
        </is>
      </c>
      <c r="O198" s="33" t="inlineStr">
        <is>
          <t>Mohammad Qasim</t>
        </is>
      </c>
      <c r="P198" s="33" t="inlineStr"/>
      <c r="Q198" s="34" t="n">
        <v>4250</v>
      </c>
      <c r="R198" s="35" t="inlineStr">
        <is>
          <t>IF(AO198="","",AO198)</t>
        </is>
      </c>
      <c r="S198" s="36" t="n">
        <v>46381</v>
      </c>
      <c r="T198" s="37" t="n">
        <v>6.3</v>
      </c>
      <c r="U198" s="36" t="n">
        <v>46573</v>
      </c>
      <c r="V198" s="35" t="inlineStr">
        <is>
          <t>IF(U198&lt;&gt;"",U198,IF(OR(R198="",T198=""),"",EDATE(R198,T198)))</t>
        </is>
      </c>
      <c r="W198" s="36" t="n"/>
      <c r="X198" s="37" t="n"/>
      <c r="Y198" s="33" t="inlineStr">
        <is>
          <t>Retendered (Re-ITB)</t>
        </is>
      </c>
      <c r="Z198" s="33" t="inlineStr">
        <is>
          <t>Slack period from mid December to March 2026. Four months construction period.''- | Farmer: Mohammad Qasim</t>
        </is>
      </c>
      <c r="AA198" s="32" t="inlineStr">
        <is>
          <t>IF(E198="","",IF(COUNT(AG198:AT198)=0,IF(Y198="","Not started",Y198),SUBSTITUTE(LOOKUP(2,1/(AG198:AT198&lt;&gt;""),$AG$3:$AT$3),"Date: ","")))</t>
        </is>
      </c>
      <c r="AB198" s="38" t="inlineStr">
        <is>
          <t>IF(OR(E198="",COUNT(AG198:AT198)=0),"",TODAY()-LOOKUP(2,1/(AG198:AT198&lt;&gt;""),AG198:AT198))</t>
        </is>
      </c>
      <c r="AC198" s="38" t="inlineStr">
        <is>
          <t>IF(OR(E198="",COUNT(AG198:AT198)&lt;2),"",LOOKUP(2,1/(AG198:AT198&lt;&gt;""),AG198:AT198)-MIN(AG198:AT198))</t>
        </is>
      </c>
      <c r="AD198" s="38" t="inlineStr">
        <is>
          <t>IF(OR(AB198="",AA198="Not started",AA198=""),"",IFERROR(AB198-IF(VLOOKUP(AA198,'04_Status_Pipeline'!$B$3:$E$20,4,FALSE)="",0,VLOOKUP(AA198,'04_Status_Pipeline'!$B$3:$E$20,4,FALSE)),""))</t>
        </is>
      </c>
      <c r="AE198" s="32" t="inlineStr">
        <is>
          <t>IF(E198="","",IF(OR(Y198="Cancelled",AA198="Cancelled"),"Cancelled",IF(OR(AA198="Completed / Handover",W198&lt;&gt;"",X198&gt;=100),"Completed — on track",IF(L198="Remaining",IF(S198="",IF(V198="","No planned date",IF(TODAY()&gt;V198,"Behind — past planned date",IF(V198-TODAY()&lt;=30,"At risk — close to off track","On track"))),IF(TODAY()&gt;S198,"Behind — award date passed",IF(S198-TODAY()&lt;=30,"At risk — close to off track","On track"))),IF(V198="","No planned date",IF(AND(TODAY()&gt;V198,OR(X198="",X198&lt;100)),"Behind — past end date",IF(AND(R198&lt;&gt;"",V198&lt;&gt;"",X198&lt;&gt;"",(X198&lt;100),((TODAY()-R198)/MAX(V198-R198,1)*100)-X198&gt;15),"Behind — progress lag",IF(AND(V198-TODAY()&lt;=30,V198-TODAY()&gt;=0,OR(X198="",X198&lt;90)),"At risk — close to off track","On track"))))))))</t>
        </is>
      </c>
      <c r="AF198" s="38" t="inlineStr">
        <is>
          <t>IF(OR(E198="",AA198="Completed / Handover",AA198="Cancelled"),"",IF(L198="Remaining",IF(S198&lt;&gt;"",S198-TODAY(),IF(V198="","",V198-TODAY())),IF(V198="","",V198-TODAY())))</t>
        </is>
      </c>
      <c r="AG198" s="36" t="n"/>
      <c r="AH198" s="36" t="n"/>
      <c r="AI198" s="36" t="n"/>
      <c r="AJ198" s="36" t="n"/>
      <c r="AK198" s="36" t="n"/>
      <c r="AL198" s="36" t="n"/>
      <c r="AM198" s="36" t="n"/>
      <c r="AN198" s="36" t="n"/>
      <c r="AO198" s="36" t="n"/>
      <c r="AP198" s="36" t="n"/>
      <c r="AQ198" s="36" t="n"/>
      <c r="AR198" s="40" t="n"/>
      <c r="AS198" s="40" t="n"/>
      <c r="AT198" s="40" t="n"/>
      <c r="AU198" s="38" t="inlineStr">
        <is>
          <t>IF(OR(E198="",AH198=""),"",IF(COUNT(AG198:AG198)=0,"",AH198-LOOKUP(2,1/(AG198:AG198&lt;&gt;""),AG198:AG198)))</t>
        </is>
      </c>
      <c r="AV198" s="38" t="inlineStr">
        <is>
          <t>IF(OR(E198="",AI198=""),"",IF(COUNT(AG198:AH198)=0,"",AI198-LOOKUP(2,1/(AG198:AH198&lt;&gt;""),AG198:AH198)))</t>
        </is>
      </c>
      <c r="AW198" s="38" t="inlineStr">
        <is>
          <t>IF(OR(E198="",AJ198=""),"",IF(COUNT(AG198:AI198)=0,"",AJ198-LOOKUP(2,1/(AG198:AI198&lt;&gt;""),AG198:AI198)))</t>
        </is>
      </c>
      <c r="AX198" s="38" t="inlineStr">
        <is>
          <t>IF(OR(E198="",AK198=""),"",IF(COUNT(AG198:AJ198)=0,"",AK198-LOOKUP(2,1/(AG198:AJ198&lt;&gt;""),AG198:AJ198)))</t>
        </is>
      </c>
      <c r="AY198" s="38" t="inlineStr">
        <is>
          <t>IF(OR(E198="",AL198=""),"",IF(COUNT(AG198:AK198)=0,"",AL198-LOOKUP(2,1/(AG198:AK198&lt;&gt;""),AG198:AK198)))</t>
        </is>
      </c>
      <c r="AZ198" s="38" t="inlineStr">
        <is>
          <t>IF(OR(E198="",AM198=""),"",IF(COUNT(AG198:AL198)=0,"",AM198-LOOKUP(2,1/(AG198:AL198&lt;&gt;""),AG198:AL198)))</t>
        </is>
      </c>
      <c r="BA198" s="38" t="inlineStr">
        <is>
          <t>IF(OR(E198="",AN198=""),"",IF(COUNT(AG198:AM198)=0,"",AN198-LOOKUP(2,1/(AG198:AM198&lt;&gt;""),AG198:AM198)))</t>
        </is>
      </c>
      <c r="BB198" s="38" t="inlineStr">
        <is>
          <t>IF(OR(E198="",AO198=""),"",IF(COUNT(AG198:AN198)=0,"",AO198-LOOKUP(2,1/(AG198:AN198&lt;&gt;""),AG198:AN198)))</t>
        </is>
      </c>
      <c r="BC198" s="38" t="inlineStr">
        <is>
          <t>IF(OR(E198="",AP198=""),"",IF(COUNT(AG198:AO198)=0,"",AP198-LOOKUP(2,1/(AG198:AO198&lt;&gt;""),AG198:AO198)))</t>
        </is>
      </c>
      <c r="BD198" s="38" t="inlineStr">
        <is>
          <t>IF(OR(E198="",AQ198=""),"",IF(COUNT(AG198:AP198)=0,"",AQ198-LOOKUP(2,1/(AG198:AP198&lt;&gt;""),AG198:AP198)))</t>
        </is>
      </c>
      <c r="BE198" s="38" t="inlineStr">
        <is>
          <t>IF(OR(E198="",AR198=""),"",IF(COUNT(AG198:AQ198)=0,"",AR198-LOOKUP(2,1/(AG198:AQ198&lt;&gt;""),AG198:AQ198)))</t>
        </is>
      </c>
      <c r="BF198" s="38" t="inlineStr">
        <is>
          <t>IF(OR(E198="",AS198=""),"",IF(COUNT(AG198:AR198)=0,"",AS198-LOOKUP(2,1/(AG198:AR198&lt;&gt;""),AG198:AR198)))</t>
        </is>
      </c>
      <c r="BG198" s="38" t="inlineStr">
        <is>
          <t>IF(OR(E198="",AT198=""),"",IF(COUNT(AG198:AS198)=0,"",AT198-LOOKUP(2,1/(AG198:AS198&lt;&gt;""),AG198:AS198)))</t>
        </is>
      </c>
      <c r="BH198" s="41" t="inlineStr">
        <is>
          <t>IF(G198="","All_Provinces",IFERROR(VLOOKUP(G198,'07_Lookups'!$A$4:$B$20,2,FALSE),"All_Provinces"))</t>
        </is>
      </c>
      <c r="BI198" s="41" t="inlineStr">
        <is>
          <t>IF(H198="","All_Districts",IFERROR(VLOOKUP(H198,'07_Lookups'!$E$4:$F$42,2,FALSE),"All_Districts"))</t>
        </is>
      </c>
    </row>
    <row r="199" ht="18" customHeight="1">
      <c r="A199" s="32" t="inlineStr">
        <is>
          <t>IF(E199="","",ROW()-3)</t>
        </is>
      </c>
      <c r="B199" s="42" t="inlineStr">
        <is>
          <t>AF2-DIS-R-036</t>
        </is>
      </c>
      <c r="C199" s="42" t="inlineStr">
        <is>
          <t>Emergency Food Security Project (EFSP) – WBK/AF-2</t>
        </is>
      </c>
      <c r="D199" s="42" t="inlineStr">
        <is>
          <t>Package #3-WBK/AF2 DIS: Demonstration of 14 Drip irrigation schemes at 13 district sites of 1. Parwan, 2. Kabul, 3. Wardak and 4. Kapisa provinces.</t>
        </is>
      </c>
      <c r="E199" s="42" t="inlineStr">
        <is>
          <t>Dasht-e- Top Drip irrigation schemes</t>
        </is>
      </c>
      <c r="F199" s="42" t="inlineStr">
        <is>
          <t>Drip Irrigation</t>
        </is>
      </c>
      <c r="G199" s="42" t="inlineStr">
        <is>
          <t>Central / Kabul</t>
        </is>
      </c>
      <c r="H199" s="42" t="inlineStr">
        <is>
          <t>Wardak</t>
        </is>
      </c>
      <c r="I199" s="42" t="inlineStr">
        <is>
          <t>Saydabad</t>
        </is>
      </c>
      <c r="J199" s="42" t="inlineStr">
        <is>
          <t>Wardak university</t>
        </is>
      </c>
      <c r="K199" s="42" t="inlineStr">
        <is>
          <t>World Bank (WBK/AF-2)</t>
        </is>
      </c>
      <c r="L199" s="42" t="inlineStr">
        <is>
          <t>Remaining</t>
        </is>
      </c>
      <c r="M199" s="42" t="inlineStr">
        <is>
          <t>Drip irrigation</t>
        </is>
      </c>
      <c r="N199" s="42" t="inlineStr">
        <is>
          <t>5. Drip Irrigation systems</t>
        </is>
      </c>
      <c r="O199" s="42" t="inlineStr">
        <is>
          <t>Wardak University</t>
        </is>
      </c>
      <c r="P199" s="42" t="inlineStr"/>
      <c r="Q199" s="43" t="n">
        <v>4250</v>
      </c>
      <c r="R199" s="35" t="inlineStr">
        <is>
          <t>IF(AO199="","",AO199)</t>
        </is>
      </c>
      <c r="S199" s="44" t="n">
        <v>46381</v>
      </c>
      <c r="T199" s="45" t="n">
        <v>6.3</v>
      </c>
      <c r="U199" s="44" t="n">
        <v>46573</v>
      </c>
      <c r="V199" s="35" t="inlineStr">
        <is>
          <t>IF(U199&lt;&gt;"",U199,IF(OR(R199="",T199=""),"",EDATE(R199,T199)))</t>
        </is>
      </c>
      <c r="W199" s="44" t="n"/>
      <c r="X199" s="45" t="n"/>
      <c r="Y199" s="42" t="inlineStr">
        <is>
          <t>Retendered (Re-ITB)</t>
        </is>
      </c>
      <c r="Z199" s="42" t="inlineStr">
        <is>
          <t>Slack period from mid December to March 2026. Four months construction period.''- | Farmer: Wardak University</t>
        </is>
      </c>
      <c r="AA199" s="32" t="inlineStr">
        <is>
          <t>IF(E199="","",IF(COUNT(AG199:AT199)=0,IF(Y199="","Not started",Y199),SUBSTITUTE(LOOKUP(2,1/(AG199:AT199&lt;&gt;""),$AG$3:$AT$3),"Date: ","")))</t>
        </is>
      </c>
      <c r="AB199" s="38" t="inlineStr">
        <is>
          <t>IF(OR(E199="",COUNT(AG199:AT199)=0),"",TODAY()-LOOKUP(2,1/(AG199:AT199&lt;&gt;""),AG199:AT199))</t>
        </is>
      </c>
      <c r="AC199" s="38" t="inlineStr">
        <is>
          <t>IF(OR(E199="",COUNT(AG199:AT199)&lt;2),"",LOOKUP(2,1/(AG199:AT199&lt;&gt;""),AG199:AT199)-MIN(AG199:AT199))</t>
        </is>
      </c>
      <c r="AD199" s="38" t="inlineStr">
        <is>
          <t>IF(OR(AB199="",AA199="Not started",AA199=""),"",IFERROR(AB199-IF(VLOOKUP(AA199,'04_Status_Pipeline'!$B$3:$E$20,4,FALSE)="",0,VLOOKUP(AA199,'04_Status_Pipeline'!$B$3:$E$20,4,FALSE)),""))</t>
        </is>
      </c>
      <c r="AE199" s="32" t="inlineStr">
        <is>
          <t>IF(E199="","",IF(OR(Y199="Cancelled",AA199="Cancelled"),"Cancelled",IF(OR(AA199="Completed / Handover",W199&lt;&gt;"",X199&gt;=100),"Completed — on track",IF(L199="Remaining",IF(S199="",IF(V199="","No planned date",IF(TODAY()&gt;V199,"Behind — past planned date",IF(V199-TODAY()&lt;=30,"At risk — close to off track","On track"))),IF(TODAY()&gt;S199,"Behind — award date passed",IF(S199-TODAY()&lt;=30,"At risk — close to off track","On track"))),IF(V199="","No planned date",IF(AND(TODAY()&gt;V199,OR(X199="",X199&lt;100)),"Behind — past end date",IF(AND(R199&lt;&gt;"",V199&lt;&gt;"",X199&lt;&gt;"",(X199&lt;100),((TODAY()-R199)/MAX(V199-R199,1)*100)-X199&gt;15),"Behind — progress lag",IF(AND(V199-TODAY()&lt;=30,V199-TODAY()&gt;=0,OR(X199="",X199&lt;90)),"At risk — close to off track","On track"))))))))</t>
        </is>
      </c>
      <c r="AF199" s="38" t="inlineStr">
        <is>
          <t>IF(OR(E199="",AA199="Completed / Handover",AA199="Cancelled"),"",IF(L199="Remaining",IF(S199&lt;&gt;"",S199-TODAY(),IF(V199="","",V199-TODAY())),IF(V199="","",V199-TODAY())))</t>
        </is>
      </c>
      <c r="AG199" s="44" t="n"/>
      <c r="AH199" s="44" t="n"/>
      <c r="AI199" s="44" t="n"/>
      <c r="AJ199" s="44" t="n"/>
      <c r="AK199" s="44" t="n"/>
      <c r="AL199" s="44" t="n"/>
      <c r="AM199" s="44" t="n"/>
      <c r="AN199" s="44" t="n"/>
      <c r="AO199" s="44" t="n"/>
      <c r="AP199" s="44" t="n"/>
      <c r="AQ199" s="44" t="n"/>
      <c r="AR199" s="40" t="n"/>
      <c r="AS199" s="40" t="n"/>
      <c r="AT199" s="40" t="n"/>
      <c r="AU199" s="38" t="inlineStr">
        <is>
          <t>IF(OR(E199="",AH199=""),"",IF(COUNT(AG199:AG199)=0,"",AH199-LOOKUP(2,1/(AG199:AG199&lt;&gt;""),AG199:AG199)))</t>
        </is>
      </c>
      <c r="AV199" s="38" t="inlineStr">
        <is>
          <t>IF(OR(E199="",AI199=""),"",IF(COUNT(AG199:AH199)=0,"",AI199-LOOKUP(2,1/(AG199:AH199&lt;&gt;""),AG199:AH199)))</t>
        </is>
      </c>
      <c r="AW199" s="38" t="inlineStr">
        <is>
          <t>IF(OR(E199="",AJ199=""),"",IF(COUNT(AG199:AI199)=0,"",AJ199-LOOKUP(2,1/(AG199:AI199&lt;&gt;""),AG199:AI199)))</t>
        </is>
      </c>
      <c r="AX199" s="38" t="inlineStr">
        <is>
          <t>IF(OR(E199="",AK199=""),"",IF(COUNT(AG199:AJ199)=0,"",AK199-LOOKUP(2,1/(AG199:AJ199&lt;&gt;""),AG199:AJ199)))</t>
        </is>
      </c>
      <c r="AY199" s="38" t="inlineStr">
        <is>
          <t>IF(OR(E199="",AL199=""),"",IF(COUNT(AG199:AK199)=0,"",AL199-LOOKUP(2,1/(AG199:AK199&lt;&gt;""),AG199:AK199)))</t>
        </is>
      </c>
      <c r="AZ199" s="38" t="inlineStr">
        <is>
          <t>IF(OR(E199="",AM199=""),"",IF(COUNT(AG199:AL199)=0,"",AM199-LOOKUP(2,1/(AG199:AL199&lt;&gt;""),AG199:AL199)))</t>
        </is>
      </c>
      <c r="BA199" s="38" t="inlineStr">
        <is>
          <t>IF(OR(E199="",AN199=""),"",IF(COUNT(AG199:AM199)=0,"",AN199-LOOKUP(2,1/(AG199:AM199&lt;&gt;""),AG199:AM199)))</t>
        </is>
      </c>
      <c r="BB199" s="38" t="inlineStr">
        <is>
          <t>IF(OR(E199="",AO199=""),"",IF(COUNT(AG199:AN199)=0,"",AO199-LOOKUP(2,1/(AG199:AN199&lt;&gt;""),AG199:AN199)))</t>
        </is>
      </c>
      <c r="BC199" s="38" t="inlineStr">
        <is>
          <t>IF(OR(E199="",AP199=""),"",IF(COUNT(AG199:AO199)=0,"",AP199-LOOKUP(2,1/(AG199:AO199&lt;&gt;""),AG199:AO199)))</t>
        </is>
      </c>
      <c r="BD199" s="38" t="inlineStr">
        <is>
          <t>IF(OR(E199="",AQ199=""),"",IF(COUNT(AG199:AP199)=0,"",AQ199-LOOKUP(2,1/(AG199:AP199&lt;&gt;""),AG199:AP199)))</t>
        </is>
      </c>
      <c r="BE199" s="38" t="inlineStr">
        <is>
          <t>IF(OR(E199="",AR199=""),"",IF(COUNT(AG199:AQ199)=0,"",AR199-LOOKUP(2,1/(AG199:AQ199&lt;&gt;""),AG199:AQ199)))</t>
        </is>
      </c>
      <c r="BF199" s="38" t="inlineStr">
        <is>
          <t>IF(OR(E199="",AS199=""),"",IF(COUNT(AG199:AR199)=0,"",AS199-LOOKUP(2,1/(AG199:AR199&lt;&gt;""),AG199:AR199)))</t>
        </is>
      </c>
      <c r="BG199" s="38" t="inlineStr">
        <is>
          <t>IF(OR(E199="",AT199=""),"",IF(COUNT(AG199:AS199)=0,"",AT199-LOOKUP(2,1/(AG199:AS199&lt;&gt;""),AG199:AS199)))</t>
        </is>
      </c>
      <c r="BH199" s="41" t="inlineStr">
        <is>
          <t>IF(G199="","All_Provinces",IFERROR(VLOOKUP(G199,'07_Lookups'!$A$4:$B$20,2,FALSE),"All_Provinces"))</t>
        </is>
      </c>
      <c r="BI199" s="41" t="inlineStr">
        <is>
          <t>IF(H199="","All_Districts",IFERROR(VLOOKUP(H199,'07_Lookups'!$E$4:$F$42,2,FALSE),"All_Districts"))</t>
        </is>
      </c>
    </row>
    <row r="200" ht="18" customHeight="1">
      <c r="A200" s="32" t="inlineStr">
        <is>
          <t>IF(E200="","",ROW()-3)</t>
        </is>
      </c>
      <c r="B200" s="33" t="inlineStr">
        <is>
          <t>AF2-DIS-R-037</t>
        </is>
      </c>
      <c r="C200" s="33" t="inlineStr">
        <is>
          <t>Emergency Food Security Project (EFSP) – WBK/AF-2</t>
        </is>
      </c>
      <c r="D200" s="33" t="inlineStr">
        <is>
          <t>Package #3-WBK/AF2 DIS: Demonstration of 14 Drip irrigation schemes at 13 district sites of 1. Parwan, 2. Kabul, 3. Wardak and 4. Kapisa provinces.</t>
        </is>
      </c>
      <c r="E200" s="33" t="inlineStr">
        <is>
          <t>Durani Drip irrigation schemes</t>
        </is>
      </c>
      <c r="F200" s="33" t="inlineStr">
        <is>
          <t>Drip Irrigation</t>
        </is>
      </c>
      <c r="G200" s="33" t="inlineStr">
        <is>
          <t>Central / Kabul</t>
        </is>
      </c>
      <c r="H200" s="33" t="inlineStr">
        <is>
          <t>Wardak</t>
        </is>
      </c>
      <c r="I200" s="33" t="inlineStr">
        <is>
          <t>Nirkh</t>
        </is>
      </c>
      <c r="J200" s="33" t="inlineStr">
        <is>
          <t>Durani</t>
        </is>
      </c>
      <c r="K200" s="33" t="inlineStr">
        <is>
          <t>World Bank (WBK/AF-2)</t>
        </is>
      </c>
      <c r="L200" s="33" t="inlineStr">
        <is>
          <t>Remaining</t>
        </is>
      </c>
      <c r="M200" s="33" t="inlineStr">
        <is>
          <t>Drip irrigation</t>
        </is>
      </c>
      <c r="N200" s="33" t="inlineStr">
        <is>
          <t>5. Drip Irrigation systems</t>
        </is>
      </c>
      <c r="O200" s="33" t="inlineStr">
        <is>
          <t>Fazel Rahman</t>
        </is>
      </c>
      <c r="P200" s="33" t="inlineStr"/>
      <c r="Q200" s="34" t="n">
        <v>8500</v>
      </c>
      <c r="R200" s="35" t="inlineStr">
        <is>
          <t>IF(AO200="","",AO200)</t>
        </is>
      </c>
      <c r="S200" s="36" t="n">
        <v>46381</v>
      </c>
      <c r="T200" s="37" t="n">
        <v>6.3</v>
      </c>
      <c r="U200" s="36" t="n">
        <v>46573</v>
      </c>
      <c r="V200" s="35" t="inlineStr">
        <is>
          <t>IF(U200&lt;&gt;"",U200,IF(OR(R200="",T200=""),"",EDATE(R200,T200)))</t>
        </is>
      </c>
      <c r="W200" s="36" t="n"/>
      <c r="X200" s="37" t="n"/>
      <c r="Y200" s="33" t="inlineStr">
        <is>
          <t>Retendered (Re-ITB)</t>
        </is>
      </c>
      <c r="Z200" s="33" t="inlineStr">
        <is>
          <t>Slack period from mid December to March 2026. Four months construction period.''- | Farmer: Fazel Rahman</t>
        </is>
      </c>
      <c r="AA200" s="32" t="inlineStr">
        <is>
          <t>IF(E200="","",IF(COUNT(AG200:AT200)=0,IF(Y200="","Not started",Y200),SUBSTITUTE(LOOKUP(2,1/(AG200:AT200&lt;&gt;""),$AG$3:$AT$3),"Date: ","")))</t>
        </is>
      </c>
      <c r="AB200" s="38" t="inlineStr">
        <is>
          <t>IF(OR(E200="",COUNT(AG200:AT200)=0),"",TODAY()-LOOKUP(2,1/(AG200:AT200&lt;&gt;""),AG200:AT200))</t>
        </is>
      </c>
      <c r="AC200" s="38" t="inlineStr">
        <is>
          <t>IF(OR(E200="",COUNT(AG200:AT200)&lt;2),"",LOOKUP(2,1/(AG200:AT200&lt;&gt;""),AG200:AT200)-MIN(AG200:AT200))</t>
        </is>
      </c>
      <c r="AD200" s="38" t="inlineStr">
        <is>
          <t>IF(OR(AB200="",AA200="Not started",AA200=""),"",IFERROR(AB200-IF(VLOOKUP(AA200,'04_Status_Pipeline'!$B$3:$E$20,4,FALSE)="",0,VLOOKUP(AA200,'04_Status_Pipeline'!$B$3:$E$20,4,FALSE)),""))</t>
        </is>
      </c>
      <c r="AE200" s="32" t="inlineStr">
        <is>
          <t>IF(E200="","",IF(OR(Y200="Cancelled",AA200="Cancelled"),"Cancelled",IF(OR(AA200="Completed / Handover",W200&lt;&gt;"",X200&gt;=100),"Completed — on track",IF(L200="Remaining",IF(S200="",IF(V200="","No planned date",IF(TODAY()&gt;V200,"Behind — past planned date",IF(V200-TODAY()&lt;=30,"At risk — close to off track","On track"))),IF(TODAY()&gt;S200,"Behind — award date passed",IF(S200-TODAY()&lt;=30,"At risk — close to off track","On track"))),IF(V200="","No planned date",IF(AND(TODAY()&gt;V200,OR(X200="",X200&lt;100)),"Behind — past end date",IF(AND(R200&lt;&gt;"",V200&lt;&gt;"",X200&lt;&gt;"",(X200&lt;100),((TODAY()-R200)/MAX(V200-R200,1)*100)-X200&gt;15),"Behind — progress lag",IF(AND(V200-TODAY()&lt;=30,V200-TODAY()&gt;=0,OR(X200="",X200&lt;90)),"At risk — close to off track","On track"))))))))</t>
        </is>
      </c>
      <c r="AF200" s="38" t="inlineStr">
        <is>
          <t>IF(OR(E200="",AA200="Completed / Handover",AA200="Cancelled"),"",IF(L200="Remaining",IF(S200&lt;&gt;"",S200-TODAY(),IF(V200="","",V200-TODAY())),IF(V200="","",V200-TODAY())))</t>
        </is>
      </c>
      <c r="AG200" s="36" t="n"/>
      <c r="AH200" s="36" t="n"/>
      <c r="AI200" s="36" t="n"/>
      <c r="AJ200" s="36" t="n"/>
      <c r="AK200" s="36" t="n"/>
      <c r="AL200" s="36" t="n"/>
      <c r="AM200" s="36" t="n"/>
      <c r="AN200" s="36" t="n"/>
      <c r="AO200" s="36" t="n"/>
      <c r="AP200" s="36" t="n"/>
      <c r="AQ200" s="36" t="n"/>
      <c r="AR200" s="40" t="n"/>
      <c r="AS200" s="40" t="n"/>
      <c r="AT200" s="40" t="n"/>
      <c r="AU200" s="38" t="inlineStr">
        <is>
          <t>IF(OR(E200="",AH200=""),"",IF(COUNT(AG200:AG200)=0,"",AH200-LOOKUP(2,1/(AG200:AG200&lt;&gt;""),AG200:AG200)))</t>
        </is>
      </c>
      <c r="AV200" s="38" t="inlineStr">
        <is>
          <t>IF(OR(E200="",AI200=""),"",IF(COUNT(AG200:AH200)=0,"",AI200-LOOKUP(2,1/(AG200:AH200&lt;&gt;""),AG200:AH200)))</t>
        </is>
      </c>
      <c r="AW200" s="38" t="inlineStr">
        <is>
          <t>IF(OR(E200="",AJ200=""),"",IF(COUNT(AG200:AI200)=0,"",AJ200-LOOKUP(2,1/(AG200:AI200&lt;&gt;""),AG200:AI200)))</t>
        </is>
      </c>
      <c r="AX200" s="38" t="inlineStr">
        <is>
          <t>IF(OR(E200="",AK200=""),"",IF(COUNT(AG200:AJ200)=0,"",AK200-LOOKUP(2,1/(AG200:AJ200&lt;&gt;""),AG200:AJ200)))</t>
        </is>
      </c>
      <c r="AY200" s="38" t="inlineStr">
        <is>
          <t>IF(OR(E200="",AL200=""),"",IF(COUNT(AG200:AK200)=0,"",AL200-LOOKUP(2,1/(AG200:AK200&lt;&gt;""),AG200:AK200)))</t>
        </is>
      </c>
      <c r="AZ200" s="38" t="inlineStr">
        <is>
          <t>IF(OR(E200="",AM200=""),"",IF(COUNT(AG200:AL200)=0,"",AM200-LOOKUP(2,1/(AG200:AL200&lt;&gt;""),AG200:AL200)))</t>
        </is>
      </c>
      <c r="BA200" s="38" t="inlineStr">
        <is>
          <t>IF(OR(E200="",AN200=""),"",IF(COUNT(AG200:AM200)=0,"",AN200-LOOKUP(2,1/(AG200:AM200&lt;&gt;""),AG200:AM200)))</t>
        </is>
      </c>
      <c r="BB200" s="38" t="inlineStr">
        <is>
          <t>IF(OR(E200="",AO200=""),"",IF(COUNT(AG200:AN200)=0,"",AO200-LOOKUP(2,1/(AG200:AN200&lt;&gt;""),AG200:AN200)))</t>
        </is>
      </c>
      <c r="BC200" s="38" t="inlineStr">
        <is>
          <t>IF(OR(E200="",AP200=""),"",IF(COUNT(AG200:AO200)=0,"",AP200-LOOKUP(2,1/(AG200:AO200&lt;&gt;""),AG200:AO200)))</t>
        </is>
      </c>
      <c r="BD200" s="38" t="inlineStr">
        <is>
          <t>IF(OR(E200="",AQ200=""),"",IF(COUNT(AG200:AP200)=0,"",AQ200-LOOKUP(2,1/(AG200:AP200&lt;&gt;""),AG200:AP200)))</t>
        </is>
      </c>
      <c r="BE200" s="38" t="inlineStr">
        <is>
          <t>IF(OR(E200="",AR200=""),"",IF(COUNT(AG200:AQ200)=0,"",AR200-LOOKUP(2,1/(AG200:AQ200&lt;&gt;""),AG200:AQ200)))</t>
        </is>
      </c>
      <c r="BF200" s="38" t="inlineStr">
        <is>
          <t>IF(OR(E200="",AS200=""),"",IF(COUNT(AG200:AR200)=0,"",AS200-LOOKUP(2,1/(AG200:AR200&lt;&gt;""),AG200:AR200)))</t>
        </is>
      </c>
      <c r="BG200" s="38" t="inlineStr">
        <is>
          <t>IF(OR(E200="",AT200=""),"",IF(COUNT(AG200:AS200)=0,"",AT200-LOOKUP(2,1/(AG200:AS200&lt;&gt;""),AG200:AS200)))</t>
        </is>
      </c>
      <c r="BH200" s="41" t="inlineStr">
        <is>
          <t>IF(G200="","All_Provinces",IFERROR(VLOOKUP(G200,'07_Lookups'!$A$4:$B$20,2,FALSE),"All_Provinces"))</t>
        </is>
      </c>
      <c r="BI200" s="41" t="inlineStr">
        <is>
          <t>IF(H200="","All_Districts",IFERROR(VLOOKUP(H200,'07_Lookups'!$E$4:$F$42,2,FALSE),"All_Districts"))</t>
        </is>
      </c>
    </row>
    <row r="201" ht="18" customHeight="1">
      <c r="A201" s="32" t="inlineStr">
        <is>
          <t>IF(E201="","",ROW()-3)</t>
        </is>
      </c>
      <c r="B201" s="42" t="inlineStr">
        <is>
          <t>AF2-DIS-R-038</t>
        </is>
      </c>
      <c r="C201" s="42" t="inlineStr">
        <is>
          <t>Emergency Food Security Project (EFSP) – WBK/AF-2</t>
        </is>
      </c>
      <c r="D201" s="42" t="inlineStr">
        <is>
          <t>Package #3-WBK/AF2 DIS: Demonstration of 14 Drip irrigation schemes at 13 district sites of 1. Parwan, 2. Kabul, 3. Wardak and 4. Kapisa provinces.</t>
        </is>
      </c>
      <c r="E201" s="42" t="inlineStr">
        <is>
          <t>Alberoni University Drip irrigation schemes</t>
        </is>
      </c>
      <c r="F201" s="42" t="inlineStr">
        <is>
          <t>Drip Irrigation</t>
        </is>
      </c>
      <c r="G201" s="42" t="inlineStr">
        <is>
          <t>Central / Kabul</t>
        </is>
      </c>
      <c r="H201" s="42" t="inlineStr">
        <is>
          <t>Kapisa</t>
        </is>
      </c>
      <c r="I201" s="42" t="inlineStr">
        <is>
          <t>Hesa-e- Awal Kohistan</t>
        </is>
      </c>
      <c r="J201" s="42" t="inlineStr">
        <is>
          <t>Alberoni university</t>
        </is>
      </c>
      <c r="K201" s="42" t="inlineStr">
        <is>
          <t>World Bank (WBK/AF-2)</t>
        </is>
      </c>
      <c r="L201" s="42" t="inlineStr">
        <is>
          <t>Remaining</t>
        </is>
      </c>
      <c r="M201" s="42" t="inlineStr">
        <is>
          <t>Drip irrigation</t>
        </is>
      </c>
      <c r="N201" s="42" t="inlineStr">
        <is>
          <t>5. Drip Irrigation systems</t>
        </is>
      </c>
      <c r="O201" s="42" t="inlineStr">
        <is>
          <t>Alberoni University</t>
        </is>
      </c>
      <c r="P201" s="42" t="inlineStr"/>
      <c r="Q201" s="43" t="n">
        <v>4250</v>
      </c>
      <c r="R201" s="35" t="inlineStr">
        <is>
          <t>IF(AO201="","",AO201)</t>
        </is>
      </c>
      <c r="S201" s="44" t="n">
        <v>46376</v>
      </c>
      <c r="T201" s="45" t="n">
        <v>6.3</v>
      </c>
      <c r="U201" s="44" t="n">
        <v>46568</v>
      </c>
      <c r="V201" s="35" t="inlineStr">
        <is>
          <t>IF(U201&lt;&gt;"",U201,IF(OR(R201="",T201=""),"",EDATE(R201,T201)))</t>
        </is>
      </c>
      <c r="W201" s="44" t="n"/>
      <c r="X201" s="45" t="n"/>
      <c r="Y201" s="42" t="inlineStr">
        <is>
          <t>Retendered (Re-ITB)</t>
        </is>
      </c>
      <c r="Z201" s="42" t="inlineStr">
        <is>
          <t>Slack period from mid December to March 2026. Four months construction period.'''- | Farmer: Alberoni University</t>
        </is>
      </c>
      <c r="AA201" s="32" t="inlineStr">
        <is>
          <t>IF(E201="","",IF(COUNT(AG201:AT201)=0,IF(Y201="","Not started",Y201),SUBSTITUTE(LOOKUP(2,1/(AG201:AT201&lt;&gt;""),$AG$3:$AT$3),"Date: ","")))</t>
        </is>
      </c>
      <c r="AB201" s="38" t="inlineStr">
        <is>
          <t>IF(OR(E201="",COUNT(AG201:AT201)=0),"",TODAY()-LOOKUP(2,1/(AG201:AT201&lt;&gt;""),AG201:AT201))</t>
        </is>
      </c>
      <c r="AC201" s="38" t="inlineStr">
        <is>
          <t>IF(OR(E201="",COUNT(AG201:AT201)&lt;2),"",LOOKUP(2,1/(AG201:AT201&lt;&gt;""),AG201:AT201)-MIN(AG201:AT201))</t>
        </is>
      </c>
      <c r="AD201" s="38" t="inlineStr">
        <is>
          <t>IF(OR(AB201="",AA201="Not started",AA201=""),"",IFERROR(AB201-IF(VLOOKUP(AA201,'04_Status_Pipeline'!$B$3:$E$20,4,FALSE)="",0,VLOOKUP(AA201,'04_Status_Pipeline'!$B$3:$E$20,4,FALSE)),""))</t>
        </is>
      </c>
      <c r="AE201" s="32" t="inlineStr">
        <is>
          <t>IF(E201="","",IF(OR(Y201="Cancelled",AA201="Cancelled"),"Cancelled",IF(OR(AA201="Completed / Handover",W201&lt;&gt;"",X201&gt;=100),"Completed — on track",IF(L201="Remaining",IF(S201="",IF(V201="","No planned date",IF(TODAY()&gt;V201,"Behind — past planned date",IF(V201-TODAY()&lt;=30,"At risk — close to off track","On track"))),IF(TODAY()&gt;S201,"Behind — award date passed",IF(S201-TODAY()&lt;=30,"At risk — close to off track","On track"))),IF(V201="","No planned date",IF(AND(TODAY()&gt;V201,OR(X201="",X201&lt;100)),"Behind — past end date",IF(AND(R201&lt;&gt;"",V201&lt;&gt;"",X201&lt;&gt;"",(X201&lt;100),((TODAY()-R201)/MAX(V201-R201,1)*100)-X201&gt;15),"Behind — progress lag",IF(AND(V201-TODAY()&lt;=30,V201-TODAY()&gt;=0,OR(X201="",X201&lt;90)),"At risk — close to off track","On track"))))))))</t>
        </is>
      </c>
      <c r="AF201" s="38" t="inlineStr">
        <is>
          <t>IF(OR(E201="",AA201="Completed / Handover",AA201="Cancelled"),"",IF(L201="Remaining",IF(S201&lt;&gt;"",S201-TODAY(),IF(V201="","",V201-TODAY())),IF(V201="","",V201-TODAY())))</t>
        </is>
      </c>
      <c r="AG201" s="44" t="n"/>
      <c r="AH201" s="44" t="n"/>
      <c r="AI201" s="44" t="n"/>
      <c r="AJ201" s="44" t="n"/>
      <c r="AK201" s="44" t="n"/>
      <c r="AL201" s="44" t="n"/>
      <c r="AM201" s="44" t="n"/>
      <c r="AN201" s="44" t="n"/>
      <c r="AO201" s="44" t="n"/>
      <c r="AP201" s="44" t="n"/>
      <c r="AQ201" s="44" t="n"/>
      <c r="AR201" s="40" t="n"/>
      <c r="AS201" s="40" t="n"/>
      <c r="AT201" s="40" t="n"/>
      <c r="AU201" s="38" t="inlineStr">
        <is>
          <t>IF(OR(E201="",AH201=""),"",IF(COUNT(AG201:AG201)=0,"",AH201-LOOKUP(2,1/(AG201:AG201&lt;&gt;""),AG201:AG201)))</t>
        </is>
      </c>
      <c r="AV201" s="38" t="inlineStr">
        <is>
          <t>IF(OR(E201="",AI201=""),"",IF(COUNT(AG201:AH201)=0,"",AI201-LOOKUP(2,1/(AG201:AH201&lt;&gt;""),AG201:AH201)))</t>
        </is>
      </c>
      <c r="AW201" s="38" t="inlineStr">
        <is>
          <t>IF(OR(E201="",AJ201=""),"",IF(COUNT(AG201:AI201)=0,"",AJ201-LOOKUP(2,1/(AG201:AI201&lt;&gt;""),AG201:AI201)))</t>
        </is>
      </c>
      <c r="AX201" s="38" t="inlineStr">
        <is>
          <t>IF(OR(E201="",AK201=""),"",IF(COUNT(AG201:AJ201)=0,"",AK201-LOOKUP(2,1/(AG201:AJ201&lt;&gt;""),AG201:AJ201)))</t>
        </is>
      </c>
      <c r="AY201" s="38" t="inlineStr">
        <is>
          <t>IF(OR(E201="",AL201=""),"",IF(COUNT(AG201:AK201)=0,"",AL201-LOOKUP(2,1/(AG201:AK201&lt;&gt;""),AG201:AK201)))</t>
        </is>
      </c>
      <c r="AZ201" s="38" t="inlineStr">
        <is>
          <t>IF(OR(E201="",AM201=""),"",IF(COUNT(AG201:AL201)=0,"",AM201-LOOKUP(2,1/(AG201:AL201&lt;&gt;""),AG201:AL201)))</t>
        </is>
      </c>
      <c r="BA201" s="38" t="inlineStr">
        <is>
          <t>IF(OR(E201="",AN201=""),"",IF(COUNT(AG201:AM201)=0,"",AN201-LOOKUP(2,1/(AG201:AM201&lt;&gt;""),AG201:AM201)))</t>
        </is>
      </c>
      <c r="BB201" s="38" t="inlineStr">
        <is>
          <t>IF(OR(E201="",AO201=""),"",IF(COUNT(AG201:AN201)=0,"",AO201-LOOKUP(2,1/(AG201:AN201&lt;&gt;""),AG201:AN201)))</t>
        </is>
      </c>
      <c r="BC201" s="38" t="inlineStr">
        <is>
          <t>IF(OR(E201="",AP201=""),"",IF(COUNT(AG201:AO201)=0,"",AP201-LOOKUP(2,1/(AG201:AO201&lt;&gt;""),AG201:AO201)))</t>
        </is>
      </c>
      <c r="BD201" s="38" t="inlineStr">
        <is>
          <t>IF(OR(E201="",AQ201=""),"",IF(COUNT(AG201:AP201)=0,"",AQ201-LOOKUP(2,1/(AG201:AP201&lt;&gt;""),AG201:AP201)))</t>
        </is>
      </c>
      <c r="BE201" s="38" t="inlineStr">
        <is>
          <t>IF(OR(E201="",AR201=""),"",IF(COUNT(AG201:AQ201)=0,"",AR201-LOOKUP(2,1/(AG201:AQ201&lt;&gt;""),AG201:AQ201)))</t>
        </is>
      </c>
      <c r="BF201" s="38" t="inlineStr">
        <is>
          <t>IF(OR(E201="",AS201=""),"",IF(COUNT(AG201:AR201)=0,"",AS201-LOOKUP(2,1/(AG201:AR201&lt;&gt;""),AG201:AR201)))</t>
        </is>
      </c>
      <c r="BG201" s="38" t="inlineStr">
        <is>
          <t>IF(OR(E201="",AT201=""),"",IF(COUNT(AG201:AS201)=0,"",AT201-LOOKUP(2,1/(AG201:AS201&lt;&gt;""),AG201:AS201)))</t>
        </is>
      </c>
      <c r="BH201" s="41" t="inlineStr">
        <is>
          <t>IF(G201="","All_Provinces",IFERROR(VLOOKUP(G201,'07_Lookups'!$A$4:$B$20,2,FALSE),"All_Provinces"))</t>
        </is>
      </c>
      <c r="BI201" s="41" t="inlineStr">
        <is>
          <t>IF(H201="","All_Districts",IFERROR(VLOOKUP(H201,'07_Lookups'!$E$4:$F$42,2,FALSE),"All_Districts"))</t>
        </is>
      </c>
    </row>
    <row r="202" ht="18" customHeight="1">
      <c r="A202" s="32" t="inlineStr">
        <is>
          <t>IF(E202="","",ROW()-3)</t>
        </is>
      </c>
      <c r="B202" s="33" t="inlineStr">
        <is>
          <t>AF2-DIS-R-039</t>
        </is>
      </c>
      <c r="C202" s="33" t="inlineStr">
        <is>
          <t>Emergency Food Security Project (EFSP) – WBK/AF-2</t>
        </is>
      </c>
      <c r="D202" s="33" t="inlineStr">
        <is>
          <t>Package #3-WBK/AF2 DIS: Demonstration of 14 Drip irrigation schemes at 13 district sites of 1. Parwan, 2. Kabul, 3. Wardak and 4. Kapisa provinces.</t>
        </is>
      </c>
      <c r="E202" s="33" t="inlineStr">
        <is>
          <t>Nizam Khil Drip irrigation schemes</t>
        </is>
      </c>
      <c r="F202" s="33" t="inlineStr">
        <is>
          <t>Drip Irrigation</t>
        </is>
      </c>
      <c r="G202" s="33" t="inlineStr">
        <is>
          <t>Central / Kabul</t>
        </is>
      </c>
      <c r="H202" s="33" t="inlineStr">
        <is>
          <t>Kapisa</t>
        </is>
      </c>
      <c r="I202" s="33" t="inlineStr">
        <is>
          <t>Tagab</t>
        </is>
      </c>
      <c r="J202" s="33" t="inlineStr">
        <is>
          <t>Nizam khil</t>
        </is>
      </c>
      <c r="K202" s="33" t="inlineStr">
        <is>
          <t>World Bank (WBK/AF-2)</t>
        </is>
      </c>
      <c r="L202" s="33" t="inlineStr">
        <is>
          <t>Remaining</t>
        </is>
      </c>
      <c r="M202" s="33" t="inlineStr">
        <is>
          <t>Drip irrigation</t>
        </is>
      </c>
      <c r="N202" s="33" t="inlineStr">
        <is>
          <t>5. Drip Irrigation systems</t>
        </is>
      </c>
      <c r="O202" s="33" t="inlineStr">
        <is>
          <t>Najeebullah</t>
        </is>
      </c>
      <c r="P202" s="33" t="inlineStr"/>
      <c r="Q202" s="34" t="n">
        <v>4250</v>
      </c>
      <c r="R202" s="35" t="inlineStr">
        <is>
          <t>IF(AO202="","",AO202)</t>
        </is>
      </c>
      <c r="S202" s="36" t="n">
        <v>46376</v>
      </c>
      <c r="T202" s="37" t="n">
        <v>6.3</v>
      </c>
      <c r="U202" s="36" t="n">
        <v>46568</v>
      </c>
      <c r="V202" s="35" t="inlineStr">
        <is>
          <t>IF(U202&lt;&gt;"",U202,IF(OR(R202="",T202=""),"",EDATE(R202,T202)))</t>
        </is>
      </c>
      <c r="W202" s="36" t="n"/>
      <c r="X202" s="37" t="n"/>
      <c r="Y202" s="33" t="inlineStr">
        <is>
          <t>Retendered (Re-ITB)</t>
        </is>
      </c>
      <c r="Z202" s="33" t="inlineStr">
        <is>
          <t>Slack period from mid December to March 2026. Four months construction period.'''- | Farmer: Najeebullah</t>
        </is>
      </c>
      <c r="AA202" s="32" t="inlineStr">
        <is>
          <t>IF(E202="","",IF(COUNT(AG202:AT202)=0,IF(Y202="","Not started",Y202),SUBSTITUTE(LOOKUP(2,1/(AG202:AT202&lt;&gt;""),$AG$3:$AT$3),"Date: ","")))</t>
        </is>
      </c>
      <c r="AB202" s="38" t="inlineStr">
        <is>
          <t>IF(OR(E202="",COUNT(AG202:AT202)=0),"",TODAY()-LOOKUP(2,1/(AG202:AT202&lt;&gt;""),AG202:AT202))</t>
        </is>
      </c>
      <c r="AC202" s="38" t="inlineStr">
        <is>
          <t>IF(OR(E202="",COUNT(AG202:AT202)&lt;2),"",LOOKUP(2,1/(AG202:AT202&lt;&gt;""),AG202:AT202)-MIN(AG202:AT202))</t>
        </is>
      </c>
      <c r="AD202" s="38" t="inlineStr">
        <is>
          <t>IF(OR(AB202="",AA202="Not started",AA202=""),"",IFERROR(AB202-IF(VLOOKUP(AA202,'04_Status_Pipeline'!$B$3:$E$20,4,FALSE)="",0,VLOOKUP(AA202,'04_Status_Pipeline'!$B$3:$E$20,4,FALSE)),""))</t>
        </is>
      </c>
      <c r="AE202" s="32" t="inlineStr">
        <is>
          <t>IF(E202="","",IF(OR(Y202="Cancelled",AA202="Cancelled"),"Cancelled",IF(OR(AA202="Completed / Handover",W202&lt;&gt;"",X202&gt;=100),"Completed — on track",IF(L202="Remaining",IF(S202="",IF(V202="","No planned date",IF(TODAY()&gt;V202,"Behind — past planned date",IF(V202-TODAY()&lt;=30,"At risk — close to off track","On track"))),IF(TODAY()&gt;S202,"Behind — award date passed",IF(S202-TODAY()&lt;=30,"At risk — close to off track","On track"))),IF(V202="","No planned date",IF(AND(TODAY()&gt;V202,OR(X202="",X202&lt;100)),"Behind — past end date",IF(AND(R202&lt;&gt;"",V202&lt;&gt;"",X202&lt;&gt;"",(X202&lt;100),((TODAY()-R202)/MAX(V202-R202,1)*100)-X202&gt;15),"Behind — progress lag",IF(AND(V202-TODAY()&lt;=30,V202-TODAY()&gt;=0,OR(X202="",X202&lt;90)),"At risk — close to off track","On track"))))))))</t>
        </is>
      </c>
      <c r="AF202" s="38" t="inlineStr">
        <is>
          <t>IF(OR(E202="",AA202="Completed / Handover",AA202="Cancelled"),"",IF(L202="Remaining",IF(S202&lt;&gt;"",S202-TODAY(),IF(V202="","",V202-TODAY())),IF(V202="","",V202-TODAY())))</t>
        </is>
      </c>
      <c r="AG202" s="36" t="n"/>
      <c r="AH202" s="36" t="n"/>
      <c r="AI202" s="36" t="n"/>
      <c r="AJ202" s="36" t="n"/>
      <c r="AK202" s="36" t="n"/>
      <c r="AL202" s="36" t="n"/>
      <c r="AM202" s="36" t="n"/>
      <c r="AN202" s="36" t="n"/>
      <c r="AO202" s="36" t="n"/>
      <c r="AP202" s="36" t="n"/>
      <c r="AQ202" s="36" t="n"/>
      <c r="AR202" s="40" t="n"/>
      <c r="AS202" s="40" t="n"/>
      <c r="AT202" s="40" t="n"/>
      <c r="AU202" s="38" t="inlineStr">
        <is>
          <t>IF(OR(E202="",AH202=""),"",IF(COUNT(AG202:AG202)=0,"",AH202-LOOKUP(2,1/(AG202:AG202&lt;&gt;""),AG202:AG202)))</t>
        </is>
      </c>
      <c r="AV202" s="38" t="inlineStr">
        <is>
          <t>IF(OR(E202="",AI202=""),"",IF(COUNT(AG202:AH202)=0,"",AI202-LOOKUP(2,1/(AG202:AH202&lt;&gt;""),AG202:AH202)))</t>
        </is>
      </c>
      <c r="AW202" s="38" t="inlineStr">
        <is>
          <t>IF(OR(E202="",AJ202=""),"",IF(COUNT(AG202:AI202)=0,"",AJ202-LOOKUP(2,1/(AG202:AI202&lt;&gt;""),AG202:AI202)))</t>
        </is>
      </c>
      <c r="AX202" s="38" t="inlineStr">
        <is>
          <t>IF(OR(E202="",AK202=""),"",IF(COUNT(AG202:AJ202)=0,"",AK202-LOOKUP(2,1/(AG202:AJ202&lt;&gt;""),AG202:AJ202)))</t>
        </is>
      </c>
      <c r="AY202" s="38" t="inlineStr">
        <is>
          <t>IF(OR(E202="",AL202=""),"",IF(COUNT(AG202:AK202)=0,"",AL202-LOOKUP(2,1/(AG202:AK202&lt;&gt;""),AG202:AK202)))</t>
        </is>
      </c>
      <c r="AZ202" s="38" t="inlineStr">
        <is>
          <t>IF(OR(E202="",AM202=""),"",IF(COUNT(AG202:AL202)=0,"",AM202-LOOKUP(2,1/(AG202:AL202&lt;&gt;""),AG202:AL202)))</t>
        </is>
      </c>
      <c r="BA202" s="38" t="inlineStr">
        <is>
          <t>IF(OR(E202="",AN202=""),"",IF(COUNT(AG202:AM202)=0,"",AN202-LOOKUP(2,1/(AG202:AM202&lt;&gt;""),AG202:AM202)))</t>
        </is>
      </c>
      <c r="BB202" s="38" t="inlineStr">
        <is>
          <t>IF(OR(E202="",AO202=""),"",IF(COUNT(AG202:AN202)=0,"",AO202-LOOKUP(2,1/(AG202:AN202&lt;&gt;""),AG202:AN202)))</t>
        </is>
      </c>
      <c r="BC202" s="38" t="inlineStr">
        <is>
          <t>IF(OR(E202="",AP202=""),"",IF(COUNT(AG202:AO202)=0,"",AP202-LOOKUP(2,1/(AG202:AO202&lt;&gt;""),AG202:AO202)))</t>
        </is>
      </c>
      <c r="BD202" s="38" t="inlineStr">
        <is>
          <t>IF(OR(E202="",AQ202=""),"",IF(COUNT(AG202:AP202)=0,"",AQ202-LOOKUP(2,1/(AG202:AP202&lt;&gt;""),AG202:AP202)))</t>
        </is>
      </c>
      <c r="BE202" s="38" t="inlineStr">
        <is>
          <t>IF(OR(E202="",AR202=""),"",IF(COUNT(AG202:AQ202)=0,"",AR202-LOOKUP(2,1/(AG202:AQ202&lt;&gt;""),AG202:AQ202)))</t>
        </is>
      </c>
      <c r="BF202" s="38" t="inlineStr">
        <is>
          <t>IF(OR(E202="",AS202=""),"",IF(COUNT(AG202:AR202)=0,"",AS202-LOOKUP(2,1/(AG202:AR202&lt;&gt;""),AG202:AR202)))</t>
        </is>
      </c>
      <c r="BG202" s="38" t="inlineStr">
        <is>
          <t>IF(OR(E202="",AT202=""),"",IF(COUNT(AG202:AS202)=0,"",AT202-LOOKUP(2,1/(AG202:AS202&lt;&gt;""),AG202:AS202)))</t>
        </is>
      </c>
      <c r="BH202" s="41" t="inlineStr">
        <is>
          <t>IF(G202="","All_Provinces",IFERROR(VLOOKUP(G202,'07_Lookups'!$A$4:$B$20,2,FALSE),"All_Provinces"))</t>
        </is>
      </c>
      <c r="BI202" s="41" t="inlineStr">
        <is>
          <t>IF(H202="","All_Districts",IFERROR(VLOOKUP(H202,'07_Lookups'!$E$4:$F$42,2,FALSE),"All_Districts"))</t>
        </is>
      </c>
    </row>
    <row r="203" ht="18" customHeight="1">
      <c r="A203" s="32" t="inlineStr">
        <is>
          <t>IF(E203="","",ROW()-3)</t>
        </is>
      </c>
      <c r="B203" s="42" t="inlineStr">
        <is>
          <t>AF2-DIS-R-040</t>
        </is>
      </c>
      <c r="C203" s="42" t="inlineStr">
        <is>
          <t>Emergency Food Security Project (EFSP) – WBK/AF-2</t>
        </is>
      </c>
      <c r="D203" s="42" t="inlineStr">
        <is>
          <t>Package #3-WBK/AF2 DIS: Demonstration of 14 Drip irrigation schemes at 13 district sites of 1. Parwan, 2. Kabul, 3. Wardak and 4. Kapisa provinces.</t>
        </is>
      </c>
      <c r="E203" s="42" t="inlineStr">
        <is>
          <t>Reg-e-Rawan Drip irrigation schemes</t>
        </is>
      </c>
      <c r="F203" s="42" t="inlineStr">
        <is>
          <t>Drip Irrigation</t>
        </is>
      </c>
      <c r="G203" s="42" t="inlineStr">
        <is>
          <t>Central / Kabul</t>
        </is>
      </c>
      <c r="H203" s="42" t="inlineStr">
        <is>
          <t>Kapisa</t>
        </is>
      </c>
      <c r="I203" s="42" t="inlineStr">
        <is>
          <t>Mahmood Raqi</t>
        </is>
      </c>
      <c r="J203" s="42" t="inlineStr">
        <is>
          <t>Reg-e-Rawan</t>
        </is>
      </c>
      <c r="K203" s="42" t="inlineStr">
        <is>
          <t>World Bank (WBK/AF-2)</t>
        </is>
      </c>
      <c r="L203" s="42" t="inlineStr">
        <is>
          <t>Remaining</t>
        </is>
      </c>
      <c r="M203" s="42" t="inlineStr">
        <is>
          <t>Drip irrigation</t>
        </is>
      </c>
      <c r="N203" s="42" t="inlineStr">
        <is>
          <t>5. Drip Irrigation systems</t>
        </is>
      </c>
      <c r="O203" s="42" t="inlineStr">
        <is>
          <t>Reg-e-Rawa park</t>
        </is>
      </c>
      <c r="P203" s="42" t="inlineStr"/>
      <c r="Q203" s="43" t="n">
        <v>8500</v>
      </c>
      <c r="R203" s="35" t="inlineStr">
        <is>
          <t>IF(AO203="","",AO203)</t>
        </is>
      </c>
      <c r="S203" s="44" t="n">
        <v>46376</v>
      </c>
      <c r="T203" s="45" t="n">
        <v>6.3</v>
      </c>
      <c r="U203" s="44" t="n">
        <v>46568</v>
      </c>
      <c r="V203" s="35" t="inlineStr">
        <is>
          <t>IF(U203&lt;&gt;"",U203,IF(OR(R203="",T203=""),"",EDATE(R203,T203)))</t>
        </is>
      </c>
      <c r="W203" s="44" t="n"/>
      <c r="X203" s="45" t="n"/>
      <c r="Y203" s="42" t="inlineStr">
        <is>
          <t>Retendered (Re-ITB)</t>
        </is>
      </c>
      <c r="Z203" s="42" t="inlineStr">
        <is>
          <t>Slack period from mid December to March 2026. Four months construction period.'''- | Farmer: Reg-e-Rawa park</t>
        </is>
      </c>
      <c r="AA203" s="32" t="inlineStr">
        <is>
          <t>IF(E203="","",IF(COUNT(AG203:AT203)=0,IF(Y203="","Not started",Y203),SUBSTITUTE(LOOKUP(2,1/(AG203:AT203&lt;&gt;""),$AG$3:$AT$3),"Date: ","")))</t>
        </is>
      </c>
      <c r="AB203" s="38" t="inlineStr">
        <is>
          <t>IF(OR(E203="",COUNT(AG203:AT203)=0),"",TODAY()-LOOKUP(2,1/(AG203:AT203&lt;&gt;""),AG203:AT203))</t>
        </is>
      </c>
      <c r="AC203" s="38" t="inlineStr">
        <is>
          <t>IF(OR(E203="",COUNT(AG203:AT203)&lt;2),"",LOOKUP(2,1/(AG203:AT203&lt;&gt;""),AG203:AT203)-MIN(AG203:AT203))</t>
        </is>
      </c>
      <c r="AD203" s="38" t="inlineStr">
        <is>
          <t>IF(OR(AB203="",AA203="Not started",AA203=""),"",IFERROR(AB203-IF(VLOOKUP(AA203,'04_Status_Pipeline'!$B$3:$E$20,4,FALSE)="",0,VLOOKUP(AA203,'04_Status_Pipeline'!$B$3:$E$20,4,FALSE)),""))</t>
        </is>
      </c>
      <c r="AE203" s="32" t="inlineStr">
        <is>
          <t>IF(E203="","",IF(OR(Y203="Cancelled",AA203="Cancelled"),"Cancelled",IF(OR(AA203="Completed / Handover",W203&lt;&gt;"",X203&gt;=100),"Completed — on track",IF(L203="Remaining",IF(S203="",IF(V203="","No planned date",IF(TODAY()&gt;V203,"Behind — past planned date",IF(V203-TODAY()&lt;=30,"At risk — close to off track","On track"))),IF(TODAY()&gt;S203,"Behind — award date passed",IF(S203-TODAY()&lt;=30,"At risk — close to off track","On track"))),IF(V203="","No planned date",IF(AND(TODAY()&gt;V203,OR(X203="",X203&lt;100)),"Behind — past end date",IF(AND(R203&lt;&gt;"",V203&lt;&gt;"",X203&lt;&gt;"",(X203&lt;100),((TODAY()-R203)/MAX(V203-R203,1)*100)-X203&gt;15),"Behind — progress lag",IF(AND(V203-TODAY()&lt;=30,V203-TODAY()&gt;=0,OR(X203="",X203&lt;90)),"At risk — close to off track","On track"))))))))</t>
        </is>
      </c>
      <c r="AF203" s="38" t="inlineStr">
        <is>
          <t>IF(OR(E203="",AA203="Completed / Handover",AA203="Cancelled"),"",IF(L203="Remaining",IF(S203&lt;&gt;"",S203-TODAY(),IF(V203="","",V203-TODAY())),IF(V203="","",V203-TODAY())))</t>
        </is>
      </c>
      <c r="AG203" s="44" t="n"/>
      <c r="AH203" s="44" t="n"/>
      <c r="AI203" s="44" t="n"/>
      <c r="AJ203" s="44" t="n"/>
      <c r="AK203" s="44" t="n"/>
      <c r="AL203" s="44" t="n"/>
      <c r="AM203" s="44" t="n"/>
      <c r="AN203" s="44" t="n"/>
      <c r="AO203" s="44" t="n"/>
      <c r="AP203" s="44" t="n"/>
      <c r="AQ203" s="44" t="n"/>
      <c r="AR203" s="40" t="n"/>
      <c r="AS203" s="40" t="n"/>
      <c r="AT203" s="40" t="n"/>
      <c r="AU203" s="38" t="inlineStr">
        <is>
          <t>IF(OR(E203="",AH203=""),"",IF(COUNT(AG203:AG203)=0,"",AH203-LOOKUP(2,1/(AG203:AG203&lt;&gt;""),AG203:AG203)))</t>
        </is>
      </c>
      <c r="AV203" s="38" t="inlineStr">
        <is>
          <t>IF(OR(E203="",AI203=""),"",IF(COUNT(AG203:AH203)=0,"",AI203-LOOKUP(2,1/(AG203:AH203&lt;&gt;""),AG203:AH203)))</t>
        </is>
      </c>
      <c r="AW203" s="38" t="inlineStr">
        <is>
          <t>IF(OR(E203="",AJ203=""),"",IF(COUNT(AG203:AI203)=0,"",AJ203-LOOKUP(2,1/(AG203:AI203&lt;&gt;""),AG203:AI203)))</t>
        </is>
      </c>
      <c r="AX203" s="38" t="inlineStr">
        <is>
          <t>IF(OR(E203="",AK203=""),"",IF(COUNT(AG203:AJ203)=0,"",AK203-LOOKUP(2,1/(AG203:AJ203&lt;&gt;""),AG203:AJ203)))</t>
        </is>
      </c>
      <c r="AY203" s="38" t="inlineStr">
        <is>
          <t>IF(OR(E203="",AL203=""),"",IF(COUNT(AG203:AK203)=0,"",AL203-LOOKUP(2,1/(AG203:AK203&lt;&gt;""),AG203:AK203)))</t>
        </is>
      </c>
      <c r="AZ203" s="38" t="inlineStr">
        <is>
          <t>IF(OR(E203="",AM203=""),"",IF(COUNT(AG203:AL203)=0,"",AM203-LOOKUP(2,1/(AG203:AL203&lt;&gt;""),AG203:AL203)))</t>
        </is>
      </c>
      <c r="BA203" s="38" t="inlineStr">
        <is>
          <t>IF(OR(E203="",AN203=""),"",IF(COUNT(AG203:AM203)=0,"",AN203-LOOKUP(2,1/(AG203:AM203&lt;&gt;""),AG203:AM203)))</t>
        </is>
      </c>
      <c r="BB203" s="38" t="inlineStr">
        <is>
          <t>IF(OR(E203="",AO203=""),"",IF(COUNT(AG203:AN203)=0,"",AO203-LOOKUP(2,1/(AG203:AN203&lt;&gt;""),AG203:AN203)))</t>
        </is>
      </c>
      <c r="BC203" s="38" t="inlineStr">
        <is>
          <t>IF(OR(E203="",AP203=""),"",IF(COUNT(AG203:AO203)=0,"",AP203-LOOKUP(2,1/(AG203:AO203&lt;&gt;""),AG203:AO203)))</t>
        </is>
      </c>
      <c r="BD203" s="38" t="inlineStr">
        <is>
          <t>IF(OR(E203="",AQ203=""),"",IF(COUNT(AG203:AP203)=0,"",AQ203-LOOKUP(2,1/(AG203:AP203&lt;&gt;""),AG203:AP203)))</t>
        </is>
      </c>
      <c r="BE203" s="38" t="inlineStr">
        <is>
          <t>IF(OR(E203="",AR203=""),"",IF(COUNT(AG203:AQ203)=0,"",AR203-LOOKUP(2,1/(AG203:AQ203&lt;&gt;""),AG203:AQ203)))</t>
        </is>
      </c>
      <c r="BF203" s="38" t="inlineStr">
        <is>
          <t>IF(OR(E203="",AS203=""),"",IF(COUNT(AG203:AR203)=0,"",AS203-LOOKUP(2,1/(AG203:AR203&lt;&gt;""),AG203:AR203)))</t>
        </is>
      </c>
      <c r="BG203" s="38" t="inlineStr">
        <is>
          <t>IF(OR(E203="",AT203=""),"",IF(COUNT(AG203:AS203)=0,"",AT203-LOOKUP(2,1/(AG203:AS203&lt;&gt;""),AG203:AS203)))</t>
        </is>
      </c>
      <c r="BH203" s="41" t="inlineStr">
        <is>
          <t>IF(G203="","All_Provinces",IFERROR(VLOOKUP(G203,'07_Lookups'!$A$4:$B$20,2,FALSE),"All_Provinces"))</t>
        </is>
      </c>
      <c r="BI203" s="41" t="inlineStr">
        <is>
          <t>IF(H203="","All_Districts",IFERROR(VLOOKUP(H203,'07_Lookups'!$E$4:$F$42,2,FALSE),"All_Districts"))</t>
        </is>
      </c>
    </row>
    <row r="204" ht="18" customHeight="1">
      <c r="A204" s="32" t="inlineStr">
        <is>
          <t>IF(E204="","",ROW()-3)</t>
        </is>
      </c>
      <c r="B204" s="33" t="inlineStr">
        <is>
          <t>AF2-DIS-R-041</t>
        </is>
      </c>
      <c r="C204" s="33" t="inlineStr">
        <is>
          <t>Emergency Food Security Project (EFSP) – WBK/AF-2</t>
        </is>
      </c>
      <c r="D204" s="33" t="inlineStr">
        <is>
          <t>Package #4-WBK/AF2 DIS: Demonstration of 12 Drip irrigation schemes at 4 district sites of 1. Miramor, 2. Shahristan, 3.Nilli, and 4.Sayghan in Daykundi and Bamyan provinces</t>
        </is>
      </c>
      <c r="E204" s="33" t="inlineStr">
        <is>
          <t>Deraw drip Irrigation Systen</t>
        </is>
      </c>
      <c r="F204" s="33" t="inlineStr">
        <is>
          <t>Drip Irrigation</t>
        </is>
      </c>
      <c r="G204" s="33" t="inlineStr">
        <is>
          <t>Central Highland / Bamyan</t>
        </is>
      </c>
      <c r="H204" s="33" t="inlineStr">
        <is>
          <t>Daykundi</t>
        </is>
      </c>
      <c r="I204" s="33" t="inlineStr">
        <is>
          <t>Miramor</t>
        </is>
      </c>
      <c r="J204" s="33" t="inlineStr">
        <is>
          <t>Deraw</t>
        </is>
      </c>
      <c r="K204" s="33" t="inlineStr">
        <is>
          <t>World Bank (WBK/AF-2)</t>
        </is>
      </c>
      <c r="L204" s="33" t="inlineStr">
        <is>
          <t>Remaining</t>
        </is>
      </c>
      <c r="M204" s="33" t="inlineStr">
        <is>
          <t>Drip irrigation</t>
        </is>
      </c>
      <c r="N204" s="33" t="inlineStr">
        <is>
          <t>5. Drip Irrigation systems</t>
        </is>
      </c>
      <c r="O204" s="33" t="inlineStr">
        <is>
          <t>Mohammad Arif</t>
        </is>
      </c>
      <c r="P204" s="33" t="inlineStr"/>
      <c r="Q204" s="34" t="n">
        <v>6011.99</v>
      </c>
      <c r="R204" s="35" t="inlineStr">
        <is>
          <t>IF(AO204="","",AO204)</t>
        </is>
      </c>
      <c r="S204" s="36" t="n">
        <v>46376</v>
      </c>
      <c r="T204" s="37" t="n">
        <v>6.2</v>
      </c>
      <c r="U204" s="36" t="n">
        <v>46566</v>
      </c>
      <c r="V204" s="35" t="inlineStr">
        <is>
          <t>IF(U204&lt;&gt;"",U204,IF(OR(R204="",T204=""),"",EDATE(R204,T204)))</t>
        </is>
      </c>
      <c r="W204" s="36" t="n"/>
      <c r="X204" s="37" t="n"/>
      <c r="Y204" s="33" t="inlineStr">
        <is>
          <t>Retendered (Re-ITB)</t>
        </is>
      </c>
      <c r="Z204" s="33" t="inlineStr">
        <is>
          <t>Slack period up to end March. Four months construction period starting from April 2026. | Farmer: Mohammad Arif</t>
        </is>
      </c>
      <c r="AA204" s="32" t="inlineStr">
        <is>
          <t>IF(E204="","",IF(COUNT(AG204:AT204)=0,IF(Y204="","Not started",Y204),SUBSTITUTE(LOOKUP(2,1/(AG204:AT204&lt;&gt;""),$AG$3:$AT$3),"Date: ","")))</t>
        </is>
      </c>
      <c r="AB204" s="38" t="inlineStr">
        <is>
          <t>IF(OR(E204="",COUNT(AG204:AT204)=0),"",TODAY()-LOOKUP(2,1/(AG204:AT204&lt;&gt;""),AG204:AT204))</t>
        </is>
      </c>
      <c r="AC204" s="38" t="inlineStr">
        <is>
          <t>IF(OR(E204="",COUNT(AG204:AT204)&lt;2),"",LOOKUP(2,1/(AG204:AT204&lt;&gt;""),AG204:AT204)-MIN(AG204:AT204))</t>
        </is>
      </c>
      <c r="AD204" s="38" t="inlineStr">
        <is>
          <t>IF(OR(AB204="",AA204="Not started",AA204=""),"",IFERROR(AB204-IF(VLOOKUP(AA204,'04_Status_Pipeline'!$B$3:$E$20,4,FALSE)="",0,VLOOKUP(AA204,'04_Status_Pipeline'!$B$3:$E$20,4,FALSE)),""))</t>
        </is>
      </c>
      <c r="AE204" s="32" t="inlineStr">
        <is>
          <t>IF(E204="","",IF(OR(Y204="Cancelled",AA204="Cancelled"),"Cancelled",IF(OR(AA204="Completed / Handover",W204&lt;&gt;"",X204&gt;=100),"Completed — on track",IF(L204="Remaining",IF(S204="",IF(V204="","No planned date",IF(TODAY()&gt;V204,"Behind — past planned date",IF(V204-TODAY()&lt;=30,"At risk — close to off track","On track"))),IF(TODAY()&gt;S204,"Behind — award date passed",IF(S204-TODAY()&lt;=30,"At risk — close to off track","On track"))),IF(V204="","No planned date",IF(AND(TODAY()&gt;V204,OR(X204="",X204&lt;100)),"Behind — past end date",IF(AND(R204&lt;&gt;"",V204&lt;&gt;"",X204&lt;&gt;"",(X204&lt;100),((TODAY()-R204)/MAX(V204-R204,1)*100)-X204&gt;15),"Behind — progress lag",IF(AND(V204-TODAY()&lt;=30,V204-TODAY()&gt;=0,OR(X204="",X204&lt;90)),"At risk — close to off track","On track"))))))))</t>
        </is>
      </c>
      <c r="AF204" s="38" t="inlineStr">
        <is>
          <t>IF(OR(E204="",AA204="Completed / Handover",AA204="Cancelled"),"",IF(L204="Remaining",IF(S204&lt;&gt;"",S204-TODAY(),IF(V204="","",V204-TODAY())),IF(V204="","",V204-TODAY())))</t>
        </is>
      </c>
      <c r="AG204" s="36" t="n"/>
      <c r="AH204" s="36" t="n"/>
      <c r="AI204" s="36" t="n"/>
      <c r="AJ204" s="36" t="n"/>
      <c r="AK204" s="36" t="n"/>
      <c r="AL204" s="36" t="n"/>
      <c r="AM204" s="36" t="n"/>
      <c r="AN204" s="36" t="n"/>
      <c r="AO204" s="36" t="n"/>
      <c r="AP204" s="36" t="n"/>
      <c r="AQ204" s="36" t="n"/>
      <c r="AR204" s="40" t="n"/>
      <c r="AS204" s="40" t="n"/>
      <c r="AT204" s="40" t="n"/>
      <c r="AU204" s="38" t="inlineStr">
        <is>
          <t>IF(OR(E204="",AH204=""),"",IF(COUNT(AG204:AG204)=0,"",AH204-LOOKUP(2,1/(AG204:AG204&lt;&gt;""),AG204:AG204)))</t>
        </is>
      </c>
      <c r="AV204" s="38" t="inlineStr">
        <is>
          <t>IF(OR(E204="",AI204=""),"",IF(COUNT(AG204:AH204)=0,"",AI204-LOOKUP(2,1/(AG204:AH204&lt;&gt;""),AG204:AH204)))</t>
        </is>
      </c>
      <c r="AW204" s="38" t="inlineStr">
        <is>
          <t>IF(OR(E204="",AJ204=""),"",IF(COUNT(AG204:AI204)=0,"",AJ204-LOOKUP(2,1/(AG204:AI204&lt;&gt;""),AG204:AI204)))</t>
        </is>
      </c>
      <c r="AX204" s="38" t="inlineStr">
        <is>
          <t>IF(OR(E204="",AK204=""),"",IF(COUNT(AG204:AJ204)=0,"",AK204-LOOKUP(2,1/(AG204:AJ204&lt;&gt;""),AG204:AJ204)))</t>
        </is>
      </c>
      <c r="AY204" s="38" t="inlineStr">
        <is>
          <t>IF(OR(E204="",AL204=""),"",IF(COUNT(AG204:AK204)=0,"",AL204-LOOKUP(2,1/(AG204:AK204&lt;&gt;""),AG204:AK204)))</t>
        </is>
      </c>
      <c r="AZ204" s="38" t="inlineStr">
        <is>
          <t>IF(OR(E204="",AM204=""),"",IF(COUNT(AG204:AL204)=0,"",AM204-LOOKUP(2,1/(AG204:AL204&lt;&gt;""),AG204:AL204)))</t>
        </is>
      </c>
      <c r="BA204" s="38" t="inlineStr">
        <is>
          <t>IF(OR(E204="",AN204=""),"",IF(COUNT(AG204:AM204)=0,"",AN204-LOOKUP(2,1/(AG204:AM204&lt;&gt;""),AG204:AM204)))</t>
        </is>
      </c>
      <c r="BB204" s="38" t="inlineStr">
        <is>
          <t>IF(OR(E204="",AO204=""),"",IF(COUNT(AG204:AN204)=0,"",AO204-LOOKUP(2,1/(AG204:AN204&lt;&gt;""),AG204:AN204)))</t>
        </is>
      </c>
      <c r="BC204" s="38" t="inlineStr">
        <is>
          <t>IF(OR(E204="",AP204=""),"",IF(COUNT(AG204:AO204)=0,"",AP204-LOOKUP(2,1/(AG204:AO204&lt;&gt;""),AG204:AO204)))</t>
        </is>
      </c>
      <c r="BD204" s="38" t="inlineStr">
        <is>
          <t>IF(OR(E204="",AQ204=""),"",IF(COUNT(AG204:AP204)=0,"",AQ204-LOOKUP(2,1/(AG204:AP204&lt;&gt;""),AG204:AP204)))</t>
        </is>
      </c>
      <c r="BE204" s="38" t="inlineStr">
        <is>
          <t>IF(OR(E204="",AR204=""),"",IF(COUNT(AG204:AQ204)=0,"",AR204-LOOKUP(2,1/(AG204:AQ204&lt;&gt;""),AG204:AQ204)))</t>
        </is>
      </c>
      <c r="BF204" s="38" t="inlineStr">
        <is>
          <t>IF(OR(E204="",AS204=""),"",IF(COUNT(AG204:AR204)=0,"",AS204-LOOKUP(2,1/(AG204:AR204&lt;&gt;""),AG204:AR204)))</t>
        </is>
      </c>
      <c r="BG204" s="38" t="inlineStr">
        <is>
          <t>IF(OR(E204="",AT204=""),"",IF(COUNT(AG204:AS204)=0,"",AT204-LOOKUP(2,1/(AG204:AS204&lt;&gt;""),AG204:AS204)))</t>
        </is>
      </c>
      <c r="BH204" s="41" t="inlineStr">
        <is>
          <t>IF(G204="","All_Provinces",IFERROR(VLOOKUP(G204,'07_Lookups'!$A$4:$B$20,2,FALSE),"All_Provinces"))</t>
        </is>
      </c>
      <c r="BI204" s="41" t="inlineStr">
        <is>
          <t>IF(H204="","All_Districts",IFERROR(VLOOKUP(H204,'07_Lookups'!$E$4:$F$42,2,FALSE),"All_Districts"))</t>
        </is>
      </c>
    </row>
    <row r="205" ht="18" customHeight="1">
      <c r="A205" s="32" t="inlineStr">
        <is>
          <t>IF(E205="","",ROW()-3)</t>
        </is>
      </c>
      <c r="B205" s="42" t="inlineStr">
        <is>
          <t>AF2-DIS-R-042</t>
        </is>
      </c>
      <c r="C205" s="42" t="inlineStr">
        <is>
          <t>Emergency Food Security Project (EFSP) – WBK/AF-2</t>
        </is>
      </c>
      <c r="D205" s="42" t="inlineStr">
        <is>
          <t>Package #4-WBK/AF2 DIS: Demonstration of 12 Drip irrigation schemes at 4 district sites of 1. Miramor, 2. Shahristan, 3.Nilli, and 4.Sayghan in Daykundi and Bamyan provinces</t>
        </is>
      </c>
      <c r="E205" s="42" t="inlineStr">
        <is>
          <t>Sarawood Drip Irrigation System</t>
        </is>
      </c>
      <c r="F205" s="42" t="inlineStr">
        <is>
          <t>Drip Irrigation</t>
        </is>
      </c>
      <c r="G205" s="42" t="inlineStr">
        <is>
          <t>Central Highland / Bamyan</t>
        </is>
      </c>
      <c r="H205" s="42" t="inlineStr">
        <is>
          <t>Daykundi</t>
        </is>
      </c>
      <c r="I205" s="42" t="inlineStr">
        <is>
          <t>Miramor</t>
        </is>
      </c>
      <c r="J205" s="42" t="inlineStr">
        <is>
          <t>Sarawood</t>
        </is>
      </c>
      <c r="K205" s="42" t="inlineStr">
        <is>
          <t>World Bank (WBK/AF-2)</t>
        </is>
      </c>
      <c r="L205" s="42" t="inlineStr">
        <is>
          <t>Remaining</t>
        </is>
      </c>
      <c r="M205" s="42" t="inlineStr">
        <is>
          <t>Drip irrigation</t>
        </is>
      </c>
      <c r="N205" s="42" t="inlineStr">
        <is>
          <t>5. Drip Irrigation systems</t>
        </is>
      </c>
      <c r="O205" s="42" t="inlineStr">
        <is>
          <t>Sayed Hassan</t>
        </is>
      </c>
      <c r="P205" s="42" t="inlineStr"/>
      <c r="Q205" s="43" t="n">
        <v>3559.69</v>
      </c>
      <c r="R205" s="35" t="inlineStr">
        <is>
          <t>IF(AO205="","",AO205)</t>
        </is>
      </c>
      <c r="S205" s="44" t="n">
        <v>46376</v>
      </c>
      <c r="T205" s="45" t="n">
        <v>6.2</v>
      </c>
      <c r="U205" s="44" t="n">
        <v>46566</v>
      </c>
      <c r="V205" s="35" t="inlineStr">
        <is>
          <t>IF(U205&lt;&gt;"",U205,IF(OR(R205="",T205=""),"",EDATE(R205,T205)))</t>
        </is>
      </c>
      <c r="W205" s="44" t="n"/>
      <c r="X205" s="45" t="n"/>
      <c r="Y205" s="42" t="inlineStr">
        <is>
          <t>Retendered (Re-ITB)</t>
        </is>
      </c>
      <c r="Z205" s="42" t="inlineStr">
        <is>
          <t>Slack period up to end March. Four months construction period starting from April 2026. | Farmer: Sayed Hassan</t>
        </is>
      </c>
      <c r="AA205" s="32" t="inlineStr">
        <is>
          <t>IF(E205="","",IF(COUNT(AG205:AT205)=0,IF(Y205="","Not started",Y205),SUBSTITUTE(LOOKUP(2,1/(AG205:AT205&lt;&gt;""),$AG$3:$AT$3),"Date: ","")))</t>
        </is>
      </c>
      <c r="AB205" s="38" t="inlineStr">
        <is>
          <t>IF(OR(E205="",COUNT(AG205:AT205)=0),"",TODAY()-LOOKUP(2,1/(AG205:AT205&lt;&gt;""),AG205:AT205))</t>
        </is>
      </c>
      <c r="AC205" s="38" t="inlineStr">
        <is>
          <t>IF(OR(E205="",COUNT(AG205:AT205)&lt;2),"",LOOKUP(2,1/(AG205:AT205&lt;&gt;""),AG205:AT205)-MIN(AG205:AT205))</t>
        </is>
      </c>
      <c r="AD205" s="38" t="inlineStr">
        <is>
          <t>IF(OR(AB205="",AA205="Not started",AA205=""),"",IFERROR(AB205-IF(VLOOKUP(AA205,'04_Status_Pipeline'!$B$3:$E$20,4,FALSE)="",0,VLOOKUP(AA205,'04_Status_Pipeline'!$B$3:$E$20,4,FALSE)),""))</t>
        </is>
      </c>
      <c r="AE205" s="32" t="inlineStr">
        <is>
          <t>IF(E205="","",IF(OR(Y205="Cancelled",AA205="Cancelled"),"Cancelled",IF(OR(AA205="Completed / Handover",W205&lt;&gt;"",X205&gt;=100),"Completed — on track",IF(L205="Remaining",IF(S205="",IF(V205="","No planned date",IF(TODAY()&gt;V205,"Behind — past planned date",IF(V205-TODAY()&lt;=30,"At risk — close to off track","On track"))),IF(TODAY()&gt;S205,"Behind — award date passed",IF(S205-TODAY()&lt;=30,"At risk — close to off track","On track"))),IF(V205="","No planned date",IF(AND(TODAY()&gt;V205,OR(X205="",X205&lt;100)),"Behind — past end date",IF(AND(R205&lt;&gt;"",V205&lt;&gt;"",X205&lt;&gt;"",(X205&lt;100),((TODAY()-R205)/MAX(V205-R205,1)*100)-X205&gt;15),"Behind — progress lag",IF(AND(V205-TODAY()&lt;=30,V205-TODAY()&gt;=0,OR(X205="",X205&lt;90)),"At risk — close to off track","On track"))))))))</t>
        </is>
      </c>
      <c r="AF205" s="38" t="inlineStr">
        <is>
          <t>IF(OR(E205="",AA205="Completed / Handover",AA205="Cancelled"),"",IF(L205="Remaining",IF(S205&lt;&gt;"",S205-TODAY(),IF(V205="","",V205-TODAY())),IF(V205="","",V205-TODAY())))</t>
        </is>
      </c>
      <c r="AG205" s="44" t="n"/>
      <c r="AH205" s="44" t="n"/>
      <c r="AI205" s="44" t="n"/>
      <c r="AJ205" s="44" t="n"/>
      <c r="AK205" s="44" t="n"/>
      <c r="AL205" s="44" t="n"/>
      <c r="AM205" s="44" t="n"/>
      <c r="AN205" s="44" t="n"/>
      <c r="AO205" s="44" t="n"/>
      <c r="AP205" s="44" t="n"/>
      <c r="AQ205" s="44" t="n"/>
      <c r="AR205" s="40" t="n"/>
      <c r="AS205" s="40" t="n"/>
      <c r="AT205" s="40" t="n"/>
      <c r="AU205" s="38" t="inlineStr">
        <is>
          <t>IF(OR(E205="",AH205=""),"",IF(COUNT(AG205:AG205)=0,"",AH205-LOOKUP(2,1/(AG205:AG205&lt;&gt;""),AG205:AG205)))</t>
        </is>
      </c>
      <c r="AV205" s="38" t="inlineStr">
        <is>
          <t>IF(OR(E205="",AI205=""),"",IF(COUNT(AG205:AH205)=0,"",AI205-LOOKUP(2,1/(AG205:AH205&lt;&gt;""),AG205:AH205)))</t>
        </is>
      </c>
      <c r="AW205" s="38" t="inlineStr">
        <is>
          <t>IF(OR(E205="",AJ205=""),"",IF(COUNT(AG205:AI205)=0,"",AJ205-LOOKUP(2,1/(AG205:AI205&lt;&gt;""),AG205:AI205)))</t>
        </is>
      </c>
      <c r="AX205" s="38" t="inlineStr">
        <is>
          <t>IF(OR(E205="",AK205=""),"",IF(COUNT(AG205:AJ205)=0,"",AK205-LOOKUP(2,1/(AG205:AJ205&lt;&gt;""),AG205:AJ205)))</t>
        </is>
      </c>
      <c r="AY205" s="38" t="inlineStr">
        <is>
          <t>IF(OR(E205="",AL205=""),"",IF(COUNT(AG205:AK205)=0,"",AL205-LOOKUP(2,1/(AG205:AK205&lt;&gt;""),AG205:AK205)))</t>
        </is>
      </c>
      <c r="AZ205" s="38" t="inlineStr">
        <is>
          <t>IF(OR(E205="",AM205=""),"",IF(COUNT(AG205:AL205)=0,"",AM205-LOOKUP(2,1/(AG205:AL205&lt;&gt;""),AG205:AL205)))</t>
        </is>
      </c>
      <c r="BA205" s="38" t="inlineStr">
        <is>
          <t>IF(OR(E205="",AN205=""),"",IF(COUNT(AG205:AM205)=0,"",AN205-LOOKUP(2,1/(AG205:AM205&lt;&gt;""),AG205:AM205)))</t>
        </is>
      </c>
      <c r="BB205" s="38" t="inlineStr">
        <is>
          <t>IF(OR(E205="",AO205=""),"",IF(COUNT(AG205:AN205)=0,"",AO205-LOOKUP(2,1/(AG205:AN205&lt;&gt;""),AG205:AN205)))</t>
        </is>
      </c>
      <c r="BC205" s="38" t="inlineStr">
        <is>
          <t>IF(OR(E205="",AP205=""),"",IF(COUNT(AG205:AO205)=0,"",AP205-LOOKUP(2,1/(AG205:AO205&lt;&gt;""),AG205:AO205)))</t>
        </is>
      </c>
      <c r="BD205" s="38" t="inlineStr">
        <is>
          <t>IF(OR(E205="",AQ205=""),"",IF(COUNT(AG205:AP205)=0,"",AQ205-LOOKUP(2,1/(AG205:AP205&lt;&gt;""),AG205:AP205)))</t>
        </is>
      </c>
      <c r="BE205" s="38" t="inlineStr">
        <is>
          <t>IF(OR(E205="",AR205=""),"",IF(COUNT(AG205:AQ205)=0,"",AR205-LOOKUP(2,1/(AG205:AQ205&lt;&gt;""),AG205:AQ205)))</t>
        </is>
      </c>
      <c r="BF205" s="38" t="inlineStr">
        <is>
          <t>IF(OR(E205="",AS205=""),"",IF(COUNT(AG205:AR205)=0,"",AS205-LOOKUP(2,1/(AG205:AR205&lt;&gt;""),AG205:AR205)))</t>
        </is>
      </c>
      <c r="BG205" s="38" t="inlineStr">
        <is>
          <t>IF(OR(E205="",AT205=""),"",IF(COUNT(AG205:AS205)=0,"",AT205-LOOKUP(2,1/(AG205:AS205&lt;&gt;""),AG205:AS205)))</t>
        </is>
      </c>
      <c r="BH205" s="41" t="inlineStr">
        <is>
          <t>IF(G205="","All_Provinces",IFERROR(VLOOKUP(G205,'07_Lookups'!$A$4:$B$20,2,FALSE),"All_Provinces"))</t>
        </is>
      </c>
      <c r="BI205" s="41" t="inlineStr">
        <is>
          <t>IF(H205="","All_Districts",IFERROR(VLOOKUP(H205,'07_Lookups'!$E$4:$F$42,2,FALSE),"All_Districts"))</t>
        </is>
      </c>
    </row>
    <row r="206" ht="18" customHeight="1">
      <c r="A206" s="32" t="inlineStr">
        <is>
          <t>IF(E206="","",ROW()-3)</t>
        </is>
      </c>
      <c r="B206" s="33" t="inlineStr">
        <is>
          <t>AF2-DIS-R-043</t>
        </is>
      </c>
      <c r="C206" s="33" t="inlineStr">
        <is>
          <t>Emergency Food Security Project (EFSP) – WBK/AF-2</t>
        </is>
      </c>
      <c r="D206" s="33" t="inlineStr">
        <is>
          <t>Package #4-WBK/AF2 DIS: Demonstration of 12 Drip irrigation schemes at 4 district sites of 1. Miramor, 2. Shahristan, 3.Nilli, and 4.Sayghan in Daykundi and Bamyan provinces</t>
        </is>
      </c>
      <c r="E206" s="33" t="inlineStr">
        <is>
          <t>Bagh Drip Irrigation System</t>
        </is>
      </c>
      <c r="F206" s="33" t="inlineStr">
        <is>
          <t>Drip Irrigation</t>
        </is>
      </c>
      <c r="G206" s="33" t="inlineStr">
        <is>
          <t>Central Highland / Bamyan</t>
        </is>
      </c>
      <c r="H206" s="33" t="inlineStr">
        <is>
          <t>Daykundi</t>
        </is>
      </c>
      <c r="I206" s="33" t="inlineStr">
        <is>
          <t>Miramor</t>
        </is>
      </c>
      <c r="J206" s="33" t="inlineStr">
        <is>
          <t>Bagh</t>
        </is>
      </c>
      <c r="K206" s="33" t="inlineStr">
        <is>
          <t>World Bank (WBK/AF-2)</t>
        </is>
      </c>
      <c r="L206" s="33" t="inlineStr">
        <is>
          <t>Remaining</t>
        </is>
      </c>
      <c r="M206" s="33" t="inlineStr">
        <is>
          <t>Drip irrigation</t>
        </is>
      </c>
      <c r="N206" s="33" t="inlineStr">
        <is>
          <t>5. Drip Irrigation systems</t>
        </is>
      </c>
      <c r="O206" s="33" t="inlineStr">
        <is>
          <t>Ghulam</t>
        </is>
      </c>
      <c r="P206" s="33" t="inlineStr"/>
      <c r="Q206" s="34" t="n">
        <v>3300.86</v>
      </c>
      <c r="R206" s="35" t="inlineStr">
        <is>
          <t>IF(AO206="","",AO206)</t>
        </is>
      </c>
      <c r="S206" s="36" t="n">
        <v>46376</v>
      </c>
      <c r="T206" s="37" t="n">
        <v>6.2</v>
      </c>
      <c r="U206" s="36" t="n">
        <v>46566</v>
      </c>
      <c r="V206" s="35" t="inlineStr">
        <is>
          <t>IF(U206&lt;&gt;"",U206,IF(OR(R206="",T206=""),"",EDATE(R206,T206)))</t>
        </is>
      </c>
      <c r="W206" s="36" t="n"/>
      <c r="X206" s="37" t="n"/>
      <c r="Y206" s="33" t="inlineStr">
        <is>
          <t>Retendered (Re-ITB)</t>
        </is>
      </c>
      <c r="Z206" s="33" t="inlineStr">
        <is>
          <t>Slack period up to end March. Four months construction period starting from April 2026. | Farmer: Ghulam</t>
        </is>
      </c>
      <c r="AA206" s="32" t="inlineStr">
        <is>
          <t>IF(E206="","",IF(COUNT(AG206:AT206)=0,IF(Y206="","Not started",Y206),SUBSTITUTE(LOOKUP(2,1/(AG206:AT206&lt;&gt;""),$AG$3:$AT$3),"Date: ","")))</t>
        </is>
      </c>
      <c r="AB206" s="38" t="inlineStr">
        <is>
          <t>IF(OR(E206="",COUNT(AG206:AT206)=0),"",TODAY()-LOOKUP(2,1/(AG206:AT206&lt;&gt;""),AG206:AT206))</t>
        </is>
      </c>
      <c r="AC206" s="38" t="inlineStr">
        <is>
          <t>IF(OR(E206="",COUNT(AG206:AT206)&lt;2),"",LOOKUP(2,1/(AG206:AT206&lt;&gt;""),AG206:AT206)-MIN(AG206:AT206))</t>
        </is>
      </c>
      <c r="AD206" s="38" t="inlineStr">
        <is>
          <t>IF(OR(AB206="",AA206="Not started",AA206=""),"",IFERROR(AB206-IF(VLOOKUP(AA206,'04_Status_Pipeline'!$B$3:$E$20,4,FALSE)="",0,VLOOKUP(AA206,'04_Status_Pipeline'!$B$3:$E$20,4,FALSE)),""))</t>
        </is>
      </c>
      <c r="AE206" s="32" t="inlineStr">
        <is>
          <t>IF(E206="","",IF(OR(Y206="Cancelled",AA206="Cancelled"),"Cancelled",IF(OR(AA206="Completed / Handover",W206&lt;&gt;"",X206&gt;=100),"Completed — on track",IF(L206="Remaining",IF(S206="",IF(V206="","No planned date",IF(TODAY()&gt;V206,"Behind — past planned date",IF(V206-TODAY()&lt;=30,"At risk — close to off track","On track"))),IF(TODAY()&gt;S206,"Behind — award date passed",IF(S206-TODAY()&lt;=30,"At risk — close to off track","On track"))),IF(V206="","No planned date",IF(AND(TODAY()&gt;V206,OR(X206="",X206&lt;100)),"Behind — past end date",IF(AND(R206&lt;&gt;"",V206&lt;&gt;"",X206&lt;&gt;"",(X206&lt;100),((TODAY()-R206)/MAX(V206-R206,1)*100)-X206&gt;15),"Behind — progress lag",IF(AND(V206-TODAY()&lt;=30,V206-TODAY()&gt;=0,OR(X206="",X206&lt;90)),"At risk — close to off track","On track"))))))))</t>
        </is>
      </c>
      <c r="AF206" s="38" t="inlineStr">
        <is>
          <t>IF(OR(E206="",AA206="Completed / Handover",AA206="Cancelled"),"",IF(L206="Remaining",IF(S206&lt;&gt;"",S206-TODAY(),IF(V206="","",V206-TODAY())),IF(V206="","",V206-TODAY())))</t>
        </is>
      </c>
      <c r="AG206" s="36" t="n"/>
      <c r="AH206" s="36" t="n"/>
      <c r="AI206" s="36" t="n"/>
      <c r="AJ206" s="36" t="n"/>
      <c r="AK206" s="36" t="n"/>
      <c r="AL206" s="36" t="n"/>
      <c r="AM206" s="36" t="n"/>
      <c r="AN206" s="36" t="n"/>
      <c r="AO206" s="36" t="n"/>
      <c r="AP206" s="36" t="n"/>
      <c r="AQ206" s="36" t="n"/>
      <c r="AR206" s="40" t="n"/>
      <c r="AS206" s="40" t="n"/>
      <c r="AT206" s="40" t="n"/>
      <c r="AU206" s="38" t="inlineStr">
        <is>
          <t>IF(OR(E206="",AH206=""),"",IF(COUNT(AG206:AG206)=0,"",AH206-LOOKUP(2,1/(AG206:AG206&lt;&gt;""),AG206:AG206)))</t>
        </is>
      </c>
      <c r="AV206" s="38" t="inlineStr">
        <is>
          <t>IF(OR(E206="",AI206=""),"",IF(COUNT(AG206:AH206)=0,"",AI206-LOOKUP(2,1/(AG206:AH206&lt;&gt;""),AG206:AH206)))</t>
        </is>
      </c>
      <c r="AW206" s="38" t="inlineStr">
        <is>
          <t>IF(OR(E206="",AJ206=""),"",IF(COUNT(AG206:AI206)=0,"",AJ206-LOOKUP(2,1/(AG206:AI206&lt;&gt;""),AG206:AI206)))</t>
        </is>
      </c>
      <c r="AX206" s="38" t="inlineStr">
        <is>
          <t>IF(OR(E206="",AK206=""),"",IF(COUNT(AG206:AJ206)=0,"",AK206-LOOKUP(2,1/(AG206:AJ206&lt;&gt;""),AG206:AJ206)))</t>
        </is>
      </c>
      <c r="AY206" s="38" t="inlineStr">
        <is>
          <t>IF(OR(E206="",AL206=""),"",IF(COUNT(AG206:AK206)=0,"",AL206-LOOKUP(2,1/(AG206:AK206&lt;&gt;""),AG206:AK206)))</t>
        </is>
      </c>
      <c r="AZ206" s="38" t="inlineStr">
        <is>
          <t>IF(OR(E206="",AM206=""),"",IF(COUNT(AG206:AL206)=0,"",AM206-LOOKUP(2,1/(AG206:AL206&lt;&gt;""),AG206:AL206)))</t>
        </is>
      </c>
      <c r="BA206" s="38" t="inlineStr">
        <is>
          <t>IF(OR(E206="",AN206=""),"",IF(COUNT(AG206:AM206)=0,"",AN206-LOOKUP(2,1/(AG206:AM206&lt;&gt;""),AG206:AM206)))</t>
        </is>
      </c>
      <c r="BB206" s="38" t="inlineStr">
        <is>
          <t>IF(OR(E206="",AO206=""),"",IF(COUNT(AG206:AN206)=0,"",AO206-LOOKUP(2,1/(AG206:AN206&lt;&gt;""),AG206:AN206)))</t>
        </is>
      </c>
      <c r="BC206" s="38" t="inlineStr">
        <is>
          <t>IF(OR(E206="",AP206=""),"",IF(COUNT(AG206:AO206)=0,"",AP206-LOOKUP(2,1/(AG206:AO206&lt;&gt;""),AG206:AO206)))</t>
        </is>
      </c>
      <c r="BD206" s="38" t="inlineStr">
        <is>
          <t>IF(OR(E206="",AQ206=""),"",IF(COUNT(AG206:AP206)=0,"",AQ206-LOOKUP(2,1/(AG206:AP206&lt;&gt;""),AG206:AP206)))</t>
        </is>
      </c>
      <c r="BE206" s="38" t="inlineStr">
        <is>
          <t>IF(OR(E206="",AR206=""),"",IF(COUNT(AG206:AQ206)=0,"",AR206-LOOKUP(2,1/(AG206:AQ206&lt;&gt;""),AG206:AQ206)))</t>
        </is>
      </c>
      <c r="BF206" s="38" t="inlineStr">
        <is>
          <t>IF(OR(E206="",AS206=""),"",IF(COUNT(AG206:AR206)=0,"",AS206-LOOKUP(2,1/(AG206:AR206&lt;&gt;""),AG206:AR206)))</t>
        </is>
      </c>
      <c r="BG206" s="38" t="inlineStr">
        <is>
          <t>IF(OR(E206="",AT206=""),"",IF(COUNT(AG206:AS206)=0,"",AT206-LOOKUP(2,1/(AG206:AS206&lt;&gt;""),AG206:AS206)))</t>
        </is>
      </c>
      <c r="BH206" s="41" t="inlineStr">
        <is>
          <t>IF(G206="","All_Provinces",IFERROR(VLOOKUP(G206,'07_Lookups'!$A$4:$B$20,2,FALSE),"All_Provinces"))</t>
        </is>
      </c>
      <c r="BI206" s="41" t="inlineStr">
        <is>
          <t>IF(H206="","All_Districts",IFERROR(VLOOKUP(H206,'07_Lookups'!$E$4:$F$42,2,FALSE),"All_Districts"))</t>
        </is>
      </c>
    </row>
    <row r="207" ht="18" customHeight="1">
      <c r="A207" s="32" t="inlineStr">
        <is>
          <t>IF(E207="","",ROW()-3)</t>
        </is>
      </c>
      <c r="B207" s="42" t="inlineStr">
        <is>
          <t>AF2-DIS-R-044</t>
        </is>
      </c>
      <c r="C207" s="42" t="inlineStr">
        <is>
          <t>Emergency Food Security Project (EFSP) – WBK/AF-2</t>
        </is>
      </c>
      <c r="D207" s="42" t="inlineStr">
        <is>
          <t>Package #4-WBK/AF2 DIS: Demonstration of 12 Drip irrigation schemes at 4 district sites of 1. Miramor, 2. Shahristan, 3.Nilli, and 4.Sayghan in Daykundi and Bamyan provinces</t>
        </is>
      </c>
      <c r="E207" s="42" t="inlineStr">
        <is>
          <t>Ghaf Drip Irrigation</t>
        </is>
      </c>
      <c r="F207" s="42" t="inlineStr">
        <is>
          <t>Drip Irrigation</t>
        </is>
      </c>
      <c r="G207" s="42" t="inlineStr">
        <is>
          <t>Central Highland / Bamyan</t>
        </is>
      </c>
      <c r="H207" s="42" t="inlineStr">
        <is>
          <t>Daykundi</t>
        </is>
      </c>
      <c r="I207" s="42" t="inlineStr">
        <is>
          <t>Shahristan</t>
        </is>
      </c>
      <c r="J207" s="42" t="inlineStr">
        <is>
          <t>Ghaf</t>
        </is>
      </c>
      <c r="K207" s="42" t="inlineStr">
        <is>
          <t>World Bank (WBK/AF-2)</t>
        </is>
      </c>
      <c r="L207" s="42" t="inlineStr">
        <is>
          <t>Remaining</t>
        </is>
      </c>
      <c r="M207" s="42" t="inlineStr">
        <is>
          <t>Drip irrigation</t>
        </is>
      </c>
      <c r="N207" s="42" t="inlineStr">
        <is>
          <t>5. Drip Irrigation systems</t>
        </is>
      </c>
      <c r="O207" s="42" t="inlineStr">
        <is>
          <t>Mohammad Ibrahim</t>
        </is>
      </c>
      <c r="P207" s="42" t="inlineStr"/>
      <c r="Q207" s="43" t="n">
        <v>5880.43</v>
      </c>
      <c r="R207" s="35" t="inlineStr">
        <is>
          <t>IF(AO207="","",AO207)</t>
        </is>
      </c>
      <c r="S207" s="44" t="n">
        <v>46376</v>
      </c>
      <c r="T207" s="45" t="n">
        <v>6.2</v>
      </c>
      <c r="U207" s="44" t="n">
        <v>46566</v>
      </c>
      <c r="V207" s="35" t="inlineStr">
        <is>
          <t>IF(U207&lt;&gt;"",U207,IF(OR(R207="",T207=""),"",EDATE(R207,T207)))</t>
        </is>
      </c>
      <c r="W207" s="44" t="n"/>
      <c r="X207" s="45" t="n"/>
      <c r="Y207" s="42" t="inlineStr">
        <is>
          <t>Retendered (Re-ITB)</t>
        </is>
      </c>
      <c r="Z207" s="42" t="inlineStr">
        <is>
          <t>Slack period up to end March. Four months construction period starting from April 2026. | Farmer: Mohammad Ibrahim</t>
        </is>
      </c>
      <c r="AA207" s="32" t="inlineStr">
        <is>
          <t>IF(E207="","",IF(COUNT(AG207:AT207)=0,IF(Y207="","Not started",Y207),SUBSTITUTE(LOOKUP(2,1/(AG207:AT207&lt;&gt;""),$AG$3:$AT$3),"Date: ","")))</t>
        </is>
      </c>
      <c r="AB207" s="38" t="inlineStr">
        <is>
          <t>IF(OR(E207="",COUNT(AG207:AT207)=0),"",TODAY()-LOOKUP(2,1/(AG207:AT207&lt;&gt;""),AG207:AT207))</t>
        </is>
      </c>
      <c r="AC207" s="38" t="inlineStr">
        <is>
          <t>IF(OR(E207="",COUNT(AG207:AT207)&lt;2),"",LOOKUP(2,1/(AG207:AT207&lt;&gt;""),AG207:AT207)-MIN(AG207:AT207))</t>
        </is>
      </c>
      <c r="AD207" s="38" t="inlineStr">
        <is>
          <t>IF(OR(AB207="",AA207="Not started",AA207=""),"",IFERROR(AB207-IF(VLOOKUP(AA207,'04_Status_Pipeline'!$B$3:$E$20,4,FALSE)="",0,VLOOKUP(AA207,'04_Status_Pipeline'!$B$3:$E$20,4,FALSE)),""))</t>
        </is>
      </c>
      <c r="AE207" s="32" t="inlineStr">
        <is>
          <t>IF(E207="","",IF(OR(Y207="Cancelled",AA207="Cancelled"),"Cancelled",IF(OR(AA207="Completed / Handover",W207&lt;&gt;"",X207&gt;=100),"Completed — on track",IF(L207="Remaining",IF(S207="",IF(V207="","No planned date",IF(TODAY()&gt;V207,"Behind — past planned date",IF(V207-TODAY()&lt;=30,"At risk — close to off track","On track"))),IF(TODAY()&gt;S207,"Behind — award date passed",IF(S207-TODAY()&lt;=30,"At risk — close to off track","On track"))),IF(V207="","No planned date",IF(AND(TODAY()&gt;V207,OR(X207="",X207&lt;100)),"Behind — past end date",IF(AND(R207&lt;&gt;"",V207&lt;&gt;"",X207&lt;&gt;"",(X207&lt;100),((TODAY()-R207)/MAX(V207-R207,1)*100)-X207&gt;15),"Behind — progress lag",IF(AND(V207-TODAY()&lt;=30,V207-TODAY()&gt;=0,OR(X207="",X207&lt;90)),"At risk — close to off track","On track"))))))))</t>
        </is>
      </c>
      <c r="AF207" s="38" t="inlineStr">
        <is>
          <t>IF(OR(E207="",AA207="Completed / Handover",AA207="Cancelled"),"",IF(L207="Remaining",IF(S207&lt;&gt;"",S207-TODAY(),IF(V207="","",V207-TODAY())),IF(V207="","",V207-TODAY())))</t>
        </is>
      </c>
      <c r="AG207" s="44" t="n"/>
      <c r="AH207" s="44" t="n"/>
      <c r="AI207" s="44" t="n"/>
      <c r="AJ207" s="44" t="n"/>
      <c r="AK207" s="44" t="n"/>
      <c r="AL207" s="44" t="n"/>
      <c r="AM207" s="44" t="n"/>
      <c r="AN207" s="44" t="n"/>
      <c r="AO207" s="44" t="n"/>
      <c r="AP207" s="44" t="n"/>
      <c r="AQ207" s="44" t="n"/>
      <c r="AR207" s="40" t="n"/>
      <c r="AS207" s="40" t="n"/>
      <c r="AT207" s="40" t="n"/>
      <c r="AU207" s="38" t="inlineStr">
        <is>
          <t>IF(OR(E207="",AH207=""),"",IF(COUNT(AG207:AG207)=0,"",AH207-LOOKUP(2,1/(AG207:AG207&lt;&gt;""),AG207:AG207)))</t>
        </is>
      </c>
      <c r="AV207" s="38" t="inlineStr">
        <is>
          <t>IF(OR(E207="",AI207=""),"",IF(COUNT(AG207:AH207)=0,"",AI207-LOOKUP(2,1/(AG207:AH207&lt;&gt;""),AG207:AH207)))</t>
        </is>
      </c>
      <c r="AW207" s="38" t="inlineStr">
        <is>
          <t>IF(OR(E207="",AJ207=""),"",IF(COUNT(AG207:AI207)=0,"",AJ207-LOOKUP(2,1/(AG207:AI207&lt;&gt;""),AG207:AI207)))</t>
        </is>
      </c>
      <c r="AX207" s="38" t="inlineStr">
        <is>
          <t>IF(OR(E207="",AK207=""),"",IF(COUNT(AG207:AJ207)=0,"",AK207-LOOKUP(2,1/(AG207:AJ207&lt;&gt;""),AG207:AJ207)))</t>
        </is>
      </c>
      <c r="AY207" s="38" t="inlineStr">
        <is>
          <t>IF(OR(E207="",AL207=""),"",IF(COUNT(AG207:AK207)=0,"",AL207-LOOKUP(2,1/(AG207:AK207&lt;&gt;""),AG207:AK207)))</t>
        </is>
      </c>
      <c r="AZ207" s="38" t="inlineStr">
        <is>
          <t>IF(OR(E207="",AM207=""),"",IF(COUNT(AG207:AL207)=0,"",AM207-LOOKUP(2,1/(AG207:AL207&lt;&gt;""),AG207:AL207)))</t>
        </is>
      </c>
      <c r="BA207" s="38" t="inlineStr">
        <is>
          <t>IF(OR(E207="",AN207=""),"",IF(COUNT(AG207:AM207)=0,"",AN207-LOOKUP(2,1/(AG207:AM207&lt;&gt;""),AG207:AM207)))</t>
        </is>
      </c>
      <c r="BB207" s="38" t="inlineStr">
        <is>
          <t>IF(OR(E207="",AO207=""),"",IF(COUNT(AG207:AN207)=0,"",AO207-LOOKUP(2,1/(AG207:AN207&lt;&gt;""),AG207:AN207)))</t>
        </is>
      </c>
      <c r="BC207" s="38" t="inlineStr">
        <is>
          <t>IF(OR(E207="",AP207=""),"",IF(COUNT(AG207:AO207)=0,"",AP207-LOOKUP(2,1/(AG207:AO207&lt;&gt;""),AG207:AO207)))</t>
        </is>
      </c>
      <c r="BD207" s="38" t="inlineStr">
        <is>
          <t>IF(OR(E207="",AQ207=""),"",IF(COUNT(AG207:AP207)=0,"",AQ207-LOOKUP(2,1/(AG207:AP207&lt;&gt;""),AG207:AP207)))</t>
        </is>
      </c>
      <c r="BE207" s="38" t="inlineStr">
        <is>
          <t>IF(OR(E207="",AR207=""),"",IF(COUNT(AG207:AQ207)=0,"",AR207-LOOKUP(2,1/(AG207:AQ207&lt;&gt;""),AG207:AQ207)))</t>
        </is>
      </c>
      <c r="BF207" s="38" t="inlineStr">
        <is>
          <t>IF(OR(E207="",AS207=""),"",IF(COUNT(AG207:AR207)=0,"",AS207-LOOKUP(2,1/(AG207:AR207&lt;&gt;""),AG207:AR207)))</t>
        </is>
      </c>
      <c r="BG207" s="38" t="inlineStr">
        <is>
          <t>IF(OR(E207="",AT207=""),"",IF(COUNT(AG207:AS207)=0,"",AT207-LOOKUP(2,1/(AG207:AS207&lt;&gt;""),AG207:AS207)))</t>
        </is>
      </c>
      <c r="BH207" s="41" t="inlineStr">
        <is>
          <t>IF(G207="","All_Provinces",IFERROR(VLOOKUP(G207,'07_Lookups'!$A$4:$B$20,2,FALSE),"All_Provinces"))</t>
        </is>
      </c>
      <c r="BI207" s="41" t="inlineStr">
        <is>
          <t>IF(H207="","All_Districts",IFERROR(VLOOKUP(H207,'07_Lookups'!$E$4:$F$42,2,FALSE),"All_Districts"))</t>
        </is>
      </c>
    </row>
    <row r="208" ht="18" customHeight="1">
      <c r="A208" s="32" t="inlineStr">
        <is>
          <t>IF(E208="","",ROW()-3)</t>
        </is>
      </c>
      <c r="B208" s="33" t="inlineStr">
        <is>
          <t>AF2-DIS-R-045</t>
        </is>
      </c>
      <c r="C208" s="33" t="inlineStr">
        <is>
          <t>Emergency Food Security Project (EFSP) – WBK/AF-2</t>
        </is>
      </c>
      <c r="D208" s="33" t="inlineStr">
        <is>
          <t>Package #4-WBK/AF2 DIS: Demonstration of 12 Drip irrigation schemes at 4 district sites of 1. Miramor, 2. Shahristan, 3.Nilli, and 4.Sayghan in Daykundi and Bamyan provinces</t>
        </is>
      </c>
      <c r="E208" s="33" t="inlineStr">
        <is>
          <t>Khawja Chast )Drip irrigation Sysytem</t>
        </is>
      </c>
      <c r="F208" s="33" t="inlineStr">
        <is>
          <t>Drip Irrigation</t>
        </is>
      </c>
      <c r="G208" s="33" t="inlineStr">
        <is>
          <t>Central Highland / Bamyan</t>
        </is>
      </c>
      <c r="H208" s="33" t="inlineStr">
        <is>
          <t>Daykundi</t>
        </is>
      </c>
      <c r="I208" s="33" t="inlineStr">
        <is>
          <t>Shahristan</t>
        </is>
      </c>
      <c r="J208" s="33" t="inlineStr">
        <is>
          <t>Khwaja Chasht</t>
        </is>
      </c>
      <c r="K208" s="33" t="inlineStr">
        <is>
          <t>World Bank (WBK/AF-2)</t>
        </is>
      </c>
      <c r="L208" s="33" t="inlineStr">
        <is>
          <t>Remaining</t>
        </is>
      </c>
      <c r="M208" s="33" t="inlineStr">
        <is>
          <t>Drip irrigation</t>
        </is>
      </c>
      <c r="N208" s="33" t="inlineStr">
        <is>
          <t>5. Drip Irrigation systems</t>
        </is>
      </c>
      <c r="O208" s="33" t="inlineStr">
        <is>
          <t>Mohammad Hashim</t>
        </is>
      </c>
      <c r="P208" s="33" t="inlineStr"/>
      <c r="Q208" s="34" t="n">
        <v>5364.63</v>
      </c>
      <c r="R208" s="35" t="inlineStr">
        <is>
          <t>IF(AO208="","",AO208)</t>
        </is>
      </c>
      <c r="S208" s="36" t="n">
        <v>46376</v>
      </c>
      <c r="T208" s="37" t="n">
        <v>6.2</v>
      </c>
      <c r="U208" s="36" t="n">
        <v>46566</v>
      </c>
      <c r="V208" s="35" t="inlineStr">
        <is>
          <t>IF(U208&lt;&gt;"",U208,IF(OR(R208="",T208=""),"",EDATE(R208,T208)))</t>
        </is>
      </c>
      <c r="W208" s="36" t="n"/>
      <c r="X208" s="37" t="n"/>
      <c r="Y208" s="33" t="inlineStr">
        <is>
          <t>Retendered (Re-ITB)</t>
        </is>
      </c>
      <c r="Z208" s="33" t="inlineStr">
        <is>
          <t>Slack period up to end March. Four months construction period starting from April 2026. | Farmer: Mohammad Hashim</t>
        </is>
      </c>
      <c r="AA208" s="32" t="inlineStr">
        <is>
          <t>IF(E208="","",IF(COUNT(AG208:AT208)=0,IF(Y208="","Not started",Y208),SUBSTITUTE(LOOKUP(2,1/(AG208:AT208&lt;&gt;""),$AG$3:$AT$3),"Date: ","")))</t>
        </is>
      </c>
      <c r="AB208" s="38" t="inlineStr">
        <is>
          <t>IF(OR(E208="",COUNT(AG208:AT208)=0),"",TODAY()-LOOKUP(2,1/(AG208:AT208&lt;&gt;""),AG208:AT208))</t>
        </is>
      </c>
      <c r="AC208" s="38" t="inlineStr">
        <is>
          <t>IF(OR(E208="",COUNT(AG208:AT208)&lt;2),"",LOOKUP(2,1/(AG208:AT208&lt;&gt;""),AG208:AT208)-MIN(AG208:AT208))</t>
        </is>
      </c>
      <c r="AD208" s="38" t="inlineStr">
        <is>
          <t>IF(OR(AB208="",AA208="Not started",AA208=""),"",IFERROR(AB208-IF(VLOOKUP(AA208,'04_Status_Pipeline'!$B$3:$E$20,4,FALSE)="",0,VLOOKUP(AA208,'04_Status_Pipeline'!$B$3:$E$20,4,FALSE)),""))</t>
        </is>
      </c>
      <c r="AE208" s="32" t="inlineStr">
        <is>
          <t>IF(E208="","",IF(OR(Y208="Cancelled",AA208="Cancelled"),"Cancelled",IF(OR(AA208="Completed / Handover",W208&lt;&gt;"",X208&gt;=100),"Completed — on track",IF(L208="Remaining",IF(S208="",IF(V208="","No planned date",IF(TODAY()&gt;V208,"Behind — past planned date",IF(V208-TODAY()&lt;=30,"At risk — close to off track","On track"))),IF(TODAY()&gt;S208,"Behind — award date passed",IF(S208-TODAY()&lt;=30,"At risk — close to off track","On track"))),IF(V208="","No planned date",IF(AND(TODAY()&gt;V208,OR(X208="",X208&lt;100)),"Behind — past end date",IF(AND(R208&lt;&gt;"",V208&lt;&gt;"",X208&lt;&gt;"",(X208&lt;100),((TODAY()-R208)/MAX(V208-R208,1)*100)-X208&gt;15),"Behind — progress lag",IF(AND(V208-TODAY()&lt;=30,V208-TODAY()&gt;=0,OR(X208="",X208&lt;90)),"At risk — close to off track","On track"))))))))</t>
        </is>
      </c>
      <c r="AF208" s="38" t="inlineStr">
        <is>
          <t>IF(OR(E208="",AA208="Completed / Handover",AA208="Cancelled"),"",IF(L208="Remaining",IF(S208&lt;&gt;"",S208-TODAY(),IF(V208="","",V208-TODAY())),IF(V208="","",V208-TODAY())))</t>
        </is>
      </c>
      <c r="AG208" s="36" t="n"/>
      <c r="AH208" s="36" t="n"/>
      <c r="AI208" s="36" t="n"/>
      <c r="AJ208" s="36" t="n"/>
      <c r="AK208" s="36" t="n"/>
      <c r="AL208" s="36" t="n"/>
      <c r="AM208" s="36" t="n"/>
      <c r="AN208" s="36" t="n"/>
      <c r="AO208" s="36" t="n"/>
      <c r="AP208" s="36" t="n"/>
      <c r="AQ208" s="36" t="n"/>
      <c r="AR208" s="40" t="n"/>
      <c r="AS208" s="40" t="n"/>
      <c r="AT208" s="40" t="n"/>
      <c r="AU208" s="38" t="inlineStr">
        <is>
          <t>IF(OR(E208="",AH208=""),"",IF(COUNT(AG208:AG208)=0,"",AH208-LOOKUP(2,1/(AG208:AG208&lt;&gt;""),AG208:AG208)))</t>
        </is>
      </c>
      <c r="AV208" s="38" t="inlineStr">
        <is>
          <t>IF(OR(E208="",AI208=""),"",IF(COUNT(AG208:AH208)=0,"",AI208-LOOKUP(2,1/(AG208:AH208&lt;&gt;""),AG208:AH208)))</t>
        </is>
      </c>
      <c r="AW208" s="38" t="inlineStr">
        <is>
          <t>IF(OR(E208="",AJ208=""),"",IF(COUNT(AG208:AI208)=0,"",AJ208-LOOKUP(2,1/(AG208:AI208&lt;&gt;""),AG208:AI208)))</t>
        </is>
      </c>
      <c r="AX208" s="38" t="inlineStr">
        <is>
          <t>IF(OR(E208="",AK208=""),"",IF(COUNT(AG208:AJ208)=0,"",AK208-LOOKUP(2,1/(AG208:AJ208&lt;&gt;""),AG208:AJ208)))</t>
        </is>
      </c>
      <c r="AY208" s="38" t="inlineStr">
        <is>
          <t>IF(OR(E208="",AL208=""),"",IF(COUNT(AG208:AK208)=0,"",AL208-LOOKUP(2,1/(AG208:AK208&lt;&gt;""),AG208:AK208)))</t>
        </is>
      </c>
      <c r="AZ208" s="38" t="inlineStr">
        <is>
          <t>IF(OR(E208="",AM208=""),"",IF(COUNT(AG208:AL208)=0,"",AM208-LOOKUP(2,1/(AG208:AL208&lt;&gt;""),AG208:AL208)))</t>
        </is>
      </c>
      <c r="BA208" s="38" t="inlineStr">
        <is>
          <t>IF(OR(E208="",AN208=""),"",IF(COUNT(AG208:AM208)=0,"",AN208-LOOKUP(2,1/(AG208:AM208&lt;&gt;""),AG208:AM208)))</t>
        </is>
      </c>
      <c r="BB208" s="38" t="inlineStr">
        <is>
          <t>IF(OR(E208="",AO208=""),"",IF(COUNT(AG208:AN208)=0,"",AO208-LOOKUP(2,1/(AG208:AN208&lt;&gt;""),AG208:AN208)))</t>
        </is>
      </c>
      <c r="BC208" s="38" t="inlineStr">
        <is>
          <t>IF(OR(E208="",AP208=""),"",IF(COUNT(AG208:AO208)=0,"",AP208-LOOKUP(2,1/(AG208:AO208&lt;&gt;""),AG208:AO208)))</t>
        </is>
      </c>
      <c r="BD208" s="38" t="inlineStr">
        <is>
          <t>IF(OR(E208="",AQ208=""),"",IF(COUNT(AG208:AP208)=0,"",AQ208-LOOKUP(2,1/(AG208:AP208&lt;&gt;""),AG208:AP208)))</t>
        </is>
      </c>
      <c r="BE208" s="38" t="inlineStr">
        <is>
          <t>IF(OR(E208="",AR208=""),"",IF(COUNT(AG208:AQ208)=0,"",AR208-LOOKUP(2,1/(AG208:AQ208&lt;&gt;""),AG208:AQ208)))</t>
        </is>
      </c>
      <c r="BF208" s="38" t="inlineStr">
        <is>
          <t>IF(OR(E208="",AS208=""),"",IF(COUNT(AG208:AR208)=0,"",AS208-LOOKUP(2,1/(AG208:AR208&lt;&gt;""),AG208:AR208)))</t>
        </is>
      </c>
      <c r="BG208" s="38" t="inlineStr">
        <is>
          <t>IF(OR(E208="",AT208=""),"",IF(COUNT(AG208:AS208)=0,"",AT208-LOOKUP(2,1/(AG208:AS208&lt;&gt;""),AG208:AS208)))</t>
        </is>
      </c>
      <c r="BH208" s="41" t="inlineStr">
        <is>
          <t>IF(G208="","All_Provinces",IFERROR(VLOOKUP(G208,'07_Lookups'!$A$4:$B$20,2,FALSE),"All_Provinces"))</t>
        </is>
      </c>
      <c r="BI208" s="41" t="inlineStr">
        <is>
          <t>IF(H208="","All_Districts",IFERROR(VLOOKUP(H208,'07_Lookups'!$E$4:$F$42,2,FALSE),"All_Districts"))</t>
        </is>
      </c>
    </row>
    <row r="209" ht="18" customHeight="1">
      <c r="A209" s="32" t="inlineStr">
        <is>
          <t>IF(E209="","",ROW()-3)</t>
        </is>
      </c>
      <c r="B209" s="42" t="inlineStr">
        <is>
          <t>AF2-DIS-R-046</t>
        </is>
      </c>
      <c r="C209" s="42" t="inlineStr">
        <is>
          <t>Emergency Food Security Project (EFSP) – WBK/AF-2</t>
        </is>
      </c>
      <c r="D209" s="42" t="inlineStr">
        <is>
          <t>Package #4-WBK/AF2 DIS: Demonstration of 12 Drip irrigation schemes at 4 district sites of 1. Miramor, 2. Shahristan, 3.Nilli, and 4.Sayghan in Daykundi and Bamyan provinces</t>
        </is>
      </c>
      <c r="E209" s="42" t="inlineStr">
        <is>
          <t>Safid Derakht 01 Drip Irrigtion System</t>
        </is>
      </c>
      <c r="F209" s="42" t="inlineStr">
        <is>
          <t>Drip Irrigation</t>
        </is>
      </c>
      <c r="G209" s="42" t="inlineStr">
        <is>
          <t>Central Highland / Bamyan</t>
        </is>
      </c>
      <c r="H209" s="42" t="inlineStr">
        <is>
          <t>Daykundi</t>
        </is>
      </c>
      <c r="I209" s="42" t="inlineStr">
        <is>
          <t>Nilli</t>
        </is>
      </c>
      <c r="J209" s="42" t="inlineStr">
        <is>
          <t>Safid Derakht,</t>
        </is>
      </c>
      <c r="K209" s="42" t="inlineStr">
        <is>
          <t>World Bank (WBK/AF-2)</t>
        </is>
      </c>
      <c r="L209" s="42" t="inlineStr">
        <is>
          <t>Remaining</t>
        </is>
      </c>
      <c r="M209" s="42" t="inlineStr">
        <is>
          <t>Drip irrigation</t>
        </is>
      </c>
      <c r="N209" s="42" t="inlineStr">
        <is>
          <t>5. Drip Irrigation systems</t>
        </is>
      </c>
      <c r="O209" s="42" t="inlineStr">
        <is>
          <t>Sayed Mohammad</t>
        </is>
      </c>
      <c r="P209" s="42" t="inlineStr"/>
      <c r="Q209" s="43" t="n">
        <v>5459.95</v>
      </c>
      <c r="R209" s="35" t="inlineStr">
        <is>
          <t>IF(AO209="","",AO209)</t>
        </is>
      </c>
      <c r="S209" s="44" t="n">
        <v>46376</v>
      </c>
      <c r="T209" s="45" t="n">
        <v>6.2</v>
      </c>
      <c r="U209" s="44" t="n">
        <v>46566</v>
      </c>
      <c r="V209" s="35" t="inlineStr">
        <is>
          <t>IF(U209&lt;&gt;"",U209,IF(OR(R209="",T209=""),"",EDATE(R209,T209)))</t>
        </is>
      </c>
      <c r="W209" s="44" t="n"/>
      <c r="X209" s="45" t="n"/>
      <c r="Y209" s="42" t="inlineStr">
        <is>
          <t>Retendered (Re-ITB)</t>
        </is>
      </c>
      <c r="Z209" s="42" t="inlineStr">
        <is>
          <t>Slack period up to end March. Four months construction period starting from April 2026. | Farmer: Sayed Mohammad</t>
        </is>
      </c>
      <c r="AA209" s="32" t="inlineStr">
        <is>
          <t>IF(E209="","",IF(COUNT(AG209:AT209)=0,IF(Y209="","Not started",Y209),SUBSTITUTE(LOOKUP(2,1/(AG209:AT209&lt;&gt;""),$AG$3:$AT$3),"Date: ","")))</t>
        </is>
      </c>
      <c r="AB209" s="38" t="inlineStr">
        <is>
          <t>IF(OR(E209="",COUNT(AG209:AT209)=0),"",TODAY()-LOOKUP(2,1/(AG209:AT209&lt;&gt;""),AG209:AT209))</t>
        </is>
      </c>
      <c r="AC209" s="38" t="inlineStr">
        <is>
          <t>IF(OR(E209="",COUNT(AG209:AT209)&lt;2),"",LOOKUP(2,1/(AG209:AT209&lt;&gt;""),AG209:AT209)-MIN(AG209:AT209))</t>
        </is>
      </c>
      <c r="AD209" s="38" t="inlineStr">
        <is>
          <t>IF(OR(AB209="",AA209="Not started",AA209=""),"",IFERROR(AB209-IF(VLOOKUP(AA209,'04_Status_Pipeline'!$B$3:$E$20,4,FALSE)="",0,VLOOKUP(AA209,'04_Status_Pipeline'!$B$3:$E$20,4,FALSE)),""))</t>
        </is>
      </c>
      <c r="AE209" s="32" t="inlineStr">
        <is>
          <t>IF(E209="","",IF(OR(Y209="Cancelled",AA209="Cancelled"),"Cancelled",IF(OR(AA209="Completed / Handover",W209&lt;&gt;"",X209&gt;=100),"Completed — on track",IF(L209="Remaining",IF(S209="",IF(V209="","No planned date",IF(TODAY()&gt;V209,"Behind — past planned date",IF(V209-TODAY()&lt;=30,"At risk — close to off track","On track"))),IF(TODAY()&gt;S209,"Behind — award date passed",IF(S209-TODAY()&lt;=30,"At risk — close to off track","On track"))),IF(V209="","No planned date",IF(AND(TODAY()&gt;V209,OR(X209="",X209&lt;100)),"Behind — past end date",IF(AND(R209&lt;&gt;"",V209&lt;&gt;"",X209&lt;&gt;"",(X209&lt;100),((TODAY()-R209)/MAX(V209-R209,1)*100)-X209&gt;15),"Behind — progress lag",IF(AND(V209-TODAY()&lt;=30,V209-TODAY()&gt;=0,OR(X209="",X209&lt;90)),"At risk — close to off track","On track"))))))))</t>
        </is>
      </c>
      <c r="AF209" s="38" t="inlineStr">
        <is>
          <t>IF(OR(E209="",AA209="Completed / Handover",AA209="Cancelled"),"",IF(L209="Remaining",IF(S209&lt;&gt;"",S209-TODAY(),IF(V209="","",V209-TODAY())),IF(V209="","",V209-TODAY())))</t>
        </is>
      </c>
      <c r="AG209" s="44" t="n"/>
      <c r="AH209" s="44" t="n"/>
      <c r="AI209" s="44" t="n"/>
      <c r="AJ209" s="44" t="n"/>
      <c r="AK209" s="44" t="n"/>
      <c r="AL209" s="44" t="n"/>
      <c r="AM209" s="44" t="n"/>
      <c r="AN209" s="44" t="n"/>
      <c r="AO209" s="44" t="n"/>
      <c r="AP209" s="44" t="n"/>
      <c r="AQ209" s="44" t="n"/>
      <c r="AR209" s="40" t="n"/>
      <c r="AS209" s="40" t="n"/>
      <c r="AT209" s="40" t="n"/>
      <c r="AU209" s="38" t="inlineStr">
        <is>
          <t>IF(OR(E209="",AH209=""),"",IF(COUNT(AG209:AG209)=0,"",AH209-LOOKUP(2,1/(AG209:AG209&lt;&gt;""),AG209:AG209)))</t>
        </is>
      </c>
      <c r="AV209" s="38" t="inlineStr">
        <is>
          <t>IF(OR(E209="",AI209=""),"",IF(COUNT(AG209:AH209)=0,"",AI209-LOOKUP(2,1/(AG209:AH209&lt;&gt;""),AG209:AH209)))</t>
        </is>
      </c>
      <c r="AW209" s="38" t="inlineStr">
        <is>
          <t>IF(OR(E209="",AJ209=""),"",IF(COUNT(AG209:AI209)=0,"",AJ209-LOOKUP(2,1/(AG209:AI209&lt;&gt;""),AG209:AI209)))</t>
        </is>
      </c>
      <c r="AX209" s="38" t="inlineStr">
        <is>
          <t>IF(OR(E209="",AK209=""),"",IF(COUNT(AG209:AJ209)=0,"",AK209-LOOKUP(2,1/(AG209:AJ209&lt;&gt;""),AG209:AJ209)))</t>
        </is>
      </c>
      <c r="AY209" s="38" t="inlineStr">
        <is>
          <t>IF(OR(E209="",AL209=""),"",IF(COUNT(AG209:AK209)=0,"",AL209-LOOKUP(2,1/(AG209:AK209&lt;&gt;""),AG209:AK209)))</t>
        </is>
      </c>
      <c r="AZ209" s="38" t="inlineStr">
        <is>
          <t>IF(OR(E209="",AM209=""),"",IF(COUNT(AG209:AL209)=0,"",AM209-LOOKUP(2,1/(AG209:AL209&lt;&gt;""),AG209:AL209)))</t>
        </is>
      </c>
      <c r="BA209" s="38" t="inlineStr">
        <is>
          <t>IF(OR(E209="",AN209=""),"",IF(COUNT(AG209:AM209)=0,"",AN209-LOOKUP(2,1/(AG209:AM209&lt;&gt;""),AG209:AM209)))</t>
        </is>
      </c>
      <c r="BB209" s="38" t="inlineStr">
        <is>
          <t>IF(OR(E209="",AO209=""),"",IF(COUNT(AG209:AN209)=0,"",AO209-LOOKUP(2,1/(AG209:AN209&lt;&gt;""),AG209:AN209)))</t>
        </is>
      </c>
      <c r="BC209" s="38" t="inlineStr">
        <is>
          <t>IF(OR(E209="",AP209=""),"",IF(COUNT(AG209:AO209)=0,"",AP209-LOOKUP(2,1/(AG209:AO209&lt;&gt;""),AG209:AO209)))</t>
        </is>
      </c>
      <c r="BD209" s="38" t="inlineStr">
        <is>
          <t>IF(OR(E209="",AQ209=""),"",IF(COUNT(AG209:AP209)=0,"",AQ209-LOOKUP(2,1/(AG209:AP209&lt;&gt;""),AG209:AP209)))</t>
        </is>
      </c>
      <c r="BE209" s="38" t="inlineStr">
        <is>
          <t>IF(OR(E209="",AR209=""),"",IF(COUNT(AG209:AQ209)=0,"",AR209-LOOKUP(2,1/(AG209:AQ209&lt;&gt;""),AG209:AQ209)))</t>
        </is>
      </c>
      <c r="BF209" s="38" t="inlineStr">
        <is>
          <t>IF(OR(E209="",AS209=""),"",IF(COUNT(AG209:AR209)=0,"",AS209-LOOKUP(2,1/(AG209:AR209&lt;&gt;""),AG209:AR209)))</t>
        </is>
      </c>
      <c r="BG209" s="38" t="inlineStr">
        <is>
          <t>IF(OR(E209="",AT209=""),"",IF(COUNT(AG209:AS209)=0,"",AT209-LOOKUP(2,1/(AG209:AS209&lt;&gt;""),AG209:AS209)))</t>
        </is>
      </c>
      <c r="BH209" s="41" t="inlineStr">
        <is>
          <t>IF(G209="","All_Provinces",IFERROR(VLOOKUP(G209,'07_Lookups'!$A$4:$B$20,2,FALSE),"All_Provinces"))</t>
        </is>
      </c>
      <c r="BI209" s="41" t="inlineStr">
        <is>
          <t>IF(H209="","All_Districts",IFERROR(VLOOKUP(H209,'07_Lookups'!$E$4:$F$42,2,FALSE),"All_Districts"))</t>
        </is>
      </c>
    </row>
    <row r="210" ht="18" customHeight="1">
      <c r="A210" s="32" t="inlineStr">
        <is>
          <t>IF(E210="","",ROW()-3)</t>
        </is>
      </c>
      <c r="B210" s="33" t="inlineStr">
        <is>
          <t>AF2-DIS-R-047</t>
        </is>
      </c>
      <c r="C210" s="33" t="inlineStr">
        <is>
          <t>Emergency Food Security Project (EFSP) – WBK/AF-2</t>
        </is>
      </c>
      <c r="D210" s="33" t="inlineStr">
        <is>
          <t>Package #4-WBK/AF2 DIS: Demonstration of 12 Drip irrigation schemes at 4 district sites of 1. Miramor, 2. Shahristan, 3.Nilli, and 4.Sayghan in Daykundi and Bamyan provinces</t>
        </is>
      </c>
      <c r="E210" s="33" t="inlineStr">
        <is>
          <t>Safid Derakht 02 Drip Irrigtion System</t>
        </is>
      </c>
      <c r="F210" s="33" t="inlineStr">
        <is>
          <t>Drip Irrigation</t>
        </is>
      </c>
      <c r="G210" s="33" t="inlineStr">
        <is>
          <t>Central Highland / Bamyan</t>
        </is>
      </c>
      <c r="H210" s="33" t="inlineStr">
        <is>
          <t>Daykundi</t>
        </is>
      </c>
      <c r="I210" s="33" t="inlineStr"/>
      <c r="J210" s="33" t="inlineStr">
        <is>
          <t>Safid Derakht,</t>
        </is>
      </c>
      <c r="K210" s="33" t="inlineStr">
        <is>
          <t>World Bank (WBK/AF-2)</t>
        </is>
      </c>
      <c r="L210" s="33" t="inlineStr">
        <is>
          <t>Remaining</t>
        </is>
      </c>
      <c r="M210" s="33" t="inlineStr">
        <is>
          <t>Drip irrigation</t>
        </is>
      </c>
      <c r="N210" s="33" t="inlineStr">
        <is>
          <t>5. Drip Irrigation systems</t>
        </is>
      </c>
      <c r="O210" s="33" t="inlineStr">
        <is>
          <t>Ghulam Hussain</t>
        </is>
      </c>
      <c r="P210" s="33" t="inlineStr"/>
      <c r="Q210" s="34" t="n">
        <v>3764.17</v>
      </c>
      <c r="R210" s="35" t="inlineStr">
        <is>
          <t>IF(AO210="","",AO210)</t>
        </is>
      </c>
      <c r="S210" s="36" t="n">
        <v>46376</v>
      </c>
      <c r="T210" s="37" t="n">
        <v>6.2</v>
      </c>
      <c r="U210" s="36" t="n">
        <v>46566</v>
      </c>
      <c r="V210" s="35" t="inlineStr">
        <is>
          <t>IF(U210&lt;&gt;"",U210,IF(OR(R210="",T210=""),"",EDATE(R210,T210)))</t>
        </is>
      </c>
      <c r="W210" s="36" t="n"/>
      <c r="X210" s="37" t="n"/>
      <c r="Y210" s="33" t="inlineStr">
        <is>
          <t>Retendered (Re-ITB)</t>
        </is>
      </c>
      <c r="Z210" s="33" t="inlineStr">
        <is>
          <t>Slack period up to end March. Four months construction period starting from April 2026. | Farmer: Ghulam Hussain</t>
        </is>
      </c>
      <c r="AA210" s="32" t="inlineStr">
        <is>
          <t>IF(E210="","",IF(COUNT(AG210:AT210)=0,IF(Y210="","Not started",Y210),SUBSTITUTE(LOOKUP(2,1/(AG210:AT210&lt;&gt;""),$AG$3:$AT$3),"Date: ","")))</t>
        </is>
      </c>
      <c r="AB210" s="38" t="inlineStr">
        <is>
          <t>IF(OR(E210="",COUNT(AG210:AT210)=0),"",TODAY()-LOOKUP(2,1/(AG210:AT210&lt;&gt;""),AG210:AT210))</t>
        </is>
      </c>
      <c r="AC210" s="38" t="inlineStr">
        <is>
          <t>IF(OR(E210="",COUNT(AG210:AT210)&lt;2),"",LOOKUP(2,1/(AG210:AT210&lt;&gt;""),AG210:AT210)-MIN(AG210:AT210))</t>
        </is>
      </c>
      <c r="AD210" s="38" t="inlineStr">
        <is>
          <t>IF(OR(AB210="",AA210="Not started",AA210=""),"",IFERROR(AB210-IF(VLOOKUP(AA210,'04_Status_Pipeline'!$B$3:$E$20,4,FALSE)="",0,VLOOKUP(AA210,'04_Status_Pipeline'!$B$3:$E$20,4,FALSE)),""))</t>
        </is>
      </c>
      <c r="AE210" s="32" t="inlineStr">
        <is>
          <t>IF(E210="","",IF(OR(Y210="Cancelled",AA210="Cancelled"),"Cancelled",IF(OR(AA210="Completed / Handover",W210&lt;&gt;"",X210&gt;=100),"Completed — on track",IF(L210="Remaining",IF(S210="",IF(V210="","No planned date",IF(TODAY()&gt;V210,"Behind — past planned date",IF(V210-TODAY()&lt;=30,"At risk — close to off track","On track"))),IF(TODAY()&gt;S210,"Behind — award date passed",IF(S210-TODAY()&lt;=30,"At risk — close to off track","On track"))),IF(V210="","No planned date",IF(AND(TODAY()&gt;V210,OR(X210="",X210&lt;100)),"Behind — past end date",IF(AND(R210&lt;&gt;"",V210&lt;&gt;"",X210&lt;&gt;"",(X210&lt;100),((TODAY()-R210)/MAX(V210-R210,1)*100)-X210&gt;15),"Behind — progress lag",IF(AND(V210-TODAY()&lt;=30,V210-TODAY()&gt;=0,OR(X210="",X210&lt;90)),"At risk — close to off track","On track"))))))))</t>
        </is>
      </c>
      <c r="AF210" s="38" t="inlineStr">
        <is>
          <t>IF(OR(E210="",AA210="Completed / Handover",AA210="Cancelled"),"",IF(L210="Remaining",IF(S210&lt;&gt;"",S210-TODAY(),IF(V210="","",V210-TODAY())),IF(V210="","",V210-TODAY())))</t>
        </is>
      </c>
      <c r="AG210" s="36" t="n"/>
      <c r="AH210" s="36" t="n"/>
      <c r="AI210" s="36" t="n"/>
      <c r="AJ210" s="36" t="n"/>
      <c r="AK210" s="36" t="n"/>
      <c r="AL210" s="36" t="n"/>
      <c r="AM210" s="36" t="n"/>
      <c r="AN210" s="36" t="n"/>
      <c r="AO210" s="36" t="n"/>
      <c r="AP210" s="36" t="n"/>
      <c r="AQ210" s="36" t="n"/>
      <c r="AR210" s="40" t="n"/>
      <c r="AS210" s="40" t="n"/>
      <c r="AT210" s="40" t="n"/>
      <c r="AU210" s="38" t="inlineStr">
        <is>
          <t>IF(OR(E210="",AH210=""),"",IF(COUNT(AG210:AG210)=0,"",AH210-LOOKUP(2,1/(AG210:AG210&lt;&gt;""),AG210:AG210)))</t>
        </is>
      </c>
      <c r="AV210" s="38" t="inlineStr">
        <is>
          <t>IF(OR(E210="",AI210=""),"",IF(COUNT(AG210:AH210)=0,"",AI210-LOOKUP(2,1/(AG210:AH210&lt;&gt;""),AG210:AH210)))</t>
        </is>
      </c>
      <c r="AW210" s="38" t="inlineStr">
        <is>
          <t>IF(OR(E210="",AJ210=""),"",IF(COUNT(AG210:AI210)=0,"",AJ210-LOOKUP(2,1/(AG210:AI210&lt;&gt;""),AG210:AI210)))</t>
        </is>
      </c>
      <c r="AX210" s="38" t="inlineStr">
        <is>
          <t>IF(OR(E210="",AK210=""),"",IF(COUNT(AG210:AJ210)=0,"",AK210-LOOKUP(2,1/(AG210:AJ210&lt;&gt;""),AG210:AJ210)))</t>
        </is>
      </c>
      <c r="AY210" s="38" t="inlineStr">
        <is>
          <t>IF(OR(E210="",AL210=""),"",IF(COUNT(AG210:AK210)=0,"",AL210-LOOKUP(2,1/(AG210:AK210&lt;&gt;""),AG210:AK210)))</t>
        </is>
      </c>
      <c r="AZ210" s="38" t="inlineStr">
        <is>
          <t>IF(OR(E210="",AM210=""),"",IF(COUNT(AG210:AL210)=0,"",AM210-LOOKUP(2,1/(AG210:AL210&lt;&gt;""),AG210:AL210)))</t>
        </is>
      </c>
      <c r="BA210" s="38" t="inlineStr">
        <is>
          <t>IF(OR(E210="",AN210=""),"",IF(COUNT(AG210:AM210)=0,"",AN210-LOOKUP(2,1/(AG210:AM210&lt;&gt;""),AG210:AM210)))</t>
        </is>
      </c>
      <c r="BB210" s="38" t="inlineStr">
        <is>
          <t>IF(OR(E210="",AO210=""),"",IF(COUNT(AG210:AN210)=0,"",AO210-LOOKUP(2,1/(AG210:AN210&lt;&gt;""),AG210:AN210)))</t>
        </is>
      </c>
      <c r="BC210" s="38" t="inlineStr">
        <is>
          <t>IF(OR(E210="",AP210=""),"",IF(COUNT(AG210:AO210)=0,"",AP210-LOOKUP(2,1/(AG210:AO210&lt;&gt;""),AG210:AO210)))</t>
        </is>
      </c>
      <c r="BD210" s="38" t="inlineStr">
        <is>
          <t>IF(OR(E210="",AQ210=""),"",IF(COUNT(AG210:AP210)=0,"",AQ210-LOOKUP(2,1/(AG210:AP210&lt;&gt;""),AG210:AP210)))</t>
        </is>
      </c>
      <c r="BE210" s="38" t="inlineStr">
        <is>
          <t>IF(OR(E210="",AR210=""),"",IF(COUNT(AG210:AQ210)=0,"",AR210-LOOKUP(2,1/(AG210:AQ210&lt;&gt;""),AG210:AQ210)))</t>
        </is>
      </c>
      <c r="BF210" s="38" t="inlineStr">
        <is>
          <t>IF(OR(E210="",AS210=""),"",IF(COUNT(AG210:AR210)=0,"",AS210-LOOKUP(2,1/(AG210:AR210&lt;&gt;""),AG210:AR210)))</t>
        </is>
      </c>
      <c r="BG210" s="38" t="inlineStr">
        <is>
          <t>IF(OR(E210="",AT210=""),"",IF(COUNT(AG210:AS210)=0,"",AT210-LOOKUP(2,1/(AG210:AS210&lt;&gt;""),AG210:AS210)))</t>
        </is>
      </c>
      <c r="BH210" s="41" t="inlineStr">
        <is>
          <t>IF(G210="","All_Provinces",IFERROR(VLOOKUP(G210,'07_Lookups'!$A$4:$B$20,2,FALSE),"All_Provinces"))</t>
        </is>
      </c>
      <c r="BI210" s="41" t="inlineStr">
        <is>
          <t>IF(H210="","All_Districts",IFERROR(VLOOKUP(H210,'07_Lookups'!$E$4:$F$42,2,FALSE),"All_Districts"))</t>
        </is>
      </c>
    </row>
    <row r="211" ht="18" customHeight="1">
      <c r="A211" s="32" t="inlineStr">
        <is>
          <t>IF(E211="","",ROW()-3)</t>
        </is>
      </c>
      <c r="B211" s="42" t="inlineStr">
        <is>
          <t>AF2-DIS-R-048</t>
        </is>
      </c>
      <c r="C211" s="42" t="inlineStr">
        <is>
          <t>Emergency Food Security Project (EFSP) – WBK/AF-2</t>
        </is>
      </c>
      <c r="D211" s="42" t="inlineStr">
        <is>
          <t>Package #4-WBK/AF2 DIS: Demonstration of 12 Drip irrigation schemes at 4 district sites of 1. Miramor, 2. Shahristan, 3.Nilli, and 4.Sayghan in Daykundi and Bamyan provinces</t>
        </is>
      </c>
      <c r="E211" s="42" t="inlineStr">
        <is>
          <t>Sorkh Nawor Drip Irrigation</t>
        </is>
      </c>
      <c r="F211" s="42" t="inlineStr">
        <is>
          <t>Drip Irrigation</t>
        </is>
      </c>
      <c r="G211" s="42" t="inlineStr">
        <is>
          <t>Central Highland / Bamyan</t>
        </is>
      </c>
      <c r="H211" s="42" t="inlineStr">
        <is>
          <t>Daykundi</t>
        </is>
      </c>
      <c r="I211" s="42" t="inlineStr"/>
      <c r="J211" s="42" t="inlineStr">
        <is>
          <t>Sorkh Nawor</t>
        </is>
      </c>
      <c r="K211" s="42" t="inlineStr">
        <is>
          <t>World Bank (WBK/AF-2)</t>
        </is>
      </c>
      <c r="L211" s="42" t="inlineStr">
        <is>
          <t>Remaining</t>
        </is>
      </c>
      <c r="M211" s="42" t="inlineStr">
        <is>
          <t>Drip irrigation</t>
        </is>
      </c>
      <c r="N211" s="42" t="inlineStr">
        <is>
          <t>5. Drip Irrigation systems</t>
        </is>
      </c>
      <c r="O211" s="42" t="inlineStr">
        <is>
          <t>Reza</t>
        </is>
      </c>
      <c r="P211" s="42" t="inlineStr"/>
      <c r="Q211" s="43" t="n">
        <v>5564.4</v>
      </c>
      <c r="R211" s="35" t="inlineStr">
        <is>
          <t>IF(AO211="","",AO211)</t>
        </is>
      </c>
      <c r="S211" s="44" t="n">
        <v>46376</v>
      </c>
      <c r="T211" s="45" t="n">
        <v>6.2</v>
      </c>
      <c r="U211" s="44" t="n">
        <v>46566</v>
      </c>
      <c r="V211" s="35" t="inlineStr">
        <is>
          <t>IF(U211&lt;&gt;"",U211,IF(OR(R211="",T211=""),"",EDATE(R211,T211)))</t>
        </is>
      </c>
      <c r="W211" s="44" t="n"/>
      <c r="X211" s="45" t="n"/>
      <c r="Y211" s="42" t="inlineStr">
        <is>
          <t>Retendered (Re-ITB)</t>
        </is>
      </c>
      <c r="Z211" s="42" t="inlineStr">
        <is>
          <t>Slack period up to end March. Four months construction period starting from April 2026. | Farmer: Reza</t>
        </is>
      </c>
      <c r="AA211" s="32" t="inlineStr">
        <is>
          <t>IF(E211="","",IF(COUNT(AG211:AT211)=0,IF(Y211="","Not started",Y211),SUBSTITUTE(LOOKUP(2,1/(AG211:AT211&lt;&gt;""),$AG$3:$AT$3),"Date: ","")))</t>
        </is>
      </c>
      <c r="AB211" s="38" t="inlineStr">
        <is>
          <t>IF(OR(E211="",COUNT(AG211:AT211)=0),"",TODAY()-LOOKUP(2,1/(AG211:AT211&lt;&gt;""),AG211:AT211))</t>
        </is>
      </c>
      <c r="AC211" s="38" t="inlineStr">
        <is>
          <t>IF(OR(E211="",COUNT(AG211:AT211)&lt;2),"",LOOKUP(2,1/(AG211:AT211&lt;&gt;""),AG211:AT211)-MIN(AG211:AT211))</t>
        </is>
      </c>
      <c r="AD211" s="38" t="inlineStr">
        <is>
          <t>IF(OR(AB211="",AA211="Not started",AA211=""),"",IFERROR(AB211-IF(VLOOKUP(AA211,'04_Status_Pipeline'!$B$3:$E$20,4,FALSE)="",0,VLOOKUP(AA211,'04_Status_Pipeline'!$B$3:$E$20,4,FALSE)),""))</t>
        </is>
      </c>
      <c r="AE211" s="32" t="inlineStr">
        <is>
          <t>IF(E211="","",IF(OR(Y211="Cancelled",AA211="Cancelled"),"Cancelled",IF(OR(AA211="Completed / Handover",W211&lt;&gt;"",X211&gt;=100),"Completed — on track",IF(L211="Remaining",IF(S211="",IF(V211="","No planned date",IF(TODAY()&gt;V211,"Behind — past planned date",IF(V211-TODAY()&lt;=30,"At risk — close to off track","On track"))),IF(TODAY()&gt;S211,"Behind — award date passed",IF(S211-TODAY()&lt;=30,"At risk — close to off track","On track"))),IF(V211="","No planned date",IF(AND(TODAY()&gt;V211,OR(X211="",X211&lt;100)),"Behind — past end date",IF(AND(R211&lt;&gt;"",V211&lt;&gt;"",X211&lt;&gt;"",(X211&lt;100),((TODAY()-R211)/MAX(V211-R211,1)*100)-X211&gt;15),"Behind — progress lag",IF(AND(V211-TODAY()&lt;=30,V211-TODAY()&gt;=0,OR(X211="",X211&lt;90)),"At risk — close to off track","On track"))))))))</t>
        </is>
      </c>
      <c r="AF211" s="38" t="inlineStr">
        <is>
          <t>IF(OR(E211="",AA211="Completed / Handover",AA211="Cancelled"),"",IF(L211="Remaining",IF(S211&lt;&gt;"",S211-TODAY(),IF(V211="","",V211-TODAY())),IF(V211="","",V211-TODAY())))</t>
        </is>
      </c>
      <c r="AG211" s="44" t="n"/>
      <c r="AH211" s="44" t="n"/>
      <c r="AI211" s="44" t="n"/>
      <c r="AJ211" s="44" t="n"/>
      <c r="AK211" s="44" t="n"/>
      <c r="AL211" s="44" t="n"/>
      <c r="AM211" s="44" t="n"/>
      <c r="AN211" s="44" t="n"/>
      <c r="AO211" s="44" t="n"/>
      <c r="AP211" s="44" t="n"/>
      <c r="AQ211" s="44" t="n"/>
      <c r="AR211" s="40" t="n"/>
      <c r="AS211" s="40" t="n"/>
      <c r="AT211" s="40" t="n"/>
      <c r="AU211" s="38" t="inlineStr">
        <is>
          <t>IF(OR(E211="",AH211=""),"",IF(COUNT(AG211:AG211)=0,"",AH211-LOOKUP(2,1/(AG211:AG211&lt;&gt;""),AG211:AG211)))</t>
        </is>
      </c>
      <c r="AV211" s="38" t="inlineStr">
        <is>
          <t>IF(OR(E211="",AI211=""),"",IF(COUNT(AG211:AH211)=0,"",AI211-LOOKUP(2,1/(AG211:AH211&lt;&gt;""),AG211:AH211)))</t>
        </is>
      </c>
      <c r="AW211" s="38" t="inlineStr">
        <is>
          <t>IF(OR(E211="",AJ211=""),"",IF(COUNT(AG211:AI211)=0,"",AJ211-LOOKUP(2,1/(AG211:AI211&lt;&gt;""),AG211:AI211)))</t>
        </is>
      </c>
      <c r="AX211" s="38" t="inlineStr">
        <is>
          <t>IF(OR(E211="",AK211=""),"",IF(COUNT(AG211:AJ211)=0,"",AK211-LOOKUP(2,1/(AG211:AJ211&lt;&gt;""),AG211:AJ211)))</t>
        </is>
      </c>
      <c r="AY211" s="38" t="inlineStr">
        <is>
          <t>IF(OR(E211="",AL211=""),"",IF(COUNT(AG211:AK211)=0,"",AL211-LOOKUP(2,1/(AG211:AK211&lt;&gt;""),AG211:AK211)))</t>
        </is>
      </c>
      <c r="AZ211" s="38" t="inlineStr">
        <is>
          <t>IF(OR(E211="",AM211=""),"",IF(COUNT(AG211:AL211)=0,"",AM211-LOOKUP(2,1/(AG211:AL211&lt;&gt;""),AG211:AL211)))</t>
        </is>
      </c>
      <c r="BA211" s="38" t="inlineStr">
        <is>
          <t>IF(OR(E211="",AN211=""),"",IF(COUNT(AG211:AM211)=0,"",AN211-LOOKUP(2,1/(AG211:AM211&lt;&gt;""),AG211:AM211)))</t>
        </is>
      </c>
      <c r="BB211" s="38" t="inlineStr">
        <is>
          <t>IF(OR(E211="",AO211=""),"",IF(COUNT(AG211:AN211)=0,"",AO211-LOOKUP(2,1/(AG211:AN211&lt;&gt;""),AG211:AN211)))</t>
        </is>
      </c>
      <c r="BC211" s="38" t="inlineStr">
        <is>
          <t>IF(OR(E211="",AP211=""),"",IF(COUNT(AG211:AO211)=0,"",AP211-LOOKUP(2,1/(AG211:AO211&lt;&gt;""),AG211:AO211)))</t>
        </is>
      </c>
      <c r="BD211" s="38" t="inlineStr">
        <is>
          <t>IF(OR(E211="",AQ211=""),"",IF(COUNT(AG211:AP211)=0,"",AQ211-LOOKUP(2,1/(AG211:AP211&lt;&gt;""),AG211:AP211)))</t>
        </is>
      </c>
      <c r="BE211" s="38" t="inlineStr">
        <is>
          <t>IF(OR(E211="",AR211=""),"",IF(COUNT(AG211:AQ211)=0,"",AR211-LOOKUP(2,1/(AG211:AQ211&lt;&gt;""),AG211:AQ211)))</t>
        </is>
      </c>
      <c r="BF211" s="38" t="inlineStr">
        <is>
          <t>IF(OR(E211="",AS211=""),"",IF(COUNT(AG211:AR211)=0,"",AS211-LOOKUP(2,1/(AG211:AR211&lt;&gt;""),AG211:AR211)))</t>
        </is>
      </c>
      <c r="BG211" s="38" t="inlineStr">
        <is>
          <t>IF(OR(E211="",AT211=""),"",IF(COUNT(AG211:AS211)=0,"",AT211-LOOKUP(2,1/(AG211:AS211&lt;&gt;""),AG211:AS211)))</t>
        </is>
      </c>
      <c r="BH211" s="41" t="inlineStr">
        <is>
          <t>IF(G211="","All_Provinces",IFERROR(VLOOKUP(G211,'07_Lookups'!$A$4:$B$20,2,FALSE),"All_Provinces"))</t>
        </is>
      </c>
      <c r="BI211" s="41" t="inlineStr">
        <is>
          <t>IF(H211="","All_Districts",IFERROR(VLOOKUP(H211,'07_Lookups'!$E$4:$F$42,2,FALSE),"All_Districts"))</t>
        </is>
      </c>
    </row>
    <row r="212" ht="18" customHeight="1">
      <c r="A212" s="32" t="inlineStr">
        <is>
          <t>IF(E212="","",ROW()-3)</t>
        </is>
      </c>
      <c r="B212" s="33" t="inlineStr">
        <is>
          <t>AF2-DIS-R-049</t>
        </is>
      </c>
      <c r="C212" s="33" t="inlineStr">
        <is>
          <t>Emergency Food Security Project (EFSP) – WBK/AF-2</t>
        </is>
      </c>
      <c r="D212" s="33" t="inlineStr">
        <is>
          <t>Package #4-WBK/AF2 DIS: Demonstration of 12 Drip irrigation schemes at 4 district sites of 1. Miramor, 2. Shahristan, 3.Nilli, and 4.Sayghan in Daykundi and Bamyan provinces</t>
        </is>
      </c>
      <c r="E212" s="33" t="inlineStr">
        <is>
          <t>Gorg Kosht Drip Irrigation system</t>
        </is>
      </c>
      <c r="F212" s="33" t="inlineStr">
        <is>
          <t>Drip Irrigation</t>
        </is>
      </c>
      <c r="G212" s="33" t="inlineStr">
        <is>
          <t>Central Highland / Bamyan</t>
        </is>
      </c>
      <c r="H212" s="33" t="inlineStr">
        <is>
          <t>Daykundi</t>
        </is>
      </c>
      <c r="I212" s="33" t="inlineStr"/>
      <c r="J212" s="33" t="inlineStr">
        <is>
          <t>Gorg Koshta</t>
        </is>
      </c>
      <c r="K212" s="33" t="inlineStr">
        <is>
          <t>World Bank (WBK/AF-2)</t>
        </is>
      </c>
      <c r="L212" s="33" t="inlineStr">
        <is>
          <t>Remaining</t>
        </is>
      </c>
      <c r="M212" s="33" t="inlineStr">
        <is>
          <t>Drip irrigation</t>
        </is>
      </c>
      <c r="N212" s="33" t="inlineStr">
        <is>
          <t>5. Drip Irrigation systems</t>
        </is>
      </c>
      <c r="O212" s="33" t="inlineStr">
        <is>
          <t>Ahmad</t>
        </is>
      </c>
      <c r="P212" s="33" t="inlineStr"/>
      <c r="Q212" s="34" t="n">
        <v>3484.2</v>
      </c>
      <c r="R212" s="35" t="inlineStr">
        <is>
          <t>IF(AO212="","",AO212)</t>
        </is>
      </c>
      <c r="S212" s="36" t="n">
        <v>46376</v>
      </c>
      <c r="T212" s="37" t="n">
        <v>6.2</v>
      </c>
      <c r="U212" s="36" t="n">
        <v>46566</v>
      </c>
      <c r="V212" s="35" t="inlineStr">
        <is>
          <t>IF(U212&lt;&gt;"",U212,IF(OR(R212="",T212=""),"",EDATE(R212,T212)))</t>
        </is>
      </c>
      <c r="W212" s="36" t="n"/>
      <c r="X212" s="37" t="n"/>
      <c r="Y212" s="33" t="inlineStr">
        <is>
          <t>Retendered (Re-ITB)</t>
        </is>
      </c>
      <c r="Z212" s="33" t="inlineStr">
        <is>
          <t>Slack period up to end March. Four months construction period starting from April 2026. | Farmer: Ahmad</t>
        </is>
      </c>
      <c r="AA212" s="32" t="inlineStr">
        <is>
          <t>IF(E212="","",IF(COUNT(AG212:AT212)=0,IF(Y212="","Not started",Y212),SUBSTITUTE(LOOKUP(2,1/(AG212:AT212&lt;&gt;""),$AG$3:$AT$3),"Date: ","")))</t>
        </is>
      </c>
      <c r="AB212" s="38" t="inlineStr">
        <is>
          <t>IF(OR(E212="",COUNT(AG212:AT212)=0),"",TODAY()-LOOKUP(2,1/(AG212:AT212&lt;&gt;""),AG212:AT212))</t>
        </is>
      </c>
      <c r="AC212" s="38" t="inlineStr">
        <is>
          <t>IF(OR(E212="",COUNT(AG212:AT212)&lt;2),"",LOOKUP(2,1/(AG212:AT212&lt;&gt;""),AG212:AT212)-MIN(AG212:AT212))</t>
        </is>
      </c>
      <c r="AD212" s="38" t="inlineStr">
        <is>
          <t>IF(OR(AB212="",AA212="Not started",AA212=""),"",IFERROR(AB212-IF(VLOOKUP(AA212,'04_Status_Pipeline'!$B$3:$E$20,4,FALSE)="",0,VLOOKUP(AA212,'04_Status_Pipeline'!$B$3:$E$20,4,FALSE)),""))</t>
        </is>
      </c>
      <c r="AE212" s="32" t="inlineStr">
        <is>
          <t>IF(E212="","",IF(OR(Y212="Cancelled",AA212="Cancelled"),"Cancelled",IF(OR(AA212="Completed / Handover",W212&lt;&gt;"",X212&gt;=100),"Completed — on track",IF(L212="Remaining",IF(S212="",IF(V212="","No planned date",IF(TODAY()&gt;V212,"Behind — past planned date",IF(V212-TODAY()&lt;=30,"At risk — close to off track","On track"))),IF(TODAY()&gt;S212,"Behind — award date passed",IF(S212-TODAY()&lt;=30,"At risk — close to off track","On track"))),IF(V212="","No planned date",IF(AND(TODAY()&gt;V212,OR(X212="",X212&lt;100)),"Behind — past end date",IF(AND(R212&lt;&gt;"",V212&lt;&gt;"",X212&lt;&gt;"",(X212&lt;100),((TODAY()-R212)/MAX(V212-R212,1)*100)-X212&gt;15),"Behind — progress lag",IF(AND(V212-TODAY()&lt;=30,V212-TODAY()&gt;=0,OR(X212="",X212&lt;90)),"At risk — close to off track","On track"))))))))</t>
        </is>
      </c>
      <c r="AF212" s="38" t="inlineStr">
        <is>
          <t>IF(OR(E212="",AA212="Completed / Handover",AA212="Cancelled"),"",IF(L212="Remaining",IF(S212&lt;&gt;"",S212-TODAY(),IF(V212="","",V212-TODAY())),IF(V212="","",V212-TODAY())))</t>
        </is>
      </c>
      <c r="AG212" s="36" t="n"/>
      <c r="AH212" s="36" t="n"/>
      <c r="AI212" s="36" t="n"/>
      <c r="AJ212" s="36" t="n"/>
      <c r="AK212" s="36" t="n"/>
      <c r="AL212" s="36" t="n"/>
      <c r="AM212" s="36" t="n"/>
      <c r="AN212" s="36" t="n"/>
      <c r="AO212" s="36" t="n"/>
      <c r="AP212" s="36" t="n"/>
      <c r="AQ212" s="36" t="n"/>
      <c r="AR212" s="40" t="n"/>
      <c r="AS212" s="40" t="n"/>
      <c r="AT212" s="40" t="n"/>
      <c r="AU212" s="38" t="inlineStr">
        <is>
          <t>IF(OR(E212="",AH212=""),"",IF(COUNT(AG212:AG212)=0,"",AH212-LOOKUP(2,1/(AG212:AG212&lt;&gt;""),AG212:AG212)))</t>
        </is>
      </c>
      <c r="AV212" s="38" t="inlineStr">
        <is>
          <t>IF(OR(E212="",AI212=""),"",IF(COUNT(AG212:AH212)=0,"",AI212-LOOKUP(2,1/(AG212:AH212&lt;&gt;""),AG212:AH212)))</t>
        </is>
      </c>
      <c r="AW212" s="38" t="inlineStr">
        <is>
          <t>IF(OR(E212="",AJ212=""),"",IF(COUNT(AG212:AI212)=0,"",AJ212-LOOKUP(2,1/(AG212:AI212&lt;&gt;""),AG212:AI212)))</t>
        </is>
      </c>
      <c r="AX212" s="38" t="inlineStr">
        <is>
          <t>IF(OR(E212="",AK212=""),"",IF(COUNT(AG212:AJ212)=0,"",AK212-LOOKUP(2,1/(AG212:AJ212&lt;&gt;""),AG212:AJ212)))</t>
        </is>
      </c>
      <c r="AY212" s="38" t="inlineStr">
        <is>
          <t>IF(OR(E212="",AL212=""),"",IF(COUNT(AG212:AK212)=0,"",AL212-LOOKUP(2,1/(AG212:AK212&lt;&gt;""),AG212:AK212)))</t>
        </is>
      </c>
      <c r="AZ212" s="38" t="inlineStr">
        <is>
          <t>IF(OR(E212="",AM212=""),"",IF(COUNT(AG212:AL212)=0,"",AM212-LOOKUP(2,1/(AG212:AL212&lt;&gt;""),AG212:AL212)))</t>
        </is>
      </c>
      <c r="BA212" s="38" t="inlineStr">
        <is>
          <t>IF(OR(E212="",AN212=""),"",IF(COUNT(AG212:AM212)=0,"",AN212-LOOKUP(2,1/(AG212:AM212&lt;&gt;""),AG212:AM212)))</t>
        </is>
      </c>
      <c r="BB212" s="38" t="inlineStr">
        <is>
          <t>IF(OR(E212="",AO212=""),"",IF(COUNT(AG212:AN212)=0,"",AO212-LOOKUP(2,1/(AG212:AN212&lt;&gt;""),AG212:AN212)))</t>
        </is>
      </c>
      <c r="BC212" s="38" t="inlineStr">
        <is>
          <t>IF(OR(E212="",AP212=""),"",IF(COUNT(AG212:AO212)=0,"",AP212-LOOKUP(2,1/(AG212:AO212&lt;&gt;""),AG212:AO212)))</t>
        </is>
      </c>
      <c r="BD212" s="38" t="inlineStr">
        <is>
          <t>IF(OR(E212="",AQ212=""),"",IF(COUNT(AG212:AP212)=0,"",AQ212-LOOKUP(2,1/(AG212:AP212&lt;&gt;""),AG212:AP212)))</t>
        </is>
      </c>
      <c r="BE212" s="38" t="inlineStr">
        <is>
          <t>IF(OR(E212="",AR212=""),"",IF(COUNT(AG212:AQ212)=0,"",AR212-LOOKUP(2,1/(AG212:AQ212&lt;&gt;""),AG212:AQ212)))</t>
        </is>
      </c>
      <c r="BF212" s="38" t="inlineStr">
        <is>
          <t>IF(OR(E212="",AS212=""),"",IF(COUNT(AG212:AR212)=0,"",AS212-LOOKUP(2,1/(AG212:AR212&lt;&gt;""),AG212:AR212)))</t>
        </is>
      </c>
      <c r="BG212" s="38" t="inlineStr">
        <is>
          <t>IF(OR(E212="",AT212=""),"",IF(COUNT(AG212:AS212)=0,"",AT212-LOOKUP(2,1/(AG212:AS212&lt;&gt;""),AG212:AS212)))</t>
        </is>
      </c>
      <c r="BH212" s="41" t="inlineStr">
        <is>
          <t>IF(G212="","All_Provinces",IFERROR(VLOOKUP(G212,'07_Lookups'!$A$4:$B$20,2,FALSE),"All_Provinces"))</t>
        </is>
      </c>
      <c r="BI212" s="41" t="inlineStr">
        <is>
          <t>IF(H212="","All_Districts",IFERROR(VLOOKUP(H212,'07_Lookups'!$E$4:$F$42,2,FALSE),"All_Districts"))</t>
        </is>
      </c>
    </row>
    <row r="213" ht="18" customHeight="1">
      <c r="A213" s="32" t="inlineStr">
        <is>
          <t>IF(E213="","",ROW()-3)</t>
        </is>
      </c>
      <c r="B213" s="42" t="inlineStr">
        <is>
          <t>AF2-DIS-R-050</t>
        </is>
      </c>
      <c r="C213" s="42" t="inlineStr">
        <is>
          <t>Emergency Food Security Project (EFSP) – WBK/AF-2</t>
        </is>
      </c>
      <c r="D213" s="42" t="inlineStr">
        <is>
          <t>Package #4-WBK/AF2 DIS: Demonstration of 12 Drip irrigation schemes at 4 district sites of 1. Miramor, 2. Shahristan, 3.Nilli, and 4.Sayghan in Daykundi and Bamyan provinces</t>
        </is>
      </c>
      <c r="E213" s="42" t="inlineStr">
        <is>
          <t>Hejdi Drip irrigatio System</t>
        </is>
      </c>
      <c r="F213" s="42" t="inlineStr">
        <is>
          <t>Drip Irrigation</t>
        </is>
      </c>
      <c r="G213" s="42" t="inlineStr">
        <is>
          <t>Central Highland / Bamyan</t>
        </is>
      </c>
      <c r="H213" s="42" t="inlineStr">
        <is>
          <t>Daykundi</t>
        </is>
      </c>
      <c r="I213" s="42" t="inlineStr"/>
      <c r="J213" s="42" t="inlineStr">
        <is>
          <t>Hijdi</t>
        </is>
      </c>
      <c r="K213" s="42" t="inlineStr">
        <is>
          <t>World Bank (WBK/AF-2)</t>
        </is>
      </c>
      <c r="L213" s="42" t="inlineStr">
        <is>
          <t>Remaining</t>
        </is>
      </c>
      <c r="M213" s="42" t="inlineStr">
        <is>
          <t>Drip irrigation</t>
        </is>
      </c>
      <c r="N213" s="42" t="inlineStr">
        <is>
          <t>5. Drip Irrigation systems</t>
        </is>
      </c>
      <c r="O213" s="42" t="inlineStr">
        <is>
          <t>Mohammad Ali</t>
        </is>
      </c>
      <c r="P213" s="42" t="inlineStr"/>
      <c r="Q213" s="43" t="n">
        <v>4425.06</v>
      </c>
      <c r="R213" s="35" t="inlineStr">
        <is>
          <t>IF(AO213="","",AO213)</t>
        </is>
      </c>
      <c r="S213" s="44" t="n">
        <v>46376</v>
      </c>
      <c r="T213" s="45" t="n">
        <v>6.2</v>
      </c>
      <c r="U213" s="44" t="n">
        <v>46566</v>
      </c>
      <c r="V213" s="35" t="inlineStr">
        <is>
          <t>IF(U213&lt;&gt;"",U213,IF(OR(R213="",T213=""),"",EDATE(R213,T213)))</t>
        </is>
      </c>
      <c r="W213" s="44" t="n"/>
      <c r="X213" s="45" t="n"/>
      <c r="Y213" s="42" t="inlineStr">
        <is>
          <t>Retendered (Re-ITB)</t>
        </is>
      </c>
      <c r="Z213" s="42" t="inlineStr">
        <is>
          <t>Slack period up to end March. Four months construction period starting from April 2026. | Farmer: Mohammad Ali</t>
        </is>
      </c>
      <c r="AA213" s="32" t="inlineStr">
        <is>
          <t>IF(E213="","",IF(COUNT(AG213:AT213)=0,IF(Y213="","Not started",Y213),SUBSTITUTE(LOOKUP(2,1/(AG213:AT213&lt;&gt;""),$AG$3:$AT$3),"Date: ","")))</t>
        </is>
      </c>
      <c r="AB213" s="38" t="inlineStr">
        <is>
          <t>IF(OR(E213="",COUNT(AG213:AT213)=0),"",TODAY()-LOOKUP(2,1/(AG213:AT213&lt;&gt;""),AG213:AT213))</t>
        </is>
      </c>
      <c r="AC213" s="38" t="inlineStr">
        <is>
          <t>IF(OR(E213="",COUNT(AG213:AT213)&lt;2),"",LOOKUP(2,1/(AG213:AT213&lt;&gt;""),AG213:AT213)-MIN(AG213:AT213))</t>
        </is>
      </c>
      <c r="AD213" s="38" t="inlineStr">
        <is>
          <t>IF(OR(AB213="",AA213="Not started",AA213=""),"",IFERROR(AB213-IF(VLOOKUP(AA213,'04_Status_Pipeline'!$B$3:$E$20,4,FALSE)="",0,VLOOKUP(AA213,'04_Status_Pipeline'!$B$3:$E$20,4,FALSE)),""))</t>
        </is>
      </c>
      <c r="AE213" s="32" t="inlineStr">
        <is>
          <t>IF(E213="","",IF(OR(Y213="Cancelled",AA213="Cancelled"),"Cancelled",IF(OR(AA213="Completed / Handover",W213&lt;&gt;"",X213&gt;=100),"Completed — on track",IF(L213="Remaining",IF(S213="",IF(V213="","No planned date",IF(TODAY()&gt;V213,"Behind — past planned date",IF(V213-TODAY()&lt;=30,"At risk — close to off track","On track"))),IF(TODAY()&gt;S213,"Behind — award date passed",IF(S213-TODAY()&lt;=30,"At risk — close to off track","On track"))),IF(V213="","No planned date",IF(AND(TODAY()&gt;V213,OR(X213="",X213&lt;100)),"Behind — past end date",IF(AND(R213&lt;&gt;"",V213&lt;&gt;"",X213&lt;&gt;"",(X213&lt;100),((TODAY()-R213)/MAX(V213-R213,1)*100)-X213&gt;15),"Behind — progress lag",IF(AND(V213-TODAY()&lt;=30,V213-TODAY()&gt;=0,OR(X213="",X213&lt;90)),"At risk — close to off track","On track"))))))))</t>
        </is>
      </c>
      <c r="AF213" s="38" t="inlineStr">
        <is>
          <t>IF(OR(E213="",AA213="Completed / Handover",AA213="Cancelled"),"",IF(L213="Remaining",IF(S213&lt;&gt;"",S213-TODAY(),IF(V213="","",V213-TODAY())),IF(V213="","",V213-TODAY())))</t>
        </is>
      </c>
      <c r="AG213" s="44" t="n"/>
      <c r="AH213" s="44" t="n"/>
      <c r="AI213" s="44" t="n"/>
      <c r="AJ213" s="44" t="n"/>
      <c r="AK213" s="44" t="n"/>
      <c r="AL213" s="44" t="n"/>
      <c r="AM213" s="44" t="n"/>
      <c r="AN213" s="44" t="n"/>
      <c r="AO213" s="44" t="n"/>
      <c r="AP213" s="44" t="n"/>
      <c r="AQ213" s="44" t="n"/>
      <c r="AR213" s="40" t="n"/>
      <c r="AS213" s="40" t="n"/>
      <c r="AT213" s="40" t="n"/>
      <c r="AU213" s="38" t="inlineStr">
        <is>
          <t>IF(OR(E213="",AH213=""),"",IF(COUNT(AG213:AG213)=0,"",AH213-LOOKUP(2,1/(AG213:AG213&lt;&gt;""),AG213:AG213)))</t>
        </is>
      </c>
      <c r="AV213" s="38" t="inlineStr">
        <is>
          <t>IF(OR(E213="",AI213=""),"",IF(COUNT(AG213:AH213)=0,"",AI213-LOOKUP(2,1/(AG213:AH213&lt;&gt;""),AG213:AH213)))</t>
        </is>
      </c>
      <c r="AW213" s="38" t="inlineStr">
        <is>
          <t>IF(OR(E213="",AJ213=""),"",IF(COUNT(AG213:AI213)=0,"",AJ213-LOOKUP(2,1/(AG213:AI213&lt;&gt;""),AG213:AI213)))</t>
        </is>
      </c>
      <c r="AX213" s="38" t="inlineStr">
        <is>
          <t>IF(OR(E213="",AK213=""),"",IF(COUNT(AG213:AJ213)=0,"",AK213-LOOKUP(2,1/(AG213:AJ213&lt;&gt;""),AG213:AJ213)))</t>
        </is>
      </c>
      <c r="AY213" s="38" t="inlineStr">
        <is>
          <t>IF(OR(E213="",AL213=""),"",IF(COUNT(AG213:AK213)=0,"",AL213-LOOKUP(2,1/(AG213:AK213&lt;&gt;""),AG213:AK213)))</t>
        </is>
      </c>
      <c r="AZ213" s="38" t="inlineStr">
        <is>
          <t>IF(OR(E213="",AM213=""),"",IF(COUNT(AG213:AL213)=0,"",AM213-LOOKUP(2,1/(AG213:AL213&lt;&gt;""),AG213:AL213)))</t>
        </is>
      </c>
      <c r="BA213" s="38" t="inlineStr">
        <is>
          <t>IF(OR(E213="",AN213=""),"",IF(COUNT(AG213:AM213)=0,"",AN213-LOOKUP(2,1/(AG213:AM213&lt;&gt;""),AG213:AM213)))</t>
        </is>
      </c>
      <c r="BB213" s="38" t="inlineStr">
        <is>
          <t>IF(OR(E213="",AO213=""),"",IF(COUNT(AG213:AN213)=0,"",AO213-LOOKUP(2,1/(AG213:AN213&lt;&gt;""),AG213:AN213)))</t>
        </is>
      </c>
      <c r="BC213" s="38" t="inlineStr">
        <is>
          <t>IF(OR(E213="",AP213=""),"",IF(COUNT(AG213:AO213)=0,"",AP213-LOOKUP(2,1/(AG213:AO213&lt;&gt;""),AG213:AO213)))</t>
        </is>
      </c>
      <c r="BD213" s="38" t="inlineStr">
        <is>
          <t>IF(OR(E213="",AQ213=""),"",IF(COUNT(AG213:AP213)=0,"",AQ213-LOOKUP(2,1/(AG213:AP213&lt;&gt;""),AG213:AP213)))</t>
        </is>
      </c>
      <c r="BE213" s="38" t="inlineStr">
        <is>
          <t>IF(OR(E213="",AR213=""),"",IF(COUNT(AG213:AQ213)=0,"",AR213-LOOKUP(2,1/(AG213:AQ213&lt;&gt;""),AG213:AQ213)))</t>
        </is>
      </c>
      <c r="BF213" s="38" t="inlineStr">
        <is>
          <t>IF(OR(E213="",AS213=""),"",IF(COUNT(AG213:AR213)=0,"",AS213-LOOKUP(2,1/(AG213:AR213&lt;&gt;""),AG213:AR213)))</t>
        </is>
      </c>
      <c r="BG213" s="38" t="inlineStr">
        <is>
          <t>IF(OR(E213="",AT213=""),"",IF(COUNT(AG213:AS213)=0,"",AT213-LOOKUP(2,1/(AG213:AS213&lt;&gt;""),AG213:AS213)))</t>
        </is>
      </c>
      <c r="BH213" s="41" t="inlineStr">
        <is>
          <t>IF(G213="","All_Provinces",IFERROR(VLOOKUP(G213,'07_Lookups'!$A$4:$B$20,2,FALSE),"All_Provinces"))</t>
        </is>
      </c>
      <c r="BI213" s="41" t="inlineStr">
        <is>
          <t>IF(H213="","All_Districts",IFERROR(VLOOKUP(H213,'07_Lookups'!$E$4:$F$42,2,FALSE),"All_Districts"))</t>
        </is>
      </c>
    </row>
    <row r="214" ht="18" customHeight="1">
      <c r="A214" s="32" t="inlineStr">
        <is>
          <t>IF(E214="","",ROW()-3)</t>
        </is>
      </c>
      <c r="B214" s="33" t="inlineStr">
        <is>
          <t>AF2-DIS-R-051</t>
        </is>
      </c>
      <c r="C214" s="33" t="inlineStr">
        <is>
          <t>Emergency Food Security Project (EFSP) – WBK/AF-2</t>
        </is>
      </c>
      <c r="D214" s="33" t="inlineStr">
        <is>
          <t>Package #4-WBK/AF2 DIS: Demonstration of 12 Drip irrigation schemes at 4 district sites of 1. Miramor, 2. Shahristan, 3.Nilli, and 4.Sayghan in Daykundi and Bamyan provinces</t>
        </is>
      </c>
      <c r="E214" s="33" t="inlineStr">
        <is>
          <t>Khawalak Drip irrigatio SYSTEM</t>
        </is>
      </c>
      <c r="F214" s="33" t="inlineStr">
        <is>
          <t>Drip Irrigation</t>
        </is>
      </c>
      <c r="G214" s="33" t="inlineStr">
        <is>
          <t>Central Highland / Bamyan</t>
        </is>
      </c>
      <c r="H214" s="33" t="inlineStr">
        <is>
          <t>Daykundi</t>
        </is>
      </c>
      <c r="I214" s="33" t="inlineStr"/>
      <c r="J214" s="33" t="inlineStr">
        <is>
          <t>Khawalak</t>
        </is>
      </c>
      <c r="K214" s="33" t="inlineStr">
        <is>
          <t>World Bank (WBK/AF-2)</t>
        </is>
      </c>
      <c r="L214" s="33" t="inlineStr">
        <is>
          <t>Remaining</t>
        </is>
      </c>
      <c r="M214" s="33" t="inlineStr">
        <is>
          <t>Drip irrigation</t>
        </is>
      </c>
      <c r="N214" s="33" t="inlineStr">
        <is>
          <t>5. Drip Irrigation systems</t>
        </is>
      </c>
      <c r="O214" s="33" t="inlineStr">
        <is>
          <t>Ali Dost</t>
        </is>
      </c>
      <c r="P214" s="33" t="inlineStr"/>
      <c r="Q214" s="34" t="n">
        <v>3573.45</v>
      </c>
      <c r="R214" s="35" t="inlineStr">
        <is>
          <t>IF(AO214="","",AO214)</t>
        </is>
      </c>
      <c r="S214" s="36" t="n">
        <v>46376</v>
      </c>
      <c r="T214" s="37" t="n">
        <v>6.2</v>
      </c>
      <c r="U214" s="36" t="n">
        <v>46566</v>
      </c>
      <c r="V214" s="35" t="inlineStr">
        <is>
          <t>IF(U214&lt;&gt;"",U214,IF(OR(R214="",T214=""),"",EDATE(R214,T214)))</t>
        </is>
      </c>
      <c r="W214" s="36" t="n"/>
      <c r="X214" s="37" t="n"/>
      <c r="Y214" s="33" t="inlineStr">
        <is>
          <t>Retendered (Re-ITB)</t>
        </is>
      </c>
      <c r="Z214" s="33" t="inlineStr">
        <is>
          <t>Slack period up to end March. Four months construction period starting from April 2026. | Farmer: Ali Dost</t>
        </is>
      </c>
      <c r="AA214" s="32" t="inlineStr">
        <is>
          <t>IF(E214="","",IF(COUNT(AG214:AT214)=0,IF(Y214="","Not started",Y214),SUBSTITUTE(LOOKUP(2,1/(AG214:AT214&lt;&gt;""),$AG$3:$AT$3),"Date: ","")))</t>
        </is>
      </c>
      <c r="AB214" s="38" t="inlineStr">
        <is>
          <t>IF(OR(E214="",COUNT(AG214:AT214)=0),"",TODAY()-LOOKUP(2,1/(AG214:AT214&lt;&gt;""),AG214:AT214))</t>
        </is>
      </c>
      <c r="AC214" s="38" t="inlineStr">
        <is>
          <t>IF(OR(E214="",COUNT(AG214:AT214)&lt;2),"",LOOKUP(2,1/(AG214:AT214&lt;&gt;""),AG214:AT214)-MIN(AG214:AT214))</t>
        </is>
      </c>
      <c r="AD214" s="38" t="inlineStr">
        <is>
          <t>IF(OR(AB214="",AA214="Not started",AA214=""),"",IFERROR(AB214-IF(VLOOKUP(AA214,'04_Status_Pipeline'!$B$3:$E$20,4,FALSE)="",0,VLOOKUP(AA214,'04_Status_Pipeline'!$B$3:$E$20,4,FALSE)),""))</t>
        </is>
      </c>
      <c r="AE214" s="32" t="inlineStr">
        <is>
          <t>IF(E214="","",IF(OR(Y214="Cancelled",AA214="Cancelled"),"Cancelled",IF(OR(AA214="Completed / Handover",W214&lt;&gt;"",X214&gt;=100),"Completed — on track",IF(L214="Remaining",IF(S214="",IF(V214="","No planned date",IF(TODAY()&gt;V214,"Behind — past planned date",IF(V214-TODAY()&lt;=30,"At risk — close to off track","On track"))),IF(TODAY()&gt;S214,"Behind — award date passed",IF(S214-TODAY()&lt;=30,"At risk — close to off track","On track"))),IF(V214="","No planned date",IF(AND(TODAY()&gt;V214,OR(X214="",X214&lt;100)),"Behind — past end date",IF(AND(R214&lt;&gt;"",V214&lt;&gt;"",X214&lt;&gt;"",(X214&lt;100),((TODAY()-R214)/MAX(V214-R214,1)*100)-X214&gt;15),"Behind — progress lag",IF(AND(V214-TODAY()&lt;=30,V214-TODAY()&gt;=0,OR(X214="",X214&lt;90)),"At risk — close to off track","On track"))))))))</t>
        </is>
      </c>
      <c r="AF214" s="38" t="inlineStr">
        <is>
          <t>IF(OR(E214="",AA214="Completed / Handover",AA214="Cancelled"),"",IF(L214="Remaining",IF(S214&lt;&gt;"",S214-TODAY(),IF(V214="","",V214-TODAY())),IF(V214="","",V214-TODAY())))</t>
        </is>
      </c>
      <c r="AG214" s="36" t="n"/>
      <c r="AH214" s="36" t="n"/>
      <c r="AI214" s="36" t="n"/>
      <c r="AJ214" s="36" t="n"/>
      <c r="AK214" s="36" t="n"/>
      <c r="AL214" s="36" t="n"/>
      <c r="AM214" s="36" t="n"/>
      <c r="AN214" s="36" t="n"/>
      <c r="AO214" s="36" t="n"/>
      <c r="AP214" s="36" t="n"/>
      <c r="AQ214" s="36" t="n"/>
      <c r="AR214" s="40" t="n"/>
      <c r="AS214" s="40" t="n"/>
      <c r="AT214" s="40" t="n"/>
      <c r="AU214" s="38" t="inlineStr">
        <is>
          <t>IF(OR(E214="",AH214=""),"",IF(COUNT(AG214:AG214)=0,"",AH214-LOOKUP(2,1/(AG214:AG214&lt;&gt;""),AG214:AG214)))</t>
        </is>
      </c>
      <c r="AV214" s="38" t="inlineStr">
        <is>
          <t>IF(OR(E214="",AI214=""),"",IF(COUNT(AG214:AH214)=0,"",AI214-LOOKUP(2,1/(AG214:AH214&lt;&gt;""),AG214:AH214)))</t>
        </is>
      </c>
      <c r="AW214" s="38" t="inlineStr">
        <is>
          <t>IF(OR(E214="",AJ214=""),"",IF(COUNT(AG214:AI214)=0,"",AJ214-LOOKUP(2,1/(AG214:AI214&lt;&gt;""),AG214:AI214)))</t>
        </is>
      </c>
      <c r="AX214" s="38" t="inlineStr">
        <is>
          <t>IF(OR(E214="",AK214=""),"",IF(COUNT(AG214:AJ214)=0,"",AK214-LOOKUP(2,1/(AG214:AJ214&lt;&gt;""),AG214:AJ214)))</t>
        </is>
      </c>
      <c r="AY214" s="38" t="inlineStr">
        <is>
          <t>IF(OR(E214="",AL214=""),"",IF(COUNT(AG214:AK214)=0,"",AL214-LOOKUP(2,1/(AG214:AK214&lt;&gt;""),AG214:AK214)))</t>
        </is>
      </c>
      <c r="AZ214" s="38" t="inlineStr">
        <is>
          <t>IF(OR(E214="",AM214=""),"",IF(COUNT(AG214:AL214)=0,"",AM214-LOOKUP(2,1/(AG214:AL214&lt;&gt;""),AG214:AL214)))</t>
        </is>
      </c>
      <c r="BA214" s="38" t="inlineStr">
        <is>
          <t>IF(OR(E214="",AN214=""),"",IF(COUNT(AG214:AM214)=0,"",AN214-LOOKUP(2,1/(AG214:AM214&lt;&gt;""),AG214:AM214)))</t>
        </is>
      </c>
      <c r="BB214" s="38" t="inlineStr">
        <is>
          <t>IF(OR(E214="",AO214=""),"",IF(COUNT(AG214:AN214)=0,"",AO214-LOOKUP(2,1/(AG214:AN214&lt;&gt;""),AG214:AN214)))</t>
        </is>
      </c>
      <c r="BC214" s="38" t="inlineStr">
        <is>
          <t>IF(OR(E214="",AP214=""),"",IF(COUNT(AG214:AO214)=0,"",AP214-LOOKUP(2,1/(AG214:AO214&lt;&gt;""),AG214:AO214)))</t>
        </is>
      </c>
      <c r="BD214" s="38" t="inlineStr">
        <is>
          <t>IF(OR(E214="",AQ214=""),"",IF(COUNT(AG214:AP214)=0,"",AQ214-LOOKUP(2,1/(AG214:AP214&lt;&gt;""),AG214:AP214)))</t>
        </is>
      </c>
      <c r="BE214" s="38" t="inlineStr">
        <is>
          <t>IF(OR(E214="",AR214=""),"",IF(COUNT(AG214:AQ214)=0,"",AR214-LOOKUP(2,1/(AG214:AQ214&lt;&gt;""),AG214:AQ214)))</t>
        </is>
      </c>
      <c r="BF214" s="38" t="inlineStr">
        <is>
          <t>IF(OR(E214="",AS214=""),"",IF(COUNT(AG214:AR214)=0,"",AS214-LOOKUP(2,1/(AG214:AR214&lt;&gt;""),AG214:AR214)))</t>
        </is>
      </c>
      <c r="BG214" s="38" t="inlineStr">
        <is>
          <t>IF(OR(E214="",AT214=""),"",IF(COUNT(AG214:AS214)=0,"",AT214-LOOKUP(2,1/(AG214:AS214&lt;&gt;""),AG214:AS214)))</t>
        </is>
      </c>
      <c r="BH214" s="41" t="inlineStr">
        <is>
          <t>IF(G214="","All_Provinces",IFERROR(VLOOKUP(G214,'07_Lookups'!$A$4:$B$20,2,FALSE),"All_Provinces"))</t>
        </is>
      </c>
      <c r="BI214" s="41" t="inlineStr">
        <is>
          <t>IF(H214="","All_Districts",IFERROR(VLOOKUP(H214,'07_Lookups'!$E$4:$F$42,2,FALSE),"All_Districts"))</t>
        </is>
      </c>
    </row>
    <row r="215" ht="18" customHeight="1">
      <c r="A215" s="32" t="inlineStr">
        <is>
          <t>IF(E215="","",ROW()-3)</t>
        </is>
      </c>
      <c r="B215" s="42" t="inlineStr">
        <is>
          <t>AF2-DIS-R-052</t>
        </is>
      </c>
      <c r="C215" s="42" t="inlineStr">
        <is>
          <t>Emergency Food Security Project (EFSP) – WBK/AF-2</t>
        </is>
      </c>
      <c r="D215" s="42" t="inlineStr">
        <is>
          <t>Package #4-WBK/AF2 DIS: Demonstration of 12 Drip irrigation schemes at 4 district sites of 1. Miramor, 2. Shahristan, 3.Nilli, and 4.Sayghan in Daykundi and Bamyan provinces</t>
        </is>
      </c>
      <c r="E215" s="42" t="inlineStr">
        <is>
          <t>Peshang Drip Irrigation system</t>
        </is>
      </c>
      <c r="F215" s="42" t="inlineStr">
        <is>
          <t>Drip Irrigation</t>
        </is>
      </c>
      <c r="G215" s="42" t="inlineStr">
        <is>
          <t>Central Highland / Bamyan</t>
        </is>
      </c>
      <c r="H215" s="42" t="inlineStr">
        <is>
          <t>Bamyan</t>
        </is>
      </c>
      <c r="I215" s="42" t="inlineStr">
        <is>
          <t>Sayghan</t>
        </is>
      </c>
      <c r="J215" s="42" t="inlineStr">
        <is>
          <t>Peshang</t>
        </is>
      </c>
      <c r="K215" s="42" t="inlineStr">
        <is>
          <t>World Bank (WBK/AF-2)</t>
        </is>
      </c>
      <c r="L215" s="42" t="inlineStr">
        <is>
          <t>Remaining</t>
        </is>
      </c>
      <c r="M215" s="42" t="inlineStr">
        <is>
          <t>Drip irrigation</t>
        </is>
      </c>
      <c r="N215" s="42" t="inlineStr">
        <is>
          <t>5. Drip Irrigation systems</t>
        </is>
      </c>
      <c r="O215" s="42" t="inlineStr">
        <is>
          <t>Abdul Rahman</t>
        </is>
      </c>
      <c r="P215" s="42" t="inlineStr"/>
      <c r="Q215" s="43" t="n">
        <v>3856.11</v>
      </c>
      <c r="R215" s="35" t="inlineStr">
        <is>
          <t>IF(AO215="","",AO215)</t>
        </is>
      </c>
      <c r="S215" s="44" t="n">
        <v>46376</v>
      </c>
      <c r="T215" s="45" t="n">
        <v>6.2</v>
      </c>
      <c r="U215" s="44" t="n">
        <v>46566</v>
      </c>
      <c r="V215" s="35" t="inlineStr">
        <is>
          <t>IF(U215&lt;&gt;"",U215,IF(OR(R215="",T215=""),"",EDATE(R215,T215)))</t>
        </is>
      </c>
      <c r="W215" s="44" t="n"/>
      <c r="X215" s="45" t="n"/>
      <c r="Y215" s="42" t="inlineStr">
        <is>
          <t>Retendered (Re-ITB)</t>
        </is>
      </c>
      <c r="Z215" s="42" t="inlineStr">
        <is>
          <t>Slack period up to end March. Four months construction period starting from April 2026. | Farmer: Abdul Rahman</t>
        </is>
      </c>
      <c r="AA215" s="32" t="inlineStr">
        <is>
          <t>IF(E215="","",IF(COUNT(AG215:AT215)=0,IF(Y215="","Not started",Y215),SUBSTITUTE(LOOKUP(2,1/(AG215:AT215&lt;&gt;""),$AG$3:$AT$3),"Date: ","")))</t>
        </is>
      </c>
      <c r="AB215" s="38" t="inlineStr">
        <is>
          <t>IF(OR(E215="",COUNT(AG215:AT215)=0),"",TODAY()-LOOKUP(2,1/(AG215:AT215&lt;&gt;""),AG215:AT215))</t>
        </is>
      </c>
      <c r="AC215" s="38" t="inlineStr">
        <is>
          <t>IF(OR(E215="",COUNT(AG215:AT215)&lt;2),"",LOOKUP(2,1/(AG215:AT215&lt;&gt;""),AG215:AT215)-MIN(AG215:AT215))</t>
        </is>
      </c>
      <c r="AD215" s="38" t="inlineStr">
        <is>
          <t>IF(OR(AB215="",AA215="Not started",AA215=""),"",IFERROR(AB215-IF(VLOOKUP(AA215,'04_Status_Pipeline'!$B$3:$E$20,4,FALSE)="",0,VLOOKUP(AA215,'04_Status_Pipeline'!$B$3:$E$20,4,FALSE)),""))</t>
        </is>
      </c>
      <c r="AE215" s="32" t="inlineStr">
        <is>
          <t>IF(E215="","",IF(OR(Y215="Cancelled",AA215="Cancelled"),"Cancelled",IF(OR(AA215="Completed / Handover",W215&lt;&gt;"",X215&gt;=100),"Completed — on track",IF(L215="Remaining",IF(S215="",IF(V215="","No planned date",IF(TODAY()&gt;V215,"Behind — past planned date",IF(V215-TODAY()&lt;=30,"At risk — close to off track","On track"))),IF(TODAY()&gt;S215,"Behind — award date passed",IF(S215-TODAY()&lt;=30,"At risk — close to off track","On track"))),IF(V215="","No planned date",IF(AND(TODAY()&gt;V215,OR(X215="",X215&lt;100)),"Behind — past end date",IF(AND(R215&lt;&gt;"",V215&lt;&gt;"",X215&lt;&gt;"",(X215&lt;100),((TODAY()-R215)/MAX(V215-R215,1)*100)-X215&gt;15),"Behind — progress lag",IF(AND(V215-TODAY()&lt;=30,V215-TODAY()&gt;=0,OR(X215="",X215&lt;90)),"At risk — close to off track","On track"))))))))</t>
        </is>
      </c>
      <c r="AF215" s="38" t="inlineStr">
        <is>
          <t>IF(OR(E215="",AA215="Completed / Handover",AA215="Cancelled"),"",IF(L215="Remaining",IF(S215&lt;&gt;"",S215-TODAY(),IF(V215="","",V215-TODAY())),IF(V215="","",V215-TODAY())))</t>
        </is>
      </c>
      <c r="AG215" s="44" t="n"/>
      <c r="AH215" s="44" t="n"/>
      <c r="AI215" s="44" t="n"/>
      <c r="AJ215" s="44" t="n"/>
      <c r="AK215" s="44" t="n"/>
      <c r="AL215" s="44" t="n"/>
      <c r="AM215" s="44" t="n"/>
      <c r="AN215" s="44" t="n"/>
      <c r="AO215" s="44" t="n"/>
      <c r="AP215" s="44" t="n"/>
      <c r="AQ215" s="44" t="n"/>
      <c r="AR215" s="40" t="n"/>
      <c r="AS215" s="40" t="n"/>
      <c r="AT215" s="40" t="n"/>
      <c r="AU215" s="38" t="inlineStr">
        <is>
          <t>IF(OR(E215="",AH215=""),"",IF(COUNT(AG215:AG215)=0,"",AH215-LOOKUP(2,1/(AG215:AG215&lt;&gt;""),AG215:AG215)))</t>
        </is>
      </c>
      <c r="AV215" s="38" t="inlineStr">
        <is>
          <t>IF(OR(E215="",AI215=""),"",IF(COUNT(AG215:AH215)=0,"",AI215-LOOKUP(2,1/(AG215:AH215&lt;&gt;""),AG215:AH215)))</t>
        </is>
      </c>
      <c r="AW215" s="38" t="inlineStr">
        <is>
          <t>IF(OR(E215="",AJ215=""),"",IF(COUNT(AG215:AI215)=0,"",AJ215-LOOKUP(2,1/(AG215:AI215&lt;&gt;""),AG215:AI215)))</t>
        </is>
      </c>
      <c r="AX215" s="38" t="inlineStr">
        <is>
          <t>IF(OR(E215="",AK215=""),"",IF(COUNT(AG215:AJ215)=0,"",AK215-LOOKUP(2,1/(AG215:AJ215&lt;&gt;""),AG215:AJ215)))</t>
        </is>
      </c>
      <c r="AY215" s="38" t="inlineStr">
        <is>
          <t>IF(OR(E215="",AL215=""),"",IF(COUNT(AG215:AK215)=0,"",AL215-LOOKUP(2,1/(AG215:AK215&lt;&gt;""),AG215:AK215)))</t>
        </is>
      </c>
      <c r="AZ215" s="38" t="inlineStr">
        <is>
          <t>IF(OR(E215="",AM215=""),"",IF(COUNT(AG215:AL215)=0,"",AM215-LOOKUP(2,1/(AG215:AL215&lt;&gt;""),AG215:AL215)))</t>
        </is>
      </c>
      <c r="BA215" s="38" t="inlineStr">
        <is>
          <t>IF(OR(E215="",AN215=""),"",IF(COUNT(AG215:AM215)=0,"",AN215-LOOKUP(2,1/(AG215:AM215&lt;&gt;""),AG215:AM215)))</t>
        </is>
      </c>
      <c r="BB215" s="38" t="inlineStr">
        <is>
          <t>IF(OR(E215="",AO215=""),"",IF(COUNT(AG215:AN215)=0,"",AO215-LOOKUP(2,1/(AG215:AN215&lt;&gt;""),AG215:AN215)))</t>
        </is>
      </c>
      <c r="BC215" s="38" t="inlineStr">
        <is>
          <t>IF(OR(E215="",AP215=""),"",IF(COUNT(AG215:AO215)=0,"",AP215-LOOKUP(2,1/(AG215:AO215&lt;&gt;""),AG215:AO215)))</t>
        </is>
      </c>
      <c r="BD215" s="38" t="inlineStr">
        <is>
          <t>IF(OR(E215="",AQ215=""),"",IF(COUNT(AG215:AP215)=0,"",AQ215-LOOKUP(2,1/(AG215:AP215&lt;&gt;""),AG215:AP215)))</t>
        </is>
      </c>
      <c r="BE215" s="38" t="inlineStr">
        <is>
          <t>IF(OR(E215="",AR215=""),"",IF(COUNT(AG215:AQ215)=0,"",AR215-LOOKUP(2,1/(AG215:AQ215&lt;&gt;""),AG215:AQ215)))</t>
        </is>
      </c>
      <c r="BF215" s="38" t="inlineStr">
        <is>
          <t>IF(OR(E215="",AS215=""),"",IF(COUNT(AG215:AR215)=0,"",AS215-LOOKUP(2,1/(AG215:AR215&lt;&gt;""),AG215:AR215)))</t>
        </is>
      </c>
      <c r="BG215" s="38" t="inlineStr">
        <is>
          <t>IF(OR(E215="",AT215=""),"",IF(COUNT(AG215:AS215)=0,"",AT215-LOOKUP(2,1/(AG215:AS215&lt;&gt;""),AG215:AS215)))</t>
        </is>
      </c>
      <c r="BH215" s="41" t="inlineStr">
        <is>
          <t>IF(G215="","All_Provinces",IFERROR(VLOOKUP(G215,'07_Lookups'!$A$4:$B$20,2,FALSE),"All_Provinces"))</t>
        </is>
      </c>
      <c r="BI215" s="41" t="inlineStr">
        <is>
          <t>IF(H215="","All_Districts",IFERROR(VLOOKUP(H215,'07_Lookups'!$E$4:$F$42,2,FALSE),"All_Districts"))</t>
        </is>
      </c>
    </row>
    <row r="216" ht="18" customHeight="1">
      <c r="A216" s="32" t="inlineStr">
        <is>
          <t>IF(E216="","",ROW()-3)</t>
        </is>
      </c>
      <c r="B216" s="33" t="inlineStr">
        <is>
          <t>AF2-DIS-R-053</t>
        </is>
      </c>
      <c r="C216" s="33" t="inlineStr">
        <is>
          <t>Emergency Food Security Project (EFSP) – WBK/AF-2</t>
        </is>
      </c>
      <c r="D216"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16" s="33" t="inlineStr">
        <is>
          <t>Hassan Khil-A Drip Irrigation Scheme</t>
        </is>
      </c>
      <c r="F216" s="33" t="inlineStr">
        <is>
          <t>Drip Irrigation</t>
        </is>
      </c>
      <c r="G216" s="33" t="inlineStr">
        <is>
          <t>Southeast / Gardez</t>
        </is>
      </c>
      <c r="H216" s="33" t="inlineStr">
        <is>
          <t>Paktya</t>
        </is>
      </c>
      <c r="I216" s="33" t="inlineStr">
        <is>
          <t>Ahmad Aba</t>
        </is>
      </c>
      <c r="J216" s="33" t="inlineStr">
        <is>
          <t>Machalghu</t>
        </is>
      </c>
      <c r="K216" s="33" t="inlineStr">
        <is>
          <t>World Bank (WBK/AF-2)</t>
        </is>
      </c>
      <c r="L216" s="33" t="inlineStr">
        <is>
          <t>Remaining</t>
        </is>
      </c>
      <c r="M216" s="33" t="inlineStr">
        <is>
          <t>Drip irrigation</t>
        </is>
      </c>
      <c r="N216" s="33" t="inlineStr">
        <is>
          <t>5. Drip Irrigation systems</t>
        </is>
      </c>
      <c r="O216" s="33" t="inlineStr">
        <is>
          <t>Hasan Khil</t>
        </is>
      </c>
      <c r="P216" s="33" t="inlineStr"/>
      <c r="Q216" s="34" t="n"/>
      <c r="R216" s="35" t="inlineStr">
        <is>
          <t>IF(AO216="","",AO216)</t>
        </is>
      </c>
      <c r="S216" s="36" t="n">
        <v>46381</v>
      </c>
      <c r="T216" s="37" t="n">
        <v>6.2</v>
      </c>
      <c r="U216" s="36" t="n">
        <v>46571</v>
      </c>
      <c r="V216" s="35" t="inlineStr">
        <is>
          <t>IF(U216&lt;&gt;"",U216,IF(OR(R216="",T216=""),"",EDATE(R216,T216)))</t>
        </is>
      </c>
      <c r="W216" s="36" t="n"/>
      <c r="X216" s="37" t="n"/>
      <c r="Y216" s="33" t="inlineStr">
        <is>
          <t>Retendered (Re-ITB)</t>
        </is>
      </c>
      <c r="Z216" s="33" t="inlineStr">
        <is>
          <t>Slack period up to end March. Four months construction period starting from April 2026. | Farmer: Hasan Khil</t>
        </is>
      </c>
      <c r="AA216" s="32" t="inlineStr">
        <is>
          <t>IF(E216="","",IF(COUNT(AG216:AT216)=0,IF(Y216="","Not started",Y216),SUBSTITUTE(LOOKUP(2,1/(AG216:AT216&lt;&gt;""),$AG$3:$AT$3),"Date: ","")))</t>
        </is>
      </c>
      <c r="AB216" s="38" t="inlineStr">
        <is>
          <t>IF(OR(E216="",COUNT(AG216:AT216)=0),"",TODAY()-LOOKUP(2,1/(AG216:AT216&lt;&gt;""),AG216:AT216))</t>
        </is>
      </c>
      <c r="AC216" s="38" t="inlineStr">
        <is>
          <t>IF(OR(E216="",COUNT(AG216:AT216)&lt;2),"",LOOKUP(2,1/(AG216:AT216&lt;&gt;""),AG216:AT216)-MIN(AG216:AT216))</t>
        </is>
      </c>
      <c r="AD216" s="38" t="inlineStr">
        <is>
          <t>IF(OR(AB216="",AA216="Not started",AA216=""),"",IFERROR(AB216-IF(VLOOKUP(AA216,'04_Status_Pipeline'!$B$3:$E$20,4,FALSE)="",0,VLOOKUP(AA216,'04_Status_Pipeline'!$B$3:$E$20,4,FALSE)),""))</t>
        </is>
      </c>
      <c r="AE216" s="32" t="inlineStr">
        <is>
          <t>IF(E216="","",IF(OR(Y216="Cancelled",AA216="Cancelled"),"Cancelled",IF(OR(AA216="Completed / Handover",W216&lt;&gt;"",X216&gt;=100),"Completed — on track",IF(L216="Remaining",IF(S216="",IF(V216="","No planned date",IF(TODAY()&gt;V216,"Behind — past planned date",IF(V216-TODAY()&lt;=30,"At risk — close to off track","On track"))),IF(TODAY()&gt;S216,"Behind — award date passed",IF(S216-TODAY()&lt;=30,"At risk — close to off track","On track"))),IF(V216="","No planned date",IF(AND(TODAY()&gt;V216,OR(X216="",X216&lt;100)),"Behind — past end date",IF(AND(R216&lt;&gt;"",V216&lt;&gt;"",X216&lt;&gt;"",(X216&lt;100),((TODAY()-R216)/MAX(V216-R216,1)*100)-X216&gt;15),"Behind — progress lag",IF(AND(V216-TODAY()&lt;=30,V216-TODAY()&gt;=0,OR(X216="",X216&lt;90)),"At risk — close to off track","On track"))))))))</t>
        </is>
      </c>
      <c r="AF216" s="38" t="inlineStr">
        <is>
          <t>IF(OR(E216="",AA216="Completed / Handover",AA216="Cancelled"),"",IF(L216="Remaining",IF(S216&lt;&gt;"",S216-TODAY(),IF(V216="","",V216-TODAY())),IF(V216="","",V216-TODAY())))</t>
        </is>
      </c>
      <c r="AG216" s="36" t="n"/>
      <c r="AH216" s="36" t="n"/>
      <c r="AI216" s="36" t="n"/>
      <c r="AJ216" s="36" t="n"/>
      <c r="AK216" s="36" t="n"/>
      <c r="AL216" s="36" t="n"/>
      <c r="AM216" s="36" t="n"/>
      <c r="AN216" s="36" t="n"/>
      <c r="AO216" s="36" t="n"/>
      <c r="AP216" s="36" t="n"/>
      <c r="AQ216" s="36" t="n"/>
      <c r="AR216" s="40" t="n"/>
      <c r="AS216" s="40" t="n"/>
      <c r="AT216" s="40" t="n"/>
      <c r="AU216" s="38" t="inlineStr">
        <is>
          <t>IF(OR(E216="",AH216=""),"",IF(COUNT(AG216:AG216)=0,"",AH216-LOOKUP(2,1/(AG216:AG216&lt;&gt;""),AG216:AG216)))</t>
        </is>
      </c>
      <c r="AV216" s="38" t="inlineStr">
        <is>
          <t>IF(OR(E216="",AI216=""),"",IF(COUNT(AG216:AH216)=0,"",AI216-LOOKUP(2,1/(AG216:AH216&lt;&gt;""),AG216:AH216)))</t>
        </is>
      </c>
      <c r="AW216" s="38" t="inlineStr">
        <is>
          <t>IF(OR(E216="",AJ216=""),"",IF(COUNT(AG216:AI216)=0,"",AJ216-LOOKUP(2,1/(AG216:AI216&lt;&gt;""),AG216:AI216)))</t>
        </is>
      </c>
      <c r="AX216" s="38" t="inlineStr">
        <is>
          <t>IF(OR(E216="",AK216=""),"",IF(COUNT(AG216:AJ216)=0,"",AK216-LOOKUP(2,1/(AG216:AJ216&lt;&gt;""),AG216:AJ216)))</t>
        </is>
      </c>
      <c r="AY216" s="38" t="inlineStr">
        <is>
          <t>IF(OR(E216="",AL216=""),"",IF(COUNT(AG216:AK216)=0,"",AL216-LOOKUP(2,1/(AG216:AK216&lt;&gt;""),AG216:AK216)))</t>
        </is>
      </c>
      <c r="AZ216" s="38" t="inlineStr">
        <is>
          <t>IF(OR(E216="",AM216=""),"",IF(COUNT(AG216:AL216)=0,"",AM216-LOOKUP(2,1/(AG216:AL216&lt;&gt;""),AG216:AL216)))</t>
        </is>
      </c>
      <c r="BA216" s="38" t="inlineStr">
        <is>
          <t>IF(OR(E216="",AN216=""),"",IF(COUNT(AG216:AM216)=0,"",AN216-LOOKUP(2,1/(AG216:AM216&lt;&gt;""),AG216:AM216)))</t>
        </is>
      </c>
      <c r="BB216" s="38" t="inlineStr">
        <is>
          <t>IF(OR(E216="",AO216=""),"",IF(COUNT(AG216:AN216)=0,"",AO216-LOOKUP(2,1/(AG216:AN216&lt;&gt;""),AG216:AN216)))</t>
        </is>
      </c>
      <c r="BC216" s="38" t="inlineStr">
        <is>
          <t>IF(OR(E216="",AP216=""),"",IF(COUNT(AG216:AO216)=0,"",AP216-LOOKUP(2,1/(AG216:AO216&lt;&gt;""),AG216:AO216)))</t>
        </is>
      </c>
      <c r="BD216" s="38" t="inlineStr">
        <is>
          <t>IF(OR(E216="",AQ216=""),"",IF(COUNT(AG216:AP216)=0,"",AQ216-LOOKUP(2,1/(AG216:AP216&lt;&gt;""),AG216:AP216)))</t>
        </is>
      </c>
      <c r="BE216" s="38" t="inlineStr">
        <is>
          <t>IF(OR(E216="",AR216=""),"",IF(COUNT(AG216:AQ216)=0,"",AR216-LOOKUP(2,1/(AG216:AQ216&lt;&gt;""),AG216:AQ216)))</t>
        </is>
      </c>
      <c r="BF216" s="38" t="inlineStr">
        <is>
          <t>IF(OR(E216="",AS216=""),"",IF(COUNT(AG216:AR216)=0,"",AS216-LOOKUP(2,1/(AG216:AR216&lt;&gt;""),AG216:AR216)))</t>
        </is>
      </c>
      <c r="BG216" s="38" t="inlineStr">
        <is>
          <t>IF(OR(E216="",AT216=""),"",IF(COUNT(AG216:AS216)=0,"",AT216-LOOKUP(2,1/(AG216:AS216&lt;&gt;""),AG216:AS216)))</t>
        </is>
      </c>
      <c r="BH216" s="41" t="inlineStr">
        <is>
          <t>IF(G216="","All_Provinces",IFERROR(VLOOKUP(G216,'07_Lookups'!$A$4:$B$20,2,FALSE),"All_Provinces"))</t>
        </is>
      </c>
      <c r="BI216" s="41" t="inlineStr">
        <is>
          <t>IF(H216="","All_Districts",IFERROR(VLOOKUP(H216,'07_Lookups'!$E$4:$F$42,2,FALSE),"All_Districts"))</t>
        </is>
      </c>
    </row>
    <row r="217" ht="18" customHeight="1">
      <c r="A217" s="32" t="inlineStr">
        <is>
          <t>IF(E217="","",ROW()-3)</t>
        </is>
      </c>
      <c r="B217" s="42" t="inlineStr">
        <is>
          <t>AF2-DIS-R-054</t>
        </is>
      </c>
      <c r="C217" s="42" t="inlineStr">
        <is>
          <t>Emergency Food Security Project (EFSP) – WBK/AF-2</t>
        </is>
      </c>
      <c r="D217"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17" s="42" t="inlineStr">
        <is>
          <t>Hassan Khil- B Drip Irrigation Scheme</t>
        </is>
      </c>
      <c r="F217" s="42" t="inlineStr">
        <is>
          <t>Drip Irrigation</t>
        </is>
      </c>
      <c r="G217" s="42" t="inlineStr">
        <is>
          <t>Southeast / Gardez</t>
        </is>
      </c>
      <c r="H217" s="42" t="inlineStr">
        <is>
          <t>Paktya</t>
        </is>
      </c>
      <c r="I217" s="42" t="inlineStr">
        <is>
          <t>Ahmad Aba</t>
        </is>
      </c>
      <c r="J217" s="42" t="inlineStr">
        <is>
          <t>Machalghu</t>
        </is>
      </c>
      <c r="K217" s="42" t="inlineStr">
        <is>
          <t>World Bank (WBK/AF-2)</t>
        </is>
      </c>
      <c r="L217" s="42" t="inlineStr">
        <is>
          <t>Remaining</t>
        </is>
      </c>
      <c r="M217" s="42" t="inlineStr">
        <is>
          <t>Drip irrigation</t>
        </is>
      </c>
      <c r="N217" s="42" t="inlineStr">
        <is>
          <t>5. Drip Irrigation systems</t>
        </is>
      </c>
      <c r="O217" s="42" t="inlineStr">
        <is>
          <t>Zabihullah</t>
        </is>
      </c>
      <c r="P217" s="42" t="inlineStr"/>
      <c r="Q217" s="43" t="n"/>
      <c r="R217" s="35" t="inlineStr">
        <is>
          <t>IF(AO217="","",AO217)</t>
        </is>
      </c>
      <c r="S217" s="44" t="n">
        <v>46381</v>
      </c>
      <c r="T217" s="45" t="n">
        <v>6.2</v>
      </c>
      <c r="U217" s="44" t="n">
        <v>46571</v>
      </c>
      <c r="V217" s="35" t="inlineStr">
        <is>
          <t>IF(U217&lt;&gt;"",U217,IF(OR(R217="",T217=""),"",EDATE(R217,T217)))</t>
        </is>
      </c>
      <c r="W217" s="44" t="n"/>
      <c r="X217" s="45" t="n"/>
      <c r="Y217" s="42" t="inlineStr">
        <is>
          <t>Retendered (Re-ITB)</t>
        </is>
      </c>
      <c r="Z217" s="42" t="inlineStr">
        <is>
          <t>Slack period up to end March. Four months construction period starting from April 2026. | Farmer: Zabihullah</t>
        </is>
      </c>
      <c r="AA217" s="32" t="inlineStr">
        <is>
          <t>IF(E217="","",IF(COUNT(AG217:AT217)=0,IF(Y217="","Not started",Y217),SUBSTITUTE(LOOKUP(2,1/(AG217:AT217&lt;&gt;""),$AG$3:$AT$3),"Date: ","")))</t>
        </is>
      </c>
      <c r="AB217" s="38" t="inlineStr">
        <is>
          <t>IF(OR(E217="",COUNT(AG217:AT217)=0),"",TODAY()-LOOKUP(2,1/(AG217:AT217&lt;&gt;""),AG217:AT217))</t>
        </is>
      </c>
      <c r="AC217" s="38" t="inlineStr">
        <is>
          <t>IF(OR(E217="",COUNT(AG217:AT217)&lt;2),"",LOOKUP(2,1/(AG217:AT217&lt;&gt;""),AG217:AT217)-MIN(AG217:AT217))</t>
        </is>
      </c>
      <c r="AD217" s="38" t="inlineStr">
        <is>
          <t>IF(OR(AB217="",AA217="Not started",AA217=""),"",IFERROR(AB217-IF(VLOOKUP(AA217,'04_Status_Pipeline'!$B$3:$E$20,4,FALSE)="",0,VLOOKUP(AA217,'04_Status_Pipeline'!$B$3:$E$20,4,FALSE)),""))</t>
        </is>
      </c>
      <c r="AE217" s="32" t="inlineStr">
        <is>
          <t>IF(E217="","",IF(OR(Y217="Cancelled",AA217="Cancelled"),"Cancelled",IF(OR(AA217="Completed / Handover",W217&lt;&gt;"",X217&gt;=100),"Completed — on track",IF(L217="Remaining",IF(S217="",IF(V217="","No planned date",IF(TODAY()&gt;V217,"Behind — past planned date",IF(V217-TODAY()&lt;=30,"At risk — close to off track","On track"))),IF(TODAY()&gt;S217,"Behind — award date passed",IF(S217-TODAY()&lt;=30,"At risk — close to off track","On track"))),IF(V217="","No planned date",IF(AND(TODAY()&gt;V217,OR(X217="",X217&lt;100)),"Behind — past end date",IF(AND(R217&lt;&gt;"",V217&lt;&gt;"",X217&lt;&gt;"",(X217&lt;100),((TODAY()-R217)/MAX(V217-R217,1)*100)-X217&gt;15),"Behind — progress lag",IF(AND(V217-TODAY()&lt;=30,V217-TODAY()&gt;=0,OR(X217="",X217&lt;90)),"At risk — close to off track","On track"))))))))</t>
        </is>
      </c>
      <c r="AF217" s="38" t="inlineStr">
        <is>
          <t>IF(OR(E217="",AA217="Completed / Handover",AA217="Cancelled"),"",IF(L217="Remaining",IF(S217&lt;&gt;"",S217-TODAY(),IF(V217="","",V217-TODAY())),IF(V217="","",V217-TODAY())))</t>
        </is>
      </c>
      <c r="AG217" s="44" t="n"/>
      <c r="AH217" s="44" t="n"/>
      <c r="AI217" s="44" t="n"/>
      <c r="AJ217" s="44" t="n"/>
      <c r="AK217" s="44" t="n"/>
      <c r="AL217" s="44" t="n"/>
      <c r="AM217" s="44" t="n"/>
      <c r="AN217" s="44" t="n"/>
      <c r="AO217" s="44" t="n"/>
      <c r="AP217" s="44" t="n"/>
      <c r="AQ217" s="44" t="n"/>
      <c r="AR217" s="40" t="n"/>
      <c r="AS217" s="40" t="n"/>
      <c r="AT217" s="40" t="n"/>
      <c r="AU217" s="38" t="inlineStr">
        <is>
          <t>IF(OR(E217="",AH217=""),"",IF(COUNT(AG217:AG217)=0,"",AH217-LOOKUP(2,1/(AG217:AG217&lt;&gt;""),AG217:AG217)))</t>
        </is>
      </c>
      <c r="AV217" s="38" t="inlineStr">
        <is>
          <t>IF(OR(E217="",AI217=""),"",IF(COUNT(AG217:AH217)=0,"",AI217-LOOKUP(2,1/(AG217:AH217&lt;&gt;""),AG217:AH217)))</t>
        </is>
      </c>
      <c r="AW217" s="38" t="inlineStr">
        <is>
          <t>IF(OR(E217="",AJ217=""),"",IF(COUNT(AG217:AI217)=0,"",AJ217-LOOKUP(2,1/(AG217:AI217&lt;&gt;""),AG217:AI217)))</t>
        </is>
      </c>
      <c r="AX217" s="38" t="inlineStr">
        <is>
          <t>IF(OR(E217="",AK217=""),"",IF(COUNT(AG217:AJ217)=0,"",AK217-LOOKUP(2,1/(AG217:AJ217&lt;&gt;""),AG217:AJ217)))</t>
        </is>
      </c>
      <c r="AY217" s="38" t="inlineStr">
        <is>
          <t>IF(OR(E217="",AL217=""),"",IF(COUNT(AG217:AK217)=0,"",AL217-LOOKUP(2,1/(AG217:AK217&lt;&gt;""),AG217:AK217)))</t>
        </is>
      </c>
      <c r="AZ217" s="38" t="inlineStr">
        <is>
          <t>IF(OR(E217="",AM217=""),"",IF(COUNT(AG217:AL217)=0,"",AM217-LOOKUP(2,1/(AG217:AL217&lt;&gt;""),AG217:AL217)))</t>
        </is>
      </c>
      <c r="BA217" s="38" t="inlineStr">
        <is>
          <t>IF(OR(E217="",AN217=""),"",IF(COUNT(AG217:AM217)=0,"",AN217-LOOKUP(2,1/(AG217:AM217&lt;&gt;""),AG217:AM217)))</t>
        </is>
      </c>
      <c r="BB217" s="38" t="inlineStr">
        <is>
          <t>IF(OR(E217="",AO217=""),"",IF(COUNT(AG217:AN217)=0,"",AO217-LOOKUP(2,1/(AG217:AN217&lt;&gt;""),AG217:AN217)))</t>
        </is>
      </c>
      <c r="BC217" s="38" t="inlineStr">
        <is>
          <t>IF(OR(E217="",AP217=""),"",IF(COUNT(AG217:AO217)=0,"",AP217-LOOKUP(2,1/(AG217:AO217&lt;&gt;""),AG217:AO217)))</t>
        </is>
      </c>
      <c r="BD217" s="38" t="inlineStr">
        <is>
          <t>IF(OR(E217="",AQ217=""),"",IF(COUNT(AG217:AP217)=0,"",AQ217-LOOKUP(2,1/(AG217:AP217&lt;&gt;""),AG217:AP217)))</t>
        </is>
      </c>
      <c r="BE217" s="38" t="inlineStr">
        <is>
          <t>IF(OR(E217="",AR217=""),"",IF(COUNT(AG217:AQ217)=0,"",AR217-LOOKUP(2,1/(AG217:AQ217&lt;&gt;""),AG217:AQ217)))</t>
        </is>
      </c>
      <c r="BF217" s="38" t="inlineStr">
        <is>
          <t>IF(OR(E217="",AS217=""),"",IF(COUNT(AG217:AR217)=0,"",AS217-LOOKUP(2,1/(AG217:AR217&lt;&gt;""),AG217:AR217)))</t>
        </is>
      </c>
      <c r="BG217" s="38" t="inlineStr">
        <is>
          <t>IF(OR(E217="",AT217=""),"",IF(COUNT(AG217:AS217)=0,"",AT217-LOOKUP(2,1/(AG217:AS217&lt;&gt;""),AG217:AS217)))</t>
        </is>
      </c>
      <c r="BH217" s="41" t="inlineStr">
        <is>
          <t>IF(G217="","All_Provinces",IFERROR(VLOOKUP(G217,'07_Lookups'!$A$4:$B$20,2,FALSE),"All_Provinces"))</t>
        </is>
      </c>
      <c r="BI217" s="41" t="inlineStr">
        <is>
          <t>IF(H217="","All_Districts",IFERROR(VLOOKUP(H217,'07_Lookups'!$E$4:$F$42,2,FALSE),"All_Districts"))</t>
        </is>
      </c>
    </row>
    <row r="218" ht="18" customHeight="1">
      <c r="A218" s="32" t="inlineStr">
        <is>
          <t>IF(E218="","",ROW()-3)</t>
        </is>
      </c>
      <c r="B218" s="33" t="inlineStr">
        <is>
          <t>AF2-DIS-R-055</t>
        </is>
      </c>
      <c r="C218" s="33" t="inlineStr">
        <is>
          <t>Emergency Food Security Project (EFSP) – WBK/AF-2</t>
        </is>
      </c>
      <c r="D218"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18" s="33" t="inlineStr">
        <is>
          <t>Ghafoor khil Drip irrigation Scheme</t>
        </is>
      </c>
      <c r="F218" s="33" t="inlineStr">
        <is>
          <t>Drip Irrigation</t>
        </is>
      </c>
      <c r="G218" s="33" t="inlineStr">
        <is>
          <t>Southeast / Gardez</t>
        </is>
      </c>
      <c r="H218" s="33" t="inlineStr">
        <is>
          <t>Paktya</t>
        </is>
      </c>
      <c r="I218" s="33" t="inlineStr">
        <is>
          <t>Center</t>
        </is>
      </c>
      <c r="J218" s="33" t="inlineStr">
        <is>
          <t>Gafoor khil</t>
        </is>
      </c>
      <c r="K218" s="33" t="inlineStr">
        <is>
          <t>World Bank (WBK/AF-2)</t>
        </is>
      </c>
      <c r="L218" s="33" t="inlineStr">
        <is>
          <t>Remaining</t>
        </is>
      </c>
      <c r="M218" s="33" t="inlineStr">
        <is>
          <t>Drip irrigation</t>
        </is>
      </c>
      <c r="N218" s="33" t="inlineStr">
        <is>
          <t>5. Drip Irrigation systems</t>
        </is>
      </c>
      <c r="O218" s="33" t="inlineStr">
        <is>
          <t>Salam Jan</t>
        </is>
      </c>
      <c r="P218" s="33" t="inlineStr"/>
      <c r="Q218" s="34" t="n"/>
      <c r="R218" s="35" t="inlineStr">
        <is>
          <t>IF(AO218="","",AO218)</t>
        </is>
      </c>
      <c r="S218" s="36" t="n">
        <v>46381</v>
      </c>
      <c r="T218" s="37" t="n">
        <v>6.2</v>
      </c>
      <c r="U218" s="36" t="n">
        <v>46571</v>
      </c>
      <c r="V218" s="35" t="inlineStr">
        <is>
          <t>IF(U218&lt;&gt;"",U218,IF(OR(R218="",T218=""),"",EDATE(R218,T218)))</t>
        </is>
      </c>
      <c r="W218" s="36" t="n"/>
      <c r="X218" s="37" t="n"/>
      <c r="Y218" s="33" t="inlineStr">
        <is>
          <t>Retendered (Re-ITB)</t>
        </is>
      </c>
      <c r="Z218" s="33" t="inlineStr">
        <is>
          <t>Slack period up to end March. Four months construction period starting from April 2026. | Farmer: Salam Jan</t>
        </is>
      </c>
      <c r="AA218" s="32" t="inlineStr">
        <is>
          <t>IF(E218="","",IF(COUNT(AG218:AT218)=0,IF(Y218="","Not started",Y218),SUBSTITUTE(LOOKUP(2,1/(AG218:AT218&lt;&gt;""),$AG$3:$AT$3),"Date: ","")))</t>
        </is>
      </c>
      <c r="AB218" s="38" t="inlineStr">
        <is>
          <t>IF(OR(E218="",COUNT(AG218:AT218)=0),"",TODAY()-LOOKUP(2,1/(AG218:AT218&lt;&gt;""),AG218:AT218))</t>
        </is>
      </c>
      <c r="AC218" s="38" t="inlineStr">
        <is>
          <t>IF(OR(E218="",COUNT(AG218:AT218)&lt;2),"",LOOKUP(2,1/(AG218:AT218&lt;&gt;""),AG218:AT218)-MIN(AG218:AT218))</t>
        </is>
      </c>
      <c r="AD218" s="38" t="inlineStr">
        <is>
          <t>IF(OR(AB218="",AA218="Not started",AA218=""),"",IFERROR(AB218-IF(VLOOKUP(AA218,'04_Status_Pipeline'!$B$3:$E$20,4,FALSE)="",0,VLOOKUP(AA218,'04_Status_Pipeline'!$B$3:$E$20,4,FALSE)),""))</t>
        </is>
      </c>
      <c r="AE218" s="32" t="inlineStr">
        <is>
          <t>IF(E218="","",IF(OR(Y218="Cancelled",AA218="Cancelled"),"Cancelled",IF(OR(AA218="Completed / Handover",W218&lt;&gt;"",X218&gt;=100),"Completed — on track",IF(L218="Remaining",IF(S218="",IF(V218="","No planned date",IF(TODAY()&gt;V218,"Behind — past planned date",IF(V218-TODAY()&lt;=30,"At risk — close to off track","On track"))),IF(TODAY()&gt;S218,"Behind — award date passed",IF(S218-TODAY()&lt;=30,"At risk — close to off track","On track"))),IF(V218="","No planned date",IF(AND(TODAY()&gt;V218,OR(X218="",X218&lt;100)),"Behind — past end date",IF(AND(R218&lt;&gt;"",V218&lt;&gt;"",X218&lt;&gt;"",(X218&lt;100),((TODAY()-R218)/MAX(V218-R218,1)*100)-X218&gt;15),"Behind — progress lag",IF(AND(V218-TODAY()&lt;=30,V218-TODAY()&gt;=0,OR(X218="",X218&lt;90)),"At risk — close to off track","On track"))))))))</t>
        </is>
      </c>
      <c r="AF218" s="38" t="inlineStr">
        <is>
          <t>IF(OR(E218="",AA218="Completed / Handover",AA218="Cancelled"),"",IF(L218="Remaining",IF(S218&lt;&gt;"",S218-TODAY(),IF(V218="","",V218-TODAY())),IF(V218="","",V218-TODAY())))</t>
        </is>
      </c>
      <c r="AG218" s="36" t="n"/>
      <c r="AH218" s="36" t="n"/>
      <c r="AI218" s="36" t="n"/>
      <c r="AJ218" s="36" t="n"/>
      <c r="AK218" s="36" t="n"/>
      <c r="AL218" s="36" t="n"/>
      <c r="AM218" s="36" t="n"/>
      <c r="AN218" s="36" t="n"/>
      <c r="AO218" s="36" t="n"/>
      <c r="AP218" s="36" t="n"/>
      <c r="AQ218" s="36" t="n"/>
      <c r="AR218" s="40" t="n"/>
      <c r="AS218" s="40" t="n"/>
      <c r="AT218" s="40" t="n"/>
      <c r="AU218" s="38" t="inlineStr">
        <is>
          <t>IF(OR(E218="",AH218=""),"",IF(COUNT(AG218:AG218)=0,"",AH218-LOOKUP(2,1/(AG218:AG218&lt;&gt;""),AG218:AG218)))</t>
        </is>
      </c>
      <c r="AV218" s="38" t="inlineStr">
        <is>
          <t>IF(OR(E218="",AI218=""),"",IF(COUNT(AG218:AH218)=0,"",AI218-LOOKUP(2,1/(AG218:AH218&lt;&gt;""),AG218:AH218)))</t>
        </is>
      </c>
      <c r="AW218" s="38" t="inlineStr">
        <is>
          <t>IF(OR(E218="",AJ218=""),"",IF(COUNT(AG218:AI218)=0,"",AJ218-LOOKUP(2,1/(AG218:AI218&lt;&gt;""),AG218:AI218)))</t>
        </is>
      </c>
      <c r="AX218" s="38" t="inlineStr">
        <is>
          <t>IF(OR(E218="",AK218=""),"",IF(COUNT(AG218:AJ218)=0,"",AK218-LOOKUP(2,1/(AG218:AJ218&lt;&gt;""),AG218:AJ218)))</t>
        </is>
      </c>
      <c r="AY218" s="38" t="inlineStr">
        <is>
          <t>IF(OR(E218="",AL218=""),"",IF(COUNT(AG218:AK218)=0,"",AL218-LOOKUP(2,1/(AG218:AK218&lt;&gt;""),AG218:AK218)))</t>
        </is>
      </c>
      <c r="AZ218" s="38" t="inlineStr">
        <is>
          <t>IF(OR(E218="",AM218=""),"",IF(COUNT(AG218:AL218)=0,"",AM218-LOOKUP(2,1/(AG218:AL218&lt;&gt;""),AG218:AL218)))</t>
        </is>
      </c>
      <c r="BA218" s="38" t="inlineStr">
        <is>
          <t>IF(OR(E218="",AN218=""),"",IF(COUNT(AG218:AM218)=0,"",AN218-LOOKUP(2,1/(AG218:AM218&lt;&gt;""),AG218:AM218)))</t>
        </is>
      </c>
      <c r="BB218" s="38" t="inlineStr">
        <is>
          <t>IF(OR(E218="",AO218=""),"",IF(COUNT(AG218:AN218)=0,"",AO218-LOOKUP(2,1/(AG218:AN218&lt;&gt;""),AG218:AN218)))</t>
        </is>
      </c>
      <c r="BC218" s="38" t="inlineStr">
        <is>
          <t>IF(OR(E218="",AP218=""),"",IF(COUNT(AG218:AO218)=0,"",AP218-LOOKUP(2,1/(AG218:AO218&lt;&gt;""),AG218:AO218)))</t>
        </is>
      </c>
      <c r="BD218" s="38" t="inlineStr">
        <is>
          <t>IF(OR(E218="",AQ218=""),"",IF(COUNT(AG218:AP218)=0,"",AQ218-LOOKUP(2,1/(AG218:AP218&lt;&gt;""),AG218:AP218)))</t>
        </is>
      </c>
      <c r="BE218" s="38" t="inlineStr">
        <is>
          <t>IF(OR(E218="",AR218=""),"",IF(COUNT(AG218:AQ218)=0,"",AR218-LOOKUP(2,1/(AG218:AQ218&lt;&gt;""),AG218:AQ218)))</t>
        </is>
      </c>
      <c r="BF218" s="38" t="inlineStr">
        <is>
          <t>IF(OR(E218="",AS218=""),"",IF(COUNT(AG218:AR218)=0,"",AS218-LOOKUP(2,1/(AG218:AR218&lt;&gt;""),AG218:AR218)))</t>
        </is>
      </c>
      <c r="BG218" s="38" t="inlineStr">
        <is>
          <t>IF(OR(E218="",AT218=""),"",IF(COUNT(AG218:AS218)=0,"",AT218-LOOKUP(2,1/(AG218:AS218&lt;&gt;""),AG218:AS218)))</t>
        </is>
      </c>
      <c r="BH218" s="41" t="inlineStr">
        <is>
          <t>IF(G218="","All_Provinces",IFERROR(VLOOKUP(G218,'07_Lookups'!$A$4:$B$20,2,FALSE),"All_Provinces"))</t>
        </is>
      </c>
      <c r="BI218" s="41" t="inlineStr">
        <is>
          <t>IF(H218="","All_Districts",IFERROR(VLOOKUP(H218,'07_Lookups'!$E$4:$F$42,2,FALSE),"All_Districts"))</t>
        </is>
      </c>
    </row>
    <row r="219" ht="18" customHeight="1">
      <c r="A219" s="32" t="inlineStr">
        <is>
          <t>IF(E219="","",ROW()-3)</t>
        </is>
      </c>
      <c r="B219" s="42" t="inlineStr">
        <is>
          <t>AF2-DIS-R-056</t>
        </is>
      </c>
      <c r="C219" s="42" t="inlineStr">
        <is>
          <t>Emergency Food Security Project (EFSP) – WBK/AF-2</t>
        </is>
      </c>
      <c r="D219"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19" s="42" t="inlineStr">
        <is>
          <t>Paktia University Drip irrigation Scheme</t>
        </is>
      </c>
      <c r="F219" s="42" t="inlineStr">
        <is>
          <t>Drip Irrigation</t>
        </is>
      </c>
      <c r="G219" s="42" t="inlineStr">
        <is>
          <t>Southeast / Gardez</t>
        </is>
      </c>
      <c r="H219" s="42" t="inlineStr">
        <is>
          <t>Paktya</t>
        </is>
      </c>
      <c r="I219" s="42" t="inlineStr">
        <is>
          <t>Gardez_center</t>
        </is>
      </c>
      <c r="J219" s="42" t="inlineStr">
        <is>
          <t>Beland Mazal</t>
        </is>
      </c>
      <c r="K219" s="42" t="inlineStr">
        <is>
          <t>World Bank (WBK/AF-2)</t>
        </is>
      </c>
      <c r="L219" s="42" t="inlineStr">
        <is>
          <t>Remaining</t>
        </is>
      </c>
      <c r="M219" s="42" t="inlineStr">
        <is>
          <t>Drip irrigation</t>
        </is>
      </c>
      <c r="N219" s="42" t="inlineStr">
        <is>
          <t>5. Drip Irrigation systems</t>
        </is>
      </c>
      <c r="O219" s="42" t="inlineStr">
        <is>
          <t>Mohammad Rasool Gharani</t>
        </is>
      </c>
      <c r="P219" s="42" t="inlineStr"/>
      <c r="Q219" s="43" t="n"/>
      <c r="R219" s="35" t="inlineStr">
        <is>
          <t>IF(AO219="","",AO219)</t>
        </is>
      </c>
      <c r="S219" s="44" t="n">
        <v>46381</v>
      </c>
      <c r="T219" s="45" t="n">
        <v>6.2</v>
      </c>
      <c r="U219" s="44" t="n">
        <v>46571</v>
      </c>
      <c r="V219" s="35" t="inlineStr">
        <is>
          <t>IF(U219&lt;&gt;"",U219,IF(OR(R219="",T219=""),"",EDATE(R219,T219)))</t>
        </is>
      </c>
      <c r="W219" s="44" t="n"/>
      <c r="X219" s="45" t="n"/>
      <c r="Y219" s="42" t="inlineStr">
        <is>
          <t>Retendered (Re-ITB)</t>
        </is>
      </c>
      <c r="Z219" s="42" t="inlineStr">
        <is>
          <t>Slack period up to end March. Four months construction period starting from April 2026. | Farmer: Mohammad Rasool Gharani</t>
        </is>
      </c>
      <c r="AA219" s="32" t="inlineStr">
        <is>
          <t>IF(E219="","",IF(COUNT(AG219:AT219)=0,IF(Y219="","Not started",Y219),SUBSTITUTE(LOOKUP(2,1/(AG219:AT219&lt;&gt;""),$AG$3:$AT$3),"Date: ","")))</t>
        </is>
      </c>
      <c r="AB219" s="38" t="inlineStr">
        <is>
          <t>IF(OR(E219="",COUNT(AG219:AT219)=0),"",TODAY()-LOOKUP(2,1/(AG219:AT219&lt;&gt;""),AG219:AT219))</t>
        </is>
      </c>
      <c r="AC219" s="38" t="inlineStr">
        <is>
          <t>IF(OR(E219="",COUNT(AG219:AT219)&lt;2),"",LOOKUP(2,1/(AG219:AT219&lt;&gt;""),AG219:AT219)-MIN(AG219:AT219))</t>
        </is>
      </c>
      <c r="AD219" s="38" t="inlineStr">
        <is>
          <t>IF(OR(AB219="",AA219="Not started",AA219=""),"",IFERROR(AB219-IF(VLOOKUP(AA219,'04_Status_Pipeline'!$B$3:$E$20,4,FALSE)="",0,VLOOKUP(AA219,'04_Status_Pipeline'!$B$3:$E$20,4,FALSE)),""))</t>
        </is>
      </c>
      <c r="AE219" s="32" t="inlineStr">
        <is>
          <t>IF(E219="","",IF(OR(Y219="Cancelled",AA219="Cancelled"),"Cancelled",IF(OR(AA219="Completed / Handover",W219&lt;&gt;"",X219&gt;=100),"Completed — on track",IF(L219="Remaining",IF(S219="",IF(V219="","No planned date",IF(TODAY()&gt;V219,"Behind — past planned date",IF(V219-TODAY()&lt;=30,"At risk — close to off track","On track"))),IF(TODAY()&gt;S219,"Behind — award date passed",IF(S219-TODAY()&lt;=30,"At risk — close to off track","On track"))),IF(V219="","No planned date",IF(AND(TODAY()&gt;V219,OR(X219="",X219&lt;100)),"Behind — past end date",IF(AND(R219&lt;&gt;"",V219&lt;&gt;"",X219&lt;&gt;"",(X219&lt;100),((TODAY()-R219)/MAX(V219-R219,1)*100)-X219&gt;15),"Behind — progress lag",IF(AND(V219-TODAY()&lt;=30,V219-TODAY()&gt;=0,OR(X219="",X219&lt;90)),"At risk — close to off track","On track"))))))))</t>
        </is>
      </c>
      <c r="AF219" s="38" t="inlineStr">
        <is>
          <t>IF(OR(E219="",AA219="Completed / Handover",AA219="Cancelled"),"",IF(L219="Remaining",IF(S219&lt;&gt;"",S219-TODAY(),IF(V219="","",V219-TODAY())),IF(V219="","",V219-TODAY())))</t>
        </is>
      </c>
      <c r="AG219" s="44" t="n"/>
      <c r="AH219" s="44" t="n"/>
      <c r="AI219" s="44" t="n"/>
      <c r="AJ219" s="44" t="n"/>
      <c r="AK219" s="44" t="n"/>
      <c r="AL219" s="44" t="n"/>
      <c r="AM219" s="44" t="n"/>
      <c r="AN219" s="44" t="n"/>
      <c r="AO219" s="44" t="n"/>
      <c r="AP219" s="44" t="n"/>
      <c r="AQ219" s="44" t="n"/>
      <c r="AR219" s="40" t="n"/>
      <c r="AS219" s="40" t="n"/>
      <c r="AT219" s="40" t="n"/>
      <c r="AU219" s="38" t="inlineStr">
        <is>
          <t>IF(OR(E219="",AH219=""),"",IF(COUNT(AG219:AG219)=0,"",AH219-LOOKUP(2,1/(AG219:AG219&lt;&gt;""),AG219:AG219)))</t>
        </is>
      </c>
      <c r="AV219" s="38" t="inlineStr">
        <is>
          <t>IF(OR(E219="",AI219=""),"",IF(COUNT(AG219:AH219)=0,"",AI219-LOOKUP(2,1/(AG219:AH219&lt;&gt;""),AG219:AH219)))</t>
        </is>
      </c>
      <c r="AW219" s="38" t="inlineStr">
        <is>
          <t>IF(OR(E219="",AJ219=""),"",IF(COUNT(AG219:AI219)=0,"",AJ219-LOOKUP(2,1/(AG219:AI219&lt;&gt;""),AG219:AI219)))</t>
        </is>
      </c>
      <c r="AX219" s="38" t="inlineStr">
        <is>
          <t>IF(OR(E219="",AK219=""),"",IF(COUNT(AG219:AJ219)=0,"",AK219-LOOKUP(2,1/(AG219:AJ219&lt;&gt;""),AG219:AJ219)))</t>
        </is>
      </c>
      <c r="AY219" s="38" t="inlineStr">
        <is>
          <t>IF(OR(E219="",AL219=""),"",IF(COUNT(AG219:AK219)=0,"",AL219-LOOKUP(2,1/(AG219:AK219&lt;&gt;""),AG219:AK219)))</t>
        </is>
      </c>
      <c r="AZ219" s="38" t="inlineStr">
        <is>
          <t>IF(OR(E219="",AM219=""),"",IF(COUNT(AG219:AL219)=0,"",AM219-LOOKUP(2,1/(AG219:AL219&lt;&gt;""),AG219:AL219)))</t>
        </is>
      </c>
      <c r="BA219" s="38" t="inlineStr">
        <is>
          <t>IF(OR(E219="",AN219=""),"",IF(COUNT(AG219:AM219)=0,"",AN219-LOOKUP(2,1/(AG219:AM219&lt;&gt;""),AG219:AM219)))</t>
        </is>
      </c>
      <c r="BB219" s="38" t="inlineStr">
        <is>
          <t>IF(OR(E219="",AO219=""),"",IF(COUNT(AG219:AN219)=0,"",AO219-LOOKUP(2,1/(AG219:AN219&lt;&gt;""),AG219:AN219)))</t>
        </is>
      </c>
      <c r="BC219" s="38" t="inlineStr">
        <is>
          <t>IF(OR(E219="",AP219=""),"",IF(COUNT(AG219:AO219)=0,"",AP219-LOOKUP(2,1/(AG219:AO219&lt;&gt;""),AG219:AO219)))</t>
        </is>
      </c>
      <c r="BD219" s="38" t="inlineStr">
        <is>
          <t>IF(OR(E219="",AQ219=""),"",IF(COUNT(AG219:AP219)=0,"",AQ219-LOOKUP(2,1/(AG219:AP219&lt;&gt;""),AG219:AP219)))</t>
        </is>
      </c>
      <c r="BE219" s="38" t="inlineStr">
        <is>
          <t>IF(OR(E219="",AR219=""),"",IF(COUNT(AG219:AQ219)=0,"",AR219-LOOKUP(2,1/(AG219:AQ219&lt;&gt;""),AG219:AQ219)))</t>
        </is>
      </c>
      <c r="BF219" s="38" t="inlineStr">
        <is>
          <t>IF(OR(E219="",AS219=""),"",IF(COUNT(AG219:AR219)=0,"",AS219-LOOKUP(2,1/(AG219:AR219&lt;&gt;""),AG219:AR219)))</t>
        </is>
      </c>
      <c r="BG219" s="38" t="inlineStr">
        <is>
          <t>IF(OR(E219="",AT219=""),"",IF(COUNT(AG219:AS219)=0,"",AT219-LOOKUP(2,1/(AG219:AS219&lt;&gt;""),AG219:AS219)))</t>
        </is>
      </c>
      <c r="BH219" s="41" t="inlineStr">
        <is>
          <t>IF(G219="","All_Provinces",IFERROR(VLOOKUP(G219,'07_Lookups'!$A$4:$B$20,2,FALSE),"All_Provinces"))</t>
        </is>
      </c>
      <c r="BI219" s="41" t="inlineStr">
        <is>
          <t>IF(H219="","All_Districts",IFERROR(VLOOKUP(H219,'07_Lookups'!$E$4:$F$42,2,FALSE),"All_Districts"))</t>
        </is>
      </c>
    </row>
    <row r="220" ht="18" customHeight="1">
      <c r="A220" s="32" t="inlineStr">
        <is>
          <t>IF(E220="","",ROW()-3)</t>
        </is>
      </c>
      <c r="B220" s="33" t="inlineStr">
        <is>
          <t>AF2-DIS-R-057</t>
        </is>
      </c>
      <c r="C220" s="33" t="inlineStr">
        <is>
          <t>Emergency Food Security Project (EFSP) – WBK/AF-2</t>
        </is>
      </c>
      <c r="D220"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0" s="33" t="inlineStr">
        <is>
          <t>Nughi Drip Irrigation Scheme</t>
        </is>
      </c>
      <c r="F220" s="33" t="inlineStr">
        <is>
          <t>Drip Irrigation</t>
        </is>
      </c>
      <c r="G220" s="33" t="inlineStr">
        <is>
          <t>Southeast / Gardez</t>
        </is>
      </c>
      <c r="H220" s="33" t="inlineStr">
        <is>
          <t>Ghazni</t>
        </is>
      </c>
      <c r="I220" s="33" t="inlineStr">
        <is>
          <t>Center</t>
        </is>
      </c>
      <c r="J220" s="33" t="inlineStr">
        <is>
          <t>Nughi</t>
        </is>
      </c>
      <c r="K220" s="33" t="inlineStr">
        <is>
          <t>World Bank (WBK/AF-2)</t>
        </is>
      </c>
      <c r="L220" s="33" t="inlineStr">
        <is>
          <t>Remaining</t>
        </is>
      </c>
      <c r="M220" s="33" t="inlineStr">
        <is>
          <t>Drip irrigation</t>
        </is>
      </c>
      <c r="N220" s="33" t="inlineStr">
        <is>
          <t>5. Drip Irrigation systems</t>
        </is>
      </c>
      <c r="O220" s="33" t="inlineStr">
        <is>
          <t>Hakim Khan</t>
        </is>
      </c>
      <c r="P220" s="33" t="inlineStr"/>
      <c r="Q220" s="34" t="n"/>
      <c r="R220" s="35" t="inlineStr">
        <is>
          <t>IF(AO220="","",AO220)</t>
        </is>
      </c>
      <c r="S220" s="36" t="n">
        <v>46381</v>
      </c>
      <c r="T220" s="37" t="n">
        <v>6.2</v>
      </c>
      <c r="U220" s="36" t="n">
        <v>46571</v>
      </c>
      <c r="V220" s="35" t="inlineStr">
        <is>
          <t>IF(U220&lt;&gt;"",U220,IF(OR(R220="",T220=""),"",EDATE(R220,T220)))</t>
        </is>
      </c>
      <c r="W220" s="36" t="n"/>
      <c r="X220" s="37" t="n"/>
      <c r="Y220" s="33" t="inlineStr">
        <is>
          <t>Retendered (Re-ITB)</t>
        </is>
      </c>
      <c r="Z220" s="33" t="inlineStr">
        <is>
          <t>Slack period up to end March. Four months construction period starting from April 2026. | Farmer: Hakim Khan</t>
        </is>
      </c>
      <c r="AA220" s="32" t="inlineStr">
        <is>
          <t>IF(E220="","",IF(COUNT(AG220:AT220)=0,IF(Y220="","Not started",Y220),SUBSTITUTE(LOOKUP(2,1/(AG220:AT220&lt;&gt;""),$AG$3:$AT$3),"Date: ","")))</t>
        </is>
      </c>
      <c r="AB220" s="38" t="inlineStr">
        <is>
          <t>IF(OR(E220="",COUNT(AG220:AT220)=0),"",TODAY()-LOOKUP(2,1/(AG220:AT220&lt;&gt;""),AG220:AT220))</t>
        </is>
      </c>
      <c r="AC220" s="38" t="inlineStr">
        <is>
          <t>IF(OR(E220="",COUNT(AG220:AT220)&lt;2),"",LOOKUP(2,1/(AG220:AT220&lt;&gt;""),AG220:AT220)-MIN(AG220:AT220))</t>
        </is>
      </c>
      <c r="AD220" s="38" t="inlineStr">
        <is>
          <t>IF(OR(AB220="",AA220="Not started",AA220=""),"",IFERROR(AB220-IF(VLOOKUP(AA220,'04_Status_Pipeline'!$B$3:$E$20,4,FALSE)="",0,VLOOKUP(AA220,'04_Status_Pipeline'!$B$3:$E$20,4,FALSE)),""))</t>
        </is>
      </c>
      <c r="AE220" s="32" t="inlineStr">
        <is>
          <t>IF(E220="","",IF(OR(Y220="Cancelled",AA220="Cancelled"),"Cancelled",IF(OR(AA220="Completed / Handover",W220&lt;&gt;"",X220&gt;=100),"Completed — on track",IF(L220="Remaining",IF(S220="",IF(V220="","No planned date",IF(TODAY()&gt;V220,"Behind — past planned date",IF(V220-TODAY()&lt;=30,"At risk — close to off track","On track"))),IF(TODAY()&gt;S220,"Behind — award date passed",IF(S220-TODAY()&lt;=30,"At risk — close to off track","On track"))),IF(V220="","No planned date",IF(AND(TODAY()&gt;V220,OR(X220="",X220&lt;100)),"Behind — past end date",IF(AND(R220&lt;&gt;"",V220&lt;&gt;"",X220&lt;&gt;"",(X220&lt;100),((TODAY()-R220)/MAX(V220-R220,1)*100)-X220&gt;15),"Behind — progress lag",IF(AND(V220-TODAY()&lt;=30,V220-TODAY()&gt;=0,OR(X220="",X220&lt;90)),"At risk — close to off track","On track"))))))))</t>
        </is>
      </c>
      <c r="AF220" s="38" t="inlineStr">
        <is>
          <t>IF(OR(E220="",AA220="Completed / Handover",AA220="Cancelled"),"",IF(L220="Remaining",IF(S220&lt;&gt;"",S220-TODAY(),IF(V220="","",V220-TODAY())),IF(V220="","",V220-TODAY())))</t>
        </is>
      </c>
      <c r="AG220" s="36" t="n"/>
      <c r="AH220" s="36" t="n"/>
      <c r="AI220" s="36" t="n"/>
      <c r="AJ220" s="36" t="n"/>
      <c r="AK220" s="36" t="n"/>
      <c r="AL220" s="36" t="n"/>
      <c r="AM220" s="36" t="n"/>
      <c r="AN220" s="36" t="n"/>
      <c r="AO220" s="36" t="n"/>
      <c r="AP220" s="36" t="n"/>
      <c r="AQ220" s="36" t="n"/>
      <c r="AR220" s="40" t="n"/>
      <c r="AS220" s="40" t="n"/>
      <c r="AT220" s="40" t="n"/>
      <c r="AU220" s="38" t="inlineStr">
        <is>
          <t>IF(OR(E220="",AH220=""),"",IF(COUNT(AG220:AG220)=0,"",AH220-LOOKUP(2,1/(AG220:AG220&lt;&gt;""),AG220:AG220)))</t>
        </is>
      </c>
      <c r="AV220" s="38" t="inlineStr">
        <is>
          <t>IF(OR(E220="",AI220=""),"",IF(COUNT(AG220:AH220)=0,"",AI220-LOOKUP(2,1/(AG220:AH220&lt;&gt;""),AG220:AH220)))</t>
        </is>
      </c>
      <c r="AW220" s="38" t="inlineStr">
        <is>
          <t>IF(OR(E220="",AJ220=""),"",IF(COUNT(AG220:AI220)=0,"",AJ220-LOOKUP(2,1/(AG220:AI220&lt;&gt;""),AG220:AI220)))</t>
        </is>
      </c>
      <c r="AX220" s="38" t="inlineStr">
        <is>
          <t>IF(OR(E220="",AK220=""),"",IF(COUNT(AG220:AJ220)=0,"",AK220-LOOKUP(2,1/(AG220:AJ220&lt;&gt;""),AG220:AJ220)))</t>
        </is>
      </c>
      <c r="AY220" s="38" t="inlineStr">
        <is>
          <t>IF(OR(E220="",AL220=""),"",IF(COUNT(AG220:AK220)=0,"",AL220-LOOKUP(2,1/(AG220:AK220&lt;&gt;""),AG220:AK220)))</t>
        </is>
      </c>
      <c r="AZ220" s="38" t="inlineStr">
        <is>
          <t>IF(OR(E220="",AM220=""),"",IF(COUNT(AG220:AL220)=0,"",AM220-LOOKUP(2,1/(AG220:AL220&lt;&gt;""),AG220:AL220)))</t>
        </is>
      </c>
      <c r="BA220" s="38" t="inlineStr">
        <is>
          <t>IF(OR(E220="",AN220=""),"",IF(COUNT(AG220:AM220)=0,"",AN220-LOOKUP(2,1/(AG220:AM220&lt;&gt;""),AG220:AM220)))</t>
        </is>
      </c>
      <c r="BB220" s="38" t="inlineStr">
        <is>
          <t>IF(OR(E220="",AO220=""),"",IF(COUNT(AG220:AN220)=0,"",AO220-LOOKUP(2,1/(AG220:AN220&lt;&gt;""),AG220:AN220)))</t>
        </is>
      </c>
      <c r="BC220" s="38" t="inlineStr">
        <is>
          <t>IF(OR(E220="",AP220=""),"",IF(COUNT(AG220:AO220)=0,"",AP220-LOOKUP(2,1/(AG220:AO220&lt;&gt;""),AG220:AO220)))</t>
        </is>
      </c>
      <c r="BD220" s="38" t="inlineStr">
        <is>
          <t>IF(OR(E220="",AQ220=""),"",IF(COUNT(AG220:AP220)=0,"",AQ220-LOOKUP(2,1/(AG220:AP220&lt;&gt;""),AG220:AP220)))</t>
        </is>
      </c>
      <c r="BE220" s="38" t="inlineStr">
        <is>
          <t>IF(OR(E220="",AR220=""),"",IF(COUNT(AG220:AQ220)=0,"",AR220-LOOKUP(2,1/(AG220:AQ220&lt;&gt;""),AG220:AQ220)))</t>
        </is>
      </c>
      <c r="BF220" s="38" t="inlineStr">
        <is>
          <t>IF(OR(E220="",AS220=""),"",IF(COUNT(AG220:AR220)=0,"",AS220-LOOKUP(2,1/(AG220:AR220&lt;&gt;""),AG220:AR220)))</t>
        </is>
      </c>
      <c r="BG220" s="38" t="inlineStr">
        <is>
          <t>IF(OR(E220="",AT220=""),"",IF(COUNT(AG220:AS220)=0,"",AT220-LOOKUP(2,1/(AG220:AS220&lt;&gt;""),AG220:AS220)))</t>
        </is>
      </c>
      <c r="BH220" s="41" t="inlineStr">
        <is>
          <t>IF(G220="","All_Provinces",IFERROR(VLOOKUP(G220,'07_Lookups'!$A$4:$B$20,2,FALSE),"All_Provinces"))</t>
        </is>
      </c>
      <c r="BI220" s="41" t="inlineStr">
        <is>
          <t>IF(H220="","All_Districts",IFERROR(VLOOKUP(H220,'07_Lookups'!$E$4:$F$42,2,FALSE),"All_Districts"))</t>
        </is>
      </c>
    </row>
    <row r="221" ht="18" customHeight="1">
      <c r="A221" s="32" t="inlineStr">
        <is>
          <t>IF(E221="","",ROW()-3)</t>
        </is>
      </c>
      <c r="B221" s="42" t="inlineStr">
        <is>
          <t>AF2-DIS-R-058</t>
        </is>
      </c>
      <c r="C221" s="42" t="inlineStr">
        <is>
          <t>Emergency Food Security Project (EFSP) – WBK/AF-2</t>
        </is>
      </c>
      <c r="D221"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1" s="42" t="inlineStr">
        <is>
          <t>Deyak Drip Irrigation Scheme</t>
        </is>
      </c>
      <c r="F221" s="42" t="inlineStr">
        <is>
          <t>Drip Irrigation</t>
        </is>
      </c>
      <c r="G221" s="42" t="inlineStr">
        <is>
          <t>Southeast / Gardez</t>
        </is>
      </c>
      <c r="H221" s="42" t="inlineStr">
        <is>
          <t>Ghazni</t>
        </is>
      </c>
      <c r="I221" s="42" t="inlineStr">
        <is>
          <t>Deyak</t>
        </is>
      </c>
      <c r="J221" s="42" t="inlineStr">
        <is>
          <t>Ramaki</t>
        </is>
      </c>
      <c r="K221" s="42" t="inlineStr">
        <is>
          <t>World Bank (WBK/AF-2)</t>
        </is>
      </c>
      <c r="L221" s="42" t="inlineStr">
        <is>
          <t>Remaining</t>
        </is>
      </c>
      <c r="M221" s="42" t="inlineStr">
        <is>
          <t>Drip irrigation</t>
        </is>
      </c>
      <c r="N221" s="42" t="inlineStr">
        <is>
          <t>5. Drip Irrigation systems</t>
        </is>
      </c>
      <c r="O221" s="42" t="inlineStr">
        <is>
          <t>Naser Khan</t>
        </is>
      </c>
      <c r="P221" s="42" t="inlineStr"/>
      <c r="Q221" s="43" t="n"/>
      <c r="R221" s="35" t="inlineStr">
        <is>
          <t>IF(AO221="","",AO221)</t>
        </is>
      </c>
      <c r="S221" s="44" t="n">
        <v>46381</v>
      </c>
      <c r="T221" s="45" t="n">
        <v>6.2</v>
      </c>
      <c r="U221" s="44" t="n">
        <v>46571</v>
      </c>
      <c r="V221" s="35" t="inlineStr">
        <is>
          <t>IF(U221&lt;&gt;"",U221,IF(OR(R221="",T221=""),"",EDATE(R221,T221)))</t>
        </is>
      </c>
      <c r="W221" s="44" t="n"/>
      <c r="X221" s="45" t="n"/>
      <c r="Y221" s="42" t="inlineStr">
        <is>
          <t>Retendered (Re-ITB)</t>
        </is>
      </c>
      <c r="Z221" s="42" t="inlineStr">
        <is>
          <t>Slack period up to end March. Four months construction period starting from April 2026. | Farmer: Naser Khan</t>
        </is>
      </c>
      <c r="AA221" s="32" t="inlineStr">
        <is>
          <t>IF(E221="","",IF(COUNT(AG221:AT221)=0,IF(Y221="","Not started",Y221),SUBSTITUTE(LOOKUP(2,1/(AG221:AT221&lt;&gt;""),$AG$3:$AT$3),"Date: ","")))</t>
        </is>
      </c>
      <c r="AB221" s="38" t="inlineStr">
        <is>
          <t>IF(OR(E221="",COUNT(AG221:AT221)=0),"",TODAY()-LOOKUP(2,1/(AG221:AT221&lt;&gt;""),AG221:AT221))</t>
        </is>
      </c>
      <c r="AC221" s="38" t="inlineStr">
        <is>
          <t>IF(OR(E221="",COUNT(AG221:AT221)&lt;2),"",LOOKUP(2,1/(AG221:AT221&lt;&gt;""),AG221:AT221)-MIN(AG221:AT221))</t>
        </is>
      </c>
      <c r="AD221" s="38" t="inlineStr">
        <is>
          <t>IF(OR(AB221="",AA221="Not started",AA221=""),"",IFERROR(AB221-IF(VLOOKUP(AA221,'04_Status_Pipeline'!$B$3:$E$20,4,FALSE)="",0,VLOOKUP(AA221,'04_Status_Pipeline'!$B$3:$E$20,4,FALSE)),""))</t>
        </is>
      </c>
      <c r="AE221" s="32" t="inlineStr">
        <is>
          <t>IF(E221="","",IF(OR(Y221="Cancelled",AA221="Cancelled"),"Cancelled",IF(OR(AA221="Completed / Handover",W221&lt;&gt;"",X221&gt;=100),"Completed — on track",IF(L221="Remaining",IF(S221="",IF(V221="","No planned date",IF(TODAY()&gt;V221,"Behind — past planned date",IF(V221-TODAY()&lt;=30,"At risk — close to off track","On track"))),IF(TODAY()&gt;S221,"Behind — award date passed",IF(S221-TODAY()&lt;=30,"At risk — close to off track","On track"))),IF(V221="","No planned date",IF(AND(TODAY()&gt;V221,OR(X221="",X221&lt;100)),"Behind — past end date",IF(AND(R221&lt;&gt;"",V221&lt;&gt;"",X221&lt;&gt;"",(X221&lt;100),((TODAY()-R221)/MAX(V221-R221,1)*100)-X221&gt;15),"Behind — progress lag",IF(AND(V221-TODAY()&lt;=30,V221-TODAY()&gt;=0,OR(X221="",X221&lt;90)),"At risk — close to off track","On track"))))))))</t>
        </is>
      </c>
      <c r="AF221" s="38" t="inlineStr">
        <is>
          <t>IF(OR(E221="",AA221="Completed / Handover",AA221="Cancelled"),"",IF(L221="Remaining",IF(S221&lt;&gt;"",S221-TODAY(),IF(V221="","",V221-TODAY())),IF(V221="","",V221-TODAY())))</t>
        </is>
      </c>
      <c r="AG221" s="44" t="n"/>
      <c r="AH221" s="44" t="n"/>
      <c r="AI221" s="44" t="n"/>
      <c r="AJ221" s="44" t="n"/>
      <c r="AK221" s="44" t="n"/>
      <c r="AL221" s="44" t="n"/>
      <c r="AM221" s="44" t="n"/>
      <c r="AN221" s="44" t="n"/>
      <c r="AO221" s="44" t="n"/>
      <c r="AP221" s="44" t="n"/>
      <c r="AQ221" s="44" t="n"/>
      <c r="AR221" s="40" t="n"/>
      <c r="AS221" s="40" t="n"/>
      <c r="AT221" s="40" t="n"/>
      <c r="AU221" s="38" t="inlineStr">
        <is>
          <t>IF(OR(E221="",AH221=""),"",IF(COUNT(AG221:AG221)=0,"",AH221-LOOKUP(2,1/(AG221:AG221&lt;&gt;""),AG221:AG221)))</t>
        </is>
      </c>
      <c r="AV221" s="38" t="inlineStr">
        <is>
          <t>IF(OR(E221="",AI221=""),"",IF(COUNT(AG221:AH221)=0,"",AI221-LOOKUP(2,1/(AG221:AH221&lt;&gt;""),AG221:AH221)))</t>
        </is>
      </c>
      <c r="AW221" s="38" t="inlineStr">
        <is>
          <t>IF(OR(E221="",AJ221=""),"",IF(COUNT(AG221:AI221)=0,"",AJ221-LOOKUP(2,1/(AG221:AI221&lt;&gt;""),AG221:AI221)))</t>
        </is>
      </c>
      <c r="AX221" s="38" t="inlineStr">
        <is>
          <t>IF(OR(E221="",AK221=""),"",IF(COUNT(AG221:AJ221)=0,"",AK221-LOOKUP(2,1/(AG221:AJ221&lt;&gt;""),AG221:AJ221)))</t>
        </is>
      </c>
      <c r="AY221" s="38" t="inlineStr">
        <is>
          <t>IF(OR(E221="",AL221=""),"",IF(COUNT(AG221:AK221)=0,"",AL221-LOOKUP(2,1/(AG221:AK221&lt;&gt;""),AG221:AK221)))</t>
        </is>
      </c>
      <c r="AZ221" s="38" t="inlineStr">
        <is>
          <t>IF(OR(E221="",AM221=""),"",IF(COUNT(AG221:AL221)=0,"",AM221-LOOKUP(2,1/(AG221:AL221&lt;&gt;""),AG221:AL221)))</t>
        </is>
      </c>
      <c r="BA221" s="38" t="inlineStr">
        <is>
          <t>IF(OR(E221="",AN221=""),"",IF(COUNT(AG221:AM221)=0,"",AN221-LOOKUP(2,1/(AG221:AM221&lt;&gt;""),AG221:AM221)))</t>
        </is>
      </c>
      <c r="BB221" s="38" t="inlineStr">
        <is>
          <t>IF(OR(E221="",AO221=""),"",IF(COUNT(AG221:AN221)=0,"",AO221-LOOKUP(2,1/(AG221:AN221&lt;&gt;""),AG221:AN221)))</t>
        </is>
      </c>
      <c r="BC221" s="38" t="inlineStr">
        <is>
          <t>IF(OR(E221="",AP221=""),"",IF(COUNT(AG221:AO221)=0,"",AP221-LOOKUP(2,1/(AG221:AO221&lt;&gt;""),AG221:AO221)))</t>
        </is>
      </c>
      <c r="BD221" s="38" t="inlineStr">
        <is>
          <t>IF(OR(E221="",AQ221=""),"",IF(COUNT(AG221:AP221)=0,"",AQ221-LOOKUP(2,1/(AG221:AP221&lt;&gt;""),AG221:AP221)))</t>
        </is>
      </c>
      <c r="BE221" s="38" t="inlineStr">
        <is>
          <t>IF(OR(E221="",AR221=""),"",IF(COUNT(AG221:AQ221)=0,"",AR221-LOOKUP(2,1/(AG221:AQ221&lt;&gt;""),AG221:AQ221)))</t>
        </is>
      </c>
      <c r="BF221" s="38" t="inlineStr">
        <is>
          <t>IF(OR(E221="",AS221=""),"",IF(COUNT(AG221:AR221)=0,"",AS221-LOOKUP(2,1/(AG221:AR221&lt;&gt;""),AG221:AR221)))</t>
        </is>
      </c>
      <c r="BG221" s="38" t="inlineStr">
        <is>
          <t>IF(OR(E221="",AT221=""),"",IF(COUNT(AG221:AS221)=0,"",AT221-LOOKUP(2,1/(AG221:AS221&lt;&gt;""),AG221:AS221)))</t>
        </is>
      </c>
      <c r="BH221" s="41" t="inlineStr">
        <is>
          <t>IF(G221="","All_Provinces",IFERROR(VLOOKUP(G221,'07_Lookups'!$A$4:$B$20,2,FALSE),"All_Provinces"))</t>
        </is>
      </c>
      <c r="BI221" s="41" t="inlineStr">
        <is>
          <t>IF(H221="","All_Districts",IFERROR(VLOOKUP(H221,'07_Lookups'!$E$4:$F$42,2,FALSE),"All_Districts"))</t>
        </is>
      </c>
    </row>
    <row r="222" ht="18" customHeight="1">
      <c r="A222" s="32" t="inlineStr">
        <is>
          <t>IF(E222="","",ROW()-3)</t>
        </is>
      </c>
      <c r="B222" s="33" t="inlineStr">
        <is>
          <t>AF2-DIS-R-059</t>
        </is>
      </c>
      <c r="C222" s="33" t="inlineStr">
        <is>
          <t>Emergency Food Security Project (EFSP) – WBK/AF-2</t>
        </is>
      </c>
      <c r="D222"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2" s="33" t="inlineStr">
        <is>
          <t>Basana Drip irrigation Scheme</t>
        </is>
      </c>
      <c r="F222" s="33" t="inlineStr">
        <is>
          <t>Drip Irrigation</t>
        </is>
      </c>
      <c r="G222" s="33" t="inlineStr">
        <is>
          <t>Southeast / Gardez</t>
        </is>
      </c>
      <c r="H222" s="33" t="inlineStr">
        <is>
          <t>Ghazni</t>
        </is>
      </c>
      <c r="I222" s="33" t="inlineStr">
        <is>
          <t>Andar</t>
        </is>
      </c>
      <c r="J222" s="33" t="inlineStr">
        <is>
          <t>Basana</t>
        </is>
      </c>
      <c r="K222" s="33" t="inlineStr">
        <is>
          <t>World Bank (WBK/AF-2)</t>
        </is>
      </c>
      <c r="L222" s="33" t="inlineStr">
        <is>
          <t>Remaining</t>
        </is>
      </c>
      <c r="M222" s="33" t="inlineStr">
        <is>
          <t>Drip irrigation</t>
        </is>
      </c>
      <c r="N222" s="33" t="inlineStr">
        <is>
          <t>5. Drip Irrigation systems</t>
        </is>
      </c>
      <c r="O222" s="33" t="inlineStr">
        <is>
          <t>Mohammad Naim</t>
        </is>
      </c>
      <c r="P222" s="33" t="inlineStr"/>
      <c r="Q222" s="34" t="n"/>
      <c r="R222" s="35" t="inlineStr">
        <is>
          <t>IF(AO222="","",AO222)</t>
        </is>
      </c>
      <c r="S222" s="36" t="n">
        <v>46381</v>
      </c>
      <c r="T222" s="37" t="n">
        <v>6.2</v>
      </c>
      <c r="U222" s="36" t="n">
        <v>46571</v>
      </c>
      <c r="V222" s="35" t="inlineStr">
        <is>
          <t>IF(U222&lt;&gt;"",U222,IF(OR(R222="",T222=""),"",EDATE(R222,T222)))</t>
        </is>
      </c>
      <c r="W222" s="36" t="n"/>
      <c r="X222" s="37" t="n"/>
      <c r="Y222" s="33" t="inlineStr">
        <is>
          <t>Retendered (Re-ITB)</t>
        </is>
      </c>
      <c r="Z222" s="33" t="inlineStr">
        <is>
          <t>Slack period up to end March. Four months construction period starting from April 2026. | Farmer: Mohammad Naim</t>
        </is>
      </c>
      <c r="AA222" s="32" t="inlineStr">
        <is>
          <t>IF(E222="","",IF(COUNT(AG222:AT222)=0,IF(Y222="","Not started",Y222),SUBSTITUTE(LOOKUP(2,1/(AG222:AT222&lt;&gt;""),$AG$3:$AT$3),"Date: ","")))</t>
        </is>
      </c>
      <c r="AB222" s="38" t="inlineStr">
        <is>
          <t>IF(OR(E222="",COUNT(AG222:AT222)=0),"",TODAY()-LOOKUP(2,1/(AG222:AT222&lt;&gt;""),AG222:AT222))</t>
        </is>
      </c>
      <c r="AC222" s="38" t="inlineStr">
        <is>
          <t>IF(OR(E222="",COUNT(AG222:AT222)&lt;2),"",LOOKUP(2,1/(AG222:AT222&lt;&gt;""),AG222:AT222)-MIN(AG222:AT222))</t>
        </is>
      </c>
      <c r="AD222" s="38" t="inlineStr">
        <is>
          <t>IF(OR(AB222="",AA222="Not started",AA222=""),"",IFERROR(AB222-IF(VLOOKUP(AA222,'04_Status_Pipeline'!$B$3:$E$20,4,FALSE)="",0,VLOOKUP(AA222,'04_Status_Pipeline'!$B$3:$E$20,4,FALSE)),""))</t>
        </is>
      </c>
      <c r="AE222" s="32" t="inlineStr">
        <is>
          <t>IF(E222="","",IF(OR(Y222="Cancelled",AA222="Cancelled"),"Cancelled",IF(OR(AA222="Completed / Handover",W222&lt;&gt;"",X222&gt;=100),"Completed — on track",IF(L222="Remaining",IF(S222="",IF(V222="","No planned date",IF(TODAY()&gt;V222,"Behind — past planned date",IF(V222-TODAY()&lt;=30,"At risk — close to off track","On track"))),IF(TODAY()&gt;S222,"Behind — award date passed",IF(S222-TODAY()&lt;=30,"At risk — close to off track","On track"))),IF(V222="","No planned date",IF(AND(TODAY()&gt;V222,OR(X222="",X222&lt;100)),"Behind — past end date",IF(AND(R222&lt;&gt;"",V222&lt;&gt;"",X222&lt;&gt;"",(X222&lt;100),((TODAY()-R222)/MAX(V222-R222,1)*100)-X222&gt;15),"Behind — progress lag",IF(AND(V222-TODAY()&lt;=30,V222-TODAY()&gt;=0,OR(X222="",X222&lt;90)),"At risk — close to off track","On track"))))))))</t>
        </is>
      </c>
      <c r="AF222" s="38" t="inlineStr">
        <is>
          <t>IF(OR(E222="",AA222="Completed / Handover",AA222="Cancelled"),"",IF(L222="Remaining",IF(S222&lt;&gt;"",S222-TODAY(),IF(V222="","",V222-TODAY())),IF(V222="","",V222-TODAY())))</t>
        </is>
      </c>
      <c r="AG222" s="36" t="n"/>
      <c r="AH222" s="36" t="n"/>
      <c r="AI222" s="36" t="n"/>
      <c r="AJ222" s="36" t="n"/>
      <c r="AK222" s="36" t="n"/>
      <c r="AL222" s="36" t="n"/>
      <c r="AM222" s="36" t="n"/>
      <c r="AN222" s="36" t="n"/>
      <c r="AO222" s="36" t="n"/>
      <c r="AP222" s="36" t="n"/>
      <c r="AQ222" s="36" t="n"/>
      <c r="AR222" s="40" t="n"/>
      <c r="AS222" s="40" t="n"/>
      <c r="AT222" s="40" t="n"/>
      <c r="AU222" s="38" t="inlineStr">
        <is>
          <t>IF(OR(E222="",AH222=""),"",IF(COUNT(AG222:AG222)=0,"",AH222-LOOKUP(2,1/(AG222:AG222&lt;&gt;""),AG222:AG222)))</t>
        </is>
      </c>
      <c r="AV222" s="38" t="inlineStr">
        <is>
          <t>IF(OR(E222="",AI222=""),"",IF(COUNT(AG222:AH222)=0,"",AI222-LOOKUP(2,1/(AG222:AH222&lt;&gt;""),AG222:AH222)))</t>
        </is>
      </c>
      <c r="AW222" s="38" t="inlineStr">
        <is>
          <t>IF(OR(E222="",AJ222=""),"",IF(COUNT(AG222:AI222)=0,"",AJ222-LOOKUP(2,1/(AG222:AI222&lt;&gt;""),AG222:AI222)))</t>
        </is>
      </c>
      <c r="AX222" s="38" t="inlineStr">
        <is>
          <t>IF(OR(E222="",AK222=""),"",IF(COUNT(AG222:AJ222)=0,"",AK222-LOOKUP(2,1/(AG222:AJ222&lt;&gt;""),AG222:AJ222)))</t>
        </is>
      </c>
      <c r="AY222" s="38" t="inlineStr">
        <is>
          <t>IF(OR(E222="",AL222=""),"",IF(COUNT(AG222:AK222)=0,"",AL222-LOOKUP(2,1/(AG222:AK222&lt;&gt;""),AG222:AK222)))</t>
        </is>
      </c>
      <c r="AZ222" s="38" t="inlineStr">
        <is>
          <t>IF(OR(E222="",AM222=""),"",IF(COUNT(AG222:AL222)=0,"",AM222-LOOKUP(2,1/(AG222:AL222&lt;&gt;""),AG222:AL222)))</t>
        </is>
      </c>
      <c r="BA222" s="38" t="inlineStr">
        <is>
          <t>IF(OR(E222="",AN222=""),"",IF(COUNT(AG222:AM222)=0,"",AN222-LOOKUP(2,1/(AG222:AM222&lt;&gt;""),AG222:AM222)))</t>
        </is>
      </c>
      <c r="BB222" s="38" t="inlineStr">
        <is>
          <t>IF(OR(E222="",AO222=""),"",IF(COUNT(AG222:AN222)=0,"",AO222-LOOKUP(2,1/(AG222:AN222&lt;&gt;""),AG222:AN222)))</t>
        </is>
      </c>
      <c r="BC222" s="38" t="inlineStr">
        <is>
          <t>IF(OR(E222="",AP222=""),"",IF(COUNT(AG222:AO222)=0,"",AP222-LOOKUP(2,1/(AG222:AO222&lt;&gt;""),AG222:AO222)))</t>
        </is>
      </c>
      <c r="BD222" s="38" t="inlineStr">
        <is>
          <t>IF(OR(E222="",AQ222=""),"",IF(COUNT(AG222:AP222)=0,"",AQ222-LOOKUP(2,1/(AG222:AP222&lt;&gt;""),AG222:AP222)))</t>
        </is>
      </c>
      <c r="BE222" s="38" t="inlineStr">
        <is>
          <t>IF(OR(E222="",AR222=""),"",IF(COUNT(AG222:AQ222)=0,"",AR222-LOOKUP(2,1/(AG222:AQ222&lt;&gt;""),AG222:AQ222)))</t>
        </is>
      </c>
      <c r="BF222" s="38" t="inlineStr">
        <is>
          <t>IF(OR(E222="",AS222=""),"",IF(COUNT(AG222:AR222)=0,"",AS222-LOOKUP(2,1/(AG222:AR222&lt;&gt;""),AG222:AR222)))</t>
        </is>
      </c>
      <c r="BG222" s="38" t="inlineStr">
        <is>
          <t>IF(OR(E222="",AT222=""),"",IF(COUNT(AG222:AS222)=0,"",AT222-LOOKUP(2,1/(AG222:AS222&lt;&gt;""),AG222:AS222)))</t>
        </is>
      </c>
      <c r="BH222" s="41" t="inlineStr">
        <is>
          <t>IF(G222="","All_Provinces",IFERROR(VLOOKUP(G222,'07_Lookups'!$A$4:$B$20,2,FALSE),"All_Provinces"))</t>
        </is>
      </c>
      <c r="BI222" s="41" t="inlineStr">
        <is>
          <t>IF(H222="","All_Districts",IFERROR(VLOOKUP(H222,'07_Lookups'!$E$4:$F$42,2,FALSE),"All_Districts"))</t>
        </is>
      </c>
    </row>
    <row r="223" ht="18" customHeight="1">
      <c r="A223" s="32" t="inlineStr">
        <is>
          <t>IF(E223="","",ROW()-3)</t>
        </is>
      </c>
      <c r="B223" s="42" t="inlineStr">
        <is>
          <t>AF2-DIS-R-060</t>
        </is>
      </c>
      <c r="C223" s="42" t="inlineStr">
        <is>
          <t>Emergency Food Security Project (EFSP) – WBK/AF-2</t>
        </is>
      </c>
      <c r="D223"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3" s="42" t="inlineStr">
        <is>
          <t>Nawe Patana Drip Irrigation Scheme</t>
        </is>
      </c>
      <c r="F223" s="42" t="inlineStr">
        <is>
          <t>Drip Irrigation</t>
        </is>
      </c>
      <c r="G223" s="42" t="inlineStr">
        <is>
          <t>Southeast / Gardez</t>
        </is>
      </c>
      <c r="H223" s="42" t="inlineStr">
        <is>
          <t>Pakteka</t>
        </is>
      </c>
      <c r="I223" s="42" t="inlineStr">
        <is>
          <t>Sharana</t>
        </is>
      </c>
      <c r="J223" s="42" t="inlineStr">
        <is>
          <t>Patana</t>
        </is>
      </c>
      <c r="K223" s="42" t="inlineStr">
        <is>
          <t>World Bank (WBK/AF-2)</t>
        </is>
      </c>
      <c r="L223" s="42" t="inlineStr">
        <is>
          <t>Remaining</t>
        </is>
      </c>
      <c r="M223" s="42" t="inlineStr">
        <is>
          <t>Drip irrigation</t>
        </is>
      </c>
      <c r="N223" s="42" t="inlineStr">
        <is>
          <t>5. Drip Irrigation systems</t>
        </is>
      </c>
      <c r="O223" s="42" t="inlineStr">
        <is>
          <t>Ghazi Khan</t>
        </is>
      </c>
      <c r="P223" s="42" t="inlineStr"/>
      <c r="Q223" s="43" t="n"/>
      <c r="R223" s="35" t="inlineStr">
        <is>
          <t>IF(AO223="","",AO223)</t>
        </is>
      </c>
      <c r="S223" s="44" t="n">
        <v>46381</v>
      </c>
      <c r="T223" s="45" t="n">
        <v>6.2</v>
      </c>
      <c r="U223" s="44" t="n">
        <v>46571</v>
      </c>
      <c r="V223" s="35" t="inlineStr">
        <is>
          <t>IF(U223&lt;&gt;"",U223,IF(OR(R223="",T223=""),"",EDATE(R223,T223)))</t>
        </is>
      </c>
      <c r="W223" s="44" t="n"/>
      <c r="X223" s="45" t="n"/>
      <c r="Y223" s="42" t="inlineStr">
        <is>
          <t>Retendered (Re-ITB)</t>
        </is>
      </c>
      <c r="Z223" s="42" t="inlineStr">
        <is>
          <t>Slack period up to end March. Four months construction period starting from April 2026. | Farmer: Ghazi Khan</t>
        </is>
      </c>
      <c r="AA223" s="32" t="inlineStr">
        <is>
          <t>IF(E223="","",IF(COUNT(AG223:AT223)=0,IF(Y223="","Not started",Y223),SUBSTITUTE(LOOKUP(2,1/(AG223:AT223&lt;&gt;""),$AG$3:$AT$3),"Date: ","")))</t>
        </is>
      </c>
      <c r="AB223" s="38" t="inlineStr">
        <is>
          <t>IF(OR(E223="",COUNT(AG223:AT223)=0),"",TODAY()-LOOKUP(2,1/(AG223:AT223&lt;&gt;""),AG223:AT223))</t>
        </is>
      </c>
      <c r="AC223" s="38" t="inlineStr">
        <is>
          <t>IF(OR(E223="",COUNT(AG223:AT223)&lt;2),"",LOOKUP(2,1/(AG223:AT223&lt;&gt;""),AG223:AT223)-MIN(AG223:AT223))</t>
        </is>
      </c>
      <c r="AD223" s="38" t="inlineStr">
        <is>
          <t>IF(OR(AB223="",AA223="Not started",AA223=""),"",IFERROR(AB223-IF(VLOOKUP(AA223,'04_Status_Pipeline'!$B$3:$E$20,4,FALSE)="",0,VLOOKUP(AA223,'04_Status_Pipeline'!$B$3:$E$20,4,FALSE)),""))</t>
        </is>
      </c>
      <c r="AE223" s="32" t="inlineStr">
        <is>
          <t>IF(E223="","",IF(OR(Y223="Cancelled",AA223="Cancelled"),"Cancelled",IF(OR(AA223="Completed / Handover",W223&lt;&gt;"",X223&gt;=100),"Completed — on track",IF(L223="Remaining",IF(S223="",IF(V223="","No planned date",IF(TODAY()&gt;V223,"Behind — past planned date",IF(V223-TODAY()&lt;=30,"At risk — close to off track","On track"))),IF(TODAY()&gt;S223,"Behind — award date passed",IF(S223-TODAY()&lt;=30,"At risk — close to off track","On track"))),IF(V223="","No planned date",IF(AND(TODAY()&gt;V223,OR(X223="",X223&lt;100)),"Behind — past end date",IF(AND(R223&lt;&gt;"",V223&lt;&gt;"",X223&lt;&gt;"",(X223&lt;100),((TODAY()-R223)/MAX(V223-R223,1)*100)-X223&gt;15),"Behind — progress lag",IF(AND(V223-TODAY()&lt;=30,V223-TODAY()&gt;=0,OR(X223="",X223&lt;90)),"At risk — close to off track","On track"))))))))</t>
        </is>
      </c>
      <c r="AF223" s="38" t="inlineStr">
        <is>
          <t>IF(OR(E223="",AA223="Completed / Handover",AA223="Cancelled"),"",IF(L223="Remaining",IF(S223&lt;&gt;"",S223-TODAY(),IF(V223="","",V223-TODAY())),IF(V223="","",V223-TODAY())))</t>
        </is>
      </c>
      <c r="AG223" s="44" t="n"/>
      <c r="AH223" s="44" t="n"/>
      <c r="AI223" s="44" t="n"/>
      <c r="AJ223" s="44" t="n"/>
      <c r="AK223" s="44" t="n"/>
      <c r="AL223" s="44" t="n"/>
      <c r="AM223" s="44" t="n"/>
      <c r="AN223" s="44" t="n"/>
      <c r="AO223" s="44" t="n"/>
      <c r="AP223" s="44" t="n"/>
      <c r="AQ223" s="44" t="n"/>
      <c r="AR223" s="40" t="n"/>
      <c r="AS223" s="40" t="n"/>
      <c r="AT223" s="40" t="n"/>
      <c r="AU223" s="38" t="inlineStr">
        <is>
          <t>IF(OR(E223="",AH223=""),"",IF(COUNT(AG223:AG223)=0,"",AH223-LOOKUP(2,1/(AG223:AG223&lt;&gt;""),AG223:AG223)))</t>
        </is>
      </c>
      <c r="AV223" s="38" t="inlineStr">
        <is>
          <t>IF(OR(E223="",AI223=""),"",IF(COUNT(AG223:AH223)=0,"",AI223-LOOKUP(2,1/(AG223:AH223&lt;&gt;""),AG223:AH223)))</t>
        </is>
      </c>
      <c r="AW223" s="38" t="inlineStr">
        <is>
          <t>IF(OR(E223="",AJ223=""),"",IF(COUNT(AG223:AI223)=0,"",AJ223-LOOKUP(2,1/(AG223:AI223&lt;&gt;""),AG223:AI223)))</t>
        </is>
      </c>
      <c r="AX223" s="38" t="inlineStr">
        <is>
          <t>IF(OR(E223="",AK223=""),"",IF(COUNT(AG223:AJ223)=0,"",AK223-LOOKUP(2,1/(AG223:AJ223&lt;&gt;""),AG223:AJ223)))</t>
        </is>
      </c>
      <c r="AY223" s="38" t="inlineStr">
        <is>
          <t>IF(OR(E223="",AL223=""),"",IF(COUNT(AG223:AK223)=0,"",AL223-LOOKUP(2,1/(AG223:AK223&lt;&gt;""),AG223:AK223)))</t>
        </is>
      </c>
      <c r="AZ223" s="38" t="inlineStr">
        <is>
          <t>IF(OR(E223="",AM223=""),"",IF(COUNT(AG223:AL223)=0,"",AM223-LOOKUP(2,1/(AG223:AL223&lt;&gt;""),AG223:AL223)))</t>
        </is>
      </c>
      <c r="BA223" s="38" t="inlineStr">
        <is>
          <t>IF(OR(E223="",AN223=""),"",IF(COUNT(AG223:AM223)=0,"",AN223-LOOKUP(2,1/(AG223:AM223&lt;&gt;""),AG223:AM223)))</t>
        </is>
      </c>
      <c r="BB223" s="38" t="inlineStr">
        <is>
          <t>IF(OR(E223="",AO223=""),"",IF(COUNT(AG223:AN223)=0,"",AO223-LOOKUP(2,1/(AG223:AN223&lt;&gt;""),AG223:AN223)))</t>
        </is>
      </c>
      <c r="BC223" s="38" t="inlineStr">
        <is>
          <t>IF(OR(E223="",AP223=""),"",IF(COUNT(AG223:AO223)=0,"",AP223-LOOKUP(2,1/(AG223:AO223&lt;&gt;""),AG223:AO223)))</t>
        </is>
      </c>
      <c r="BD223" s="38" t="inlineStr">
        <is>
          <t>IF(OR(E223="",AQ223=""),"",IF(COUNT(AG223:AP223)=0,"",AQ223-LOOKUP(2,1/(AG223:AP223&lt;&gt;""),AG223:AP223)))</t>
        </is>
      </c>
      <c r="BE223" s="38" t="inlineStr">
        <is>
          <t>IF(OR(E223="",AR223=""),"",IF(COUNT(AG223:AQ223)=0,"",AR223-LOOKUP(2,1/(AG223:AQ223&lt;&gt;""),AG223:AQ223)))</t>
        </is>
      </c>
      <c r="BF223" s="38" t="inlineStr">
        <is>
          <t>IF(OR(E223="",AS223=""),"",IF(COUNT(AG223:AR223)=0,"",AS223-LOOKUP(2,1/(AG223:AR223&lt;&gt;""),AG223:AR223)))</t>
        </is>
      </c>
      <c r="BG223" s="38" t="inlineStr">
        <is>
          <t>IF(OR(E223="",AT223=""),"",IF(COUNT(AG223:AS223)=0,"",AT223-LOOKUP(2,1/(AG223:AS223&lt;&gt;""),AG223:AS223)))</t>
        </is>
      </c>
      <c r="BH223" s="41" t="inlineStr">
        <is>
          <t>IF(G223="","All_Provinces",IFERROR(VLOOKUP(G223,'07_Lookups'!$A$4:$B$20,2,FALSE),"All_Provinces"))</t>
        </is>
      </c>
      <c r="BI223" s="41" t="inlineStr">
        <is>
          <t>IF(H223="","All_Districts",IFERROR(VLOOKUP(H223,'07_Lookups'!$E$4:$F$42,2,FALSE),"All_Districts"))</t>
        </is>
      </c>
    </row>
    <row r="224" ht="18" customHeight="1">
      <c r="A224" s="32" t="inlineStr">
        <is>
          <t>IF(E224="","",ROW()-3)</t>
        </is>
      </c>
      <c r="B224" s="33" t="inlineStr">
        <is>
          <t>AF2-DIS-R-061</t>
        </is>
      </c>
      <c r="C224" s="33" t="inlineStr">
        <is>
          <t>Emergency Food Security Project (EFSP) – WBK/AF-2</t>
        </is>
      </c>
      <c r="D224"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4" s="33" t="inlineStr">
        <is>
          <t>Sultani Drip Irrigation Scheme</t>
        </is>
      </c>
      <c r="F224" s="33" t="inlineStr">
        <is>
          <t>Drip Irrigation</t>
        </is>
      </c>
      <c r="G224" s="33" t="inlineStr">
        <is>
          <t>Southeast / Gardez</t>
        </is>
      </c>
      <c r="H224" s="33" t="inlineStr">
        <is>
          <t>Pakteka</t>
        </is>
      </c>
      <c r="I224" s="33" t="inlineStr">
        <is>
          <t>Sarhawza</t>
        </is>
      </c>
      <c r="J224" s="33" t="inlineStr">
        <is>
          <t>Sultani</t>
        </is>
      </c>
      <c r="K224" s="33" t="inlineStr">
        <is>
          <t>World Bank (WBK/AF-2)</t>
        </is>
      </c>
      <c r="L224" s="33" t="inlineStr">
        <is>
          <t>Remaining</t>
        </is>
      </c>
      <c r="M224" s="33" t="inlineStr">
        <is>
          <t>Drip irrigation</t>
        </is>
      </c>
      <c r="N224" s="33" t="inlineStr">
        <is>
          <t>5. Drip Irrigation systems</t>
        </is>
      </c>
      <c r="O224" s="33" t="inlineStr">
        <is>
          <t>Akhtar Mohammad</t>
        </is>
      </c>
      <c r="P224" s="33" t="inlineStr"/>
      <c r="Q224" s="34" t="n"/>
      <c r="R224" s="35" t="inlineStr">
        <is>
          <t>IF(AO224="","",AO224)</t>
        </is>
      </c>
      <c r="S224" s="36" t="n">
        <v>46381</v>
      </c>
      <c r="T224" s="37" t="n">
        <v>6.2</v>
      </c>
      <c r="U224" s="36" t="n">
        <v>46571</v>
      </c>
      <c r="V224" s="35" t="inlineStr">
        <is>
          <t>IF(U224&lt;&gt;"",U224,IF(OR(R224="",T224=""),"",EDATE(R224,T224)))</t>
        </is>
      </c>
      <c r="W224" s="36" t="n"/>
      <c r="X224" s="37" t="n"/>
      <c r="Y224" s="33" t="inlineStr">
        <is>
          <t>Retendered (Re-ITB)</t>
        </is>
      </c>
      <c r="Z224" s="33" t="inlineStr">
        <is>
          <t>Slack period up to end March. Four months construction period starting from April 2026. | Farmer: Akhtar Mohammad</t>
        </is>
      </c>
      <c r="AA224" s="32" t="inlineStr">
        <is>
          <t>IF(E224="","",IF(COUNT(AG224:AT224)=0,IF(Y224="","Not started",Y224),SUBSTITUTE(LOOKUP(2,1/(AG224:AT224&lt;&gt;""),$AG$3:$AT$3),"Date: ","")))</t>
        </is>
      </c>
      <c r="AB224" s="38" t="inlineStr">
        <is>
          <t>IF(OR(E224="",COUNT(AG224:AT224)=0),"",TODAY()-LOOKUP(2,1/(AG224:AT224&lt;&gt;""),AG224:AT224))</t>
        </is>
      </c>
      <c r="AC224" s="38" t="inlineStr">
        <is>
          <t>IF(OR(E224="",COUNT(AG224:AT224)&lt;2),"",LOOKUP(2,1/(AG224:AT224&lt;&gt;""),AG224:AT224)-MIN(AG224:AT224))</t>
        </is>
      </c>
      <c r="AD224" s="38" t="inlineStr">
        <is>
          <t>IF(OR(AB224="",AA224="Not started",AA224=""),"",IFERROR(AB224-IF(VLOOKUP(AA224,'04_Status_Pipeline'!$B$3:$E$20,4,FALSE)="",0,VLOOKUP(AA224,'04_Status_Pipeline'!$B$3:$E$20,4,FALSE)),""))</t>
        </is>
      </c>
      <c r="AE224" s="32" t="inlineStr">
        <is>
          <t>IF(E224="","",IF(OR(Y224="Cancelled",AA224="Cancelled"),"Cancelled",IF(OR(AA224="Completed / Handover",W224&lt;&gt;"",X224&gt;=100),"Completed — on track",IF(L224="Remaining",IF(S224="",IF(V224="","No planned date",IF(TODAY()&gt;V224,"Behind — past planned date",IF(V224-TODAY()&lt;=30,"At risk — close to off track","On track"))),IF(TODAY()&gt;S224,"Behind — award date passed",IF(S224-TODAY()&lt;=30,"At risk — close to off track","On track"))),IF(V224="","No planned date",IF(AND(TODAY()&gt;V224,OR(X224="",X224&lt;100)),"Behind — past end date",IF(AND(R224&lt;&gt;"",V224&lt;&gt;"",X224&lt;&gt;"",(X224&lt;100),((TODAY()-R224)/MAX(V224-R224,1)*100)-X224&gt;15),"Behind — progress lag",IF(AND(V224-TODAY()&lt;=30,V224-TODAY()&gt;=0,OR(X224="",X224&lt;90)),"At risk — close to off track","On track"))))))))</t>
        </is>
      </c>
      <c r="AF224" s="38" t="inlineStr">
        <is>
          <t>IF(OR(E224="",AA224="Completed / Handover",AA224="Cancelled"),"",IF(L224="Remaining",IF(S224&lt;&gt;"",S224-TODAY(),IF(V224="","",V224-TODAY())),IF(V224="","",V224-TODAY())))</t>
        </is>
      </c>
      <c r="AG224" s="36" t="n"/>
      <c r="AH224" s="36" t="n"/>
      <c r="AI224" s="36" t="n"/>
      <c r="AJ224" s="36" t="n"/>
      <c r="AK224" s="36" t="n"/>
      <c r="AL224" s="36" t="n"/>
      <c r="AM224" s="36" t="n"/>
      <c r="AN224" s="36" t="n"/>
      <c r="AO224" s="36" t="n"/>
      <c r="AP224" s="36" t="n"/>
      <c r="AQ224" s="36" t="n"/>
      <c r="AR224" s="40" t="n"/>
      <c r="AS224" s="40" t="n"/>
      <c r="AT224" s="40" t="n"/>
      <c r="AU224" s="38" t="inlineStr">
        <is>
          <t>IF(OR(E224="",AH224=""),"",IF(COUNT(AG224:AG224)=0,"",AH224-LOOKUP(2,1/(AG224:AG224&lt;&gt;""),AG224:AG224)))</t>
        </is>
      </c>
      <c r="AV224" s="38" t="inlineStr">
        <is>
          <t>IF(OR(E224="",AI224=""),"",IF(COUNT(AG224:AH224)=0,"",AI224-LOOKUP(2,1/(AG224:AH224&lt;&gt;""),AG224:AH224)))</t>
        </is>
      </c>
      <c r="AW224" s="38" t="inlineStr">
        <is>
          <t>IF(OR(E224="",AJ224=""),"",IF(COUNT(AG224:AI224)=0,"",AJ224-LOOKUP(2,1/(AG224:AI224&lt;&gt;""),AG224:AI224)))</t>
        </is>
      </c>
      <c r="AX224" s="38" t="inlineStr">
        <is>
          <t>IF(OR(E224="",AK224=""),"",IF(COUNT(AG224:AJ224)=0,"",AK224-LOOKUP(2,1/(AG224:AJ224&lt;&gt;""),AG224:AJ224)))</t>
        </is>
      </c>
      <c r="AY224" s="38" t="inlineStr">
        <is>
          <t>IF(OR(E224="",AL224=""),"",IF(COUNT(AG224:AK224)=0,"",AL224-LOOKUP(2,1/(AG224:AK224&lt;&gt;""),AG224:AK224)))</t>
        </is>
      </c>
      <c r="AZ224" s="38" t="inlineStr">
        <is>
          <t>IF(OR(E224="",AM224=""),"",IF(COUNT(AG224:AL224)=0,"",AM224-LOOKUP(2,1/(AG224:AL224&lt;&gt;""),AG224:AL224)))</t>
        </is>
      </c>
      <c r="BA224" s="38" t="inlineStr">
        <is>
          <t>IF(OR(E224="",AN224=""),"",IF(COUNT(AG224:AM224)=0,"",AN224-LOOKUP(2,1/(AG224:AM224&lt;&gt;""),AG224:AM224)))</t>
        </is>
      </c>
      <c r="BB224" s="38" t="inlineStr">
        <is>
          <t>IF(OR(E224="",AO224=""),"",IF(COUNT(AG224:AN224)=0,"",AO224-LOOKUP(2,1/(AG224:AN224&lt;&gt;""),AG224:AN224)))</t>
        </is>
      </c>
      <c r="BC224" s="38" t="inlineStr">
        <is>
          <t>IF(OR(E224="",AP224=""),"",IF(COUNT(AG224:AO224)=0,"",AP224-LOOKUP(2,1/(AG224:AO224&lt;&gt;""),AG224:AO224)))</t>
        </is>
      </c>
      <c r="BD224" s="38" t="inlineStr">
        <is>
          <t>IF(OR(E224="",AQ224=""),"",IF(COUNT(AG224:AP224)=0,"",AQ224-LOOKUP(2,1/(AG224:AP224&lt;&gt;""),AG224:AP224)))</t>
        </is>
      </c>
      <c r="BE224" s="38" t="inlineStr">
        <is>
          <t>IF(OR(E224="",AR224=""),"",IF(COUNT(AG224:AQ224)=0,"",AR224-LOOKUP(2,1/(AG224:AQ224&lt;&gt;""),AG224:AQ224)))</t>
        </is>
      </c>
      <c r="BF224" s="38" t="inlineStr">
        <is>
          <t>IF(OR(E224="",AS224=""),"",IF(COUNT(AG224:AR224)=0,"",AS224-LOOKUP(2,1/(AG224:AR224&lt;&gt;""),AG224:AR224)))</t>
        </is>
      </c>
      <c r="BG224" s="38" t="inlineStr">
        <is>
          <t>IF(OR(E224="",AT224=""),"",IF(COUNT(AG224:AS224)=0,"",AT224-LOOKUP(2,1/(AG224:AS224&lt;&gt;""),AG224:AS224)))</t>
        </is>
      </c>
      <c r="BH224" s="41" t="inlineStr">
        <is>
          <t>IF(G224="","All_Provinces",IFERROR(VLOOKUP(G224,'07_Lookups'!$A$4:$B$20,2,FALSE),"All_Provinces"))</t>
        </is>
      </c>
      <c r="BI224" s="41" t="inlineStr">
        <is>
          <t>IF(H224="","All_Districts",IFERROR(VLOOKUP(H224,'07_Lookups'!$E$4:$F$42,2,FALSE),"All_Districts"))</t>
        </is>
      </c>
    </row>
    <row r="225" ht="18" customHeight="1">
      <c r="A225" s="32" t="inlineStr">
        <is>
          <t>IF(E225="","",ROW()-3)</t>
        </is>
      </c>
      <c r="B225" s="42" t="inlineStr">
        <is>
          <t>AF2-DIS-R-062</t>
        </is>
      </c>
      <c r="C225" s="42" t="inlineStr">
        <is>
          <t>Emergency Food Security Project (EFSP) – WBK/AF-2</t>
        </is>
      </c>
      <c r="D225"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5" s="42" t="inlineStr">
        <is>
          <t>Gir Drip irrigation Scheme</t>
        </is>
      </c>
      <c r="F225" s="42" t="inlineStr">
        <is>
          <t>Drip Irrigation</t>
        </is>
      </c>
      <c r="G225" s="42" t="inlineStr">
        <is>
          <t>Southeast / Gardez</t>
        </is>
      </c>
      <c r="H225" s="42" t="inlineStr">
        <is>
          <t>Pakteka</t>
        </is>
      </c>
      <c r="I225" s="42" t="inlineStr">
        <is>
          <t>Sharana</t>
        </is>
      </c>
      <c r="J225" s="42" t="inlineStr">
        <is>
          <t>Gari</t>
        </is>
      </c>
      <c r="K225" s="42" t="inlineStr">
        <is>
          <t>World Bank (WBK/AF-2)</t>
        </is>
      </c>
      <c r="L225" s="42" t="inlineStr">
        <is>
          <t>Remaining</t>
        </is>
      </c>
      <c r="M225" s="42" t="inlineStr">
        <is>
          <t>Drip irrigation</t>
        </is>
      </c>
      <c r="N225" s="42" t="inlineStr">
        <is>
          <t>5. Drip Irrigation systems</t>
        </is>
      </c>
      <c r="O225" s="42" t="inlineStr">
        <is>
          <t>Fazal Din</t>
        </is>
      </c>
      <c r="P225" s="42" t="inlineStr"/>
      <c r="Q225" s="43" t="n"/>
      <c r="R225" s="35" t="inlineStr">
        <is>
          <t>IF(AO225="","",AO225)</t>
        </is>
      </c>
      <c r="S225" s="44" t="n">
        <v>46381</v>
      </c>
      <c r="T225" s="45" t="n">
        <v>6.2</v>
      </c>
      <c r="U225" s="44" t="n">
        <v>46571</v>
      </c>
      <c r="V225" s="35" t="inlineStr">
        <is>
          <t>IF(U225&lt;&gt;"",U225,IF(OR(R225="",T225=""),"",EDATE(R225,T225)))</t>
        </is>
      </c>
      <c r="W225" s="44" t="n"/>
      <c r="X225" s="45" t="n"/>
      <c r="Y225" s="42" t="inlineStr">
        <is>
          <t>Retendered (Re-ITB)</t>
        </is>
      </c>
      <c r="Z225" s="42" t="inlineStr">
        <is>
          <t>Slack period up to end March. Four months construction period starting from April 2026. | Farmer: Fazal Din</t>
        </is>
      </c>
      <c r="AA225" s="32" t="inlineStr">
        <is>
          <t>IF(E225="","",IF(COUNT(AG225:AT225)=0,IF(Y225="","Not started",Y225),SUBSTITUTE(LOOKUP(2,1/(AG225:AT225&lt;&gt;""),$AG$3:$AT$3),"Date: ","")))</t>
        </is>
      </c>
      <c r="AB225" s="38" t="inlineStr">
        <is>
          <t>IF(OR(E225="",COUNT(AG225:AT225)=0),"",TODAY()-LOOKUP(2,1/(AG225:AT225&lt;&gt;""),AG225:AT225))</t>
        </is>
      </c>
      <c r="AC225" s="38" t="inlineStr">
        <is>
          <t>IF(OR(E225="",COUNT(AG225:AT225)&lt;2),"",LOOKUP(2,1/(AG225:AT225&lt;&gt;""),AG225:AT225)-MIN(AG225:AT225))</t>
        </is>
      </c>
      <c r="AD225" s="38" t="inlineStr">
        <is>
          <t>IF(OR(AB225="",AA225="Not started",AA225=""),"",IFERROR(AB225-IF(VLOOKUP(AA225,'04_Status_Pipeline'!$B$3:$E$20,4,FALSE)="",0,VLOOKUP(AA225,'04_Status_Pipeline'!$B$3:$E$20,4,FALSE)),""))</t>
        </is>
      </c>
      <c r="AE225" s="32" t="inlineStr">
        <is>
          <t>IF(E225="","",IF(OR(Y225="Cancelled",AA225="Cancelled"),"Cancelled",IF(OR(AA225="Completed / Handover",W225&lt;&gt;"",X225&gt;=100),"Completed — on track",IF(L225="Remaining",IF(S225="",IF(V225="","No planned date",IF(TODAY()&gt;V225,"Behind — past planned date",IF(V225-TODAY()&lt;=30,"At risk — close to off track","On track"))),IF(TODAY()&gt;S225,"Behind — award date passed",IF(S225-TODAY()&lt;=30,"At risk — close to off track","On track"))),IF(V225="","No planned date",IF(AND(TODAY()&gt;V225,OR(X225="",X225&lt;100)),"Behind — past end date",IF(AND(R225&lt;&gt;"",V225&lt;&gt;"",X225&lt;&gt;"",(X225&lt;100),((TODAY()-R225)/MAX(V225-R225,1)*100)-X225&gt;15),"Behind — progress lag",IF(AND(V225-TODAY()&lt;=30,V225-TODAY()&gt;=0,OR(X225="",X225&lt;90)),"At risk — close to off track","On track"))))))))</t>
        </is>
      </c>
      <c r="AF225" s="38" t="inlineStr">
        <is>
          <t>IF(OR(E225="",AA225="Completed / Handover",AA225="Cancelled"),"",IF(L225="Remaining",IF(S225&lt;&gt;"",S225-TODAY(),IF(V225="","",V225-TODAY())),IF(V225="","",V225-TODAY())))</t>
        </is>
      </c>
      <c r="AG225" s="44" t="n"/>
      <c r="AH225" s="44" t="n"/>
      <c r="AI225" s="44" t="n"/>
      <c r="AJ225" s="44" t="n"/>
      <c r="AK225" s="44" t="n"/>
      <c r="AL225" s="44" t="n"/>
      <c r="AM225" s="44" t="n"/>
      <c r="AN225" s="44" t="n"/>
      <c r="AO225" s="44" t="n"/>
      <c r="AP225" s="44" t="n"/>
      <c r="AQ225" s="44" t="n"/>
      <c r="AR225" s="40" t="n"/>
      <c r="AS225" s="40" t="n"/>
      <c r="AT225" s="40" t="n"/>
      <c r="AU225" s="38" t="inlineStr">
        <is>
          <t>IF(OR(E225="",AH225=""),"",IF(COUNT(AG225:AG225)=0,"",AH225-LOOKUP(2,1/(AG225:AG225&lt;&gt;""),AG225:AG225)))</t>
        </is>
      </c>
      <c r="AV225" s="38" t="inlineStr">
        <is>
          <t>IF(OR(E225="",AI225=""),"",IF(COUNT(AG225:AH225)=0,"",AI225-LOOKUP(2,1/(AG225:AH225&lt;&gt;""),AG225:AH225)))</t>
        </is>
      </c>
      <c r="AW225" s="38" t="inlineStr">
        <is>
          <t>IF(OR(E225="",AJ225=""),"",IF(COUNT(AG225:AI225)=0,"",AJ225-LOOKUP(2,1/(AG225:AI225&lt;&gt;""),AG225:AI225)))</t>
        </is>
      </c>
      <c r="AX225" s="38" t="inlineStr">
        <is>
          <t>IF(OR(E225="",AK225=""),"",IF(COUNT(AG225:AJ225)=0,"",AK225-LOOKUP(2,1/(AG225:AJ225&lt;&gt;""),AG225:AJ225)))</t>
        </is>
      </c>
      <c r="AY225" s="38" t="inlineStr">
        <is>
          <t>IF(OR(E225="",AL225=""),"",IF(COUNT(AG225:AK225)=0,"",AL225-LOOKUP(2,1/(AG225:AK225&lt;&gt;""),AG225:AK225)))</t>
        </is>
      </c>
      <c r="AZ225" s="38" t="inlineStr">
        <is>
          <t>IF(OR(E225="",AM225=""),"",IF(COUNT(AG225:AL225)=0,"",AM225-LOOKUP(2,1/(AG225:AL225&lt;&gt;""),AG225:AL225)))</t>
        </is>
      </c>
      <c r="BA225" s="38" t="inlineStr">
        <is>
          <t>IF(OR(E225="",AN225=""),"",IF(COUNT(AG225:AM225)=0,"",AN225-LOOKUP(2,1/(AG225:AM225&lt;&gt;""),AG225:AM225)))</t>
        </is>
      </c>
      <c r="BB225" s="38" t="inlineStr">
        <is>
          <t>IF(OR(E225="",AO225=""),"",IF(COUNT(AG225:AN225)=0,"",AO225-LOOKUP(2,1/(AG225:AN225&lt;&gt;""),AG225:AN225)))</t>
        </is>
      </c>
      <c r="BC225" s="38" t="inlineStr">
        <is>
          <t>IF(OR(E225="",AP225=""),"",IF(COUNT(AG225:AO225)=0,"",AP225-LOOKUP(2,1/(AG225:AO225&lt;&gt;""),AG225:AO225)))</t>
        </is>
      </c>
      <c r="BD225" s="38" t="inlineStr">
        <is>
          <t>IF(OR(E225="",AQ225=""),"",IF(COUNT(AG225:AP225)=0,"",AQ225-LOOKUP(2,1/(AG225:AP225&lt;&gt;""),AG225:AP225)))</t>
        </is>
      </c>
      <c r="BE225" s="38" t="inlineStr">
        <is>
          <t>IF(OR(E225="",AR225=""),"",IF(COUNT(AG225:AQ225)=0,"",AR225-LOOKUP(2,1/(AG225:AQ225&lt;&gt;""),AG225:AQ225)))</t>
        </is>
      </c>
      <c r="BF225" s="38" t="inlineStr">
        <is>
          <t>IF(OR(E225="",AS225=""),"",IF(COUNT(AG225:AR225)=0,"",AS225-LOOKUP(2,1/(AG225:AR225&lt;&gt;""),AG225:AR225)))</t>
        </is>
      </c>
      <c r="BG225" s="38" t="inlineStr">
        <is>
          <t>IF(OR(E225="",AT225=""),"",IF(COUNT(AG225:AS225)=0,"",AT225-LOOKUP(2,1/(AG225:AS225&lt;&gt;""),AG225:AS225)))</t>
        </is>
      </c>
      <c r="BH225" s="41" t="inlineStr">
        <is>
          <t>IF(G225="","All_Provinces",IFERROR(VLOOKUP(G225,'07_Lookups'!$A$4:$B$20,2,FALSE),"All_Provinces"))</t>
        </is>
      </c>
      <c r="BI225" s="41" t="inlineStr">
        <is>
          <t>IF(H225="","All_Districts",IFERROR(VLOOKUP(H225,'07_Lookups'!$E$4:$F$42,2,FALSE),"All_Districts"))</t>
        </is>
      </c>
    </row>
    <row r="226" ht="18" customHeight="1">
      <c r="A226" s="32" t="inlineStr">
        <is>
          <t>IF(E226="","",ROW()-3)</t>
        </is>
      </c>
      <c r="B226" s="33" t="inlineStr">
        <is>
          <t>AF2-DIS-R-063</t>
        </is>
      </c>
      <c r="C226" s="33" t="inlineStr">
        <is>
          <t>Emergency Food Security Project (EFSP) – WBK/AF-2</t>
        </is>
      </c>
      <c r="D226"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6" s="33" t="inlineStr">
        <is>
          <t>Milma Kot Bagh Drip Irrigation Schem</t>
        </is>
      </c>
      <c r="F226" s="33" t="inlineStr">
        <is>
          <t>Drip Irrigation</t>
        </is>
      </c>
      <c r="G226" s="33" t="inlineStr">
        <is>
          <t>Southeast / Gardez</t>
        </is>
      </c>
      <c r="H226" s="33" t="inlineStr">
        <is>
          <t>Khost</t>
        </is>
      </c>
      <c r="I226" s="33" t="inlineStr">
        <is>
          <t>Matoon</t>
        </is>
      </c>
      <c r="J226" s="33" t="inlineStr">
        <is>
          <t>Milma Kot Bagh</t>
        </is>
      </c>
      <c r="K226" s="33" t="inlineStr">
        <is>
          <t>World Bank (WBK/AF-2)</t>
        </is>
      </c>
      <c r="L226" s="33" t="inlineStr">
        <is>
          <t>Remaining</t>
        </is>
      </c>
      <c r="M226" s="33" t="inlineStr">
        <is>
          <t>Drip irrigation</t>
        </is>
      </c>
      <c r="N226" s="33" t="inlineStr">
        <is>
          <t>5. Drip Irrigation systems</t>
        </is>
      </c>
      <c r="O226" s="33" t="inlineStr">
        <is>
          <t>Saifullah</t>
        </is>
      </c>
      <c r="P226" s="33" t="inlineStr"/>
      <c r="Q226" s="34" t="n"/>
      <c r="R226" s="35" t="inlineStr">
        <is>
          <t>IF(AO226="","",AO226)</t>
        </is>
      </c>
      <c r="S226" s="36" t="n">
        <v>46381</v>
      </c>
      <c r="T226" s="37" t="n">
        <v>6.2</v>
      </c>
      <c r="U226" s="36" t="n">
        <v>46571</v>
      </c>
      <c r="V226" s="35" t="inlineStr">
        <is>
          <t>IF(U226&lt;&gt;"",U226,IF(OR(R226="",T226=""),"",EDATE(R226,T226)))</t>
        </is>
      </c>
      <c r="W226" s="36" t="n"/>
      <c r="X226" s="37" t="n"/>
      <c r="Y226" s="33" t="inlineStr">
        <is>
          <t>Retendered (Re-ITB)</t>
        </is>
      </c>
      <c r="Z226" s="33" t="inlineStr">
        <is>
          <t>Slack period up to end March. Four months construction period starting from April 2026. | Farmer: Saifullah</t>
        </is>
      </c>
      <c r="AA226" s="32" t="inlineStr">
        <is>
          <t>IF(E226="","",IF(COUNT(AG226:AT226)=0,IF(Y226="","Not started",Y226),SUBSTITUTE(LOOKUP(2,1/(AG226:AT226&lt;&gt;""),$AG$3:$AT$3),"Date: ","")))</t>
        </is>
      </c>
      <c r="AB226" s="38" t="inlineStr">
        <is>
          <t>IF(OR(E226="",COUNT(AG226:AT226)=0),"",TODAY()-LOOKUP(2,1/(AG226:AT226&lt;&gt;""),AG226:AT226))</t>
        </is>
      </c>
      <c r="AC226" s="38" t="inlineStr">
        <is>
          <t>IF(OR(E226="",COUNT(AG226:AT226)&lt;2),"",LOOKUP(2,1/(AG226:AT226&lt;&gt;""),AG226:AT226)-MIN(AG226:AT226))</t>
        </is>
      </c>
      <c r="AD226" s="38" t="inlineStr">
        <is>
          <t>IF(OR(AB226="",AA226="Not started",AA226=""),"",IFERROR(AB226-IF(VLOOKUP(AA226,'04_Status_Pipeline'!$B$3:$E$20,4,FALSE)="",0,VLOOKUP(AA226,'04_Status_Pipeline'!$B$3:$E$20,4,FALSE)),""))</t>
        </is>
      </c>
      <c r="AE226" s="32" t="inlineStr">
        <is>
          <t>IF(E226="","",IF(OR(Y226="Cancelled",AA226="Cancelled"),"Cancelled",IF(OR(AA226="Completed / Handover",W226&lt;&gt;"",X226&gt;=100),"Completed — on track",IF(L226="Remaining",IF(S226="",IF(V226="","No planned date",IF(TODAY()&gt;V226,"Behind — past planned date",IF(V226-TODAY()&lt;=30,"At risk — close to off track","On track"))),IF(TODAY()&gt;S226,"Behind — award date passed",IF(S226-TODAY()&lt;=30,"At risk — close to off track","On track"))),IF(V226="","No planned date",IF(AND(TODAY()&gt;V226,OR(X226="",X226&lt;100)),"Behind — past end date",IF(AND(R226&lt;&gt;"",V226&lt;&gt;"",X226&lt;&gt;"",(X226&lt;100),((TODAY()-R226)/MAX(V226-R226,1)*100)-X226&gt;15),"Behind — progress lag",IF(AND(V226-TODAY()&lt;=30,V226-TODAY()&gt;=0,OR(X226="",X226&lt;90)),"At risk — close to off track","On track"))))))))</t>
        </is>
      </c>
      <c r="AF226" s="38" t="inlineStr">
        <is>
          <t>IF(OR(E226="",AA226="Completed / Handover",AA226="Cancelled"),"",IF(L226="Remaining",IF(S226&lt;&gt;"",S226-TODAY(),IF(V226="","",V226-TODAY())),IF(V226="","",V226-TODAY())))</t>
        </is>
      </c>
      <c r="AG226" s="36" t="n"/>
      <c r="AH226" s="36" t="n"/>
      <c r="AI226" s="36" t="n"/>
      <c r="AJ226" s="36" t="n"/>
      <c r="AK226" s="36" t="n"/>
      <c r="AL226" s="36" t="n"/>
      <c r="AM226" s="36" t="n"/>
      <c r="AN226" s="36" t="n"/>
      <c r="AO226" s="36" t="n"/>
      <c r="AP226" s="36" t="n"/>
      <c r="AQ226" s="36" t="n"/>
      <c r="AR226" s="40" t="n"/>
      <c r="AS226" s="40" t="n"/>
      <c r="AT226" s="40" t="n"/>
      <c r="AU226" s="38" t="inlineStr">
        <is>
          <t>IF(OR(E226="",AH226=""),"",IF(COUNT(AG226:AG226)=0,"",AH226-LOOKUP(2,1/(AG226:AG226&lt;&gt;""),AG226:AG226)))</t>
        </is>
      </c>
      <c r="AV226" s="38" t="inlineStr">
        <is>
          <t>IF(OR(E226="",AI226=""),"",IF(COUNT(AG226:AH226)=0,"",AI226-LOOKUP(2,1/(AG226:AH226&lt;&gt;""),AG226:AH226)))</t>
        </is>
      </c>
      <c r="AW226" s="38" t="inlineStr">
        <is>
          <t>IF(OR(E226="",AJ226=""),"",IF(COUNT(AG226:AI226)=0,"",AJ226-LOOKUP(2,1/(AG226:AI226&lt;&gt;""),AG226:AI226)))</t>
        </is>
      </c>
      <c r="AX226" s="38" t="inlineStr">
        <is>
          <t>IF(OR(E226="",AK226=""),"",IF(COUNT(AG226:AJ226)=0,"",AK226-LOOKUP(2,1/(AG226:AJ226&lt;&gt;""),AG226:AJ226)))</t>
        </is>
      </c>
      <c r="AY226" s="38" t="inlineStr">
        <is>
          <t>IF(OR(E226="",AL226=""),"",IF(COUNT(AG226:AK226)=0,"",AL226-LOOKUP(2,1/(AG226:AK226&lt;&gt;""),AG226:AK226)))</t>
        </is>
      </c>
      <c r="AZ226" s="38" t="inlineStr">
        <is>
          <t>IF(OR(E226="",AM226=""),"",IF(COUNT(AG226:AL226)=0,"",AM226-LOOKUP(2,1/(AG226:AL226&lt;&gt;""),AG226:AL226)))</t>
        </is>
      </c>
      <c r="BA226" s="38" t="inlineStr">
        <is>
          <t>IF(OR(E226="",AN226=""),"",IF(COUNT(AG226:AM226)=0,"",AN226-LOOKUP(2,1/(AG226:AM226&lt;&gt;""),AG226:AM226)))</t>
        </is>
      </c>
      <c r="BB226" s="38" t="inlineStr">
        <is>
          <t>IF(OR(E226="",AO226=""),"",IF(COUNT(AG226:AN226)=0,"",AO226-LOOKUP(2,1/(AG226:AN226&lt;&gt;""),AG226:AN226)))</t>
        </is>
      </c>
      <c r="BC226" s="38" t="inlineStr">
        <is>
          <t>IF(OR(E226="",AP226=""),"",IF(COUNT(AG226:AO226)=0,"",AP226-LOOKUP(2,1/(AG226:AO226&lt;&gt;""),AG226:AO226)))</t>
        </is>
      </c>
      <c r="BD226" s="38" t="inlineStr">
        <is>
          <t>IF(OR(E226="",AQ226=""),"",IF(COUNT(AG226:AP226)=0,"",AQ226-LOOKUP(2,1/(AG226:AP226&lt;&gt;""),AG226:AP226)))</t>
        </is>
      </c>
      <c r="BE226" s="38" t="inlineStr">
        <is>
          <t>IF(OR(E226="",AR226=""),"",IF(COUNT(AG226:AQ226)=0,"",AR226-LOOKUP(2,1/(AG226:AQ226&lt;&gt;""),AG226:AQ226)))</t>
        </is>
      </c>
      <c r="BF226" s="38" t="inlineStr">
        <is>
          <t>IF(OR(E226="",AS226=""),"",IF(COUNT(AG226:AR226)=0,"",AS226-LOOKUP(2,1/(AG226:AR226&lt;&gt;""),AG226:AR226)))</t>
        </is>
      </c>
      <c r="BG226" s="38" t="inlineStr">
        <is>
          <t>IF(OR(E226="",AT226=""),"",IF(COUNT(AG226:AS226)=0,"",AT226-LOOKUP(2,1/(AG226:AS226&lt;&gt;""),AG226:AS226)))</t>
        </is>
      </c>
      <c r="BH226" s="41" t="inlineStr">
        <is>
          <t>IF(G226="","All_Provinces",IFERROR(VLOOKUP(G226,'07_Lookups'!$A$4:$B$20,2,FALSE),"All_Provinces"))</t>
        </is>
      </c>
      <c r="BI226" s="41" t="inlineStr">
        <is>
          <t>IF(H226="","All_Districts",IFERROR(VLOOKUP(H226,'07_Lookups'!$E$4:$F$42,2,FALSE),"All_Districts"))</t>
        </is>
      </c>
    </row>
    <row r="227" ht="18" customHeight="1">
      <c r="A227" s="32" t="inlineStr">
        <is>
          <t>IF(E227="","",ROW()-3)</t>
        </is>
      </c>
      <c r="B227" s="42" t="inlineStr">
        <is>
          <t>AF2-DIS-R-064</t>
        </is>
      </c>
      <c r="C227" s="42" t="inlineStr">
        <is>
          <t>Emergency Food Security Project (EFSP) – WBK/AF-2</t>
        </is>
      </c>
      <c r="D227"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7" s="42" t="inlineStr">
        <is>
          <t>Sahra Bagh Drip Irrigation Scheme</t>
        </is>
      </c>
      <c r="F227" s="42" t="inlineStr">
        <is>
          <t>Drip Irrigation</t>
        </is>
      </c>
      <c r="G227" s="42" t="inlineStr">
        <is>
          <t>Southeast / Gardez</t>
        </is>
      </c>
      <c r="H227" s="42" t="inlineStr">
        <is>
          <t>Khost</t>
        </is>
      </c>
      <c r="I227" s="42" t="inlineStr">
        <is>
          <t>Matoon</t>
        </is>
      </c>
      <c r="J227" s="42" t="inlineStr">
        <is>
          <t>Sahra bagh</t>
        </is>
      </c>
      <c r="K227" s="42" t="inlineStr">
        <is>
          <t>World Bank (WBK/AF-2)</t>
        </is>
      </c>
      <c r="L227" s="42" t="inlineStr">
        <is>
          <t>Remaining</t>
        </is>
      </c>
      <c r="M227" s="42" t="inlineStr">
        <is>
          <t>Drip irrigation</t>
        </is>
      </c>
      <c r="N227" s="42" t="inlineStr">
        <is>
          <t>5. Drip Irrigation systems</t>
        </is>
      </c>
      <c r="O227" s="42" t="inlineStr">
        <is>
          <t>Gafoor Jan</t>
        </is>
      </c>
      <c r="P227" s="42" t="inlineStr"/>
      <c r="Q227" s="43" t="n"/>
      <c r="R227" s="35" t="inlineStr">
        <is>
          <t>IF(AO227="","",AO227)</t>
        </is>
      </c>
      <c r="S227" s="44" t="n">
        <v>46381</v>
      </c>
      <c r="T227" s="45" t="n">
        <v>6.2</v>
      </c>
      <c r="U227" s="44" t="n">
        <v>46571</v>
      </c>
      <c r="V227" s="35" t="inlineStr">
        <is>
          <t>IF(U227&lt;&gt;"",U227,IF(OR(R227="",T227=""),"",EDATE(R227,T227)))</t>
        </is>
      </c>
      <c r="W227" s="44" t="n"/>
      <c r="X227" s="45" t="n"/>
      <c r="Y227" s="42" t="inlineStr">
        <is>
          <t>Retendered (Re-ITB)</t>
        </is>
      </c>
      <c r="Z227" s="42" t="inlineStr">
        <is>
          <t>Slack period up to end March. Four months construction period starting from April 2026. | Farmer: Gafoor Jan</t>
        </is>
      </c>
      <c r="AA227" s="32" t="inlineStr">
        <is>
          <t>IF(E227="","",IF(COUNT(AG227:AT227)=0,IF(Y227="","Not started",Y227),SUBSTITUTE(LOOKUP(2,1/(AG227:AT227&lt;&gt;""),$AG$3:$AT$3),"Date: ","")))</t>
        </is>
      </c>
      <c r="AB227" s="38" t="inlineStr">
        <is>
          <t>IF(OR(E227="",COUNT(AG227:AT227)=0),"",TODAY()-LOOKUP(2,1/(AG227:AT227&lt;&gt;""),AG227:AT227))</t>
        </is>
      </c>
      <c r="AC227" s="38" t="inlineStr">
        <is>
          <t>IF(OR(E227="",COUNT(AG227:AT227)&lt;2),"",LOOKUP(2,1/(AG227:AT227&lt;&gt;""),AG227:AT227)-MIN(AG227:AT227))</t>
        </is>
      </c>
      <c r="AD227" s="38" t="inlineStr">
        <is>
          <t>IF(OR(AB227="",AA227="Not started",AA227=""),"",IFERROR(AB227-IF(VLOOKUP(AA227,'04_Status_Pipeline'!$B$3:$E$20,4,FALSE)="",0,VLOOKUP(AA227,'04_Status_Pipeline'!$B$3:$E$20,4,FALSE)),""))</t>
        </is>
      </c>
      <c r="AE227" s="32" t="inlineStr">
        <is>
          <t>IF(E227="","",IF(OR(Y227="Cancelled",AA227="Cancelled"),"Cancelled",IF(OR(AA227="Completed / Handover",W227&lt;&gt;"",X227&gt;=100),"Completed — on track",IF(L227="Remaining",IF(S227="",IF(V227="","No planned date",IF(TODAY()&gt;V227,"Behind — past planned date",IF(V227-TODAY()&lt;=30,"At risk — close to off track","On track"))),IF(TODAY()&gt;S227,"Behind — award date passed",IF(S227-TODAY()&lt;=30,"At risk — close to off track","On track"))),IF(V227="","No planned date",IF(AND(TODAY()&gt;V227,OR(X227="",X227&lt;100)),"Behind — past end date",IF(AND(R227&lt;&gt;"",V227&lt;&gt;"",X227&lt;&gt;"",(X227&lt;100),((TODAY()-R227)/MAX(V227-R227,1)*100)-X227&gt;15),"Behind — progress lag",IF(AND(V227-TODAY()&lt;=30,V227-TODAY()&gt;=0,OR(X227="",X227&lt;90)),"At risk — close to off track","On track"))))))))</t>
        </is>
      </c>
      <c r="AF227" s="38" t="inlineStr">
        <is>
          <t>IF(OR(E227="",AA227="Completed / Handover",AA227="Cancelled"),"",IF(L227="Remaining",IF(S227&lt;&gt;"",S227-TODAY(),IF(V227="","",V227-TODAY())),IF(V227="","",V227-TODAY())))</t>
        </is>
      </c>
      <c r="AG227" s="44" t="n"/>
      <c r="AH227" s="44" t="n"/>
      <c r="AI227" s="44" t="n"/>
      <c r="AJ227" s="44" t="n"/>
      <c r="AK227" s="44" t="n"/>
      <c r="AL227" s="44" t="n"/>
      <c r="AM227" s="44" t="n"/>
      <c r="AN227" s="44" t="n"/>
      <c r="AO227" s="44" t="n"/>
      <c r="AP227" s="44" t="n"/>
      <c r="AQ227" s="44" t="n"/>
      <c r="AR227" s="40" t="n"/>
      <c r="AS227" s="40" t="n"/>
      <c r="AT227" s="40" t="n"/>
      <c r="AU227" s="38" t="inlineStr">
        <is>
          <t>IF(OR(E227="",AH227=""),"",IF(COUNT(AG227:AG227)=0,"",AH227-LOOKUP(2,1/(AG227:AG227&lt;&gt;""),AG227:AG227)))</t>
        </is>
      </c>
      <c r="AV227" s="38" t="inlineStr">
        <is>
          <t>IF(OR(E227="",AI227=""),"",IF(COUNT(AG227:AH227)=0,"",AI227-LOOKUP(2,1/(AG227:AH227&lt;&gt;""),AG227:AH227)))</t>
        </is>
      </c>
      <c r="AW227" s="38" t="inlineStr">
        <is>
          <t>IF(OR(E227="",AJ227=""),"",IF(COUNT(AG227:AI227)=0,"",AJ227-LOOKUP(2,1/(AG227:AI227&lt;&gt;""),AG227:AI227)))</t>
        </is>
      </c>
      <c r="AX227" s="38" t="inlineStr">
        <is>
          <t>IF(OR(E227="",AK227=""),"",IF(COUNT(AG227:AJ227)=0,"",AK227-LOOKUP(2,1/(AG227:AJ227&lt;&gt;""),AG227:AJ227)))</t>
        </is>
      </c>
      <c r="AY227" s="38" t="inlineStr">
        <is>
          <t>IF(OR(E227="",AL227=""),"",IF(COUNT(AG227:AK227)=0,"",AL227-LOOKUP(2,1/(AG227:AK227&lt;&gt;""),AG227:AK227)))</t>
        </is>
      </c>
      <c r="AZ227" s="38" t="inlineStr">
        <is>
          <t>IF(OR(E227="",AM227=""),"",IF(COUNT(AG227:AL227)=0,"",AM227-LOOKUP(2,1/(AG227:AL227&lt;&gt;""),AG227:AL227)))</t>
        </is>
      </c>
      <c r="BA227" s="38" t="inlineStr">
        <is>
          <t>IF(OR(E227="",AN227=""),"",IF(COUNT(AG227:AM227)=0,"",AN227-LOOKUP(2,1/(AG227:AM227&lt;&gt;""),AG227:AM227)))</t>
        </is>
      </c>
      <c r="BB227" s="38" t="inlineStr">
        <is>
          <t>IF(OR(E227="",AO227=""),"",IF(COUNT(AG227:AN227)=0,"",AO227-LOOKUP(2,1/(AG227:AN227&lt;&gt;""),AG227:AN227)))</t>
        </is>
      </c>
      <c r="BC227" s="38" t="inlineStr">
        <is>
          <t>IF(OR(E227="",AP227=""),"",IF(COUNT(AG227:AO227)=0,"",AP227-LOOKUP(2,1/(AG227:AO227&lt;&gt;""),AG227:AO227)))</t>
        </is>
      </c>
      <c r="BD227" s="38" t="inlineStr">
        <is>
          <t>IF(OR(E227="",AQ227=""),"",IF(COUNT(AG227:AP227)=0,"",AQ227-LOOKUP(2,1/(AG227:AP227&lt;&gt;""),AG227:AP227)))</t>
        </is>
      </c>
      <c r="BE227" s="38" t="inlineStr">
        <is>
          <t>IF(OR(E227="",AR227=""),"",IF(COUNT(AG227:AQ227)=0,"",AR227-LOOKUP(2,1/(AG227:AQ227&lt;&gt;""),AG227:AQ227)))</t>
        </is>
      </c>
      <c r="BF227" s="38" t="inlineStr">
        <is>
          <t>IF(OR(E227="",AS227=""),"",IF(COUNT(AG227:AR227)=0,"",AS227-LOOKUP(2,1/(AG227:AR227&lt;&gt;""),AG227:AR227)))</t>
        </is>
      </c>
      <c r="BG227" s="38" t="inlineStr">
        <is>
          <t>IF(OR(E227="",AT227=""),"",IF(COUNT(AG227:AS227)=0,"",AT227-LOOKUP(2,1/(AG227:AS227&lt;&gt;""),AG227:AS227)))</t>
        </is>
      </c>
      <c r="BH227" s="41" t="inlineStr">
        <is>
          <t>IF(G227="","All_Provinces",IFERROR(VLOOKUP(G227,'07_Lookups'!$A$4:$B$20,2,FALSE),"All_Provinces"))</t>
        </is>
      </c>
      <c r="BI227" s="41" t="inlineStr">
        <is>
          <t>IF(H227="","All_Districts",IFERROR(VLOOKUP(H227,'07_Lookups'!$E$4:$F$42,2,FALSE),"All_Districts"))</t>
        </is>
      </c>
    </row>
    <row r="228" ht="18" customHeight="1">
      <c r="A228" s="32" t="inlineStr">
        <is>
          <t>IF(E228="","",ROW()-3)</t>
        </is>
      </c>
      <c r="B228" s="33" t="inlineStr">
        <is>
          <t>AF2-DIS-R-065</t>
        </is>
      </c>
      <c r="C228" s="33" t="inlineStr">
        <is>
          <t>Emergency Food Security Project (EFSP) – WBK/AF-2</t>
        </is>
      </c>
      <c r="D228"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8" s="33" t="inlineStr">
        <is>
          <t>Agriculture Research Drip Irrigation scheme</t>
        </is>
      </c>
      <c r="F228" s="33" t="inlineStr">
        <is>
          <t>Drip Irrigation</t>
        </is>
      </c>
      <c r="G228" s="33" t="inlineStr">
        <is>
          <t>Southeast / Gardez</t>
        </is>
      </c>
      <c r="H228" s="33" t="inlineStr">
        <is>
          <t>Khost</t>
        </is>
      </c>
      <c r="I228" s="33" t="inlineStr">
        <is>
          <t>Matoon</t>
        </is>
      </c>
      <c r="J228" s="33" t="inlineStr">
        <is>
          <t>Agriculture Feseach Farm</t>
        </is>
      </c>
      <c r="K228" s="33" t="inlineStr">
        <is>
          <t>World Bank (WBK/AF-2)</t>
        </is>
      </c>
      <c r="L228" s="33" t="inlineStr">
        <is>
          <t>Remaining</t>
        </is>
      </c>
      <c r="M228" s="33" t="inlineStr">
        <is>
          <t>Drip irrigation</t>
        </is>
      </c>
      <c r="N228" s="33" t="inlineStr">
        <is>
          <t>5. Drip Irrigation systems</t>
        </is>
      </c>
      <c r="O228" s="33" t="inlineStr">
        <is>
          <t>Hazrat Wali</t>
        </is>
      </c>
      <c r="P228" s="33" t="inlineStr"/>
      <c r="Q228" s="34" t="n"/>
      <c r="R228" s="35" t="inlineStr">
        <is>
          <t>IF(AO228="","",AO228)</t>
        </is>
      </c>
      <c r="S228" s="36" t="n">
        <v>46381</v>
      </c>
      <c r="T228" s="37" t="n">
        <v>6.2</v>
      </c>
      <c r="U228" s="36" t="n">
        <v>46571</v>
      </c>
      <c r="V228" s="35" t="inlineStr">
        <is>
          <t>IF(U228&lt;&gt;"",U228,IF(OR(R228="",T228=""),"",EDATE(R228,T228)))</t>
        </is>
      </c>
      <c r="W228" s="36" t="n"/>
      <c r="X228" s="37" t="n"/>
      <c r="Y228" s="33" t="inlineStr">
        <is>
          <t>Retendered (Re-ITB)</t>
        </is>
      </c>
      <c r="Z228" s="33" t="inlineStr">
        <is>
          <t>Slack period up to end March. Four months construction period starting from April 2026. | Farmer: Hazrat Wali</t>
        </is>
      </c>
      <c r="AA228" s="32" t="inlineStr">
        <is>
          <t>IF(E228="","",IF(COUNT(AG228:AT228)=0,IF(Y228="","Not started",Y228),SUBSTITUTE(LOOKUP(2,1/(AG228:AT228&lt;&gt;""),$AG$3:$AT$3),"Date: ","")))</t>
        </is>
      </c>
      <c r="AB228" s="38" t="inlineStr">
        <is>
          <t>IF(OR(E228="",COUNT(AG228:AT228)=0),"",TODAY()-LOOKUP(2,1/(AG228:AT228&lt;&gt;""),AG228:AT228))</t>
        </is>
      </c>
      <c r="AC228" s="38" t="inlineStr">
        <is>
          <t>IF(OR(E228="",COUNT(AG228:AT228)&lt;2),"",LOOKUP(2,1/(AG228:AT228&lt;&gt;""),AG228:AT228)-MIN(AG228:AT228))</t>
        </is>
      </c>
      <c r="AD228" s="38" t="inlineStr">
        <is>
          <t>IF(OR(AB228="",AA228="Not started",AA228=""),"",IFERROR(AB228-IF(VLOOKUP(AA228,'04_Status_Pipeline'!$B$3:$E$20,4,FALSE)="",0,VLOOKUP(AA228,'04_Status_Pipeline'!$B$3:$E$20,4,FALSE)),""))</t>
        </is>
      </c>
      <c r="AE228" s="32" t="inlineStr">
        <is>
          <t>IF(E228="","",IF(OR(Y228="Cancelled",AA228="Cancelled"),"Cancelled",IF(OR(AA228="Completed / Handover",W228&lt;&gt;"",X228&gt;=100),"Completed — on track",IF(L228="Remaining",IF(S228="",IF(V228="","No planned date",IF(TODAY()&gt;V228,"Behind — past planned date",IF(V228-TODAY()&lt;=30,"At risk — close to off track","On track"))),IF(TODAY()&gt;S228,"Behind — award date passed",IF(S228-TODAY()&lt;=30,"At risk — close to off track","On track"))),IF(V228="","No planned date",IF(AND(TODAY()&gt;V228,OR(X228="",X228&lt;100)),"Behind — past end date",IF(AND(R228&lt;&gt;"",V228&lt;&gt;"",X228&lt;&gt;"",(X228&lt;100),((TODAY()-R228)/MAX(V228-R228,1)*100)-X228&gt;15),"Behind — progress lag",IF(AND(V228-TODAY()&lt;=30,V228-TODAY()&gt;=0,OR(X228="",X228&lt;90)),"At risk — close to off track","On track"))))))))</t>
        </is>
      </c>
      <c r="AF228" s="38" t="inlineStr">
        <is>
          <t>IF(OR(E228="",AA228="Completed / Handover",AA228="Cancelled"),"",IF(L228="Remaining",IF(S228&lt;&gt;"",S228-TODAY(),IF(V228="","",V228-TODAY())),IF(V228="","",V228-TODAY())))</t>
        </is>
      </c>
      <c r="AG228" s="36" t="n"/>
      <c r="AH228" s="36" t="n"/>
      <c r="AI228" s="36" t="n"/>
      <c r="AJ228" s="36" t="n"/>
      <c r="AK228" s="36" t="n"/>
      <c r="AL228" s="36" t="n"/>
      <c r="AM228" s="36" t="n"/>
      <c r="AN228" s="36" t="n"/>
      <c r="AO228" s="36" t="n"/>
      <c r="AP228" s="36" t="n"/>
      <c r="AQ228" s="36" t="n"/>
      <c r="AR228" s="40" t="n"/>
      <c r="AS228" s="40" t="n"/>
      <c r="AT228" s="40" t="n"/>
      <c r="AU228" s="38" t="inlineStr">
        <is>
          <t>IF(OR(E228="",AH228=""),"",IF(COUNT(AG228:AG228)=0,"",AH228-LOOKUP(2,1/(AG228:AG228&lt;&gt;""),AG228:AG228)))</t>
        </is>
      </c>
      <c r="AV228" s="38" t="inlineStr">
        <is>
          <t>IF(OR(E228="",AI228=""),"",IF(COUNT(AG228:AH228)=0,"",AI228-LOOKUP(2,1/(AG228:AH228&lt;&gt;""),AG228:AH228)))</t>
        </is>
      </c>
      <c r="AW228" s="38" t="inlineStr">
        <is>
          <t>IF(OR(E228="",AJ228=""),"",IF(COUNT(AG228:AI228)=0,"",AJ228-LOOKUP(2,1/(AG228:AI228&lt;&gt;""),AG228:AI228)))</t>
        </is>
      </c>
      <c r="AX228" s="38" t="inlineStr">
        <is>
          <t>IF(OR(E228="",AK228=""),"",IF(COUNT(AG228:AJ228)=0,"",AK228-LOOKUP(2,1/(AG228:AJ228&lt;&gt;""),AG228:AJ228)))</t>
        </is>
      </c>
      <c r="AY228" s="38" t="inlineStr">
        <is>
          <t>IF(OR(E228="",AL228=""),"",IF(COUNT(AG228:AK228)=0,"",AL228-LOOKUP(2,1/(AG228:AK228&lt;&gt;""),AG228:AK228)))</t>
        </is>
      </c>
      <c r="AZ228" s="38" t="inlineStr">
        <is>
          <t>IF(OR(E228="",AM228=""),"",IF(COUNT(AG228:AL228)=0,"",AM228-LOOKUP(2,1/(AG228:AL228&lt;&gt;""),AG228:AL228)))</t>
        </is>
      </c>
      <c r="BA228" s="38" t="inlineStr">
        <is>
          <t>IF(OR(E228="",AN228=""),"",IF(COUNT(AG228:AM228)=0,"",AN228-LOOKUP(2,1/(AG228:AM228&lt;&gt;""),AG228:AM228)))</t>
        </is>
      </c>
      <c r="BB228" s="38" t="inlineStr">
        <is>
          <t>IF(OR(E228="",AO228=""),"",IF(COUNT(AG228:AN228)=0,"",AO228-LOOKUP(2,1/(AG228:AN228&lt;&gt;""),AG228:AN228)))</t>
        </is>
      </c>
      <c r="BC228" s="38" t="inlineStr">
        <is>
          <t>IF(OR(E228="",AP228=""),"",IF(COUNT(AG228:AO228)=0,"",AP228-LOOKUP(2,1/(AG228:AO228&lt;&gt;""),AG228:AO228)))</t>
        </is>
      </c>
      <c r="BD228" s="38" t="inlineStr">
        <is>
          <t>IF(OR(E228="",AQ228=""),"",IF(COUNT(AG228:AP228)=0,"",AQ228-LOOKUP(2,1/(AG228:AP228&lt;&gt;""),AG228:AP228)))</t>
        </is>
      </c>
      <c r="BE228" s="38" t="inlineStr">
        <is>
          <t>IF(OR(E228="",AR228=""),"",IF(COUNT(AG228:AQ228)=0,"",AR228-LOOKUP(2,1/(AG228:AQ228&lt;&gt;""),AG228:AQ228)))</t>
        </is>
      </c>
      <c r="BF228" s="38" t="inlineStr">
        <is>
          <t>IF(OR(E228="",AS228=""),"",IF(COUNT(AG228:AR228)=0,"",AS228-LOOKUP(2,1/(AG228:AR228&lt;&gt;""),AG228:AR228)))</t>
        </is>
      </c>
      <c r="BG228" s="38" t="inlineStr">
        <is>
          <t>IF(OR(E228="",AT228=""),"",IF(COUNT(AG228:AS228)=0,"",AT228-LOOKUP(2,1/(AG228:AS228&lt;&gt;""),AG228:AS228)))</t>
        </is>
      </c>
      <c r="BH228" s="41" t="inlineStr">
        <is>
          <t>IF(G228="","All_Provinces",IFERROR(VLOOKUP(G228,'07_Lookups'!$A$4:$B$20,2,FALSE),"All_Provinces"))</t>
        </is>
      </c>
      <c r="BI228" s="41" t="inlineStr">
        <is>
          <t>IF(H228="","All_Districts",IFERROR(VLOOKUP(H228,'07_Lookups'!$E$4:$F$42,2,FALSE),"All_Districts"))</t>
        </is>
      </c>
    </row>
    <row r="229" ht="18" customHeight="1">
      <c r="A229" s="32" t="inlineStr">
        <is>
          <t>IF(E229="","",ROW()-3)</t>
        </is>
      </c>
      <c r="B229" s="42" t="inlineStr">
        <is>
          <t>AF2-DIS-R-066</t>
        </is>
      </c>
      <c r="C229" s="42" t="inlineStr">
        <is>
          <t>Emergency Food Security Project (EFSP) – WBK/AF-2</t>
        </is>
      </c>
      <c r="D229"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9" s="42" t="inlineStr">
        <is>
          <t>Logar University Drip Irrigation Scheme</t>
        </is>
      </c>
      <c r="F229" s="42" t="inlineStr">
        <is>
          <t>Drip Irrigation</t>
        </is>
      </c>
      <c r="G229" s="42" t="inlineStr">
        <is>
          <t>Southeast / Gardez</t>
        </is>
      </c>
      <c r="H229" s="42" t="inlineStr">
        <is>
          <t>Logar</t>
        </is>
      </c>
      <c r="I229" s="42" t="inlineStr">
        <is>
          <t>Pole Alam</t>
        </is>
      </c>
      <c r="J229" s="42" t="inlineStr">
        <is>
          <t>Logar University</t>
        </is>
      </c>
      <c r="K229" s="42" t="inlineStr">
        <is>
          <t>World Bank (WBK/AF-2)</t>
        </is>
      </c>
      <c r="L229" s="42" t="inlineStr">
        <is>
          <t>Remaining</t>
        </is>
      </c>
      <c r="M229" s="42" t="inlineStr">
        <is>
          <t>Drip irrigation</t>
        </is>
      </c>
      <c r="N229" s="42" t="inlineStr">
        <is>
          <t>5. Drip Irrigation systems</t>
        </is>
      </c>
      <c r="O229" s="42" t="inlineStr">
        <is>
          <t>Islam Gul</t>
        </is>
      </c>
      <c r="P229" s="42" t="inlineStr"/>
      <c r="Q229" s="43" t="n"/>
      <c r="R229" s="35" t="inlineStr">
        <is>
          <t>IF(AO229="","",AO229)</t>
        </is>
      </c>
      <c r="S229" s="44" t="n">
        <v>46381</v>
      </c>
      <c r="T229" s="45" t="n">
        <v>6.2</v>
      </c>
      <c r="U229" s="44" t="n">
        <v>46571</v>
      </c>
      <c r="V229" s="35" t="inlineStr">
        <is>
          <t>IF(U229&lt;&gt;"",U229,IF(OR(R229="",T229=""),"",EDATE(R229,T229)))</t>
        </is>
      </c>
      <c r="W229" s="44" t="n"/>
      <c r="X229" s="45" t="n"/>
      <c r="Y229" s="42" t="inlineStr">
        <is>
          <t>Retendered (Re-ITB)</t>
        </is>
      </c>
      <c r="Z229" s="42" t="inlineStr">
        <is>
          <t>Slack period up to end March. Four months construction period starting from April 2026. | Farmer: Islam Gul</t>
        </is>
      </c>
      <c r="AA229" s="32" t="inlineStr">
        <is>
          <t>IF(E229="","",IF(COUNT(AG229:AT229)=0,IF(Y229="","Not started",Y229),SUBSTITUTE(LOOKUP(2,1/(AG229:AT229&lt;&gt;""),$AG$3:$AT$3),"Date: ","")))</t>
        </is>
      </c>
      <c r="AB229" s="38" t="inlineStr">
        <is>
          <t>IF(OR(E229="",COUNT(AG229:AT229)=0),"",TODAY()-LOOKUP(2,1/(AG229:AT229&lt;&gt;""),AG229:AT229))</t>
        </is>
      </c>
      <c r="AC229" s="38" t="inlineStr">
        <is>
          <t>IF(OR(E229="",COUNT(AG229:AT229)&lt;2),"",LOOKUP(2,1/(AG229:AT229&lt;&gt;""),AG229:AT229)-MIN(AG229:AT229))</t>
        </is>
      </c>
      <c r="AD229" s="38" t="inlineStr">
        <is>
          <t>IF(OR(AB229="",AA229="Not started",AA229=""),"",IFERROR(AB229-IF(VLOOKUP(AA229,'04_Status_Pipeline'!$B$3:$E$20,4,FALSE)="",0,VLOOKUP(AA229,'04_Status_Pipeline'!$B$3:$E$20,4,FALSE)),""))</t>
        </is>
      </c>
      <c r="AE229" s="32" t="inlineStr">
        <is>
          <t>IF(E229="","",IF(OR(Y229="Cancelled",AA229="Cancelled"),"Cancelled",IF(OR(AA229="Completed / Handover",W229&lt;&gt;"",X229&gt;=100),"Completed — on track",IF(L229="Remaining",IF(S229="",IF(V229="","No planned date",IF(TODAY()&gt;V229,"Behind — past planned date",IF(V229-TODAY()&lt;=30,"At risk — close to off track","On track"))),IF(TODAY()&gt;S229,"Behind — award date passed",IF(S229-TODAY()&lt;=30,"At risk — close to off track","On track"))),IF(V229="","No planned date",IF(AND(TODAY()&gt;V229,OR(X229="",X229&lt;100)),"Behind — past end date",IF(AND(R229&lt;&gt;"",V229&lt;&gt;"",X229&lt;&gt;"",(X229&lt;100),((TODAY()-R229)/MAX(V229-R229,1)*100)-X229&gt;15),"Behind — progress lag",IF(AND(V229-TODAY()&lt;=30,V229-TODAY()&gt;=0,OR(X229="",X229&lt;90)),"At risk — close to off track","On track"))))))))</t>
        </is>
      </c>
      <c r="AF229" s="38" t="inlineStr">
        <is>
          <t>IF(OR(E229="",AA229="Completed / Handover",AA229="Cancelled"),"",IF(L229="Remaining",IF(S229&lt;&gt;"",S229-TODAY(),IF(V229="","",V229-TODAY())),IF(V229="","",V229-TODAY())))</t>
        </is>
      </c>
      <c r="AG229" s="44" t="n"/>
      <c r="AH229" s="44" t="n"/>
      <c r="AI229" s="44" t="n"/>
      <c r="AJ229" s="44" t="n"/>
      <c r="AK229" s="44" t="n"/>
      <c r="AL229" s="44" t="n"/>
      <c r="AM229" s="44" t="n"/>
      <c r="AN229" s="44" t="n"/>
      <c r="AO229" s="44" t="n"/>
      <c r="AP229" s="44" t="n"/>
      <c r="AQ229" s="44" t="n"/>
      <c r="AR229" s="40" t="n"/>
      <c r="AS229" s="40" t="n"/>
      <c r="AT229" s="40" t="n"/>
      <c r="AU229" s="38" t="inlineStr">
        <is>
          <t>IF(OR(E229="",AH229=""),"",IF(COUNT(AG229:AG229)=0,"",AH229-LOOKUP(2,1/(AG229:AG229&lt;&gt;""),AG229:AG229)))</t>
        </is>
      </c>
      <c r="AV229" s="38" t="inlineStr">
        <is>
          <t>IF(OR(E229="",AI229=""),"",IF(COUNT(AG229:AH229)=0,"",AI229-LOOKUP(2,1/(AG229:AH229&lt;&gt;""),AG229:AH229)))</t>
        </is>
      </c>
      <c r="AW229" s="38" t="inlineStr">
        <is>
          <t>IF(OR(E229="",AJ229=""),"",IF(COUNT(AG229:AI229)=0,"",AJ229-LOOKUP(2,1/(AG229:AI229&lt;&gt;""),AG229:AI229)))</t>
        </is>
      </c>
      <c r="AX229" s="38" t="inlineStr">
        <is>
          <t>IF(OR(E229="",AK229=""),"",IF(COUNT(AG229:AJ229)=0,"",AK229-LOOKUP(2,1/(AG229:AJ229&lt;&gt;""),AG229:AJ229)))</t>
        </is>
      </c>
      <c r="AY229" s="38" t="inlineStr">
        <is>
          <t>IF(OR(E229="",AL229=""),"",IF(COUNT(AG229:AK229)=0,"",AL229-LOOKUP(2,1/(AG229:AK229&lt;&gt;""),AG229:AK229)))</t>
        </is>
      </c>
      <c r="AZ229" s="38" t="inlineStr">
        <is>
          <t>IF(OR(E229="",AM229=""),"",IF(COUNT(AG229:AL229)=0,"",AM229-LOOKUP(2,1/(AG229:AL229&lt;&gt;""),AG229:AL229)))</t>
        </is>
      </c>
      <c r="BA229" s="38" t="inlineStr">
        <is>
          <t>IF(OR(E229="",AN229=""),"",IF(COUNT(AG229:AM229)=0,"",AN229-LOOKUP(2,1/(AG229:AM229&lt;&gt;""),AG229:AM229)))</t>
        </is>
      </c>
      <c r="BB229" s="38" t="inlineStr">
        <is>
          <t>IF(OR(E229="",AO229=""),"",IF(COUNT(AG229:AN229)=0,"",AO229-LOOKUP(2,1/(AG229:AN229&lt;&gt;""),AG229:AN229)))</t>
        </is>
      </c>
      <c r="BC229" s="38" t="inlineStr">
        <is>
          <t>IF(OR(E229="",AP229=""),"",IF(COUNT(AG229:AO229)=0,"",AP229-LOOKUP(2,1/(AG229:AO229&lt;&gt;""),AG229:AO229)))</t>
        </is>
      </c>
      <c r="BD229" s="38" t="inlineStr">
        <is>
          <t>IF(OR(E229="",AQ229=""),"",IF(COUNT(AG229:AP229)=0,"",AQ229-LOOKUP(2,1/(AG229:AP229&lt;&gt;""),AG229:AP229)))</t>
        </is>
      </c>
      <c r="BE229" s="38" t="inlineStr">
        <is>
          <t>IF(OR(E229="",AR229=""),"",IF(COUNT(AG229:AQ229)=0,"",AR229-LOOKUP(2,1/(AG229:AQ229&lt;&gt;""),AG229:AQ229)))</t>
        </is>
      </c>
      <c r="BF229" s="38" t="inlineStr">
        <is>
          <t>IF(OR(E229="",AS229=""),"",IF(COUNT(AG229:AR229)=0,"",AS229-LOOKUP(2,1/(AG229:AR229&lt;&gt;""),AG229:AR229)))</t>
        </is>
      </c>
      <c r="BG229" s="38" t="inlineStr">
        <is>
          <t>IF(OR(E229="",AT229=""),"",IF(COUNT(AG229:AS229)=0,"",AT229-LOOKUP(2,1/(AG229:AS229&lt;&gt;""),AG229:AS229)))</t>
        </is>
      </c>
      <c r="BH229" s="41" t="inlineStr">
        <is>
          <t>IF(G229="","All_Provinces",IFERROR(VLOOKUP(G229,'07_Lookups'!$A$4:$B$20,2,FALSE),"All_Provinces"))</t>
        </is>
      </c>
      <c r="BI229" s="41" t="inlineStr">
        <is>
          <t>IF(H229="","All_Districts",IFERROR(VLOOKUP(H229,'07_Lookups'!$E$4:$F$42,2,FALSE),"All_Districts"))</t>
        </is>
      </c>
    </row>
    <row r="230" ht="18" customHeight="1">
      <c r="A230" s="32" t="inlineStr">
        <is>
          <t>IF(E230="","",ROW()-3)</t>
        </is>
      </c>
      <c r="B230" s="33" t="inlineStr">
        <is>
          <t>AF2-DIS-R-067</t>
        </is>
      </c>
      <c r="C230" s="33" t="inlineStr">
        <is>
          <t>Emergency Food Security Project (EFSP) – WBK/AF-2</t>
        </is>
      </c>
      <c r="D230"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30" s="33" t="inlineStr">
        <is>
          <t>Dabar Allu Drip Irrigation Scheme</t>
        </is>
      </c>
      <c r="F230" s="33" t="inlineStr">
        <is>
          <t>Drip Irrigation</t>
        </is>
      </c>
      <c r="G230" s="33" t="inlineStr">
        <is>
          <t>Southeast / Gardez</t>
        </is>
      </c>
      <c r="H230" s="33" t="inlineStr">
        <is>
          <t>Logar</t>
        </is>
      </c>
      <c r="I230" s="33" t="inlineStr">
        <is>
          <t>Charkh</t>
        </is>
      </c>
      <c r="J230" s="33" t="inlineStr">
        <is>
          <t>Dabar Allu</t>
        </is>
      </c>
      <c r="K230" s="33" t="inlineStr">
        <is>
          <t>World Bank (WBK/AF-2)</t>
        </is>
      </c>
      <c r="L230" s="33" t="inlineStr">
        <is>
          <t>Remaining</t>
        </is>
      </c>
      <c r="M230" s="33" t="inlineStr">
        <is>
          <t>Drip irrigation</t>
        </is>
      </c>
      <c r="N230" s="33" t="inlineStr">
        <is>
          <t>5. Drip Irrigation systems</t>
        </is>
      </c>
      <c r="O230" s="33" t="inlineStr">
        <is>
          <t>Mohammad Akbar</t>
        </is>
      </c>
      <c r="P230" s="33" t="inlineStr"/>
      <c r="Q230" s="34" t="n"/>
      <c r="R230" s="35" t="inlineStr">
        <is>
          <t>IF(AO230="","",AO230)</t>
        </is>
      </c>
      <c r="S230" s="36" t="n">
        <v>46381</v>
      </c>
      <c r="T230" s="37" t="n">
        <v>6.2</v>
      </c>
      <c r="U230" s="36" t="n">
        <v>46571</v>
      </c>
      <c r="V230" s="35" t="inlineStr">
        <is>
          <t>IF(U230&lt;&gt;"",U230,IF(OR(R230="",T230=""),"",EDATE(R230,T230)))</t>
        </is>
      </c>
      <c r="W230" s="36" t="n"/>
      <c r="X230" s="37" t="n"/>
      <c r="Y230" s="33" t="inlineStr">
        <is>
          <t>Retendered (Re-ITB)</t>
        </is>
      </c>
      <c r="Z230" s="33" t="inlineStr">
        <is>
          <t>Slack period up to end March. Four months construction period starting from April 2026. | Farmer: Mohammad Akbar</t>
        </is>
      </c>
      <c r="AA230" s="32" t="inlineStr">
        <is>
          <t>IF(E230="","",IF(COUNT(AG230:AT230)=0,IF(Y230="","Not started",Y230),SUBSTITUTE(LOOKUP(2,1/(AG230:AT230&lt;&gt;""),$AG$3:$AT$3),"Date: ","")))</t>
        </is>
      </c>
      <c r="AB230" s="38" t="inlineStr">
        <is>
          <t>IF(OR(E230="",COUNT(AG230:AT230)=0),"",TODAY()-LOOKUP(2,1/(AG230:AT230&lt;&gt;""),AG230:AT230))</t>
        </is>
      </c>
      <c r="AC230" s="38" t="inlineStr">
        <is>
          <t>IF(OR(E230="",COUNT(AG230:AT230)&lt;2),"",LOOKUP(2,1/(AG230:AT230&lt;&gt;""),AG230:AT230)-MIN(AG230:AT230))</t>
        </is>
      </c>
      <c r="AD230" s="38" t="inlineStr">
        <is>
          <t>IF(OR(AB230="",AA230="Not started",AA230=""),"",IFERROR(AB230-IF(VLOOKUP(AA230,'04_Status_Pipeline'!$B$3:$E$20,4,FALSE)="",0,VLOOKUP(AA230,'04_Status_Pipeline'!$B$3:$E$20,4,FALSE)),""))</t>
        </is>
      </c>
      <c r="AE230" s="32" t="inlineStr">
        <is>
          <t>IF(E230="","",IF(OR(Y230="Cancelled",AA230="Cancelled"),"Cancelled",IF(OR(AA230="Completed / Handover",W230&lt;&gt;"",X230&gt;=100),"Completed — on track",IF(L230="Remaining",IF(S230="",IF(V230="","No planned date",IF(TODAY()&gt;V230,"Behind — past planned date",IF(V230-TODAY()&lt;=30,"At risk — close to off track","On track"))),IF(TODAY()&gt;S230,"Behind — award date passed",IF(S230-TODAY()&lt;=30,"At risk — close to off track","On track"))),IF(V230="","No planned date",IF(AND(TODAY()&gt;V230,OR(X230="",X230&lt;100)),"Behind — past end date",IF(AND(R230&lt;&gt;"",V230&lt;&gt;"",X230&lt;&gt;"",(X230&lt;100),((TODAY()-R230)/MAX(V230-R230,1)*100)-X230&gt;15),"Behind — progress lag",IF(AND(V230-TODAY()&lt;=30,V230-TODAY()&gt;=0,OR(X230="",X230&lt;90)),"At risk — close to off track","On track"))))))))</t>
        </is>
      </c>
      <c r="AF230" s="38" t="inlineStr">
        <is>
          <t>IF(OR(E230="",AA230="Completed / Handover",AA230="Cancelled"),"",IF(L230="Remaining",IF(S230&lt;&gt;"",S230-TODAY(),IF(V230="","",V230-TODAY())),IF(V230="","",V230-TODAY())))</t>
        </is>
      </c>
      <c r="AG230" s="36" t="n"/>
      <c r="AH230" s="36" t="n"/>
      <c r="AI230" s="36" t="n"/>
      <c r="AJ230" s="36" t="n"/>
      <c r="AK230" s="36" t="n"/>
      <c r="AL230" s="36" t="n"/>
      <c r="AM230" s="36" t="n"/>
      <c r="AN230" s="36" t="n"/>
      <c r="AO230" s="36" t="n"/>
      <c r="AP230" s="36" t="n"/>
      <c r="AQ230" s="36" t="n"/>
      <c r="AR230" s="40" t="n"/>
      <c r="AS230" s="40" t="n"/>
      <c r="AT230" s="40" t="n"/>
      <c r="AU230" s="38" t="inlineStr">
        <is>
          <t>IF(OR(E230="",AH230=""),"",IF(COUNT(AG230:AG230)=0,"",AH230-LOOKUP(2,1/(AG230:AG230&lt;&gt;""),AG230:AG230)))</t>
        </is>
      </c>
      <c r="AV230" s="38" t="inlineStr">
        <is>
          <t>IF(OR(E230="",AI230=""),"",IF(COUNT(AG230:AH230)=0,"",AI230-LOOKUP(2,1/(AG230:AH230&lt;&gt;""),AG230:AH230)))</t>
        </is>
      </c>
      <c r="AW230" s="38" t="inlineStr">
        <is>
          <t>IF(OR(E230="",AJ230=""),"",IF(COUNT(AG230:AI230)=0,"",AJ230-LOOKUP(2,1/(AG230:AI230&lt;&gt;""),AG230:AI230)))</t>
        </is>
      </c>
      <c r="AX230" s="38" t="inlineStr">
        <is>
          <t>IF(OR(E230="",AK230=""),"",IF(COUNT(AG230:AJ230)=0,"",AK230-LOOKUP(2,1/(AG230:AJ230&lt;&gt;""),AG230:AJ230)))</t>
        </is>
      </c>
      <c r="AY230" s="38" t="inlineStr">
        <is>
          <t>IF(OR(E230="",AL230=""),"",IF(COUNT(AG230:AK230)=0,"",AL230-LOOKUP(2,1/(AG230:AK230&lt;&gt;""),AG230:AK230)))</t>
        </is>
      </c>
      <c r="AZ230" s="38" t="inlineStr">
        <is>
          <t>IF(OR(E230="",AM230=""),"",IF(COUNT(AG230:AL230)=0,"",AM230-LOOKUP(2,1/(AG230:AL230&lt;&gt;""),AG230:AL230)))</t>
        </is>
      </c>
      <c r="BA230" s="38" t="inlineStr">
        <is>
          <t>IF(OR(E230="",AN230=""),"",IF(COUNT(AG230:AM230)=0,"",AN230-LOOKUP(2,1/(AG230:AM230&lt;&gt;""),AG230:AM230)))</t>
        </is>
      </c>
      <c r="BB230" s="38" t="inlineStr">
        <is>
          <t>IF(OR(E230="",AO230=""),"",IF(COUNT(AG230:AN230)=0,"",AO230-LOOKUP(2,1/(AG230:AN230&lt;&gt;""),AG230:AN230)))</t>
        </is>
      </c>
      <c r="BC230" s="38" t="inlineStr">
        <is>
          <t>IF(OR(E230="",AP230=""),"",IF(COUNT(AG230:AO230)=0,"",AP230-LOOKUP(2,1/(AG230:AO230&lt;&gt;""),AG230:AO230)))</t>
        </is>
      </c>
      <c r="BD230" s="38" t="inlineStr">
        <is>
          <t>IF(OR(E230="",AQ230=""),"",IF(COUNT(AG230:AP230)=0,"",AQ230-LOOKUP(2,1/(AG230:AP230&lt;&gt;""),AG230:AP230)))</t>
        </is>
      </c>
      <c r="BE230" s="38" t="inlineStr">
        <is>
          <t>IF(OR(E230="",AR230=""),"",IF(COUNT(AG230:AQ230)=0,"",AR230-LOOKUP(2,1/(AG230:AQ230&lt;&gt;""),AG230:AQ230)))</t>
        </is>
      </c>
      <c r="BF230" s="38" t="inlineStr">
        <is>
          <t>IF(OR(E230="",AS230=""),"",IF(COUNT(AG230:AR230)=0,"",AS230-LOOKUP(2,1/(AG230:AR230&lt;&gt;""),AG230:AR230)))</t>
        </is>
      </c>
      <c r="BG230" s="38" t="inlineStr">
        <is>
          <t>IF(OR(E230="",AT230=""),"",IF(COUNT(AG230:AS230)=0,"",AT230-LOOKUP(2,1/(AG230:AS230&lt;&gt;""),AG230:AS230)))</t>
        </is>
      </c>
      <c r="BH230" s="41" t="inlineStr">
        <is>
          <t>IF(G230="","All_Provinces",IFERROR(VLOOKUP(G230,'07_Lookups'!$A$4:$B$20,2,FALSE),"All_Provinces"))</t>
        </is>
      </c>
      <c r="BI230" s="41" t="inlineStr">
        <is>
          <t>IF(H230="","All_Districts",IFERROR(VLOOKUP(H230,'07_Lookups'!$E$4:$F$42,2,FALSE),"All_Districts"))</t>
        </is>
      </c>
    </row>
    <row r="231" ht="18" customHeight="1">
      <c r="A231" s="32" t="inlineStr">
        <is>
          <t>IF(E231="","",ROW()-3)</t>
        </is>
      </c>
      <c r="B231" s="42" t="inlineStr">
        <is>
          <t>AF2-DIS-R-068</t>
        </is>
      </c>
      <c r="C231" s="42" t="inlineStr">
        <is>
          <t>Emergency Food Security Project (EFSP) – WBK/AF-2</t>
        </is>
      </c>
      <c r="D231"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1" s="42" t="inlineStr">
        <is>
          <t>Mohmad Drip irrigation schemes</t>
        </is>
      </c>
      <c r="F231" s="42" t="inlineStr">
        <is>
          <t>Drip Irrigation</t>
        </is>
      </c>
      <c r="G231" s="42" t="inlineStr">
        <is>
          <t>South / Kandahar</t>
        </is>
      </c>
      <c r="H231" s="42" t="inlineStr">
        <is>
          <t>Kandahar</t>
        </is>
      </c>
      <c r="I231" s="42" t="inlineStr">
        <is>
          <t>Daman</t>
        </is>
      </c>
      <c r="J231" s="42" t="inlineStr">
        <is>
          <t>Mohmand</t>
        </is>
      </c>
      <c r="K231" s="42" t="inlineStr">
        <is>
          <t>World Bank (WBK/AF-2)</t>
        </is>
      </c>
      <c r="L231" s="42" t="inlineStr">
        <is>
          <t>Remaining</t>
        </is>
      </c>
      <c r="M231" s="42" t="inlineStr">
        <is>
          <t>Drip irrigation</t>
        </is>
      </c>
      <c r="N231" s="42" t="inlineStr">
        <is>
          <t>5. Drip Irrigation systems</t>
        </is>
      </c>
      <c r="O231" s="42" t="inlineStr"/>
      <c r="P231" s="42" t="inlineStr"/>
      <c r="Q231" s="43" t="n">
        <v>4250</v>
      </c>
      <c r="R231" s="35" t="inlineStr">
        <is>
          <t>IF(AO231="","",AO231)</t>
        </is>
      </c>
      <c r="S231" s="44" t="n">
        <v>46412</v>
      </c>
      <c r="T231" s="45" t="n">
        <v>4.9</v>
      </c>
      <c r="U231" s="44" t="n">
        <v>46562</v>
      </c>
      <c r="V231" s="35" t="inlineStr">
        <is>
          <t>IF(U231&lt;&gt;"",U231,IF(OR(R231="",T231=""),"",EDATE(R231,T231)))</t>
        </is>
      </c>
      <c r="W231" s="44" t="n"/>
      <c r="X231" s="45" t="n"/>
      <c r="Y231" s="42" t="inlineStr">
        <is>
          <t>Under Review of WRI</t>
        </is>
      </c>
      <c r="Z231" s="42" t="inlineStr">
        <is>
          <t>Five months for the construction.</t>
        </is>
      </c>
      <c r="AA231" s="32" t="inlineStr">
        <is>
          <t>IF(E231="","",IF(COUNT(AG231:AT231)=0,IF(Y231="","Not started",Y231),SUBSTITUTE(LOOKUP(2,1/(AG231:AT231&lt;&gt;""),$AG$3:$AT$3),"Date: ","")))</t>
        </is>
      </c>
      <c r="AB231" s="38" t="inlineStr">
        <is>
          <t>IF(OR(E231="",COUNT(AG231:AT231)=0),"",TODAY()-LOOKUP(2,1/(AG231:AT231&lt;&gt;""),AG231:AT231))</t>
        </is>
      </c>
      <c r="AC231" s="38" t="inlineStr">
        <is>
          <t>IF(OR(E231="",COUNT(AG231:AT231)&lt;2),"",LOOKUP(2,1/(AG231:AT231&lt;&gt;""),AG231:AT231)-MIN(AG231:AT231))</t>
        </is>
      </c>
      <c r="AD231" s="38" t="inlineStr">
        <is>
          <t>IF(OR(AB231="",AA231="Not started",AA231=""),"",IFERROR(AB231-IF(VLOOKUP(AA231,'04_Status_Pipeline'!$B$3:$E$20,4,FALSE)="",0,VLOOKUP(AA231,'04_Status_Pipeline'!$B$3:$E$20,4,FALSE)),""))</t>
        </is>
      </c>
      <c r="AE231" s="32" t="inlineStr">
        <is>
          <t>IF(E231="","",IF(OR(Y231="Cancelled",AA231="Cancelled"),"Cancelled",IF(OR(AA231="Completed / Handover",W231&lt;&gt;"",X231&gt;=100),"Completed — on track",IF(L231="Remaining",IF(S231="",IF(V231="","No planned date",IF(TODAY()&gt;V231,"Behind — past planned date",IF(V231-TODAY()&lt;=30,"At risk — close to off track","On track"))),IF(TODAY()&gt;S231,"Behind — award date passed",IF(S231-TODAY()&lt;=30,"At risk — close to off track","On track"))),IF(V231="","No planned date",IF(AND(TODAY()&gt;V231,OR(X231="",X231&lt;100)),"Behind — past end date",IF(AND(R231&lt;&gt;"",V231&lt;&gt;"",X231&lt;&gt;"",(X231&lt;100),((TODAY()-R231)/MAX(V231-R231,1)*100)-X231&gt;15),"Behind — progress lag",IF(AND(V231-TODAY()&lt;=30,V231-TODAY()&gt;=0,OR(X231="",X231&lt;90)),"At risk — close to off track","On track"))))))))</t>
        </is>
      </c>
      <c r="AF231" s="38" t="inlineStr">
        <is>
          <t>IF(OR(E231="",AA231="Completed / Handover",AA231="Cancelled"),"",IF(L231="Remaining",IF(S231&lt;&gt;"",S231-TODAY(),IF(V231="","",V231-TODAY())),IF(V231="","",V231-TODAY())))</t>
        </is>
      </c>
      <c r="AG231" s="44" t="n"/>
      <c r="AH231" s="44" t="n"/>
      <c r="AI231" s="44" t="n"/>
      <c r="AJ231" s="44" t="n"/>
      <c r="AK231" s="44" t="n"/>
      <c r="AL231" s="44" t="n"/>
      <c r="AM231" s="44" t="n"/>
      <c r="AN231" s="44" t="n"/>
      <c r="AO231" s="44" t="n"/>
      <c r="AP231" s="44" t="n"/>
      <c r="AQ231" s="44" t="n"/>
      <c r="AR231" s="40" t="n"/>
      <c r="AS231" s="40" t="n"/>
      <c r="AT231" s="40" t="n"/>
      <c r="AU231" s="38" t="inlineStr">
        <is>
          <t>IF(OR(E231="",AH231=""),"",IF(COUNT(AG231:AG231)=0,"",AH231-LOOKUP(2,1/(AG231:AG231&lt;&gt;""),AG231:AG231)))</t>
        </is>
      </c>
      <c r="AV231" s="38" t="inlineStr">
        <is>
          <t>IF(OR(E231="",AI231=""),"",IF(COUNT(AG231:AH231)=0,"",AI231-LOOKUP(2,1/(AG231:AH231&lt;&gt;""),AG231:AH231)))</t>
        </is>
      </c>
      <c r="AW231" s="38" t="inlineStr">
        <is>
          <t>IF(OR(E231="",AJ231=""),"",IF(COUNT(AG231:AI231)=0,"",AJ231-LOOKUP(2,1/(AG231:AI231&lt;&gt;""),AG231:AI231)))</t>
        </is>
      </c>
      <c r="AX231" s="38" t="inlineStr">
        <is>
          <t>IF(OR(E231="",AK231=""),"",IF(COUNT(AG231:AJ231)=0,"",AK231-LOOKUP(2,1/(AG231:AJ231&lt;&gt;""),AG231:AJ231)))</t>
        </is>
      </c>
      <c r="AY231" s="38" t="inlineStr">
        <is>
          <t>IF(OR(E231="",AL231=""),"",IF(COUNT(AG231:AK231)=0,"",AL231-LOOKUP(2,1/(AG231:AK231&lt;&gt;""),AG231:AK231)))</t>
        </is>
      </c>
      <c r="AZ231" s="38" t="inlineStr">
        <is>
          <t>IF(OR(E231="",AM231=""),"",IF(COUNT(AG231:AL231)=0,"",AM231-LOOKUP(2,1/(AG231:AL231&lt;&gt;""),AG231:AL231)))</t>
        </is>
      </c>
      <c r="BA231" s="38" t="inlineStr">
        <is>
          <t>IF(OR(E231="",AN231=""),"",IF(COUNT(AG231:AM231)=0,"",AN231-LOOKUP(2,1/(AG231:AM231&lt;&gt;""),AG231:AM231)))</t>
        </is>
      </c>
      <c r="BB231" s="38" t="inlineStr">
        <is>
          <t>IF(OR(E231="",AO231=""),"",IF(COUNT(AG231:AN231)=0,"",AO231-LOOKUP(2,1/(AG231:AN231&lt;&gt;""),AG231:AN231)))</t>
        </is>
      </c>
      <c r="BC231" s="38" t="inlineStr">
        <is>
          <t>IF(OR(E231="",AP231=""),"",IF(COUNT(AG231:AO231)=0,"",AP231-LOOKUP(2,1/(AG231:AO231&lt;&gt;""),AG231:AO231)))</t>
        </is>
      </c>
      <c r="BD231" s="38" t="inlineStr">
        <is>
          <t>IF(OR(E231="",AQ231=""),"",IF(COUNT(AG231:AP231)=0,"",AQ231-LOOKUP(2,1/(AG231:AP231&lt;&gt;""),AG231:AP231)))</t>
        </is>
      </c>
      <c r="BE231" s="38" t="inlineStr">
        <is>
          <t>IF(OR(E231="",AR231=""),"",IF(COUNT(AG231:AQ231)=0,"",AR231-LOOKUP(2,1/(AG231:AQ231&lt;&gt;""),AG231:AQ231)))</t>
        </is>
      </c>
      <c r="BF231" s="38" t="inlineStr">
        <is>
          <t>IF(OR(E231="",AS231=""),"",IF(COUNT(AG231:AR231)=0,"",AS231-LOOKUP(2,1/(AG231:AR231&lt;&gt;""),AG231:AR231)))</t>
        </is>
      </c>
      <c r="BG231" s="38" t="inlineStr">
        <is>
          <t>IF(OR(E231="",AT231=""),"",IF(COUNT(AG231:AS231)=0,"",AT231-LOOKUP(2,1/(AG231:AS231&lt;&gt;""),AG231:AS231)))</t>
        </is>
      </c>
      <c r="BH231" s="41" t="inlineStr">
        <is>
          <t>IF(G231="","All_Provinces",IFERROR(VLOOKUP(G231,'07_Lookups'!$A$4:$B$20,2,FALSE),"All_Provinces"))</t>
        </is>
      </c>
      <c r="BI231" s="41" t="inlineStr">
        <is>
          <t>IF(H231="","All_Districts",IFERROR(VLOOKUP(H231,'07_Lookups'!$E$4:$F$42,2,FALSE),"All_Districts"))</t>
        </is>
      </c>
    </row>
    <row r="232" ht="18" customHeight="1">
      <c r="A232" s="32" t="inlineStr">
        <is>
          <t>IF(E232="","",ROW()-3)</t>
        </is>
      </c>
      <c r="B232" s="33" t="inlineStr">
        <is>
          <t>AF2-DIS-R-069</t>
        </is>
      </c>
      <c r="C232" s="33" t="inlineStr">
        <is>
          <t>Emergency Food Security Project (EFSP) – WBK/AF-2</t>
        </is>
      </c>
      <c r="D232"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2" s="33" t="inlineStr">
        <is>
          <t>Garmaw Kali Drip irrigation schemes</t>
        </is>
      </c>
      <c r="F232" s="33" t="inlineStr">
        <is>
          <t>Drip Irrigation</t>
        </is>
      </c>
      <c r="G232" s="33" t="inlineStr">
        <is>
          <t>South / Kandahar</t>
        </is>
      </c>
      <c r="H232" s="33" t="inlineStr">
        <is>
          <t>Kandahar</t>
        </is>
      </c>
      <c r="I232" s="33" t="inlineStr">
        <is>
          <t>Panjwai</t>
        </is>
      </c>
      <c r="J232" s="33" t="inlineStr">
        <is>
          <t>Garmaw Kali</t>
        </is>
      </c>
      <c r="K232" s="33" t="inlineStr">
        <is>
          <t>World Bank (WBK/AF-2)</t>
        </is>
      </c>
      <c r="L232" s="33" t="inlineStr">
        <is>
          <t>Remaining</t>
        </is>
      </c>
      <c r="M232" s="33" t="inlineStr">
        <is>
          <t>Drip irrigation</t>
        </is>
      </c>
      <c r="N232" s="33" t="inlineStr">
        <is>
          <t>5. Drip Irrigation systems</t>
        </is>
      </c>
      <c r="O232" s="33" t="inlineStr"/>
      <c r="P232" s="33" t="inlineStr"/>
      <c r="Q232" s="34" t="n">
        <v>8500</v>
      </c>
      <c r="R232" s="35" t="inlineStr">
        <is>
          <t>IF(AO232="","",AO232)</t>
        </is>
      </c>
      <c r="S232" s="36" t="n">
        <v>46412</v>
      </c>
      <c r="T232" s="37" t="n">
        <v>4.9</v>
      </c>
      <c r="U232" s="36" t="n">
        <v>46562</v>
      </c>
      <c r="V232" s="35" t="inlineStr">
        <is>
          <t>IF(U232&lt;&gt;"",U232,IF(OR(R232="",T232=""),"",EDATE(R232,T232)))</t>
        </is>
      </c>
      <c r="W232" s="36" t="n"/>
      <c r="X232" s="37" t="n"/>
      <c r="Y232" s="33" t="inlineStr">
        <is>
          <t>Under Review of WRI</t>
        </is>
      </c>
      <c r="Z232" s="33" t="inlineStr">
        <is>
          <t>Five months for the construction.</t>
        </is>
      </c>
      <c r="AA232" s="32" t="inlineStr">
        <is>
          <t>IF(E232="","",IF(COUNT(AG232:AT232)=0,IF(Y232="","Not started",Y232),SUBSTITUTE(LOOKUP(2,1/(AG232:AT232&lt;&gt;""),$AG$3:$AT$3),"Date: ","")))</t>
        </is>
      </c>
      <c r="AB232" s="38" t="inlineStr">
        <is>
          <t>IF(OR(E232="",COUNT(AG232:AT232)=0),"",TODAY()-LOOKUP(2,1/(AG232:AT232&lt;&gt;""),AG232:AT232))</t>
        </is>
      </c>
      <c r="AC232" s="38" t="inlineStr">
        <is>
          <t>IF(OR(E232="",COUNT(AG232:AT232)&lt;2),"",LOOKUP(2,1/(AG232:AT232&lt;&gt;""),AG232:AT232)-MIN(AG232:AT232))</t>
        </is>
      </c>
      <c r="AD232" s="38" t="inlineStr">
        <is>
          <t>IF(OR(AB232="",AA232="Not started",AA232=""),"",IFERROR(AB232-IF(VLOOKUP(AA232,'04_Status_Pipeline'!$B$3:$E$20,4,FALSE)="",0,VLOOKUP(AA232,'04_Status_Pipeline'!$B$3:$E$20,4,FALSE)),""))</t>
        </is>
      </c>
      <c r="AE232" s="32" t="inlineStr">
        <is>
          <t>IF(E232="","",IF(OR(Y232="Cancelled",AA232="Cancelled"),"Cancelled",IF(OR(AA232="Completed / Handover",W232&lt;&gt;"",X232&gt;=100),"Completed — on track",IF(L232="Remaining",IF(S232="",IF(V232="","No planned date",IF(TODAY()&gt;V232,"Behind — past planned date",IF(V232-TODAY()&lt;=30,"At risk — close to off track","On track"))),IF(TODAY()&gt;S232,"Behind — award date passed",IF(S232-TODAY()&lt;=30,"At risk — close to off track","On track"))),IF(V232="","No planned date",IF(AND(TODAY()&gt;V232,OR(X232="",X232&lt;100)),"Behind — past end date",IF(AND(R232&lt;&gt;"",V232&lt;&gt;"",X232&lt;&gt;"",(X232&lt;100),((TODAY()-R232)/MAX(V232-R232,1)*100)-X232&gt;15),"Behind — progress lag",IF(AND(V232-TODAY()&lt;=30,V232-TODAY()&gt;=0,OR(X232="",X232&lt;90)),"At risk — close to off track","On track"))))))))</t>
        </is>
      </c>
      <c r="AF232" s="38" t="inlineStr">
        <is>
          <t>IF(OR(E232="",AA232="Completed / Handover",AA232="Cancelled"),"",IF(L232="Remaining",IF(S232&lt;&gt;"",S232-TODAY(),IF(V232="","",V232-TODAY())),IF(V232="","",V232-TODAY())))</t>
        </is>
      </c>
      <c r="AG232" s="36" t="n"/>
      <c r="AH232" s="36" t="n"/>
      <c r="AI232" s="36" t="n"/>
      <c r="AJ232" s="36" t="n"/>
      <c r="AK232" s="36" t="n"/>
      <c r="AL232" s="36" t="n"/>
      <c r="AM232" s="36" t="n"/>
      <c r="AN232" s="36" t="n"/>
      <c r="AO232" s="36" t="n"/>
      <c r="AP232" s="36" t="n"/>
      <c r="AQ232" s="36" t="n"/>
      <c r="AR232" s="40" t="n"/>
      <c r="AS232" s="40" t="n"/>
      <c r="AT232" s="40" t="n"/>
      <c r="AU232" s="38" t="inlineStr">
        <is>
          <t>IF(OR(E232="",AH232=""),"",IF(COUNT(AG232:AG232)=0,"",AH232-LOOKUP(2,1/(AG232:AG232&lt;&gt;""),AG232:AG232)))</t>
        </is>
      </c>
      <c r="AV232" s="38" t="inlineStr">
        <is>
          <t>IF(OR(E232="",AI232=""),"",IF(COUNT(AG232:AH232)=0,"",AI232-LOOKUP(2,1/(AG232:AH232&lt;&gt;""),AG232:AH232)))</t>
        </is>
      </c>
      <c r="AW232" s="38" t="inlineStr">
        <is>
          <t>IF(OR(E232="",AJ232=""),"",IF(COUNT(AG232:AI232)=0,"",AJ232-LOOKUP(2,1/(AG232:AI232&lt;&gt;""),AG232:AI232)))</t>
        </is>
      </c>
      <c r="AX232" s="38" t="inlineStr">
        <is>
          <t>IF(OR(E232="",AK232=""),"",IF(COUNT(AG232:AJ232)=0,"",AK232-LOOKUP(2,1/(AG232:AJ232&lt;&gt;""),AG232:AJ232)))</t>
        </is>
      </c>
      <c r="AY232" s="38" t="inlineStr">
        <is>
          <t>IF(OR(E232="",AL232=""),"",IF(COUNT(AG232:AK232)=0,"",AL232-LOOKUP(2,1/(AG232:AK232&lt;&gt;""),AG232:AK232)))</t>
        </is>
      </c>
      <c r="AZ232" s="38" t="inlineStr">
        <is>
          <t>IF(OR(E232="",AM232=""),"",IF(COUNT(AG232:AL232)=0,"",AM232-LOOKUP(2,1/(AG232:AL232&lt;&gt;""),AG232:AL232)))</t>
        </is>
      </c>
      <c r="BA232" s="38" t="inlineStr">
        <is>
          <t>IF(OR(E232="",AN232=""),"",IF(COUNT(AG232:AM232)=0,"",AN232-LOOKUP(2,1/(AG232:AM232&lt;&gt;""),AG232:AM232)))</t>
        </is>
      </c>
      <c r="BB232" s="38" t="inlineStr">
        <is>
          <t>IF(OR(E232="",AO232=""),"",IF(COUNT(AG232:AN232)=0,"",AO232-LOOKUP(2,1/(AG232:AN232&lt;&gt;""),AG232:AN232)))</t>
        </is>
      </c>
      <c r="BC232" s="38" t="inlineStr">
        <is>
          <t>IF(OR(E232="",AP232=""),"",IF(COUNT(AG232:AO232)=0,"",AP232-LOOKUP(2,1/(AG232:AO232&lt;&gt;""),AG232:AO232)))</t>
        </is>
      </c>
      <c r="BD232" s="38" t="inlineStr">
        <is>
          <t>IF(OR(E232="",AQ232=""),"",IF(COUNT(AG232:AP232)=0,"",AQ232-LOOKUP(2,1/(AG232:AP232&lt;&gt;""),AG232:AP232)))</t>
        </is>
      </c>
      <c r="BE232" s="38" t="inlineStr">
        <is>
          <t>IF(OR(E232="",AR232=""),"",IF(COUNT(AG232:AQ232)=0,"",AR232-LOOKUP(2,1/(AG232:AQ232&lt;&gt;""),AG232:AQ232)))</t>
        </is>
      </c>
      <c r="BF232" s="38" t="inlineStr">
        <is>
          <t>IF(OR(E232="",AS232=""),"",IF(COUNT(AG232:AR232)=0,"",AS232-LOOKUP(2,1/(AG232:AR232&lt;&gt;""),AG232:AR232)))</t>
        </is>
      </c>
      <c r="BG232" s="38" t="inlineStr">
        <is>
          <t>IF(OR(E232="",AT232=""),"",IF(COUNT(AG232:AS232)=0,"",AT232-LOOKUP(2,1/(AG232:AS232&lt;&gt;""),AG232:AS232)))</t>
        </is>
      </c>
      <c r="BH232" s="41" t="inlineStr">
        <is>
          <t>IF(G232="","All_Provinces",IFERROR(VLOOKUP(G232,'07_Lookups'!$A$4:$B$20,2,FALSE),"All_Provinces"))</t>
        </is>
      </c>
      <c r="BI232" s="41" t="inlineStr">
        <is>
          <t>IF(H232="","All_Districts",IFERROR(VLOOKUP(H232,'07_Lookups'!$E$4:$F$42,2,FALSE),"All_Districts"))</t>
        </is>
      </c>
    </row>
    <row r="233" ht="18" customHeight="1">
      <c r="A233" s="32" t="inlineStr">
        <is>
          <t>IF(E233="","",ROW()-3)</t>
        </is>
      </c>
      <c r="B233" s="42" t="inlineStr">
        <is>
          <t>AF2-DIS-R-070</t>
        </is>
      </c>
      <c r="C233" s="42" t="inlineStr">
        <is>
          <t>Emergency Food Security Project (EFSP) – WBK/AF-2</t>
        </is>
      </c>
      <c r="D233"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3" s="42" t="inlineStr">
        <is>
          <t>Serdagh Kali Drip irrigation schemes</t>
        </is>
      </c>
      <c r="F233" s="42" t="inlineStr">
        <is>
          <t>Drip Irrigation</t>
        </is>
      </c>
      <c r="G233" s="42" t="inlineStr">
        <is>
          <t>South / Kandahar</t>
        </is>
      </c>
      <c r="H233" s="42" t="inlineStr">
        <is>
          <t>Kandahar</t>
        </is>
      </c>
      <c r="I233" s="42" t="inlineStr">
        <is>
          <t>Naish</t>
        </is>
      </c>
      <c r="J233" s="42" t="inlineStr">
        <is>
          <t>Serdagh Kali</t>
        </is>
      </c>
      <c r="K233" s="42" t="inlineStr">
        <is>
          <t>World Bank (WBK/AF-2)</t>
        </is>
      </c>
      <c r="L233" s="42" t="inlineStr">
        <is>
          <t>Remaining</t>
        </is>
      </c>
      <c r="M233" s="42" t="inlineStr">
        <is>
          <t>Drip irrigation</t>
        </is>
      </c>
      <c r="N233" s="42" t="inlineStr">
        <is>
          <t>5. Drip Irrigation systems</t>
        </is>
      </c>
      <c r="O233" s="42" t="inlineStr"/>
      <c r="P233" s="42" t="inlineStr"/>
      <c r="Q233" s="43" t="n">
        <v>4250</v>
      </c>
      <c r="R233" s="35" t="inlineStr">
        <is>
          <t>IF(AO233="","",AO233)</t>
        </is>
      </c>
      <c r="S233" s="44" t="n">
        <v>46412</v>
      </c>
      <c r="T233" s="45" t="n">
        <v>4.9</v>
      </c>
      <c r="U233" s="44" t="n">
        <v>46562</v>
      </c>
      <c r="V233" s="35" t="inlineStr">
        <is>
          <t>IF(U233&lt;&gt;"",U233,IF(OR(R233="",T233=""),"",EDATE(R233,T233)))</t>
        </is>
      </c>
      <c r="W233" s="44" t="n"/>
      <c r="X233" s="45" t="n"/>
      <c r="Y233" s="42" t="inlineStr">
        <is>
          <t>Under Review of WRI</t>
        </is>
      </c>
      <c r="Z233" s="42" t="inlineStr">
        <is>
          <t>Five months for the construction.</t>
        </is>
      </c>
      <c r="AA233" s="32" t="inlineStr">
        <is>
          <t>IF(E233="","",IF(COUNT(AG233:AT233)=0,IF(Y233="","Not started",Y233),SUBSTITUTE(LOOKUP(2,1/(AG233:AT233&lt;&gt;""),$AG$3:$AT$3),"Date: ","")))</t>
        </is>
      </c>
      <c r="AB233" s="38" t="inlineStr">
        <is>
          <t>IF(OR(E233="",COUNT(AG233:AT233)=0),"",TODAY()-LOOKUP(2,1/(AG233:AT233&lt;&gt;""),AG233:AT233))</t>
        </is>
      </c>
      <c r="AC233" s="38" t="inlineStr">
        <is>
          <t>IF(OR(E233="",COUNT(AG233:AT233)&lt;2),"",LOOKUP(2,1/(AG233:AT233&lt;&gt;""),AG233:AT233)-MIN(AG233:AT233))</t>
        </is>
      </c>
      <c r="AD233" s="38" t="inlineStr">
        <is>
          <t>IF(OR(AB233="",AA233="Not started",AA233=""),"",IFERROR(AB233-IF(VLOOKUP(AA233,'04_Status_Pipeline'!$B$3:$E$20,4,FALSE)="",0,VLOOKUP(AA233,'04_Status_Pipeline'!$B$3:$E$20,4,FALSE)),""))</t>
        </is>
      </c>
      <c r="AE233" s="32" t="inlineStr">
        <is>
          <t>IF(E233="","",IF(OR(Y233="Cancelled",AA233="Cancelled"),"Cancelled",IF(OR(AA233="Completed / Handover",W233&lt;&gt;"",X233&gt;=100),"Completed — on track",IF(L233="Remaining",IF(S233="",IF(V233="","No planned date",IF(TODAY()&gt;V233,"Behind — past planned date",IF(V233-TODAY()&lt;=30,"At risk — close to off track","On track"))),IF(TODAY()&gt;S233,"Behind — award date passed",IF(S233-TODAY()&lt;=30,"At risk — close to off track","On track"))),IF(V233="","No planned date",IF(AND(TODAY()&gt;V233,OR(X233="",X233&lt;100)),"Behind — past end date",IF(AND(R233&lt;&gt;"",V233&lt;&gt;"",X233&lt;&gt;"",(X233&lt;100),((TODAY()-R233)/MAX(V233-R233,1)*100)-X233&gt;15),"Behind — progress lag",IF(AND(V233-TODAY()&lt;=30,V233-TODAY()&gt;=0,OR(X233="",X233&lt;90)),"At risk — close to off track","On track"))))))))</t>
        </is>
      </c>
      <c r="AF233" s="38" t="inlineStr">
        <is>
          <t>IF(OR(E233="",AA233="Completed / Handover",AA233="Cancelled"),"",IF(L233="Remaining",IF(S233&lt;&gt;"",S233-TODAY(),IF(V233="","",V233-TODAY())),IF(V233="","",V233-TODAY())))</t>
        </is>
      </c>
      <c r="AG233" s="44" t="n"/>
      <c r="AH233" s="44" t="n"/>
      <c r="AI233" s="44" t="n"/>
      <c r="AJ233" s="44" t="n"/>
      <c r="AK233" s="44" t="n"/>
      <c r="AL233" s="44" t="n"/>
      <c r="AM233" s="44" t="n"/>
      <c r="AN233" s="44" t="n"/>
      <c r="AO233" s="44" t="n"/>
      <c r="AP233" s="44" t="n"/>
      <c r="AQ233" s="44" t="n"/>
      <c r="AR233" s="40" t="n"/>
      <c r="AS233" s="40" t="n"/>
      <c r="AT233" s="40" t="n"/>
      <c r="AU233" s="38" t="inlineStr">
        <is>
          <t>IF(OR(E233="",AH233=""),"",IF(COUNT(AG233:AG233)=0,"",AH233-LOOKUP(2,1/(AG233:AG233&lt;&gt;""),AG233:AG233)))</t>
        </is>
      </c>
      <c r="AV233" s="38" t="inlineStr">
        <is>
          <t>IF(OR(E233="",AI233=""),"",IF(COUNT(AG233:AH233)=0,"",AI233-LOOKUP(2,1/(AG233:AH233&lt;&gt;""),AG233:AH233)))</t>
        </is>
      </c>
      <c r="AW233" s="38" t="inlineStr">
        <is>
          <t>IF(OR(E233="",AJ233=""),"",IF(COUNT(AG233:AI233)=0,"",AJ233-LOOKUP(2,1/(AG233:AI233&lt;&gt;""),AG233:AI233)))</t>
        </is>
      </c>
      <c r="AX233" s="38" t="inlineStr">
        <is>
          <t>IF(OR(E233="",AK233=""),"",IF(COUNT(AG233:AJ233)=0,"",AK233-LOOKUP(2,1/(AG233:AJ233&lt;&gt;""),AG233:AJ233)))</t>
        </is>
      </c>
      <c r="AY233" s="38" t="inlineStr">
        <is>
          <t>IF(OR(E233="",AL233=""),"",IF(COUNT(AG233:AK233)=0,"",AL233-LOOKUP(2,1/(AG233:AK233&lt;&gt;""),AG233:AK233)))</t>
        </is>
      </c>
      <c r="AZ233" s="38" t="inlineStr">
        <is>
          <t>IF(OR(E233="",AM233=""),"",IF(COUNT(AG233:AL233)=0,"",AM233-LOOKUP(2,1/(AG233:AL233&lt;&gt;""),AG233:AL233)))</t>
        </is>
      </c>
      <c r="BA233" s="38" t="inlineStr">
        <is>
          <t>IF(OR(E233="",AN233=""),"",IF(COUNT(AG233:AM233)=0,"",AN233-LOOKUP(2,1/(AG233:AM233&lt;&gt;""),AG233:AM233)))</t>
        </is>
      </c>
      <c r="BB233" s="38" t="inlineStr">
        <is>
          <t>IF(OR(E233="",AO233=""),"",IF(COUNT(AG233:AN233)=0,"",AO233-LOOKUP(2,1/(AG233:AN233&lt;&gt;""),AG233:AN233)))</t>
        </is>
      </c>
      <c r="BC233" s="38" t="inlineStr">
        <is>
          <t>IF(OR(E233="",AP233=""),"",IF(COUNT(AG233:AO233)=0,"",AP233-LOOKUP(2,1/(AG233:AO233&lt;&gt;""),AG233:AO233)))</t>
        </is>
      </c>
      <c r="BD233" s="38" t="inlineStr">
        <is>
          <t>IF(OR(E233="",AQ233=""),"",IF(COUNT(AG233:AP233)=0,"",AQ233-LOOKUP(2,1/(AG233:AP233&lt;&gt;""),AG233:AP233)))</t>
        </is>
      </c>
      <c r="BE233" s="38" t="inlineStr">
        <is>
          <t>IF(OR(E233="",AR233=""),"",IF(COUNT(AG233:AQ233)=0,"",AR233-LOOKUP(2,1/(AG233:AQ233&lt;&gt;""),AG233:AQ233)))</t>
        </is>
      </c>
      <c r="BF233" s="38" t="inlineStr">
        <is>
          <t>IF(OR(E233="",AS233=""),"",IF(COUNT(AG233:AR233)=0,"",AS233-LOOKUP(2,1/(AG233:AR233&lt;&gt;""),AG233:AR233)))</t>
        </is>
      </c>
      <c r="BG233" s="38" t="inlineStr">
        <is>
          <t>IF(OR(E233="",AT233=""),"",IF(COUNT(AG233:AS233)=0,"",AT233-LOOKUP(2,1/(AG233:AS233&lt;&gt;""),AG233:AS233)))</t>
        </is>
      </c>
      <c r="BH233" s="41" t="inlineStr">
        <is>
          <t>IF(G233="","All_Provinces",IFERROR(VLOOKUP(G233,'07_Lookups'!$A$4:$B$20,2,FALSE),"All_Provinces"))</t>
        </is>
      </c>
      <c r="BI233" s="41" t="inlineStr">
        <is>
          <t>IF(H233="","All_Districts",IFERROR(VLOOKUP(H233,'07_Lookups'!$E$4:$F$42,2,FALSE),"All_Districts"))</t>
        </is>
      </c>
    </row>
    <row r="234" ht="18" customHeight="1">
      <c r="A234" s="32" t="inlineStr">
        <is>
          <t>IF(E234="","",ROW()-3)</t>
        </is>
      </c>
      <c r="B234" s="33" t="inlineStr">
        <is>
          <t>AF2-DIS-R-071</t>
        </is>
      </c>
      <c r="C234" s="33" t="inlineStr">
        <is>
          <t>Emergency Food Security Project (EFSP) – WBK/AF-2</t>
        </is>
      </c>
      <c r="D234"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4" s="33" t="inlineStr">
        <is>
          <t>Garmaw Kali Drip irrigation schemes</t>
        </is>
      </c>
      <c r="F234" s="33" t="inlineStr">
        <is>
          <t>Drip Irrigation</t>
        </is>
      </c>
      <c r="G234" s="33" t="inlineStr">
        <is>
          <t>South / Kandahar</t>
        </is>
      </c>
      <c r="H234" s="33" t="inlineStr">
        <is>
          <t>Kandahar</t>
        </is>
      </c>
      <c r="I234" s="33" t="inlineStr">
        <is>
          <t>Shah Wali Kot</t>
        </is>
      </c>
      <c r="J234" s="33" t="inlineStr">
        <is>
          <t>Garmaw kali</t>
        </is>
      </c>
      <c r="K234" s="33" t="inlineStr">
        <is>
          <t>World Bank (WBK/AF-2)</t>
        </is>
      </c>
      <c r="L234" s="33" t="inlineStr">
        <is>
          <t>Remaining</t>
        </is>
      </c>
      <c r="M234" s="33" t="inlineStr">
        <is>
          <t>Drip irrigation</t>
        </is>
      </c>
      <c r="N234" s="33" t="inlineStr">
        <is>
          <t>5. Drip Irrigation systems</t>
        </is>
      </c>
      <c r="O234" s="33" t="inlineStr"/>
      <c r="P234" s="33" t="inlineStr"/>
      <c r="Q234" s="34" t="n">
        <v>8500</v>
      </c>
      <c r="R234" s="35" t="inlineStr">
        <is>
          <t>IF(AO234="","",AO234)</t>
        </is>
      </c>
      <c r="S234" s="36" t="n">
        <v>46412</v>
      </c>
      <c r="T234" s="37" t="n">
        <v>4.9</v>
      </c>
      <c r="U234" s="36" t="n">
        <v>46562</v>
      </c>
      <c r="V234" s="35" t="inlineStr">
        <is>
          <t>IF(U234&lt;&gt;"",U234,IF(OR(R234="",T234=""),"",EDATE(R234,T234)))</t>
        </is>
      </c>
      <c r="W234" s="36" t="n"/>
      <c r="X234" s="37" t="n"/>
      <c r="Y234" s="33" t="inlineStr">
        <is>
          <t>Under Review of WRI</t>
        </is>
      </c>
      <c r="Z234" s="33" t="inlineStr">
        <is>
          <t>Five months for the construction.</t>
        </is>
      </c>
      <c r="AA234" s="32" t="inlineStr">
        <is>
          <t>IF(E234="","",IF(COUNT(AG234:AT234)=0,IF(Y234="","Not started",Y234),SUBSTITUTE(LOOKUP(2,1/(AG234:AT234&lt;&gt;""),$AG$3:$AT$3),"Date: ","")))</t>
        </is>
      </c>
      <c r="AB234" s="38" t="inlineStr">
        <is>
          <t>IF(OR(E234="",COUNT(AG234:AT234)=0),"",TODAY()-LOOKUP(2,1/(AG234:AT234&lt;&gt;""),AG234:AT234))</t>
        </is>
      </c>
      <c r="AC234" s="38" t="inlineStr">
        <is>
          <t>IF(OR(E234="",COUNT(AG234:AT234)&lt;2),"",LOOKUP(2,1/(AG234:AT234&lt;&gt;""),AG234:AT234)-MIN(AG234:AT234))</t>
        </is>
      </c>
      <c r="AD234" s="38" t="inlineStr">
        <is>
          <t>IF(OR(AB234="",AA234="Not started",AA234=""),"",IFERROR(AB234-IF(VLOOKUP(AA234,'04_Status_Pipeline'!$B$3:$E$20,4,FALSE)="",0,VLOOKUP(AA234,'04_Status_Pipeline'!$B$3:$E$20,4,FALSE)),""))</t>
        </is>
      </c>
      <c r="AE234" s="32" t="inlineStr">
        <is>
          <t>IF(E234="","",IF(OR(Y234="Cancelled",AA234="Cancelled"),"Cancelled",IF(OR(AA234="Completed / Handover",W234&lt;&gt;"",X234&gt;=100),"Completed — on track",IF(L234="Remaining",IF(S234="",IF(V234="","No planned date",IF(TODAY()&gt;V234,"Behind — past planned date",IF(V234-TODAY()&lt;=30,"At risk — close to off track","On track"))),IF(TODAY()&gt;S234,"Behind — award date passed",IF(S234-TODAY()&lt;=30,"At risk — close to off track","On track"))),IF(V234="","No planned date",IF(AND(TODAY()&gt;V234,OR(X234="",X234&lt;100)),"Behind — past end date",IF(AND(R234&lt;&gt;"",V234&lt;&gt;"",X234&lt;&gt;"",(X234&lt;100),((TODAY()-R234)/MAX(V234-R234,1)*100)-X234&gt;15),"Behind — progress lag",IF(AND(V234-TODAY()&lt;=30,V234-TODAY()&gt;=0,OR(X234="",X234&lt;90)),"At risk — close to off track","On track"))))))))</t>
        </is>
      </c>
      <c r="AF234" s="38" t="inlineStr">
        <is>
          <t>IF(OR(E234="",AA234="Completed / Handover",AA234="Cancelled"),"",IF(L234="Remaining",IF(S234&lt;&gt;"",S234-TODAY(),IF(V234="","",V234-TODAY())),IF(V234="","",V234-TODAY())))</t>
        </is>
      </c>
      <c r="AG234" s="36" t="n"/>
      <c r="AH234" s="36" t="n"/>
      <c r="AI234" s="36" t="n"/>
      <c r="AJ234" s="36" t="n"/>
      <c r="AK234" s="36" t="n"/>
      <c r="AL234" s="36" t="n"/>
      <c r="AM234" s="36" t="n"/>
      <c r="AN234" s="36" t="n"/>
      <c r="AO234" s="36" t="n"/>
      <c r="AP234" s="36" t="n"/>
      <c r="AQ234" s="36" t="n"/>
      <c r="AR234" s="40" t="n"/>
      <c r="AS234" s="40" t="n"/>
      <c r="AT234" s="40" t="n"/>
      <c r="AU234" s="38" t="inlineStr">
        <is>
          <t>IF(OR(E234="",AH234=""),"",IF(COUNT(AG234:AG234)=0,"",AH234-LOOKUP(2,1/(AG234:AG234&lt;&gt;""),AG234:AG234)))</t>
        </is>
      </c>
      <c r="AV234" s="38" t="inlineStr">
        <is>
          <t>IF(OR(E234="",AI234=""),"",IF(COUNT(AG234:AH234)=0,"",AI234-LOOKUP(2,1/(AG234:AH234&lt;&gt;""),AG234:AH234)))</t>
        </is>
      </c>
      <c r="AW234" s="38" t="inlineStr">
        <is>
          <t>IF(OR(E234="",AJ234=""),"",IF(COUNT(AG234:AI234)=0,"",AJ234-LOOKUP(2,1/(AG234:AI234&lt;&gt;""),AG234:AI234)))</t>
        </is>
      </c>
      <c r="AX234" s="38" t="inlineStr">
        <is>
          <t>IF(OR(E234="",AK234=""),"",IF(COUNT(AG234:AJ234)=0,"",AK234-LOOKUP(2,1/(AG234:AJ234&lt;&gt;""),AG234:AJ234)))</t>
        </is>
      </c>
      <c r="AY234" s="38" t="inlineStr">
        <is>
          <t>IF(OR(E234="",AL234=""),"",IF(COUNT(AG234:AK234)=0,"",AL234-LOOKUP(2,1/(AG234:AK234&lt;&gt;""),AG234:AK234)))</t>
        </is>
      </c>
      <c r="AZ234" s="38" t="inlineStr">
        <is>
          <t>IF(OR(E234="",AM234=""),"",IF(COUNT(AG234:AL234)=0,"",AM234-LOOKUP(2,1/(AG234:AL234&lt;&gt;""),AG234:AL234)))</t>
        </is>
      </c>
      <c r="BA234" s="38" t="inlineStr">
        <is>
          <t>IF(OR(E234="",AN234=""),"",IF(COUNT(AG234:AM234)=0,"",AN234-LOOKUP(2,1/(AG234:AM234&lt;&gt;""),AG234:AM234)))</t>
        </is>
      </c>
      <c r="BB234" s="38" t="inlineStr">
        <is>
          <t>IF(OR(E234="",AO234=""),"",IF(COUNT(AG234:AN234)=0,"",AO234-LOOKUP(2,1/(AG234:AN234&lt;&gt;""),AG234:AN234)))</t>
        </is>
      </c>
      <c r="BC234" s="38" t="inlineStr">
        <is>
          <t>IF(OR(E234="",AP234=""),"",IF(COUNT(AG234:AO234)=0,"",AP234-LOOKUP(2,1/(AG234:AO234&lt;&gt;""),AG234:AO234)))</t>
        </is>
      </c>
      <c r="BD234" s="38" t="inlineStr">
        <is>
          <t>IF(OR(E234="",AQ234=""),"",IF(COUNT(AG234:AP234)=0,"",AQ234-LOOKUP(2,1/(AG234:AP234&lt;&gt;""),AG234:AP234)))</t>
        </is>
      </c>
      <c r="BE234" s="38" t="inlineStr">
        <is>
          <t>IF(OR(E234="",AR234=""),"",IF(COUNT(AG234:AQ234)=0,"",AR234-LOOKUP(2,1/(AG234:AQ234&lt;&gt;""),AG234:AQ234)))</t>
        </is>
      </c>
      <c r="BF234" s="38" t="inlineStr">
        <is>
          <t>IF(OR(E234="",AS234=""),"",IF(COUNT(AG234:AR234)=0,"",AS234-LOOKUP(2,1/(AG234:AR234&lt;&gt;""),AG234:AR234)))</t>
        </is>
      </c>
      <c r="BG234" s="38" t="inlineStr">
        <is>
          <t>IF(OR(E234="",AT234=""),"",IF(COUNT(AG234:AS234)=0,"",AT234-LOOKUP(2,1/(AG234:AS234&lt;&gt;""),AG234:AS234)))</t>
        </is>
      </c>
      <c r="BH234" s="41" t="inlineStr">
        <is>
          <t>IF(G234="","All_Provinces",IFERROR(VLOOKUP(G234,'07_Lookups'!$A$4:$B$20,2,FALSE),"All_Provinces"))</t>
        </is>
      </c>
      <c r="BI234" s="41" t="inlineStr">
        <is>
          <t>IF(H234="","All_Districts",IFERROR(VLOOKUP(H234,'07_Lookups'!$E$4:$F$42,2,FALSE),"All_Districts"))</t>
        </is>
      </c>
    </row>
    <row r="235" ht="18" customHeight="1">
      <c r="A235" s="32" t="inlineStr">
        <is>
          <t>IF(E235="","",ROW()-3)</t>
        </is>
      </c>
      <c r="B235" s="42" t="inlineStr">
        <is>
          <t>AF2-DIS-R-072</t>
        </is>
      </c>
      <c r="C235" s="42" t="inlineStr">
        <is>
          <t>Emergency Food Security Project (EFSP) – WBK/AF-2</t>
        </is>
      </c>
      <c r="D235"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5" s="42" t="inlineStr">
        <is>
          <t>Rud Kali Drip irrigation schemes</t>
        </is>
      </c>
      <c r="F235" s="42" t="inlineStr">
        <is>
          <t>Drip Irrigation</t>
        </is>
      </c>
      <c r="G235" s="42" t="inlineStr">
        <is>
          <t>South / Kandahar</t>
        </is>
      </c>
      <c r="H235" s="42" t="inlineStr">
        <is>
          <t>Zabul</t>
        </is>
      </c>
      <c r="I235" s="42" t="inlineStr">
        <is>
          <t>Tarnak- Jaldak</t>
        </is>
      </c>
      <c r="J235" s="42" t="inlineStr">
        <is>
          <t>Rud Kali</t>
        </is>
      </c>
      <c r="K235" s="42" t="inlineStr">
        <is>
          <t>World Bank (WBK/AF-2)</t>
        </is>
      </c>
      <c r="L235" s="42" t="inlineStr">
        <is>
          <t>Remaining</t>
        </is>
      </c>
      <c r="M235" s="42" t="inlineStr">
        <is>
          <t>Drip irrigation</t>
        </is>
      </c>
      <c r="N235" s="42" t="inlineStr">
        <is>
          <t>5. Drip Irrigation systems</t>
        </is>
      </c>
      <c r="O235" s="42" t="inlineStr"/>
      <c r="P235" s="42" t="inlineStr"/>
      <c r="Q235" s="43" t="n">
        <v>8500</v>
      </c>
      <c r="R235" s="35" t="inlineStr">
        <is>
          <t>IF(AO235="","",AO235)</t>
        </is>
      </c>
      <c r="S235" s="44" t="n">
        <v>46412</v>
      </c>
      <c r="T235" s="45" t="n">
        <v>4.9</v>
      </c>
      <c r="U235" s="44" t="n">
        <v>46562</v>
      </c>
      <c r="V235" s="35" t="inlineStr">
        <is>
          <t>IF(U235&lt;&gt;"",U235,IF(OR(R235="",T235=""),"",EDATE(R235,T235)))</t>
        </is>
      </c>
      <c r="W235" s="44" t="n"/>
      <c r="X235" s="45" t="n"/>
      <c r="Y235" s="42" t="inlineStr">
        <is>
          <t>Under Review of WRI</t>
        </is>
      </c>
      <c r="Z235" s="42" t="inlineStr">
        <is>
          <t>Five months for the construction.</t>
        </is>
      </c>
      <c r="AA235" s="32" t="inlineStr">
        <is>
          <t>IF(E235="","",IF(COUNT(AG235:AT235)=0,IF(Y235="","Not started",Y235),SUBSTITUTE(LOOKUP(2,1/(AG235:AT235&lt;&gt;""),$AG$3:$AT$3),"Date: ","")))</t>
        </is>
      </c>
      <c r="AB235" s="38" t="inlineStr">
        <is>
          <t>IF(OR(E235="",COUNT(AG235:AT235)=0),"",TODAY()-LOOKUP(2,1/(AG235:AT235&lt;&gt;""),AG235:AT235))</t>
        </is>
      </c>
      <c r="AC235" s="38" t="inlineStr">
        <is>
          <t>IF(OR(E235="",COUNT(AG235:AT235)&lt;2),"",LOOKUP(2,1/(AG235:AT235&lt;&gt;""),AG235:AT235)-MIN(AG235:AT235))</t>
        </is>
      </c>
      <c r="AD235" s="38" t="inlineStr">
        <is>
          <t>IF(OR(AB235="",AA235="Not started",AA235=""),"",IFERROR(AB235-IF(VLOOKUP(AA235,'04_Status_Pipeline'!$B$3:$E$20,4,FALSE)="",0,VLOOKUP(AA235,'04_Status_Pipeline'!$B$3:$E$20,4,FALSE)),""))</t>
        </is>
      </c>
      <c r="AE235" s="32" t="inlineStr">
        <is>
          <t>IF(E235="","",IF(OR(Y235="Cancelled",AA235="Cancelled"),"Cancelled",IF(OR(AA235="Completed / Handover",W235&lt;&gt;"",X235&gt;=100),"Completed — on track",IF(L235="Remaining",IF(S235="",IF(V235="","No planned date",IF(TODAY()&gt;V235,"Behind — past planned date",IF(V235-TODAY()&lt;=30,"At risk — close to off track","On track"))),IF(TODAY()&gt;S235,"Behind — award date passed",IF(S235-TODAY()&lt;=30,"At risk — close to off track","On track"))),IF(V235="","No planned date",IF(AND(TODAY()&gt;V235,OR(X235="",X235&lt;100)),"Behind — past end date",IF(AND(R235&lt;&gt;"",V235&lt;&gt;"",X235&lt;&gt;"",(X235&lt;100),((TODAY()-R235)/MAX(V235-R235,1)*100)-X235&gt;15),"Behind — progress lag",IF(AND(V235-TODAY()&lt;=30,V235-TODAY()&gt;=0,OR(X235="",X235&lt;90)),"At risk — close to off track","On track"))))))))</t>
        </is>
      </c>
      <c r="AF235" s="38" t="inlineStr">
        <is>
          <t>IF(OR(E235="",AA235="Completed / Handover",AA235="Cancelled"),"",IF(L235="Remaining",IF(S235&lt;&gt;"",S235-TODAY(),IF(V235="","",V235-TODAY())),IF(V235="","",V235-TODAY())))</t>
        </is>
      </c>
      <c r="AG235" s="44" t="n"/>
      <c r="AH235" s="44" t="n"/>
      <c r="AI235" s="44" t="n"/>
      <c r="AJ235" s="44" t="n"/>
      <c r="AK235" s="44" t="n"/>
      <c r="AL235" s="44" t="n"/>
      <c r="AM235" s="44" t="n"/>
      <c r="AN235" s="44" t="n"/>
      <c r="AO235" s="44" t="n"/>
      <c r="AP235" s="44" t="n"/>
      <c r="AQ235" s="44" t="n"/>
      <c r="AR235" s="40" t="n"/>
      <c r="AS235" s="40" t="n"/>
      <c r="AT235" s="40" t="n"/>
      <c r="AU235" s="38" t="inlineStr">
        <is>
          <t>IF(OR(E235="",AH235=""),"",IF(COUNT(AG235:AG235)=0,"",AH235-LOOKUP(2,1/(AG235:AG235&lt;&gt;""),AG235:AG235)))</t>
        </is>
      </c>
      <c r="AV235" s="38" t="inlineStr">
        <is>
          <t>IF(OR(E235="",AI235=""),"",IF(COUNT(AG235:AH235)=0,"",AI235-LOOKUP(2,1/(AG235:AH235&lt;&gt;""),AG235:AH235)))</t>
        </is>
      </c>
      <c r="AW235" s="38" t="inlineStr">
        <is>
          <t>IF(OR(E235="",AJ235=""),"",IF(COUNT(AG235:AI235)=0,"",AJ235-LOOKUP(2,1/(AG235:AI235&lt;&gt;""),AG235:AI235)))</t>
        </is>
      </c>
      <c r="AX235" s="38" t="inlineStr">
        <is>
          <t>IF(OR(E235="",AK235=""),"",IF(COUNT(AG235:AJ235)=0,"",AK235-LOOKUP(2,1/(AG235:AJ235&lt;&gt;""),AG235:AJ235)))</t>
        </is>
      </c>
      <c r="AY235" s="38" t="inlineStr">
        <is>
          <t>IF(OR(E235="",AL235=""),"",IF(COUNT(AG235:AK235)=0,"",AL235-LOOKUP(2,1/(AG235:AK235&lt;&gt;""),AG235:AK235)))</t>
        </is>
      </c>
      <c r="AZ235" s="38" t="inlineStr">
        <is>
          <t>IF(OR(E235="",AM235=""),"",IF(COUNT(AG235:AL235)=0,"",AM235-LOOKUP(2,1/(AG235:AL235&lt;&gt;""),AG235:AL235)))</t>
        </is>
      </c>
      <c r="BA235" s="38" t="inlineStr">
        <is>
          <t>IF(OR(E235="",AN235=""),"",IF(COUNT(AG235:AM235)=0,"",AN235-LOOKUP(2,1/(AG235:AM235&lt;&gt;""),AG235:AM235)))</t>
        </is>
      </c>
      <c r="BB235" s="38" t="inlineStr">
        <is>
          <t>IF(OR(E235="",AO235=""),"",IF(COUNT(AG235:AN235)=0,"",AO235-LOOKUP(2,1/(AG235:AN235&lt;&gt;""),AG235:AN235)))</t>
        </is>
      </c>
      <c r="BC235" s="38" t="inlineStr">
        <is>
          <t>IF(OR(E235="",AP235=""),"",IF(COUNT(AG235:AO235)=0,"",AP235-LOOKUP(2,1/(AG235:AO235&lt;&gt;""),AG235:AO235)))</t>
        </is>
      </c>
      <c r="BD235" s="38" t="inlineStr">
        <is>
          <t>IF(OR(E235="",AQ235=""),"",IF(COUNT(AG235:AP235)=0,"",AQ235-LOOKUP(2,1/(AG235:AP235&lt;&gt;""),AG235:AP235)))</t>
        </is>
      </c>
      <c r="BE235" s="38" t="inlineStr">
        <is>
          <t>IF(OR(E235="",AR235=""),"",IF(COUNT(AG235:AQ235)=0,"",AR235-LOOKUP(2,1/(AG235:AQ235&lt;&gt;""),AG235:AQ235)))</t>
        </is>
      </c>
      <c r="BF235" s="38" t="inlineStr">
        <is>
          <t>IF(OR(E235="",AS235=""),"",IF(COUNT(AG235:AR235)=0,"",AS235-LOOKUP(2,1/(AG235:AR235&lt;&gt;""),AG235:AR235)))</t>
        </is>
      </c>
      <c r="BG235" s="38" t="inlineStr">
        <is>
          <t>IF(OR(E235="",AT235=""),"",IF(COUNT(AG235:AS235)=0,"",AT235-LOOKUP(2,1/(AG235:AS235&lt;&gt;""),AG235:AS235)))</t>
        </is>
      </c>
      <c r="BH235" s="41" t="inlineStr">
        <is>
          <t>IF(G235="","All_Provinces",IFERROR(VLOOKUP(G235,'07_Lookups'!$A$4:$B$20,2,FALSE),"All_Provinces"))</t>
        </is>
      </c>
      <c r="BI235" s="41" t="inlineStr">
        <is>
          <t>IF(H235="","All_Districts",IFERROR(VLOOKUP(H235,'07_Lookups'!$E$4:$F$42,2,FALSE),"All_Districts"))</t>
        </is>
      </c>
    </row>
    <row r="236" ht="18" customHeight="1">
      <c r="A236" s="32" t="inlineStr">
        <is>
          <t>IF(E236="","",ROW()-3)</t>
        </is>
      </c>
      <c r="B236" s="33" t="inlineStr">
        <is>
          <t>AF2-DIS-R-073</t>
        </is>
      </c>
      <c r="C236" s="33" t="inlineStr">
        <is>
          <t>Emergency Food Security Project (EFSP) – WBK/AF-2</t>
        </is>
      </c>
      <c r="D236"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6" s="33" t="inlineStr">
        <is>
          <t>Omarzai Drip irrigation schemes</t>
        </is>
      </c>
      <c r="F236" s="33" t="inlineStr">
        <is>
          <t>Drip Irrigation</t>
        </is>
      </c>
      <c r="G236" s="33" t="inlineStr">
        <is>
          <t>South / Kandahar</t>
        </is>
      </c>
      <c r="H236" s="33" t="inlineStr">
        <is>
          <t>Zabul</t>
        </is>
      </c>
      <c r="I236" s="33" t="inlineStr">
        <is>
          <t>Seyure</t>
        </is>
      </c>
      <c r="J236" s="33" t="inlineStr">
        <is>
          <t>Omerzai</t>
        </is>
      </c>
      <c r="K236" s="33" t="inlineStr">
        <is>
          <t>World Bank (WBK/AF-2)</t>
        </is>
      </c>
      <c r="L236" s="33" t="inlineStr">
        <is>
          <t>Remaining</t>
        </is>
      </c>
      <c r="M236" s="33" t="inlineStr">
        <is>
          <t>Drip irrigation</t>
        </is>
      </c>
      <c r="N236" s="33" t="inlineStr">
        <is>
          <t>5. Drip Irrigation systems</t>
        </is>
      </c>
      <c r="O236" s="33" t="inlineStr"/>
      <c r="P236" s="33" t="inlineStr"/>
      <c r="Q236" s="34" t="n">
        <v>4250</v>
      </c>
      <c r="R236" s="35" t="inlineStr">
        <is>
          <t>IF(AO236="","",AO236)</t>
        </is>
      </c>
      <c r="S236" s="36" t="n">
        <v>46412</v>
      </c>
      <c r="T236" s="37" t="n">
        <v>4.9</v>
      </c>
      <c r="U236" s="36" t="n">
        <v>46562</v>
      </c>
      <c r="V236" s="35" t="inlineStr">
        <is>
          <t>IF(U236&lt;&gt;"",U236,IF(OR(R236="",T236=""),"",EDATE(R236,T236)))</t>
        </is>
      </c>
      <c r="W236" s="36" t="n"/>
      <c r="X236" s="37" t="n"/>
      <c r="Y236" s="33" t="inlineStr">
        <is>
          <t>Under Review of WRI</t>
        </is>
      </c>
      <c r="Z236" s="33" t="inlineStr">
        <is>
          <t>Five months for the construction.</t>
        </is>
      </c>
      <c r="AA236" s="32" t="inlineStr">
        <is>
          <t>IF(E236="","",IF(COUNT(AG236:AT236)=0,IF(Y236="","Not started",Y236),SUBSTITUTE(LOOKUP(2,1/(AG236:AT236&lt;&gt;""),$AG$3:$AT$3),"Date: ","")))</t>
        </is>
      </c>
      <c r="AB236" s="38" t="inlineStr">
        <is>
          <t>IF(OR(E236="",COUNT(AG236:AT236)=0),"",TODAY()-LOOKUP(2,1/(AG236:AT236&lt;&gt;""),AG236:AT236))</t>
        </is>
      </c>
      <c r="AC236" s="38" t="inlineStr">
        <is>
          <t>IF(OR(E236="",COUNT(AG236:AT236)&lt;2),"",LOOKUP(2,1/(AG236:AT236&lt;&gt;""),AG236:AT236)-MIN(AG236:AT236))</t>
        </is>
      </c>
      <c r="AD236" s="38" t="inlineStr">
        <is>
          <t>IF(OR(AB236="",AA236="Not started",AA236=""),"",IFERROR(AB236-IF(VLOOKUP(AA236,'04_Status_Pipeline'!$B$3:$E$20,4,FALSE)="",0,VLOOKUP(AA236,'04_Status_Pipeline'!$B$3:$E$20,4,FALSE)),""))</t>
        </is>
      </c>
      <c r="AE236" s="32" t="inlineStr">
        <is>
          <t>IF(E236="","",IF(OR(Y236="Cancelled",AA236="Cancelled"),"Cancelled",IF(OR(AA236="Completed / Handover",W236&lt;&gt;"",X236&gt;=100),"Completed — on track",IF(L236="Remaining",IF(S236="",IF(V236="","No planned date",IF(TODAY()&gt;V236,"Behind — past planned date",IF(V236-TODAY()&lt;=30,"At risk — close to off track","On track"))),IF(TODAY()&gt;S236,"Behind — award date passed",IF(S236-TODAY()&lt;=30,"At risk — close to off track","On track"))),IF(V236="","No planned date",IF(AND(TODAY()&gt;V236,OR(X236="",X236&lt;100)),"Behind — past end date",IF(AND(R236&lt;&gt;"",V236&lt;&gt;"",X236&lt;&gt;"",(X236&lt;100),((TODAY()-R236)/MAX(V236-R236,1)*100)-X236&gt;15),"Behind — progress lag",IF(AND(V236-TODAY()&lt;=30,V236-TODAY()&gt;=0,OR(X236="",X236&lt;90)),"At risk — close to off track","On track"))))))))</t>
        </is>
      </c>
      <c r="AF236" s="38" t="inlineStr">
        <is>
          <t>IF(OR(E236="",AA236="Completed / Handover",AA236="Cancelled"),"",IF(L236="Remaining",IF(S236&lt;&gt;"",S236-TODAY(),IF(V236="","",V236-TODAY())),IF(V236="","",V236-TODAY())))</t>
        </is>
      </c>
      <c r="AG236" s="36" t="n"/>
      <c r="AH236" s="36" t="n"/>
      <c r="AI236" s="36" t="n"/>
      <c r="AJ236" s="36" t="n"/>
      <c r="AK236" s="36" t="n"/>
      <c r="AL236" s="36" t="n"/>
      <c r="AM236" s="36" t="n"/>
      <c r="AN236" s="36" t="n"/>
      <c r="AO236" s="36" t="n"/>
      <c r="AP236" s="36" t="n"/>
      <c r="AQ236" s="36" t="n"/>
      <c r="AR236" s="40" t="n"/>
      <c r="AS236" s="40" t="n"/>
      <c r="AT236" s="40" t="n"/>
      <c r="AU236" s="38" t="inlineStr">
        <is>
          <t>IF(OR(E236="",AH236=""),"",IF(COUNT(AG236:AG236)=0,"",AH236-LOOKUP(2,1/(AG236:AG236&lt;&gt;""),AG236:AG236)))</t>
        </is>
      </c>
      <c r="AV236" s="38" t="inlineStr">
        <is>
          <t>IF(OR(E236="",AI236=""),"",IF(COUNT(AG236:AH236)=0,"",AI236-LOOKUP(2,1/(AG236:AH236&lt;&gt;""),AG236:AH236)))</t>
        </is>
      </c>
      <c r="AW236" s="38" t="inlineStr">
        <is>
          <t>IF(OR(E236="",AJ236=""),"",IF(COUNT(AG236:AI236)=0,"",AJ236-LOOKUP(2,1/(AG236:AI236&lt;&gt;""),AG236:AI236)))</t>
        </is>
      </c>
      <c r="AX236" s="38" t="inlineStr">
        <is>
          <t>IF(OR(E236="",AK236=""),"",IF(COUNT(AG236:AJ236)=0,"",AK236-LOOKUP(2,1/(AG236:AJ236&lt;&gt;""),AG236:AJ236)))</t>
        </is>
      </c>
      <c r="AY236" s="38" t="inlineStr">
        <is>
          <t>IF(OR(E236="",AL236=""),"",IF(COUNT(AG236:AK236)=0,"",AL236-LOOKUP(2,1/(AG236:AK236&lt;&gt;""),AG236:AK236)))</t>
        </is>
      </c>
      <c r="AZ236" s="38" t="inlineStr">
        <is>
          <t>IF(OR(E236="",AM236=""),"",IF(COUNT(AG236:AL236)=0,"",AM236-LOOKUP(2,1/(AG236:AL236&lt;&gt;""),AG236:AL236)))</t>
        </is>
      </c>
      <c r="BA236" s="38" t="inlineStr">
        <is>
          <t>IF(OR(E236="",AN236=""),"",IF(COUNT(AG236:AM236)=0,"",AN236-LOOKUP(2,1/(AG236:AM236&lt;&gt;""),AG236:AM236)))</t>
        </is>
      </c>
      <c r="BB236" s="38" t="inlineStr">
        <is>
          <t>IF(OR(E236="",AO236=""),"",IF(COUNT(AG236:AN236)=0,"",AO236-LOOKUP(2,1/(AG236:AN236&lt;&gt;""),AG236:AN236)))</t>
        </is>
      </c>
      <c r="BC236" s="38" t="inlineStr">
        <is>
          <t>IF(OR(E236="",AP236=""),"",IF(COUNT(AG236:AO236)=0,"",AP236-LOOKUP(2,1/(AG236:AO236&lt;&gt;""),AG236:AO236)))</t>
        </is>
      </c>
      <c r="BD236" s="38" t="inlineStr">
        <is>
          <t>IF(OR(E236="",AQ236=""),"",IF(COUNT(AG236:AP236)=0,"",AQ236-LOOKUP(2,1/(AG236:AP236&lt;&gt;""),AG236:AP236)))</t>
        </is>
      </c>
      <c r="BE236" s="38" t="inlineStr">
        <is>
          <t>IF(OR(E236="",AR236=""),"",IF(COUNT(AG236:AQ236)=0,"",AR236-LOOKUP(2,1/(AG236:AQ236&lt;&gt;""),AG236:AQ236)))</t>
        </is>
      </c>
      <c r="BF236" s="38" t="inlineStr">
        <is>
          <t>IF(OR(E236="",AS236=""),"",IF(COUNT(AG236:AR236)=0,"",AS236-LOOKUP(2,1/(AG236:AR236&lt;&gt;""),AG236:AR236)))</t>
        </is>
      </c>
      <c r="BG236" s="38" t="inlineStr">
        <is>
          <t>IF(OR(E236="",AT236=""),"",IF(COUNT(AG236:AS236)=0,"",AT236-LOOKUP(2,1/(AG236:AS236&lt;&gt;""),AG236:AS236)))</t>
        </is>
      </c>
      <c r="BH236" s="41" t="inlineStr">
        <is>
          <t>IF(G236="","All_Provinces",IFERROR(VLOOKUP(G236,'07_Lookups'!$A$4:$B$20,2,FALSE),"All_Provinces"))</t>
        </is>
      </c>
      <c r="BI236" s="41" t="inlineStr">
        <is>
          <t>IF(H236="","All_Districts",IFERROR(VLOOKUP(H236,'07_Lookups'!$E$4:$F$42,2,FALSE),"All_Districts"))</t>
        </is>
      </c>
    </row>
    <row r="237" ht="18" customHeight="1">
      <c r="A237" s="32" t="inlineStr">
        <is>
          <t>IF(E237="","",ROW()-3)</t>
        </is>
      </c>
      <c r="B237" s="42" t="inlineStr">
        <is>
          <t>AF2-DIS-R-074</t>
        </is>
      </c>
      <c r="C237" s="42" t="inlineStr">
        <is>
          <t>Emergency Food Security Project (EFSP) – WBK/AF-2</t>
        </is>
      </c>
      <c r="D237"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7" s="42" t="inlineStr">
        <is>
          <t>Bahu Kalai Drip irrigation schemes</t>
        </is>
      </c>
      <c r="F237" s="42" t="inlineStr">
        <is>
          <t>Drip Irrigation</t>
        </is>
      </c>
      <c r="G237" s="42" t="inlineStr">
        <is>
          <t>South / Kandahar</t>
        </is>
      </c>
      <c r="H237" s="42" t="inlineStr">
        <is>
          <t>Zabul</t>
        </is>
      </c>
      <c r="I237" s="42" t="inlineStr">
        <is>
          <t>Seyure</t>
        </is>
      </c>
      <c r="J237" s="42" t="inlineStr">
        <is>
          <t>Bahu Kali</t>
        </is>
      </c>
      <c r="K237" s="42" t="inlineStr">
        <is>
          <t>World Bank (WBK/AF-2)</t>
        </is>
      </c>
      <c r="L237" s="42" t="inlineStr">
        <is>
          <t>Remaining</t>
        </is>
      </c>
      <c r="M237" s="42" t="inlineStr">
        <is>
          <t>Drip irrigation</t>
        </is>
      </c>
      <c r="N237" s="42" t="inlineStr">
        <is>
          <t>5. Drip Irrigation systems</t>
        </is>
      </c>
      <c r="O237" s="42" t="inlineStr"/>
      <c r="P237" s="42" t="inlineStr"/>
      <c r="Q237" s="43" t="n">
        <v>8500</v>
      </c>
      <c r="R237" s="35" t="inlineStr">
        <is>
          <t>IF(AO237="","",AO237)</t>
        </is>
      </c>
      <c r="S237" s="44" t="n">
        <v>46412</v>
      </c>
      <c r="T237" s="45" t="n">
        <v>4.9</v>
      </c>
      <c r="U237" s="44" t="n">
        <v>46562</v>
      </c>
      <c r="V237" s="35" t="inlineStr">
        <is>
          <t>IF(U237&lt;&gt;"",U237,IF(OR(R237="",T237=""),"",EDATE(R237,T237)))</t>
        </is>
      </c>
      <c r="W237" s="44" t="n"/>
      <c r="X237" s="45" t="n"/>
      <c r="Y237" s="42" t="inlineStr">
        <is>
          <t>Under Review of WRI</t>
        </is>
      </c>
      <c r="Z237" s="42" t="inlineStr">
        <is>
          <t>Five months for the construction.</t>
        </is>
      </c>
      <c r="AA237" s="32" t="inlineStr">
        <is>
          <t>IF(E237="","",IF(COUNT(AG237:AT237)=0,IF(Y237="","Not started",Y237),SUBSTITUTE(LOOKUP(2,1/(AG237:AT237&lt;&gt;""),$AG$3:$AT$3),"Date: ","")))</t>
        </is>
      </c>
      <c r="AB237" s="38" t="inlineStr">
        <is>
          <t>IF(OR(E237="",COUNT(AG237:AT237)=0),"",TODAY()-LOOKUP(2,1/(AG237:AT237&lt;&gt;""),AG237:AT237))</t>
        </is>
      </c>
      <c r="AC237" s="38" t="inlineStr">
        <is>
          <t>IF(OR(E237="",COUNT(AG237:AT237)&lt;2),"",LOOKUP(2,1/(AG237:AT237&lt;&gt;""),AG237:AT237)-MIN(AG237:AT237))</t>
        </is>
      </c>
      <c r="AD237" s="38" t="inlineStr">
        <is>
          <t>IF(OR(AB237="",AA237="Not started",AA237=""),"",IFERROR(AB237-IF(VLOOKUP(AA237,'04_Status_Pipeline'!$B$3:$E$20,4,FALSE)="",0,VLOOKUP(AA237,'04_Status_Pipeline'!$B$3:$E$20,4,FALSE)),""))</t>
        </is>
      </c>
      <c r="AE237" s="32" t="inlineStr">
        <is>
          <t>IF(E237="","",IF(OR(Y237="Cancelled",AA237="Cancelled"),"Cancelled",IF(OR(AA237="Completed / Handover",W237&lt;&gt;"",X237&gt;=100),"Completed — on track",IF(L237="Remaining",IF(S237="",IF(V237="","No planned date",IF(TODAY()&gt;V237,"Behind — past planned date",IF(V237-TODAY()&lt;=30,"At risk — close to off track","On track"))),IF(TODAY()&gt;S237,"Behind — award date passed",IF(S237-TODAY()&lt;=30,"At risk — close to off track","On track"))),IF(V237="","No planned date",IF(AND(TODAY()&gt;V237,OR(X237="",X237&lt;100)),"Behind — past end date",IF(AND(R237&lt;&gt;"",V237&lt;&gt;"",X237&lt;&gt;"",(X237&lt;100),((TODAY()-R237)/MAX(V237-R237,1)*100)-X237&gt;15),"Behind — progress lag",IF(AND(V237-TODAY()&lt;=30,V237-TODAY()&gt;=0,OR(X237="",X237&lt;90)),"At risk — close to off track","On track"))))))))</t>
        </is>
      </c>
      <c r="AF237" s="38" t="inlineStr">
        <is>
          <t>IF(OR(E237="",AA237="Completed / Handover",AA237="Cancelled"),"",IF(L237="Remaining",IF(S237&lt;&gt;"",S237-TODAY(),IF(V237="","",V237-TODAY())),IF(V237="","",V237-TODAY())))</t>
        </is>
      </c>
      <c r="AG237" s="44" t="n"/>
      <c r="AH237" s="44" t="n"/>
      <c r="AI237" s="44" t="n"/>
      <c r="AJ237" s="44" t="n"/>
      <c r="AK237" s="44" t="n"/>
      <c r="AL237" s="44" t="n"/>
      <c r="AM237" s="44" t="n"/>
      <c r="AN237" s="44" t="n"/>
      <c r="AO237" s="44" t="n"/>
      <c r="AP237" s="44" t="n"/>
      <c r="AQ237" s="44" t="n"/>
      <c r="AR237" s="40" t="n"/>
      <c r="AS237" s="40" t="n"/>
      <c r="AT237" s="40" t="n"/>
      <c r="AU237" s="38" t="inlineStr">
        <is>
          <t>IF(OR(E237="",AH237=""),"",IF(COUNT(AG237:AG237)=0,"",AH237-LOOKUP(2,1/(AG237:AG237&lt;&gt;""),AG237:AG237)))</t>
        </is>
      </c>
      <c r="AV237" s="38" t="inlineStr">
        <is>
          <t>IF(OR(E237="",AI237=""),"",IF(COUNT(AG237:AH237)=0,"",AI237-LOOKUP(2,1/(AG237:AH237&lt;&gt;""),AG237:AH237)))</t>
        </is>
      </c>
      <c r="AW237" s="38" t="inlineStr">
        <is>
          <t>IF(OR(E237="",AJ237=""),"",IF(COUNT(AG237:AI237)=0,"",AJ237-LOOKUP(2,1/(AG237:AI237&lt;&gt;""),AG237:AI237)))</t>
        </is>
      </c>
      <c r="AX237" s="38" t="inlineStr">
        <is>
          <t>IF(OR(E237="",AK237=""),"",IF(COUNT(AG237:AJ237)=0,"",AK237-LOOKUP(2,1/(AG237:AJ237&lt;&gt;""),AG237:AJ237)))</t>
        </is>
      </c>
      <c r="AY237" s="38" t="inlineStr">
        <is>
          <t>IF(OR(E237="",AL237=""),"",IF(COUNT(AG237:AK237)=0,"",AL237-LOOKUP(2,1/(AG237:AK237&lt;&gt;""),AG237:AK237)))</t>
        </is>
      </c>
      <c r="AZ237" s="38" t="inlineStr">
        <is>
          <t>IF(OR(E237="",AM237=""),"",IF(COUNT(AG237:AL237)=0,"",AM237-LOOKUP(2,1/(AG237:AL237&lt;&gt;""),AG237:AL237)))</t>
        </is>
      </c>
      <c r="BA237" s="38" t="inlineStr">
        <is>
          <t>IF(OR(E237="",AN237=""),"",IF(COUNT(AG237:AM237)=0,"",AN237-LOOKUP(2,1/(AG237:AM237&lt;&gt;""),AG237:AM237)))</t>
        </is>
      </c>
      <c r="BB237" s="38" t="inlineStr">
        <is>
          <t>IF(OR(E237="",AO237=""),"",IF(COUNT(AG237:AN237)=0,"",AO237-LOOKUP(2,1/(AG237:AN237&lt;&gt;""),AG237:AN237)))</t>
        </is>
      </c>
      <c r="BC237" s="38" t="inlineStr">
        <is>
          <t>IF(OR(E237="",AP237=""),"",IF(COUNT(AG237:AO237)=0,"",AP237-LOOKUP(2,1/(AG237:AO237&lt;&gt;""),AG237:AO237)))</t>
        </is>
      </c>
      <c r="BD237" s="38" t="inlineStr">
        <is>
          <t>IF(OR(E237="",AQ237=""),"",IF(COUNT(AG237:AP237)=0,"",AQ237-LOOKUP(2,1/(AG237:AP237&lt;&gt;""),AG237:AP237)))</t>
        </is>
      </c>
      <c r="BE237" s="38" t="inlineStr">
        <is>
          <t>IF(OR(E237="",AR237=""),"",IF(COUNT(AG237:AQ237)=0,"",AR237-LOOKUP(2,1/(AG237:AQ237&lt;&gt;""),AG237:AQ237)))</t>
        </is>
      </c>
      <c r="BF237" s="38" t="inlineStr">
        <is>
          <t>IF(OR(E237="",AS237=""),"",IF(COUNT(AG237:AR237)=0,"",AS237-LOOKUP(2,1/(AG237:AR237&lt;&gt;""),AG237:AR237)))</t>
        </is>
      </c>
      <c r="BG237" s="38" t="inlineStr">
        <is>
          <t>IF(OR(E237="",AT237=""),"",IF(COUNT(AG237:AS237)=0,"",AT237-LOOKUP(2,1/(AG237:AS237&lt;&gt;""),AG237:AS237)))</t>
        </is>
      </c>
      <c r="BH237" s="41" t="inlineStr">
        <is>
          <t>IF(G237="","All_Provinces",IFERROR(VLOOKUP(G237,'07_Lookups'!$A$4:$B$20,2,FALSE),"All_Provinces"))</t>
        </is>
      </c>
      <c r="BI237" s="41" t="inlineStr">
        <is>
          <t>IF(H237="","All_Districts",IFERROR(VLOOKUP(H237,'07_Lookups'!$E$4:$F$42,2,FALSE),"All_Districts"))</t>
        </is>
      </c>
    </row>
    <row r="238" ht="18" customHeight="1">
      <c r="A238" s="32" t="inlineStr">
        <is>
          <t>IF(E238="","",ROW()-3)</t>
        </is>
      </c>
      <c r="B238" s="33" t="inlineStr">
        <is>
          <t>AF2-DIS-R-075</t>
        </is>
      </c>
      <c r="C238" s="33" t="inlineStr">
        <is>
          <t>Emergency Food Security Project (EFSP) – WBK/AF-2</t>
        </is>
      </c>
      <c r="D238"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8" s="33" t="inlineStr">
        <is>
          <t>Kona Kala Drip irrigation schemes</t>
        </is>
      </c>
      <c r="F238" s="33" t="inlineStr">
        <is>
          <t>Drip Irrigation</t>
        </is>
      </c>
      <c r="G238" s="33" t="inlineStr">
        <is>
          <t>South / Kandahar</t>
        </is>
      </c>
      <c r="H238" s="33" t="inlineStr">
        <is>
          <t>Urozgan</t>
        </is>
      </c>
      <c r="I238" s="33" t="inlineStr">
        <is>
          <t>Terinkot</t>
        </is>
      </c>
      <c r="J238" s="33" t="inlineStr">
        <is>
          <t>Kona Kala</t>
        </is>
      </c>
      <c r="K238" s="33" t="inlineStr">
        <is>
          <t>World Bank (WBK/AF-2)</t>
        </is>
      </c>
      <c r="L238" s="33" t="inlineStr">
        <is>
          <t>Remaining</t>
        </is>
      </c>
      <c r="M238" s="33" t="inlineStr">
        <is>
          <t>Drip irrigation</t>
        </is>
      </c>
      <c r="N238" s="33" t="inlineStr">
        <is>
          <t>5. Drip Irrigation systems</t>
        </is>
      </c>
      <c r="O238" s="33" t="inlineStr"/>
      <c r="P238" s="33" t="inlineStr"/>
      <c r="Q238" s="34" t="n">
        <v>4250</v>
      </c>
      <c r="R238" s="35" t="inlineStr">
        <is>
          <t>IF(AO238="","",AO238)</t>
        </is>
      </c>
      <c r="S238" s="36" t="n">
        <v>46412</v>
      </c>
      <c r="T238" s="37" t="n">
        <v>4.9</v>
      </c>
      <c r="U238" s="36" t="n">
        <v>46562</v>
      </c>
      <c r="V238" s="35" t="inlineStr">
        <is>
          <t>IF(U238&lt;&gt;"",U238,IF(OR(R238="",T238=""),"",EDATE(R238,T238)))</t>
        </is>
      </c>
      <c r="W238" s="36" t="n"/>
      <c r="X238" s="37" t="n"/>
      <c r="Y238" s="33" t="inlineStr">
        <is>
          <t>Under Review of WRI</t>
        </is>
      </c>
      <c r="Z238" s="33" t="inlineStr">
        <is>
          <t>Five months for the construction.</t>
        </is>
      </c>
      <c r="AA238" s="32" t="inlineStr">
        <is>
          <t>IF(E238="","",IF(COUNT(AG238:AT238)=0,IF(Y238="","Not started",Y238),SUBSTITUTE(LOOKUP(2,1/(AG238:AT238&lt;&gt;""),$AG$3:$AT$3),"Date: ","")))</t>
        </is>
      </c>
      <c r="AB238" s="38" t="inlineStr">
        <is>
          <t>IF(OR(E238="",COUNT(AG238:AT238)=0),"",TODAY()-LOOKUP(2,1/(AG238:AT238&lt;&gt;""),AG238:AT238))</t>
        </is>
      </c>
      <c r="AC238" s="38" t="inlineStr">
        <is>
          <t>IF(OR(E238="",COUNT(AG238:AT238)&lt;2),"",LOOKUP(2,1/(AG238:AT238&lt;&gt;""),AG238:AT238)-MIN(AG238:AT238))</t>
        </is>
      </c>
      <c r="AD238" s="38" t="inlineStr">
        <is>
          <t>IF(OR(AB238="",AA238="Not started",AA238=""),"",IFERROR(AB238-IF(VLOOKUP(AA238,'04_Status_Pipeline'!$B$3:$E$20,4,FALSE)="",0,VLOOKUP(AA238,'04_Status_Pipeline'!$B$3:$E$20,4,FALSE)),""))</t>
        </is>
      </c>
      <c r="AE238" s="32" t="inlineStr">
        <is>
          <t>IF(E238="","",IF(OR(Y238="Cancelled",AA238="Cancelled"),"Cancelled",IF(OR(AA238="Completed / Handover",W238&lt;&gt;"",X238&gt;=100),"Completed — on track",IF(L238="Remaining",IF(S238="",IF(V238="","No planned date",IF(TODAY()&gt;V238,"Behind — past planned date",IF(V238-TODAY()&lt;=30,"At risk — close to off track","On track"))),IF(TODAY()&gt;S238,"Behind — award date passed",IF(S238-TODAY()&lt;=30,"At risk — close to off track","On track"))),IF(V238="","No planned date",IF(AND(TODAY()&gt;V238,OR(X238="",X238&lt;100)),"Behind — past end date",IF(AND(R238&lt;&gt;"",V238&lt;&gt;"",X238&lt;&gt;"",(X238&lt;100),((TODAY()-R238)/MAX(V238-R238,1)*100)-X238&gt;15),"Behind — progress lag",IF(AND(V238-TODAY()&lt;=30,V238-TODAY()&gt;=0,OR(X238="",X238&lt;90)),"At risk — close to off track","On track"))))))))</t>
        </is>
      </c>
      <c r="AF238" s="38" t="inlineStr">
        <is>
          <t>IF(OR(E238="",AA238="Completed / Handover",AA238="Cancelled"),"",IF(L238="Remaining",IF(S238&lt;&gt;"",S238-TODAY(),IF(V238="","",V238-TODAY())),IF(V238="","",V238-TODAY())))</t>
        </is>
      </c>
      <c r="AG238" s="36" t="n"/>
      <c r="AH238" s="36" t="n"/>
      <c r="AI238" s="36" t="n"/>
      <c r="AJ238" s="36" t="n"/>
      <c r="AK238" s="36" t="n"/>
      <c r="AL238" s="36" t="n"/>
      <c r="AM238" s="36" t="n"/>
      <c r="AN238" s="36" t="n"/>
      <c r="AO238" s="36" t="n"/>
      <c r="AP238" s="36" t="n"/>
      <c r="AQ238" s="36" t="n"/>
      <c r="AR238" s="40" t="n"/>
      <c r="AS238" s="40" t="n"/>
      <c r="AT238" s="40" t="n"/>
      <c r="AU238" s="38" t="inlineStr">
        <is>
          <t>IF(OR(E238="",AH238=""),"",IF(COUNT(AG238:AG238)=0,"",AH238-LOOKUP(2,1/(AG238:AG238&lt;&gt;""),AG238:AG238)))</t>
        </is>
      </c>
      <c r="AV238" s="38" t="inlineStr">
        <is>
          <t>IF(OR(E238="",AI238=""),"",IF(COUNT(AG238:AH238)=0,"",AI238-LOOKUP(2,1/(AG238:AH238&lt;&gt;""),AG238:AH238)))</t>
        </is>
      </c>
      <c r="AW238" s="38" t="inlineStr">
        <is>
          <t>IF(OR(E238="",AJ238=""),"",IF(COUNT(AG238:AI238)=0,"",AJ238-LOOKUP(2,1/(AG238:AI238&lt;&gt;""),AG238:AI238)))</t>
        </is>
      </c>
      <c r="AX238" s="38" t="inlineStr">
        <is>
          <t>IF(OR(E238="",AK238=""),"",IF(COUNT(AG238:AJ238)=0,"",AK238-LOOKUP(2,1/(AG238:AJ238&lt;&gt;""),AG238:AJ238)))</t>
        </is>
      </c>
      <c r="AY238" s="38" t="inlineStr">
        <is>
          <t>IF(OR(E238="",AL238=""),"",IF(COUNT(AG238:AK238)=0,"",AL238-LOOKUP(2,1/(AG238:AK238&lt;&gt;""),AG238:AK238)))</t>
        </is>
      </c>
      <c r="AZ238" s="38" t="inlineStr">
        <is>
          <t>IF(OR(E238="",AM238=""),"",IF(COUNT(AG238:AL238)=0,"",AM238-LOOKUP(2,1/(AG238:AL238&lt;&gt;""),AG238:AL238)))</t>
        </is>
      </c>
      <c r="BA238" s="38" t="inlineStr">
        <is>
          <t>IF(OR(E238="",AN238=""),"",IF(COUNT(AG238:AM238)=0,"",AN238-LOOKUP(2,1/(AG238:AM238&lt;&gt;""),AG238:AM238)))</t>
        </is>
      </c>
      <c r="BB238" s="38" t="inlineStr">
        <is>
          <t>IF(OR(E238="",AO238=""),"",IF(COUNT(AG238:AN238)=0,"",AO238-LOOKUP(2,1/(AG238:AN238&lt;&gt;""),AG238:AN238)))</t>
        </is>
      </c>
      <c r="BC238" s="38" t="inlineStr">
        <is>
          <t>IF(OR(E238="",AP238=""),"",IF(COUNT(AG238:AO238)=0,"",AP238-LOOKUP(2,1/(AG238:AO238&lt;&gt;""),AG238:AO238)))</t>
        </is>
      </c>
      <c r="BD238" s="38" t="inlineStr">
        <is>
          <t>IF(OR(E238="",AQ238=""),"",IF(COUNT(AG238:AP238)=0,"",AQ238-LOOKUP(2,1/(AG238:AP238&lt;&gt;""),AG238:AP238)))</t>
        </is>
      </c>
      <c r="BE238" s="38" t="inlineStr">
        <is>
          <t>IF(OR(E238="",AR238=""),"",IF(COUNT(AG238:AQ238)=0,"",AR238-LOOKUP(2,1/(AG238:AQ238&lt;&gt;""),AG238:AQ238)))</t>
        </is>
      </c>
      <c r="BF238" s="38" t="inlineStr">
        <is>
          <t>IF(OR(E238="",AS238=""),"",IF(COUNT(AG238:AR238)=0,"",AS238-LOOKUP(2,1/(AG238:AR238&lt;&gt;""),AG238:AR238)))</t>
        </is>
      </c>
      <c r="BG238" s="38" t="inlineStr">
        <is>
          <t>IF(OR(E238="",AT238=""),"",IF(COUNT(AG238:AS238)=0,"",AT238-LOOKUP(2,1/(AG238:AS238&lt;&gt;""),AG238:AS238)))</t>
        </is>
      </c>
      <c r="BH238" s="41" t="inlineStr">
        <is>
          <t>IF(G238="","All_Provinces",IFERROR(VLOOKUP(G238,'07_Lookups'!$A$4:$B$20,2,FALSE),"All_Provinces"))</t>
        </is>
      </c>
      <c r="BI238" s="41" t="inlineStr">
        <is>
          <t>IF(H238="","All_Districts",IFERROR(VLOOKUP(H238,'07_Lookups'!$E$4:$F$42,2,FALSE),"All_Districts"))</t>
        </is>
      </c>
    </row>
    <row r="239" ht="18" customHeight="1">
      <c r="A239" s="32" t="inlineStr">
        <is>
          <t>IF(E239="","",ROW()-3)</t>
        </is>
      </c>
      <c r="B239" s="42" t="inlineStr">
        <is>
          <t>AF2-DIS-R-076</t>
        </is>
      </c>
      <c r="C239" s="42" t="inlineStr">
        <is>
          <t>Emergency Food Security Project (EFSP) – WBK/AF-2</t>
        </is>
      </c>
      <c r="D239"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9" s="42" t="inlineStr">
        <is>
          <t>Khair Abad Drip irrigation schemes</t>
        </is>
      </c>
      <c r="F239" s="42" t="inlineStr">
        <is>
          <t>Drip Irrigation</t>
        </is>
      </c>
      <c r="G239" s="42" t="inlineStr">
        <is>
          <t>South / Kandahar</t>
        </is>
      </c>
      <c r="H239" s="42" t="inlineStr">
        <is>
          <t>Urozgan</t>
        </is>
      </c>
      <c r="I239" s="42" t="inlineStr">
        <is>
          <t>Terinkot</t>
        </is>
      </c>
      <c r="J239" s="42" t="inlineStr">
        <is>
          <t>Khair Abad</t>
        </is>
      </c>
      <c r="K239" s="42" t="inlineStr">
        <is>
          <t>World Bank (WBK/AF-2)</t>
        </is>
      </c>
      <c r="L239" s="42" t="inlineStr">
        <is>
          <t>Remaining</t>
        </is>
      </c>
      <c r="M239" s="42" t="inlineStr">
        <is>
          <t>Drip irrigation</t>
        </is>
      </c>
      <c r="N239" s="42" t="inlineStr">
        <is>
          <t>5. Drip Irrigation systems</t>
        </is>
      </c>
      <c r="O239" s="42" t="inlineStr"/>
      <c r="P239" s="42" t="inlineStr"/>
      <c r="Q239" s="43" t="n">
        <v>8500</v>
      </c>
      <c r="R239" s="35" t="inlineStr">
        <is>
          <t>IF(AO239="","",AO239)</t>
        </is>
      </c>
      <c r="S239" s="44" t="n">
        <v>46412</v>
      </c>
      <c r="T239" s="45" t="n">
        <v>4.9</v>
      </c>
      <c r="U239" s="44" t="n">
        <v>46562</v>
      </c>
      <c r="V239" s="35" t="inlineStr">
        <is>
          <t>IF(U239&lt;&gt;"",U239,IF(OR(R239="",T239=""),"",EDATE(R239,T239)))</t>
        </is>
      </c>
      <c r="W239" s="44" t="n"/>
      <c r="X239" s="45" t="n"/>
      <c r="Y239" s="42" t="inlineStr">
        <is>
          <t>Under Review of WRI</t>
        </is>
      </c>
      <c r="Z239" s="42" t="inlineStr">
        <is>
          <t>Five months for the construction.</t>
        </is>
      </c>
      <c r="AA239" s="32" t="inlineStr">
        <is>
          <t>IF(E239="","",IF(COUNT(AG239:AT239)=0,IF(Y239="","Not started",Y239),SUBSTITUTE(LOOKUP(2,1/(AG239:AT239&lt;&gt;""),$AG$3:$AT$3),"Date: ","")))</t>
        </is>
      </c>
      <c r="AB239" s="38" t="inlineStr">
        <is>
          <t>IF(OR(E239="",COUNT(AG239:AT239)=0),"",TODAY()-LOOKUP(2,1/(AG239:AT239&lt;&gt;""),AG239:AT239))</t>
        </is>
      </c>
      <c r="AC239" s="38" t="inlineStr">
        <is>
          <t>IF(OR(E239="",COUNT(AG239:AT239)&lt;2),"",LOOKUP(2,1/(AG239:AT239&lt;&gt;""),AG239:AT239)-MIN(AG239:AT239))</t>
        </is>
      </c>
      <c r="AD239" s="38" t="inlineStr">
        <is>
          <t>IF(OR(AB239="",AA239="Not started",AA239=""),"",IFERROR(AB239-IF(VLOOKUP(AA239,'04_Status_Pipeline'!$B$3:$E$20,4,FALSE)="",0,VLOOKUP(AA239,'04_Status_Pipeline'!$B$3:$E$20,4,FALSE)),""))</t>
        </is>
      </c>
      <c r="AE239" s="32" t="inlineStr">
        <is>
          <t>IF(E239="","",IF(OR(Y239="Cancelled",AA239="Cancelled"),"Cancelled",IF(OR(AA239="Completed / Handover",W239&lt;&gt;"",X239&gt;=100),"Completed — on track",IF(L239="Remaining",IF(S239="",IF(V239="","No planned date",IF(TODAY()&gt;V239,"Behind — past planned date",IF(V239-TODAY()&lt;=30,"At risk — close to off track","On track"))),IF(TODAY()&gt;S239,"Behind — award date passed",IF(S239-TODAY()&lt;=30,"At risk — close to off track","On track"))),IF(V239="","No planned date",IF(AND(TODAY()&gt;V239,OR(X239="",X239&lt;100)),"Behind — past end date",IF(AND(R239&lt;&gt;"",V239&lt;&gt;"",X239&lt;&gt;"",(X239&lt;100),((TODAY()-R239)/MAX(V239-R239,1)*100)-X239&gt;15),"Behind — progress lag",IF(AND(V239-TODAY()&lt;=30,V239-TODAY()&gt;=0,OR(X239="",X239&lt;90)),"At risk — close to off track","On track"))))))))</t>
        </is>
      </c>
      <c r="AF239" s="38" t="inlineStr">
        <is>
          <t>IF(OR(E239="",AA239="Completed / Handover",AA239="Cancelled"),"",IF(L239="Remaining",IF(S239&lt;&gt;"",S239-TODAY(),IF(V239="","",V239-TODAY())),IF(V239="","",V239-TODAY())))</t>
        </is>
      </c>
      <c r="AG239" s="44" t="n"/>
      <c r="AH239" s="44" t="n"/>
      <c r="AI239" s="44" t="n"/>
      <c r="AJ239" s="44" t="n"/>
      <c r="AK239" s="44" t="n"/>
      <c r="AL239" s="44" t="n"/>
      <c r="AM239" s="44" t="n"/>
      <c r="AN239" s="44" t="n"/>
      <c r="AO239" s="44" t="n"/>
      <c r="AP239" s="44" t="n"/>
      <c r="AQ239" s="44" t="n"/>
      <c r="AR239" s="40" t="n"/>
      <c r="AS239" s="40" t="n"/>
      <c r="AT239" s="40" t="n"/>
      <c r="AU239" s="38" t="inlineStr">
        <is>
          <t>IF(OR(E239="",AH239=""),"",IF(COUNT(AG239:AG239)=0,"",AH239-LOOKUP(2,1/(AG239:AG239&lt;&gt;""),AG239:AG239)))</t>
        </is>
      </c>
      <c r="AV239" s="38" t="inlineStr">
        <is>
          <t>IF(OR(E239="",AI239=""),"",IF(COUNT(AG239:AH239)=0,"",AI239-LOOKUP(2,1/(AG239:AH239&lt;&gt;""),AG239:AH239)))</t>
        </is>
      </c>
      <c r="AW239" s="38" t="inlineStr">
        <is>
          <t>IF(OR(E239="",AJ239=""),"",IF(COUNT(AG239:AI239)=0,"",AJ239-LOOKUP(2,1/(AG239:AI239&lt;&gt;""),AG239:AI239)))</t>
        </is>
      </c>
      <c r="AX239" s="38" t="inlineStr">
        <is>
          <t>IF(OR(E239="",AK239=""),"",IF(COUNT(AG239:AJ239)=0,"",AK239-LOOKUP(2,1/(AG239:AJ239&lt;&gt;""),AG239:AJ239)))</t>
        </is>
      </c>
      <c r="AY239" s="38" t="inlineStr">
        <is>
          <t>IF(OR(E239="",AL239=""),"",IF(COUNT(AG239:AK239)=0,"",AL239-LOOKUP(2,1/(AG239:AK239&lt;&gt;""),AG239:AK239)))</t>
        </is>
      </c>
      <c r="AZ239" s="38" t="inlineStr">
        <is>
          <t>IF(OR(E239="",AM239=""),"",IF(COUNT(AG239:AL239)=0,"",AM239-LOOKUP(2,1/(AG239:AL239&lt;&gt;""),AG239:AL239)))</t>
        </is>
      </c>
      <c r="BA239" s="38" t="inlineStr">
        <is>
          <t>IF(OR(E239="",AN239=""),"",IF(COUNT(AG239:AM239)=0,"",AN239-LOOKUP(2,1/(AG239:AM239&lt;&gt;""),AG239:AM239)))</t>
        </is>
      </c>
      <c r="BB239" s="38" t="inlineStr">
        <is>
          <t>IF(OR(E239="",AO239=""),"",IF(COUNT(AG239:AN239)=0,"",AO239-LOOKUP(2,1/(AG239:AN239&lt;&gt;""),AG239:AN239)))</t>
        </is>
      </c>
      <c r="BC239" s="38" t="inlineStr">
        <is>
          <t>IF(OR(E239="",AP239=""),"",IF(COUNT(AG239:AO239)=0,"",AP239-LOOKUP(2,1/(AG239:AO239&lt;&gt;""),AG239:AO239)))</t>
        </is>
      </c>
      <c r="BD239" s="38" t="inlineStr">
        <is>
          <t>IF(OR(E239="",AQ239=""),"",IF(COUNT(AG239:AP239)=0,"",AQ239-LOOKUP(2,1/(AG239:AP239&lt;&gt;""),AG239:AP239)))</t>
        </is>
      </c>
      <c r="BE239" s="38" t="inlineStr">
        <is>
          <t>IF(OR(E239="",AR239=""),"",IF(COUNT(AG239:AQ239)=0,"",AR239-LOOKUP(2,1/(AG239:AQ239&lt;&gt;""),AG239:AQ239)))</t>
        </is>
      </c>
      <c r="BF239" s="38" t="inlineStr">
        <is>
          <t>IF(OR(E239="",AS239=""),"",IF(COUNT(AG239:AR239)=0,"",AS239-LOOKUP(2,1/(AG239:AR239&lt;&gt;""),AG239:AR239)))</t>
        </is>
      </c>
      <c r="BG239" s="38" t="inlineStr">
        <is>
          <t>IF(OR(E239="",AT239=""),"",IF(COUNT(AG239:AS239)=0,"",AT239-LOOKUP(2,1/(AG239:AS239&lt;&gt;""),AG239:AS239)))</t>
        </is>
      </c>
      <c r="BH239" s="41" t="inlineStr">
        <is>
          <t>IF(G239="","All_Provinces",IFERROR(VLOOKUP(G239,'07_Lookups'!$A$4:$B$20,2,FALSE),"All_Provinces"))</t>
        </is>
      </c>
      <c r="BI239" s="41" t="inlineStr">
        <is>
          <t>IF(H239="","All_Districts",IFERROR(VLOOKUP(H239,'07_Lookups'!$E$4:$F$42,2,FALSE),"All_Districts"))</t>
        </is>
      </c>
    </row>
    <row r="240" ht="18" customHeight="1">
      <c r="A240" s="32" t="inlineStr">
        <is>
          <t>IF(E240="","",ROW()-3)</t>
        </is>
      </c>
      <c r="B240" s="33" t="inlineStr">
        <is>
          <t>AF2-DIS-R-077</t>
        </is>
      </c>
      <c r="C240" s="33" t="inlineStr">
        <is>
          <t>Emergency Food Security Project (EFSP) – WBK/AF-2</t>
        </is>
      </c>
      <c r="D240"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40" s="33" t="inlineStr">
        <is>
          <t>Badam Kalai Drip irrigation schemes</t>
        </is>
      </c>
      <c r="F240" s="33" t="inlineStr">
        <is>
          <t>Drip Irrigation</t>
        </is>
      </c>
      <c r="G240" s="33" t="inlineStr">
        <is>
          <t>South / Kandahar</t>
        </is>
      </c>
      <c r="H240" s="33" t="inlineStr">
        <is>
          <t>Helmand</t>
        </is>
      </c>
      <c r="I240" s="33" t="inlineStr">
        <is>
          <t>Nawzad</t>
        </is>
      </c>
      <c r="J240" s="33" t="inlineStr">
        <is>
          <t>Badam Kali</t>
        </is>
      </c>
      <c r="K240" s="33" t="inlineStr">
        <is>
          <t>World Bank (WBK/AF-2)</t>
        </is>
      </c>
      <c r="L240" s="33" t="inlineStr">
        <is>
          <t>Remaining</t>
        </is>
      </c>
      <c r="M240" s="33" t="inlineStr">
        <is>
          <t>Drip irrigation</t>
        </is>
      </c>
      <c r="N240" s="33" t="inlineStr">
        <is>
          <t>5. Drip Irrigation systems</t>
        </is>
      </c>
      <c r="O240" s="33" t="inlineStr"/>
      <c r="P240" s="33" t="inlineStr"/>
      <c r="Q240" s="34" t="n">
        <v>4250</v>
      </c>
      <c r="R240" s="35" t="inlineStr">
        <is>
          <t>IF(AO240="","",AO240)</t>
        </is>
      </c>
      <c r="S240" s="36" t="n">
        <v>46412</v>
      </c>
      <c r="T240" s="37" t="n">
        <v>4.9</v>
      </c>
      <c r="U240" s="36" t="n">
        <v>46562</v>
      </c>
      <c r="V240" s="35" t="inlineStr">
        <is>
          <t>IF(U240&lt;&gt;"",U240,IF(OR(R240="",T240=""),"",EDATE(R240,T240)))</t>
        </is>
      </c>
      <c r="W240" s="36" t="n"/>
      <c r="X240" s="37" t="n"/>
      <c r="Y240" s="33" t="inlineStr">
        <is>
          <t>Under Review of WRI</t>
        </is>
      </c>
      <c r="Z240" s="33" t="inlineStr">
        <is>
          <t>Five months for the construction.</t>
        </is>
      </c>
      <c r="AA240" s="32" t="inlineStr">
        <is>
          <t>IF(E240="","",IF(COUNT(AG240:AT240)=0,IF(Y240="","Not started",Y240),SUBSTITUTE(LOOKUP(2,1/(AG240:AT240&lt;&gt;""),$AG$3:$AT$3),"Date: ","")))</t>
        </is>
      </c>
      <c r="AB240" s="38" t="inlineStr">
        <is>
          <t>IF(OR(E240="",COUNT(AG240:AT240)=0),"",TODAY()-LOOKUP(2,1/(AG240:AT240&lt;&gt;""),AG240:AT240))</t>
        </is>
      </c>
      <c r="AC240" s="38" t="inlineStr">
        <is>
          <t>IF(OR(E240="",COUNT(AG240:AT240)&lt;2),"",LOOKUP(2,1/(AG240:AT240&lt;&gt;""),AG240:AT240)-MIN(AG240:AT240))</t>
        </is>
      </c>
      <c r="AD240" s="38" t="inlineStr">
        <is>
          <t>IF(OR(AB240="",AA240="Not started",AA240=""),"",IFERROR(AB240-IF(VLOOKUP(AA240,'04_Status_Pipeline'!$B$3:$E$20,4,FALSE)="",0,VLOOKUP(AA240,'04_Status_Pipeline'!$B$3:$E$20,4,FALSE)),""))</t>
        </is>
      </c>
      <c r="AE240" s="32" t="inlineStr">
        <is>
          <t>IF(E240="","",IF(OR(Y240="Cancelled",AA240="Cancelled"),"Cancelled",IF(OR(AA240="Completed / Handover",W240&lt;&gt;"",X240&gt;=100),"Completed — on track",IF(L240="Remaining",IF(S240="",IF(V240="","No planned date",IF(TODAY()&gt;V240,"Behind — past planned date",IF(V240-TODAY()&lt;=30,"At risk — close to off track","On track"))),IF(TODAY()&gt;S240,"Behind — award date passed",IF(S240-TODAY()&lt;=30,"At risk — close to off track","On track"))),IF(V240="","No planned date",IF(AND(TODAY()&gt;V240,OR(X240="",X240&lt;100)),"Behind — past end date",IF(AND(R240&lt;&gt;"",V240&lt;&gt;"",X240&lt;&gt;"",(X240&lt;100),((TODAY()-R240)/MAX(V240-R240,1)*100)-X240&gt;15),"Behind — progress lag",IF(AND(V240-TODAY()&lt;=30,V240-TODAY()&gt;=0,OR(X240="",X240&lt;90)),"At risk — close to off track","On track"))))))))</t>
        </is>
      </c>
      <c r="AF240" s="38" t="inlineStr">
        <is>
          <t>IF(OR(E240="",AA240="Completed / Handover",AA240="Cancelled"),"",IF(L240="Remaining",IF(S240&lt;&gt;"",S240-TODAY(),IF(V240="","",V240-TODAY())),IF(V240="","",V240-TODAY())))</t>
        </is>
      </c>
      <c r="AG240" s="36" t="n"/>
      <c r="AH240" s="36" t="n"/>
      <c r="AI240" s="36" t="n"/>
      <c r="AJ240" s="36" t="n"/>
      <c r="AK240" s="36" t="n"/>
      <c r="AL240" s="36" t="n"/>
      <c r="AM240" s="36" t="n"/>
      <c r="AN240" s="36" t="n"/>
      <c r="AO240" s="36" t="n"/>
      <c r="AP240" s="36" t="n"/>
      <c r="AQ240" s="36" t="n"/>
      <c r="AR240" s="40" t="n"/>
      <c r="AS240" s="40" t="n"/>
      <c r="AT240" s="40" t="n"/>
      <c r="AU240" s="38" t="inlineStr">
        <is>
          <t>IF(OR(E240="",AH240=""),"",IF(COUNT(AG240:AG240)=0,"",AH240-LOOKUP(2,1/(AG240:AG240&lt;&gt;""),AG240:AG240)))</t>
        </is>
      </c>
      <c r="AV240" s="38" t="inlineStr">
        <is>
          <t>IF(OR(E240="",AI240=""),"",IF(COUNT(AG240:AH240)=0,"",AI240-LOOKUP(2,1/(AG240:AH240&lt;&gt;""),AG240:AH240)))</t>
        </is>
      </c>
      <c r="AW240" s="38" t="inlineStr">
        <is>
          <t>IF(OR(E240="",AJ240=""),"",IF(COUNT(AG240:AI240)=0,"",AJ240-LOOKUP(2,1/(AG240:AI240&lt;&gt;""),AG240:AI240)))</t>
        </is>
      </c>
      <c r="AX240" s="38" t="inlineStr">
        <is>
          <t>IF(OR(E240="",AK240=""),"",IF(COUNT(AG240:AJ240)=0,"",AK240-LOOKUP(2,1/(AG240:AJ240&lt;&gt;""),AG240:AJ240)))</t>
        </is>
      </c>
      <c r="AY240" s="38" t="inlineStr">
        <is>
          <t>IF(OR(E240="",AL240=""),"",IF(COUNT(AG240:AK240)=0,"",AL240-LOOKUP(2,1/(AG240:AK240&lt;&gt;""),AG240:AK240)))</t>
        </is>
      </c>
      <c r="AZ240" s="38" t="inlineStr">
        <is>
          <t>IF(OR(E240="",AM240=""),"",IF(COUNT(AG240:AL240)=0,"",AM240-LOOKUP(2,1/(AG240:AL240&lt;&gt;""),AG240:AL240)))</t>
        </is>
      </c>
      <c r="BA240" s="38" t="inlineStr">
        <is>
          <t>IF(OR(E240="",AN240=""),"",IF(COUNT(AG240:AM240)=0,"",AN240-LOOKUP(2,1/(AG240:AM240&lt;&gt;""),AG240:AM240)))</t>
        </is>
      </c>
      <c r="BB240" s="38" t="inlineStr">
        <is>
          <t>IF(OR(E240="",AO240=""),"",IF(COUNT(AG240:AN240)=0,"",AO240-LOOKUP(2,1/(AG240:AN240&lt;&gt;""),AG240:AN240)))</t>
        </is>
      </c>
      <c r="BC240" s="38" t="inlineStr">
        <is>
          <t>IF(OR(E240="",AP240=""),"",IF(COUNT(AG240:AO240)=0,"",AP240-LOOKUP(2,1/(AG240:AO240&lt;&gt;""),AG240:AO240)))</t>
        </is>
      </c>
      <c r="BD240" s="38" t="inlineStr">
        <is>
          <t>IF(OR(E240="",AQ240=""),"",IF(COUNT(AG240:AP240)=0,"",AQ240-LOOKUP(2,1/(AG240:AP240&lt;&gt;""),AG240:AP240)))</t>
        </is>
      </c>
      <c r="BE240" s="38" t="inlineStr">
        <is>
          <t>IF(OR(E240="",AR240=""),"",IF(COUNT(AG240:AQ240)=0,"",AR240-LOOKUP(2,1/(AG240:AQ240&lt;&gt;""),AG240:AQ240)))</t>
        </is>
      </c>
      <c r="BF240" s="38" t="inlineStr">
        <is>
          <t>IF(OR(E240="",AS240=""),"",IF(COUNT(AG240:AR240)=0,"",AS240-LOOKUP(2,1/(AG240:AR240&lt;&gt;""),AG240:AR240)))</t>
        </is>
      </c>
      <c r="BG240" s="38" t="inlineStr">
        <is>
          <t>IF(OR(E240="",AT240=""),"",IF(COUNT(AG240:AS240)=0,"",AT240-LOOKUP(2,1/(AG240:AS240&lt;&gt;""),AG240:AS240)))</t>
        </is>
      </c>
      <c r="BH240" s="41" t="inlineStr">
        <is>
          <t>IF(G240="","All_Provinces",IFERROR(VLOOKUP(G240,'07_Lookups'!$A$4:$B$20,2,FALSE),"All_Provinces"))</t>
        </is>
      </c>
      <c r="BI240" s="41" t="inlineStr">
        <is>
          <t>IF(H240="","All_Districts",IFERROR(VLOOKUP(H240,'07_Lookups'!$E$4:$F$42,2,FALSE),"All_Districts"))</t>
        </is>
      </c>
    </row>
    <row r="241" ht="18" customHeight="1">
      <c r="A241" s="32" t="inlineStr">
        <is>
          <t>IF(E241="","",ROW()-3)</t>
        </is>
      </c>
      <c r="B241" s="42" t="inlineStr">
        <is>
          <t>AF2-DIS-R-078</t>
        </is>
      </c>
      <c r="C241" s="42" t="inlineStr">
        <is>
          <t>Emergency Food Security Project (EFSP) – WBK/AF-2</t>
        </is>
      </c>
      <c r="D241"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41" s="42" t="inlineStr">
        <is>
          <t>Loy Razi Drip irrigation schemes</t>
        </is>
      </c>
      <c r="F241" s="42" t="inlineStr">
        <is>
          <t>Drip Irrigation</t>
        </is>
      </c>
      <c r="G241" s="42" t="inlineStr">
        <is>
          <t>South / Kandahar</t>
        </is>
      </c>
      <c r="H241" s="42" t="inlineStr">
        <is>
          <t>Nemroz</t>
        </is>
      </c>
      <c r="I241" s="42" t="inlineStr">
        <is>
          <t>Khashrod</t>
        </is>
      </c>
      <c r="J241" s="42" t="inlineStr">
        <is>
          <t>Loy Razi</t>
        </is>
      </c>
      <c r="K241" s="42" t="inlineStr">
        <is>
          <t>World Bank (WBK/AF-2)</t>
        </is>
      </c>
      <c r="L241" s="42" t="inlineStr">
        <is>
          <t>Remaining</t>
        </is>
      </c>
      <c r="M241" s="42" t="inlineStr">
        <is>
          <t>Drip irrigation</t>
        </is>
      </c>
      <c r="N241" s="42" t="inlineStr">
        <is>
          <t>5. Drip Irrigation systems</t>
        </is>
      </c>
      <c r="O241" s="42" t="inlineStr"/>
      <c r="P241" s="42" t="inlineStr"/>
      <c r="Q241" s="43" t="n">
        <v>4250</v>
      </c>
      <c r="R241" s="35" t="inlineStr">
        <is>
          <t>IF(AO241="","",AO241)</t>
        </is>
      </c>
      <c r="S241" s="44" t="n">
        <v>46412</v>
      </c>
      <c r="T241" s="45" t="n">
        <v>4.9</v>
      </c>
      <c r="U241" s="44" t="n">
        <v>46562</v>
      </c>
      <c r="V241" s="35" t="inlineStr">
        <is>
          <t>IF(U241&lt;&gt;"",U241,IF(OR(R241="",T241=""),"",EDATE(R241,T241)))</t>
        </is>
      </c>
      <c r="W241" s="44" t="n"/>
      <c r="X241" s="45" t="n"/>
      <c r="Y241" s="42" t="inlineStr">
        <is>
          <t>Under Review of WRI</t>
        </is>
      </c>
      <c r="Z241" s="42" t="inlineStr">
        <is>
          <t>Five months for the construction.</t>
        </is>
      </c>
      <c r="AA241" s="32" t="inlineStr">
        <is>
          <t>IF(E241="","",IF(COUNT(AG241:AT241)=0,IF(Y241="","Not started",Y241),SUBSTITUTE(LOOKUP(2,1/(AG241:AT241&lt;&gt;""),$AG$3:$AT$3),"Date: ","")))</t>
        </is>
      </c>
      <c r="AB241" s="38" t="inlineStr">
        <is>
          <t>IF(OR(E241="",COUNT(AG241:AT241)=0),"",TODAY()-LOOKUP(2,1/(AG241:AT241&lt;&gt;""),AG241:AT241))</t>
        </is>
      </c>
      <c r="AC241" s="38" t="inlineStr">
        <is>
          <t>IF(OR(E241="",COUNT(AG241:AT241)&lt;2),"",LOOKUP(2,1/(AG241:AT241&lt;&gt;""),AG241:AT241)-MIN(AG241:AT241))</t>
        </is>
      </c>
      <c r="AD241" s="38" t="inlineStr">
        <is>
          <t>IF(OR(AB241="",AA241="Not started",AA241=""),"",IFERROR(AB241-IF(VLOOKUP(AA241,'04_Status_Pipeline'!$B$3:$E$20,4,FALSE)="",0,VLOOKUP(AA241,'04_Status_Pipeline'!$B$3:$E$20,4,FALSE)),""))</t>
        </is>
      </c>
      <c r="AE241" s="32" t="inlineStr">
        <is>
          <t>IF(E241="","",IF(OR(Y241="Cancelled",AA241="Cancelled"),"Cancelled",IF(OR(AA241="Completed / Handover",W241&lt;&gt;"",X241&gt;=100),"Completed — on track",IF(L241="Remaining",IF(S241="",IF(V241="","No planned date",IF(TODAY()&gt;V241,"Behind — past planned date",IF(V241-TODAY()&lt;=30,"At risk — close to off track","On track"))),IF(TODAY()&gt;S241,"Behind — award date passed",IF(S241-TODAY()&lt;=30,"At risk — close to off track","On track"))),IF(V241="","No planned date",IF(AND(TODAY()&gt;V241,OR(X241="",X241&lt;100)),"Behind — past end date",IF(AND(R241&lt;&gt;"",V241&lt;&gt;"",X241&lt;&gt;"",(X241&lt;100),((TODAY()-R241)/MAX(V241-R241,1)*100)-X241&gt;15),"Behind — progress lag",IF(AND(V241-TODAY()&lt;=30,V241-TODAY()&gt;=0,OR(X241="",X241&lt;90)),"At risk — close to off track","On track"))))))))</t>
        </is>
      </c>
      <c r="AF241" s="38" t="inlineStr">
        <is>
          <t>IF(OR(E241="",AA241="Completed / Handover",AA241="Cancelled"),"",IF(L241="Remaining",IF(S241&lt;&gt;"",S241-TODAY(),IF(V241="","",V241-TODAY())),IF(V241="","",V241-TODAY())))</t>
        </is>
      </c>
      <c r="AG241" s="44" t="n"/>
      <c r="AH241" s="44" t="n"/>
      <c r="AI241" s="44" t="n"/>
      <c r="AJ241" s="44" t="n"/>
      <c r="AK241" s="44" t="n"/>
      <c r="AL241" s="44" t="n"/>
      <c r="AM241" s="44" t="n"/>
      <c r="AN241" s="44" t="n"/>
      <c r="AO241" s="44" t="n"/>
      <c r="AP241" s="44" t="n"/>
      <c r="AQ241" s="44" t="n"/>
      <c r="AR241" s="40" t="n"/>
      <c r="AS241" s="40" t="n"/>
      <c r="AT241" s="40" t="n"/>
      <c r="AU241" s="38" t="inlineStr">
        <is>
          <t>IF(OR(E241="",AH241=""),"",IF(COUNT(AG241:AG241)=0,"",AH241-LOOKUP(2,1/(AG241:AG241&lt;&gt;""),AG241:AG241)))</t>
        </is>
      </c>
      <c r="AV241" s="38" t="inlineStr">
        <is>
          <t>IF(OR(E241="",AI241=""),"",IF(COUNT(AG241:AH241)=0,"",AI241-LOOKUP(2,1/(AG241:AH241&lt;&gt;""),AG241:AH241)))</t>
        </is>
      </c>
      <c r="AW241" s="38" t="inlineStr">
        <is>
          <t>IF(OR(E241="",AJ241=""),"",IF(COUNT(AG241:AI241)=0,"",AJ241-LOOKUP(2,1/(AG241:AI241&lt;&gt;""),AG241:AI241)))</t>
        </is>
      </c>
      <c r="AX241" s="38" t="inlineStr">
        <is>
          <t>IF(OR(E241="",AK241=""),"",IF(COUNT(AG241:AJ241)=0,"",AK241-LOOKUP(2,1/(AG241:AJ241&lt;&gt;""),AG241:AJ241)))</t>
        </is>
      </c>
      <c r="AY241" s="38" t="inlineStr">
        <is>
          <t>IF(OR(E241="",AL241=""),"",IF(COUNT(AG241:AK241)=0,"",AL241-LOOKUP(2,1/(AG241:AK241&lt;&gt;""),AG241:AK241)))</t>
        </is>
      </c>
      <c r="AZ241" s="38" t="inlineStr">
        <is>
          <t>IF(OR(E241="",AM241=""),"",IF(COUNT(AG241:AL241)=0,"",AM241-LOOKUP(2,1/(AG241:AL241&lt;&gt;""),AG241:AL241)))</t>
        </is>
      </c>
      <c r="BA241" s="38" t="inlineStr">
        <is>
          <t>IF(OR(E241="",AN241=""),"",IF(COUNT(AG241:AM241)=0,"",AN241-LOOKUP(2,1/(AG241:AM241&lt;&gt;""),AG241:AM241)))</t>
        </is>
      </c>
      <c r="BB241" s="38" t="inlineStr">
        <is>
          <t>IF(OR(E241="",AO241=""),"",IF(COUNT(AG241:AN241)=0,"",AO241-LOOKUP(2,1/(AG241:AN241&lt;&gt;""),AG241:AN241)))</t>
        </is>
      </c>
      <c r="BC241" s="38" t="inlineStr">
        <is>
          <t>IF(OR(E241="",AP241=""),"",IF(COUNT(AG241:AO241)=0,"",AP241-LOOKUP(2,1/(AG241:AO241&lt;&gt;""),AG241:AO241)))</t>
        </is>
      </c>
      <c r="BD241" s="38" t="inlineStr">
        <is>
          <t>IF(OR(E241="",AQ241=""),"",IF(COUNT(AG241:AP241)=0,"",AQ241-LOOKUP(2,1/(AG241:AP241&lt;&gt;""),AG241:AP241)))</t>
        </is>
      </c>
      <c r="BE241" s="38" t="inlineStr">
        <is>
          <t>IF(OR(E241="",AR241=""),"",IF(COUNT(AG241:AQ241)=0,"",AR241-LOOKUP(2,1/(AG241:AQ241&lt;&gt;""),AG241:AQ241)))</t>
        </is>
      </c>
      <c r="BF241" s="38" t="inlineStr">
        <is>
          <t>IF(OR(E241="",AS241=""),"",IF(COUNT(AG241:AR241)=0,"",AS241-LOOKUP(2,1/(AG241:AR241&lt;&gt;""),AG241:AR241)))</t>
        </is>
      </c>
      <c r="BG241" s="38" t="inlineStr">
        <is>
          <t>IF(OR(E241="",AT241=""),"",IF(COUNT(AG241:AS241)=0,"",AT241-LOOKUP(2,1/(AG241:AS241&lt;&gt;""),AG241:AS241)))</t>
        </is>
      </c>
      <c r="BH241" s="41" t="inlineStr">
        <is>
          <t>IF(G241="","All_Provinces",IFERROR(VLOOKUP(G241,'07_Lookups'!$A$4:$B$20,2,FALSE),"All_Provinces"))</t>
        </is>
      </c>
      <c r="BI241" s="41" t="inlineStr">
        <is>
          <t>IF(H241="","All_Districts",IFERROR(VLOOKUP(H241,'07_Lookups'!$E$4:$F$42,2,FALSE),"All_Districts"))</t>
        </is>
      </c>
    </row>
    <row r="242" ht="18" customHeight="1">
      <c r="A242" s="32" t="inlineStr">
        <is>
          <t>IF(E242="","",ROW()-3)</t>
        </is>
      </c>
      <c r="B242" s="33" t="inlineStr">
        <is>
          <t>AF2-DIS-R-079</t>
        </is>
      </c>
      <c r="C242" s="33" t="inlineStr">
        <is>
          <t>Emergency Food Security Project (EFSP) – WBK/AF-2</t>
        </is>
      </c>
      <c r="D242"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42" s="33" t="inlineStr">
        <is>
          <t>Firozi Drip irrigation schemes</t>
        </is>
      </c>
      <c r="F242" s="33" t="inlineStr">
        <is>
          <t>Drip Irrigation</t>
        </is>
      </c>
      <c r="G242" s="33" t="inlineStr">
        <is>
          <t>South / Kandahar</t>
        </is>
      </c>
      <c r="H242" s="33" t="inlineStr">
        <is>
          <t>Nemroz</t>
        </is>
      </c>
      <c r="I242" s="33" t="inlineStr">
        <is>
          <t>Delaram</t>
        </is>
      </c>
      <c r="J242" s="33" t="inlineStr">
        <is>
          <t>Firozi Village</t>
        </is>
      </c>
      <c r="K242" s="33" t="inlineStr">
        <is>
          <t>World Bank (WBK/AF-2)</t>
        </is>
      </c>
      <c r="L242" s="33" t="inlineStr">
        <is>
          <t>Remaining</t>
        </is>
      </c>
      <c r="M242" s="33" t="inlineStr">
        <is>
          <t>Drip irrigation</t>
        </is>
      </c>
      <c r="N242" s="33" t="inlineStr">
        <is>
          <t>5. Drip Irrigation systems</t>
        </is>
      </c>
      <c r="O242" s="33" t="inlineStr"/>
      <c r="P242" s="33" t="inlineStr"/>
      <c r="Q242" s="34" t="n">
        <v>8500</v>
      </c>
      <c r="R242" s="35" t="inlineStr">
        <is>
          <t>IF(AO242="","",AO242)</t>
        </is>
      </c>
      <c r="S242" s="36" t="n">
        <v>46412</v>
      </c>
      <c r="T242" s="37" t="n">
        <v>4.9</v>
      </c>
      <c r="U242" s="36" t="n">
        <v>46562</v>
      </c>
      <c r="V242" s="35" t="inlineStr">
        <is>
          <t>IF(U242&lt;&gt;"",U242,IF(OR(R242="",T242=""),"",EDATE(R242,T242)))</t>
        </is>
      </c>
      <c r="W242" s="36" t="n"/>
      <c r="X242" s="37" t="n"/>
      <c r="Y242" s="33" t="inlineStr">
        <is>
          <t>Under Review of WRI</t>
        </is>
      </c>
      <c r="Z242" s="33" t="inlineStr">
        <is>
          <t>Five months for the construction.</t>
        </is>
      </c>
      <c r="AA242" s="32" t="inlineStr">
        <is>
          <t>IF(E242="","",IF(COUNT(AG242:AT242)=0,IF(Y242="","Not started",Y242),SUBSTITUTE(LOOKUP(2,1/(AG242:AT242&lt;&gt;""),$AG$3:$AT$3),"Date: ","")))</t>
        </is>
      </c>
      <c r="AB242" s="38" t="inlineStr">
        <is>
          <t>IF(OR(E242="",COUNT(AG242:AT242)=0),"",TODAY()-LOOKUP(2,1/(AG242:AT242&lt;&gt;""),AG242:AT242))</t>
        </is>
      </c>
      <c r="AC242" s="38" t="inlineStr">
        <is>
          <t>IF(OR(E242="",COUNT(AG242:AT242)&lt;2),"",LOOKUP(2,1/(AG242:AT242&lt;&gt;""),AG242:AT242)-MIN(AG242:AT242))</t>
        </is>
      </c>
      <c r="AD242" s="38" t="inlineStr">
        <is>
          <t>IF(OR(AB242="",AA242="Not started",AA242=""),"",IFERROR(AB242-IF(VLOOKUP(AA242,'04_Status_Pipeline'!$B$3:$E$20,4,FALSE)="",0,VLOOKUP(AA242,'04_Status_Pipeline'!$B$3:$E$20,4,FALSE)),""))</t>
        </is>
      </c>
      <c r="AE242" s="32" t="inlineStr">
        <is>
          <t>IF(E242="","",IF(OR(Y242="Cancelled",AA242="Cancelled"),"Cancelled",IF(OR(AA242="Completed / Handover",W242&lt;&gt;"",X242&gt;=100),"Completed — on track",IF(L242="Remaining",IF(S242="",IF(V242="","No planned date",IF(TODAY()&gt;V242,"Behind — past planned date",IF(V242-TODAY()&lt;=30,"At risk — close to off track","On track"))),IF(TODAY()&gt;S242,"Behind — award date passed",IF(S242-TODAY()&lt;=30,"At risk — close to off track","On track"))),IF(V242="","No planned date",IF(AND(TODAY()&gt;V242,OR(X242="",X242&lt;100)),"Behind — past end date",IF(AND(R242&lt;&gt;"",V242&lt;&gt;"",X242&lt;&gt;"",(X242&lt;100),((TODAY()-R242)/MAX(V242-R242,1)*100)-X242&gt;15),"Behind — progress lag",IF(AND(V242-TODAY()&lt;=30,V242-TODAY()&gt;=0,OR(X242="",X242&lt;90)),"At risk — close to off track","On track"))))))))</t>
        </is>
      </c>
      <c r="AF242" s="38" t="inlineStr">
        <is>
          <t>IF(OR(E242="",AA242="Completed / Handover",AA242="Cancelled"),"",IF(L242="Remaining",IF(S242&lt;&gt;"",S242-TODAY(),IF(V242="","",V242-TODAY())),IF(V242="","",V242-TODAY())))</t>
        </is>
      </c>
      <c r="AG242" s="36" t="n"/>
      <c r="AH242" s="36" t="n"/>
      <c r="AI242" s="36" t="n"/>
      <c r="AJ242" s="36" t="n"/>
      <c r="AK242" s="36" t="n"/>
      <c r="AL242" s="36" t="n"/>
      <c r="AM242" s="36" t="n"/>
      <c r="AN242" s="36" t="n"/>
      <c r="AO242" s="36" t="n"/>
      <c r="AP242" s="36" t="n"/>
      <c r="AQ242" s="36" t="n"/>
      <c r="AR242" s="40" t="n"/>
      <c r="AS242" s="40" t="n"/>
      <c r="AT242" s="40" t="n"/>
      <c r="AU242" s="38" t="inlineStr">
        <is>
          <t>IF(OR(E242="",AH242=""),"",IF(COUNT(AG242:AG242)=0,"",AH242-LOOKUP(2,1/(AG242:AG242&lt;&gt;""),AG242:AG242)))</t>
        </is>
      </c>
      <c r="AV242" s="38" t="inlineStr">
        <is>
          <t>IF(OR(E242="",AI242=""),"",IF(COUNT(AG242:AH242)=0,"",AI242-LOOKUP(2,1/(AG242:AH242&lt;&gt;""),AG242:AH242)))</t>
        </is>
      </c>
      <c r="AW242" s="38" t="inlineStr">
        <is>
          <t>IF(OR(E242="",AJ242=""),"",IF(COUNT(AG242:AI242)=0,"",AJ242-LOOKUP(2,1/(AG242:AI242&lt;&gt;""),AG242:AI242)))</t>
        </is>
      </c>
      <c r="AX242" s="38" t="inlineStr">
        <is>
          <t>IF(OR(E242="",AK242=""),"",IF(COUNT(AG242:AJ242)=0,"",AK242-LOOKUP(2,1/(AG242:AJ242&lt;&gt;""),AG242:AJ242)))</t>
        </is>
      </c>
      <c r="AY242" s="38" t="inlineStr">
        <is>
          <t>IF(OR(E242="",AL242=""),"",IF(COUNT(AG242:AK242)=0,"",AL242-LOOKUP(2,1/(AG242:AK242&lt;&gt;""),AG242:AK242)))</t>
        </is>
      </c>
      <c r="AZ242" s="38" t="inlineStr">
        <is>
          <t>IF(OR(E242="",AM242=""),"",IF(COUNT(AG242:AL242)=0,"",AM242-LOOKUP(2,1/(AG242:AL242&lt;&gt;""),AG242:AL242)))</t>
        </is>
      </c>
      <c r="BA242" s="38" t="inlineStr">
        <is>
          <t>IF(OR(E242="",AN242=""),"",IF(COUNT(AG242:AM242)=0,"",AN242-LOOKUP(2,1/(AG242:AM242&lt;&gt;""),AG242:AM242)))</t>
        </is>
      </c>
      <c r="BB242" s="38" t="inlineStr">
        <is>
          <t>IF(OR(E242="",AO242=""),"",IF(COUNT(AG242:AN242)=0,"",AO242-LOOKUP(2,1/(AG242:AN242&lt;&gt;""),AG242:AN242)))</t>
        </is>
      </c>
      <c r="BC242" s="38" t="inlineStr">
        <is>
          <t>IF(OR(E242="",AP242=""),"",IF(COUNT(AG242:AO242)=0,"",AP242-LOOKUP(2,1/(AG242:AO242&lt;&gt;""),AG242:AO242)))</t>
        </is>
      </c>
      <c r="BD242" s="38" t="inlineStr">
        <is>
          <t>IF(OR(E242="",AQ242=""),"",IF(COUNT(AG242:AP242)=0,"",AQ242-LOOKUP(2,1/(AG242:AP242&lt;&gt;""),AG242:AP242)))</t>
        </is>
      </c>
      <c r="BE242" s="38" t="inlineStr">
        <is>
          <t>IF(OR(E242="",AR242=""),"",IF(COUNT(AG242:AQ242)=0,"",AR242-LOOKUP(2,1/(AG242:AQ242&lt;&gt;""),AG242:AQ242)))</t>
        </is>
      </c>
      <c r="BF242" s="38" t="inlineStr">
        <is>
          <t>IF(OR(E242="",AS242=""),"",IF(COUNT(AG242:AR242)=0,"",AS242-LOOKUP(2,1/(AG242:AR242&lt;&gt;""),AG242:AR242)))</t>
        </is>
      </c>
      <c r="BG242" s="38" t="inlineStr">
        <is>
          <t>IF(OR(E242="",AT242=""),"",IF(COUNT(AG242:AS242)=0,"",AT242-LOOKUP(2,1/(AG242:AS242&lt;&gt;""),AG242:AS242)))</t>
        </is>
      </c>
      <c r="BH242" s="41" t="inlineStr">
        <is>
          <t>IF(G242="","All_Provinces",IFERROR(VLOOKUP(G242,'07_Lookups'!$A$4:$B$20,2,FALSE),"All_Provinces"))</t>
        </is>
      </c>
      <c r="BI242" s="41" t="inlineStr">
        <is>
          <t>IF(H242="","All_Districts",IFERROR(VLOOKUP(H242,'07_Lookups'!$E$4:$F$42,2,FALSE),"All_Districts"))</t>
        </is>
      </c>
    </row>
    <row r="243" ht="18" customHeight="1">
      <c r="A243" s="32" t="inlineStr">
        <is>
          <t>IF(E243="","",ROW()-3)</t>
        </is>
      </c>
      <c r="B243" s="42" t="inlineStr">
        <is>
          <t>AF2-DIS-R-080</t>
        </is>
      </c>
      <c r="C243" s="42" t="inlineStr">
        <is>
          <t>Emergency Food Security Project (EFSP) – WBK/AF-2</t>
        </is>
      </c>
      <c r="D243" s="4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3" s="42" t="inlineStr">
        <is>
          <t>Khoja Bolak Drip Irrigation Scheme</t>
        </is>
      </c>
      <c r="F243" s="42" t="inlineStr">
        <is>
          <t>Drip Irrigation</t>
        </is>
      </c>
      <c r="G243" s="42" t="inlineStr">
        <is>
          <t>Northeast / Kunduz</t>
        </is>
      </c>
      <c r="H243" s="42" t="inlineStr">
        <is>
          <t>Kunudz</t>
        </is>
      </c>
      <c r="I243" s="42" t="inlineStr">
        <is>
          <t>Khan Abad</t>
        </is>
      </c>
      <c r="J243" s="42" t="inlineStr">
        <is>
          <t>Khoja Bolak</t>
        </is>
      </c>
      <c r="K243" s="42" t="inlineStr">
        <is>
          <t>World Bank (WBK/AF-2)</t>
        </is>
      </c>
      <c r="L243" s="42" t="inlineStr">
        <is>
          <t>Remaining</t>
        </is>
      </c>
      <c r="M243" s="42" t="inlineStr">
        <is>
          <t>Drip irrigation</t>
        </is>
      </c>
      <c r="N243" s="42" t="inlineStr">
        <is>
          <t>5. Drip Irrigation systems</t>
        </is>
      </c>
      <c r="O243" s="42" t="inlineStr">
        <is>
          <t>Mohammad Qasim</t>
        </is>
      </c>
      <c r="P243" s="42" t="inlineStr"/>
      <c r="Q243" s="43" t="n">
        <v>8500</v>
      </c>
      <c r="R243" s="35" t="inlineStr">
        <is>
          <t>IF(AO243="","",AO243)</t>
        </is>
      </c>
      <c r="S243" s="44" t="n">
        <v>46412</v>
      </c>
      <c r="T243" s="45" t="n">
        <v>6.2</v>
      </c>
      <c r="U243" s="44" t="n">
        <v>46602</v>
      </c>
      <c r="V243" s="35" t="inlineStr">
        <is>
          <t>IF(U243&lt;&gt;"",U243,IF(OR(R243="",T243=""),"",EDATE(R243,T243)))</t>
        </is>
      </c>
      <c r="W243" s="44" t="n"/>
      <c r="X243" s="45" t="n"/>
      <c r="Y243" s="42" t="inlineStr">
        <is>
          <t>Under Review of WRI</t>
        </is>
      </c>
      <c r="Z243" s="42" t="inlineStr">
        <is>
          <t>Construction period five months starting from March 2027. | Farmer: Mohammad Qasim</t>
        </is>
      </c>
      <c r="AA243" s="32" t="inlineStr">
        <is>
          <t>IF(E243="","",IF(COUNT(AG243:AT243)=0,IF(Y243="","Not started",Y243),SUBSTITUTE(LOOKUP(2,1/(AG243:AT243&lt;&gt;""),$AG$3:$AT$3),"Date: ","")))</t>
        </is>
      </c>
      <c r="AB243" s="38" t="inlineStr">
        <is>
          <t>IF(OR(E243="",COUNT(AG243:AT243)=0),"",TODAY()-LOOKUP(2,1/(AG243:AT243&lt;&gt;""),AG243:AT243))</t>
        </is>
      </c>
      <c r="AC243" s="38" t="inlineStr">
        <is>
          <t>IF(OR(E243="",COUNT(AG243:AT243)&lt;2),"",LOOKUP(2,1/(AG243:AT243&lt;&gt;""),AG243:AT243)-MIN(AG243:AT243))</t>
        </is>
      </c>
      <c r="AD243" s="38" t="inlineStr">
        <is>
          <t>IF(OR(AB243="",AA243="Not started",AA243=""),"",IFERROR(AB243-IF(VLOOKUP(AA243,'04_Status_Pipeline'!$B$3:$E$20,4,FALSE)="",0,VLOOKUP(AA243,'04_Status_Pipeline'!$B$3:$E$20,4,FALSE)),""))</t>
        </is>
      </c>
      <c r="AE243" s="32" t="inlineStr">
        <is>
          <t>IF(E243="","",IF(OR(Y243="Cancelled",AA243="Cancelled"),"Cancelled",IF(OR(AA243="Completed / Handover",W243&lt;&gt;"",X243&gt;=100),"Completed — on track",IF(L243="Remaining",IF(S243="",IF(V243="","No planned date",IF(TODAY()&gt;V243,"Behind — past planned date",IF(V243-TODAY()&lt;=30,"At risk — close to off track","On track"))),IF(TODAY()&gt;S243,"Behind — award date passed",IF(S243-TODAY()&lt;=30,"At risk — close to off track","On track"))),IF(V243="","No planned date",IF(AND(TODAY()&gt;V243,OR(X243="",X243&lt;100)),"Behind — past end date",IF(AND(R243&lt;&gt;"",V243&lt;&gt;"",X243&lt;&gt;"",(X243&lt;100),((TODAY()-R243)/MAX(V243-R243,1)*100)-X243&gt;15),"Behind — progress lag",IF(AND(V243-TODAY()&lt;=30,V243-TODAY()&gt;=0,OR(X243="",X243&lt;90)),"At risk — close to off track","On track"))))))))</t>
        </is>
      </c>
      <c r="AF243" s="38" t="inlineStr">
        <is>
          <t>IF(OR(E243="",AA243="Completed / Handover",AA243="Cancelled"),"",IF(L243="Remaining",IF(S243&lt;&gt;"",S243-TODAY(),IF(V243="","",V243-TODAY())),IF(V243="","",V243-TODAY())))</t>
        </is>
      </c>
      <c r="AG243" s="44" t="n"/>
      <c r="AH243" s="44" t="n"/>
      <c r="AI243" s="44" t="n"/>
      <c r="AJ243" s="44" t="n"/>
      <c r="AK243" s="44" t="n"/>
      <c r="AL243" s="44" t="n"/>
      <c r="AM243" s="44" t="n"/>
      <c r="AN243" s="44" t="n"/>
      <c r="AO243" s="44" t="n"/>
      <c r="AP243" s="44" t="n"/>
      <c r="AQ243" s="44" t="n"/>
      <c r="AR243" s="40" t="n"/>
      <c r="AS243" s="40" t="n"/>
      <c r="AT243" s="40" t="n"/>
      <c r="AU243" s="38" t="inlineStr">
        <is>
          <t>IF(OR(E243="",AH243=""),"",IF(COUNT(AG243:AG243)=0,"",AH243-LOOKUP(2,1/(AG243:AG243&lt;&gt;""),AG243:AG243)))</t>
        </is>
      </c>
      <c r="AV243" s="38" t="inlineStr">
        <is>
          <t>IF(OR(E243="",AI243=""),"",IF(COUNT(AG243:AH243)=0,"",AI243-LOOKUP(2,1/(AG243:AH243&lt;&gt;""),AG243:AH243)))</t>
        </is>
      </c>
      <c r="AW243" s="38" t="inlineStr">
        <is>
          <t>IF(OR(E243="",AJ243=""),"",IF(COUNT(AG243:AI243)=0,"",AJ243-LOOKUP(2,1/(AG243:AI243&lt;&gt;""),AG243:AI243)))</t>
        </is>
      </c>
      <c r="AX243" s="38" t="inlineStr">
        <is>
          <t>IF(OR(E243="",AK243=""),"",IF(COUNT(AG243:AJ243)=0,"",AK243-LOOKUP(2,1/(AG243:AJ243&lt;&gt;""),AG243:AJ243)))</t>
        </is>
      </c>
      <c r="AY243" s="38" t="inlineStr">
        <is>
          <t>IF(OR(E243="",AL243=""),"",IF(COUNT(AG243:AK243)=0,"",AL243-LOOKUP(2,1/(AG243:AK243&lt;&gt;""),AG243:AK243)))</t>
        </is>
      </c>
      <c r="AZ243" s="38" t="inlineStr">
        <is>
          <t>IF(OR(E243="",AM243=""),"",IF(COUNT(AG243:AL243)=0,"",AM243-LOOKUP(2,1/(AG243:AL243&lt;&gt;""),AG243:AL243)))</t>
        </is>
      </c>
      <c r="BA243" s="38" t="inlineStr">
        <is>
          <t>IF(OR(E243="",AN243=""),"",IF(COUNT(AG243:AM243)=0,"",AN243-LOOKUP(2,1/(AG243:AM243&lt;&gt;""),AG243:AM243)))</t>
        </is>
      </c>
      <c r="BB243" s="38" t="inlineStr">
        <is>
          <t>IF(OR(E243="",AO243=""),"",IF(COUNT(AG243:AN243)=0,"",AO243-LOOKUP(2,1/(AG243:AN243&lt;&gt;""),AG243:AN243)))</t>
        </is>
      </c>
      <c r="BC243" s="38" t="inlineStr">
        <is>
          <t>IF(OR(E243="",AP243=""),"",IF(COUNT(AG243:AO243)=0,"",AP243-LOOKUP(2,1/(AG243:AO243&lt;&gt;""),AG243:AO243)))</t>
        </is>
      </c>
      <c r="BD243" s="38" t="inlineStr">
        <is>
          <t>IF(OR(E243="",AQ243=""),"",IF(COUNT(AG243:AP243)=0,"",AQ243-LOOKUP(2,1/(AG243:AP243&lt;&gt;""),AG243:AP243)))</t>
        </is>
      </c>
      <c r="BE243" s="38" t="inlineStr">
        <is>
          <t>IF(OR(E243="",AR243=""),"",IF(COUNT(AG243:AQ243)=0,"",AR243-LOOKUP(2,1/(AG243:AQ243&lt;&gt;""),AG243:AQ243)))</t>
        </is>
      </c>
      <c r="BF243" s="38" t="inlineStr">
        <is>
          <t>IF(OR(E243="",AS243=""),"",IF(COUNT(AG243:AR243)=0,"",AS243-LOOKUP(2,1/(AG243:AR243&lt;&gt;""),AG243:AR243)))</t>
        </is>
      </c>
      <c r="BG243" s="38" t="inlineStr">
        <is>
          <t>IF(OR(E243="",AT243=""),"",IF(COUNT(AG243:AS243)=0,"",AT243-LOOKUP(2,1/(AG243:AS243&lt;&gt;""),AG243:AS243)))</t>
        </is>
      </c>
      <c r="BH243" s="41" t="inlineStr">
        <is>
          <t>IF(G243="","All_Provinces",IFERROR(VLOOKUP(G243,'07_Lookups'!$A$4:$B$20,2,FALSE),"All_Provinces"))</t>
        </is>
      </c>
      <c r="BI243" s="41" t="inlineStr">
        <is>
          <t>IF(H243="","All_Districts",IFERROR(VLOOKUP(H243,'07_Lookups'!$E$4:$F$42,2,FALSE),"All_Districts"))</t>
        </is>
      </c>
    </row>
    <row r="244" ht="18" customHeight="1">
      <c r="A244" s="32" t="inlineStr">
        <is>
          <t>IF(E244="","",ROW()-3)</t>
        </is>
      </c>
      <c r="B244" s="33" t="inlineStr">
        <is>
          <t>AF2-DIS-R-081</t>
        </is>
      </c>
      <c r="C244" s="33" t="inlineStr">
        <is>
          <t>Emergency Food Security Project (EFSP) – WBK/AF-2</t>
        </is>
      </c>
      <c r="D244"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4" s="33" t="inlineStr">
        <is>
          <t>Shamba Bazar Drip Irrgiatation Scheme</t>
        </is>
      </c>
      <c r="F244" s="33" t="inlineStr">
        <is>
          <t>Drip Irrigation</t>
        </is>
      </c>
      <c r="G244" s="33" t="inlineStr">
        <is>
          <t>Northeast / Kunduz</t>
        </is>
      </c>
      <c r="H244" s="33" t="inlineStr">
        <is>
          <t>Kunduz</t>
        </is>
      </c>
      <c r="I244" s="33" t="inlineStr">
        <is>
          <t>Dashte Archi</t>
        </is>
      </c>
      <c r="J244" s="33" t="inlineStr">
        <is>
          <t>Shamba Bazar</t>
        </is>
      </c>
      <c r="K244" s="33" t="inlineStr">
        <is>
          <t>World Bank (WBK/AF-2)</t>
        </is>
      </c>
      <c r="L244" s="33" t="inlineStr">
        <is>
          <t>Remaining</t>
        </is>
      </c>
      <c r="M244" s="33" t="inlineStr">
        <is>
          <t>Drip irrigation</t>
        </is>
      </c>
      <c r="N244" s="33" t="inlineStr">
        <is>
          <t>5. Drip Irrigation systems</t>
        </is>
      </c>
      <c r="O244" s="33" t="inlineStr">
        <is>
          <t>Shamsurahman</t>
        </is>
      </c>
      <c r="P244" s="33" t="inlineStr"/>
      <c r="Q244" s="34" t="n">
        <v>4250</v>
      </c>
      <c r="R244" s="35" t="inlineStr">
        <is>
          <t>IF(AO244="","",AO244)</t>
        </is>
      </c>
      <c r="S244" s="36" t="n">
        <v>46412</v>
      </c>
      <c r="T244" s="37" t="n">
        <v>6.2</v>
      </c>
      <c r="U244" s="36" t="n">
        <v>46602</v>
      </c>
      <c r="V244" s="35" t="inlineStr">
        <is>
          <t>IF(U244&lt;&gt;"",U244,IF(OR(R244="",T244=""),"",EDATE(R244,T244)))</t>
        </is>
      </c>
      <c r="W244" s="36" t="n"/>
      <c r="X244" s="37" t="n"/>
      <c r="Y244" s="33" t="inlineStr">
        <is>
          <t>Under Review of WRI</t>
        </is>
      </c>
      <c r="Z244" s="33" t="inlineStr">
        <is>
          <t>Construction period five months starting from March 2027. | Farmer: Shamsurahman</t>
        </is>
      </c>
      <c r="AA244" s="32" t="inlineStr">
        <is>
          <t>IF(E244="","",IF(COUNT(AG244:AT244)=0,IF(Y244="","Not started",Y244),SUBSTITUTE(LOOKUP(2,1/(AG244:AT244&lt;&gt;""),$AG$3:$AT$3),"Date: ","")))</t>
        </is>
      </c>
      <c r="AB244" s="38" t="inlineStr">
        <is>
          <t>IF(OR(E244="",COUNT(AG244:AT244)=0),"",TODAY()-LOOKUP(2,1/(AG244:AT244&lt;&gt;""),AG244:AT244))</t>
        </is>
      </c>
      <c r="AC244" s="38" t="inlineStr">
        <is>
          <t>IF(OR(E244="",COUNT(AG244:AT244)&lt;2),"",LOOKUP(2,1/(AG244:AT244&lt;&gt;""),AG244:AT244)-MIN(AG244:AT244))</t>
        </is>
      </c>
      <c r="AD244" s="38" t="inlineStr">
        <is>
          <t>IF(OR(AB244="",AA244="Not started",AA244=""),"",IFERROR(AB244-IF(VLOOKUP(AA244,'04_Status_Pipeline'!$B$3:$E$20,4,FALSE)="",0,VLOOKUP(AA244,'04_Status_Pipeline'!$B$3:$E$20,4,FALSE)),""))</t>
        </is>
      </c>
      <c r="AE244" s="32" t="inlineStr">
        <is>
          <t>IF(E244="","",IF(OR(Y244="Cancelled",AA244="Cancelled"),"Cancelled",IF(OR(AA244="Completed / Handover",W244&lt;&gt;"",X244&gt;=100),"Completed — on track",IF(L244="Remaining",IF(S244="",IF(V244="","No planned date",IF(TODAY()&gt;V244,"Behind — past planned date",IF(V244-TODAY()&lt;=30,"At risk — close to off track","On track"))),IF(TODAY()&gt;S244,"Behind — award date passed",IF(S244-TODAY()&lt;=30,"At risk — close to off track","On track"))),IF(V244="","No planned date",IF(AND(TODAY()&gt;V244,OR(X244="",X244&lt;100)),"Behind — past end date",IF(AND(R244&lt;&gt;"",V244&lt;&gt;"",X244&lt;&gt;"",(X244&lt;100),((TODAY()-R244)/MAX(V244-R244,1)*100)-X244&gt;15),"Behind — progress lag",IF(AND(V244-TODAY()&lt;=30,V244-TODAY()&gt;=0,OR(X244="",X244&lt;90)),"At risk — close to off track","On track"))))))))</t>
        </is>
      </c>
      <c r="AF244" s="38" t="inlineStr">
        <is>
          <t>IF(OR(E244="",AA244="Completed / Handover",AA244="Cancelled"),"",IF(L244="Remaining",IF(S244&lt;&gt;"",S244-TODAY(),IF(V244="","",V244-TODAY())),IF(V244="","",V244-TODAY())))</t>
        </is>
      </c>
      <c r="AG244" s="36" t="n"/>
      <c r="AH244" s="36" t="n"/>
      <c r="AI244" s="36" t="n"/>
      <c r="AJ244" s="36" t="n"/>
      <c r="AK244" s="36" t="n"/>
      <c r="AL244" s="36" t="n"/>
      <c r="AM244" s="36" t="n"/>
      <c r="AN244" s="36" t="n"/>
      <c r="AO244" s="36" t="n"/>
      <c r="AP244" s="36" t="n"/>
      <c r="AQ244" s="36" t="n"/>
      <c r="AR244" s="40" t="n"/>
      <c r="AS244" s="40" t="n"/>
      <c r="AT244" s="40" t="n"/>
      <c r="AU244" s="38" t="inlineStr">
        <is>
          <t>IF(OR(E244="",AH244=""),"",IF(COUNT(AG244:AG244)=0,"",AH244-LOOKUP(2,1/(AG244:AG244&lt;&gt;""),AG244:AG244)))</t>
        </is>
      </c>
      <c r="AV244" s="38" t="inlineStr">
        <is>
          <t>IF(OR(E244="",AI244=""),"",IF(COUNT(AG244:AH244)=0,"",AI244-LOOKUP(2,1/(AG244:AH244&lt;&gt;""),AG244:AH244)))</t>
        </is>
      </c>
      <c r="AW244" s="38" t="inlineStr">
        <is>
          <t>IF(OR(E244="",AJ244=""),"",IF(COUNT(AG244:AI244)=0,"",AJ244-LOOKUP(2,1/(AG244:AI244&lt;&gt;""),AG244:AI244)))</t>
        </is>
      </c>
      <c r="AX244" s="38" t="inlineStr">
        <is>
          <t>IF(OR(E244="",AK244=""),"",IF(COUNT(AG244:AJ244)=0,"",AK244-LOOKUP(2,1/(AG244:AJ244&lt;&gt;""),AG244:AJ244)))</t>
        </is>
      </c>
      <c r="AY244" s="38" t="inlineStr">
        <is>
          <t>IF(OR(E244="",AL244=""),"",IF(COUNT(AG244:AK244)=0,"",AL244-LOOKUP(2,1/(AG244:AK244&lt;&gt;""),AG244:AK244)))</t>
        </is>
      </c>
      <c r="AZ244" s="38" t="inlineStr">
        <is>
          <t>IF(OR(E244="",AM244=""),"",IF(COUNT(AG244:AL244)=0,"",AM244-LOOKUP(2,1/(AG244:AL244&lt;&gt;""),AG244:AL244)))</t>
        </is>
      </c>
      <c r="BA244" s="38" t="inlineStr">
        <is>
          <t>IF(OR(E244="",AN244=""),"",IF(COUNT(AG244:AM244)=0,"",AN244-LOOKUP(2,1/(AG244:AM244&lt;&gt;""),AG244:AM244)))</t>
        </is>
      </c>
      <c r="BB244" s="38" t="inlineStr">
        <is>
          <t>IF(OR(E244="",AO244=""),"",IF(COUNT(AG244:AN244)=0,"",AO244-LOOKUP(2,1/(AG244:AN244&lt;&gt;""),AG244:AN244)))</t>
        </is>
      </c>
      <c r="BC244" s="38" t="inlineStr">
        <is>
          <t>IF(OR(E244="",AP244=""),"",IF(COUNT(AG244:AO244)=0,"",AP244-LOOKUP(2,1/(AG244:AO244&lt;&gt;""),AG244:AO244)))</t>
        </is>
      </c>
      <c r="BD244" s="38" t="inlineStr">
        <is>
          <t>IF(OR(E244="",AQ244=""),"",IF(COUNT(AG244:AP244)=0,"",AQ244-LOOKUP(2,1/(AG244:AP244&lt;&gt;""),AG244:AP244)))</t>
        </is>
      </c>
      <c r="BE244" s="38" t="inlineStr">
        <is>
          <t>IF(OR(E244="",AR244=""),"",IF(COUNT(AG244:AQ244)=0,"",AR244-LOOKUP(2,1/(AG244:AQ244&lt;&gt;""),AG244:AQ244)))</t>
        </is>
      </c>
      <c r="BF244" s="38" t="inlineStr">
        <is>
          <t>IF(OR(E244="",AS244=""),"",IF(COUNT(AG244:AR244)=0,"",AS244-LOOKUP(2,1/(AG244:AR244&lt;&gt;""),AG244:AR244)))</t>
        </is>
      </c>
      <c r="BG244" s="38" t="inlineStr">
        <is>
          <t>IF(OR(E244="",AT244=""),"",IF(COUNT(AG244:AS244)=0,"",AT244-LOOKUP(2,1/(AG244:AS244&lt;&gt;""),AG244:AS244)))</t>
        </is>
      </c>
      <c r="BH244" s="41" t="inlineStr">
        <is>
          <t>IF(G244="","All_Provinces",IFERROR(VLOOKUP(G244,'07_Lookups'!$A$4:$B$20,2,FALSE),"All_Provinces"))</t>
        </is>
      </c>
      <c r="BI244" s="41" t="inlineStr">
        <is>
          <t>IF(H244="","All_Districts",IFERROR(VLOOKUP(H244,'07_Lookups'!$E$4:$F$42,2,FALSE),"All_Districts"))</t>
        </is>
      </c>
    </row>
    <row r="245" ht="18" customHeight="1">
      <c r="A245" s="32" t="inlineStr">
        <is>
          <t>IF(E245="","",ROW()-3)</t>
        </is>
      </c>
      <c r="B245" s="42" t="inlineStr">
        <is>
          <t>AF2-DIS-R-082</t>
        </is>
      </c>
      <c r="C245" s="42" t="inlineStr">
        <is>
          <t>Emergency Food Security Project (EFSP) – WBK/AF-2</t>
        </is>
      </c>
      <c r="D245" s="4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5" s="42" t="inlineStr">
        <is>
          <t>Haji Atta Khan Drip Irrgiatation Scheme</t>
        </is>
      </c>
      <c r="F245" s="42" t="inlineStr">
        <is>
          <t>Drip Irrigation</t>
        </is>
      </c>
      <c r="G245" s="42" t="inlineStr">
        <is>
          <t>Northeast / Kunduz</t>
        </is>
      </c>
      <c r="H245" s="42" t="inlineStr">
        <is>
          <t>Kunduz</t>
        </is>
      </c>
      <c r="I245" s="42" t="inlineStr">
        <is>
          <t>Chahar Dara</t>
        </is>
      </c>
      <c r="J245" s="42" t="inlineStr">
        <is>
          <t>Haji Atta Khan Masjid</t>
        </is>
      </c>
      <c r="K245" s="42" t="inlineStr">
        <is>
          <t>World Bank (WBK/AF-2)</t>
        </is>
      </c>
      <c r="L245" s="42" t="inlineStr">
        <is>
          <t>Remaining</t>
        </is>
      </c>
      <c r="M245" s="42" t="inlineStr">
        <is>
          <t>Drip irrigation</t>
        </is>
      </c>
      <c r="N245" s="42" t="inlineStr">
        <is>
          <t>5. Drip Irrigation systems</t>
        </is>
      </c>
      <c r="O245" s="42" t="inlineStr">
        <is>
          <t>Haji Hamayoon Salimi</t>
        </is>
      </c>
      <c r="P245" s="42" t="inlineStr"/>
      <c r="Q245" s="43" t="n">
        <v>8500</v>
      </c>
      <c r="R245" s="35" t="inlineStr">
        <is>
          <t>IF(AO245="","",AO245)</t>
        </is>
      </c>
      <c r="S245" s="44" t="n">
        <v>46412</v>
      </c>
      <c r="T245" s="45" t="n">
        <v>6.2</v>
      </c>
      <c r="U245" s="44" t="n">
        <v>46602</v>
      </c>
      <c r="V245" s="35" t="inlineStr">
        <is>
          <t>IF(U245&lt;&gt;"",U245,IF(OR(R245="",T245=""),"",EDATE(R245,T245)))</t>
        </is>
      </c>
      <c r="W245" s="44" t="n"/>
      <c r="X245" s="45" t="n"/>
      <c r="Y245" s="42" t="inlineStr">
        <is>
          <t>Under Review of WRI</t>
        </is>
      </c>
      <c r="Z245" s="42" t="inlineStr">
        <is>
          <t>Construction period five months starting from March 2027. | Farmer: Haji Hamayoon Salimi</t>
        </is>
      </c>
      <c r="AA245" s="32" t="inlineStr">
        <is>
          <t>IF(E245="","",IF(COUNT(AG245:AT245)=0,IF(Y245="","Not started",Y245),SUBSTITUTE(LOOKUP(2,1/(AG245:AT245&lt;&gt;""),$AG$3:$AT$3),"Date: ","")))</t>
        </is>
      </c>
      <c r="AB245" s="38" t="inlineStr">
        <is>
          <t>IF(OR(E245="",COUNT(AG245:AT245)=0),"",TODAY()-LOOKUP(2,1/(AG245:AT245&lt;&gt;""),AG245:AT245))</t>
        </is>
      </c>
      <c r="AC245" s="38" t="inlineStr">
        <is>
          <t>IF(OR(E245="",COUNT(AG245:AT245)&lt;2),"",LOOKUP(2,1/(AG245:AT245&lt;&gt;""),AG245:AT245)-MIN(AG245:AT245))</t>
        </is>
      </c>
      <c r="AD245" s="38" t="inlineStr">
        <is>
          <t>IF(OR(AB245="",AA245="Not started",AA245=""),"",IFERROR(AB245-IF(VLOOKUP(AA245,'04_Status_Pipeline'!$B$3:$E$20,4,FALSE)="",0,VLOOKUP(AA245,'04_Status_Pipeline'!$B$3:$E$20,4,FALSE)),""))</t>
        </is>
      </c>
      <c r="AE245" s="32" t="inlineStr">
        <is>
          <t>IF(E245="","",IF(OR(Y245="Cancelled",AA245="Cancelled"),"Cancelled",IF(OR(AA245="Completed / Handover",W245&lt;&gt;"",X245&gt;=100),"Completed — on track",IF(L245="Remaining",IF(S245="",IF(V245="","No planned date",IF(TODAY()&gt;V245,"Behind — past planned date",IF(V245-TODAY()&lt;=30,"At risk — close to off track","On track"))),IF(TODAY()&gt;S245,"Behind — award date passed",IF(S245-TODAY()&lt;=30,"At risk — close to off track","On track"))),IF(V245="","No planned date",IF(AND(TODAY()&gt;V245,OR(X245="",X245&lt;100)),"Behind — past end date",IF(AND(R245&lt;&gt;"",V245&lt;&gt;"",X245&lt;&gt;"",(X245&lt;100),((TODAY()-R245)/MAX(V245-R245,1)*100)-X245&gt;15),"Behind — progress lag",IF(AND(V245-TODAY()&lt;=30,V245-TODAY()&gt;=0,OR(X245="",X245&lt;90)),"At risk — close to off track","On track"))))))))</t>
        </is>
      </c>
      <c r="AF245" s="38" t="inlineStr">
        <is>
          <t>IF(OR(E245="",AA245="Completed / Handover",AA245="Cancelled"),"",IF(L245="Remaining",IF(S245&lt;&gt;"",S245-TODAY(),IF(V245="","",V245-TODAY())),IF(V245="","",V245-TODAY())))</t>
        </is>
      </c>
      <c r="AG245" s="44" t="n"/>
      <c r="AH245" s="44" t="n"/>
      <c r="AI245" s="44" t="n"/>
      <c r="AJ245" s="44" t="n"/>
      <c r="AK245" s="44" t="n"/>
      <c r="AL245" s="44" t="n"/>
      <c r="AM245" s="44" t="n"/>
      <c r="AN245" s="44" t="n"/>
      <c r="AO245" s="44" t="n"/>
      <c r="AP245" s="44" t="n"/>
      <c r="AQ245" s="44" t="n"/>
      <c r="AR245" s="40" t="n"/>
      <c r="AS245" s="40" t="n"/>
      <c r="AT245" s="40" t="n"/>
      <c r="AU245" s="38" t="inlineStr">
        <is>
          <t>IF(OR(E245="",AH245=""),"",IF(COUNT(AG245:AG245)=0,"",AH245-LOOKUP(2,1/(AG245:AG245&lt;&gt;""),AG245:AG245)))</t>
        </is>
      </c>
      <c r="AV245" s="38" t="inlineStr">
        <is>
          <t>IF(OR(E245="",AI245=""),"",IF(COUNT(AG245:AH245)=0,"",AI245-LOOKUP(2,1/(AG245:AH245&lt;&gt;""),AG245:AH245)))</t>
        </is>
      </c>
      <c r="AW245" s="38" t="inlineStr">
        <is>
          <t>IF(OR(E245="",AJ245=""),"",IF(COUNT(AG245:AI245)=0,"",AJ245-LOOKUP(2,1/(AG245:AI245&lt;&gt;""),AG245:AI245)))</t>
        </is>
      </c>
      <c r="AX245" s="38" t="inlineStr">
        <is>
          <t>IF(OR(E245="",AK245=""),"",IF(COUNT(AG245:AJ245)=0,"",AK245-LOOKUP(2,1/(AG245:AJ245&lt;&gt;""),AG245:AJ245)))</t>
        </is>
      </c>
      <c r="AY245" s="38" t="inlineStr">
        <is>
          <t>IF(OR(E245="",AL245=""),"",IF(COUNT(AG245:AK245)=0,"",AL245-LOOKUP(2,1/(AG245:AK245&lt;&gt;""),AG245:AK245)))</t>
        </is>
      </c>
      <c r="AZ245" s="38" t="inlineStr">
        <is>
          <t>IF(OR(E245="",AM245=""),"",IF(COUNT(AG245:AL245)=0,"",AM245-LOOKUP(2,1/(AG245:AL245&lt;&gt;""),AG245:AL245)))</t>
        </is>
      </c>
      <c r="BA245" s="38" t="inlineStr">
        <is>
          <t>IF(OR(E245="",AN245=""),"",IF(COUNT(AG245:AM245)=0,"",AN245-LOOKUP(2,1/(AG245:AM245&lt;&gt;""),AG245:AM245)))</t>
        </is>
      </c>
      <c r="BB245" s="38" t="inlineStr">
        <is>
          <t>IF(OR(E245="",AO245=""),"",IF(COUNT(AG245:AN245)=0,"",AO245-LOOKUP(2,1/(AG245:AN245&lt;&gt;""),AG245:AN245)))</t>
        </is>
      </c>
      <c r="BC245" s="38" t="inlineStr">
        <is>
          <t>IF(OR(E245="",AP245=""),"",IF(COUNT(AG245:AO245)=0,"",AP245-LOOKUP(2,1/(AG245:AO245&lt;&gt;""),AG245:AO245)))</t>
        </is>
      </c>
      <c r="BD245" s="38" t="inlineStr">
        <is>
          <t>IF(OR(E245="",AQ245=""),"",IF(COUNT(AG245:AP245)=0,"",AQ245-LOOKUP(2,1/(AG245:AP245&lt;&gt;""),AG245:AP245)))</t>
        </is>
      </c>
      <c r="BE245" s="38" t="inlineStr">
        <is>
          <t>IF(OR(E245="",AR245=""),"",IF(COUNT(AG245:AQ245)=0,"",AR245-LOOKUP(2,1/(AG245:AQ245&lt;&gt;""),AG245:AQ245)))</t>
        </is>
      </c>
      <c r="BF245" s="38" t="inlineStr">
        <is>
          <t>IF(OR(E245="",AS245=""),"",IF(COUNT(AG245:AR245)=0,"",AS245-LOOKUP(2,1/(AG245:AR245&lt;&gt;""),AG245:AR245)))</t>
        </is>
      </c>
      <c r="BG245" s="38" t="inlineStr">
        <is>
          <t>IF(OR(E245="",AT245=""),"",IF(COUNT(AG245:AS245)=0,"",AT245-LOOKUP(2,1/(AG245:AS245&lt;&gt;""),AG245:AS245)))</t>
        </is>
      </c>
      <c r="BH245" s="41" t="inlineStr">
        <is>
          <t>IF(G245="","All_Provinces",IFERROR(VLOOKUP(G245,'07_Lookups'!$A$4:$B$20,2,FALSE),"All_Provinces"))</t>
        </is>
      </c>
      <c r="BI245" s="41" t="inlineStr">
        <is>
          <t>IF(H245="","All_Districts",IFERROR(VLOOKUP(H245,'07_Lookups'!$E$4:$F$42,2,FALSE),"All_Districts"))</t>
        </is>
      </c>
    </row>
    <row r="246" ht="18" customHeight="1">
      <c r="A246" s="32" t="inlineStr">
        <is>
          <t>IF(E246="","",ROW()-3)</t>
        </is>
      </c>
      <c r="B246" s="33" t="inlineStr">
        <is>
          <t>AF2-DIS-R-083</t>
        </is>
      </c>
      <c r="C246" s="33" t="inlineStr">
        <is>
          <t>Emergency Food Security Project (EFSP) – WBK/AF-2</t>
        </is>
      </c>
      <c r="D246"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6" s="33" t="inlineStr">
        <is>
          <t>Masjid Dr. Shafiq Mamakhail Drip Irrigation Scheme</t>
        </is>
      </c>
      <c r="F246" s="33" t="inlineStr">
        <is>
          <t>Drip Irrigation</t>
        </is>
      </c>
      <c r="G246" s="33" t="inlineStr">
        <is>
          <t>Northeast / Kunduz</t>
        </is>
      </c>
      <c r="H246" s="33" t="inlineStr">
        <is>
          <t>Kunduz</t>
        </is>
      </c>
      <c r="I246" s="33" t="inlineStr">
        <is>
          <t>Chahar Dara</t>
        </is>
      </c>
      <c r="J246" s="33" t="inlineStr">
        <is>
          <t>Mamakhail</t>
        </is>
      </c>
      <c r="K246" s="33" t="inlineStr">
        <is>
          <t>World Bank (WBK/AF-2)</t>
        </is>
      </c>
      <c r="L246" s="33" t="inlineStr">
        <is>
          <t>Remaining</t>
        </is>
      </c>
      <c r="M246" s="33" t="inlineStr">
        <is>
          <t>Drip irrigation</t>
        </is>
      </c>
      <c r="N246" s="33" t="inlineStr">
        <is>
          <t>5. Drip Irrigation systems</t>
        </is>
      </c>
      <c r="O246" s="33" t="inlineStr">
        <is>
          <t>Ziaurrahman Mohammadi</t>
        </is>
      </c>
      <c r="P246" s="33" t="inlineStr"/>
      <c r="Q246" s="34" t="n">
        <v>4250</v>
      </c>
      <c r="R246" s="35" t="inlineStr">
        <is>
          <t>IF(AO246="","",AO246)</t>
        </is>
      </c>
      <c r="S246" s="36" t="n">
        <v>46412</v>
      </c>
      <c r="T246" s="37" t="n">
        <v>6.2</v>
      </c>
      <c r="U246" s="36" t="n">
        <v>46602</v>
      </c>
      <c r="V246" s="35" t="inlineStr">
        <is>
          <t>IF(U246&lt;&gt;"",U246,IF(OR(R246="",T246=""),"",EDATE(R246,T246)))</t>
        </is>
      </c>
      <c r="W246" s="36" t="n"/>
      <c r="X246" s="37" t="n"/>
      <c r="Y246" s="33" t="inlineStr">
        <is>
          <t>Under Review of WRI</t>
        </is>
      </c>
      <c r="Z246" s="33" t="inlineStr">
        <is>
          <t>Construction period five months starting from March 2027. | Farmer: Ziaurrahman Mohammadi</t>
        </is>
      </c>
      <c r="AA246" s="32" t="inlineStr">
        <is>
          <t>IF(E246="","",IF(COUNT(AG246:AT246)=0,IF(Y246="","Not started",Y246),SUBSTITUTE(LOOKUP(2,1/(AG246:AT246&lt;&gt;""),$AG$3:$AT$3),"Date: ","")))</t>
        </is>
      </c>
      <c r="AB246" s="38" t="inlineStr">
        <is>
          <t>IF(OR(E246="",COUNT(AG246:AT246)=0),"",TODAY()-LOOKUP(2,1/(AG246:AT246&lt;&gt;""),AG246:AT246))</t>
        </is>
      </c>
      <c r="AC246" s="38" t="inlineStr">
        <is>
          <t>IF(OR(E246="",COUNT(AG246:AT246)&lt;2),"",LOOKUP(2,1/(AG246:AT246&lt;&gt;""),AG246:AT246)-MIN(AG246:AT246))</t>
        </is>
      </c>
      <c r="AD246" s="38" t="inlineStr">
        <is>
          <t>IF(OR(AB246="",AA246="Not started",AA246=""),"",IFERROR(AB246-IF(VLOOKUP(AA246,'04_Status_Pipeline'!$B$3:$E$20,4,FALSE)="",0,VLOOKUP(AA246,'04_Status_Pipeline'!$B$3:$E$20,4,FALSE)),""))</t>
        </is>
      </c>
      <c r="AE246" s="32" t="inlineStr">
        <is>
          <t>IF(E246="","",IF(OR(Y246="Cancelled",AA246="Cancelled"),"Cancelled",IF(OR(AA246="Completed / Handover",W246&lt;&gt;"",X246&gt;=100),"Completed — on track",IF(L246="Remaining",IF(S246="",IF(V246="","No planned date",IF(TODAY()&gt;V246,"Behind — past planned date",IF(V246-TODAY()&lt;=30,"At risk — close to off track","On track"))),IF(TODAY()&gt;S246,"Behind — award date passed",IF(S246-TODAY()&lt;=30,"At risk — close to off track","On track"))),IF(V246="","No planned date",IF(AND(TODAY()&gt;V246,OR(X246="",X246&lt;100)),"Behind — past end date",IF(AND(R246&lt;&gt;"",V246&lt;&gt;"",X246&lt;&gt;"",(X246&lt;100),((TODAY()-R246)/MAX(V246-R246,1)*100)-X246&gt;15),"Behind — progress lag",IF(AND(V246-TODAY()&lt;=30,V246-TODAY()&gt;=0,OR(X246="",X246&lt;90)),"At risk — close to off track","On track"))))))))</t>
        </is>
      </c>
      <c r="AF246" s="38" t="inlineStr">
        <is>
          <t>IF(OR(E246="",AA246="Completed / Handover",AA246="Cancelled"),"",IF(L246="Remaining",IF(S246&lt;&gt;"",S246-TODAY(),IF(V246="","",V246-TODAY())),IF(V246="","",V246-TODAY())))</t>
        </is>
      </c>
      <c r="AG246" s="36" t="n"/>
      <c r="AH246" s="36" t="n"/>
      <c r="AI246" s="36" t="n"/>
      <c r="AJ246" s="36" t="n"/>
      <c r="AK246" s="36" t="n"/>
      <c r="AL246" s="36" t="n"/>
      <c r="AM246" s="36" t="n"/>
      <c r="AN246" s="36" t="n"/>
      <c r="AO246" s="36" t="n"/>
      <c r="AP246" s="36" t="n"/>
      <c r="AQ246" s="36" t="n"/>
      <c r="AR246" s="40" t="n"/>
      <c r="AS246" s="40" t="n"/>
      <c r="AT246" s="40" t="n"/>
      <c r="AU246" s="38" t="inlineStr">
        <is>
          <t>IF(OR(E246="",AH246=""),"",IF(COUNT(AG246:AG246)=0,"",AH246-LOOKUP(2,1/(AG246:AG246&lt;&gt;""),AG246:AG246)))</t>
        </is>
      </c>
      <c r="AV246" s="38" t="inlineStr">
        <is>
          <t>IF(OR(E246="",AI246=""),"",IF(COUNT(AG246:AH246)=0,"",AI246-LOOKUP(2,1/(AG246:AH246&lt;&gt;""),AG246:AH246)))</t>
        </is>
      </c>
      <c r="AW246" s="38" t="inlineStr">
        <is>
          <t>IF(OR(E246="",AJ246=""),"",IF(COUNT(AG246:AI246)=0,"",AJ246-LOOKUP(2,1/(AG246:AI246&lt;&gt;""),AG246:AI246)))</t>
        </is>
      </c>
      <c r="AX246" s="38" t="inlineStr">
        <is>
          <t>IF(OR(E246="",AK246=""),"",IF(COUNT(AG246:AJ246)=0,"",AK246-LOOKUP(2,1/(AG246:AJ246&lt;&gt;""),AG246:AJ246)))</t>
        </is>
      </c>
      <c r="AY246" s="38" t="inlineStr">
        <is>
          <t>IF(OR(E246="",AL246=""),"",IF(COUNT(AG246:AK246)=0,"",AL246-LOOKUP(2,1/(AG246:AK246&lt;&gt;""),AG246:AK246)))</t>
        </is>
      </c>
      <c r="AZ246" s="38" t="inlineStr">
        <is>
          <t>IF(OR(E246="",AM246=""),"",IF(COUNT(AG246:AL246)=0,"",AM246-LOOKUP(2,1/(AG246:AL246&lt;&gt;""),AG246:AL246)))</t>
        </is>
      </c>
      <c r="BA246" s="38" t="inlineStr">
        <is>
          <t>IF(OR(E246="",AN246=""),"",IF(COUNT(AG246:AM246)=0,"",AN246-LOOKUP(2,1/(AG246:AM246&lt;&gt;""),AG246:AM246)))</t>
        </is>
      </c>
      <c r="BB246" s="38" t="inlineStr">
        <is>
          <t>IF(OR(E246="",AO246=""),"",IF(COUNT(AG246:AN246)=0,"",AO246-LOOKUP(2,1/(AG246:AN246&lt;&gt;""),AG246:AN246)))</t>
        </is>
      </c>
      <c r="BC246" s="38" t="inlineStr">
        <is>
          <t>IF(OR(E246="",AP246=""),"",IF(COUNT(AG246:AO246)=0,"",AP246-LOOKUP(2,1/(AG246:AO246&lt;&gt;""),AG246:AO246)))</t>
        </is>
      </c>
      <c r="BD246" s="38" t="inlineStr">
        <is>
          <t>IF(OR(E246="",AQ246=""),"",IF(COUNT(AG246:AP246)=0,"",AQ246-LOOKUP(2,1/(AG246:AP246&lt;&gt;""),AG246:AP246)))</t>
        </is>
      </c>
      <c r="BE246" s="38" t="inlineStr">
        <is>
          <t>IF(OR(E246="",AR246=""),"",IF(COUNT(AG246:AQ246)=0,"",AR246-LOOKUP(2,1/(AG246:AQ246&lt;&gt;""),AG246:AQ246)))</t>
        </is>
      </c>
      <c r="BF246" s="38" t="inlineStr">
        <is>
          <t>IF(OR(E246="",AS246=""),"",IF(COUNT(AG246:AR246)=0,"",AS246-LOOKUP(2,1/(AG246:AR246&lt;&gt;""),AG246:AR246)))</t>
        </is>
      </c>
      <c r="BG246" s="38" t="inlineStr">
        <is>
          <t>IF(OR(E246="",AT246=""),"",IF(COUNT(AG246:AS246)=0,"",AT246-LOOKUP(2,1/(AG246:AS246&lt;&gt;""),AG246:AS246)))</t>
        </is>
      </c>
      <c r="BH246" s="41" t="inlineStr">
        <is>
          <t>IF(G246="","All_Provinces",IFERROR(VLOOKUP(G246,'07_Lookups'!$A$4:$B$20,2,FALSE),"All_Provinces"))</t>
        </is>
      </c>
      <c r="BI246" s="41" t="inlineStr">
        <is>
          <t>IF(H246="","All_Districts",IFERROR(VLOOKUP(H246,'07_Lookups'!$E$4:$F$42,2,FALSE),"All_Districts"))</t>
        </is>
      </c>
    </row>
    <row r="247" ht="18" customHeight="1">
      <c r="A247" s="32" t="inlineStr">
        <is>
          <t>IF(E247="","",ROW()-3)</t>
        </is>
      </c>
      <c r="B247" s="42" t="inlineStr">
        <is>
          <t>AF2-DIS-R-084</t>
        </is>
      </c>
      <c r="C247" s="42" t="inlineStr">
        <is>
          <t>Emergency Food Security Project (EFSP) – WBK/AF-2</t>
        </is>
      </c>
      <c r="D247" s="4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7" s="42" t="inlineStr">
        <is>
          <t>Tilajat Drip Irrigation Scheme</t>
        </is>
      </c>
      <c r="F247" s="42" t="inlineStr">
        <is>
          <t>Drip Irrigation</t>
        </is>
      </c>
      <c r="G247" s="42" t="inlineStr">
        <is>
          <t>Northeast / Kunduz</t>
        </is>
      </c>
      <c r="H247" s="42" t="inlineStr">
        <is>
          <t>Takhar</t>
        </is>
      </c>
      <c r="I247" s="42" t="inlineStr">
        <is>
          <t>Rustaq</t>
        </is>
      </c>
      <c r="J247" s="42" t="inlineStr">
        <is>
          <t>Tilajat Baloch</t>
        </is>
      </c>
      <c r="K247" s="42" t="inlineStr">
        <is>
          <t>World Bank (WBK/AF-2)</t>
        </is>
      </c>
      <c r="L247" s="42" t="inlineStr">
        <is>
          <t>Remaining</t>
        </is>
      </c>
      <c r="M247" s="42" t="inlineStr">
        <is>
          <t>Drip irrigation</t>
        </is>
      </c>
      <c r="N247" s="42" t="inlineStr">
        <is>
          <t>5. Drip Irrigation systems</t>
        </is>
      </c>
      <c r="O247" s="42" t="inlineStr">
        <is>
          <t>Fida Mohammad</t>
        </is>
      </c>
      <c r="P247" s="42" t="inlineStr"/>
      <c r="Q247" s="43" t="n">
        <v>8500</v>
      </c>
      <c r="R247" s="35" t="inlineStr">
        <is>
          <t>IF(AO247="","",AO247)</t>
        </is>
      </c>
      <c r="S247" s="44" t="n">
        <v>46412</v>
      </c>
      <c r="T247" s="45" t="n">
        <v>6.2</v>
      </c>
      <c r="U247" s="44" t="n">
        <v>46602</v>
      </c>
      <c r="V247" s="35" t="inlineStr">
        <is>
          <t>IF(U247&lt;&gt;"",U247,IF(OR(R247="",T247=""),"",EDATE(R247,T247)))</t>
        </is>
      </c>
      <c r="W247" s="44" t="n"/>
      <c r="X247" s="45" t="n"/>
      <c r="Y247" s="42" t="inlineStr">
        <is>
          <t>Under Review of WRI</t>
        </is>
      </c>
      <c r="Z247" s="42" t="inlineStr">
        <is>
          <t>Construction period five months starting from March 2027. | Farmer: Fida Mohammad</t>
        </is>
      </c>
      <c r="AA247" s="32" t="inlineStr">
        <is>
          <t>IF(E247="","",IF(COUNT(AG247:AT247)=0,IF(Y247="","Not started",Y247),SUBSTITUTE(LOOKUP(2,1/(AG247:AT247&lt;&gt;""),$AG$3:$AT$3),"Date: ","")))</t>
        </is>
      </c>
      <c r="AB247" s="38" t="inlineStr">
        <is>
          <t>IF(OR(E247="",COUNT(AG247:AT247)=0),"",TODAY()-LOOKUP(2,1/(AG247:AT247&lt;&gt;""),AG247:AT247))</t>
        </is>
      </c>
      <c r="AC247" s="38" t="inlineStr">
        <is>
          <t>IF(OR(E247="",COUNT(AG247:AT247)&lt;2),"",LOOKUP(2,1/(AG247:AT247&lt;&gt;""),AG247:AT247)-MIN(AG247:AT247))</t>
        </is>
      </c>
      <c r="AD247" s="38" t="inlineStr">
        <is>
          <t>IF(OR(AB247="",AA247="Not started",AA247=""),"",IFERROR(AB247-IF(VLOOKUP(AA247,'04_Status_Pipeline'!$B$3:$E$20,4,FALSE)="",0,VLOOKUP(AA247,'04_Status_Pipeline'!$B$3:$E$20,4,FALSE)),""))</t>
        </is>
      </c>
      <c r="AE247" s="32" t="inlineStr">
        <is>
          <t>IF(E247="","",IF(OR(Y247="Cancelled",AA247="Cancelled"),"Cancelled",IF(OR(AA247="Completed / Handover",W247&lt;&gt;"",X247&gt;=100),"Completed — on track",IF(L247="Remaining",IF(S247="",IF(V247="","No planned date",IF(TODAY()&gt;V247,"Behind — past planned date",IF(V247-TODAY()&lt;=30,"At risk — close to off track","On track"))),IF(TODAY()&gt;S247,"Behind — award date passed",IF(S247-TODAY()&lt;=30,"At risk — close to off track","On track"))),IF(V247="","No planned date",IF(AND(TODAY()&gt;V247,OR(X247="",X247&lt;100)),"Behind — past end date",IF(AND(R247&lt;&gt;"",V247&lt;&gt;"",X247&lt;&gt;"",(X247&lt;100),((TODAY()-R247)/MAX(V247-R247,1)*100)-X247&gt;15),"Behind — progress lag",IF(AND(V247-TODAY()&lt;=30,V247-TODAY()&gt;=0,OR(X247="",X247&lt;90)),"At risk — close to off track","On track"))))))))</t>
        </is>
      </c>
      <c r="AF247" s="38" t="inlineStr">
        <is>
          <t>IF(OR(E247="",AA247="Completed / Handover",AA247="Cancelled"),"",IF(L247="Remaining",IF(S247&lt;&gt;"",S247-TODAY(),IF(V247="","",V247-TODAY())),IF(V247="","",V247-TODAY())))</t>
        </is>
      </c>
      <c r="AG247" s="44" t="n"/>
      <c r="AH247" s="44" t="n"/>
      <c r="AI247" s="44" t="n"/>
      <c r="AJ247" s="44" t="n"/>
      <c r="AK247" s="44" t="n"/>
      <c r="AL247" s="44" t="n"/>
      <c r="AM247" s="44" t="n"/>
      <c r="AN247" s="44" t="n"/>
      <c r="AO247" s="44" t="n"/>
      <c r="AP247" s="44" t="n"/>
      <c r="AQ247" s="44" t="n"/>
      <c r="AR247" s="40" t="n"/>
      <c r="AS247" s="40" t="n"/>
      <c r="AT247" s="40" t="n"/>
      <c r="AU247" s="38" t="inlineStr">
        <is>
          <t>IF(OR(E247="",AH247=""),"",IF(COUNT(AG247:AG247)=0,"",AH247-LOOKUP(2,1/(AG247:AG247&lt;&gt;""),AG247:AG247)))</t>
        </is>
      </c>
      <c r="AV247" s="38" t="inlineStr">
        <is>
          <t>IF(OR(E247="",AI247=""),"",IF(COUNT(AG247:AH247)=0,"",AI247-LOOKUP(2,1/(AG247:AH247&lt;&gt;""),AG247:AH247)))</t>
        </is>
      </c>
      <c r="AW247" s="38" t="inlineStr">
        <is>
          <t>IF(OR(E247="",AJ247=""),"",IF(COUNT(AG247:AI247)=0,"",AJ247-LOOKUP(2,1/(AG247:AI247&lt;&gt;""),AG247:AI247)))</t>
        </is>
      </c>
      <c r="AX247" s="38" t="inlineStr">
        <is>
          <t>IF(OR(E247="",AK247=""),"",IF(COUNT(AG247:AJ247)=0,"",AK247-LOOKUP(2,1/(AG247:AJ247&lt;&gt;""),AG247:AJ247)))</t>
        </is>
      </c>
      <c r="AY247" s="38" t="inlineStr">
        <is>
          <t>IF(OR(E247="",AL247=""),"",IF(COUNT(AG247:AK247)=0,"",AL247-LOOKUP(2,1/(AG247:AK247&lt;&gt;""),AG247:AK247)))</t>
        </is>
      </c>
      <c r="AZ247" s="38" t="inlineStr">
        <is>
          <t>IF(OR(E247="",AM247=""),"",IF(COUNT(AG247:AL247)=0,"",AM247-LOOKUP(2,1/(AG247:AL247&lt;&gt;""),AG247:AL247)))</t>
        </is>
      </c>
      <c r="BA247" s="38" t="inlineStr">
        <is>
          <t>IF(OR(E247="",AN247=""),"",IF(COUNT(AG247:AM247)=0,"",AN247-LOOKUP(2,1/(AG247:AM247&lt;&gt;""),AG247:AM247)))</t>
        </is>
      </c>
      <c r="BB247" s="38" t="inlineStr">
        <is>
          <t>IF(OR(E247="",AO247=""),"",IF(COUNT(AG247:AN247)=0,"",AO247-LOOKUP(2,1/(AG247:AN247&lt;&gt;""),AG247:AN247)))</t>
        </is>
      </c>
      <c r="BC247" s="38" t="inlineStr">
        <is>
          <t>IF(OR(E247="",AP247=""),"",IF(COUNT(AG247:AO247)=0,"",AP247-LOOKUP(2,1/(AG247:AO247&lt;&gt;""),AG247:AO247)))</t>
        </is>
      </c>
      <c r="BD247" s="38" t="inlineStr">
        <is>
          <t>IF(OR(E247="",AQ247=""),"",IF(COUNT(AG247:AP247)=0,"",AQ247-LOOKUP(2,1/(AG247:AP247&lt;&gt;""),AG247:AP247)))</t>
        </is>
      </c>
      <c r="BE247" s="38" t="inlineStr">
        <is>
          <t>IF(OR(E247="",AR247=""),"",IF(COUNT(AG247:AQ247)=0,"",AR247-LOOKUP(2,1/(AG247:AQ247&lt;&gt;""),AG247:AQ247)))</t>
        </is>
      </c>
      <c r="BF247" s="38" t="inlineStr">
        <is>
          <t>IF(OR(E247="",AS247=""),"",IF(COUNT(AG247:AR247)=0,"",AS247-LOOKUP(2,1/(AG247:AR247&lt;&gt;""),AG247:AR247)))</t>
        </is>
      </c>
      <c r="BG247" s="38" t="inlineStr">
        <is>
          <t>IF(OR(E247="",AT247=""),"",IF(COUNT(AG247:AS247)=0,"",AT247-LOOKUP(2,1/(AG247:AS247&lt;&gt;""),AG247:AS247)))</t>
        </is>
      </c>
      <c r="BH247" s="41" t="inlineStr">
        <is>
          <t>IF(G247="","All_Provinces",IFERROR(VLOOKUP(G247,'07_Lookups'!$A$4:$B$20,2,FALSE),"All_Provinces"))</t>
        </is>
      </c>
      <c r="BI247" s="41" t="inlineStr">
        <is>
          <t>IF(H247="","All_Districts",IFERROR(VLOOKUP(H247,'07_Lookups'!$E$4:$F$42,2,FALSE),"All_Districts"))</t>
        </is>
      </c>
    </row>
    <row r="248" ht="18" customHeight="1">
      <c r="A248" s="32" t="inlineStr">
        <is>
          <t>IF(E248="","",ROW()-3)</t>
        </is>
      </c>
      <c r="B248" s="33" t="inlineStr">
        <is>
          <t>AF2-DIS-R-085</t>
        </is>
      </c>
      <c r="C248" s="33" t="inlineStr">
        <is>
          <t>Emergency Food Security Project (EFSP) – WBK/AF-2</t>
        </is>
      </c>
      <c r="D248"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8" s="33" t="inlineStr">
        <is>
          <t>Chaqul Drip Irrigation Scheme</t>
        </is>
      </c>
      <c r="F248" s="33" t="inlineStr">
        <is>
          <t>Drip Irrigation</t>
        </is>
      </c>
      <c r="G248" s="33" t="inlineStr">
        <is>
          <t>Northeast / Kunduz</t>
        </is>
      </c>
      <c r="H248" s="33" t="inlineStr">
        <is>
          <t>Takhar</t>
        </is>
      </c>
      <c r="I248" s="33" t="inlineStr">
        <is>
          <t>Baharak</t>
        </is>
      </c>
      <c r="J248" s="33" t="inlineStr">
        <is>
          <t>Chaqul</t>
        </is>
      </c>
      <c r="K248" s="33" t="inlineStr">
        <is>
          <t>World Bank (WBK/AF-2)</t>
        </is>
      </c>
      <c r="L248" s="33" t="inlineStr">
        <is>
          <t>Remaining</t>
        </is>
      </c>
      <c r="M248" s="33" t="inlineStr">
        <is>
          <t>Drip irrigation</t>
        </is>
      </c>
      <c r="N248" s="33" t="inlineStr">
        <is>
          <t>5. Drip Irrigation systems</t>
        </is>
      </c>
      <c r="O248" s="33" t="inlineStr">
        <is>
          <t>Nasratullah</t>
        </is>
      </c>
      <c r="P248" s="33" t="inlineStr"/>
      <c r="Q248" s="34" t="n">
        <v>4250</v>
      </c>
      <c r="R248" s="35" t="inlineStr">
        <is>
          <t>IF(AO248="","",AO248)</t>
        </is>
      </c>
      <c r="S248" s="36" t="n">
        <v>46412</v>
      </c>
      <c r="T248" s="37" t="n">
        <v>6.2</v>
      </c>
      <c r="U248" s="36" t="n">
        <v>46602</v>
      </c>
      <c r="V248" s="35" t="inlineStr">
        <is>
          <t>IF(U248&lt;&gt;"",U248,IF(OR(R248="",T248=""),"",EDATE(R248,T248)))</t>
        </is>
      </c>
      <c r="W248" s="36" t="n"/>
      <c r="X248" s="37" t="n"/>
      <c r="Y248" s="33" t="inlineStr">
        <is>
          <t>Under Review of WRI</t>
        </is>
      </c>
      <c r="Z248" s="33" t="inlineStr">
        <is>
          <t>Construction period five months starting from March 2027. | Farmer: Nasratullah</t>
        </is>
      </c>
      <c r="AA248" s="32" t="inlineStr">
        <is>
          <t>IF(E248="","",IF(COUNT(AG248:AT248)=0,IF(Y248="","Not started",Y248),SUBSTITUTE(LOOKUP(2,1/(AG248:AT248&lt;&gt;""),$AG$3:$AT$3),"Date: ","")))</t>
        </is>
      </c>
      <c r="AB248" s="38" t="inlineStr">
        <is>
          <t>IF(OR(E248="",COUNT(AG248:AT248)=0),"",TODAY()-LOOKUP(2,1/(AG248:AT248&lt;&gt;""),AG248:AT248))</t>
        </is>
      </c>
      <c r="AC248" s="38" t="inlineStr">
        <is>
          <t>IF(OR(E248="",COUNT(AG248:AT248)&lt;2),"",LOOKUP(2,1/(AG248:AT248&lt;&gt;""),AG248:AT248)-MIN(AG248:AT248))</t>
        </is>
      </c>
      <c r="AD248" s="38" t="inlineStr">
        <is>
          <t>IF(OR(AB248="",AA248="Not started",AA248=""),"",IFERROR(AB248-IF(VLOOKUP(AA248,'04_Status_Pipeline'!$B$3:$E$20,4,FALSE)="",0,VLOOKUP(AA248,'04_Status_Pipeline'!$B$3:$E$20,4,FALSE)),""))</t>
        </is>
      </c>
      <c r="AE248" s="32" t="inlineStr">
        <is>
          <t>IF(E248="","",IF(OR(Y248="Cancelled",AA248="Cancelled"),"Cancelled",IF(OR(AA248="Completed / Handover",W248&lt;&gt;"",X248&gt;=100),"Completed — on track",IF(L248="Remaining",IF(S248="",IF(V248="","No planned date",IF(TODAY()&gt;V248,"Behind — past planned date",IF(V248-TODAY()&lt;=30,"At risk — close to off track","On track"))),IF(TODAY()&gt;S248,"Behind — award date passed",IF(S248-TODAY()&lt;=30,"At risk — close to off track","On track"))),IF(V248="","No planned date",IF(AND(TODAY()&gt;V248,OR(X248="",X248&lt;100)),"Behind — past end date",IF(AND(R248&lt;&gt;"",V248&lt;&gt;"",X248&lt;&gt;"",(X248&lt;100),((TODAY()-R248)/MAX(V248-R248,1)*100)-X248&gt;15),"Behind — progress lag",IF(AND(V248-TODAY()&lt;=30,V248-TODAY()&gt;=0,OR(X248="",X248&lt;90)),"At risk — close to off track","On track"))))))))</t>
        </is>
      </c>
      <c r="AF248" s="38" t="inlineStr">
        <is>
          <t>IF(OR(E248="",AA248="Completed / Handover",AA248="Cancelled"),"",IF(L248="Remaining",IF(S248&lt;&gt;"",S248-TODAY(),IF(V248="","",V248-TODAY())),IF(V248="","",V248-TODAY())))</t>
        </is>
      </c>
      <c r="AG248" s="36" t="n"/>
      <c r="AH248" s="36" t="n"/>
      <c r="AI248" s="36" t="n"/>
      <c r="AJ248" s="36" t="n"/>
      <c r="AK248" s="36" t="n"/>
      <c r="AL248" s="36" t="n"/>
      <c r="AM248" s="36" t="n"/>
      <c r="AN248" s="36" t="n"/>
      <c r="AO248" s="36" t="n"/>
      <c r="AP248" s="36" t="n"/>
      <c r="AQ248" s="36" t="n"/>
      <c r="AR248" s="40" t="n"/>
      <c r="AS248" s="40" t="n"/>
      <c r="AT248" s="40" t="n"/>
      <c r="AU248" s="38" t="inlineStr">
        <is>
          <t>IF(OR(E248="",AH248=""),"",IF(COUNT(AG248:AG248)=0,"",AH248-LOOKUP(2,1/(AG248:AG248&lt;&gt;""),AG248:AG248)))</t>
        </is>
      </c>
      <c r="AV248" s="38" t="inlineStr">
        <is>
          <t>IF(OR(E248="",AI248=""),"",IF(COUNT(AG248:AH248)=0,"",AI248-LOOKUP(2,1/(AG248:AH248&lt;&gt;""),AG248:AH248)))</t>
        </is>
      </c>
      <c r="AW248" s="38" t="inlineStr">
        <is>
          <t>IF(OR(E248="",AJ248=""),"",IF(COUNT(AG248:AI248)=0,"",AJ248-LOOKUP(2,1/(AG248:AI248&lt;&gt;""),AG248:AI248)))</t>
        </is>
      </c>
      <c r="AX248" s="38" t="inlineStr">
        <is>
          <t>IF(OR(E248="",AK248=""),"",IF(COUNT(AG248:AJ248)=0,"",AK248-LOOKUP(2,1/(AG248:AJ248&lt;&gt;""),AG248:AJ248)))</t>
        </is>
      </c>
      <c r="AY248" s="38" t="inlineStr">
        <is>
          <t>IF(OR(E248="",AL248=""),"",IF(COUNT(AG248:AK248)=0,"",AL248-LOOKUP(2,1/(AG248:AK248&lt;&gt;""),AG248:AK248)))</t>
        </is>
      </c>
      <c r="AZ248" s="38" t="inlineStr">
        <is>
          <t>IF(OR(E248="",AM248=""),"",IF(COUNT(AG248:AL248)=0,"",AM248-LOOKUP(2,1/(AG248:AL248&lt;&gt;""),AG248:AL248)))</t>
        </is>
      </c>
      <c r="BA248" s="38" t="inlineStr">
        <is>
          <t>IF(OR(E248="",AN248=""),"",IF(COUNT(AG248:AM248)=0,"",AN248-LOOKUP(2,1/(AG248:AM248&lt;&gt;""),AG248:AM248)))</t>
        </is>
      </c>
      <c r="BB248" s="38" t="inlineStr">
        <is>
          <t>IF(OR(E248="",AO248=""),"",IF(COUNT(AG248:AN248)=0,"",AO248-LOOKUP(2,1/(AG248:AN248&lt;&gt;""),AG248:AN248)))</t>
        </is>
      </c>
      <c r="BC248" s="38" t="inlineStr">
        <is>
          <t>IF(OR(E248="",AP248=""),"",IF(COUNT(AG248:AO248)=0,"",AP248-LOOKUP(2,1/(AG248:AO248&lt;&gt;""),AG248:AO248)))</t>
        </is>
      </c>
      <c r="BD248" s="38" t="inlineStr">
        <is>
          <t>IF(OR(E248="",AQ248=""),"",IF(COUNT(AG248:AP248)=0,"",AQ248-LOOKUP(2,1/(AG248:AP248&lt;&gt;""),AG248:AP248)))</t>
        </is>
      </c>
      <c r="BE248" s="38" t="inlineStr">
        <is>
          <t>IF(OR(E248="",AR248=""),"",IF(COUNT(AG248:AQ248)=0,"",AR248-LOOKUP(2,1/(AG248:AQ248&lt;&gt;""),AG248:AQ248)))</t>
        </is>
      </c>
      <c r="BF248" s="38" t="inlineStr">
        <is>
          <t>IF(OR(E248="",AS248=""),"",IF(COUNT(AG248:AR248)=0,"",AS248-LOOKUP(2,1/(AG248:AR248&lt;&gt;""),AG248:AR248)))</t>
        </is>
      </c>
      <c r="BG248" s="38" t="inlineStr">
        <is>
          <t>IF(OR(E248="",AT248=""),"",IF(COUNT(AG248:AS248)=0,"",AT248-LOOKUP(2,1/(AG248:AS248&lt;&gt;""),AG248:AS248)))</t>
        </is>
      </c>
      <c r="BH248" s="41" t="inlineStr">
        <is>
          <t>IF(G248="","All_Provinces",IFERROR(VLOOKUP(G248,'07_Lookups'!$A$4:$B$20,2,FALSE),"All_Provinces"))</t>
        </is>
      </c>
      <c r="BI248" s="41" t="inlineStr">
        <is>
          <t>IF(H248="","All_Districts",IFERROR(VLOOKUP(H248,'07_Lookups'!$E$4:$F$42,2,FALSE),"All_Districts"))</t>
        </is>
      </c>
    </row>
    <row r="249" ht="18" customHeight="1">
      <c r="A249" s="32" t="inlineStr">
        <is>
          <t>IF(E249="","",ROW()-3)</t>
        </is>
      </c>
      <c r="B249" s="42" t="inlineStr">
        <is>
          <t>AF2-DIS-R-086</t>
        </is>
      </c>
      <c r="C249" s="42" t="inlineStr">
        <is>
          <t>Emergency Food Security Project (EFSP) – WBK/AF-2</t>
        </is>
      </c>
      <c r="D249" s="4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9" s="42" t="inlineStr">
        <is>
          <t>Sara-e-Gharbi Drip Irrigation Scheme</t>
        </is>
      </c>
      <c r="F249" s="42" t="inlineStr">
        <is>
          <t>Drip Irrigation</t>
        </is>
      </c>
      <c r="G249" s="42" t="inlineStr">
        <is>
          <t>Northeast / Kunduz</t>
        </is>
      </c>
      <c r="H249" s="42" t="inlineStr">
        <is>
          <t>Badakhshan</t>
        </is>
      </c>
      <c r="I249" s="42" t="inlineStr">
        <is>
          <t>Kishem</t>
        </is>
      </c>
      <c r="J249" s="42" t="inlineStr">
        <is>
          <t>Sara-e-Gharbi</t>
        </is>
      </c>
      <c r="K249" s="42" t="inlineStr">
        <is>
          <t>World Bank (WBK/AF-2)</t>
        </is>
      </c>
      <c r="L249" s="42" t="inlineStr">
        <is>
          <t>Remaining</t>
        </is>
      </c>
      <c r="M249" s="42" t="inlineStr">
        <is>
          <t>Drip irrigation</t>
        </is>
      </c>
      <c r="N249" s="42" t="inlineStr">
        <is>
          <t>5. Drip Irrigation systems</t>
        </is>
      </c>
      <c r="O249" s="42" t="inlineStr">
        <is>
          <t>Haji Jamal</t>
        </is>
      </c>
      <c r="P249" s="42" t="inlineStr"/>
      <c r="Q249" s="43" t="n">
        <v>8500</v>
      </c>
      <c r="R249" s="35" t="inlineStr">
        <is>
          <t>IF(AO249="","",AO249)</t>
        </is>
      </c>
      <c r="S249" s="44" t="n">
        <v>46412</v>
      </c>
      <c r="T249" s="45" t="n">
        <v>6.2</v>
      </c>
      <c r="U249" s="44" t="n">
        <v>46602</v>
      </c>
      <c r="V249" s="35" t="inlineStr">
        <is>
          <t>IF(U249&lt;&gt;"",U249,IF(OR(R249="",T249=""),"",EDATE(R249,T249)))</t>
        </is>
      </c>
      <c r="W249" s="44" t="n"/>
      <c r="X249" s="45" t="n"/>
      <c r="Y249" s="42" t="inlineStr">
        <is>
          <t>Under Review of WRI</t>
        </is>
      </c>
      <c r="Z249" s="42" t="inlineStr">
        <is>
          <t>Construction period five months starting from March 2027. | Farmer: Haji Jamal</t>
        </is>
      </c>
      <c r="AA249" s="32" t="inlineStr">
        <is>
          <t>IF(E249="","",IF(COUNT(AG249:AT249)=0,IF(Y249="","Not started",Y249),SUBSTITUTE(LOOKUP(2,1/(AG249:AT249&lt;&gt;""),$AG$3:$AT$3),"Date: ","")))</t>
        </is>
      </c>
      <c r="AB249" s="38" t="inlineStr">
        <is>
          <t>IF(OR(E249="",COUNT(AG249:AT249)=0),"",TODAY()-LOOKUP(2,1/(AG249:AT249&lt;&gt;""),AG249:AT249))</t>
        </is>
      </c>
      <c r="AC249" s="38" t="inlineStr">
        <is>
          <t>IF(OR(E249="",COUNT(AG249:AT249)&lt;2),"",LOOKUP(2,1/(AG249:AT249&lt;&gt;""),AG249:AT249)-MIN(AG249:AT249))</t>
        </is>
      </c>
      <c r="AD249" s="38" t="inlineStr">
        <is>
          <t>IF(OR(AB249="",AA249="Not started",AA249=""),"",IFERROR(AB249-IF(VLOOKUP(AA249,'04_Status_Pipeline'!$B$3:$E$20,4,FALSE)="",0,VLOOKUP(AA249,'04_Status_Pipeline'!$B$3:$E$20,4,FALSE)),""))</t>
        </is>
      </c>
      <c r="AE249" s="32" t="inlineStr">
        <is>
          <t>IF(E249="","",IF(OR(Y249="Cancelled",AA249="Cancelled"),"Cancelled",IF(OR(AA249="Completed / Handover",W249&lt;&gt;"",X249&gt;=100),"Completed — on track",IF(L249="Remaining",IF(S249="",IF(V249="","No planned date",IF(TODAY()&gt;V249,"Behind — past planned date",IF(V249-TODAY()&lt;=30,"At risk — close to off track","On track"))),IF(TODAY()&gt;S249,"Behind — award date passed",IF(S249-TODAY()&lt;=30,"At risk — close to off track","On track"))),IF(V249="","No planned date",IF(AND(TODAY()&gt;V249,OR(X249="",X249&lt;100)),"Behind — past end date",IF(AND(R249&lt;&gt;"",V249&lt;&gt;"",X249&lt;&gt;"",(X249&lt;100),((TODAY()-R249)/MAX(V249-R249,1)*100)-X249&gt;15),"Behind — progress lag",IF(AND(V249-TODAY()&lt;=30,V249-TODAY()&gt;=0,OR(X249="",X249&lt;90)),"At risk — close to off track","On track"))))))))</t>
        </is>
      </c>
      <c r="AF249" s="38" t="inlineStr">
        <is>
          <t>IF(OR(E249="",AA249="Completed / Handover",AA249="Cancelled"),"",IF(L249="Remaining",IF(S249&lt;&gt;"",S249-TODAY(),IF(V249="","",V249-TODAY())),IF(V249="","",V249-TODAY())))</t>
        </is>
      </c>
      <c r="AG249" s="44" t="n"/>
      <c r="AH249" s="44" t="n"/>
      <c r="AI249" s="44" t="n"/>
      <c r="AJ249" s="44" t="n"/>
      <c r="AK249" s="44" t="n"/>
      <c r="AL249" s="44" t="n"/>
      <c r="AM249" s="44" t="n"/>
      <c r="AN249" s="44" t="n"/>
      <c r="AO249" s="44" t="n"/>
      <c r="AP249" s="44" t="n"/>
      <c r="AQ249" s="44" t="n"/>
      <c r="AR249" s="40" t="n"/>
      <c r="AS249" s="40" t="n"/>
      <c r="AT249" s="40" t="n"/>
      <c r="AU249" s="38" t="inlineStr">
        <is>
          <t>IF(OR(E249="",AH249=""),"",IF(COUNT(AG249:AG249)=0,"",AH249-LOOKUP(2,1/(AG249:AG249&lt;&gt;""),AG249:AG249)))</t>
        </is>
      </c>
      <c r="AV249" s="38" t="inlineStr">
        <is>
          <t>IF(OR(E249="",AI249=""),"",IF(COUNT(AG249:AH249)=0,"",AI249-LOOKUP(2,1/(AG249:AH249&lt;&gt;""),AG249:AH249)))</t>
        </is>
      </c>
      <c r="AW249" s="38" t="inlineStr">
        <is>
          <t>IF(OR(E249="",AJ249=""),"",IF(COUNT(AG249:AI249)=0,"",AJ249-LOOKUP(2,1/(AG249:AI249&lt;&gt;""),AG249:AI249)))</t>
        </is>
      </c>
      <c r="AX249" s="38" t="inlineStr">
        <is>
          <t>IF(OR(E249="",AK249=""),"",IF(COUNT(AG249:AJ249)=0,"",AK249-LOOKUP(2,1/(AG249:AJ249&lt;&gt;""),AG249:AJ249)))</t>
        </is>
      </c>
      <c r="AY249" s="38" t="inlineStr">
        <is>
          <t>IF(OR(E249="",AL249=""),"",IF(COUNT(AG249:AK249)=0,"",AL249-LOOKUP(2,1/(AG249:AK249&lt;&gt;""),AG249:AK249)))</t>
        </is>
      </c>
      <c r="AZ249" s="38" t="inlineStr">
        <is>
          <t>IF(OR(E249="",AM249=""),"",IF(COUNT(AG249:AL249)=0,"",AM249-LOOKUP(2,1/(AG249:AL249&lt;&gt;""),AG249:AL249)))</t>
        </is>
      </c>
      <c r="BA249" s="38" t="inlineStr">
        <is>
          <t>IF(OR(E249="",AN249=""),"",IF(COUNT(AG249:AM249)=0,"",AN249-LOOKUP(2,1/(AG249:AM249&lt;&gt;""),AG249:AM249)))</t>
        </is>
      </c>
      <c r="BB249" s="38" t="inlineStr">
        <is>
          <t>IF(OR(E249="",AO249=""),"",IF(COUNT(AG249:AN249)=0,"",AO249-LOOKUP(2,1/(AG249:AN249&lt;&gt;""),AG249:AN249)))</t>
        </is>
      </c>
      <c r="BC249" s="38" t="inlineStr">
        <is>
          <t>IF(OR(E249="",AP249=""),"",IF(COUNT(AG249:AO249)=0,"",AP249-LOOKUP(2,1/(AG249:AO249&lt;&gt;""),AG249:AO249)))</t>
        </is>
      </c>
      <c r="BD249" s="38" t="inlineStr">
        <is>
          <t>IF(OR(E249="",AQ249=""),"",IF(COUNT(AG249:AP249)=0,"",AQ249-LOOKUP(2,1/(AG249:AP249&lt;&gt;""),AG249:AP249)))</t>
        </is>
      </c>
      <c r="BE249" s="38" t="inlineStr">
        <is>
          <t>IF(OR(E249="",AR249=""),"",IF(COUNT(AG249:AQ249)=0,"",AR249-LOOKUP(2,1/(AG249:AQ249&lt;&gt;""),AG249:AQ249)))</t>
        </is>
      </c>
      <c r="BF249" s="38" t="inlineStr">
        <is>
          <t>IF(OR(E249="",AS249=""),"",IF(COUNT(AG249:AR249)=0,"",AS249-LOOKUP(2,1/(AG249:AR249&lt;&gt;""),AG249:AR249)))</t>
        </is>
      </c>
      <c r="BG249" s="38" t="inlineStr">
        <is>
          <t>IF(OR(E249="",AT249=""),"",IF(COUNT(AG249:AS249)=0,"",AT249-LOOKUP(2,1/(AG249:AS249&lt;&gt;""),AG249:AS249)))</t>
        </is>
      </c>
      <c r="BH249" s="41" t="inlineStr">
        <is>
          <t>IF(G249="","All_Provinces",IFERROR(VLOOKUP(G249,'07_Lookups'!$A$4:$B$20,2,FALSE),"All_Provinces"))</t>
        </is>
      </c>
      <c r="BI249" s="41" t="inlineStr">
        <is>
          <t>IF(H249="","All_Districts",IFERROR(VLOOKUP(H249,'07_Lookups'!$E$4:$F$42,2,FALSE),"All_Districts"))</t>
        </is>
      </c>
    </row>
    <row r="250" ht="18" customHeight="1">
      <c r="A250" s="32" t="inlineStr">
        <is>
          <t>IF(E250="","",ROW()-3)</t>
        </is>
      </c>
      <c r="B250" s="33" t="inlineStr">
        <is>
          <t>AF2-DIS-R-087</t>
        </is>
      </c>
      <c r="C250" s="33" t="inlineStr">
        <is>
          <t>Emergency Food Security Project (EFSP) – WBK/AF-2</t>
        </is>
      </c>
      <c r="D250"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50" s="33" t="inlineStr">
        <is>
          <t>Khoja Alwan Drip Irrigation Scheme</t>
        </is>
      </c>
      <c r="F250" s="33" t="inlineStr">
        <is>
          <t>Drip Irrigation</t>
        </is>
      </c>
      <c r="G250" s="33" t="inlineStr">
        <is>
          <t>Northeast / Kunduz</t>
        </is>
      </c>
      <c r="H250" s="33" t="inlineStr">
        <is>
          <t>Baghlan</t>
        </is>
      </c>
      <c r="I250" s="33" t="inlineStr">
        <is>
          <t>Dand Ghori</t>
        </is>
      </c>
      <c r="J250" s="33" t="inlineStr">
        <is>
          <t>Khoja Alwan</t>
        </is>
      </c>
      <c r="K250" s="33" t="inlineStr">
        <is>
          <t>World Bank (WBK/AF-2)</t>
        </is>
      </c>
      <c r="L250" s="33" t="inlineStr">
        <is>
          <t>Remaining</t>
        </is>
      </c>
      <c r="M250" s="33" t="inlineStr">
        <is>
          <t>Drip irrigation</t>
        </is>
      </c>
      <c r="N250" s="33" t="inlineStr">
        <is>
          <t>5. Drip Irrigation systems</t>
        </is>
      </c>
      <c r="O250" s="33" t="inlineStr">
        <is>
          <t>Haji Amir Gul</t>
        </is>
      </c>
      <c r="P250" s="33" t="inlineStr"/>
      <c r="Q250" s="34" t="n">
        <v>8500</v>
      </c>
      <c r="R250" s="35" t="inlineStr">
        <is>
          <t>IF(AO250="","",AO250)</t>
        </is>
      </c>
      <c r="S250" s="36" t="n">
        <v>46412</v>
      </c>
      <c r="T250" s="37" t="n">
        <v>6.2</v>
      </c>
      <c r="U250" s="36" t="n">
        <v>46602</v>
      </c>
      <c r="V250" s="35" t="inlineStr">
        <is>
          <t>IF(U250&lt;&gt;"",U250,IF(OR(R250="",T250=""),"",EDATE(R250,T250)))</t>
        </is>
      </c>
      <c r="W250" s="36" t="n"/>
      <c r="X250" s="37" t="n"/>
      <c r="Y250" s="33" t="inlineStr">
        <is>
          <t>Under Review of WRI</t>
        </is>
      </c>
      <c r="Z250" s="33" t="inlineStr">
        <is>
          <t>Construction period five months starting from March 2027. | Farmer: Haji Amir Gul</t>
        </is>
      </c>
      <c r="AA250" s="32" t="inlineStr">
        <is>
          <t>IF(E250="","",IF(COUNT(AG250:AT250)=0,IF(Y250="","Not started",Y250),SUBSTITUTE(LOOKUP(2,1/(AG250:AT250&lt;&gt;""),$AG$3:$AT$3),"Date: ","")))</t>
        </is>
      </c>
      <c r="AB250" s="38" t="inlineStr">
        <is>
          <t>IF(OR(E250="",COUNT(AG250:AT250)=0),"",TODAY()-LOOKUP(2,1/(AG250:AT250&lt;&gt;""),AG250:AT250))</t>
        </is>
      </c>
      <c r="AC250" s="38" t="inlineStr">
        <is>
          <t>IF(OR(E250="",COUNT(AG250:AT250)&lt;2),"",LOOKUP(2,1/(AG250:AT250&lt;&gt;""),AG250:AT250)-MIN(AG250:AT250))</t>
        </is>
      </c>
      <c r="AD250" s="38" t="inlineStr">
        <is>
          <t>IF(OR(AB250="",AA250="Not started",AA250=""),"",IFERROR(AB250-IF(VLOOKUP(AA250,'04_Status_Pipeline'!$B$3:$E$20,4,FALSE)="",0,VLOOKUP(AA250,'04_Status_Pipeline'!$B$3:$E$20,4,FALSE)),""))</t>
        </is>
      </c>
      <c r="AE250" s="32" t="inlineStr">
        <is>
          <t>IF(E250="","",IF(OR(Y250="Cancelled",AA250="Cancelled"),"Cancelled",IF(OR(AA250="Completed / Handover",W250&lt;&gt;"",X250&gt;=100),"Completed — on track",IF(L250="Remaining",IF(S250="",IF(V250="","No planned date",IF(TODAY()&gt;V250,"Behind — past planned date",IF(V250-TODAY()&lt;=30,"At risk — close to off track","On track"))),IF(TODAY()&gt;S250,"Behind — award date passed",IF(S250-TODAY()&lt;=30,"At risk — close to off track","On track"))),IF(V250="","No planned date",IF(AND(TODAY()&gt;V250,OR(X250="",X250&lt;100)),"Behind — past end date",IF(AND(R250&lt;&gt;"",V250&lt;&gt;"",X250&lt;&gt;"",(X250&lt;100),((TODAY()-R250)/MAX(V250-R250,1)*100)-X250&gt;15),"Behind — progress lag",IF(AND(V250-TODAY()&lt;=30,V250-TODAY()&gt;=0,OR(X250="",X250&lt;90)),"At risk — close to off track","On track"))))))))</t>
        </is>
      </c>
      <c r="AF250" s="38" t="inlineStr">
        <is>
          <t>IF(OR(E250="",AA250="Completed / Handover",AA250="Cancelled"),"",IF(L250="Remaining",IF(S250&lt;&gt;"",S250-TODAY(),IF(V250="","",V250-TODAY())),IF(V250="","",V250-TODAY())))</t>
        </is>
      </c>
      <c r="AG250" s="36" t="n"/>
      <c r="AH250" s="36" t="n"/>
      <c r="AI250" s="36" t="n"/>
      <c r="AJ250" s="36" t="n"/>
      <c r="AK250" s="36" t="n"/>
      <c r="AL250" s="36" t="n"/>
      <c r="AM250" s="36" t="n"/>
      <c r="AN250" s="36" t="n"/>
      <c r="AO250" s="36" t="n"/>
      <c r="AP250" s="36" t="n"/>
      <c r="AQ250" s="36" t="n"/>
      <c r="AR250" s="40" t="n"/>
      <c r="AS250" s="40" t="n"/>
      <c r="AT250" s="40" t="n"/>
      <c r="AU250" s="38" t="inlineStr">
        <is>
          <t>IF(OR(E250="",AH250=""),"",IF(COUNT(AG250:AG250)=0,"",AH250-LOOKUP(2,1/(AG250:AG250&lt;&gt;""),AG250:AG250)))</t>
        </is>
      </c>
      <c r="AV250" s="38" t="inlineStr">
        <is>
          <t>IF(OR(E250="",AI250=""),"",IF(COUNT(AG250:AH250)=0,"",AI250-LOOKUP(2,1/(AG250:AH250&lt;&gt;""),AG250:AH250)))</t>
        </is>
      </c>
      <c r="AW250" s="38" t="inlineStr">
        <is>
          <t>IF(OR(E250="",AJ250=""),"",IF(COUNT(AG250:AI250)=0,"",AJ250-LOOKUP(2,1/(AG250:AI250&lt;&gt;""),AG250:AI250)))</t>
        </is>
      </c>
      <c r="AX250" s="38" t="inlineStr">
        <is>
          <t>IF(OR(E250="",AK250=""),"",IF(COUNT(AG250:AJ250)=0,"",AK250-LOOKUP(2,1/(AG250:AJ250&lt;&gt;""),AG250:AJ250)))</t>
        </is>
      </c>
      <c r="AY250" s="38" t="inlineStr">
        <is>
          <t>IF(OR(E250="",AL250=""),"",IF(COUNT(AG250:AK250)=0,"",AL250-LOOKUP(2,1/(AG250:AK250&lt;&gt;""),AG250:AK250)))</t>
        </is>
      </c>
      <c r="AZ250" s="38" t="inlineStr">
        <is>
          <t>IF(OR(E250="",AM250=""),"",IF(COUNT(AG250:AL250)=0,"",AM250-LOOKUP(2,1/(AG250:AL250&lt;&gt;""),AG250:AL250)))</t>
        </is>
      </c>
      <c r="BA250" s="38" t="inlineStr">
        <is>
          <t>IF(OR(E250="",AN250=""),"",IF(COUNT(AG250:AM250)=0,"",AN250-LOOKUP(2,1/(AG250:AM250&lt;&gt;""),AG250:AM250)))</t>
        </is>
      </c>
      <c r="BB250" s="38" t="inlineStr">
        <is>
          <t>IF(OR(E250="",AO250=""),"",IF(COUNT(AG250:AN250)=0,"",AO250-LOOKUP(2,1/(AG250:AN250&lt;&gt;""),AG250:AN250)))</t>
        </is>
      </c>
      <c r="BC250" s="38" t="inlineStr">
        <is>
          <t>IF(OR(E250="",AP250=""),"",IF(COUNT(AG250:AO250)=0,"",AP250-LOOKUP(2,1/(AG250:AO250&lt;&gt;""),AG250:AO250)))</t>
        </is>
      </c>
      <c r="BD250" s="38" t="inlineStr">
        <is>
          <t>IF(OR(E250="",AQ250=""),"",IF(COUNT(AG250:AP250)=0,"",AQ250-LOOKUP(2,1/(AG250:AP250&lt;&gt;""),AG250:AP250)))</t>
        </is>
      </c>
      <c r="BE250" s="38" t="inlineStr">
        <is>
          <t>IF(OR(E250="",AR250=""),"",IF(COUNT(AG250:AQ250)=0,"",AR250-LOOKUP(2,1/(AG250:AQ250&lt;&gt;""),AG250:AQ250)))</t>
        </is>
      </c>
      <c r="BF250" s="38" t="inlineStr">
        <is>
          <t>IF(OR(E250="",AS250=""),"",IF(COUNT(AG250:AR250)=0,"",AS250-LOOKUP(2,1/(AG250:AR250&lt;&gt;""),AG250:AR250)))</t>
        </is>
      </c>
      <c r="BG250" s="38" t="inlineStr">
        <is>
          <t>IF(OR(E250="",AT250=""),"",IF(COUNT(AG250:AS250)=0,"",AT250-LOOKUP(2,1/(AG250:AS250&lt;&gt;""),AG250:AS250)))</t>
        </is>
      </c>
      <c r="BH250" s="41" t="inlineStr">
        <is>
          <t>IF(G250="","All_Provinces",IFERROR(VLOOKUP(G250,'07_Lookups'!$A$4:$B$20,2,FALSE),"All_Provinces"))</t>
        </is>
      </c>
      <c r="BI250" s="41" t="inlineStr">
        <is>
          <t>IF(H250="","All_Districts",IFERROR(VLOOKUP(H250,'07_Lookups'!$E$4:$F$42,2,FALSE),"All_Districts"))</t>
        </is>
      </c>
    </row>
    <row r="251" ht="18" customHeight="1">
      <c r="A251" s="32" t="inlineStr">
        <is>
          <t>IF(E251="","",ROW()-3)</t>
        </is>
      </c>
      <c r="B251" s="42" t="inlineStr">
        <is>
          <t>AF2-DIS-R-088</t>
        </is>
      </c>
      <c r="C251" s="42" t="inlineStr">
        <is>
          <t>Emergency Food Security Project (EFSP) – WBK/AF-2</t>
        </is>
      </c>
      <c r="D251" s="4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51" s="42" t="inlineStr">
        <is>
          <t>Qatar Fateh Drip Irrigation Scheme</t>
        </is>
      </c>
      <c r="F251" s="42" t="inlineStr">
        <is>
          <t>Drip Irrigation</t>
        </is>
      </c>
      <c r="G251" s="42" t="inlineStr">
        <is>
          <t>Northeast / Kunduz</t>
        </is>
      </c>
      <c r="H251" s="42" t="inlineStr">
        <is>
          <t>Baghlan</t>
        </is>
      </c>
      <c r="I251" s="42" t="inlineStr">
        <is>
          <t>Dahna-e-Ghori</t>
        </is>
      </c>
      <c r="J251" s="42" t="inlineStr">
        <is>
          <t>Qatar Fateh</t>
        </is>
      </c>
      <c r="K251" s="42" t="inlineStr">
        <is>
          <t>World Bank (WBK/AF-2)</t>
        </is>
      </c>
      <c r="L251" s="42" t="inlineStr">
        <is>
          <t>Remaining</t>
        </is>
      </c>
      <c r="M251" s="42" t="inlineStr">
        <is>
          <t>Drip irrigation</t>
        </is>
      </c>
      <c r="N251" s="42" t="inlineStr">
        <is>
          <t>5. Drip Irrigation systems</t>
        </is>
      </c>
      <c r="O251" s="42" t="inlineStr">
        <is>
          <t>Haji Nazar Gul</t>
        </is>
      </c>
      <c r="P251" s="42" t="inlineStr"/>
      <c r="Q251" s="43" t="n">
        <v>4250</v>
      </c>
      <c r="R251" s="35" t="inlineStr">
        <is>
          <t>IF(AO251="","",AO251)</t>
        </is>
      </c>
      <c r="S251" s="44" t="n">
        <v>46412</v>
      </c>
      <c r="T251" s="45" t="n">
        <v>6.2</v>
      </c>
      <c r="U251" s="44" t="n">
        <v>46602</v>
      </c>
      <c r="V251" s="35" t="inlineStr">
        <is>
          <t>IF(U251&lt;&gt;"",U251,IF(OR(R251="",T251=""),"",EDATE(R251,T251)))</t>
        </is>
      </c>
      <c r="W251" s="44" t="n"/>
      <c r="X251" s="45" t="n"/>
      <c r="Y251" s="42" t="inlineStr">
        <is>
          <t>Under Review of WRI</t>
        </is>
      </c>
      <c r="Z251" s="42" t="inlineStr">
        <is>
          <t>Construction period five months starting from March 2027. | Farmer: Haji Nazar Gul</t>
        </is>
      </c>
      <c r="AA251" s="32" t="inlineStr">
        <is>
          <t>IF(E251="","",IF(COUNT(AG251:AT251)=0,IF(Y251="","Not started",Y251),SUBSTITUTE(LOOKUP(2,1/(AG251:AT251&lt;&gt;""),$AG$3:$AT$3),"Date: ","")))</t>
        </is>
      </c>
      <c r="AB251" s="38" t="inlineStr">
        <is>
          <t>IF(OR(E251="",COUNT(AG251:AT251)=0),"",TODAY()-LOOKUP(2,1/(AG251:AT251&lt;&gt;""),AG251:AT251))</t>
        </is>
      </c>
      <c r="AC251" s="38" t="inlineStr">
        <is>
          <t>IF(OR(E251="",COUNT(AG251:AT251)&lt;2),"",LOOKUP(2,1/(AG251:AT251&lt;&gt;""),AG251:AT251)-MIN(AG251:AT251))</t>
        </is>
      </c>
      <c r="AD251" s="38" t="inlineStr">
        <is>
          <t>IF(OR(AB251="",AA251="Not started",AA251=""),"",IFERROR(AB251-IF(VLOOKUP(AA251,'04_Status_Pipeline'!$B$3:$E$20,4,FALSE)="",0,VLOOKUP(AA251,'04_Status_Pipeline'!$B$3:$E$20,4,FALSE)),""))</t>
        </is>
      </c>
      <c r="AE251" s="32" t="inlineStr">
        <is>
          <t>IF(E251="","",IF(OR(Y251="Cancelled",AA251="Cancelled"),"Cancelled",IF(OR(AA251="Completed / Handover",W251&lt;&gt;"",X251&gt;=100),"Completed — on track",IF(L251="Remaining",IF(S251="",IF(V251="","No planned date",IF(TODAY()&gt;V251,"Behind — past planned date",IF(V251-TODAY()&lt;=30,"At risk — close to off track","On track"))),IF(TODAY()&gt;S251,"Behind — award date passed",IF(S251-TODAY()&lt;=30,"At risk — close to off track","On track"))),IF(V251="","No planned date",IF(AND(TODAY()&gt;V251,OR(X251="",X251&lt;100)),"Behind — past end date",IF(AND(R251&lt;&gt;"",V251&lt;&gt;"",X251&lt;&gt;"",(X251&lt;100),((TODAY()-R251)/MAX(V251-R251,1)*100)-X251&gt;15),"Behind — progress lag",IF(AND(V251-TODAY()&lt;=30,V251-TODAY()&gt;=0,OR(X251="",X251&lt;90)),"At risk — close to off track","On track"))))))))</t>
        </is>
      </c>
      <c r="AF251" s="38" t="inlineStr">
        <is>
          <t>IF(OR(E251="",AA251="Completed / Handover",AA251="Cancelled"),"",IF(L251="Remaining",IF(S251&lt;&gt;"",S251-TODAY(),IF(V251="","",V251-TODAY())),IF(V251="","",V251-TODAY())))</t>
        </is>
      </c>
      <c r="AG251" s="44" t="n"/>
      <c r="AH251" s="44" t="n"/>
      <c r="AI251" s="44" t="n"/>
      <c r="AJ251" s="44" t="n"/>
      <c r="AK251" s="44" t="n"/>
      <c r="AL251" s="44" t="n"/>
      <c r="AM251" s="44" t="n"/>
      <c r="AN251" s="44" t="n"/>
      <c r="AO251" s="44" t="n"/>
      <c r="AP251" s="44" t="n"/>
      <c r="AQ251" s="44" t="n"/>
      <c r="AR251" s="40" t="n"/>
      <c r="AS251" s="40" t="n"/>
      <c r="AT251" s="40" t="n"/>
      <c r="AU251" s="38" t="inlineStr">
        <is>
          <t>IF(OR(E251="",AH251=""),"",IF(COUNT(AG251:AG251)=0,"",AH251-LOOKUP(2,1/(AG251:AG251&lt;&gt;""),AG251:AG251)))</t>
        </is>
      </c>
      <c r="AV251" s="38" t="inlineStr">
        <is>
          <t>IF(OR(E251="",AI251=""),"",IF(COUNT(AG251:AH251)=0,"",AI251-LOOKUP(2,1/(AG251:AH251&lt;&gt;""),AG251:AH251)))</t>
        </is>
      </c>
      <c r="AW251" s="38" t="inlineStr">
        <is>
          <t>IF(OR(E251="",AJ251=""),"",IF(COUNT(AG251:AI251)=0,"",AJ251-LOOKUP(2,1/(AG251:AI251&lt;&gt;""),AG251:AI251)))</t>
        </is>
      </c>
      <c r="AX251" s="38" t="inlineStr">
        <is>
          <t>IF(OR(E251="",AK251=""),"",IF(COUNT(AG251:AJ251)=0,"",AK251-LOOKUP(2,1/(AG251:AJ251&lt;&gt;""),AG251:AJ251)))</t>
        </is>
      </c>
      <c r="AY251" s="38" t="inlineStr">
        <is>
          <t>IF(OR(E251="",AL251=""),"",IF(COUNT(AG251:AK251)=0,"",AL251-LOOKUP(2,1/(AG251:AK251&lt;&gt;""),AG251:AK251)))</t>
        </is>
      </c>
      <c r="AZ251" s="38" t="inlineStr">
        <is>
          <t>IF(OR(E251="",AM251=""),"",IF(COUNT(AG251:AL251)=0,"",AM251-LOOKUP(2,1/(AG251:AL251&lt;&gt;""),AG251:AL251)))</t>
        </is>
      </c>
      <c r="BA251" s="38" t="inlineStr">
        <is>
          <t>IF(OR(E251="",AN251=""),"",IF(COUNT(AG251:AM251)=0,"",AN251-LOOKUP(2,1/(AG251:AM251&lt;&gt;""),AG251:AM251)))</t>
        </is>
      </c>
      <c r="BB251" s="38" t="inlineStr">
        <is>
          <t>IF(OR(E251="",AO251=""),"",IF(COUNT(AG251:AN251)=0,"",AO251-LOOKUP(2,1/(AG251:AN251&lt;&gt;""),AG251:AN251)))</t>
        </is>
      </c>
      <c r="BC251" s="38" t="inlineStr">
        <is>
          <t>IF(OR(E251="",AP251=""),"",IF(COUNT(AG251:AO251)=0,"",AP251-LOOKUP(2,1/(AG251:AO251&lt;&gt;""),AG251:AO251)))</t>
        </is>
      </c>
      <c r="BD251" s="38" t="inlineStr">
        <is>
          <t>IF(OR(E251="",AQ251=""),"",IF(COUNT(AG251:AP251)=0,"",AQ251-LOOKUP(2,1/(AG251:AP251&lt;&gt;""),AG251:AP251)))</t>
        </is>
      </c>
      <c r="BE251" s="38" t="inlineStr">
        <is>
          <t>IF(OR(E251="",AR251=""),"",IF(COUNT(AG251:AQ251)=0,"",AR251-LOOKUP(2,1/(AG251:AQ251&lt;&gt;""),AG251:AQ251)))</t>
        </is>
      </c>
      <c r="BF251" s="38" t="inlineStr">
        <is>
          <t>IF(OR(E251="",AS251=""),"",IF(COUNT(AG251:AR251)=0,"",AS251-LOOKUP(2,1/(AG251:AR251&lt;&gt;""),AG251:AR251)))</t>
        </is>
      </c>
      <c r="BG251" s="38" t="inlineStr">
        <is>
          <t>IF(OR(E251="",AT251=""),"",IF(COUNT(AG251:AS251)=0,"",AT251-LOOKUP(2,1/(AG251:AS251&lt;&gt;""),AG251:AS251)))</t>
        </is>
      </c>
      <c r="BH251" s="41" t="inlineStr">
        <is>
          <t>IF(G251="","All_Provinces",IFERROR(VLOOKUP(G251,'07_Lookups'!$A$4:$B$20,2,FALSE),"All_Provinces"))</t>
        </is>
      </c>
      <c r="BI251" s="41" t="inlineStr">
        <is>
          <t>IF(H251="","All_Districts",IFERROR(VLOOKUP(H251,'07_Lookups'!$E$4:$F$42,2,FALSE),"All_Districts"))</t>
        </is>
      </c>
    </row>
    <row r="252" ht="18" customHeight="1">
      <c r="A252" s="32" t="inlineStr">
        <is>
          <t>IF(E252="","",ROW()-3)</t>
        </is>
      </c>
      <c r="B252" s="33" t="inlineStr">
        <is>
          <t>AF2-DIS-R-089</t>
        </is>
      </c>
      <c r="C252" s="33" t="inlineStr">
        <is>
          <t>Emergency Food Security Project (EFSP) – WBK/AF-2</t>
        </is>
      </c>
      <c r="D252"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2" s="33" t="inlineStr">
        <is>
          <t>Uch Tepa drip irrigation</t>
        </is>
      </c>
      <c r="F252" s="33" t="inlineStr">
        <is>
          <t>Drip Irrigation</t>
        </is>
      </c>
      <c r="G252" s="33" t="inlineStr">
        <is>
          <t>North / Mazar</t>
        </is>
      </c>
      <c r="H252" s="33" t="inlineStr">
        <is>
          <t>Balkh</t>
        </is>
      </c>
      <c r="I252" s="33" t="inlineStr">
        <is>
          <t>Dehdadi</t>
        </is>
      </c>
      <c r="J252" s="33" t="inlineStr">
        <is>
          <t>Uch Tepa</t>
        </is>
      </c>
      <c r="K252" s="33" t="inlineStr">
        <is>
          <t>World Bank (WBK/AF-2)</t>
        </is>
      </c>
      <c r="L252" s="33" t="inlineStr">
        <is>
          <t>Remaining</t>
        </is>
      </c>
      <c r="M252" s="33" t="inlineStr">
        <is>
          <t>Drip irrigation</t>
        </is>
      </c>
      <c r="N252" s="33" t="inlineStr">
        <is>
          <t>5. Drip Irrigation systems</t>
        </is>
      </c>
      <c r="O252" s="33" t="inlineStr"/>
      <c r="P252" s="33" t="inlineStr"/>
      <c r="Q252" s="34" t="n">
        <v>8500</v>
      </c>
      <c r="R252" s="35" t="inlineStr">
        <is>
          <t>IF(AO252="","",AO252)</t>
        </is>
      </c>
      <c r="S252" s="36" t="n">
        <v>46042</v>
      </c>
      <c r="T252" s="37" t="n">
        <v>6.2</v>
      </c>
      <c r="U252" s="36" t="n">
        <v>46232</v>
      </c>
      <c r="V252" s="35" t="inlineStr">
        <is>
          <t>IF(U252&lt;&gt;"",U252,IF(OR(R252="",T252=""),"",EDATE(R252,T252)))</t>
        </is>
      </c>
      <c r="W252" s="36" t="n"/>
      <c r="X252" s="37" t="n"/>
      <c r="Y252" s="33" t="inlineStr">
        <is>
          <t>Under Review of WRI</t>
        </is>
      </c>
      <c r="Z252" s="33" t="inlineStr">
        <is>
          <t>Construction period five months starting from March 2027.</t>
        </is>
      </c>
      <c r="AA252" s="32" t="inlineStr">
        <is>
          <t>IF(E252="","",IF(COUNT(AG252:AT252)=0,IF(Y252="","Not started",Y252),SUBSTITUTE(LOOKUP(2,1/(AG252:AT252&lt;&gt;""),$AG$3:$AT$3),"Date: ","")))</t>
        </is>
      </c>
      <c r="AB252" s="38" t="inlineStr">
        <is>
          <t>IF(OR(E252="",COUNT(AG252:AT252)=0),"",TODAY()-LOOKUP(2,1/(AG252:AT252&lt;&gt;""),AG252:AT252))</t>
        </is>
      </c>
      <c r="AC252" s="38" t="inlineStr">
        <is>
          <t>IF(OR(E252="",COUNT(AG252:AT252)&lt;2),"",LOOKUP(2,1/(AG252:AT252&lt;&gt;""),AG252:AT252)-MIN(AG252:AT252))</t>
        </is>
      </c>
      <c r="AD252" s="38" t="inlineStr">
        <is>
          <t>IF(OR(AB252="",AA252="Not started",AA252=""),"",IFERROR(AB252-IF(VLOOKUP(AA252,'04_Status_Pipeline'!$B$3:$E$20,4,FALSE)="",0,VLOOKUP(AA252,'04_Status_Pipeline'!$B$3:$E$20,4,FALSE)),""))</t>
        </is>
      </c>
      <c r="AE252" s="32" t="inlineStr">
        <is>
          <t>IF(E252="","",IF(OR(Y252="Cancelled",AA252="Cancelled"),"Cancelled",IF(OR(AA252="Completed / Handover",W252&lt;&gt;"",X252&gt;=100),"Completed — on track",IF(L252="Remaining",IF(S252="",IF(V252="","No planned date",IF(TODAY()&gt;V252,"Behind — past planned date",IF(V252-TODAY()&lt;=30,"At risk — close to off track","On track"))),IF(TODAY()&gt;S252,"Behind — award date passed",IF(S252-TODAY()&lt;=30,"At risk — close to off track","On track"))),IF(V252="","No planned date",IF(AND(TODAY()&gt;V252,OR(X252="",X252&lt;100)),"Behind — past end date",IF(AND(R252&lt;&gt;"",V252&lt;&gt;"",X252&lt;&gt;"",(X252&lt;100),((TODAY()-R252)/MAX(V252-R252,1)*100)-X252&gt;15),"Behind — progress lag",IF(AND(V252-TODAY()&lt;=30,V252-TODAY()&gt;=0,OR(X252="",X252&lt;90)),"At risk — close to off track","On track"))))))))</t>
        </is>
      </c>
      <c r="AF252" s="38" t="inlineStr">
        <is>
          <t>IF(OR(E252="",AA252="Completed / Handover",AA252="Cancelled"),"",IF(L252="Remaining",IF(S252&lt;&gt;"",S252-TODAY(),IF(V252="","",V252-TODAY())),IF(V252="","",V252-TODAY())))</t>
        </is>
      </c>
      <c r="AG252" s="36" t="n"/>
      <c r="AH252" s="36" t="n"/>
      <c r="AI252" s="36" t="n"/>
      <c r="AJ252" s="36" t="n"/>
      <c r="AK252" s="36" t="n"/>
      <c r="AL252" s="36" t="n"/>
      <c r="AM252" s="36" t="n"/>
      <c r="AN252" s="36" t="n"/>
      <c r="AO252" s="36" t="n"/>
      <c r="AP252" s="36" t="n"/>
      <c r="AQ252" s="36" t="n"/>
      <c r="AR252" s="40" t="n"/>
      <c r="AS252" s="40" t="n"/>
      <c r="AT252" s="40" t="n"/>
      <c r="AU252" s="38" t="inlineStr">
        <is>
          <t>IF(OR(E252="",AH252=""),"",IF(COUNT(AG252:AG252)=0,"",AH252-LOOKUP(2,1/(AG252:AG252&lt;&gt;""),AG252:AG252)))</t>
        </is>
      </c>
      <c r="AV252" s="38" t="inlineStr">
        <is>
          <t>IF(OR(E252="",AI252=""),"",IF(COUNT(AG252:AH252)=0,"",AI252-LOOKUP(2,1/(AG252:AH252&lt;&gt;""),AG252:AH252)))</t>
        </is>
      </c>
      <c r="AW252" s="38" t="inlineStr">
        <is>
          <t>IF(OR(E252="",AJ252=""),"",IF(COUNT(AG252:AI252)=0,"",AJ252-LOOKUP(2,1/(AG252:AI252&lt;&gt;""),AG252:AI252)))</t>
        </is>
      </c>
      <c r="AX252" s="38" t="inlineStr">
        <is>
          <t>IF(OR(E252="",AK252=""),"",IF(COUNT(AG252:AJ252)=0,"",AK252-LOOKUP(2,1/(AG252:AJ252&lt;&gt;""),AG252:AJ252)))</t>
        </is>
      </c>
      <c r="AY252" s="38" t="inlineStr">
        <is>
          <t>IF(OR(E252="",AL252=""),"",IF(COUNT(AG252:AK252)=0,"",AL252-LOOKUP(2,1/(AG252:AK252&lt;&gt;""),AG252:AK252)))</t>
        </is>
      </c>
      <c r="AZ252" s="38" t="inlineStr">
        <is>
          <t>IF(OR(E252="",AM252=""),"",IF(COUNT(AG252:AL252)=0,"",AM252-LOOKUP(2,1/(AG252:AL252&lt;&gt;""),AG252:AL252)))</t>
        </is>
      </c>
      <c r="BA252" s="38" t="inlineStr">
        <is>
          <t>IF(OR(E252="",AN252=""),"",IF(COUNT(AG252:AM252)=0,"",AN252-LOOKUP(2,1/(AG252:AM252&lt;&gt;""),AG252:AM252)))</t>
        </is>
      </c>
      <c r="BB252" s="38" t="inlineStr">
        <is>
          <t>IF(OR(E252="",AO252=""),"",IF(COUNT(AG252:AN252)=0,"",AO252-LOOKUP(2,1/(AG252:AN252&lt;&gt;""),AG252:AN252)))</t>
        </is>
      </c>
      <c r="BC252" s="38" t="inlineStr">
        <is>
          <t>IF(OR(E252="",AP252=""),"",IF(COUNT(AG252:AO252)=0,"",AP252-LOOKUP(2,1/(AG252:AO252&lt;&gt;""),AG252:AO252)))</t>
        </is>
      </c>
      <c r="BD252" s="38" t="inlineStr">
        <is>
          <t>IF(OR(E252="",AQ252=""),"",IF(COUNT(AG252:AP252)=0,"",AQ252-LOOKUP(2,1/(AG252:AP252&lt;&gt;""),AG252:AP252)))</t>
        </is>
      </c>
      <c r="BE252" s="38" t="inlineStr">
        <is>
          <t>IF(OR(E252="",AR252=""),"",IF(COUNT(AG252:AQ252)=0,"",AR252-LOOKUP(2,1/(AG252:AQ252&lt;&gt;""),AG252:AQ252)))</t>
        </is>
      </c>
      <c r="BF252" s="38" t="inlineStr">
        <is>
          <t>IF(OR(E252="",AS252=""),"",IF(COUNT(AG252:AR252)=0,"",AS252-LOOKUP(2,1/(AG252:AR252&lt;&gt;""),AG252:AR252)))</t>
        </is>
      </c>
      <c r="BG252" s="38" t="inlineStr">
        <is>
          <t>IF(OR(E252="",AT252=""),"",IF(COUNT(AG252:AS252)=0,"",AT252-LOOKUP(2,1/(AG252:AS252&lt;&gt;""),AG252:AS252)))</t>
        </is>
      </c>
      <c r="BH252" s="41" t="inlineStr">
        <is>
          <t>IF(G252="","All_Provinces",IFERROR(VLOOKUP(G252,'07_Lookups'!$A$4:$B$20,2,FALSE),"All_Provinces"))</t>
        </is>
      </c>
      <c r="BI252" s="41" t="inlineStr">
        <is>
          <t>IF(H252="","All_Districts",IFERROR(VLOOKUP(H252,'07_Lookups'!$E$4:$F$42,2,FALSE),"All_Districts"))</t>
        </is>
      </c>
    </row>
    <row r="253" ht="18" customHeight="1">
      <c r="A253" s="32" t="inlineStr">
        <is>
          <t>IF(E253="","",ROW()-3)</t>
        </is>
      </c>
      <c r="B253" s="42" t="inlineStr">
        <is>
          <t>AF2-DIS-R-090</t>
        </is>
      </c>
      <c r="C253" s="42" t="inlineStr">
        <is>
          <t>Emergency Food Security Project (EFSP) – WBK/AF-2</t>
        </is>
      </c>
      <c r="D253"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3" s="42" t="inlineStr">
        <is>
          <t>Balkh university drip irrigation</t>
        </is>
      </c>
      <c r="F253" s="42" t="inlineStr">
        <is>
          <t>Drip Irrigation</t>
        </is>
      </c>
      <c r="G253" s="42" t="inlineStr">
        <is>
          <t>North / Mazar</t>
        </is>
      </c>
      <c r="H253" s="42" t="inlineStr">
        <is>
          <t>Balkh</t>
        </is>
      </c>
      <c r="I253" s="42" t="inlineStr">
        <is>
          <t>Mazar-e-Sharif</t>
        </is>
      </c>
      <c r="J253" s="42" t="inlineStr">
        <is>
          <t>Center</t>
        </is>
      </c>
      <c r="K253" s="42" t="inlineStr">
        <is>
          <t>World Bank (WBK/AF-2)</t>
        </is>
      </c>
      <c r="L253" s="42" t="inlineStr">
        <is>
          <t>Remaining</t>
        </is>
      </c>
      <c r="M253" s="42" t="inlineStr">
        <is>
          <t>Drip irrigation</t>
        </is>
      </c>
      <c r="N253" s="42" t="inlineStr">
        <is>
          <t>5. Drip Irrigation systems</t>
        </is>
      </c>
      <c r="O253" s="42" t="inlineStr"/>
      <c r="P253" s="42" t="inlineStr"/>
      <c r="Q253" s="43" t="n">
        <v>4250</v>
      </c>
      <c r="R253" s="35" t="inlineStr">
        <is>
          <t>IF(AO253="","",AO253)</t>
        </is>
      </c>
      <c r="S253" s="44" t="n">
        <v>46042</v>
      </c>
      <c r="T253" s="45" t="n">
        <v>6.2</v>
      </c>
      <c r="U253" s="44" t="n">
        <v>46232</v>
      </c>
      <c r="V253" s="35" t="inlineStr">
        <is>
          <t>IF(U253&lt;&gt;"",U253,IF(OR(R253="",T253=""),"",EDATE(R253,T253)))</t>
        </is>
      </c>
      <c r="W253" s="44" t="n"/>
      <c r="X253" s="45" t="n"/>
      <c r="Y253" s="42" t="inlineStr">
        <is>
          <t>Under Review of WRI</t>
        </is>
      </c>
      <c r="Z253" s="42" t="inlineStr">
        <is>
          <t>Construction period five months starting from March 2027.</t>
        </is>
      </c>
      <c r="AA253" s="32" t="inlineStr">
        <is>
          <t>IF(E253="","",IF(COUNT(AG253:AT253)=0,IF(Y253="","Not started",Y253),SUBSTITUTE(LOOKUP(2,1/(AG253:AT253&lt;&gt;""),$AG$3:$AT$3),"Date: ","")))</t>
        </is>
      </c>
      <c r="AB253" s="38" t="inlineStr">
        <is>
          <t>IF(OR(E253="",COUNT(AG253:AT253)=0),"",TODAY()-LOOKUP(2,1/(AG253:AT253&lt;&gt;""),AG253:AT253))</t>
        </is>
      </c>
      <c r="AC253" s="38" t="inlineStr">
        <is>
          <t>IF(OR(E253="",COUNT(AG253:AT253)&lt;2),"",LOOKUP(2,1/(AG253:AT253&lt;&gt;""),AG253:AT253)-MIN(AG253:AT253))</t>
        </is>
      </c>
      <c r="AD253" s="38" t="inlineStr">
        <is>
          <t>IF(OR(AB253="",AA253="Not started",AA253=""),"",IFERROR(AB253-IF(VLOOKUP(AA253,'04_Status_Pipeline'!$B$3:$E$20,4,FALSE)="",0,VLOOKUP(AA253,'04_Status_Pipeline'!$B$3:$E$20,4,FALSE)),""))</t>
        </is>
      </c>
      <c r="AE253" s="32" t="inlineStr">
        <is>
          <t>IF(E253="","",IF(OR(Y253="Cancelled",AA253="Cancelled"),"Cancelled",IF(OR(AA253="Completed / Handover",W253&lt;&gt;"",X253&gt;=100),"Completed — on track",IF(L253="Remaining",IF(S253="",IF(V253="","No planned date",IF(TODAY()&gt;V253,"Behind — past planned date",IF(V253-TODAY()&lt;=30,"At risk — close to off track","On track"))),IF(TODAY()&gt;S253,"Behind — award date passed",IF(S253-TODAY()&lt;=30,"At risk — close to off track","On track"))),IF(V253="","No planned date",IF(AND(TODAY()&gt;V253,OR(X253="",X253&lt;100)),"Behind — past end date",IF(AND(R253&lt;&gt;"",V253&lt;&gt;"",X253&lt;&gt;"",(X253&lt;100),((TODAY()-R253)/MAX(V253-R253,1)*100)-X253&gt;15),"Behind — progress lag",IF(AND(V253-TODAY()&lt;=30,V253-TODAY()&gt;=0,OR(X253="",X253&lt;90)),"At risk — close to off track","On track"))))))))</t>
        </is>
      </c>
      <c r="AF253" s="38" t="inlineStr">
        <is>
          <t>IF(OR(E253="",AA253="Completed / Handover",AA253="Cancelled"),"",IF(L253="Remaining",IF(S253&lt;&gt;"",S253-TODAY(),IF(V253="","",V253-TODAY())),IF(V253="","",V253-TODAY())))</t>
        </is>
      </c>
      <c r="AG253" s="44" t="n"/>
      <c r="AH253" s="44" t="n"/>
      <c r="AI253" s="44" t="n"/>
      <c r="AJ253" s="44" t="n"/>
      <c r="AK253" s="44" t="n"/>
      <c r="AL253" s="44" t="n"/>
      <c r="AM253" s="44" t="n"/>
      <c r="AN253" s="44" t="n"/>
      <c r="AO253" s="44" t="n"/>
      <c r="AP253" s="44" t="n"/>
      <c r="AQ253" s="44" t="n"/>
      <c r="AR253" s="40" t="n"/>
      <c r="AS253" s="40" t="n"/>
      <c r="AT253" s="40" t="n"/>
      <c r="AU253" s="38" t="inlineStr">
        <is>
          <t>IF(OR(E253="",AH253=""),"",IF(COUNT(AG253:AG253)=0,"",AH253-LOOKUP(2,1/(AG253:AG253&lt;&gt;""),AG253:AG253)))</t>
        </is>
      </c>
      <c r="AV253" s="38" t="inlineStr">
        <is>
          <t>IF(OR(E253="",AI253=""),"",IF(COUNT(AG253:AH253)=0,"",AI253-LOOKUP(2,1/(AG253:AH253&lt;&gt;""),AG253:AH253)))</t>
        </is>
      </c>
      <c r="AW253" s="38" t="inlineStr">
        <is>
          <t>IF(OR(E253="",AJ253=""),"",IF(COUNT(AG253:AI253)=0,"",AJ253-LOOKUP(2,1/(AG253:AI253&lt;&gt;""),AG253:AI253)))</t>
        </is>
      </c>
      <c r="AX253" s="38" t="inlineStr">
        <is>
          <t>IF(OR(E253="",AK253=""),"",IF(COUNT(AG253:AJ253)=0,"",AK253-LOOKUP(2,1/(AG253:AJ253&lt;&gt;""),AG253:AJ253)))</t>
        </is>
      </c>
      <c r="AY253" s="38" t="inlineStr">
        <is>
          <t>IF(OR(E253="",AL253=""),"",IF(COUNT(AG253:AK253)=0,"",AL253-LOOKUP(2,1/(AG253:AK253&lt;&gt;""),AG253:AK253)))</t>
        </is>
      </c>
      <c r="AZ253" s="38" t="inlineStr">
        <is>
          <t>IF(OR(E253="",AM253=""),"",IF(COUNT(AG253:AL253)=0,"",AM253-LOOKUP(2,1/(AG253:AL253&lt;&gt;""),AG253:AL253)))</t>
        </is>
      </c>
      <c r="BA253" s="38" t="inlineStr">
        <is>
          <t>IF(OR(E253="",AN253=""),"",IF(COUNT(AG253:AM253)=0,"",AN253-LOOKUP(2,1/(AG253:AM253&lt;&gt;""),AG253:AM253)))</t>
        </is>
      </c>
      <c r="BB253" s="38" t="inlineStr">
        <is>
          <t>IF(OR(E253="",AO253=""),"",IF(COUNT(AG253:AN253)=0,"",AO253-LOOKUP(2,1/(AG253:AN253&lt;&gt;""),AG253:AN253)))</t>
        </is>
      </c>
      <c r="BC253" s="38" t="inlineStr">
        <is>
          <t>IF(OR(E253="",AP253=""),"",IF(COUNT(AG253:AO253)=0,"",AP253-LOOKUP(2,1/(AG253:AO253&lt;&gt;""),AG253:AO253)))</t>
        </is>
      </c>
      <c r="BD253" s="38" t="inlineStr">
        <is>
          <t>IF(OR(E253="",AQ253=""),"",IF(COUNT(AG253:AP253)=0,"",AQ253-LOOKUP(2,1/(AG253:AP253&lt;&gt;""),AG253:AP253)))</t>
        </is>
      </c>
      <c r="BE253" s="38" t="inlineStr">
        <is>
          <t>IF(OR(E253="",AR253=""),"",IF(COUNT(AG253:AQ253)=0,"",AR253-LOOKUP(2,1/(AG253:AQ253&lt;&gt;""),AG253:AQ253)))</t>
        </is>
      </c>
      <c r="BF253" s="38" t="inlineStr">
        <is>
          <t>IF(OR(E253="",AS253=""),"",IF(COUNT(AG253:AR253)=0,"",AS253-LOOKUP(2,1/(AG253:AR253&lt;&gt;""),AG253:AR253)))</t>
        </is>
      </c>
      <c r="BG253" s="38" t="inlineStr">
        <is>
          <t>IF(OR(E253="",AT253=""),"",IF(COUNT(AG253:AS253)=0,"",AT253-LOOKUP(2,1/(AG253:AS253&lt;&gt;""),AG253:AS253)))</t>
        </is>
      </c>
      <c r="BH253" s="41" t="inlineStr">
        <is>
          <t>IF(G253="","All_Provinces",IFERROR(VLOOKUP(G253,'07_Lookups'!$A$4:$B$20,2,FALSE),"All_Provinces"))</t>
        </is>
      </c>
      <c r="BI253" s="41" t="inlineStr">
        <is>
          <t>IF(H253="","All_Districts",IFERROR(VLOOKUP(H253,'07_Lookups'!$E$4:$F$42,2,FALSE),"All_Districts"))</t>
        </is>
      </c>
    </row>
    <row r="254" ht="18" customHeight="1">
      <c r="A254" s="32" t="inlineStr">
        <is>
          <t>IF(E254="","",ROW()-3)</t>
        </is>
      </c>
      <c r="B254" s="33" t="inlineStr">
        <is>
          <t>AF2-DIS-R-091</t>
        </is>
      </c>
      <c r="C254" s="33" t="inlineStr">
        <is>
          <t>Emergency Food Security Project (EFSP) – WBK/AF-2</t>
        </is>
      </c>
      <c r="D254"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4" s="33" t="inlineStr">
        <is>
          <t>Balkh Agriculture and Livestock drip irrigation 3</t>
        </is>
      </c>
      <c r="F254" s="33" t="inlineStr">
        <is>
          <t>Drip Irrigation</t>
        </is>
      </c>
      <c r="G254" s="33" t="inlineStr">
        <is>
          <t>North / Mazar</t>
        </is>
      </c>
      <c r="H254" s="33" t="inlineStr">
        <is>
          <t>Balkh</t>
        </is>
      </c>
      <c r="I254" s="33" t="inlineStr">
        <is>
          <t>Mazar-e-Sharif</t>
        </is>
      </c>
      <c r="J254" s="33" t="inlineStr">
        <is>
          <t>Center</t>
        </is>
      </c>
      <c r="K254" s="33" t="inlineStr">
        <is>
          <t>World Bank (WBK/AF-2)</t>
        </is>
      </c>
      <c r="L254" s="33" t="inlineStr">
        <is>
          <t>Remaining</t>
        </is>
      </c>
      <c r="M254" s="33" t="inlineStr">
        <is>
          <t>Drip irrigation</t>
        </is>
      </c>
      <c r="N254" s="33" t="inlineStr">
        <is>
          <t>5. Drip Irrigation systems</t>
        </is>
      </c>
      <c r="O254" s="33" t="inlineStr"/>
      <c r="P254" s="33" t="inlineStr"/>
      <c r="Q254" s="34" t="n">
        <v>8500</v>
      </c>
      <c r="R254" s="35" t="inlineStr">
        <is>
          <t>IF(AO254="","",AO254)</t>
        </is>
      </c>
      <c r="S254" s="36" t="n">
        <v>46042</v>
      </c>
      <c r="T254" s="37" t="n">
        <v>6.2</v>
      </c>
      <c r="U254" s="36" t="n">
        <v>46232</v>
      </c>
      <c r="V254" s="35" t="inlineStr">
        <is>
          <t>IF(U254&lt;&gt;"",U254,IF(OR(R254="",T254=""),"",EDATE(R254,T254)))</t>
        </is>
      </c>
      <c r="W254" s="36" t="n"/>
      <c r="X254" s="37" t="n"/>
      <c r="Y254" s="33" t="inlineStr">
        <is>
          <t>Under Review of WRI</t>
        </is>
      </c>
      <c r="Z254" s="33" t="inlineStr">
        <is>
          <t>Construction period five months starting from March 2027.</t>
        </is>
      </c>
      <c r="AA254" s="32" t="inlineStr">
        <is>
          <t>IF(E254="","",IF(COUNT(AG254:AT254)=0,IF(Y254="","Not started",Y254),SUBSTITUTE(LOOKUP(2,1/(AG254:AT254&lt;&gt;""),$AG$3:$AT$3),"Date: ","")))</t>
        </is>
      </c>
      <c r="AB254" s="38" t="inlineStr">
        <is>
          <t>IF(OR(E254="",COUNT(AG254:AT254)=0),"",TODAY()-LOOKUP(2,1/(AG254:AT254&lt;&gt;""),AG254:AT254))</t>
        </is>
      </c>
      <c r="AC254" s="38" t="inlineStr">
        <is>
          <t>IF(OR(E254="",COUNT(AG254:AT254)&lt;2),"",LOOKUP(2,1/(AG254:AT254&lt;&gt;""),AG254:AT254)-MIN(AG254:AT254))</t>
        </is>
      </c>
      <c r="AD254" s="38" t="inlineStr">
        <is>
          <t>IF(OR(AB254="",AA254="Not started",AA254=""),"",IFERROR(AB254-IF(VLOOKUP(AA254,'04_Status_Pipeline'!$B$3:$E$20,4,FALSE)="",0,VLOOKUP(AA254,'04_Status_Pipeline'!$B$3:$E$20,4,FALSE)),""))</t>
        </is>
      </c>
      <c r="AE254" s="32" t="inlineStr">
        <is>
          <t>IF(E254="","",IF(OR(Y254="Cancelled",AA254="Cancelled"),"Cancelled",IF(OR(AA254="Completed / Handover",W254&lt;&gt;"",X254&gt;=100),"Completed — on track",IF(L254="Remaining",IF(S254="",IF(V254="","No planned date",IF(TODAY()&gt;V254,"Behind — past planned date",IF(V254-TODAY()&lt;=30,"At risk — close to off track","On track"))),IF(TODAY()&gt;S254,"Behind — award date passed",IF(S254-TODAY()&lt;=30,"At risk — close to off track","On track"))),IF(V254="","No planned date",IF(AND(TODAY()&gt;V254,OR(X254="",X254&lt;100)),"Behind — past end date",IF(AND(R254&lt;&gt;"",V254&lt;&gt;"",X254&lt;&gt;"",(X254&lt;100),((TODAY()-R254)/MAX(V254-R254,1)*100)-X254&gt;15),"Behind — progress lag",IF(AND(V254-TODAY()&lt;=30,V254-TODAY()&gt;=0,OR(X254="",X254&lt;90)),"At risk — close to off track","On track"))))))))</t>
        </is>
      </c>
      <c r="AF254" s="38" t="inlineStr">
        <is>
          <t>IF(OR(E254="",AA254="Completed / Handover",AA254="Cancelled"),"",IF(L254="Remaining",IF(S254&lt;&gt;"",S254-TODAY(),IF(V254="","",V254-TODAY())),IF(V254="","",V254-TODAY())))</t>
        </is>
      </c>
      <c r="AG254" s="36" t="n"/>
      <c r="AH254" s="36" t="n"/>
      <c r="AI254" s="36" t="n"/>
      <c r="AJ254" s="36" t="n"/>
      <c r="AK254" s="36" t="n"/>
      <c r="AL254" s="36" t="n"/>
      <c r="AM254" s="36" t="n"/>
      <c r="AN254" s="36" t="n"/>
      <c r="AO254" s="36" t="n"/>
      <c r="AP254" s="36" t="n"/>
      <c r="AQ254" s="36" t="n"/>
      <c r="AR254" s="40" t="n"/>
      <c r="AS254" s="40" t="n"/>
      <c r="AT254" s="40" t="n"/>
      <c r="AU254" s="38" t="inlineStr">
        <is>
          <t>IF(OR(E254="",AH254=""),"",IF(COUNT(AG254:AG254)=0,"",AH254-LOOKUP(2,1/(AG254:AG254&lt;&gt;""),AG254:AG254)))</t>
        </is>
      </c>
      <c r="AV254" s="38" t="inlineStr">
        <is>
          <t>IF(OR(E254="",AI254=""),"",IF(COUNT(AG254:AH254)=0,"",AI254-LOOKUP(2,1/(AG254:AH254&lt;&gt;""),AG254:AH254)))</t>
        </is>
      </c>
      <c r="AW254" s="38" t="inlineStr">
        <is>
          <t>IF(OR(E254="",AJ254=""),"",IF(COUNT(AG254:AI254)=0,"",AJ254-LOOKUP(2,1/(AG254:AI254&lt;&gt;""),AG254:AI254)))</t>
        </is>
      </c>
      <c r="AX254" s="38" t="inlineStr">
        <is>
          <t>IF(OR(E254="",AK254=""),"",IF(COUNT(AG254:AJ254)=0,"",AK254-LOOKUP(2,1/(AG254:AJ254&lt;&gt;""),AG254:AJ254)))</t>
        </is>
      </c>
      <c r="AY254" s="38" t="inlineStr">
        <is>
          <t>IF(OR(E254="",AL254=""),"",IF(COUNT(AG254:AK254)=0,"",AL254-LOOKUP(2,1/(AG254:AK254&lt;&gt;""),AG254:AK254)))</t>
        </is>
      </c>
      <c r="AZ254" s="38" t="inlineStr">
        <is>
          <t>IF(OR(E254="",AM254=""),"",IF(COUNT(AG254:AL254)=0,"",AM254-LOOKUP(2,1/(AG254:AL254&lt;&gt;""),AG254:AL254)))</t>
        </is>
      </c>
      <c r="BA254" s="38" t="inlineStr">
        <is>
          <t>IF(OR(E254="",AN254=""),"",IF(COUNT(AG254:AM254)=0,"",AN254-LOOKUP(2,1/(AG254:AM254&lt;&gt;""),AG254:AM254)))</t>
        </is>
      </c>
      <c r="BB254" s="38" t="inlineStr">
        <is>
          <t>IF(OR(E254="",AO254=""),"",IF(COUNT(AG254:AN254)=0,"",AO254-LOOKUP(2,1/(AG254:AN254&lt;&gt;""),AG254:AN254)))</t>
        </is>
      </c>
      <c r="BC254" s="38" t="inlineStr">
        <is>
          <t>IF(OR(E254="",AP254=""),"",IF(COUNT(AG254:AO254)=0,"",AP254-LOOKUP(2,1/(AG254:AO254&lt;&gt;""),AG254:AO254)))</t>
        </is>
      </c>
      <c r="BD254" s="38" t="inlineStr">
        <is>
          <t>IF(OR(E254="",AQ254=""),"",IF(COUNT(AG254:AP254)=0,"",AQ254-LOOKUP(2,1/(AG254:AP254&lt;&gt;""),AG254:AP254)))</t>
        </is>
      </c>
      <c r="BE254" s="38" t="inlineStr">
        <is>
          <t>IF(OR(E254="",AR254=""),"",IF(COUNT(AG254:AQ254)=0,"",AR254-LOOKUP(2,1/(AG254:AQ254&lt;&gt;""),AG254:AQ254)))</t>
        </is>
      </c>
      <c r="BF254" s="38" t="inlineStr">
        <is>
          <t>IF(OR(E254="",AS254=""),"",IF(COUNT(AG254:AR254)=0,"",AS254-LOOKUP(2,1/(AG254:AR254&lt;&gt;""),AG254:AR254)))</t>
        </is>
      </c>
      <c r="BG254" s="38" t="inlineStr">
        <is>
          <t>IF(OR(E254="",AT254=""),"",IF(COUNT(AG254:AS254)=0,"",AT254-LOOKUP(2,1/(AG254:AS254&lt;&gt;""),AG254:AS254)))</t>
        </is>
      </c>
      <c r="BH254" s="41" t="inlineStr">
        <is>
          <t>IF(G254="","All_Provinces",IFERROR(VLOOKUP(G254,'07_Lookups'!$A$4:$B$20,2,FALSE),"All_Provinces"))</t>
        </is>
      </c>
      <c r="BI254" s="41" t="inlineStr">
        <is>
          <t>IF(H254="","All_Districts",IFERROR(VLOOKUP(H254,'07_Lookups'!$E$4:$F$42,2,FALSE),"All_Districts"))</t>
        </is>
      </c>
    </row>
    <row r="255" ht="18" customHeight="1">
      <c r="A255" s="32" t="inlineStr">
        <is>
          <t>IF(E255="","",ROW()-3)</t>
        </is>
      </c>
      <c r="B255" s="42" t="inlineStr">
        <is>
          <t>AF2-DIS-R-092</t>
        </is>
      </c>
      <c r="C255" s="42" t="inlineStr">
        <is>
          <t>Emergency Food Security Project (EFSP) – WBK/AF-2</t>
        </is>
      </c>
      <c r="D255"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5" s="42" t="inlineStr">
        <is>
          <t>Dehdadi drip irrigation</t>
        </is>
      </c>
      <c r="F255" s="42" t="inlineStr">
        <is>
          <t>Drip Irrigation</t>
        </is>
      </c>
      <c r="G255" s="42" t="inlineStr">
        <is>
          <t>North / Mazar</t>
        </is>
      </c>
      <c r="H255" s="42" t="inlineStr">
        <is>
          <t>Balkh</t>
        </is>
      </c>
      <c r="I255" s="42" t="inlineStr">
        <is>
          <t>Dehdadi</t>
        </is>
      </c>
      <c r="J255" s="42" t="inlineStr">
        <is>
          <t>Sher Abad Olya</t>
        </is>
      </c>
      <c r="K255" s="42" t="inlineStr">
        <is>
          <t>World Bank (WBK/AF-2)</t>
        </is>
      </c>
      <c r="L255" s="42" t="inlineStr">
        <is>
          <t>Remaining</t>
        </is>
      </c>
      <c r="M255" s="42" t="inlineStr">
        <is>
          <t>Drip irrigation</t>
        </is>
      </c>
      <c r="N255" s="42" t="inlineStr">
        <is>
          <t>5. Drip Irrigation systems</t>
        </is>
      </c>
      <c r="O255" s="42" t="inlineStr"/>
      <c r="P255" s="42" t="inlineStr"/>
      <c r="Q255" s="43" t="n">
        <v>4250</v>
      </c>
      <c r="R255" s="35" t="inlineStr">
        <is>
          <t>IF(AO255="","",AO255)</t>
        </is>
      </c>
      <c r="S255" s="44" t="n">
        <v>46042</v>
      </c>
      <c r="T255" s="45" t="n">
        <v>6.2</v>
      </c>
      <c r="U255" s="44" t="n">
        <v>46232</v>
      </c>
      <c r="V255" s="35" t="inlineStr">
        <is>
          <t>IF(U255&lt;&gt;"",U255,IF(OR(R255="",T255=""),"",EDATE(R255,T255)))</t>
        </is>
      </c>
      <c r="W255" s="44" t="n"/>
      <c r="X255" s="45" t="n"/>
      <c r="Y255" s="42" t="inlineStr">
        <is>
          <t>Under Review of WRI</t>
        </is>
      </c>
      <c r="Z255" s="42" t="inlineStr">
        <is>
          <t>Construction period five months starting from March 2027.</t>
        </is>
      </c>
      <c r="AA255" s="32" t="inlineStr">
        <is>
          <t>IF(E255="","",IF(COUNT(AG255:AT255)=0,IF(Y255="","Not started",Y255),SUBSTITUTE(LOOKUP(2,1/(AG255:AT255&lt;&gt;""),$AG$3:$AT$3),"Date: ","")))</t>
        </is>
      </c>
      <c r="AB255" s="38" t="inlineStr">
        <is>
          <t>IF(OR(E255="",COUNT(AG255:AT255)=0),"",TODAY()-LOOKUP(2,1/(AG255:AT255&lt;&gt;""),AG255:AT255))</t>
        </is>
      </c>
      <c r="AC255" s="38" t="inlineStr">
        <is>
          <t>IF(OR(E255="",COUNT(AG255:AT255)&lt;2),"",LOOKUP(2,1/(AG255:AT255&lt;&gt;""),AG255:AT255)-MIN(AG255:AT255))</t>
        </is>
      </c>
      <c r="AD255" s="38" t="inlineStr">
        <is>
          <t>IF(OR(AB255="",AA255="Not started",AA255=""),"",IFERROR(AB255-IF(VLOOKUP(AA255,'04_Status_Pipeline'!$B$3:$E$20,4,FALSE)="",0,VLOOKUP(AA255,'04_Status_Pipeline'!$B$3:$E$20,4,FALSE)),""))</t>
        </is>
      </c>
      <c r="AE255" s="32" t="inlineStr">
        <is>
          <t>IF(E255="","",IF(OR(Y255="Cancelled",AA255="Cancelled"),"Cancelled",IF(OR(AA255="Completed / Handover",W255&lt;&gt;"",X255&gt;=100),"Completed — on track",IF(L255="Remaining",IF(S255="",IF(V255="","No planned date",IF(TODAY()&gt;V255,"Behind — past planned date",IF(V255-TODAY()&lt;=30,"At risk — close to off track","On track"))),IF(TODAY()&gt;S255,"Behind — award date passed",IF(S255-TODAY()&lt;=30,"At risk — close to off track","On track"))),IF(V255="","No planned date",IF(AND(TODAY()&gt;V255,OR(X255="",X255&lt;100)),"Behind — past end date",IF(AND(R255&lt;&gt;"",V255&lt;&gt;"",X255&lt;&gt;"",(X255&lt;100),((TODAY()-R255)/MAX(V255-R255,1)*100)-X255&gt;15),"Behind — progress lag",IF(AND(V255-TODAY()&lt;=30,V255-TODAY()&gt;=0,OR(X255="",X255&lt;90)),"At risk — close to off track","On track"))))))))</t>
        </is>
      </c>
      <c r="AF255" s="38" t="inlineStr">
        <is>
          <t>IF(OR(E255="",AA255="Completed / Handover",AA255="Cancelled"),"",IF(L255="Remaining",IF(S255&lt;&gt;"",S255-TODAY(),IF(V255="","",V255-TODAY())),IF(V255="","",V255-TODAY())))</t>
        </is>
      </c>
      <c r="AG255" s="44" t="n"/>
      <c r="AH255" s="44" t="n"/>
      <c r="AI255" s="44" t="n"/>
      <c r="AJ255" s="44" t="n"/>
      <c r="AK255" s="44" t="n"/>
      <c r="AL255" s="44" t="n"/>
      <c r="AM255" s="44" t="n"/>
      <c r="AN255" s="44" t="n"/>
      <c r="AO255" s="44" t="n"/>
      <c r="AP255" s="44" t="n"/>
      <c r="AQ255" s="44" t="n"/>
      <c r="AR255" s="40" t="n"/>
      <c r="AS255" s="40" t="n"/>
      <c r="AT255" s="40" t="n"/>
      <c r="AU255" s="38" t="inlineStr">
        <is>
          <t>IF(OR(E255="",AH255=""),"",IF(COUNT(AG255:AG255)=0,"",AH255-LOOKUP(2,1/(AG255:AG255&lt;&gt;""),AG255:AG255)))</t>
        </is>
      </c>
      <c r="AV255" s="38" t="inlineStr">
        <is>
          <t>IF(OR(E255="",AI255=""),"",IF(COUNT(AG255:AH255)=0,"",AI255-LOOKUP(2,1/(AG255:AH255&lt;&gt;""),AG255:AH255)))</t>
        </is>
      </c>
      <c r="AW255" s="38" t="inlineStr">
        <is>
          <t>IF(OR(E255="",AJ255=""),"",IF(COUNT(AG255:AI255)=0,"",AJ255-LOOKUP(2,1/(AG255:AI255&lt;&gt;""),AG255:AI255)))</t>
        </is>
      </c>
      <c r="AX255" s="38" t="inlineStr">
        <is>
          <t>IF(OR(E255="",AK255=""),"",IF(COUNT(AG255:AJ255)=0,"",AK255-LOOKUP(2,1/(AG255:AJ255&lt;&gt;""),AG255:AJ255)))</t>
        </is>
      </c>
      <c r="AY255" s="38" t="inlineStr">
        <is>
          <t>IF(OR(E255="",AL255=""),"",IF(COUNT(AG255:AK255)=0,"",AL255-LOOKUP(2,1/(AG255:AK255&lt;&gt;""),AG255:AK255)))</t>
        </is>
      </c>
      <c r="AZ255" s="38" t="inlineStr">
        <is>
          <t>IF(OR(E255="",AM255=""),"",IF(COUNT(AG255:AL255)=0,"",AM255-LOOKUP(2,1/(AG255:AL255&lt;&gt;""),AG255:AL255)))</t>
        </is>
      </c>
      <c r="BA255" s="38" t="inlineStr">
        <is>
          <t>IF(OR(E255="",AN255=""),"",IF(COUNT(AG255:AM255)=0,"",AN255-LOOKUP(2,1/(AG255:AM255&lt;&gt;""),AG255:AM255)))</t>
        </is>
      </c>
      <c r="BB255" s="38" t="inlineStr">
        <is>
          <t>IF(OR(E255="",AO255=""),"",IF(COUNT(AG255:AN255)=0,"",AO255-LOOKUP(2,1/(AG255:AN255&lt;&gt;""),AG255:AN255)))</t>
        </is>
      </c>
      <c r="BC255" s="38" t="inlineStr">
        <is>
          <t>IF(OR(E255="",AP255=""),"",IF(COUNT(AG255:AO255)=0,"",AP255-LOOKUP(2,1/(AG255:AO255&lt;&gt;""),AG255:AO255)))</t>
        </is>
      </c>
      <c r="BD255" s="38" t="inlineStr">
        <is>
          <t>IF(OR(E255="",AQ255=""),"",IF(COUNT(AG255:AP255)=0,"",AQ255-LOOKUP(2,1/(AG255:AP255&lt;&gt;""),AG255:AP255)))</t>
        </is>
      </c>
      <c r="BE255" s="38" t="inlineStr">
        <is>
          <t>IF(OR(E255="",AR255=""),"",IF(COUNT(AG255:AQ255)=0,"",AR255-LOOKUP(2,1/(AG255:AQ255&lt;&gt;""),AG255:AQ255)))</t>
        </is>
      </c>
      <c r="BF255" s="38" t="inlineStr">
        <is>
          <t>IF(OR(E255="",AS255=""),"",IF(COUNT(AG255:AR255)=0,"",AS255-LOOKUP(2,1/(AG255:AR255&lt;&gt;""),AG255:AR255)))</t>
        </is>
      </c>
      <c r="BG255" s="38" t="inlineStr">
        <is>
          <t>IF(OR(E255="",AT255=""),"",IF(COUNT(AG255:AS255)=0,"",AT255-LOOKUP(2,1/(AG255:AS255&lt;&gt;""),AG255:AS255)))</t>
        </is>
      </c>
      <c r="BH255" s="41" t="inlineStr">
        <is>
          <t>IF(G255="","All_Provinces",IFERROR(VLOOKUP(G255,'07_Lookups'!$A$4:$B$20,2,FALSE),"All_Provinces"))</t>
        </is>
      </c>
      <c r="BI255" s="41" t="inlineStr">
        <is>
          <t>IF(H255="","All_Districts",IFERROR(VLOOKUP(H255,'07_Lookups'!$E$4:$F$42,2,FALSE),"All_Districts"))</t>
        </is>
      </c>
    </row>
    <row r="256" ht="18" customHeight="1">
      <c r="A256" s="32" t="inlineStr">
        <is>
          <t>IF(E256="","",ROW()-3)</t>
        </is>
      </c>
      <c r="B256" s="33" t="inlineStr">
        <is>
          <t>AF2-DIS-R-093</t>
        </is>
      </c>
      <c r="C256" s="33" t="inlineStr">
        <is>
          <t>Emergency Food Security Project (EFSP) – WBK/AF-2</t>
        </is>
      </c>
      <c r="D256"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6" s="33" t="inlineStr">
        <is>
          <t>Charkent drip irrigation</t>
        </is>
      </c>
      <c r="F256" s="33" t="inlineStr">
        <is>
          <t>Drip Irrigation</t>
        </is>
      </c>
      <c r="G256" s="33" t="inlineStr">
        <is>
          <t>North / Mazar</t>
        </is>
      </c>
      <c r="H256" s="33" t="inlineStr">
        <is>
          <t>Balkh</t>
        </is>
      </c>
      <c r="I256" s="33" t="inlineStr">
        <is>
          <t>Charkent</t>
        </is>
      </c>
      <c r="J256" s="33" t="inlineStr">
        <is>
          <t>Modafean Payen</t>
        </is>
      </c>
      <c r="K256" s="33" t="inlineStr">
        <is>
          <t>World Bank (WBK/AF-2)</t>
        </is>
      </c>
      <c r="L256" s="33" t="inlineStr">
        <is>
          <t>Remaining</t>
        </is>
      </c>
      <c r="M256" s="33" t="inlineStr">
        <is>
          <t>Drip irrigation</t>
        </is>
      </c>
      <c r="N256" s="33" t="inlineStr">
        <is>
          <t>5. Drip Irrigation systems</t>
        </is>
      </c>
      <c r="O256" s="33" t="inlineStr"/>
      <c r="P256" s="33" t="inlineStr"/>
      <c r="Q256" s="34" t="n">
        <v>8500</v>
      </c>
      <c r="R256" s="35" t="inlineStr">
        <is>
          <t>IF(AO256="","",AO256)</t>
        </is>
      </c>
      <c r="S256" s="36" t="n">
        <v>46042</v>
      </c>
      <c r="T256" s="37" t="n">
        <v>6.2</v>
      </c>
      <c r="U256" s="36" t="n">
        <v>46232</v>
      </c>
      <c r="V256" s="35" t="inlineStr">
        <is>
          <t>IF(U256&lt;&gt;"",U256,IF(OR(R256="",T256=""),"",EDATE(R256,T256)))</t>
        </is>
      </c>
      <c r="W256" s="36" t="n"/>
      <c r="X256" s="37" t="n"/>
      <c r="Y256" s="33" t="inlineStr">
        <is>
          <t>Under Review of WRI</t>
        </is>
      </c>
      <c r="Z256" s="33" t="inlineStr">
        <is>
          <t>Construction period five months starting from March 2027.</t>
        </is>
      </c>
      <c r="AA256" s="32" t="inlineStr">
        <is>
          <t>IF(E256="","",IF(COUNT(AG256:AT256)=0,IF(Y256="","Not started",Y256),SUBSTITUTE(LOOKUP(2,1/(AG256:AT256&lt;&gt;""),$AG$3:$AT$3),"Date: ","")))</t>
        </is>
      </c>
      <c r="AB256" s="38" t="inlineStr">
        <is>
          <t>IF(OR(E256="",COUNT(AG256:AT256)=0),"",TODAY()-LOOKUP(2,1/(AG256:AT256&lt;&gt;""),AG256:AT256))</t>
        </is>
      </c>
      <c r="AC256" s="38" t="inlineStr">
        <is>
          <t>IF(OR(E256="",COUNT(AG256:AT256)&lt;2),"",LOOKUP(2,1/(AG256:AT256&lt;&gt;""),AG256:AT256)-MIN(AG256:AT256))</t>
        </is>
      </c>
      <c r="AD256" s="38" t="inlineStr">
        <is>
          <t>IF(OR(AB256="",AA256="Not started",AA256=""),"",IFERROR(AB256-IF(VLOOKUP(AA256,'04_Status_Pipeline'!$B$3:$E$20,4,FALSE)="",0,VLOOKUP(AA256,'04_Status_Pipeline'!$B$3:$E$20,4,FALSE)),""))</t>
        </is>
      </c>
      <c r="AE256" s="32" t="inlineStr">
        <is>
          <t>IF(E256="","",IF(OR(Y256="Cancelled",AA256="Cancelled"),"Cancelled",IF(OR(AA256="Completed / Handover",W256&lt;&gt;"",X256&gt;=100),"Completed — on track",IF(L256="Remaining",IF(S256="",IF(V256="","No planned date",IF(TODAY()&gt;V256,"Behind — past planned date",IF(V256-TODAY()&lt;=30,"At risk — close to off track","On track"))),IF(TODAY()&gt;S256,"Behind — award date passed",IF(S256-TODAY()&lt;=30,"At risk — close to off track","On track"))),IF(V256="","No planned date",IF(AND(TODAY()&gt;V256,OR(X256="",X256&lt;100)),"Behind — past end date",IF(AND(R256&lt;&gt;"",V256&lt;&gt;"",X256&lt;&gt;"",(X256&lt;100),((TODAY()-R256)/MAX(V256-R256,1)*100)-X256&gt;15),"Behind — progress lag",IF(AND(V256-TODAY()&lt;=30,V256-TODAY()&gt;=0,OR(X256="",X256&lt;90)),"At risk — close to off track","On track"))))))))</t>
        </is>
      </c>
      <c r="AF256" s="38" t="inlineStr">
        <is>
          <t>IF(OR(E256="",AA256="Completed / Handover",AA256="Cancelled"),"",IF(L256="Remaining",IF(S256&lt;&gt;"",S256-TODAY(),IF(V256="","",V256-TODAY())),IF(V256="","",V256-TODAY())))</t>
        </is>
      </c>
      <c r="AG256" s="36" t="n"/>
      <c r="AH256" s="36" t="n"/>
      <c r="AI256" s="36" t="n"/>
      <c r="AJ256" s="36" t="n"/>
      <c r="AK256" s="36" t="n"/>
      <c r="AL256" s="36" t="n"/>
      <c r="AM256" s="36" t="n"/>
      <c r="AN256" s="36" t="n"/>
      <c r="AO256" s="36" t="n"/>
      <c r="AP256" s="36" t="n"/>
      <c r="AQ256" s="36" t="n"/>
      <c r="AR256" s="40" t="n"/>
      <c r="AS256" s="40" t="n"/>
      <c r="AT256" s="40" t="n"/>
      <c r="AU256" s="38" t="inlineStr">
        <is>
          <t>IF(OR(E256="",AH256=""),"",IF(COUNT(AG256:AG256)=0,"",AH256-LOOKUP(2,1/(AG256:AG256&lt;&gt;""),AG256:AG256)))</t>
        </is>
      </c>
      <c r="AV256" s="38" t="inlineStr">
        <is>
          <t>IF(OR(E256="",AI256=""),"",IF(COUNT(AG256:AH256)=0,"",AI256-LOOKUP(2,1/(AG256:AH256&lt;&gt;""),AG256:AH256)))</t>
        </is>
      </c>
      <c r="AW256" s="38" t="inlineStr">
        <is>
          <t>IF(OR(E256="",AJ256=""),"",IF(COUNT(AG256:AI256)=0,"",AJ256-LOOKUP(2,1/(AG256:AI256&lt;&gt;""),AG256:AI256)))</t>
        </is>
      </c>
      <c r="AX256" s="38" t="inlineStr">
        <is>
          <t>IF(OR(E256="",AK256=""),"",IF(COUNT(AG256:AJ256)=0,"",AK256-LOOKUP(2,1/(AG256:AJ256&lt;&gt;""),AG256:AJ256)))</t>
        </is>
      </c>
      <c r="AY256" s="38" t="inlineStr">
        <is>
          <t>IF(OR(E256="",AL256=""),"",IF(COUNT(AG256:AK256)=0,"",AL256-LOOKUP(2,1/(AG256:AK256&lt;&gt;""),AG256:AK256)))</t>
        </is>
      </c>
      <c r="AZ256" s="38" t="inlineStr">
        <is>
          <t>IF(OR(E256="",AM256=""),"",IF(COUNT(AG256:AL256)=0,"",AM256-LOOKUP(2,1/(AG256:AL256&lt;&gt;""),AG256:AL256)))</t>
        </is>
      </c>
      <c r="BA256" s="38" t="inlineStr">
        <is>
          <t>IF(OR(E256="",AN256=""),"",IF(COUNT(AG256:AM256)=0,"",AN256-LOOKUP(2,1/(AG256:AM256&lt;&gt;""),AG256:AM256)))</t>
        </is>
      </c>
      <c r="BB256" s="38" t="inlineStr">
        <is>
          <t>IF(OR(E256="",AO256=""),"",IF(COUNT(AG256:AN256)=0,"",AO256-LOOKUP(2,1/(AG256:AN256&lt;&gt;""),AG256:AN256)))</t>
        </is>
      </c>
      <c r="BC256" s="38" t="inlineStr">
        <is>
          <t>IF(OR(E256="",AP256=""),"",IF(COUNT(AG256:AO256)=0,"",AP256-LOOKUP(2,1/(AG256:AO256&lt;&gt;""),AG256:AO256)))</t>
        </is>
      </c>
      <c r="BD256" s="38" t="inlineStr">
        <is>
          <t>IF(OR(E256="",AQ256=""),"",IF(COUNT(AG256:AP256)=0,"",AQ256-LOOKUP(2,1/(AG256:AP256&lt;&gt;""),AG256:AP256)))</t>
        </is>
      </c>
      <c r="BE256" s="38" t="inlineStr">
        <is>
          <t>IF(OR(E256="",AR256=""),"",IF(COUNT(AG256:AQ256)=0,"",AR256-LOOKUP(2,1/(AG256:AQ256&lt;&gt;""),AG256:AQ256)))</t>
        </is>
      </c>
      <c r="BF256" s="38" t="inlineStr">
        <is>
          <t>IF(OR(E256="",AS256=""),"",IF(COUNT(AG256:AR256)=0,"",AS256-LOOKUP(2,1/(AG256:AR256&lt;&gt;""),AG256:AR256)))</t>
        </is>
      </c>
      <c r="BG256" s="38" t="inlineStr">
        <is>
          <t>IF(OR(E256="",AT256=""),"",IF(COUNT(AG256:AS256)=0,"",AT256-LOOKUP(2,1/(AG256:AS256&lt;&gt;""),AG256:AS256)))</t>
        </is>
      </c>
      <c r="BH256" s="41" t="inlineStr">
        <is>
          <t>IF(G256="","All_Provinces",IFERROR(VLOOKUP(G256,'07_Lookups'!$A$4:$B$20,2,FALSE),"All_Provinces"))</t>
        </is>
      </c>
      <c r="BI256" s="41" t="inlineStr">
        <is>
          <t>IF(H256="","All_Districts",IFERROR(VLOOKUP(H256,'07_Lookups'!$E$4:$F$42,2,FALSE),"All_Districts"))</t>
        </is>
      </c>
    </row>
    <row r="257" ht="18" customHeight="1">
      <c r="A257" s="32" t="inlineStr">
        <is>
          <t>IF(E257="","",ROW()-3)</t>
        </is>
      </c>
      <c r="B257" s="42" t="inlineStr">
        <is>
          <t>AF2-DIS-R-094</t>
        </is>
      </c>
      <c r="C257" s="42" t="inlineStr">
        <is>
          <t>Emergency Food Security Project (EFSP) – WBK/AF-2</t>
        </is>
      </c>
      <c r="D257"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7" s="42" t="inlineStr">
        <is>
          <t>Maimana drip irrigation</t>
        </is>
      </c>
      <c r="F257" s="42" t="inlineStr">
        <is>
          <t>Drip Irrigation</t>
        </is>
      </c>
      <c r="G257" s="42" t="inlineStr">
        <is>
          <t>North / Mazar</t>
        </is>
      </c>
      <c r="H257" s="42" t="inlineStr">
        <is>
          <t>Faryab</t>
        </is>
      </c>
      <c r="I257" s="42" t="inlineStr">
        <is>
          <t>Khwaja Sabz Posh</t>
        </is>
      </c>
      <c r="J257" s="42" t="inlineStr">
        <is>
          <t>Tepa Qishlaq</t>
        </is>
      </c>
      <c r="K257" s="42" t="inlineStr">
        <is>
          <t>World Bank (WBK/AF-2)</t>
        </is>
      </c>
      <c r="L257" s="42" t="inlineStr">
        <is>
          <t>Remaining</t>
        </is>
      </c>
      <c r="M257" s="42" t="inlineStr">
        <is>
          <t>Drip irrigation</t>
        </is>
      </c>
      <c r="N257" s="42" t="inlineStr">
        <is>
          <t>5. Drip Irrigation systems</t>
        </is>
      </c>
      <c r="O257" s="42" t="inlineStr"/>
      <c r="P257" s="42" t="inlineStr"/>
      <c r="Q257" s="43" t="n">
        <v>4250</v>
      </c>
      <c r="R257" s="35" t="inlineStr">
        <is>
          <t>IF(AO257="","",AO257)</t>
        </is>
      </c>
      <c r="S257" s="44" t="n">
        <v>46042</v>
      </c>
      <c r="T257" s="45" t="n">
        <v>6.2</v>
      </c>
      <c r="U257" s="44" t="n">
        <v>46232</v>
      </c>
      <c r="V257" s="35" t="inlineStr">
        <is>
          <t>IF(U257&lt;&gt;"",U257,IF(OR(R257="",T257=""),"",EDATE(R257,T257)))</t>
        </is>
      </c>
      <c r="W257" s="44" t="n"/>
      <c r="X257" s="45" t="n"/>
      <c r="Y257" s="42" t="inlineStr">
        <is>
          <t>Under Review of WRI</t>
        </is>
      </c>
      <c r="Z257" s="42" t="inlineStr">
        <is>
          <t>Construction period five months starting from March 2027.</t>
        </is>
      </c>
      <c r="AA257" s="32" t="inlineStr">
        <is>
          <t>IF(E257="","",IF(COUNT(AG257:AT257)=0,IF(Y257="","Not started",Y257),SUBSTITUTE(LOOKUP(2,1/(AG257:AT257&lt;&gt;""),$AG$3:$AT$3),"Date: ","")))</t>
        </is>
      </c>
      <c r="AB257" s="38" t="inlineStr">
        <is>
          <t>IF(OR(E257="",COUNT(AG257:AT257)=0),"",TODAY()-LOOKUP(2,1/(AG257:AT257&lt;&gt;""),AG257:AT257))</t>
        </is>
      </c>
      <c r="AC257" s="38" t="inlineStr">
        <is>
          <t>IF(OR(E257="",COUNT(AG257:AT257)&lt;2),"",LOOKUP(2,1/(AG257:AT257&lt;&gt;""),AG257:AT257)-MIN(AG257:AT257))</t>
        </is>
      </c>
      <c r="AD257" s="38" t="inlineStr">
        <is>
          <t>IF(OR(AB257="",AA257="Not started",AA257=""),"",IFERROR(AB257-IF(VLOOKUP(AA257,'04_Status_Pipeline'!$B$3:$E$20,4,FALSE)="",0,VLOOKUP(AA257,'04_Status_Pipeline'!$B$3:$E$20,4,FALSE)),""))</t>
        </is>
      </c>
      <c r="AE257" s="32" t="inlineStr">
        <is>
          <t>IF(E257="","",IF(OR(Y257="Cancelled",AA257="Cancelled"),"Cancelled",IF(OR(AA257="Completed / Handover",W257&lt;&gt;"",X257&gt;=100),"Completed — on track",IF(L257="Remaining",IF(S257="",IF(V257="","No planned date",IF(TODAY()&gt;V257,"Behind — past planned date",IF(V257-TODAY()&lt;=30,"At risk — close to off track","On track"))),IF(TODAY()&gt;S257,"Behind — award date passed",IF(S257-TODAY()&lt;=30,"At risk — close to off track","On track"))),IF(V257="","No planned date",IF(AND(TODAY()&gt;V257,OR(X257="",X257&lt;100)),"Behind — past end date",IF(AND(R257&lt;&gt;"",V257&lt;&gt;"",X257&lt;&gt;"",(X257&lt;100),((TODAY()-R257)/MAX(V257-R257,1)*100)-X257&gt;15),"Behind — progress lag",IF(AND(V257-TODAY()&lt;=30,V257-TODAY()&gt;=0,OR(X257="",X257&lt;90)),"At risk — close to off track","On track"))))))))</t>
        </is>
      </c>
      <c r="AF257" s="38" t="inlineStr">
        <is>
          <t>IF(OR(E257="",AA257="Completed / Handover",AA257="Cancelled"),"",IF(L257="Remaining",IF(S257&lt;&gt;"",S257-TODAY(),IF(V257="","",V257-TODAY())),IF(V257="","",V257-TODAY())))</t>
        </is>
      </c>
      <c r="AG257" s="44" t="n"/>
      <c r="AH257" s="44" t="n"/>
      <c r="AI257" s="44" t="n"/>
      <c r="AJ257" s="44" t="n"/>
      <c r="AK257" s="44" t="n"/>
      <c r="AL257" s="44" t="n"/>
      <c r="AM257" s="44" t="n"/>
      <c r="AN257" s="44" t="n"/>
      <c r="AO257" s="44" t="n"/>
      <c r="AP257" s="44" t="n"/>
      <c r="AQ257" s="44" t="n"/>
      <c r="AR257" s="40" t="n"/>
      <c r="AS257" s="40" t="n"/>
      <c r="AT257" s="40" t="n"/>
      <c r="AU257" s="38" t="inlineStr">
        <is>
          <t>IF(OR(E257="",AH257=""),"",IF(COUNT(AG257:AG257)=0,"",AH257-LOOKUP(2,1/(AG257:AG257&lt;&gt;""),AG257:AG257)))</t>
        </is>
      </c>
      <c r="AV257" s="38" t="inlineStr">
        <is>
          <t>IF(OR(E257="",AI257=""),"",IF(COUNT(AG257:AH257)=0,"",AI257-LOOKUP(2,1/(AG257:AH257&lt;&gt;""),AG257:AH257)))</t>
        </is>
      </c>
      <c r="AW257" s="38" t="inlineStr">
        <is>
          <t>IF(OR(E257="",AJ257=""),"",IF(COUNT(AG257:AI257)=0,"",AJ257-LOOKUP(2,1/(AG257:AI257&lt;&gt;""),AG257:AI257)))</t>
        </is>
      </c>
      <c r="AX257" s="38" t="inlineStr">
        <is>
          <t>IF(OR(E257="",AK257=""),"",IF(COUNT(AG257:AJ257)=0,"",AK257-LOOKUP(2,1/(AG257:AJ257&lt;&gt;""),AG257:AJ257)))</t>
        </is>
      </c>
      <c r="AY257" s="38" t="inlineStr">
        <is>
          <t>IF(OR(E257="",AL257=""),"",IF(COUNT(AG257:AK257)=0,"",AL257-LOOKUP(2,1/(AG257:AK257&lt;&gt;""),AG257:AK257)))</t>
        </is>
      </c>
      <c r="AZ257" s="38" t="inlineStr">
        <is>
          <t>IF(OR(E257="",AM257=""),"",IF(COUNT(AG257:AL257)=0,"",AM257-LOOKUP(2,1/(AG257:AL257&lt;&gt;""),AG257:AL257)))</t>
        </is>
      </c>
      <c r="BA257" s="38" t="inlineStr">
        <is>
          <t>IF(OR(E257="",AN257=""),"",IF(COUNT(AG257:AM257)=0,"",AN257-LOOKUP(2,1/(AG257:AM257&lt;&gt;""),AG257:AM257)))</t>
        </is>
      </c>
      <c r="BB257" s="38" t="inlineStr">
        <is>
          <t>IF(OR(E257="",AO257=""),"",IF(COUNT(AG257:AN257)=0,"",AO257-LOOKUP(2,1/(AG257:AN257&lt;&gt;""),AG257:AN257)))</t>
        </is>
      </c>
      <c r="BC257" s="38" t="inlineStr">
        <is>
          <t>IF(OR(E257="",AP257=""),"",IF(COUNT(AG257:AO257)=0,"",AP257-LOOKUP(2,1/(AG257:AO257&lt;&gt;""),AG257:AO257)))</t>
        </is>
      </c>
      <c r="BD257" s="38" t="inlineStr">
        <is>
          <t>IF(OR(E257="",AQ257=""),"",IF(COUNT(AG257:AP257)=0,"",AQ257-LOOKUP(2,1/(AG257:AP257&lt;&gt;""),AG257:AP257)))</t>
        </is>
      </c>
      <c r="BE257" s="38" t="inlineStr">
        <is>
          <t>IF(OR(E257="",AR257=""),"",IF(COUNT(AG257:AQ257)=0,"",AR257-LOOKUP(2,1/(AG257:AQ257&lt;&gt;""),AG257:AQ257)))</t>
        </is>
      </c>
      <c r="BF257" s="38" t="inlineStr">
        <is>
          <t>IF(OR(E257="",AS257=""),"",IF(COUNT(AG257:AR257)=0,"",AS257-LOOKUP(2,1/(AG257:AR257&lt;&gt;""),AG257:AR257)))</t>
        </is>
      </c>
      <c r="BG257" s="38" t="inlineStr">
        <is>
          <t>IF(OR(E257="",AT257=""),"",IF(COUNT(AG257:AS257)=0,"",AT257-LOOKUP(2,1/(AG257:AS257&lt;&gt;""),AG257:AS257)))</t>
        </is>
      </c>
      <c r="BH257" s="41" t="inlineStr">
        <is>
          <t>IF(G257="","All_Provinces",IFERROR(VLOOKUP(G257,'07_Lookups'!$A$4:$B$20,2,FALSE),"All_Provinces"))</t>
        </is>
      </c>
      <c r="BI257" s="41" t="inlineStr">
        <is>
          <t>IF(H257="","All_Districts",IFERROR(VLOOKUP(H257,'07_Lookups'!$E$4:$F$42,2,FALSE),"All_Districts"))</t>
        </is>
      </c>
    </row>
    <row r="258" ht="18" customHeight="1">
      <c r="A258" s="32" t="inlineStr">
        <is>
          <t>IF(E258="","",ROW()-3)</t>
        </is>
      </c>
      <c r="B258" s="33" t="inlineStr">
        <is>
          <t>AF2-DIS-R-095</t>
        </is>
      </c>
      <c r="C258" s="33" t="inlineStr">
        <is>
          <t>Emergency Food Security Project (EFSP) – WBK/AF-2</t>
        </is>
      </c>
      <c r="D258"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8" s="33" t="inlineStr">
        <is>
          <t>Hassan Tabin drip irrigation</t>
        </is>
      </c>
      <c r="F258" s="33" t="inlineStr">
        <is>
          <t>Drip Irrigation</t>
        </is>
      </c>
      <c r="G258" s="33" t="inlineStr">
        <is>
          <t>North / Mazar</t>
        </is>
      </c>
      <c r="H258" s="33" t="inlineStr">
        <is>
          <t>Jawzjan</t>
        </is>
      </c>
      <c r="I258" s="33" t="inlineStr">
        <is>
          <t>Sheberghan</t>
        </is>
      </c>
      <c r="J258" s="33" t="inlineStr">
        <is>
          <t>Hassan Tabin</t>
        </is>
      </c>
      <c r="K258" s="33" t="inlineStr">
        <is>
          <t>World Bank (WBK/AF-2)</t>
        </is>
      </c>
      <c r="L258" s="33" t="inlineStr">
        <is>
          <t>Remaining</t>
        </is>
      </c>
      <c r="M258" s="33" t="inlineStr">
        <is>
          <t>Drip irrigation</t>
        </is>
      </c>
      <c r="N258" s="33" t="inlineStr">
        <is>
          <t>5. Drip Irrigation systems</t>
        </is>
      </c>
      <c r="O258" s="33" t="inlineStr"/>
      <c r="P258" s="33" t="inlineStr"/>
      <c r="Q258" s="34" t="n">
        <v>8500</v>
      </c>
      <c r="R258" s="35" t="inlineStr">
        <is>
          <t>IF(AO258="","",AO258)</t>
        </is>
      </c>
      <c r="S258" s="36" t="n">
        <v>46042</v>
      </c>
      <c r="T258" s="37" t="n">
        <v>6.2</v>
      </c>
      <c r="U258" s="36" t="n">
        <v>46232</v>
      </c>
      <c r="V258" s="35" t="inlineStr">
        <is>
          <t>IF(U258&lt;&gt;"",U258,IF(OR(R258="",T258=""),"",EDATE(R258,T258)))</t>
        </is>
      </c>
      <c r="W258" s="36" t="n"/>
      <c r="X258" s="37" t="n"/>
      <c r="Y258" s="33" t="inlineStr">
        <is>
          <t>Under Review of WRI</t>
        </is>
      </c>
      <c r="Z258" s="33" t="inlineStr">
        <is>
          <t>Construction period five months starting from March 2027.</t>
        </is>
      </c>
      <c r="AA258" s="32" t="inlineStr">
        <is>
          <t>IF(E258="","",IF(COUNT(AG258:AT258)=0,IF(Y258="","Not started",Y258),SUBSTITUTE(LOOKUP(2,1/(AG258:AT258&lt;&gt;""),$AG$3:$AT$3),"Date: ","")))</t>
        </is>
      </c>
      <c r="AB258" s="38" t="inlineStr">
        <is>
          <t>IF(OR(E258="",COUNT(AG258:AT258)=0),"",TODAY()-LOOKUP(2,1/(AG258:AT258&lt;&gt;""),AG258:AT258))</t>
        </is>
      </c>
      <c r="AC258" s="38" t="inlineStr">
        <is>
          <t>IF(OR(E258="",COUNT(AG258:AT258)&lt;2),"",LOOKUP(2,1/(AG258:AT258&lt;&gt;""),AG258:AT258)-MIN(AG258:AT258))</t>
        </is>
      </c>
      <c r="AD258" s="38" t="inlineStr">
        <is>
          <t>IF(OR(AB258="",AA258="Not started",AA258=""),"",IFERROR(AB258-IF(VLOOKUP(AA258,'04_Status_Pipeline'!$B$3:$E$20,4,FALSE)="",0,VLOOKUP(AA258,'04_Status_Pipeline'!$B$3:$E$20,4,FALSE)),""))</t>
        </is>
      </c>
      <c r="AE258" s="32" t="inlineStr">
        <is>
          <t>IF(E258="","",IF(OR(Y258="Cancelled",AA258="Cancelled"),"Cancelled",IF(OR(AA258="Completed / Handover",W258&lt;&gt;"",X258&gt;=100),"Completed — on track",IF(L258="Remaining",IF(S258="",IF(V258="","No planned date",IF(TODAY()&gt;V258,"Behind — past planned date",IF(V258-TODAY()&lt;=30,"At risk — close to off track","On track"))),IF(TODAY()&gt;S258,"Behind — award date passed",IF(S258-TODAY()&lt;=30,"At risk — close to off track","On track"))),IF(V258="","No planned date",IF(AND(TODAY()&gt;V258,OR(X258="",X258&lt;100)),"Behind — past end date",IF(AND(R258&lt;&gt;"",V258&lt;&gt;"",X258&lt;&gt;"",(X258&lt;100),((TODAY()-R258)/MAX(V258-R258,1)*100)-X258&gt;15),"Behind — progress lag",IF(AND(V258-TODAY()&lt;=30,V258-TODAY()&gt;=0,OR(X258="",X258&lt;90)),"At risk — close to off track","On track"))))))))</t>
        </is>
      </c>
      <c r="AF258" s="38" t="inlineStr">
        <is>
          <t>IF(OR(E258="",AA258="Completed / Handover",AA258="Cancelled"),"",IF(L258="Remaining",IF(S258&lt;&gt;"",S258-TODAY(),IF(V258="","",V258-TODAY())),IF(V258="","",V258-TODAY())))</t>
        </is>
      </c>
      <c r="AG258" s="36" t="n"/>
      <c r="AH258" s="36" t="n"/>
      <c r="AI258" s="36" t="n"/>
      <c r="AJ258" s="36" t="n"/>
      <c r="AK258" s="36" t="n"/>
      <c r="AL258" s="36" t="n"/>
      <c r="AM258" s="36" t="n"/>
      <c r="AN258" s="36" t="n"/>
      <c r="AO258" s="36" t="n"/>
      <c r="AP258" s="36" t="n"/>
      <c r="AQ258" s="36" t="n"/>
      <c r="AR258" s="40" t="n"/>
      <c r="AS258" s="40" t="n"/>
      <c r="AT258" s="40" t="n"/>
      <c r="AU258" s="38" t="inlineStr">
        <is>
          <t>IF(OR(E258="",AH258=""),"",IF(COUNT(AG258:AG258)=0,"",AH258-LOOKUP(2,1/(AG258:AG258&lt;&gt;""),AG258:AG258)))</t>
        </is>
      </c>
      <c r="AV258" s="38" t="inlineStr">
        <is>
          <t>IF(OR(E258="",AI258=""),"",IF(COUNT(AG258:AH258)=0,"",AI258-LOOKUP(2,1/(AG258:AH258&lt;&gt;""),AG258:AH258)))</t>
        </is>
      </c>
      <c r="AW258" s="38" t="inlineStr">
        <is>
          <t>IF(OR(E258="",AJ258=""),"",IF(COUNT(AG258:AI258)=0,"",AJ258-LOOKUP(2,1/(AG258:AI258&lt;&gt;""),AG258:AI258)))</t>
        </is>
      </c>
      <c r="AX258" s="38" t="inlineStr">
        <is>
          <t>IF(OR(E258="",AK258=""),"",IF(COUNT(AG258:AJ258)=0,"",AK258-LOOKUP(2,1/(AG258:AJ258&lt;&gt;""),AG258:AJ258)))</t>
        </is>
      </c>
      <c r="AY258" s="38" t="inlineStr">
        <is>
          <t>IF(OR(E258="",AL258=""),"",IF(COUNT(AG258:AK258)=0,"",AL258-LOOKUP(2,1/(AG258:AK258&lt;&gt;""),AG258:AK258)))</t>
        </is>
      </c>
      <c r="AZ258" s="38" t="inlineStr">
        <is>
          <t>IF(OR(E258="",AM258=""),"",IF(COUNT(AG258:AL258)=0,"",AM258-LOOKUP(2,1/(AG258:AL258&lt;&gt;""),AG258:AL258)))</t>
        </is>
      </c>
      <c r="BA258" s="38" t="inlineStr">
        <is>
          <t>IF(OR(E258="",AN258=""),"",IF(COUNT(AG258:AM258)=0,"",AN258-LOOKUP(2,1/(AG258:AM258&lt;&gt;""),AG258:AM258)))</t>
        </is>
      </c>
      <c r="BB258" s="38" t="inlineStr">
        <is>
          <t>IF(OR(E258="",AO258=""),"",IF(COUNT(AG258:AN258)=0,"",AO258-LOOKUP(2,1/(AG258:AN258&lt;&gt;""),AG258:AN258)))</t>
        </is>
      </c>
      <c r="BC258" s="38" t="inlineStr">
        <is>
          <t>IF(OR(E258="",AP258=""),"",IF(COUNT(AG258:AO258)=0,"",AP258-LOOKUP(2,1/(AG258:AO258&lt;&gt;""),AG258:AO258)))</t>
        </is>
      </c>
      <c r="BD258" s="38" t="inlineStr">
        <is>
          <t>IF(OR(E258="",AQ258=""),"",IF(COUNT(AG258:AP258)=0,"",AQ258-LOOKUP(2,1/(AG258:AP258&lt;&gt;""),AG258:AP258)))</t>
        </is>
      </c>
      <c r="BE258" s="38" t="inlineStr">
        <is>
          <t>IF(OR(E258="",AR258=""),"",IF(COUNT(AG258:AQ258)=0,"",AR258-LOOKUP(2,1/(AG258:AQ258&lt;&gt;""),AG258:AQ258)))</t>
        </is>
      </c>
      <c r="BF258" s="38" t="inlineStr">
        <is>
          <t>IF(OR(E258="",AS258=""),"",IF(COUNT(AG258:AR258)=0,"",AS258-LOOKUP(2,1/(AG258:AR258&lt;&gt;""),AG258:AR258)))</t>
        </is>
      </c>
      <c r="BG258" s="38" t="inlineStr">
        <is>
          <t>IF(OR(E258="",AT258=""),"",IF(COUNT(AG258:AS258)=0,"",AT258-LOOKUP(2,1/(AG258:AS258&lt;&gt;""),AG258:AS258)))</t>
        </is>
      </c>
      <c r="BH258" s="41" t="inlineStr">
        <is>
          <t>IF(G258="","All_Provinces",IFERROR(VLOOKUP(G258,'07_Lookups'!$A$4:$B$20,2,FALSE),"All_Provinces"))</t>
        </is>
      </c>
      <c r="BI258" s="41" t="inlineStr">
        <is>
          <t>IF(H258="","All_Districts",IFERROR(VLOOKUP(H258,'07_Lookups'!$E$4:$F$42,2,FALSE),"All_Districts"))</t>
        </is>
      </c>
    </row>
    <row r="259" ht="18" customHeight="1">
      <c r="A259" s="32" t="inlineStr">
        <is>
          <t>IF(E259="","",ROW()-3)</t>
        </is>
      </c>
      <c r="B259" s="42" t="inlineStr">
        <is>
          <t>AF2-DIS-R-096</t>
        </is>
      </c>
      <c r="C259" s="42" t="inlineStr">
        <is>
          <t>Emergency Food Security Project (EFSP) – WBK/AF-2</t>
        </is>
      </c>
      <c r="D259"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9" s="42" t="inlineStr">
        <is>
          <t>Imam Jaffar drip irrigation</t>
        </is>
      </c>
      <c r="F259" s="42" t="inlineStr">
        <is>
          <t>Drip Irrigation</t>
        </is>
      </c>
      <c r="G259" s="42" t="inlineStr">
        <is>
          <t>North / Mazar</t>
        </is>
      </c>
      <c r="H259" s="42" t="inlineStr">
        <is>
          <t>Sari Pul</t>
        </is>
      </c>
      <c r="I259" s="42" t="inlineStr">
        <is>
          <t>Sayed Abad</t>
        </is>
      </c>
      <c r="J259" s="42" t="inlineStr">
        <is>
          <t>Imam Jaffar</t>
        </is>
      </c>
      <c r="K259" s="42" t="inlineStr">
        <is>
          <t>World Bank (WBK/AF-2)</t>
        </is>
      </c>
      <c r="L259" s="42" t="inlineStr">
        <is>
          <t>Remaining</t>
        </is>
      </c>
      <c r="M259" s="42" t="inlineStr">
        <is>
          <t>Drip irrigation</t>
        </is>
      </c>
      <c r="N259" s="42" t="inlineStr">
        <is>
          <t>5. Drip Irrigation systems</t>
        </is>
      </c>
      <c r="O259" s="42" t="inlineStr"/>
      <c r="P259" s="42" t="inlineStr"/>
      <c r="Q259" s="43" t="n">
        <v>4250</v>
      </c>
      <c r="R259" s="35" t="inlineStr">
        <is>
          <t>IF(AO259="","",AO259)</t>
        </is>
      </c>
      <c r="S259" s="44" t="n">
        <v>46042</v>
      </c>
      <c r="T259" s="45" t="n">
        <v>6.2</v>
      </c>
      <c r="U259" s="44" t="n">
        <v>46232</v>
      </c>
      <c r="V259" s="35" t="inlineStr">
        <is>
          <t>IF(U259&lt;&gt;"",U259,IF(OR(R259="",T259=""),"",EDATE(R259,T259)))</t>
        </is>
      </c>
      <c r="W259" s="44" t="n"/>
      <c r="X259" s="45" t="n"/>
      <c r="Y259" s="42" t="inlineStr">
        <is>
          <t>Under Review of WRI</t>
        </is>
      </c>
      <c r="Z259" s="42" t="inlineStr">
        <is>
          <t>Construction period five months starting from March 2027.</t>
        </is>
      </c>
      <c r="AA259" s="32" t="inlineStr">
        <is>
          <t>IF(E259="","",IF(COUNT(AG259:AT259)=0,IF(Y259="","Not started",Y259),SUBSTITUTE(LOOKUP(2,1/(AG259:AT259&lt;&gt;""),$AG$3:$AT$3),"Date: ","")))</t>
        </is>
      </c>
      <c r="AB259" s="38" t="inlineStr">
        <is>
          <t>IF(OR(E259="",COUNT(AG259:AT259)=0),"",TODAY()-LOOKUP(2,1/(AG259:AT259&lt;&gt;""),AG259:AT259))</t>
        </is>
      </c>
      <c r="AC259" s="38" t="inlineStr">
        <is>
          <t>IF(OR(E259="",COUNT(AG259:AT259)&lt;2),"",LOOKUP(2,1/(AG259:AT259&lt;&gt;""),AG259:AT259)-MIN(AG259:AT259))</t>
        </is>
      </c>
      <c r="AD259" s="38" t="inlineStr">
        <is>
          <t>IF(OR(AB259="",AA259="Not started",AA259=""),"",IFERROR(AB259-IF(VLOOKUP(AA259,'04_Status_Pipeline'!$B$3:$E$20,4,FALSE)="",0,VLOOKUP(AA259,'04_Status_Pipeline'!$B$3:$E$20,4,FALSE)),""))</t>
        </is>
      </c>
      <c r="AE259" s="32" t="inlineStr">
        <is>
          <t>IF(E259="","",IF(OR(Y259="Cancelled",AA259="Cancelled"),"Cancelled",IF(OR(AA259="Completed / Handover",W259&lt;&gt;"",X259&gt;=100),"Completed — on track",IF(L259="Remaining",IF(S259="",IF(V259="","No planned date",IF(TODAY()&gt;V259,"Behind — past planned date",IF(V259-TODAY()&lt;=30,"At risk — close to off track","On track"))),IF(TODAY()&gt;S259,"Behind — award date passed",IF(S259-TODAY()&lt;=30,"At risk — close to off track","On track"))),IF(V259="","No planned date",IF(AND(TODAY()&gt;V259,OR(X259="",X259&lt;100)),"Behind — past end date",IF(AND(R259&lt;&gt;"",V259&lt;&gt;"",X259&lt;&gt;"",(X259&lt;100),((TODAY()-R259)/MAX(V259-R259,1)*100)-X259&gt;15),"Behind — progress lag",IF(AND(V259-TODAY()&lt;=30,V259-TODAY()&gt;=0,OR(X259="",X259&lt;90)),"At risk — close to off track","On track"))))))))</t>
        </is>
      </c>
      <c r="AF259" s="38" t="inlineStr">
        <is>
          <t>IF(OR(E259="",AA259="Completed / Handover",AA259="Cancelled"),"",IF(L259="Remaining",IF(S259&lt;&gt;"",S259-TODAY(),IF(V259="","",V259-TODAY())),IF(V259="","",V259-TODAY())))</t>
        </is>
      </c>
      <c r="AG259" s="44" t="n"/>
      <c r="AH259" s="44" t="n"/>
      <c r="AI259" s="44" t="n"/>
      <c r="AJ259" s="44" t="n"/>
      <c r="AK259" s="44" t="n"/>
      <c r="AL259" s="44" t="n"/>
      <c r="AM259" s="44" t="n"/>
      <c r="AN259" s="44" t="n"/>
      <c r="AO259" s="44" t="n"/>
      <c r="AP259" s="44" t="n"/>
      <c r="AQ259" s="44" t="n"/>
      <c r="AR259" s="40" t="n"/>
      <c r="AS259" s="40" t="n"/>
      <c r="AT259" s="40" t="n"/>
      <c r="AU259" s="38" t="inlineStr">
        <is>
          <t>IF(OR(E259="",AH259=""),"",IF(COUNT(AG259:AG259)=0,"",AH259-LOOKUP(2,1/(AG259:AG259&lt;&gt;""),AG259:AG259)))</t>
        </is>
      </c>
      <c r="AV259" s="38" t="inlineStr">
        <is>
          <t>IF(OR(E259="",AI259=""),"",IF(COUNT(AG259:AH259)=0,"",AI259-LOOKUP(2,1/(AG259:AH259&lt;&gt;""),AG259:AH259)))</t>
        </is>
      </c>
      <c r="AW259" s="38" t="inlineStr">
        <is>
          <t>IF(OR(E259="",AJ259=""),"",IF(COUNT(AG259:AI259)=0,"",AJ259-LOOKUP(2,1/(AG259:AI259&lt;&gt;""),AG259:AI259)))</t>
        </is>
      </c>
      <c r="AX259" s="38" t="inlineStr">
        <is>
          <t>IF(OR(E259="",AK259=""),"",IF(COUNT(AG259:AJ259)=0,"",AK259-LOOKUP(2,1/(AG259:AJ259&lt;&gt;""),AG259:AJ259)))</t>
        </is>
      </c>
      <c r="AY259" s="38" t="inlineStr">
        <is>
          <t>IF(OR(E259="",AL259=""),"",IF(COUNT(AG259:AK259)=0,"",AL259-LOOKUP(2,1/(AG259:AK259&lt;&gt;""),AG259:AK259)))</t>
        </is>
      </c>
      <c r="AZ259" s="38" t="inlineStr">
        <is>
          <t>IF(OR(E259="",AM259=""),"",IF(COUNT(AG259:AL259)=0,"",AM259-LOOKUP(2,1/(AG259:AL259&lt;&gt;""),AG259:AL259)))</t>
        </is>
      </c>
      <c r="BA259" s="38" t="inlineStr">
        <is>
          <t>IF(OR(E259="",AN259=""),"",IF(COUNT(AG259:AM259)=0,"",AN259-LOOKUP(2,1/(AG259:AM259&lt;&gt;""),AG259:AM259)))</t>
        </is>
      </c>
      <c r="BB259" s="38" t="inlineStr">
        <is>
          <t>IF(OR(E259="",AO259=""),"",IF(COUNT(AG259:AN259)=0,"",AO259-LOOKUP(2,1/(AG259:AN259&lt;&gt;""),AG259:AN259)))</t>
        </is>
      </c>
      <c r="BC259" s="38" t="inlineStr">
        <is>
          <t>IF(OR(E259="",AP259=""),"",IF(COUNT(AG259:AO259)=0,"",AP259-LOOKUP(2,1/(AG259:AO259&lt;&gt;""),AG259:AO259)))</t>
        </is>
      </c>
      <c r="BD259" s="38" t="inlineStr">
        <is>
          <t>IF(OR(E259="",AQ259=""),"",IF(COUNT(AG259:AP259)=0,"",AQ259-LOOKUP(2,1/(AG259:AP259&lt;&gt;""),AG259:AP259)))</t>
        </is>
      </c>
      <c r="BE259" s="38" t="inlineStr">
        <is>
          <t>IF(OR(E259="",AR259=""),"",IF(COUNT(AG259:AQ259)=0,"",AR259-LOOKUP(2,1/(AG259:AQ259&lt;&gt;""),AG259:AQ259)))</t>
        </is>
      </c>
      <c r="BF259" s="38" t="inlineStr">
        <is>
          <t>IF(OR(E259="",AS259=""),"",IF(COUNT(AG259:AR259)=0,"",AS259-LOOKUP(2,1/(AG259:AR259&lt;&gt;""),AG259:AR259)))</t>
        </is>
      </c>
      <c r="BG259" s="38" t="inlineStr">
        <is>
          <t>IF(OR(E259="",AT259=""),"",IF(COUNT(AG259:AS259)=0,"",AT259-LOOKUP(2,1/(AG259:AS259&lt;&gt;""),AG259:AS259)))</t>
        </is>
      </c>
      <c r="BH259" s="41" t="inlineStr">
        <is>
          <t>IF(G259="","All_Provinces",IFERROR(VLOOKUP(G259,'07_Lookups'!$A$4:$B$20,2,FALSE),"All_Provinces"))</t>
        </is>
      </c>
      <c r="BI259" s="41" t="inlineStr">
        <is>
          <t>IF(H259="","All_Districts",IFERROR(VLOOKUP(H259,'07_Lookups'!$E$4:$F$42,2,FALSE),"All_Districts"))</t>
        </is>
      </c>
    </row>
    <row r="260" ht="18" customHeight="1">
      <c r="A260" s="32" t="inlineStr">
        <is>
          <t>IF(E260="","",ROW()-3)</t>
        </is>
      </c>
      <c r="B260" s="33" t="inlineStr">
        <is>
          <t>AF2-DIS-R-097</t>
        </is>
      </c>
      <c r="C260" s="33" t="inlineStr">
        <is>
          <t>Emergency Food Security Project (EFSP) – WBK/AF-2</t>
        </is>
      </c>
      <c r="D260"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60" s="33" t="inlineStr">
        <is>
          <t>Had Bakhshy drip irrigation</t>
        </is>
      </c>
      <c r="F260" s="33" t="inlineStr">
        <is>
          <t>Drip Irrigation</t>
        </is>
      </c>
      <c r="G260" s="33" t="inlineStr">
        <is>
          <t>North / Mazar</t>
        </is>
      </c>
      <c r="H260" s="33" t="inlineStr">
        <is>
          <t>Sari Pul</t>
        </is>
      </c>
      <c r="I260" s="33" t="inlineStr">
        <is>
          <t>Sayed Abad</t>
        </is>
      </c>
      <c r="J260" s="33" t="inlineStr">
        <is>
          <t>Had Bakhshy</t>
        </is>
      </c>
      <c r="K260" s="33" t="inlineStr">
        <is>
          <t>World Bank (WBK/AF-2)</t>
        </is>
      </c>
      <c r="L260" s="33" t="inlineStr">
        <is>
          <t>Remaining</t>
        </is>
      </c>
      <c r="M260" s="33" t="inlineStr">
        <is>
          <t>Drip irrigation</t>
        </is>
      </c>
      <c r="N260" s="33" t="inlineStr">
        <is>
          <t>5. Drip Irrigation systems</t>
        </is>
      </c>
      <c r="O260" s="33" t="inlineStr"/>
      <c r="P260" s="33" t="inlineStr"/>
      <c r="Q260" s="34" t="n">
        <v>8500</v>
      </c>
      <c r="R260" s="35" t="inlineStr">
        <is>
          <t>IF(AO260="","",AO260)</t>
        </is>
      </c>
      <c r="S260" s="36" t="n">
        <v>46042</v>
      </c>
      <c r="T260" s="37" t="n">
        <v>6.2</v>
      </c>
      <c r="U260" s="36" t="n">
        <v>46232</v>
      </c>
      <c r="V260" s="35" t="inlineStr">
        <is>
          <t>IF(U260&lt;&gt;"",U260,IF(OR(R260="",T260=""),"",EDATE(R260,T260)))</t>
        </is>
      </c>
      <c r="W260" s="36" t="n"/>
      <c r="X260" s="37" t="n"/>
      <c r="Y260" s="33" t="inlineStr">
        <is>
          <t>Under Review of WRI</t>
        </is>
      </c>
      <c r="Z260" s="33" t="inlineStr">
        <is>
          <t>Construction period five months starting from March 2027.</t>
        </is>
      </c>
      <c r="AA260" s="32" t="inlineStr">
        <is>
          <t>IF(E260="","",IF(COUNT(AG260:AT260)=0,IF(Y260="","Not started",Y260),SUBSTITUTE(LOOKUP(2,1/(AG260:AT260&lt;&gt;""),$AG$3:$AT$3),"Date: ","")))</t>
        </is>
      </c>
      <c r="AB260" s="38" t="inlineStr">
        <is>
          <t>IF(OR(E260="",COUNT(AG260:AT260)=0),"",TODAY()-LOOKUP(2,1/(AG260:AT260&lt;&gt;""),AG260:AT260))</t>
        </is>
      </c>
      <c r="AC260" s="38" t="inlineStr">
        <is>
          <t>IF(OR(E260="",COUNT(AG260:AT260)&lt;2),"",LOOKUP(2,1/(AG260:AT260&lt;&gt;""),AG260:AT260)-MIN(AG260:AT260))</t>
        </is>
      </c>
      <c r="AD260" s="38" t="inlineStr">
        <is>
          <t>IF(OR(AB260="",AA260="Not started",AA260=""),"",IFERROR(AB260-IF(VLOOKUP(AA260,'04_Status_Pipeline'!$B$3:$E$20,4,FALSE)="",0,VLOOKUP(AA260,'04_Status_Pipeline'!$B$3:$E$20,4,FALSE)),""))</t>
        </is>
      </c>
      <c r="AE260" s="32" t="inlineStr">
        <is>
          <t>IF(E260="","",IF(OR(Y260="Cancelled",AA260="Cancelled"),"Cancelled",IF(OR(AA260="Completed / Handover",W260&lt;&gt;"",X260&gt;=100),"Completed — on track",IF(L260="Remaining",IF(S260="",IF(V260="","No planned date",IF(TODAY()&gt;V260,"Behind — past planned date",IF(V260-TODAY()&lt;=30,"At risk — close to off track","On track"))),IF(TODAY()&gt;S260,"Behind — award date passed",IF(S260-TODAY()&lt;=30,"At risk — close to off track","On track"))),IF(V260="","No planned date",IF(AND(TODAY()&gt;V260,OR(X260="",X260&lt;100)),"Behind — past end date",IF(AND(R260&lt;&gt;"",V260&lt;&gt;"",X260&lt;&gt;"",(X260&lt;100),((TODAY()-R260)/MAX(V260-R260,1)*100)-X260&gt;15),"Behind — progress lag",IF(AND(V260-TODAY()&lt;=30,V260-TODAY()&gt;=0,OR(X260="",X260&lt;90)),"At risk — close to off track","On track"))))))))</t>
        </is>
      </c>
      <c r="AF260" s="38" t="inlineStr">
        <is>
          <t>IF(OR(E260="",AA260="Completed / Handover",AA260="Cancelled"),"",IF(L260="Remaining",IF(S260&lt;&gt;"",S260-TODAY(),IF(V260="","",V260-TODAY())),IF(V260="","",V260-TODAY())))</t>
        </is>
      </c>
      <c r="AG260" s="36" t="n"/>
      <c r="AH260" s="36" t="n"/>
      <c r="AI260" s="36" t="n"/>
      <c r="AJ260" s="36" t="n"/>
      <c r="AK260" s="36" t="n"/>
      <c r="AL260" s="36" t="n"/>
      <c r="AM260" s="36" t="n"/>
      <c r="AN260" s="36" t="n"/>
      <c r="AO260" s="36" t="n"/>
      <c r="AP260" s="36" t="n"/>
      <c r="AQ260" s="36" t="n"/>
      <c r="AR260" s="40" t="n"/>
      <c r="AS260" s="40" t="n"/>
      <c r="AT260" s="40" t="n"/>
      <c r="AU260" s="38" t="inlineStr">
        <is>
          <t>IF(OR(E260="",AH260=""),"",IF(COUNT(AG260:AG260)=0,"",AH260-LOOKUP(2,1/(AG260:AG260&lt;&gt;""),AG260:AG260)))</t>
        </is>
      </c>
      <c r="AV260" s="38" t="inlineStr">
        <is>
          <t>IF(OR(E260="",AI260=""),"",IF(COUNT(AG260:AH260)=0,"",AI260-LOOKUP(2,1/(AG260:AH260&lt;&gt;""),AG260:AH260)))</t>
        </is>
      </c>
      <c r="AW260" s="38" t="inlineStr">
        <is>
          <t>IF(OR(E260="",AJ260=""),"",IF(COUNT(AG260:AI260)=0,"",AJ260-LOOKUP(2,1/(AG260:AI260&lt;&gt;""),AG260:AI260)))</t>
        </is>
      </c>
      <c r="AX260" s="38" t="inlineStr">
        <is>
          <t>IF(OR(E260="",AK260=""),"",IF(COUNT(AG260:AJ260)=0,"",AK260-LOOKUP(2,1/(AG260:AJ260&lt;&gt;""),AG260:AJ260)))</t>
        </is>
      </c>
      <c r="AY260" s="38" t="inlineStr">
        <is>
          <t>IF(OR(E260="",AL260=""),"",IF(COUNT(AG260:AK260)=0,"",AL260-LOOKUP(2,1/(AG260:AK260&lt;&gt;""),AG260:AK260)))</t>
        </is>
      </c>
      <c r="AZ260" s="38" t="inlineStr">
        <is>
          <t>IF(OR(E260="",AM260=""),"",IF(COUNT(AG260:AL260)=0,"",AM260-LOOKUP(2,1/(AG260:AL260&lt;&gt;""),AG260:AL260)))</t>
        </is>
      </c>
      <c r="BA260" s="38" t="inlineStr">
        <is>
          <t>IF(OR(E260="",AN260=""),"",IF(COUNT(AG260:AM260)=0,"",AN260-LOOKUP(2,1/(AG260:AM260&lt;&gt;""),AG260:AM260)))</t>
        </is>
      </c>
      <c r="BB260" s="38" t="inlineStr">
        <is>
          <t>IF(OR(E260="",AO260=""),"",IF(COUNT(AG260:AN260)=0,"",AO260-LOOKUP(2,1/(AG260:AN260&lt;&gt;""),AG260:AN260)))</t>
        </is>
      </c>
      <c r="BC260" s="38" t="inlineStr">
        <is>
          <t>IF(OR(E260="",AP260=""),"",IF(COUNT(AG260:AO260)=0,"",AP260-LOOKUP(2,1/(AG260:AO260&lt;&gt;""),AG260:AO260)))</t>
        </is>
      </c>
      <c r="BD260" s="38" t="inlineStr">
        <is>
          <t>IF(OR(E260="",AQ260=""),"",IF(COUNT(AG260:AP260)=0,"",AQ260-LOOKUP(2,1/(AG260:AP260&lt;&gt;""),AG260:AP260)))</t>
        </is>
      </c>
      <c r="BE260" s="38" t="inlineStr">
        <is>
          <t>IF(OR(E260="",AR260=""),"",IF(COUNT(AG260:AQ260)=0,"",AR260-LOOKUP(2,1/(AG260:AQ260&lt;&gt;""),AG260:AQ260)))</t>
        </is>
      </c>
      <c r="BF260" s="38" t="inlineStr">
        <is>
          <t>IF(OR(E260="",AS260=""),"",IF(COUNT(AG260:AR260)=0,"",AS260-LOOKUP(2,1/(AG260:AR260&lt;&gt;""),AG260:AR260)))</t>
        </is>
      </c>
      <c r="BG260" s="38" t="inlineStr">
        <is>
          <t>IF(OR(E260="",AT260=""),"",IF(COUNT(AG260:AS260)=0,"",AT260-LOOKUP(2,1/(AG260:AS260&lt;&gt;""),AG260:AS260)))</t>
        </is>
      </c>
      <c r="BH260" s="41" t="inlineStr">
        <is>
          <t>IF(G260="","All_Provinces",IFERROR(VLOOKUP(G260,'07_Lookups'!$A$4:$B$20,2,FALSE),"All_Provinces"))</t>
        </is>
      </c>
      <c r="BI260" s="41" t="inlineStr">
        <is>
          <t>IF(H260="","All_Districts",IFERROR(VLOOKUP(H260,'07_Lookups'!$E$4:$F$42,2,FALSE),"All_Districts"))</t>
        </is>
      </c>
    </row>
    <row r="261" ht="18" customHeight="1">
      <c r="A261" s="32" t="inlineStr">
        <is>
          <t>IF(E261="","",ROW()-3)</t>
        </is>
      </c>
      <c r="B261" s="42" t="inlineStr">
        <is>
          <t>AF2-DIS-R-098</t>
        </is>
      </c>
      <c r="C261" s="42" t="inlineStr">
        <is>
          <t>Emergency Food Security Project (EFSP) – WBK/AF-2</t>
        </is>
      </c>
      <c r="D261"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61" s="42" t="inlineStr">
        <is>
          <t>Nawabad Imam drip irrigation</t>
        </is>
      </c>
      <c r="F261" s="42" t="inlineStr">
        <is>
          <t>Drip Irrigation</t>
        </is>
      </c>
      <c r="G261" s="42" t="inlineStr">
        <is>
          <t>North / Mazar</t>
        </is>
      </c>
      <c r="H261" s="42" t="inlineStr">
        <is>
          <t>Sari Pul</t>
        </is>
      </c>
      <c r="I261" s="42" t="inlineStr">
        <is>
          <t>Center</t>
        </is>
      </c>
      <c r="J261" s="42" t="inlineStr">
        <is>
          <t>Nawabad Imam Kalan</t>
        </is>
      </c>
      <c r="K261" s="42" t="inlineStr">
        <is>
          <t>World Bank (WBK/AF-2)</t>
        </is>
      </c>
      <c r="L261" s="42" t="inlineStr">
        <is>
          <t>Remaining</t>
        </is>
      </c>
      <c r="M261" s="42" t="inlineStr">
        <is>
          <t>Drip irrigation</t>
        </is>
      </c>
      <c r="N261" s="42" t="inlineStr">
        <is>
          <t>5. Drip Irrigation systems</t>
        </is>
      </c>
      <c r="O261" s="42" t="inlineStr"/>
      <c r="P261" s="42" t="inlineStr"/>
      <c r="Q261" s="43" t="n">
        <v>4250</v>
      </c>
      <c r="R261" s="35" t="inlineStr">
        <is>
          <t>IF(AO261="","",AO261)</t>
        </is>
      </c>
      <c r="S261" s="44" t="n">
        <v>46042</v>
      </c>
      <c r="T261" s="45" t="n">
        <v>6.2</v>
      </c>
      <c r="U261" s="44" t="n">
        <v>46232</v>
      </c>
      <c r="V261" s="35" t="inlineStr">
        <is>
          <t>IF(U261&lt;&gt;"",U261,IF(OR(R261="",T261=""),"",EDATE(R261,T261)))</t>
        </is>
      </c>
      <c r="W261" s="44" t="n"/>
      <c r="X261" s="45" t="n"/>
      <c r="Y261" s="42" t="inlineStr">
        <is>
          <t>Under Review of WRI</t>
        </is>
      </c>
      <c r="Z261" s="42" t="inlineStr">
        <is>
          <t>Construction period five months starting from March 2027.</t>
        </is>
      </c>
      <c r="AA261" s="32" t="inlineStr">
        <is>
          <t>IF(E261="","",IF(COUNT(AG261:AT261)=0,IF(Y261="","Not started",Y261),SUBSTITUTE(LOOKUP(2,1/(AG261:AT261&lt;&gt;""),$AG$3:$AT$3),"Date: ","")))</t>
        </is>
      </c>
      <c r="AB261" s="38" t="inlineStr">
        <is>
          <t>IF(OR(E261="",COUNT(AG261:AT261)=0),"",TODAY()-LOOKUP(2,1/(AG261:AT261&lt;&gt;""),AG261:AT261))</t>
        </is>
      </c>
      <c r="AC261" s="38" t="inlineStr">
        <is>
          <t>IF(OR(E261="",COUNT(AG261:AT261)&lt;2),"",LOOKUP(2,1/(AG261:AT261&lt;&gt;""),AG261:AT261)-MIN(AG261:AT261))</t>
        </is>
      </c>
      <c r="AD261" s="38" t="inlineStr">
        <is>
          <t>IF(OR(AB261="",AA261="Not started",AA261=""),"",IFERROR(AB261-IF(VLOOKUP(AA261,'04_Status_Pipeline'!$B$3:$E$20,4,FALSE)="",0,VLOOKUP(AA261,'04_Status_Pipeline'!$B$3:$E$20,4,FALSE)),""))</t>
        </is>
      </c>
      <c r="AE261" s="32" t="inlineStr">
        <is>
          <t>IF(E261="","",IF(OR(Y261="Cancelled",AA261="Cancelled"),"Cancelled",IF(OR(AA261="Completed / Handover",W261&lt;&gt;"",X261&gt;=100),"Completed — on track",IF(L261="Remaining",IF(S261="",IF(V261="","No planned date",IF(TODAY()&gt;V261,"Behind — past planned date",IF(V261-TODAY()&lt;=30,"At risk — close to off track","On track"))),IF(TODAY()&gt;S261,"Behind — award date passed",IF(S261-TODAY()&lt;=30,"At risk — close to off track","On track"))),IF(V261="","No planned date",IF(AND(TODAY()&gt;V261,OR(X261="",X261&lt;100)),"Behind — past end date",IF(AND(R261&lt;&gt;"",V261&lt;&gt;"",X261&lt;&gt;"",(X261&lt;100),((TODAY()-R261)/MAX(V261-R261,1)*100)-X261&gt;15),"Behind — progress lag",IF(AND(V261-TODAY()&lt;=30,V261-TODAY()&gt;=0,OR(X261="",X261&lt;90)),"At risk — close to off track","On track"))))))))</t>
        </is>
      </c>
      <c r="AF261" s="38" t="inlineStr">
        <is>
          <t>IF(OR(E261="",AA261="Completed / Handover",AA261="Cancelled"),"",IF(L261="Remaining",IF(S261&lt;&gt;"",S261-TODAY(),IF(V261="","",V261-TODAY())),IF(V261="","",V261-TODAY())))</t>
        </is>
      </c>
      <c r="AG261" s="44" t="n"/>
      <c r="AH261" s="44" t="n"/>
      <c r="AI261" s="44" t="n"/>
      <c r="AJ261" s="44" t="n"/>
      <c r="AK261" s="44" t="n"/>
      <c r="AL261" s="44" t="n"/>
      <c r="AM261" s="44" t="n"/>
      <c r="AN261" s="44" t="n"/>
      <c r="AO261" s="44" t="n"/>
      <c r="AP261" s="44" t="n"/>
      <c r="AQ261" s="44" t="n"/>
      <c r="AR261" s="40" t="n"/>
      <c r="AS261" s="40" t="n"/>
      <c r="AT261" s="40" t="n"/>
      <c r="AU261" s="38" t="inlineStr">
        <is>
          <t>IF(OR(E261="",AH261=""),"",IF(COUNT(AG261:AG261)=0,"",AH261-LOOKUP(2,1/(AG261:AG261&lt;&gt;""),AG261:AG261)))</t>
        </is>
      </c>
      <c r="AV261" s="38" t="inlineStr">
        <is>
          <t>IF(OR(E261="",AI261=""),"",IF(COUNT(AG261:AH261)=0,"",AI261-LOOKUP(2,1/(AG261:AH261&lt;&gt;""),AG261:AH261)))</t>
        </is>
      </c>
      <c r="AW261" s="38" t="inlineStr">
        <is>
          <t>IF(OR(E261="",AJ261=""),"",IF(COUNT(AG261:AI261)=0,"",AJ261-LOOKUP(2,1/(AG261:AI261&lt;&gt;""),AG261:AI261)))</t>
        </is>
      </c>
      <c r="AX261" s="38" t="inlineStr">
        <is>
          <t>IF(OR(E261="",AK261=""),"",IF(COUNT(AG261:AJ261)=0,"",AK261-LOOKUP(2,1/(AG261:AJ261&lt;&gt;""),AG261:AJ261)))</t>
        </is>
      </c>
      <c r="AY261" s="38" t="inlineStr">
        <is>
          <t>IF(OR(E261="",AL261=""),"",IF(COUNT(AG261:AK261)=0,"",AL261-LOOKUP(2,1/(AG261:AK261&lt;&gt;""),AG261:AK261)))</t>
        </is>
      </c>
      <c r="AZ261" s="38" t="inlineStr">
        <is>
          <t>IF(OR(E261="",AM261=""),"",IF(COUNT(AG261:AL261)=0,"",AM261-LOOKUP(2,1/(AG261:AL261&lt;&gt;""),AG261:AL261)))</t>
        </is>
      </c>
      <c r="BA261" s="38" t="inlineStr">
        <is>
          <t>IF(OR(E261="",AN261=""),"",IF(COUNT(AG261:AM261)=0,"",AN261-LOOKUP(2,1/(AG261:AM261&lt;&gt;""),AG261:AM261)))</t>
        </is>
      </c>
      <c r="BB261" s="38" t="inlineStr">
        <is>
          <t>IF(OR(E261="",AO261=""),"",IF(COUNT(AG261:AN261)=0,"",AO261-LOOKUP(2,1/(AG261:AN261&lt;&gt;""),AG261:AN261)))</t>
        </is>
      </c>
      <c r="BC261" s="38" t="inlineStr">
        <is>
          <t>IF(OR(E261="",AP261=""),"",IF(COUNT(AG261:AO261)=0,"",AP261-LOOKUP(2,1/(AG261:AO261&lt;&gt;""),AG261:AO261)))</t>
        </is>
      </c>
      <c r="BD261" s="38" t="inlineStr">
        <is>
          <t>IF(OR(E261="",AQ261=""),"",IF(COUNT(AG261:AP261)=0,"",AQ261-LOOKUP(2,1/(AG261:AP261&lt;&gt;""),AG261:AP261)))</t>
        </is>
      </c>
      <c r="BE261" s="38" t="inlineStr">
        <is>
          <t>IF(OR(E261="",AR261=""),"",IF(COUNT(AG261:AQ261)=0,"",AR261-LOOKUP(2,1/(AG261:AQ261&lt;&gt;""),AG261:AQ261)))</t>
        </is>
      </c>
      <c r="BF261" s="38" t="inlineStr">
        <is>
          <t>IF(OR(E261="",AS261=""),"",IF(COUNT(AG261:AR261)=0,"",AS261-LOOKUP(2,1/(AG261:AR261&lt;&gt;""),AG261:AR261)))</t>
        </is>
      </c>
      <c r="BG261" s="38" t="inlineStr">
        <is>
          <t>IF(OR(E261="",AT261=""),"",IF(COUNT(AG261:AS261)=0,"",AT261-LOOKUP(2,1/(AG261:AS261&lt;&gt;""),AG261:AS261)))</t>
        </is>
      </c>
      <c r="BH261" s="41" t="inlineStr">
        <is>
          <t>IF(G261="","All_Provinces",IFERROR(VLOOKUP(G261,'07_Lookups'!$A$4:$B$20,2,FALSE),"All_Provinces"))</t>
        </is>
      </c>
      <c r="BI261" s="41" t="inlineStr">
        <is>
          <t>IF(H261="","All_Districts",IFERROR(VLOOKUP(H261,'07_Lookups'!$E$4:$F$42,2,FALSE),"All_Districts"))</t>
        </is>
      </c>
    </row>
    <row r="262" ht="18" customHeight="1">
      <c r="A262" s="32" t="inlineStr">
        <is>
          <t>IF(E262="","",ROW()-3)</t>
        </is>
      </c>
      <c r="B262" s="33" t="inlineStr">
        <is>
          <t>AF2-DIS-R-099</t>
        </is>
      </c>
      <c r="C262" s="33" t="inlineStr">
        <is>
          <t>Emergency Food Security Project (EFSP) – WBK/AF-2</t>
        </is>
      </c>
      <c r="D262"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62" s="33" t="inlineStr">
        <is>
          <t>Hazrat-e-Sultan drip irrigation</t>
        </is>
      </c>
      <c r="F262" s="33" t="inlineStr">
        <is>
          <t>Drip Irrigation</t>
        </is>
      </c>
      <c r="G262" s="33" t="inlineStr">
        <is>
          <t>North / Mazar</t>
        </is>
      </c>
      <c r="H262" s="33" t="inlineStr">
        <is>
          <t>Samangan</t>
        </is>
      </c>
      <c r="I262" s="33" t="inlineStr">
        <is>
          <t>Hazrat-e-Sultan</t>
        </is>
      </c>
      <c r="J262" s="33" t="inlineStr">
        <is>
          <t>Asiabad</t>
        </is>
      </c>
      <c r="K262" s="33" t="inlineStr">
        <is>
          <t>World Bank (WBK/AF-2)</t>
        </is>
      </c>
      <c r="L262" s="33" t="inlineStr">
        <is>
          <t>Remaining</t>
        </is>
      </c>
      <c r="M262" s="33" t="inlineStr">
        <is>
          <t>Drip irrigation</t>
        </is>
      </c>
      <c r="N262" s="33" t="inlineStr">
        <is>
          <t>5. Drip Irrigation systems</t>
        </is>
      </c>
      <c r="O262" s="33" t="inlineStr"/>
      <c r="P262" s="33" t="inlineStr"/>
      <c r="Q262" s="34" t="n">
        <v>8500</v>
      </c>
      <c r="R262" s="35" t="inlineStr">
        <is>
          <t>IF(AO262="","",AO262)</t>
        </is>
      </c>
      <c r="S262" s="36" t="n">
        <v>46042</v>
      </c>
      <c r="T262" s="37" t="n">
        <v>6.2</v>
      </c>
      <c r="U262" s="36" t="n">
        <v>46232</v>
      </c>
      <c r="V262" s="35" t="inlineStr">
        <is>
          <t>IF(U262&lt;&gt;"",U262,IF(OR(R262="",T262=""),"",EDATE(R262,T262)))</t>
        </is>
      </c>
      <c r="W262" s="36" t="n"/>
      <c r="X262" s="37" t="n"/>
      <c r="Y262" s="33" t="inlineStr">
        <is>
          <t>Under Review of WRI</t>
        </is>
      </c>
      <c r="Z262" s="33" t="inlineStr">
        <is>
          <t>Construction period five months starting from March 2027.</t>
        </is>
      </c>
      <c r="AA262" s="32" t="inlineStr">
        <is>
          <t>IF(E262="","",IF(COUNT(AG262:AT262)=0,IF(Y262="","Not started",Y262),SUBSTITUTE(LOOKUP(2,1/(AG262:AT262&lt;&gt;""),$AG$3:$AT$3),"Date: ","")))</t>
        </is>
      </c>
      <c r="AB262" s="38" t="inlineStr">
        <is>
          <t>IF(OR(E262="",COUNT(AG262:AT262)=0),"",TODAY()-LOOKUP(2,1/(AG262:AT262&lt;&gt;""),AG262:AT262))</t>
        </is>
      </c>
      <c r="AC262" s="38" t="inlineStr">
        <is>
          <t>IF(OR(E262="",COUNT(AG262:AT262)&lt;2),"",LOOKUP(2,1/(AG262:AT262&lt;&gt;""),AG262:AT262)-MIN(AG262:AT262))</t>
        </is>
      </c>
      <c r="AD262" s="38" t="inlineStr">
        <is>
          <t>IF(OR(AB262="",AA262="Not started",AA262=""),"",IFERROR(AB262-IF(VLOOKUP(AA262,'04_Status_Pipeline'!$B$3:$E$20,4,FALSE)="",0,VLOOKUP(AA262,'04_Status_Pipeline'!$B$3:$E$20,4,FALSE)),""))</t>
        </is>
      </c>
      <c r="AE262" s="32" t="inlineStr">
        <is>
          <t>IF(E262="","",IF(OR(Y262="Cancelled",AA262="Cancelled"),"Cancelled",IF(OR(AA262="Completed / Handover",W262&lt;&gt;"",X262&gt;=100),"Completed — on track",IF(L262="Remaining",IF(S262="",IF(V262="","No planned date",IF(TODAY()&gt;V262,"Behind — past planned date",IF(V262-TODAY()&lt;=30,"At risk — close to off track","On track"))),IF(TODAY()&gt;S262,"Behind — award date passed",IF(S262-TODAY()&lt;=30,"At risk — close to off track","On track"))),IF(V262="","No planned date",IF(AND(TODAY()&gt;V262,OR(X262="",X262&lt;100)),"Behind — past end date",IF(AND(R262&lt;&gt;"",V262&lt;&gt;"",X262&lt;&gt;"",(X262&lt;100),((TODAY()-R262)/MAX(V262-R262,1)*100)-X262&gt;15),"Behind — progress lag",IF(AND(V262-TODAY()&lt;=30,V262-TODAY()&gt;=0,OR(X262="",X262&lt;90)),"At risk — close to off track","On track"))))))))</t>
        </is>
      </c>
      <c r="AF262" s="38" t="inlineStr">
        <is>
          <t>IF(OR(E262="",AA262="Completed / Handover",AA262="Cancelled"),"",IF(L262="Remaining",IF(S262&lt;&gt;"",S262-TODAY(),IF(V262="","",V262-TODAY())),IF(V262="","",V262-TODAY())))</t>
        </is>
      </c>
      <c r="AG262" s="36" t="n"/>
      <c r="AH262" s="36" t="n"/>
      <c r="AI262" s="36" t="n"/>
      <c r="AJ262" s="36" t="n"/>
      <c r="AK262" s="36" t="n"/>
      <c r="AL262" s="36" t="n"/>
      <c r="AM262" s="36" t="n"/>
      <c r="AN262" s="36" t="n"/>
      <c r="AO262" s="36" t="n"/>
      <c r="AP262" s="36" t="n"/>
      <c r="AQ262" s="36" t="n"/>
      <c r="AR262" s="40" t="n"/>
      <c r="AS262" s="40" t="n"/>
      <c r="AT262" s="40" t="n"/>
      <c r="AU262" s="38" t="inlineStr">
        <is>
          <t>IF(OR(E262="",AH262=""),"",IF(COUNT(AG262:AG262)=0,"",AH262-LOOKUP(2,1/(AG262:AG262&lt;&gt;""),AG262:AG262)))</t>
        </is>
      </c>
      <c r="AV262" s="38" t="inlineStr">
        <is>
          <t>IF(OR(E262="",AI262=""),"",IF(COUNT(AG262:AH262)=0,"",AI262-LOOKUP(2,1/(AG262:AH262&lt;&gt;""),AG262:AH262)))</t>
        </is>
      </c>
      <c r="AW262" s="38" t="inlineStr">
        <is>
          <t>IF(OR(E262="",AJ262=""),"",IF(COUNT(AG262:AI262)=0,"",AJ262-LOOKUP(2,1/(AG262:AI262&lt;&gt;""),AG262:AI262)))</t>
        </is>
      </c>
      <c r="AX262" s="38" t="inlineStr">
        <is>
          <t>IF(OR(E262="",AK262=""),"",IF(COUNT(AG262:AJ262)=0,"",AK262-LOOKUP(2,1/(AG262:AJ262&lt;&gt;""),AG262:AJ262)))</t>
        </is>
      </c>
      <c r="AY262" s="38" t="inlineStr">
        <is>
          <t>IF(OR(E262="",AL262=""),"",IF(COUNT(AG262:AK262)=0,"",AL262-LOOKUP(2,1/(AG262:AK262&lt;&gt;""),AG262:AK262)))</t>
        </is>
      </c>
      <c r="AZ262" s="38" t="inlineStr">
        <is>
          <t>IF(OR(E262="",AM262=""),"",IF(COUNT(AG262:AL262)=0,"",AM262-LOOKUP(2,1/(AG262:AL262&lt;&gt;""),AG262:AL262)))</t>
        </is>
      </c>
      <c r="BA262" s="38" t="inlineStr">
        <is>
          <t>IF(OR(E262="",AN262=""),"",IF(COUNT(AG262:AM262)=0,"",AN262-LOOKUP(2,1/(AG262:AM262&lt;&gt;""),AG262:AM262)))</t>
        </is>
      </c>
      <c r="BB262" s="38" t="inlineStr">
        <is>
          <t>IF(OR(E262="",AO262=""),"",IF(COUNT(AG262:AN262)=0,"",AO262-LOOKUP(2,1/(AG262:AN262&lt;&gt;""),AG262:AN262)))</t>
        </is>
      </c>
      <c r="BC262" s="38" t="inlineStr">
        <is>
          <t>IF(OR(E262="",AP262=""),"",IF(COUNT(AG262:AO262)=0,"",AP262-LOOKUP(2,1/(AG262:AO262&lt;&gt;""),AG262:AO262)))</t>
        </is>
      </c>
      <c r="BD262" s="38" t="inlineStr">
        <is>
          <t>IF(OR(E262="",AQ262=""),"",IF(COUNT(AG262:AP262)=0,"",AQ262-LOOKUP(2,1/(AG262:AP262&lt;&gt;""),AG262:AP262)))</t>
        </is>
      </c>
      <c r="BE262" s="38" t="inlineStr">
        <is>
          <t>IF(OR(E262="",AR262=""),"",IF(COUNT(AG262:AQ262)=0,"",AR262-LOOKUP(2,1/(AG262:AQ262&lt;&gt;""),AG262:AQ262)))</t>
        </is>
      </c>
      <c r="BF262" s="38" t="inlineStr">
        <is>
          <t>IF(OR(E262="",AS262=""),"",IF(COUNT(AG262:AR262)=0,"",AS262-LOOKUP(2,1/(AG262:AR262&lt;&gt;""),AG262:AR262)))</t>
        </is>
      </c>
      <c r="BG262" s="38" t="inlineStr">
        <is>
          <t>IF(OR(E262="",AT262=""),"",IF(COUNT(AG262:AS262)=0,"",AT262-LOOKUP(2,1/(AG262:AS262&lt;&gt;""),AG262:AS262)))</t>
        </is>
      </c>
      <c r="BH262" s="41" t="inlineStr">
        <is>
          <t>IF(G262="","All_Provinces",IFERROR(VLOOKUP(G262,'07_Lookups'!$A$4:$B$20,2,FALSE),"All_Provinces"))</t>
        </is>
      </c>
      <c r="BI262" s="41" t="inlineStr">
        <is>
          <t>IF(H262="","All_Districts",IFERROR(VLOOKUP(H262,'07_Lookups'!$E$4:$F$42,2,FALSE),"All_Districts"))</t>
        </is>
      </c>
    </row>
    <row r="263" ht="18" customHeight="1">
      <c r="A263" s="32" t="inlineStr">
        <is>
          <t>IF(E263="","",ROW()-3)</t>
        </is>
      </c>
      <c r="B263" s="42" t="inlineStr">
        <is>
          <t>AF2-DIS-R-100</t>
        </is>
      </c>
      <c r="C263" s="42" t="inlineStr">
        <is>
          <t>Emergency Food Security Project (EFSP) – WBK/AF-2</t>
        </is>
      </c>
      <c r="D263"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63" s="42" t="inlineStr">
        <is>
          <t>Aybak drip irrigation</t>
        </is>
      </c>
      <c r="F263" s="42" t="inlineStr">
        <is>
          <t>Drip Irrigation</t>
        </is>
      </c>
      <c r="G263" s="42" t="inlineStr">
        <is>
          <t>North / Mazar</t>
        </is>
      </c>
      <c r="H263" s="42" t="inlineStr">
        <is>
          <t>Samangan</t>
        </is>
      </c>
      <c r="I263" s="42" t="inlineStr">
        <is>
          <t>Aybak</t>
        </is>
      </c>
      <c r="J263" s="42" t="inlineStr">
        <is>
          <t>Joy Zindan</t>
        </is>
      </c>
      <c r="K263" s="42" t="inlineStr">
        <is>
          <t>World Bank (WBK/AF-2)</t>
        </is>
      </c>
      <c r="L263" s="42" t="inlineStr">
        <is>
          <t>Remaining</t>
        </is>
      </c>
      <c r="M263" s="42" t="inlineStr">
        <is>
          <t>Drip irrigation</t>
        </is>
      </c>
      <c r="N263" s="42" t="inlineStr">
        <is>
          <t>5. Drip Irrigation systems</t>
        </is>
      </c>
      <c r="O263" s="42" t="inlineStr"/>
      <c r="P263" s="42" t="inlineStr"/>
      <c r="Q263" s="43" t="n">
        <v>4250</v>
      </c>
      <c r="R263" s="35" t="inlineStr">
        <is>
          <t>IF(AO263="","",AO263)</t>
        </is>
      </c>
      <c r="S263" s="44" t="n">
        <v>46042</v>
      </c>
      <c r="T263" s="45" t="n">
        <v>6.2</v>
      </c>
      <c r="U263" s="44" t="n">
        <v>46232</v>
      </c>
      <c r="V263" s="35" t="inlineStr">
        <is>
          <t>IF(U263&lt;&gt;"",U263,IF(OR(R263="",T263=""),"",EDATE(R263,T263)))</t>
        </is>
      </c>
      <c r="W263" s="44" t="n"/>
      <c r="X263" s="45" t="n"/>
      <c r="Y263" s="42" t="inlineStr">
        <is>
          <t>Under Review of WRI</t>
        </is>
      </c>
      <c r="Z263" s="42" t="inlineStr">
        <is>
          <t>Construction period five months starting from March 2027.</t>
        </is>
      </c>
      <c r="AA263" s="32" t="inlineStr">
        <is>
          <t>IF(E263="","",IF(COUNT(AG263:AT263)=0,IF(Y263="","Not started",Y263),SUBSTITUTE(LOOKUP(2,1/(AG263:AT263&lt;&gt;""),$AG$3:$AT$3),"Date: ","")))</t>
        </is>
      </c>
      <c r="AB263" s="38" t="inlineStr">
        <is>
          <t>IF(OR(E263="",COUNT(AG263:AT263)=0),"",TODAY()-LOOKUP(2,1/(AG263:AT263&lt;&gt;""),AG263:AT263))</t>
        </is>
      </c>
      <c r="AC263" s="38" t="inlineStr">
        <is>
          <t>IF(OR(E263="",COUNT(AG263:AT263)&lt;2),"",LOOKUP(2,1/(AG263:AT263&lt;&gt;""),AG263:AT263)-MIN(AG263:AT263))</t>
        </is>
      </c>
      <c r="AD263" s="38" t="inlineStr">
        <is>
          <t>IF(OR(AB263="",AA263="Not started",AA263=""),"",IFERROR(AB263-IF(VLOOKUP(AA263,'04_Status_Pipeline'!$B$3:$E$20,4,FALSE)="",0,VLOOKUP(AA263,'04_Status_Pipeline'!$B$3:$E$20,4,FALSE)),""))</t>
        </is>
      </c>
      <c r="AE263" s="32" t="inlineStr">
        <is>
          <t>IF(E263="","",IF(OR(Y263="Cancelled",AA263="Cancelled"),"Cancelled",IF(OR(AA263="Completed / Handover",W263&lt;&gt;"",X263&gt;=100),"Completed — on track",IF(L263="Remaining",IF(S263="",IF(V263="","No planned date",IF(TODAY()&gt;V263,"Behind — past planned date",IF(V263-TODAY()&lt;=30,"At risk — close to off track","On track"))),IF(TODAY()&gt;S263,"Behind — award date passed",IF(S263-TODAY()&lt;=30,"At risk — close to off track","On track"))),IF(V263="","No planned date",IF(AND(TODAY()&gt;V263,OR(X263="",X263&lt;100)),"Behind — past end date",IF(AND(R263&lt;&gt;"",V263&lt;&gt;"",X263&lt;&gt;"",(X263&lt;100),((TODAY()-R263)/MAX(V263-R263,1)*100)-X263&gt;15),"Behind — progress lag",IF(AND(V263-TODAY()&lt;=30,V263-TODAY()&gt;=0,OR(X263="",X263&lt;90)),"At risk — close to off track","On track"))))))))</t>
        </is>
      </c>
      <c r="AF263" s="38" t="inlineStr">
        <is>
          <t>IF(OR(E263="",AA263="Completed / Handover",AA263="Cancelled"),"",IF(L263="Remaining",IF(S263&lt;&gt;"",S263-TODAY(),IF(V263="","",V263-TODAY())),IF(V263="","",V263-TODAY())))</t>
        </is>
      </c>
      <c r="AG263" s="44" t="n"/>
      <c r="AH263" s="44" t="n"/>
      <c r="AI263" s="44" t="n"/>
      <c r="AJ263" s="44" t="n"/>
      <c r="AK263" s="44" t="n"/>
      <c r="AL263" s="44" t="n"/>
      <c r="AM263" s="44" t="n"/>
      <c r="AN263" s="44" t="n"/>
      <c r="AO263" s="44" t="n"/>
      <c r="AP263" s="44" t="n"/>
      <c r="AQ263" s="44" t="n"/>
      <c r="AR263" s="40" t="n"/>
      <c r="AS263" s="40" t="n"/>
      <c r="AT263" s="40" t="n"/>
      <c r="AU263" s="38" t="inlineStr">
        <is>
          <t>IF(OR(E263="",AH263=""),"",IF(COUNT(AG263:AG263)=0,"",AH263-LOOKUP(2,1/(AG263:AG263&lt;&gt;""),AG263:AG263)))</t>
        </is>
      </c>
      <c r="AV263" s="38" t="inlineStr">
        <is>
          <t>IF(OR(E263="",AI263=""),"",IF(COUNT(AG263:AH263)=0,"",AI263-LOOKUP(2,1/(AG263:AH263&lt;&gt;""),AG263:AH263)))</t>
        </is>
      </c>
      <c r="AW263" s="38" t="inlineStr">
        <is>
          <t>IF(OR(E263="",AJ263=""),"",IF(COUNT(AG263:AI263)=0,"",AJ263-LOOKUP(2,1/(AG263:AI263&lt;&gt;""),AG263:AI263)))</t>
        </is>
      </c>
      <c r="AX263" s="38" t="inlineStr">
        <is>
          <t>IF(OR(E263="",AK263=""),"",IF(COUNT(AG263:AJ263)=0,"",AK263-LOOKUP(2,1/(AG263:AJ263&lt;&gt;""),AG263:AJ263)))</t>
        </is>
      </c>
      <c r="AY263" s="38" t="inlineStr">
        <is>
          <t>IF(OR(E263="",AL263=""),"",IF(COUNT(AG263:AK263)=0,"",AL263-LOOKUP(2,1/(AG263:AK263&lt;&gt;""),AG263:AK263)))</t>
        </is>
      </c>
      <c r="AZ263" s="38" t="inlineStr">
        <is>
          <t>IF(OR(E263="",AM263=""),"",IF(COUNT(AG263:AL263)=0,"",AM263-LOOKUP(2,1/(AG263:AL263&lt;&gt;""),AG263:AL263)))</t>
        </is>
      </c>
      <c r="BA263" s="38" t="inlineStr">
        <is>
          <t>IF(OR(E263="",AN263=""),"",IF(COUNT(AG263:AM263)=0,"",AN263-LOOKUP(2,1/(AG263:AM263&lt;&gt;""),AG263:AM263)))</t>
        </is>
      </c>
      <c r="BB263" s="38" t="inlineStr">
        <is>
          <t>IF(OR(E263="",AO263=""),"",IF(COUNT(AG263:AN263)=0,"",AO263-LOOKUP(2,1/(AG263:AN263&lt;&gt;""),AG263:AN263)))</t>
        </is>
      </c>
      <c r="BC263" s="38" t="inlineStr">
        <is>
          <t>IF(OR(E263="",AP263=""),"",IF(COUNT(AG263:AO263)=0,"",AP263-LOOKUP(2,1/(AG263:AO263&lt;&gt;""),AG263:AO263)))</t>
        </is>
      </c>
      <c r="BD263" s="38" t="inlineStr">
        <is>
          <t>IF(OR(E263="",AQ263=""),"",IF(COUNT(AG263:AP263)=0,"",AQ263-LOOKUP(2,1/(AG263:AP263&lt;&gt;""),AG263:AP263)))</t>
        </is>
      </c>
      <c r="BE263" s="38" t="inlineStr">
        <is>
          <t>IF(OR(E263="",AR263=""),"",IF(COUNT(AG263:AQ263)=0,"",AR263-LOOKUP(2,1/(AG263:AQ263&lt;&gt;""),AG263:AQ263)))</t>
        </is>
      </c>
      <c r="BF263" s="38" t="inlineStr">
        <is>
          <t>IF(OR(E263="",AS263=""),"",IF(COUNT(AG263:AR263)=0,"",AS263-LOOKUP(2,1/(AG263:AR263&lt;&gt;""),AG263:AR263)))</t>
        </is>
      </c>
      <c r="BG263" s="38" t="inlineStr">
        <is>
          <t>IF(OR(E263="",AT263=""),"",IF(COUNT(AG263:AS263)=0,"",AT263-LOOKUP(2,1/(AG263:AS263&lt;&gt;""),AG263:AS263)))</t>
        </is>
      </c>
      <c r="BH263" s="41" t="inlineStr">
        <is>
          <t>IF(G263="","All_Provinces",IFERROR(VLOOKUP(G263,'07_Lookups'!$A$4:$B$20,2,FALSE),"All_Provinces"))</t>
        </is>
      </c>
      <c r="BI263" s="41" t="inlineStr">
        <is>
          <t>IF(H263="","All_Districts",IFERROR(VLOOKUP(H263,'07_Lookups'!$E$4:$F$42,2,FALSE),"All_Districts"))</t>
        </is>
      </c>
    </row>
    <row r="264" ht="18" customHeight="1">
      <c r="A264" s="32" t="inlineStr">
        <is>
          <t>IF(E264="","",ROW()-3)</t>
        </is>
      </c>
      <c r="B264" s="33" t="inlineStr">
        <is>
          <t>AF2-LLL-R-001</t>
        </is>
      </c>
      <c r="C264" s="33" t="inlineStr">
        <is>
          <t>Emergency Food Security Project (EFSP) – WBK/AF-2</t>
        </is>
      </c>
      <c r="D264" s="33" t="inlineStr">
        <is>
          <t>EFSP-AF2 LLL supply and delivery (50 units)</t>
        </is>
      </c>
      <c r="E264" s="33" t="inlineStr">
        <is>
          <t>Kamary Canal</t>
        </is>
      </c>
      <c r="F264" s="33" t="inlineStr">
        <is>
          <t>Laser Land Leveler (LLL)</t>
        </is>
      </c>
      <c r="G264" s="33" t="inlineStr">
        <is>
          <t>Central / Kabul</t>
        </is>
      </c>
      <c r="H264" s="33" t="inlineStr">
        <is>
          <t>Kabul</t>
        </is>
      </c>
      <c r="I264" s="33" t="inlineStr">
        <is>
          <t>Qarabagh</t>
        </is>
      </c>
      <c r="J264" s="33" t="inlineStr">
        <is>
          <t>1 unit(s)</t>
        </is>
      </c>
      <c r="K264" s="33" t="inlineStr">
        <is>
          <t>World Bank (WBK/AF-2)</t>
        </is>
      </c>
      <c r="L264" s="33" t="inlineStr">
        <is>
          <t>Remaining</t>
        </is>
      </c>
      <c r="M264" s="33" t="inlineStr">
        <is>
          <t>LLL supply</t>
        </is>
      </c>
      <c r="N264" s="33" t="inlineStr">
        <is>
          <t>6. Supply and delivery of LLL</t>
        </is>
      </c>
      <c r="O264" s="33" t="inlineStr"/>
      <c r="P264" s="33" t="inlineStr"/>
      <c r="Q264" s="34" t="n"/>
      <c r="R264" s="35" t="inlineStr">
        <is>
          <t>IF(AO264="","",AO264)</t>
        </is>
      </c>
      <c r="S264" s="36" t="n">
        <v>46325</v>
      </c>
      <c r="T264" s="37" t="n">
        <v>3.1</v>
      </c>
      <c r="U264" s="36" t="n">
        <v>46418</v>
      </c>
      <c r="V264" s="35" t="inlineStr">
        <is>
          <t>IF(U264&lt;&gt;"",U264,IF(OR(R264="",T264=""),"",EDATE(R264,T264)))</t>
        </is>
      </c>
      <c r="W264" s="36" t="n"/>
      <c r="X264" s="37" t="n"/>
      <c r="Y264" s="33" t="inlineStr">
        <is>
          <t>Under Awarding</t>
        </is>
      </c>
      <c r="Z264" s="33" t="inlineStr">
        <is>
          <t>The Procurement process is initiated in April and PO will be issued late October 2026. and delivery will be done by End of December 2026 and onward in January 2027 it is planned to be distributed to the selected beneficiaries.</t>
        </is>
      </c>
      <c r="AA264" s="32" t="inlineStr">
        <is>
          <t>IF(E264="","",IF(COUNT(AG264:AT264)=0,IF(Y264="","Not started",Y264),SUBSTITUTE(LOOKUP(2,1/(AG264:AT264&lt;&gt;""),$AG$3:$AT$3),"Date: ","")))</t>
        </is>
      </c>
      <c r="AB264" s="38" t="inlineStr">
        <is>
          <t>IF(OR(E264="",COUNT(AG264:AT264)=0),"",TODAY()-LOOKUP(2,1/(AG264:AT264&lt;&gt;""),AG264:AT264))</t>
        </is>
      </c>
      <c r="AC264" s="38" t="inlineStr">
        <is>
          <t>IF(OR(E264="",COUNT(AG264:AT264)&lt;2),"",LOOKUP(2,1/(AG264:AT264&lt;&gt;""),AG264:AT264)-MIN(AG264:AT264))</t>
        </is>
      </c>
      <c r="AD264" s="38" t="inlineStr">
        <is>
          <t>IF(OR(AB264="",AA264="Not started",AA264=""),"",IFERROR(AB264-IF(VLOOKUP(AA264,'04_Status_Pipeline'!$B$3:$E$20,4,FALSE)="",0,VLOOKUP(AA264,'04_Status_Pipeline'!$B$3:$E$20,4,FALSE)),""))</t>
        </is>
      </c>
      <c r="AE264" s="32" t="inlineStr">
        <is>
          <t>IF(E264="","",IF(OR(Y264="Cancelled",AA264="Cancelled"),"Cancelled",IF(OR(AA264="Completed / Handover",W264&lt;&gt;"",X264&gt;=100),"Completed — on track",IF(L264="Remaining",IF(S264="",IF(V264="","No planned date",IF(TODAY()&gt;V264,"Behind — past planned date",IF(V264-TODAY()&lt;=30,"At risk — close to off track","On track"))),IF(TODAY()&gt;S264,"Behind — award date passed",IF(S264-TODAY()&lt;=30,"At risk — close to off track","On track"))),IF(V264="","No planned date",IF(AND(TODAY()&gt;V264,OR(X264="",X264&lt;100)),"Behind — past end date",IF(AND(R264&lt;&gt;"",V264&lt;&gt;"",X264&lt;&gt;"",(X264&lt;100),((TODAY()-R264)/MAX(V264-R264,1)*100)-X264&gt;15),"Behind — progress lag",IF(AND(V264-TODAY()&lt;=30,V264-TODAY()&gt;=0,OR(X264="",X264&lt;90)),"At risk — close to off track","On track"))))))))</t>
        </is>
      </c>
      <c r="AF264" s="38" t="inlineStr">
        <is>
          <t>IF(OR(E264="",AA264="Completed / Handover",AA264="Cancelled"),"",IF(L264="Remaining",IF(S264&lt;&gt;"",S264-TODAY(),IF(V264="","",V264-TODAY())),IF(V264="","",V264-TODAY())))</t>
        </is>
      </c>
      <c r="AG264" s="36" t="n"/>
      <c r="AH264" s="36" t="n"/>
      <c r="AI264" s="36" t="n"/>
      <c r="AJ264" s="36" t="n"/>
      <c r="AK264" s="36" t="n"/>
      <c r="AL264" s="36" t="n"/>
      <c r="AM264" s="36" t="n"/>
      <c r="AN264" s="36" t="n"/>
      <c r="AO264" s="36" t="n"/>
      <c r="AP264" s="36" t="n"/>
      <c r="AQ264" s="36" t="n"/>
      <c r="AR264" s="40" t="n"/>
      <c r="AS264" s="40" t="n"/>
      <c r="AT264" s="40" t="n"/>
      <c r="AU264" s="38" t="inlineStr">
        <is>
          <t>IF(OR(E264="",AH264=""),"",IF(COUNT(AG264:AG264)=0,"",AH264-LOOKUP(2,1/(AG264:AG264&lt;&gt;""),AG264:AG264)))</t>
        </is>
      </c>
      <c r="AV264" s="38" t="inlineStr">
        <is>
          <t>IF(OR(E264="",AI264=""),"",IF(COUNT(AG264:AH264)=0,"",AI264-LOOKUP(2,1/(AG264:AH264&lt;&gt;""),AG264:AH264)))</t>
        </is>
      </c>
      <c r="AW264" s="38" t="inlineStr">
        <is>
          <t>IF(OR(E264="",AJ264=""),"",IF(COUNT(AG264:AI264)=0,"",AJ264-LOOKUP(2,1/(AG264:AI264&lt;&gt;""),AG264:AI264)))</t>
        </is>
      </c>
      <c r="AX264" s="38" t="inlineStr">
        <is>
          <t>IF(OR(E264="",AK264=""),"",IF(COUNT(AG264:AJ264)=0,"",AK264-LOOKUP(2,1/(AG264:AJ264&lt;&gt;""),AG264:AJ264)))</t>
        </is>
      </c>
      <c r="AY264" s="38" t="inlineStr">
        <is>
          <t>IF(OR(E264="",AL264=""),"",IF(COUNT(AG264:AK264)=0,"",AL264-LOOKUP(2,1/(AG264:AK264&lt;&gt;""),AG264:AK264)))</t>
        </is>
      </c>
      <c r="AZ264" s="38" t="inlineStr">
        <is>
          <t>IF(OR(E264="",AM264=""),"",IF(COUNT(AG264:AL264)=0,"",AM264-LOOKUP(2,1/(AG264:AL264&lt;&gt;""),AG264:AL264)))</t>
        </is>
      </c>
      <c r="BA264" s="38" t="inlineStr">
        <is>
          <t>IF(OR(E264="",AN264=""),"",IF(COUNT(AG264:AM264)=0,"",AN264-LOOKUP(2,1/(AG264:AM264&lt;&gt;""),AG264:AM264)))</t>
        </is>
      </c>
      <c r="BB264" s="38" t="inlineStr">
        <is>
          <t>IF(OR(E264="",AO264=""),"",IF(COUNT(AG264:AN264)=0,"",AO264-LOOKUP(2,1/(AG264:AN264&lt;&gt;""),AG264:AN264)))</t>
        </is>
      </c>
      <c r="BC264" s="38" t="inlineStr">
        <is>
          <t>IF(OR(E264="",AP264=""),"",IF(COUNT(AG264:AO264)=0,"",AP264-LOOKUP(2,1/(AG264:AO264&lt;&gt;""),AG264:AO264)))</t>
        </is>
      </c>
      <c r="BD264" s="38" t="inlineStr">
        <is>
          <t>IF(OR(E264="",AQ264=""),"",IF(COUNT(AG264:AP264)=0,"",AQ264-LOOKUP(2,1/(AG264:AP264&lt;&gt;""),AG264:AP264)))</t>
        </is>
      </c>
      <c r="BE264" s="38" t="inlineStr">
        <is>
          <t>IF(OR(E264="",AR264=""),"",IF(COUNT(AG264:AQ264)=0,"",AR264-LOOKUP(2,1/(AG264:AQ264&lt;&gt;""),AG264:AQ264)))</t>
        </is>
      </c>
      <c r="BF264" s="38" t="inlineStr">
        <is>
          <t>IF(OR(E264="",AS264=""),"",IF(COUNT(AG264:AR264)=0,"",AS264-LOOKUP(2,1/(AG264:AR264&lt;&gt;""),AG264:AR264)))</t>
        </is>
      </c>
      <c r="BG264" s="38" t="inlineStr">
        <is>
          <t>IF(OR(E264="",AT264=""),"",IF(COUNT(AG264:AS264)=0,"",AT264-LOOKUP(2,1/(AG264:AS264&lt;&gt;""),AG264:AS264)))</t>
        </is>
      </c>
      <c r="BH264" s="41" t="inlineStr">
        <is>
          <t>IF(G264="","All_Provinces",IFERROR(VLOOKUP(G264,'07_Lookups'!$A$4:$B$20,2,FALSE),"All_Provinces"))</t>
        </is>
      </c>
      <c r="BI264" s="41" t="inlineStr">
        <is>
          <t>IF(H264="","All_Districts",IFERROR(VLOOKUP(H264,'07_Lookups'!$E$4:$F$42,2,FALSE),"All_Districts"))</t>
        </is>
      </c>
    </row>
    <row r="265" ht="18" customHeight="1">
      <c r="A265" s="32" t="inlineStr">
        <is>
          <t>IF(E265="","",ROW()-3)</t>
        </is>
      </c>
      <c r="B265" s="42" t="inlineStr">
        <is>
          <t>AF2-LLL-R-002</t>
        </is>
      </c>
      <c r="C265" s="42" t="inlineStr">
        <is>
          <t>Emergency Food Security Project (EFSP) – WBK/AF-2</t>
        </is>
      </c>
      <c r="D265" s="42" t="inlineStr">
        <is>
          <t>EFSP-AF2 LLL supply and delivery (50 units)</t>
        </is>
      </c>
      <c r="E265" s="42" t="inlineStr">
        <is>
          <t>Zema Canal</t>
        </is>
      </c>
      <c r="F265" s="42" t="inlineStr">
        <is>
          <t>Laser Land Leveler (LLL)</t>
        </is>
      </c>
      <c r="G265" s="42" t="inlineStr">
        <is>
          <t>Central / Kabul</t>
        </is>
      </c>
      <c r="H265" s="42" t="inlineStr">
        <is>
          <t>Kabul</t>
        </is>
      </c>
      <c r="I265" s="42" t="inlineStr">
        <is>
          <t>Kalakan</t>
        </is>
      </c>
      <c r="J265" s="42" t="inlineStr">
        <is>
          <t>1 unit(s)</t>
        </is>
      </c>
      <c r="K265" s="42" t="inlineStr">
        <is>
          <t>World Bank (WBK/AF-2)</t>
        </is>
      </c>
      <c r="L265" s="42" t="inlineStr">
        <is>
          <t>Remaining</t>
        </is>
      </c>
      <c r="M265" s="42" t="inlineStr">
        <is>
          <t>LLL supply</t>
        </is>
      </c>
      <c r="N265" s="42" t="inlineStr">
        <is>
          <t>6. Supply and delivery of LLL</t>
        </is>
      </c>
      <c r="O265" s="42" t="inlineStr"/>
      <c r="P265" s="42" t="inlineStr"/>
      <c r="Q265" s="43" t="n"/>
      <c r="R265" s="35" t="inlineStr">
        <is>
          <t>IF(AO265="","",AO265)</t>
        </is>
      </c>
      <c r="S265" s="44" t="n">
        <v>46325</v>
      </c>
      <c r="T265" s="45" t="n"/>
      <c r="U265" s="44" t="n">
        <v>46418</v>
      </c>
      <c r="V265" s="35" t="inlineStr">
        <is>
          <t>IF(U265&lt;&gt;"",U265,IF(OR(R265="",T265=""),"",EDATE(R265,T265)))</t>
        </is>
      </c>
      <c r="W265" s="44" t="n"/>
      <c r="X265" s="45" t="n"/>
      <c r="Y265" s="42" t="inlineStr">
        <is>
          <t>Under Awarding</t>
        </is>
      </c>
      <c r="Z265" s="42" t="inlineStr">
        <is>
          <t>The Procurement process is initiated in April and PO will be issued late October 2026. and delivery will be done by End of December 2026 and onward in January 2027 it is planned to be distributed to the selected beneficiaries.</t>
        </is>
      </c>
      <c r="AA265" s="32" t="inlineStr">
        <is>
          <t>IF(E265="","",IF(COUNT(AG265:AT265)=0,IF(Y265="","Not started",Y265),SUBSTITUTE(LOOKUP(2,1/(AG265:AT265&lt;&gt;""),$AG$3:$AT$3),"Date: ","")))</t>
        </is>
      </c>
      <c r="AB265" s="38" t="inlineStr">
        <is>
          <t>IF(OR(E265="",COUNT(AG265:AT265)=0),"",TODAY()-LOOKUP(2,1/(AG265:AT265&lt;&gt;""),AG265:AT265))</t>
        </is>
      </c>
      <c r="AC265" s="38" t="inlineStr">
        <is>
          <t>IF(OR(E265="",COUNT(AG265:AT265)&lt;2),"",LOOKUP(2,1/(AG265:AT265&lt;&gt;""),AG265:AT265)-MIN(AG265:AT265))</t>
        </is>
      </c>
      <c r="AD265" s="38" t="inlineStr">
        <is>
          <t>IF(OR(AB265="",AA265="Not started",AA265=""),"",IFERROR(AB265-IF(VLOOKUP(AA265,'04_Status_Pipeline'!$B$3:$E$20,4,FALSE)="",0,VLOOKUP(AA265,'04_Status_Pipeline'!$B$3:$E$20,4,FALSE)),""))</t>
        </is>
      </c>
      <c r="AE265" s="32" t="inlineStr">
        <is>
          <t>IF(E265="","",IF(OR(Y265="Cancelled",AA265="Cancelled"),"Cancelled",IF(OR(AA265="Completed / Handover",W265&lt;&gt;"",X265&gt;=100),"Completed — on track",IF(L265="Remaining",IF(S265="",IF(V265="","No planned date",IF(TODAY()&gt;V265,"Behind — past planned date",IF(V265-TODAY()&lt;=30,"At risk — close to off track","On track"))),IF(TODAY()&gt;S265,"Behind — award date passed",IF(S265-TODAY()&lt;=30,"At risk — close to off track","On track"))),IF(V265="","No planned date",IF(AND(TODAY()&gt;V265,OR(X265="",X265&lt;100)),"Behind — past end date",IF(AND(R265&lt;&gt;"",V265&lt;&gt;"",X265&lt;&gt;"",(X265&lt;100),((TODAY()-R265)/MAX(V265-R265,1)*100)-X265&gt;15),"Behind — progress lag",IF(AND(V265-TODAY()&lt;=30,V265-TODAY()&gt;=0,OR(X265="",X265&lt;90)),"At risk — close to off track","On track"))))))))</t>
        </is>
      </c>
      <c r="AF265" s="38" t="inlineStr">
        <is>
          <t>IF(OR(E265="",AA265="Completed / Handover",AA265="Cancelled"),"",IF(L265="Remaining",IF(S265&lt;&gt;"",S265-TODAY(),IF(V265="","",V265-TODAY())),IF(V265="","",V265-TODAY())))</t>
        </is>
      </c>
      <c r="AG265" s="44" t="n"/>
      <c r="AH265" s="44" t="n"/>
      <c r="AI265" s="44" t="n"/>
      <c r="AJ265" s="44" t="n"/>
      <c r="AK265" s="44" t="n"/>
      <c r="AL265" s="44" t="n"/>
      <c r="AM265" s="44" t="n"/>
      <c r="AN265" s="44" t="n"/>
      <c r="AO265" s="44" t="n"/>
      <c r="AP265" s="44" t="n"/>
      <c r="AQ265" s="44" t="n"/>
      <c r="AR265" s="40" t="n"/>
      <c r="AS265" s="40" t="n"/>
      <c r="AT265" s="40" t="n"/>
      <c r="AU265" s="38" t="inlineStr">
        <is>
          <t>IF(OR(E265="",AH265=""),"",IF(COUNT(AG265:AG265)=0,"",AH265-LOOKUP(2,1/(AG265:AG265&lt;&gt;""),AG265:AG265)))</t>
        </is>
      </c>
      <c r="AV265" s="38" t="inlineStr">
        <is>
          <t>IF(OR(E265="",AI265=""),"",IF(COUNT(AG265:AH265)=0,"",AI265-LOOKUP(2,1/(AG265:AH265&lt;&gt;""),AG265:AH265)))</t>
        </is>
      </c>
      <c r="AW265" s="38" t="inlineStr">
        <is>
          <t>IF(OR(E265="",AJ265=""),"",IF(COUNT(AG265:AI265)=0,"",AJ265-LOOKUP(2,1/(AG265:AI265&lt;&gt;""),AG265:AI265)))</t>
        </is>
      </c>
      <c r="AX265" s="38" t="inlineStr">
        <is>
          <t>IF(OR(E265="",AK265=""),"",IF(COUNT(AG265:AJ265)=0,"",AK265-LOOKUP(2,1/(AG265:AJ265&lt;&gt;""),AG265:AJ265)))</t>
        </is>
      </c>
      <c r="AY265" s="38" t="inlineStr">
        <is>
          <t>IF(OR(E265="",AL265=""),"",IF(COUNT(AG265:AK265)=0,"",AL265-LOOKUP(2,1/(AG265:AK265&lt;&gt;""),AG265:AK265)))</t>
        </is>
      </c>
      <c r="AZ265" s="38" t="inlineStr">
        <is>
          <t>IF(OR(E265="",AM265=""),"",IF(COUNT(AG265:AL265)=0,"",AM265-LOOKUP(2,1/(AG265:AL265&lt;&gt;""),AG265:AL265)))</t>
        </is>
      </c>
      <c r="BA265" s="38" t="inlineStr">
        <is>
          <t>IF(OR(E265="",AN265=""),"",IF(COUNT(AG265:AM265)=0,"",AN265-LOOKUP(2,1/(AG265:AM265&lt;&gt;""),AG265:AM265)))</t>
        </is>
      </c>
      <c r="BB265" s="38" t="inlineStr">
        <is>
          <t>IF(OR(E265="",AO265=""),"",IF(COUNT(AG265:AN265)=0,"",AO265-LOOKUP(2,1/(AG265:AN265&lt;&gt;""),AG265:AN265)))</t>
        </is>
      </c>
      <c r="BC265" s="38" t="inlineStr">
        <is>
          <t>IF(OR(E265="",AP265=""),"",IF(COUNT(AG265:AO265)=0,"",AP265-LOOKUP(2,1/(AG265:AO265&lt;&gt;""),AG265:AO265)))</t>
        </is>
      </c>
      <c r="BD265" s="38" t="inlineStr">
        <is>
          <t>IF(OR(E265="",AQ265=""),"",IF(COUNT(AG265:AP265)=0,"",AQ265-LOOKUP(2,1/(AG265:AP265&lt;&gt;""),AG265:AP265)))</t>
        </is>
      </c>
      <c r="BE265" s="38" t="inlineStr">
        <is>
          <t>IF(OR(E265="",AR265=""),"",IF(COUNT(AG265:AQ265)=0,"",AR265-LOOKUP(2,1/(AG265:AQ265&lt;&gt;""),AG265:AQ265)))</t>
        </is>
      </c>
      <c r="BF265" s="38" t="inlineStr">
        <is>
          <t>IF(OR(E265="",AS265=""),"",IF(COUNT(AG265:AR265)=0,"",AS265-LOOKUP(2,1/(AG265:AR265&lt;&gt;""),AG265:AR265)))</t>
        </is>
      </c>
      <c r="BG265" s="38" t="inlineStr">
        <is>
          <t>IF(OR(E265="",AT265=""),"",IF(COUNT(AG265:AS265)=0,"",AT265-LOOKUP(2,1/(AG265:AS265&lt;&gt;""),AG265:AS265)))</t>
        </is>
      </c>
      <c r="BH265" s="41" t="inlineStr">
        <is>
          <t>IF(G265="","All_Provinces",IFERROR(VLOOKUP(G265,'07_Lookups'!$A$4:$B$20,2,FALSE),"All_Provinces"))</t>
        </is>
      </c>
      <c r="BI265" s="41" t="inlineStr">
        <is>
          <t>IF(H265="","All_Districts",IFERROR(VLOOKUP(H265,'07_Lookups'!$E$4:$F$42,2,FALSE),"All_Districts"))</t>
        </is>
      </c>
    </row>
    <row r="266" ht="18" customHeight="1">
      <c r="A266" s="32" t="inlineStr">
        <is>
          <t>IF(E266="","",ROW()-3)</t>
        </is>
      </c>
      <c r="B266" s="33" t="inlineStr">
        <is>
          <t>AF2-LLL-R-003</t>
        </is>
      </c>
      <c r="C266" s="33" t="inlineStr">
        <is>
          <t>Emergency Food Security Project (EFSP) – WBK/AF-2</t>
        </is>
      </c>
      <c r="D266" s="33" t="inlineStr">
        <is>
          <t>EFSP-AF2 LLL supply and delivery (50 units)</t>
        </is>
      </c>
      <c r="E266" s="33" t="inlineStr">
        <is>
          <t>Qala-e-Ahmad Big Canal</t>
        </is>
      </c>
      <c r="F266" s="33" t="inlineStr">
        <is>
          <t>Laser Land Leveler (LLL)</t>
        </is>
      </c>
      <c r="G266" s="33" t="inlineStr">
        <is>
          <t>Central / Kabul</t>
        </is>
      </c>
      <c r="H266" s="33" t="inlineStr">
        <is>
          <t>Kapisa</t>
        </is>
      </c>
      <c r="I266" s="33" t="inlineStr">
        <is>
          <t>Nijrab</t>
        </is>
      </c>
      <c r="J266" s="33" t="inlineStr">
        <is>
          <t>1 unit(s)</t>
        </is>
      </c>
      <c r="K266" s="33" t="inlineStr">
        <is>
          <t>World Bank (WBK/AF-2)</t>
        </is>
      </c>
      <c r="L266" s="33" t="inlineStr">
        <is>
          <t>Remaining</t>
        </is>
      </c>
      <c r="M266" s="33" t="inlineStr">
        <is>
          <t>LLL supply</t>
        </is>
      </c>
      <c r="N266" s="33" t="inlineStr">
        <is>
          <t>6. Supply and delivery of LLL</t>
        </is>
      </c>
      <c r="O266" s="33" t="inlineStr"/>
      <c r="P266" s="33" t="inlineStr"/>
      <c r="Q266" s="34" t="n"/>
      <c r="R266" s="35" t="inlineStr">
        <is>
          <t>IF(AO266="","",AO266)</t>
        </is>
      </c>
      <c r="S266" s="36" t="n">
        <v>46325</v>
      </c>
      <c r="T266" s="37" t="n"/>
      <c r="U266" s="36" t="n">
        <v>46418</v>
      </c>
      <c r="V266" s="35" t="inlineStr">
        <is>
          <t>IF(U266&lt;&gt;"",U266,IF(OR(R266="",T266=""),"",EDATE(R266,T266)))</t>
        </is>
      </c>
      <c r="W266" s="36" t="n"/>
      <c r="X266" s="37" t="n"/>
      <c r="Y266" s="33" t="inlineStr">
        <is>
          <t>Under Awarding</t>
        </is>
      </c>
      <c r="Z266" s="33" t="inlineStr">
        <is>
          <t>The Procurement process is initiated in April and PO will be issued late October 2026. and delivery will be done by End of December 2026 and onward in January 2027 it is planned to be distributed to the selected beneficiaries.</t>
        </is>
      </c>
      <c r="AA266" s="32" t="inlineStr">
        <is>
          <t>IF(E266="","",IF(COUNT(AG266:AT266)=0,IF(Y266="","Not started",Y266),SUBSTITUTE(LOOKUP(2,1/(AG266:AT266&lt;&gt;""),$AG$3:$AT$3),"Date: ","")))</t>
        </is>
      </c>
      <c r="AB266" s="38" t="inlineStr">
        <is>
          <t>IF(OR(E266="",COUNT(AG266:AT266)=0),"",TODAY()-LOOKUP(2,1/(AG266:AT266&lt;&gt;""),AG266:AT266))</t>
        </is>
      </c>
      <c r="AC266" s="38" t="inlineStr">
        <is>
          <t>IF(OR(E266="",COUNT(AG266:AT266)&lt;2),"",LOOKUP(2,1/(AG266:AT266&lt;&gt;""),AG266:AT266)-MIN(AG266:AT266))</t>
        </is>
      </c>
      <c r="AD266" s="38" t="inlineStr">
        <is>
          <t>IF(OR(AB266="",AA266="Not started",AA266=""),"",IFERROR(AB266-IF(VLOOKUP(AA266,'04_Status_Pipeline'!$B$3:$E$20,4,FALSE)="",0,VLOOKUP(AA266,'04_Status_Pipeline'!$B$3:$E$20,4,FALSE)),""))</t>
        </is>
      </c>
      <c r="AE266" s="32" t="inlineStr">
        <is>
          <t>IF(E266="","",IF(OR(Y266="Cancelled",AA266="Cancelled"),"Cancelled",IF(OR(AA266="Completed / Handover",W266&lt;&gt;"",X266&gt;=100),"Completed — on track",IF(L266="Remaining",IF(S266="",IF(V266="","No planned date",IF(TODAY()&gt;V266,"Behind — past planned date",IF(V266-TODAY()&lt;=30,"At risk — close to off track","On track"))),IF(TODAY()&gt;S266,"Behind — award date passed",IF(S266-TODAY()&lt;=30,"At risk — close to off track","On track"))),IF(V266="","No planned date",IF(AND(TODAY()&gt;V266,OR(X266="",X266&lt;100)),"Behind — past end date",IF(AND(R266&lt;&gt;"",V266&lt;&gt;"",X266&lt;&gt;"",(X266&lt;100),((TODAY()-R266)/MAX(V266-R266,1)*100)-X266&gt;15),"Behind — progress lag",IF(AND(V266-TODAY()&lt;=30,V266-TODAY()&gt;=0,OR(X266="",X266&lt;90)),"At risk — close to off track","On track"))))))))</t>
        </is>
      </c>
      <c r="AF266" s="38" t="inlineStr">
        <is>
          <t>IF(OR(E266="",AA266="Completed / Handover",AA266="Cancelled"),"",IF(L266="Remaining",IF(S266&lt;&gt;"",S266-TODAY(),IF(V266="","",V266-TODAY())),IF(V266="","",V266-TODAY())))</t>
        </is>
      </c>
      <c r="AG266" s="36" t="n"/>
      <c r="AH266" s="36" t="n"/>
      <c r="AI266" s="36" t="n"/>
      <c r="AJ266" s="36" t="n"/>
      <c r="AK266" s="36" t="n"/>
      <c r="AL266" s="36" t="n"/>
      <c r="AM266" s="36" t="n"/>
      <c r="AN266" s="36" t="n"/>
      <c r="AO266" s="36" t="n"/>
      <c r="AP266" s="36" t="n"/>
      <c r="AQ266" s="36" t="n"/>
      <c r="AR266" s="40" t="n"/>
      <c r="AS266" s="40" t="n"/>
      <c r="AT266" s="40" t="n"/>
      <c r="AU266" s="38" t="inlineStr">
        <is>
          <t>IF(OR(E266="",AH266=""),"",IF(COUNT(AG266:AG266)=0,"",AH266-LOOKUP(2,1/(AG266:AG266&lt;&gt;""),AG266:AG266)))</t>
        </is>
      </c>
      <c r="AV266" s="38" t="inlineStr">
        <is>
          <t>IF(OR(E266="",AI266=""),"",IF(COUNT(AG266:AH266)=0,"",AI266-LOOKUP(2,1/(AG266:AH266&lt;&gt;""),AG266:AH266)))</t>
        </is>
      </c>
      <c r="AW266" s="38" t="inlineStr">
        <is>
          <t>IF(OR(E266="",AJ266=""),"",IF(COUNT(AG266:AI266)=0,"",AJ266-LOOKUP(2,1/(AG266:AI266&lt;&gt;""),AG266:AI266)))</t>
        </is>
      </c>
      <c r="AX266" s="38" t="inlineStr">
        <is>
          <t>IF(OR(E266="",AK266=""),"",IF(COUNT(AG266:AJ266)=0,"",AK266-LOOKUP(2,1/(AG266:AJ266&lt;&gt;""),AG266:AJ266)))</t>
        </is>
      </c>
      <c r="AY266" s="38" t="inlineStr">
        <is>
          <t>IF(OR(E266="",AL266=""),"",IF(COUNT(AG266:AK266)=0,"",AL266-LOOKUP(2,1/(AG266:AK266&lt;&gt;""),AG266:AK266)))</t>
        </is>
      </c>
      <c r="AZ266" s="38" t="inlineStr">
        <is>
          <t>IF(OR(E266="",AM266=""),"",IF(COUNT(AG266:AL266)=0,"",AM266-LOOKUP(2,1/(AG266:AL266&lt;&gt;""),AG266:AL266)))</t>
        </is>
      </c>
      <c r="BA266" s="38" t="inlineStr">
        <is>
          <t>IF(OR(E266="",AN266=""),"",IF(COUNT(AG266:AM266)=0,"",AN266-LOOKUP(2,1/(AG266:AM266&lt;&gt;""),AG266:AM266)))</t>
        </is>
      </c>
      <c r="BB266" s="38" t="inlineStr">
        <is>
          <t>IF(OR(E266="",AO266=""),"",IF(COUNT(AG266:AN266)=0,"",AO266-LOOKUP(2,1/(AG266:AN266&lt;&gt;""),AG266:AN266)))</t>
        </is>
      </c>
      <c r="BC266" s="38" t="inlineStr">
        <is>
          <t>IF(OR(E266="",AP266=""),"",IF(COUNT(AG266:AO266)=0,"",AP266-LOOKUP(2,1/(AG266:AO266&lt;&gt;""),AG266:AO266)))</t>
        </is>
      </c>
      <c r="BD266" s="38" t="inlineStr">
        <is>
          <t>IF(OR(E266="",AQ266=""),"",IF(COUNT(AG266:AP266)=0,"",AQ266-LOOKUP(2,1/(AG266:AP266&lt;&gt;""),AG266:AP266)))</t>
        </is>
      </c>
      <c r="BE266" s="38" t="inlineStr">
        <is>
          <t>IF(OR(E266="",AR266=""),"",IF(COUNT(AG266:AQ266)=0,"",AR266-LOOKUP(2,1/(AG266:AQ266&lt;&gt;""),AG266:AQ266)))</t>
        </is>
      </c>
      <c r="BF266" s="38" t="inlineStr">
        <is>
          <t>IF(OR(E266="",AS266=""),"",IF(COUNT(AG266:AR266)=0,"",AS266-LOOKUP(2,1/(AG266:AR266&lt;&gt;""),AG266:AR266)))</t>
        </is>
      </c>
      <c r="BG266" s="38" t="inlineStr">
        <is>
          <t>IF(OR(E266="",AT266=""),"",IF(COUNT(AG266:AS266)=0,"",AT266-LOOKUP(2,1/(AG266:AS266&lt;&gt;""),AG266:AS266)))</t>
        </is>
      </c>
      <c r="BH266" s="41" t="inlineStr">
        <is>
          <t>IF(G266="","All_Provinces",IFERROR(VLOOKUP(G266,'07_Lookups'!$A$4:$B$20,2,FALSE),"All_Provinces"))</t>
        </is>
      </c>
      <c r="BI266" s="41" t="inlineStr">
        <is>
          <t>IF(H266="","All_Districts",IFERROR(VLOOKUP(H266,'07_Lookups'!$E$4:$F$42,2,FALSE),"All_Districts"))</t>
        </is>
      </c>
    </row>
    <row r="267" ht="18" customHeight="1">
      <c r="A267" s="32" t="inlineStr">
        <is>
          <t>IF(E267="","",ROW()-3)</t>
        </is>
      </c>
      <c r="B267" s="42" t="inlineStr">
        <is>
          <t>AF2-LLL-R-004</t>
        </is>
      </c>
      <c r="C267" s="42" t="inlineStr">
        <is>
          <t>Emergency Food Security Project (EFSP) – WBK/AF-2</t>
        </is>
      </c>
      <c r="D267" s="42" t="inlineStr">
        <is>
          <t>EFSP-AF2 LLL supply and delivery (50 units)</t>
        </is>
      </c>
      <c r="E267" s="42" t="inlineStr">
        <is>
          <t>Mandaliat -e-Tanor canal</t>
        </is>
      </c>
      <c r="F267" s="42" t="inlineStr">
        <is>
          <t>Laser Land Leveler (LLL)</t>
        </is>
      </c>
      <c r="G267" s="42" t="inlineStr">
        <is>
          <t>Central / Kabul</t>
        </is>
      </c>
      <c r="H267" s="42" t="inlineStr">
        <is>
          <t>Midan Wardak</t>
        </is>
      </c>
      <c r="I267" s="42" t="inlineStr">
        <is>
          <t>Hesa Awal Behsood</t>
        </is>
      </c>
      <c r="J267" s="42" t="inlineStr">
        <is>
          <t>1 unit(s)</t>
        </is>
      </c>
      <c r="K267" s="42" t="inlineStr">
        <is>
          <t>World Bank (WBK/AF-2)</t>
        </is>
      </c>
      <c r="L267" s="42" t="inlineStr">
        <is>
          <t>Remaining</t>
        </is>
      </c>
      <c r="M267" s="42" t="inlineStr">
        <is>
          <t>LLL supply</t>
        </is>
      </c>
      <c r="N267" s="42" t="inlineStr">
        <is>
          <t>6. Supply and delivery of LLL</t>
        </is>
      </c>
      <c r="O267" s="42" t="inlineStr"/>
      <c r="P267" s="42" t="inlineStr"/>
      <c r="Q267" s="43" t="n"/>
      <c r="R267" s="35" t="inlineStr">
        <is>
          <t>IF(AO267="","",AO267)</t>
        </is>
      </c>
      <c r="S267" s="44" t="n">
        <v>46325</v>
      </c>
      <c r="T267" s="45" t="n"/>
      <c r="U267" s="44" t="n">
        <v>46418</v>
      </c>
      <c r="V267" s="35" t="inlineStr">
        <is>
          <t>IF(U267&lt;&gt;"",U267,IF(OR(R267="",T267=""),"",EDATE(R267,T267)))</t>
        </is>
      </c>
      <c r="W267" s="44" t="n"/>
      <c r="X267" s="45" t="n"/>
      <c r="Y267" s="42" t="inlineStr">
        <is>
          <t>Under Awarding</t>
        </is>
      </c>
      <c r="Z267" s="42" t="inlineStr">
        <is>
          <t>The Procurement process is initiated in April and PO will be issued late October 2026. and delivery will be done by End of December 2026 and onward in January 2027 it is planned to be distributed to the selected beneficiaries.</t>
        </is>
      </c>
      <c r="AA267" s="32" t="inlineStr">
        <is>
          <t>IF(E267="","",IF(COUNT(AG267:AT267)=0,IF(Y267="","Not started",Y267),SUBSTITUTE(LOOKUP(2,1/(AG267:AT267&lt;&gt;""),$AG$3:$AT$3),"Date: ","")))</t>
        </is>
      </c>
      <c r="AB267" s="38" t="inlineStr">
        <is>
          <t>IF(OR(E267="",COUNT(AG267:AT267)=0),"",TODAY()-LOOKUP(2,1/(AG267:AT267&lt;&gt;""),AG267:AT267))</t>
        </is>
      </c>
      <c r="AC267" s="38" t="inlineStr">
        <is>
          <t>IF(OR(E267="",COUNT(AG267:AT267)&lt;2),"",LOOKUP(2,1/(AG267:AT267&lt;&gt;""),AG267:AT267)-MIN(AG267:AT267))</t>
        </is>
      </c>
      <c r="AD267" s="38" t="inlineStr">
        <is>
          <t>IF(OR(AB267="",AA267="Not started",AA267=""),"",IFERROR(AB267-IF(VLOOKUP(AA267,'04_Status_Pipeline'!$B$3:$E$20,4,FALSE)="",0,VLOOKUP(AA267,'04_Status_Pipeline'!$B$3:$E$20,4,FALSE)),""))</t>
        </is>
      </c>
      <c r="AE267" s="32" t="inlineStr">
        <is>
          <t>IF(E267="","",IF(OR(Y267="Cancelled",AA267="Cancelled"),"Cancelled",IF(OR(AA267="Completed / Handover",W267&lt;&gt;"",X267&gt;=100),"Completed — on track",IF(L267="Remaining",IF(S267="",IF(V267="","No planned date",IF(TODAY()&gt;V267,"Behind — past planned date",IF(V267-TODAY()&lt;=30,"At risk — close to off track","On track"))),IF(TODAY()&gt;S267,"Behind — award date passed",IF(S267-TODAY()&lt;=30,"At risk — close to off track","On track"))),IF(V267="","No planned date",IF(AND(TODAY()&gt;V267,OR(X267="",X267&lt;100)),"Behind — past end date",IF(AND(R267&lt;&gt;"",V267&lt;&gt;"",X267&lt;&gt;"",(X267&lt;100),((TODAY()-R267)/MAX(V267-R267,1)*100)-X267&gt;15),"Behind — progress lag",IF(AND(V267-TODAY()&lt;=30,V267-TODAY()&gt;=0,OR(X267="",X267&lt;90)),"At risk — close to off track","On track"))))))))</t>
        </is>
      </c>
      <c r="AF267" s="38" t="inlineStr">
        <is>
          <t>IF(OR(E267="",AA267="Completed / Handover",AA267="Cancelled"),"",IF(L267="Remaining",IF(S267&lt;&gt;"",S267-TODAY(),IF(V267="","",V267-TODAY())),IF(V267="","",V267-TODAY())))</t>
        </is>
      </c>
      <c r="AG267" s="44" t="n"/>
      <c r="AH267" s="44" t="n"/>
      <c r="AI267" s="44" t="n"/>
      <c r="AJ267" s="44" t="n"/>
      <c r="AK267" s="44" t="n"/>
      <c r="AL267" s="44" t="n"/>
      <c r="AM267" s="44" t="n"/>
      <c r="AN267" s="44" t="n"/>
      <c r="AO267" s="44" t="n"/>
      <c r="AP267" s="44" t="n"/>
      <c r="AQ267" s="44" t="n"/>
      <c r="AR267" s="40" t="n"/>
      <c r="AS267" s="40" t="n"/>
      <c r="AT267" s="40" t="n"/>
      <c r="AU267" s="38" t="inlineStr">
        <is>
          <t>IF(OR(E267="",AH267=""),"",IF(COUNT(AG267:AG267)=0,"",AH267-LOOKUP(2,1/(AG267:AG267&lt;&gt;""),AG267:AG267)))</t>
        </is>
      </c>
      <c r="AV267" s="38" t="inlineStr">
        <is>
          <t>IF(OR(E267="",AI267=""),"",IF(COUNT(AG267:AH267)=0,"",AI267-LOOKUP(2,1/(AG267:AH267&lt;&gt;""),AG267:AH267)))</t>
        </is>
      </c>
      <c r="AW267" s="38" t="inlineStr">
        <is>
          <t>IF(OR(E267="",AJ267=""),"",IF(COUNT(AG267:AI267)=0,"",AJ267-LOOKUP(2,1/(AG267:AI267&lt;&gt;""),AG267:AI267)))</t>
        </is>
      </c>
      <c r="AX267" s="38" t="inlineStr">
        <is>
          <t>IF(OR(E267="",AK267=""),"",IF(COUNT(AG267:AJ267)=0,"",AK267-LOOKUP(2,1/(AG267:AJ267&lt;&gt;""),AG267:AJ267)))</t>
        </is>
      </c>
      <c r="AY267" s="38" t="inlineStr">
        <is>
          <t>IF(OR(E267="",AL267=""),"",IF(COUNT(AG267:AK267)=0,"",AL267-LOOKUP(2,1/(AG267:AK267&lt;&gt;""),AG267:AK267)))</t>
        </is>
      </c>
      <c r="AZ267" s="38" t="inlineStr">
        <is>
          <t>IF(OR(E267="",AM267=""),"",IF(COUNT(AG267:AL267)=0,"",AM267-LOOKUP(2,1/(AG267:AL267&lt;&gt;""),AG267:AL267)))</t>
        </is>
      </c>
      <c r="BA267" s="38" t="inlineStr">
        <is>
          <t>IF(OR(E267="",AN267=""),"",IF(COUNT(AG267:AM267)=0,"",AN267-LOOKUP(2,1/(AG267:AM267&lt;&gt;""),AG267:AM267)))</t>
        </is>
      </c>
      <c r="BB267" s="38" t="inlineStr">
        <is>
          <t>IF(OR(E267="",AO267=""),"",IF(COUNT(AG267:AN267)=0,"",AO267-LOOKUP(2,1/(AG267:AN267&lt;&gt;""),AG267:AN267)))</t>
        </is>
      </c>
      <c r="BC267" s="38" t="inlineStr">
        <is>
          <t>IF(OR(E267="",AP267=""),"",IF(COUNT(AG267:AO267)=0,"",AP267-LOOKUP(2,1/(AG267:AO267&lt;&gt;""),AG267:AO267)))</t>
        </is>
      </c>
      <c r="BD267" s="38" t="inlineStr">
        <is>
          <t>IF(OR(E267="",AQ267=""),"",IF(COUNT(AG267:AP267)=0,"",AQ267-LOOKUP(2,1/(AG267:AP267&lt;&gt;""),AG267:AP267)))</t>
        </is>
      </c>
      <c r="BE267" s="38" t="inlineStr">
        <is>
          <t>IF(OR(E267="",AR267=""),"",IF(COUNT(AG267:AQ267)=0,"",AR267-LOOKUP(2,1/(AG267:AQ267&lt;&gt;""),AG267:AQ267)))</t>
        </is>
      </c>
      <c r="BF267" s="38" t="inlineStr">
        <is>
          <t>IF(OR(E267="",AS267=""),"",IF(COUNT(AG267:AR267)=0,"",AS267-LOOKUP(2,1/(AG267:AR267&lt;&gt;""),AG267:AR267)))</t>
        </is>
      </c>
      <c r="BG267" s="38" t="inlineStr">
        <is>
          <t>IF(OR(E267="",AT267=""),"",IF(COUNT(AG267:AS267)=0,"",AT267-LOOKUP(2,1/(AG267:AS267&lt;&gt;""),AG267:AS267)))</t>
        </is>
      </c>
      <c r="BH267" s="41" t="inlineStr">
        <is>
          <t>IF(G267="","All_Provinces",IFERROR(VLOOKUP(G267,'07_Lookups'!$A$4:$B$20,2,FALSE),"All_Provinces"))</t>
        </is>
      </c>
      <c r="BI267" s="41" t="inlineStr">
        <is>
          <t>IF(H267="","All_Districts",IFERROR(VLOOKUP(H267,'07_Lookups'!$E$4:$F$42,2,FALSE),"All_Districts"))</t>
        </is>
      </c>
    </row>
    <row r="268" ht="18" customHeight="1">
      <c r="A268" s="32" t="inlineStr">
        <is>
          <t>IF(E268="","",ROW()-3)</t>
        </is>
      </c>
      <c r="B268" s="33" t="inlineStr">
        <is>
          <t>AF2-LLL-R-005</t>
        </is>
      </c>
      <c r="C268" s="33" t="inlineStr">
        <is>
          <t>Emergency Food Security Project (EFSP) – WBK/AF-2</t>
        </is>
      </c>
      <c r="D268" s="33" t="inlineStr">
        <is>
          <t>EFSP-AF2 LLL supply and delivery (50 units)</t>
        </is>
      </c>
      <c r="E268" s="33" t="inlineStr">
        <is>
          <t>Eshq Abad canal</t>
        </is>
      </c>
      <c r="F268" s="33" t="inlineStr">
        <is>
          <t>Laser Land Leveler (LLL)</t>
        </is>
      </c>
      <c r="G268" s="33" t="inlineStr">
        <is>
          <t>Central / Kabul</t>
        </is>
      </c>
      <c r="H268" s="33" t="inlineStr">
        <is>
          <t>Parwan</t>
        </is>
      </c>
      <c r="I268" s="33" t="inlineStr">
        <is>
          <t>Jabul Saraj</t>
        </is>
      </c>
      <c r="J268" s="33" t="inlineStr">
        <is>
          <t>1 unit(s)</t>
        </is>
      </c>
      <c r="K268" s="33" t="inlineStr">
        <is>
          <t>World Bank (WBK/AF-2)</t>
        </is>
      </c>
      <c r="L268" s="33" t="inlineStr">
        <is>
          <t>Remaining</t>
        </is>
      </c>
      <c r="M268" s="33" t="inlineStr">
        <is>
          <t>LLL supply</t>
        </is>
      </c>
      <c r="N268" s="33" t="inlineStr">
        <is>
          <t>6. Supply and delivery of LLL</t>
        </is>
      </c>
      <c r="O268" s="33" t="inlineStr"/>
      <c r="P268" s="33" t="inlineStr"/>
      <c r="Q268" s="34" t="n"/>
      <c r="R268" s="35" t="inlineStr">
        <is>
          <t>IF(AO268="","",AO268)</t>
        </is>
      </c>
      <c r="S268" s="36" t="n">
        <v>46325</v>
      </c>
      <c r="T268" s="37" t="n"/>
      <c r="U268" s="36" t="n">
        <v>46418</v>
      </c>
      <c r="V268" s="35" t="inlineStr">
        <is>
          <t>IF(U268&lt;&gt;"",U268,IF(OR(R268="",T268=""),"",EDATE(R268,T268)))</t>
        </is>
      </c>
      <c r="W268" s="36" t="n"/>
      <c r="X268" s="37" t="n"/>
      <c r="Y268" s="33" t="inlineStr">
        <is>
          <t>Under Awarding</t>
        </is>
      </c>
      <c r="Z268" s="33" t="inlineStr">
        <is>
          <t>The Procurement process is initiated in April and PO will be issued late October 2026. and delivery will be done by End of December 2026 and onward in January 2027 it is planned to be distributed to the selected beneficiaries.</t>
        </is>
      </c>
      <c r="AA268" s="32" t="inlineStr">
        <is>
          <t>IF(E268="","",IF(COUNT(AG268:AT268)=0,IF(Y268="","Not started",Y268),SUBSTITUTE(LOOKUP(2,1/(AG268:AT268&lt;&gt;""),$AG$3:$AT$3),"Date: ","")))</t>
        </is>
      </c>
      <c r="AB268" s="38" t="inlineStr">
        <is>
          <t>IF(OR(E268="",COUNT(AG268:AT268)=0),"",TODAY()-LOOKUP(2,1/(AG268:AT268&lt;&gt;""),AG268:AT268))</t>
        </is>
      </c>
      <c r="AC268" s="38" t="inlineStr">
        <is>
          <t>IF(OR(E268="",COUNT(AG268:AT268)&lt;2),"",LOOKUP(2,1/(AG268:AT268&lt;&gt;""),AG268:AT268)-MIN(AG268:AT268))</t>
        </is>
      </c>
      <c r="AD268" s="38" t="inlineStr">
        <is>
          <t>IF(OR(AB268="",AA268="Not started",AA268=""),"",IFERROR(AB268-IF(VLOOKUP(AA268,'04_Status_Pipeline'!$B$3:$E$20,4,FALSE)="",0,VLOOKUP(AA268,'04_Status_Pipeline'!$B$3:$E$20,4,FALSE)),""))</t>
        </is>
      </c>
      <c r="AE268" s="32" t="inlineStr">
        <is>
          <t>IF(E268="","",IF(OR(Y268="Cancelled",AA268="Cancelled"),"Cancelled",IF(OR(AA268="Completed / Handover",W268&lt;&gt;"",X268&gt;=100),"Completed — on track",IF(L268="Remaining",IF(S268="",IF(V268="","No planned date",IF(TODAY()&gt;V268,"Behind — past planned date",IF(V268-TODAY()&lt;=30,"At risk — close to off track","On track"))),IF(TODAY()&gt;S268,"Behind — award date passed",IF(S268-TODAY()&lt;=30,"At risk — close to off track","On track"))),IF(V268="","No planned date",IF(AND(TODAY()&gt;V268,OR(X268="",X268&lt;100)),"Behind — past end date",IF(AND(R268&lt;&gt;"",V268&lt;&gt;"",X268&lt;&gt;"",(X268&lt;100),((TODAY()-R268)/MAX(V268-R268,1)*100)-X268&gt;15),"Behind — progress lag",IF(AND(V268-TODAY()&lt;=30,V268-TODAY()&gt;=0,OR(X268="",X268&lt;90)),"At risk — close to off track","On track"))))))))</t>
        </is>
      </c>
      <c r="AF268" s="38" t="inlineStr">
        <is>
          <t>IF(OR(E268="",AA268="Completed / Handover",AA268="Cancelled"),"",IF(L268="Remaining",IF(S268&lt;&gt;"",S268-TODAY(),IF(V268="","",V268-TODAY())),IF(V268="","",V268-TODAY())))</t>
        </is>
      </c>
      <c r="AG268" s="36" t="n"/>
      <c r="AH268" s="36" t="n"/>
      <c r="AI268" s="36" t="n"/>
      <c r="AJ268" s="36" t="n"/>
      <c r="AK268" s="36" t="n"/>
      <c r="AL268" s="36" t="n"/>
      <c r="AM268" s="36" t="n"/>
      <c r="AN268" s="36" t="n"/>
      <c r="AO268" s="36" t="n"/>
      <c r="AP268" s="36" t="n"/>
      <c r="AQ268" s="36" t="n"/>
      <c r="AR268" s="40" t="n"/>
      <c r="AS268" s="40" t="n"/>
      <c r="AT268" s="40" t="n"/>
      <c r="AU268" s="38" t="inlineStr">
        <is>
          <t>IF(OR(E268="",AH268=""),"",IF(COUNT(AG268:AG268)=0,"",AH268-LOOKUP(2,1/(AG268:AG268&lt;&gt;""),AG268:AG268)))</t>
        </is>
      </c>
      <c r="AV268" s="38" t="inlineStr">
        <is>
          <t>IF(OR(E268="",AI268=""),"",IF(COUNT(AG268:AH268)=0,"",AI268-LOOKUP(2,1/(AG268:AH268&lt;&gt;""),AG268:AH268)))</t>
        </is>
      </c>
      <c r="AW268" s="38" t="inlineStr">
        <is>
          <t>IF(OR(E268="",AJ268=""),"",IF(COUNT(AG268:AI268)=0,"",AJ268-LOOKUP(2,1/(AG268:AI268&lt;&gt;""),AG268:AI268)))</t>
        </is>
      </c>
      <c r="AX268" s="38" t="inlineStr">
        <is>
          <t>IF(OR(E268="",AK268=""),"",IF(COUNT(AG268:AJ268)=0,"",AK268-LOOKUP(2,1/(AG268:AJ268&lt;&gt;""),AG268:AJ268)))</t>
        </is>
      </c>
      <c r="AY268" s="38" t="inlineStr">
        <is>
          <t>IF(OR(E268="",AL268=""),"",IF(COUNT(AG268:AK268)=0,"",AL268-LOOKUP(2,1/(AG268:AK268&lt;&gt;""),AG268:AK268)))</t>
        </is>
      </c>
      <c r="AZ268" s="38" t="inlineStr">
        <is>
          <t>IF(OR(E268="",AM268=""),"",IF(COUNT(AG268:AL268)=0,"",AM268-LOOKUP(2,1/(AG268:AL268&lt;&gt;""),AG268:AL268)))</t>
        </is>
      </c>
      <c r="BA268" s="38" t="inlineStr">
        <is>
          <t>IF(OR(E268="",AN268=""),"",IF(COUNT(AG268:AM268)=0,"",AN268-LOOKUP(2,1/(AG268:AM268&lt;&gt;""),AG268:AM268)))</t>
        </is>
      </c>
      <c r="BB268" s="38" t="inlineStr">
        <is>
          <t>IF(OR(E268="",AO268=""),"",IF(COUNT(AG268:AN268)=0,"",AO268-LOOKUP(2,1/(AG268:AN268&lt;&gt;""),AG268:AN268)))</t>
        </is>
      </c>
      <c r="BC268" s="38" t="inlineStr">
        <is>
          <t>IF(OR(E268="",AP268=""),"",IF(COUNT(AG268:AO268)=0,"",AP268-LOOKUP(2,1/(AG268:AO268&lt;&gt;""),AG268:AO268)))</t>
        </is>
      </c>
      <c r="BD268" s="38" t="inlineStr">
        <is>
          <t>IF(OR(E268="",AQ268=""),"",IF(COUNT(AG268:AP268)=0,"",AQ268-LOOKUP(2,1/(AG268:AP268&lt;&gt;""),AG268:AP268)))</t>
        </is>
      </c>
      <c r="BE268" s="38" t="inlineStr">
        <is>
          <t>IF(OR(E268="",AR268=""),"",IF(COUNT(AG268:AQ268)=0,"",AR268-LOOKUP(2,1/(AG268:AQ268&lt;&gt;""),AG268:AQ268)))</t>
        </is>
      </c>
      <c r="BF268" s="38" t="inlineStr">
        <is>
          <t>IF(OR(E268="",AS268=""),"",IF(COUNT(AG268:AR268)=0,"",AS268-LOOKUP(2,1/(AG268:AR268&lt;&gt;""),AG268:AR268)))</t>
        </is>
      </c>
      <c r="BG268" s="38" t="inlineStr">
        <is>
          <t>IF(OR(E268="",AT268=""),"",IF(COUNT(AG268:AS268)=0,"",AT268-LOOKUP(2,1/(AG268:AS268&lt;&gt;""),AG268:AS268)))</t>
        </is>
      </c>
      <c r="BH268" s="41" t="inlineStr">
        <is>
          <t>IF(G268="","All_Provinces",IFERROR(VLOOKUP(G268,'07_Lookups'!$A$4:$B$20,2,FALSE),"All_Provinces"))</t>
        </is>
      </c>
      <c r="BI268" s="41" t="inlineStr">
        <is>
          <t>IF(H268="","All_Districts",IFERROR(VLOOKUP(H268,'07_Lookups'!$E$4:$F$42,2,FALSE),"All_Districts"))</t>
        </is>
      </c>
    </row>
    <row r="269" ht="18" customHeight="1">
      <c r="A269" s="32" t="inlineStr">
        <is>
          <t>IF(E269="","",ROW()-3)</t>
        </is>
      </c>
      <c r="B269" s="42" t="inlineStr">
        <is>
          <t>AF2-LLL-R-006</t>
        </is>
      </c>
      <c r="C269" s="42" t="inlineStr">
        <is>
          <t>Emergency Food Security Project (EFSP) – WBK/AF-2</t>
        </is>
      </c>
      <c r="D269" s="42" t="inlineStr">
        <is>
          <t>EFSP-AF2 LLL supply and delivery (50 units)</t>
        </is>
      </c>
      <c r="E269" s="42" t="inlineStr">
        <is>
          <t>Khas kunar irrigation scheme</t>
        </is>
      </c>
      <c r="F269" s="42" t="inlineStr">
        <is>
          <t>Laser Land Leveler (LLL)</t>
        </is>
      </c>
      <c r="G269" s="42" t="inlineStr">
        <is>
          <t>East / Jalalabad</t>
        </is>
      </c>
      <c r="H269" s="42" t="inlineStr">
        <is>
          <t>Kunar</t>
        </is>
      </c>
      <c r="I269" s="42" t="inlineStr">
        <is>
          <t>Khas kunar</t>
        </is>
      </c>
      <c r="J269" s="42" t="inlineStr">
        <is>
          <t>1 unit(s)</t>
        </is>
      </c>
      <c r="K269" s="42" t="inlineStr">
        <is>
          <t>World Bank (WBK/AF-2)</t>
        </is>
      </c>
      <c r="L269" s="42" t="inlineStr">
        <is>
          <t>Remaining</t>
        </is>
      </c>
      <c r="M269" s="42" t="inlineStr">
        <is>
          <t>LLL supply</t>
        </is>
      </c>
      <c r="N269" s="42" t="inlineStr">
        <is>
          <t>6. Supply and delivery of LLL</t>
        </is>
      </c>
      <c r="O269" s="42" t="inlineStr"/>
      <c r="P269" s="42" t="inlineStr"/>
      <c r="Q269" s="43" t="n"/>
      <c r="R269" s="35" t="inlineStr">
        <is>
          <t>IF(AO269="","",AO269)</t>
        </is>
      </c>
      <c r="S269" s="44" t="n">
        <v>46325</v>
      </c>
      <c r="T269" s="45" t="n"/>
      <c r="U269" s="44" t="n">
        <v>46418</v>
      </c>
      <c r="V269" s="35" t="inlineStr">
        <is>
          <t>IF(U269&lt;&gt;"",U269,IF(OR(R269="",T269=""),"",EDATE(R269,T269)))</t>
        </is>
      </c>
      <c r="W269" s="44" t="n"/>
      <c r="X269" s="45" t="n"/>
      <c r="Y269" s="42" t="inlineStr">
        <is>
          <t>Under Awarding</t>
        </is>
      </c>
      <c r="Z269" s="42" t="inlineStr">
        <is>
          <t>The Procurement process is initiated in April and PO will be issued late October 2026. and delivery will be done by End of December 2026 and onward in January 2027 it is planned to be distributed to the selected beneficiaries.</t>
        </is>
      </c>
      <c r="AA269" s="32" t="inlineStr">
        <is>
          <t>IF(E269="","",IF(COUNT(AG269:AT269)=0,IF(Y269="","Not started",Y269),SUBSTITUTE(LOOKUP(2,1/(AG269:AT269&lt;&gt;""),$AG$3:$AT$3),"Date: ","")))</t>
        </is>
      </c>
      <c r="AB269" s="38" t="inlineStr">
        <is>
          <t>IF(OR(E269="",COUNT(AG269:AT269)=0),"",TODAY()-LOOKUP(2,1/(AG269:AT269&lt;&gt;""),AG269:AT269))</t>
        </is>
      </c>
      <c r="AC269" s="38" t="inlineStr">
        <is>
          <t>IF(OR(E269="",COUNT(AG269:AT269)&lt;2),"",LOOKUP(2,1/(AG269:AT269&lt;&gt;""),AG269:AT269)-MIN(AG269:AT269))</t>
        </is>
      </c>
      <c r="AD269" s="38" t="inlineStr">
        <is>
          <t>IF(OR(AB269="",AA269="Not started",AA269=""),"",IFERROR(AB269-IF(VLOOKUP(AA269,'04_Status_Pipeline'!$B$3:$E$20,4,FALSE)="",0,VLOOKUP(AA269,'04_Status_Pipeline'!$B$3:$E$20,4,FALSE)),""))</t>
        </is>
      </c>
      <c r="AE269" s="32" t="inlineStr">
        <is>
          <t>IF(E269="","",IF(OR(Y269="Cancelled",AA269="Cancelled"),"Cancelled",IF(OR(AA269="Completed / Handover",W269&lt;&gt;"",X269&gt;=100),"Completed — on track",IF(L269="Remaining",IF(S269="",IF(V269="","No planned date",IF(TODAY()&gt;V269,"Behind — past planned date",IF(V269-TODAY()&lt;=30,"At risk — close to off track","On track"))),IF(TODAY()&gt;S269,"Behind — award date passed",IF(S269-TODAY()&lt;=30,"At risk — close to off track","On track"))),IF(V269="","No planned date",IF(AND(TODAY()&gt;V269,OR(X269="",X269&lt;100)),"Behind — past end date",IF(AND(R269&lt;&gt;"",V269&lt;&gt;"",X269&lt;&gt;"",(X269&lt;100),((TODAY()-R269)/MAX(V269-R269,1)*100)-X269&gt;15),"Behind — progress lag",IF(AND(V269-TODAY()&lt;=30,V269-TODAY()&gt;=0,OR(X269="",X269&lt;90)),"At risk — close to off track","On track"))))))))</t>
        </is>
      </c>
      <c r="AF269" s="38" t="inlineStr">
        <is>
          <t>IF(OR(E269="",AA269="Completed / Handover",AA269="Cancelled"),"",IF(L269="Remaining",IF(S269&lt;&gt;"",S269-TODAY(),IF(V269="","",V269-TODAY())),IF(V269="","",V269-TODAY())))</t>
        </is>
      </c>
      <c r="AG269" s="44" t="n"/>
      <c r="AH269" s="44" t="n"/>
      <c r="AI269" s="44" t="n"/>
      <c r="AJ269" s="44" t="n"/>
      <c r="AK269" s="44" t="n"/>
      <c r="AL269" s="44" t="n"/>
      <c r="AM269" s="44" t="n"/>
      <c r="AN269" s="44" t="n"/>
      <c r="AO269" s="44" t="n"/>
      <c r="AP269" s="44" t="n"/>
      <c r="AQ269" s="44" t="n"/>
      <c r="AR269" s="40" t="n"/>
      <c r="AS269" s="40" t="n"/>
      <c r="AT269" s="40" t="n"/>
      <c r="AU269" s="38" t="inlineStr">
        <is>
          <t>IF(OR(E269="",AH269=""),"",IF(COUNT(AG269:AG269)=0,"",AH269-LOOKUP(2,1/(AG269:AG269&lt;&gt;""),AG269:AG269)))</t>
        </is>
      </c>
      <c r="AV269" s="38" t="inlineStr">
        <is>
          <t>IF(OR(E269="",AI269=""),"",IF(COUNT(AG269:AH269)=0,"",AI269-LOOKUP(2,1/(AG269:AH269&lt;&gt;""),AG269:AH269)))</t>
        </is>
      </c>
      <c r="AW269" s="38" t="inlineStr">
        <is>
          <t>IF(OR(E269="",AJ269=""),"",IF(COUNT(AG269:AI269)=0,"",AJ269-LOOKUP(2,1/(AG269:AI269&lt;&gt;""),AG269:AI269)))</t>
        </is>
      </c>
      <c r="AX269" s="38" t="inlineStr">
        <is>
          <t>IF(OR(E269="",AK269=""),"",IF(COUNT(AG269:AJ269)=0,"",AK269-LOOKUP(2,1/(AG269:AJ269&lt;&gt;""),AG269:AJ269)))</t>
        </is>
      </c>
      <c r="AY269" s="38" t="inlineStr">
        <is>
          <t>IF(OR(E269="",AL269=""),"",IF(COUNT(AG269:AK269)=0,"",AL269-LOOKUP(2,1/(AG269:AK269&lt;&gt;""),AG269:AK269)))</t>
        </is>
      </c>
      <c r="AZ269" s="38" t="inlineStr">
        <is>
          <t>IF(OR(E269="",AM269=""),"",IF(COUNT(AG269:AL269)=0,"",AM269-LOOKUP(2,1/(AG269:AL269&lt;&gt;""),AG269:AL269)))</t>
        </is>
      </c>
      <c r="BA269" s="38" t="inlineStr">
        <is>
          <t>IF(OR(E269="",AN269=""),"",IF(COUNT(AG269:AM269)=0,"",AN269-LOOKUP(2,1/(AG269:AM269&lt;&gt;""),AG269:AM269)))</t>
        </is>
      </c>
      <c r="BB269" s="38" t="inlineStr">
        <is>
          <t>IF(OR(E269="",AO269=""),"",IF(COUNT(AG269:AN269)=0,"",AO269-LOOKUP(2,1/(AG269:AN269&lt;&gt;""),AG269:AN269)))</t>
        </is>
      </c>
      <c r="BC269" s="38" t="inlineStr">
        <is>
          <t>IF(OR(E269="",AP269=""),"",IF(COUNT(AG269:AO269)=0,"",AP269-LOOKUP(2,1/(AG269:AO269&lt;&gt;""),AG269:AO269)))</t>
        </is>
      </c>
      <c r="BD269" s="38" t="inlineStr">
        <is>
          <t>IF(OR(E269="",AQ269=""),"",IF(COUNT(AG269:AP269)=0,"",AQ269-LOOKUP(2,1/(AG269:AP269&lt;&gt;""),AG269:AP269)))</t>
        </is>
      </c>
      <c r="BE269" s="38" t="inlineStr">
        <is>
          <t>IF(OR(E269="",AR269=""),"",IF(COUNT(AG269:AQ269)=0,"",AR269-LOOKUP(2,1/(AG269:AQ269&lt;&gt;""),AG269:AQ269)))</t>
        </is>
      </c>
      <c r="BF269" s="38" t="inlineStr">
        <is>
          <t>IF(OR(E269="",AS269=""),"",IF(COUNT(AG269:AR269)=0,"",AS269-LOOKUP(2,1/(AG269:AR269&lt;&gt;""),AG269:AR269)))</t>
        </is>
      </c>
      <c r="BG269" s="38" t="inlineStr">
        <is>
          <t>IF(OR(E269="",AT269=""),"",IF(COUNT(AG269:AS269)=0,"",AT269-LOOKUP(2,1/(AG269:AS269&lt;&gt;""),AG269:AS269)))</t>
        </is>
      </c>
      <c r="BH269" s="41" t="inlineStr">
        <is>
          <t>IF(G269="","All_Provinces",IFERROR(VLOOKUP(G269,'07_Lookups'!$A$4:$B$20,2,FALSE),"All_Provinces"))</t>
        </is>
      </c>
      <c r="BI269" s="41" t="inlineStr">
        <is>
          <t>IF(H269="","All_Districts",IFERROR(VLOOKUP(H269,'07_Lookups'!$E$4:$F$42,2,FALSE),"All_Districts"))</t>
        </is>
      </c>
    </row>
    <row r="270" ht="18" customHeight="1">
      <c r="A270" s="32" t="inlineStr">
        <is>
          <t>IF(E270="","",ROW()-3)</t>
        </is>
      </c>
      <c r="B270" s="33" t="inlineStr">
        <is>
          <t>AF2-LLL-R-007</t>
        </is>
      </c>
      <c r="C270" s="33" t="inlineStr">
        <is>
          <t>Emergency Food Security Project (EFSP) – WBK/AF-2</t>
        </is>
      </c>
      <c r="D270" s="33" t="inlineStr">
        <is>
          <t>EFSP-AF2 LLL supply and delivery (50 units)</t>
        </is>
      </c>
      <c r="E270" s="33" t="inlineStr">
        <is>
          <t>Badiabad irrigation scheme</t>
        </is>
      </c>
      <c r="F270" s="33" t="inlineStr">
        <is>
          <t>Laser Land Leveler (LLL)</t>
        </is>
      </c>
      <c r="G270" s="33" t="inlineStr">
        <is>
          <t>East / Jalalabad</t>
        </is>
      </c>
      <c r="H270" s="33" t="inlineStr">
        <is>
          <t>Laghman</t>
        </is>
      </c>
      <c r="I270" s="33" t="inlineStr">
        <is>
          <t>Alingar</t>
        </is>
      </c>
      <c r="J270" s="33" t="inlineStr">
        <is>
          <t>1 unit(s)</t>
        </is>
      </c>
      <c r="K270" s="33" t="inlineStr">
        <is>
          <t>World Bank (WBK/AF-2)</t>
        </is>
      </c>
      <c r="L270" s="33" t="inlineStr">
        <is>
          <t>Remaining</t>
        </is>
      </c>
      <c r="M270" s="33" t="inlineStr">
        <is>
          <t>LLL supply</t>
        </is>
      </c>
      <c r="N270" s="33" t="inlineStr">
        <is>
          <t>6. Supply and delivery of LLL</t>
        </is>
      </c>
      <c r="O270" s="33" t="inlineStr"/>
      <c r="P270" s="33" t="inlineStr"/>
      <c r="Q270" s="34" t="n"/>
      <c r="R270" s="35" t="inlineStr">
        <is>
          <t>IF(AO270="","",AO270)</t>
        </is>
      </c>
      <c r="S270" s="36" t="n">
        <v>46325</v>
      </c>
      <c r="T270" s="37" t="n"/>
      <c r="U270" s="36" t="n">
        <v>46418</v>
      </c>
      <c r="V270" s="35" t="inlineStr">
        <is>
          <t>IF(U270&lt;&gt;"",U270,IF(OR(R270="",T270=""),"",EDATE(R270,T270)))</t>
        </is>
      </c>
      <c r="W270" s="36" t="n"/>
      <c r="X270" s="37" t="n"/>
      <c r="Y270" s="33" t="inlineStr">
        <is>
          <t>Under Awarding</t>
        </is>
      </c>
      <c r="Z270" s="33" t="inlineStr">
        <is>
          <t>The Procurement process is initiated in April and PO will be issued late October 2026. and delivery will be done by End of December 2026 and onward in January 2027 it is planned to be distributed to the selected beneficiaries.</t>
        </is>
      </c>
      <c r="AA270" s="32" t="inlineStr">
        <is>
          <t>IF(E270="","",IF(COUNT(AG270:AT270)=0,IF(Y270="","Not started",Y270),SUBSTITUTE(LOOKUP(2,1/(AG270:AT270&lt;&gt;""),$AG$3:$AT$3),"Date: ","")))</t>
        </is>
      </c>
      <c r="AB270" s="38" t="inlineStr">
        <is>
          <t>IF(OR(E270="",COUNT(AG270:AT270)=0),"",TODAY()-LOOKUP(2,1/(AG270:AT270&lt;&gt;""),AG270:AT270))</t>
        </is>
      </c>
      <c r="AC270" s="38" t="inlineStr">
        <is>
          <t>IF(OR(E270="",COUNT(AG270:AT270)&lt;2),"",LOOKUP(2,1/(AG270:AT270&lt;&gt;""),AG270:AT270)-MIN(AG270:AT270))</t>
        </is>
      </c>
      <c r="AD270" s="38" t="inlineStr">
        <is>
          <t>IF(OR(AB270="",AA270="Not started",AA270=""),"",IFERROR(AB270-IF(VLOOKUP(AA270,'04_Status_Pipeline'!$B$3:$E$20,4,FALSE)="",0,VLOOKUP(AA270,'04_Status_Pipeline'!$B$3:$E$20,4,FALSE)),""))</t>
        </is>
      </c>
      <c r="AE270" s="32" t="inlineStr">
        <is>
          <t>IF(E270="","",IF(OR(Y270="Cancelled",AA270="Cancelled"),"Cancelled",IF(OR(AA270="Completed / Handover",W270&lt;&gt;"",X270&gt;=100),"Completed — on track",IF(L270="Remaining",IF(S270="",IF(V270="","No planned date",IF(TODAY()&gt;V270,"Behind — past planned date",IF(V270-TODAY()&lt;=30,"At risk — close to off track","On track"))),IF(TODAY()&gt;S270,"Behind — award date passed",IF(S270-TODAY()&lt;=30,"At risk — close to off track","On track"))),IF(V270="","No planned date",IF(AND(TODAY()&gt;V270,OR(X270="",X270&lt;100)),"Behind — past end date",IF(AND(R270&lt;&gt;"",V270&lt;&gt;"",X270&lt;&gt;"",(X270&lt;100),((TODAY()-R270)/MAX(V270-R270,1)*100)-X270&gt;15),"Behind — progress lag",IF(AND(V270-TODAY()&lt;=30,V270-TODAY()&gt;=0,OR(X270="",X270&lt;90)),"At risk — close to off track","On track"))))))))</t>
        </is>
      </c>
      <c r="AF270" s="38" t="inlineStr">
        <is>
          <t>IF(OR(E270="",AA270="Completed / Handover",AA270="Cancelled"),"",IF(L270="Remaining",IF(S270&lt;&gt;"",S270-TODAY(),IF(V270="","",V270-TODAY())),IF(V270="","",V270-TODAY())))</t>
        </is>
      </c>
      <c r="AG270" s="36" t="n"/>
      <c r="AH270" s="36" t="n"/>
      <c r="AI270" s="36" t="n"/>
      <c r="AJ270" s="36" t="n"/>
      <c r="AK270" s="36" t="n"/>
      <c r="AL270" s="36" t="n"/>
      <c r="AM270" s="36" t="n"/>
      <c r="AN270" s="36" t="n"/>
      <c r="AO270" s="36" t="n"/>
      <c r="AP270" s="36" t="n"/>
      <c r="AQ270" s="36" t="n"/>
      <c r="AR270" s="40" t="n"/>
      <c r="AS270" s="40" t="n"/>
      <c r="AT270" s="40" t="n"/>
      <c r="AU270" s="38" t="inlineStr">
        <is>
          <t>IF(OR(E270="",AH270=""),"",IF(COUNT(AG270:AG270)=0,"",AH270-LOOKUP(2,1/(AG270:AG270&lt;&gt;""),AG270:AG270)))</t>
        </is>
      </c>
      <c r="AV270" s="38" t="inlineStr">
        <is>
          <t>IF(OR(E270="",AI270=""),"",IF(COUNT(AG270:AH270)=0,"",AI270-LOOKUP(2,1/(AG270:AH270&lt;&gt;""),AG270:AH270)))</t>
        </is>
      </c>
      <c r="AW270" s="38" t="inlineStr">
        <is>
          <t>IF(OR(E270="",AJ270=""),"",IF(COUNT(AG270:AI270)=0,"",AJ270-LOOKUP(2,1/(AG270:AI270&lt;&gt;""),AG270:AI270)))</t>
        </is>
      </c>
      <c r="AX270" s="38" t="inlineStr">
        <is>
          <t>IF(OR(E270="",AK270=""),"",IF(COUNT(AG270:AJ270)=0,"",AK270-LOOKUP(2,1/(AG270:AJ270&lt;&gt;""),AG270:AJ270)))</t>
        </is>
      </c>
      <c r="AY270" s="38" t="inlineStr">
        <is>
          <t>IF(OR(E270="",AL270=""),"",IF(COUNT(AG270:AK270)=0,"",AL270-LOOKUP(2,1/(AG270:AK270&lt;&gt;""),AG270:AK270)))</t>
        </is>
      </c>
      <c r="AZ270" s="38" t="inlineStr">
        <is>
          <t>IF(OR(E270="",AM270=""),"",IF(COUNT(AG270:AL270)=0,"",AM270-LOOKUP(2,1/(AG270:AL270&lt;&gt;""),AG270:AL270)))</t>
        </is>
      </c>
      <c r="BA270" s="38" t="inlineStr">
        <is>
          <t>IF(OR(E270="",AN270=""),"",IF(COUNT(AG270:AM270)=0,"",AN270-LOOKUP(2,1/(AG270:AM270&lt;&gt;""),AG270:AM270)))</t>
        </is>
      </c>
      <c r="BB270" s="38" t="inlineStr">
        <is>
          <t>IF(OR(E270="",AO270=""),"",IF(COUNT(AG270:AN270)=0,"",AO270-LOOKUP(2,1/(AG270:AN270&lt;&gt;""),AG270:AN270)))</t>
        </is>
      </c>
      <c r="BC270" s="38" t="inlineStr">
        <is>
          <t>IF(OR(E270="",AP270=""),"",IF(COUNT(AG270:AO270)=0,"",AP270-LOOKUP(2,1/(AG270:AO270&lt;&gt;""),AG270:AO270)))</t>
        </is>
      </c>
      <c r="BD270" s="38" t="inlineStr">
        <is>
          <t>IF(OR(E270="",AQ270=""),"",IF(COUNT(AG270:AP270)=0,"",AQ270-LOOKUP(2,1/(AG270:AP270&lt;&gt;""),AG270:AP270)))</t>
        </is>
      </c>
      <c r="BE270" s="38" t="inlineStr">
        <is>
          <t>IF(OR(E270="",AR270=""),"",IF(COUNT(AG270:AQ270)=0,"",AR270-LOOKUP(2,1/(AG270:AQ270&lt;&gt;""),AG270:AQ270)))</t>
        </is>
      </c>
      <c r="BF270" s="38" t="inlineStr">
        <is>
          <t>IF(OR(E270="",AS270=""),"",IF(COUNT(AG270:AR270)=0,"",AS270-LOOKUP(2,1/(AG270:AR270&lt;&gt;""),AG270:AR270)))</t>
        </is>
      </c>
      <c r="BG270" s="38" t="inlineStr">
        <is>
          <t>IF(OR(E270="",AT270=""),"",IF(COUNT(AG270:AS270)=0,"",AT270-LOOKUP(2,1/(AG270:AS270&lt;&gt;""),AG270:AS270)))</t>
        </is>
      </c>
      <c r="BH270" s="41" t="inlineStr">
        <is>
          <t>IF(G270="","All_Provinces",IFERROR(VLOOKUP(G270,'07_Lookups'!$A$4:$B$20,2,FALSE),"All_Provinces"))</t>
        </is>
      </c>
      <c r="BI270" s="41" t="inlineStr">
        <is>
          <t>IF(H270="","All_Districts",IFERROR(VLOOKUP(H270,'07_Lookups'!$E$4:$F$42,2,FALSE),"All_Districts"))</t>
        </is>
      </c>
    </row>
    <row r="271" ht="18" customHeight="1">
      <c r="A271" s="32" t="inlineStr">
        <is>
          <t>IF(E271="","",ROW()-3)</t>
        </is>
      </c>
      <c r="B271" s="42" t="inlineStr">
        <is>
          <t>AF2-LLL-R-008</t>
        </is>
      </c>
      <c r="C271" s="42" t="inlineStr">
        <is>
          <t>Emergency Food Security Project (EFSP) – WBK/AF-2</t>
        </is>
      </c>
      <c r="D271" s="42" t="inlineStr">
        <is>
          <t>EFSP-AF2 LLL supply and delivery (50 units)</t>
        </is>
      </c>
      <c r="E271" s="42" t="inlineStr">
        <is>
          <t>Cheknawar irrigation scheme</t>
        </is>
      </c>
      <c r="F271" s="42" t="inlineStr">
        <is>
          <t>Laser Land Leveler (LLL)</t>
        </is>
      </c>
      <c r="G271" s="42" t="inlineStr">
        <is>
          <t>East / Jalalabad</t>
        </is>
      </c>
      <c r="H271" s="42" t="inlineStr">
        <is>
          <t>Nangarhar</t>
        </is>
      </c>
      <c r="I271" s="42" t="inlineStr">
        <is>
          <t>Lalpoora</t>
        </is>
      </c>
      <c r="J271" s="42" t="inlineStr">
        <is>
          <t>1 unit(s)</t>
        </is>
      </c>
      <c r="K271" s="42" t="inlineStr">
        <is>
          <t>World Bank (WBK/AF-2)</t>
        </is>
      </c>
      <c r="L271" s="42" t="inlineStr">
        <is>
          <t>Remaining</t>
        </is>
      </c>
      <c r="M271" s="42" t="inlineStr">
        <is>
          <t>LLL supply</t>
        </is>
      </c>
      <c r="N271" s="42" t="inlineStr">
        <is>
          <t>6. Supply and delivery of LLL</t>
        </is>
      </c>
      <c r="O271" s="42" t="inlineStr"/>
      <c r="P271" s="42" t="inlineStr"/>
      <c r="Q271" s="43" t="n"/>
      <c r="R271" s="35" t="inlineStr">
        <is>
          <t>IF(AO271="","",AO271)</t>
        </is>
      </c>
      <c r="S271" s="44" t="n">
        <v>46325</v>
      </c>
      <c r="T271" s="45" t="n"/>
      <c r="U271" s="44" t="n">
        <v>46418</v>
      </c>
      <c r="V271" s="35" t="inlineStr">
        <is>
          <t>IF(U271&lt;&gt;"",U271,IF(OR(R271="",T271=""),"",EDATE(R271,T271)))</t>
        </is>
      </c>
      <c r="W271" s="44" t="n"/>
      <c r="X271" s="45" t="n"/>
      <c r="Y271" s="42" t="inlineStr">
        <is>
          <t>Under Awarding</t>
        </is>
      </c>
      <c r="Z271" s="42" t="inlineStr">
        <is>
          <t>The Procurement process is initiated in April and PO will be issued late October 2026. and delivery will be done by End of December 2026 and onward in January 2027 it is planned to be distributed to the selected beneficiaries.</t>
        </is>
      </c>
      <c r="AA271" s="32" t="inlineStr">
        <is>
          <t>IF(E271="","",IF(COUNT(AG271:AT271)=0,IF(Y271="","Not started",Y271),SUBSTITUTE(LOOKUP(2,1/(AG271:AT271&lt;&gt;""),$AG$3:$AT$3),"Date: ","")))</t>
        </is>
      </c>
      <c r="AB271" s="38" t="inlineStr">
        <is>
          <t>IF(OR(E271="",COUNT(AG271:AT271)=0),"",TODAY()-LOOKUP(2,1/(AG271:AT271&lt;&gt;""),AG271:AT271))</t>
        </is>
      </c>
      <c r="AC271" s="38" t="inlineStr">
        <is>
          <t>IF(OR(E271="",COUNT(AG271:AT271)&lt;2),"",LOOKUP(2,1/(AG271:AT271&lt;&gt;""),AG271:AT271)-MIN(AG271:AT271))</t>
        </is>
      </c>
      <c r="AD271" s="38" t="inlineStr">
        <is>
          <t>IF(OR(AB271="",AA271="Not started",AA271=""),"",IFERROR(AB271-IF(VLOOKUP(AA271,'04_Status_Pipeline'!$B$3:$E$20,4,FALSE)="",0,VLOOKUP(AA271,'04_Status_Pipeline'!$B$3:$E$20,4,FALSE)),""))</t>
        </is>
      </c>
      <c r="AE271" s="32" t="inlineStr">
        <is>
          <t>IF(E271="","",IF(OR(Y271="Cancelled",AA271="Cancelled"),"Cancelled",IF(OR(AA271="Completed / Handover",W271&lt;&gt;"",X271&gt;=100),"Completed — on track",IF(L271="Remaining",IF(S271="",IF(V271="","No planned date",IF(TODAY()&gt;V271,"Behind — past planned date",IF(V271-TODAY()&lt;=30,"At risk — close to off track","On track"))),IF(TODAY()&gt;S271,"Behind — award date passed",IF(S271-TODAY()&lt;=30,"At risk — close to off track","On track"))),IF(V271="","No planned date",IF(AND(TODAY()&gt;V271,OR(X271="",X271&lt;100)),"Behind — past end date",IF(AND(R271&lt;&gt;"",V271&lt;&gt;"",X271&lt;&gt;"",(X271&lt;100),((TODAY()-R271)/MAX(V271-R271,1)*100)-X271&gt;15),"Behind — progress lag",IF(AND(V271-TODAY()&lt;=30,V271-TODAY()&gt;=0,OR(X271="",X271&lt;90)),"At risk — close to off track","On track"))))))))</t>
        </is>
      </c>
      <c r="AF271" s="38" t="inlineStr">
        <is>
          <t>IF(OR(E271="",AA271="Completed / Handover",AA271="Cancelled"),"",IF(L271="Remaining",IF(S271&lt;&gt;"",S271-TODAY(),IF(V271="","",V271-TODAY())),IF(V271="","",V271-TODAY())))</t>
        </is>
      </c>
      <c r="AG271" s="44" t="n"/>
      <c r="AH271" s="44" t="n"/>
      <c r="AI271" s="44" t="n"/>
      <c r="AJ271" s="44" t="n"/>
      <c r="AK271" s="44" t="n"/>
      <c r="AL271" s="44" t="n"/>
      <c r="AM271" s="44" t="n"/>
      <c r="AN271" s="44" t="n"/>
      <c r="AO271" s="44" t="n"/>
      <c r="AP271" s="44" t="n"/>
      <c r="AQ271" s="44" t="n"/>
      <c r="AR271" s="40" t="n"/>
      <c r="AS271" s="40" t="n"/>
      <c r="AT271" s="40" t="n"/>
      <c r="AU271" s="38" t="inlineStr">
        <is>
          <t>IF(OR(E271="",AH271=""),"",IF(COUNT(AG271:AG271)=0,"",AH271-LOOKUP(2,1/(AG271:AG271&lt;&gt;""),AG271:AG271)))</t>
        </is>
      </c>
      <c r="AV271" s="38" t="inlineStr">
        <is>
          <t>IF(OR(E271="",AI271=""),"",IF(COUNT(AG271:AH271)=0,"",AI271-LOOKUP(2,1/(AG271:AH271&lt;&gt;""),AG271:AH271)))</t>
        </is>
      </c>
      <c r="AW271" s="38" t="inlineStr">
        <is>
          <t>IF(OR(E271="",AJ271=""),"",IF(COUNT(AG271:AI271)=0,"",AJ271-LOOKUP(2,1/(AG271:AI271&lt;&gt;""),AG271:AI271)))</t>
        </is>
      </c>
      <c r="AX271" s="38" t="inlineStr">
        <is>
          <t>IF(OR(E271="",AK271=""),"",IF(COUNT(AG271:AJ271)=0,"",AK271-LOOKUP(2,1/(AG271:AJ271&lt;&gt;""),AG271:AJ271)))</t>
        </is>
      </c>
      <c r="AY271" s="38" t="inlineStr">
        <is>
          <t>IF(OR(E271="",AL271=""),"",IF(COUNT(AG271:AK271)=0,"",AL271-LOOKUP(2,1/(AG271:AK271&lt;&gt;""),AG271:AK271)))</t>
        </is>
      </c>
      <c r="AZ271" s="38" t="inlineStr">
        <is>
          <t>IF(OR(E271="",AM271=""),"",IF(COUNT(AG271:AL271)=0,"",AM271-LOOKUP(2,1/(AG271:AL271&lt;&gt;""),AG271:AL271)))</t>
        </is>
      </c>
      <c r="BA271" s="38" t="inlineStr">
        <is>
          <t>IF(OR(E271="",AN271=""),"",IF(COUNT(AG271:AM271)=0,"",AN271-LOOKUP(2,1/(AG271:AM271&lt;&gt;""),AG271:AM271)))</t>
        </is>
      </c>
      <c r="BB271" s="38" t="inlineStr">
        <is>
          <t>IF(OR(E271="",AO271=""),"",IF(COUNT(AG271:AN271)=0,"",AO271-LOOKUP(2,1/(AG271:AN271&lt;&gt;""),AG271:AN271)))</t>
        </is>
      </c>
      <c r="BC271" s="38" t="inlineStr">
        <is>
          <t>IF(OR(E271="",AP271=""),"",IF(COUNT(AG271:AO271)=0,"",AP271-LOOKUP(2,1/(AG271:AO271&lt;&gt;""),AG271:AO271)))</t>
        </is>
      </c>
      <c r="BD271" s="38" t="inlineStr">
        <is>
          <t>IF(OR(E271="",AQ271=""),"",IF(COUNT(AG271:AP271)=0,"",AQ271-LOOKUP(2,1/(AG271:AP271&lt;&gt;""),AG271:AP271)))</t>
        </is>
      </c>
      <c r="BE271" s="38" t="inlineStr">
        <is>
          <t>IF(OR(E271="",AR271=""),"",IF(COUNT(AG271:AQ271)=0,"",AR271-LOOKUP(2,1/(AG271:AQ271&lt;&gt;""),AG271:AQ271)))</t>
        </is>
      </c>
      <c r="BF271" s="38" t="inlineStr">
        <is>
          <t>IF(OR(E271="",AS271=""),"",IF(COUNT(AG271:AR271)=0,"",AS271-LOOKUP(2,1/(AG271:AR271&lt;&gt;""),AG271:AR271)))</t>
        </is>
      </c>
      <c r="BG271" s="38" t="inlineStr">
        <is>
          <t>IF(OR(E271="",AT271=""),"",IF(COUNT(AG271:AS271)=0,"",AT271-LOOKUP(2,1/(AG271:AS271&lt;&gt;""),AG271:AS271)))</t>
        </is>
      </c>
      <c r="BH271" s="41" t="inlineStr">
        <is>
          <t>IF(G271="","All_Provinces",IFERROR(VLOOKUP(G271,'07_Lookups'!$A$4:$B$20,2,FALSE),"All_Provinces"))</t>
        </is>
      </c>
      <c r="BI271" s="41" t="inlineStr">
        <is>
          <t>IF(H271="","All_Districts",IFERROR(VLOOKUP(H271,'07_Lookups'!$E$4:$F$42,2,FALSE),"All_Districts"))</t>
        </is>
      </c>
    </row>
    <row r="272" ht="18" customHeight="1">
      <c r="A272" s="32" t="inlineStr">
        <is>
          <t>IF(E272="","",ROW()-3)</t>
        </is>
      </c>
      <c r="B272" s="33" t="inlineStr">
        <is>
          <t>AF2-LLL-R-009</t>
        </is>
      </c>
      <c r="C272" s="33" t="inlineStr">
        <is>
          <t>Emergency Food Security Project (EFSP) – WBK/AF-2</t>
        </is>
      </c>
      <c r="D272" s="33" t="inlineStr">
        <is>
          <t>EFSP-AF2 LLL supply and delivery (50 units)</t>
        </is>
      </c>
      <c r="E272" s="33" t="inlineStr">
        <is>
          <t>Patikharkay irrigation scheme</t>
        </is>
      </c>
      <c r="F272" s="33" t="inlineStr">
        <is>
          <t>Laser Land Leveler (LLL)</t>
        </is>
      </c>
      <c r="G272" s="33" t="inlineStr">
        <is>
          <t>East / Jalalabad</t>
        </is>
      </c>
      <c r="H272" s="33" t="inlineStr">
        <is>
          <t>Nangarhar</t>
        </is>
      </c>
      <c r="I272" s="33" t="inlineStr">
        <is>
          <t>Khogiani</t>
        </is>
      </c>
      <c r="J272" s="33" t="inlineStr">
        <is>
          <t>1 unit(s)</t>
        </is>
      </c>
      <c r="K272" s="33" t="inlineStr">
        <is>
          <t>World Bank (WBK/AF-2)</t>
        </is>
      </c>
      <c r="L272" s="33" t="inlineStr">
        <is>
          <t>Remaining</t>
        </is>
      </c>
      <c r="M272" s="33" t="inlineStr">
        <is>
          <t>LLL supply</t>
        </is>
      </c>
      <c r="N272" s="33" t="inlineStr">
        <is>
          <t>6. Supply and delivery of LLL</t>
        </is>
      </c>
      <c r="O272" s="33" t="inlineStr"/>
      <c r="P272" s="33" t="inlineStr"/>
      <c r="Q272" s="34" t="n"/>
      <c r="R272" s="35" t="inlineStr">
        <is>
          <t>IF(AO272="","",AO272)</t>
        </is>
      </c>
      <c r="S272" s="36" t="n">
        <v>46325</v>
      </c>
      <c r="T272" s="37" t="n"/>
      <c r="U272" s="36" t="n">
        <v>46418</v>
      </c>
      <c r="V272" s="35" t="inlineStr">
        <is>
          <t>IF(U272&lt;&gt;"",U272,IF(OR(R272="",T272=""),"",EDATE(R272,T272)))</t>
        </is>
      </c>
      <c r="W272" s="36" t="n"/>
      <c r="X272" s="37" t="n"/>
      <c r="Y272" s="33" t="inlineStr">
        <is>
          <t>Under Awarding</t>
        </is>
      </c>
      <c r="Z272" s="33" t="inlineStr">
        <is>
          <t>The Procurement process is initiated in April and PO will be issued late October 2026. and delivery will be done by End of December 2026 and onward in January 2027 it is planned to be distributed to the selected beneficiaries.</t>
        </is>
      </c>
      <c r="AA272" s="32" t="inlineStr">
        <is>
          <t>IF(E272="","",IF(COUNT(AG272:AT272)=0,IF(Y272="","Not started",Y272),SUBSTITUTE(LOOKUP(2,1/(AG272:AT272&lt;&gt;""),$AG$3:$AT$3),"Date: ","")))</t>
        </is>
      </c>
      <c r="AB272" s="38" t="inlineStr">
        <is>
          <t>IF(OR(E272="",COUNT(AG272:AT272)=0),"",TODAY()-LOOKUP(2,1/(AG272:AT272&lt;&gt;""),AG272:AT272))</t>
        </is>
      </c>
      <c r="AC272" s="38" t="inlineStr">
        <is>
          <t>IF(OR(E272="",COUNT(AG272:AT272)&lt;2),"",LOOKUP(2,1/(AG272:AT272&lt;&gt;""),AG272:AT272)-MIN(AG272:AT272))</t>
        </is>
      </c>
      <c r="AD272" s="38" t="inlineStr">
        <is>
          <t>IF(OR(AB272="",AA272="Not started",AA272=""),"",IFERROR(AB272-IF(VLOOKUP(AA272,'04_Status_Pipeline'!$B$3:$E$20,4,FALSE)="",0,VLOOKUP(AA272,'04_Status_Pipeline'!$B$3:$E$20,4,FALSE)),""))</t>
        </is>
      </c>
      <c r="AE272" s="32" t="inlineStr">
        <is>
          <t>IF(E272="","",IF(OR(Y272="Cancelled",AA272="Cancelled"),"Cancelled",IF(OR(AA272="Completed / Handover",W272&lt;&gt;"",X272&gt;=100),"Completed — on track",IF(L272="Remaining",IF(S272="",IF(V272="","No planned date",IF(TODAY()&gt;V272,"Behind — past planned date",IF(V272-TODAY()&lt;=30,"At risk — close to off track","On track"))),IF(TODAY()&gt;S272,"Behind — award date passed",IF(S272-TODAY()&lt;=30,"At risk — close to off track","On track"))),IF(V272="","No planned date",IF(AND(TODAY()&gt;V272,OR(X272="",X272&lt;100)),"Behind — past end date",IF(AND(R272&lt;&gt;"",V272&lt;&gt;"",X272&lt;&gt;"",(X272&lt;100),((TODAY()-R272)/MAX(V272-R272,1)*100)-X272&gt;15),"Behind — progress lag",IF(AND(V272-TODAY()&lt;=30,V272-TODAY()&gt;=0,OR(X272="",X272&lt;90)),"At risk — close to off track","On track"))))))))</t>
        </is>
      </c>
      <c r="AF272" s="38" t="inlineStr">
        <is>
          <t>IF(OR(E272="",AA272="Completed / Handover",AA272="Cancelled"),"",IF(L272="Remaining",IF(S272&lt;&gt;"",S272-TODAY(),IF(V272="","",V272-TODAY())),IF(V272="","",V272-TODAY())))</t>
        </is>
      </c>
      <c r="AG272" s="36" t="n"/>
      <c r="AH272" s="36" t="n"/>
      <c r="AI272" s="36" t="n"/>
      <c r="AJ272" s="36" t="n"/>
      <c r="AK272" s="36" t="n"/>
      <c r="AL272" s="36" t="n"/>
      <c r="AM272" s="36" t="n"/>
      <c r="AN272" s="36" t="n"/>
      <c r="AO272" s="36" t="n"/>
      <c r="AP272" s="36" t="n"/>
      <c r="AQ272" s="36" t="n"/>
      <c r="AR272" s="40" t="n"/>
      <c r="AS272" s="40" t="n"/>
      <c r="AT272" s="40" t="n"/>
      <c r="AU272" s="38" t="inlineStr">
        <is>
          <t>IF(OR(E272="",AH272=""),"",IF(COUNT(AG272:AG272)=0,"",AH272-LOOKUP(2,1/(AG272:AG272&lt;&gt;""),AG272:AG272)))</t>
        </is>
      </c>
      <c r="AV272" s="38" t="inlineStr">
        <is>
          <t>IF(OR(E272="",AI272=""),"",IF(COUNT(AG272:AH272)=0,"",AI272-LOOKUP(2,1/(AG272:AH272&lt;&gt;""),AG272:AH272)))</t>
        </is>
      </c>
      <c r="AW272" s="38" t="inlineStr">
        <is>
          <t>IF(OR(E272="",AJ272=""),"",IF(COUNT(AG272:AI272)=0,"",AJ272-LOOKUP(2,1/(AG272:AI272&lt;&gt;""),AG272:AI272)))</t>
        </is>
      </c>
      <c r="AX272" s="38" t="inlineStr">
        <is>
          <t>IF(OR(E272="",AK272=""),"",IF(COUNT(AG272:AJ272)=0,"",AK272-LOOKUP(2,1/(AG272:AJ272&lt;&gt;""),AG272:AJ272)))</t>
        </is>
      </c>
      <c r="AY272" s="38" t="inlineStr">
        <is>
          <t>IF(OR(E272="",AL272=""),"",IF(COUNT(AG272:AK272)=0,"",AL272-LOOKUP(2,1/(AG272:AK272&lt;&gt;""),AG272:AK272)))</t>
        </is>
      </c>
      <c r="AZ272" s="38" t="inlineStr">
        <is>
          <t>IF(OR(E272="",AM272=""),"",IF(COUNT(AG272:AL272)=0,"",AM272-LOOKUP(2,1/(AG272:AL272&lt;&gt;""),AG272:AL272)))</t>
        </is>
      </c>
      <c r="BA272" s="38" t="inlineStr">
        <is>
          <t>IF(OR(E272="",AN272=""),"",IF(COUNT(AG272:AM272)=0,"",AN272-LOOKUP(2,1/(AG272:AM272&lt;&gt;""),AG272:AM272)))</t>
        </is>
      </c>
      <c r="BB272" s="38" t="inlineStr">
        <is>
          <t>IF(OR(E272="",AO272=""),"",IF(COUNT(AG272:AN272)=0,"",AO272-LOOKUP(2,1/(AG272:AN272&lt;&gt;""),AG272:AN272)))</t>
        </is>
      </c>
      <c r="BC272" s="38" t="inlineStr">
        <is>
          <t>IF(OR(E272="",AP272=""),"",IF(COUNT(AG272:AO272)=0,"",AP272-LOOKUP(2,1/(AG272:AO272&lt;&gt;""),AG272:AO272)))</t>
        </is>
      </c>
      <c r="BD272" s="38" t="inlineStr">
        <is>
          <t>IF(OR(E272="",AQ272=""),"",IF(COUNT(AG272:AP272)=0,"",AQ272-LOOKUP(2,1/(AG272:AP272&lt;&gt;""),AG272:AP272)))</t>
        </is>
      </c>
      <c r="BE272" s="38" t="inlineStr">
        <is>
          <t>IF(OR(E272="",AR272=""),"",IF(COUNT(AG272:AQ272)=0,"",AR272-LOOKUP(2,1/(AG272:AQ272&lt;&gt;""),AG272:AQ272)))</t>
        </is>
      </c>
      <c r="BF272" s="38" t="inlineStr">
        <is>
          <t>IF(OR(E272="",AS272=""),"",IF(COUNT(AG272:AR272)=0,"",AS272-LOOKUP(2,1/(AG272:AR272&lt;&gt;""),AG272:AR272)))</t>
        </is>
      </c>
      <c r="BG272" s="38" t="inlineStr">
        <is>
          <t>IF(OR(E272="",AT272=""),"",IF(COUNT(AG272:AS272)=0,"",AT272-LOOKUP(2,1/(AG272:AS272&lt;&gt;""),AG272:AS272)))</t>
        </is>
      </c>
      <c r="BH272" s="41" t="inlineStr">
        <is>
          <t>IF(G272="","All_Provinces",IFERROR(VLOOKUP(G272,'07_Lookups'!$A$4:$B$20,2,FALSE),"All_Provinces"))</t>
        </is>
      </c>
      <c r="BI272" s="41" t="inlineStr">
        <is>
          <t>IF(H272="","All_Districts",IFERROR(VLOOKUP(H272,'07_Lookups'!$E$4:$F$42,2,FALSE),"All_Districts"))</t>
        </is>
      </c>
    </row>
    <row r="273" ht="18" customHeight="1">
      <c r="A273" s="32" t="inlineStr">
        <is>
          <t>IF(E273="","",ROW()-3)</t>
        </is>
      </c>
      <c r="B273" s="42" t="inlineStr">
        <is>
          <t>AF2-LLL-R-010</t>
        </is>
      </c>
      <c r="C273" s="42" t="inlineStr">
        <is>
          <t>Emergency Food Security Project (EFSP) – WBK/AF-2</t>
        </is>
      </c>
      <c r="D273" s="42" t="inlineStr">
        <is>
          <t>EFSP-AF2 LLL supply and delivery (50 units)</t>
        </is>
      </c>
      <c r="E273" s="42" t="inlineStr">
        <is>
          <t>Pachajoy irrigation scheme</t>
        </is>
      </c>
      <c r="F273" s="42" t="inlineStr">
        <is>
          <t>Laser Land Leveler (LLL)</t>
        </is>
      </c>
      <c r="G273" s="42" t="inlineStr">
        <is>
          <t>East / Jalalabad</t>
        </is>
      </c>
      <c r="H273" s="42" t="inlineStr">
        <is>
          <t>Laghman</t>
        </is>
      </c>
      <c r="I273" s="42" t="inlineStr">
        <is>
          <t>Mehtherlam</t>
        </is>
      </c>
      <c r="J273" s="42" t="inlineStr">
        <is>
          <t>1 unit(s)</t>
        </is>
      </c>
      <c r="K273" s="42" t="inlineStr">
        <is>
          <t>World Bank (WBK/AF-2)</t>
        </is>
      </c>
      <c r="L273" s="42" t="inlineStr">
        <is>
          <t>Remaining</t>
        </is>
      </c>
      <c r="M273" s="42" t="inlineStr">
        <is>
          <t>LLL supply</t>
        </is>
      </c>
      <c r="N273" s="42" t="inlineStr">
        <is>
          <t>6. Supply and delivery of LLL</t>
        </is>
      </c>
      <c r="O273" s="42" t="inlineStr"/>
      <c r="P273" s="42" t="inlineStr"/>
      <c r="Q273" s="43" t="n"/>
      <c r="R273" s="35" t="inlineStr">
        <is>
          <t>IF(AO273="","",AO273)</t>
        </is>
      </c>
      <c r="S273" s="44" t="n">
        <v>46325</v>
      </c>
      <c r="T273" s="45" t="n"/>
      <c r="U273" s="44" t="n">
        <v>46418</v>
      </c>
      <c r="V273" s="35" t="inlineStr">
        <is>
          <t>IF(U273&lt;&gt;"",U273,IF(OR(R273="",T273=""),"",EDATE(R273,T273)))</t>
        </is>
      </c>
      <c r="W273" s="44" t="n"/>
      <c r="X273" s="45" t="n"/>
      <c r="Y273" s="42" t="inlineStr">
        <is>
          <t>Under Awarding</t>
        </is>
      </c>
      <c r="Z273" s="42" t="inlineStr">
        <is>
          <t>The Procurement process is initiated in April and PO will be issued late October 2026. and delivery will be done by End of December 2026 and onward in January 2027 it is planned to be distributed to the selected beneficiaries.</t>
        </is>
      </c>
      <c r="AA273" s="32" t="inlineStr">
        <is>
          <t>IF(E273="","",IF(COUNT(AG273:AT273)=0,IF(Y273="","Not started",Y273),SUBSTITUTE(LOOKUP(2,1/(AG273:AT273&lt;&gt;""),$AG$3:$AT$3),"Date: ","")))</t>
        </is>
      </c>
      <c r="AB273" s="38" t="inlineStr">
        <is>
          <t>IF(OR(E273="",COUNT(AG273:AT273)=0),"",TODAY()-LOOKUP(2,1/(AG273:AT273&lt;&gt;""),AG273:AT273))</t>
        </is>
      </c>
      <c r="AC273" s="38" t="inlineStr">
        <is>
          <t>IF(OR(E273="",COUNT(AG273:AT273)&lt;2),"",LOOKUP(2,1/(AG273:AT273&lt;&gt;""),AG273:AT273)-MIN(AG273:AT273))</t>
        </is>
      </c>
      <c r="AD273" s="38" t="inlineStr">
        <is>
          <t>IF(OR(AB273="",AA273="Not started",AA273=""),"",IFERROR(AB273-IF(VLOOKUP(AA273,'04_Status_Pipeline'!$B$3:$E$20,4,FALSE)="",0,VLOOKUP(AA273,'04_Status_Pipeline'!$B$3:$E$20,4,FALSE)),""))</t>
        </is>
      </c>
      <c r="AE273" s="32" t="inlineStr">
        <is>
          <t>IF(E273="","",IF(OR(Y273="Cancelled",AA273="Cancelled"),"Cancelled",IF(OR(AA273="Completed / Handover",W273&lt;&gt;"",X273&gt;=100),"Completed — on track",IF(L273="Remaining",IF(S273="",IF(V273="","No planned date",IF(TODAY()&gt;V273,"Behind — past planned date",IF(V273-TODAY()&lt;=30,"At risk — close to off track","On track"))),IF(TODAY()&gt;S273,"Behind — award date passed",IF(S273-TODAY()&lt;=30,"At risk — close to off track","On track"))),IF(V273="","No planned date",IF(AND(TODAY()&gt;V273,OR(X273="",X273&lt;100)),"Behind — past end date",IF(AND(R273&lt;&gt;"",V273&lt;&gt;"",X273&lt;&gt;"",(X273&lt;100),((TODAY()-R273)/MAX(V273-R273,1)*100)-X273&gt;15),"Behind — progress lag",IF(AND(V273-TODAY()&lt;=30,V273-TODAY()&gt;=0,OR(X273="",X273&lt;90)),"At risk — close to off track","On track"))))))))</t>
        </is>
      </c>
      <c r="AF273" s="38" t="inlineStr">
        <is>
          <t>IF(OR(E273="",AA273="Completed / Handover",AA273="Cancelled"),"",IF(L273="Remaining",IF(S273&lt;&gt;"",S273-TODAY(),IF(V273="","",V273-TODAY())),IF(V273="","",V273-TODAY())))</t>
        </is>
      </c>
      <c r="AG273" s="44" t="n"/>
      <c r="AH273" s="44" t="n"/>
      <c r="AI273" s="44" t="n"/>
      <c r="AJ273" s="44" t="n"/>
      <c r="AK273" s="44" t="n"/>
      <c r="AL273" s="44" t="n"/>
      <c r="AM273" s="44" t="n"/>
      <c r="AN273" s="44" t="n"/>
      <c r="AO273" s="44" t="n"/>
      <c r="AP273" s="44" t="n"/>
      <c r="AQ273" s="44" t="n"/>
      <c r="AR273" s="40" t="n"/>
      <c r="AS273" s="40" t="n"/>
      <c r="AT273" s="40" t="n"/>
      <c r="AU273" s="38" t="inlineStr">
        <is>
          <t>IF(OR(E273="",AH273=""),"",IF(COUNT(AG273:AG273)=0,"",AH273-LOOKUP(2,1/(AG273:AG273&lt;&gt;""),AG273:AG273)))</t>
        </is>
      </c>
      <c r="AV273" s="38" t="inlineStr">
        <is>
          <t>IF(OR(E273="",AI273=""),"",IF(COUNT(AG273:AH273)=0,"",AI273-LOOKUP(2,1/(AG273:AH273&lt;&gt;""),AG273:AH273)))</t>
        </is>
      </c>
      <c r="AW273" s="38" t="inlineStr">
        <is>
          <t>IF(OR(E273="",AJ273=""),"",IF(COUNT(AG273:AI273)=0,"",AJ273-LOOKUP(2,1/(AG273:AI273&lt;&gt;""),AG273:AI273)))</t>
        </is>
      </c>
      <c r="AX273" s="38" t="inlineStr">
        <is>
          <t>IF(OR(E273="",AK273=""),"",IF(COUNT(AG273:AJ273)=0,"",AK273-LOOKUP(2,1/(AG273:AJ273&lt;&gt;""),AG273:AJ273)))</t>
        </is>
      </c>
      <c r="AY273" s="38" t="inlineStr">
        <is>
          <t>IF(OR(E273="",AL273=""),"",IF(COUNT(AG273:AK273)=0,"",AL273-LOOKUP(2,1/(AG273:AK273&lt;&gt;""),AG273:AK273)))</t>
        </is>
      </c>
      <c r="AZ273" s="38" t="inlineStr">
        <is>
          <t>IF(OR(E273="",AM273=""),"",IF(COUNT(AG273:AL273)=0,"",AM273-LOOKUP(2,1/(AG273:AL273&lt;&gt;""),AG273:AL273)))</t>
        </is>
      </c>
      <c r="BA273" s="38" t="inlineStr">
        <is>
          <t>IF(OR(E273="",AN273=""),"",IF(COUNT(AG273:AM273)=0,"",AN273-LOOKUP(2,1/(AG273:AM273&lt;&gt;""),AG273:AM273)))</t>
        </is>
      </c>
      <c r="BB273" s="38" t="inlineStr">
        <is>
          <t>IF(OR(E273="",AO273=""),"",IF(COUNT(AG273:AN273)=0,"",AO273-LOOKUP(2,1/(AG273:AN273&lt;&gt;""),AG273:AN273)))</t>
        </is>
      </c>
      <c r="BC273" s="38" t="inlineStr">
        <is>
          <t>IF(OR(E273="",AP273=""),"",IF(COUNT(AG273:AO273)=0,"",AP273-LOOKUP(2,1/(AG273:AO273&lt;&gt;""),AG273:AO273)))</t>
        </is>
      </c>
      <c r="BD273" s="38" t="inlineStr">
        <is>
          <t>IF(OR(E273="",AQ273=""),"",IF(COUNT(AG273:AP273)=0,"",AQ273-LOOKUP(2,1/(AG273:AP273&lt;&gt;""),AG273:AP273)))</t>
        </is>
      </c>
      <c r="BE273" s="38" t="inlineStr">
        <is>
          <t>IF(OR(E273="",AR273=""),"",IF(COUNT(AG273:AQ273)=0,"",AR273-LOOKUP(2,1/(AG273:AQ273&lt;&gt;""),AG273:AQ273)))</t>
        </is>
      </c>
      <c r="BF273" s="38" t="inlineStr">
        <is>
          <t>IF(OR(E273="",AS273=""),"",IF(COUNT(AG273:AR273)=0,"",AS273-LOOKUP(2,1/(AG273:AR273&lt;&gt;""),AG273:AR273)))</t>
        </is>
      </c>
      <c r="BG273" s="38" t="inlineStr">
        <is>
          <t>IF(OR(E273="",AT273=""),"",IF(COUNT(AG273:AS273)=0,"",AT273-LOOKUP(2,1/(AG273:AS273&lt;&gt;""),AG273:AS273)))</t>
        </is>
      </c>
      <c r="BH273" s="41" t="inlineStr">
        <is>
          <t>IF(G273="","All_Provinces",IFERROR(VLOOKUP(G273,'07_Lookups'!$A$4:$B$20,2,FALSE),"All_Provinces"))</t>
        </is>
      </c>
      <c r="BI273" s="41" t="inlineStr">
        <is>
          <t>IF(H273="","All_Districts",IFERROR(VLOOKUP(H273,'07_Lookups'!$E$4:$F$42,2,FALSE),"All_Districts"))</t>
        </is>
      </c>
    </row>
    <row r="274" ht="18" customHeight="1">
      <c r="A274" s="32" t="inlineStr">
        <is>
          <t>IF(E274="","",ROW()-3)</t>
        </is>
      </c>
      <c r="B274" s="33" t="inlineStr">
        <is>
          <t>AF2-LLL-R-011</t>
        </is>
      </c>
      <c r="C274" s="33" t="inlineStr">
        <is>
          <t>Emergency Food Security Project (EFSP) – WBK/AF-2</t>
        </is>
      </c>
      <c r="D274" s="33" t="inlineStr">
        <is>
          <t>EFSP-AF2 LLL supply and delivery (50 units)</t>
        </is>
      </c>
      <c r="E274" s="33" t="inlineStr">
        <is>
          <t>Abdul Baqi irrigation scheme</t>
        </is>
      </c>
      <c r="F274" s="33" t="inlineStr">
        <is>
          <t>Laser Land Leveler (LLL)</t>
        </is>
      </c>
      <c r="G274" s="33" t="inlineStr">
        <is>
          <t>North / Mazar</t>
        </is>
      </c>
      <c r="H274" s="33" t="inlineStr">
        <is>
          <t>Balklh</t>
        </is>
      </c>
      <c r="I274" s="33" t="inlineStr">
        <is>
          <t>Chimtal</t>
        </is>
      </c>
      <c r="J274" s="33" t="inlineStr">
        <is>
          <t>1 unit(s)</t>
        </is>
      </c>
      <c r="K274" s="33" t="inlineStr">
        <is>
          <t>World Bank (WBK/AF-2)</t>
        </is>
      </c>
      <c r="L274" s="33" t="inlineStr">
        <is>
          <t>Remaining</t>
        </is>
      </c>
      <c r="M274" s="33" t="inlineStr">
        <is>
          <t>LLL supply</t>
        </is>
      </c>
      <c r="N274" s="33" t="inlineStr">
        <is>
          <t>6. Supply and delivery of LLL</t>
        </is>
      </c>
      <c r="O274" s="33" t="inlineStr"/>
      <c r="P274" s="33" t="inlineStr"/>
      <c r="Q274" s="34" t="n"/>
      <c r="R274" s="35" t="inlineStr">
        <is>
          <t>IF(AO274="","",AO274)</t>
        </is>
      </c>
      <c r="S274" s="36" t="n">
        <v>46325</v>
      </c>
      <c r="T274" s="37" t="n"/>
      <c r="U274" s="36" t="n">
        <v>46418</v>
      </c>
      <c r="V274" s="35" t="inlineStr">
        <is>
          <t>IF(U274&lt;&gt;"",U274,IF(OR(R274="",T274=""),"",EDATE(R274,T274)))</t>
        </is>
      </c>
      <c r="W274" s="36" t="n"/>
      <c r="X274" s="37" t="n"/>
      <c r="Y274" s="33" t="inlineStr">
        <is>
          <t>Under Awarding</t>
        </is>
      </c>
      <c r="Z274" s="33" t="inlineStr">
        <is>
          <t>The Procurement process is initiated in April and PO will be issued late October 2026. and delivery will be done by End of December 2026 and onward in January 2027 it is planned to be distributed to the selected beneficiaries.</t>
        </is>
      </c>
      <c r="AA274" s="32" t="inlineStr">
        <is>
          <t>IF(E274="","",IF(COUNT(AG274:AT274)=0,IF(Y274="","Not started",Y274),SUBSTITUTE(LOOKUP(2,1/(AG274:AT274&lt;&gt;""),$AG$3:$AT$3),"Date: ","")))</t>
        </is>
      </c>
      <c r="AB274" s="38" t="inlineStr">
        <is>
          <t>IF(OR(E274="",COUNT(AG274:AT274)=0),"",TODAY()-LOOKUP(2,1/(AG274:AT274&lt;&gt;""),AG274:AT274))</t>
        </is>
      </c>
      <c r="AC274" s="38" t="inlineStr">
        <is>
          <t>IF(OR(E274="",COUNT(AG274:AT274)&lt;2),"",LOOKUP(2,1/(AG274:AT274&lt;&gt;""),AG274:AT274)-MIN(AG274:AT274))</t>
        </is>
      </c>
      <c r="AD274" s="38" t="inlineStr">
        <is>
          <t>IF(OR(AB274="",AA274="Not started",AA274=""),"",IFERROR(AB274-IF(VLOOKUP(AA274,'04_Status_Pipeline'!$B$3:$E$20,4,FALSE)="",0,VLOOKUP(AA274,'04_Status_Pipeline'!$B$3:$E$20,4,FALSE)),""))</t>
        </is>
      </c>
      <c r="AE274" s="32" t="inlineStr">
        <is>
          <t>IF(E274="","",IF(OR(Y274="Cancelled",AA274="Cancelled"),"Cancelled",IF(OR(AA274="Completed / Handover",W274&lt;&gt;"",X274&gt;=100),"Completed — on track",IF(L274="Remaining",IF(S274="",IF(V274="","No planned date",IF(TODAY()&gt;V274,"Behind — past planned date",IF(V274-TODAY()&lt;=30,"At risk — close to off track","On track"))),IF(TODAY()&gt;S274,"Behind — award date passed",IF(S274-TODAY()&lt;=30,"At risk — close to off track","On track"))),IF(V274="","No planned date",IF(AND(TODAY()&gt;V274,OR(X274="",X274&lt;100)),"Behind — past end date",IF(AND(R274&lt;&gt;"",V274&lt;&gt;"",X274&lt;&gt;"",(X274&lt;100),((TODAY()-R274)/MAX(V274-R274,1)*100)-X274&gt;15),"Behind — progress lag",IF(AND(V274-TODAY()&lt;=30,V274-TODAY()&gt;=0,OR(X274="",X274&lt;90)),"At risk — close to off track","On track"))))))))</t>
        </is>
      </c>
      <c r="AF274" s="38" t="inlineStr">
        <is>
          <t>IF(OR(E274="",AA274="Completed / Handover",AA274="Cancelled"),"",IF(L274="Remaining",IF(S274&lt;&gt;"",S274-TODAY(),IF(V274="","",V274-TODAY())),IF(V274="","",V274-TODAY())))</t>
        </is>
      </c>
      <c r="AG274" s="36" t="n"/>
      <c r="AH274" s="36" t="n"/>
      <c r="AI274" s="36" t="n"/>
      <c r="AJ274" s="36" t="n"/>
      <c r="AK274" s="36" t="n"/>
      <c r="AL274" s="36" t="n"/>
      <c r="AM274" s="36" t="n"/>
      <c r="AN274" s="36" t="n"/>
      <c r="AO274" s="36" t="n"/>
      <c r="AP274" s="36" t="n"/>
      <c r="AQ274" s="36" t="n"/>
      <c r="AR274" s="40" t="n"/>
      <c r="AS274" s="40" t="n"/>
      <c r="AT274" s="40" t="n"/>
      <c r="AU274" s="38" t="inlineStr">
        <is>
          <t>IF(OR(E274="",AH274=""),"",IF(COUNT(AG274:AG274)=0,"",AH274-LOOKUP(2,1/(AG274:AG274&lt;&gt;""),AG274:AG274)))</t>
        </is>
      </c>
      <c r="AV274" s="38" t="inlineStr">
        <is>
          <t>IF(OR(E274="",AI274=""),"",IF(COUNT(AG274:AH274)=0,"",AI274-LOOKUP(2,1/(AG274:AH274&lt;&gt;""),AG274:AH274)))</t>
        </is>
      </c>
      <c r="AW274" s="38" t="inlineStr">
        <is>
          <t>IF(OR(E274="",AJ274=""),"",IF(COUNT(AG274:AI274)=0,"",AJ274-LOOKUP(2,1/(AG274:AI274&lt;&gt;""),AG274:AI274)))</t>
        </is>
      </c>
      <c r="AX274" s="38" t="inlineStr">
        <is>
          <t>IF(OR(E274="",AK274=""),"",IF(COUNT(AG274:AJ274)=0,"",AK274-LOOKUP(2,1/(AG274:AJ274&lt;&gt;""),AG274:AJ274)))</t>
        </is>
      </c>
      <c r="AY274" s="38" t="inlineStr">
        <is>
          <t>IF(OR(E274="",AL274=""),"",IF(COUNT(AG274:AK274)=0,"",AL274-LOOKUP(2,1/(AG274:AK274&lt;&gt;""),AG274:AK274)))</t>
        </is>
      </c>
      <c r="AZ274" s="38" t="inlineStr">
        <is>
          <t>IF(OR(E274="",AM274=""),"",IF(COUNT(AG274:AL274)=0,"",AM274-LOOKUP(2,1/(AG274:AL274&lt;&gt;""),AG274:AL274)))</t>
        </is>
      </c>
      <c r="BA274" s="38" t="inlineStr">
        <is>
          <t>IF(OR(E274="",AN274=""),"",IF(COUNT(AG274:AM274)=0,"",AN274-LOOKUP(2,1/(AG274:AM274&lt;&gt;""),AG274:AM274)))</t>
        </is>
      </c>
      <c r="BB274" s="38" t="inlineStr">
        <is>
          <t>IF(OR(E274="",AO274=""),"",IF(COUNT(AG274:AN274)=0,"",AO274-LOOKUP(2,1/(AG274:AN274&lt;&gt;""),AG274:AN274)))</t>
        </is>
      </c>
      <c r="BC274" s="38" t="inlineStr">
        <is>
          <t>IF(OR(E274="",AP274=""),"",IF(COUNT(AG274:AO274)=0,"",AP274-LOOKUP(2,1/(AG274:AO274&lt;&gt;""),AG274:AO274)))</t>
        </is>
      </c>
      <c r="BD274" s="38" t="inlineStr">
        <is>
          <t>IF(OR(E274="",AQ274=""),"",IF(COUNT(AG274:AP274)=0,"",AQ274-LOOKUP(2,1/(AG274:AP274&lt;&gt;""),AG274:AP274)))</t>
        </is>
      </c>
      <c r="BE274" s="38" t="inlineStr">
        <is>
          <t>IF(OR(E274="",AR274=""),"",IF(COUNT(AG274:AQ274)=0,"",AR274-LOOKUP(2,1/(AG274:AQ274&lt;&gt;""),AG274:AQ274)))</t>
        </is>
      </c>
      <c r="BF274" s="38" t="inlineStr">
        <is>
          <t>IF(OR(E274="",AS274=""),"",IF(COUNT(AG274:AR274)=0,"",AS274-LOOKUP(2,1/(AG274:AR274&lt;&gt;""),AG274:AR274)))</t>
        </is>
      </c>
      <c r="BG274" s="38" t="inlineStr">
        <is>
          <t>IF(OR(E274="",AT274=""),"",IF(COUNT(AG274:AS274)=0,"",AT274-LOOKUP(2,1/(AG274:AS274&lt;&gt;""),AG274:AS274)))</t>
        </is>
      </c>
      <c r="BH274" s="41" t="inlineStr">
        <is>
          <t>IF(G274="","All_Provinces",IFERROR(VLOOKUP(G274,'07_Lookups'!$A$4:$B$20,2,FALSE),"All_Provinces"))</t>
        </is>
      </c>
      <c r="BI274" s="41" t="inlineStr">
        <is>
          <t>IF(H274="","All_Districts",IFERROR(VLOOKUP(H274,'07_Lookups'!$E$4:$F$42,2,FALSE),"All_Districts"))</t>
        </is>
      </c>
    </row>
    <row r="275" ht="18" customHeight="1">
      <c r="A275" s="32" t="inlineStr">
        <is>
          <t>IF(E275="","",ROW()-3)</t>
        </is>
      </c>
      <c r="B275" s="42" t="inlineStr">
        <is>
          <t>AF2-LLL-R-012</t>
        </is>
      </c>
      <c r="C275" s="42" t="inlineStr">
        <is>
          <t>Emergency Food Security Project (EFSP) – WBK/AF-2</t>
        </is>
      </c>
      <c r="D275" s="42" t="inlineStr">
        <is>
          <t>EFSP-AF2 LLL supply and delivery (50 units)</t>
        </is>
      </c>
      <c r="E275" s="42" t="inlineStr">
        <is>
          <t>Mulla Omar irrigation scheme</t>
        </is>
      </c>
      <c r="F275" s="42" t="inlineStr">
        <is>
          <t>Laser Land Leveler (LLL)</t>
        </is>
      </c>
      <c r="G275" s="42" t="inlineStr">
        <is>
          <t>North / Mazar</t>
        </is>
      </c>
      <c r="H275" s="42" t="inlineStr">
        <is>
          <t>Balklh</t>
        </is>
      </c>
      <c r="I275" s="42" t="inlineStr">
        <is>
          <t>Chimtal</t>
        </is>
      </c>
      <c r="J275" s="42" t="inlineStr">
        <is>
          <t>1 unit(s)</t>
        </is>
      </c>
      <c r="K275" s="42" t="inlineStr">
        <is>
          <t>World Bank (WBK/AF-2)</t>
        </is>
      </c>
      <c r="L275" s="42" t="inlineStr">
        <is>
          <t>Remaining</t>
        </is>
      </c>
      <c r="M275" s="42" t="inlineStr">
        <is>
          <t>LLL supply</t>
        </is>
      </c>
      <c r="N275" s="42" t="inlineStr">
        <is>
          <t>6. Supply and delivery of LLL</t>
        </is>
      </c>
      <c r="O275" s="42" t="inlineStr"/>
      <c r="P275" s="42" t="inlineStr"/>
      <c r="Q275" s="43" t="n"/>
      <c r="R275" s="35" t="inlineStr">
        <is>
          <t>IF(AO275="","",AO275)</t>
        </is>
      </c>
      <c r="S275" s="44" t="n">
        <v>46325</v>
      </c>
      <c r="T275" s="45" t="n"/>
      <c r="U275" s="44" t="n">
        <v>46418</v>
      </c>
      <c r="V275" s="35" t="inlineStr">
        <is>
          <t>IF(U275&lt;&gt;"",U275,IF(OR(R275="",T275=""),"",EDATE(R275,T275)))</t>
        </is>
      </c>
      <c r="W275" s="44" t="n"/>
      <c r="X275" s="45" t="n"/>
      <c r="Y275" s="42" t="inlineStr">
        <is>
          <t>Under Awarding</t>
        </is>
      </c>
      <c r="Z275" s="42" t="inlineStr">
        <is>
          <t>The Procurement process is initiated in April and PO will be issued late October 2026. and delivery will be done by End of December 2026 and onward in January 2027 it is planned to be distributed to the selected beneficiaries.</t>
        </is>
      </c>
      <c r="AA275" s="32" t="inlineStr">
        <is>
          <t>IF(E275="","",IF(COUNT(AG275:AT275)=0,IF(Y275="","Not started",Y275),SUBSTITUTE(LOOKUP(2,1/(AG275:AT275&lt;&gt;""),$AG$3:$AT$3),"Date: ","")))</t>
        </is>
      </c>
      <c r="AB275" s="38" t="inlineStr">
        <is>
          <t>IF(OR(E275="",COUNT(AG275:AT275)=0),"",TODAY()-LOOKUP(2,1/(AG275:AT275&lt;&gt;""),AG275:AT275))</t>
        </is>
      </c>
      <c r="AC275" s="38" t="inlineStr">
        <is>
          <t>IF(OR(E275="",COUNT(AG275:AT275)&lt;2),"",LOOKUP(2,1/(AG275:AT275&lt;&gt;""),AG275:AT275)-MIN(AG275:AT275))</t>
        </is>
      </c>
      <c r="AD275" s="38" t="inlineStr">
        <is>
          <t>IF(OR(AB275="",AA275="Not started",AA275=""),"",IFERROR(AB275-IF(VLOOKUP(AA275,'04_Status_Pipeline'!$B$3:$E$20,4,FALSE)="",0,VLOOKUP(AA275,'04_Status_Pipeline'!$B$3:$E$20,4,FALSE)),""))</t>
        </is>
      </c>
      <c r="AE275" s="32" t="inlineStr">
        <is>
          <t>IF(E275="","",IF(OR(Y275="Cancelled",AA275="Cancelled"),"Cancelled",IF(OR(AA275="Completed / Handover",W275&lt;&gt;"",X275&gt;=100),"Completed — on track",IF(L275="Remaining",IF(S275="",IF(V275="","No planned date",IF(TODAY()&gt;V275,"Behind — past planned date",IF(V275-TODAY()&lt;=30,"At risk — close to off track","On track"))),IF(TODAY()&gt;S275,"Behind — award date passed",IF(S275-TODAY()&lt;=30,"At risk — close to off track","On track"))),IF(V275="","No planned date",IF(AND(TODAY()&gt;V275,OR(X275="",X275&lt;100)),"Behind — past end date",IF(AND(R275&lt;&gt;"",V275&lt;&gt;"",X275&lt;&gt;"",(X275&lt;100),((TODAY()-R275)/MAX(V275-R275,1)*100)-X275&gt;15),"Behind — progress lag",IF(AND(V275-TODAY()&lt;=30,V275-TODAY()&gt;=0,OR(X275="",X275&lt;90)),"At risk — close to off track","On track"))))))))</t>
        </is>
      </c>
      <c r="AF275" s="38" t="inlineStr">
        <is>
          <t>IF(OR(E275="",AA275="Completed / Handover",AA275="Cancelled"),"",IF(L275="Remaining",IF(S275&lt;&gt;"",S275-TODAY(),IF(V275="","",V275-TODAY())),IF(V275="","",V275-TODAY())))</t>
        </is>
      </c>
      <c r="AG275" s="44" t="n"/>
      <c r="AH275" s="44" t="n"/>
      <c r="AI275" s="44" t="n"/>
      <c r="AJ275" s="44" t="n"/>
      <c r="AK275" s="44" t="n"/>
      <c r="AL275" s="44" t="n"/>
      <c r="AM275" s="44" t="n"/>
      <c r="AN275" s="44" t="n"/>
      <c r="AO275" s="44" t="n"/>
      <c r="AP275" s="44" t="n"/>
      <c r="AQ275" s="44" t="n"/>
      <c r="AR275" s="40" t="n"/>
      <c r="AS275" s="40" t="n"/>
      <c r="AT275" s="40" t="n"/>
      <c r="AU275" s="38" t="inlineStr">
        <is>
          <t>IF(OR(E275="",AH275=""),"",IF(COUNT(AG275:AG275)=0,"",AH275-LOOKUP(2,1/(AG275:AG275&lt;&gt;""),AG275:AG275)))</t>
        </is>
      </c>
      <c r="AV275" s="38" t="inlineStr">
        <is>
          <t>IF(OR(E275="",AI275=""),"",IF(COUNT(AG275:AH275)=0,"",AI275-LOOKUP(2,1/(AG275:AH275&lt;&gt;""),AG275:AH275)))</t>
        </is>
      </c>
      <c r="AW275" s="38" t="inlineStr">
        <is>
          <t>IF(OR(E275="",AJ275=""),"",IF(COUNT(AG275:AI275)=0,"",AJ275-LOOKUP(2,1/(AG275:AI275&lt;&gt;""),AG275:AI275)))</t>
        </is>
      </c>
      <c r="AX275" s="38" t="inlineStr">
        <is>
          <t>IF(OR(E275="",AK275=""),"",IF(COUNT(AG275:AJ275)=0,"",AK275-LOOKUP(2,1/(AG275:AJ275&lt;&gt;""),AG275:AJ275)))</t>
        </is>
      </c>
      <c r="AY275" s="38" t="inlineStr">
        <is>
          <t>IF(OR(E275="",AL275=""),"",IF(COUNT(AG275:AK275)=0,"",AL275-LOOKUP(2,1/(AG275:AK275&lt;&gt;""),AG275:AK275)))</t>
        </is>
      </c>
      <c r="AZ275" s="38" t="inlineStr">
        <is>
          <t>IF(OR(E275="",AM275=""),"",IF(COUNT(AG275:AL275)=0,"",AM275-LOOKUP(2,1/(AG275:AL275&lt;&gt;""),AG275:AL275)))</t>
        </is>
      </c>
      <c r="BA275" s="38" t="inlineStr">
        <is>
          <t>IF(OR(E275="",AN275=""),"",IF(COUNT(AG275:AM275)=0,"",AN275-LOOKUP(2,1/(AG275:AM275&lt;&gt;""),AG275:AM275)))</t>
        </is>
      </c>
      <c r="BB275" s="38" t="inlineStr">
        <is>
          <t>IF(OR(E275="",AO275=""),"",IF(COUNT(AG275:AN275)=0,"",AO275-LOOKUP(2,1/(AG275:AN275&lt;&gt;""),AG275:AN275)))</t>
        </is>
      </c>
      <c r="BC275" s="38" t="inlineStr">
        <is>
          <t>IF(OR(E275="",AP275=""),"",IF(COUNT(AG275:AO275)=0,"",AP275-LOOKUP(2,1/(AG275:AO275&lt;&gt;""),AG275:AO275)))</t>
        </is>
      </c>
      <c r="BD275" s="38" t="inlineStr">
        <is>
          <t>IF(OR(E275="",AQ275=""),"",IF(COUNT(AG275:AP275)=0,"",AQ275-LOOKUP(2,1/(AG275:AP275&lt;&gt;""),AG275:AP275)))</t>
        </is>
      </c>
      <c r="BE275" s="38" t="inlineStr">
        <is>
          <t>IF(OR(E275="",AR275=""),"",IF(COUNT(AG275:AQ275)=0,"",AR275-LOOKUP(2,1/(AG275:AQ275&lt;&gt;""),AG275:AQ275)))</t>
        </is>
      </c>
      <c r="BF275" s="38" t="inlineStr">
        <is>
          <t>IF(OR(E275="",AS275=""),"",IF(COUNT(AG275:AR275)=0,"",AS275-LOOKUP(2,1/(AG275:AR275&lt;&gt;""),AG275:AR275)))</t>
        </is>
      </c>
      <c r="BG275" s="38" t="inlineStr">
        <is>
          <t>IF(OR(E275="",AT275=""),"",IF(COUNT(AG275:AS275)=0,"",AT275-LOOKUP(2,1/(AG275:AS275&lt;&gt;""),AG275:AS275)))</t>
        </is>
      </c>
      <c r="BH275" s="41" t="inlineStr">
        <is>
          <t>IF(G275="","All_Provinces",IFERROR(VLOOKUP(G275,'07_Lookups'!$A$4:$B$20,2,FALSE),"All_Provinces"))</t>
        </is>
      </c>
      <c r="BI275" s="41" t="inlineStr">
        <is>
          <t>IF(H275="","All_Districts",IFERROR(VLOOKUP(H275,'07_Lookups'!$E$4:$F$42,2,FALSE),"All_Districts"))</t>
        </is>
      </c>
    </row>
    <row r="276" ht="18" customHeight="1">
      <c r="A276" s="32" t="inlineStr">
        <is>
          <t>IF(E276="","",ROW()-3)</t>
        </is>
      </c>
      <c r="B276" s="33" t="inlineStr">
        <is>
          <t>AF2-LLL-R-013</t>
        </is>
      </c>
      <c r="C276" s="33" t="inlineStr">
        <is>
          <t>Emergency Food Security Project (EFSP) – WBK/AF-2</t>
        </is>
      </c>
      <c r="D276" s="33" t="inlineStr">
        <is>
          <t>EFSP-AF2 LLL supply and delivery (50 units)</t>
        </is>
      </c>
      <c r="E276" s="33" t="inlineStr">
        <is>
          <t>Kushkak irrigation scheme</t>
        </is>
      </c>
      <c r="F276" s="33" t="inlineStr">
        <is>
          <t>Laser Land Leveler (LLL)</t>
        </is>
      </c>
      <c r="G276" s="33" t="inlineStr">
        <is>
          <t>North / Mazar</t>
        </is>
      </c>
      <c r="H276" s="33" t="inlineStr">
        <is>
          <t>Samangan</t>
        </is>
      </c>
      <c r="I276" s="33" t="inlineStr">
        <is>
          <t>Dara-e-Suf-e-Bala</t>
        </is>
      </c>
      <c r="J276" s="33" t="inlineStr">
        <is>
          <t>1 unit(s)</t>
        </is>
      </c>
      <c r="K276" s="33" t="inlineStr">
        <is>
          <t>World Bank (WBK/AF-2)</t>
        </is>
      </c>
      <c r="L276" s="33" t="inlineStr">
        <is>
          <t>Remaining</t>
        </is>
      </c>
      <c r="M276" s="33" t="inlineStr">
        <is>
          <t>LLL supply</t>
        </is>
      </c>
      <c r="N276" s="33" t="inlineStr">
        <is>
          <t>6. Supply and delivery of LLL</t>
        </is>
      </c>
      <c r="O276" s="33" t="inlineStr"/>
      <c r="P276" s="33" t="inlineStr"/>
      <c r="Q276" s="34" t="n"/>
      <c r="R276" s="35" t="inlineStr">
        <is>
          <t>IF(AO276="","",AO276)</t>
        </is>
      </c>
      <c r="S276" s="36" t="n">
        <v>46325</v>
      </c>
      <c r="T276" s="37" t="n"/>
      <c r="U276" s="36" t="n">
        <v>46418</v>
      </c>
      <c r="V276" s="35" t="inlineStr">
        <is>
          <t>IF(U276&lt;&gt;"",U276,IF(OR(R276="",T276=""),"",EDATE(R276,T276)))</t>
        </is>
      </c>
      <c r="W276" s="36" t="n"/>
      <c r="X276" s="37" t="n"/>
      <c r="Y276" s="33" t="inlineStr">
        <is>
          <t>Under Awarding</t>
        </is>
      </c>
      <c r="Z276" s="33" t="inlineStr">
        <is>
          <t>The Procurement process is initiated in April and PO will be issued late October 2026. and delivery will be done by End of December 2026 and onward in January 2027 it is planned to be distributed to the selected beneficiaries.</t>
        </is>
      </c>
      <c r="AA276" s="32" t="inlineStr">
        <is>
          <t>IF(E276="","",IF(COUNT(AG276:AT276)=0,IF(Y276="","Not started",Y276),SUBSTITUTE(LOOKUP(2,1/(AG276:AT276&lt;&gt;""),$AG$3:$AT$3),"Date: ","")))</t>
        </is>
      </c>
      <c r="AB276" s="38" t="inlineStr">
        <is>
          <t>IF(OR(E276="",COUNT(AG276:AT276)=0),"",TODAY()-LOOKUP(2,1/(AG276:AT276&lt;&gt;""),AG276:AT276))</t>
        </is>
      </c>
      <c r="AC276" s="38" t="inlineStr">
        <is>
          <t>IF(OR(E276="",COUNT(AG276:AT276)&lt;2),"",LOOKUP(2,1/(AG276:AT276&lt;&gt;""),AG276:AT276)-MIN(AG276:AT276))</t>
        </is>
      </c>
      <c r="AD276" s="38" t="inlineStr">
        <is>
          <t>IF(OR(AB276="",AA276="Not started",AA276=""),"",IFERROR(AB276-IF(VLOOKUP(AA276,'04_Status_Pipeline'!$B$3:$E$20,4,FALSE)="",0,VLOOKUP(AA276,'04_Status_Pipeline'!$B$3:$E$20,4,FALSE)),""))</t>
        </is>
      </c>
      <c r="AE276" s="32" t="inlineStr">
        <is>
          <t>IF(E276="","",IF(OR(Y276="Cancelled",AA276="Cancelled"),"Cancelled",IF(OR(AA276="Completed / Handover",W276&lt;&gt;"",X276&gt;=100),"Completed — on track",IF(L276="Remaining",IF(S276="",IF(V276="","No planned date",IF(TODAY()&gt;V276,"Behind — past planned date",IF(V276-TODAY()&lt;=30,"At risk — close to off track","On track"))),IF(TODAY()&gt;S276,"Behind — award date passed",IF(S276-TODAY()&lt;=30,"At risk — close to off track","On track"))),IF(V276="","No planned date",IF(AND(TODAY()&gt;V276,OR(X276="",X276&lt;100)),"Behind — past end date",IF(AND(R276&lt;&gt;"",V276&lt;&gt;"",X276&lt;&gt;"",(X276&lt;100),((TODAY()-R276)/MAX(V276-R276,1)*100)-X276&gt;15),"Behind — progress lag",IF(AND(V276-TODAY()&lt;=30,V276-TODAY()&gt;=0,OR(X276="",X276&lt;90)),"At risk — close to off track","On track"))))))))</t>
        </is>
      </c>
      <c r="AF276" s="38" t="inlineStr">
        <is>
          <t>IF(OR(E276="",AA276="Completed / Handover",AA276="Cancelled"),"",IF(L276="Remaining",IF(S276&lt;&gt;"",S276-TODAY(),IF(V276="","",V276-TODAY())),IF(V276="","",V276-TODAY())))</t>
        </is>
      </c>
      <c r="AG276" s="36" t="n"/>
      <c r="AH276" s="36" t="n"/>
      <c r="AI276" s="36" t="n"/>
      <c r="AJ276" s="36" t="n"/>
      <c r="AK276" s="36" t="n"/>
      <c r="AL276" s="36" t="n"/>
      <c r="AM276" s="36" t="n"/>
      <c r="AN276" s="36" t="n"/>
      <c r="AO276" s="36" t="n"/>
      <c r="AP276" s="36" t="n"/>
      <c r="AQ276" s="36" t="n"/>
      <c r="AR276" s="40" t="n"/>
      <c r="AS276" s="40" t="n"/>
      <c r="AT276" s="40" t="n"/>
      <c r="AU276" s="38" t="inlineStr">
        <is>
          <t>IF(OR(E276="",AH276=""),"",IF(COUNT(AG276:AG276)=0,"",AH276-LOOKUP(2,1/(AG276:AG276&lt;&gt;""),AG276:AG276)))</t>
        </is>
      </c>
      <c r="AV276" s="38" t="inlineStr">
        <is>
          <t>IF(OR(E276="",AI276=""),"",IF(COUNT(AG276:AH276)=0,"",AI276-LOOKUP(2,1/(AG276:AH276&lt;&gt;""),AG276:AH276)))</t>
        </is>
      </c>
      <c r="AW276" s="38" t="inlineStr">
        <is>
          <t>IF(OR(E276="",AJ276=""),"",IF(COUNT(AG276:AI276)=0,"",AJ276-LOOKUP(2,1/(AG276:AI276&lt;&gt;""),AG276:AI276)))</t>
        </is>
      </c>
      <c r="AX276" s="38" t="inlineStr">
        <is>
          <t>IF(OR(E276="",AK276=""),"",IF(COUNT(AG276:AJ276)=0,"",AK276-LOOKUP(2,1/(AG276:AJ276&lt;&gt;""),AG276:AJ276)))</t>
        </is>
      </c>
      <c r="AY276" s="38" t="inlineStr">
        <is>
          <t>IF(OR(E276="",AL276=""),"",IF(COUNT(AG276:AK276)=0,"",AL276-LOOKUP(2,1/(AG276:AK276&lt;&gt;""),AG276:AK276)))</t>
        </is>
      </c>
      <c r="AZ276" s="38" t="inlineStr">
        <is>
          <t>IF(OR(E276="",AM276=""),"",IF(COUNT(AG276:AL276)=0,"",AM276-LOOKUP(2,1/(AG276:AL276&lt;&gt;""),AG276:AL276)))</t>
        </is>
      </c>
      <c r="BA276" s="38" t="inlineStr">
        <is>
          <t>IF(OR(E276="",AN276=""),"",IF(COUNT(AG276:AM276)=0,"",AN276-LOOKUP(2,1/(AG276:AM276&lt;&gt;""),AG276:AM276)))</t>
        </is>
      </c>
      <c r="BB276" s="38" t="inlineStr">
        <is>
          <t>IF(OR(E276="",AO276=""),"",IF(COUNT(AG276:AN276)=0,"",AO276-LOOKUP(2,1/(AG276:AN276&lt;&gt;""),AG276:AN276)))</t>
        </is>
      </c>
      <c r="BC276" s="38" t="inlineStr">
        <is>
          <t>IF(OR(E276="",AP276=""),"",IF(COUNT(AG276:AO276)=0,"",AP276-LOOKUP(2,1/(AG276:AO276&lt;&gt;""),AG276:AO276)))</t>
        </is>
      </c>
      <c r="BD276" s="38" t="inlineStr">
        <is>
          <t>IF(OR(E276="",AQ276=""),"",IF(COUNT(AG276:AP276)=0,"",AQ276-LOOKUP(2,1/(AG276:AP276&lt;&gt;""),AG276:AP276)))</t>
        </is>
      </c>
      <c r="BE276" s="38" t="inlineStr">
        <is>
          <t>IF(OR(E276="",AR276=""),"",IF(COUNT(AG276:AQ276)=0,"",AR276-LOOKUP(2,1/(AG276:AQ276&lt;&gt;""),AG276:AQ276)))</t>
        </is>
      </c>
      <c r="BF276" s="38" t="inlineStr">
        <is>
          <t>IF(OR(E276="",AS276=""),"",IF(COUNT(AG276:AR276)=0,"",AS276-LOOKUP(2,1/(AG276:AR276&lt;&gt;""),AG276:AR276)))</t>
        </is>
      </c>
      <c r="BG276" s="38" t="inlineStr">
        <is>
          <t>IF(OR(E276="",AT276=""),"",IF(COUNT(AG276:AS276)=0,"",AT276-LOOKUP(2,1/(AG276:AS276&lt;&gt;""),AG276:AS276)))</t>
        </is>
      </c>
      <c r="BH276" s="41" t="inlineStr">
        <is>
          <t>IF(G276="","All_Provinces",IFERROR(VLOOKUP(G276,'07_Lookups'!$A$4:$B$20,2,FALSE),"All_Provinces"))</t>
        </is>
      </c>
      <c r="BI276" s="41" t="inlineStr">
        <is>
          <t>IF(H276="","All_Districts",IFERROR(VLOOKUP(H276,'07_Lookups'!$E$4:$F$42,2,FALSE),"All_Districts"))</t>
        </is>
      </c>
    </row>
    <row r="277" ht="18" customHeight="1">
      <c r="A277" s="32" t="inlineStr">
        <is>
          <t>IF(E277="","",ROW()-3)</t>
        </is>
      </c>
      <c r="B277" s="42" t="inlineStr">
        <is>
          <t>AF2-LLL-R-014</t>
        </is>
      </c>
      <c r="C277" s="42" t="inlineStr">
        <is>
          <t>Emergency Food Security Project (EFSP) – WBK/AF-2</t>
        </is>
      </c>
      <c r="D277" s="42" t="inlineStr">
        <is>
          <t>EFSP-AF2 LLL supply and delivery (50 units)</t>
        </is>
      </c>
      <c r="E277" s="42" t="inlineStr">
        <is>
          <t>Chela Mazar irrigation scheme</t>
        </is>
      </c>
      <c r="F277" s="42" t="inlineStr">
        <is>
          <t>Laser Land Leveler (LLL)</t>
        </is>
      </c>
      <c r="G277" s="42" t="inlineStr">
        <is>
          <t>North / Mazar</t>
        </is>
      </c>
      <c r="H277" s="42" t="inlineStr">
        <is>
          <t>Samangan</t>
        </is>
      </c>
      <c r="I277" s="42" t="inlineStr">
        <is>
          <t>Dara-e-Suf-e-Payeen</t>
        </is>
      </c>
      <c r="J277" s="42" t="inlineStr">
        <is>
          <t>1 unit(s)</t>
        </is>
      </c>
      <c r="K277" s="42" t="inlineStr">
        <is>
          <t>World Bank (WBK/AF-2)</t>
        </is>
      </c>
      <c r="L277" s="42" t="inlineStr">
        <is>
          <t>Remaining</t>
        </is>
      </c>
      <c r="M277" s="42" t="inlineStr">
        <is>
          <t>LLL supply</t>
        </is>
      </c>
      <c r="N277" s="42" t="inlineStr">
        <is>
          <t>6. Supply and delivery of LLL</t>
        </is>
      </c>
      <c r="O277" s="42" t="inlineStr"/>
      <c r="P277" s="42" t="inlineStr"/>
      <c r="Q277" s="43" t="n"/>
      <c r="R277" s="35" t="inlineStr">
        <is>
          <t>IF(AO277="","",AO277)</t>
        </is>
      </c>
      <c r="S277" s="44" t="n">
        <v>46325</v>
      </c>
      <c r="T277" s="45" t="n"/>
      <c r="U277" s="44" t="n">
        <v>46418</v>
      </c>
      <c r="V277" s="35" t="inlineStr">
        <is>
          <t>IF(U277&lt;&gt;"",U277,IF(OR(R277="",T277=""),"",EDATE(R277,T277)))</t>
        </is>
      </c>
      <c r="W277" s="44" t="n"/>
      <c r="X277" s="45" t="n"/>
      <c r="Y277" s="42" t="inlineStr">
        <is>
          <t>Under Awarding</t>
        </is>
      </c>
      <c r="Z277" s="42" t="inlineStr">
        <is>
          <t>The Procurement process is initiated in April and PO will be issued late October 2026. and delivery will be done by End of December 2026 and onward in January 2027 it is planned to be distributed to the selected beneficiaries.</t>
        </is>
      </c>
      <c r="AA277" s="32" t="inlineStr">
        <is>
          <t>IF(E277="","",IF(COUNT(AG277:AT277)=0,IF(Y277="","Not started",Y277),SUBSTITUTE(LOOKUP(2,1/(AG277:AT277&lt;&gt;""),$AG$3:$AT$3),"Date: ","")))</t>
        </is>
      </c>
      <c r="AB277" s="38" t="inlineStr">
        <is>
          <t>IF(OR(E277="",COUNT(AG277:AT277)=0),"",TODAY()-LOOKUP(2,1/(AG277:AT277&lt;&gt;""),AG277:AT277))</t>
        </is>
      </c>
      <c r="AC277" s="38" t="inlineStr">
        <is>
          <t>IF(OR(E277="",COUNT(AG277:AT277)&lt;2),"",LOOKUP(2,1/(AG277:AT277&lt;&gt;""),AG277:AT277)-MIN(AG277:AT277))</t>
        </is>
      </c>
      <c r="AD277" s="38" t="inlineStr">
        <is>
          <t>IF(OR(AB277="",AA277="Not started",AA277=""),"",IFERROR(AB277-IF(VLOOKUP(AA277,'04_Status_Pipeline'!$B$3:$E$20,4,FALSE)="",0,VLOOKUP(AA277,'04_Status_Pipeline'!$B$3:$E$20,4,FALSE)),""))</t>
        </is>
      </c>
      <c r="AE277" s="32" t="inlineStr">
        <is>
          <t>IF(E277="","",IF(OR(Y277="Cancelled",AA277="Cancelled"),"Cancelled",IF(OR(AA277="Completed / Handover",W277&lt;&gt;"",X277&gt;=100),"Completed — on track",IF(L277="Remaining",IF(S277="",IF(V277="","No planned date",IF(TODAY()&gt;V277,"Behind — past planned date",IF(V277-TODAY()&lt;=30,"At risk — close to off track","On track"))),IF(TODAY()&gt;S277,"Behind — award date passed",IF(S277-TODAY()&lt;=30,"At risk — close to off track","On track"))),IF(V277="","No planned date",IF(AND(TODAY()&gt;V277,OR(X277="",X277&lt;100)),"Behind — past end date",IF(AND(R277&lt;&gt;"",V277&lt;&gt;"",X277&lt;&gt;"",(X277&lt;100),((TODAY()-R277)/MAX(V277-R277,1)*100)-X277&gt;15),"Behind — progress lag",IF(AND(V277-TODAY()&lt;=30,V277-TODAY()&gt;=0,OR(X277="",X277&lt;90)),"At risk — close to off track","On track"))))))))</t>
        </is>
      </c>
      <c r="AF277" s="38" t="inlineStr">
        <is>
          <t>IF(OR(E277="",AA277="Completed / Handover",AA277="Cancelled"),"",IF(L277="Remaining",IF(S277&lt;&gt;"",S277-TODAY(),IF(V277="","",V277-TODAY())),IF(V277="","",V277-TODAY())))</t>
        </is>
      </c>
      <c r="AG277" s="44" t="n"/>
      <c r="AH277" s="44" t="n"/>
      <c r="AI277" s="44" t="n"/>
      <c r="AJ277" s="44" t="n"/>
      <c r="AK277" s="44" t="n"/>
      <c r="AL277" s="44" t="n"/>
      <c r="AM277" s="44" t="n"/>
      <c r="AN277" s="44" t="n"/>
      <c r="AO277" s="44" t="n"/>
      <c r="AP277" s="44" t="n"/>
      <c r="AQ277" s="44" t="n"/>
      <c r="AR277" s="40" t="n"/>
      <c r="AS277" s="40" t="n"/>
      <c r="AT277" s="40" t="n"/>
      <c r="AU277" s="38" t="inlineStr">
        <is>
          <t>IF(OR(E277="",AH277=""),"",IF(COUNT(AG277:AG277)=0,"",AH277-LOOKUP(2,1/(AG277:AG277&lt;&gt;""),AG277:AG277)))</t>
        </is>
      </c>
      <c r="AV277" s="38" t="inlineStr">
        <is>
          <t>IF(OR(E277="",AI277=""),"",IF(COUNT(AG277:AH277)=0,"",AI277-LOOKUP(2,1/(AG277:AH277&lt;&gt;""),AG277:AH277)))</t>
        </is>
      </c>
      <c r="AW277" s="38" t="inlineStr">
        <is>
          <t>IF(OR(E277="",AJ277=""),"",IF(COUNT(AG277:AI277)=0,"",AJ277-LOOKUP(2,1/(AG277:AI277&lt;&gt;""),AG277:AI277)))</t>
        </is>
      </c>
      <c r="AX277" s="38" t="inlineStr">
        <is>
          <t>IF(OR(E277="",AK277=""),"",IF(COUNT(AG277:AJ277)=0,"",AK277-LOOKUP(2,1/(AG277:AJ277&lt;&gt;""),AG277:AJ277)))</t>
        </is>
      </c>
      <c r="AY277" s="38" t="inlineStr">
        <is>
          <t>IF(OR(E277="",AL277=""),"",IF(COUNT(AG277:AK277)=0,"",AL277-LOOKUP(2,1/(AG277:AK277&lt;&gt;""),AG277:AK277)))</t>
        </is>
      </c>
      <c r="AZ277" s="38" t="inlineStr">
        <is>
          <t>IF(OR(E277="",AM277=""),"",IF(COUNT(AG277:AL277)=0,"",AM277-LOOKUP(2,1/(AG277:AL277&lt;&gt;""),AG277:AL277)))</t>
        </is>
      </c>
      <c r="BA277" s="38" t="inlineStr">
        <is>
          <t>IF(OR(E277="",AN277=""),"",IF(COUNT(AG277:AM277)=0,"",AN277-LOOKUP(2,1/(AG277:AM277&lt;&gt;""),AG277:AM277)))</t>
        </is>
      </c>
      <c r="BB277" s="38" t="inlineStr">
        <is>
          <t>IF(OR(E277="",AO277=""),"",IF(COUNT(AG277:AN277)=0,"",AO277-LOOKUP(2,1/(AG277:AN277&lt;&gt;""),AG277:AN277)))</t>
        </is>
      </c>
      <c r="BC277" s="38" t="inlineStr">
        <is>
          <t>IF(OR(E277="",AP277=""),"",IF(COUNT(AG277:AO277)=0,"",AP277-LOOKUP(2,1/(AG277:AO277&lt;&gt;""),AG277:AO277)))</t>
        </is>
      </c>
      <c r="BD277" s="38" t="inlineStr">
        <is>
          <t>IF(OR(E277="",AQ277=""),"",IF(COUNT(AG277:AP277)=0,"",AQ277-LOOKUP(2,1/(AG277:AP277&lt;&gt;""),AG277:AP277)))</t>
        </is>
      </c>
      <c r="BE277" s="38" t="inlineStr">
        <is>
          <t>IF(OR(E277="",AR277=""),"",IF(COUNT(AG277:AQ277)=0,"",AR277-LOOKUP(2,1/(AG277:AQ277&lt;&gt;""),AG277:AQ277)))</t>
        </is>
      </c>
      <c r="BF277" s="38" t="inlineStr">
        <is>
          <t>IF(OR(E277="",AS277=""),"",IF(COUNT(AG277:AR277)=0,"",AS277-LOOKUP(2,1/(AG277:AR277&lt;&gt;""),AG277:AR277)))</t>
        </is>
      </c>
      <c r="BG277" s="38" t="inlineStr">
        <is>
          <t>IF(OR(E277="",AT277=""),"",IF(COUNT(AG277:AS277)=0,"",AT277-LOOKUP(2,1/(AG277:AS277&lt;&gt;""),AG277:AS277)))</t>
        </is>
      </c>
      <c r="BH277" s="41" t="inlineStr">
        <is>
          <t>IF(G277="","All_Provinces",IFERROR(VLOOKUP(G277,'07_Lookups'!$A$4:$B$20,2,FALSE),"All_Provinces"))</t>
        </is>
      </c>
      <c r="BI277" s="41" t="inlineStr">
        <is>
          <t>IF(H277="","All_Districts",IFERROR(VLOOKUP(H277,'07_Lookups'!$E$4:$F$42,2,FALSE),"All_Districts"))</t>
        </is>
      </c>
    </row>
    <row r="278" ht="18" customHeight="1">
      <c r="A278" s="32" t="inlineStr">
        <is>
          <t>IF(E278="","",ROW()-3)</t>
        </is>
      </c>
      <c r="B278" s="33" t="inlineStr">
        <is>
          <t>AF2-LLL-R-015</t>
        </is>
      </c>
      <c r="C278" s="33" t="inlineStr">
        <is>
          <t>Emergency Food Security Project (EFSP) – WBK/AF-2</t>
        </is>
      </c>
      <c r="D278" s="33" t="inlineStr">
        <is>
          <t>EFSP-AF2 LLL supply and delivery (50 units)</t>
        </is>
      </c>
      <c r="E278" s="33" t="inlineStr">
        <is>
          <t>Bahr-e-Ameq irrigation scheme</t>
        </is>
      </c>
      <c r="F278" s="33" t="inlineStr">
        <is>
          <t>Laser Land Leveler (LLL)</t>
        </is>
      </c>
      <c r="G278" s="33" t="inlineStr">
        <is>
          <t>North / Mazar</t>
        </is>
      </c>
      <c r="H278" s="33" t="inlineStr">
        <is>
          <t>Sar-E-Pul</t>
        </is>
      </c>
      <c r="I278" s="33" t="inlineStr">
        <is>
          <t>Sozma Qala</t>
        </is>
      </c>
      <c r="J278" s="33" t="inlineStr">
        <is>
          <t>1 unit(s)</t>
        </is>
      </c>
      <c r="K278" s="33" t="inlineStr">
        <is>
          <t>World Bank (WBK/AF-2)</t>
        </is>
      </c>
      <c r="L278" s="33" t="inlineStr">
        <is>
          <t>Remaining</t>
        </is>
      </c>
      <c r="M278" s="33" t="inlineStr">
        <is>
          <t>LLL supply</t>
        </is>
      </c>
      <c r="N278" s="33" t="inlineStr">
        <is>
          <t>6. Supply and delivery of LLL</t>
        </is>
      </c>
      <c r="O278" s="33" t="inlineStr"/>
      <c r="P278" s="33" t="inlineStr"/>
      <c r="Q278" s="34" t="n"/>
      <c r="R278" s="35" t="inlineStr">
        <is>
          <t>IF(AO278="","",AO278)</t>
        </is>
      </c>
      <c r="S278" s="36" t="n">
        <v>46325</v>
      </c>
      <c r="T278" s="37" t="n"/>
      <c r="U278" s="36" t="n">
        <v>46418</v>
      </c>
      <c r="V278" s="35" t="inlineStr">
        <is>
          <t>IF(U278&lt;&gt;"",U278,IF(OR(R278="",T278=""),"",EDATE(R278,T278)))</t>
        </is>
      </c>
      <c r="W278" s="36" t="n"/>
      <c r="X278" s="37" t="n"/>
      <c r="Y278" s="33" t="inlineStr">
        <is>
          <t>Under Awarding</t>
        </is>
      </c>
      <c r="Z278" s="33" t="inlineStr">
        <is>
          <t>The Procurement process is initiated in April and PO will be issued late October 2026. and delivery will be done by End of December 2026 and onward in January 2027 it is planned to be distributed to the selected beneficiaries.</t>
        </is>
      </c>
      <c r="AA278" s="32" t="inlineStr">
        <is>
          <t>IF(E278="","",IF(COUNT(AG278:AT278)=0,IF(Y278="","Not started",Y278),SUBSTITUTE(LOOKUP(2,1/(AG278:AT278&lt;&gt;""),$AG$3:$AT$3),"Date: ","")))</t>
        </is>
      </c>
      <c r="AB278" s="38" t="inlineStr">
        <is>
          <t>IF(OR(E278="",COUNT(AG278:AT278)=0),"",TODAY()-LOOKUP(2,1/(AG278:AT278&lt;&gt;""),AG278:AT278))</t>
        </is>
      </c>
      <c r="AC278" s="38" t="inlineStr">
        <is>
          <t>IF(OR(E278="",COUNT(AG278:AT278)&lt;2),"",LOOKUP(2,1/(AG278:AT278&lt;&gt;""),AG278:AT278)-MIN(AG278:AT278))</t>
        </is>
      </c>
      <c r="AD278" s="38" t="inlineStr">
        <is>
          <t>IF(OR(AB278="",AA278="Not started",AA278=""),"",IFERROR(AB278-IF(VLOOKUP(AA278,'04_Status_Pipeline'!$B$3:$E$20,4,FALSE)="",0,VLOOKUP(AA278,'04_Status_Pipeline'!$B$3:$E$20,4,FALSE)),""))</t>
        </is>
      </c>
      <c r="AE278" s="32" t="inlineStr">
        <is>
          <t>IF(E278="","",IF(OR(Y278="Cancelled",AA278="Cancelled"),"Cancelled",IF(OR(AA278="Completed / Handover",W278&lt;&gt;"",X278&gt;=100),"Completed — on track",IF(L278="Remaining",IF(S278="",IF(V278="","No planned date",IF(TODAY()&gt;V278,"Behind — past planned date",IF(V278-TODAY()&lt;=30,"At risk — close to off track","On track"))),IF(TODAY()&gt;S278,"Behind — award date passed",IF(S278-TODAY()&lt;=30,"At risk — close to off track","On track"))),IF(V278="","No planned date",IF(AND(TODAY()&gt;V278,OR(X278="",X278&lt;100)),"Behind — past end date",IF(AND(R278&lt;&gt;"",V278&lt;&gt;"",X278&lt;&gt;"",(X278&lt;100),((TODAY()-R278)/MAX(V278-R278,1)*100)-X278&gt;15),"Behind — progress lag",IF(AND(V278-TODAY()&lt;=30,V278-TODAY()&gt;=0,OR(X278="",X278&lt;90)),"At risk — close to off track","On track"))))))))</t>
        </is>
      </c>
      <c r="AF278" s="38" t="inlineStr">
        <is>
          <t>IF(OR(E278="",AA278="Completed / Handover",AA278="Cancelled"),"",IF(L278="Remaining",IF(S278&lt;&gt;"",S278-TODAY(),IF(V278="","",V278-TODAY())),IF(V278="","",V278-TODAY())))</t>
        </is>
      </c>
      <c r="AG278" s="36" t="n"/>
      <c r="AH278" s="36" t="n"/>
      <c r="AI278" s="36" t="n"/>
      <c r="AJ278" s="36" t="n"/>
      <c r="AK278" s="36" t="n"/>
      <c r="AL278" s="36" t="n"/>
      <c r="AM278" s="36" t="n"/>
      <c r="AN278" s="36" t="n"/>
      <c r="AO278" s="36" t="n"/>
      <c r="AP278" s="36" t="n"/>
      <c r="AQ278" s="36" t="n"/>
      <c r="AR278" s="40" t="n"/>
      <c r="AS278" s="40" t="n"/>
      <c r="AT278" s="40" t="n"/>
      <c r="AU278" s="38" t="inlineStr">
        <is>
          <t>IF(OR(E278="",AH278=""),"",IF(COUNT(AG278:AG278)=0,"",AH278-LOOKUP(2,1/(AG278:AG278&lt;&gt;""),AG278:AG278)))</t>
        </is>
      </c>
      <c r="AV278" s="38" t="inlineStr">
        <is>
          <t>IF(OR(E278="",AI278=""),"",IF(COUNT(AG278:AH278)=0,"",AI278-LOOKUP(2,1/(AG278:AH278&lt;&gt;""),AG278:AH278)))</t>
        </is>
      </c>
      <c r="AW278" s="38" t="inlineStr">
        <is>
          <t>IF(OR(E278="",AJ278=""),"",IF(COUNT(AG278:AI278)=0,"",AJ278-LOOKUP(2,1/(AG278:AI278&lt;&gt;""),AG278:AI278)))</t>
        </is>
      </c>
      <c r="AX278" s="38" t="inlineStr">
        <is>
          <t>IF(OR(E278="",AK278=""),"",IF(COUNT(AG278:AJ278)=0,"",AK278-LOOKUP(2,1/(AG278:AJ278&lt;&gt;""),AG278:AJ278)))</t>
        </is>
      </c>
      <c r="AY278" s="38" t="inlineStr">
        <is>
          <t>IF(OR(E278="",AL278=""),"",IF(COUNT(AG278:AK278)=0,"",AL278-LOOKUP(2,1/(AG278:AK278&lt;&gt;""),AG278:AK278)))</t>
        </is>
      </c>
      <c r="AZ278" s="38" t="inlineStr">
        <is>
          <t>IF(OR(E278="",AM278=""),"",IF(COUNT(AG278:AL278)=0,"",AM278-LOOKUP(2,1/(AG278:AL278&lt;&gt;""),AG278:AL278)))</t>
        </is>
      </c>
      <c r="BA278" s="38" t="inlineStr">
        <is>
          <t>IF(OR(E278="",AN278=""),"",IF(COUNT(AG278:AM278)=0,"",AN278-LOOKUP(2,1/(AG278:AM278&lt;&gt;""),AG278:AM278)))</t>
        </is>
      </c>
      <c r="BB278" s="38" t="inlineStr">
        <is>
          <t>IF(OR(E278="",AO278=""),"",IF(COUNT(AG278:AN278)=0,"",AO278-LOOKUP(2,1/(AG278:AN278&lt;&gt;""),AG278:AN278)))</t>
        </is>
      </c>
      <c r="BC278" s="38" t="inlineStr">
        <is>
          <t>IF(OR(E278="",AP278=""),"",IF(COUNT(AG278:AO278)=0,"",AP278-LOOKUP(2,1/(AG278:AO278&lt;&gt;""),AG278:AO278)))</t>
        </is>
      </c>
      <c r="BD278" s="38" t="inlineStr">
        <is>
          <t>IF(OR(E278="",AQ278=""),"",IF(COUNT(AG278:AP278)=0,"",AQ278-LOOKUP(2,1/(AG278:AP278&lt;&gt;""),AG278:AP278)))</t>
        </is>
      </c>
      <c r="BE278" s="38" t="inlineStr">
        <is>
          <t>IF(OR(E278="",AR278=""),"",IF(COUNT(AG278:AQ278)=0,"",AR278-LOOKUP(2,1/(AG278:AQ278&lt;&gt;""),AG278:AQ278)))</t>
        </is>
      </c>
      <c r="BF278" s="38" t="inlineStr">
        <is>
          <t>IF(OR(E278="",AS278=""),"",IF(COUNT(AG278:AR278)=0,"",AS278-LOOKUP(2,1/(AG278:AR278&lt;&gt;""),AG278:AR278)))</t>
        </is>
      </c>
      <c r="BG278" s="38" t="inlineStr">
        <is>
          <t>IF(OR(E278="",AT278=""),"",IF(COUNT(AG278:AS278)=0,"",AT278-LOOKUP(2,1/(AG278:AS278&lt;&gt;""),AG278:AS278)))</t>
        </is>
      </c>
      <c r="BH278" s="41" t="inlineStr">
        <is>
          <t>IF(G278="","All_Provinces",IFERROR(VLOOKUP(G278,'07_Lookups'!$A$4:$B$20,2,FALSE),"All_Provinces"))</t>
        </is>
      </c>
      <c r="BI278" s="41" t="inlineStr">
        <is>
          <t>IF(H278="","All_Districts",IFERROR(VLOOKUP(H278,'07_Lookups'!$E$4:$F$42,2,FALSE),"All_Districts"))</t>
        </is>
      </c>
    </row>
    <row r="279" ht="18" customHeight="1">
      <c r="A279" s="32" t="inlineStr">
        <is>
          <t>IF(E279="","",ROW()-3)</t>
        </is>
      </c>
      <c r="B279" s="42" t="inlineStr">
        <is>
          <t>AF2-LLL-R-016</t>
        </is>
      </c>
      <c r="C279" s="42" t="inlineStr">
        <is>
          <t>Emergency Food Security Project (EFSP) – WBK/AF-2</t>
        </is>
      </c>
      <c r="D279" s="42" t="inlineStr">
        <is>
          <t>EFSP-AF2 LLL supply and delivery (50 units)</t>
        </is>
      </c>
      <c r="E279" s="42" t="inlineStr">
        <is>
          <t>Hashtman Canal Irrigation scheme</t>
        </is>
      </c>
      <c r="F279" s="42" t="inlineStr">
        <is>
          <t>Laser Land Leveler (LLL)</t>
        </is>
      </c>
      <c r="G279" s="42" t="inlineStr">
        <is>
          <t>North / Mazar</t>
        </is>
      </c>
      <c r="H279" s="42" t="inlineStr">
        <is>
          <t>Faryab</t>
        </is>
      </c>
      <c r="I279" s="42" t="inlineStr">
        <is>
          <t>Qaisar</t>
        </is>
      </c>
      <c r="J279" s="42" t="inlineStr">
        <is>
          <t>1 unit(s)</t>
        </is>
      </c>
      <c r="K279" s="42" t="inlineStr">
        <is>
          <t>World Bank (WBK/AF-2)</t>
        </is>
      </c>
      <c r="L279" s="42" t="inlineStr">
        <is>
          <t>Remaining</t>
        </is>
      </c>
      <c r="M279" s="42" t="inlineStr">
        <is>
          <t>LLL supply</t>
        </is>
      </c>
      <c r="N279" s="42" t="inlineStr">
        <is>
          <t>6. Supply and delivery of LLL</t>
        </is>
      </c>
      <c r="O279" s="42" t="inlineStr"/>
      <c r="P279" s="42" t="inlineStr"/>
      <c r="Q279" s="43" t="n"/>
      <c r="R279" s="35" t="inlineStr">
        <is>
          <t>IF(AO279="","",AO279)</t>
        </is>
      </c>
      <c r="S279" s="44" t="n">
        <v>46325</v>
      </c>
      <c r="T279" s="45" t="n"/>
      <c r="U279" s="44" t="n">
        <v>46418</v>
      </c>
      <c r="V279" s="35" t="inlineStr">
        <is>
          <t>IF(U279&lt;&gt;"",U279,IF(OR(R279="",T279=""),"",EDATE(R279,T279)))</t>
        </is>
      </c>
      <c r="W279" s="44" t="n"/>
      <c r="X279" s="45" t="n"/>
      <c r="Y279" s="42" t="inlineStr">
        <is>
          <t>Under Awarding</t>
        </is>
      </c>
      <c r="Z279" s="42" t="inlineStr">
        <is>
          <t>The Procurement process is initiated in April and PO will be issued late October 2026. and delivery will be done by End of December 2026 and onward in January 2027 it is planned to be distributed to the selected beneficiaries.</t>
        </is>
      </c>
      <c r="AA279" s="32" t="inlineStr">
        <is>
          <t>IF(E279="","",IF(COUNT(AG279:AT279)=0,IF(Y279="","Not started",Y279),SUBSTITUTE(LOOKUP(2,1/(AG279:AT279&lt;&gt;""),$AG$3:$AT$3),"Date: ","")))</t>
        </is>
      </c>
      <c r="AB279" s="38" t="inlineStr">
        <is>
          <t>IF(OR(E279="",COUNT(AG279:AT279)=0),"",TODAY()-LOOKUP(2,1/(AG279:AT279&lt;&gt;""),AG279:AT279))</t>
        </is>
      </c>
      <c r="AC279" s="38" t="inlineStr">
        <is>
          <t>IF(OR(E279="",COUNT(AG279:AT279)&lt;2),"",LOOKUP(2,1/(AG279:AT279&lt;&gt;""),AG279:AT279)-MIN(AG279:AT279))</t>
        </is>
      </c>
      <c r="AD279" s="38" t="inlineStr">
        <is>
          <t>IF(OR(AB279="",AA279="Not started",AA279=""),"",IFERROR(AB279-IF(VLOOKUP(AA279,'04_Status_Pipeline'!$B$3:$E$20,4,FALSE)="",0,VLOOKUP(AA279,'04_Status_Pipeline'!$B$3:$E$20,4,FALSE)),""))</t>
        </is>
      </c>
      <c r="AE279" s="32" t="inlineStr">
        <is>
          <t>IF(E279="","",IF(OR(Y279="Cancelled",AA279="Cancelled"),"Cancelled",IF(OR(AA279="Completed / Handover",W279&lt;&gt;"",X279&gt;=100),"Completed — on track",IF(L279="Remaining",IF(S279="",IF(V279="","No planned date",IF(TODAY()&gt;V279,"Behind — past planned date",IF(V279-TODAY()&lt;=30,"At risk — close to off track","On track"))),IF(TODAY()&gt;S279,"Behind — award date passed",IF(S279-TODAY()&lt;=30,"At risk — close to off track","On track"))),IF(V279="","No planned date",IF(AND(TODAY()&gt;V279,OR(X279="",X279&lt;100)),"Behind — past end date",IF(AND(R279&lt;&gt;"",V279&lt;&gt;"",X279&lt;&gt;"",(X279&lt;100),((TODAY()-R279)/MAX(V279-R279,1)*100)-X279&gt;15),"Behind — progress lag",IF(AND(V279-TODAY()&lt;=30,V279-TODAY()&gt;=0,OR(X279="",X279&lt;90)),"At risk — close to off track","On track"))))))))</t>
        </is>
      </c>
      <c r="AF279" s="38" t="inlineStr">
        <is>
          <t>IF(OR(E279="",AA279="Completed / Handover",AA279="Cancelled"),"",IF(L279="Remaining",IF(S279&lt;&gt;"",S279-TODAY(),IF(V279="","",V279-TODAY())),IF(V279="","",V279-TODAY())))</t>
        </is>
      </c>
      <c r="AG279" s="44" t="n"/>
      <c r="AH279" s="44" t="n"/>
      <c r="AI279" s="44" t="n"/>
      <c r="AJ279" s="44" t="n"/>
      <c r="AK279" s="44" t="n"/>
      <c r="AL279" s="44" t="n"/>
      <c r="AM279" s="44" t="n"/>
      <c r="AN279" s="44" t="n"/>
      <c r="AO279" s="44" t="n"/>
      <c r="AP279" s="44" t="n"/>
      <c r="AQ279" s="44" t="n"/>
      <c r="AR279" s="40" t="n"/>
      <c r="AS279" s="40" t="n"/>
      <c r="AT279" s="40" t="n"/>
      <c r="AU279" s="38" t="inlineStr">
        <is>
          <t>IF(OR(E279="",AH279=""),"",IF(COUNT(AG279:AG279)=0,"",AH279-LOOKUP(2,1/(AG279:AG279&lt;&gt;""),AG279:AG279)))</t>
        </is>
      </c>
      <c r="AV279" s="38" t="inlineStr">
        <is>
          <t>IF(OR(E279="",AI279=""),"",IF(COUNT(AG279:AH279)=0,"",AI279-LOOKUP(2,1/(AG279:AH279&lt;&gt;""),AG279:AH279)))</t>
        </is>
      </c>
      <c r="AW279" s="38" t="inlineStr">
        <is>
          <t>IF(OR(E279="",AJ279=""),"",IF(COUNT(AG279:AI279)=0,"",AJ279-LOOKUP(2,1/(AG279:AI279&lt;&gt;""),AG279:AI279)))</t>
        </is>
      </c>
      <c r="AX279" s="38" t="inlineStr">
        <is>
          <t>IF(OR(E279="",AK279=""),"",IF(COUNT(AG279:AJ279)=0,"",AK279-LOOKUP(2,1/(AG279:AJ279&lt;&gt;""),AG279:AJ279)))</t>
        </is>
      </c>
      <c r="AY279" s="38" t="inlineStr">
        <is>
          <t>IF(OR(E279="",AL279=""),"",IF(COUNT(AG279:AK279)=0,"",AL279-LOOKUP(2,1/(AG279:AK279&lt;&gt;""),AG279:AK279)))</t>
        </is>
      </c>
      <c r="AZ279" s="38" t="inlineStr">
        <is>
          <t>IF(OR(E279="",AM279=""),"",IF(COUNT(AG279:AL279)=0,"",AM279-LOOKUP(2,1/(AG279:AL279&lt;&gt;""),AG279:AL279)))</t>
        </is>
      </c>
      <c r="BA279" s="38" t="inlineStr">
        <is>
          <t>IF(OR(E279="",AN279=""),"",IF(COUNT(AG279:AM279)=0,"",AN279-LOOKUP(2,1/(AG279:AM279&lt;&gt;""),AG279:AM279)))</t>
        </is>
      </c>
      <c r="BB279" s="38" t="inlineStr">
        <is>
          <t>IF(OR(E279="",AO279=""),"",IF(COUNT(AG279:AN279)=0,"",AO279-LOOKUP(2,1/(AG279:AN279&lt;&gt;""),AG279:AN279)))</t>
        </is>
      </c>
      <c r="BC279" s="38" t="inlineStr">
        <is>
          <t>IF(OR(E279="",AP279=""),"",IF(COUNT(AG279:AO279)=0,"",AP279-LOOKUP(2,1/(AG279:AO279&lt;&gt;""),AG279:AO279)))</t>
        </is>
      </c>
      <c r="BD279" s="38" t="inlineStr">
        <is>
          <t>IF(OR(E279="",AQ279=""),"",IF(COUNT(AG279:AP279)=0,"",AQ279-LOOKUP(2,1/(AG279:AP279&lt;&gt;""),AG279:AP279)))</t>
        </is>
      </c>
      <c r="BE279" s="38" t="inlineStr">
        <is>
          <t>IF(OR(E279="",AR279=""),"",IF(COUNT(AG279:AQ279)=0,"",AR279-LOOKUP(2,1/(AG279:AQ279&lt;&gt;""),AG279:AQ279)))</t>
        </is>
      </c>
      <c r="BF279" s="38" t="inlineStr">
        <is>
          <t>IF(OR(E279="",AS279=""),"",IF(COUNT(AG279:AR279)=0,"",AS279-LOOKUP(2,1/(AG279:AR279&lt;&gt;""),AG279:AR279)))</t>
        </is>
      </c>
      <c r="BG279" s="38" t="inlineStr">
        <is>
          <t>IF(OR(E279="",AT279=""),"",IF(COUNT(AG279:AS279)=0,"",AT279-LOOKUP(2,1/(AG279:AS279&lt;&gt;""),AG279:AS279)))</t>
        </is>
      </c>
      <c r="BH279" s="41" t="inlineStr">
        <is>
          <t>IF(G279="","All_Provinces",IFERROR(VLOOKUP(G279,'07_Lookups'!$A$4:$B$20,2,FALSE),"All_Provinces"))</t>
        </is>
      </c>
      <c r="BI279" s="41" t="inlineStr">
        <is>
          <t>IF(H279="","All_Districts",IFERROR(VLOOKUP(H279,'07_Lookups'!$E$4:$F$42,2,FALSE),"All_Districts"))</t>
        </is>
      </c>
    </row>
    <row r="280" ht="18" customHeight="1">
      <c r="A280" s="32" t="inlineStr">
        <is>
          <t>IF(E280="","",ROW()-3)</t>
        </is>
      </c>
      <c r="B280" s="33" t="inlineStr">
        <is>
          <t>AF2-LLL-R-017</t>
        </is>
      </c>
      <c r="C280" s="33" t="inlineStr">
        <is>
          <t>Emergency Food Security Project (EFSP) – WBK/AF-2</t>
        </is>
      </c>
      <c r="D280" s="33" t="inlineStr">
        <is>
          <t>EFSP-AF2 LLL supply and delivery (50 units)</t>
        </is>
      </c>
      <c r="E280" s="33" t="inlineStr">
        <is>
          <t>Qashqasai Canal Irrigation scheme</t>
        </is>
      </c>
      <c r="F280" s="33" t="inlineStr">
        <is>
          <t>Laser Land Leveler (LLL)</t>
        </is>
      </c>
      <c r="G280" s="33" t="inlineStr">
        <is>
          <t>North / Mazar</t>
        </is>
      </c>
      <c r="H280" s="33" t="inlineStr">
        <is>
          <t>Faryab</t>
        </is>
      </c>
      <c r="I280" s="33" t="inlineStr">
        <is>
          <t>Qaisar</t>
        </is>
      </c>
      <c r="J280" s="33" t="inlineStr">
        <is>
          <t>1 unit(s)</t>
        </is>
      </c>
      <c r="K280" s="33" t="inlineStr">
        <is>
          <t>World Bank (WBK/AF-2)</t>
        </is>
      </c>
      <c r="L280" s="33" t="inlineStr">
        <is>
          <t>Remaining</t>
        </is>
      </c>
      <c r="M280" s="33" t="inlineStr">
        <is>
          <t>LLL supply</t>
        </is>
      </c>
      <c r="N280" s="33" t="inlineStr">
        <is>
          <t>6. Supply and delivery of LLL</t>
        </is>
      </c>
      <c r="O280" s="33" t="inlineStr"/>
      <c r="P280" s="33" t="inlineStr"/>
      <c r="Q280" s="34" t="n"/>
      <c r="R280" s="35" t="inlineStr">
        <is>
          <t>IF(AO280="","",AO280)</t>
        </is>
      </c>
      <c r="S280" s="36" t="n">
        <v>46325</v>
      </c>
      <c r="T280" s="37" t="n"/>
      <c r="U280" s="36" t="n">
        <v>46418</v>
      </c>
      <c r="V280" s="35" t="inlineStr">
        <is>
          <t>IF(U280&lt;&gt;"",U280,IF(OR(R280="",T280=""),"",EDATE(R280,T280)))</t>
        </is>
      </c>
      <c r="W280" s="36" t="n"/>
      <c r="X280" s="37" t="n"/>
      <c r="Y280" s="33" t="inlineStr">
        <is>
          <t>Under Awarding</t>
        </is>
      </c>
      <c r="Z280" s="33" t="inlineStr">
        <is>
          <t>The Procurement process is initiated in April and PO will be issued late October 2026. and delivery will be done by End of December 2026 and onward in January 2027 it is planned to be distributed to the selected beneficiaries.</t>
        </is>
      </c>
      <c r="AA280" s="32" t="inlineStr">
        <is>
          <t>IF(E280="","",IF(COUNT(AG280:AT280)=0,IF(Y280="","Not started",Y280),SUBSTITUTE(LOOKUP(2,1/(AG280:AT280&lt;&gt;""),$AG$3:$AT$3),"Date: ","")))</t>
        </is>
      </c>
      <c r="AB280" s="38" t="inlineStr">
        <is>
          <t>IF(OR(E280="",COUNT(AG280:AT280)=0),"",TODAY()-LOOKUP(2,1/(AG280:AT280&lt;&gt;""),AG280:AT280))</t>
        </is>
      </c>
      <c r="AC280" s="38" t="inlineStr">
        <is>
          <t>IF(OR(E280="",COUNT(AG280:AT280)&lt;2),"",LOOKUP(2,1/(AG280:AT280&lt;&gt;""),AG280:AT280)-MIN(AG280:AT280))</t>
        </is>
      </c>
      <c r="AD280" s="38" t="inlineStr">
        <is>
          <t>IF(OR(AB280="",AA280="Not started",AA280=""),"",IFERROR(AB280-IF(VLOOKUP(AA280,'04_Status_Pipeline'!$B$3:$E$20,4,FALSE)="",0,VLOOKUP(AA280,'04_Status_Pipeline'!$B$3:$E$20,4,FALSE)),""))</t>
        </is>
      </c>
      <c r="AE280" s="32" t="inlineStr">
        <is>
          <t>IF(E280="","",IF(OR(Y280="Cancelled",AA280="Cancelled"),"Cancelled",IF(OR(AA280="Completed / Handover",W280&lt;&gt;"",X280&gt;=100),"Completed — on track",IF(L280="Remaining",IF(S280="",IF(V280="","No planned date",IF(TODAY()&gt;V280,"Behind — past planned date",IF(V280-TODAY()&lt;=30,"At risk — close to off track","On track"))),IF(TODAY()&gt;S280,"Behind — award date passed",IF(S280-TODAY()&lt;=30,"At risk — close to off track","On track"))),IF(V280="","No planned date",IF(AND(TODAY()&gt;V280,OR(X280="",X280&lt;100)),"Behind — past end date",IF(AND(R280&lt;&gt;"",V280&lt;&gt;"",X280&lt;&gt;"",(X280&lt;100),((TODAY()-R280)/MAX(V280-R280,1)*100)-X280&gt;15),"Behind — progress lag",IF(AND(V280-TODAY()&lt;=30,V280-TODAY()&gt;=0,OR(X280="",X280&lt;90)),"At risk — close to off track","On track"))))))))</t>
        </is>
      </c>
      <c r="AF280" s="38" t="inlineStr">
        <is>
          <t>IF(OR(E280="",AA280="Completed / Handover",AA280="Cancelled"),"",IF(L280="Remaining",IF(S280&lt;&gt;"",S280-TODAY(),IF(V280="","",V280-TODAY())),IF(V280="","",V280-TODAY())))</t>
        </is>
      </c>
      <c r="AG280" s="36" t="n"/>
      <c r="AH280" s="36" t="n"/>
      <c r="AI280" s="36" t="n"/>
      <c r="AJ280" s="36" t="n"/>
      <c r="AK280" s="36" t="n"/>
      <c r="AL280" s="36" t="n"/>
      <c r="AM280" s="36" t="n"/>
      <c r="AN280" s="36" t="n"/>
      <c r="AO280" s="36" t="n"/>
      <c r="AP280" s="36" t="n"/>
      <c r="AQ280" s="36" t="n"/>
      <c r="AR280" s="40" t="n"/>
      <c r="AS280" s="40" t="n"/>
      <c r="AT280" s="40" t="n"/>
      <c r="AU280" s="38" t="inlineStr">
        <is>
          <t>IF(OR(E280="",AH280=""),"",IF(COUNT(AG280:AG280)=0,"",AH280-LOOKUP(2,1/(AG280:AG280&lt;&gt;""),AG280:AG280)))</t>
        </is>
      </c>
      <c r="AV280" s="38" t="inlineStr">
        <is>
          <t>IF(OR(E280="",AI280=""),"",IF(COUNT(AG280:AH280)=0,"",AI280-LOOKUP(2,1/(AG280:AH280&lt;&gt;""),AG280:AH280)))</t>
        </is>
      </c>
      <c r="AW280" s="38" t="inlineStr">
        <is>
          <t>IF(OR(E280="",AJ280=""),"",IF(COUNT(AG280:AI280)=0,"",AJ280-LOOKUP(2,1/(AG280:AI280&lt;&gt;""),AG280:AI280)))</t>
        </is>
      </c>
      <c r="AX280" s="38" t="inlineStr">
        <is>
          <t>IF(OR(E280="",AK280=""),"",IF(COUNT(AG280:AJ280)=0,"",AK280-LOOKUP(2,1/(AG280:AJ280&lt;&gt;""),AG280:AJ280)))</t>
        </is>
      </c>
      <c r="AY280" s="38" t="inlineStr">
        <is>
          <t>IF(OR(E280="",AL280=""),"",IF(COUNT(AG280:AK280)=0,"",AL280-LOOKUP(2,1/(AG280:AK280&lt;&gt;""),AG280:AK280)))</t>
        </is>
      </c>
      <c r="AZ280" s="38" t="inlineStr">
        <is>
          <t>IF(OR(E280="",AM280=""),"",IF(COUNT(AG280:AL280)=0,"",AM280-LOOKUP(2,1/(AG280:AL280&lt;&gt;""),AG280:AL280)))</t>
        </is>
      </c>
      <c r="BA280" s="38" t="inlineStr">
        <is>
          <t>IF(OR(E280="",AN280=""),"",IF(COUNT(AG280:AM280)=0,"",AN280-LOOKUP(2,1/(AG280:AM280&lt;&gt;""),AG280:AM280)))</t>
        </is>
      </c>
      <c r="BB280" s="38" t="inlineStr">
        <is>
          <t>IF(OR(E280="",AO280=""),"",IF(COUNT(AG280:AN280)=0,"",AO280-LOOKUP(2,1/(AG280:AN280&lt;&gt;""),AG280:AN280)))</t>
        </is>
      </c>
      <c r="BC280" s="38" t="inlineStr">
        <is>
          <t>IF(OR(E280="",AP280=""),"",IF(COUNT(AG280:AO280)=0,"",AP280-LOOKUP(2,1/(AG280:AO280&lt;&gt;""),AG280:AO280)))</t>
        </is>
      </c>
      <c r="BD280" s="38" t="inlineStr">
        <is>
          <t>IF(OR(E280="",AQ280=""),"",IF(COUNT(AG280:AP280)=0,"",AQ280-LOOKUP(2,1/(AG280:AP280&lt;&gt;""),AG280:AP280)))</t>
        </is>
      </c>
      <c r="BE280" s="38" t="inlineStr">
        <is>
          <t>IF(OR(E280="",AR280=""),"",IF(COUNT(AG280:AQ280)=0,"",AR280-LOOKUP(2,1/(AG280:AQ280&lt;&gt;""),AG280:AQ280)))</t>
        </is>
      </c>
      <c r="BF280" s="38" t="inlineStr">
        <is>
          <t>IF(OR(E280="",AS280=""),"",IF(COUNT(AG280:AR280)=0,"",AS280-LOOKUP(2,1/(AG280:AR280&lt;&gt;""),AG280:AR280)))</t>
        </is>
      </c>
      <c r="BG280" s="38" t="inlineStr">
        <is>
          <t>IF(OR(E280="",AT280=""),"",IF(COUNT(AG280:AS280)=0,"",AT280-LOOKUP(2,1/(AG280:AS280&lt;&gt;""),AG280:AS280)))</t>
        </is>
      </c>
      <c r="BH280" s="41" t="inlineStr">
        <is>
          <t>IF(G280="","All_Provinces",IFERROR(VLOOKUP(G280,'07_Lookups'!$A$4:$B$20,2,FALSE),"All_Provinces"))</t>
        </is>
      </c>
      <c r="BI280" s="41" t="inlineStr">
        <is>
          <t>IF(H280="","All_Districts",IFERROR(VLOOKUP(H280,'07_Lookups'!$E$4:$F$42,2,FALSE),"All_Districts"))</t>
        </is>
      </c>
    </row>
    <row r="281" ht="18" customHeight="1">
      <c r="A281" s="32" t="inlineStr">
        <is>
          <t>IF(E281="","",ROW()-3)</t>
        </is>
      </c>
      <c r="B281" s="42" t="inlineStr">
        <is>
          <t>AF2-LLL-R-018</t>
        </is>
      </c>
      <c r="C281" s="42" t="inlineStr">
        <is>
          <t>Emergency Food Security Project (EFSP) – WBK/AF-2</t>
        </is>
      </c>
      <c r="D281" s="42" t="inlineStr">
        <is>
          <t>EFSP-AF2 LLL supply and delivery (50 units)</t>
        </is>
      </c>
      <c r="E281" s="42" t="inlineStr">
        <is>
          <t>Joy Shahr Canal Irrigation scheme</t>
        </is>
      </c>
      <c r="F281" s="42" t="inlineStr">
        <is>
          <t>Laser Land Leveler (LLL)</t>
        </is>
      </c>
      <c r="G281" s="42" t="inlineStr">
        <is>
          <t>North / Mazar</t>
        </is>
      </c>
      <c r="H281" s="42" t="inlineStr">
        <is>
          <t>Jawzjan</t>
        </is>
      </c>
      <c r="I281" s="42" t="inlineStr">
        <is>
          <t>Aqcha</t>
        </is>
      </c>
      <c r="J281" s="42" t="inlineStr">
        <is>
          <t>1 unit(s)</t>
        </is>
      </c>
      <c r="K281" s="42" t="inlineStr">
        <is>
          <t>World Bank (WBK/AF-2)</t>
        </is>
      </c>
      <c r="L281" s="42" t="inlineStr">
        <is>
          <t>Remaining</t>
        </is>
      </c>
      <c r="M281" s="42" t="inlineStr">
        <is>
          <t>LLL supply</t>
        </is>
      </c>
      <c r="N281" s="42" t="inlineStr">
        <is>
          <t>6. Supply and delivery of LLL</t>
        </is>
      </c>
      <c r="O281" s="42" t="inlineStr"/>
      <c r="P281" s="42" t="inlineStr"/>
      <c r="Q281" s="43" t="n"/>
      <c r="R281" s="35" t="inlineStr">
        <is>
          <t>IF(AO281="","",AO281)</t>
        </is>
      </c>
      <c r="S281" s="44" t="n">
        <v>46325</v>
      </c>
      <c r="T281" s="45" t="n"/>
      <c r="U281" s="44" t="n">
        <v>46418</v>
      </c>
      <c r="V281" s="35" t="inlineStr">
        <is>
          <t>IF(U281&lt;&gt;"",U281,IF(OR(R281="",T281=""),"",EDATE(R281,T281)))</t>
        </is>
      </c>
      <c r="W281" s="44" t="n"/>
      <c r="X281" s="45" t="n"/>
      <c r="Y281" s="42" t="inlineStr">
        <is>
          <t>Under Awarding</t>
        </is>
      </c>
      <c r="Z281" s="42" t="inlineStr">
        <is>
          <t>The Procurement process is initiated in April and PO will be issued late October 2026. and delivery will be done by End of December 2026 and onward in January 2027 it is planned to be distributed to the selected beneficiaries.</t>
        </is>
      </c>
      <c r="AA281" s="32" t="inlineStr">
        <is>
          <t>IF(E281="","",IF(COUNT(AG281:AT281)=0,IF(Y281="","Not started",Y281),SUBSTITUTE(LOOKUP(2,1/(AG281:AT281&lt;&gt;""),$AG$3:$AT$3),"Date: ","")))</t>
        </is>
      </c>
      <c r="AB281" s="38" t="inlineStr">
        <is>
          <t>IF(OR(E281="",COUNT(AG281:AT281)=0),"",TODAY()-LOOKUP(2,1/(AG281:AT281&lt;&gt;""),AG281:AT281))</t>
        </is>
      </c>
      <c r="AC281" s="38" t="inlineStr">
        <is>
          <t>IF(OR(E281="",COUNT(AG281:AT281)&lt;2),"",LOOKUP(2,1/(AG281:AT281&lt;&gt;""),AG281:AT281)-MIN(AG281:AT281))</t>
        </is>
      </c>
      <c r="AD281" s="38" t="inlineStr">
        <is>
          <t>IF(OR(AB281="",AA281="Not started",AA281=""),"",IFERROR(AB281-IF(VLOOKUP(AA281,'04_Status_Pipeline'!$B$3:$E$20,4,FALSE)="",0,VLOOKUP(AA281,'04_Status_Pipeline'!$B$3:$E$20,4,FALSE)),""))</t>
        </is>
      </c>
      <c r="AE281" s="32" t="inlineStr">
        <is>
          <t>IF(E281="","",IF(OR(Y281="Cancelled",AA281="Cancelled"),"Cancelled",IF(OR(AA281="Completed / Handover",W281&lt;&gt;"",X281&gt;=100),"Completed — on track",IF(L281="Remaining",IF(S281="",IF(V281="","No planned date",IF(TODAY()&gt;V281,"Behind — past planned date",IF(V281-TODAY()&lt;=30,"At risk — close to off track","On track"))),IF(TODAY()&gt;S281,"Behind — award date passed",IF(S281-TODAY()&lt;=30,"At risk — close to off track","On track"))),IF(V281="","No planned date",IF(AND(TODAY()&gt;V281,OR(X281="",X281&lt;100)),"Behind — past end date",IF(AND(R281&lt;&gt;"",V281&lt;&gt;"",X281&lt;&gt;"",(X281&lt;100),((TODAY()-R281)/MAX(V281-R281,1)*100)-X281&gt;15),"Behind — progress lag",IF(AND(V281-TODAY()&lt;=30,V281-TODAY()&gt;=0,OR(X281="",X281&lt;90)),"At risk — close to off track","On track"))))))))</t>
        </is>
      </c>
      <c r="AF281" s="38" t="inlineStr">
        <is>
          <t>IF(OR(E281="",AA281="Completed / Handover",AA281="Cancelled"),"",IF(L281="Remaining",IF(S281&lt;&gt;"",S281-TODAY(),IF(V281="","",V281-TODAY())),IF(V281="","",V281-TODAY())))</t>
        </is>
      </c>
      <c r="AG281" s="44" t="n"/>
      <c r="AH281" s="44" t="n"/>
      <c r="AI281" s="44" t="n"/>
      <c r="AJ281" s="44" t="n"/>
      <c r="AK281" s="44" t="n"/>
      <c r="AL281" s="44" t="n"/>
      <c r="AM281" s="44" t="n"/>
      <c r="AN281" s="44" t="n"/>
      <c r="AO281" s="44" t="n"/>
      <c r="AP281" s="44" t="n"/>
      <c r="AQ281" s="44" t="n"/>
      <c r="AR281" s="40" t="n"/>
      <c r="AS281" s="40" t="n"/>
      <c r="AT281" s="40" t="n"/>
      <c r="AU281" s="38" t="inlineStr">
        <is>
          <t>IF(OR(E281="",AH281=""),"",IF(COUNT(AG281:AG281)=0,"",AH281-LOOKUP(2,1/(AG281:AG281&lt;&gt;""),AG281:AG281)))</t>
        </is>
      </c>
      <c r="AV281" s="38" t="inlineStr">
        <is>
          <t>IF(OR(E281="",AI281=""),"",IF(COUNT(AG281:AH281)=0,"",AI281-LOOKUP(2,1/(AG281:AH281&lt;&gt;""),AG281:AH281)))</t>
        </is>
      </c>
      <c r="AW281" s="38" t="inlineStr">
        <is>
          <t>IF(OR(E281="",AJ281=""),"",IF(COUNT(AG281:AI281)=0,"",AJ281-LOOKUP(2,1/(AG281:AI281&lt;&gt;""),AG281:AI281)))</t>
        </is>
      </c>
      <c r="AX281" s="38" t="inlineStr">
        <is>
          <t>IF(OR(E281="",AK281=""),"",IF(COUNT(AG281:AJ281)=0,"",AK281-LOOKUP(2,1/(AG281:AJ281&lt;&gt;""),AG281:AJ281)))</t>
        </is>
      </c>
      <c r="AY281" s="38" t="inlineStr">
        <is>
          <t>IF(OR(E281="",AL281=""),"",IF(COUNT(AG281:AK281)=0,"",AL281-LOOKUP(2,1/(AG281:AK281&lt;&gt;""),AG281:AK281)))</t>
        </is>
      </c>
      <c r="AZ281" s="38" t="inlineStr">
        <is>
          <t>IF(OR(E281="",AM281=""),"",IF(COUNT(AG281:AL281)=0,"",AM281-LOOKUP(2,1/(AG281:AL281&lt;&gt;""),AG281:AL281)))</t>
        </is>
      </c>
      <c r="BA281" s="38" t="inlineStr">
        <is>
          <t>IF(OR(E281="",AN281=""),"",IF(COUNT(AG281:AM281)=0,"",AN281-LOOKUP(2,1/(AG281:AM281&lt;&gt;""),AG281:AM281)))</t>
        </is>
      </c>
      <c r="BB281" s="38" t="inlineStr">
        <is>
          <t>IF(OR(E281="",AO281=""),"",IF(COUNT(AG281:AN281)=0,"",AO281-LOOKUP(2,1/(AG281:AN281&lt;&gt;""),AG281:AN281)))</t>
        </is>
      </c>
      <c r="BC281" s="38" t="inlineStr">
        <is>
          <t>IF(OR(E281="",AP281=""),"",IF(COUNT(AG281:AO281)=0,"",AP281-LOOKUP(2,1/(AG281:AO281&lt;&gt;""),AG281:AO281)))</t>
        </is>
      </c>
      <c r="BD281" s="38" t="inlineStr">
        <is>
          <t>IF(OR(E281="",AQ281=""),"",IF(COUNT(AG281:AP281)=0,"",AQ281-LOOKUP(2,1/(AG281:AP281&lt;&gt;""),AG281:AP281)))</t>
        </is>
      </c>
      <c r="BE281" s="38" t="inlineStr">
        <is>
          <t>IF(OR(E281="",AR281=""),"",IF(COUNT(AG281:AQ281)=0,"",AR281-LOOKUP(2,1/(AG281:AQ281&lt;&gt;""),AG281:AQ281)))</t>
        </is>
      </c>
      <c r="BF281" s="38" t="inlineStr">
        <is>
          <t>IF(OR(E281="",AS281=""),"",IF(COUNT(AG281:AR281)=0,"",AS281-LOOKUP(2,1/(AG281:AR281&lt;&gt;""),AG281:AR281)))</t>
        </is>
      </c>
      <c r="BG281" s="38" t="inlineStr">
        <is>
          <t>IF(OR(E281="",AT281=""),"",IF(COUNT(AG281:AS281)=0,"",AT281-LOOKUP(2,1/(AG281:AS281&lt;&gt;""),AG281:AS281)))</t>
        </is>
      </c>
      <c r="BH281" s="41" t="inlineStr">
        <is>
          <t>IF(G281="","All_Provinces",IFERROR(VLOOKUP(G281,'07_Lookups'!$A$4:$B$20,2,FALSE),"All_Provinces"))</t>
        </is>
      </c>
      <c r="BI281" s="41" t="inlineStr">
        <is>
          <t>IF(H281="","All_Districts",IFERROR(VLOOKUP(H281,'07_Lookups'!$E$4:$F$42,2,FALSE),"All_Districts"))</t>
        </is>
      </c>
    </row>
    <row r="282" ht="18" customHeight="1">
      <c r="A282" s="32" t="inlineStr">
        <is>
          <t>IF(E282="","",ROW()-3)</t>
        </is>
      </c>
      <c r="B282" s="33" t="inlineStr">
        <is>
          <t>AF2-LLL-R-019</t>
        </is>
      </c>
      <c r="C282" s="33" t="inlineStr">
        <is>
          <t>Emergency Food Security Project (EFSP) – WBK/AF-2</t>
        </is>
      </c>
      <c r="D282" s="33" t="inlineStr">
        <is>
          <t>EFSP-AF2 LLL supply and delivery (50 units)</t>
        </is>
      </c>
      <c r="E282" s="33" t="inlineStr">
        <is>
          <t>Khanum Arabia Canal Irrigation scheme</t>
        </is>
      </c>
      <c r="F282" s="33" t="inlineStr">
        <is>
          <t>Laser Land Leveler (LLL)</t>
        </is>
      </c>
      <c r="G282" s="33" t="inlineStr">
        <is>
          <t>North / Mazar</t>
        </is>
      </c>
      <c r="H282" s="33" t="inlineStr">
        <is>
          <t>Jawzjan</t>
        </is>
      </c>
      <c r="I282" s="33" t="inlineStr">
        <is>
          <t>Faizabad</t>
        </is>
      </c>
      <c r="J282" s="33" t="inlineStr">
        <is>
          <t>1 unit(s)</t>
        </is>
      </c>
      <c r="K282" s="33" t="inlineStr">
        <is>
          <t>World Bank (WBK/AF-2)</t>
        </is>
      </c>
      <c r="L282" s="33" t="inlineStr">
        <is>
          <t>Remaining</t>
        </is>
      </c>
      <c r="M282" s="33" t="inlineStr">
        <is>
          <t>LLL supply</t>
        </is>
      </c>
      <c r="N282" s="33" t="inlineStr">
        <is>
          <t>6. Supply and delivery of LLL</t>
        </is>
      </c>
      <c r="O282" s="33" t="inlineStr"/>
      <c r="P282" s="33" t="inlineStr"/>
      <c r="Q282" s="34" t="n"/>
      <c r="R282" s="35" t="inlineStr">
        <is>
          <t>IF(AO282="","",AO282)</t>
        </is>
      </c>
      <c r="S282" s="36" t="n">
        <v>46325</v>
      </c>
      <c r="T282" s="37" t="n"/>
      <c r="U282" s="36" t="n">
        <v>46418</v>
      </c>
      <c r="V282" s="35" t="inlineStr">
        <is>
          <t>IF(U282&lt;&gt;"",U282,IF(OR(R282="",T282=""),"",EDATE(R282,T282)))</t>
        </is>
      </c>
      <c r="W282" s="36" t="n"/>
      <c r="X282" s="37" t="n"/>
      <c r="Y282" s="33" t="inlineStr">
        <is>
          <t>Under Awarding</t>
        </is>
      </c>
      <c r="Z282" s="33" t="inlineStr">
        <is>
          <t>The Procurement process is initiated in April and PO will be issued late October 2026. and delivery will be done by End of December 2026 and onward in January 2027 it is planned to be distributed to the selected beneficiaries.</t>
        </is>
      </c>
      <c r="AA282" s="32" t="inlineStr">
        <is>
          <t>IF(E282="","",IF(COUNT(AG282:AT282)=0,IF(Y282="","Not started",Y282),SUBSTITUTE(LOOKUP(2,1/(AG282:AT282&lt;&gt;""),$AG$3:$AT$3),"Date: ","")))</t>
        </is>
      </c>
      <c r="AB282" s="38" t="inlineStr">
        <is>
          <t>IF(OR(E282="",COUNT(AG282:AT282)=0),"",TODAY()-LOOKUP(2,1/(AG282:AT282&lt;&gt;""),AG282:AT282))</t>
        </is>
      </c>
      <c r="AC282" s="38" t="inlineStr">
        <is>
          <t>IF(OR(E282="",COUNT(AG282:AT282)&lt;2),"",LOOKUP(2,1/(AG282:AT282&lt;&gt;""),AG282:AT282)-MIN(AG282:AT282))</t>
        </is>
      </c>
      <c r="AD282" s="38" t="inlineStr">
        <is>
          <t>IF(OR(AB282="",AA282="Not started",AA282=""),"",IFERROR(AB282-IF(VLOOKUP(AA282,'04_Status_Pipeline'!$B$3:$E$20,4,FALSE)="",0,VLOOKUP(AA282,'04_Status_Pipeline'!$B$3:$E$20,4,FALSE)),""))</t>
        </is>
      </c>
      <c r="AE282" s="32" t="inlineStr">
        <is>
          <t>IF(E282="","",IF(OR(Y282="Cancelled",AA282="Cancelled"),"Cancelled",IF(OR(AA282="Completed / Handover",W282&lt;&gt;"",X282&gt;=100),"Completed — on track",IF(L282="Remaining",IF(S282="",IF(V282="","No planned date",IF(TODAY()&gt;V282,"Behind — past planned date",IF(V282-TODAY()&lt;=30,"At risk — close to off track","On track"))),IF(TODAY()&gt;S282,"Behind — award date passed",IF(S282-TODAY()&lt;=30,"At risk — close to off track","On track"))),IF(V282="","No planned date",IF(AND(TODAY()&gt;V282,OR(X282="",X282&lt;100)),"Behind — past end date",IF(AND(R282&lt;&gt;"",V282&lt;&gt;"",X282&lt;&gt;"",(X282&lt;100),((TODAY()-R282)/MAX(V282-R282,1)*100)-X282&gt;15),"Behind — progress lag",IF(AND(V282-TODAY()&lt;=30,V282-TODAY()&gt;=0,OR(X282="",X282&lt;90)),"At risk — close to off track","On track"))))))))</t>
        </is>
      </c>
      <c r="AF282" s="38" t="inlineStr">
        <is>
          <t>IF(OR(E282="",AA282="Completed / Handover",AA282="Cancelled"),"",IF(L282="Remaining",IF(S282&lt;&gt;"",S282-TODAY(),IF(V282="","",V282-TODAY())),IF(V282="","",V282-TODAY())))</t>
        </is>
      </c>
      <c r="AG282" s="36" t="n"/>
      <c r="AH282" s="36" t="n"/>
      <c r="AI282" s="36" t="n"/>
      <c r="AJ282" s="36" t="n"/>
      <c r="AK282" s="36" t="n"/>
      <c r="AL282" s="36" t="n"/>
      <c r="AM282" s="36" t="n"/>
      <c r="AN282" s="36" t="n"/>
      <c r="AO282" s="36" t="n"/>
      <c r="AP282" s="36" t="n"/>
      <c r="AQ282" s="36" t="n"/>
      <c r="AR282" s="40" t="n"/>
      <c r="AS282" s="40" t="n"/>
      <c r="AT282" s="40" t="n"/>
      <c r="AU282" s="38" t="inlineStr">
        <is>
          <t>IF(OR(E282="",AH282=""),"",IF(COUNT(AG282:AG282)=0,"",AH282-LOOKUP(2,1/(AG282:AG282&lt;&gt;""),AG282:AG282)))</t>
        </is>
      </c>
      <c r="AV282" s="38" t="inlineStr">
        <is>
          <t>IF(OR(E282="",AI282=""),"",IF(COUNT(AG282:AH282)=0,"",AI282-LOOKUP(2,1/(AG282:AH282&lt;&gt;""),AG282:AH282)))</t>
        </is>
      </c>
      <c r="AW282" s="38" t="inlineStr">
        <is>
          <t>IF(OR(E282="",AJ282=""),"",IF(COUNT(AG282:AI282)=0,"",AJ282-LOOKUP(2,1/(AG282:AI282&lt;&gt;""),AG282:AI282)))</t>
        </is>
      </c>
      <c r="AX282" s="38" t="inlineStr">
        <is>
          <t>IF(OR(E282="",AK282=""),"",IF(COUNT(AG282:AJ282)=0,"",AK282-LOOKUP(2,1/(AG282:AJ282&lt;&gt;""),AG282:AJ282)))</t>
        </is>
      </c>
      <c r="AY282" s="38" t="inlineStr">
        <is>
          <t>IF(OR(E282="",AL282=""),"",IF(COUNT(AG282:AK282)=0,"",AL282-LOOKUP(2,1/(AG282:AK282&lt;&gt;""),AG282:AK282)))</t>
        </is>
      </c>
      <c r="AZ282" s="38" t="inlineStr">
        <is>
          <t>IF(OR(E282="",AM282=""),"",IF(COUNT(AG282:AL282)=0,"",AM282-LOOKUP(2,1/(AG282:AL282&lt;&gt;""),AG282:AL282)))</t>
        </is>
      </c>
      <c r="BA282" s="38" t="inlineStr">
        <is>
          <t>IF(OR(E282="",AN282=""),"",IF(COUNT(AG282:AM282)=0,"",AN282-LOOKUP(2,1/(AG282:AM282&lt;&gt;""),AG282:AM282)))</t>
        </is>
      </c>
      <c r="BB282" s="38" t="inlineStr">
        <is>
          <t>IF(OR(E282="",AO282=""),"",IF(COUNT(AG282:AN282)=0,"",AO282-LOOKUP(2,1/(AG282:AN282&lt;&gt;""),AG282:AN282)))</t>
        </is>
      </c>
      <c r="BC282" s="38" t="inlineStr">
        <is>
          <t>IF(OR(E282="",AP282=""),"",IF(COUNT(AG282:AO282)=0,"",AP282-LOOKUP(2,1/(AG282:AO282&lt;&gt;""),AG282:AO282)))</t>
        </is>
      </c>
      <c r="BD282" s="38" t="inlineStr">
        <is>
          <t>IF(OR(E282="",AQ282=""),"",IF(COUNT(AG282:AP282)=0,"",AQ282-LOOKUP(2,1/(AG282:AP282&lt;&gt;""),AG282:AP282)))</t>
        </is>
      </c>
      <c r="BE282" s="38" t="inlineStr">
        <is>
          <t>IF(OR(E282="",AR282=""),"",IF(COUNT(AG282:AQ282)=0,"",AR282-LOOKUP(2,1/(AG282:AQ282&lt;&gt;""),AG282:AQ282)))</t>
        </is>
      </c>
      <c r="BF282" s="38" t="inlineStr">
        <is>
          <t>IF(OR(E282="",AS282=""),"",IF(COUNT(AG282:AR282)=0,"",AS282-LOOKUP(2,1/(AG282:AR282&lt;&gt;""),AG282:AR282)))</t>
        </is>
      </c>
      <c r="BG282" s="38" t="inlineStr">
        <is>
          <t>IF(OR(E282="",AT282=""),"",IF(COUNT(AG282:AS282)=0,"",AT282-LOOKUP(2,1/(AG282:AS282&lt;&gt;""),AG282:AS282)))</t>
        </is>
      </c>
      <c r="BH282" s="41" t="inlineStr">
        <is>
          <t>IF(G282="","All_Provinces",IFERROR(VLOOKUP(G282,'07_Lookups'!$A$4:$B$20,2,FALSE),"All_Provinces"))</t>
        </is>
      </c>
      <c r="BI282" s="41" t="inlineStr">
        <is>
          <t>IF(H282="","All_Districts",IFERROR(VLOOKUP(H282,'07_Lookups'!$E$4:$F$42,2,FALSE),"All_Districts"))</t>
        </is>
      </c>
    </row>
    <row r="283" ht="18" customHeight="1">
      <c r="A283" s="32" t="inlineStr">
        <is>
          <t>IF(E283="","",ROW()-3)</t>
        </is>
      </c>
      <c r="B283" s="42" t="inlineStr">
        <is>
          <t>AF2-LLL-R-020</t>
        </is>
      </c>
      <c r="C283" s="42" t="inlineStr">
        <is>
          <t>Emergency Food Security Project (EFSP) – WBK/AF-2</t>
        </is>
      </c>
      <c r="D283" s="42" t="inlineStr">
        <is>
          <t>EFSP-AF2 LLL supply and delivery (50 units)</t>
        </is>
      </c>
      <c r="E283" s="42" t="inlineStr">
        <is>
          <t>Abi Aruq and Shaitan Aruq Irrigation Schemes</t>
        </is>
      </c>
      <c r="F283" s="42" t="inlineStr">
        <is>
          <t>Laser Land Leveler (LLL)</t>
        </is>
      </c>
      <c r="G283" s="42" t="inlineStr">
        <is>
          <t>Northeast / Kunduz</t>
        </is>
      </c>
      <c r="H283" s="42" t="inlineStr">
        <is>
          <t>Takhar</t>
        </is>
      </c>
      <c r="I283" s="42" t="inlineStr">
        <is>
          <t>Khwaja Ghar</t>
        </is>
      </c>
      <c r="J283" s="42" t="inlineStr">
        <is>
          <t>1 unit(s)</t>
        </is>
      </c>
      <c r="K283" s="42" t="inlineStr">
        <is>
          <t>World Bank (WBK/AF-2)</t>
        </is>
      </c>
      <c r="L283" s="42" t="inlineStr">
        <is>
          <t>Remaining</t>
        </is>
      </c>
      <c r="M283" s="42" t="inlineStr">
        <is>
          <t>LLL supply</t>
        </is>
      </c>
      <c r="N283" s="42" t="inlineStr">
        <is>
          <t>6. Supply and delivery of LLL</t>
        </is>
      </c>
      <c r="O283" s="42" t="inlineStr"/>
      <c r="P283" s="42" t="inlineStr"/>
      <c r="Q283" s="43" t="n"/>
      <c r="R283" s="35" t="inlineStr">
        <is>
          <t>IF(AO283="","",AO283)</t>
        </is>
      </c>
      <c r="S283" s="44" t="n">
        <v>46325</v>
      </c>
      <c r="T283" s="45" t="n"/>
      <c r="U283" s="44" t="n">
        <v>46418</v>
      </c>
      <c r="V283" s="35" t="inlineStr">
        <is>
          <t>IF(U283&lt;&gt;"",U283,IF(OR(R283="",T283=""),"",EDATE(R283,T283)))</t>
        </is>
      </c>
      <c r="W283" s="44" t="n"/>
      <c r="X283" s="45" t="n"/>
      <c r="Y283" s="42" t="inlineStr">
        <is>
          <t>Under Awarding</t>
        </is>
      </c>
      <c r="Z283" s="42" t="inlineStr">
        <is>
          <t>The Procurement process is initiated in April and PO will be issued late October 2026. and delivery will be done by End of December 2026 and onward in January 2027 it is planned to be distributed to the selected beneficiaries.</t>
        </is>
      </c>
      <c r="AA283" s="32" t="inlineStr">
        <is>
          <t>IF(E283="","",IF(COUNT(AG283:AT283)=0,IF(Y283="","Not started",Y283),SUBSTITUTE(LOOKUP(2,1/(AG283:AT283&lt;&gt;""),$AG$3:$AT$3),"Date: ","")))</t>
        </is>
      </c>
      <c r="AB283" s="38" t="inlineStr">
        <is>
          <t>IF(OR(E283="",COUNT(AG283:AT283)=0),"",TODAY()-LOOKUP(2,1/(AG283:AT283&lt;&gt;""),AG283:AT283))</t>
        </is>
      </c>
      <c r="AC283" s="38" t="inlineStr">
        <is>
          <t>IF(OR(E283="",COUNT(AG283:AT283)&lt;2),"",LOOKUP(2,1/(AG283:AT283&lt;&gt;""),AG283:AT283)-MIN(AG283:AT283))</t>
        </is>
      </c>
      <c r="AD283" s="38" t="inlineStr">
        <is>
          <t>IF(OR(AB283="",AA283="Not started",AA283=""),"",IFERROR(AB283-IF(VLOOKUP(AA283,'04_Status_Pipeline'!$B$3:$E$20,4,FALSE)="",0,VLOOKUP(AA283,'04_Status_Pipeline'!$B$3:$E$20,4,FALSE)),""))</t>
        </is>
      </c>
      <c r="AE283" s="32" t="inlineStr">
        <is>
          <t>IF(E283="","",IF(OR(Y283="Cancelled",AA283="Cancelled"),"Cancelled",IF(OR(AA283="Completed / Handover",W283&lt;&gt;"",X283&gt;=100),"Completed — on track",IF(L283="Remaining",IF(S283="",IF(V283="","No planned date",IF(TODAY()&gt;V283,"Behind — past planned date",IF(V283-TODAY()&lt;=30,"At risk — close to off track","On track"))),IF(TODAY()&gt;S283,"Behind — award date passed",IF(S283-TODAY()&lt;=30,"At risk — close to off track","On track"))),IF(V283="","No planned date",IF(AND(TODAY()&gt;V283,OR(X283="",X283&lt;100)),"Behind — past end date",IF(AND(R283&lt;&gt;"",V283&lt;&gt;"",X283&lt;&gt;"",(X283&lt;100),((TODAY()-R283)/MAX(V283-R283,1)*100)-X283&gt;15),"Behind — progress lag",IF(AND(V283-TODAY()&lt;=30,V283-TODAY()&gt;=0,OR(X283="",X283&lt;90)),"At risk — close to off track","On track"))))))))</t>
        </is>
      </c>
      <c r="AF283" s="38" t="inlineStr">
        <is>
          <t>IF(OR(E283="",AA283="Completed / Handover",AA283="Cancelled"),"",IF(L283="Remaining",IF(S283&lt;&gt;"",S283-TODAY(),IF(V283="","",V283-TODAY())),IF(V283="","",V283-TODAY())))</t>
        </is>
      </c>
      <c r="AG283" s="44" t="n"/>
      <c r="AH283" s="44" t="n"/>
      <c r="AI283" s="44" t="n"/>
      <c r="AJ283" s="44" t="n"/>
      <c r="AK283" s="44" t="n"/>
      <c r="AL283" s="44" t="n"/>
      <c r="AM283" s="44" t="n"/>
      <c r="AN283" s="44" t="n"/>
      <c r="AO283" s="44" t="n"/>
      <c r="AP283" s="44" t="n"/>
      <c r="AQ283" s="44" t="n"/>
      <c r="AR283" s="40" t="n"/>
      <c r="AS283" s="40" t="n"/>
      <c r="AT283" s="40" t="n"/>
      <c r="AU283" s="38" t="inlineStr">
        <is>
          <t>IF(OR(E283="",AH283=""),"",IF(COUNT(AG283:AG283)=0,"",AH283-LOOKUP(2,1/(AG283:AG283&lt;&gt;""),AG283:AG283)))</t>
        </is>
      </c>
      <c r="AV283" s="38" t="inlineStr">
        <is>
          <t>IF(OR(E283="",AI283=""),"",IF(COUNT(AG283:AH283)=0,"",AI283-LOOKUP(2,1/(AG283:AH283&lt;&gt;""),AG283:AH283)))</t>
        </is>
      </c>
      <c r="AW283" s="38" t="inlineStr">
        <is>
          <t>IF(OR(E283="",AJ283=""),"",IF(COUNT(AG283:AI283)=0,"",AJ283-LOOKUP(2,1/(AG283:AI283&lt;&gt;""),AG283:AI283)))</t>
        </is>
      </c>
      <c r="AX283" s="38" t="inlineStr">
        <is>
          <t>IF(OR(E283="",AK283=""),"",IF(COUNT(AG283:AJ283)=0,"",AK283-LOOKUP(2,1/(AG283:AJ283&lt;&gt;""),AG283:AJ283)))</t>
        </is>
      </c>
      <c r="AY283" s="38" t="inlineStr">
        <is>
          <t>IF(OR(E283="",AL283=""),"",IF(COUNT(AG283:AK283)=0,"",AL283-LOOKUP(2,1/(AG283:AK283&lt;&gt;""),AG283:AK283)))</t>
        </is>
      </c>
      <c r="AZ283" s="38" t="inlineStr">
        <is>
          <t>IF(OR(E283="",AM283=""),"",IF(COUNT(AG283:AL283)=0,"",AM283-LOOKUP(2,1/(AG283:AL283&lt;&gt;""),AG283:AL283)))</t>
        </is>
      </c>
      <c r="BA283" s="38" t="inlineStr">
        <is>
          <t>IF(OR(E283="",AN283=""),"",IF(COUNT(AG283:AM283)=0,"",AN283-LOOKUP(2,1/(AG283:AM283&lt;&gt;""),AG283:AM283)))</t>
        </is>
      </c>
      <c r="BB283" s="38" t="inlineStr">
        <is>
          <t>IF(OR(E283="",AO283=""),"",IF(COUNT(AG283:AN283)=0,"",AO283-LOOKUP(2,1/(AG283:AN283&lt;&gt;""),AG283:AN283)))</t>
        </is>
      </c>
      <c r="BC283" s="38" t="inlineStr">
        <is>
          <t>IF(OR(E283="",AP283=""),"",IF(COUNT(AG283:AO283)=0,"",AP283-LOOKUP(2,1/(AG283:AO283&lt;&gt;""),AG283:AO283)))</t>
        </is>
      </c>
      <c r="BD283" s="38" t="inlineStr">
        <is>
          <t>IF(OR(E283="",AQ283=""),"",IF(COUNT(AG283:AP283)=0,"",AQ283-LOOKUP(2,1/(AG283:AP283&lt;&gt;""),AG283:AP283)))</t>
        </is>
      </c>
      <c r="BE283" s="38" t="inlineStr">
        <is>
          <t>IF(OR(E283="",AR283=""),"",IF(COUNT(AG283:AQ283)=0,"",AR283-LOOKUP(2,1/(AG283:AQ283&lt;&gt;""),AG283:AQ283)))</t>
        </is>
      </c>
      <c r="BF283" s="38" t="inlineStr">
        <is>
          <t>IF(OR(E283="",AS283=""),"",IF(COUNT(AG283:AR283)=0,"",AS283-LOOKUP(2,1/(AG283:AR283&lt;&gt;""),AG283:AR283)))</t>
        </is>
      </c>
      <c r="BG283" s="38" t="inlineStr">
        <is>
          <t>IF(OR(E283="",AT283=""),"",IF(COUNT(AG283:AS283)=0,"",AT283-LOOKUP(2,1/(AG283:AS283&lt;&gt;""),AG283:AS283)))</t>
        </is>
      </c>
      <c r="BH283" s="41" t="inlineStr">
        <is>
          <t>IF(G283="","All_Provinces",IFERROR(VLOOKUP(G283,'07_Lookups'!$A$4:$B$20,2,FALSE),"All_Provinces"))</t>
        </is>
      </c>
      <c r="BI283" s="41" t="inlineStr">
        <is>
          <t>IF(H283="","All_Districts",IFERROR(VLOOKUP(H283,'07_Lookups'!$E$4:$F$42,2,FALSE),"All_Districts"))</t>
        </is>
      </c>
    </row>
    <row r="284" ht="18" customHeight="1">
      <c r="A284" s="32" t="inlineStr">
        <is>
          <t>IF(E284="","",ROW()-3)</t>
        </is>
      </c>
      <c r="B284" s="33" t="inlineStr">
        <is>
          <t>AF2-LLL-R-021</t>
        </is>
      </c>
      <c r="C284" s="33" t="inlineStr">
        <is>
          <t>Emergency Food Security Project (EFSP) – WBK/AF-2</t>
        </is>
      </c>
      <c r="D284" s="33" t="inlineStr">
        <is>
          <t>EFSP-AF2 LLL supply and delivery (50 units)</t>
        </is>
      </c>
      <c r="E284" s="33" t="inlineStr">
        <is>
          <t>Khar Kar and Sayed Miran IS</t>
        </is>
      </c>
      <c r="F284" s="33" t="inlineStr">
        <is>
          <t>Laser Land Leveler (LLL)</t>
        </is>
      </c>
      <c r="G284" s="33" t="inlineStr">
        <is>
          <t>Northeast / Kunduz</t>
        </is>
      </c>
      <c r="H284" s="33" t="inlineStr">
        <is>
          <t>Takhar</t>
        </is>
      </c>
      <c r="I284" s="33" t="inlineStr">
        <is>
          <t>Eshkamish</t>
        </is>
      </c>
      <c r="J284" s="33" t="inlineStr">
        <is>
          <t>1 unit(s)</t>
        </is>
      </c>
      <c r="K284" s="33" t="inlineStr">
        <is>
          <t>World Bank (WBK/AF-2)</t>
        </is>
      </c>
      <c r="L284" s="33" t="inlineStr">
        <is>
          <t>Remaining</t>
        </is>
      </c>
      <c r="M284" s="33" t="inlineStr">
        <is>
          <t>LLL supply</t>
        </is>
      </c>
      <c r="N284" s="33" t="inlineStr">
        <is>
          <t>6. Supply and delivery of LLL</t>
        </is>
      </c>
      <c r="O284" s="33" t="inlineStr"/>
      <c r="P284" s="33" t="inlineStr"/>
      <c r="Q284" s="34" t="n"/>
      <c r="R284" s="35" t="inlineStr">
        <is>
          <t>IF(AO284="","",AO284)</t>
        </is>
      </c>
      <c r="S284" s="36" t="n">
        <v>46325</v>
      </c>
      <c r="T284" s="37" t="n"/>
      <c r="U284" s="36" t="n">
        <v>46418</v>
      </c>
      <c r="V284" s="35" t="inlineStr">
        <is>
          <t>IF(U284&lt;&gt;"",U284,IF(OR(R284="",T284=""),"",EDATE(R284,T284)))</t>
        </is>
      </c>
      <c r="W284" s="36" t="n"/>
      <c r="X284" s="37" t="n"/>
      <c r="Y284" s="33" t="inlineStr">
        <is>
          <t>Under Awarding</t>
        </is>
      </c>
      <c r="Z284" s="33" t="inlineStr">
        <is>
          <t>The Procurement process is initiated in April and PO will be issued late October 2026. and delivery will be done by End of December 2026 and onward in January 2027 it is planned to be distributed to the selected beneficiaries.</t>
        </is>
      </c>
      <c r="AA284" s="32" t="inlineStr">
        <is>
          <t>IF(E284="","",IF(COUNT(AG284:AT284)=0,IF(Y284="","Not started",Y284),SUBSTITUTE(LOOKUP(2,1/(AG284:AT284&lt;&gt;""),$AG$3:$AT$3),"Date: ","")))</t>
        </is>
      </c>
      <c r="AB284" s="38" t="inlineStr">
        <is>
          <t>IF(OR(E284="",COUNT(AG284:AT284)=0),"",TODAY()-LOOKUP(2,1/(AG284:AT284&lt;&gt;""),AG284:AT284))</t>
        </is>
      </c>
      <c r="AC284" s="38" t="inlineStr">
        <is>
          <t>IF(OR(E284="",COUNT(AG284:AT284)&lt;2),"",LOOKUP(2,1/(AG284:AT284&lt;&gt;""),AG284:AT284)-MIN(AG284:AT284))</t>
        </is>
      </c>
      <c r="AD284" s="38" t="inlineStr">
        <is>
          <t>IF(OR(AB284="",AA284="Not started",AA284=""),"",IFERROR(AB284-IF(VLOOKUP(AA284,'04_Status_Pipeline'!$B$3:$E$20,4,FALSE)="",0,VLOOKUP(AA284,'04_Status_Pipeline'!$B$3:$E$20,4,FALSE)),""))</t>
        </is>
      </c>
      <c r="AE284" s="32" t="inlineStr">
        <is>
          <t>IF(E284="","",IF(OR(Y284="Cancelled",AA284="Cancelled"),"Cancelled",IF(OR(AA284="Completed / Handover",W284&lt;&gt;"",X284&gt;=100),"Completed — on track",IF(L284="Remaining",IF(S284="",IF(V284="","No planned date",IF(TODAY()&gt;V284,"Behind — past planned date",IF(V284-TODAY()&lt;=30,"At risk — close to off track","On track"))),IF(TODAY()&gt;S284,"Behind — award date passed",IF(S284-TODAY()&lt;=30,"At risk — close to off track","On track"))),IF(V284="","No planned date",IF(AND(TODAY()&gt;V284,OR(X284="",X284&lt;100)),"Behind — past end date",IF(AND(R284&lt;&gt;"",V284&lt;&gt;"",X284&lt;&gt;"",(X284&lt;100),((TODAY()-R284)/MAX(V284-R284,1)*100)-X284&gt;15),"Behind — progress lag",IF(AND(V284-TODAY()&lt;=30,V284-TODAY()&gt;=0,OR(X284="",X284&lt;90)),"At risk — close to off track","On track"))))))))</t>
        </is>
      </c>
      <c r="AF284" s="38" t="inlineStr">
        <is>
          <t>IF(OR(E284="",AA284="Completed / Handover",AA284="Cancelled"),"",IF(L284="Remaining",IF(S284&lt;&gt;"",S284-TODAY(),IF(V284="","",V284-TODAY())),IF(V284="","",V284-TODAY())))</t>
        </is>
      </c>
      <c r="AG284" s="36" t="n"/>
      <c r="AH284" s="36" t="n"/>
      <c r="AI284" s="36" t="n"/>
      <c r="AJ284" s="36" t="n"/>
      <c r="AK284" s="36" t="n"/>
      <c r="AL284" s="36" t="n"/>
      <c r="AM284" s="36" t="n"/>
      <c r="AN284" s="36" t="n"/>
      <c r="AO284" s="36" t="n"/>
      <c r="AP284" s="36" t="n"/>
      <c r="AQ284" s="36" t="n"/>
      <c r="AR284" s="40" t="n"/>
      <c r="AS284" s="40" t="n"/>
      <c r="AT284" s="40" t="n"/>
      <c r="AU284" s="38" t="inlineStr">
        <is>
          <t>IF(OR(E284="",AH284=""),"",IF(COUNT(AG284:AG284)=0,"",AH284-LOOKUP(2,1/(AG284:AG284&lt;&gt;""),AG284:AG284)))</t>
        </is>
      </c>
      <c r="AV284" s="38" t="inlineStr">
        <is>
          <t>IF(OR(E284="",AI284=""),"",IF(COUNT(AG284:AH284)=0,"",AI284-LOOKUP(2,1/(AG284:AH284&lt;&gt;""),AG284:AH284)))</t>
        </is>
      </c>
      <c r="AW284" s="38" t="inlineStr">
        <is>
          <t>IF(OR(E284="",AJ284=""),"",IF(COUNT(AG284:AI284)=0,"",AJ284-LOOKUP(2,1/(AG284:AI284&lt;&gt;""),AG284:AI284)))</t>
        </is>
      </c>
      <c r="AX284" s="38" t="inlineStr">
        <is>
          <t>IF(OR(E284="",AK284=""),"",IF(COUNT(AG284:AJ284)=0,"",AK284-LOOKUP(2,1/(AG284:AJ284&lt;&gt;""),AG284:AJ284)))</t>
        </is>
      </c>
      <c r="AY284" s="38" t="inlineStr">
        <is>
          <t>IF(OR(E284="",AL284=""),"",IF(COUNT(AG284:AK284)=0,"",AL284-LOOKUP(2,1/(AG284:AK284&lt;&gt;""),AG284:AK284)))</t>
        </is>
      </c>
      <c r="AZ284" s="38" t="inlineStr">
        <is>
          <t>IF(OR(E284="",AM284=""),"",IF(COUNT(AG284:AL284)=0,"",AM284-LOOKUP(2,1/(AG284:AL284&lt;&gt;""),AG284:AL284)))</t>
        </is>
      </c>
      <c r="BA284" s="38" t="inlineStr">
        <is>
          <t>IF(OR(E284="",AN284=""),"",IF(COUNT(AG284:AM284)=0,"",AN284-LOOKUP(2,1/(AG284:AM284&lt;&gt;""),AG284:AM284)))</t>
        </is>
      </c>
      <c r="BB284" s="38" t="inlineStr">
        <is>
          <t>IF(OR(E284="",AO284=""),"",IF(COUNT(AG284:AN284)=0,"",AO284-LOOKUP(2,1/(AG284:AN284&lt;&gt;""),AG284:AN284)))</t>
        </is>
      </c>
      <c r="BC284" s="38" t="inlineStr">
        <is>
          <t>IF(OR(E284="",AP284=""),"",IF(COUNT(AG284:AO284)=0,"",AP284-LOOKUP(2,1/(AG284:AO284&lt;&gt;""),AG284:AO284)))</t>
        </is>
      </c>
      <c r="BD284" s="38" t="inlineStr">
        <is>
          <t>IF(OR(E284="",AQ284=""),"",IF(COUNT(AG284:AP284)=0,"",AQ284-LOOKUP(2,1/(AG284:AP284&lt;&gt;""),AG284:AP284)))</t>
        </is>
      </c>
      <c r="BE284" s="38" t="inlineStr">
        <is>
          <t>IF(OR(E284="",AR284=""),"",IF(COUNT(AG284:AQ284)=0,"",AR284-LOOKUP(2,1/(AG284:AQ284&lt;&gt;""),AG284:AQ284)))</t>
        </is>
      </c>
      <c r="BF284" s="38" t="inlineStr">
        <is>
          <t>IF(OR(E284="",AS284=""),"",IF(COUNT(AG284:AR284)=0,"",AS284-LOOKUP(2,1/(AG284:AR284&lt;&gt;""),AG284:AR284)))</t>
        </is>
      </c>
      <c r="BG284" s="38" t="inlineStr">
        <is>
          <t>IF(OR(E284="",AT284=""),"",IF(COUNT(AG284:AS284)=0,"",AT284-LOOKUP(2,1/(AG284:AS284&lt;&gt;""),AG284:AS284)))</t>
        </is>
      </c>
      <c r="BH284" s="41" t="inlineStr">
        <is>
          <t>IF(G284="","All_Provinces",IFERROR(VLOOKUP(G284,'07_Lookups'!$A$4:$B$20,2,FALSE),"All_Provinces"))</t>
        </is>
      </c>
      <c r="BI284" s="41" t="inlineStr">
        <is>
          <t>IF(H284="","All_Districts",IFERROR(VLOOKUP(H284,'07_Lookups'!$E$4:$F$42,2,FALSE),"All_Districts"))</t>
        </is>
      </c>
    </row>
    <row r="285" ht="18" customHeight="1">
      <c r="A285" s="32" t="inlineStr">
        <is>
          <t>IF(E285="","",ROW()-3)</t>
        </is>
      </c>
      <c r="B285" s="42" t="inlineStr">
        <is>
          <t>AF2-LLL-R-022</t>
        </is>
      </c>
      <c r="C285" s="42" t="inlineStr">
        <is>
          <t>Emergency Food Security Project (EFSP) – WBK/AF-2</t>
        </is>
      </c>
      <c r="D285" s="42" t="inlineStr">
        <is>
          <t>EFSP-AF2 LLL supply and delivery (50 units)</t>
        </is>
      </c>
      <c r="E285" s="42" t="inlineStr">
        <is>
          <t>Shahidan, Dasht-e Lajam IS</t>
        </is>
      </c>
      <c r="F285" s="42" t="inlineStr">
        <is>
          <t>Laser Land Leveler (LLL)</t>
        </is>
      </c>
      <c r="G285" s="42" t="inlineStr">
        <is>
          <t>Northeast / Kunduz</t>
        </is>
      </c>
      <c r="H285" s="42" t="inlineStr">
        <is>
          <t>Baghlan</t>
        </is>
      </c>
      <c r="I285" s="42" t="inlineStr">
        <is>
          <t>Tala Wa Barfak</t>
        </is>
      </c>
      <c r="J285" s="42" t="inlineStr">
        <is>
          <t>1 unit(s)</t>
        </is>
      </c>
      <c r="K285" s="42" t="inlineStr">
        <is>
          <t>World Bank (WBK/AF-2)</t>
        </is>
      </c>
      <c r="L285" s="42" t="inlineStr">
        <is>
          <t>Remaining</t>
        </is>
      </c>
      <c r="M285" s="42" t="inlineStr">
        <is>
          <t>LLL supply</t>
        </is>
      </c>
      <c r="N285" s="42" t="inlineStr">
        <is>
          <t>6. Supply and delivery of LLL</t>
        </is>
      </c>
      <c r="O285" s="42" t="inlineStr"/>
      <c r="P285" s="42" t="inlineStr"/>
      <c r="Q285" s="43" t="n"/>
      <c r="R285" s="35" t="inlineStr">
        <is>
          <t>IF(AO285="","",AO285)</t>
        </is>
      </c>
      <c r="S285" s="44" t="n">
        <v>46325</v>
      </c>
      <c r="T285" s="45" t="n"/>
      <c r="U285" s="44" t="n">
        <v>46418</v>
      </c>
      <c r="V285" s="35" t="inlineStr">
        <is>
          <t>IF(U285&lt;&gt;"",U285,IF(OR(R285="",T285=""),"",EDATE(R285,T285)))</t>
        </is>
      </c>
      <c r="W285" s="44" t="n"/>
      <c r="X285" s="45" t="n"/>
      <c r="Y285" s="42" t="inlineStr">
        <is>
          <t>Under Awarding</t>
        </is>
      </c>
      <c r="Z285" s="42" t="inlineStr">
        <is>
          <t>The Procurement process is initiated in April and PO will be issued late October 2026. and delivery will be done by End of December 2026 and onward in January 2027 it is planned to be distributed to the selected beneficiaries.</t>
        </is>
      </c>
      <c r="AA285" s="32" t="inlineStr">
        <is>
          <t>IF(E285="","",IF(COUNT(AG285:AT285)=0,IF(Y285="","Not started",Y285),SUBSTITUTE(LOOKUP(2,1/(AG285:AT285&lt;&gt;""),$AG$3:$AT$3),"Date: ","")))</t>
        </is>
      </c>
      <c r="AB285" s="38" t="inlineStr">
        <is>
          <t>IF(OR(E285="",COUNT(AG285:AT285)=0),"",TODAY()-LOOKUP(2,1/(AG285:AT285&lt;&gt;""),AG285:AT285))</t>
        </is>
      </c>
      <c r="AC285" s="38" t="inlineStr">
        <is>
          <t>IF(OR(E285="",COUNT(AG285:AT285)&lt;2),"",LOOKUP(2,1/(AG285:AT285&lt;&gt;""),AG285:AT285)-MIN(AG285:AT285))</t>
        </is>
      </c>
      <c r="AD285" s="38" t="inlineStr">
        <is>
          <t>IF(OR(AB285="",AA285="Not started",AA285=""),"",IFERROR(AB285-IF(VLOOKUP(AA285,'04_Status_Pipeline'!$B$3:$E$20,4,FALSE)="",0,VLOOKUP(AA285,'04_Status_Pipeline'!$B$3:$E$20,4,FALSE)),""))</t>
        </is>
      </c>
      <c r="AE285" s="32" t="inlineStr">
        <is>
          <t>IF(E285="","",IF(OR(Y285="Cancelled",AA285="Cancelled"),"Cancelled",IF(OR(AA285="Completed / Handover",W285&lt;&gt;"",X285&gt;=100),"Completed — on track",IF(L285="Remaining",IF(S285="",IF(V285="","No planned date",IF(TODAY()&gt;V285,"Behind — past planned date",IF(V285-TODAY()&lt;=30,"At risk — close to off track","On track"))),IF(TODAY()&gt;S285,"Behind — award date passed",IF(S285-TODAY()&lt;=30,"At risk — close to off track","On track"))),IF(V285="","No planned date",IF(AND(TODAY()&gt;V285,OR(X285="",X285&lt;100)),"Behind — past end date",IF(AND(R285&lt;&gt;"",V285&lt;&gt;"",X285&lt;&gt;"",(X285&lt;100),((TODAY()-R285)/MAX(V285-R285,1)*100)-X285&gt;15),"Behind — progress lag",IF(AND(V285-TODAY()&lt;=30,V285-TODAY()&gt;=0,OR(X285="",X285&lt;90)),"At risk — close to off track","On track"))))))))</t>
        </is>
      </c>
      <c r="AF285" s="38" t="inlineStr">
        <is>
          <t>IF(OR(E285="",AA285="Completed / Handover",AA285="Cancelled"),"",IF(L285="Remaining",IF(S285&lt;&gt;"",S285-TODAY(),IF(V285="","",V285-TODAY())),IF(V285="","",V285-TODAY())))</t>
        </is>
      </c>
      <c r="AG285" s="44" t="n"/>
      <c r="AH285" s="44" t="n"/>
      <c r="AI285" s="44" t="n"/>
      <c r="AJ285" s="44" t="n"/>
      <c r="AK285" s="44" t="n"/>
      <c r="AL285" s="44" t="n"/>
      <c r="AM285" s="44" t="n"/>
      <c r="AN285" s="44" t="n"/>
      <c r="AO285" s="44" t="n"/>
      <c r="AP285" s="44" t="n"/>
      <c r="AQ285" s="44" t="n"/>
      <c r="AR285" s="40" t="n"/>
      <c r="AS285" s="40" t="n"/>
      <c r="AT285" s="40" t="n"/>
      <c r="AU285" s="38" t="inlineStr">
        <is>
          <t>IF(OR(E285="",AH285=""),"",IF(COUNT(AG285:AG285)=0,"",AH285-LOOKUP(2,1/(AG285:AG285&lt;&gt;""),AG285:AG285)))</t>
        </is>
      </c>
      <c r="AV285" s="38" t="inlineStr">
        <is>
          <t>IF(OR(E285="",AI285=""),"",IF(COUNT(AG285:AH285)=0,"",AI285-LOOKUP(2,1/(AG285:AH285&lt;&gt;""),AG285:AH285)))</t>
        </is>
      </c>
      <c r="AW285" s="38" t="inlineStr">
        <is>
          <t>IF(OR(E285="",AJ285=""),"",IF(COUNT(AG285:AI285)=0,"",AJ285-LOOKUP(2,1/(AG285:AI285&lt;&gt;""),AG285:AI285)))</t>
        </is>
      </c>
      <c r="AX285" s="38" t="inlineStr">
        <is>
          <t>IF(OR(E285="",AK285=""),"",IF(COUNT(AG285:AJ285)=0,"",AK285-LOOKUP(2,1/(AG285:AJ285&lt;&gt;""),AG285:AJ285)))</t>
        </is>
      </c>
      <c r="AY285" s="38" t="inlineStr">
        <is>
          <t>IF(OR(E285="",AL285=""),"",IF(COUNT(AG285:AK285)=0,"",AL285-LOOKUP(2,1/(AG285:AK285&lt;&gt;""),AG285:AK285)))</t>
        </is>
      </c>
      <c r="AZ285" s="38" t="inlineStr">
        <is>
          <t>IF(OR(E285="",AM285=""),"",IF(COUNT(AG285:AL285)=0,"",AM285-LOOKUP(2,1/(AG285:AL285&lt;&gt;""),AG285:AL285)))</t>
        </is>
      </c>
      <c r="BA285" s="38" t="inlineStr">
        <is>
          <t>IF(OR(E285="",AN285=""),"",IF(COUNT(AG285:AM285)=0,"",AN285-LOOKUP(2,1/(AG285:AM285&lt;&gt;""),AG285:AM285)))</t>
        </is>
      </c>
      <c r="BB285" s="38" t="inlineStr">
        <is>
          <t>IF(OR(E285="",AO285=""),"",IF(COUNT(AG285:AN285)=0,"",AO285-LOOKUP(2,1/(AG285:AN285&lt;&gt;""),AG285:AN285)))</t>
        </is>
      </c>
      <c r="BC285" s="38" t="inlineStr">
        <is>
          <t>IF(OR(E285="",AP285=""),"",IF(COUNT(AG285:AO285)=0,"",AP285-LOOKUP(2,1/(AG285:AO285&lt;&gt;""),AG285:AO285)))</t>
        </is>
      </c>
      <c r="BD285" s="38" t="inlineStr">
        <is>
          <t>IF(OR(E285="",AQ285=""),"",IF(COUNT(AG285:AP285)=0,"",AQ285-LOOKUP(2,1/(AG285:AP285&lt;&gt;""),AG285:AP285)))</t>
        </is>
      </c>
      <c r="BE285" s="38" t="inlineStr">
        <is>
          <t>IF(OR(E285="",AR285=""),"",IF(COUNT(AG285:AQ285)=0,"",AR285-LOOKUP(2,1/(AG285:AQ285&lt;&gt;""),AG285:AQ285)))</t>
        </is>
      </c>
      <c r="BF285" s="38" t="inlineStr">
        <is>
          <t>IF(OR(E285="",AS285=""),"",IF(COUNT(AG285:AR285)=0,"",AS285-LOOKUP(2,1/(AG285:AR285&lt;&gt;""),AG285:AR285)))</t>
        </is>
      </c>
      <c r="BG285" s="38" t="inlineStr">
        <is>
          <t>IF(OR(E285="",AT285=""),"",IF(COUNT(AG285:AS285)=0,"",AT285-LOOKUP(2,1/(AG285:AS285&lt;&gt;""),AG285:AS285)))</t>
        </is>
      </c>
      <c r="BH285" s="41" t="inlineStr">
        <is>
          <t>IF(G285="","All_Provinces",IFERROR(VLOOKUP(G285,'07_Lookups'!$A$4:$B$20,2,FALSE),"All_Provinces"))</t>
        </is>
      </c>
      <c r="BI285" s="41" t="inlineStr">
        <is>
          <t>IF(H285="","All_Districts",IFERROR(VLOOKUP(H285,'07_Lookups'!$E$4:$F$42,2,FALSE),"All_Districts"))</t>
        </is>
      </c>
    </row>
    <row r="286" ht="18" customHeight="1">
      <c r="A286" s="32" t="inlineStr">
        <is>
          <t>IF(E286="","",ROW()-3)</t>
        </is>
      </c>
      <c r="B286" s="33" t="inlineStr">
        <is>
          <t>AF2-LLL-R-023</t>
        </is>
      </c>
      <c r="C286" s="33" t="inlineStr">
        <is>
          <t>Emergency Food Security Project (EFSP) – WBK/AF-2</t>
        </is>
      </c>
      <c r="D286" s="33" t="inlineStr">
        <is>
          <t>EFSP-AF2 LLL supply and delivery (50 units)</t>
        </is>
      </c>
      <c r="E286" s="33" t="inlineStr">
        <is>
          <t>Khambilan, Nahr-e-Saleh and Dara-e-Bazar IS</t>
        </is>
      </c>
      <c r="F286" s="33" t="inlineStr">
        <is>
          <t>Laser Land Leveler (LLL)</t>
        </is>
      </c>
      <c r="G286" s="33" t="inlineStr">
        <is>
          <t>Northeast / Kunduz</t>
        </is>
      </c>
      <c r="H286" s="33" t="inlineStr">
        <is>
          <t>Baghlan</t>
        </is>
      </c>
      <c r="I286" s="33" t="inlineStr">
        <is>
          <t>Firing</t>
        </is>
      </c>
      <c r="J286" s="33" t="inlineStr">
        <is>
          <t>1 unit(s)</t>
        </is>
      </c>
      <c r="K286" s="33" t="inlineStr">
        <is>
          <t>World Bank (WBK/AF-2)</t>
        </is>
      </c>
      <c r="L286" s="33" t="inlineStr">
        <is>
          <t>Remaining</t>
        </is>
      </c>
      <c r="M286" s="33" t="inlineStr">
        <is>
          <t>LLL supply</t>
        </is>
      </c>
      <c r="N286" s="33" t="inlineStr">
        <is>
          <t>6. Supply and delivery of LLL</t>
        </is>
      </c>
      <c r="O286" s="33" t="inlineStr"/>
      <c r="P286" s="33" t="inlineStr"/>
      <c r="Q286" s="34" t="n"/>
      <c r="R286" s="35" t="inlineStr">
        <is>
          <t>IF(AO286="","",AO286)</t>
        </is>
      </c>
      <c r="S286" s="36" t="n">
        <v>46325</v>
      </c>
      <c r="T286" s="37" t="n"/>
      <c r="U286" s="36" t="n">
        <v>46418</v>
      </c>
      <c r="V286" s="35" t="inlineStr">
        <is>
          <t>IF(U286&lt;&gt;"",U286,IF(OR(R286="",T286=""),"",EDATE(R286,T286)))</t>
        </is>
      </c>
      <c r="W286" s="36" t="n"/>
      <c r="X286" s="37" t="n"/>
      <c r="Y286" s="33" t="inlineStr">
        <is>
          <t>Under Awarding</t>
        </is>
      </c>
      <c r="Z286" s="33" t="inlineStr">
        <is>
          <t>The Procurement process is initiated in April and PO will be issued late October 2026. and delivery will be done by End of December 2026 and onward in January 2027 it is planned to be distributed to the selected beneficiaries.</t>
        </is>
      </c>
      <c r="AA286" s="32" t="inlineStr">
        <is>
          <t>IF(E286="","",IF(COUNT(AG286:AT286)=0,IF(Y286="","Not started",Y286),SUBSTITUTE(LOOKUP(2,1/(AG286:AT286&lt;&gt;""),$AG$3:$AT$3),"Date: ","")))</t>
        </is>
      </c>
      <c r="AB286" s="38" t="inlineStr">
        <is>
          <t>IF(OR(E286="",COUNT(AG286:AT286)=0),"",TODAY()-LOOKUP(2,1/(AG286:AT286&lt;&gt;""),AG286:AT286))</t>
        </is>
      </c>
      <c r="AC286" s="38" t="inlineStr">
        <is>
          <t>IF(OR(E286="",COUNT(AG286:AT286)&lt;2),"",LOOKUP(2,1/(AG286:AT286&lt;&gt;""),AG286:AT286)-MIN(AG286:AT286))</t>
        </is>
      </c>
      <c r="AD286" s="38" t="inlineStr">
        <is>
          <t>IF(OR(AB286="",AA286="Not started",AA286=""),"",IFERROR(AB286-IF(VLOOKUP(AA286,'04_Status_Pipeline'!$B$3:$E$20,4,FALSE)="",0,VLOOKUP(AA286,'04_Status_Pipeline'!$B$3:$E$20,4,FALSE)),""))</t>
        </is>
      </c>
      <c r="AE286" s="32" t="inlineStr">
        <is>
          <t>IF(E286="","",IF(OR(Y286="Cancelled",AA286="Cancelled"),"Cancelled",IF(OR(AA286="Completed / Handover",W286&lt;&gt;"",X286&gt;=100),"Completed — on track",IF(L286="Remaining",IF(S286="",IF(V286="","No planned date",IF(TODAY()&gt;V286,"Behind — past planned date",IF(V286-TODAY()&lt;=30,"At risk — close to off track","On track"))),IF(TODAY()&gt;S286,"Behind — award date passed",IF(S286-TODAY()&lt;=30,"At risk — close to off track","On track"))),IF(V286="","No planned date",IF(AND(TODAY()&gt;V286,OR(X286="",X286&lt;100)),"Behind — past end date",IF(AND(R286&lt;&gt;"",V286&lt;&gt;"",X286&lt;&gt;"",(X286&lt;100),((TODAY()-R286)/MAX(V286-R286,1)*100)-X286&gt;15),"Behind — progress lag",IF(AND(V286-TODAY()&lt;=30,V286-TODAY()&gt;=0,OR(X286="",X286&lt;90)),"At risk — close to off track","On track"))))))))</t>
        </is>
      </c>
      <c r="AF286" s="38" t="inlineStr">
        <is>
          <t>IF(OR(E286="",AA286="Completed / Handover",AA286="Cancelled"),"",IF(L286="Remaining",IF(S286&lt;&gt;"",S286-TODAY(),IF(V286="","",V286-TODAY())),IF(V286="","",V286-TODAY())))</t>
        </is>
      </c>
      <c r="AG286" s="36" t="n"/>
      <c r="AH286" s="36" t="n"/>
      <c r="AI286" s="36" t="n"/>
      <c r="AJ286" s="36" t="n"/>
      <c r="AK286" s="36" t="n"/>
      <c r="AL286" s="36" t="n"/>
      <c r="AM286" s="36" t="n"/>
      <c r="AN286" s="36" t="n"/>
      <c r="AO286" s="36" t="n"/>
      <c r="AP286" s="36" t="n"/>
      <c r="AQ286" s="36" t="n"/>
      <c r="AR286" s="40" t="n"/>
      <c r="AS286" s="40" t="n"/>
      <c r="AT286" s="40" t="n"/>
      <c r="AU286" s="38" t="inlineStr">
        <is>
          <t>IF(OR(E286="",AH286=""),"",IF(COUNT(AG286:AG286)=0,"",AH286-LOOKUP(2,1/(AG286:AG286&lt;&gt;""),AG286:AG286)))</t>
        </is>
      </c>
      <c r="AV286" s="38" t="inlineStr">
        <is>
          <t>IF(OR(E286="",AI286=""),"",IF(COUNT(AG286:AH286)=0,"",AI286-LOOKUP(2,1/(AG286:AH286&lt;&gt;""),AG286:AH286)))</t>
        </is>
      </c>
      <c r="AW286" s="38" t="inlineStr">
        <is>
          <t>IF(OR(E286="",AJ286=""),"",IF(COUNT(AG286:AI286)=0,"",AJ286-LOOKUP(2,1/(AG286:AI286&lt;&gt;""),AG286:AI286)))</t>
        </is>
      </c>
      <c r="AX286" s="38" t="inlineStr">
        <is>
          <t>IF(OR(E286="",AK286=""),"",IF(COUNT(AG286:AJ286)=0,"",AK286-LOOKUP(2,1/(AG286:AJ286&lt;&gt;""),AG286:AJ286)))</t>
        </is>
      </c>
      <c r="AY286" s="38" t="inlineStr">
        <is>
          <t>IF(OR(E286="",AL286=""),"",IF(COUNT(AG286:AK286)=0,"",AL286-LOOKUP(2,1/(AG286:AK286&lt;&gt;""),AG286:AK286)))</t>
        </is>
      </c>
      <c r="AZ286" s="38" t="inlineStr">
        <is>
          <t>IF(OR(E286="",AM286=""),"",IF(COUNT(AG286:AL286)=0,"",AM286-LOOKUP(2,1/(AG286:AL286&lt;&gt;""),AG286:AL286)))</t>
        </is>
      </c>
      <c r="BA286" s="38" t="inlineStr">
        <is>
          <t>IF(OR(E286="",AN286=""),"",IF(COUNT(AG286:AM286)=0,"",AN286-LOOKUP(2,1/(AG286:AM286&lt;&gt;""),AG286:AM286)))</t>
        </is>
      </c>
      <c r="BB286" s="38" t="inlineStr">
        <is>
          <t>IF(OR(E286="",AO286=""),"",IF(COUNT(AG286:AN286)=0,"",AO286-LOOKUP(2,1/(AG286:AN286&lt;&gt;""),AG286:AN286)))</t>
        </is>
      </c>
      <c r="BC286" s="38" t="inlineStr">
        <is>
          <t>IF(OR(E286="",AP286=""),"",IF(COUNT(AG286:AO286)=0,"",AP286-LOOKUP(2,1/(AG286:AO286&lt;&gt;""),AG286:AO286)))</t>
        </is>
      </c>
      <c r="BD286" s="38" t="inlineStr">
        <is>
          <t>IF(OR(E286="",AQ286=""),"",IF(COUNT(AG286:AP286)=0,"",AQ286-LOOKUP(2,1/(AG286:AP286&lt;&gt;""),AG286:AP286)))</t>
        </is>
      </c>
      <c r="BE286" s="38" t="inlineStr">
        <is>
          <t>IF(OR(E286="",AR286=""),"",IF(COUNT(AG286:AQ286)=0,"",AR286-LOOKUP(2,1/(AG286:AQ286&lt;&gt;""),AG286:AQ286)))</t>
        </is>
      </c>
      <c r="BF286" s="38" t="inlineStr">
        <is>
          <t>IF(OR(E286="",AS286=""),"",IF(COUNT(AG286:AR286)=0,"",AS286-LOOKUP(2,1/(AG286:AR286&lt;&gt;""),AG286:AR286)))</t>
        </is>
      </c>
      <c r="BG286" s="38" t="inlineStr">
        <is>
          <t>IF(OR(E286="",AT286=""),"",IF(COUNT(AG286:AS286)=0,"",AT286-LOOKUP(2,1/(AG286:AS286&lt;&gt;""),AG286:AS286)))</t>
        </is>
      </c>
      <c r="BH286" s="41" t="inlineStr">
        <is>
          <t>IF(G286="","All_Provinces",IFERROR(VLOOKUP(G286,'07_Lookups'!$A$4:$B$20,2,FALSE),"All_Provinces"))</t>
        </is>
      </c>
      <c r="BI286" s="41" t="inlineStr">
        <is>
          <t>IF(H286="","All_Districts",IFERROR(VLOOKUP(H286,'07_Lookups'!$E$4:$F$42,2,FALSE),"All_Districts"))</t>
        </is>
      </c>
    </row>
    <row r="287" ht="18" customHeight="1">
      <c r="A287" s="32" t="inlineStr">
        <is>
          <t>IF(E287="","",ROW()-3)</t>
        </is>
      </c>
      <c r="B287" s="42" t="inlineStr">
        <is>
          <t>AF2-LLL-R-024</t>
        </is>
      </c>
      <c r="C287" s="42" t="inlineStr">
        <is>
          <t>Emergency Food Security Project (EFSP) – WBK/AF-2</t>
        </is>
      </c>
      <c r="D287" s="42" t="inlineStr">
        <is>
          <t>EFSP-AF2 LLL supply and delivery (50 units)</t>
        </is>
      </c>
      <c r="E287" s="42" t="inlineStr">
        <is>
          <t>Sardar Ha IS</t>
        </is>
      </c>
      <c r="F287" s="42" t="inlineStr">
        <is>
          <t>Laser Land Leveler (LLL)</t>
        </is>
      </c>
      <c r="G287" s="42" t="inlineStr">
        <is>
          <t>Northeast / Kunduz</t>
        </is>
      </c>
      <c r="H287" s="42" t="inlineStr">
        <is>
          <t>Baghlan</t>
        </is>
      </c>
      <c r="I287" s="42" t="inlineStr">
        <is>
          <t>Deh Sala</t>
        </is>
      </c>
      <c r="J287" s="42" t="inlineStr">
        <is>
          <t>1 unit(s)</t>
        </is>
      </c>
      <c r="K287" s="42" t="inlineStr">
        <is>
          <t>World Bank (WBK/AF-2)</t>
        </is>
      </c>
      <c r="L287" s="42" t="inlineStr">
        <is>
          <t>Remaining</t>
        </is>
      </c>
      <c r="M287" s="42" t="inlineStr">
        <is>
          <t>LLL supply</t>
        </is>
      </c>
      <c r="N287" s="42" t="inlineStr">
        <is>
          <t>6. Supply and delivery of LLL</t>
        </is>
      </c>
      <c r="O287" s="42" t="inlineStr"/>
      <c r="P287" s="42" t="inlineStr"/>
      <c r="Q287" s="43" t="n"/>
      <c r="R287" s="35" t="inlineStr">
        <is>
          <t>IF(AO287="","",AO287)</t>
        </is>
      </c>
      <c r="S287" s="44" t="n">
        <v>46325</v>
      </c>
      <c r="T287" s="45" t="n"/>
      <c r="U287" s="44" t="n">
        <v>46418</v>
      </c>
      <c r="V287" s="35" t="inlineStr">
        <is>
          <t>IF(U287&lt;&gt;"",U287,IF(OR(R287="",T287=""),"",EDATE(R287,T287)))</t>
        </is>
      </c>
      <c r="W287" s="44" t="n"/>
      <c r="X287" s="45" t="n"/>
      <c r="Y287" s="42" t="inlineStr">
        <is>
          <t>Under Awarding</t>
        </is>
      </c>
      <c r="Z287" s="42" t="inlineStr">
        <is>
          <t>The Procurement process is initiated in April and PO will be issued late October 2026. and delivery will be done by End of December 2026 and onward in January 2027 it is planned to be distributed to the selected beneficiaries.</t>
        </is>
      </c>
      <c r="AA287" s="32" t="inlineStr">
        <is>
          <t>IF(E287="","",IF(COUNT(AG287:AT287)=0,IF(Y287="","Not started",Y287),SUBSTITUTE(LOOKUP(2,1/(AG287:AT287&lt;&gt;""),$AG$3:$AT$3),"Date: ","")))</t>
        </is>
      </c>
      <c r="AB287" s="38" t="inlineStr">
        <is>
          <t>IF(OR(E287="",COUNT(AG287:AT287)=0),"",TODAY()-LOOKUP(2,1/(AG287:AT287&lt;&gt;""),AG287:AT287))</t>
        </is>
      </c>
      <c r="AC287" s="38" t="inlineStr">
        <is>
          <t>IF(OR(E287="",COUNT(AG287:AT287)&lt;2),"",LOOKUP(2,1/(AG287:AT287&lt;&gt;""),AG287:AT287)-MIN(AG287:AT287))</t>
        </is>
      </c>
      <c r="AD287" s="38" t="inlineStr">
        <is>
          <t>IF(OR(AB287="",AA287="Not started",AA287=""),"",IFERROR(AB287-IF(VLOOKUP(AA287,'04_Status_Pipeline'!$B$3:$E$20,4,FALSE)="",0,VLOOKUP(AA287,'04_Status_Pipeline'!$B$3:$E$20,4,FALSE)),""))</t>
        </is>
      </c>
      <c r="AE287" s="32" t="inlineStr">
        <is>
          <t>IF(E287="","",IF(OR(Y287="Cancelled",AA287="Cancelled"),"Cancelled",IF(OR(AA287="Completed / Handover",W287&lt;&gt;"",X287&gt;=100),"Completed — on track",IF(L287="Remaining",IF(S287="",IF(V287="","No planned date",IF(TODAY()&gt;V287,"Behind — past planned date",IF(V287-TODAY()&lt;=30,"At risk — close to off track","On track"))),IF(TODAY()&gt;S287,"Behind — award date passed",IF(S287-TODAY()&lt;=30,"At risk — close to off track","On track"))),IF(V287="","No planned date",IF(AND(TODAY()&gt;V287,OR(X287="",X287&lt;100)),"Behind — past end date",IF(AND(R287&lt;&gt;"",V287&lt;&gt;"",X287&lt;&gt;"",(X287&lt;100),((TODAY()-R287)/MAX(V287-R287,1)*100)-X287&gt;15),"Behind — progress lag",IF(AND(V287-TODAY()&lt;=30,V287-TODAY()&gt;=0,OR(X287="",X287&lt;90)),"At risk — close to off track","On track"))))))))</t>
        </is>
      </c>
      <c r="AF287" s="38" t="inlineStr">
        <is>
          <t>IF(OR(E287="",AA287="Completed / Handover",AA287="Cancelled"),"",IF(L287="Remaining",IF(S287&lt;&gt;"",S287-TODAY(),IF(V287="","",V287-TODAY())),IF(V287="","",V287-TODAY())))</t>
        </is>
      </c>
      <c r="AG287" s="44" t="n"/>
      <c r="AH287" s="44" t="n"/>
      <c r="AI287" s="44" t="n"/>
      <c r="AJ287" s="44" t="n"/>
      <c r="AK287" s="44" t="n"/>
      <c r="AL287" s="44" t="n"/>
      <c r="AM287" s="44" t="n"/>
      <c r="AN287" s="44" t="n"/>
      <c r="AO287" s="44" t="n"/>
      <c r="AP287" s="44" t="n"/>
      <c r="AQ287" s="44" t="n"/>
      <c r="AR287" s="40" t="n"/>
      <c r="AS287" s="40" t="n"/>
      <c r="AT287" s="40" t="n"/>
      <c r="AU287" s="38" t="inlineStr">
        <is>
          <t>IF(OR(E287="",AH287=""),"",IF(COUNT(AG287:AG287)=0,"",AH287-LOOKUP(2,1/(AG287:AG287&lt;&gt;""),AG287:AG287)))</t>
        </is>
      </c>
      <c r="AV287" s="38" t="inlineStr">
        <is>
          <t>IF(OR(E287="",AI287=""),"",IF(COUNT(AG287:AH287)=0,"",AI287-LOOKUP(2,1/(AG287:AH287&lt;&gt;""),AG287:AH287)))</t>
        </is>
      </c>
      <c r="AW287" s="38" t="inlineStr">
        <is>
          <t>IF(OR(E287="",AJ287=""),"",IF(COUNT(AG287:AI287)=0,"",AJ287-LOOKUP(2,1/(AG287:AI287&lt;&gt;""),AG287:AI287)))</t>
        </is>
      </c>
      <c r="AX287" s="38" t="inlineStr">
        <is>
          <t>IF(OR(E287="",AK287=""),"",IF(COUNT(AG287:AJ287)=0,"",AK287-LOOKUP(2,1/(AG287:AJ287&lt;&gt;""),AG287:AJ287)))</t>
        </is>
      </c>
      <c r="AY287" s="38" t="inlineStr">
        <is>
          <t>IF(OR(E287="",AL287=""),"",IF(COUNT(AG287:AK287)=0,"",AL287-LOOKUP(2,1/(AG287:AK287&lt;&gt;""),AG287:AK287)))</t>
        </is>
      </c>
      <c r="AZ287" s="38" t="inlineStr">
        <is>
          <t>IF(OR(E287="",AM287=""),"",IF(COUNT(AG287:AL287)=0,"",AM287-LOOKUP(2,1/(AG287:AL287&lt;&gt;""),AG287:AL287)))</t>
        </is>
      </c>
      <c r="BA287" s="38" t="inlineStr">
        <is>
          <t>IF(OR(E287="",AN287=""),"",IF(COUNT(AG287:AM287)=0,"",AN287-LOOKUP(2,1/(AG287:AM287&lt;&gt;""),AG287:AM287)))</t>
        </is>
      </c>
      <c r="BB287" s="38" t="inlineStr">
        <is>
          <t>IF(OR(E287="",AO287=""),"",IF(COUNT(AG287:AN287)=0,"",AO287-LOOKUP(2,1/(AG287:AN287&lt;&gt;""),AG287:AN287)))</t>
        </is>
      </c>
      <c r="BC287" s="38" t="inlineStr">
        <is>
          <t>IF(OR(E287="",AP287=""),"",IF(COUNT(AG287:AO287)=0,"",AP287-LOOKUP(2,1/(AG287:AO287&lt;&gt;""),AG287:AO287)))</t>
        </is>
      </c>
      <c r="BD287" s="38" t="inlineStr">
        <is>
          <t>IF(OR(E287="",AQ287=""),"",IF(COUNT(AG287:AP287)=0,"",AQ287-LOOKUP(2,1/(AG287:AP287&lt;&gt;""),AG287:AP287)))</t>
        </is>
      </c>
      <c r="BE287" s="38" t="inlineStr">
        <is>
          <t>IF(OR(E287="",AR287=""),"",IF(COUNT(AG287:AQ287)=0,"",AR287-LOOKUP(2,1/(AG287:AQ287&lt;&gt;""),AG287:AQ287)))</t>
        </is>
      </c>
      <c r="BF287" s="38" t="inlineStr">
        <is>
          <t>IF(OR(E287="",AS287=""),"",IF(COUNT(AG287:AR287)=0,"",AS287-LOOKUP(2,1/(AG287:AR287&lt;&gt;""),AG287:AR287)))</t>
        </is>
      </c>
      <c r="BG287" s="38" t="inlineStr">
        <is>
          <t>IF(OR(E287="",AT287=""),"",IF(COUNT(AG287:AS287)=0,"",AT287-LOOKUP(2,1/(AG287:AS287&lt;&gt;""),AG287:AS287)))</t>
        </is>
      </c>
      <c r="BH287" s="41" t="inlineStr">
        <is>
          <t>IF(G287="","All_Provinces",IFERROR(VLOOKUP(G287,'07_Lookups'!$A$4:$B$20,2,FALSE),"All_Provinces"))</t>
        </is>
      </c>
      <c r="BI287" s="41" t="inlineStr">
        <is>
          <t>IF(H287="","All_Districts",IFERROR(VLOOKUP(H287,'07_Lookups'!$E$4:$F$42,2,FALSE),"All_Districts"))</t>
        </is>
      </c>
    </row>
    <row r="288" ht="18" customHeight="1">
      <c r="A288" s="32" t="inlineStr">
        <is>
          <t>IF(E288="","",ROW()-3)</t>
        </is>
      </c>
      <c r="B288" s="33" t="inlineStr">
        <is>
          <t>AF2-LLL-R-025</t>
        </is>
      </c>
      <c r="C288" s="33" t="inlineStr">
        <is>
          <t>Emergency Food Security Project (EFSP) – WBK/AF-2</t>
        </is>
      </c>
      <c r="D288" s="33" t="inlineStr">
        <is>
          <t>EFSP-AF2 LLL supply and delivery (50 units)</t>
        </is>
      </c>
      <c r="E288" s="33" t="inlineStr">
        <is>
          <t>Dagh Aruq Irrigation Scheme</t>
        </is>
      </c>
      <c r="F288" s="33" t="inlineStr">
        <is>
          <t>Laser Land Leveler (LLL)</t>
        </is>
      </c>
      <c r="G288" s="33" t="inlineStr">
        <is>
          <t>Northeast / Kunduz</t>
        </is>
      </c>
      <c r="H288" s="33" t="inlineStr">
        <is>
          <t>Kunduz</t>
        </is>
      </c>
      <c r="I288" s="33" t="inlineStr">
        <is>
          <t>Char Dara</t>
        </is>
      </c>
      <c r="J288" s="33" t="inlineStr">
        <is>
          <t>1 unit(s)</t>
        </is>
      </c>
      <c r="K288" s="33" t="inlineStr">
        <is>
          <t>World Bank (WBK/AF-2)</t>
        </is>
      </c>
      <c r="L288" s="33" t="inlineStr">
        <is>
          <t>Remaining</t>
        </is>
      </c>
      <c r="M288" s="33" t="inlineStr">
        <is>
          <t>LLL supply</t>
        </is>
      </c>
      <c r="N288" s="33" t="inlineStr">
        <is>
          <t>6. Supply and delivery of LLL</t>
        </is>
      </c>
      <c r="O288" s="33" t="inlineStr"/>
      <c r="P288" s="33" t="inlineStr"/>
      <c r="Q288" s="34" t="n"/>
      <c r="R288" s="35" t="inlineStr">
        <is>
          <t>IF(AO288="","",AO288)</t>
        </is>
      </c>
      <c r="S288" s="36" t="n">
        <v>46325</v>
      </c>
      <c r="T288" s="37" t="n"/>
      <c r="U288" s="36" t="n">
        <v>46418</v>
      </c>
      <c r="V288" s="35" t="inlineStr">
        <is>
          <t>IF(U288&lt;&gt;"",U288,IF(OR(R288="",T288=""),"",EDATE(R288,T288)))</t>
        </is>
      </c>
      <c r="W288" s="36" t="n"/>
      <c r="X288" s="37" t="n"/>
      <c r="Y288" s="33" t="inlineStr">
        <is>
          <t>Under Awarding</t>
        </is>
      </c>
      <c r="Z288" s="33" t="inlineStr">
        <is>
          <t>The Procurement process is initiated in April and PO will be issued late October 2026. and delivery will be done by End of December 2026 and onward in January 2027 it is planned to be distributed to the selected beneficiaries.</t>
        </is>
      </c>
      <c r="AA288" s="32" t="inlineStr">
        <is>
          <t>IF(E288="","",IF(COUNT(AG288:AT288)=0,IF(Y288="","Not started",Y288),SUBSTITUTE(LOOKUP(2,1/(AG288:AT288&lt;&gt;""),$AG$3:$AT$3),"Date: ","")))</t>
        </is>
      </c>
      <c r="AB288" s="38" t="inlineStr">
        <is>
          <t>IF(OR(E288="",COUNT(AG288:AT288)=0),"",TODAY()-LOOKUP(2,1/(AG288:AT288&lt;&gt;""),AG288:AT288))</t>
        </is>
      </c>
      <c r="AC288" s="38" t="inlineStr">
        <is>
          <t>IF(OR(E288="",COUNT(AG288:AT288)&lt;2),"",LOOKUP(2,1/(AG288:AT288&lt;&gt;""),AG288:AT288)-MIN(AG288:AT288))</t>
        </is>
      </c>
      <c r="AD288" s="38" t="inlineStr">
        <is>
          <t>IF(OR(AB288="",AA288="Not started",AA288=""),"",IFERROR(AB288-IF(VLOOKUP(AA288,'04_Status_Pipeline'!$B$3:$E$20,4,FALSE)="",0,VLOOKUP(AA288,'04_Status_Pipeline'!$B$3:$E$20,4,FALSE)),""))</t>
        </is>
      </c>
      <c r="AE288" s="32" t="inlineStr">
        <is>
          <t>IF(E288="","",IF(OR(Y288="Cancelled",AA288="Cancelled"),"Cancelled",IF(OR(AA288="Completed / Handover",W288&lt;&gt;"",X288&gt;=100),"Completed — on track",IF(L288="Remaining",IF(S288="",IF(V288="","No planned date",IF(TODAY()&gt;V288,"Behind — past planned date",IF(V288-TODAY()&lt;=30,"At risk — close to off track","On track"))),IF(TODAY()&gt;S288,"Behind — award date passed",IF(S288-TODAY()&lt;=30,"At risk — close to off track","On track"))),IF(V288="","No planned date",IF(AND(TODAY()&gt;V288,OR(X288="",X288&lt;100)),"Behind — past end date",IF(AND(R288&lt;&gt;"",V288&lt;&gt;"",X288&lt;&gt;"",(X288&lt;100),((TODAY()-R288)/MAX(V288-R288,1)*100)-X288&gt;15),"Behind — progress lag",IF(AND(V288-TODAY()&lt;=30,V288-TODAY()&gt;=0,OR(X288="",X288&lt;90)),"At risk — close to off track","On track"))))))))</t>
        </is>
      </c>
      <c r="AF288" s="38" t="inlineStr">
        <is>
          <t>IF(OR(E288="",AA288="Completed / Handover",AA288="Cancelled"),"",IF(L288="Remaining",IF(S288&lt;&gt;"",S288-TODAY(),IF(V288="","",V288-TODAY())),IF(V288="","",V288-TODAY())))</t>
        </is>
      </c>
      <c r="AG288" s="36" t="n"/>
      <c r="AH288" s="36" t="n"/>
      <c r="AI288" s="36" t="n"/>
      <c r="AJ288" s="36" t="n"/>
      <c r="AK288" s="36" t="n"/>
      <c r="AL288" s="36" t="n"/>
      <c r="AM288" s="36" t="n"/>
      <c r="AN288" s="36" t="n"/>
      <c r="AO288" s="36" t="n"/>
      <c r="AP288" s="36" t="n"/>
      <c r="AQ288" s="36" t="n"/>
      <c r="AR288" s="40" t="n"/>
      <c r="AS288" s="40" t="n"/>
      <c r="AT288" s="40" t="n"/>
      <c r="AU288" s="38" t="inlineStr">
        <is>
          <t>IF(OR(E288="",AH288=""),"",IF(COUNT(AG288:AG288)=0,"",AH288-LOOKUP(2,1/(AG288:AG288&lt;&gt;""),AG288:AG288)))</t>
        </is>
      </c>
      <c r="AV288" s="38" t="inlineStr">
        <is>
          <t>IF(OR(E288="",AI288=""),"",IF(COUNT(AG288:AH288)=0,"",AI288-LOOKUP(2,1/(AG288:AH288&lt;&gt;""),AG288:AH288)))</t>
        </is>
      </c>
      <c r="AW288" s="38" t="inlineStr">
        <is>
          <t>IF(OR(E288="",AJ288=""),"",IF(COUNT(AG288:AI288)=0,"",AJ288-LOOKUP(2,1/(AG288:AI288&lt;&gt;""),AG288:AI288)))</t>
        </is>
      </c>
      <c r="AX288" s="38" t="inlineStr">
        <is>
          <t>IF(OR(E288="",AK288=""),"",IF(COUNT(AG288:AJ288)=0,"",AK288-LOOKUP(2,1/(AG288:AJ288&lt;&gt;""),AG288:AJ288)))</t>
        </is>
      </c>
      <c r="AY288" s="38" t="inlineStr">
        <is>
          <t>IF(OR(E288="",AL288=""),"",IF(COUNT(AG288:AK288)=0,"",AL288-LOOKUP(2,1/(AG288:AK288&lt;&gt;""),AG288:AK288)))</t>
        </is>
      </c>
      <c r="AZ288" s="38" t="inlineStr">
        <is>
          <t>IF(OR(E288="",AM288=""),"",IF(COUNT(AG288:AL288)=0,"",AM288-LOOKUP(2,1/(AG288:AL288&lt;&gt;""),AG288:AL288)))</t>
        </is>
      </c>
      <c r="BA288" s="38" t="inlineStr">
        <is>
          <t>IF(OR(E288="",AN288=""),"",IF(COUNT(AG288:AM288)=0,"",AN288-LOOKUP(2,1/(AG288:AM288&lt;&gt;""),AG288:AM288)))</t>
        </is>
      </c>
      <c r="BB288" s="38" t="inlineStr">
        <is>
          <t>IF(OR(E288="",AO288=""),"",IF(COUNT(AG288:AN288)=0,"",AO288-LOOKUP(2,1/(AG288:AN288&lt;&gt;""),AG288:AN288)))</t>
        </is>
      </c>
      <c r="BC288" s="38" t="inlineStr">
        <is>
          <t>IF(OR(E288="",AP288=""),"",IF(COUNT(AG288:AO288)=0,"",AP288-LOOKUP(2,1/(AG288:AO288&lt;&gt;""),AG288:AO288)))</t>
        </is>
      </c>
      <c r="BD288" s="38" t="inlineStr">
        <is>
          <t>IF(OR(E288="",AQ288=""),"",IF(COUNT(AG288:AP288)=0,"",AQ288-LOOKUP(2,1/(AG288:AP288&lt;&gt;""),AG288:AP288)))</t>
        </is>
      </c>
      <c r="BE288" s="38" t="inlineStr">
        <is>
          <t>IF(OR(E288="",AR288=""),"",IF(COUNT(AG288:AQ288)=0,"",AR288-LOOKUP(2,1/(AG288:AQ288&lt;&gt;""),AG288:AQ288)))</t>
        </is>
      </c>
      <c r="BF288" s="38" t="inlineStr">
        <is>
          <t>IF(OR(E288="",AS288=""),"",IF(COUNT(AG288:AR288)=0,"",AS288-LOOKUP(2,1/(AG288:AR288&lt;&gt;""),AG288:AR288)))</t>
        </is>
      </c>
      <c r="BG288" s="38" t="inlineStr">
        <is>
          <t>IF(OR(E288="",AT288=""),"",IF(COUNT(AG288:AS288)=0,"",AT288-LOOKUP(2,1/(AG288:AS288&lt;&gt;""),AG288:AS288)))</t>
        </is>
      </c>
      <c r="BH288" s="41" t="inlineStr">
        <is>
          <t>IF(G288="","All_Provinces",IFERROR(VLOOKUP(G288,'07_Lookups'!$A$4:$B$20,2,FALSE),"All_Provinces"))</t>
        </is>
      </c>
      <c r="BI288" s="41" t="inlineStr">
        <is>
          <t>IF(H288="","All_Districts",IFERROR(VLOOKUP(H288,'07_Lookups'!$E$4:$F$42,2,FALSE),"All_Districts"))</t>
        </is>
      </c>
    </row>
    <row r="289" ht="18" customHeight="1">
      <c r="A289" s="32" t="inlineStr">
        <is>
          <t>IF(E289="","",ROW()-3)</t>
        </is>
      </c>
      <c r="B289" s="42" t="inlineStr">
        <is>
          <t>AF2-LLL-R-026</t>
        </is>
      </c>
      <c r="C289" s="42" t="inlineStr">
        <is>
          <t>Emergency Food Security Project (EFSP) – WBK/AF-2</t>
        </is>
      </c>
      <c r="D289" s="42" t="inlineStr">
        <is>
          <t>EFSP-AF2 LLL supply and delivery (50 units)</t>
        </is>
      </c>
      <c r="E289" s="42" t="inlineStr">
        <is>
          <t>Boghos Qum Irrigation Scheme</t>
        </is>
      </c>
      <c r="F289" s="42" t="inlineStr">
        <is>
          <t>Laser Land Leveler (LLL)</t>
        </is>
      </c>
      <c r="G289" s="42" t="inlineStr">
        <is>
          <t>Northeast / Kunduz</t>
        </is>
      </c>
      <c r="H289" s="42" t="inlineStr">
        <is>
          <t>Kunduz</t>
        </is>
      </c>
      <c r="I289" s="42" t="inlineStr">
        <is>
          <t>Char Dara</t>
        </is>
      </c>
      <c r="J289" s="42" t="inlineStr">
        <is>
          <t>1 unit(s)</t>
        </is>
      </c>
      <c r="K289" s="42" t="inlineStr">
        <is>
          <t>World Bank (WBK/AF-2)</t>
        </is>
      </c>
      <c r="L289" s="42" t="inlineStr">
        <is>
          <t>Remaining</t>
        </is>
      </c>
      <c r="M289" s="42" t="inlineStr">
        <is>
          <t>LLL supply</t>
        </is>
      </c>
      <c r="N289" s="42" t="inlineStr">
        <is>
          <t>6. Supply and delivery of LLL</t>
        </is>
      </c>
      <c r="O289" s="42" t="inlineStr"/>
      <c r="P289" s="42" t="inlineStr"/>
      <c r="Q289" s="43" t="n"/>
      <c r="R289" s="35" t="inlineStr">
        <is>
          <t>IF(AO289="","",AO289)</t>
        </is>
      </c>
      <c r="S289" s="44" t="n">
        <v>46325</v>
      </c>
      <c r="T289" s="45" t="n"/>
      <c r="U289" s="44" t="n">
        <v>46418</v>
      </c>
      <c r="V289" s="35" t="inlineStr">
        <is>
          <t>IF(U289&lt;&gt;"",U289,IF(OR(R289="",T289=""),"",EDATE(R289,T289)))</t>
        </is>
      </c>
      <c r="W289" s="44" t="n"/>
      <c r="X289" s="45" t="n"/>
      <c r="Y289" s="42" t="inlineStr">
        <is>
          <t>Under Awarding</t>
        </is>
      </c>
      <c r="Z289" s="42" t="inlineStr">
        <is>
          <t>The Procurement process is initiated in April and PO will be issued late October 2026. and delivery will be done by End of December 2026 and onward in January 2027 it is planned to be distributed to the selected beneficiaries.</t>
        </is>
      </c>
      <c r="AA289" s="32" t="inlineStr">
        <is>
          <t>IF(E289="","",IF(COUNT(AG289:AT289)=0,IF(Y289="","Not started",Y289),SUBSTITUTE(LOOKUP(2,1/(AG289:AT289&lt;&gt;""),$AG$3:$AT$3),"Date: ","")))</t>
        </is>
      </c>
      <c r="AB289" s="38" t="inlineStr">
        <is>
          <t>IF(OR(E289="",COUNT(AG289:AT289)=0),"",TODAY()-LOOKUP(2,1/(AG289:AT289&lt;&gt;""),AG289:AT289))</t>
        </is>
      </c>
      <c r="AC289" s="38" t="inlineStr">
        <is>
          <t>IF(OR(E289="",COUNT(AG289:AT289)&lt;2),"",LOOKUP(2,1/(AG289:AT289&lt;&gt;""),AG289:AT289)-MIN(AG289:AT289))</t>
        </is>
      </c>
      <c r="AD289" s="38" t="inlineStr">
        <is>
          <t>IF(OR(AB289="",AA289="Not started",AA289=""),"",IFERROR(AB289-IF(VLOOKUP(AA289,'04_Status_Pipeline'!$B$3:$E$20,4,FALSE)="",0,VLOOKUP(AA289,'04_Status_Pipeline'!$B$3:$E$20,4,FALSE)),""))</t>
        </is>
      </c>
      <c r="AE289" s="32" t="inlineStr">
        <is>
          <t>IF(E289="","",IF(OR(Y289="Cancelled",AA289="Cancelled"),"Cancelled",IF(OR(AA289="Completed / Handover",W289&lt;&gt;"",X289&gt;=100),"Completed — on track",IF(L289="Remaining",IF(S289="",IF(V289="","No planned date",IF(TODAY()&gt;V289,"Behind — past planned date",IF(V289-TODAY()&lt;=30,"At risk — close to off track","On track"))),IF(TODAY()&gt;S289,"Behind — award date passed",IF(S289-TODAY()&lt;=30,"At risk — close to off track","On track"))),IF(V289="","No planned date",IF(AND(TODAY()&gt;V289,OR(X289="",X289&lt;100)),"Behind — past end date",IF(AND(R289&lt;&gt;"",V289&lt;&gt;"",X289&lt;&gt;"",(X289&lt;100),((TODAY()-R289)/MAX(V289-R289,1)*100)-X289&gt;15),"Behind — progress lag",IF(AND(V289-TODAY()&lt;=30,V289-TODAY()&gt;=0,OR(X289="",X289&lt;90)),"At risk — close to off track","On track"))))))))</t>
        </is>
      </c>
      <c r="AF289" s="38" t="inlineStr">
        <is>
          <t>IF(OR(E289="",AA289="Completed / Handover",AA289="Cancelled"),"",IF(L289="Remaining",IF(S289&lt;&gt;"",S289-TODAY(),IF(V289="","",V289-TODAY())),IF(V289="","",V289-TODAY())))</t>
        </is>
      </c>
      <c r="AG289" s="44" t="n"/>
      <c r="AH289" s="44" t="n"/>
      <c r="AI289" s="44" t="n"/>
      <c r="AJ289" s="44" t="n"/>
      <c r="AK289" s="44" t="n"/>
      <c r="AL289" s="44" t="n"/>
      <c r="AM289" s="44" t="n"/>
      <c r="AN289" s="44" t="n"/>
      <c r="AO289" s="44" t="n"/>
      <c r="AP289" s="44" t="n"/>
      <c r="AQ289" s="44" t="n"/>
      <c r="AR289" s="40" t="n"/>
      <c r="AS289" s="40" t="n"/>
      <c r="AT289" s="40" t="n"/>
      <c r="AU289" s="38" t="inlineStr">
        <is>
          <t>IF(OR(E289="",AH289=""),"",IF(COUNT(AG289:AG289)=0,"",AH289-LOOKUP(2,1/(AG289:AG289&lt;&gt;""),AG289:AG289)))</t>
        </is>
      </c>
      <c r="AV289" s="38" t="inlineStr">
        <is>
          <t>IF(OR(E289="",AI289=""),"",IF(COUNT(AG289:AH289)=0,"",AI289-LOOKUP(2,1/(AG289:AH289&lt;&gt;""),AG289:AH289)))</t>
        </is>
      </c>
      <c r="AW289" s="38" t="inlineStr">
        <is>
          <t>IF(OR(E289="",AJ289=""),"",IF(COUNT(AG289:AI289)=0,"",AJ289-LOOKUP(2,1/(AG289:AI289&lt;&gt;""),AG289:AI289)))</t>
        </is>
      </c>
      <c r="AX289" s="38" t="inlineStr">
        <is>
          <t>IF(OR(E289="",AK289=""),"",IF(COUNT(AG289:AJ289)=0,"",AK289-LOOKUP(2,1/(AG289:AJ289&lt;&gt;""),AG289:AJ289)))</t>
        </is>
      </c>
      <c r="AY289" s="38" t="inlineStr">
        <is>
          <t>IF(OR(E289="",AL289=""),"",IF(COUNT(AG289:AK289)=0,"",AL289-LOOKUP(2,1/(AG289:AK289&lt;&gt;""),AG289:AK289)))</t>
        </is>
      </c>
      <c r="AZ289" s="38" t="inlineStr">
        <is>
          <t>IF(OR(E289="",AM289=""),"",IF(COUNT(AG289:AL289)=0,"",AM289-LOOKUP(2,1/(AG289:AL289&lt;&gt;""),AG289:AL289)))</t>
        </is>
      </c>
      <c r="BA289" s="38" t="inlineStr">
        <is>
          <t>IF(OR(E289="",AN289=""),"",IF(COUNT(AG289:AM289)=0,"",AN289-LOOKUP(2,1/(AG289:AM289&lt;&gt;""),AG289:AM289)))</t>
        </is>
      </c>
      <c r="BB289" s="38" t="inlineStr">
        <is>
          <t>IF(OR(E289="",AO289=""),"",IF(COUNT(AG289:AN289)=0,"",AO289-LOOKUP(2,1/(AG289:AN289&lt;&gt;""),AG289:AN289)))</t>
        </is>
      </c>
      <c r="BC289" s="38" t="inlineStr">
        <is>
          <t>IF(OR(E289="",AP289=""),"",IF(COUNT(AG289:AO289)=0,"",AP289-LOOKUP(2,1/(AG289:AO289&lt;&gt;""),AG289:AO289)))</t>
        </is>
      </c>
      <c r="BD289" s="38" t="inlineStr">
        <is>
          <t>IF(OR(E289="",AQ289=""),"",IF(COUNT(AG289:AP289)=0,"",AQ289-LOOKUP(2,1/(AG289:AP289&lt;&gt;""),AG289:AP289)))</t>
        </is>
      </c>
      <c r="BE289" s="38" t="inlineStr">
        <is>
          <t>IF(OR(E289="",AR289=""),"",IF(COUNT(AG289:AQ289)=0,"",AR289-LOOKUP(2,1/(AG289:AQ289&lt;&gt;""),AG289:AQ289)))</t>
        </is>
      </c>
      <c r="BF289" s="38" t="inlineStr">
        <is>
          <t>IF(OR(E289="",AS289=""),"",IF(COUNT(AG289:AR289)=0,"",AS289-LOOKUP(2,1/(AG289:AR289&lt;&gt;""),AG289:AR289)))</t>
        </is>
      </c>
      <c r="BG289" s="38" t="inlineStr">
        <is>
          <t>IF(OR(E289="",AT289=""),"",IF(COUNT(AG289:AS289)=0,"",AT289-LOOKUP(2,1/(AG289:AS289&lt;&gt;""),AG289:AS289)))</t>
        </is>
      </c>
      <c r="BH289" s="41" t="inlineStr">
        <is>
          <t>IF(G289="","All_Provinces",IFERROR(VLOOKUP(G289,'07_Lookups'!$A$4:$B$20,2,FALSE),"All_Provinces"))</t>
        </is>
      </c>
      <c r="BI289" s="41" t="inlineStr">
        <is>
          <t>IF(H289="","All_Districts",IFERROR(VLOOKUP(H289,'07_Lookups'!$E$4:$F$42,2,FALSE),"All_Districts"))</t>
        </is>
      </c>
    </row>
    <row r="290" ht="18" customHeight="1">
      <c r="A290" s="32" t="inlineStr">
        <is>
          <t>IF(E290="","",ROW()-3)</t>
        </is>
      </c>
      <c r="B290" s="33" t="inlineStr">
        <is>
          <t>AF2-LLL-R-027</t>
        </is>
      </c>
      <c r="C290" s="33" t="inlineStr">
        <is>
          <t>Emergency Food Security Project (EFSP) – WBK/AF-2</t>
        </is>
      </c>
      <c r="D290" s="33" t="inlineStr">
        <is>
          <t>EFSP-AF2 LLL supply and delivery (50 units)</t>
        </is>
      </c>
      <c r="E290" s="33" t="inlineStr">
        <is>
          <t>Teshkhan Irrigation Scheme</t>
        </is>
      </c>
      <c r="F290" s="33" t="inlineStr">
        <is>
          <t>Laser Land Leveler (LLL)</t>
        </is>
      </c>
      <c r="G290" s="33" t="inlineStr">
        <is>
          <t>Northeast / Kunduz</t>
        </is>
      </c>
      <c r="H290" s="33" t="inlineStr">
        <is>
          <t>Badakhshan</t>
        </is>
      </c>
      <c r="I290" s="33" t="inlineStr">
        <is>
          <t>Ishkashim</t>
        </is>
      </c>
      <c r="J290" s="33" t="inlineStr">
        <is>
          <t>1 unit(s)</t>
        </is>
      </c>
      <c r="K290" s="33" t="inlineStr">
        <is>
          <t>World Bank (WBK/AF-2)</t>
        </is>
      </c>
      <c r="L290" s="33" t="inlineStr">
        <is>
          <t>Remaining</t>
        </is>
      </c>
      <c r="M290" s="33" t="inlineStr">
        <is>
          <t>LLL supply</t>
        </is>
      </c>
      <c r="N290" s="33" t="inlineStr">
        <is>
          <t>6. Supply and delivery of LLL</t>
        </is>
      </c>
      <c r="O290" s="33" t="inlineStr"/>
      <c r="P290" s="33" t="inlineStr"/>
      <c r="Q290" s="34" t="n"/>
      <c r="R290" s="35" t="inlineStr">
        <is>
          <t>IF(AO290="","",AO290)</t>
        </is>
      </c>
      <c r="S290" s="36" t="n">
        <v>46325</v>
      </c>
      <c r="T290" s="37" t="n"/>
      <c r="U290" s="36" t="n">
        <v>46418</v>
      </c>
      <c r="V290" s="35" t="inlineStr">
        <is>
          <t>IF(U290&lt;&gt;"",U290,IF(OR(R290="",T290=""),"",EDATE(R290,T290)))</t>
        </is>
      </c>
      <c r="W290" s="36" t="n"/>
      <c r="X290" s="37" t="n"/>
      <c r="Y290" s="33" t="inlineStr">
        <is>
          <t>Under Awarding</t>
        </is>
      </c>
      <c r="Z290" s="33" t="inlineStr">
        <is>
          <t>The Procurement process is initiated in April and PO will be issued late October 2026. and delivery will be done by End of December 2026 and onward in January 2027 it is planned to be distributed to the selected beneficiaries.</t>
        </is>
      </c>
      <c r="AA290" s="32" t="inlineStr">
        <is>
          <t>IF(E290="","",IF(COUNT(AG290:AT290)=0,IF(Y290="","Not started",Y290),SUBSTITUTE(LOOKUP(2,1/(AG290:AT290&lt;&gt;""),$AG$3:$AT$3),"Date: ","")))</t>
        </is>
      </c>
      <c r="AB290" s="38" t="inlineStr">
        <is>
          <t>IF(OR(E290="",COUNT(AG290:AT290)=0),"",TODAY()-LOOKUP(2,1/(AG290:AT290&lt;&gt;""),AG290:AT290))</t>
        </is>
      </c>
      <c r="AC290" s="38" t="inlineStr">
        <is>
          <t>IF(OR(E290="",COUNT(AG290:AT290)&lt;2),"",LOOKUP(2,1/(AG290:AT290&lt;&gt;""),AG290:AT290)-MIN(AG290:AT290))</t>
        </is>
      </c>
      <c r="AD290" s="38" t="inlineStr">
        <is>
          <t>IF(OR(AB290="",AA290="Not started",AA290=""),"",IFERROR(AB290-IF(VLOOKUP(AA290,'04_Status_Pipeline'!$B$3:$E$20,4,FALSE)="",0,VLOOKUP(AA290,'04_Status_Pipeline'!$B$3:$E$20,4,FALSE)),""))</t>
        </is>
      </c>
      <c r="AE290" s="32" t="inlineStr">
        <is>
          <t>IF(E290="","",IF(OR(Y290="Cancelled",AA290="Cancelled"),"Cancelled",IF(OR(AA290="Completed / Handover",W290&lt;&gt;"",X290&gt;=100),"Completed — on track",IF(L290="Remaining",IF(S290="",IF(V290="","No planned date",IF(TODAY()&gt;V290,"Behind — past planned date",IF(V290-TODAY()&lt;=30,"At risk — close to off track","On track"))),IF(TODAY()&gt;S290,"Behind — award date passed",IF(S290-TODAY()&lt;=30,"At risk — close to off track","On track"))),IF(V290="","No planned date",IF(AND(TODAY()&gt;V290,OR(X290="",X290&lt;100)),"Behind — past end date",IF(AND(R290&lt;&gt;"",V290&lt;&gt;"",X290&lt;&gt;"",(X290&lt;100),((TODAY()-R290)/MAX(V290-R290,1)*100)-X290&gt;15),"Behind — progress lag",IF(AND(V290-TODAY()&lt;=30,V290-TODAY()&gt;=0,OR(X290="",X290&lt;90)),"At risk — close to off track","On track"))))))))</t>
        </is>
      </c>
      <c r="AF290" s="38" t="inlineStr">
        <is>
          <t>IF(OR(E290="",AA290="Completed / Handover",AA290="Cancelled"),"",IF(L290="Remaining",IF(S290&lt;&gt;"",S290-TODAY(),IF(V290="","",V290-TODAY())),IF(V290="","",V290-TODAY())))</t>
        </is>
      </c>
      <c r="AG290" s="36" t="n"/>
      <c r="AH290" s="36" t="n"/>
      <c r="AI290" s="36" t="n"/>
      <c r="AJ290" s="36" t="n"/>
      <c r="AK290" s="36" t="n"/>
      <c r="AL290" s="36" t="n"/>
      <c r="AM290" s="36" t="n"/>
      <c r="AN290" s="36" t="n"/>
      <c r="AO290" s="36" t="n"/>
      <c r="AP290" s="36" t="n"/>
      <c r="AQ290" s="36" t="n"/>
      <c r="AR290" s="40" t="n"/>
      <c r="AS290" s="40" t="n"/>
      <c r="AT290" s="40" t="n"/>
      <c r="AU290" s="38" t="inlineStr">
        <is>
          <t>IF(OR(E290="",AH290=""),"",IF(COUNT(AG290:AG290)=0,"",AH290-LOOKUP(2,1/(AG290:AG290&lt;&gt;""),AG290:AG290)))</t>
        </is>
      </c>
      <c r="AV290" s="38" t="inlineStr">
        <is>
          <t>IF(OR(E290="",AI290=""),"",IF(COUNT(AG290:AH290)=0,"",AI290-LOOKUP(2,1/(AG290:AH290&lt;&gt;""),AG290:AH290)))</t>
        </is>
      </c>
      <c r="AW290" s="38" t="inlineStr">
        <is>
          <t>IF(OR(E290="",AJ290=""),"",IF(COUNT(AG290:AI290)=0,"",AJ290-LOOKUP(2,1/(AG290:AI290&lt;&gt;""),AG290:AI290)))</t>
        </is>
      </c>
      <c r="AX290" s="38" t="inlineStr">
        <is>
          <t>IF(OR(E290="",AK290=""),"",IF(COUNT(AG290:AJ290)=0,"",AK290-LOOKUP(2,1/(AG290:AJ290&lt;&gt;""),AG290:AJ290)))</t>
        </is>
      </c>
      <c r="AY290" s="38" t="inlineStr">
        <is>
          <t>IF(OR(E290="",AL290=""),"",IF(COUNT(AG290:AK290)=0,"",AL290-LOOKUP(2,1/(AG290:AK290&lt;&gt;""),AG290:AK290)))</t>
        </is>
      </c>
      <c r="AZ290" s="38" t="inlineStr">
        <is>
          <t>IF(OR(E290="",AM290=""),"",IF(COUNT(AG290:AL290)=0,"",AM290-LOOKUP(2,1/(AG290:AL290&lt;&gt;""),AG290:AL290)))</t>
        </is>
      </c>
      <c r="BA290" s="38" t="inlineStr">
        <is>
          <t>IF(OR(E290="",AN290=""),"",IF(COUNT(AG290:AM290)=0,"",AN290-LOOKUP(2,1/(AG290:AM290&lt;&gt;""),AG290:AM290)))</t>
        </is>
      </c>
      <c r="BB290" s="38" t="inlineStr">
        <is>
          <t>IF(OR(E290="",AO290=""),"",IF(COUNT(AG290:AN290)=0,"",AO290-LOOKUP(2,1/(AG290:AN290&lt;&gt;""),AG290:AN290)))</t>
        </is>
      </c>
      <c r="BC290" s="38" t="inlineStr">
        <is>
          <t>IF(OR(E290="",AP290=""),"",IF(COUNT(AG290:AO290)=0,"",AP290-LOOKUP(2,1/(AG290:AO290&lt;&gt;""),AG290:AO290)))</t>
        </is>
      </c>
      <c r="BD290" s="38" t="inlineStr">
        <is>
          <t>IF(OR(E290="",AQ290=""),"",IF(COUNT(AG290:AP290)=0,"",AQ290-LOOKUP(2,1/(AG290:AP290&lt;&gt;""),AG290:AP290)))</t>
        </is>
      </c>
      <c r="BE290" s="38" t="inlineStr">
        <is>
          <t>IF(OR(E290="",AR290=""),"",IF(COUNT(AG290:AQ290)=0,"",AR290-LOOKUP(2,1/(AG290:AQ290&lt;&gt;""),AG290:AQ290)))</t>
        </is>
      </c>
      <c r="BF290" s="38" t="inlineStr">
        <is>
          <t>IF(OR(E290="",AS290=""),"",IF(COUNT(AG290:AR290)=0,"",AS290-LOOKUP(2,1/(AG290:AR290&lt;&gt;""),AG290:AR290)))</t>
        </is>
      </c>
      <c r="BG290" s="38" t="inlineStr">
        <is>
          <t>IF(OR(E290="",AT290=""),"",IF(COUNT(AG290:AS290)=0,"",AT290-LOOKUP(2,1/(AG290:AS290&lt;&gt;""),AG290:AS290)))</t>
        </is>
      </c>
      <c r="BH290" s="41" t="inlineStr">
        <is>
          <t>IF(G290="","All_Provinces",IFERROR(VLOOKUP(G290,'07_Lookups'!$A$4:$B$20,2,FALSE),"All_Provinces"))</t>
        </is>
      </c>
      <c r="BI290" s="41" t="inlineStr">
        <is>
          <t>IF(H290="","All_Districts",IFERROR(VLOOKUP(H290,'07_Lookups'!$E$4:$F$42,2,FALSE),"All_Districts"))</t>
        </is>
      </c>
    </row>
    <row r="291" ht="18" customHeight="1">
      <c r="A291" s="32" t="inlineStr">
        <is>
          <t>IF(E291="","",ROW()-3)</t>
        </is>
      </c>
      <c r="B291" s="42" t="inlineStr">
        <is>
          <t>AF2-LLL-R-028</t>
        </is>
      </c>
      <c r="C291" s="42" t="inlineStr">
        <is>
          <t>Emergency Food Security Project (EFSP) – WBK/AF-2</t>
        </is>
      </c>
      <c r="D291" s="42" t="inlineStr">
        <is>
          <t>EFSP-AF2 LLL supply and delivery (50 units)</t>
        </is>
      </c>
      <c r="E291" s="42" t="inlineStr">
        <is>
          <t>Khuspak-e-Markazi</t>
        </is>
      </c>
      <c r="F291" s="42" t="inlineStr">
        <is>
          <t>Laser Land Leveler (LLL)</t>
        </is>
      </c>
      <c r="G291" s="42" t="inlineStr">
        <is>
          <t>Northeast / Kunduz</t>
        </is>
      </c>
      <c r="H291" s="42" t="inlineStr">
        <is>
          <t>Badakhshan</t>
        </is>
      </c>
      <c r="I291" s="42" t="inlineStr">
        <is>
          <t>Ishkashim</t>
        </is>
      </c>
      <c r="J291" s="42" t="inlineStr">
        <is>
          <t>1 unit(s)</t>
        </is>
      </c>
      <c r="K291" s="42" t="inlineStr">
        <is>
          <t>World Bank (WBK/AF-2)</t>
        </is>
      </c>
      <c r="L291" s="42" t="inlineStr">
        <is>
          <t>Remaining</t>
        </is>
      </c>
      <c r="M291" s="42" t="inlineStr">
        <is>
          <t>LLL supply</t>
        </is>
      </c>
      <c r="N291" s="42" t="inlineStr">
        <is>
          <t>6. Supply and delivery of LLL</t>
        </is>
      </c>
      <c r="O291" s="42" t="inlineStr"/>
      <c r="P291" s="42" t="inlineStr"/>
      <c r="Q291" s="43" t="n"/>
      <c r="R291" s="35" t="inlineStr">
        <is>
          <t>IF(AO291="","",AO291)</t>
        </is>
      </c>
      <c r="S291" s="44" t="n">
        <v>46325</v>
      </c>
      <c r="T291" s="45" t="n"/>
      <c r="U291" s="44" t="n">
        <v>46418</v>
      </c>
      <c r="V291" s="35" t="inlineStr">
        <is>
          <t>IF(U291&lt;&gt;"",U291,IF(OR(R291="",T291=""),"",EDATE(R291,T291)))</t>
        </is>
      </c>
      <c r="W291" s="44" t="n"/>
      <c r="X291" s="45" t="n"/>
      <c r="Y291" s="42" t="inlineStr">
        <is>
          <t>Under Awarding</t>
        </is>
      </c>
      <c r="Z291" s="42" t="inlineStr">
        <is>
          <t>The Procurement process is initiated in April and PO will be issued late October 2026. and delivery will be done by End of December 2026 and onward in January 2027 it is planned to be distributed to the selected beneficiaries.</t>
        </is>
      </c>
      <c r="AA291" s="32" t="inlineStr">
        <is>
          <t>IF(E291="","",IF(COUNT(AG291:AT291)=0,IF(Y291="","Not started",Y291),SUBSTITUTE(LOOKUP(2,1/(AG291:AT291&lt;&gt;""),$AG$3:$AT$3),"Date: ","")))</t>
        </is>
      </c>
      <c r="AB291" s="38" t="inlineStr">
        <is>
          <t>IF(OR(E291="",COUNT(AG291:AT291)=0),"",TODAY()-LOOKUP(2,1/(AG291:AT291&lt;&gt;""),AG291:AT291))</t>
        </is>
      </c>
      <c r="AC291" s="38" t="inlineStr">
        <is>
          <t>IF(OR(E291="",COUNT(AG291:AT291)&lt;2),"",LOOKUP(2,1/(AG291:AT291&lt;&gt;""),AG291:AT291)-MIN(AG291:AT291))</t>
        </is>
      </c>
      <c r="AD291" s="38" t="inlineStr">
        <is>
          <t>IF(OR(AB291="",AA291="Not started",AA291=""),"",IFERROR(AB291-IF(VLOOKUP(AA291,'04_Status_Pipeline'!$B$3:$E$20,4,FALSE)="",0,VLOOKUP(AA291,'04_Status_Pipeline'!$B$3:$E$20,4,FALSE)),""))</t>
        </is>
      </c>
      <c r="AE291" s="32" t="inlineStr">
        <is>
          <t>IF(E291="","",IF(OR(Y291="Cancelled",AA291="Cancelled"),"Cancelled",IF(OR(AA291="Completed / Handover",W291&lt;&gt;"",X291&gt;=100),"Completed — on track",IF(L291="Remaining",IF(S291="",IF(V291="","No planned date",IF(TODAY()&gt;V291,"Behind — past planned date",IF(V291-TODAY()&lt;=30,"At risk — close to off track","On track"))),IF(TODAY()&gt;S291,"Behind — award date passed",IF(S291-TODAY()&lt;=30,"At risk — close to off track","On track"))),IF(V291="","No planned date",IF(AND(TODAY()&gt;V291,OR(X291="",X291&lt;100)),"Behind — past end date",IF(AND(R291&lt;&gt;"",V291&lt;&gt;"",X291&lt;&gt;"",(X291&lt;100),((TODAY()-R291)/MAX(V291-R291,1)*100)-X291&gt;15),"Behind — progress lag",IF(AND(V291-TODAY()&lt;=30,V291-TODAY()&gt;=0,OR(X291="",X291&lt;90)),"At risk — close to off track","On track"))))))))</t>
        </is>
      </c>
      <c r="AF291" s="38" t="inlineStr">
        <is>
          <t>IF(OR(E291="",AA291="Completed / Handover",AA291="Cancelled"),"",IF(L291="Remaining",IF(S291&lt;&gt;"",S291-TODAY(),IF(V291="","",V291-TODAY())),IF(V291="","",V291-TODAY())))</t>
        </is>
      </c>
      <c r="AG291" s="44" t="n"/>
      <c r="AH291" s="44" t="n"/>
      <c r="AI291" s="44" t="n"/>
      <c r="AJ291" s="44" t="n"/>
      <c r="AK291" s="44" t="n"/>
      <c r="AL291" s="44" t="n"/>
      <c r="AM291" s="44" t="n"/>
      <c r="AN291" s="44" t="n"/>
      <c r="AO291" s="44" t="n"/>
      <c r="AP291" s="44" t="n"/>
      <c r="AQ291" s="44" t="n"/>
      <c r="AR291" s="40" t="n"/>
      <c r="AS291" s="40" t="n"/>
      <c r="AT291" s="40" t="n"/>
      <c r="AU291" s="38" t="inlineStr">
        <is>
          <t>IF(OR(E291="",AH291=""),"",IF(COUNT(AG291:AG291)=0,"",AH291-LOOKUP(2,1/(AG291:AG291&lt;&gt;""),AG291:AG291)))</t>
        </is>
      </c>
      <c r="AV291" s="38" t="inlineStr">
        <is>
          <t>IF(OR(E291="",AI291=""),"",IF(COUNT(AG291:AH291)=0,"",AI291-LOOKUP(2,1/(AG291:AH291&lt;&gt;""),AG291:AH291)))</t>
        </is>
      </c>
      <c r="AW291" s="38" t="inlineStr">
        <is>
          <t>IF(OR(E291="",AJ291=""),"",IF(COUNT(AG291:AI291)=0,"",AJ291-LOOKUP(2,1/(AG291:AI291&lt;&gt;""),AG291:AI291)))</t>
        </is>
      </c>
      <c r="AX291" s="38" t="inlineStr">
        <is>
          <t>IF(OR(E291="",AK291=""),"",IF(COUNT(AG291:AJ291)=0,"",AK291-LOOKUP(2,1/(AG291:AJ291&lt;&gt;""),AG291:AJ291)))</t>
        </is>
      </c>
      <c r="AY291" s="38" t="inlineStr">
        <is>
          <t>IF(OR(E291="",AL291=""),"",IF(COUNT(AG291:AK291)=0,"",AL291-LOOKUP(2,1/(AG291:AK291&lt;&gt;""),AG291:AK291)))</t>
        </is>
      </c>
      <c r="AZ291" s="38" t="inlineStr">
        <is>
          <t>IF(OR(E291="",AM291=""),"",IF(COUNT(AG291:AL291)=0,"",AM291-LOOKUP(2,1/(AG291:AL291&lt;&gt;""),AG291:AL291)))</t>
        </is>
      </c>
      <c r="BA291" s="38" t="inlineStr">
        <is>
          <t>IF(OR(E291="",AN291=""),"",IF(COUNT(AG291:AM291)=0,"",AN291-LOOKUP(2,1/(AG291:AM291&lt;&gt;""),AG291:AM291)))</t>
        </is>
      </c>
      <c r="BB291" s="38" t="inlineStr">
        <is>
          <t>IF(OR(E291="",AO291=""),"",IF(COUNT(AG291:AN291)=0,"",AO291-LOOKUP(2,1/(AG291:AN291&lt;&gt;""),AG291:AN291)))</t>
        </is>
      </c>
      <c r="BC291" s="38" t="inlineStr">
        <is>
          <t>IF(OR(E291="",AP291=""),"",IF(COUNT(AG291:AO291)=0,"",AP291-LOOKUP(2,1/(AG291:AO291&lt;&gt;""),AG291:AO291)))</t>
        </is>
      </c>
      <c r="BD291" s="38" t="inlineStr">
        <is>
          <t>IF(OR(E291="",AQ291=""),"",IF(COUNT(AG291:AP291)=0,"",AQ291-LOOKUP(2,1/(AG291:AP291&lt;&gt;""),AG291:AP291)))</t>
        </is>
      </c>
      <c r="BE291" s="38" t="inlineStr">
        <is>
          <t>IF(OR(E291="",AR291=""),"",IF(COUNT(AG291:AQ291)=0,"",AR291-LOOKUP(2,1/(AG291:AQ291&lt;&gt;""),AG291:AQ291)))</t>
        </is>
      </c>
      <c r="BF291" s="38" t="inlineStr">
        <is>
          <t>IF(OR(E291="",AS291=""),"",IF(COUNT(AG291:AR291)=0,"",AS291-LOOKUP(2,1/(AG291:AR291&lt;&gt;""),AG291:AR291)))</t>
        </is>
      </c>
      <c r="BG291" s="38" t="inlineStr">
        <is>
          <t>IF(OR(E291="",AT291=""),"",IF(COUNT(AG291:AS291)=0,"",AT291-LOOKUP(2,1/(AG291:AS291&lt;&gt;""),AG291:AS291)))</t>
        </is>
      </c>
      <c r="BH291" s="41" t="inlineStr">
        <is>
          <t>IF(G291="","All_Provinces",IFERROR(VLOOKUP(G291,'07_Lookups'!$A$4:$B$20,2,FALSE),"All_Provinces"))</t>
        </is>
      </c>
      <c r="BI291" s="41" t="inlineStr">
        <is>
          <t>IF(H291="","All_Districts",IFERROR(VLOOKUP(H291,'07_Lookups'!$E$4:$F$42,2,FALSE),"All_Districts"))</t>
        </is>
      </c>
    </row>
    <row r="292" ht="18" customHeight="1">
      <c r="A292" s="32" t="inlineStr">
        <is>
          <t>IF(E292="","",ROW()-3)</t>
        </is>
      </c>
      <c r="B292" s="33" t="inlineStr">
        <is>
          <t>AF2-LLL-R-029</t>
        </is>
      </c>
      <c r="C292" s="33" t="inlineStr">
        <is>
          <t>Emergency Food Security Project (EFSP) – WBK/AF-2</t>
        </is>
      </c>
      <c r="D292" s="33" t="inlineStr">
        <is>
          <t>EFSP-AF2 LLL supply and delivery (50 units)</t>
        </is>
      </c>
      <c r="E292" s="33" t="inlineStr">
        <is>
          <t>Urdokas irrigation scheme</t>
        </is>
      </c>
      <c r="F292" s="33" t="inlineStr">
        <is>
          <t>Laser Land Leveler (LLL)</t>
        </is>
      </c>
      <c r="G292" s="33" t="inlineStr">
        <is>
          <t>South / Kandahar</t>
        </is>
      </c>
      <c r="H292" s="33" t="inlineStr">
        <is>
          <t>Kandahar</t>
        </is>
      </c>
      <c r="I292" s="33" t="inlineStr">
        <is>
          <t>Shawalikot</t>
        </is>
      </c>
      <c r="J292" s="33" t="inlineStr">
        <is>
          <t>1 unit(s)</t>
        </is>
      </c>
      <c r="K292" s="33" t="inlineStr">
        <is>
          <t>World Bank (WBK/AF-2)</t>
        </is>
      </c>
      <c r="L292" s="33" t="inlineStr">
        <is>
          <t>Remaining</t>
        </is>
      </c>
      <c r="M292" s="33" t="inlineStr">
        <is>
          <t>LLL supply</t>
        </is>
      </c>
      <c r="N292" s="33" t="inlineStr">
        <is>
          <t>6. Supply and delivery of LLL</t>
        </is>
      </c>
      <c r="O292" s="33" t="inlineStr"/>
      <c r="P292" s="33" t="inlineStr"/>
      <c r="Q292" s="34" t="n"/>
      <c r="R292" s="35" t="inlineStr">
        <is>
          <t>IF(AO292="","",AO292)</t>
        </is>
      </c>
      <c r="S292" s="36" t="n">
        <v>46325</v>
      </c>
      <c r="T292" s="37" t="n"/>
      <c r="U292" s="36" t="n">
        <v>46418</v>
      </c>
      <c r="V292" s="35" t="inlineStr">
        <is>
          <t>IF(U292&lt;&gt;"",U292,IF(OR(R292="",T292=""),"",EDATE(R292,T292)))</t>
        </is>
      </c>
      <c r="W292" s="36" t="n"/>
      <c r="X292" s="37" t="n"/>
      <c r="Y292" s="33" t="inlineStr">
        <is>
          <t>Under Awarding</t>
        </is>
      </c>
      <c r="Z292" s="33" t="inlineStr">
        <is>
          <t>The Procurement process is initiated in April and PO will be issued late October 2026. and delivery will be done by End of December 2026 and onward in January 2027 it is planned to be distributed to the selected beneficiaries.</t>
        </is>
      </c>
      <c r="AA292" s="32" t="inlineStr">
        <is>
          <t>IF(E292="","",IF(COUNT(AG292:AT292)=0,IF(Y292="","Not started",Y292),SUBSTITUTE(LOOKUP(2,1/(AG292:AT292&lt;&gt;""),$AG$3:$AT$3),"Date: ","")))</t>
        </is>
      </c>
      <c r="AB292" s="38" t="inlineStr">
        <is>
          <t>IF(OR(E292="",COUNT(AG292:AT292)=0),"",TODAY()-LOOKUP(2,1/(AG292:AT292&lt;&gt;""),AG292:AT292))</t>
        </is>
      </c>
      <c r="AC292" s="38" t="inlineStr">
        <is>
          <t>IF(OR(E292="",COUNT(AG292:AT292)&lt;2),"",LOOKUP(2,1/(AG292:AT292&lt;&gt;""),AG292:AT292)-MIN(AG292:AT292))</t>
        </is>
      </c>
      <c r="AD292" s="38" t="inlineStr">
        <is>
          <t>IF(OR(AB292="",AA292="Not started",AA292=""),"",IFERROR(AB292-IF(VLOOKUP(AA292,'04_Status_Pipeline'!$B$3:$E$20,4,FALSE)="",0,VLOOKUP(AA292,'04_Status_Pipeline'!$B$3:$E$20,4,FALSE)),""))</t>
        </is>
      </c>
      <c r="AE292" s="32" t="inlineStr">
        <is>
          <t>IF(E292="","",IF(OR(Y292="Cancelled",AA292="Cancelled"),"Cancelled",IF(OR(AA292="Completed / Handover",W292&lt;&gt;"",X292&gt;=100),"Completed — on track",IF(L292="Remaining",IF(S292="",IF(V292="","No planned date",IF(TODAY()&gt;V292,"Behind — past planned date",IF(V292-TODAY()&lt;=30,"At risk — close to off track","On track"))),IF(TODAY()&gt;S292,"Behind — award date passed",IF(S292-TODAY()&lt;=30,"At risk — close to off track","On track"))),IF(V292="","No planned date",IF(AND(TODAY()&gt;V292,OR(X292="",X292&lt;100)),"Behind — past end date",IF(AND(R292&lt;&gt;"",V292&lt;&gt;"",X292&lt;&gt;"",(X292&lt;100),((TODAY()-R292)/MAX(V292-R292,1)*100)-X292&gt;15),"Behind — progress lag",IF(AND(V292-TODAY()&lt;=30,V292-TODAY()&gt;=0,OR(X292="",X292&lt;90)),"At risk — close to off track","On track"))))))))</t>
        </is>
      </c>
      <c r="AF292" s="38" t="inlineStr">
        <is>
          <t>IF(OR(E292="",AA292="Completed / Handover",AA292="Cancelled"),"",IF(L292="Remaining",IF(S292&lt;&gt;"",S292-TODAY(),IF(V292="","",V292-TODAY())),IF(V292="","",V292-TODAY())))</t>
        </is>
      </c>
      <c r="AG292" s="36" t="n"/>
      <c r="AH292" s="36" t="n"/>
      <c r="AI292" s="36" t="n"/>
      <c r="AJ292" s="36" t="n"/>
      <c r="AK292" s="36" t="n"/>
      <c r="AL292" s="36" t="n"/>
      <c r="AM292" s="36" t="n"/>
      <c r="AN292" s="36" t="n"/>
      <c r="AO292" s="36" t="n"/>
      <c r="AP292" s="36" t="n"/>
      <c r="AQ292" s="36" t="n"/>
      <c r="AR292" s="40" t="n"/>
      <c r="AS292" s="40" t="n"/>
      <c r="AT292" s="40" t="n"/>
      <c r="AU292" s="38" t="inlineStr">
        <is>
          <t>IF(OR(E292="",AH292=""),"",IF(COUNT(AG292:AG292)=0,"",AH292-LOOKUP(2,1/(AG292:AG292&lt;&gt;""),AG292:AG292)))</t>
        </is>
      </c>
      <c r="AV292" s="38" t="inlineStr">
        <is>
          <t>IF(OR(E292="",AI292=""),"",IF(COUNT(AG292:AH292)=0,"",AI292-LOOKUP(2,1/(AG292:AH292&lt;&gt;""),AG292:AH292)))</t>
        </is>
      </c>
      <c r="AW292" s="38" t="inlineStr">
        <is>
          <t>IF(OR(E292="",AJ292=""),"",IF(COUNT(AG292:AI292)=0,"",AJ292-LOOKUP(2,1/(AG292:AI292&lt;&gt;""),AG292:AI292)))</t>
        </is>
      </c>
      <c r="AX292" s="38" t="inlineStr">
        <is>
          <t>IF(OR(E292="",AK292=""),"",IF(COUNT(AG292:AJ292)=0,"",AK292-LOOKUP(2,1/(AG292:AJ292&lt;&gt;""),AG292:AJ292)))</t>
        </is>
      </c>
      <c r="AY292" s="38" t="inlineStr">
        <is>
          <t>IF(OR(E292="",AL292=""),"",IF(COUNT(AG292:AK292)=0,"",AL292-LOOKUP(2,1/(AG292:AK292&lt;&gt;""),AG292:AK292)))</t>
        </is>
      </c>
      <c r="AZ292" s="38" t="inlineStr">
        <is>
          <t>IF(OR(E292="",AM292=""),"",IF(COUNT(AG292:AL292)=0,"",AM292-LOOKUP(2,1/(AG292:AL292&lt;&gt;""),AG292:AL292)))</t>
        </is>
      </c>
      <c r="BA292" s="38" t="inlineStr">
        <is>
          <t>IF(OR(E292="",AN292=""),"",IF(COUNT(AG292:AM292)=0,"",AN292-LOOKUP(2,1/(AG292:AM292&lt;&gt;""),AG292:AM292)))</t>
        </is>
      </c>
      <c r="BB292" s="38" t="inlineStr">
        <is>
          <t>IF(OR(E292="",AO292=""),"",IF(COUNT(AG292:AN292)=0,"",AO292-LOOKUP(2,1/(AG292:AN292&lt;&gt;""),AG292:AN292)))</t>
        </is>
      </c>
      <c r="BC292" s="38" t="inlineStr">
        <is>
          <t>IF(OR(E292="",AP292=""),"",IF(COUNT(AG292:AO292)=0,"",AP292-LOOKUP(2,1/(AG292:AO292&lt;&gt;""),AG292:AO292)))</t>
        </is>
      </c>
      <c r="BD292" s="38" t="inlineStr">
        <is>
          <t>IF(OR(E292="",AQ292=""),"",IF(COUNT(AG292:AP292)=0,"",AQ292-LOOKUP(2,1/(AG292:AP292&lt;&gt;""),AG292:AP292)))</t>
        </is>
      </c>
      <c r="BE292" s="38" t="inlineStr">
        <is>
          <t>IF(OR(E292="",AR292=""),"",IF(COUNT(AG292:AQ292)=0,"",AR292-LOOKUP(2,1/(AG292:AQ292&lt;&gt;""),AG292:AQ292)))</t>
        </is>
      </c>
      <c r="BF292" s="38" t="inlineStr">
        <is>
          <t>IF(OR(E292="",AS292=""),"",IF(COUNT(AG292:AR292)=0,"",AS292-LOOKUP(2,1/(AG292:AR292&lt;&gt;""),AG292:AR292)))</t>
        </is>
      </c>
      <c r="BG292" s="38" t="inlineStr">
        <is>
          <t>IF(OR(E292="",AT292=""),"",IF(COUNT(AG292:AS292)=0,"",AT292-LOOKUP(2,1/(AG292:AS292&lt;&gt;""),AG292:AS292)))</t>
        </is>
      </c>
      <c r="BH292" s="41" t="inlineStr">
        <is>
          <t>IF(G292="","All_Provinces",IFERROR(VLOOKUP(G292,'07_Lookups'!$A$4:$B$20,2,FALSE),"All_Provinces"))</t>
        </is>
      </c>
      <c r="BI292" s="41" t="inlineStr">
        <is>
          <t>IF(H292="","All_Districts",IFERROR(VLOOKUP(H292,'07_Lookups'!$E$4:$F$42,2,FALSE),"All_Districts"))</t>
        </is>
      </c>
    </row>
    <row r="293" ht="18" customHeight="1">
      <c r="A293" s="32" t="inlineStr">
        <is>
          <t>IF(E293="","",ROW()-3)</t>
        </is>
      </c>
      <c r="B293" s="42" t="inlineStr">
        <is>
          <t>AF2-LLL-R-030</t>
        </is>
      </c>
      <c r="C293" s="42" t="inlineStr">
        <is>
          <t>Emergency Food Security Project (EFSP) – WBK/AF-2</t>
        </is>
      </c>
      <c r="D293" s="42" t="inlineStr">
        <is>
          <t>EFSP-AF2 LLL supply and delivery (50 units)</t>
        </is>
      </c>
      <c r="E293" s="42" t="inlineStr">
        <is>
          <t>Sarkay Lazhey irrigation scheme</t>
        </is>
      </c>
      <c r="F293" s="42" t="inlineStr">
        <is>
          <t>Laser Land Leveler (LLL)</t>
        </is>
      </c>
      <c r="G293" s="42" t="inlineStr">
        <is>
          <t>South / Kandahar</t>
        </is>
      </c>
      <c r="H293" s="42" t="inlineStr">
        <is>
          <t>Kandahar</t>
        </is>
      </c>
      <c r="I293" s="42" t="inlineStr">
        <is>
          <t>Spin Boldak</t>
        </is>
      </c>
      <c r="J293" s="42" t="inlineStr">
        <is>
          <t>1 unit(s)</t>
        </is>
      </c>
      <c r="K293" s="42" t="inlineStr">
        <is>
          <t>World Bank (WBK/AF-2)</t>
        </is>
      </c>
      <c r="L293" s="42" t="inlineStr">
        <is>
          <t>Remaining</t>
        </is>
      </c>
      <c r="M293" s="42" t="inlineStr">
        <is>
          <t>LLL supply</t>
        </is>
      </c>
      <c r="N293" s="42" t="inlineStr">
        <is>
          <t>6. Supply and delivery of LLL</t>
        </is>
      </c>
      <c r="O293" s="42" t="inlineStr"/>
      <c r="P293" s="42" t="inlineStr"/>
      <c r="Q293" s="43" t="n"/>
      <c r="R293" s="35" t="inlineStr">
        <is>
          <t>IF(AO293="","",AO293)</t>
        </is>
      </c>
      <c r="S293" s="44" t="n">
        <v>46325</v>
      </c>
      <c r="T293" s="45" t="n"/>
      <c r="U293" s="44" t="n">
        <v>46418</v>
      </c>
      <c r="V293" s="35" t="inlineStr">
        <is>
          <t>IF(U293&lt;&gt;"",U293,IF(OR(R293="",T293=""),"",EDATE(R293,T293)))</t>
        </is>
      </c>
      <c r="W293" s="44" t="n"/>
      <c r="X293" s="45" t="n"/>
      <c r="Y293" s="42" t="inlineStr">
        <is>
          <t>Under Awarding</t>
        </is>
      </c>
      <c r="Z293" s="42" t="inlineStr">
        <is>
          <t>The Procurement process is initiated in April and PO will be issued late October 2026. and delivery will be done by End of December 2026 and onward in January 2027 it is planned to be distributed to the selected beneficiaries.</t>
        </is>
      </c>
      <c r="AA293" s="32" t="inlineStr">
        <is>
          <t>IF(E293="","",IF(COUNT(AG293:AT293)=0,IF(Y293="","Not started",Y293),SUBSTITUTE(LOOKUP(2,1/(AG293:AT293&lt;&gt;""),$AG$3:$AT$3),"Date: ","")))</t>
        </is>
      </c>
      <c r="AB293" s="38" t="inlineStr">
        <is>
          <t>IF(OR(E293="",COUNT(AG293:AT293)=0),"",TODAY()-LOOKUP(2,1/(AG293:AT293&lt;&gt;""),AG293:AT293))</t>
        </is>
      </c>
      <c r="AC293" s="38" t="inlineStr">
        <is>
          <t>IF(OR(E293="",COUNT(AG293:AT293)&lt;2),"",LOOKUP(2,1/(AG293:AT293&lt;&gt;""),AG293:AT293)-MIN(AG293:AT293))</t>
        </is>
      </c>
      <c r="AD293" s="38" t="inlineStr">
        <is>
          <t>IF(OR(AB293="",AA293="Not started",AA293=""),"",IFERROR(AB293-IF(VLOOKUP(AA293,'04_Status_Pipeline'!$B$3:$E$20,4,FALSE)="",0,VLOOKUP(AA293,'04_Status_Pipeline'!$B$3:$E$20,4,FALSE)),""))</t>
        </is>
      </c>
      <c r="AE293" s="32" t="inlineStr">
        <is>
          <t>IF(E293="","",IF(OR(Y293="Cancelled",AA293="Cancelled"),"Cancelled",IF(OR(AA293="Completed / Handover",W293&lt;&gt;"",X293&gt;=100),"Completed — on track",IF(L293="Remaining",IF(S293="",IF(V293="","No planned date",IF(TODAY()&gt;V293,"Behind — past planned date",IF(V293-TODAY()&lt;=30,"At risk — close to off track","On track"))),IF(TODAY()&gt;S293,"Behind — award date passed",IF(S293-TODAY()&lt;=30,"At risk — close to off track","On track"))),IF(V293="","No planned date",IF(AND(TODAY()&gt;V293,OR(X293="",X293&lt;100)),"Behind — past end date",IF(AND(R293&lt;&gt;"",V293&lt;&gt;"",X293&lt;&gt;"",(X293&lt;100),((TODAY()-R293)/MAX(V293-R293,1)*100)-X293&gt;15),"Behind — progress lag",IF(AND(V293-TODAY()&lt;=30,V293-TODAY()&gt;=0,OR(X293="",X293&lt;90)),"At risk — close to off track","On track"))))))))</t>
        </is>
      </c>
      <c r="AF293" s="38" t="inlineStr">
        <is>
          <t>IF(OR(E293="",AA293="Completed / Handover",AA293="Cancelled"),"",IF(L293="Remaining",IF(S293&lt;&gt;"",S293-TODAY(),IF(V293="","",V293-TODAY())),IF(V293="","",V293-TODAY())))</t>
        </is>
      </c>
      <c r="AG293" s="44" t="n"/>
      <c r="AH293" s="44" t="n"/>
      <c r="AI293" s="44" t="n"/>
      <c r="AJ293" s="44" t="n"/>
      <c r="AK293" s="44" t="n"/>
      <c r="AL293" s="44" t="n"/>
      <c r="AM293" s="44" t="n"/>
      <c r="AN293" s="44" t="n"/>
      <c r="AO293" s="44" t="n"/>
      <c r="AP293" s="44" t="n"/>
      <c r="AQ293" s="44" t="n"/>
      <c r="AR293" s="40" t="n"/>
      <c r="AS293" s="40" t="n"/>
      <c r="AT293" s="40" t="n"/>
      <c r="AU293" s="38" t="inlineStr">
        <is>
          <t>IF(OR(E293="",AH293=""),"",IF(COUNT(AG293:AG293)=0,"",AH293-LOOKUP(2,1/(AG293:AG293&lt;&gt;""),AG293:AG293)))</t>
        </is>
      </c>
      <c r="AV293" s="38" t="inlineStr">
        <is>
          <t>IF(OR(E293="",AI293=""),"",IF(COUNT(AG293:AH293)=0,"",AI293-LOOKUP(2,1/(AG293:AH293&lt;&gt;""),AG293:AH293)))</t>
        </is>
      </c>
      <c r="AW293" s="38" t="inlineStr">
        <is>
          <t>IF(OR(E293="",AJ293=""),"",IF(COUNT(AG293:AI293)=0,"",AJ293-LOOKUP(2,1/(AG293:AI293&lt;&gt;""),AG293:AI293)))</t>
        </is>
      </c>
      <c r="AX293" s="38" t="inlineStr">
        <is>
          <t>IF(OR(E293="",AK293=""),"",IF(COUNT(AG293:AJ293)=0,"",AK293-LOOKUP(2,1/(AG293:AJ293&lt;&gt;""),AG293:AJ293)))</t>
        </is>
      </c>
      <c r="AY293" s="38" t="inlineStr">
        <is>
          <t>IF(OR(E293="",AL293=""),"",IF(COUNT(AG293:AK293)=0,"",AL293-LOOKUP(2,1/(AG293:AK293&lt;&gt;""),AG293:AK293)))</t>
        </is>
      </c>
      <c r="AZ293" s="38" t="inlineStr">
        <is>
          <t>IF(OR(E293="",AM293=""),"",IF(COUNT(AG293:AL293)=0,"",AM293-LOOKUP(2,1/(AG293:AL293&lt;&gt;""),AG293:AL293)))</t>
        </is>
      </c>
      <c r="BA293" s="38" t="inlineStr">
        <is>
          <t>IF(OR(E293="",AN293=""),"",IF(COUNT(AG293:AM293)=0,"",AN293-LOOKUP(2,1/(AG293:AM293&lt;&gt;""),AG293:AM293)))</t>
        </is>
      </c>
      <c r="BB293" s="38" t="inlineStr">
        <is>
          <t>IF(OR(E293="",AO293=""),"",IF(COUNT(AG293:AN293)=0,"",AO293-LOOKUP(2,1/(AG293:AN293&lt;&gt;""),AG293:AN293)))</t>
        </is>
      </c>
      <c r="BC293" s="38" t="inlineStr">
        <is>
          <t>IF(OR(E293="",AP293=""),"",IF(COUNT(AG293:AO293)=0,"",AP293-LOOKUP(2,1/(AG293:AO293&lt;&gt;""),AG293:AO293)))</t>
        </is>
      </c>
      <c r="BD293" s="38" t="inlineStr">
        <is>
          <t>IF(OR(E293="",AQ293=""),"",IF(COUNT(AG293:AP293)=0,"",AQ293-LOOKUP(2,1/(AG293:AP293&lt;&gt;""),AG293:AP293)))</t>
        </is>
      </c>
      <c r="BE293" s="38" t="inlineStr">
        <is>
          <t>IF(OR(E293="",AR293=""),"",IF(COUNT(AG293:AQ293)=0,"",AR293-LOOKUP(2,1/(AG293:AQ293&lt;&gt;""),AG293:AQ293)))</t>
        </is>
      </c>
      <c r="BF293" s="38" t="inlineStr">
        <is>
          <t>IF(OR(E293="",AS293=""),"",IF(COUNT(AG293:AR293)=0,"",AS293-LOOKUP(2,1/(AG293:AR293&lt;&gt;""),AG293:AR293)))</t>
        </is>
      </c>
      <c r="BG293" s="38" t="inlineStr">
        <is>
          <t>IF(OR(E293="",AT293=""),"",IF(COUNT(AG293:AS293)=0,"",AT293-LOOKUP(2,1/(AG293:AS293&lt;&gt;""),AG293:AS293)))</t>
        </is>
      </c>
      <c r="BH293" s="41" t="inlineStr">
        <is>
          <t>IF(G293="","All_Provinces",IFERROR(VLOOKUP(G293,'07_Lookups'!$A$4:$B$20,2,FALSE),"All_Provinces"))</t>
        </is>
      </c>
      <c r="BI293" s="41" t="inlineStr">
        <is>
          <t>IF(H293="","All_Districts",IFERROR(VLOOKUP(H293,'07_Lookups'!$E$4:$F$42,2,FALSE),"All_Districts"))</t>
        </is>
      </c>
    </row>
    <row r="294" ht="18" customHeight="1">
      <c r="A294" s="32" t="inlineStr">
        <is>
          <t>IF(E294="","",ROW()-3)</t>
        </is>
      </c>
      <c r="B294" s="33" t="inlineStr">
        <is>
          <t>AF2-LLL-R-031</t>
        </is>
      </c>
      <c r="C294" s="33" t="inlineStr">
        <is>
          <t>Emergency Food Security Project (EFSP) – WBK/AF-2</t>
        </is>
      </c>
      <c r="D294" s="33" t="inlineStr">
        <is>
          <t>EFSP-AF2 LLL supply and delivery (50 units)</t>
        </is>
      </c>
      <c r="E294" s="33" t="inlineStr">
        <is>
          <t>Patab irrigation scheme</t>
        </is>
      </c>
      <c r="F294" s="33" t="inlineStr">
        <is>
          <t>Laser Land Leveler (LLL)</t>
        </is>
      </c>
      <c r="G294" s="33" t="inlineStr">
        <is>
          <t>South / Kandahar</t>
        </is>
      </c>
      <c r="H294" s="33" t="inlineStr">
        <is>
          <t>Urozgan</t>
        </is>
      </c>
      <c r="I294" s="33" t="inlineStr">
        <is>
          <t>Khas Urozgan</t>
        </is>
      </c>
      <c r="J294" s="33" t="inlineStr">
        <is>
          <t>1 unit(s)</t>
        </is>
      </c>
      <c r="K294" s="33" t="inlineStr">
        <is>
          <t>World Bank (WBK/AF-2)</t>
        </is>
      </c>
      <c r="L294" s="33" t="inlineStr">
        <is>
          <t>Remaining</t>
        </is>
      </c>
      <c r="M294" s="33" t="inlineStr">
        <is>
          <t>LLL supply</t>
        </is>
      </c>
      <c r="N294" s="33" t="inlineStr">
        <is>
          <t>6. Supply and delivery of LLL</t>
        </is>
      </c>
      <c r="O294" s="33" t="inlineStr"/>
      <c r="P294" s="33" t="inlineStr"/>
      <c r="Q294" s="34" t="n"/>
      <c r="R294" s="35" t="inlineStr">
        <is>
          <t>IF(AO294="","",AO294)</t>
        </is>
      </c>
      <c r="S294" s="36" t="n">
        <v>46325</v>
      </c>
      <c r="T294" s="37" t="n"/>
      <c r="U294" s="36" t="n">
        <v>46418</v>
      </c>
      <c r="V294" s="35" t="inlineStr">
        <is>
          <t>IF(U294&lt;&gt;"",U294,IF(OR(R294="",T294=""),"",EDATE(R294,T294)))</t>
        </is>
      </c>
      <c r="W294" s="36" t="n"/>
      <c r="X294" s="37" t="n"/>
      <c r="Y294" s="33" t="inlineStr">
        <is>
          <t>Under Awarding</t>
        </is>
      </c>
      <c r="Z294" s="33" t="inlineStr">
        <is>
          <t>The Procurement process is initiated in April and PO will be issued late October 2026. and delivery will be done by End of December 2026 and onward in January 2027 it is planned to be distributed to the selected beneficiaries.</t>
        </is>
      </c>
      <c r="AA294" s="32" t="inlineStr">
        <is>
          <t>IF(E294="","",IF(COUNT(AG294:AT294)=0,IF(Y294="","Not started",Y294),SUBSTITUTE(LOOKUP(2,1/(AG294:AT294&lt;&gt;""),$AG$3:$AT$3),"Date: ","")))</t>
        </is>
      </c>
      <c r="AB294" s="38" t="inlineStr">
        <is>
          <t>IF(OR(E294="",COUNT(AG294:AT294)=0),"",TODAY()-LOOKUP(2,1/(AG294:AT294&lt;&gt;""),AG294:AT294))</t>
        </is>
      </c>
      <c r="AC294" s="38" t="inlineStr">
        <is>
          <t>IF(OR(E294="",COUNT(AG294:AT294)&lt;2),"",LOOKUP(2,1/(AG294:AT294&lt;&gt;""),AG294:AT294)-MIN(AG294:AT294))</t>
        </is>
      </c>
      <c r="AD294" s="38" t="inlineStr">
        <is>
          <t>IF(OR(AB294="",AA294="Not started",AA294=""),"",IFERROR(AB294-IF(VLOOKUP(AA294,'04_Status_Pipeline'!$B$3:$E$20,4,FALSE)="",0,VLOOKUP(AA294,'04_Status_Pipeline'!$B$3:$E$20,4,FALSE)),""))</t>
        </is>
      </c>
      <c r="AE294" s="32" t="inlineStr">
        <is>
          <t>IF(E294="","",IF(OR(Y294="Cancelled",AA294="Cancelled"),"Cancelled",IF(OR(AA294="Completed / Handover",W294&lt;&gt;"",X294&gt;=100),"Completed — on track",IF(L294="Remaining",IF(S294="",IF(V294="","No planned date",IF(TODAY()&gt;V294,"Behind — past planned date",IF(V294-TODAY()&lt;=30,"At risk — close to off track","On track"))),IF(TODAY()&gt;S294,"Behind — award date passed",IF(S294-TODAY()&lt;=30,"At risk — close to off track","On track"))),IF(V294="","No planned date",IF(AND(TODAY()&gt;V294,OR(X294="",X294&lt;100)),"Behind — past end date",IF(AND(R294&lt;&gt;"",V294&lt;&gt;"",X294&lt;&gt;"",(X294&lt;100),((TODAY()-R294)/MAX(V294-R294,1)*100)-X294&gt;15),"Behind — progress lag",IF(AND(V294-TODAY()&lt;=30,V294-TODAY()&gt;=0,OR(X294="",X294&lt;90)),"At risk — close to off track","On track"))))))))</t>
        </is>
      </c>
      <c r="AF294" s="38" t="inlineStr">
        <is>
          <t>IF(OR(E294="",AA294="Completed / Handover",AA294="Cancelled"),"",IF(L294="Remaining",IF(S294&lt;&gt;"",S294-TODAY(),IF(V294="","",V294-TODAY())),IF(V294="","",V294-TODAY())))</t>
        </is>
      </c>
      <c r="AG294" s="36" t="n"/>
      <c r="AH294" s="36" t="n"/>
      <c r="AI294" s="36" t="n"/>
      <c r="AJ294" s="36" t="n"/>
      <c r="AK294" s="36" t="n"/>
      <c r="AL294" s="36" t="n"/>
      <c r="AM294" s="36" t="n"/>
      <c r="AN294" s="36" t="n"/>
      <c r="AO294" s="36" t="n"/>
      <c r="AP294" s="36" t="n"/>
      <c r="AQ294" s="36" t="n"/>
      <c r="AR294" s="40" t="n"/>
      <c r="AS294" s="40" t="n"/>
      <c r="AT294" s="40" t="n"/>
      <c r="AU294" s="38" t="inlineStr">
        <is>
          <t>IF(OR(E294="",AH294=""),"",IF(COUNT(AG294:AG294)=0,"",AH294-LOOKUP(2,1/(AG294:AG294&lt;&gt;""),AG294:AG294)))</t>
        </is>
      </c>
      <c r="AV294" s="38" t="inlineStr">
        <is>
          <t>IF(OR(E294="",AI294=""),"",IF(COUNT(AG294:AH294)=0,"",AI294-LOOKUP(2,1/(AG294:AH294&lt;&gt;""),AG294:AH294)))</t>
        </is>
      </c>
      <c r="AW294" s="38" t="inlineStr">
        <is>
          <t>IF(OR(E294="",AJ294=""),"",IF(COUNT(AG294:AI294)=0,"",AJ294-LOOKUP(2,1/(AG294:AI294&lt;&gt;""),AG294:AI294)))</t>
        </is>
      </c>
      <c r="AX294" s="38" t="inlineStr">
        <is>
          <t>IF(OR(E294="",AK294=""),"",IF(COUNT(AG294:AJ294)=0,"",AK294-LOOKUP(2,1/(AG294:AJ294&lt;&gt;""),AG294:AJ294)))</t>
        </is>
      </c>
      <c r="AY294" s="38" t="inlineStr">
        <is>
          <t>IF(OR(E294="",AL294=""),"",IF(COUNT(AG294:AK294)=0,"",AL294-LOOKUP(2,1/(AG294:AK294&lt;&gt;""),AG294:AK294)))</t>
        </is>
      </c>
      <c r="AZ294" s="38" t="inlineStr">
        <is>
          <t>IF(OR(E294="",AM294=""),"",IF(COUNT(AG294:AL294)=0,"",AM294-LOOKUP(2,1/(AG294:AL294&lt;&gt;""),AG294:AL294)))</t>
        </is>
      </c>
      <c r="BA294" s="38" t="inlineStr">
        <is>
          <t>IF(OR(E294="",AN294=""),"",IF(COUNT(AG294:AM294)=0,"",AN294-LOOKUP(2,1/(AG294:AM294&lt;&gt;""),AG294:AM294)))</t>
        </is>
      </c>
      <c r="BB294" s="38" t="inlineStr">
        <is>
          <t>IF(OR(E294="",AO294=""),"",IF(COUNT(AG294:AN294)=0,"",AO294-LOOKUP(2,1/(AG294:AN294&lt;&gt;""),AG294:AN294)))</t>
        </is>
      </c>
      <c r="BC294" s="38" t="inlineStr">
        <is>
          <t>IF(OR(E294="",AP294=""),"",IF(COUNT(AG294:AO294)=0,"",AP294-LOOKUP(2,1/(AG294:AO294&lt;&gt;""),AG294:AO294)))</t>
        </is>
      </c>
      <c r="BD294" s="38" t="inlineStr">
        <is>
          <t>IF(OR(E294="",AQ294=""),"",IF(COUNT(AG294:AP294)=0,"",AQ294-LOOKUP(2,1/(AG294:AP294&lt;&gt;""),AG294:AP294)))</t>
        </is>
      </c>
      <c r="BE294" s="38" t="inlineStr">
        <is>
          <t>IF(OR(E294="",AR294=""),"",IF(COUNT(AG294:AQ294)=0,"",AR294-LOOKUP(2,1/(AG294:AQ294&lt;&gt;""),AG294:AQ294)))</t>
        </is>
      </c>
      <c r="BF294" s="38" t="inlineStr">
        <is>
          <t>IF(OR(E294="",AS294=""),"",IF(COUNT(AG294:AR294)=0,"",AS294-LOOKUP(2,1/(AG294:AR294&lt;&gt;""),AG294:AR294)))</t>
        </is>
      </c>
      <c r="BG294" s="38" t="inlineStr">
        <is>
          <t>IF(OR(E294="",AT294=""),"",IF(COUNT(AG294:AS294)=0,"",AT294-LOOKUP(2,1/(AG294:AS294&lt;&gt;""),AG294:AS294)))</t>
        </is>
      </c>
      <c r="BH294" s="41" t="inlineStr">
        <is>
          <t>IF(G294="","All_Provinces",IFERROR(VLOOKUP(G294,'07_Lookups'!$A$4:$B$20,2,FALSE),"All_Provinces"))</t>
        </is>
      </c>
      <c r="BI294" s="41" t="inlineStr">
        <is>
          <t>IF(H294="","All_Districts",IFERROR(VLOOKUP(H294,'07_Lookups'!$E$4:$F$42,2,FALSE),"All_Districts"))</t>
        </is>
      </c>
    </row>
    <row r="295" ht="18" customHeight="1">
      <c r="A295" s="32" t="inlineStr">
        <is>
          <t>IF(E295="","",ROW()-3)</t>
        </is>
      </c>
      <c r="B295" s="42" t="inlineStr">
        <is>
          <t>AF2-LLL-R-032</t>
        </is>
      </c>
      <c r="C295" s="42" t="inlineStr">
        <is>
          <t>Emergency Food Security Project (EFSP) – WBK/AF-2</t>
        </is>
      </c>
      <c r="D295" s="42" t="inlineStr">
        <is>
          <t>EFSP-AF2 LLL supply and delivery (50 units)</t>
        </is>
      </c>
      <c r="E295" s="42" t="inlineStr">
        <is>
          <t>Nahri Siraj irrigation scheme</t>
        </is>
      </c>
      <c r="F295" s="42" t="inlineStr">
        <is>
          <t>Laser Land Leveler (LLL)</t>
        </is>
      </c>
      <c r="G295" s="42" t="inlineStr">
        <is>
          <t>South / Kandahar</t>
        </is>
      </c>
      <c r="H295" s="42" t="inlineStr">
        <is>
          <t>Helamand</t>
        </is>
      </c>
      <c r="I295" s="42" t="inlineStr">
        <is>
          <t>Nahri Siraj</t>
        </is>
      </c>
      <c r="J295" s="42" t="inlineStr">
        <is>
          <t>1 unit(s)</t>
        </is>
      </c>
      <c r="K295" s="42" t="inlineStr">
        <is>
          <t>World Bank (WBK/AF-2)</t>
        </is>
      </c>
      <c r="L295" s="42" t="inlineStr">
        <is>
          <t>Remaining</t>
        </is>
      </c>
      <c r="M295" s="42" t="inlineStr">
        <is>
          <t>LLL supply</t>
        </is>
      </c>
      <c r="N295" s="42" t="inlineStr">
        <is>
          <t>6. Supply and delivery of LLL</t>
        </is>
      </c>
      <c r="O295" s="42" t="inlineStr"/>
      <c r="P295" s="42" t="inlineStr"/>
      <c r="Q295" s="43" t="n"/>
      <c r="R295" s="35" t="inlineStr">
        <is>
          <t>IF(AO295="","",AO295)</t>
        </is>
      </c>
      <c r="S295" s="44" t="n">
        <v>46325</v>
      </c>
      <c r="T295" s="45" t="n"/>
      <c r="U295" s="44" t="n">
        <v>46418</v>
      </c>
      <c r="V295" s="35" t="inlineStr">
        <is>
          <t>IF(U295&lt;&gt;"",U295,IF(OR(R295="",T295=""),"",EDATE(R295,T295)))</t>
        </is>
      </c>
      <c r="W295" s="44" t="n"/>
      <c r="X295" s="45" t="n"/>
      <c r="Y295" s="42" t="inlineStr">
        <is>
          <t>Under Awarding</t>
        </is>
      </c>
      <c r="Z295" s="42" t="inlineStr">
        <is>
          <t>The Procurement process is initiated in April and PO will be issued late October 2026. and delivery will be done by End of December 2026 and onward in January 2027 it is planned to be distributed to the selected beneficiaries.</t>
        </is>
      </c>
      <c r="AA295" s="32" t="inlineStr">
        <is>
          <t>IF(E295="","",IF(COUNT(AG295:AT295)=0,IF(Y295="","Not started",Y295),SUBSTITUTE(LOOKUP(2,1/(AG295:AT295&lt;&gt;""),$AG$3:$AT$3),"Date: ","")))</t>
        </is>
      </c>
      <c r="AB295" s="38" t="inlineStr">
        <is>
          <t>IF(OR(E295="",COUNT(AG295:AT295)=0),"",TODAY()-LOOKUP(2,1/(AG295:AT295&lt;&gt;""),AG295:AT295))</t>
        </is>
      </c>
      <c r="AC295" s="38" t="inlineStr">
        <is>
          <t>IF(OR(E295="",COUNT(AG295:AT295)&lt;2),"",LOOKUP(2,1/(AG295:AT295&lt;&gt;""),AG295:AT295)-MIN(AG295:AT295))</t>
        </is>
      </c>
      <c r="AD295" s="38" t="inlineStr">
        <is>
          <t>IF(OR(AB295="",AA295="Not started",AA295=""),"",IFERROR(AB295-IF(VLOOKUP(AA295,'04_Status_Pipeline'!$B$3:$E$20,4,FALSE)="",0,VLOOKUP(AA295,'04_Status_Pipeline'!$B$3:$E$20,4,FALSE)),""))</t>
        </is>
      </c>
      <c r="AE295" s="32" t="inlineStr">
        <is>
          <t>IF(E295="","",IF(OR(Y295="Cancelled",AA295="Cancelled"),"Cancelled",IF(OR(AA295="Completed / Handover",W295&lt;&gt;"",X295&gt;=100),"Completed — on track",IF(L295="Remaining",IF(S295="",IF(V295="","No planned date",IF(TODAY()&gt;V295,"Behind — past planned date",IF(V295-TODAY()&lt;=30,"At risk — close to off track","On track"))),IF(TODAY()&gt;S295,"Behind — award date passed",IF(S295-TODAY()&lt;=30,"At risk — close to off track","On track"))),IF(V295="","No planned date",IF(AND(TODAY()&gt;V295,OR(X295="",X295&lt;100)),"Behind — past end date",IF(AND(R295&lt;&gt;"",V295&lt;&gt;"",X295&lt;&gt;"",(X295&lt;100),((TODAY()-R295)/MAX(V295-R295,1)*100)-X295&gt;15),"Behind — progress lag",IF(AND(V295-TODAY()&lt;=30,V295-TODAY()&gt;=0,OR(X295="",X295&lt;90)),"At risk — close to off track","On track"))))))))</t>
        </is>
      </c>
      <c r="AF295" s="38" t="inlineStr">
        <is>
          <t>IF(OR(E295="",AA295="Completed / Handover",AA295="Cancelled"),"",IF(L295="Remaining",IF(S295&lt;&gt;"",S295-TODAY(),IF(V295="","",V295-TODAY())),IF(V295="","",V295-TODAY())))</t>
        </is>
      </c>
      <c r="AG295" s="44" t="n"/>
      <c r="AH295" s="44" t="n"/>
      <c r="AI295" s="44" t="n"/>
      <c r="AJ295" s="44" t="n"/>
      <c r="AK295" s="44" t="n"/>
      <c r="AL295" s="44" t="n"/>
      <c r="AM295" s="44" t="n"/>
      <c r="AN295" s="44" t="n"/>
      <c r="AO295" s="44" t="n"/>
      <c r="AP295" s="44" t="n"/>
      <c r="AQ295" s="44" t="n"/>
      <c r="AR295" s="40" t="n"/>
      <c r="AS295" s="40" t="n"/>
      <c r="AT295" s="40" t="n"/>
      <c r="AU295" s="38" t="inlineStr">
        <is>
          <t>IF(OR(E295="",AH295=""),"",IF(COUNT(AG295:AG295)=0,"",AH295-LOOKUP(2,1/(AG295:AG295&lt;&gt;""),AG295:AG295)))</t>
        </is>
      </c>
      <c r="AV295" s="38" t="inlineStr">
        <is>
          <t>IF(OR(E295="",AI295=""),"",IF(COUNT(AG295:AH295)=0,"",AI295-LOOKUP(2,1/(AG295:AH295&lt;&gt;""),AG295:AH295)))</t>
        </is>
      </c>
      <c r="AW295" s="38" t="inlineStr">
        <is>
          <t>IF(OR(E295="",AJ295=""),"",IF(COUNT(AG295:AI295)=0,"",AJ295-LOOKUP(2,1/(AG295:AI295&lt;&gt;""),AG295:AI295)))</t>
        </is>
      </c>
      <c r="AX295" s="38" t="inlineStr">
        <is>
          <t>IF(OR(E295="",AK295=""),"",IF(COUNT(AG295:AJ295)=0,"",AK295-LOOKUP(2,1/(AG295:AJ295&lt;&gt;""),AG295:AJ295)))</t>
        </is>
      </c>
      <c r="AY295" s="38" t="inlineStr">
        <is>
          <t>IF(OR(E295="",AL295=""),"",IF(COUNT(AG295:AK295)=0,"",AL295-LOOKUP(2,1/(AG295:AK295&lt;&gt;""),AG295:AK295)))</t>
        </is>
      </c>
      <c r="AZ295" s="38" t="inlineStr">
        <is>
          <t>IF(OR(E295="",AM295=""),"",IF(COUNT(AG295:AL295)=0,"",AM295-LOOKUP(2,1/(AG295:AL295&lt;&gt;""),AG295:AL295)))</t>
        </is>
      </c>
      <c r="BA295" s="38" t="inlineStr">
        <is>
          <t>IF(OR(E295="",AN295=""),"",IF(COUNT(AG295:AM295)=0,"",AN295-LOOKUP(2,1/(AG295:AM295&lt;&gt;""),AG295:AM295)))</t>
        </is>
      </c>
      <c r="BB295" s="38" t="inlineStr">
        <is>
          <t>IF(OR(E295="",AO295=""),"",IF(COUNT(AG295:AN295)=0,"",AO295-LOOKUP(2,1/(AG295:AN295&lt;&gt;""),AG295:AN295)))</t>
        </is>
      </c>
      <c r="BC295" s="38" t="inlineStr">
        <is>
          <t>IF(OR(E295="",AP295=""),"",IF(COUNT(AG295:AO295)=0,"",AP295-LOOKUP(2,1/(AG295:AO295&lt;&gt;""),AG295:AO295)))</t>
        </is>
      </c>
      <c r="BD295" s="38" t="inlineStr">
        <is>
          <t>IF(OR(E295="",AQ295=""),"",IF(COUNT(AG295:AP295)=0,"",AQ295-LOOKUP(2,1/(AG295:AP295&lt;&gt;""),AG295:AP295)))</t>
        </is>
      </c>
      <c r="BE295" s="38" t="inlineStr">
        <is>
          <t>IF(OR(E295="",AR295=""),"",IF(COUNT(AG295:AQ295)=0,"",AR295-LOOKUP(2,1/(AG295:AQ295&lt;&gt;""),AG295:AQ295)))</t>
        </is>
      </c>
      <c r="BF295" s="38" t="inlineStr">
        <is>
          <t>IF(OR(E295="",AS295=""),"",IF(COUNT(AG295:AR295)=0,"",AS295-LOOKUP(2,1/(AG295:AR295&lt;&gt;""),AG295:AR295)))</t>
        </is>
      </c>
      <c r="BG295" s="38" t="inlineStr">
        <is>
          <t>IF(OR(E295="",AT295=""),"",IF(COUNT(AG295:AS295)=0,"",AT295-LOOKUP(2,1/(AG295:AS295&lt;&gt;""),AG295:AS295)))</t>
        </is>
      </c>
      <c r="BH295" s="41" t="inlineStr">
        <is>
          <t>IF(G295="","All_Provinces",IFERROR(VLOOKUP(G295,'07_Lookups'!$A$4:$B$20,2,FALSE),"All_Provinces"))</t>
        </is>
      </c>
      <c r="BI295" s="41" t="inlineStr">
        <is>
          <t>IF(H295="","All_Districts",IFERROR(VLOOKUP(H295,'07_Lookups'!$E$4:$F$42,2,FALSE),"All_Districts"))</t>
        </is>
      </c>
    </row>
    <row r="296" ht="18" customHeight="1">
      <c r="A296" s="32" t="inlineStr">
        <is>
          <t>IF(E296="","",ROW()-3)</t>
        </is>
      </c>
      <c r="B296" s="33" t="inlineStr">
        <is>
          <t>AF2-LLL-R-033</t>
        </is>
      </c>
      <c r="C296" s="33" t="inlineStr">
        <is>
          <t>Emergency Food Security Project (EFSP) – WBK/AF-2</t>
        </is>
      </c>
      <c r="D296" s="33" t="inlineStr">
        <is>
          <t>EFSP-AF2 LLL supply and delivery (50 units)</t>
        </is>
      </c>
      <c r="E296" s="33" t="inlineStr">
        <is>
          <t>Shawarooz irrigation scheme</t>
        </is>
      </c>
      <c r="F296" s="33" t="inlineStr">
        <is>
          <t>Laser Land Leveler (LLL)</t>
        </is>
      </c>
      <c r="G296" s="33" t="inlineStr">
        <is>
          <t>South / Kandahar</t>
        </is>
      </c>
      <c r="H296" s="33" t="inlineStr">
        <is>
          <t>Zabul</t>
        </is>
      </c>
      <c r="I296" s="33" t="inlineStr">
        <is>
          <t>Khak e Afghan</t>
        </is>
      </c>
      <c r="J296" s="33" t="inlineStr">
        <is>
          <t>1 unit(s)</t>
        </is>
      </c>
      <c r="K296" s="33" t="inlineStr">
        <is>
          <t>World Bank (WBK/AF-2)</t>
        </is>
      </c>
      <c r="L296" s="33" t="inlineStr">
        <is>
          <t>Remaining</t>
        </is>
      </c>
      <c r="M296" s="33" t="inlineStr">
        <is>
          <t>LLL supply</t>
        </is>
      </c>
      <c r="N296" s="33" t="inlineStr">
        <is>
          <t>6. Supply and delivery of LLL</t>
        </is>
      </c>
      <c r="O296" s="33" t="inlineStr"/>
      <c r="P296" s="33" t="inlineStr"/>
      <c r="Q296" s="34" t="n"/>
      <c r="R296" s="35" t="inlineStr">
        <is>
          <t>IF(AO296="","",AO296)</t>
        </is>
      </c>
      <c r="S296" s="36" t="n">
        <v>46325</v>
      </c>
      <c r="T296" s="37" t="n"/>
      <c r="U296" s="36" t="n">
        <v>46418</v>
      </c>
      <c r="V296" s="35" t="inlineStr">
        <is>
          <t>IF(U296&lt;&gt;"",U296,IF(OR(R296="",T296=""),"",EDATE(R296,T296)))</t>
        </is>
      </c>
      <c r="W296" s="36" t="n"/>
      <c r="X296" s="37" t="n"/>
      <c r="Y296" s="33" t="inlineStr">
        <is>
          <t>Under Awarding</t>
        </is>
      </c>
      <c r="Z296" s="33" t="inlineStr">
        <is>
          <t>The Procurement process is initiated in April and PO will be issued late October 2026. and delivery will be done by End of December 2026 and onward in January 2027 it is planned to be distributed to the selected beneficiaries.</t>
        </is>
      </c>
      <c r="AA296" s="32" t="inlineStr">
        <is>
          <t>IF(E296="","",IF(COUNT(AG296:AT296)=0,IF(Y296="","Not started",Y296),SUBSTITUTE(LOOKUP(2,1/(AG296:AT296&lt;&gt;""),$AG$3:$AT$3),"Date: ","")))</t>
        </is>
      </c>
      <c r="AB296" s="38" t="inlineStr">
        <is>
          <t>IF(OR(E296="",COUNT(AG296:AT296)=0),"",TODAY()-LOOKUP(2,1/(AG296:AT296&lt;&gt;""),AG296:AT296))</t>
        </is>
      </c>
      <c r="AC296" s="38" t="inlineStr">
        <is>
          <t>IF(OR(E296="",COUNT(AG296:AT296)&lt;2),"",LOOKUP(2,1/(AG296:AT296&lt;&gt;""),AG296:AT296)-MIN(AG296:AT296))</t>
        </is>
      </c>
      <c r="AD296" s="38" t="inlineStr">
        <is>
          <t>IF(OR(AB296="",AA296="Not started",AA296=""),"",IFERROR(AB296-IF(VLOOKUP(AA296,'04_Status_Pipeline'!$B$3:$E$20,4,FALSE)="",0,VLOOKUP(AA296,'04_Status_Pipeline'!$B$3:$E$20,4,FALSE)),""))</t>
        </is>
      </c>
      <c r="AE296" s="32" t="inlineStr">
        <is>
          <t>IF(E296="","",IF(OR(Y296="Cancelled",AA296="Cancelled"),"Cancelled",IF(OR(AA296="Completed / Handover",W296&lt;&gt;"",X296&gt;=100),"Completed — on track",IF(L296="Remaining",IF(S296="",IF(V296="","No planned date",IF(TODAY()&gt;V296,"Behind — past planned date",IF(V296-TODAY()&lt;=30,"At risk — close to off track","On track"))),IF(TODAY()&gt;S296,"Behind — award date passed",IF(S296-TODAY()&lt;=30,"At risk — close to off track","On track"))),IF(V296="","No planned date",IF(AND(TODAY()&gt;V296,OR(X296="",X296&lt;100)),"Behind — past end date",IF(AND(R296&lt;&gt;"",V296&lt;&gt;"",X296&lt;&gt;"",(X296&lt;100),((TODAY()-R296)/MAX(V296-R296,1)*100)-X296&gt;15),"Behind — progress lag",IF(AND(V296-TODAY()&lt;=30,V296-TODAY()&gt;=0,OR(X296="",X296&lt;90)),"At risk — close to off track","On track"))))))))</t>
        </is>
      </c>
      <c r="AF296" s="38" t="inlineStr">
        <is>
          <t>IF(OR(E296="",AA296="Completed / Handover",AA296="Cancelled"),"",IF(L296="Remaining",IF(S296&lt;&gt;"",S296-TODAY(),IF(V296="","",V296-TODAY())),IF(V296="","",V296-TODAY())))</t>
        </is>
      </c>
      <c r="AG296" s="36" t="n"/>
      <c r="AH296" s="36" t="n"/>
      <c r="AI296" s="36" t="n"/>
      <c r="AJ296" s="36" t="n"/>
      <c r="AK296" s="36" t="n"/>
      <c r="AL296" s="36" t="n"/>
      <c r="AM296" s="36" t="n"/>
      <c r="AN296" s="36" t="n"/>
      <c r="AO296" s="36" t="n"/>
      <c r="AP296" s="36" t="n"/>
      <c r="AQ296" s="36" t="n"/>
      <c r="AR296" s="40" t="n"/>
      <c r="AS296" s="40" t="n"/>
      <c r="AT296" s="40" t="n"/>
      <c r="AU296" s="38" t="inlineStr">
        <is>
          <t>IF(OR(E296="",AH296=""),"",IF(COUNT(AG296:AG296)=0,"",AH296-LOOKUP(2,1/(AG296:AG296&lt;&gt;""),AG296:AG296)))</t>
        </is>
      </c>
      <c r="AV296" s="38" t="inlineStr">
        <is>
          <t>IF(OR(E296="",AI296=""),"",IF(COUNT(AG296:AH296)=0,"",AI296-LOOKUP(2,1/(AG296:AH296&lt;&gt;""),AG296:AH296)))</t>
        </is>
      </c>
      <c r="AW296" s="38" t="inlineStr">
        <is>
          <t>IF(OR(E296="",AJ296=""),"",IF(COUNT(AG296:AI296)=0,"",AJ296-LOOKUP(2,1/(AG296:AI296&lt;&gt;""),AG296:AI296)))</t>
        </is>
      </c>
      <c r="AX296" s="38" t="inlineStr">
        <is>
          <t>IF(OR(E296="",AK296=""),"",IF(COUNT(AG296:AJ296)=0,"",AK296-LOOKUP(2,1/(AG296:AJ296&lt;&gt;""),AG296:AJ296)))</t>
        </is>
      </c>
      <c r="AY296" s="38" t="inlineStr">
        <is>
          <t>IF(OR(E296="",AL296=""),"",IF(COUNT(AG296:AK296)=0,"",AL296-LOOKUP(2,1/(AG296:AK296&lt;&gt;""),AG296:AK296)))</t>
        </is>
      </c>
      <c r="AZ296" s="38" t="inlineStr">
        <is>
          <t>IF(OR(E296="",AM296=""),"",IF(COUNT(AG296:AL296)=0,"",AM296-LOOKUP(2,1/(AG296:AL296&lt;&gt;""),AG296:AL296)))</t>
        </is>
      </c>
      <c r="BA296" s="38" t="inlineStr">
        <is>
          <t>IF(OR(E296="",AN296=""),"",IF(COUNT(AG296:AM296)=0,"",AN296-LOOKUP(2,1/(AG296:AM296&lt;&gt;""),AG296:AM296)))</t>
        </is>
      </c>
      <c r="BB296" s="38" t="inlineStr">
        <is>
          <t>IF(OR(E296="",AO296=""),"",IF(COUNT(AG296:AN296)=0,"",AO296-LOOKUP(2,1/(AG296:AN296&lt;&gt;""),AG296:AN296)))</t>
        </is>
      </c>
      <c r="BC296" s="38" t="inlineStr">
        <is>
          <t>IF(OR(E296="",AP296=""),"",IF(COUNT(AG296:AO296)=0,"",AP296-LOOKUP(2,1/(AG296:AO296&lt;&gt;""),AG296:AO296)))</t>
        </is>
      </c>
      <c r="BD296" s="38" t="inlineStr">
        <is>
          <t>IF(OR(E296="",AQ296=""),"",IF(COUNT(AG296:AP296)=0,"",AQ296-LOOKUP(2,1/(AG296:AP296&lt;&gt;""),AG296:AP296)))</t>
        </is>
      </c>
      <c r="BE296" s="38" t="inlineStr">
        <is>
          <t>IF(OR(E296="",AR296=""),"",IF(COUNT(AG296:AQ296)=0,"",AR296-LOOKUP(2,1/(AG296:AQ296&lt;&gt;""),AG296:AQ296)))</t>
        </is>
      </c>
      <c r="BF296" s="38" t="inlineStr">
        <is>
          <t>IF(OR(E296="",AS296=""),"",IF(COUNT(AG296:AR296)=0,"",AS296-LOOKUP(2,1/(AG296:AR296&lt;&gt;""),AG296:AR296)))</t>
        </is>
      </c>
      <c r="BG296" s="38" t="inlineStr">
        <is>
          <t>IF(OR(E296="",AT296=""),"",IF(COUNT(AG296:AS296)=0,"",AT296-LOOKUP(2,1/(AG296:AS296&lt;&gt;""),AG296:AS296)))</t>
        </is>
      </c>
      <c r="BH296" s="41" t="inlineStr">
        <is>
          <t>IF(G296="","All_Provinces",IFERROR(VLOOKUP(G296,'07_Lookups'!$A$4:$B$20,2,FALSE),"All_Provinces"))</t>
        </is>
      </c>
      <c r="BI296" s="41" t="inlineStr">
        <is>
          <t>IF(H296="","All_Districts",IFERROR(VLOOKUP(H296,'07_Lookups'!$E$4:$F$42,2,FALSE),"All_Districts"))</t>
        </is>
      </c>
    </row>
    <row r="297" ht="18" customHeight="1">
      <c r="A297" s="32" t="inlineStr">
        <is>
          <t>IF(E297="","",ROW()-3)</t>
        </is>
      </c>
      <c r="B297" s="42" t="inlineStr">
        <is>
          <t>AF2-LLL-R-034</t>
        </is>
      </c>
      <c r="C297" s="42" t="inlineStr">
        <is>
          <t>Emergency Food Security Project (EFSP) – WBK/AF-2</t>
        </is>
      </c>
      <c r="D297" s="42" t="inlineStr">
        <is>
          <t>EFSP-AF2 LLL supply and delivery (50 units)</t>
        </is>
      </c>
      <c r="E297" s="42" t="inlineStr">
        <is>
          <t>Zard Sang Irrigation Scheme</t>
        </is>
      </c>
      <c r="F297" s="42" t="inlineStr">
        <is>
          <t>Laser Land Leveler (LLL)</t>
        </is>
      </c>
      <c r="G297" s="42" t="inlineStr">
        <is>
          <t>Central Highland / Bamyan</t>
        </is>
      </c>
      <c r="H297" s="42" t="inlineStr">
        <is>
          <t>Bamyan</t>
        </is>
      </c>
      <c r="I297" s="42" t="inlineStr">
        <is>
          <t>Bamiyan</t>
        </is>
      </c>
      <c r="J297" s="42" t="inlineStr">
        <is>
          <t>1 unit(s)</t>
        </is>
      </c>
      <c r="K297" s="42" t="inlineStr">
        <is>
          <t>World Bank (WBK/AF-2)</t>
        </is>
      </c>
      <c r="L297" s="42" t="inlineStr">
        <is>
          <t>Remaining</t>
        </is>
      </c>
      <c r="M297" s="42" t="inlineStr">
        <is>
          <t>LLL supply</t>
        </is>
      </c>
      <c r="N297" s="42" t="inlineStr">
        <is>
          <t>6. Supply and delivery of LLL</t>
        </is>
      </c>
      <c r="O297" s="42" t="inlineStr"/>
      <c r="P297" s="42" t="inlineStr"/>
      <c r="Q297" s="43" t="n"/>
      <c r="R297" s="35" t="inlineStr">
        <is>
          <t>IF(AO297="","",AO297)</t>
        </is>
      </c>
      <c r="S297" s="44" t="n">
        <v>46325</v>
      </c>
      <c r="T297" s="45" t="n"/>
      <c r="U297" s="44" t="n">
        <v>46418</v>
      </c>
      <c r="V297" s="35" t="inlineStr">
        <is>
          <t>IF(U297&lt;&gt;"",U297,IF(OR(R297="",T297=""),"",EDATE(R297,T297)))</t>
        </is>
      </c>
      <c r="W297" s="44" t="n"/>
      <c r="X297" s="45" t="n"/>
      <c r="Y297" s="42" t="inlineStr">
        <is>
          <t>Under Awarding</t>
        </is>
      </c>
      <c r="Z297" s="42" t="inlineStr">
        <is>
          <t>The Procurement process is initiated in April and PO will be issued late October 2026. and delivery will be done by End of December 2026 and onward in January 2027 it is planned to be distributed to the selected beneficiaries.</t>
        </is>
      </c>
      <c r="AA297" s="32" t="inlineStr">
        <is>
          <t>IF(E297="","",IF(COUNT(AG297:AT297)=0,IF(Y297="","Not started",Y297),SUBSTITUTE(LOOKUP(2,1/(AG297:AT297&lt;&gt;""),$AG$3:$AT$3),"Date: ","")))</t>
        </is>
      </c>
      <c r="AB297" s="38" t="inlineStr">
        <is>
          <t>IF(OR(E297="",COUNT(AG297:AT297)=0),"",TODAY()-LOOKUP(2,1/(AG297:AT297&lt;&gt;""),AG297:AT297))</t>
        </is>
      </c>
      <c r="AC297" s="38" t="inlineStr">
        <is>
          <t>IF(OR(E297="",COUNT(AG297:AT297)&lt;2),"",LOOKUP(2,1/(AG297:AT297&lt;&gt;""),AG297:AT297)-MIN(AG297:AT297))</t>
        </is>
      </c>
      <c r="AD297" s="38" t="inlineStr">
        <is>
          <t>IF(OR(AB297="",AA297="Not started",AA297=""),"",IFERROR(AB297-IF(VLOOKUP(AA297,'04_Status_Pipeline'!$B$3:$E$20,4,FALSE)="",0,VLOOKUP(AA297,'04_Status_Pipeline'!$B$3:$E$20,4,FALSE)),""))</t>
        </is>
      </c>
      <c r="AE297" s="32" t="inlineStr">
        <is>
          <t>IF(E297="","",IF(OR(Y297="Cancelled",AA297="Cancelled"),"Cancelled",IF(OR(AA297="Completed / Handover",W297&lt;&gt;"",X297&gt;=100),"Completed — on track",IF(L297="Remaining",IF(S297="",IF(V297="","No planned date",IF(TODAY()&gt;V297,"Behind — past planned date",IF(V297-TODAY()&lt;=30,"At risk — close to off track","On track"))),IF(TODAY()&gt;S297,"Behind — award date passed",IF(S297-TODAY()&lt;=30,"At risk — close to off track","On track"))),IF(V297="","No planned date",IF(AND(TODAY()&gt;V297,OR(X297="",X297&lt;100)),"Behind — past end date",IF(AND(R297&lt;&gt;"",V297&lt;&gt;"",X297&lt;&gt;"",(X297&lt;100),((TODAY()-R297)/MAX(V297-R297,1)*100)-X297&gt;15),"Behind — progress lag",IF(AND(V297-TODAY()&lt;=30,V297-TODAY()&gt;=0,OR(X297="",X297&lt;90)),"At risk — close to off track","On track"))))))))</t>
        </is>
      </c>
      <c r="AF297" s="38" t="inlineStr">
        <is>
          <t>IF(OR(E297="",AA297="Completed / Handover",AA297="Cancelled"),"",IF(L297="Remaining",IF(S297&lt;&gt;"",S297-TODAY(),IF(V297="","",V297-TODAY())),IF(V297="","",V297-TODAY())))</t>
        </is>
      </c>
      <c r="AG297" s="44" t="n"/>
      <c r="AH297" s="44" t="n"/>
      <c r="AI297" s="44" t="n"/>
      <c r="AJ297" s="44" t="n"/>
      <c r="AK297" s="44" t="n"/>
      <c r="AL297" s="44" t="n"/>
      <c r="AM297" s="44" t="n"/>
      <c r="AN297" s="44" t="n"/>
      <c r="AO297" s="44" t="n"/>
      <c r="AP297" s="44" t="n"/>
      <c r="AQ297" s="44" t="n"/>
      <c r="AR297" s="40" t="n"/>
      <c r="AS297" s="40" t="n"/>
      <c r="AT297" s="40" t="n"/>
      <c r="AU297" s="38" t="inlineStr">
        <is>
          <t>IF(OR(E297="",AH297=""),"",IF(COUNT(AG297:AG297)=0,"",AH297-LOOKUP(2,1/(AG297:AG297&lt;&gt;""),AG297:AG297)))</t>
        </is>
      </c>
      <c r="AV297" s="38" t="inlineStr">
        <is>
          <t>IF(OR(E297="",AI297=""),"",IF(COUNT(AG297:AH297)=0,"",AI297-LOOKUP(2,1/(AG297:AH297&lt;&gt;""),AG297:AH297)))</t>
        </is>
      </c>
      <c r="AW297" s="38" t="inlineStr">
        <is>
          <t>IF(OR(E297="",AJ297=""),"",IF(COUNT(AG297:AI297)=0,"",AJ297-LOOKUP(2,1/(AG297:AI297&lt;&gt;""),AG297:AI297)))</t>
        </is>
      </c>
      <c r="AX297" s="38" t="inlineStr">
        <is>
          <t>IF(OR(E297="",AK297=""),"",IF(COUNT(AG297:AJ297)=0,"",AK297-LOOKUP(2,1/(AG297:AJ297&lt;&gt;""),AG297:AJ297)))</t>
        </is>
      </c>
      <c r="AY297" s="38" t="inlineStr">
        <is>
          <t>IF(OR(E297="",AL297=""),"",IF(COUNT(AG297:AK297)=0,"",AL297-LOOKUP(2,1/(AG297:AK297&lt;&gt;""),AG297:AK297)))</t>
        </is>
      </c>
      <c r="AZ297" s="38" t="inlineStr">
        <is>
          <t>IF(OR(E297="",AM297=""),"",IF(COUNT(AG297:AL297)=0,"",AM297-LOOKUP(2,1/(AG297:AL297&lt;&gt;""),AG297:AL297)))</t>
        </is>
      </c>
      <c r="BA297" s="38" t="inlineStr">
        <is>
          <t>IF(OR(E297="",AN297=""),"",IF(COUNT(AG297:AM297)=0,"",AN297-LOOKUP(2,1/(AG297:AM297&lt;&gt;""),AG297:AM297)))</t>
        </is>
      </c>
      <c r="BB297" s="38" t="inlineStr">
        <is>
          <t>IF(OR(E297="",AO297=""),"",IF(COUNT(AG297:AN297)=0,"",AO297-LOOKUP(2,1/(AG297:AN297&lt;&gt;""),AG297:AN297)))</t>
        </is>
      </c>
      <c r="BC297" s="38" t="inlineStr">
        <is>
          <t>IF(OR(E297="",AP297=""),"",IF(COUNT(AG297:AO297)=0,"",AP297-LOOKUP(2,1/(AG297:AO297&lt;&gt;""),AG297:AO297)))</t>
        </is>
      </c>
      <c r="BD297" s="38" t="inlineStr">
        <is>
          <t>IF(OR(E297="",AQ297=""),"",IF(COUNT(AG297:AP297)=0,"",AQ297-LOOKUP(2,1/(AG297:AP297&lt;&gt;""),AG297:AP297)))</t>
        </is>
      </c>
      <c r="BE297" s="38" t="inlineStr">
        <is>
          <t>IF(OR(E297="",AR297=""),"",IF(COUNT(AG297:AQ297)=0,"",AR297-LOOKUP(2,1/(AG297:AQ297&lt;&gt;""),AG297:AQ297)))</t>
        </is>
      </c>
      <c r="BF297" s="38" t="inlineStr">
        <is>
          <t>IF(OR(E297="",AS297=""),"",IF(COUNT(AG297:AR297)=0,"",AS297-LOOKUP(2,1/(AG297:AR297&lt;&gt;""),AG297:AR297)))</t>
        </is>
      </c>
      <c r="BG297" s="38" t="inlineStr">
        <is>
          <t>IF(OR(E297="",AT297=""),"",IF(COUNT(AG297:AS297)=0,"",AT297-LOOKUP(2,1/(AG297:AS297&lt;&gt;""),AG297:AS297)))</t>
        </is>
      </c>
      <c r="BH297" s="41" t="inlineStr">
        <is>
          <t>IF(G297="","All_Provinces",IFERROR(VLOOKUP(G297,'07_Lookups'!$A$4:$B$20,2,FALSE),"All_Provinces"))</t>
        </is>
      </c>
      <c r="BI297" s="41" t="inlineStr">
        <is>
          <t>IF(H297="","All_Districts",IFERROR(VLOOKUP(H297,'07_Lookups'!$E$4:$F$42,2,FALSE),"All_Districts"))</t>
        </is>
      </c>
    </row>
    <row r="298" ht="18" customHeight="1">
      <c r="A298" s="32" t="inlineStr">
        <is>
          <t>IF(E298="","",ROW()-3)</t>
        </is>
      </c>
      <c r="B298" s="33" t="inlineStr">
        <is>
          <t>AF2-LLL-R-035</t>
        </is>
      </c>
      <c r="C298" s="33" t="inlineStr">
        <is>
          <t>Emergency Food Security Project (EFSP) – WBK/AF-2</t>
        </is>
      </c>
      <c r="D298" s="33" t="inlineStr">
        <is>
          <t>EFSP-AF2 LLL supply and delivery (50 units)</t>
        </is>
      </c>
      <c r="E298" s="33" t="inlineStr">
        <is>
          <t>Qala-E-Wazir Irrigation Scheme</t>
        </is>
      </c>
      <c r="F298" s="33" t="inlineStr">
        <is>
          <t>Laser Land Leveler (LLL)</t>
        </is>
      </c>
      <c r="G298" s="33" t="inlineStr">
        <is>
          <t>Southeast / Gardez</t>
        </is>
      </c>
      <c r="H298" s="33" t="inlineStr">
        <is>
          <t>Logar</t>
        </is>
      </c>
      <c r="I298" s="33" t="inlineStr">
        <is>
          <t>Qala-E-Wazir</t>
        </is>
      </c>
      <c r="J298" s="33" t="inlineStr">
        <is>
          <t>1 unit(s)</t>
        </is>
      </c>
      <c r="K298" s="33" t="inlineStr">
        <is>
          <t>World Bank (WBK/AF-2)</t>
        </is>
      </c>
      <c r="L298" s="33" t="inlineStr">
        <is>
          <t>Remaining</t>
        </is>
      </c>
      <c r="M298" s="33" t="inlineStr">
        <is>
          <t>LLL supply</t>
        </is>
      </c>
      <c r="N298" s="33" t="inlineStr">
        <is>
          <t>6. Supply and delivery of LLL</t>
        </is>
      </c>
      <c r="O298" s="33" t="inlineStr"/>
      <c r="P298" s="33" t="inlineStr"/>
      <c r="Q298" s="34" t="n"/>
      <c r="R298" s="35" t="inlineStr">
        <is>
          <t>IF(AO298="","",AO298)</t>
        </is>
      </c>
      <c r="S298" s="36" t="n">
        <v>46325</v>
      </c>
      <c r="T298" s="37" t="n"/>
      <c r="U298" s="36" t="n">
        <v>46418</v>
      </c>
      <c r="V298" s="35" t="inlineStr">
        <is>
          <t>IF(U298&lt;&gt;"",U298,IF(OR(R298="",T298=""),"",EDATE(R298,T298)))</t>
        </is>
      </c>
      <c r="W298" s="36" t="n"/>
      <c r="X298" s="37" t="n"/>
      <c r="Y298" s="33" t="inlineStr">
        <is>
          <t>Under Awarding</t>
        </is>
      </c>
      <c r="Z298" s="33" t="inlineStr">
        <is>
          <t>The Procurement process is initiated in April and PO will be issued late October 2026. and delivery will be done by End of December 2026 and onward in January 2027 it is planned to be distributed to the selected beneficiaries.</t>
        </is>
      </c>
      <c r="AA298" s="32" t="inlineStr">
        <is>
          <t>IF(E298="","",IF(COUNT(AG298:AT298)=0,IF(Y298="","Not started",Y298),SUBSTITUTE(LOOKUP(2,1/(AG298:AT298&lt;&gt;""),$AG$3:$AT$3),"Date: ","")))</t>
        </is>
      </c>
      <c r="AB298" s="38" t="inlineStr">
        <is>
          <t>IF(OR(E298="",COUNT(AG298:AT298)=0),"",TODAY()-LOOKUP(2,1/(AG298:AT298&lt;&gt;""),AG298:AT298))</t>
        </is>
      </c>
      <c r="AC298" s="38" t="inlineStr">
        <is>
          <t>IF(OR(E298="",COUNT(AG298:AT298)&lt;2),"",LOOKUP(2,1/(AG298:AT298&lt;&gt;""),AG298:AT298)-MIN(AG298:AT298))</t>
        </is>
      </c>
      <c r="AD298" s="38" t="inlineStr">
        <is>
          <t>IF(OR(AB298="",AA298="Not started",AA298=""),"",IFERROR(AB298-IF(VLOOKUP(AA298,'04_Status_Pipeline'!$B$3:$E$20,4,FALSE)="",0,VLOOKUP(AA298,'04_Status_Pipeline'!$B$3:$E$20,4,FALSE)),""))</t>
        </is>
      </c>
      <c r="AE298" s="32" t="inlineStr">
        <is>
          <t>IF(E298="","",IF(OR(Y298="Cancelled",AA298="Cancelled"),"Cancelled",IF(OR(AA298="Completed / Handover",W298&lt;&gt;"",X298&gt;=100),"Completed — on track",IF(L298="Remaining",IF(S298="",IF(V298="","No planned date",IF(TODAY()&gt;V298,"Behind — past planned date",IF(V298-TODAY()&lt;=30,"At risk — close to off track","On track"))),IF(TODAY()&gt;S298,"Behind — award date passed",IF(S298-TODAY()&lt;=30,"At risk — close to off track","On track"))),IF(V298="","No planned date",IF(AND(TODAY()&gt;V298,OR(X298="",X298&lt;100)),"Behind — past end date",IF(AND(R298&lt;&gt;"",V298&lt;&gt;"",X298&lt;&gt;"",(X298&lt;100),((TODAY()-R298)/MAX(V298-R298,1)*100)-X298&gt;15),"Behind — progress lag",IF(AND(V298-TODAY()&lt;=30,V298-TODAY()&gt;=0,OR(X298="",X298&lt;90)),"At risk — close to off track","On track"))))))))</t>
        </is>
      </c>
      <c r="AF298" s="38" t="inlineStr">
        <is>
          <t>IF(OR(E298="",AA298="Completed / Handover",AA298="Cancelled"),"",IF(L298="Remaining",IF(S298&lt;&gt;"",S298-TODAY(),IF(V298="","",V298-TODAY())),IF(V298="","",V298-TODAY())))</t>
        </is>
      </c>
      <c r="AG298" s="36" t="n"/>
      <c r="AH298" s="36" t="n"/>
      <c r="AI298" s="36" t="n"/>
      <c r="AJ298" s="36" t="n"/>
      <c r="AK298" s="36" t="n"/>
      <c r="AL298" s="36" t="n"/>
      <c r="AM298" s="36" t="n"/>
      <c r="AN298" s="36" t="n"/>
      <c r="AO298" s="36" t="n"/>
      <c r="AP298" s="36" t="n"/>
      <c r="AQ298" s="36" t="n"/>
      <c r="AR298" s="40" t="n"/>
      <c r="AS298" s="40" t="n"/>
      <c r="AT298" s="40" t="n"/>
      <c r="AU298" s="38" t="inlineStr">
        <is>
          <t>IF(OR(E298="",AH298=""),"",IF(COUNT(AG298:AG298)=0,"",AH298-LOOKUP(2,1/(AG298:AG298&lt;&gt;""),AG298:AG298)))</t>
        </is>
      </c>
      <c r="AV298" s="38" t="inlineStr">
        <is>
          <t>IF(OR(E298="",AI298=""),"",IF(COUNT(AG298:AH298)=0,"",AI298-LOOKUP(2,1/(AG298:AH298&lt;&gt;""),AG298:AH298)))</t>
        </is>
      </c>
      <c r="AW298" s="38" t="inlineStr">
        <is>
          <t>IF(OR(E298="",AJ298=""),"",IF(COUNT(AG298:AI298)=0,"",AJ298-LOOKUP(2,1/(AG298:AI298&lt;&gt;""),AG298:AI298)))</t>
        </is>
      </c>
      <c r="AX298" s="38" t="inlineStr">
        <is>
          <t>IF(OR(E298="",AK298=""),"",IF(COUNT(AG298:AJ298)=0,"",AK298-LOOKUP(2,1/(AG298:AJ298&lt;&gt;""),AG298:AJ298)))</t>
        </is>
      </c>
      <c r="AY298" s="38" t="inlineStr">
        <is>
          <t>IF(OR(E298="",AL298=""),"",IF(COUNT(AG298:AK298)=0,"",AL298-LOOKUP(2,1/(AG298:AK298&lt;&gt;""),AG298:AK298)))</t>
        </is>
      </c>
      <c r="AZ298" s="38" t="inlineStr">
        <is>
          <t>IF(OR(E298="",AM298=""),"",IF(COUNT(AG298:AL298)=0,"",AM298-LOOKUP(2,1/(AG298:AL298&lt;&gt;""),AG298:AL298)))</t>
        </is>
      </c>
      <c r="BA298" s="38" t="inlineStr">
        <is>
          <t>IF(OR(E298="",AN298=""),"",IF(COUNT(AG298:AM298)=0,"",AN298-LOOKUP(2,1/(AG298:AM298&lt;&gt;""),AG298:AM298)))</t>
        </is>
      </c>
      <c r="BB298" s="38" t="inlineStr">
        <is>
          <t>IF(OR(E298="",AO298=""),"",IF(COUNT(AG298:AN298)=0,"",AO298-LOOKUP(2,1/(AG298:AN298&lt;&gt;""),AG298:AN298)))</t>
        </is>
      </c>
      <c r="BC298" s="38" t="inlineStr">
        <is>
          <t>IF(OR(E298="",AP298=""),"",IF(COUNT(AG298:AO298)=0,"",AP298-LOOKUP(2,1/(AG298:AO298&lt;&gt;""),AG298:AO298)))</t>
        </is>
      </c>
      <c r="BD298" s="38" t="inlineStr">
        <is>
          <t>IF(OR(E298="",AQ298=""),"",IF(COUNT(AG298:AP298)=0,"",AQ298-LOOKUP(2,1/(AG298:AP298&lt;&gt;""),AG298:AP298)))</t>
        </is>
      </c>
      <c r="BE298" s="38" t="inlineStr">
        <is>
          <t>IF(OR(E298="",AR298=""),"",IF(COUNT(AG298:AQ298)=0,"",AR298-LOOKUP(2,1/(AG298:AQ298&lt;&gt;""),AG298:AQ298)))</t>
        </is>
      </c>
      <c r="BF298" s="38" t="inlineStr">
        <is>
          <t>IF(OR(E298="",AS298=""),"",IF(COUNT(AG298:AR298)=0,"",AS298-LOOKUP(2,1/(AG298:AR298&lt;&gt;""),AG298:AR298)))</t>
        </is>
      </c>
      <c r="BG298" s="38" t="inlineStr">
        <is>
          <t>IF(OR(E298="",AT298=""),"",IF(COUNT(AG298:AS298)=0,"",AT298-LOOKUP(2,1/(AG298:AS298&lt;&gt;""),AG298:AS298)))</t>
        </is>
      </c>
      <c r="BH298" s="41" t="inlineStr">
        <is>
          <t>IF(G298="","All_Provinces",IFERROR(VLOOKUP(G298,'07_Lookups'!$A$4:$B$20,2,FALSE),"All_Provinces"))</t>
        </is>
      </c>
      <c r="BI298" s="41" t="inlineStr">
        <is>
          <t>IF(H298="","All_Districts",IFERROR(VLOOKUP(H298,'07_Lookups'!$E$4:$F$42,2,FALSE),"All_Districts"))</t>
        </is>
      </c>
    </row>
    <row r="299" ht="18" customHeight="1">
      <c r="A299" s="32" t="inlineStr">
        <is>
          <t>IF(E299="","",ROW()-3)</t>
        </is>
      </c>
      <c r="B299" s="42" t="inlineStr">
        <is>
          <t>AF2-LLL-R-036</t>
        </is>
      </c>
      <c r="C299" s="42" t="inlineStr">
        <is>
          <t>Emergency Food Security Project (EFSP) – WBK/AF-2</t>
        </is>
      </c>
      <c r="D299" s="42" t="inlineStr">
        <is>
          <t>EFSP-AF2 LLL supply and delivery (50 units)</t>
        </is>
      </c>
      <c r="E299" s="42" t="inlineStr">
        <is>
          <t>Khwaja Angor Irrigation Scheme</t>
        </is>
      </c>
      <c r="F299" s="42" t="inlineStr">
        <is>
          <t>Laser Land Leveler (LLL)</t>
        </is>
      </c>
      <c r="G299" s="42" t="inlineStr">
        <is>
          <t>Southeast / Gardez</t>
        </is>
      </c>
      <c r="H299" s="42" t="inlineStr">
        <is>
          <t>Logar</t>
        </is>
      </c>
      <c r="I299" s="42" t="inlineStr">
        <is>
          <t>Kharwar</t>
        </is>
      </c>
      <c r="J299" s="42" t="inlineStr">
        <is>
          <t>1 unit(s)</t>
        </is>
      </c>
      <c r="K299" s="42" t="inlineStr">
        <is>
          <t>World Bank (WBK/AF-2)</t>
        </is>
      </c>
      <c r="L299" s="42" t="inlineStr">
        <is>
          <t>Remaining</t>
        </is>
      </c>
      <c r="M299" s="42" t="inlineStr">
        <is>
          <t>LLL supply</t>
        </is>
      </c>
      <c r="N299" s="42" t="inlineStr">
        <is>
          <t>6. Supply and delivery of LLL</t>
        </is>
      </c>
      <c r="O299" s="42" t="inlineStr"/>
      <c r="P299" s="42" t="inlineStr"/>
      <c r="Q299" s="43" t="n"/>
      <c r="R299" s="35" t="inlineStr">
        <is>
          <t>IF(AO299="","",AO299)</t>
        </is>
      </c>
      <c r="S299" s="44" t="n">
        <v>46325</v>
      </c>
      <c r="T299" s="45" t="n"/>
      <c r="U299" s="44" t="n">
        <v>46418</v>
      </c>
      <c r="V299" s="35" t="inlineStr">
        <is>
          <t>IF(U299&lt;&gt;"",U299,IF(OR(R299="",T299=""),"",EDATE(R299,T299)))</t>
        </is>
      </c>
      <c r="W299" s="44" t="n"/>
      <c r="X299" s="45" t="n"/>
      <c r="Y299" s="42" t="inlineStr">
        <is>
          <t>Under Awarding</t>
        </is>
      </c>
      <c r="Z299" s="42" t="inlineStr">
        <is>
          <t>The Procurement process is initiated in April and PO will be issued late October 2026. and delivery will be done by End of December 2026 and onward in January 2027 it is planned to be distributed to the selected beneficiaries.</t>
        </is>
      </c>
      <c r="AA299" s="32" t="inlineStr">
        <is>
          <t>IF(E299="","",IF(COUNT(AG299:AT299)=0,IF(Y299="","Not started",Y299),SUBSTITUTE(LOOKUP(2,1/(AG299:AT299&lt;&gt;""),$AG$3:$AT$3),"Date: ","")))</t>
        </is>
      </c>
      <c r="AB299" s="38" t="inlineStr">
        <is>
          <t>IF(OR(E299="",COUNT(AG299:AT299)=0),"",TODAY()-LOOKUP(2,1/(AG299:AT299&lt;&gt;""),AG299:AT299))</t>
        </is>
      </c>
      <c r="AC299" s="38" t="inlineStr">
        <is>
          <t>IF(OR(E299="",COUNT(AG299:AT299)&lt;2),"",LOOKUP(2,1/(AG299:AT299&lt;&gt;""),AG299:AT299)-MIN(AG299:AT299))</t>
        </is>
      </c>
      <c r="AD299" s="38" t="inlineStr">
        <is>
          <t>IF(OR(AB299="",AA299="Not started",AA299=""),"",IFERROR(AB299-IF(VLOOKUP(AA299,'04_Status_Pipeline'!$B$3:$E$20,4,FALSE)="",0,VLOOKUP(AA299,'04_Status_Pipeline'!$B$3:$E$20,4,FALSE)),""))</t>
        </is>
      </c>
      <c r="AE299" s="32" t="inlineStr">
        <is>
          <t>IF(E299="","",IF(OR(Y299="Cancelled",AA299="Cancelled"),"Cancelled",IF(OR(AA299="Completed / Handover",W299&lt;&gt;"",X299&gt;=100),"Completed — on track",IF(L299="Remaining",IF(S299="",IF(V299="","No planned date",IF(TODAY()&gt;V299,"Behind — past planned date",IF(V299-TODAY()&lt;=30,"At risk — close to off track","On track"))),IF(TODAY()&gt;S299,"Behind — award date passed",IF(S299-TODAY()&lt;=30,"At risk — close to off track","On track"))),IF(V299="","No planned date",IF(AND(TODAY()&gt;V299,OR(X299="",X299&lt;100)),"Behind — past end date",IF(AND(R299&lt;&gt;"",V299&lt;&gt;"",X299&lt;&gt;"",(X299&lt;100),((TODAY()-R299)/MAX(V299-R299,1)*100)-X299&gt;15),"Behind — progress lag",IF(AND(V299-TODAY()&lt;=30,V299-TODAY()&gt;=0,OR(X299="",X299&lt;90)),"At risk — close to off track","On track"))))))))</t>
        </is>
      </c>
      <c r="AF299" s="38" t="inlineStr">
        <is>
          <t>IF(OR(E299="",AA299="Completed / Handover",AA299="Cancelled"),"",IF(L299="Remaining",IF(S299&lt;&gt;"",S299-TODAY(),IF(V299="","",V299-TODAY())),IF(V299="","",V299-TODAY())))</t>
        </is>
      </c>
      <c r="AG299" s="44" t="n"/>
      <c r="AH299" s="44" t="n"/>
      <c r="AI299" s="44" t="n"/>
      <c r="AJ299" s="44" t="n"/>
      <c r="AK299" s="44" t="n"/>
      <c r="AL299" s="44" t="n"/>
      <c r="AM299" s="44" t="n"/>
      <c r="AN299" s="44" t="n"/>
      <c r="AO299" s="44" t="n"/>
      <c r="AP299" s="44" t="n"/>
      <c r="AQ299" s="44" t="n"/>
      <c r="AR299" s="40" t="n"/>
      <c r="AS299" s="40" t="n"/>
      <c r="AT299" s="40" t="n"/>
      <c r="AU299" s="38" t="inlineStr">
        <is>
          <t>IF(OR(E299="",AH299=""),"",IF(COUNT(AG299:AG299)=0,"",AH299-LOOKUP(2,1/(AG299:AG299&lt;&gt;""),AG299:AG299)))</t>
        </is>
      </c>
      <c r="AV299" s="38" t="inlineStr">
        <is>
          <t>IF(OR(E299="",AI299=""),"",IF(COUNT(AG299:AH299)=0,"",AI299-LOOKUP(2,1/(AG299:AH299&lt;&gt;""),AG299:AH299)))</t>
        </is>
      </c>
      <c r="AW299" s="38" t="inlineStr">
        <is>
          <t>IF(OR(E299="",AJ299=""),"",IF(COUNT(AG299:AI299)=0,"",AJ299-LOOKUP(2,1/(AG299:AI299&lt;&gt;""),AG299:AI299)))</t>
        </is>
      </c>
      <c r="AX299" s="38" t="inlineStr">
        <is>
          <t>IF(OR(E299="",AK299=""),"",IF(COUNT(AG299:AJ299)=0,"",AK299-LOOKUP(2,1/(AG299:AJ299&lt;&gt;""),AG299:AJ299)))</t>
        </is>
      </c>
      <c r="AY299" s="38" t="inlineStr">
        <is>
          <t>IF(OR(E299="",AL299=""),"",IF(COUNT(AG299:AK299)=0,"",AL299-LOOKUP(2,1/(AG299:AK299&lt;&gt;""),AG299:AK299)))</t>
        </is>
      </c>
      <c r="AZ299" s="38" t="inlineStr">
        <is>
          <t>IF(OR(E299="",AM299=""),"",IF(COUNT(AG299:AL299)=0,"",AM299-LOOKUP(2,1/(AG299:AL299&lt;&gt;""),AG299:AL299)))</t>
        </is>
      </c>
      <c r="BA299" s="38" t="inlineStr">
        <is>
          <t>IF(OR(E299="",AN299=""),"",IF(COUNT(AG299:AM299)=0,"",AN299-LOOKUP(2,1/(AG299:AM299&lt;&gt;""),AG299:AM299)))</t>
        </is>
      </c>
      <c r="BB299" s="38" t="inlineStr">
        <is>
          <t>IF(OR(E299="",AO299=""),"",IF(COUNT(AG299:AN299)=0,"",AO299-LOOKUP(2,1/(AG299:AN299&lt;&gt;""),AG299:AN299)))</t>
        </is>
      </c>
      <c r="BC299" s="38" t="inlineStr">
        <is>
          <t>IF(OR(E299="",AP299=""),"",IF(COUNT(AG299:AO299)=0,"",AP299-LOOKUP(2,1/(AG299:AO299&lt;&gt;""),AG299:AO299)))</t>
        </is>
      </c>
      <c r="BD299" s="38" t="inlineStr">
        <is>
          <t>IF(OR(E299="",AQ299=""),"",IF(COUNT(AG299:AP299)=0,"",AQ299-LOOKUP(2,1/(AG299:AP299&lt;&gt;""),AG299:AP299)))</t>
        </is>
      </c>
      <c r="BE299" s="38" t="inlineStr">
        <is>
          <t>IF(OR(E299="",AR299=""),"",IF(COUNT(AG299:AQ299)=0,"",AR299-LOOKUP(2,1/(AG299:AQ299&lt;&gt;""),AG299:AQ299)))</t>
        </is>
      </c>
      <c r="BF299" s="38" t="inlineStr">
        <is>
          <t>IF(OR(E299="",AS299=""),"",IF(COUNT(AG299:AR299)=0,"",AS299-LOOKUP(2,1/(AG299:AR299&lt;&gt;""),AG299:AR299)))</t>
        </is>
      </c>
      <c r="BG299" s="38" t="inlineStr">
        <is>
          <t>IF(OR(E299="",AT299=""),"",IF(COUNT(AG299:AS299)=0,"",AT299-LOOKUP(2,1/(AG299:AS299&lt;&gt;""),AG299:AS299)))</t>
        </is>
      </c>
      <c r="BH299" s="41" t="inlineStr">
        <is>
          <t>IF(G299="","All_Provinces",IFERROR(VLOOKUP(G299,'07_Lookups'!$A$4:$B$20,2,FALSE),"All_Provinces"))</t>
        </is>
      </c>
      <c r="BI299" s="41" t="inlineStr">
        <is>
          <t>IF(H299="","All_Districts",IFERROR(VLOOKUP(H299,'07_Lookups'!$E$4:$F$42,2,FALSE),"All_Districts"))</t>
        </is>
      </c>
    </row>
    <row r="300" ht="18" customHeight="1">
      <c r="A300" s="32" t="inlineStr">
        <is>
          <t>IF(E300="","",ROW()-3)</t>
        </is>
      </c>
      <c r="B300" s="33" t="inlineStr">
        <is>
          <t>AF2-LLL-R-037</t>
        </is>
      </c>
      <c r="C300" s="33" t="inlineStr">
        <is>
          <t>Emergency Food Security Project (EFSP) – WBK/AF-2</t>
        </is>
      </c>
      <c r="D300" s="33" t="inlineStr">
        <is>
          <t>EFSP-AF2 LLL supply and delivery (50 units)</t>
        </is>
      </c>
      <c r="E300" s="33" t="inlineStr">
        <is>
          <t>Welgai Irrigation Scheme</t>
        </is>
      </c>
      <c r="F300" s="33" t="inlineStr">
        <is>
          <t>Laser Land Leveler (LLL)</t>
        </is>
      </c>
      <c r="G300" s="33" t="inlineStr">
        <is>
          <t>Southeast / Gardez</t>
        </is>
      </c>
      <c r="H300" s="33" t="inlineStr">
        <is>
          <t>Khost</t>
        </is>
      </c>
      <c r="I300" s="33" t="inlineStr">
        <is>
          <t>Matoon</t>
        </is>
      </c>
      <c r="J300" s="33" t="inlineStr">
        <is>
          <t>1 unit(s)</t>
        </is>
      </c>
      <c r="K300" s="33" t="inlineStr">
        <is>
          <t>World Bank (WBK/AF-2)</t>
        </is>
      </c>
      <c r="L300" s="33" t="inlineStr">
        <is>
          <t>Remaining</t>
        </is>
      </c>
      <c r="M300" s="33" t="inlineStr">
        <is>
          <t>LLL supply</t>
        </is>
      </c>
      <c r="N300" s="33" t="inlineStr">
        <is>
          <t>6. Supply and delivery of LLL</t>
        </is>
      </c>
      <c r="O300" s="33" t="inlineStr"/>
      <c r="P300" s="33" t="inlineStr"/>
      <c r="Q300" s="34" t="n"/>
      <c r="R300" s="35" t="inlineStr">
        <is>
          <t>IF(AO300="","",AO300)</t>
        </is>
      </c>
      <c r="S300" s="36" t="n">
        <v>46325</v>
      </c>
      <c r="T300" s="37" t="n"/>
      <c r="U300" s="36" t="n">
        <v>46418</v>
      </c>
      <c r="V300" s="35" t="inlineStr">
        <is>
          <t>IF(U300&lt;&gt;"",U300,IF(OR(R300="",T300=""),"",EDATE(R300,T300)))</t>
        </is>
      </c>
      <c r="W300" s="36" t="n"/>
      <c r="X300" s="37" t="n"/>
      <c r="Y300" s="33" t="inlineStr">
        <is>
          <t>Under Awarding</t>
        </is>
      </c>
      <c r="Z300" s="33" t="inlineStr">
        <is>
          <t>The Procurement process is initiated in April and PO will be issued late October 2026. and delivery will be done by End of December 2026 and onward in January 2027 it is planned to be distributed to the selected beneficiaries.</t>
        </is>
      </c>
      <c r="AA300" s="32" t="inlineStr">
        <is>
          <t>IF(E300="","",IF(COUNT(AG300:AT300)=0,IF(Y300="","Not started",Y300),SUBSTITUTE(LOOKUP(2,1/(AG300:AT300&lt;&gt;""),$AG$3:$AT$3),"Date: ","")))</t>
        </is>
      </c>
      <c r="AB300" s="38" t="inlineStr">
        <is>
          <t>IF(OR(E300="",COUNT(AG300:AT300)=0),"",TODAY()-LOOKUP(2,1/(AG300:AT300&lt;&gt;""),AG300:AT300))</t>
        </is>
      </c>
      <c r="AC300" s="38" t="inlineStr">
        <is>
          <t>IF(OR(E300="",COUNT(AG300:AT300)&lt;2),"",LOOKUP(2,1/(AG300:AT300&lt;&gt;""),AG300:AT300)-MIN(AG300:AT300))</t>
        </is>
      </c>
      <c r="AD300" s="38" t="inlineStr">
        <is>
          <t>IF(OR(AB300="",AA300="Not started",AA300=""),"",IFERROR(AB300-IF(VLOOKUP(AA300,'04_Status_Pipeline'!$B$3:$E$20,4,FALSE)="",0,VLOOKUP(AA300,'04_Status_Pipeline'!$B$3:$E$20,4,FALSE)),""))</t>
        </is>
      </c>
      <c r="AE300" s="32" t="inlineStr">
        <is>
          <t>IF(E300="","",IF(OR(Y300="Cancelled",AA300="Cancelled"),"Cancelled",IF(OR(AA300="Completed / Handover",W300&lt;&gt;"",X300&gt;=100),"Completed — on track",IF(L300="Remaining",IF(S300="",IF(V300="","No planned date",IF(TODAY()&gt;V300,"Behind — past planned date",IF(V300-TODAY()&lt;=30,"At risk — close to off track","On track"))),IF(TODAY()&gt;S300,"Behind — award date passed",IF(S300-TODAY()&lt;=30,"At risk — close to off track","On track"))),IF(V300="","No planned date",IF(AND(TODAY()&gt;V300,OR(X300="",X300&lt;100)),"Behind — past end date",IF(AND(R300&lt;&gt;"",V300&lt;&gt;"",X300&lt;&gt;"",(X300&lt;100),((TODAY()-R300)/MAX(V300-R300,1)*100)-X300&gt;15),"Behind — progress lag",IF(AND(V300-TODAY()&lt;=30,V300-TODAY()&gt;=0,OR(X300="",X300&lt;90)),"At risk — close to off track","On track"))))))))</t>
        </is>
      </c>
      <c r="AF300" s="38" t="inlineStr">
        <is>
          <t>IF(OR(E300="",AA300="Completed / Handover",AA300="Cancelled"),"",IF(L300="Remaining",IF(S300&lt;&gt;"",S300-TODAY(),IF(V300="","",V300-TODAY())),IF(V300="","",V300-TODAY())))</t>
        </is>
      </c>
      <c r="AG300" s="36" t="n"/>
      <c r="AH300" s="36" t="n"/>
      <c r="AI300" s="36" t="n"/>
      <c r="AJ300" s="36" t="n"/>
      <c r="AK300" s="36" t="n"/>
      <c r="AL300" s="36" t="n"/>
      <c r="AM300" s="36" t="n"/>
      <c r="AN300" s="36" t="n"/>
      <c r="AO300" s="36" t="n"/>
      <c r="AP300" s="36" t="n"/>
      <c r="AQ300" s="36" t="n"/>
      <c r="AR300" s="40" t="n"/>
      <c r="AS300" s="40" t="n"/>
      <c r="AT300" s="40" t="n"/>
      <c r="AU300" s="38" t="inlineStr">
        <is>
          <t>IF(OR(E300="",AH300=""),"",IF(COUNT(AG300:AG300)=0,"",AH300-LOOKUP(2,1/(AG300:AG300&lt;&gt;""),AG300:AG300)))</t>
        </is>
      </c>
      <c r="AV300" s="38" t="inlineStr">
        <is>
          <t>IF(OR(E300="",AI300=""),"",IF(COUNT(AG300:AH300)=0,"",AI300-LOOKUP(2,1/(AG300:AH300&lt;&gt;""),AG300:AH300)))</t>
        </is>
      </c>
      <c r="AW300" s="38" t="inlineStr">
        <is>
          <t>IF(OR(E300="",AJ300=""),"",IF(COUNT(AG300:AI300)=0,"",AJ300-LOOKUP(2,1/(AG300:AI300&lt;&gt;""),AG300:AI300)))</t>
        </is>
      </c>
      <c r="AX300" s="38" t="inlineStr">
        <is>
          <t>IF(OR(E300="",AK300=""),"",IF(COUNT(AG300:AJ300)=0,"",AK300-LOOKUP(2,1/(AG300:AJ300&lt;&gt;""),AG300:AJ300)))</t>
        </is>
      </c>
      <c r="AY300" s="38" t="inlineStr">
        <is>
          <t>IF(OR(E300="",AL300=""),"",IF(COUNT(AG300:AK300)=0,"",AL300-LOOKUP(2,1/(AG300:AK300&lt;&gt;""),AG300:AK300)))</t>
        </is>
      </c>
      <c r="AZ300" s="38" t="inlineStr">
        <is>
          <t>IF(OR(E300="",AM300=""),"",IF(COUNT(AG300:AL300)=0,"",AM300-LOOKUP(2,1/(AG300:AL300&lt;&gt;""),AG300:AL300)))</t>
        </is>
      </c>
      <c r="BA300" s="38" t="inlineStr">
        <is>
          <t>IF(OR(E300="",AN300=""),"",IF(COUNT(AG300:AM300)=0,"",AN300-LOOKUP(2,1/(AG300:AM300&lt;&gt;""),AG300:AM300)))</t>
        </is>
      </c>
      <c r="BB300" s="38" t="inlineStr">
        <is>
          <t>IF(OR(E300="",AO300=""),"",IF(COUNT(AG300:AN300)=0,"",AO300-LOOKUP(2,1/(AG300:AN300&lt;&gt;""),AG300:AN300)))</t>
        </is>
      </c>
      <c r="BC300" s="38" t="inlineStr">
        <is>
          <t>IF(OR(E300="",AP300=""),"",IF(COUNT(AG300:AO300)=0,"",AP300-LOOKUP(2,1/(AG300:AO300&lt;&gt;""),AG300:AO300)))</t>
        </is>
      </c>
      <c r="BD300" s="38" t="inlineStr">
        <is>
          <t>IF(OR(E300="",AQ300=""),"",IF(COUNT(AG300:AP300)=0,"",AQ300-LOOKUP(2,1/(AG300:AP300&lt;&gt;""),AG300:AP300)))</t>
        </is>
      </c>
      <c r="BE300" s="38" t="inlineStr">
        <is>
          <t>IF(OR(E300="",AR300=""),"",IF(COUNT(AG300:AQ300)=0,"",AR300-LOOKUP(2,1/(AG300:AQ300&lt;&gt;""),AG300:AQ300)))</t>
        </is>
      </c>
      <c r="BF300" s="38" t="inlineStr">
        <is>
          <t>IF(OR(E300="",AS300=""),"",IF(COUNT(AG300:AR300)=0,"",AS300-LOOKUP(2,1/(AG300:AR300&lt;&gt;""),AG300:AR300)))</t>
        </is>
      </c>
      <c r="BG300" s="38" t="inlineStr">
        <is>
          <t>IF(OR(E300="",AT300=""),"",IF(COUNT(AG300:AS300)=0,"",AT300-LOOKUP(2,1/(AG300:AS300&lt;&gt;""),AG300:AS300)))</t>
        </is>
      </c>
      <c r="BH300" s="41" t="inlineStr">
        <is>
          <t>IF(G300="","All_Provinces",IFERROR(VLOOKUP(G300,'07_Lookups'!$A$4:$B$20,2,FALSE),"All_Provinces"))</t>
        </is>
      </c>
      <c r="BI300" s="41" t="inlineStr">
        <is>
          <t>IF(H300="","All_Districts",IFERROR(VLOOKUP(H300,'07_Lookups'!$E$4:$F$42,2,FALSE),"All_Districts"))</t>
        </is>
      </c>
    </row>
    <row r="301" ht="18" customHeight="1">
      <c r="A301" s="32" t="inlineStr">
        <is>
          <t>IF(E301="","",ROW()-3)</t>
        </is>
      </c>
      <c r="B301" s="42" t="inlineStr">
        <is>
          <t>AF2-LLL-R-038</t>
        </is>
      </c>
      <c r="C301" s="42" t="inlineStr">
        <is>
          <t>Emergency Food Security Project (EFSP) – WBK/AF-2</t>
        </is>
      </c>
      <c r="D301" s="42" t="inlineStr">
        <is>
          <t>EFSP-AF2 LLL supply and delivery (50 units)</t>
        </is>
      </c>
      <c r="E301" s="42" t="inlineStr">
        <is>
          <t>Mulakh Irrigation Scheme</t>
        </is>
      </c>
      <c r="F301" s="42" t="inlineStr">
        <is>
          <t>Laser Land Leveler (LLL)</t>
        </is>
      </c>
      <c r="G301" s="42" t="inlineStr">
        <is>
          <t>Southeast / Gardez</t>
        </is>
      </c>
      <c r="H301" s="42" t="inlineStr">
        <is>
          <t>Paktika</t>
        </is>
      </c>
      <c r="I301" s="42" t="inlineStr">
        <is>
          <t>Yousif Khail</t>
        </is>
      </c>
      <c r="J301" s="42" t="inlineStr">
        <is>
          <t>1 unit(s)</t>
        </is>
      </c>
      <c r="K301" s="42" t="inlineStr">
        <is>
          <t>World Bank (WBK/AF-2)</t>
        </is>
      </c>
      <c r="L301" s="42" t="inlineStr">
        <is>
          <t>Remaining</t>
        </is>
      </c>
      <c r="M301" s="42" t="inlineStr">
        <is>
          <t>LLL supply</t>
        </is>
      </c>
      <c r="N301" s="42" t="inlineStr">
        <is>
          <t>6. Supply and delivery of LLL</t>
        </is>
      </c>
      <c r="O301" s="42" t="inlineStr"/>
      <c r="P301" s="42" t="inlineStr"/>
      <c r="Q301" s="43" t="n"/>
      <c r="R301" s="35" t="inlineStr">
        <is>
          <t>IF(AO301="","",AO301)</t>
        </is>
      </c>
      <c r="S301" s="44" t="n">
        <v>46325</v>
      </c>
      <c r="T301" s="45" t="n"/>
      <c r="U301" s="44" t="n">
        <v>46418</v>
      </c>
      <c r="V301" s="35" t="inlineStr">
        <is>
          <t>IF(U301&lt;&gt;"",U301,IF(OR(R301="",T301=""),"",EDATE(R301,T301)))</t>
        </is>
      </c>
      <c r="W301" s="44" t="n"/>
      <c r="X301" s="45" t="n"/>
      <c r="Y301" s="42" t="inlineStr">
        <is>
          <t>Under Awarding</t>
        </is>
      </c>
      <c r="Z301" s="42" t="inlineStr">
        <is>
          <t>The Procurement process is initiated in April and PO will be issued late October 2026. and delivery will be done by End of December 2026 and onward in January 2027 it is planned to be distributed to the selected beneficiaries.</t>
        </is>
      </c>
      <c r="AA301" s="32" t="inlineStr">
        <is>
          <t>IF(E301="","",IF(COUNT(AG301:AT301)=0,IF(Y301="","Not started",Y301),SUBSTITUTE(LOOKUP(2,1/(AG301:AT301&lt;&gt;""),$AG$3:$AT$3),"Date: ","")))</t>
        </is>
      </c>
      <c r="AB301" s="38" t="inlineStr">
        <is>
          <t>IF(OR(E301="",COUNT(AG301:AT301)=0),"",TODAY()-LOOKUP(2,1/(AG301:AT301&lt;&gt;""),AG301:AT301))</t>
        </is>
      </c>
      <c r="AC301" s="38" t="inlineStr">
        <is>
          <t>IF(OR(E301="",COUNT(AG301:AT301)&lt;2),"",LOOKUP(2,1/(AG301:AT301&lt;&gt;""),AG301:AT301)-MIN(AG301:AT301))</t>
        </is>
      </c>
      <c r="AD301" s="38" t="inlineStr">
        <is>
          <t>IF(OR(AB301="",AA301="Not started",AA301=""),"",IFERROR(AB301-IF(VLOOKUP(AA301,'04_Status_Pipeline'!$B$3:$E$20,4,FALSE)="",0,VLOOKUP(AA301,'04_Status_Pipeline'!$B$3:$E$20,4,FALSE)),""))</t>
        </is>
      </c>
      <c r="AE301" s="32" t="inlineStr">
        <is>
          <t>IF(E301="","",IF(OR(Y301="Cancelled",AA301="Cancelled"),"Cancelled",IF(OR(AA301="Completed / Handover",W301&lt;&gt;"",X301&gt;=100),"Completed — on track",IF(L301="Remaining",IF(S301="",IF(V301="","No planned date",IF(TODAY()&gt;V301,"Behind — past planned date",IF(V301-TODAY()&lt;=30,"At risk — close to off track","On track"))),IF(TODAY()&gt;S301,"Behind — award date passed",IF(S301-TODAY()&lt;=30,"At risk — close to off track","On track"))),IF(V301="","No planned date",IF(AND(TODAY()&gt;V301,OR(X301="",X301&lt;100)),"Behind — past end date",IF(AND(R301&lt;&gt;"",V301&lt;&gt;"",X301&lt;&gt;"",(X301&lt;100),((TODAY()-R301)/MAX(V301-R301,1)*100)-X301&gt;15),"Behind — progress lag",IF(AND(V301-TODAY()&lt;=30,V301-TODAY()&gt;=0,OR(X301="",X301&lt;90)),"At risk — close to off track","On track"))))))))</t>
        </is>
      </c>
      <c r="AF301" s="38" t="inlineStr">
        <is>
          <t>IF(OR(E301="",AA301="Completed / Handover",AA301="Cancelled"),"",IF(L301="Remaining",IF(S301&lt;&gt;"",S301-TODAY(),IF(V301="","",V301-TODAY())),IF(V301="","",V301-TODAY())))</t>
        </is>
      </c>
      <c r="AG301" s="44" t="n"/>
      <c r="AH301" s="44" t="n"/>
      <c r="AI301" s="44" t="n"/>
      <c r="AJ301" s="44" t="n"/>
      <c r="AK301" s="44" t="n"/>
      <c r="AL301" s="44" t="n"/>
      <c r="AM301" s="44" t="n"/>
      <c r="AN301" s="44" t="n"/>
      <c r="AO301" s="44" t="n"/>
      <c r="AP301" s="44" t="n"/>
      <c r="AQ301" s="44" t="n"/>
      <c r="AR301" s="40" t="n"/>
      <c r="AS301" s="40" t="n"/>
      <c r="AT301" s="40" t="n"/>
      <c r="AU301" s="38" t="inlineStr">
        <is>
          <t>IF(OR(E301="",AH301=""),"",IF(COUNT(AG301:AG301)=0,"",AH301-LOOKUP(2,1/(AG301:AG301&lt;&gt;""),AG301:AG301)))</t>
        </is>
      </c>
      <c r="AV301" s="38" t="inlineStr">
        <is>
          <t>IF(OR(E301="",AI301=""),"",IF(COUNT(AG301:AH301)=0,"",AI301-LOOKUP(2,1/(AG301:AH301&lt;&gt;""),AG301:AH301)))</t>
        </is>
      </c>
      <c r="AW301" s="38" t="inlineStr">
        <is>
          <t>IF(OR(E301="",AJ301=""),"",IF(COUNT(AG301:AI301)=0,"",AJ301-LOOKUP(2,1/(AG301:AI301&lt;&gt;""),AG301:AI301)))</t>
        </is>
      </c>
      <c r="AX301" s="38" t="inlineStr">
        <is>
          <t>IF(OR(E301="",AK301=""),"",IF(COUNT(AG301:AJ301)=0,"",AK301-LOOKUP(2,1/(AG301:AJ301&lt;&gt;""),AG301:AJ301)))</t>
        </is>
      </c>
      <c r="AY301" s="38" t="inlineStr">
        <is>
          <t>IF(OR(E301="",AL301=""),"",IF(COUNT(AG301:AK301)=0,"",AL301-LOOKUP(2,1/(AG301:AK301&lt;&gt;""),AG301:AK301)))</t>
        </is>
      </c>
      <c r="AZ301" s="38" t="inlineStr">
        <is>
          <t>IF(OR(E301="",AM301=""),"",IF(COUNT(AG301:AL301)=0,"",AM301-LOOKUP(2,1/(AG301:AL301&lt;&gt;""),AG301:AL301)))</t>
        </is>
      </c>
      <c r="BA301" s="38" t="inlineStr">
        <is>
          <t>IF(OR(E301="",AN301=""),"",IF(COUNT(AG301:AM301)=0,"",AN301-LOOKUP(2,1/(AG301:AM301&lt;&gt;""),AG301:AM301)))</t>
        </is>
      </c>
      <c r="BB301" s="38" t="inlineStr">
        <is>
          <t>IF(OR(E301="",AO301=""),"",IF(COUNT(AG301:AN301)=0,"",AO301-LOOKUP(2,1/(AG301:AN301&lt;&gt;""),AG301:AN301)))</t>
        </is>
      </c>
      <c r="BC301" s="38" t="inlineStr">
        <is>
          <t>IF(OR(E301="",AP301=""),"",IF(COUNT(AG301:AO301)=0,"",AP301-LOOKUP(2,1/(AG301:AO301&lt;&gt;""),AG301:AO301)))</t>
        </is>
      </c>
      <c r="BD301" s="38" t="inlineStr">
        <is>
          <t>IF(OR(E301="",AQ301=""),"",IF(COUNT(AG301:AP301)=0,"",AQ301-LOOKUP(2,1/(AG301:AP301&lt;&gt;""),AG301:AP301)))</t>
        </is>
      </c>
      <c r="BE301" s="38" t="inlineStr">
        <is>
          <t>IF(OR(E301="",AR301=""),"",IF(COUNT(AG301:AQ301)=0,"",AR301-LOOKUP(2,1/(AG301:AQ301&lt;&gt;""),AG301:AQ301)))</t>
        </is>
      </c>
      <c r="BF301" s="38" t="inlineStr">
        <is>
          <t>IF(OR(E301="",AS301=""),"",IF(COUNT(AG301:AR301)=0,"",AS301-LOOKUP(2,1/(AG301:AR301&lt;&gt;""),AG301:AR301)))</t>
        </is>
      </c>
      <c r="BG301" s="38" t="inlineStr">
        <is>
          <t>IF(OR(E301="",AT301=""),"",IF(COUNT(AG301:AS301)=0,"",AT301-LOOKUP(2,1/(AG301:AS301&lt;&gt;""),AG301:AS301)))</t>
        </is>
      </c>
      <c r="BH301" s="41" t="inlineStr">
        <is>
          <t>IF(G301="","All_Provinces",IFERROR(VLOOKUP(G301,'07_Lookups'!$A$4:$B$20,2,FALSE),"All_Provinces"))</t>
        </is>
      </c>
      <c r="BI301" s="41" t="inlineStr">
        <is>
          <t>IF(H301="","All_Districts",IFERROR(VLOOKUP(H301,'07_Lookups'!$E$4:$F$42,2,FALSE),"All_Districts"))</t>
        </is>
      </c>
    </row>
    <row r="302" ht="18" customHeight="1">
      <c r="A302" s="32" t="inlineStr">
        <is>
          <t>IF(E302="","",ROW()-3)</t>
        </is>
      </c>
      <c r="B302" s="33" t="inlineStr">
        <is>
          <t>AF2-LLL-R-039</t>
        </is>
      </c>
      <c r="C302" s="33" t="inlineStr">
        <is>
          <t>Emergency Food Security Project (EFSP) – WBK/AF-2</t>
        </is>
      </c>
      <c r="D302" s="33" t="inlineStr">
        <is>
          <t>EFSP-AF2 LLL supply and delivery (50 units)</t>
        </is>
      </c>
      <c r="E302" s="33" t="inlineStr">
        <is>
          <t>Noghi Irrigation Scheme</t>
        </is>
      </c>
      <c r="F302" s="33" t="inlineStr">
        <is>
          <t>Laser Land Leveler (LLL)</t>
        </is>
      </c>
      <c r="G302" s="33" t="inlineStr">
        <is>
          <t>Southeast / Gardez</t>
        </is>
      </c>
      <c r="H302" s="33" t="inlineStr">
        <is>
          <t>Ghazni</t>
        </is>
      </c>
      <c r="I302" s="33" t="inlineStr">
        <is>
          <t>Ghazni</t>
        </is>
      </c>
      <c r="J302" s="33" t="inlineStr">
        <is>
          <t>1 unit(s)</t>
        </is>
      </c>
      <c r="K302" s="33" t="inlineStr">
        <is>
          <t>World Bank (WBK/AF-2)</t>
        </is>
      </c>
      <c r="L302" s="33" t="inlineStr">
        <is>
          <t>Remaining</t>
        </is>
      </c>
      <c r="M302" s="33" t="inlineStr">
        <is>
          <t>LLL supply</t>
        </is>
      </c>
      <c r="N302" s="33" t="inlineStr">
        <is>
          <t>6. Supply and delivery of LLL</t>
        </is>
      </c>
      <c r="O302" s="33" t="inlineStr"/>
      <c r="P302" s="33" t="inlineStr"/>
      <c r="Q302" s="34" t="n"/>
      <c r="R302" s="35" t="inlineStr">
        <is>
          <t>IF(AO302="","",AO302)</t>
        </is>
      </c>
      <c r="S302" s="36" t="n">
        <v>46325</v>
      </c>
      <c r="T302" s="37" t="n"/>
      <c r="U302" s="36" t="n">
        <v>46418</v>
      </c>
      <c r="V302" s="35" t="inlineStr">
        <is>
          <t>IF(U302&lt;&gt;"",U302,IF(OR(R302="",T302=""),"",EDATE(R302,T302)))</t>
        </is>
      </c>
      <c r="W302" s="36" t="n"/>
      <c r="X302" s="37" t="n"/>
      <c r="Y302" s="33" t="inlineStr">
        <is>
          <t>Under Awarding</t>
        </is>
      </c>
      <c r="Z302" s="33" t="inlineStr">
        <is>
          <t>The Procurement process is initiated in April and PO will be issued late October 2026. and delivery will be done by End of December 2026 and onward in January 2027 it is planned to be distributed to the selected beneficiaries.</t>
        </is>
      </c>
      <c r="AA302" s="32" t="inlineStr">
        <is>
          <t>IF(E302="","",IF(COUNT(AG302:AT302)=0,IF(Y302="","Not started",Y302),SUBSTITUTE(LOOKUP(2,1/(AG302:AT302&lt;&gt;""),$AG$3:$AT$3),"Date: ","")))</t>
        </is>
      </c>
      <c r="AB302" s="38" t="inlineStr">
        <is>
          <t>IF(OR(E302="",COUNT(AG302:AT302)=0),"",TODAY()-LOOKUP(2,1/(AG302:AT302&lt;&gt;""),AG302:AT302))</t>
        </is>
      </c>
      <c r="AC302" s="38" t="inlineStr">
        <is>
          <t>IF(OR(E302="",COUNT(AG302:AT302)&lt;2),"",LOOKUP(2,1/(AG302:AT302&lt;&gt;""),AG302:AT302)-MIN(AG302:AT302))</t>
        </is>
      </c>
      <c r="AD302" s="38" t="inlineStr">
        <is>
          <t>IF(OR(AB302="",AA302="Not started",AA302=""),"",IFERROR(AB302-IF(VLOOKUP(AA302,'04_Status_Pipeline'!$B$3:$E$20,4,FALSE)="",0,VLOOKUP(AA302,'04_Status_Pipeline'!$B$3:$E$20,4,FALSE)),""))</t>
        </is>
      </c>
      <c r="AE302" s="32" t="inlineStr">
        <is>
          <t>IF(E302="","",IF(OR(Y302="Cancelled",AA302="Cancelled"),"Cancelled",IF(OR(AA302="Completed / Handover",W302&lt;&gt;"",X302&gt;=100),"Completed — on track",IF(L302="Remaining",IF(S302="",IF(V302="","No planned date",IF(TODAY()&gt;V302,"Behind — past planned date",IF(V302-TODAY()&lt;=30,"At risk — close to off track","On track"))),IF(TODAY()&gt;S302,"Behind — award date passed",IF(S302-TODAY()&lt;=30,"At risk — close to off track","On track"))),IF(V302="","No planned date",IF(AND(TODAY()&gt;V302,OR(X302="",X302&lt;100)),"Behind — past end date",IF(AND(R302&lt;&gt;"",V302&lt;&gt;"",X302&lt;&gt;"",(X302&lt;100),((TODAY()-R302)/MAX(V302-R302,1)*100)-X302&gt;15),"Behind — progress lag",IF(AND(V302-TODAY()&lt;=30,V302-TODAY()&gt;=0,OR(X302="",X302&lt;90)),"At risk — close to off track","On track"))))))))</t>
        </is>
      </c>
      <c r="AF302" s="38" t="inlineStr">
        <is>
          <t>IF(OR(E302="",AA302="Completed / Handover",AA302="Cancelled"),"",IF(L302="Remaining",IF(S302&lt;&gt;"",S302-TODAY(),IF(V302="","",V302-TODAY())),IF(V302="","",V302-TODAY())))</t>
        </is>
      </c>
      <c r="AG302" s="36" t="n"/>
      <c r="AH302" s="36" t="n"/>
      <c r="AI302" s="36" t="n"/>
      <c r="AJ302" s="36" t="n"/>
      <c r="AK302" s="36" t="n"/>
      <c r="AL302" s="36" t="n"/>
      <c r="AM302" s="36" t="n"/>
      <c r="AN302" s="36" t="n"/>
      <c r="AO302" s="36" t="n"/>
      <c r="AP302" s="36" t="n"/>
      <c r="AQ302" s="36" t="n"/>
      <c r="AR302" s="40" t="n"/>
      <c r="AS302" s="40" t="n"/>
      <c r="AT302" s="40" t="n"/>
      <c r="AU302" s="38" t="inlineStr">
        <is>
          <t>IF(OR(E302="",AH302=""),"",IF(COUNT(AG302:AG302)=0,"",AH302-LOOKUP(2,1/(AG302:AG302&lt;&gt;""),AG302:AG302)))</t>
        </is>
      </c>
      <c r="AV302" s="38" t="inlineStr">
        <is>
          <t>IF(OR(E302="",AI302=""),"",IF(COUNT(AG302:AH302)=0,"",AI302-LOOKUP(2,1/(AG302:AH302&lt;&gt;""),AG302:AH302)))</t>
        </is>
      </c>
      <c r="AW302" s="38" t="inlineStr">
        <is>
          <t>IF(OR(E302="",AJ302=""),"",IF(COUNT(AG302:AI302)=0,"",AJ302-LOOKUP(2,1/(AG302:AI302&lt;&gt;""),AG302:AI302)))</t>
        </is>
      </c>
      <c r="AX302" s="38" t="inlineStr">
        <is>
          <t>IF(OR(E302="",AK302=""),"",IF(COUNT(AG302:AJ302)=0,"",AK302-LOOKUP(2,1/(AG302:AJ302&lt;&gt;""),AG302:AJ302)))</t>
        </is>
      </c>
      <c r="AY302" s="38" t="inlineStr">
        <is>
          <t>IF(OR(E302="",AL302=""),"",IF(COUNT(AG302:AK302)=0,"",AL302-LOOKUP(2,1/(AG302:AK302&lt;&gt;""),AG302:AK302)))</t>
        </is>
      </c>
      <c r="AZ302" s="38" t="inlineStr">
        <is>
          <t>IF(OR(E302="",AM302=""),"",IF(COUNT(AG302:AL302)=0,"",AM302-LOOKUP(2,1/(AG302:AL302&lt;&gt;""),AG302:AL302)))</t>
        </is>
      </c>
      <c r="BA302" s="38" t="inlineStr">
        <is>
          <t>IF(OR(E302="",AN302=""),"",IF(COUNT(AG302:AM302)=0,"",AN302-LOOKUP(2,1/(AG302:AM302&lt;&gt;""),AG302:AM302)))</t>
        </is>
      </c>
      <c r="BB302" s="38" t="inlineStr">
        <is>
          <t>IF(OR(E302="",AO302=""),"",IF(COUNT(AG302:AN302)=0,"",AO302-LOOKUP(2,1/(AG302:AN302&lt;&gt;""),AG302:AN302)))</t>
        </is>
      </c>
      <c r="BC302" s="38" t="inlineStr">
        <is>
          <t>IF(OR(E302="",AP302=""),"",IF(COUNT(AG302:AO302)=0,"",AP302-LOOKUP(2,1/(AG302:AO302&lt;&gt;""),AG302:AO302)))</t>
        </is>
      </c>
      <c r="BD302" s="38" t="inlineStr">
        <is>
          <t>IF(OR(E302="",AQ302=""),"",IF(COUNT(AG302:AP302)=0,"",AQ302-LOOKUP(2,1/(AG302:AP302&lt;&gt;""),AG302:AP302)))</t>
        </is>
      </c>
      <c r="BE302" s="38" t="inlineStr">
        <is>
          <t>IF(OR(E302="",AR302=""),"",IF(COUNT(AG302:AQ302)=0,"",AR302-LOOKUP(2,1/(AG302:AQ302&lt;&gt;""),AG302:AQ302)))</t>
        </is>
      </c>
      <c r="BF302" s="38" t="inlineStr">
        <is>
          <t>IF(OR(E302="",AS302=""),"",IF(COUNT(AG302:AR302)=0,"",AS302-LOOKUP(2,1/(AG302:AR302&lt;&gt;""),AG302:AR302)))</t>
        </is>
      </c>
      <c r="BG302" s="38" t="inlineStr">
        <is>
          <t>IF(OR(E302="",AT302=""),"",IF(COUNT(AG302:AS302)=0,"",AT302-LOOKUP(2,1/(AG302:AS302&lt;&gt;""),AG302:AS302)))</t>
        </is>
      </c>
      <c r="BH302" s="41" t="inlineStr">
        <is>
          <t>IF(G302="","All_Provinces",IFERROR(VLOOKUP(G302,'07_Lookups'!$A$4:$B$20,2,FALSE),"All_Provinces"))</t>
        </is>
      </c>
      <c r="BI302" s="41" t="inlineStr">
        <is>
          <t>IF(H302="","All_Districts",IFERROR(VLOOKUP(H302,'07_Lookups'!$E$4:$F$42,2,FALSE),"All_Districts"))</t>
        </is>
      </c>
    </row>
    <row r="303" ht="18" customHeight="1">
      <c r="A303" s="32" t="inlineStr">
        <is>
          <t>IF(E303="","",ROW()-3)</t>
        </is>
      </c>
      <c r="B303" s="42" t="inlineStr">
        <is>
          <t>AF2-LLL-R-040</t>
        </is>
      </c>
      <c r="C303" s="42" t="inlineStr">
        <is>
          <t>Emergency Food Security Project (EFSP) – WBK/AF-2</t>
        </is>
      </c>
      <c r="D303" s="42" t="inlineStr">
        <is>
          <t>EFSP-AF2 LLL supply and delivery (50 units)</t>
        </is>
      </c>
      <c r="E303" s="42" t="inlineStr">
        <is>
          <t>Shir Abad Irrigation Scheme</t>
        </is>
      </c>
      <c r="F303" s="42" t="inlineStr">
        <is>
          <t>Laser Land Leveler (LLL)</t>
        </is>
      </c>
      <c r="G303" s="42" t="inlineStr">
        <is>
          <t>Southeast / Gardez</t>
        </is>
      </c>
      <c r="H303" s="42" t="inlineStr">
        <is>
          <t>Ghazni</t>
        </is>
      </c>
      <c r="I303" s="42" t="inlineStr">
        <is>
          <t>Qarabagh</t>
        </is>
      </c>
      <c r="J303" s="42" t="inlineStr">
        <is>
          <t>1 unit(s)</t>
        </is>
      </c>
      <c r="K303" s="42" t="inlineStr">
        <is>
          <t>World Bank (WBK/AF-2)</t>
        </is>
      </c>
      <c r="L303" s="42" t="inlineStr">
        <is>
          <t>Remaining</t>
        </is>
      </c>
      <c r="M303" s="42" t="inlineStr">
        <is>
          <t>LLL supply</t>
        </is>
      </c>
      <c r="N303" s="42" t="inlineStr">
        <is>
          <t>6. Supply and delivery of LLL</t>
        </is>
      </c>
      <c r="O303" s="42" t="inlineStr"/>
      <c r="P303" s="42" t="inlineStr"/>
      <c r="Q303" s="43" t="n"/>
      <c r="R303" s="35" t="inlineStr">
        <is>
          <t>IF(AO303="","",AO303)</t>
        </is>
      </c>
      <c r="S303" s="44" t="n">
        <v>46325</v>
      </c>
      <c r="T303" s="45" t="n"/>
      <c r="U303" s="44" t="n">
        <v>46418</v>
      </c>
      <c r="V303" s="35" t="inlineStr">
        <is>
          <t>IF(U303&lt;&gt;"",U303,IF(OR(R303="",T303=""),"",EDATE(R303,T303)))</t>
        </is>
      </c>
      <c r="W303" s="44" t="n"/>
      <c r="X303" s="45" t="n"/>
      <c r="Y303" s="42" t="inlineStr">
        <is>
          <t>Under Awarding</t>
        </is>
      </c>
      <c r="Z303" s="42" t="inlineStr">
        <is>
          <t>The Procurement process is initiated in April and PO will be issued late October 2026. and delivery will be done by End of December 2026 and onward in January 2027 it is planned to be distributed to the selected beneficiaries.</t>
        </is>
      </c>
      <c r="AA303" s="32" t="inlineStr">
        <is>
          <t>IF(E303="","",IF(COUNT(AG303:AT303)=0,IF(Y303="","Not started",Y303),SUBSTITUTE(LOOKUP(2,1/(AG303:AT303&lt;&gt;""),$AG$3:$AT$3),"Date: ","")))</t>
        </is>
      </c>
      <c r="AB303" s="38" t="inlineStr">
        <is>
          <t>IF(OR(E303="",COUNT(AG303:AT303)=0),"",TODAY()-LOOKUP(2,1/(AG303:AT303&lt;&gt;""),AG303:AT303))</t>
        </is>
      </c>
      <c r="AC303" s="38" t="inlineStr">
        <is>
          <t>IF(OR(E303="",COUNT(AG303:AT303)&lt;2),"",LOOKUP(2,1/(AG303:AT303&lt;&gt;""),AG303:AT303)-MIN(AG303:AT303))</t>
        </is>
      </c>
      <c r="AD303" s="38" t="inlineStr">
        <is>
          <t>IF(OR(AB303="",AA303="Not started",AA303=""),"",IFERROR(AB303-IF(VLOOKUP(AA303,'04_Status_Pipeline'!$B$3:$E$20,4,FALSE)="",0,VLOOKUP(AA303,'04_Status_Pipeline'!$B$3:$E$20,4,FALSE)),""))</t>
        </is>
      </c>
      <c r="AE303" s="32" t="inlineStr">
        <is>
          <t>IF(E303="","",IF(OR(Y303="Cancelled",AA303="Cancelled"),"Cancelled",IF(OR(AA303="Completed / Handover",W303&lt;&gt;"",X303&gt;=100),"Completed — on track",IF(L303="Remaining",IF(S303="",IF(V303="","No planned date",IF(TODAY()&gt;V303,"Behind — past planned date",IF(V303-TODAY()&lt;=30,"At risk — close to off track","On track"))),IF(TODAY()&gt;S303,"Behind — award date passed",IF(S303-TODAY()&lt;=30,"At risk — close to off track","On track"))),IF(V303="","No planned date",IF(AND(TODAY()&gt;V303,OR(X303="",X303&lt;100)),"Behind — past end date",IF(AND(R303&lt;&gt;"",V303&lt;&gt;"",X303&lt;&gt;"",(X303&lt;100),((TODAY()-R303)/MAX(V303-R303,1)*100)-X303&gt;15),"Behind — progress lag",IF(AND(V303-TODAY()&lt;=30,V303-TODAY()&gt;=0,OR(X303="",X303&lt;90)),"At risk — close to off track","On track"))))))))</t>
        </is>
      </c>
      <c r="AF303" s="38" t="inlineStr">
        <is>
          <t>IF(OR(E303="",AA303="Completed / Handover",AA303="Cancelled"),"",IF(L303="Remaining",IF(S303&lt;&gt;"",S303-TODAY(),IF(V303="","",V303-TODAY())),IF(V303="","",V303-TODAY())))</t>
        </is>
      </c>
      <c r="AG303" s="44" t="n"/>
      <c r="AH303" s="44" t="n"/>
      <c r="AI303" s="44" t="n"/>
      <c r="AJ303" s="44" t="n"/>
      <c r="AK303" s="44" t="n"/>
      <c r="AL303" s="44" t="n"/>
      <c r="AM303" s="44" t="n"/>
      <c r="AN303" s="44" t="n"/>
      <c r="AO303" s="44" t="n"/>
      <c r="AP303" s="44" t="n"/>
      <c r="AQ303" s="44" t="n"/>
      <c r="AR303" s="40" t="n"/>
      <c r="AS303" s="40" t="n"/>
      <c r="AT303" s="40" t="n"/>
      <c r="AU303" s="38" t="inlineStr">
        <is>
          <t>IF(OR(E303="",AH303=""),"",IF(COUNT(AG303:AG303)=0,"",AH303-LOOKUP(2,1/(AG303:AG303&lt;&gt;""),AG303:AG303)))</t>
        </is>
      </c>
      <c r="AV303" s="38" t="inlineStr">
        <is>
          <t>IF(OR(E303="",AI303=""),"",IF(COUNT(AG303:AH303)=0,"",AI303-LOOKUP(2,1/(AG303:AH303&lt;&gt;""),AG303:AH303)))</t>
        </is>
      </c>
      <c r="AW303" s="38" t="inlineStr">
        <is>
          <t>IF(OR(E303="",AJ303=""),"",IF(COUNT(AG303:AI303)=0,"",AJ303-LOOKUP(2,1/(AG303:AI303&lt;&gt;""),AG303:AI303)))</t>
        </is>
      </c>
      <c r="AX303" s="38" t="inlineStr">
        <is>
          <t>IF(OR(E303="",AK303=""),"",IF(COUNT(AG303:AJ303)=0,"",AK303-LOOKUP(2,1/(AG303:AJ303&lt;&gt;""),AG303:AJ303)))</t>
        </is>
      </c>
      <c r="AY303" s="38" t="inlineStr">
        <is>
          <t>IF(OR(E303="",AL303=""),"",IF(COUNT(AG303:AK303)=0,"",AL303-LOOKUP(2,1/(AG303:AK303&lt;&gt;""),AG303:AK303)))</t>
        </is>
      </c>
      <c r="AZ303" s="38" t="inlineStr">
        <is>
          <t>IF(OR(E303="",AM303=""),"",IF(COUNT(AG303:AL303)=0,"",AM303-LOOKUP(2,1/(AG303:AL303&lt;&gt;""),AG303:AL303)))</t>
        </is>
      </c>
      <c r="BA303" s="38" t="inlineStr">
        <is>
          <t>IF(OR(E303="",AN303=""),"",IF(COUNT(AG303:AM303)=0,"",AN303-LOOKUP(2,1/(AG303:AM303&lt;&gt;""),AG303:AM303)))</t>
        </is>
      </c>
      <c r="BB303" s="38" t="inlineStr">
        <is>
          <t>IF(OR(E303="",AO303=""),"",IF(COUNT(AG303:AN303)=0,"",AO303-LOOKUP(2,1/(AG303:AN303&lt;&gt;""),AG303:AN303)))</t>
        </is>
      </c>
      <c r="BC303" s="38" t="inlineStr">
        <is>
          <t>IF(OR(E303="",AP303=""),"",IF(COUNT(AG303:AO303)=0,"",AP303-LOOKUP(2,1/(AG303:AO303&lt;&gt;""),AG303:AO303)))</t>
        </is>
      </c>
      <c r="BD303" s="38" t="inlineStr">
        <is>
          <t>IF(OR(E303="",AQ303=""),"",IF(COUNT(AG303:AP303)=0,"",AQ303-LOOKUP(2,1/(AG303:AP303&lt;&gt;""),AG303:AP303)))</t>
        </is>
      </c>
      <c r="BE303" s="38" t="inlineStr">
        <is>
          <t>IF(OR(E303="",AR303=""),"",IF(COUNT(AG303:AQ303)=0,"",AR303-LOOKUP(2,1/(AG303:AQ303&lt;&gt;""),AG303:AQ303)))</t>
        </is>
      </c>
      <c r="BF303" s="38" t="inlineStr">
        <is>
          <t>IF(OR(E303="",AS303=""),"",IF(COUNT(AG303:AR303)=0,"",AS303-LOOKUP(2,1/(AG303:AR303&lt;&gt;""),AG303:AR303)))</t>
        </is>
      </c>
      <c r="BG303" s="38" t="inlineStr">
        <is>
          <t>IF(OR(E303="",AT303=""),"",IF(COUNT(AG303:AS303)=0,"",AT303-LOOKUP(2,1/(AG303:AS303&lt;&gt;""),AG303:AS303)))</t>
        </is>
      </c>
      <c r="BH303" s="41" t="inlineStr">
        <is>
          <t>IF(G303="","All_Provinces",IFERROR(VLOOKUP(G303,'07_Lookups'!$A$4:$B$20,2,FALSE),"All_Provinces"))</t>
        </is>
      </c>
      <c r="BI303" s="41" t="inlineStr">
        <is>
          <t>IF(H303="","All_Districts",IFERROR(VLOOKUP(H303,'07_Lookups'!$E$4:$F$42,2,FALSE),"All_Districts"))</t>
        </is>
      </c>
    </row>
    <row r="304" ht="18" customHeight="1">
      <c r="A304" s="32" t="inlineStr">
        <is>
          <t>IF(E304="","",ROW()-3)</t>
        </is>
      </c>
      <c r="B304" s="33" t="inlineStr">
        <is>
          <t>AF2-LLL-R-041</t>
        </is>
      </c>
      <c r="C304" s="33" t="inlineStr">
        <is>
          <t>Emergency Food Security Project (EFSP) – WBK/AF-2</t>
        </is>
      </c>
      <c r="D304" s="33" t="inlineStr">
        <is>
          <t>EFSP-AF2 LLL supply and delivery (50 units)</t>
        </is>
      </c>
      <c r="E304" s="33" t="inlineStr">
        <is>
          <t>Drang Irrigation Scheme</t>
        </is>
      </c>
      <c r="F304" s="33" t="inlineStr">
        <is>
          <t>Laser Land Leveler (LLL)</t>
        </is>
      </c>
      <c r="G304" s="33" t="inlineStr">
        <is>
          <t>Southeast / Gardez</t>
        </is>
      </c>
      <c r="H304" s="33" t="inlineStr">
        <is>
          <t>Paktya</t>
        </is>
      </c>
      <c r="I304" s="33" t="inlineStr">
        <is>
          <t>Zurmat</t>
        </is>
      </c>
      <c r="J304" s="33" t="inlineStr">
        <is>
          <t>1 unit(s)</t>
        </is>
      </c>
      <c r="K304" s="33" t="inlineStr">
        <is>
          <t>World Bank (WBK/AF-2)</t>
        </is>
      </c>
      <c r="L304" s="33" t="inlineStr">
        <is>
          <t>Remaining</t>
        </is>
      </c>
      <c r="M304" s="33" t="inlineStr">
        <is>
          <t>LLL supply</t>
        </is>
      </c>
      <c r="N304" s="33" t="inlineStr">
        <is>
          <t>6. Supply and delivery of LLL</t>
        </is>
      </c>
      <c r="O304" s="33" t="inlineStr"/>
      <c r="P304" s="33" t="inlineStr"/>
      <c r="Q304" s="34" t="n"/>
      <c r="R304" s="35" t="inlineStr">
        <is>
          <t>IF(AO304="","",AO304)</t>
        </is>
      </c>
      <c r="S304" s="36" t="n">
        <v>46325</v>
      </c>
      <c r="T304" s="37" t="n"/>
      <c r="U304" s="36" t="n">
        <v>46418</v>
      </c>
      <c r="V304" s="35" t="inlineStr">
        <is>
          <t>IF(U304&lt;&gt;"",U304,IF(OR(R304="",T304=""),"",EDATE(R304,T304)))</t>
        </is>
      </c>
      <c r="W304" s="36" t="n"/>
      <c r="X304" s="37" t="n"/>
      <c r="Y304" s="33" t="inlineStr">
        <is>
          <t>Under Awarding</t>
        </is>
      </c>
      <c r="Z304" s="33" t="inlineStr">
        <is>
          <t>The Procurement process is initiated in April and PO will be issued late October 2026. and delivery will be done by End of December 2026 and onward in January 2027 it is planned to be distributed to the selected beneficiaries.</t>
        </is>
      </c>
      <c r="AA304" s="32" t="inlineStr">
        <is>
          <t>IF(E304="","",IF(COUNT(AG304:AT304)=0,IF(Y304="","Not started",Y304),SUBSTITUTE(LOOKUP(2,1/(AG304:AT304&lt;&gt;""),$AG$3:$AT$3),"Date: ","")))</t>
        </is>
      </c>
      <c r="AB304" s="38" t="inlineStr">
        <is>
          <t>IF(OR(E304="",COUNT(AG304:AT304)=0),"",TODAY()-LOOKUP(2,1/(AG304:AT304&lt;&gt;""),AG304:AT304))</t>
        </is>
      </c>
      <c r="AC304" s="38" t="inlineStr">
        <is>
          <t>IF(OR(E304="",COUNT(AG304:AT304)&lt;2),"",LOOKUP(2,1/(AG304:AT304&lt;&gt;""),AG304:AT304)-MIN(AG304:AT304))</t>
        </is>
      </c>
      <c r="AD304" s="38" t="inlineStr">
        <is>
          <t>IF(OR(AB304="",AA304="Not started",AA304=""),"",IFERROR(AB304-IF(VLOOKUP(AA304,'04_Status_Pipeline'!$B$3:$E$20,4,FALSE)="",0,VLOOKUP(AA304,'04_Status_Pipeline'!$B$3:$E$20,4,FALSE)),""))</t>
        </is>
      </c>
      <c r="AE304" s="32" t="inlineStr">
        <is>
          <t>IF(E304="","",IF(OR(Y304="Cancelled",AA304="Cancelled"),"Cancelled",IF(OR(AA304="Completed / Handover",W304&lt;&gt;"",X304&gt;=100),"Completed — on track",IF(L304="Remaining",IF(S304="",IF(V304="","No planned date",IF(TODAY()&gt;V304,"Behind — past planned date",IF(V304-TODAY()&lt;=30,"At risk — close to off track","On track"))),IF(TODAY()&gt;S304,"Behind — award date passed",IF(S304-TODAY()&lt;=30,"At risk — close to off track","On track"))),IF(V304="","No planned date",IF(AND(TODAY()&gt;V304,OR(X304="",X304&lt;100)),"Behind — past end date",IF(AND(R304&lt;&gt;"",V304&lt;&gt;"",X304&lt;&gt;"",(X304&lt;100),((TODAY()-R304)/MAX(V304-R304,1)*100)-X304&gt;15),"Behind — progress lag",IF(AND(V304-TODAY()&lt;=30,V304-TODAY()&gt;=0,OR(X304="",X304&lt;90)),"At risk — close to off track","On track"))))))))</t>
        </is>
      </c>
      <c r="AF304" s="38" t="inlineStr">
        <is>
          <t>IF(OR(E304="",AA304="Completed / Handover",AA304="Cancelled"),"",IF(L304="Remaining",IF(S304&lt;&gt;"",S304-TODAY(),IF(V304="","",V304-TODAY())),IF(V304="","",V304-TODAY())))</t>
        </is>
      </c>
      <c r="AG304" s="36" t="n"/>
      <c r="AH304" s="36" t="n"/>
      <c r="AI304" s="36" t="n"/>
      <c r="AJ304" s="36" t="n"/>
      <c r="AK304" s="36" t="n"/>
      <c r="AL304" s="36" t="n"/>
      <c r="AM304" s="36" t="n"/>
      <c r="AN304" s="36" t="n"/>
      <c r="AO304" s="36" t="n"/>
      <c r="AP304" s="36" t="n"/>
      <c r="AQ304" s="36" t="n"/>
      <c r="AR304" s="40" t="n"/>
      <c r="AS304" s="40" t="n"/>
      <c r="AT304" s="40" t="n"/>
      <c r="AU304" s="38" t="inlineStr">
        <is>
          <t>IF(OR(E304="",AH304=""),"",IF(COUNT(AG304:AG304)=0,"",AH304-LOOKUP(2,1/(AG304:AG304&lt;&gt;""),AG304:AG304)))</t>
        </is>
      </c>
      <c r="AV304" s="38" t="inlineStr">
        <is>
          <t>IF(OR(E304="",AI304=""),"",IF(COUNT(AG304:AH304)=0,"",AI304-LOOKUP(2,1/(AG304:AH304&lt;&gt;""),AG304:AH304)))</t>
        </is>
      </c>
      <c r="AW304" s="38" t="inlineStr">
        <is>
          <t>IF(OR(E304="",AJ304=""),"",IF(COUNT(AG304:AI304)=0,"",AJ304-LOOKUP(2,1/(AG304:AI304&lt;&gt;""),AG304:AI304)))</t>
        </is>
      </c>
      <c r="AX304" s="38" t="inlineStr">
        <is>
          <t>IF(OR(E304="",AK304=""),"",IF(COUNT(AG304:AJ304)=0,"",AK304-LOOKUP(2,1/(AG304:AJ304&lt;&gt;""),AG304:AJ304)))</t>
        </is>
      </c>
      <c r="AY304" s="38" t="inlineStr">
        <is>
          <t>IF(OR(E304="",AL304=""),"",IF(COUNT(AG304:AK304)=0,"",AL304-LOOKUP(2,1/(AG304:AK304&lt;&gt;""),AG304:AK304)))</t>
        </is>
      </c>
      <c r="AZ304" s="38" t="inlineStr">
        <is>
          <t>IF(OR(E304="",AM304=""),"",IF(COUNT(AG304:AL304)=0,"",AM304-LOOKUP(2,1/(AG304:AL304&lt;&gt;""),AG304:AL304)))</t>
        </is>
      </c>
      <c r="BA304" s="38" t="inlineStr">
        <is>
          <t>IF(OR(E304="",AN304=""),"",IF(COUNT(AG304:AM304)=0,"",AN304-LOOKUP(2,1/(AG304:AM304&lt;&gt;""),AG304:AM304)))</t>
        </is>
      </c>
      <c r="BB304" s="38" t="inlineStr">
        <is>
          <t>IF(OR(E304="",AO304=""),"",IF(COUNT(AG304:AN304)=0,"",AO304-LOOKUP(2,1/(AG304:AN304&lt;&gt;""),AG304:AN304)))</t>
        </is>
      </c>
      <c r="BC304" s="38" t="inlineStr">
        <is>
          <t>IF(OR(E304="",AP304=""),"",IF(COUNT(AG304:AO304)=0,"",AP304-LOOKUP(2,1/(AG304:AO304&lt;&gt;""),AG304:AO304)))</t>
        </is>
      </c>
      <c r="BD304" s="38" t="inlineStr">
        <is>
          <t>IF(OR(E304="",AQ304=""),"",IF(COUNT(AG304:AP304)=0,"",AQ304-LOOKUP(2,1/(AG304:AP304&lt;&gt;""),AG304:AP304)))</t>
        </is>
      </c>
      <c r="BE304" s="38" t="inlineStr">
        <is>
          <t>IF(OR(E304="",AR304=""),"",IF(COUNT(AG304:AQ304)=0,"",AR304-LOOKUP(2,1/(AG304:AQ304&lt;&gt;""),AG304:AQ304)))</t>
        </is>
      </c>
      <c r="BF304" s="38" t="inlineStr">
        <is>
          <t>IF(OR(E304="",AS304=""),"",IF(COUNT(AG304:AR304)=0,"",AS304-LOOKUP(2,1/(AG304:AR304&lt;&gt;""),AG304:AR304)))</t>
        </is>
      </c>
      <c r="BG304" s="38" t="inlineStr">
        <is>
          <t>IF(OR(E304="",AT304=""),"",IF(COUNT(AG304:AS304)=0,"",AT304-LOOKUP(2,1/(AG304:AS304&lt;&gt;""),AG304:AS304)))</t>
        </is>
      </c>
      <c r="BH304" s="41" t="inlineStr">
        <is>
          <t>IF(G304="","All_Provinces",IFERROR(VLOOKUP(G304,'07_Lookups'!$A$4:$B$20,2,FALSE),"All_Provinces"))</t>
        </is>
      </c>
      <c r="BI304" s="41" t="inlineStr">
        <is>
          <t>IF(H304="","All_Districts",IFERROR(VLOOKUP(H304,'07_Lookups'!$E$4:$F$42,2,FALSE),"All_Districts"))</t>
        </is>
      </c>
    </row>
    <row r="305" ht="18" customHeight="1">
      <c r="A305" s="32" t="inlineStr">
        <is>
          <t>IF(E305="","",ROW()-3)</t>
        </is>
      </c>
      <c r="B305" s="42" t="inlineStr">
        <is>
          <t>AF2-LLL-R-042</t>
        </is>
      </c>
      <c r="C305" s="42" t="inlineStr">
        <is>
          <t>Emergency Food Security Project (EFSP) – WBK/AF-2</t>
        </is>
      </c>
      <c r="D305" s="42" t="inlineStr">
        <is>
          <t>EFSP-AF2 LLL supply and delivery (50 units)</t>
        </is>
      </c>
      <c r="E305" s="42" t="inlineStr">
        <is>
          <t>Shaflan Irrigation Canal</t>
        </is>
      </c>
      <c r="F305" s="42" t="inlineStr">
        <is>
          <t>Laser Land Leveler (LLL)</t>
        </is>
      </c>
      <c r="G305" s="42" t="inlineStr">
        <is>
          <t>West / Herat</t>
        </is>
      </c>
      <c r="H305" s="42" t="inlineStr">
        <is>
          <t>Herat</t>
        </is>
      </c>
      <c r="I305" s="42" t="inlineStr">
        <is>
          <t>Pashton Zarghon</t>
        </is>
      </c>
      <c r="J305" s="42" t="inlineStr">
        <is>
          <t>1 unit(s)</t>
        </is>
      </c>
      <c r="K305" s="42" t="inlineStr">
        <is>
          <t>World Bank (WBK/AF-2)</t>
        </is>
      </c>
      <c r="L305" s="42" t="inlineStr">
        <is>
          <t>Remaining</t>
        </is>
      </c>
      <c r="M305" s="42" t="inlineStr">
        <is>
          <t>LLL supply</t>
        </is>
      </c>
      <c r="N305" s="42" t="inlineStr">
        <is>
          <t>6. Supply and delivery of LLL</t>
        </is>
      </c>
      <c r="O305" s="42" t="inlineStr"/>
      <c r="P305" s="42" t="inlineStr"/>
      <c r="Q305" s="43" t="n"/>
      <c r="R305" s="35" t="inlineStr">
        <is>
          <t>IF(AO305="","",AO305)</t>
        </is>
      </c>
      <c r="S305" s="44" t="n">
        <v>46325</v>
      </c>
      <c r="T305" s="45" t="n"/>
      <c r="U305" s="44" t="n">
        <v>46418</v>
      </c>
      <c r="V305" s="35" t="inlineStr">
        <is>
          <t>IF(U305&lt;&gt;"",U305,IF(OR(R305="",T305=""),"",EDATE(R305,T305)))</t>
        </is>
      </c>
      <c r="W305" s="44" t="n"/>
      <c r="X305" s="45" t="n"/>
      <c r="Y305" s="42" t="inlineStr">
        <is>
          <t>Under Awarding</t>
        </is>
      </c>
      <c r="Z305" s="42" t="inlineStr">
        <is>
          <t>The Procurement process is initiated in April and PO will be issued late October 2026. and delivery will be done by End of December 2026 and onward in January 2027 it is planned to be distributed to the selected beneficiaries.</t>
        </is>
      </c>
      <c r="AA305" s="32" t="inlineStr">
        <is>
          <t>IF(E305="","",IF(COUNT(AG305:AT305)=0,IF(Y305="","Not started",Y305),SUBSTITUTE(LOOKUP(2,1/(AG305:AT305&lt;&gt;""),$AG$3:$AT$3),"Date: ","")))</t>
        </is>
      </c>
      <c r="AB305" s="38" t="inlineStr">
        <is>
          <t>IF(OR(E305="",COUNT(AG305:AT305)=0),"",TODAY()-LOOKUP(2,1/(AG305:AT305&lt;&gt;""),AG305:AT305))</t>
        </is>
      </c>
      <c r="AC305" s="38" t="inlineStr">
        <is>
          <t>IF(OR(E305="",COUNT(AG305:AT305)&lt;2),"",LOOKUP(2,1/(AG305:AT305&lt;&gt;""),AG305:AT305)-MIN(AG305:AT305))</t>
        </is>
      </c>
      <c r="AD305" s="38" t="inlineStr">
        <is>
          <t>IF(OR(AB305="",AA305="Not started",AA305=""),"",IFERROR(AB305-IF(VLOOKUP(AA305,'04_Status_Pipeline'!$B$3:$E$20,4,FALSE)="",0,VLOOKUP(AA305,'04_Status_Pipeline'!$B$3:$E$20,4,FALSE)),""))</t>
        </is>
      </c>
      <c r="AE305" s="32" t="inlineStr">
        <is>
          <t>IF(E305="","",IF(OR(Y305="Cancelled",AA305="Cancelled"),"Cancelled",IF(OR(AA305="Completed / Handover",W305&lt;&gt;"",X305&gt;=100),"Completed — on track",IF(L305="Remaining",IF(S305="",IF(V305="","No planned date",IF(TODAY()&gt;V305,"Behind — past planned date",IF(V305-TODAY()&lt;=30,"At risk — close to off track","On track"))),IF(TODAY()&gt;S305,"Behind — award date passed",IF(S305-TODAY()&lt;=30,"At risk — close to off track","On track"))),IF(V305="","No planned date",IF(AND(TODAY()&gt;V305,OR(X305="",X305&lt;100)),"Behind — past end date",IF(AND(R305&lt;&gt;"",V305&lt;&gt;"",X305&lt;&gt;"",(X305&lt;100),((TODAY()-R305)/MAX(V305-R305,1)*100)-X305&gt;15),"Behind — progress lag",IF(AND(V305-TODAY()&lt;=30,V305-TODAY()&gt;=0,OR(X305="",X305&lt;90)),"At risk — close to off track","On track"))))))))</t>
        </is>
      </c>
      <c r="AF305" s="38" t="inlineStr">
        <is>
          <t>IF(OR(E305="",AA305="Completed / Handover",AA305="Cancelled"),"",IF(L305="Remaining",IF(S305&lt;&gt;"",S305-TODAY(),IF(V305="","",V305-TODAY())),IF(V305="","",V305-TODAY())))</t>
        </is>
      </c>
      <c r="AG305" s="44" t="n"/>
      <c r="AH305" s="44" t="n"/>
      <c r="AI305" s="44" t="n"/>
      <c r="AJ305" s="44" t="n"/>
      <c r="AK305" s="44" t="n"/>
      <c r="AL305" s="44" t="n"/>
      <c r="AM305" s="44" t="n"/>
      <c r="AN305" s="44" t="n"/>
      <c r="AO305" s="44" t="n"/>
      <c r="AP305" s="44" t="n"/>
      <c r="AQ305" s="44" t="n"/>
      <c r="AR305" s="40" t="n"/>
      <c r="AS305" s="40" t="n"/>
      <c r="AT305" s="40" t="n"/>
      <c r="AU305" s="38" t="inlineStr">
        <is>
          <t>IF(OR(E305="",AH305=""),"",IF(COUNT(AG305:AG305)=0,"",AH305-LOOKUP(2,1/(AG305:AG305&lt;&gt;""),AG305:AG305)))</t>
        </is>
      </c>
      <c r="AV305" s="38" t="inlineStr">
        <is>
          <t>IF(OR(E305="",AI305=""),"",IF(COUNT(AG305:AH305)=0,"",AI305-LOOKUP(2,1/(AG305:AH305&lt;&gt;""),AG305:AH305)))</t>
        </is>
      </c>
      <c r="AW305" s="38" t="inlineStr">
        <is>
          <t>IF(OR(E305="",AJ305=""),"",IF(COUNT(AG305:AI305)=0,"",AJ305-LOOKUP(2,1/(AG305:AI305&lt;&gt;""),AG305:AI305)))</t>
        </is>
      </c>
      <c r="AX305" s="38" t="inlineStr">
        <is>
          <t>IF(OR(E305="",AK305=""),"",IF(COUNT(AG305:AJ305)=0,"",AK305-LOOKUP(2,1/(AG305:AJ305&lt;&gt;""),AG305:AJ305)))</t>
        </is>
      </c>
      <c r="AY305" s="38" t="inlineStr">
        <is>
          <t>IF(OR(E305="",AL305=""),"",IF(COUNT(AG305:AK305)=0,"",AL305-LOOKUP(2,1/(AG305:AK305&lt;&gt;""),AG305:AK305)))</t>
        </is>
      </c>
      <c r="AZ305" s="38" t="inlineStr">
        <is>
          <t>IF(OR(E305="",AM305=""),"",IF(COUNT(AG305:AL305)=0,"",AM305-LOOKUP(2,1/(AG305:AL305&lt;&gt;""),AG305:AL305)))</t>
        </is>
      </c>
      <c r="BA305" s="38" t="inlineStr">
        <is>
          <t>IF(OR(E305="",AN305=""),"",IF(COUNT(AG305:AM305)=0,"",AN305-LOOKUP(2,1/(AG305:AM305&lt;&gt;""),AG305:AM305)))</t>
        </is>
      </c>
      <c r="BB305" s="38" t="inlineStr">
        <is>
          <t>IF(OR(E305="",AO305=""),"",IF(COUNT(AG305:AN305)=0,"",AO305-LOOKUP(2,1/(AG305:AN305&lt;&gt;""),AG305:AN305)))</t>
        </is>
      </c>
      <c r="BC305" s="38" t="inlineStr">
        <is>
          <t>IF(OR(E305="",AP305=""),"",IF(COUNT(AG305:AO305)=0,"",AP305-LOOKUP(2,1/(AG305:AO305&lt;&gt;""),AG305:AO305)))</t>
        </is>
      </c>
      <c r="BD305" s="38" t="inlineStr">
        <is>
          <t>IF(OR(E305="",AQ305=""),"",IF(COUNT(AG305:AP305)=0,"",AQ305-LOOKUP(2,1/(AG305:AP305&lt;&gt;""),AG305:AP305)))</t>
        </is>
      </c>
      <c r="BE305" s="38" t="inlineStr">
        <is>
          <t>IF(OR(E305="",AR305=""),"",IF(COUNT(AG305:AQ305)=0,"",AR305-LOOKUP(2,1/(AG305:AQ305&lt;&gt;""),AG305:AQ305)))</t>
        </is>
      </c>
      <c r="BF305" s="38" t="inlineStr">
        <is>
          <t>IF(OR(E305="",AS305=""),"",IF(COUNT(AG305:AR305)=0,"",AS305-LOOKUP(2,1/(AG305:AR305&lt;&gt;""),AG305:AR305)))</t>
        </is>
      </c>
      <c r="BG305" s="38" t="inlineStr">
        <is>
          <t>IF(OR(E305="",AT305=""),"",IF(COUNT(AG305:AS305)=0,"",AT305-LOOKUP(2,1/(AG305:AS305&lt;&gt;""),AG305:AS305)))</t>
        </is>
      </c>
      <c r="BH305" s="41" t="inlineStr">
        <is>
          <t>IF(G305="","All_Provinces",IFERROR(VLOOKUP(G305,'07_Lookups'!$A$4:$B$20,2,FALSE),"All_Provinces"))</t>
        </is>
      </c>
      <c r="BI305" s="41" t="inlineStr">
        <is>
          <t>IF(H305="","All_Districts",IFERROR(VLOOKUP(H305,'07_Lookups'!$E$4:$F$42,2,FALSE),"All_Districts"))</t>
        </is>
      </c>
    </row>
    <row r="306" ht="18" customHeight="1">
      <c r="A306" s="32" t="inlineStr">
        <is>
          <t>IF(E306="","",ROW()-3)</t>
        </is>
      </c>
      <c r="B306" s="33" t="inlineStr">
        <is>
          <t>AF2-LLL-R-043</t>
        </is>
      </c>
      <c r="C306" s="33" t="inlineStr">
        <is>
          <t>Emergency Food Security Project (EFSP) – WBK/AF-2</t>
        </is>
      </c>
      <c r="D306" s="33" t="inlineStr">
        <is>
          <t>EFSP-AF2 LLL supply and delivery (50 units)</t>
        </is>
      </c>
      <c r="E306" s="33" t="inlineStr">
        <is>
          <t>Joi Bazar irrigation scheme</t>
        </is>
      </c>
      <c r="F306" s="33" t="inlineStr">
        <is>
          <t>Laser Land Leveler (LLL)</t>
        </is>
      </c>
      <c r="G306" s="33" t="inlineStr">
        <is>
          <t>West / Herat</t>
        </is>
      </c>
      <c r="H306" s="33" t="inlineStr">
        <is>
          <t>Herat</t>
        </is>
      </c>
      <c r="I306" s="33" t="inlineStr">
        <is>
          <t>Obe</t>
        </is>
      </c>
      <c r="J306" s="33" t="inlineStr">
        <is>
          <t>1 unit(s)</t>
        </is>
      </c>
      <c r="K306" s="33" t="inlineStr">
        <is>
          <t>World Bank (WBK/AF-2)</t>
        </is>
      </c>
      <c r="L306" s="33" t="inlineStr">
        <is>
          <t>Remaining</t>
        </is>
      </c>
      <c r="M306" s="33" t="inlineStr">
        <is>
          <t>LLL supply</t>
        </is>
      </c>
      <c r="N306" s="33" t="inlineStr">
        <is>
          <t>6. Supply and delivery of LLL</t>
        </is>
      </c>
      <c r="O306" s="33" t="inlineStr"/>
      <c r="P306" s="33" t="inlineStr"/>
      <c r="Q306" s="34" t="n"/>
      <c r="R306" s="35" t="inlineStr">
        <is>
          <t>IF(AO306="","",AO306)</t>
        </is>
      </c>
      <c r="S306" s="36" t="n">
        <v>46325</v>
      </c>
      <c r="T306" s="37" t="n"/>
      <c r="U306" s="36" t="n">
        <v>46418</v>
      </c>
      <c r="V306" s="35" t="inlineStr">
        <is>
          <t>IF(U306&lt;&gt;"",U306,IF(OR(R306="",T306=""),"",EDATE(R306,T306)))</t>
        </is>
      </c>
      <c r="W306" s="36" t="n"/>
      <c r="X306" s="37" t="n"/>
      <c r="Y306" s="33" t="inlineStr">
        <is>
          <t>Under Awarding</t>
        </is>
      </c>
      <c r="Z306" s="33" t="inlineStr">
        <is>
          <t>The Procurement process is initiated in April and PO will be issued late October 2026. and delivery will be done by End of December 2026 and onward in January 2027 it is planned to be distributed to the selected beneficiaries.</t>
        </is>
      </c>
      <c r="AA306" s="32" t="inlineStr">
        <is>
          <t>IF(E306="","",IF(COUNT(AG306:AT306)=0,IF(Y306="","Not started",Y306),SUBSTITUTE(LOOKUP(2,1/(AG306:AT306&lt;&gt;""),$AG$3:$AT$3),"Date: ","")))</t>
        </is>
      </c>
      <c r="AB306" s="38" t="inlineStr">
        <is>
          <t>IF(OR(E306="",COUNT(AG306:AT306)=0),"",TODAY()-LOOKUP(2,1/(AG306:AT306&lt;&gt;""),AG306:AT306))</t>
        </is>
      </c>
      <c r="AC306" s="38" t="inlineStr">
        <is>
          <t>IF(OR(E306="",COUNT(AG306:AT306)&lt;2),"",LOOKUP(2,1/(AG306:AT306&lt;&gt;""),AG306:AT306)-MIN(AG306:AT306))</t>
        </is>
      </c>
      <c r="AD306" s="38" t="inlineStr">
        <is>
          <t>IF(OR(AB306="",AA306="Not started",AA306=""),"",IFERROR(AB306-IF(VLOOKUP(AA306,'04_Status_Pipeline'!$B$3:$E$20,4,FALSE)="",0,VLOOKUP(AA306,'04_Status_Pipeline'!$B$3:$E$20,4,FALSE)),""))</t>
        </is>
      </c>
      <c r="AE306" s="32" t="inlineStr">
        <is>
          <t>IF(E306="","",IF(OR(Y306="Cancelled",AA306="Cancelled"),"Cancelled",IF(OR(AA306="Completed / Handover",W306&lt;&gt;"",X306&gt;=100),"Completed — on track",IF(L306="Remaining",IF(S306="",IF(V306="","No planned date",IF(TODAY()&gt;V306,"Behind — past planned date",IF(V306-TODAY()&lt;=30,"At risk — close to off track","On track"))),IF(TODAY()&gt;S306,"Behind — award date passed",IF(S306-TODAY()&lt;=30,"At risk — close to off track","On track"))),IF(V306="","No planned date",IF(AND(TODAY()&gt;V306,OR(X306="",X306&lt;100)),"Behind — past end date",IF(AND(R306&lt;&gt;"",V306&lt;&gt;"",X306&lt;&gt;"",(X306&lt;100),((TODAY()-R306)/MAX(V306-R306,1)*100)-X306&gt;15),"Behind — progress lag",IF(AND(V306-TODAY()&lt;=30,V306-TODAY()&gt;=0,OR(X306="",X306&lt;90)),"At risk — close to off track","On track"))))))))</t>
        </is>
      </c>
      <c r="AF306" s="38" t="inlineStr">
        <is>
          <t>IF(OR(E306="",AA306="Completed / Handover",AA306="Cancelled"),"",IF(L306="Remaining",IF(S306&lt;&gt;"",S306-TODAY(),IF(V306="","",V306-TODAY())),IF(V306="","",V306-TODAY())))</t>
        </is>
      </c>
      <c r="AG306" s="36" t="n"/>
      <c r="AH306" s="36" t="n"/>
      <c r="AI306" s="36" t="n"/>
      <c r="AJ306" s="36" t="n"/>
      <c r="AK306" s="36" t="n"/>
      <c r="AL306" s="36" t="n"/>
      <c r="AM306" s="36" t="n"/>
      <c r="AN306" s="36" t="n"/>
      <c r="AO306" s="36" t="n"/>
      <c r="AP306" s="36" t="n"/>
      <c r="AQ306" s="36" t="n"/>
      <c r="AR306" s="40" t="n"/>
      <c r="AS306" s="40" t="n"/>
      <c r="AT306" s="40" t="n"/>
      <c r="AU306" s="38" t="inlineStr">
        <is>
          <t>IF(OR(E306="",AH306=""),"",IF(COUNT(AG306:AG306)=0,"",AH306-LOOKUP(2,1/(AG306:AG306&lt;&gt;""),AG306:AG306)))</t>
        </is>
      </c>
      <c r="AV306" s="38" t="inlineStr">
        <is>
          <t>IF(OR(E306="",AI306=""),"",IF(COUNT(AG306:AH306)=0,"",AI306-LOOKUP(2,1/(AG306:AH306&lt;&gt;""),AG306:AH306)))</t>
        </is>
      </c>
      <c r="AW306" s="38" t="inlineStr">
        <is>
          <t>IF(OR(E306="",AJ306=""),"",IF(COUNT(AG306:AI306)=0,"",AJ306-LOOKUP(2,1/(AG306:AI306&lt;&gt;""),AG306:AI306)))</t>
        </is>
      </c>
      <c r="AX306" s="38" t="inlineStr">
        <is>
          <t>IF(OR(E306="",AK306=""),"",IF(COUNT(AG306:AJ306)=0,"",AK306-LOOKUP(2,1/(AG306:AJ306&lt;&gt;""),AG306:AJ306)))</t>
        </is>
      </c>
      <c r="AY306" s="38" t="inlineStr">
        <is>
          <t>IF(OR(E306="",AL306=""),"",IF(COUNT(AG306:AK306)=0,"",AL306-LOOKUP(2,1/(AG306:AK306&lt;&gt;""),AG306:AK306)))</t>
        </is>
      </c>
      <c r="AZ306" s="38" t="inlineStr">
        <is>
          <t>IF(OR(E306="",AM306=""),"",IF(COUNT(AG306:AL306)=0,"",AM306-LOOKUP(2,1/(AG306:AL306&lt;&gt;""),AG306:AL306)))</t>
        </is>
      </c>
      <c r="BA306" s="38" t="inlineStr">
        <is>
          <t>IF(OR(E306="",AN306=""),"",IF(COUNT(AG306:AM306)=0,"",AN306-LOOKUP(2,1/(AG306:AM306&lt;&gt;""),AG306:AM306)))</t>
        </is>
      </c>
      <c r="BB306" s="38" t="inlineStr">
        <is>
          <t>IF(OR(E306="",AO306=""),"",IF(COUNT(AG306:AN306)=0,"",AO306-LOOKUP(2,1/(AG306:AN306&lt;&gt;""),AG306:AN306)))</t>
        </is>
      </c>
      <c r="BC306" s="38" t="inlineStr">
        <is>
          <t>IF(OR(E306="",AP306=""),"",IF(COUNT(AG306:AO306)=0,"",AP306-LOOKUP(2,1/(AG306:AO306&lt;&gt;""),AG306:AO306)))</t>
        </is>
      </c>
      <c r="BD306" s="38" t="inlineStr">
        <is>
          <t>IF(OR(E306="",AQ306=""),"",IF(COUNT(AG306:AP306)=0,"",AQ306-LOOKUP(2,1/(AG306:AP306&lt;&gt;""),AG306:AP306)))</t>
        </is>
      </c>
      <c r="BE306" s="38" t="inlineStr">
        <is>
          <t>IF(OR(E306="",AR306=""),"",IF(COUNT(AG306:AQ306)=0,"",AR306-LOOKUP(2,1/(AG306:AQ306&lt;&gt;""),AG306:AQ306)))</t>
        </is>
      </c>
      <c r="BF306" s="38" t="inlineStr">
        <is>
          <t>IF(OR(E306="",AS306=""),"",IF(COUNT(AG306:AR306)=0,"",AS306-LOOKUP(2,1/(AG306:AR306&lt;&gt;""),AG306:AR306)))</t>
        </is>
      </c>
      <c r="BG306" s="38" t="inlineStr">
        <is>
          <t>IF(OR(E306="",AT306=""),"",IF(COUNT(AG306:AS306)=0,"",AT306-LOOKUP(2,1/(AG306:AS306&lt;&gt;""),AG306:AS306)))</t>
        </is>
      </c>
      <c r="BH306" s="41" t="inlineStr">
        <is>
          <t>IF(G306="","All_Provinces",IFERROR(VLOOKUP(G306,'07_Lookups'!$A$4:$B$20,2,FALSE),"All_Provinces"))</t>
        </is>
      </c>
      <c r="BI306" s="41" t="inlineStr">
        <is>
          <t>IF(H306="","All_Districts",IFERROR(VLOOKUP(H306,'07_Lookups'!$E$4:$F$42,2,FALSE),"All_Districts"))</t>
        </is>
      </c>
    </row>
    <row r="307" ht="18" customHeight="1">
      <c r="A307" s="32" t="inlineStr">
        <is>
          <t>IF(E307="","",ROW()-3)</t>
        </is>
      </c>
      <c r="B307" s="42" t="inlineStr">
        <is>
          <t>AF2-LLL-R-044</t>
        </is>
      </c>
      <c r="C307" s="42" t="inlineStr">
        <is>
          <t>Emergency Food Security Project (EFSP) – WBK/AF-2</t>
        </is>
      </c>
      <c r="D307" s="42" t="inlineStr">
        <is>
          <t>EFSP-AF2 LLL supply and delivery (50 units)</t>
        </is>
      </c>
      <c r="E307" s="42" t="inlineStr">
        <is>
          <t>Yar Mohammad Khan Irrigation Scheme</t>
        </is>
      </c>
      <c r="F307" s="42" t="inlineStr">
        <is>
          <t>Laser Land Leveler (LLL)</t>
        </is>
      </c>
      <c r="G307" s="42" t="inlineStr">
        <is>
          <t>West / Herat</t>
        </is>
      </c>
      <c r="H307" s="42" t="inlineStr">
        <is>
          <t>Herat</t>
        </is>
      </c>
      <c r="I307" s="42" t="inlineStr">
        <is>
          <t>Obe</t>
        </is>
      </c>
      <c r="J307" s="42" t="inlineStr">
        <is>
          <t>1 unit(s)</t>
        </is>
      </c>
      <c r="K307" s="42" t="inlineStr">
        <is>
          <t>World Bank (WBK/AF-2)</t>
        </is>
      </c>
      <c r="L307" s="42" t="inlineStr">
        <is>
          <t>Remaining</t>
        </is>
      </c>
      <c r="M307" s="42" t="inlineStr">
        <is>
          <t>LLL supply</t>
        </is>
      </c>
      <c r="N307" s="42" t="inlineStr">
        <is>
          <t>6. Supply and delivery of LLL</t>
        </is>
      </c>
      <c r="O307" s="42" t="inlineStr"/>
      <c r="P307" s="42" t="inlineStr"/>
      <c r="Q307" s="43" t="n"/>
      <c r="R307" s="35" t="inlineStr">
        <is>
          <t>IF(AO307="","",AO307)</t>
        </is>
      </c>
      <c r="S307" s="44" t="n">
        <v>46325</v>
      </c>
      <c r="T307" s="45" t="n"/>
      <c r="U307" s="44" t="n">
        <v>46418</v>
      </c>
      <c r="V307" s="35" t="inlineStr">
        <is>
          <t>IF(U307&lt;&gt;"",U307,IF(OR(R307="",T307=""),"",EDATE(R307,T307)))</t>
        </is>
      </c>
      <c r="W307" s="44" t="n"/>
      <c r="X307" s="45" t="n"/>
      <c r="Y307" s="42" t="inlineStr">
        <is>
          <t>Under Awarding</t>
        </is>
      </c>
      <c r="Z307" s="42" t="inlineStr">
        <is>
          <t>The Procurement process is initiated in April and PO will be issued late October 2026. and delivery will be done by End of December 2026 and onward in January 2027 it is planned to be distributed to the selected beneficiaries.</t>
        </is>
      </c>
      <c r="AA307" s="32" t="inlineStr">
        <is>
          <t>IF(E307="","",IF(COUNT(AG307:AT307)=0,IF(Y307="","Not started",Y307),SUBSTITUTE(LOOKUP(2,1/(AG307:AT307&lt;&gt;""),$AG$3:$AT$3),"Date: ","")))</t>
        </is>
      </c>
      <c r="AB307" s="38" t="inlineStr">
        <is>
          <t>IF(OR(E307="",COUNT(AG307:AT307)=0),"",TODAY()-LOOKUP(2,1/(AG307:AT307&lt;&gt;""),AG307:AT307))</t>
        </is>
      </c>
      <c r="AC307" s="38" t="inlineStr">
        <is>
          <t>IF(OR(E307="",COUNT(AG307:AT307)&lt;2),"",LOOKUP(2,1/(AG307:AT307&lt;&gt;""),AG307:AT307)-MIN(AG307:AT307))</t>
        </is>
      </c>
      <c r="AD307" s="38" t="inlineStr">
        <is>
          <t>IF(OR(AB307="",AA307="Not started",AA307=""),"",IFERROR(AB307-IF(VLOOKUP(AA307,'04_Status_Pipeline'!$B$3:$E$20,4,FALSE)="",0,VLOOKUP(AA307,'04_Status_Pipeline'!$B$3:$E$20,4,FALSE)),""))</t>
        </is>
      </c>
      <c r="AE307" s="32" t="inlineStr">
        <is>
          <t>IF(E307="","",IF(OR(Y307="Cancelled",AA307="Cancelled"),"Cancelled",IF(OR(AA307="Completed / Handover",W307&lt;&gt;"",X307&gt;=100),"Completed — on track",IF(L307="Remaining",IF(S307="",IF(V307="","No planned date",IF(TODAY()&gt;V307,"Behind — past planned date",IF(V307-TODAY()&lt;=30,"At risk — close to off track","On track"))),IF(TODAY()&gt;S307,"Behind — award date passed",IF(S307-TODAY()&lt;=30,"At risk — close to off track","On track"))),IF(V307="","No planned date",IF(AND(TODAY()&gt;V307,OR(X307="",X307&lt;100)),"Behind — past end date",IF(AND(R307&lt;&gt;"",V307&lt;&gt;"",X307&lt;&gt;"",(X307&lt;100),((TODAY()-R307)/MAX(V307-R307,1)*100)-X307&gt;15),"Behind — progress lag",IF(AND(V307-TODAY()&lt;=30,V307-TODAY()&gt;=0,OR(X307="",X307&lt;90)),"At risk — close to off track","On track"))))))))</t>
        </is>
      </c>
      <c r="AF307" s="38" t="inlineStr">
        <is>
          <t>IF(OR(E307="",AA307="Completed / Handover",AA307="Cancelled"),"",IF(L307="Remaining",IF(S307&lt;&gt;"",S307-TODAY(),IF(V307="","",V307-TODAY())),IF(V307="","",V307-TODAY())))</t>
        </is>
      </c>
      <c r="AG307" s="44" t="n"/>
      <c r="AH307" s="44" t="n"/>
      <c r="AI307" s="44" t="n"/>
      <c r="AJ307" s="44" t="n"/>
      <c r="AK307" s="44" t="n"/>
      <c r="AL307" s="44" t="n"/>
      <c r="AM307" s="44" t="n"/>
      <c r="AN307" s="44" t="n"/>
      <c r="AO307" s="44" t="n"/>
      <c r="AP307" s="44" t="n"/>
      <c r="AQ307" s="44" t="n"/>
      <c r="AR307" s="40" t="n"/>
      <c r="AS307" s="40" t="n"/>
      <c r="AT307" s="40" t="n"/>
      <c r="AU307" s="38" t="inlineStr">
        <is>
          <t>IF(OR(E307="",AH307=""),"",IF(COUNT(AG307:AG307)=0,"",AH307-LOOKUP(2,1/(AG307:AG307&lt;&gt;""),AG307:AG307)))</t>
        </is>
      </c>
      <c r="AV307" s="38" t="inlineStr">
        <is>
          <t>IF(OR(E307="",AI307=""),"",IF(COUNT(AG307:AH307)=0,"",AI307-LOOKUP(2,1/(AG307:AH307&lt;&gt;""),AG307:AH307)))</t>
        </is>
      </c>
      <c r="AW307" s="38" t="inlineStr">
        <is>
          <t>IF(OR(E307="",AJ307=""),"",IF(COUNT(AG307:AI307)=0,"",AJ307-LOOKUP(2,1/(AG307:AI307&lt;&gt;""),AG307:AI307)))</t>
        </is>
      </c>
      <c r="AX307" s="38" t="inlineStr">
        <is>
          <t>IF(OR(E307="",AK307=""),"",IF(COUNT(AG307:AJ307)=0,"",AK307-LOOKUP(2,1/(AG307:AJ307&lt;&gt;""),AG307:AJ307)))</t>
        </is>
      </c>
      <c r="AY307" s="38" t="inlineStr">
        <is>
          <t>IF(OR(E307="",AL307=""),"",IF(COUNT(AG307:AK307)=0,"",AL307-LOOKUP(2,1/(AG307:AK307&lt;&gt;""),AG307:AK307)))</t>
        </is>
      </c>
      <c r="AZ307" s="38" t="inlineStr">
        <is>
          <t>IF(OR(E307="",AM307=""),"",IF(COUNT(AG307:AL307)=0,"",AM307-LOOKUP(2,1/(AG307:AL307&lt;&gt;""),AG307:AL307)))</t>
        </is>
      </c>
      <c r="BA307" s="38" t="inlineStr">
        <is>
          <t>IF(OR(E307="",AN307=""),"",IF(COUNT(AG307:AM307)=0,"",AN307-LOOKUP(2,1/(AG307:AM307&lt;&gt;""),AG307:AM307)))</t>
        </is>
      </c>
      <c r="BB307" s="38" t="inlineStr">
        <is>
          <t>IF(OR(E307="",AO307=""),"",IF(COUNT(AG307:AN307)=0,"",AO307-LOOKUP(2,1/(AG307:AN307&lt;&gt;""),AG307:AN307)))</t>
        </is>
      </c>
      <c r="BC307" s="38" t="inlineStr">
        <is>
          <t>IF(OR(E307="",AP307=""),"",IF(COUNT(AG307:AO307)=0,"",AP307-LOOKUP(2,1/(AG307:AO307&lt;&gt;""),AG307:AO307)))</t>
        </is>
      </c>
      <c r="BD307" s="38" t="inlineStr">
        <is>
          <t>IF(OR(E307="",AQ307=""),"",IF(COUNT(AG307:AP307)=0,"",AQ307-LOOKUP(2,1/(AG307:AP307&lt;&gt;""),AG307:AP307)))</t>
        </is>
      </c>
      <c r="BE307" s="38" t="inlineStr">
        <is>
          <t>IF(OR(E307="",AR307=""),"",IF(COUNT(AG307:AQ307)=0,"",AR307-LOOKUP(2,1/(AG307:AQ307&lt;&gt;""),AG307:AQ307)))</t>
        </is>
      </c>
      <c r="BF307" s="38" t="inlineStr">
        <is>
          <t>IF(OR(E307="",AS307=""),"",IF(COUNT(AG307:AR307)=0,"",AS307-LOOKUP(2,1/(AG307:AR307&lt;&gt;""),AG307:AR307)))</t>
        </is>
      </c>
      <c r="BG307" s="38" t="inlineStr">
        <is>
          <t>IF(OR(E307="",AT307=""),"",IF(COUNT(AG307:AS307)=0,"",AT307-LOOKUP(2,1/(AG307:AS307&lt;&gt;""),AG307:AS307)))</t>
        </is>
      </c>
      <c r="BH307" s="41" t="inlineStr">
        <is>
          <t>IF(G307="","All_Provinces",IFERROR(VLOOKUP(G307,'07_Lookups'!$A$4:$B$20,2,FALSE),"All_Provinces"))</t>
        </is>
      </c>
      <c r="BI307" s="41" t="inlineStr">
        <is>
          <t>IF(H307="","All_Districts",IFERROR(VLOOKUP(H307,'07_Lookups'!$E$4:$F$42,2,FALSE),"All_Districts"))</t>
        </is>
      </c>
    </row>
    <row r="308" ht="18" customHeight="1">
      <c r="A308" s="32" t="inlineStr">
        <is>
          <t>IF(E308="","",ROW()-3)</t>
        </is>
      </c>
      <c r="B308" s="33" t="inlineStr">
        <is>
          <t>AF2-LLL-R-045</t>
        </is>
      </c>
      <c r="C308" s="33" t="inlineStr">
        <is>
          <t>Emergency Food Security Project (EFSP) – WBK/AF-2</t>
        </is>
      </c>
      <c r="D308" s="33" t="inlineStr">
        <is>
          <t>EFSP-AF2 LLL supply and delivery (50 units)</t>
        </is>
      </c>
      <c r="E308" s="33" t="inlineStr">
        <is>
          <t>Ali Mansoor Irrigation Scheme</t>
        </is>
      </c>
      <c r="F308" s="33" t="inlineStr">
        <is>
          <t>Laser Land Leveler (LLL)</t>
        </is>
      </c>
      <c r="G308" s="33" t="inlineStr">
        <is>
          <t>West / Herat</t>
        </is>
      </c>
      <c r="H308" s="33" t="inlineStr">
        <is>
          <t>Herat</t>
        </is>
      </c>
      <c r="I308" s="33" t="inlineStr">
        <is>
          <t>Karukh</t>
        </is>
      </c>
      <c r="J308" s="33" t="inlineStr">
        <is>
          <t>1 unit(s)</t>
        </is>
      </c>
      <c r="K308" s="33" t="inlineStr">
        <is>
          <t>World Bank (WBK/AF-2)</t>
        </is>
      </c>
      <c r="L308" s="33" t="inlineStr">
        <is>
          <t>Remaining</t>
        </is>
      </c>
      <c r="M308" s="33" t="inlineStr">
        <is>
          <t>LLL supply</t>
        </is>
      </c>
      <c r="N308" s="33" t="inlineStr">
        <is>
          <t>6. Supply and delivery of LLL</t>
        </is>
      </c>
      <c r="O308" s="33" t="inlineStr"/>
      <c r="P308" s="33" t="inlineStr"/>
      <c r="Q308" s="34" t="n"/>
      <c r="R308" s="35" t="inlineStr">
        <is>
          <t>IF(AO308="","",AO308)</t>
        </is>
      </c>
      <c r="S308" s="36" t="n">
        <v>46325</v>
      </c>
      <c r="T308" s="37" t="n"/>
      <c r="U308" s="36" t="n">
        <v>46418</v>
      </c>
      <c r="V308" s="35" t="inlineStr">
        <is>
          <t>IF(U308&lt;&gt;"",U308,IF(OR(R308="",T308=""),"",EDATE(R308,T308)))</t>
        </is>
      </c>
      <c r="W308" s="36" t="n"/>
      <c r="X308" s="37" t="n"/>
      <c r="Y308" s="33" t="inlineStr">
        <is>
          <t>Under Awarding</t>
        </is>
      </c>
      <c r="Z308" s="33" t="inlineStr">
        <is>
          <t>The Procurement process is initiated in April and PO will be issued late October 2026. and delivery will be done by End of December 2026 and onward in January 2027 it is planned to be distributed to the selected beneficiaries.</t>
        </is>
      </c>
      <c r="AA308" s="32" t="inlineStr">
        <is>
          <t>IF(E308="","",IF(COUNT(AG308:AT308)=0,IF(Y308="","Not started",Y308),SUBSTITUTE(LOOKUP(2,1/(AG308:AT308&lt;&gt;""),$AG$3:$AT$3),"Date: ","")))</t>
        </is>
      </c>
      <c r="AB308" s="38" t="inlineStr">
        <is>
          <t>IF(OR(E308="",COUNT(AG308:AT308)=0),"",TODAY()-LOOKUP(2,1/(AG308:AT308&lt;&gt;""),AG308:AT308))</t>
        </is>
      </c>
      <c r="AC308" s="38" t="inlineStr">
        <is>
          <t>IF(OR(E308="",COUNT(AG308:AT308)&lt;2),"",LOOKUP(2,1/(AG308:AT308&lt;&gt;""),AG308:AT308)-MIN(AG308:AT308))</t>
        </is>
      </c>
      <c r="AD308" s="38" t="inlineStr">
        <is>
          <t>IF(OR(AB308="",AA308="Not started",AA308=""),"",IFERROR(AB308-IF(VLOOKUP(AA308,'04_Status_Pipeline'!$B$3:$E$20,4,FALSE)="",0,VLOOKUP(AA308,'04_Status_Pipeline'!$B$3:$E$20,4,FALSE)),""))</t>
        </is>
      </c>
      <c r="AE308" s="32" t="inlineStr">
        <is>
          <t>IF(E308="","",IF(OR(Y308="Cancelled",AA308="Cancelled"),"Cancelled",IF(OR(AA308="Completed / Handover",W308&lt;&gt;"",X308&gt;=100),"Completed — on track",IF(L308="Remaining",IF(S308="",IF(V308="","No planned date",IF(TODAY()&gt;V308,"Behind — past planned date",IF(V308-TODAY()&lt;=30,"At risk — close to off track","On track"))),IF(TODAY()&gt;S308,"Behind — award date passed",IF(S308-TODAY()&lt;=30,"At risk — close to off track","On track"))),IF(V308="","No planned date",IF(AND(TODAY()&gt;V308,OR(X308="",X308&lt;100)),"Behind — past end date",IF(AND(R308&lt;&gt;"",V308&lt;&gt;"",X308&lt;&gt;"",(X308&lt;100),((TODAY()-R308)/MAX(V308-R308,1)*100)-X308&gt;15),"Behind — progress lag",IF(AND(V308-TODAY()&lt;=30,V308-TODAY()&gt;=0,OR(X308="",X308&lt;90)),"At risk — close to off track","On track"))))))))</t>
        </is>
      </c>
      <c r="AF308" s="38" t="inlineStr">
        <is>
          <t>IF(OR(E308="",AA308="Completed / Handover",AA308="Cancelled"),"",IF(L308="Remaining",IF(S308&lt;&gt;"",S308-TODAY(),IF(V308="","",V308-TODAY())),IF(V308="","",V308-TODAY())))</t>
        </is>
      </c>
      <c r="AG308" s="36" t="n"/>
      <c r="AH308" s="36" t="n"/>
      <c r="AI308" s="36" t="n"/>
      <c r="AJ308" s="36" t="n"/>
      <c r="AK308" s="36" t="n"/>
      <c r="AL308" s="36" t="n"/>
      <c r="AM308" s="36" t="n"/>
      <c r="AN308" s="36" t="n"/>
      <c r="AO308" s="36" t="n"/>
      <c r="AP308" s="36" t="n"/>
      <c r="AQ308" s="36" t="n"/>
      <c r="AR308" s="40" t="n"/>
      <c r="AS308" s="40" t="n"/>
      <c r="AT308" s="40" t="n"/>
      <c r="AU308" s="38" t="inlineStr">
        <is>
          <t>IF(OR(E308="",AH308=""),"",IF(COUNT(AG308:AG308)=0,"",AH308-LOOKUP(2,1/(AG308:AG308&lt;&gt;""),AG308:AG308)))</t>
        </is>
      </c>
      <c r="AV308" s="38" t="inlineStr">
        <is>
          <t>IF(OR(E308="",AI308=""),"",IF(COUNT(AG308:AH308)=0,"",AI308-LOOKUP(2,1/(AG308:AH308&lt;&gt;""),AG308:AH308)))</t>
        </is>
      </c>
      <c r="AW308" s="38" t="inlineStr">
        <is>
          <t>IF(OR(E308="",AJ308=""),"",IF(COUNT(AG308:AI308)=0,"",AJ308-LOOKUP(2,1/(AG308:AI308&lt;&gt;""),AG308:AI308)))</t>
        </is>
      </c>
      <c r="AX308" s="38" t="inlineStr">
        <is>
          <t>IF(OR(E308="",AK308=""),"",IF(COUNT(AG308:AJ308)=0,"",AK308-LOOKUP(2,1/(AG308:AJ308&lt;&gt;""),AG308:AJ308)))</t>
        </is>
      </c>
      <c r="AY308" s="38" t="inlineStr">
        <is>
          <t>IF(OR(E308="",AL308=""),"",IF(COUNT(AG308:AK308)=0,"",AL308-LOOKUP(2,1/(AG308:AK308&lt;&gt;""),AG308:AK308)))</t>
        </is>
      </c>
      <c r="AZ308" s="38" t="inlineStr">
        <is>
          <t>IF(OR(E308="",AM308=""),"",IF(COUNT(AG308:AL308)=0,"",AM308-LOOKUP(2,1/(AG308:AL308&lt;&gt;""),AG308:AL308)))</t>
        </is>
      </c>
      <c r="BA308" s="38" t="inlineStr">
        <is>
          <t>IF(OR(E308="",AN308=""),"",IF(COUNT(AG308:AM308)=0,"",AN308-LOOKUP(2,1/(AG308:AM308&lt;&gt;""),AG308:AM308)))</t>
        </is>
      </c>
      <c r="BB308" s="38" t="inlineStr">
        <is>
          <t>IF(OR(E308="",AO308=""),"",IF(COUNT(AG308:AN308)=0,"",AO308-LOOKUP(2,1/(AG308:AN308&lt;&gt;""),AG308:AN308)))</t>
        </is>
      </c>
      <c r="BC308" s="38" t="inlineStr">
        <is>
          <t>IF(OR(E308="",AP308=""),"",IF(COUNT(AG308:AO308)=0,"",AP308-LOOKUP(2,1/(AG308:AO308&lt;&gt;""),AG308:AO308)))</t>
        </is>
      </c>
      <c r="BD308" s="38" t="inlineStr">
        <is>
          <t>IF(OR(E308="",AQ308=""),"",IF(COUNT(AG308:AP308)=0,"",AQ308-LOOKUP(2,1/(AG308:AP308&lt;&gt;""),AG308:AP308)))</t>
        </is>
      </c>
      <c r="BE308" s="38" t="inlineStr">
        <is>
          <t>IF(OR(E308="",AR308=""),"",IF(COUNT(AG308:AQ308)=0,"",AR308-LOOKUP(2,1/(AG308:AQ308&lt;&gt;""),AG308:AQ308)))</t>
        </is>
      </c>
      <c r="BF308" s="38" t="inlineStr">
        <is>
          <t>IF(OR(E308="",AS308=""),"",IF(COUNT(AG308:AR308)=0,"",AS308-LOOKUP(2,1/(AG308:AR308&lt;&gt;""),AG308:AR308)))</t>
        </is>
      </c>
      <c r="BG308" s="38" t="inlineStr">
        <is>
          <t>IF(OR(E308="",AT308=""),"",IF(COUNT(AG308:AS308)=0,"",AT308-LOOKUP(2,1/(AG308:AS308&lt;&gt;""),AG308:AS308)))</t>
        </is>
      </c>
      <c r="BH308" s="41" t="inlineStr">
        <is>
          <t>IF(G308="","All_Provinces",IFERROR(VLOOKUP(G308,'07_Lookups'!$A$4:$B$20,2,FALSE),"All_Provinces"))</t>
        </is>
      </c>
      <c r="BI308" s="41" t="inlineStr">
        <is>
          <t>IF(H308="","All_Districts",IFERROR(VLOOKUP(H308,'07_Lookups'!$E$4:$F$42,2,FALSE),"All_Districts"))</t>
        </is>
      </c>
    </row>
    <row r="309" ht="18" customHeight="1">
      <c r="A309" s="32" t="inlineStr">
        <is>
          <t>IF(E309="","",ROW()-3)</t>
        </is>
      </c>
      <c r="B309" s="42" t="inlineStr">
        <is>
          <t>AF2-LLL-R-046</t>
        </is>
      </c>
      <c r="C309" s="42" t="inlineStr">
        <is>
          <t>Emergency Food Security Project (EFSP) – WBK/AF-2</t>
        </is>
      </c>
      <c r="D309" s="42" t="inlineStr">
        <is>
          <t>EFSP-AF2 LLL supply and delivery (50 units)</t>
        </is>
      </c>
      <c r="E309" s="42" t="inlineStr">
        <is>
          <t>Sang Bast Irrigation Scheme</t>
        </is>
      </c>
      <c r="F309" s="42" t="inlineStr">
        <is>
          <t>Laser Land Leveler (LLL)</t>
        </is>
      </c>
      <c r="G309" s="42" t="inlineStr">
        <is>
          <t>West / Herat</t>
        </is>
      </c>
      <c r="H309" s="42" t="inlineStr">
        <is>
          <t>Herat</t>
        </is>
      </c>
      <c r="I309" s="42" t="inlineStr">
        <is>
          <t>Zinda Jan</t>
        </is>
      </c>
      <c r="J309" s="42" t="inlineStr">
        <is>
          <t>1 unit(s)</t>
        </is>
      </c>
      <c r="K309" s="42" t="inlineStr">
        <is>
          <t>World Bank (WBK/AF-2)</t>
        </is>
      </c>
      <c r="L309" s="42" t="inlineStr">
        <is>
          <t>Remaining</t>
        </is>
      </c>
      <c r="M309" s="42" t="inlineStr">
        <is>
          <t>LLL supply</t>
        </is>
      </c>
      <c r="N309" s="42" t="inlineStr">
        <is>
          <t>6. Supply and delivery of LLL</t>
        </is>
      </c>
      <c r="O309" s="42" t="inlineStr"/>
      <c r="P309" s="42" t="inlineStr"/>
      <c r="Q309" s="43" t="n"/>
      <c r="R309" s="35" t="inlineStr">
        <is>
          <t>IF(AO309="","",AO309)</t>
        </is>
      </c>
      <c r="S309" s="44" t="n">
        <v>46325</v>
      </c>
      <c r="T309" s="45" t="n"/>
      <c r="U309" s="44" t="n">
        <v>46418</v>
      </c>
      <c r="V309" s="35" t="inlineStr">
        <is>
          <t>IF(U309&lt;&gt;"",U309,IF(OR(R309="",T309=""),"",EDATE(R309,T309)))</t>
        </is>
      </c>
      <c r="W309" s="44" t="n"/>
      <c r="X309" s="45" t="n"/>
      <c r="Y309" s="42" t="inlineStr">
        <is>
          <t>Under Awarding</t>
        </is>
      </c>
      <c r="Z309" s="42" t="inlineStr">
        <is>
          <t>The Procurement process is initiated in April and PO will be issued late October 2026. and delivery will be done by End of December 2026 and onward in January 2027 it is planned to be distributed to the selected beneficiaries.</t>
        </is>
      </c>
      <c r="AA309" s="32" t="inlineStr">
        <is>
          <t>IF(E309="","",IF(COUNT(AG309:AT309)=0,IF(Y309="","Not started",Y309),SUBSTITUTE(LOOKUP(2,1/(AG309:AT309&lt;&gt;""),$AG$3:$AT$3),"Date: ","")))</t>
        </is>
      </c>
      <c r="AB309" s="38" t="inlineStr">
        <is>
          <t>IF(OR(E309="",COUNT(AG309:AT309)=0),"",TODAY()-LOOKUP(2,1/(AG309:AT309&lt;&gt;""),AG309:AT309))</t>
        </is>
      </c>
      <c r="AC309" s="38" t="inlineStr">
        <is>
          <t>IF(OR(E309="",COUNT(AG309:AT309)&lt;2),"",LOOKUP(2,1/(AG309:AT309&lt;&gt;""),AG309:AT309)-MIN(AG309:AT309))</t>
        </is>
      </c>
      <c r="AD309" s="38" t="inlineStr">
        <is>
          <t>IF(OR(AB309="",AA309="Not started",AA309=""),"",IFERROR(AB309-IF(VLOOKUP(AA309,'04_Status_Pipeline'!$B$3:$E$20,4,FALSE)="",0,VLOOKUP(AA309,'04_Status_Pipeline'!$B$3:$E$20,4,FALSE)),""))</t>
        </is>
      </c>
      <c r="AE309" s="32" t="inlineStr">
        <is>
          <t>IF(E309="","",IF(OR(Y309="Cancelled",AA309="Cancelled"),"Cancelled",IF(OR(AA309="Completed / Handover",W309&lt;&gt;"",X309&gt;=100),"Completed — on track",IF(L309="Remaining",IF(S309="",IF(V309="","No planned date",IF(TODAY()&gt;V309,"Behind — past planned date",IF(V309-TODAY()&lt;=30,"At risk — close to off track","On track"))),IF(TODAY()&gt;S309,"Behind — award date passed",IF(S309-TODAY()&lt;=30,"At risk — close to off track","On track"))),IF(V309="","No planned date",IF(AND(TODAY()&gt;V309,OR(X309="",X309&lt;100)),"Behind — past end date",IF(AND(R309&lt;&gt;"",V309&lt;&gt;"",X309&lt;&gt;"",(X309&lt;100),((TODAY()-R309)/MAX(V309-R309,1)*100)-X309&gt;15),"Behind — progress lag",IF(AND(V309-TODAY()&lt;=30,V309-TODAY()&gt;=0,OR(X309="",X309&lt;90)),"At risk — close to off track","On track"))))))))</t>
        </is>
      </c>
      <c r="AF309" s="38" t="inlineStr">
        <is>
          <t>IF(OR(E309="",AA309="Completed / Handover",AA309="Cancelled"),"",IF(L309="Remaining",IF(S309&lt;&gt;"",S309-TODAY(),IF(V309="","",V309-TODAY())),IF(V309="","",V309-TODAY())))</t>
        </is>
      </c>
      <c r="AG309" s="44" t="n"/>
      <c r="AH309" s="44" t="n"/>
      <c r="AI309" s="44" t="n"/>
      <c r="AJ309" s="44" t="n"/>
      <c r="AK309" s="44" t="n"/>
      <c r="AL309" s="44" t="n"/>
      <c r="AM309" s="44" t="n"/>
      <c r="AN309" s="44" t="n"/>
      <c r="AO309" s="44" t="n"/>
      <c r="AP309" s="44" t="n"/>
      <c r="AQ309" s="44" t="n"/>
      <c r="AR309" s="40" t="n"/>
      <c r="AS309" s="40" t="n"/>
      <c r="AT309" s="40" t="n"/>
      <c r="AU309" s="38" t="inlineStr">
        <is>
          <t>IF(OR(E309="",AH309=""),"",IF(COUNT(AG309:AG309)=0,"",AH309-LOOKUP(2,1/(AG309:AG309&lt;&gt;""),AG309:AG309)))</t>
        </is>
      </c>
      <c r="AV309" s="38" t="inlineStr">
        <is>
          <t>IF(OR(E309="",AI309=""),"",IF(COUNT(AG309:AH309)=0,"",AI309-LOOKUP(2,1/(AG309:AH309&lt;&gt;""),AG309:AH309)))</t>
        </is>
      </c>
      <c r="AW309" s="38" t="inlineStr">
        <is>
          <t>IF(OR(E309="",AJ309=""),"",IF(COUNT(AG309:AI309)=0,"",AJ309-LOOKUP(2,1/(AG309:AI309&lt;&gt;""),AG309:AI309)))</t>
        </is>
      </c>
      <c r="AX309" s="38" t="inlineStr">
        <is>
          <t>IF(OR(E309="",AK309=""),"",IF(COUNT(AG309:AJ309)=0,"",AK309-LOOKUP(2,1/(AG309:AJ309&lt;&gt;""),AG309:AJ309)))</t>
        </is>
      </c>
      <c r="AY309" s="38" t="inlineStr">
        <is>
          <t>IF(OR(E309="",AL309=""),"",IF(COUNT(AG309:AK309)=0,"",AL309-LOOKUP(2,1/(AG309:AK309&lt;&gt;""),AG309:AK309)))</t>
        </is>
      </c>
      <c r="AZ309" s="38" t="inlineStr">
        <is>
          <t>IF(OR(E309="",AM309=""),"",IF(COUNT(AG309:AL309)=0,"",AM309-LOOKUP(2,1/(AG309:AL309&lt;&gt;""),AG309:AL309)))</t>
        </is>
      </c>
      <c r="BA309" s="38" t="inlineStr">
        <is>
          <t>IF(OR(E309="",AN309=""),"",IF(COUNT(AG309:AM309)=0,"",AN309-LOOKUP(2,1/(AG309:AM309&lt;&gt;""),AG309:AM309)))</t>
        </is>
      </c>
      <c r="BB309" s="38" t="inlineStr">
        <is>
          <t>IF(OR(E309="",AO309=""),"",IF(COUNT(AG309:AN309)=0,"",AO309-LOOKUP(2,1/(AG309:AN309&lt;&gt;""),AG309:AN309)))</t>
        </is>
      </c>
      <c r="BC309" s="38" t="inlineStr">
        <is>
          <t>IF(OR(E309="",AP309=""),"",IF(COUNT(AG309:AO309)=0,"",AP309-LOOKUP(2,1/(AG309:AO309&lt;&gt;""),AG309:AO309)))</t>
        </is>
      </c>
      <c r="BD309" s="38" t="inlineStr">
        <is>
          <t>IF(OR(E309="",AQ309=""),"",IF(COUNT(AG309:AP309)=0,"",AQ309-LOOKUP(2,1/(AG309:AP309&lt;&gt;""),AG309:AP309)))</t>
        </is>
      </c>
      <c r="BE309" s="38" t="inlineStr">
        <is>
          <t>IF(OR(E309="",AR309=""),"",IF(COUNT(AG309:AQ309)=0,"",AR309-LOOKUP(2,1/(AG309:AQ309&lt;&gt;""),AG309:AQ309)))</t>
        </is>
      </c>
      <c r="BF309" s="38" t="inlineStr">
        <is>
          <t>IF(OR(E309="",AS309=""),"",IF(COUNT(AG309:AR309)=0,"",AS309-LOOKUP(2,1/(AG309:AR309&lt;&gt;""),AG309:AR309)))</t>
        </is>
      </c>
      <c r="BG309" s="38" t="inlineStr">
        <is>
          <t>IF(OR(E309="",AT309=""),"",IF(COUNT(AG309:AS309)=0,"",AT309-LOOKUP(2,1/(AG309:AS309&lt;&gt;""),AG309:AS309)))</t>
        </is>
      </c>
      <c r="BH309" s="41" t="inlineStr">
        <is>
          <t>IF(G309="","All_Provinces",IFERROR(VLOOKUP(G309,'07_Lookups'!$A$4:$B$20,2,FALSE),"All_Provinces"))</t>
        </is>
      </c>
      <c r="BI309" s="41" t="inlineStr">
        <is>
          <t>IF(H309="","All_Districts",IFERROR(VLOOKUP(H309,'07_Lookups'!$E$4:$F$42,2,FALSE),"All_Districts"))</t>
        </is>
      </c>
    </row>
    <row r="310" ht="18" customHeight="1">
      <c r="A310" s="32" t="inlineStr">
        <is>
          <t>IF(E310="","",ROW()-3)</t>
        </is>
      </c>
      <c r="B310" s="33" t="inlineStr">
        <is>
          <t>AF2-LLL-R-047</t>
        </is>
      </c>
      <c r="C310" s="33" t="inlineStr">
        <is>
          <t>Emergency Food Security Project (EFSP) – WBK/AF-2</t>
        </is>
      </c>
      <c r="D310" s="33" t="inlineStr">
        <is>
          <t>EFSP-AF2 LLL supply and delivery (50 units)</t>
        </is>
      </c>
      <c r="E310" s="33" t="inlineStr">
        <is>
          <t>Naw Deh Irrigation Canal</t>
        </is>
      </c>
      <c r="F310" s="33" t="inlineStr">
        <is>
          <t>Laser Land Leveler (LLL)</t>
        </is>
      </c>
      <c r="G310" s="33" t="inlineStr">
        <is>
          <t>West / Herat</t>
        </is>
      </c>
      <c r="H310" s="33" t="inlineStr">
        <is>
          <t>Farah</t>
        </is>
      </c>
      <c r="I310" s="33" t="inlineStr">
        <is>
          <t>Farah</t>
        </is>
      </c>
      <c r="J310" s="33" t="inlineStr">
        <is>
          <t>1 unit(s)</t>
        </is>
      </c>
      <c r="K310" s="33" t="inlineStr">
        <is>
          <t>World Bank (WBK/AF-2)</t>
        </is>
      </c>
      <c r="L310" s="33" t="inlineStr">
        <is>
          <t>Remaining</t>
        </is>
      </c>
      <c r="M310" s="33" t="inlineStr">
        <is>
          <t>LLL supply</t>
        </is>
      </c>
      <c r="N310" s="33" t="inlineStr">
        <is>
          <t>6. Supply and delivery of LLL</t>
        </is>
      </c>
      <c r="O310" s="33" t="inlineStr"/>
      <c r="P310" s="33" t="inlineStr"/>
      <c r="Q310" s="34" t="n"/>
      <c r="R310" s="35" t="inlineStr">
        <is>
          <t>IF(AO310="","",AO310)</t>
        </is>
      </c>
      <c r="S310" s="36" t="n">
        <v>46325</v>
      </c>
      <c r="T310" s="37" t="n"/>
      <c r="U310" s="36" t="n">
        <v>46418</v>
      </c>
      <c r="V310" s="35" t="inlineStr">
        <is>
          <t>IF(U310&lt;&gt;"",U310,IF(OR(R310="",T310=""),"",EDATE(R310,T310)))</t>
        </is>
      </c>
      <c r="W310" s="36" t="n"/>
      <c r="X310" s="37" t="n"/>
      <c r="Y310" s="33" t="inlineStr">
        <is>
          <t>Under Awarding</t>
        </is>
      </c>
      <c r="Z310" s="33" t="inlineStr">
        <is>
          <t>The Procurement process is initiated in April and PO will be issued late October 2026. and delivery will be done by End of December 2026 and onward in January 2027 it is planned to be distributed to the selected beneficiaries.</t>
        </is>
      </c>
      <c r="AA310" s="32" t="inlineStr">
        <is>
          <t>IF(E310="","",IF(COUNT(AG310:AT310)=0,IF(Y310="","Not started",Y310),SUBSTITUTE(LOOKUP(2,1/(AG310:AT310&lt;&gt;""),$AG$3:$AT$3),"Date: ","")))</t>
        </is>
      </c>
      <c r="AB310" s="38" t="inlineStr">
        <is>
          <t>IF(OR(E310="",COUNT(AG310:AT310)=0),"",TODAY()-LOOKUP(2,1/(AG310:AT310&lt;&gt;""),AG310:AT310))</t>
        </is>
      </c>
      <c r="AC310" s="38" t="inlineStr">
        <is>
          <t>IF(OR(E310="",COUNT(AG310:AT310)&lt;2),"",LOOKUP(2,1/(AG310:AT310&lt;&gt;""),AG310:AT310)-MIN(AG310:AT310))</t>
        </is>
      </c>
      <c r="AD310" s="38" t="inlineStr">
        <is>
          <t>IF(OR(AB310="",AA310="Not started",AA310=""),"",IFERROR(AB310-IF(VLOOKUP(AA310,'04_Status_Pipeline'!$B$3:$E$20,4,FALSE)="",0,VLOOKUP(AA310,'04_Status_Pipeline'!$B$3:$E$20,4,FALSE)),""))</t>
        </is>
      </c>
      <c r="AE310" s="32" t="inlineStr">
        <is>
          <t>IF(E310="","",IF(OR(Y310="Cancelled",AA310="Cancelled"),"Cancelled",IF(OR(AA310="Completed / Handover",W310&lt;&gt;"",X310&gt;=100),"Completed — on track",IF(L310="Remaining",IF(S310="",IF(V310="","No planned date",IF(TODAY()&gt;V310,"Behind — past planned date",IF(V310-TODAY()&lt;=30,"At risk — close to off track","On track"))),IF(TODAY()&gt;S310,"Behind — award date passed",IF(S310-TODAY()&lt;=30,"At risk — close to off track","On track"))),IF(V310="","No planned date",IF(AND(TODAY()&gt;V310,OR(X310="",X310&lt;100)),"Behind — past end date",IF(AND(R310&lt;&gt;"",V310&lt;&gt;"",X310&lt;&gt;"",(X310&lt;100),((TODAY()-R310)/MAX(V310-R310,1)*100)-X310&gt;15),"Behind — progress lag",IF(AND(V310-TODAY()&lt;=30,V310-TODAY()&gt;=0,OR(X310="",X310&lt;90)),"At risk — close to off track","On track"))))))))</t>
        </is>
      </c>
      <c r="AF310" s="38" t="inlineStr">
        <is>
          <t>IF(OR(E310="",AA310="Completed / Handover",AA310="Cancelled"),"",IF(L310="Remaining",IF(S310&lt;&gt;"",S310-TODAY(),IF(V310="","",V310-TODAY())),IF(V310="","",V310-TODAY())))</t>
        </is>
      </c>
      <c r="AG310" s="36" t="n"/>
      <c r="AH310" s="36" t="n"/>
      <c r="AI310" s="36" t="n"/>
      <c r="AJ310" s="36" t="n"/>
      <c r="AK310" s="36" t="n"/>
      <c r="AL310" s="36" t="n"/>
      <c r="AM310" s="36" t="n"/>
      <c r="AN310" s="36" t="n"/>
      <c r="AO310" s="36" t="n"/>
      <c r="AP310" s="36" t="n"/>
      <c r="AQ310" s="36" t="n"/>
      <c r="AR310" s="40" t="n"/>
      <c r="AS310" s="40" t="n"/>
      <c r="AT310" s="40" t="n"/>
      <c r="AU310" s="38" t="inlineStr">
        <is>
          <t>IF(OR(E310="",AH310=""),"",IF(COUNT(AG310:AG310)=0,"",AH310-LOOKUP(2,1/(AG310:AG310&lt;&gt;""),AG310:AG310)))</t>
        </is>
      </c>
      <c r="AV310" s="38" t="inlineStr">
        <is>
          <t>IF(OR(E310="",AI310=""),"",IF(COUNT(AG310:AH310)=0,"",AI310-LOOKUP(2,1/(AG310:AH310&lt;&gt;""),AG310:AH310)))</t>
        </is>
      </c>
      <c r="AW310" s="38" t="inlineStr">
        <is>
          <t>IF(OR(E310="",AJ310=""),"",IF(COUNT(AG310:AI310)=0,"",AJ310-LOOKUP(2,1/(AG310:AI310&lt;&gt;""),AG310:AI310)))</t>
        </is>
      </c>
      <c r="AX310" s="38" t="inlineStr">
        <is>
          <t>IF(OR(E310="",AK310=""),"",IF(COUNT(AG310:AJ310)=0,"",AK310-LOOKUP(2,1/(AG310:AJ310&lt;&gt;""),AG310:AJ310)))</t>
        </is>
      </c>
      <c r="AY310" s="38" t="inlineStr">
        <is>
          <t>IF(OR(E310="",AL310=""),"",IF(COUNT(AG310:AK310)=0,"",AL310-LOOKUP(2,1/(AG310:AK310&lt;&gt;""),AG310:AK310)))</t>
        </is>
      </c>
      <c r="AZ310" s="38" t="inlineStr">
        <is>
          <t>IF(OR(E310="",AM310=""),"",IF(COUNT(AG310:AL310)=0,"",AM310-LOOKUP(2,1/(AG310:AL310&lt;&gt;""),AG310:AL310)))</t>
        </is>
      </c>
      <c r="BA310" s="38" t="inlineStr">
        <is>
          <t>IF(OR(E310="",AN310=""),"",IF(COUNT(AG310:AM310)=0,"",AN310-LOOKUP(2,1/(AG310:AM310&lt;&gt;""),AG310:AM310)))</t>
        </is>
      </c>
      <c r="BB310" s="38" t="inlineStr">
        <is>
          <t>IF(OR(E310="",AO310=""),"",IF(COUNT(AG310:AN310)=0,"",AO310-LOOKUP(2,1/(AG310:AN310&lt;&gt;""),AG310:AN310)))</t>
        </is>
      </c>
      <c r="BC310" s="38" t="inlineStr">
        <is>
          <t>IF(OR(E310="",AP310=""),"",IF(COUNT(AG310:AO310)=0,"",AP310-LOOKUP(2,1/(AG310:AO310&lt;&gt;""),AG310:AO310)))</t>
        </is>
      </c>
      <c r="BD310" s="38" t="inlineStr">
        <is>
          <t>IF(OR(E310="",AQ310=""),"",IF(COUNT(AG310:AP310)=0,"",AQ310-LOOKUP(2,1/(AG310:AP310&lt;&gt;""),AG310:AP310)))</t>
        </is>
      </c>
      <c r="BE310" s="38" t="inlineStr">
        <is>
          <t>IF(OR(E310="",AR310=""),"",IF(COUNT(AG310:AQ310)=0,"",AR310-LOOKUP(2,1/(AG310:AQ310&lt;&gt;""),AG310:AQ310)))</t>
        </is>
      </c>
      <c r="BF310" s="38" t="inlineStr">
        <is>
          <t>IF(OR(E310="",AS310=""),"",IF(COUNT(AG310:AR310)=0,"",AS310-LOOKUP(2,1/(AG310:AR310&lt;&gt;""),AG310:AR310)))</t>
        </is>
      </c>
      <c r="BG310" s="38" t="inlineStr">
        <is>
          <t>IF(OR(E310="",AT310=""),"",IF(COUNT(AG310:AS310)=0,"",AT310-LOOKUP(2,1/(AG310:AS310&lt;&gt;""),AG310:AS310)))</t>
        </is>
      </c>
      <c r="BH310" s="41" t="inlineStr">
        <is>
          <t>IF(G310="","All_Provinces",IFERROR(VLOOKUP(G310,'07_Lookups'!$A$4:$B$20,2,FALSE),"All_Provinces"))</t>
        </is>
      </c>
      <c r="BI310" s="41" t="inlineStr">
        <is>
          <t>IF(H310="","All_Districts",IFERROR(VLOOKUP(H310,'07_Lookups'!$E$4:$F$42,2,FALSE),"All_Districts"))</t>
        </is>
      </c>
    </row>
    <row r="311" ht="18" customHeight="1">
      <c r="A311" s="32" t="inlineStr">
        <is>
          <t>IF(E311="","",ROW()-3)</t>
        </is>
      </c>
      <c r="B311" s="42" t="inlineStr">
        <is>
          <t>AF2-LLL-R-048</t>
        </is>
      </c>
      <c r="C311" s="42" t="inlineStr">
        <is>
          <t>Emergency Food Security Project (EFSP) – WBK/AF-2</t>
        </is>
      </c>
      <c r="D311" s="42" t="inlineStr">
        <is>
          <t>EFSP-AF2 LLL supply and delivery (50 units)</t>
        </is>
      </c>
      <c r="E311" s="42" t="inlineStr">
        <is>
          <t>Joi Ganj Irrigation Scheme</t>
        </is>
      </c>
      <c r="F311" s="42" t="inlineStr">
        <is>
          <t>Laser Land Leveler (LLL)</t>
        </is>
      </c>
      <c r="G311" s="42" t="inlineStr">
        <is>
          <t>West / Herat</t>
        </is>
      </c>
      <c r="H311" s="42" t="inlineStr">
        <is>
          <t>Badghis</t>
        </is>
      </c>
      <c r="I311" s="42" t="inlineStr">
        <is>
          <t>Balamorghab</t>
        </is>
      </c>
      <c r="J311" s="42" t="inlineStr">
        <is>
          <t>1 unit(s)</t>
        </is>
      </c>
      <c r="K311" s="42" t="inlineStr">
        <is>
          <t>World Bank (WBK/AF-2)</t>
        </is>
      </c>
      <c r="L311" s="42" t="inlineStr">
        <is>
          <t>Remaining</t>
        </is>
      </c>
      <c r="M311" s="42" t="inlineStr">
        <is>
          <t>LLL supply</t>
        </is>
      </c>
      <c r="N311" s="42" t="inlineStr">
        <is>
          <t>6. Supply and delivery of LLL</t>
        </is>
      </c>
      <c r="O311" s="42" t="inlineStr"/>
      <c r="P311" s="42" t="inlineStr"/>
      <c r="Q311" s="43" t="n"/>
      <c r="R311" s="35" t="inlineStr">
        <is>
          <t>IF(AO311="","",AO311)</t>
        </is>
      </c>
      <c r="S311" s="44" t="n">
        <v>46325</v>
      </c>
      <c r="T311" s="45" t="n"/>
      <c r="U311" s="44" t="n">
        <v>46418</v>
      </c>
      <c r="V311" s="35" t="inlineStr">
        <is>
          <t>IF(U311&lt;&gt;"",U311,IF(OR(R311="",T311=""),"",EDATE(R311,T311)))</t>
        </is>
      </c>
      <c r="W311" s="44" t="n"/>
      <c r="X311" s="45" t="n"/>
      <c r="Y311" s="42" t="inlineStr">
        <is>
          <t>Under Awarding</t>
        </is>
      </c>
      <c r="Z311" s="42" t="inlineStr">
        <is>
          <t>The Procurement process is initiated in April and PO will be issued late October 2026. and delivery will be done by End of December 2026 and onward in January 2027 it is planned to be distributed to the selected beneficiaries.</t>
        </is>
      </c>
      <c r="AA311" s="32" t="inlineStr">
        <is>
          <t>IF(E311="","",IF(COUNT(AG311:AT311)=0,IF(Y311="","Not started",Y311),SUBSTITUTE(LOOKUP(2,1/(AG311:AT311&lt;&gt;""),$AG$3:$AT$3),"Date: ","")))</t>
        </is>
      </c>
      <c r="AB311" s="38" t="inlineStr">
        <is>
          <t>IF(OR(E311="",COUNT(AG311:AT311)=0),"",TODAY()-LOOKUP(2,1/(AG311:AT311&lt;&gt;""),AG311:AT311))</t>
        </is>
      </c>
      <c r="AC311" s="38" t="inlineStr">
        <is>
          <t>IF(OR(E311="",COUNT(AG311:AT311)&lt;2),"",LOOKUP(2,1/(AG311:AT311&lt;&gt;""),AG311:AT311)-MIN(AG311:AT311))</t>
        </is>
      </c>
      <c r="AD311" s="38" t="inlineStr">
        <is>
          <t>IF(OR(AB311="",AA311="Not started",AA311=""),"",IFERROR(AB311-IF(VLOOKUP(AA311,'04_Status_Pipeline'!$B$3:$E$20,4,FALSE)="",0,VLOOKUP(AA311,'04_Status_Pipeline'!$B$3:$E$20,4,FALSE)),""))</t>
        </is>
      </c>
      <c r="AE311" s="32" t="inlineStr">
        <is>
          <t>IF(E311="","",IF(OR(Y311="Cancelled",AA311="Cancelled"),"Cancelled",IF(OR(AA311="Completed / Handover",W311&lt;&gt;"",X311&gt;=100),"Completed — on track",IF(L311="Remaining",IF(S311="",IF(V311="","No planned date",IF(TODAY()&gt;V311,"Behind — past planned date",IF(V311-TODAY()&lt;=30,"At risk — close to off track","On track"))),IF(TODAY()&gt;S311,"Behind — award date passed",IF(S311-TODAY()&lt;=30,"At risk — close to off track","On track"))),IF(V311="","No planned date",IF(AND(TODAY()&gt;V311,OR(X311="",X311&lt;100)),"Behind — past end date",IF(AND(R311&lt;&gt;"",V311&lt;&gt;"",X311&lt;&gt;"",(X311&lt;100),((TODAY()-R311)/MAX(V311-R311,1)*100)-X311&gt;15),"Behind — progress lag",IF(AND(V311-TODAY()&lt;=30,V311-TODAY()&gt;=0,OR(X311="",X311&lt;90)),"At risk — close to off track","On track"))))))))</t>
        </is>
      </c>
      <c r="AF311" s="38" t="inlineStr">
        <is>
          <t>IF(OR(E311="",AA311="Completed / Handover",AA311="Cancelled"),"",IF(L311="Remaining",IF(S311&lt;&gt;"",S311-TODAY(),IF(V311="","",V311-TODAY())),IF(V311="","",V311-TODAY())))</t>
        </is>
      </c>
      <c r="AG311" s="44" t="n"/>
      <c r="AH311" s="44" t="n"/>
      <c r="AI311" s="44" t="n"/>
      <c r="AJ311" s="44" t="n"/>
      <c r="AK311" s="44" t="n"/>
      <c r="AL311" s="44" t="n"/>
      <c r="AM311" s="44" t="n"/>
      <c r="AN311" s="44" t="n"/>
      <c r="AO311" s="44" t="n"/>
      <c r="AP311" s="44" t="n"/>
      <c r="AQ311" s="44" t="n"/>
      <c r="AR311" s="40" t="n"/>
      <c r="AS311" s="40" t="n"/>
      <c r="AT311" s="40" t="n"/>
      <c r="AU311" s="38" t="inlineStr">
        <is>
          <t>IF(OR(E311="",AH311=""),"",IF(COUNT(AG311:AG311)=0,"",AH311-LOOKUP(2,1/(AG311:AG311&lt;&gt;""),AG311:AG311)))</t>
        </is>
      </c>
      <c r="AV311" s="38" t="inlineStr">
        <is>
          <t>IF(OR(E311="",AI311=""),"",IF(COUNT(AG311:AH311)=0,"",AI311-LOOKUP(2,1/(AG311:AH311&lt;&gt;""),AG311:AH311)))</t>
        </is>
      </c>
      <c r="AW311" s="38" t="inlineStr">
        <is>
          <t>IF(OR(E311="",AJ311=""),"",IF(COUNT(AG311:AI311)=0,"",AJ311-LOOKUP(2,1/(AG311:AI311&lt;&gt;""),AG311:AI311)))</t>
        </is>
      </c>
      <c r="AX311" s="38" t="inlineStr">
        <is>
          <t>IF(OR(E311="",AK311=""),"",IF(COUNT(AG311:AJ311)=0,"",AK311-LOOKUP(2,1/(AG311:AJ311&lt;&gt;""),AG311:AJ311)))</t>
        </is>
      </c>
      <c r="AY311" s="38" t="inlineStr">
        <is>
          <t>IF(OR(E311="",AL311=""),"",IF(COUNT(AG311:AK311)=0,"",AL311-LOOKUP(2,1/(AG311:AK311&lt;&gt;""),AG311:AK311)))</t>
        </is>
      </c>
      <c r="AZ311" s="38" t="inlineStr">
        <is>
          <t>IF(OR(E311="",AM311=""),"",IF(COUNT(AG311:AL311)=0,"",AM311-LOOKUP(2,1/(AG311:AL311&lt;&gt;""),AG311:AL311)))</t>
        </is>
      </c>
      <c r="BA311" s="38" t="inlineStr">
        <is>
          <t>IF(OR(E311="",AN311=""),"",IF(COUNT(AG311:AM311)=0,"",AN311-LOOKUP(2,1/(AG311:AM311&lt;&gt;""),AG311:AM311)))</t>
        </is>
      </c>
      <c r="BB311" s="38" t="inlineStr">
        <is>
          <t>IF(OR(E311="",AO311=""),"",IF(COUNT(AG311:AN311)=0,"",AO311-LOOKUP(2,1/(AG311:AN311&lt;&gt;""),AG311:AN311)))</t>
        </is>
      </c>
      <c r="BC311" s="38" t="inlineStr">
        <is>
          <t>IF(OR(E311="",AP311=""),"",IF(COUNT(AG311:AO311)=0,"",AP311-LOOKUP(2,1/(AG311:AO311&lt;&gt;""),AG311:AO311)))</t>
        </is>
      </c>
      <c r="BD311" s="38" t="inlineStr">
        <is>
          <t>IF(OR(E311="",AQ311=""),"",IF(COUNT(AG311:AP311)=0,"",AQ311-LOOKUP(2,1/(AG311:AP311&lt;&gt;""),AG311:AP311)))</t>
        </is>
      </c>
      <c r="BE311" s="38" t="inlineStr">
        <is>
          <t>IF(OR(E311="",AR311=""),"",IF(COUNT(AG311:AQ311)=0,"",AR311-LOOKUP(2,1/(AG311:AQ311&lt;&gt;""),AG311:AQ311)))</t>
        </is>
      </c>
      <c r="BF311" s="38" t="inlineStr">
        <is>
          <t>IF(OR(E311="",AS311=""),"",IF(COUNT(AG311:AR311)=0,"",AS311-LOOKUP(2,1/(AG311:AR311&lt;&gt;""),AG311:AR311)))</t>
        </is>
      </c>
      <c r="BG311" s="38" t="inlineStr">
        <is>
          <t>IF(OR(E311="",AT311=""),"",IF(COUNT(AG311:AS311)=0,"",AT311-LOOKUP(2,1/(AG311:AS311&lt;&gt;""),AG311:AS311)))</t>
        </is>
      </c>
      <c r="BH311" s="41" t="inlineStr">
        <is>
          <t>IF(G311="","All_Provinces",IFERROR(VLOOKUP(G311,'07_Lookups'!$A$4:$B$20,2,FALSE),"All_Provinces"))</t>
        </is>
      </c>
      <c r="BI311" s="41" t="inlineStr">
        <is>
          <t>IF(H311="","All_Districts",IFERROR(VLOOKUP(H311,'07_Lookups'!$E$4:$F$42,2,FALSE),"All_Districts"))</t>
        </is>
      </c>
    </row>
    <row r="312" ht="18" customHeight="1">
      <c r="A312" s="32" t="inlineStr">
        <is>
          <t>IF(E312="","",ROW()-3)</t>
        </is>
      </c>
      <c r="B312" s="33" t="inlineStr">
        <is>
          <t>AF2-LLL-R-049</t>
        </is>
      </c>
      <c r="C312" s="33" t="inlineStr">
        <is>
          <t>Emergency Food Security Project (EFSP) – WBK/AF-2</t>
        </is>
      </c>
      <c r="D312" s="33" t="inlineStr">
        <is>
          <t>EFSP-AF2 LLL supply and delivery (50 units)</t>
        </is>
      </c>
      <c r="E312" s="33" t="inlineStr">
        <is>
          <t>Joi Kar Irrigation Scheme</t>
        </is>
      </c>
      <c r="F312" s="33" t="inlineStr">
        <is>
          <t>Laser Land Leveler (LLL)</t>
        </is>
      </c>
      <c r="G312" s="33" t="inlineStr">
        <is>
          <t>West / Herat</t>
        </is>
      </c>
      <c r="H312" s="33" t="inlineStr">
        <is>
          <t>Badghis</t>
        </is>
      </c>
      <c r="I312" s="33" t="inlineStr">
        <is>
          <t>Balamorghab</t>
        </is>
      </c>
      <c r="J312" s="33" t="inlineStr">
        <is>
          <t>1 unit(s)</t>
        </is>
      </c>
      <c r="K312" s="33" t="inlineStr">
        <is>
          <t>World Bank (WBK/AF-2)</t>
        </is>
      </c>
      <c r="L312" s="33" t="inlineStr">
        <is>
          <t>Remaining</t>
        </is>
      </c>
      <c r="M312" s="33" t="inlineStr">
        <is>
          <t>LLL supply</t>
        </is>
      </c>
      <c r="N312" s="33" t="inlineStr">
        <is>
          <t>6. Supply and delivery of LLL</t>
        </is>
      </c>
      <c r="O312" s="33" t="inlineStr"/>
      <c r="P312" s="33" t="inlineStr"/>
      <c r="Q312" s="34" t="n"/>
      <c r="R312" s="35" t="inlineStr">
        <is>
          <t>IF(AO312="","",AO312)</t>
        </is>
      </c>
      <c r="S312" s="36" t="n">
        <v>46325</v>
      </c>
      <c r="T312" s="37" t="n"/>
      <c r="U312" s="36" t="n">
        <v>46418</v>
      </c>
      <c r="V312" s="35" t="inlineStr">
        <is>
          <t>IF(U312&lt;&gt;"",U312,IF(OR(R312="",T312=""),"",EDATE(R312,T312)))</t>
        </is>
      </c>
      <c r="W312" s="36" t="n"/>
      <c r="X312" s="37" t="n"/>
      <c r="Y312" s="33" t="inlineStr">
        <is>
          <t>Under Awarding</t>
        </is>
      </c>
      <c r="Z312" s="33" t="inlineStr">
        <is>
          <t>The Procurement process is initiated in April and PO will be issued late October 2026. and delivery will be done by End of December 2026 and onward in January 2027 it is planned to be distributed to the selected beneficiaries.</t>
        </is>
      </c>
      <c r="AA312" s="32" t="inlineStr">
        <is>
          <t>IF(E312="","",IF(COUNT(AG312:AT312)=0,IF(Y312="","Not started",Y312),SUBSTITUTE(LOOKUP(2,1/(AG312:AT312&lt;&gt;""),$AG$3:$AT$3),"Date: ","")))</t>
        </is>
      </c>
      <c r="AB312" s="38" t="inlineStr">
        <is>
          <t>IF(OR(E312="",COUNT(AG312:AT312)=0),"",TODAY()-LOOKUP(2,1/(AG312:AT312&lt;&gt;""),AG312:AT312))</t>
        </is>
      </c>
      <c r="AC312" s="38" t="inlineStr">
        <is>
          <t>IF(OR(E312="",COUNT(AG312:AT312)&lt;2),"",LOOKUP(2,1/(AG312:AT312&lt;&gt;""),AG312:AT312)-MIN(AG312:AT312))</t>
        </is>
      </c>
      <c r="AD312" s="38" t="inlineStr">
        <is>
          <t>IF(OR(AB312="",AA312="Not started",AA312=""),"",IFERROR(AB312-IF(VLOOKUP(AA312,'04_Status_Pipeline'!$B$3:$E$20,4,FALSE)="",0,VLOOKUP(AA312,'04_Status_Pipeline'!$B$3:$E$20,4,FALSE)),""))</t>
        </is>
      </c>
      <c r="AE312" s="32" t="inlineStr">
        <is>
          <t>IF(E312="","",IF(OR(Y312="Cancelled",AA312="Cancelled"),"Cancelled",IF(OR(AA312="Completed / Handover",W312&lt;&gt;"",X312&gt;=100),"Completed — on track",IF(L312="Remaining",IF(S312="",IF(V312="","No planned date",IF(TODAY()&gt;V312,"Behind — past planned date",IF(V312-TODAY()&lt;=30,"At risk — close to off track","On track"))),IF(TODAY()&gt;S312,"Behind — award date passed",IF(S312-TODAY()&lt;=30,"At risk — close to off track","On track"))),IF(V312="","No planned date",IF(AND(TODAY()&gt;V312,OR(X312="",X312&lt;100)),"Behind — past end date",IF(AND(R312&lt;&gt;"",V312&lt;&gt;"",X312&lt;&gt;"",(X312&lt;100),((TODAY()-R312)/MAX(V312-R312,1)*100)-X312&gt;15),"Behind — progress lag",IF(AND(V312-TODAY()&lt;=30,V312-TODAY()&gt;=0,OR(X312="",X312&lt;90)),"At risk — close to off track","On track"))))))))</t>
        </is>
      </c>
      <c r="AF312" s="38" t="inlineStr">
        <is>
          <t>IF(OR(E312="",AA312="Completed / Handover",AA312="Cancelled"),"",IF(L312="Remaining",IF(S312&lt;&gt;"",S312-TODAY(),IF(V312="","",V312-TODAY())),IF(V312="","",V312-TODAY())))</t>
        </is>
      </c>
      <c r="AG312" s="36" t="n"/>
      <c r="AH312" s="36" t="n"/>
      <c r="AI312" s="36" t="n"/>
      <c r="AJ312" s="36" t="n"/>
      <c r="AK312" s="36" t="n"/>
      <c r="AL312" s="36" t="n"/>
      <c r="AM312" s="36" t="n"/>
      <c r="AN312" s="36" t="n"/>
      <c r="AO312" s="36" t="n"/>
      <c r="AP312" s="36" t="n"/>
      <c r="AQ312" s="36" t="n"/>
      <c r="AR312" s="40" t="n"/>
      <c r="AS312" s="40" t="n"/>
      <c r="AT312" s="40" t="n"/>
      <c r="AU312" s="38" t="inlineStr">
        <is>
          <t>IF(OR(E312="",AH312=""),"",IF(COUNT(AG312:AG312)=0,"",AH312-LOOKUP(2,1/(AG312:AG312&lt;&gt;""),AG312:AG312)))</t>
        </is>
      </c>
      <c r="AV312" s="38" t="inlineStr">
        <is>
          <t>IF(OR(E312="",AI312=""),"",IF(COUNT(AG312:AH312)=0,"",AI312-LOOKUP(2,1/(AG312:AH312&lt;&gt;""),AG312:AH312)))</t>
        </is>
      </c>
      <c r="AW312" s="38" t="inlineStr">
        <is>
          <t>IF(OR(E312="",AJ312=""),"",IF(COUNT(AG312:AI312)=0,"",AJ312-LOOKUP(2,1/(AG312:AI312&lt;&gt;""),AG312:AI312)))</t>
        </is>
      </c>
      <c r="AX312" s="38" t="inlineStr">
        <is>
          <t>IF(OR(E312="",AK312=""),"",IF(COUNT(AG312:AJ312)=0,"",AK312-LOOKUP(2,1/(AG312:AJ312&lt;&gt;""),AG312:AJ312)))</t>
        </is>
      </c>
      <c r="AY312" s="38" t="inlineStr">
        <is>
          <t>IF(OR(E312="",AL312=""),"",IF(COUNT(AG312:AK312)=0,"",AL312-LOOKUP(2,1/(AG312:AK312&lt;&gt;""),AG312:AK312)))</t>
        </is>
      </c>
      <c r="AZ312" s="38" t="inlineStr">
        <is>
          <t>IF(OR(E312="",AM312=""),"",IF(COUNT(AG312:AL312)=0,"",AM312-LOOKUP(2,1/(AG312:AL312&lt;&gt;""),AG312:AL312)))</t>
        </is>
      </c>
      <c r="BA312" s="38" t="inlineStr">
        <is>
          <t>IF(OR(E312="",AN312=""),"",IF(COUNT(AG312:AM312)=0,"",AN312-LOOKUP(2,1/(AG312:AM312&lt;&gt;""),AG312:AM312)))</t>
        </is>
      </c>
      <c r="BB312" s="38" t="inlineStr">
        <is>
          <t>IF(OR(E312="",AO312=""),"",IF(COUNT(AG312:AN312)=0,"",AO312-LOOKUP(2,1/(AG312:AN312&lt;&gt;""),AG312:AN312)))</t>
        </is>
      </c>
      <c r="BC312" s="38" t="inlineStr">
        <is>
          <t>IF(OR(E312="",AP312=""),"",IF(COUNT(AG312:AO312)=0,"",AP312-LOOKUP(2,1/(AG312:AO312&lt;&gt;""),AG312:AO312)))</t>
        </is>
      </c>
      <c r="BD312" s="38" t="inlineStr">
        <is>
          <t>IF(OR(E312="",AQ312=""),"",IF(COUNT(AG312:AP312)=0,"",AQ312-LOOKUP(2,1/(AG312:AP312&lt;&gt;""),AG312:AP312)))</t>
        </is>
      </c>
      <c r="BE312" s="38" t="inlineStr">
        <is>
          <t>IF(OR(E312="",AR312=""),"",IF(COUNT(AG312:AQ312)=0,"",AR312-LOOKUP(2,1/(AG312:AQ312&lt;&gt;""),AG312:AQ312)))</t>
        </is>
      </c>
      <c r="BF312" s="38" t="inlineStr">
        <is>
          <t>IF(OR(E312="",AS312=""),"",IF(COUNT(AG312:AR312)=0,"",AS312-LOOKUP(2,1/(AG312:AR312&lt;&gt;""),AG312:AR312)))</t>
        </is>
      </c>
      <c r="BG312" s="38" t="inlineStr">
        <is>
          <t>IF(OR(E312="",AT312=""),"",IF(COUNT(AG312:AS312)=0,"",AT312-LOOKUP(2,1/(AG312:AS312&lt;&gt;""),AG312:AS312)))</t>
        </is>
      </c>
      <c r="BH312" s="41" t="inlineStr">
        <is>
          <t>IF(G312="","All_Provinces",IFERROR(VLOOKUP(G312,'07_Lookups'!$A$4:$B$20,2,FALSE),"All_Provinces"))</t>
        </is>
      </c>
      <c r="BI312" s="41" t="inlineStr">
        <is>
          <t>IF(H312="","All_Districts",IFERROR(VLOOKUP(H312,'07_Lookups'!$E$4:$F$42,2,FALSE),"All_Districts"))</t>
        </is>
      </c>
    </row>
    <row r="313" ht="18" customHeight="1">
      <c r="A313" s="32" t="inlineStr">
        <is>
          <t>IF(E313="","",ROW()-3)</t>
        </is>
      </c>
      <c r="B313" s="42" t="inlineStr">
        <is>
          <t>AF2-LLL-R-050</t>
        </is>
      </c>
      <c r="C313" s="42" t="inlineStr">
        <is>
          <t>Emergency Food Security Project (EFSP) – WBK/AF-2</t>
        </is>
      </c>
      <c r="D313" s="42" t="inlineStr">
        <is>
          <t>EFSP-AF2 LLL supply and delivery (50 units)</t>
        </is>
      </c>
      <c r="E313" s="42" t="inlineStr">
        <is>
          <t>Joi Baratha Ulya IS</t>
        </is>
      </c>
      <c r="F313" s="42" t="inlineStr">
        <is>
          <t>Laser Land Leveler (LLL)</t>
        </is>
      </c>
      <c r="G313" s="42" t="inlineStr">
        <is>
          <t>West / Herat</t>
        </is>
      </c>
      <c r="H313" s="42" t="inlineStr">
        <is>
          <t>Ghor</t>
        </is>
      </c>
      <c r="I313" s="42" t="inlineStr">
        <is>
          <t>Dawlatyar</t>
        </is>
      </c>
      <c r="J313" s="42" t="inlineStr">
        <is>
          <t>1 unit(s)</t>
        </is>
      </c>
      <c r="K313" s="42" t="inlineStr">
        <is>
          <t>World Bank (WBK/AF-2)</t>
        </is>
      </c>
      <c r="L313" s="42" t="inlineStr">
        <is>
          <t>Remaining</t>
        </is>
      </c>
      <c r="M313" s="42" t="inlineStr">
        <is>
          <t>LLL supply</t>
        </is>
      </c>
      <c r="N313" s="42" t="inlineStr">
        <is>
          <t>6. Supply and delivery of LLL</t>
        </is>
      </c>
      <c r="O313" s="42" t="inlineStr"/>
      <c r="P313" s="42" t="inlineStr"/>
      <c r="Q313" s="43" t="n"/>
      <c r="R313" s="35" t="inlineStr">
        <is>
          <t>IF(AO313="","",AO313)</t>
        </is>
      </c>
      <c r="S313" s="44" t="n">
        <v>46325</v>
      </c>
      <c r="T313" s="45" t="n"/>
      <c r="U313" s="44" t="n">
        <v>46418</v>
      </c>
      <c r="V313" s="35" t="inlineStr">
        <is>
          <t>IF(U313&lt;&gt;"",U313,IF(OR(R313="",T313=""),"",EDATE(R313,T313)))</t>
        </is>
      </c>
      <c r="W313" s="44" t="n"/>
      <c r="X313" s="45" t="n"/>
      <c r="Y313" s="42" t="inlineStr">
        <is>
          <t>Under Awarding</t>
        </is>
      </c>
      <c r="Z313" s="42" t="inlineStr">
        <is>
          <t>The Procurement process is initiated in April and PO will be issued late October 2026. and delivery will be done by End of December 2026 and onward in January 2027 it is planned to be distributed to the selected beneficiaries.</t>
        </is>
      </c>
      <c r="AA313" s="32" t="inlineStr">
        <is>
          <t>IF(E313="","",IF(COUNT(AG313:AT313)=0,IF(Y313="","Not started",Y313),SUBSTITUTE(LOOKUP(2,1/(AG313:AT313&lt;&gt;""),$AG$3:$AT$3),"Date: ","")))</t>
        </is>
      </c>
      <c r="AB313" s="38" t="inlineStr">
        <is>
          <t>IF(OR(E313="",COUNT(AG313:AT313)=0),"",TODAY()-LOOKUP(2,1/(AG313:AT313&lt;&gt;""),AG313:AT313))</t>
        </is>
      </c>
      <c r="AC313" s="38" t="inlineStr">
        <is>
          <t>IF(OR(E313="",COUNT(AG313:AT313)&lt;2),"",LOOKUP(2,1/(AG313:AT313&lt;&gt;""),AG313:AT313)-MIN(AG313:AT313))</t>
        </is>
      </c>
      <c r="AD313" s="38" t="inlineStr">
        <is>
          <t>IF(OR(AB313="",AA313="Not started",AA313=""),"",IFERROR(AB313-IF(VLOOKUP(AA313,'04_Status_Pipeline'!$B$3:$E$20,4,FALSE)="",0,VLOOKUP(AA313,'04_Status_Pipeline'!$B$3:$E$20,4,FALSE)),""))</t>
        </is>
      </c>
      <c r="AE313" s="32" t="inlineStr">
        <is>
          <t>IF(E313="","",IF(OR(Y313="Cancelled",AA313="Cancelled"),"Cancelled",IF(OR(AA313="Completed / Handover",W313&lt;&gt;"",X313&gt;=100),"Completed — on track",IF(L313="Remaining",IF(S313="",IF(V313="","No planned date",IF(TODAY()&gt;V313,"Behind — past planned date",IF(V313-TODAY()&lt;=30,"At risk — close to off track","On track"))),IF(TODAY()&gt;S313,"Behind — award date passed",IF(S313-TODAY()&lt;=30,"At risk — close to off track","On track"))),IF(V313="","No planned date",IF(AND(TODAY()&gt;V313,OR(X313="",X313&lt;100)),"Behind — past end date",IF(AND(R313&lt;&gt;"",V313&lt;&gt;"",X313&lt;&gt;"",(X313&lt;100),((TODAY()-R313)/MAX(V313-R313,1)*100)-X313&gt;15),"Behind — progress lag",IF(AND(V313-TODAY()&lt;=30,V313-TODAY()&gt;=0,OR(X313="",X313&lt;90)),"At risk — close to off track","On track"))))))))</t>
        </is>
      </c>
      <c r="AF313" s="38" t="inlineStr">
        <is>
          <t>IF(OR(E313="",AA313="Completed / Handover",AA313="Cancelled"),"",IF(L313="Remaining",IF(S313&lt;&gt;"",S313-TODAY(),IF(V313="","",V313-TODAY())),IF(V313="","",V313-TODAY())))</t>
        </is>
      </c>
      <c r="AG313" s="44" t="n"/>
      <c r="AH313" s="44" t="n"/>
      <c r="AI313" s="44" t="n"/>
      <c r="AJ313" s="44" t="n"/>
      <c r="AK313" s="44" t="n"/>
      <c r="AL313" s="44" t="n"/>
      <c r="AM313" s="44" t="n"/>
      <c r="AN313" s="44" t="n"/>
      <c r="AO313" s="44" t="n"/>
      <c r="AP313" s="44" t="n"/>
      <c r="AQ313" s="44" t="n"/>
      <c r="AR313" s="40" t="n"/>
      <c r="AS313" s="40" t="n"/>
      <c r="AT313" s="40" t="n"/>
      <c r="AU313" s="38" t="inlineStr">
        <is>
          <t>IF(OR(E313="",AH313=""),"",IF(COUNT(AG313:AG313)=0,"",AH313-LOOKUP(2,1/(AG313:AG313&lt;&gt;""),AG313:AG313)))</t>
        </is>
      </c>
      <c r="AV313" s="38" t="inlineStr">
        <is>
          <t>IF(OR(E313="",AI313=""),"",IF(COUNT(AG313:AH313)=0,"",AI313-LOOKUP(2,1/(AG313:AH313&lt;&gt;""),AG313:AH313)))</t>
        </is>
      </c>
      <c r="AW313" s="38" t="inlineStr">
        <is>
          <t>IF(OR(E313="",AJ313=""),"",IF(COUNT(AG313:AI313)=0,"",AJ313-LOOKUP(2,1/(AG313:AI313&lt;&gt;""),AG313:AI313)))</t>
        </is>
      </c>
      <c r="AX313" s="38" t="inlineStr">
        <is>
          <t>IF(OR(E313="",AK313=""),"",IF(COUNT(AG313:AJ313)=0,"",AK313-LOOKUP(2,1/(AG313:AJ313&lt;&gt;""),AG313:AJ313)))</t>
        </is>
      </c>
      <c r="AY313" s="38" t="inlineStr">
        <is>
          <t>IF(OR(E313="",AL313=""),"",IF(COUNT(AG313:AK313)=0,"",AL313-LOOKUP(2,1/(AG313:AK313&lt;&gt;""),AG313:AK313)))</t>
        </is>
      </c>
      <c r="AZ313" s="38" t="inlineStr">
        <is>
          <t>IF(OR(E313="",AM313=""),"",IF(COUNT(AG313:AL313)=0,"",AM313-LOOKUP(2,1/(AG313:AL313&lt;&gt;""),AG313:AL313)))</t>
        </is>
      </c>
      <c r="BA313" s="38" t="inlineStr">
        <is>
          <t>IF(OR(E313="",AN313=""),"",IF(COUNT(AG313:AM313)=0,"",AN313-LOOKUP(2,1/(AG313:AM313&lt;&gt;""),AG313:AM313)))</t>
        </is>
      </c>
      <c r="BB313" s="38" t="inlineStr">
        <is>
          <t>IF(OR(E313="",AO313=""),"",IF(COUNT(AG313:AN313)=0,"",AO313-LOOKUP(2,1/(AG313:AN313&lt;&gt;""),AG313:AN313)))</t>
        </is>
      </c>
      <c r="BC313" s="38" t="inlineStr">
        <is>
          <t>IF(OR(E313="",AP313=""),"",IF(COUNT(AG313:AO313)=0,"",AP313-LOOKUP(2,1/(AG313:AO313&lt;&gt;""),AG313:AO313)))</t>
        </is>
      </c>
      <c r="BD313" s="38" t="inlineStr">
        <is>
          <t>IF(OR(E313="",AQ313=""),"",IF(COUNT(AG313:AP313)=0,"",AQ313-LOOKUP(2,1/(AG313:AP313&lt;&gt;""),AG313:AP313)))</t>
        </is>
      </c>
      <c r="BE313" s="38" t="inlineStr">
        <is>
          <t>IF(OR(E313="",AR313=""),"",IF(COUNT(AG313:AQ313)=0,"",AR313-LOOKUP(2,1/(AG313:AQ313&lt;&gt;""),AG313:AQ313)))</t>
        </is>
      </c>
      <c r="BF313" s="38" t="inlineStr">
        <is>
          <t>IF(OR(E313="",AS313=""),"",IF(COUNT(AG313:AR313)=0,"",AS313-LOOKUP(2,1/(AG313:AR313&lt;&gt;""),AG313:AR313)))</t>
        </is>
      </c>
      <c r="BG313" s="38" t="inlineStr">
        <is>
          <t>IF(OR(E313="",AT313=""),"",IF(COUNT(AG313:AS313)=0,"",AT313-LOOKUP(2,1/(AG313:AS313&lt;&gt;""),AG313:AS313)))</t>
        </is>
      </c>
      <c r="BH313" s="41" t="inlineStr">
        <is>
          <t>IF(G313="","All_Provinces",IFERROR(VLOOKUP(G313,'07_Lookups'!$A$4:$B$20,2,FALSE),"All_Provinces"))</t>
        </is>
      </c>
      <c r="BI313" s="41" t="inlineStr">
        <is>
          <t>IF(H313="","All_Districts",IFERROR(VLOOKUP(H313,'07_Lookups'!$E$4:$F$42,2,FALSE),"All_Districts"))</t>
        </is>
      </c>
    </row>
    <row r="314" ht="18" customHeight="1">
      <c r="A314" s="32" t="inlineStr">
        <is>
          <t>IF(E314="","",ROW()-3)</t>
        </is>
      </c>
      <c r="B314" s="33" t="inlineStr">
        <is>
          <t>AF2-AGF-R-001</t>
        </is>
      </c>
      <c r="C314" s="33" t="inlineStr">
        <is>
          <t>Emergency Food Security Project (EFSP) – WBK/AF-2</t>
        </is>
      </c>
      <c r="D314" s="33" t="inlineStr">
        <is>
          <t>Agroforestry saplings and seeds 2026/27</t>
        </is>
      </c>
      <c r="E314" s="33" t="inlineStr">
        <is>
          <t>Agroforestry — Takhar / Bangi</t>
        </is>
      </c>
      <c r="F314" s="33" t="inlineStr">
        <is>
          <t>Agroforestry saplings / seeds</t>
        </is>
      </c>
      <c r="G314" s="33" t="inlineStr">
        <is>
          <t>Northeast / Kunduz</t>
        </is>
      </c>
      <c r="H314" s="33" t="inlineStr">
        <is>
          <t>Takhar</t>
        </is>
      </c>
      <c r="I314" s="33" t="inlineStr">
        <is>
          <t>Bangi</t>
        </is>
      </c>
      <c r="J314" s="33" t="inlineStr">
        <is>
          <t>Saplings: 8500; Seeds kg: 234</t>
        </is>
      </c>
      <c r="K314" s="33" t="inlineStr">
        <is>
          <t>World Bank (WBK/AF-2)</t>
        </is>
      </c>
      <c r="L314" s="33" t="inlineStr">
        <is>
          <t>Remaining</t>
        </is>
      </c>
      <c r="M314" s="33" t="inlineStr">
        <is>
          <t>Agroforestry</t>
        </is>
      </c>
      <c r="N314" s="33" t="inlineStr">
        <is>
          <t>7. Agroforestry Saplings-seeds</t>
        </is>
      </c>
      <c r="O314" s="33" t="inlineStr"/>
      <c r="P314" s="33" t="inlineStr"/>
      <c r="Q314" s="34" t="n"/>
      <c r="R314" s="35" t="inlineStr">
        <is>
          <t>IF(AO314="","",AO314)</t>
        </is>
      </c>
      <c r="S314" s="36" t="n">
        <v>46142</v>
      </c>
      <c r="T314" s="37" t="n">
        <v>12</v>
      </c>
      <c r="U314" s="36" t="n">
        <v>46478</v>
      </c>
      <c r="V314" s="35" t="inlineStr">
        <is>
          <t>IF(U314&lt;&gt;"",U314,IF(OR(R314="",T314=""),"",EDATE(R314,T314)))</t>
        </is>
      </c>
      <c r="W314" s="36" t="n"/>
      <c r="X314" s="37" t="n"/>
      <c r="Y314" s="33" t="inlineStr">
        <is>
          <t>Under Awarding</t>
        </is>
      </c>
      <c r="Z314" s="33" t="inlineStr">
        <is>
          <t>The saplings PO has already been issued and PO for seeds is expected to be issued in November 2026</t>
        </is>
      </c>
      <c r="AA314" s="32" t="inlineStr">
        <is>
          <t>IF(E314="","",IF(COUNT(AG314:AT314)=0,IF(Y314="","Not started",Y314),SUBSTITUTE(LOOKUP(2,1/(AG314:AT314&lt;&gt;""),$AG$3:$AT$3),"Date: ","")))</t>
        </is>
      </c>
      <c r="AB314" s="38" t="inlineStr">
        <is>
          <t>IF(OR(E314="",COUNT(AG314:AT314)=0),"",TODAY()-LOOKUP(2,1/(AG314:AT314&lt;&gt;""),AG314:AT314))</t>
        </is>
      </c>
      <c r="AC314" s="38" t="inlineStr">
        <is>
          <t>IF(OR(E314="",COUNT(AG314:AT314)&lt;2),"",LOOKUP(2,1/(AG314:AT314&lt;&gt;""),AG314:AT314)-MIN(AG314:AT314))</t>
        </is>
      </c>
      <c r="AD314" s="38" t="inlineStr">
        <is>
          <t>IF(OR(AB314="",AA314="Not started",AA314=""),"",IFERROR(AB314-IF(VLOOKUP(AA314,'04_Status_Pipeline'!$B$3:$E$20,4,FALSE)="",0,VLOOKUP(AA314,'04_Status_Pipeline'!$B$3:$E$20,4,FALSE)),""))</t>
        </is>
      </c>
      <c r="AE314" s="32" t="inlineStr">
        <is>
          <t>IF(E314="","",IF(OR(Y314="Cancelled",AA314="Cancelled"),"Cancelled",IF(OR(AA314="Completed / Handover",W314&lt;&gt;"",X314&gt;=100),"Completed — on track",IF(L314="Remaining",IF(S314="",IF(V314="","No planned date",IF(TODAY()&gt;V314,"Behind — past planned date",IF(V314-TODAY()&lt;=30,"At risk — close to off track","On track"))),IF(TODAY()&gt;S314,"Behind — award date passed",IF(S314-TODAY()&lt;=30,"At risk — close to off track","On track"))),IF(V314="","No planned date",IF(AND(TODAY()&gt;V314,OR(X314="",X314&lt;100)),"Behind — past end date",IF(AND(R314&lt;&gt;"",V314&lt;&gt;"",X314&lt;&gt;"",(X314&lt;100),((TODAY()-R314)/MAX(V314-R314,1)*100)-X314&gt;15),"Behind — progress lag",IF(AND(V314-TODAY()&lt;=30,V314-TODAY()&gt;=0,OR(X314="",X314&lt;90)),"At risk — close to off track","On track"))))))))</t>
        </is>
      </c>
      <c r="AF314" s="38" t="inlineStr">
        <is>
          <t>IF(OR(E314="",AA314="Completed / Handover",AA314="Cancelled"),"",IF(L314="Remaining",IF(S314&lt;&gt;"",S314-TODAY(),IF(V314="","",V314-TODAY())),IF(V314="","",V314-TODAY())))</t>
        </is>
      </c>
      <c r="AG314" s="36" t="n"/>
      <c r="AH314" s="36" t="n"/>
      <c r="AI314" s="36" t="n"/>
      <c r="AJ314" s="36" t="n"/>
      <c r="AK314" s="36" t="n"/>
      <c r="AL314" s="36" t="n"/>
      <c r="AM314" s="36" t="n"/>
      <c r="AN314" s="36" t="n"/>
      <c r="AO314" s="36" t="n"/>
      <c r="AP314" s="36" t="n"/>
      <c r="AQ314" s="36" t="n"/>
      <c r="AR314" s="40" t="n"/>
      <c r="AS314" s="40" t="n"/>
      <c r="AT314" s="40" t="n"/>
      <c r="AU314" s="38" t="inlineStr">
        <is>
          <t>IF(OR(E314="",AH314=""),"",IF(COUNT(AG314:AG314)=0,"",AH314-LOOKUP(2,1/(AG314:AG314&lt;&gt;""),AG314:AG314)))</t>
        </is>
      </c>
      <c r="AV314" s="38" t="inlineStr">
        <is>
          <t>IF(OR(E314="",AI314=""),"",IF(COUNT(AG314:AH314)=0,"",AI314-LOOKUP(2,1/(AG314:AH314&lt;&gt;""),AG314:AH314)))</t>
        </is>
      </c>
      <c r="AW314" s="38" t="inlineStr">
        <is>
          <t>IF(OR(E314="",AJ314=""),"",IF(COUNT(AG314:AI314)=0,"",AJ314-LOOKUP(2,1/(AG314:AI314&lt;&gt;""),AG314:AI314)))</t>
        </is>
      </c>
      <c r="AX314" s="38" t="inlineStr">
        <is>
          <t>IF(OR(E314="",AK314=""),"",IF(COUNT(AG314:AJ314)=0,"",AK314-LOOKUP(2,1/(AG314:AJ314&lt;&gt;""),AG314:AJ314)))</t>
        </is>
      </c>
      <c r="AY314" s="38" t="inlineStr">
        <is>
          <t>IF(OR(E314="",AL314=""),"",IF(COUNT(AG314:AK314)=0,"",AL314-LOOKUP(2,1/(AG314:AK314&lt;&gt;""),AG314:AK314)))</t>
        </is>
      </c>
      <c r="AZ314" s="38" t="inlineStr">
        <is>
          <t>IF(OR(E314="",AM314=""),"",IF(COUNT(AG314:AL314)=0,"",AM314-LOOKUP(2,1/(AG314:AL314&lt;&gt;""),AG314:AL314)))</t>
        </is>
      </c>
      <c r="BA314" s="38" t="inlineStr">
        <is>
          <t>IF(OR(E314="",AN314=""),"",IF(COUNT(AG314:AM314)=0,"",AN314-LOOKUP(2,1/(AG314:AM314&lt;&gt;""),AG314:AM314)))</t>
        </is>
      </c>
      <c r="BB314" s="38" t="inlineStr">
        <is>
          <t>IF(OR(E314="",AO314=""),"",IF(COUNT(AG314:AN314)=0,"",AO314-LOOKUP(2,1/(AG314:AN314&lt;&gt;""),AG314:AN314)))</t>
        </is>
      </c>
      <c r="BC314" s="38" t="inlineStr">
        <is>
          <t>IF(OR(E314="",AP314=""),"",IF(COUNT(AG314:AO314)=0,"",AP314-LOOKUP(2,1/(AG314:AO314&lt;&gt;""),AG314:AO314)))</t>
        </is>
      </c>
      <c r="BD314" s="38" t="inlineStr">
        <is>
          <t>IF(OR(E314="",AQ314=""),"",IF(COUNT(AG314:AP314)=0,"",AQ314-LOOKUP(2,1/(AG314:AP314&lt;&gt;""),AG314:AP314)))</t>
        </is>
      </c>
      <c r="BE314" s="38" t="inlineStr">
        <is>
          <t>IF(OR(E314="",AR314=""),"",IF(COUNT(AG314:AQ314)=0,"",AR314-LOOKUP(2,1/(AG314:AQ314&lt;&gt;""),AG314:AQ314)))</t>
        </is>
      </c>
      <c r="BF314" s="38" t="inlineStr">
        <is>
          <t>IF(OR(E314="",AS314=""),"",IF(COUNT(AG314:AR314)=0,"",AS314-LOOKUP(2,1/(AG314:AR314&lt;&gt;""),AG314:AR314)))</t>
        </is>
      </c>
      <c r="BG314" s="38" t="inlineStr">
        <is>
          <t>IF(OR(E314="",AT314=""),"",IF(COUNT(AG314:AS314)=0,"",AT314-LOOKUP(2,1/(AG314:AS314&lt;&gt;""),AG314:AS314)))</t>
        </is>
      </c>
      <c r="BH314" s="41" t="inlineStr">
        <is>
          <t>IF(G314="","All_Provinces",IFERROR(VLOOKUP(G314,'07_Lookups'!$A$4:$B$20,2,FALSE),"All_Provinces"))</t>
        </is>
      </c>
      <c r="BI314" s="41" t="inlineStr">
        <is>
          <t>IF(H314="","All_Districts",IFERROR(VLOOKUP(H314,'07_Lookups'!$E$4:$F$42,2,FALSE),"All_Districts"))</t>
        </is>
      </c>
    </row>
    <row r="315" ht="18" customHeight="1">
      <c r="A315" s="32" t="inlineStr">
        <is>
          <t>IF(E315="","",ROW()-3)</t>
        </is>
      </c>
      <c r="B315" s="42" t="inlineStr">
        <is>
          <t>AF2-AGF-R-002</t>
        </is>
      </c>
      <c r="C315" s="42" t="inlineStr">
        <is>
          <t>Emergency Food Security Project (EFSP) – WBK/AF-2</t>
        </is>
      </c>
      <c r="D315" s="42" t="inlineStr">
        <is>
          <t>Agroforestry saplings and seeds 2026/27</t>
        </is>
      </c>
      <c r="E315" s="42" t="inlineStr">
        <is>
          <t>Agroforestry — Baghlan / Banu</t>
        </is>
      </c>
      <c r="F315" s="42" t="inlineStr">
        <is>
          <t>Agroforestry saplings / seeds</t>
        </is>
      </c>
      <c r="G315" s="42" t="inlineStr">
        <is>
          <t>Northeast / Kunduz</t>
        </is>
      </c>
      <c r="H315" s="42" t="inlineStr">
        <is>
          <t>Baghlan</t>
        </is>
      </c>
      <c r="I315" s="42" t="inlineStr">
        <is>
          <t>Banu</t>
        </is>
      </c>
      <c r="J315" s="42" t="inlineStr">
        <is>
          <t>Saplings: 8316; Seeds kg: 121</t>
        </is>
      </c>
      <c r="K315" s="42" t="inlineStr">
        <is>
          <t>World Bank (WBK/AF-2)</t>
        </is>
      </c>
      <c r="L315" s="42" t="inlineStr">
        <is>
          <t>Remaining</t>
        </is>
      </c>
      <c r="M315" s="42" t="inlineStr">
        <is>
          <t>Agroforestry</t>
        </is>
      </c>
      <c r="N315" s="42" t="inlineStr">
        <is>
          <t>7. Agroforestry Saplings-seeds</t>
        </is>
      </c>
      <c r="O315" s="42" t="inlineStr"/>
      <c r="P315" s="42" t="inlineStr"/>
      <c r="Q315" s="43" t="n"/>
      <c r="R315" s="35" t="inlineStr">
        <is>
          <t>IF(AO315="","",AO315)</t>
        </is>
      </c>
      <c r="S315" s="44" t="n">
        <v>46142</v>
      </c>
      <c r="T315" s="45" t="n">
        <v>12</v>
      </c>
      <c r="U315" s="44" t="n">
        <v>46478</v>
      </c>
      <c r="V315" s="35" t="inlineStr">
        <is>
          <t>IF(U315&lt;&gt;"",U315,IF(OR(R315="",T315=""),"",EDATE(R315,T315)))</t>
        </is>
      </c>
      <c r="W315" s="44" t="n"/>
      <c r="X315" s="45" t="n"/>
      <c r="Y315" s="42" t="inlineStr">
        <is>
          <t>Under Awarding</t>
        </is>
      </c>
      <c r="Z315" s="42" t="inlineStr">
        <is>
          <t>The saplings PO has already been issued and PO for seeds is expected to be issued in November 2026</t>
        </is>
      </c>
      <c r="AA315" s="32" t="inlineStr">
        <is>
          <t>IF(E315="","",IF(COUNT(AG315:AT315)=0,IF(Y315="","Not started",Y315),SUBSTITUTE(LOOKUP(2,1/(AG315:AT315&lt;&gt;""),$AG$3:$AT$3),"Date: ","")))</t>
        </is>
      </c>
      <c r="AB315" s="38" t="inlineStr">
        <is>
          <t>IF(OR(E315="",COUNT(AG315:AT315)=0),"",TODAY()-LOOKUP(2,1/(AG315:AT315&lt;&gt;""),AG315:AT315))</t>
        </is>
      </c>
      <c r="AC315" s="38" t="inlineStr">
        <is>
          <t>IF(OR(E315="",COUNT(AG315:AT315)&lt;2),"",LOOKUP(2,1/(AG315:AT315&lt;&gt;""),AG315:AT315)-MIN(AG315:AT315))</t>
        </is>
      </c>
      <c r="AD315" s="38" t="inlineStr">
        <is>
          <t>IF(OR(AB315="",AA315="Not started",AA315=""),"",IFERROR(AB315-IF(VLOOKUP(AA315,'04_Status_Pipeline'!$B$3:$E$20,4,FALSE)="",0,VLOOKUP(AA315,'04_Status_Pipeline'!$B$3:$E$20,4,FALSE)),""))</t>
        </is>
      </c>
      <c r="AE315" s="32" t="inlineStr">
        <is>
          <t>IF(E315="","",IF(OR(Y315="Cancelled",AA315="Cancelled"),"Cancelled",IF(OR(AA315="Completed / Handover",W315&lt;&gt;"",X315&gt;=100),"Completed — on track",IF(L315="Remaining",IF(S315="",IF(V315="","No planned date",IF(TODAY()&gt;V315,"Behind — past planned date",IF(V315-TODAY()&lt;=30,"At risk — close to off track","On track"))),IF(TODAY()&gt;S315,"Behind — award date passed",IF(S315-TODAY()&lt;=30,"At risk — close to off track","On track"))),IF(V315="","No planned date",IF(AND(TODAY()&gt;V315,OR(X315="",X315&lt;100)),"Behind — past end date",IF(AND(R315&lt;&gt;"",V315&lt;&gt;"",X315&lt;&gt;"",(X315&lt;100),((TODAY()-R315)/MAX(V315-R315,1)*100)-X315&gt;15),"Behind — progress lag",IF(AND(V315-TODAY()&lt;=30,V315-TODAY()&gt;=0,OR(X315="",X315&lt;90)),"At risk — close to off track","On track"))))))))</t>
        </is>
      </c>
      <c r="AF315" s="38" t="inlineStr">
        <is>
          <t>IF(OR(E315="",AA315="Completed / Handover",AA315="Cancelled"),"",IF(L315="Remaining",IF(S315&lt;&gt;"",S315-TODAY(),IF(V315="","",V315-TODAY())),IF(V315="","",V315-TODAY())))</t>
        </is>
      </c>
      <c r="AG315" s="44" t="n"/>
      <c r="AH315" s="44" t="n"/>
      <c r="AI315" s="44" t="n"/>
      <c r="AJ315" s="44" t="n"/>
      <c r="AK315" s="44" t="n"/>
      <c r="AL315" s="44" t="n"/>
      <c r="AM315" s="44" t="n"/>
      <c r="AN315" s="44" t="n"/>
      <c r="AO315" s="44" t="n"/>
      <c r="AP315" s="44" t="n"/>
      <c r="AQ315" s="44" t="n"/>
      <c r="AR315" s="40" t="n"/>
      <c r="AS315" s="40" t="n"/>
      <c r="AT315" s="40" t="n"/>
      <c r="AU315" s="38" t="inlineStr">
        <is>
          <t>IF(OR(E315="",AH315=""),"",IF(COUNT(AG315:AG315)=0,"",AH315-LOOKUP(2,1/(AG315:AG315&lt;&gt;""),AG315:AG315)))</t>
        </is>
      </c>
      <c r="AV315" s="38" t="inlineStr">
        <is>
          <t>IF(OR(E315="",AI315=""),"",IF(COUNT(AG315:AH315)=0,"",AI315-LOOKUP(2,1/(AG315:AH315&lt;&gt;""),AG315:AH315)))</t>
        </is>
      </c>
      <c r="AW315" s="38" t="inlineStr">
        <is>
          <t>IF(OR(E315="",AJ315=""),"",IF(COUNT(AG315:AI315)=0,"",AJ315-LOOKUP(2,1/(AG315:AI315&lt;&gt;""),AG315:AI315)))</t>
        </is>
      </c>
      <c r="AX315" s="38" t="inlineStr">
        <is>
          <t>IF(OR(E315="",AK315=""),"",IF(COUNT(AG315:AJ315)=0,"",AK315-LOOKUP(2,1/(AG315:AJ315&lt;&gt;""),AG315:AJ315)))</t>
        </is>
      </c>
      <c r="AY315" s="38" t="inlineStr">
        <is>
          <t>IF(OR(E315="",AL315=""),"",IF(COUNT(AG315:AK315)=0,"",AL315-LOOKUP(2,1/(AG315:AK315&lt;&gt;""),AG315:AK315)))</t>
        </is>
      </c>
      <c r="AZ315" s="38" t="inlineStr">
        <is>
          <t>IF(OR(E315="",AM315=""),"",IF(COUNT(AG315:AL315)=0,"",AM315-LOOKUP(2,1/(AG315:AL315&lt;&gt;""),AG315:AL315)))</t>
        </is>
      </c>
      <c r="BA315" s="38" t="inlineStr">
        <is>
          <t>IF(OR(E315="",AN315=""),"",IF(COUNT(AG315:AM315)=0,"",AN315-LOOKUP(2,1/(AG315:AM315&lt;&gt;""),AG315:AM315)))</t>
        </is>
      </c>
      <c r="BB315" s="38" t="inlineStr">
        <is>
          <t>IF(OR(E315="",AO315=""),"",IF(COUNT(AG315:AN315)=0,"",AO315-LOOKUP(2,1/(AG315:AN315&lt;&gt;""),AG315:AN315)))</t>
        </is>
      </c>
      <c r="BC315" s="38" t="inlineStr">
        <is>
          <t>IF(OR(E315="",AP315=""),"",IF(COUNT(AG315:AO315)=0,"",AP315-LOOKUP(2,1/(AG315:AO315&lt;&gt;""),AG315:AO315)))</t>
        </is>
      </c>
      <c r="BD315" s="38" t="inlineStr">
        <is>
          <t>IF(OR(E315="",AQ315=""),"",IF(COUNT(AG315:AP315)=0,"",AQ315-LOOKUP(2,1/(AG315:AP315&lt;&gt;""),AG315:AP315)))</t>
        </is>
      </c>
      <c r="BE315" s="38" t="inlineStr">
        <is>
          <t>IF(OR(E315="",AR315=""),"",IF(COUNT(AG315:AQ315)=0,"",AR315-LOOKUP(2,1/(AG315:AQ315&lt;&gt;""),AG315:AQ315)))</t>
        </is>
      </c>
      <c r="BF315" s="38" t="inlineStr">
        <is>
          <t>IF(OR(E315="",AS315=""),"",IF(COUNT(AG315:AR315)=0,"",AS315-LOOKUP(2,1/(AG315:AR315&lt;&gt;""),AG315:AR315)))</t>
        </is>
      </c>
      <c r="BG315" s="38" t="inlineStr">
        <is>
          <t>IF(OR(E315="",AT315=""),"",IF(COUNT(AG315:AS315)=0,"",AT315-LOOKUP(2,1/(AG315:AS315&lt;&gt;""),AG315:AS315)))</t>
        </is>
      </c>
      <c r="BH315" s="41" t="inlineStr">
        <is>
          <t>IF(G315="","All_Provinces",IFERROR(VLOOKUP(G315,'07_Lookups'!$A$4:$B$20,2,FALSE),"All_Provinces"))</t>
        </is>
      </c>
      <c r="BI315" s="41" t="inlineStr">
        <is>
          <t>IF(H315="","All_Districts",IFERROR(VLOOKUP(H315,'07_Lookups'!$E$4:$F$42,2,FALSE),"All_Districts"))</t>
        </is>
      </c>
    </row>
    <row r="316" ht="18" customHeight="1">
      <c r="A316" s="32" t="inlineStr">
        <is>
          <t>IF(E316="","",ROW()-3)</t>
        </is>
      </c>
      <c r="B316" s="33" t="inlineStr">
        <is>
          <t>AF2-AGF-R-003</t>
        </is>
      </c>
      <c r="C316" s="33" t="inlineStr">
        <is>
          <t>Emergency Food Security Project (EFSP) – WBK/AF-2</t>
        </is>
      </c>
      <c r="D316" s="33" t="inlineStr">
        <is>
          <t>Agroforestry saplings and seeds 2026/27</t>
        </is>
      </c>
      <c r="E316" s="33" t="inlineStr">
        <is>
          <t>Agroforestry — Badakhshan / Wardoj</t>
        </is>
      </c>
      <c r="F316" s="33" t="inlineStr">
        <is>
          <t>Agroforestry saplings / seeds</t>
        </is>
      </c>
      <c r="G316" s="33" t="inlineStr">
        <is>
          <t>Northeast / Kunduz</t>
        </is>
      </c>
      <c r="H316" s="33" t="inlineStr">
        <is>
          <t>Badakhshan</t>
        </is>
      </c>
      <c r="I316" s="33" t="inlineStr">
        <is>
          <t>Wardoj</t>
        </is>
      </c>
      <c r="J316" s="33" t="inlineStr">
        <is>
          <t>Saplings: 8184; Seeds kg: 495</t>
        </is>
      </c>
      <c r="K316" s="33" t="inlineStr">
        <is>
          <t>World Bank (WBK/AF-2)</t>
        </is>
      </c>
      <c r="L316" s="33" t="inlineStr">
        <is>
          <t>Remaining</t>
        </is>
      </c>
      <c r="M316" s="33" t="inlineStr">
        <is>
          <t>Agroforestry</t>
        </is>
      </c>
      <c r="N316" s="33" t="inlineStr">
        <is>
          <t>7. Agroforestry Saplings-seeds</t>
        </is>
      </c>
      <c r="O316" s="33" t="inlineStr"/>
      <c r="P316" s="33" t="inlineStr"/>
      <c r="Q316" s="34" t="n"/>
      <c r="R316" s="35" t="inlineStr">
        <is>
          <t>IF(AO316="","",AO316)</t>
        </is>
      </c>
      <c r="S316" s="36" t="n">
        <v>46142</v>
      </c>
      <c r="T316" s="37" t="n">
        <v>12</v>
      </c>
      <c r="U316" s="36" t="n">
        <v>46478</v>
      </c>
      <c r="V316" s="35" t="inlineStr">
        <is>
          <t>IF(U316&lt;&gt;"",U316,IF(OR(R316="",T316=""),"",EDATE(R316,T316)))</t>
        </is>
      </c>
      <c r="W316" s="36" t="n"/>
      <c r="X316" s="37" t="n"/>
      <c r="Y316" s="33" t="inlineStr">
        <is>
          <t>Under Awarding</t>
        </is>
      </c>
      <c r="Z316" s="33" t="inlineStr">
        <is>
          <t>The saplings PO has already been issued and PO for seeds is expected to be issued in November 2026</t>
        </is>
      </c>
      <c r="AA316" s="32" t="inlineStr">
        <is>
          <t>IF(E316="","",IF(COUNT(AG316:AT316)=0,IF(Y316="","Not started",Y316),SUBSTITUTE(LOOKUP(2,1/(AG316:AT316&lt;&gt;""),$AG$3:$AT$3),"Date: ","")))</t>
        </is>
      </c>
      <c r="AB316" s="38" t="inlineStr">
        <is>
          <t>IF(OR(E316="",COUNT(AG316:AT316)=0),"",TODAY()-LOOKUP(2,1/(AG316:AT316&lt;&gt;""),AG316:AT316))</t>
        </is>
      </c>
      <c r="AC316" s="38" t="inlineStr">
        <is>
          <t>IF(OR(E316="",COUNT(AG316:AT316)&lt;2),"",LOOKUP(2,1/(AG316:AT316&lt;&gt;""),AG316:AT316)-MIN(AG316:AT316))</t>
        </is>
      </c>
      <c r="AD316" s="38" t="inlineStr">
        <is>
          <t>IF(OR(AB316="",AA316="Not started",AA316=""),"",IFERROR(AB316-IF(VLOOKUP(AA316,'04_Status_Pipeline'!$B$3:$E$20,4,FALSE)="",0,VLOOKUP(AA316,'04_Status_Pipeline'!$B$3:$E$20,4,FALSE)),""))</t>
        </is>
      </c>
      <c r="AE316" s="32" t="inlineStr">
        <is>
          <t>IF(E316="","",IF(OR(Y316="Cancelled",AA316="Cancelled"),"Cancelled",IF(OR(AA316="Completed / Handover",W316&lt;&gt;"",X316&gt;=100),"Completed — on track",IF(L316="Remaining",IF(S316="",IF(V316="","No planned date",IF(TODAY()&gt;V316,"Behind — past planned date",IF(V316-TODAY()&lt;=30,"At risk — close to off track","On track"))),IF(TODAY()&gt;S316,"Behind — award date passed",IF(S316-TODAY()&lt;=30,"At risk — close to off track","On track"))),IF(V316="","No planned date",IF(AND(TODAY()&gt;V316,OR(X316="",X316&lt;100)),"Behind — past end date",IF(AND(R316&lt;&gt;"",V316&lt;&gt;"",X316&lt;&gt;"",(X316&lt;100),((TODAY()-R316)/MAX(V316-R316,1)*100)-X316&gt;15),"Behind — progress lag",IF(AND(V316-TODAY()&lt;=30,V316-TODAY()&gt;=0,OR(X316="",X316&lt;90)),"At risk — close to off track","On track"))))))))</t>
        </is>
      </c>
      <c r="AF316" s="38" t="inlineStr">
        <is>
          <t>IF(OR(E316="",AA316="Completed / Handover",AA316="Cancelled"),"",IF(L316="Remaining",IF(S316&lt;&gt;"",S316-TODAY(),IF(V316="","",V316-TODAY())),IF(V316="","",V316-TODAY())))</t>
        </is>
      </c>
      <c r="AG316" s="36" t="n"/>
      <c r="AH316" s="36" t="n"/>
      <c r="AI316" s="36" t="n"/>
      <c r="AJ316" s="36" t="n"/>
      <c r="AK316" s="36" t="n"/>
      <c r="AL316" s="36" t="n"/>
      <c r="AM316" s="36" t="n"/>
      <c r="AN316" s="36" t="n"/>
      <c r="AO316" s="36" t="n"/>
      <c r="AP316" s="36" t="n"/>
      <c r="AQ316" s="36" t="n"/>
      <c r="AR316" s="40" t="n"/>
      <c r="AS316" s="40" t="n"/>
      <c r="AT316" s="40" t="n"/>
      <c r="AU316" s="38" t="inlineStr">
        <is>
          <t>IF(OR(E316="",AH316=""),"",IF(COUNT(AG316:AG316)=0,"",AH316-LOOKUP(2,1/(AG316:AG316&lt;&gt;""),AG316:AG316)))</t>
        </is>
      </c>
      <c r="AV316" s="38" t="inlineStr">
        <is>
          <t>IF(OR(E316="",AI316=""),"",IF(COUNT(AG316:AH316)=0,"",AI316-LOOKUP(2,1/(AG316:AH316&lt;&gt;""),AG316:AH316)))</t>
        </is>
      </c>
      <c r="AW316" s="38" t="inlineStr">
        <is>
          <t>IF(OR(E316="",AJ316=""),"",IF(COUNT(AG316:AI316)=0,"",AJ316-LOOKUP(2,1/(AG316:AI316&lt;&gt;""),AG316:AI316)))</t>
        </is>
      </c>
      <c r="AX316" s="38" t="inlineStr">
        <is>
          <t>IF(OR(E316="",AK316=""),"",IF(COUNT(AG316:AJ316)=0,"",AK316-LOOKUP(2,1/(AG316:AJ316&lt;&gt;""),AG316:AJ316)))</t>
        </is>
      </c>
      <c r="AY316" s="38" t="inlineStr">
        <is>
          <t>IF(OR(E316="",AL316=""),"",IF(COUNT(AG316:AK316)=0,"",AL316-LOOKUP(2,1/(AG316:AK316&lt;&gt;""),AG316:AK316)))</t>
        </is>
      </c>
      <c r="AZ316" s="38" t="inlineStr">
        <is>
          <t>IF(OR(E316="",AM316=""),"",IF(COUNT(AG316:AL316)=0,"",AM316-LOOKUP(2,1/(AG316:AL316&lt;&gt;""),AG316:AL316)))</t>
        </is>
      </c>
      <c r="BA316" s="38" t="inlineStr">
        <is>
          <t>IF(OR(E316="",AN316=""),"",IF(COUNT(AG316:AM316)=0,"",AN316-LOOKUP(2,1/(AG316:AM316&lt;&gt;""),AG316:AM316)))</t>
        </is>
      </c>
      <c r="BB316" s="38" t="inlineStr">
        <is>
          <t>IF(OR(E316="",AO316=""),"",IF(COUNT(AG316:AN316)=0,"",AO316-LOOKUP(2,1/(AG316:AN316&lt;&gt;""),AG316:AN316)))</t>
        </is>
      </c>
      <c r="BC316" s="38" t="inlineStr">
        <is>
          <t>IF(OR(E316="",AP316=""),"",IF(COUNT(AG316:AO316)=0,"",AP316-LOOKUP(2,1/(AG316:AO316&lt;&gt;""),AG316:AO316)))</t>
        </is>
      </c>
      <c r="BD316" s="38" t="inlineStr">
        <is>
          <t>IF(OR(E316="",AQ316=""),"",IF(COUNT(AG316:AP316)=0,"",AQ316-LOOKUP(2,1/(AG316:AP316&lt;&gt;""),AG316:AP316)))</t>
        </is>
      </c>
      <c r="BE316" s="38" t="inlineStr">
        <is>
          <t>IF(OR(E316="",AR316=""),"",IF(COUNT(AG316:AQ316)=0,"",AR316-LOOKUP(2,1/(AG316:AQ316&lt;&gt;""),AG316:AQ316)))</t>
        </is>
      </c>
      <c r="BF316" s="38" t="inlineStr">
        <is>
          <t>IF(OR(E316="",AS316=""),"",IF(COUNT(AG316:AR316)=0,"",AS316-LOOKUP(2,1/(AG316:AR316&lt;&gt;""),AG316:AR316)))</t>
        </is>
      </c>
      <c r="BG316" s="38" t="inlineStr">
        <is>
          <t>IF(OR(E316="",AT316=""),"",IF(COUNT(AG316:AS316)=0,"",AT316-LOOKUP(2,1/(AG316:AS316&lt;&gt;""),AG316:AS316)))</t>
        </is>
      </c>
      <c r="BH316" s="41" t="inlineStr">
        <is>
          <t>IF(G316="","All_Provinces",IFERROR(VLOOKUP(G316,'07_Lookups'!$A$4:$B$20,2,FALSE),"All_Provinces"))</t>
        </is>
      </c>
      <c r="BI316" s="41" t="inlineStr">
        <is>
          <t>IF(H316="","All_Districts",IFERROR(VLOOKUP(H316,'07_Lookups'!$E$4:$F$42,2,FALSE),"All_Districts"))</t>
        </is>
      </c>
    </row>
    <row r="317" ht="18" customHeight="1">
      <c r="A317" s="32" t="inlineStr">
        <is>
          <t>IF(E317="","",ROW()-3)</t>
        </is>
      </c>
      <c r="B317" s="42" t="inlineStr">
        <is>
          <t>AF2-AGF-R-004</t>
        </is>
      </c>
      <c r="C317" s="42" t="inlineStr">
        <is>
          <t>Emergency Food Security Project (EFSP) – WBK/AF-2</t>
        </is>
      </c>
      <c r="D317" s="42" t="inlineStr">
        <is>
          <t>Agroforestry saplings and seeds 2026/27</t>
        </is>
      </c>
      <c r="E317" s="42" t="inlineStr">
        <is>
          <t>Agroforestry — Ghor / Allahyar</t>
        </is>
      </c>
      <c r="F317" s="42" t="inlineStr">
        <is>
          <t>Agroforestry saplings / seeds</t>
        </is>
      </c>
      <c r="G317" s="42" t="inlineStr">
        <is>
          <t>West / Herat</t>
        </is>
      </c>
      <c r="H317" s="42" t="inlineStr">
        <is>
          <t>Ghor</t>
        </is>
      </c>
      <c r="I317" s="42" t="inlineStr">
        <is>
          <t>Allahyar</t>
        </is>
      </c>
      <c r="J317" s="42" t="inlineStr">
        <is>
          <t>Saplings: 5000; Seeds kg: 363</t>
        </is>
      </c>
      <c r="K317" s="42" t="inlineStr">
        <is>
          <t>World Bank (WBK/AF-2)</t>
        </is>
      </c>
      <c r="L317" s="42" t="inlineStr">
        <is>
          <t>Remaining</t>
        </is>
      </c>
      <c r="M317" s="42" t="inlineStr">
        <is>
          <t>Agroforestry</t>
        </is>
      </c>
      <c r="N317" s="42" t="inlineStr">
        <is>
          <t>7. Agroforestry Saplings-seeds</t>
        </is>
      </c>
      <c r="O317" s="42" t="inlineStr"/>
      <c r="P317" s="42" t="inlineStr"/>
      <c r="Q317" s="43" t="n"/>
      <c r="R317" s="35" t="inlineStr">
        <is>
          <t>IF(AO317="","",AO317)</t>
        </is>
      </c>
      <c r="S317" s="44" t="n">
        <v>46142</v>
      </c>
      <c r="T317" s="45" t="n">
        <v>12</v>
      </c>
      <c r="U317" s="44" t="n">
        <v>46478</v>
      </c>
      <c r="V317" s="35" t="inlineStr">
        <is>
          <t>IF(U317&lt;&gt;"",U317,IF(OR(R317="",T317=""),"",EDATE(R317,T317)))</t>
        </is>
      </c>
      <c r="W317" s="44" t="n"/>
      <c r="X317" s="45" t="n"/>
      <c r="Y317" s="42" t="inlineStr">
        <is>
          <t>Under Awarding</t>
        </is>
      </c>
      <c r="Z317" s="42" t="inlineStr">
        <is>
          <t>The saplings PO has already been issued and PO for seeds is expected to be issued in November 2026</t>
        </is>
      </c>
      <c r="AA317" s="32" t="inlineStr">
        <is>
          <t>IF(E317="","",IF(COUNT(AG317:AT317)=0,IF(Y317="","Not started",Y317),SUBSTITUTE(LOOKUP(2,1/(AG317:AT317&lt;&gt;""),$AG$3:$AT$3),"Date: ","")))</t>
        </is>
      </c>
      <c r="AB317" s="38" t="inlineStr">
        <is>
          <t>IF(OR(E317="",COUNT(AG317:AT317)=0),"",TODAY()-LOOKUP(2,1/(AG317:AT317&lt;&gt;""),AG317:AT317))</t>
        </is>
      </c>
      <c r="AC317" s="38" t="inlineStr">
        <is>
          <t>IF(OR(E317="",COUNT(AG317:AT317)&lt;2),"",LOOKUP(2,1/(AG317:AT317&lt;&gt;""),AG317:AT317)-MIN(AG317:AT317))</t>
        </is>
      </c>
      <c r="AD317" s="38" t="inlineStr">
        <is>
          <t>IF(OR(AB317="",AA317="Not started",AA317=""),"",IFERROR(AB317-IF(VLOOKUP(AA317,'04_Status_Pipeline'!$B$3:$E$20,4,FALSE)="",0,VLOOKUP(AA317,'04_Status_Pipeline'!$B$3:$E$20,4,FALSE)),""))</t>
        </is>
      </c>
      <c r="AE317" s="32" t="inlineStr">
        <is>
          <t>IF(E317="","",IF(OR(Y317="Cancelled",AA317="Cancelled"),"Cancelled",IF(OR(AA317="Completed / Handover",W317&lt;&gt;"",X317&gt;=100),"Completed — on track",IF(L317="Remaining",IF(S317="",IF(V317="","No planned date",IF(TODAY()&gt;V317,"Behind — past planned date",IF(V317-TODAY()&lt;=30,"At risk — close to off track","On track"))),IF(TODAY()&gt;S317,"Behind — award date passed",IF(S317-TODAY()&lt;=30,"At risk — close to off track","On track"))),IF(V317="","No planned date",IF(AND(TODAY()&gt;V317,OR(X317="",X317&lt;100)),"Behind — past end date",IF(AND(R317&lt;&gt;"",V317&lt;&gt;"",X317&lt;&gt;"",(X317&lt;100),((TODAY()-R317)/MAX(V317-R317,1)*100)-X317&gt;15),"Behind — progress lag",IF(AND(V317-TODAY()&lt;=30,V317-TODAY()&gt;=0,OR(X317="",X317&lt;90)),"At risk — close to off track","On track"))))))))</t>
        </is>
      </c>
      <c r="AF317" s="38" t="inlineStr">
        <is>
          <t>IF(OR(E317="",AA317="Completed / Handover",AA317="Cancelled"),"",IF(L317="Remaining",IF(S317&lt;&gt;"",S317-TODAY(),IF(V317="","",V317-TODAY())),IF(V317="","",V317-TODAY())))</t>
        </is>
      </c>
      <c r="AG317" s="44" t="n"/>
      <c r="AH317" s="44" t="n"/>
      <c r="AI317" s="44" t="n"/>
      <c r="AJ317" s="44" t="n"/>
      <c r="AK317" s="44" t="n"/>
      <c r="AL317" s="44" t="n"/>
      <c r="AM317" s="44" t="n"/>
      <c r="AN317" s="44" t="n"/>
      <c r="AO317" s="44" t="n"/>
      <c r="AP317" s="44" t="n"/>
      <c r="AQ317" s="44" t="n"/>
      <c r="AR317" s="40" t="n"/>
      <c r="AS317" s="40" t="n"/>
      <c r="AT317" s="40" t="n"/>
      <c r="AU317" s="38" t="inlineStr">
        <is>
          <t>IF(OR(E317="",AH317=""),"",IF(COUNT(AG317:AG317)=0,"",AH317-LOOKUP(2,1/(AG317:AG317&lt;&gt;""),AG317:AG317)))</t>
        </is>
      </c>
      <c r="AV317" s="38" t="inlineStr">
        <is>
          <t>IF(OR(E317="",AI317=""),"",IF(COUNT(AG317:AH317)=0,"",AI317-LOOKUP(2,1/(AG317:AH317&lt;&gt;""),AG317:AH317)))</t>
        </is>
      </c>
      <c r="AW317" s="38" t="inlineStr">
        <is>
          <t>IF(OR(E317="",AJ317=""),"",IF(COUNT(AG317:AI317)=0,"",AJ317-LOOKUP(2,1/(AG317:AI317&lt;&gt;""),AG317:AI317)))</t>
        </is>
      </c>
      <c r="AX317" s="38" t="inlineStr">
        <is>
          <t>IF(OR(E317="",AK317=""),"",IF(COUNT(AG317:AJ317)=0,"",AK317-LOOKUP(2,1/(AG317:AJ317&lt;&gt;""),AG317:AJ317)))</t>
        </is>
      </c>
      <c r="AY317" s="38" t="inlineStr">
        <is>
          <t>IF(OR(E317="",AL317=""),"",IF(COUNT(AG317:AK317)=0,"",AL317-LOOKUP(2,1/(AG317:AK317&lt;&gt;""),AG317:AK317)))</t>
        </is>
      </c>
      <c r="AZ317" s="38" t="inlineStr">
        <is>
          <t>IF(OR(E317="",AM317=""),"",IF(COUNT(AG317:AL317)=0,"",AM317-LOOKUP(2,1/(AG317:AL317&lt;&gt;""),AG317:AL317)))</t>
        </is>
      </c>
      <c r="BA317" s="38" t="inlineStr">
        <is>
          <t>IF(OR(E317="",AN317=""),"",IF(COUNT(AG317:AM317)=0,"",AN317-LOOKUP(2,1/(AG317:AM317&lt;&gt;""),AG317:AM317)))</t>
        </is>
      </c>
      <c r="BB317" s="38" t="inlineStr">
        <is>
          <t>IF(OR(E317="",AO317=""),"",IF(COUNT(AG317:AN317)=0,"",AO317-LOOKUP(2,1/(AG317:AN317&lt;&gt;""),AG317:AN317)))</t>
        </is>
      </c>
      <c r="BC317" s="38" t="inlineStr">
        <is>
          <t>IF(OR(E317="",AP317=""),"",IF(COUNT(AG317:AO317)=0,"",AP317-LOOKUP(2,1/(AG317:AO317&lt;&gt;""),AG317:AO317)))</t>
        </is>
      </c>
      <c r="BD317" s="38" t="inlineStr">
        <is>
          <t>IF(OR(E317="",AQ317=""),"",IF(COUNT(AG317:AP317)=0,"",AQ317-LOOKUP(2,1/(AG317:AP317&lt;&gt;""),AG317:AP317)))</t>
        </is>
      </c>
      <c r="BE317" s="38" t="inlineStr">
        <is>
          <t>IF(OR(E317="",AR317=""),"",IF(COUNT(AG317:AQ317)=0,"",AR317-LOOKUP(2,1/(AG317:AQ317&lt;&gt;""),AG317:AQ317)))</t>
        </is>
      </c>
      <c r="BF317" s="38" t="inlineStr">
        <is>
          <t>IF(OR(E317="",AS317=""),"",IF(COUNT(AG317:AR317)=0,"",AS317-LOOKUP(2,1/(AG317:AR317&lt;&gt;""),AG317:AR317)))</t>
        </is>
      </c>
      <c r="BG317" s="38" t="inlineStr">
        <is>
          <t>IF(OR(E317="",AT317=""),"",IF(COUNT(AG317:AS317)=0,"",AT317-LOOKUP(2,1/(AG317:AS317&lt;&gt;""),AG317:AS317)))</t>
        </is>
      </c>
      <c r="BH317" s="41" t="inlineStr">
        <is>
          <t>IF(G317="","All_Provinces",IFERROR(VLOOKUP(G317,'07_Lookups'!$A$4:$B$20,2,FALSE),"All_Provinces"))</t>
        </is>
      </c>
      <c r="BI317" s="41" t="inlineStr">
        <is>
          <t>IF(H317="","All_Districts",IFERROR(VLOOKUP(H317,'07_Lookups'!$E$4:$F$42,2,FALSE),"All_Districts"))</t>
        </is>
      </c>
    </row>
    <row r="318" ht="18" customHeight="1">
      <c r="A318" s="32" t="inlineStr">
        <is>
          <t>IF(E318="","",ROW()-3)</t>
        </is>
      </c>
      <c r="B318" s="33" t="inlineStr">
        <is>
          <t>AF2-AGF-R-005</t>
        </is>
      </c>
      <c r="C318" s="33" t="inlineStr">
        <is>
          <t>Emergency Food Security Project (EFSP) – WBK/AF-2</t>
        </is>
      </c>
      <c r="D318" s="33" t="inlineStr">
        <is>
          <t>Agroforestry saplings and seeds 2026/27</t>
        </is>
      </c>
      <c r="E318" s="33" t="inlineStr">
        <is>
          <t>Agroforestry — Ghor / Shahrak</t>
        </is>
      </c>
      <c r="F318" s="33" t="inlineStr">
        <is>
          <t>Agroforestry saplings / seeds</t>
        </is>
      </c>
      <c r="G318" s="33" t="inlineStr">
        <is>
          <t>West / Herat</t>
        </is>
      </c>
      <c r="H318" s="33" t="inlineStr">
        <is>
          <t>Ghor</t>
        </is>
      </c>
      <c r="I318" s="33" t="inlineStr">
        <is>
          <t>Shahrak</t>
        </is>
      </c>
      <c r="J318" s="33" t="inlineStr">
        <is>
          <t>Saplings: 10000; Seeds kg: 487</t>
        </is>
      </c>
      <c r="K318" s="33" t="inlineStr">
        <is>
          <t>World Bank (WBK/AF-2)</t>
        </is>
      </c>
      <c r="L318" s="33" t="inlineStr">
        <is>
          <t>Remaining</t>
        </is>
      </c>
      <c r="M318" s="33" t="inlineStr">
        <is>
          <t>Agroforestry</t>
        </is>
      </c>
      <c r="N318" s="33" t="inlineStr">
        <is>
          <t>7. Agroforestry Saplings-seeds</t>
        </is>
      </c>
      <c r="O318" s="33" t="inlineStr"/>
      <c r="P318" s="33" t="inlineStr"/>
      <c r="Q318" s="34" t="n"/>
      <c r="R318" s="35" t="inlineStr">
        <is>
          <t>IF(AO318="","",AO318)</t>
        </is>
      </c>
      <c r="S318" s="36" t="n">
        <v>46142</v>
      </c>
      <c r="T318" s="37" t="n">
        <v>12</v>
      </c>
      <c r="U318" s="36" t="n">
        <v>46478</v>
      </c>
      <c r="V318" s="35" t="inlineStr">
        <is>
          <t>IF(U318&lt;&gt;"",U318,IF(OR(R318="",T318=""),"",EDATE(R318,T318)))</t>
        </is>
      </c>
      <c r="W318" s="36" t="n"/>
      <c r="X318" s="37" t="n"/>
      <c r="Y318" s="33" t="inlineStr">
        <is>
          <t>Under Awarding</t>
        </is>
      </c>
      <c r="Z318" s="33" t="inlineStr">
        <is>
          <t>The saplings PO has already been issued and PO for seeds is expected to be issued in November 2026</t>
        </is>
      </c>
      <c r="AA318" s="32" t="inlineStr">
        <is>
          <t>IF(E318="","",IF(COUNT(AG318:AT318)=0,IF(Y318="","Not started",Y318),SUBSTITUTE(LOOKUP(2,1/(AG318:AT318&lt;&gt;""),$AG$3:$AT$3),"Date: ","")))</t>
        </is>
      </c>
      <c r="AB318" s="38" t="inlineStr">
        <is>
          <t>IF(OR(E318="",COUNT(AG318:AT318)=0),"",TODAY()-LOOKUP(2,1/(AG318:AT318&lt;&gt;""),AG318:AT318))</t>
        </is>
      </c>
      <c r="AC318" s="38" t="inlineStr">
        <is>
          <t>IF(OR(E318="",COUNT(AG318:AT318)&lt;2),"",LOOKUP(2,1/(AG318:AT318&lt;&gt;""),AG318:AT318)-MIN(AG318:AT318))</t>
        </is>
      </c>
      <c r="AD318" s="38" t="inlineStr">
        <is>
          <t>IF(OR(AB318="",AA318="Not started",AA318=""),"",IFERROR(AB318-IF(VLOOKUP(AA318,'04_Status_Pipeline'!$B$3:$E$20,4,FALSE)="",0,VLOOKUP(AA318,'04_Status_Pipeline'!$B$3:$E$20,4,FALSE)),""))</t>
        </is>
      </c>
      <c r="AE318" s="32" t="inlineStr">
        <is>
          <t>IF(E318="","",IF(OR(Y318="Cancelled",AA318="Cancelled"),"Cancelled",IF(OR(AA318="Completed / Handover",W318&lt;&gt;"",X318&gt;=100),"Completed — on track",IF(L318="Remaining",IF(S318="",IF(V318="","No planned date",IF(TODAY()&gt;V318,"Behind — past planned date",IF(V318-TODAY()&lt;=30,"At risk — close to off track","On track"))),IF(TODAY()&gt;S318,"Behind — award date passed",IF(S318-TODAY()&lt;=30,"At risk — close to off track","On track"))),IF(V318="","No planned date",IF(AND(TODAY()&gt;V318,OR(X318="",X318&lt;100)),"Behind — past end date",IF(AND(R318&lt;&gt;"",V318&lt;&gt;"",X318&lt;&gt;"",(X318&lt;100),((TODAY()-R318)/MAX(V318-R318,1)*100)-X318&gt;15),"Behind — progress lag",IF(AND(V318-TODAY()&lt;=30,V318-TODAY()&gt;=0,OR(X318="",X318&lt;90)),"At risk — close to off track","On track"))))))))</t>
        </is>
      </c>
      <c r="AF318" s="38" t="inlineStr">
        <is>
          <t>IF(OR(E318="",AA318="Completed / Handover",AA318="Cancelled"),"",IF(L318="Remaining",IF(S318&lt;&gt;"",S318-TODAY(),IF(V318="","",V318-TODAY())),IF(V318="","",V318-TODAY())))</t>
        </is>
      </c>
      <c r="AG318" s="36" t="n"/>
      <c r="AH318" s="36" t="n"/>
      <c r="AI318" s="36" t="n"/>
      <c r="AJ318" s="36" t="n"/>
      <c r="AK318" s="36" t="n"/>
      <c r="AL318" s="36" t="n"/>
      <c r="AM318" s="36" t="n"/>
      <c r="AN318" s="36" t="n"/>
      <c r="AO318" s="36" t="n"/>
      <c r="AP318" s="36" t="n"/>
      <c r="AQ318" s="36" t="n"/>
      <c r="AR318" s="40" t="n"/>
      <c r="AS318" s="40" t="n"/>
      <c r="AT318" s="40" t="n"/>
      <c r="AU318" s="38" t="inlineStr">
        <is>
          <t>IF(OR(E318="",AH318=""),"",IF(COUNT(AG318:AG318)=0,"",AH318-LOOKUP(2,1/(AG318:AG318&lt;&gt;""),AG318:AG318)))</t>
        </is>
      </c>
      <c r="AV318" s="38" t="inlineStr">
        <is>
          <t>IF(OR(E318="",AI318=""),"",IF(COUNT(AG318:AH318)=0,"",AI318-LOOKUP(2,1/(AG318:AH318&lt;&gt;""),AG318:AH318)))</t>
        </is>
      </c>
      <c r="AW318" s="38" t="inlineStr">
        <is>
          <t>IF(OR(E318="",AJ318=""),"",IF(COUNT(AG318:AI318)=0,"",AJ318-LOOKUP(2,1/(AG318:AI318&lt;&gt;""),AG318:AI318)))</t>
        </is>
      </c>
      <c r="AX318" s="38" t="inlineStr">
        <is>
          <t>IF(OR(E318="",AK318=""),"",IF(COUNT(AG318:AJ318)=0,"",AK318-LOOKUP(2,1/(AG318:AJ318&lt;&gt;""),AG318:AJ318)))</t>
        </is>
      </c>
      <c r="AY318" s="38" t="inlineStr">
        <is>
          <t>IF(OR(E318="",AL318=""),"",IF(COUNT(AG318:AK318)=0,"",AL318-LOOKUP(2,1/(AG318:AK318&lt;&gt;""),AG318:AK318)))</t>
        </is>
      </c>
      <c r="AZ318" s="38" t="inlineStr">
        <is>
          <t>IF(OR(E318="",AM318=""),"",IF(COUNT(AG318:AL318)=0,"",AM318-LOOKUP(2,1/(AG318:AL318&lt;&gt;""),AG318:AL318)))</t>
        </is>
      </c>
      <c r="BA318" s="38" t="inlineStr">
        <is>
          <t>IF(OR(E318="",AN318=""),"",IF(COUNT(AG318:AM318)=0,"",AN318-LOOKUP(2,1/(AG318:AM318&lt;&gt;""),AG318:AM318)))</t>
        </is>
      </c>
      <c r="BB318" s="38" t="inlineStr">
        <is>
          <t>IF(OR(E318="",AO318=""),"",IF(COUNT(AG318:AN318)=0,"",AO318-LOOKUP(2,1/(AG318:AN318&lt;&gt;""),AG318:AN318)))</t>
        </is>
      </c>
      <c r="BC318" s="38" t="inlineStr">
        <is>
          <t>IF(OR(E318="",AP318=""),"",IF(COUNT(AG318:AO318)=0,"",AP318-LOOKUP(2,1/(AG318:AO318&lt;&gt;""),AG318:AO318)))</t>
        </is>
      </c>
      <c r="BD318" s="38" t="inlineStr">
        <is>
          <t>IF(OR(E318="",AQ318=""),"",IF(COUNT(AG318:AP318)=0,"",AQ318-LOOKUP(2,1/(AG318:AP318&lt;&gt;""),AG318:AP318)))</t>
        </is>
      </c>
      <c r="BE318" s="38" t="inlineStr">
        <is>
          <t>IF(OR(E318="",AR318=""),"",IF(COUNT(AG318:AQ318)=0,"",AR318-LOOKUP(2,1/(AG318:AQ318&lt;&gt;""),AG318:AQ318)))</t>
        </is>
      </c>
      <c r="BF318" s="38" t="inlineStr">
        <is>
          <t>IF(OR(E318="",AS318=""),"",IF(COUNT(AG318:AR318)=0,"",AS318-LOOKUP(2,1/(AG318:AR318&lt;&gt;""),AG318:AR318)))</t>
        </is>
      </c>
      <c r="BG318" s="38" t="inlineStr">
        <is>
          <t>IF(OR(E318="",AT318=""),"",IF(COUNT(AG318:AS318)=0,"",AT318-LOOKUP(2,1/(AG318:AS318&lt;&gt;""),AG318:AS318)))</t>
        </is>
      </c>
      <c r="BH318" s="41" t="inlineStr">
        <is>
          <t>IF(G318="","All_Provinces",IFERROR(VLOOKUP(G318,'07_Lookups'!$A$4:$B$20,2,FALSE),"All_Provinces"))</t>
        </is>
      </c>
      <c r="BI318" s="41" t="inlineStr">
        <is>
          <t>IF(H318="","All_Districts",IFERROR(VLOOKUP(H318,'07_Lookups'!$E$4:$F$42,2,FALSE),"All_Districts"))</t>
        </is>
      </c>
    </row>
    <row r="319" ht="18" customHeight="1">
      <c r="A319" s="32" t="inlineStr">
        <is>
          <t>IF(E319="","",ROW()-3)</t>
        </is>
      </c>
      <c r="B319" s="42" t="inlineStr">
        <is>
          <t>AF2-AGF-R-006</t>
        </is>
      </c>
      <c r="C319" s="42" t="inlineStr">
        <is>
          <t>Emergency Food Security Project (EFSP) – WBK/AF-2</t>
        </is>
      </c>
      <c r="D319" s="42" t="inlineStr">
        <is>
          <t>Agroforestry saplings and seeds 2026/27</t>
        </is>
      </c>
      <c r="E319" s="42" t="inlineStr">
        <is>
          <t>Agroforestry — Herat / Koshk-e-kohna</t>
        </is>
      </c>
      <c r="F319" s="42" t="inlineStr">
        <is>
          <t>Agroforestry saplings / seeds</t>
        </is>
      </c>
      <c r="G319" s="42" t="inlineStr">
        <is>
          <t>West / Herat</t>
        </is>
      </c>
      <c r="H319" s="42" t="inlineStr">
        <is>
          <t>Herat</t>
        </is>
      </c>
      <c r="I319" s="42" t="inlineStr">
        <is>
          <t>Koshk-e-kohna</t>
        </is>
      </c>
      <c r="J319" s="42" t="inlineStr">
        <is>
          <t>Saplings: 0; Seeds kg: 40</t>
        </is>
      </c>
      <c r="K319" s="42" t="inlineStr">
        <is>
          <t>World Bank (WBK/AF-2)</t>
        </is>
      </c>
      <c r="L319" s="42" t="inlineStr">
        <is>
          <t>Remaining</t>
        </is>
      </c>
      <c r="M319" s="42" t="inlineStr">
        <is>
          <t>Agroforestry</t>
        </is>
      </c>
      <c r="N319" s="42" t="inlineStr">
        <is>
          <t>7. Agroforestry Saplings-seeds</t>
        </is>
      </c>
      <c r="O319" s="42" t="inlineStr"/>
      <c r="P319" s="42" t="inlineStr"/>
      <c r="Q319" s="43" t="n"/>
      <c r="R319" s="35" t="inlineStr">
        <is>
          <t>IF(AO319="","",AO319)</t>
        </is>
      </c>
      <c r="S319" s="44" t="n">
        <v>46142</v>
      </c>
      <c r="T319" s="45" t="n">
        <v>12</v>
      </c>
      <c r="U319" s="44" t="n">
        <v>46478</v>
      </c>
      <c r="V319" s="35" t="inlineStr">
        <is>
          <t>IF(U319&lt;&gt;"",U319,IF(OR(R319="",T319=""),"",EDATE(R319,T319)))</t>
        </is>
      </c>
      <c r="W319" s="44" t="n"/>
      <c r="X319" s="45" t="n"/>
      <c r="Y319" s="42" t="inlineStr">
        <is>
          <t>Under Awarding</t>
        </is>
      </c>
      <c r="Z319" s="42" t="inlineStr">
        <is>
          <t>The saplings PO has already been issued and PO for seeds is expected to be issued in November 2026</t>
        </is>
      </c>
      <c r="AA319" s="32" t="inlineStr">
        <is>
          <t>IF(E319="","",IF(COUNT(AG319:AT319)=0,IF(Y319="","Not started",Y319),SUBSTITUTE(LOOKUP(2,1/(AG319:AT319&lt;&gt;""),$AG$3:$AT$3),"Date: ","")))</t>
        </is>
      </c>
      <c r="AB319" s="38" t="inlineStr">
        <is>
          <t>IF(OR(E319="",COUNT(AG319:AT319)=0),"",TODAY()-LOOKUP(2,1/(AG319:AT319&lt;&gt;""),AG319:AT319))</t>
        </is>
      </c>
      <c r="AC319" s="38" t="inlineStr">
        <is>
          <t>IF(OR(E319="",COUNT(AG319:AT319)&lt;2),"",LOOKUP(2,1/(AG319:AT319&lt;&gt;""),AG319:AT319)-MIN(AG319:AT319))</t>
        </is>
      </c>
      <c r="AD319" s="38" t="inlineStr">
        <is>
          <t>IF(OR(AB319="",AA319="Not started",AA319=""),"",IFERROR(AB319-IF(VLOOKUP(AA319,'04_Status_Pipeline'!$B$3:$E$20,4,FALSE)="",0,VLOOKUP(AA319,'04_Status_Pipeline'!$B$3:$E$20,4,FALSE)),""))</t>
        </is>
      </c>
      <c r="AE319" s="32" t="inlineStr">
        <is>
          <t>IF(E319="","",IF(OR(Y319="Cancelled",AA319="Cancelled"),"Cancelled",IF(OR(AA319="Completed / Handover",W319&lt;&gt;"",X319&gt;=100),"Completed — on track",IF(L319="Remaining",IF(S319="",IF(V319="","No planned date",IF(TODAY()&gt;V319,"Behind — past planned date",IF(V319-TODAY()&lt;=30,"At risk — close to off track","On track"))),IF(TODAY()&gt;S319,"Behind — award date passed",IF(S319-TODAY()&lt;=30,"At risk — close to off track","On track"))),IF(V319="","No planned date",IF(AND(TODAY()&gt;V319,OR(X319="",X319&lt;100)),"Behind — past end date",IF(AND(R319&lt;&gt;"",V319&lt;&gt;"",X319&lt;&gt;"",(X319&lt;100),((TODAY()-R319)/MAX(V319-R319,1)*100)-X319&gt;15),"Behind — progress lag",IF(AND(V319-TODAY()&lt;=30,V319-TODAY()&gt;=0,OR(X319="",X319&lt;90)),"At risk — close to off track","On track"))))))))</t>
        </is>
      </c>
      <c r="AF319" s="38" t="inlineStr">
        <is>
          <t>IF(OR(E319="",AA319="Completed / Handover",AA319="Cancelled"),"",IF(L319="Remaining",IF(S319&lt;&gt;"",S319-TODAY(),IF(V319="","",V319-TODAY())),IF(V319="","",V319-TODAY())))</t>
        </is>
      </c>
      <c r="AG319" s="44" t="n"/>
      <c r="AH319" s="44" t="n"/>
      <c r="AI319" s="44" t="n"/>
      <c r="AJ319" s="44" t="n"/>
      <c r="AK319" s="44" t="n"/>
      <c r="AL319" s="44" t="n"/>
      <c r="AM319" s="44" t="n"/>
      <c r="AN319" s="44" t="n"/>
      <c r="AO319" s="44" t="n"/>
      <c r="AP319" s="44" t="n"/>
      <c r="AQ319" s="44" t="n"/>
      <c r="AR319" s="40" t="n"/>
      <c r="AS319" s="40" t="n"/>
      <c r="AT319" s="40" t="n"/>
      <c r="AU319" s="38" t="inlineStr">
        <is>
          <t>IF(OR(E319="",AH319=""),"",IF(COUNT(AG319:AG319)=0,"",AH319-LOOKUP(2,1/(AG319:AG319&lt;&gt;""),AG319:AG319)))</t>
        </is>
      </c>
      <c r="AV319" s="38" t="inlineStr">
        <is>
          <t>IF(OR(E319="",AI319=""),"",IF(COUNT(AG319:AH319)=0,"",AI319-LOOKUP(2,1/(AG319:AH319&lt;&gt;""),AG319:AH319)))</t>
        </is>
      </c>
      <c r="AW319" s="38" t="inlineStr">
        <is>
          <t>IF(OR(E319="",AJ319=""),"",IF(COUNT(AG319:AI319)=0,"",AJ319-LOOKUP(2,1/(AG319:AI319&lt;&gt;""),AG319:AI319)))</t>
        </is>
      </c>
      <c r="AX319" s="38" t="inlineStr">
        <is>
          <t>IF(OR(E319="",AK319=""),"",IF(COUNT(AG319:AJ319)=0,"",AK319-LOOKUP(2,1/(AG319:AJ319&lt;&gt;""),AG319:AJ319)))</t>
        </is>
      </c>
      <c r="AY319" s="38" t="inlineStr">
        <is>
          <t>IF(OR(E319="",AL319=""),"",IF(COUNT(AG319:AK319)=0,"",AL319-LOOKUP(2,1/(AG319:AK319&lt;&gt;""),AG319:AK319)))</t>
        </is>
      </c>
      <c r="AZ319" s="38" t="inlineStr">
        <is>
          <t>IF(OR(E319="",AM319=""),"",IF(COUNT(AG319:AL319)=0,"",AM319-LOOKUP(2,1/(AG319:AL319&lt;&gt;""),AG319:AL319)))</t>
        </is>
      </c>
      <c r="BA319" s="38" t="inlineStr">
        <is>
          <t>IF(OR(E319="",AN319=""),"",IF(COUNT(AG319:AM319)=0,"",AN319-LOOKUP(2,1/(AG319:AM319&lt;&gt;""),AG319:AM319)))</t>
        </is>
      </c>
      <c r="BB319" s="38" t="inlineStr">
        <is>
          <t>IF(OR(E319="",AO319=""),"",IF(COUNT(AG319:AN319)=0,"",AO319-LOOKUP(2,1/(AG319:AN319&lt;&gt;""),AG319:AN319)))</t>
        </is>
      </c>
      <c r="BC319" s="38" t="inlineStr">
        <is>
          <t>IF(OR(E319="",AP319=""),"",IF(COUNT(AG319:AO319)=0,"",AP319-LOOKUP(2,1/(AG319:AO319&lt;&gt;""),AG319:AO319)))</t>
        </is>
      </c>
      <c r="BD319" s="38" t="inlineStr">
        <is>
          <t>IF(OR(E319="",AQ319=""),"",IF(COUNT(AG319:AP319)=0,"",AQ319-LOOKUP(2,1/(AG319:AP319&lt;&gt;""),AG319:AP319)))</t>
        </is>
      </c>
      <c r="BE319" s="38" t="inlineStr">
        <is>
          <t>IF(OR(E319="",AR319=""),"",IF(COUNT(AG319:AQ319)=0,"",AR319-LOOKUP(2,1/(AG319:AQ319&lt;&gt;""),AG319:AQ319)))</t>
        </is>
      </c>
      <c r="BF319" s="38" t="inlineStr">
        <is>
          <t>IF(OR(E319="",AS319=""),"",IF(COUNT(AG319:AR319)=0,"",AS319-LOOKUP(2,1/(AG319:AR319&lt;&gt;""),AG319:AR319)))</t>
        </is>
      </c>
      <c r="BG319" s="38" t="inlineStr">
        <is>
          <t>IF(OR(E319="",AT319=""),"",IF(COUNT(AG319:AS319)=0,"",AT319-LOOKUP(2,1/(AG319:AS319&lt;&gt;""),AG319:AS319)))</t>
        </is>
      </c>
      <c r="BH319" s="41" t="inlineStr">
        <is>
          <t>IF(G319="","All_Provinces",IFERROR(VLOOKUP(G319,'07_Lookups'!$A$4:$B$20,2,FALSE),"All_Provinces"))</t>
        </is>
      </c>
      <c r="BI319" s="41" t="inlineStr">
        <is>
          <t>IF(H319="","All_Districts",IFERROR(VLOOKUP(H319,'07_Lookups'!$E$4:$F$42,2,FALSE),"All_Districts"))</t>
        </is>
      </c>
    </row>
    <row r="320" ht="18" customHeight="1">
      <c r="A320" s="32" t="inlineStr">
        <is>
          <t>IF(E320="","",ROW()-3)</t>
        </is>
      </c>
      <c r="B320" s="33" t="inlineStr">
        <is>
          <t>AF2-AGF-R-007</t>
        </is>
      </c>
      <c r="C320" s="33" t="inlineStr">
        <is>
          <t>Emergency Food Security Project (EFSP) – WBK/AF-2</t>
        </is>
      </c>
      <c r="D320" s="33" t="inlineStr">
        <is>
          <t>Agroforestry saplings and seeds 2026/27</t>
        </is>
      </c>
      <c r="E320" s="33" t="inlineStr">
        <is>
          <t>Agroforestry — Herat / Rabat Sangi</t>
        </is>
      </c>
      <c r="F320" s="33" t="inlineStr">
        <is>
          <t>Agroforestry saplings / seeds</t>
        </is>
      </c>
      <c r="G320" s="33" t="inlineStr">
        <is>
          <t>West / Herat</t>
        </is>
      </c>
      <c r="H320" s="33" t="inlineStr">
        <is>
          <t>Herat</t>
        </is>
      </c>
      <c r="I320" s="33" t="inlineStr">
        <is>
          <t>Rabat Sangi</t>
        </is>
      </c>
      <c r="J320" s="33" t="inlineStr">
        <is>
          <t>Saplings: 0; Seeds kg: 30</t>
        </is>
      </c>
      <c r="K320" s="33" t="inlineStr">
        <is>
          <t>World Bank (WBK/AF-2)</t>
        </is>
      </c>
      <c r="L320" s="33" t="inlineStr">
        <is>
          <t>Remaining</t>
        </is>
      </c>
      <c r="M320" s="33" t="inlineStr">
        <is>
          <t>Agroforestry</t>
        </is>
      </c>
      <c r="N320" s="33" t="inlineStr">
        <is>
          <t>7. Agroforestry Saplings-seeds</t>
        </is>
      </c>
      <c r="O320" s="33" t="inlineStr"/>
      <c r="P320" s="33" t="inlineStr"/>
      <c r="Q320" s="34" t="n"/>
      <c r="R320" s="35" t="inlineStr">
        <is>
          <t>IF(AO320="","",AO320)</t>
        </is>
      </c>
      <c r="S320" s="36" t="n">
        <v>46142</v>
      </c>
      <c r="T320" s="37" t="n">
        <v>12</v>
      </c>
      <c r="U320" s="36" t="n">
        <v>46478</v>
      </c>
      <c r="V320" s="35" t="inlineStr">
        <is>
          <t>IF(U320&lt;&gt;"",U320,IF(OR(R320="",T320=""),"",EDATE(R320,T320)))</t>
        </is>
      </c>
      <c r="W320" s="36" t="n"/>
      <c r="X320" s="37" t="n"/>
      <c r="Y320" s="33" t="inlineStr">
        <is>
          <t>Under Awarding</t>
        </is>
      </c>
      <c r="Z320" s="33" t="inlineStr">
        <is>
          <t>The saplings PO has already been issued and PO for seeds is expected to be issued in November 2026</t>
        </is>
      </c>
      <c r="AA320" s="32" t="inlineStr">
        <is>
          <t>IF(E320="","",IF(COUNT(AG320:AT320)=0,IF(Y320="","Not started",Y320),SUBSTITUTE(LOOKUP(2,1/(AG320:AT320&lt;&gt;""),$AG$3:$AT$3),"Date: ","")))</t>
        </is>
      </c>
      <c r="AB320" s="38" t="inlineStr">
        <is>
          <t>IF(OR(E320="",COUNT(AG320:AT320)=0),"",TODAY()-LOOKUP(2,1/(AG320:AT320&lt;&gt;""),AG320:AT320))</t>
        </is>
      </c>
      <c r="AC320" s="38" t="inlineStr">
        <is>
          <t>IF(OR(E320="",COUNT(AG320:AT320)&lt;2),"",LOOKUP(2,1/(AG320:AT320&lt;&gt;""),AG320:AT320)-MIN(AG320:AT320))</t>
        </is>
      </c>
      <c r="AD320" s="38" t="inlineStr">
        <is>
          <t>IF(OR(AB320="",AA320="Not started",AA320=""),"",IFERROR(AB320-IF(VLOOKUP(AA320,'04_Status_Pipeline'!$B$3:$E$20,4,FALSE)="",0,VLOOKUP(AA320,'04_Status_Pipeline'!$B$3:$E$20,4,FALSE)),""))</t>
        </is>
      </c>
      <c r="AE320" s="32" t="inlineStr">
        <is>
          <t>IF(E320="","",IF(OR(Y320="Cancelled",AA320="Cancelled"),"Cancelled",IF(OR(AA320="Completed / Handover",W320&lt;&gt;"",X320&gt;=100),"Completed — on track",IF(L320="Remaining",IF(S320="",IF(V320="","No planned date",IF(TODAY()&gt;V320,"Behind — past planned date",IF(V320-TODAY()&lt;=30,"At risk — close to off track","On track"))),IF(TODAY()&gt;S320,"Behind — award date passed",IF(S320-TODAY()&lt;=30,"At risk — close to off track","On track"))),IF(V320="","No planned date",IF(AND(TODAY()&gt;V320,OR(X320="",X320&lt;100)),"Behind — past end date",IF(AND(R320&lt;&gt;"",V320&lt;&gt;"",X320&lt;&gt;"",(X320&lt;100),((TODAY()-R320)/MAX(V320-R320,1)*100)-X320&gt;15),"Behind — progress lag",IF(AND(V320-TODAY()&lt;=30,V320-TODAY()&gt;=0,OR(X320="",X320&lt;90)),"At risk — close to off track","On track"))))))))</t>
        </is>
      </c>
      <c r="AF320" s="38" t="inlineStr">
        <is>
          <t>IF(OR(E320="",AA320="Completed / Handover",AA320="Cancelled"),"",IF(L320="Remaining",IF(S320&lt;&gt;"",S320-TODAY(),IF(V320="","",V320-TODAY())),IF(V320="","",V320-TODAY())))</t>
        </is>
      </c>
      <c r="AG320" s="36" t="n"/>
      <c r="AH320" s="36" t="n"/>
      <c r="AI320" s="36" t="n"/>
      <c r="AJ320" s="36" t="n"/>
      <c r="AK320" s="36" t="n"/>
      <c r="AL320" s="36" t="n"/>
      <c r="AM320" s="36" t="n"/>
      <c r="AN320" s="36" t="n"/>
      <c r="AO320" s="36" t="n"/>
      <c r="AP320" s="36" t="n"/>
      <c r="AQ320" s="36" t="n"/>
      <c r="AR320" s="40" t="n"/>
      <c r="AS320" s="40" t="n"/>
      <c r="AT320" s="40" t="n"/>
      <c r="AU320" s="38" t="inlineStr">
        <is>
          <t>IF(OR(E320="",AH320=""),"",IF(COUNT(AG320:AG320)=0,"",AH320-LOOKUP(2,1/(AG320:AG320&lt;&gt;""),AG320:AG320)))</t>
        </is>
      </c>
      <c r="AV320" s="38" t="inlineStr">
        <is>
          <t>IF(OR(E320="",AI320=""),"",IF(COUNT(AG320:AH320)=0,"",AI320-LOOKUP(2,1/(AG320:AH320&lt;&gt;""),AG320:AH320)))</t>
        </is>
      </c>
      <c r="AW320" s="38" t="inlineStr">
        <is>
          <t>IF(OR(E320="",AJ320=""),"",IF(COUNT(AG320:AI320)=0,"",AJ320-LOOKUP(2,1/(AG320:AI320&lt;&gt;""),AG320:AI320)))</t>
        </is>
      </c>
      <c r="AX320" s="38" t="inlineStr">
        <is>
          <t>IF(OR(E320="",AK320=""),"",IF(COUNT(AG320:AJ320)=0,"",AK320-LOOKUP(2,1/(AG320:AJ320&lt;&gt;""),AG320:AJ320)))</t>
        </is>
      </c>
      <c r="AY320" s="38" t="inlineStr">
        <is>
          <t>IF(OR(E320="",AL320=""),"",IF(COUNT(AG320:AK320)=0,"",AL320-LOOKUP(2,1/(AG320:AK320&lt;&gt;""),AG320:AK320)))</t>
        </is>
      </c>
      <c r="AZ320" s="38" t="inlineStr">
        <is>
          <t>IF(OR(E320="",AM320=""),"",IF(COUNT(AG320:AL320)=0,"",AM320-LOOKUP(2,1/(AG320:AL320&lt;&gt;""),AG320:AL320)))</t>
        </is>
      </c>
      <c r="BA320" s="38" t="inlineStr">
        <is>
          <t>IF(OR(E320="",AN320=""),"",IF(COUNT(AG320:AM320)=0,"",AN320-LOOKUP(2,1/(AG320:AM320&lt;&gt;""),AG320:AM320)))</t>
        </is>
      </c>
      <c r="BB320" s="38" t="inlineStr">
        <is>
          <t>IF(OR(E320="",AO320=""),"",IF(COUNT(AG320:AN320)=0,"",AO320-LOOKUP(2,1/(AG320:AN320&lt;&gt;""),AG320:AN320)))</t>
        </is>
      </c>
      <c r="BC320" s="38" t="inlineStr">
        <is>
          <t>IF(OR(E320="",AP320=""),"",IF(COUNT(AG320:AO320)=0,"",AP320-LOOKUP(2,1/(AG320:AO320&lt;&gt;""),AG320:AO320)))</t>
        </is>
      </c>
      <c r="BD320" s="38" t="inlineStr">
        <is>
          <t>IF(OR(E320="",AQ320=""),"",IF(COUNT(AG320:AP320)=0,"",AQ320-LOOKUP(2,1/(AG320:AP320&lt;&gt;""),AG320:AP320)))</t>
        </is>
      </c>
      <c r="BE320" s="38" t="inlineStr">
        <is>
          <t>IF(OR(E320="",AR320=""),"",IF(COUNT(AG320:AQ320)=0,"",AR320-LOOKUP(2,1/(AG320:AQ320&lt;&gt;""),AG320:AQ320)))</t>
        </is>
      </c>
      <c r="BF320" s="38" t="inlineStr">
        <is>
          <t>IF(OR(E320="",AS320=""),"",IF(COUNT(AG320:AR320)=0,"",AS320-LOOKUP(2,1/(AG320:AR320&lt;&gt;""),AG320:AR320)))</t>
        </is>
      </c>
      <c r="BG320" s="38" t="inlineStr">
        <is>
          <t>IF(OR(E320="",AT320=""),"",IF(COUNT(AG320:AS320)=0,"",AT320-LOOKUP(2,1/(AG320:AS320&lt;&gt;""),AG320:AS320)))</t>
        </is>
      </c>
      <c r="BH320" s="41" t="inlineStr">
        <is>
          <t>IF(G320="","All_Provinces",IFERROR(VLOOKUP(G320,'07_Lookups'!$A$4:$B$20,2,FALSE),"All_Provinces"))</t>
        </is>
      </c>
      <c r="BI320" s="41" t="inlineStr">
        <is>
          <t>IF(H320="","All_Districts",IFERROR(VLOOKUP(H320,'07_Lookups'!$E$4:$F$42,2,FALSE),"All_Districts"))</t>
        </is>
      </c>
    </row>
    <row r="321" ht="18" customHeight="1">
      <c r="A321" s="32" t="inlineStr">
        <is>
          <t>IF(E321="","",ROW()-3)</t>
        </is>
      </c>
      <c r="B321" s="42" t="inlineStr">
        <is>
          <t>AF2-AGF-R-008</t>
        </is>
      </c>
      <c r="C321" s="42" t="inlineStr">
        <is>
          <t>Emergency Food Security Project (EFSP) – WBK/AF-2</t>
        </is>
      </c>
      <c r="D321" s="42" t="inlineStr">
        <is>
          <t>Agroforestry saplings and seeds 2026/27</t>
        </is>
      </c>
      <c r="E321" s="42" t="inlineStr">
        <is>
          <t>Agroforestry — Badghis / Sang Atish</t>
        </is>
      </c>
      <c r="F321" s="42" t="inlineStr">
        <is>
          <t>Agroforestry saplings / seeds</t>
        </is>
      </c>
      <c r="G321" s="42" t="inlineStr">
        <is>
          <t>West / Herat</t>
        </is>
      </c>
      <c r="H321" s="42" t="inlineStr">
        <is>
          <t>Badghis</t>
        </is>
      </c>
      <c r="I321" s="42" t="inlineStr">
        <is>
          <t>Sang Atish</t>
        </is>
      </c>
      <c r="J321" s="42" t="inlineStr">
        <is>
          <t>Saplings: 0; Seeds kg: 20</t>
        </is>
      </c>
      <c r="K321" s="42" t="inlineStr">
        <is>
          <t>World Bank (WBK/AF-2)</t>
        </is>
      </c>
      <c r="L321" s="42" t="inlineStr">
        <is>
          <t>Remaining</t>
        </is>
      </c>
      <c r="M321" s="42" t="inlineStr">
        <is>
          <t>Agroforestry</t>
        </is>
      </c>
      <c r="N321" s="42" t="inlineStr">
        <is>
          <t>7. Agroforestry Saplings-seeds</t>
        </is>
      </c>
      <c r="O321" s="42" t="inlineStr"/>
      <c r="P321" s="42" t="inlineStr"/>
      <c r="Q321" s="43" t="n"/>
      <c r="R321" s="35" t="inlineStr">
        <is>
          <t>IF(AO321="","",AO321)</t>
        </is>
      </c>
      <c r="S321" s="44" t="n">
        <v>46142</v>
      </c>
      <c r="T321" s="45" t="n">
        <v>12</v>
      </c>
      <c r="U321" s="44" t="n">
        <v>46478</v>
      </c>
      <c r="V321" s="35" t="inlineStr">
        <is>
          <t>IF(U321&lt;&gt;"",U321,IF(OR(R321="",T321=""),"",EDATE(R321,T321)))</t>
        </is>
      </c>
      <c r="W321" s="44" t="n"/>
      <c r="X321" s="45" t="n"/>
      <c r="Y321" s="42" t="inlineStr">
        <is>
          <t>Under Awarding</t>
        </is>
      </c>
      <c r="Z321" s="42" t="inlineStr">
        <is>
          <t>The saplings PO has already been issued and PO for seeds is expected to be issued in November 2026</t>
        </is>
      </c>
      <c r="AA321" s="32" t="inlineStr">
        <is>
          <t>IF(E321="","",IF(COUNT(AG321:AT321)=0,IF(Y321="","Not started",Y321),SUBSTITUTE(LOOKUP(2,1/(AG321:AT321&lt;&gt;""),$AG$3:$AT$3),"Date: ","")))</t>
        </is>
      </c>
      <c r="AB321" s="38" t="inlineStr">
        <is>
          <t>IF(OR(E321="",COUNT(AG321:AT321)=0),"",TODAY()-LOOKUP(2,1/(AG321:AT321&lt;&gt;""),AG321:AT321))</t>
        </is>
      </c>
      <c r="AC321" s="38" t="inlineStr">
        <is>
          <t>IF(OR(E321="",COUNT(AG321:AT321)&lt;2),"",LOOKUP(2,1/(AG321:AT321&lt;&gt;""),AG321:AT321)-MIN(AG321:AT321))</t>
        </is>
      </c>
      <c r="AD321" s="38" t="inlineStr">
        <is>
          <t>IF(OR(AB321="",AA321="Not started",AA321=""),"",IFERROR(AB321-IF(VLOOKUP(AA321,'04_Status_Pipeline'!$B$3:$E$20,4,FALSE)="",0,VLOOKUP(AA321,'04_Status_Pipeline'!$B$3:$E$20,4,FALSE)),""))</t>
        </is>
      </c>
      <c r="AE321" s="32" t="inlineStr">
        <is>
          <t>IF(E321="","",IF(OR(Y321="Cancelled",AA321="Cancelled"),"Cancelled",IF(OR(AA321="Completed / Handover",W321&lt;&gt;"",X321&gt;=100),"Completed — on track",IF(L321="Remaining",IF(S321="",IF(V321="","No planned date",IF(TODAY()&gt;V321,"Behind — past planned date",IF(V321-TODAY()&lt;=30,"At risk — close to off track","On track"))),IF(TODAY()&gt;S321,"Behind — award date passed",IF(S321-TODAY()&lt;=30,"At risk — close to off track","On track"))),IF(V321="","No planned date",IF(AND(TODAY()&gt;V321,OR(X321="",X321&lt;100)),"Behind — past end date",IF(AND(R321&lt;&gt;"",V321&lt;&gt;"",X321&lt;&gt;"",(X321&lt;100),((TODAY()-R321)/MAX(V321-R321,1)*100)-X321&gt;15),"Behind — progress lag",IF(AND(V321-TODAY()&lt;=30,V321-TODAY()&gt;=0,OR(X321="",X321&lt;90)),"At risk — close to off track","On track"))))))))</t>
        </is>
      </c>
      <c r="AF321" s="38" t="inlineStr">
        <is>
          <t>IF(OR(E321="",AA321="Completed / Handover",AA321="Cancelled"),"",IF(L321="Remaining",IF(S321&lt;&gt;"",S321-TODAY(),IF(V321="","",V321-TODAY())),IF(V321="","",V321-TODAY())))</t>
        </is>
      </c>
      <c r="AG321" s="44" t="n"/>
      <c r="AH321" s="44" t="n"/>
      <c r="AI321" s="44" t="n"/>
      <c r="AJ321" s="44" t="n"/>
      <c r="AK321" s="44" t="n"/>
      <c r="AL321" s="44" t="n"/>
      <c r="AM321" s="44" t="n"/>
      <c r="AN321" s="44" t="n"/>
      <c r="AO321" s="44" t="n"/>
      <c r="AP321" s="44" t="n"/>
      <c r="AQ321" s="44" t="n"/>
      <c r="AR321" s="40" t="n"/>
      <c r="AS321" s="40" t="n"/>
      <c r="AT321" s="40" t="n"/>
      <c r="AU321" s="38" t="inlineStr">
        <is>
          <t>IF(OR(E321="",AH321=""),"",IF(COUNT(AG321:AG321)=0,"",AH321-LOOKUP(2,1/(AG321:AG321&lt;&gt;""),AG321:AG321)))</t>
        </is>
      </c>
      <c r="AV321" s="38" t="inlineStr">
        <is>
          <t>IF(OR(E321="",AI321=""),"",IF(COUNT(AG321:AH321)=0,"",AI321-LOOKUP(2,1/(AG321:AH321&lt;&gt;""),AG321:AH321)))</t>
        </is>
      </c>
      <c r="AW321" s="38" t="inlineStr">
        <is>
          <t>IF(OR(E321="",AJ321=""),"",IF(COUNT(AG321:AI321)=0,"",AJ321-LOOKUP(2,1/(AG321:AI321&lt;&gt;""),AG321:AI321)))</t>
        </is>
      </c>
      <c r="AX321" s="38" t="inlineStr">
        <is>
          <t>IF(OR(E321="",AK321=""),"",IF(COUNT(AG321:AJ321)=0,"",AK321-LOOKUP(2,1/(AG321:AJ321&lt;&gt;""),AG321:AJ321)))</t>
        </is>
      </c>
      <c r="AY321" s="38" t="inlineStr">
        <is>
          <t>IF(OR(E321="",AL321=""),"",IF(COUNT(AG321:AK321)=0,"",AL321-LOOKUP(2,1/(AG321:AK321&lt;&gt;""),AG321:AK321)))</t>
        </is>
      </c>
      <c r="AZ321" s="38" t="inlineStr">
        <is>
          <t>IF(OR(E321="",AM321=""),"",IF(COUNT(AG321:AL321)=0,"",AM321-LOOKUP(2,1/(AG321:AL321&lt;&gt;""),AG321:AL321)))</t>
        </is>
      </c>
      <c r="BA321" s="38" t="inlineStr">
        <is>
          <t>IF(OR(E321="",AN321=""),"",IF(COUNT(AG321:AM321)=0,"",AN321-LOOKUP(2,1/(AG321:AM321&lt;&gt;""),AG321:AM321)))</t>
        </is>
      </c>
      <c r="BB321" s="38" t="inlineStr">
        <is>
          <t>IF(OR(E321="",AO321=""),"",IF(COUNT(AG321:AN321)=0,"",AO321-LOOKUP(2,1/(AG321:AN321&lt;&gt;""),AG321:AN321)))</t>
        </is>
      </c>
      <c r="BC321" s="38" t="inlineStr">
        <is>
          <t>IF(OR(E321="",AP321=""),"",IF(COUNT(AG321:AO321)=0,"",AP321-LOOKUP(2,1/(AG321:AO321&lt;&gt;""),AG321:AO321)))</t>
        </is>
      </c>
      <c r="BD321" s="38" t="inlineStr">
        <is>
          <t>IF(OR(E321="",AQ321=""),"",IF(COUNT(AG321:AP321)=0,"",AQ321-LOOKUP(2,1/(AG321:AP321&lt;&gt;""),AG321:AP321)))</t>
        </is>
      </c>
      <c r="BE321" s="38" t="inlineStr">
        <is>
          <t>IF(OR(E321="",AR321=""),"",IF(COUNT(AG321:AQ321)=0,"",AR321-LOOKUP(2,1/(AG321:AQ321&lt;&gt;""),AG321:AQ321)))</t>
        </is>
      </c>
      <c r="BF321" s="38" t="inlineStr">
        <is>
          <t>IF(OR(E321="",AS321=""),"",IF(COUNT(AG321:AR321)=0,"",AS321-LOOKUP(2,1/(AG321:AR321&lt;&gt;""),AG321:AR321)))</t>
        </is>
      </c>
      <c r="BG321" s="38" t="inlineStr">
        <is>
          <t>IF(OR(E321="",AT321=""),"",IF(COUNT(AG321:AS321)=0,"",AT321-LOOKUP(2,1/(AG321:AS321&lt;&gt;""),AG321:AS321)))</t>
        </is>
      </c>
      <c r="BH321" s="41" t="inlineStr">
        <is>
          <t>IF(G321="","All_Provinces",IFERROR(VLOOKUP(G321,'07_Lookups'!$A$4:$B$20,2,FALSE),"All_Provinces"))</t>
        </is>
      </c>
      <c r="BI321" s="41" t="inlineStr">
        <is>
          <t>IF(H321="","All_Districts",IFERROR(VLOOKUP(H321,'07_Lookups'!$E$4:$F$42,2,FALSE),"All_Districts"))</t>
        </is>
      </c>
    </row>
    <row r="322" ht="18" customHeight="1">
      <c r="A322" s="32" t="inlineStr">
        <is>
          <t>IF(E322="","",ROW()-3)</t>
        </is>
      </c>
      <c r="B322" s="33" t="inlineStr">
        <is>
          <t>AF2-AGF-R-009</t>
        </is>
      </c>
      <c r="C322" s="33" t="inlineStr">
        <is>
          <t>Emergency Food Security Project (EFSP) – WBK/AF-2</t>
        </is>
      </c>
      <c r="D322" s="33" t="inlineStr">
        <is>
          <t>Agroforestry saplings and seeds 2026/27</t>
        </is>
      </c>
      <c r="E322" s="33" t="inlineStr">
        <is>
          <t>Agroforestry — Helmand / Nawzad</t>
        </is>
      </c>
      <c r="F322" s="33" t="inlineStr">
        <is>
          <t>Agroforestry saplings / seeds</t>
        </is>
      </c>
      <c r="G322" s="33" t="inlineStr">
        <is>
          <t>South / Kandahar</t>
        </is>
      </c>
      <c r="H322" s="33" t="inlineStr">
        <is>
          <t>Helmand</t>
        </is>
      </c>
      <c r="I322" s="33" t="inlineStr">
        <is>
          <t>Nawzad</t>
        </is>
      </c>
      <c r="J322" s="33" t="inlineStr">
        <is>
          <t>Saplings: 10032; Seeds kg: 462</t>
        </is>
      </c>
      <c r="K322" s="33" t="inlineStr">
        <is>
          <t>World Bank (WBK/AF-2)</t>
        </is>
      </c>
      <c r="L322" s="33" t="inlineStr">
        <is>
          <t>Remaining</t>
        </is>
      </c>
      <c r="M322" s="33" t="inlineStr">
        <is>
          <t>Agroforestry</t>
        </is>
      </c>
      <c r="N322" s="33" t="inlineStr">
        <is>
          <t>7. Agroforestry Saplings-seeds</t>
        </is>
      </c>
      <c r="O322" s="33" t="inlineStr"/>
      <c r="P322" s="33" t="inlineStr"/>
      <c r="Q322" s="34" t="n"/>
      <c r="R322" s="35" t="inlineStr">
        <is>
          <t>IF(AO322="","",AO322)</t>
        </is>
      </c>
      <c r="S322" s="36" t="n">
        <v>46142</v>
      </c>
      <c r="T322" s="37" t="n">
        <v>12</v>
      </c>
      <c r="U322" s="36" t="n">
        <v>46478</v>
      </c>
      <c r="V322" s="35" t="inlineStr">
        <is>
          <t>IF(U322&lt;&gt;"",U322,IF(OR(R322="",T322=""),"",EDATE(R322,T322)))</t>
        </is>
      </c>
      <c r="W322" s="36" t="n"/>
      <c r="X322" s="37" t="n"/>
      <c r="Y322" s="33" t="inlineStr">
        <is>
          <t>Under Awarding</t>
        </is>
      </c>
      <c r="Z322" s="33" t="inlineStr">
        <is>
          <t>The saplings PO has already been issued and PO for seeds is expected to be issued in November 2026</t>
        </is>
      </c>
      <c r="AA322" s="32" t="inlineStr">
        <is>
          <t>IF(E322="","",IF(COUNT(AG322:AT322)=0,IF(Y322="","Not started",Y322),SUBSTITUTE(LOOKUP(2,1/(AG322:AT322&lt;&gt;""),$AG$3:$AT$3),"Date: ","")))</t>
        </is>
      </c>
      <c r="AB322" s="38" t="inlineStr">
        <is>
          <t>IF(OR(E322="",COUNT(AG322:AT322)=0),"",TODAY()-LOOKUP(2,1/(AG322:AT322&lt;&gt;""),AG322:AT322))</t>
        </is>
      </c>
      <c r="AC322" s="38" t="inlineStr">
        <is>
          <t>IF(OR(E322="",COUNT(AG322:AT322)&lt;2),"",LOOKUP(2,1/(AG322:AT322&lt;&gt;""),AG322:AT322)-MIN(AG322:AT322))</t>
        </is>
      </c>
      <c r="AD322" s="38" t="inlineStr">
        <is>
          <t>IF(OR(AB322="",AA322="Not started",AA322=""),"",IFERROR(AB322-IF(VLOOKUP(AA322,'04_Status_Pipeline'!$B$3:$E$20,4,FALSE)="",0,VLOOKUP(AA322,'04_Status_Pipeline'!$B$3:$E$20,4,FALSE)),""))</t>
        </is>
      </c>
      <c r="AE322" s="32" t="inlineStr">
        <is>
          <t>IF(E322="","",IF(OR(Y322="Cancelled",AA322="Cancelled"),"Cancelled",IF(OR(AA322="Completed / Handover",W322&lt;&gt;"",X322&gt;=100),"Completed — on track",IF(L322="Remaining",IF(S322="",IF(V322="","No planned date",IF(TODAY()&gt;V322,"Behind — past planned date",IF(V322-TODAY()&lt;=30,"At risk — close to off track","On track"))),IF(TODAY()&gt;S322,"Behind — award date passed",IF(S322-TODAY()&lt;=30,"At risk — close to off track","On track"))),IF(V322="","No planned date",IF(AND(TODAY()&gt;V322,OR(X322="",X322&lt;100)),"Behind — past end date",IF(AND(R322&lt;&gt;"",V322&lt;&gt;"",X322&lt;&gt;"",(X322&lt;100),((TODAY()-R322)/MAX(V322-R322,1)*100)-X322&gt;15),"Behind — progress lag",IF(AND(V322-TODAY()&lt;=30,V322-TODAY()&gt;=0,OR(X322="",X322&lt;90)),"At risk — close to off track","On track"))))))))</t>
        </is>
      </c>
      <c r="AF322" s="38" t="inlineStr">
        <is>
          <t>IF(OR(E322="",AA322="Completed / Handover",AA322="Cancelled"),"",IF(L322="Remaining",IF(S322&lt;&gt;"",S322-TODAY(),IF(V322="","",V322-TODAY())),IF(V322="","",V322-TODAY())))</t>
        </is>
      </c>
      <c r="AG322" s="36" t="n"/>
      <c r="AH322" s="36" t="n"/>
      <c r="AI322" s="36" t="n"/>
      <c r="AJ322" s="36" t="n"/>
      <c r="AK322" s="36" t="n"/>
      <c r="AL322" s="36" t="n"/>
      <c r="AM322" s="36" t="n"/>
      <c r="AN322" s="36" t="n"/>
      <c r="AO322" s="36" t="n"/>
      <c r="AP322" s="36" t="n"/>
      <c r="AQ322" s="36" t="n"/>
      <c r="AR322" s="40" t="n"/>
      <c r="AS322" s="40" t="n"/>
      <c r="AT322" s="40" t="n"/>
      <c r="AU322" s="38" t="inlineStr">
        <is>
          <t>IF(OR(E322="",AH322=""),"",IF(COUNT(AG322:AG322)=0,"",AH322-LOOKUP(2,1/(AG322:AG322&lt;&gt;""),AG322:AG322)))</t>
        </is>
      </c>
      <c r="AV322" s="38" t="inlineStr">
        <is>
          <t>IF(OR(E322="",AI322=""),"",IF(COUNT(AG322:AH322)=0,"",AI322-LOOKUP(2,1/(AG322:AH322&lt;&gt;""),AG322:AH322)))</t>
        </is>
      </c>
      <c r="AW322" s="38" t="inlineStr">
        <is>
          <t>IF(OR(E322="",AJ322=""),"",IF(COUNT(AG322:AI322)=0,"",AJ322-LOOKUP(2,1/(AG322:AI322&lt;&gt;""),AG322:AI322)))</t>
        </is>
      </c>
      <c r="AX322" s="38" t="inlineStr">
        <is>
          <t>IF(OR(E322="",AK322=""),"",IF(COUNT(AG322:AJ322)=0,"",AK322-LOOKUP(2,1/(AG322:AJ322&lt;&gt;""),AG322:AJ322)))</t>
        </is>
      </c>
      <c r="AY322" s="38" t="inlineStr">
        <is>
          <t>IF(OR(E322="",AL322=""),"",IF(COUNT(AG322:AK322)=0,"",AL322-LOOKUP(2,1/(AG322:AK322&lt;&gt;""),AG322:AK322)))</t>
        </is>
      </c>
      <c r="AZ322" s="38" t="inlineStr">
        <is>
          <t>IF(OR(E322="",AM322=""),"",IF(COUNT(AG322:AL322)=0,"",AM322-LOOKUP(2,1/(AG322:AL322&lt;&gt;""),AG322:AL322)))</t>
        </is>
      </c>
      <c r="BA322" s="38" t="inlineStr">
        <is>
          <t>IF(OR(E322="",AN322=""),"",IF(COUNT(AG322:AM322)=0,"",AN322-LOOKUP(2,1/(AG322:AM322&lt;&gt;""),AG322:AM322)))</t>
        </is>
      </c>
      <c r="BB322" s="38" t="inlineStr">
        <is>
          <t>IF(OR(E322="",AO322=""),"",IF(COUNT(AG322:AN322)=0,"",AO322-LOOKUP(2,1/(AG322:AN322&lt;&gt;""),AG322:AN322)))</t>
        </is>
      </c>
      <c r="BC322" s="38" t="inlineStr">
        <is>
          <t>IF(OR(E322="",AP322=""),"",IF(COUNT(AG322:AO322)=0,"",AP322-LOOKUP(2,1/(AG322:AO322&lt;&gt;""),AG322:AO322)))</t>
        </is>
      </c>
      <c r="BD322" s="38" t="inlineStr">
        <is>
          <t>IF(OR(E322="",AQ322=""),"",IF(COUNT(AG322:AP322)=0,"",AQ322-LOOKUP(2,1/(AG322:AP322&lt;&gt;""),AG322:AP322)))</t>
        </is>
      </c>
      <c r="BE322" s="38" t="inlineStr">
        <is>
          <t>IF(OR(E322="",AR322=""),"",IF(COUNT(AG322:AQ322)=0,"",AR322-LOOKUP(2,1/(AG322:AQ322&lt;&gt;""),AG322:AQ322)))</t>
        </is>
      </c>
      <c r="BF322" s="38" t="inlineStr">
        <is>
          <t>IF(OR(E322="",AS322=""),"",IF(COUNT(AG322:AR322)=0,"",AS322-LOOKUP(2,1/(AG322:AR322&lt;&gt;""),AG322:AR322)))</t>
        </is>
      </c>
      <c r="BG322" s="38" t="inlineStr">
        <is>
          <t>IF(OR(E322="",AT322=""),"",IF(COUNT(AG322:AS322)=0,"",AT322-LOOKUP(2,1/(AG322:AS322&lt;&gt;""),AG322:AS322)))</t>
        </is>
      </c>
      <c r="BH322" s="41" t="inlineStr">
        <is>
          <t>IF(G322="","All_Provinces",IFERROR(VLOOKUP(G322,'07_Lookups'!$A$4:$B$20,2,FALSE),"All_Provinces"))</t>
        </is>
      </c>
      <c r="BI322" s="41" t="inlineStr">
        <is>
          <t>IF(H322="","All_Districts",IFERROR(VLOOKUP(H322,'07_Lookups'!$E$4:$F$42,2,FALSE),"All_Districts"))</t>
        </is>
      </c>
    </row>
    <row r="323" ht="18" customHeight="1">
      <c r="A323" s="32" t="inlineStr">
        <is>
          <t>IF(E323="","",ROW()-3)</t>
        </is>
      </c>
      <c r="B323" s="42" t="inlineStr">
        <is>
          <t>AF2-AGF-R-010</t>
        </is>
      </c>
      <c r="C323" s="42" t="inlineStr">
        <is>
          <t>Emergency Food Security Project (EFSP) – WBK/AF-2</t>
        </is>
      </c>
      <c r="D323" s="42" t="inlineStr">
        <is>
          <t>Agroforestry saplings and seeds 2026/27</t>
        </is>
      </c>
      <c r="E323" s="42" t="inlineStr">
        <is>
          <t>Agroforestry — Oruzgan / Tarinkot</t>
        </is>
      </c>
      <c r="F323" s="42" t="inlineStr">
        <is>
          <t>Agroforestry saplings / seeds</t>
        </is>
      </c>
      <c r="G323" s="42" t="inlineStr">
        <is>
          <t>South / Kandahar</t>
        </is>
      </c>
      <c r="H323" s="42" t="inlineStr">
        <is>
          <t>Oruzgan</t>
        </is>
      </c>
      <c r="I323" s="42" t="inlineStr">
        <is>
          <t>Tarinkot</t>
        </is>
      </c>
      <c r="J323" s="42" t="inlineStr">
        <is>
          <t>Saplings: 9968; Seeds kg: 388</t>
        </is>
      </c>
      <c r="K323" s="42" t="inlineStr">
        <is>
          <t>World Bank (WBK/AF-2)</t>
        </is>
      </c>
      <c r="L323" s="42" t="inlineStr">
        <is>
          <t>Remaining</t>
        </is>
      </c>
      <c r="M323" s="42" t="inlineStr">
        <is>
          <t>Agroforestry</t>
        </is>
      </c>
      <c r="N323" s="42" t="inlineStr">
        <is>
          <t>7. Agroforestry Saplings-seeds</t>
        </is>
      </c>
      <c r="O323" s="42" t="inlineStr"/>
      <c r="P323" s="42" t="inlineStr"/>
      <c r="Q323" s="43" t="n"/>
      <c r="R323" s="35" t="inlineStr">
        <is>
          <t>IF(AO323="","",AO323)</t>
        </is>
      </c>
      <c r="S323" s="44" t="n">
        <v>46142</v>
      </c>
      <c r="T323" s="45" t="n">
        <v>12</v>
      </c>
      <c r="U323" s="44" t="n">
        <v>46478</v>
      </c>
      <c r="V323" s="35" t="inlineStr">
        <is>
          <t>IF(U323&lt;&gt;"",U323,IF(OR(R323="",T323=""),"",EDATE(R323,T323)))</t>
        </is>
      </c>
      <c r="W323" s="44" t="n"/>
      <c r="X323" s="45" t="n"/>
      <c r="Y323" s="42" t="inlineStr">
        <is>
          <t>Under Awarding</t>
        </is>
      </c>
      <c r="Z323" s="42" t="inlineStr">
        <is>
          <t>The saplings PO has already been issued and PO for seeds is expected to be issued in November 2026</t>
        </is>
      </c>
      <c r="AA323" s="32" t="inlineStr">
        <is>
          <t>IF(E323="","",IF(COUNT(AG323:AT323)=0,IF(Y323="","Not started",Y323),SUBSTITUTE(LOOKUP(2,1/(AG323:AT323&lt;&gt;""),$AG$3:$AT$3),"Date: ","")))</t>
        </is>
      </c>
      <c r="AB323" s="38" t="inlineStr">
        <is>
          <t>IF(OR(E323="",COUNT(AG323:AT323)=0),"",TODAY()-LOOKUP(2,1/(AG323:AT323&lt;&gt;""),AG323:AT323))</t>
        </is>
      </c>
      <c r="AC323" s="38" t="inlineStr">
        <is>
          <t>IF(OR(E323="",COUNT(AG323:AT323)&lt;2),"",LOOKUP(2,1/(AG323:AT323&lt;&gt;""),AG323:AT323)-MIN(AG323:AT323))</t>
        </is>
      </c>
      <c r="AD323" s="38" t="inlineStr">
        <is>
          <t>IF(OR(AB323="",AA323="Not started",AA323=""),"",IFERROR(AB323-IF(VLOOKUP(AA323,'04_Status_Pipeline'!$B$3:$E$20,4,FALSE)="",0,VLOOKUP(AA323,'04_Status_Pipeline'!$B$3:$E$20,4,FALSE)),""))</t>
        </is>
      </c>
      <c r="AE323" s="32" t="inlineStr">
        <is>
          <t>IF(E323="","",IF(OR(Y323="Cancelled",AA323="Cancelled"),"Cancelled",IF(OR(AA323="Completed / Handover",W323&lt;&gt;"",X323&gt;=100),"Completed — on track",IF(L323="Remaining",IF(S323="",IF(V323="","No planned date",IF(TODAY()&gt;V323,"Behind — past planned date",IF(V323-TODAY()&lt;=30,"At risk — close to off track","On track"))),IF(TODAY()&gt;S323,"Behind — award date passed",IF(S323-TODAY()&lt;=30,"At risk — close to off track","On track"))),IF(V323="","No planned date",IF(AND(TODAY()&gt;V323,OR(X323="",X323&lt;100)),"Behind — past end date",IF(AND(R323&lt;&gt;"",V323&lt;&gt;"",X323&lt;&gt;"",(X323&lt;100),((TODAY()-R323)/MAX(V323-R323,1)*100)-X323&gt;15),"Behind — progress lag",IF(AND(V323-TODAY()&lt;=30,V323-TODAY()&gt;=0,OR(X323="",X323&lt;90)),"At risk — close to off track","On track"))))))))</t>
        </is>
      </c>
      <c r="AF323" s="38" t="inlineStr">
        <is>
          <t>IF(OR(E323="",AA323="Completed / Handover",AA323="Cancelled"),"",IF(L323="Remaining",IF(S323&lt;&gt;"",S323-TODAY(),IF(V323="","",V323-TODAY())),IF(V323="","",V323-TODAY())))</t>
        </is>
      </c>
      <c r="AG323" s="44" t="n"/>
      <c r="AH323" s="44" t="n"/>
      <c r="AI323" s="44" t="n"/>
      <c r="AJ323" s="44" t="n"/>
      <c r="AK323" s="44" t="n"/>
      <c r="AL323" s="44" t="n"/>
      <c r="AM323" s="44" t="n"/>
      <c r="AN323" s="44" t="n"/>
      <c r="AO323" s="44" t="n"/>
      <c r="AP323" s="44" t="n"/>
      <c r="AQ323" s="44" t="n"/>
      <c r="AR323" s="40" t="n"/>
      <c r="AS323" s="40" t="n"/>
      <c r="AT323" s="40" t="n"/>
      <c r="AU323" s="38" t="inlineStr">
        <is>
          <t>IF(OR(E323="",AH323=""),"",IF(COUNT(AG323:AG323)=0,"",AH323-LOOKUP(2,1/(AG323:AG323&lt;&gt;""),AG323:AG323)))</t>
        </is>
      </c>
      <c r="AV323" s="38" t="inlineStr">
        <is>
          <t>IF(OR(E323="",AI323=""),"",IF(COUNT(AG323:AH323)=0,"",AI323-LOOKUP(2,1/(AG323:AH323&lt;&gt;""),AG323:AH323)))</t>
        </is>
      </c>
      <c r="AW323" s="38" t="inlineStr">
        <is>
          <t>IF(OR(E323="",AJ323=""),"",IF(COUNT(AG323:AI323)=0,"",AJ323-LOOKUP(2,1/(AG323:AI323&lt;&gt;""),AG323:AI323)))</t>
        </is>
      </c>
      <c r="AX323" s="38" t="inlineStr">
        <is>
          <t>IF(OR(E323="",AK323=""),"",IF(COUNT(AG323:AJ323)=0,"",AK323-LOOKUP(2,1/(AG323:AJ323&lt;&gt;""),AG323:AJ323)))</t>
        </is>
      </c>
      <c r="AY323" s="38" t="inlineStr">
        <is>
          <t>IF(OR(E323="",AL323=""),"",IF(COUNT(AG323:AK323)=0,"",AL323-LOOKUP(2,1/(AG323:AK323&lt;&gt;""),AG323:AK323)))</t>
        </is>
      </c>
      <c r="AZ323" s="38" t="inlineStr">
        <is>
          <t>IF(OR(E323="",AM323=""),"",IF(COUNT(AG323:AL323)=0,"",AM323-LOOKUP(2,1/(AG323:AL323&lt;&gt;""),AG323:AL323)))</t>
        </is>
      </c>
      <c r="BA323" s="38" t="inlineStr">
        <is>
          <t>IF(OR(E323="",AN323=""),"",IF(COUNT(AG323:AM323)=0,"",AN323-LOOKUP(2,1/(AG323:AM323&lt;&gt;""),AG323:AM323)))</t>
        </is>
      </c>
      <c r="BB323" s="38" t="inlineStr">
        <is>
          <t>IF(OR(E323="",AO323=""),"",IF(COUNT(AG323:AN323)=0,"",AO323-LOOKUP(2,1/(AG323:AN323&lt;&gt;""),AG323:AN323)))</t>
        </is>
      </c>
      <c r="BC323" s="38" t="inlineStr">
        <is>
          <t>IF(OR(E323="",AP323=""),"",IF(COUNT(AG323:AO323)=0,"",AP323-LOOKUP(2,1/(AG323:AO323&lt;&gt;""),AG323:AO323)))</t>
        </is>
      </c>
      <c r="BD323" s="38" t="inlineStr">
        <is>
          <t>IF(OR(E323="",AQ323=""),"",IF(COUNT(AG323:AP323)=0,"",AQ323-LOOKUP(2,1/(AG323:AP323&lt;&gt;""),AG323:AP323)))</t>
        </is>
      </c>
      <c r="BE323" s="38" t="inlineStr">
        <is>
          <t>IF(OR(E323="",AR323=""),"",IF(COUNT(AG323:AQ323)=0,"",AR323-LOOKUP(2,1/(AG323:AQ323&lt;&gt;""),AG323:AQ323)))</t>
        </is>
      </c>
      <c r="BF323" s="38" t="inlineStr">
        <is>
          <t>IF(OR(E323="",AS323=""),"",IF(COUNT(AG323:AR323)=0,"",AS323-LOOKUP(2,1/(AG323:AR323&lt;&gt;""),AG323:AR323)))</t>
        </is>
      </c>
      <c r="BG323" s="38" t="inlineStr">
        <is>
          <t>IF(OR(E323="",AT323=""),"",IF(COUNT(AG323:AS323)=0,"",AT323-LOOKUP(2,1/(AG323:AS323&lt;&gt;""),AG323:AS323)))</t>
        </is>
      </c>
      <c r="BH323" s="41" t="inlineStr">
        <is>
          <t>IF(G323="","All_Provinces",IFERROR(VLOOKUP(G323,'07_Lookups'!$A$4:$B$20,2,FALSE),"All_Provinces"))</t>
        </is>
      </c>
      <c r="BI323" s="41" t="inlineStr">
        <is>
          <t>IF(H323="","All_Districts",IFERROR(VLOOKUP(H323,'07_Lookups'!$E$4:$F$42,2,FALSE),"All_Districts"))</t>
        </is>
      </c>
    </row>
    <row r="324" ht="18" customHeight="1">
      <c r="A324" s="32" t="inlineStr">
        <is>
          <t>IF(E324="","",ROW()-3)</t>
        </is>
      </c>
      <c r="B324" s="33" t="inlineStr">
        <is>
          <t>AF2-AGF-R-011</t>
        </is>
      </c>
      <c r="C324" s="33" t="inlineStr">
        <is>
          <t>Emergency Food Security Project (EFSP) – WBK/AF-2</t>
        </is>
      </c>
      <c r="D324" s="33" t="inlineStr">
        <is>
          <t>Agroforestry saplings and seeds 2026/27</t>
        </is>
      </c>
      <c r="E324" s="33" t="inlineStr">
        <is>
          <t>Agroforestry — Daikundi / Khedir</t>
        </is>
      </c>
      <c r="F324" s="33" t="inlineStr">
        <is>
          <t>Agroforestry saplings / seeds</t>
        </is>
      </c>
      <c r="G324" s="33" t="inlineStr">
        <is>
          <t>Central Highland / Bamyan</t>
        </is>
      </c>
      <c r="H324" s="33" t="inlineStr">
        <is>
          <t>Daikundi</t>
        </is>
      </c>
      <c r="I324" s="33" t="inlineStr">
        <is>
          <t>Khedir</t>
        </is>
      </c>
      <c r="J324" s="33" t="inlineStr">
        <is>
          <t>Saplings: 6000; Seeds kg: 477</t>
        </is>
      </c>
      <c r="K324" s="33" t="inlineStr">
        <is>
          <t>World Bank (WBK/AF-2)</t>
        </is>
      </c>
      <c r="L324" s="33" t="inlineStr">
        <is>
          <t>Remaining</t>
        </is>
      </c>
      <c r="M324" s="33" t="inlineStr">
        <is>
          <t>Agroforestry</t>
        </is>
      </c>
      <c r="N324" s="33" t="inlineStr">
        <is>
          <t>7. Agroforestry Saplings-seeds</t>
        </is>
      </c>
      <c r="O324" s="33" t="inlineStr"/>
      <c r="P324" s="33" t="inlineStr"/>
      <c r="Q324" s="34" t="n"/>
      <c r="R324" s="35" t="inlineStr">
        <is>
          <t>IF(AO324="","",AO324)</t>
        </is>
      </c>
      <c r="S324" s="36" t="n">
        <v>46142</v>
      </c>
      <c r="T324" s="37" t="n">
        <v>12</v>
      </c>
      <c r="U324" s="36" t="n">
        <v>46478</v>
      </c>
      <c r="V324" s="35" t="inlineStr">
        <is>
          <t>IF(U324&lt;&gt;"",U324,IF(OR(R324="",T324=""),"",EDATE(R324,T324)))</t>
        </is>
      </c>
      <c r="W324" s="36" t="n"/>
      <c r="X324" s="37" t="n"/>
      <c r="Y324" s="33" t="inlineStr">
        <is>
          <t>Under Awarding</t>
        </is>
      </c>
      <c r="Z324" s="33" t="inlineStr">
        <is>
          <t>The saplings PO has already been issued and PO for seeds is expected to be issued in November 2026</t>
        </is>
      </c>
      <c r="AA324" s="32" t="inlineStr">
        <is>
          <t>IF(E324="","",IF(COUNT(AG324:AT324)=0,IF(Y324="","Not started",Y324),SUBSTITUTE(LOOKUP(2,1/(AG324:AT324&lt;&gt;""),$AG$3:$AT$3),"Date: ","")))</t>
        </is>
      </c>
      <c r="AB324" s="38" t="inlineStr">
        <is>
          <t>IF(OR(E324="",COUNT(AG324:AT324)=0),"",TODAY()-LOOKUP(2,1/(AG324:AT324&lt;&gt;""),AG324:AT324))</t>
        </is>
      </c>
      <c r="AC324" s="38" t="inlineStr">
        <is>
          <t>IF(OR(E324="",COUNT(AG324:AT324)&lt;2),"",LOOKUP(2,1/(AG324:AT324&lt;&gt;""),AG324:AT324)-MIN(AG324:AT324))</t>
        </is>
      </c>
      <c r="AD324" s="38" t="inlineStr">
        <is>
          <t>IF(OR(AB324="",AA324="Not started",AA324=""),"",IFERROR(AB324-IF(VLOOKUP(AA324,'04_Status_Pipeline'!$B$3:$E$20,4,FALSE)="",0,VLOOKUP(AA324,'04_Status_Pipeline'!$B$3:$E$20,4,FALSE)),""))</t>
        </is>
      </c>
      <c r="AE324" s="32" t="inlineStr">
        <is>
          <t>IF(E324="","",IF(OR(Y324="Cancelled",AA324="Cancelled"),"Cancelled",IF(OR(AA324="Completed / Handover",W324&lt;&gt;"",X324&gt;=100),"Completed — on track",IF(L324="Remaining",IF(S324="",IF(V324="","No planned date",IF(TODAY()&gt;V324,"Behind — past planned date",IF(V324-TODAY()&lt;=30,"At risk — close to off track","On track"))),IF(TODAY()&gt;S324,"Behind — award date passed",IF(S324-TODAY()&lt;=30,"At risk — close to off track","On track"))),IF(V324="","No planned date",IF(AND(TODAY()&gt;V324,OR(X324="",X324&lt;100)),"Behind — past end date",IF(AND(R324&lt;&gt;"",V324&lt;&gt;"",X324&lt;&gt;"",(X324&lt;100),((TODAY()-R324)/MAX(V324-R324,1)*100)-X324&gt;15),"Behind — progress lag",IF(AND(V324-TODAY()&lt;=30,V324-TODAY()&gt;=0,OR(X324="",X324&lt;90)),"At risk — close to off track","On track"))))))))</t>
        </is>
      </c>
      <c r="AF324" s="38" t="inlineStr">
        <is>
          <t>IF(OR(E324="",AA324="Completed / Handover",AA324="Cancelled"),"",IF(L324="Remaining",IF(S324&lt;&gt;"",S324-TODAY(),IF(V324="","",V324-TODAY())),IF(V324="","",V324-TODAY())))</t>
        </is>
      </c>
      <c r="AG324" s="36" t="n"/>
      <c r="AH324" s="36" t="n"/>
      <c r="AI324" s="36" t="n"/>
      <c r="AJ324" s="36" t="n"/>
      <c r="AK324" s="36" t="n"/>
      <c r="AL324" s="36" t="n"/>
      <c r="AM324" s="36" t="n"/>
      <c r="AN324" s="36" t="n"/>
      <c r="AO324" s="36" t="n"/>
      <c r="AP324" s="36" t="n"/>
      <c r="AQ324" s="36" t="n"/>
      <c r="AR324" s="40" t="n"/>
      <c r="AS324" s="40" t="n"/>
      <c r="AT324" s="40" t="n"/>
      <c r="AU324" s="38" t="inlineStr">
        <is>
          <t>IF(OR(E324="",AH324=""),"",IF(COUNT(AG324:AG324)=0,"",AH324-LOOKUP(2,1/(AG324:AG324&lt;&gt;""),AG324:AG324)))</t>
        </is>
      </c>
      <c r="AV324" s="38" t="inlineStr">
        <is>
          <t>IF(OR(E324="",AI324=""),"",IF(COUNT(AG324:AH324)=0,"",AI324-LOOKUP(2,1/(AG324:AH324&lt;&gt;""),AG324:AH324)))</t>
        </is>
      </c>
      <c r="AW324" s="38" t="inlineStr">
        <is>
          <t>IF(OR(E324="",AJ324=""),"",IF(COUNT(AG324:AI324)=0,"",AJ324-LOOKUP(2,1/(AG324:AI324&lt;&gt;""),AG324:AI324)))</t>
        </is>
      </c>
      <c r="AX324" s="38" t="inlineStr">
        <is>
          <t>IF(OR(E324="",AK324=""),"",IF(COUNT(AG324:AJ324)=0,"",AK324-LOOKUP(2,1/(AG324:AJ324&lt;&gt;""),AG324:AJ324)))</t>
        </is>
      </c>
      <c r="AY324" s="38" t="inlineStr">
        <is>
          <t>IF(OR(E324="",AL324=""),"",IF(COUNT(AG324:AK324)=0,"",AL324-LOOKUP(2,1/(AG324:AK324&lt;&gt;""),AG324:AK324)))</t>
        </is>
      </c>
      <c r="AZ324" s="38" t="inlineStr">
        <is>
          <t>IF(OR(E324="",AM324=""),"",IF(COUNT(AG324:AL324)=0,"",AM324-LOOKUP(2,1/(AG324:AL324&lt;&gt;""),AG324:AL324)))</t>
        </is>
      </c>
      <c r="BA324" s="38" t="inlineStr">
        <is>
          <t>IF(OR(E324="",AN324=""),"",IF(COUNT(AG324:AM324)=0,"",AN324-LOOKUP(2,1/(AG324:AM324&lt;&gt;""),AG324:AM324)))</t>
        </is>
      </c>
      <c r="BB324" s="38" t="inlineStr">
        <is>
          <t>IF(OR(E324="",AO324=""),"",IF(COUNT(AG324:AN324)=0,"",AO324-LOOKUP(2,1/(AG324:AN324&lt;&gt;""),AG324:AN324)))</t>
        </is>
      </c>
      <c r="BC324" s="38" t="inlineStr">
        <is>
          <t>IF(OR(E324="",AP324=""),"",IF(COUNT(AG324:AO324)=0,"",AP324-LOOKUP(2,1/(AG324:AO324&lt;&gt;""),AG324:AO324)))</t>
        </is>
      </c>
      <c r="BD324" s="38" t="inlineStr">
        <is>
          <t>IF(OR(E324="",AQ324=""),"",IF(COUNT(AG324:AP324)=0,"",AQ324-LOOKUP(2,1/(AG324:AP324&lt;&gt;""),AG324:AP324)))</t>
        </is>
      </c>
      <c r="BE324" s="38" t="inlineStr">
        <is>
          <t>IF(OR(E324="",AR324=""),"",IF(COUNT(AG324:AQ324)=0,"",AR324-LOOKUP(2,1/(AG324:AQ324&lt;&gt;""),AG324:AQ324)))</t>
        </is>
      </c>
      <c r="BF324" s="38" t="inlineStr">
        <is>
          <t>IF(OR(E324="",AS324=""),"",IF(COUNT(AG324:AR324)=0,"",AS324-LOOKUP(2,1/(AG324:AR324&lt;&gt;""),AG324:AR324)))</t>
        </is>
      </c>
      <c r="BG324" s="38" t="inlineStr">
        <is>
          <t>IF(OR(E324="",AT324=""),"",IF(COUNT(AG324:AS324)=0,"",AT324-LOOKUP(2,1/(AG324:AS324&lt;&gt;""),AG324:AS324)))</t>
        </is>
      </c>
      <c r="BH324" s="41" t="inlineStr">
        <is>
          <t>IF(G324="","All_Provinces",IFERROR(VLOOKUP(G324,'07_Lookups'!$A$4:$B$20,2,FALSE),"All_Provinces"))</t>
        </is>
      </c>
      <c r="BI324" s="41" t="inlineStr">
        <is>
          <t>IF(H324="","All_Districts",IFERROR(VLOOKUP(H324,'07_Lookups'!$E$4:$F$42,2,FALSE),"All_Districts"))</t>
        </is>
      </c>
    </row>
    <row r="325" ht="18" customHeight="1">
      <c r="A325" s="32" t="inlineStr">
        <is>
          <t>IF(E325="","",ROW()-3)</t>
        </is>
      </c>
      <c r="B325" s="42" t="inlineStr">
        <is>
          <t>AF2-AGF-R-012</t>
        </is>
      </c>
      <c r="C325" s="42" t="inlineStr">
        <is>
          <t>Emergency Food Security Project (EFSP) – WBK/AF-2</t>
        </is>
      </c>
      <c r="D325" s="42" t="inlineStr">
        <is>
          <t>Agroforestry saplings and seeds 2026/27</t>
        </is>
      </c>
      <c r="E325" s="42" t="inlineStr">
        <is>
          <t>Agroforestry — Daikundi / Sharistan</t>
        </is>
      </c>
      <c r="F325" s="42" t="inlineStr">
        <is>
          <t>Agroforestry saplings / seeds</t>
        </is>
      </c>
      <c r="G325" s="42" t="inlineStr">
        <is>
          <t>Central Highland / Bamyan</t>
        </is>
      </c>
      <c r="H325" s="42" t="inlineStr">
        <is>
          <t>Daikundi</t>
        </is>
      </c>
      <c r="I325" s="42" t="inlineStr">
        <is>
          <t>Sharistan</t>
        </is>
      </c>
      <c r="J325" s="42" t="inlineStr">
        <is>
          <t>Saplings: 7000; Seeds kg: 195.5</t>
        </is>
      </c>
      <c r="K325" s="42" t="inlineStr">
        <is>
          <t>World Bank (WBK/AF-2)</t>
        </is>
      </c>
      <c r="L325" s="42" t="inlineStr">
        <is>
          <t>Remaining</t>
        </is>
      </c>
      <c r="M325" s="42" t="inlineStr">
        <is>
          <t>Agroforestry</t>
        </is>
      </c>
      <c r="N325" s="42" t="inlineStr">
        <is>
          <t>7. Agroforestry Saplings-seeds</t>
        </is>
      </c>
      <c r="O325" s="42" t="inlineStr"/>
      <c r="P325" s="42" t="inlineStr"/>
      <c r="Q325" s="43" t="n"/>
      <c r="R325" s="35" t="inlineStr">
        <is>
          <t>IF(AO325="","",AO325)</t>
        </is>
      </c>
      <c r="S325" s="44" t="n">
        <v>46142</v>
      </c>
      <c r="T325" s="45" t="n">
        <v>12</v>
      </c>
      <c r="U325" s="44" t="n">
        <v>46478</v>
      </c>
      <c r="V325" s="35" t="inlineStr">
        <is>
          <t>IF(U325&lt;&gt;"",U325,IF(OR(R325="",T325=""),"",EDATE(R325,T325)))</t>
        </is>
      </c>
      <c r="W325" s="44" t="n"/>
      <c r="X325" s="45" t="n"/>
      <c r="Y325" s="42" t="inlineStr">
        <is>
          <t>Under Awarding</t>
        </is>
      </c>
      <c r="Z325" s="42" t="inlineStr">
        <is>
          <t>The saplings PO has already been issued and PO for seeds is expected to be issued in November 2026</t>
        </is>
      </c>
      <c r="AA325" s="32" t="inlineStr">
        <is>
          <t>IF(E325="","",IF(COUNT(AG325:AT325)=0,IF(Y325="","Not started",Y325),SUBSTITUTE(LOOKUP(2,1/(AG325:AT325&lt;&gt;""),$AG$3:$AT$3),"Date: ","")))</t>
        </is>
      </c>
      <c r="AB325" s="38" t="inlineStr">
        <is>
          <t>IF(OR(E325="",COUNT(AG325:AT325)=0),"",TODAY()-LOOKUP(2,1/(AG325:AT325&lt;&gt;""),AG325:AT325))</t>
        </is>
      </c>
      <c r="AC325" s="38" t="inlineStr">
        <is>
          <t>IF(OR(E325="",COUNT(AG325:AT325)&lt;2),"",LOOKUP(2,1/(AG325:AT325&lt;&gt;""),AG325:AT325)-MIN(AG325:AT325))</t>
        </is>
      </c>
      <c r="AD325" s="38" t="inlineStr">
        <is>
          <t>IF(OR(AB325="",AA325="Not started",AA325=""),"",IFERROR(AB325-IF(VLOOKUP(AA325,'04_Status_Pipeline'!$B$3:$E$20,4,FALSE)="",0,VLOOKUP(AA325,'04_Status_Pipeline'!$B$3:$E$20,4,FALSE)),""))</t>
        </is>
      </c>
      <c r="AE325" s="32" t="inlineStr">
        <is>
          <t>IF(E325="","",IF(OR(Y325="Cancelled",AA325="Cancelled"),"Cancelled",IF(OR(AA325="Completed / Handover",W325&lt;&gt;"",X325&gt;=100),"Completed — on track",IF(L325="Remaining",IF(S325="",IF(V325="","No planned date",IF(TODAY()&gt;V325,"Behind — past planned date",IF(V325-TODAY()&lt;=30,"At risk — close to off track","On track"))),IF(TODAY()&gt;S325,"Behind — award date passed",IF(S325-TODAY()&lt;=30,"At risk — close to off track","On track"))),IF(V325="","No planned date",IF(AND(TODAY()&gt;V325,OR(X325="",X325&lt;100)),"Behind — past end date",IF(AND(R325&lt;&gt;"",V325&lt;&gt;"",X325&lt;&gt;"",(X325&lt;100),((TODAY()-R325)/MAX(V325-R325,1)*100)-X325&gt;15),"Behind — progress lag",IF(AND(V325-TODAY()&lt;=30,V325-TODAY()&gt;=0,OR(X325="",X325&lt;90)),"At risk — close to off track","On track"))))))))</t>
        </is>
      </c>
      <c r="AF325" s="38" t="inlineStr">
        <is>
          <t>IF(OR(E325="",AA325="Completed / Handover",AA325="Cancelled"),"",IF(L325="Remaining",IF(S325&lt;&gt;"",S325-TODAY(),IF(V325="","",V325-TODAY())),IF(V325="","",V325-TODAY())))</t>
        </is>
      </c>
      <c r="AG325" s="44" t="n"/>
      <c r="AH325" s="44" t="n"/>
      <c r="AI325" s="44" t="n"/>
      <c r="AJ325" s="44" t="n"/>
      <c r="AK325" s="44" t="n"/>
      <c r="AL325" s="44" t="n"/>
      <c r="AM325" s="44" t="n"/>
      <c r="AN325" s="44" t="n"/>
      <c r="AO325" s="44" t="n"/>
      <c r="AP325" s="44" t="n"/>
      <c r="AQ325" s="44" t="n"/>
      <c r="AR325" s="40" t="n"/>
      <c r="AS325" s="40" t="n"/>
      <c r="AT325" s="40" t="n"/>
      <c r="AU325" s="38" t="inlineStr">
        <is>
          <t>IF(OR(E325="",AH325=""),"",IF(COUNT(AG325:AG325)=0,"",AH325-LOOKUP(2,1/(AG325:AG325&lt;&gt;""),AG325:AG325)))</t>
        </is>
      </c>
      <c r="AV325" s="38" t="inlineStr">
        <is>
          <t>IF(OR(E325="",AI325=""),"",IF(COUNT(AG325:AH325)=0,"",AI325-LOOKUP(2,1/(AG325:AH325&lt;&gt;""),AG325:AH325)))</t>
        </is>
      </c>
      <c r="AW325" s="38" t="inlineStr">
        <is>
          <t>IF(OR(E325="",AJ325=""),"",IF(COUNT(AG325:AI325)=0,"",AJ325-LOOKUP(2,1/(AG325:AI325&lt;&gt;""),AG325:AI325)))</t>
        </is>
      </c>
      <c r="AX325" s="38" t="inlineStr">
        <is>
          <t>IF(OR(E325="",AK325=""),"",IF(COUNT(AG325:AJ325)=0,"",AK325-LOOKUP(2,1/(AG325:AJ325&lt;&gt;""),AG325:AJ325)))</t>
        </is>
      </c>
      <c r="AY325" s="38" t="inlineStr">
        <is>
          <t>IF(OR(E325="",AL325=""),"",IF(COUNT(AG325:AK325)=0,"",AL325-LOOKUP(2,1/(AG325:AK325&lt;&gt;""),AG325:AK325)))</t>
        </is>
      </c>
      <c r="AZ325" s="38" t="inlineStr">
        <is>
          <t>IF(OR(E325="",AM325=""),"",IF(COUNT(AG325:AL325)=0,"",AM325-LOOKUP(2,1/(AG325:AL325&lt;&gt;""),AG325:AL325)))</t>
        </is>
      </c>
      <c r="BA325" s="38" t="inlineStr">
        <is>
          <t>IF(OR(E325="",AN325=""),"",IF(COUNT(AG325:AM325)=0,"",AN325-LOOKUP(2,1/(AG325:AM325&lt;&gt;""),AG325:AM325)))</t>
        </is>
      </c>
      <c r="BB325" s="38" t="inlineStr">
        <is>
          <t>IF(OR(E325="",AO325=""),"",IF(COUNT(AG325:AN325)=0,"",AO325-LOOKUP(2,1/(AG325:AN325&lt;&gt;""),AG325:AN325)))</t>
        </is>
      </c>
      <c r="BC325" s="38" t="inlineStr">
        <is>
          <t>IF(OR(E325="",AP325=""),"",IF(COUNT(AG325:AO325)=0,"",AP325-LOOKUP(2,1/(AG325:AO325&lt;&gt;""),AG325:AO325)))</t>
        </is>
      </c>
      <c r="BD325" s="38" t="inlineStr">
        <is>
          <t>IF(OR(E325="",AQ325=""),"",IF(COUNT(AG325:AP325)=0,"",AQ325-LOOKUP(2,1/(AG325:AP325&lt;&gt;""),AG325:AP325)))</t>
        </is>
      </c>
      <c r="BE325" s="38" t="inlineStr">
        <is>
          <t>IF(OR(E325="",AR325=""),"",IF(COUNT(AG325:AQ325)=0,"",AR325-LOOKUP(2,1/(AG325:AQ325&lt;&gt;""),AG325:AQ325)))</t>
        </is>
      </c>
      <c r="BF325" s="38" t="inlineStr">
        <is>
          <t>IF(OR(E325="",AS325=""),"",IF(COUNT(AG325:AR325)=0,"",AS325-LOOKUP(2,1/(AG325:AR325&lt;&gt;""),AG325:AR325)))</t>
        </is>
      </c>
      <c r="BG325" s="38" t="inlineStr">
        <is>
          <t>IF(OR(E325="",AT325=""),"",IF(COUNT(AG325:AS325)=0,"",AT325-LOOKUP(2,1/(AG325:AS325&lt;&gt;""),AG325:AS325)))</t>
        </is>
      </c>
      <c r="BH325" s="41" t="inlineStr">
        <is>
          <t>IF(G325="","All_Provinces",IFERROR(VLOOKUP(G325,'07_Lookups'!$A$4:$B$20,2,FALSE),"All_Provinces"))</t>
        </is>
      </c>
      <c r="BI325" s="41" t="inlineStr">
        <is>
          <t>IF(H325="","All_Districts",IFERROR(VLOOKUP(H325,'07_Lookups'!$E$4:$F$42,2,FALSE),"All_Districts"))</t>
        </is>
      </c>
    </row>
    <row r="326" ht="18" customHeight="1">
      <c r="A326" s="32" t="inlineStr">
        <is>
          <t>IF(E326="","",ROW()-3)</t>
        </is>
      </c>
      <c r="B326" s="33" t="inlineStr">
        <is>
          <t>AF2-AGF-R-013</t>
        </is>
      </c>
      <c r="C326" s="33" t="inlineStr">
        <is>
          <t>Emergency Food Security Project (EFSP) – WBK/AF-2</t>
        </is>
      </c>
      <c r="D326" s="33" t="inlineStr">
        <is>
          <t>Agroforestry saplings and seeds 2026/27</t>
        </is>
      </c>
      <c r="E326" s="33" t="inlineStr">
        <is>
          <t>Agroforestry — Daikundi / Meramour</t>
        </is>
      </c>
      <c r="F326" s="33" t="inlineStr">
        <is>
          <t>Agroforestry saplings / seeds</t>
        </is>
      </c>
      <c r="G326" s="33" t="inlineStr">
        <is>
          <t>Central Highland / Bamyan</t>
        </is>
      </c>
      <c r="H326" s="33" t="inlineStr">
        <is>
          <t>Daikundi</t>
        </is>
      </c>
      <c r="I326" s="33" t="inlineStr">
        <is>
          <t>Meramour</t>
        </is>
      </c>
      <c r="J326" s="33" t="inlineStr">
        <is>
          <t>Saplings: 7000; Seeds kg: 197.5</t>
        </is>
      </c>
      <c r="K326" s="33" t="inlineStr">
        <is>
          <t>World Bank (WBK/AF-2)</t>
        </is>
      </c>
      <c r="L326" s="33" t="inlineStr">
        <is>
          <t>Remaining</t>
        </is>
      </c>
      <c r="M326" s="33" t="inlineStr">
        <is>
          <t>Agroforestry</t>
        </is>
      </c>
      <c r="N326" s="33" t="inlineStr">
        <is>
          <t>7. Agroforestry Saplings-seeds</t>
        </is>
      </c>
      <c r="O326" s="33" t="inlineStr"/>
      <c r="P326" s="33" t="inlineStr"/>
      <c r="Q326" s="34" t="n"/>
      <c r="R326" s="35" t="inlineStr">
        <is>
          <t>IF(AO326="","",AO326)</t>
        </is>
      </c>
      <c r="S326" s="36" t="n">
        <v>46142</v>
      </c>
      <c r="T326" s="37" t="n">
        <v>12</v>
      </c>
      <c r="U326" s="36" t="n">
        <v>46478</v>
      </c>
      <c r="V326" s="35" t="inlineStr">
        <is>
          <t>IF(U326&lt;&gt;"",U326,IF(OR(R326="",T326=""),"",EDATE(R326,T326)))</t>
        </is>
      </c>
      <c r="W326" s="36" t="n"/>
      <c r="X326" s="37" t="n"/>
      <c r="Y326" s="33" t="inlineStr">
        <is>
          <t>Under Awarding</t>
        </is>
      </c>
      <c r="Z326" s="33" t="inlineStr">
        <is>
          <t>The saplings PO has already been issued and PO for seeds is expected to be issued in November 2026</t>
        </is>
      </c>
      <c r="AA326" s="32" t="inlineStr">
        <is>
          <t>IF(E326="","",IF(COUNT(AG326:AT326)=0,IF(Y326="","Not started",Y326),SUBSTITUTE(LOOKUP(2,1/(AG326:AT326&lt;&gt;""),$AG$3:$AT$3),"Date: ","")))</t>
        </is>
      </c>
      <c r="AB326" s="38" t="inlineStr">
        <is>
          <t>IF(OR(E326="",COUNT(AG326:AT326)=0),"",TODAY()-LOOKUP(2,1/(AG326:AT326&lt;&gt;""),AG326:AT326))</t>
        </is>
      </c>
      <c r="AC326" s="38" t="inlineStr">
        <is>
          <t>IF(OR(E326="",COUNT(AG326:AT326)&lt;2),"",LOOKUP(2,1/(AG326:AT326&lt;&gt;""),AG326:AT326)-MIN(AG326:AT326))</t>
        </is>
      </c>
      <c r="AD326" s="38" t="inlineStr">
        <is>
          <t>IF(OR(AB326="",AA326="Not started",AA326=""),"",IFERROR(AB326-IF(VLOOKUP(AA326,'04_Status_Pipeline'!$B$3:$E$20,4,FALSE)="",0,VLOOKUP(AA326,'04_Status_Pipeline'!$B$3:$E$20,4,FALSE)),""))</t>
        </is>
      </c>
      <c r="AE326" s="32" t="inlineStr">
        <is>
          <t>IF(E326="","",IF(OR(Y326="Cancelled",AA326="Cancelled"),"Cancelled",IF(OR(AA326="Completed / Handover",W326&lt;&gt;"",X326&gt;=100),"Completed — on track",IF(L326="Remaining",IF(S326="",IF(V326="","No planned date",IF(TODAY()&gt;V326,"Behind — past planned date",IF(V326-TODAY()&lt;=30,"At risk — close to off track","On track"))),IF(TODAY()&gt;S326,"Behind — award date passed",IF(S326-TODAY()&lt;=30,"At risk — close to off track","On track"))),IF(V326="","No planned date",IF(AND(TODAY()&gt;V326,OR(X326="",X326&lt;100)),"Behind — past end date",IF(AND(R326&lt;&gt;"",V326&lt;&gt;"",X326&lt;&gt;"",(X326&lt;100),((TODAY()-R326)/MAX(V326-R326,1)*100)-X326&gt;15),"Behind — progress lag",IF(AND(V326-TODAY()&lt;=30,V326-TODAY()&gt;=0,OR(X326="",X326&lt;90)),"At risk — close to off track","On track"))))))))</t>
        </is>
      </c>
      <c r="AF326" s="38" t="inlineStr">
        <is>
          <t>IF(OR(E326="",AA326="Completed / Handover",AA326="Cancelled"),"",IF(L326="Remaining",IF(S326&lt;&gt;"",S326-TODAY(),IF(V326="","",V326-TODAY())),IF(V326="","",V326-TODAY())))</t>
        </is>
      </c>
      <c r="AG326" s="36" t="n"/>
      <c r="AH326" s="36" t="n"/>
      <c r="AI326" s="36" t="n"/>
      <c r="AJ326" s="36" t="n"/>
      <c r="AK326" s="36" t="n"/>
      <c r="AL326" s="36" t="n"/>
      <c r="AM326" s="36" t="n"/>
      <c r="AN326" s="36" t="n"/>
      <c r="AO326" s="36" t="n"/>
      <c r="AP326" s="36" t="n"/>
      <c r="AQ326" s="36" t="n"/>
      <c r="AR326" s="40" t="n"/>
      <c r="AS326" s="40" t="n"/>
      <c r="AT326" s="40" t="n"/>
      <c r="AU326" s="38" t="inlineStr">
        <is>
          <t>IF(OR(E326="",AH326=""),"",IF(COUNT(AG326:AG326)=0,"",AH326-LOOKUP(2,1/(AG326:AG326&lt;&gt;""),AG326:AG326)))</t>
        </is>
      </c>
      <c r="AV326" s="38" t="inlineStr">
        <is>
          <t>IF(OR(E326="",AI326=""),"",IF(COUNT(AG326:AH326)=0,"",AI326-LOOKUP(2,1/(AG326:AH326&lt;&gt;""),AG326:AH326)))</t>
        </is>
      </c>
      <c r="AW326" s="38" t="inlineStr">
        <is>
          <t>IF(OR(E326="",AJ326=""),"",IF(COUNT(AG326:AI326)=0,"",AJ326-LOOKUP(2,1/(AG326:AI326&lt;&gt;""),AG326:AI326)))</t>
        </is>
      </c>
      <c r="AX326" s="38" t="inlineStr">
        <is>
          <t>IF(OR(E326="",AK326=""),"",IF(COUNT(AG326:AJ326)=0,"",AK326-LOOKUP(2,1/(AG326:AJ326&lt;&gt;""),AG326:AJ326)))</t>
        </is>
      </c>
      <c r="AY326" s="38" t="inlineStr">
        <is>
          <t>IF(OR(E326="",AL326=""),"",IF(COUNT(AG326:AK326)=0,"",AL326-LOOKUP(2,1/(AG326:AK326&lt;&gt;""),AG326:AK326)))</t>
        </is>
      </c>
      <c r="AZ326" s="38" t="inlineStr">
        <is>
          <t>IF(OR(E326="",AM326=""),"",IF(COUNT(AG326:AL326)=0,"",AM326-LOOKUP(2,1/(AG326:AL326&lt;&gt;""),AG326:AL326)))</t>
        </is>
      </c>
      <c r="BA326" s="38" t="inlineStr">
        <is>
          <t>IF(OR(E326="",AN326=""),"",IF(COUNT(AG326:AM326)=0,"",AN326-LOOKUP(2,1/(AG326:AM326&lt;&gt;""),AG326:AM326)))</t>
        </is>
      </c>
      <c r="BB326" s="38" t="inlineStr">
        <is>
          <t>IF(OR(E326="",AO326=""),"",IF(COUNT(AG326:AN326)=0,"",AO326-LOOKUP(2,1/(AG326:AN326&lt;&gt;""),AG326:AN326)))</t>
        </is>
      </c>
      <c r="BC326" s="38" t="inlineStr">
        <is>
          <t>IF(OR(E326="",AP326=""),"",IF(COUNT(AG326:AO326)=0,"",AP326-LOOKUP(2,1/(AG326:AO326&lt;&gt;""),AG326:AO326)))</t>
        </is>
      </c>
      <c r="BD326" s="38" t="inlineStr">
        <is>
          <t>IF(OR(E326="",AQ326=""),"",IF(COUNT(AG326:AP326)=0,"",AQ326-LOOKUP(2,1/(AG326:AP326&lt;&gt;""),AG326:AP326)))</t>
        </is>
      </c>
      <c r="BE326" s="38" t="inlineStr">
        <is>
          <t>IF(OR(E326="",AR326=""),"",IF(COUNT(AG326:AQ326)=0,"",AR326-LOOKUP(2,1/(AG326:AQ326&lt;&gt;""),AG326:AQ326)))</t>
        </is>
      </c>
      <c r="BF326" s="38" t="inlineStr">
        <is>
          <t>IF(OR(E326="",AS326=""),"",IF(COUNT(AG326:AR326)=0,"",AS326-LOOKUP(2,1/(AG326:AR326&lt;&gt;""),AG326:AR326)))</t>
        </is>
      </c>
      <c r="BG326" s="38" t="inlineStr">
        <is>
          <t>IF(OR(E326="",AT326=""),"",IF(COUNT(AG326:AS326)=0,"",AT326-LOOKUP(2,1/(AG326:AS326&lt;&gt;""),AG326:AS326)))</t>
        </is>
      </c>
      <c r="BH326" s="41" t="inlineStr">
        <is>
          <t>IF(G326="","All_Provinces",IFERROR(VLOOKUP(G326,'07_Lookups'!$A$4:$B$20,2,FALSE),"All_Provinces"))</t>
        </is>
      </c>
      <c r="BI326" s="41" t="inlineStr">
        <is>
          <t>IF(H326="","All_Districts",IFERROR(VLOOKUP(H326,'07_Lookups'!$E$4:$F$42,2,FALSE),"All_Districts"))</t>
        </is>
      </c>
    </row>
    <row r="327" ht="18" customHeight="1">
      <c r="A327" s="32" t="inlineStr">
        <is>
          <t>IF(E327="","",ROW()-3)</t>
        </is>
      </c>
      <c r="B327" s="42" t="inlineStr">
        <is>
          <t>AF2-AGF-R-014</t>
        </is>
      </c>
      <c r="C327" s="42" t="inlineStr">
        <is>
          <t>Emergency Food Security Project (EFSP) – WBK/AF-2</t>
        </is>
      </c>
      <c r="D327" s="42" t="inlineStr">
        <is>
          <t>Agroforestry saplings and seeds 2026/27</t>
        </is>
      </c>
      <c r="E327" s="42" t="inlineStr">
        <is>
          <t>Agroforestry — Logar / Azra</t>
        </is>
      </c>
      <c r="F327" s="42" t="inlineStr">
        <is>
          <t>Agroforestry saplings / seeds</t>
        </is>
      </c>
      <c r="G327" s="42" t="inlineStr">
        <is>
          <t>Southeast / Gardez</t>
        </is>
      </c>
      <c r="H327" s="42" t="inlineStr">
        <is>
          <t>Logar</t>
        </is>
      </c>
      <c r="I327" s="42" t="inlineStr">
        <is>
          <t>Azra</t>
        </is>
      </c>
      <c r="J327" s="42" t="inlineStr">
        <is>
          <t>Saplings: 15000; Seeds kg: 242</t>
        </is>
      </c>
      <c r="K327" s="42" t="inlineStr">
        <is>
          <t>World Bank (WBK/AF-2)</t>
        </is>
      </c>
      <c r="L327" s="42" t="inlineStr">
        <is>
          <t>Remaining</t>
        </is>
      </c>
      <c r="M327" s="42" t="inlineStr">
        <is>
          <t>Agroforestry</t>
        </is>
      </c>
      <c r="N327" s="42" t="inlineStr">
        <is>
          <t>7. Agroforestry Saplings-seeds</t>
        </is>
      </c>
      <c r="O327" s="42" t="inlineStr"/>
      <c r="P327" s="42" t="inlineStr"/>
      <c r="Q327" s="43" t="n"/>
      <c r="R327" s="35" t="inlineStr">
        <is>
          <t>IF(AO327="","",AO327)</t>
        </is>
      </c>
      <c r="S327" s="44" t="n">
        <v>46142</v>
      </c>
      <c r="T327" s="45" t="n">
        <v>12</v>
      </c>
      <c r="U327" s="44" t="n">
        <v>46478</v>
      </c>
      <c r="V327" s="35" t="inlineStr">
        <is>
          <t>IF(U327&lt;&gt;"",U327,IF(OR(R327="",T327=""),"",EDATE(R327,T327)))</t>
        </is>
      </c>
      <c r="W327" s="44" t="n"/>
      <c r="X327" s="45" t="n"/>
      <c r="Y327" s="42" t="inlineStr">
        <is>
          <t>Under Awarding</t>
        </is>
      </c>
      <c r="Z327" s="42" t="inlineStr">
        <is>
          <t>The saplings PO has already been issued and PO for seeds is expected to be issued in November 2026</t>
        </is>
      </c>
      <c r="AA327" s="32" t="inlineStr">
        <is>
          <t>IF(E327="","",IF(COUNT(AG327:AT327)=0,IF(Y327="","Not started",Y327),SUBSTITUTE(LOOKUP(2,1/(AG327:AT327&lt;&gt;""),$AG$3:$AT$3),"Date: ","")))</t>
        </is>
      </c>
      <c r="AB327" s="38" t="inlineStr">
        <is>
          <t>IF(OR(E327="",COUNT(AG327:AT327)=0),"",TODAY()-LOOKUP(2,1/(AG327:AT327&lt;&gt;""),AG327:AT327))</t>
        </is>
      </c>
      <c r="AC327" s="38" t="inlineStr">
        <is>
          <t>IF(OR(E327="",COUNT(AG327:AT327)&lt;2),"",LOOKUP(2,1/(AG327:AT327&lt;&gt;""),AG327:AT327)-MIN(AG327:AT327))</t>
        </is>
      </c>
      <c r="AD327" s="38" t="inlineStr">
        <is>
          <t>IF(OR(AB327="",AA327="Not started",AA327=""),"",IFERROR(AB327-IF(VLOOKUP(AA327,'04_Status_Pipeline'!$B$3:$E$20,4,FALSE)="",0,VLOOKUP(AA327,'04_Status_Pipeline'!$B$3:$E$20,4,FALSE)),""))</t>
        </is>
      </c>
      <c r="AE327" s="32" t="inlineStr">
        <is>
          <t>IF(E327="","",IF(OR(Y327="Cancelled",AA327="Cancelled"),"Cancelled",IF(OR(AA327="Completed / Handover",W327&lt;&gt;"",X327&gt;=100),"Completed — on track",IF(L327="Remaining",IF(S327="",IF(V327="","No planned date",IF(TODAY()&gt;V327,"Behind — past planned date",IF(V327-TODAY()&lt;=30,"At risk — close to off track","On track"))),IF(TODAY()&gt;S327,"Behind — award date passed",IF(S327-TODAY()&lt;=30,"At risk — close to off track","On track"))),IF(V327="","No planned date",IF(AND(TODAY()&gt;V327,OR(X327="",X327&lt;100)),"Behind — past end date",IF(AND(R327&lt;&gt;"",V327&lt;&gt;"",X327&lt;&gt;"",(X327&lt;100),((TODAY()-R327)/MAX(V327-R327,1)*100)-X327&gt;15),"Behind — progress lag",IF(AND(V327-TODAY()&lt;=30,V327-TODAY()&gt;=0,OR(X327="",X327&lt;90)),"At risk — close to off track","On track"))))))))</t>
        </is>
      </c>
      <c r="AF327" s="38" t="inlineStr">
        <is>
          <t>IF(OR(E327="",AA327="Completed / Handover",AA327="Cancelled"),"",IF(L327="Remaining",IF(S327&lt;&gt;"",S327-TODAY(),IF(V327="","",V327-TODAY())),IF(V327="","",V327-TODAY())))</t>
        </is>
      </c>
      <c r="AG327" s="44" t="n"/>
      <c r="AH327" s="44" t="n"/>
      <c r="AI327" s="44" t="n"/>
      <c r="AJ327" s="44" t="n"/>
      <c r="AK327" s="44" t="n"/>
      <c r="AL327" s="44" t="n"/>
      <c r="AM327" s="44" t="n"/>
      <c r="AN327" s="44" t="n"/>
      <c r="AO327" s="44" t="n"/>
      <c r="AP327" s="44" t="n"/>
      <c r="AQ327" s="44" t="n"/>
      <c r="AR327" s="40" t="n"/>
      <c r="AS327" s="40" t="n"/>
      <c r="AT327" s="40" t="n"/>
      <c r="AU327" s="38" t="inlineStr">
        <is>
          <t>IF(OR(E327="",AH327=""),"",IF(COUNT(AG327:AG327)=0,"",AH327-LOOKUP(2,1/(AG327:AG327&lt;&gt;""),AG327:AG327)))</t>
        </is>
      </c>
      <c r="AV327" s="38" t="inlineStr">
        <is>
          <t>IF(OR(E327="",AI327=""),"",IF(COUNT(AG327:AH327)=0,"",AI327-LOOKUP(2,1/(AG327:AH327&lt;&gt;""),AG327:AH327)))</t>
        </is>
      </c>
      <c r="AW327" s="38" t="inlineStr">
        <is>
          <t>IF(OR(E327="",AJ327=""),"",IF(COUNT(AG327:AI327)=0,"",AJ327-LOOKUP(2,1/(AG327:AI327&lt;&gt;""),AG327:AI327)))</t>
        </is>
      </c>
      <c r="AX327" s="38" t="inlineStr">
        <is>
          <t>IF(OR(E327="",AK327=""),"",IF(COUNT(AG327:AJ327)=0,"",AK327-LOOKUP(2,1/(AG327:AJ327&lt;&gt;""),AG327:AJ327)))</t>
        </is>
      </c>
      <c r="AY327" s="38" t="inlineStr">
        <is>
          <t>IF(OR(E327="",AL327=""),"",IF(COUNT(AG327:AK327)=0,"",AL327-LOOKUP(2,1/(AG327:AK327&lt;&gt;""),AG327:AK327)))</t>
        </is>
      </c>
      <c r="AZ327" s="38" t="inlineStr">
        <is>
          <t>IF(OR(E327="",AM327=""),"",IF(COUNT(AG327:AL327)=0,"",AM327-LOOKUP(2,1/(AG327:AL327&lt;&gt;""),AG327:AL327)))</t>
        </is>
      </c>
      <c r="BA327" s="38" t="inlineStr">
        <is>
          <t>IF(OR(E327="",AN327=""),"",IF(COUNT(AG327:AM327)=0,"",AN327-LOOKUP(2,1/(AG327:AM327&lt;&gt;""),AG327:AM327)))</t>
        </is>
      </c>
      <c r="BB327" s="38" t="inlineStr">
        <is>
          <t>IF(OR(E327="",AO327=""),"",IF(COUNT(AG327:AN327)=0,"",AO327-LOOKUP(2,1/(AG327:AN327&lt;&gt;""),AG327:AN327)))</t>
        </is>
      </c>
      <c r="BC327" s="38" t="inlineStr">
        <is>
          <t>IF(OR(E327="",AP327=""),"",IF(COUNT(AG327:AO327)=0,"",AP327-LOOKUP(2,1/(AG327:AO327&lt;&gt;""),AG327:AO327)))</t>
        </is>
      </c>
      <c r="BD327" s="38" t="inlineStr">
        <is>
          <t>IF(OR(E327="",AQ327=""),"",IF(COUNT(AG327:AP327)=0,"",AQ327-LOOKUP(2,1/(AG327:AP327&lt;&gt;""),AG327:AP327)))</t>
        </is>
      </c>
      <c r="BE327" s="38" t="inlineStr">
        <is>
          <t>IF(OR(E327="",AR327=""),"",IF(COUNT(AG327:AQ327)=0,"",AR327-LOOKUP(2,1/(AG327:AQ327&lt;&gt;""),AG327:AQ327)))</t>
        </is>
      </c>
      <c r="BF327" s="38" t="inlineStr">
        <is>
          <t>IF(OR(E327="",AS327=""),"",IF(COUNT(AG327:AR327)=0,"",AS327-LOOKUP(2,1/(AG327:AR327&lt;&gt;""),AG327:AR327)))</t>
        </is>
      </c>
      <c r="BG327" s="38" t="inlineStr">
        <is>
          <t>IF(OR(E327="",AT327=""),"",IF(COUNT(AG327:AS327)=0,"",AT327-LOOKUP(2,1/(AG327:AS327&lt;&gt;""),AG327:AS327)))</t>
        </is>
      </c>
      <c r="BH327" s="41" t="inlineStr">
        <is>
          <t>IF(G327="","All_Provinces",IFERROR(VLOOKUP(G327,'07_Lookups'!$A$4:$B$20,2,FALSE),"All_Provinces"))</t>
        </is>
      </c>
      <c r="BI327" s="41" t="inlineStr">
        <is>
          <t>IF(H327="","All_Districts",IFERROR(VLOOKUP(H327,'07_Lookups'!$E$4:$F$42,2,FALSE),"All_Districts"))</t>
        </is>
      </c>
    </row>
    <row r="328" ht="18" customHeight="1">
      <c r="A328" s="32" t="inlineStr">
        <is>
          <t>IF(E328="","",ROW()-3)</t>
        </is>
      </c>
      <c r="B328" s="33" t="inlineStr">
        <is>
          <t>AF2-AGF-R-015</t>
        </is>
      </c>
      <c r="C328" s="33" t="inlineStr">
        <is>
          <t>Emergency Food Security Project (EFSP) – WBK/AF-2</t>
        </is>
      </c>
      <c r="D328" s="33" t="inlineStr">
        <is>
          <t>Agroforestry saplings and seeds 2026/27</t>
        </is>
      </c>
      <c r="E328" s="33" t="inlineStr">
        <is>
          <t>Agroforestry — Paktia / Zazi Aryoub</t>
        </is>
      </c>
      <c r="F328" s="33" t="inlineStr">
        <is>
          <t>Agroforestry saplings / seeds</t>
        </is>
      </c>
      <c r="G328" s="33" t="inlineStr">
        <is>
          <t>Southeast / Gardez</t>
        </is>
      </c>
      <c r="H328" s="33" t="inlineStr">
        <is>
          <t>Paktia</t>
        </is>
      </c>
      <c r="I328" s="33" t="inlineStr">
        <is>
          <t>Zazi Aryoub</t>
        </is>
      </c>
      <c r="J328" s="33" t="inlineStr">
        <is>
          <t>Saplings: 9919; Seeds kg: 132</t>
        </is>
      </c>
      <c r="K328" s="33" t="inlineStr">
        <is>
          <t>World Bank (WBK/AF-2)</t>
        </is>
      </c>
      <c r="L328" s="33" t="inlineStr">
        <is>
          <t>Remaining</t>
        </is>
      </c>
      <c r="M328" s="33" t="inlineStr">
        <is>
          <t>Agroforestry</t>
        </is>
      </c>
      <c r="N328" s="33" t="inlineStr">
        <is>
          <t>7. Agroforestry Saplings-seeds</t>
        </is>
      </c>
      <c r="O328" s="33" t="inlineStr"/>
      <c r="P328" s="33" t="inlineStr"/>
      <c r="Q328" s="34" t="n"/>
      <c r="R328" s="35" t="inlineStr">
        <is>
          <t>IF(AO328="","",AO328)</t>
        </is>
      </c>
      <c r="S328" s="36" t="n">
        <v>46142</v>
      </c>
      <c r="T328" s="37" t="n">
        <v>12</v>
      </c>
      <c r="U328" s="36" t="n">
        <v>46478</v>
      </c>
      <c r="V328" s="35" t="inlineStr">
        <is>
          <t>IF(U328&lt;&gt;"",U328,IF(OR(R328="",T328=""),"",EDATE(R328,T328)))</t>
        </is>
      </c>
      <c r="W328" s="36" t="n"/>
      <c r="X328" s="37" t="n"/>
      <c r="Y328" s="33" t="inlineStr">
        <is>
          <t>Under Awarding</t>
        </is>
      </c>
      <c r="Z328" s="33" t="inlineStr">
        <is>
          <t>The saplings PO has already been issued and PO for seeds is expected to be issued in November 2026</t>
        </is>
      </c>
      <c r="AA328" s="32" t="inlineStr">
        <is>
          <t>IF(E328="","",IF(COUNT(AG328:AT328)=0,IF(Y328="","Not started",Y328),SUBSTITUTE(LOOKUP(2,1/(AG328:AT328&lt;&gt;""),$AG$3:$AT$3),"Date: ","")))</t>
        </is>
      </c>
      <c r="AB328" s="38" t="inlineStr">
        <is>
          <t>IF(OR(E328="",COUNT(AG328:AT328)=0),"",TODAY()-LOOKUP(2,1/(AG328:AT328&lt;&gt;""),AG328:AT328))</t>
        </is>
      </c>
      <c r="AC328" s="38" t="inlineStr">
        <is>
          <t>IF(OR(E328="",COUNT(AG328:AT328)&lt;2),"",LOOKUP(2,1/(AG328:AT328&lt;&gt;""),AG328:AT328)-MIN(AG328:AT328))</t>
        </is>
      </c>
      <c r="AD328" s="38" t="inlineStr">
        <is>
          <t>IF(OR(AB328="",AA328="Not started",AA328=""),"",IFERROR(AB328-IF(VLOOKUP(AA328,'04_Status_Pipeline'!$B$3:$E$20,4,FALSE)="",0,VLOOKUP(AA328,'04_Status_Pipeline'!$B$3:$E$20,4,FALSE)),""))</t>
        </is>
      </c>
      <c r="AE328" s="32" t="inlineStr">
        <is>
          <t>IF(E328="","",IF(OR(Y328="Cancelled",AA328="Cancelled"),"Cancelled",IF(OR(AA328="Completed / Handover",W328&lt;&gt;"",X328&gt;=100),"Completed — on track",IF(L328="Remaining",IF(S328="",IF(V328="","No planned date",IF(TODAY()&gt;V328,"Behind — past planned date",IF(V328-TODAY()&lt;=30,"At risk — close to off track","On track"))),IF(TODAY()&gt;S328,"Behind — award date passed",IF(S328-TODAY()&lt;=30,"At risk — close to off track","On track"))),IF(V328="","No planned date",IF(AND(TODAY()&gt;V328,OR(X328="",X328&lt;100)),"Behind — past end date",IF(AND(R328&lt;&gt;"",V328&lt;&gt;"",X328&lt;&gt;"",(X328&lt;100),((TODAY()-R328)/MAX(V328-R328,1)*100)-X328&gt;15),"Behind — progress lag",IF(AND(V328-TODAY()&lt;=30,V328-TODAY()&gt;=0,OR(X328="",X328&lt;90)),"At risk — close to off track","On track"))))))))</t>
        </is>
      </c>
      <c r="AF328" s="38" t="inlineStr">
        <is>
          <t>IF(OR(E328="",AA328="Completed / Handover",AA328="Cancelled"),"",IF(L328="Remaining",IF(S328&lt;&gt;"",S328-TODAY(),IF(V328="","",V328-TODAY())),IF(V328="","",V328-TODAY())))</t>
        </is>
      </c>
      <c r="AG328" s="36" t="n"/>
      <c r="AH328" s="36" t="n"/>
      <c r="AI328" s="36" t="n"/>
      <c r="AJ328" s="36" t="n"/>
      <c r="AK328" s="36" t="n"/>
      <c r="AL328" s="36" t="n"/>
      <c r="AM328" s="36" t="n"/>
      <c r="AN328" s="36" t="n"/>
      <c r="AO328" s="36" t="n"/>
      <c r="AP328" s="36" t="n"/>
      <c r="AQ328" s="36" t="n"/>
      <c r="AR328" s="40" t="n"/>
      <c r="AS328" s="40" t="n"/>
      <c r="AT328" s="40" t="n"/>
      <c r="AU328" s="38" t="inlineStr">
        <is>
          <t>IF(OR(E328="",AH328=""),"",IF(COUNT(AG328:AG328)=0,"",AH328-LOOKUP(2,1/(AG328:AG328&lt;&gt;""),AG328:AG328)))</t>
        </is>
      </c>
      <c r="AV328" s="38" t="inlineStr">
        <is>
          <t>IF(OR(E328="",AI328=""),"",IF(COUNT(AG328:AH328)=0,"",AI328-LOOKUP(2,1/(AG328:AH328&lt;&gt;""),AG328:AH328)))</t>
        </is>
      </c>
      <c r="AW328" s="38" t="inlineStr">
        <is>
          <t>IF(OR(E328="",AJ328=""),"",IF(COUNT(AG328:AI328)=0,"",AJ328-LOOKUP(2,1/(AG328:AI328&lt;&gt;""),AG328:AI328)))</t>
        </is>
      </c>
      <c r="AX328" s="38" t="inlineStr">
        <is>
          <t>IF(OR(E328="",AK328=""),"",IF(COUNT(AG328:AJ328)=0,"",AK328-LOOKUP(2,1/(AG328:AJ328&lt;&gt;""),AG328:AJ328)))</t>
        </is>
      </c>
      <c r="AY328" s="38" t="inlineStr">
        <is>
          <t>IF(OR(E328="",AL328=""),"",IF(COUNT(AG328:AK328)=0,"",AL328-LOOKUP(2,1/(AG328:AK328&lt;&gt;""),AG328:AK328)))</t>
        </is>
      </c>
      <c r="AZ328" s="38" t="inlineStr">
        <is>
          <t>IF(OR(E328="",AM328=""),"",IF(COUNT(AG328:AL328)=0,"",AM328-LOOKUP(2,1/(AG328:AL328&lt;&gt;""),AG328:AL328)))</t>
        </is>
      </c>
      <c r="BA328" s="38" t="inlineStr">
        <is>
          <t>IF(OR(E328="",AN328=""),"",IF(COUNT(AG328:AM328)=0,"",AN328-LOOKUP(2,1/(AG328:AM328&lt;&gt;""),AG328:AM328)))</t>
        </is>
      </c>
      <c r="BB328" s="38" t="inlineStr">
        <is>
          <t>IF(OR(E328="",AO328=""),"",IF(COUNT(AG328:AN328)=0,"",AO328-LOOKUP(2,1/(AG328:AN328&lt;&gt;""),AG328:AN328)))</t>
        </is>
      </c>
      <c r="BC328" s="38" t="inlineStr">
        <is>
          <t>IF(OR(E328="",AP328=""),"",IF(COUNT(AG328:AO328)=0,"",AP328-LOOKUP(2,1/(AG328:AO328&lt;&gt;""),AG328:AO328)))</t>
        </is>
      </c>
      <c r="BD328" s="38" t="inlineStr">
        <is>
          <t>IF(OR(E328="",AQ328=""),"",IF(COUNT(AG328:AP328)=0,"",AQ328-LOOKUP(2,1/(AG328:AP328&lt;&gt;""),AG328:AP328)))</t>
        </is>
      </c>
      <c r="BE328" s="38" t="inlineStr">
        <is>
          <t>IF(OR(E328="",AR328=""),"",IF(COUNT(AG328:AQ328)=0,"",AR328-LOOKUP(2,1/(AG328:AQ328&lt;&gt;""),AG328:AQ328)))</t>
        </is>
      </c>
      <c r="BF328" s="38" t="inlineStr">
        <is>
          <t>IF(OR(E328="",AS328=""),"",IF(COUNT(AG328:AR328)=0,"",AS328-LOOKUP(2,1/(AG328:AR328&lt;&gt;""),AG328:AR328)))</t>
        </is>
      </c>
      <c r="BG328" s="38" t="inlineStr">
        <is>
          <t>IF(OR(E328="",AT328=""),"",IF(COUNT(AG328:AS328)=0,"",AT328-LOOKUP(2,1/(AG328:AS328&lt;&gt;""),AG328:AS328)))</t>
        </is>
      </c>
      <c r="BH328" s="41" t="inlineStr">
        <is>
          <t>IF(G328="","All_Provinces",IFERROR(VLOOKUP(G328,'07_Lookups'!$A$4:$B$20,2,FALSE),"All_Provinces"))</t>
        </is>
      </c>
      <c r="BI328" s="41" t="inlineStr">
        <is>
          <t>IF(H328="","All_Districts",IFERROR(VLOOKUP(H328,'07_Lookups'!$E$4:$F$42,2,FALSE),"All_Districts"))</t>
        </is>
      </c>
    </row>
    <row r="329" ht="18" customHeight="1">
      <c r="A329" s="32" t="inlineStr">
        <is>
          <t>IF(E329="","",ROW()-3)</t>
        </is>
      </c>
      <c r="B329" s="42" t="inlineStr">
        <is>
          <t>AF2-AGF-R-016</t>
        </is>
      </c>
      <c r="C329" s="42" t="inlineStr">
        <is>
          <t>Emergency Food Security Project (EFSP) – WBK/AF-2</t>
        </is>
      </c>
      <c r="D329" s="42" t="inlineStr">
        <is>
          <t>Agroforestry saplings and seeds 2026/27</t>
        </is>
      </c>
      <c r="E329" s="42" t="inlineStr">
        <is>
          <t>Agroforestry — Paktia / Zurmat</t>
        </is>
      </c>
      <c r="F329" s="42" t="inlineStr">
        <is>
          <t>Agroforestry saplings / seeds</t>
        </is>
      </c>
      <c r="G329" s="42" t="inlineStr">
        <is>
          <t>Southeast / Gardez</t>
        </is>
      </c>
      <c r="H329" s="42" t="inlineStr">
        <is>
          <t>Paktia</t>
        </is>
      </c>
      <c r="I329" s="42" t="inlineStr">
        <is>
          <t>Zurmat</t>
        </is>
      </c>
      <c r="J329" s="42" t="inlineStr">
        <is>
          <t>Saplings: 8581; Seeds kg: 66</t>
        </is>
      </c>
      <c r="K329" s="42" t="inlineStr">
        <is>
          <t>World Bank (WBK/AF-2)</t>
        </is>
      </c>
      <c r="L329" s="42" t="inlineStr">
        <is>
          <t>Remaining</t>
        </is>
      </c>
      <c r="M329" s="42" t="inlineStr">
        <is>
          <t>Agroforestry</t>
        </is>
      </c>
      <c r="N329" s="42" t="inlineStr">
        <is>
          <t>7. Agroforestry Saplings-seeds</t>
        </is>
      </c>
      <c r="O329" s="42" t="inlineStr"/>
      <c r="P329" s="42" t="inlineStr"/>
      <c r="Q329" s="43" t="n"/>
      <c r="R329" s="35" t="inlineStr">
        <is>
          <t>IF(AO329="","",AO329)</t>
        </is>
      </c>
      <c r="S329" s="44" t="n">
        <v>46142</v>
      </c>
      <c r="T329" s="45" t="n">
        <v>12</v>
      </c>
      <c r="U329" s="44" t="n">
        <v>46478</v>
      </c>
      <c r="V329" s="35" t="inlineStr">
        <is>
          <t>IF(U329&lt;&gt;"",U329,IF(OR(R329="",T329=""),"",EDATE(R329,T329)))</t>
        </is>
      </c>
      <c r="W329" s="44" t="n"/>
      <c r="X329" s="45" t="n"/>
      <c r="Y329" s="42" t="inlineStr">
        <is>
          <t>Under Awarding</t>
        </is>
      </c>
      <c r="Z329" s="42" t="inlineStr">
        <is>
          <t>The saplings PO has already been issued and PO for seeds is expected to be issued in November 2026</t>
        </is>
      </c>
      <c r="AA329" s="32" t="inlineStr">
        <is>
          <t>IF(E329="","",IF(COUNT(AG329:AT329)=0,IF(Y329="","Not started",Y329),SUBSTITUTE(LOOKUP(2,1/(AG329:AT329&lt;&gt;""),$AG$3:$AT$3),"Date: ","")))</t>
        </is>
      </c>
      <c r="AB329" s="38" t="inlineStr">
        <is>
          <t>IF(OR(E329="",COUNT(AG329:AT329)=0),"",TODAY()-LOOKUP(2,1/(AG329:AT329&lt;&gt;""),AG329:AT329))</t>
        </is>
      </c>
      <c r="AC329" s="38" t="inlineStr">
        <is>
          <t>IF(OR(E329="",COUNT(AG329:AT329)&lt;2),"",LOOKUP(2,1/(AG329:AT329&lt;&gt;""),AG329:AT329)-MIN(AG329:AT329))</t>
        </is>
      </c>
      <c r="AD329" s="38" t="inlineStr">
        <is>
          <t>IF(OR(AB329="",AA329="Not started",AA329=""),"",IFERROR(AB329-IF(VLOOKUP(AA329,'04_Status_Pipeline'!$B$3:$E$20,4,FALSE)="",0,VLOOKUP(AA329,'04_Status_Pipeline'!$B$3:$E$20,4,FALSE)),""))</t>
        </is>
      </c>
      <c r="AE329" s="32" t="inlineStr">
        <is>
          <t>IF(E329="","",IF(OR(Y329="Cancelled",AA329="Cancelled"),"Cancelled",IF(OR(AA329="Completed / Handover",W329&lt;&gt;"",X329&gt;=100),"Completed — on track",IF(L329="Remaining",IF(S329="",IF(V329="","No planned date",IF(TODAY()&gt;V329,"Behind — past planned date",IF(V329-TODAY()&lt;=30,"At risk — close to off track","On track"))),IF(TODAY()&gt;S329,"Behind — award date passed",IF(S329-TODAY()&lt;=30,"At risk — close to off track","On track"))),IF(V329="","No planned date",IF(AND(TODAY()&gt;V329,OR(X329="",X329&lt;100)),"Behind — past end date",IF(AND(R329&lt;&gt;"",V329&lt;&gt;"",X329&lt;&gt;"",(X329&lt;100),((TODAY()-R329)/MAX(V329-R329,1)*100)-X329&gt;15),"Behind — progress lag",IF(AND(V329-TODAY()&lt;=30,V329-TODAY()&gt;=0,OR(X329="",X329&lt;90)),"At risk — close to off track","On track"))))))))</t>
        </is>
      </c>
      <c r="AF329" s="38" t="inlineStr">
        <is>
          <t>IF(OR(E329="",AA329="Completed / Handover",AA329="Cancelled"),"",IF(L329="Remaining",IF(S329&lt;&gt;"",S329-TODAY(),IF(V329="","",V329-TODAY())),IF(V329="","",V329-TODAY())))</t>
        </is>
      </c>
      <c r="AG329" s="44" t="n"/>
      <c r="AH329" s="44" t="n"/>
      <c r="AI329" s="44" t="n"/>
      <c r="AJ329" s="44" t="n"/>
      <c r="AK329" s="44" t="n"/>
      <c r="AL329" s="44" t="n"/>
      <c r="AM329" s="44" t="n"/>
      <c r="AN329" s="44" t="n"/>
      <c r="AO329" s="44" t="n"/>
      <c r="AP329" s="44" t="n"/>
      <c r="AQ329" s="44" t="n"/>
      <c r="AR329" s="40" t="n"/>
      <c r="AS329" s="40" t="n"/>
      <c r="AT329" s="40" t="n"/>
      <c r="AU329" s="38" t="inlineStr">
        <is>
          <t>IF(OR(E329="",AH329=""),"",IF(COUNT(AG329:AG329)=0,"",AH329-LOOKUP(2,1/(AG329:AG329&lt;&gt;""),AG329:AG329)))</t>
        </is>
      </c>
      <c r="AV329" s="38" t="inlineStr">
        <is>
          <t>IF(OR(E329="",AI329=""),"",IF(COUNT(AG329:AH329)=0,"",AI329-LOOKUP(2,1/(AG329:AH329&lt;&gt;""),AG329:AH329)))</t>
        </is>
      </c>
      <c r="AW329" s="38" t="inlineStr">
        <is>
          <t>IF(OR(E329="",AJ329=""),"",IF(COUNT(AG329:AI329)=0,"",AJ329-LOOKUP(2,1/(AG329:AI329&lt;&gt;""),AG329:AI329)))</t>
        </is>
      </c>
      <c r="AX329" s="38" t="inlineStr">
        <is>
          <t>IF(OR(E329="",AK329=""),"",IF(COUNT(AG329:AJ329)=0,"",AK329-LOOKUP(2,1/(AG329:AJ329&lt;&gt;""),AG329:AJ329)))</t>
        </is>
      </c>
      <c r="AY329" s="38" t="inlineStr">
        <is>
          <t>IF(OR(E329="",AL329=""),"",IF(COUNT(AG329:AK329)=0,"",AL329-LOOKUP(2,1/(AG329:AK329&lt;&gt;""),AG329:AK329)))</t>
        </is>
      </c>
      <c r="AZ329" s="38" t="inlineStr">
        <is>
          <t>IF(OR(E329="",AM329=""),"",IF(COUNT(AG329:AL329)=0,"",AM329-LOOKUP(2,1/(AG329:AL329&lt;&gt;""),AG329:AL329)))</t>
        </is>
      </c>
      <c r="BA329" s="38" t="inlineStr">
        <is>
          <t>IF(OR(E329="",AN329=""),"",IF(COUNT(AG329:AM329)=0,"",AN329-LOOKUP(2,1/(AG329:AM329&lt;&gt;""),AG329:AM329)))</t>
        </is>
      </c>
      <c r="BB329" s="38" t="inlineStr">
        <is>
          <t>IF(OR(E329="",AO329=""),"",IF(COUNT(AG329:AN329)=0,"",AO329-LOOKUP(2,1/(AG329:AN329&lt;&gt;""),AG329:AN329)))</t>
        </is>
      </c>
      <c r="BC329" s="38" t="inlineStr">
        <is>
          <t>IF(OR(E329="",AP329=""),"",IF(COUNT(AG329:AO329)=0,"",AP329-LOOKUP(2,1/(AG329:AO329&lt;&gt;""),AG329:AO329)))</t>
        </is>
      </c>
      <c r="BD329" s="38" t="inlineStr">
        <is>
          <t>IF(OR(E329="",AQ329=""),"",IF(COUNT(AG329:AP329)=0,"",AQ329-LOOKUP(2,1/(AG329:AP329&lt;&gt;""),AG329:AP329)))</t>
        </is>
      </c>
      <c r="BE329" s="38" t="inlineStr">
        <is>
          <t>IF(OR(E329="",AR329=""),"",IF(COUNT(AG329:AQ329)=0,"",AR329-LOOKUP(2,1/(AG329:AQ329&lt;&gt;""),AG329:AQ329)))</t>
        </is>
      </c>
      <c r="BF329" s="38" t="inlineStr">
        <is>
          <t>IF(OR(E329="",AS329=""),"",IF(COUNT(AG329:AR329)=0,"",AS329-LOOKUP(2,1/(AG329:AR329&lt;&gt;""),AG329:AR329)))</t>
        </is>
      </c>
      <c r="BG329" s="38" t="inlineStr">
        <is>
          <t>IF(OR(E329="",AT329=""),"",IF(COUNT(AG329:AS329)=0,"",AT329-LOOKUP(2,1/(AG329:AS329&lt;&gt;""),AG329:AS329)))</t>
        </is>
      </c>
      <c r="BH329" s="41" t="inlineStr">
        <is>
          <t>IF(G329="","All_Provinces",IFERROR(VLOOKUP(G329,'07_Lookups'!$A$4:$B$20,2,FALSE),"All_Provinces"))</t>
        </is>
      </c>
      <c r="BI329" s="41" t="inlineStr">
        <is>
          <t>IF(H329="","All_Districts",IFERROR(VLOOKUP(H329,'07_Lookups'!$E$4:$F$42,2,FALSE),"All_Districts"))</t>
        </is>
      </c>
    </row>
    <row r="330" ht="18" customHeight="1">
      <c r="A330" s="32" t="inlineStr">
        <is>
          <t>IF(E330="","",ROW()-3)</t>
        </is>
      </c>
      <c r="B330" s="33" t="inlineStr">
        <is>
          <t>AF2-AGF-R-017</t>
        </is>
      </c>
      <c r="C330" s="33" t="inlineStr">
        <is>
          <t>Emergency Food Security Project (EFSP) – WBK/AF-2</t>
        </is>
      </c>
      <c r="D330" s="33" t="inlineStr">
        <is>
          <t>Agroforestry saplings and seeds 2026/27</t>
        </is>
      </c>
      <c r="E330" s="33" t="inlineStr">
        <is>
          <t>Agroforestry — Paktika / Surobi</t>
        </is>
      </c>
      <c r="F330" s="33" t="inlineStr">
        <is>
          <t>Agroforestry saplings / seeds</t>
        </is>
      </c>
      <c r="G330" s="33" t="inlineStr">
        <is>
          <t>Southeast / Gardez</t>
        </is>
      </c>
      <c r="H330" s="33" t="inlineStr">
        <is>
          <t>Paktika</t>
        </is>
      </c>
      <c r="I330" s="33" t="inlineStr">
        <is>
          <t>Surobi</t>
        </is>
      </c>
      <c r="J330" s="33" t="inlineStr">
        <is>
          <t>Saplings: 3500; Seeds kg: 44</t>
        </is>
      </c>
      <c r="K330" s="33" t="inlineStr">
        <is>
          <t>World Bank (WBK/AF-2)</t>
        </is>
      </c>
      <c r="L330" s="33" t="inlineStr">
        <is>
          <t>Remaining</t>
        </is>
      </c>
      <c r="M330" s="33" t="inlineStr">
        <is>
          <t>Agroforestry</t>
        </is>
      </c>
      <c r="N330" s="33" t="inlineStr">
        <is>
          <t>7. Agroforestry Saplings-seeds</t>
        </is>
      </c>
      <c r="O330" s="33" t="inlineStr"/>
      <c r="P330" s="33" t="inlineStr"/>
      <c r="Q330" s="34" t="n"/>
      <c r="R330" s="35" t="inlineStr">
        <is>
          <t>IF(AO330="","",AO330)</t>
        </is>
      </c>
      <c r="S330" s="36" t="n">
        <v>46142</v>
      </c>
      <c r="T330" s="37" t="n">
        <v>12</v>
      </c>
      <c r="U330" s="36" t="n">
        <v>46478</v>
      </c>
      <c r="V330" s="35" t="inlineStr">
        <is>
          <t>IF(U330&lt;&gt;"",U330,IF(OR(R330="",T330=""),"",EDATE(R330,T330)))</t>
        </is>
      </c>
      <c r="W330" s="36" t="n"/>
      <c r="X330" s="37" t="n"/>
      <c r="Y330" s="33" t="inlineStr">
        <is>
          <t>Under Awarding</t>
        </is>
      </c>
      <c r="Z330" s="33" t="inlineStr">
        <is>
          <t>The saplings PO has already been issued and PO for seeds is expected to be issued in November 2026</t>
        </is>
      </c>
      <c r="AA330" s="32" t="inlineStr">
        <is>
          <t>IF(E330="","",IF(COUNT(AG330:AT330)=0,IF(Y330="","Not started",Y330),SUBSTITUTE(LOOKUP(2,1/(AG330:AT330&lt;&gt;""),$AG$3:$AT$3),"Date: ","")))</t>
        </is>
      </c>
      <c r="AB330" s="38" t="inlineStr">
        <is>
          <t>IF(OR(E330="",COUNT(AG330:AT330)=0),"",TODAY()-LOOKUP(2,1/(AG330:AT330&lt;&gt;""),AG330:AT330))</t>
        </is>
      </c>
      <c r="AC330" s="38" t="inlineStr">
        <is>
          <t>IF(OR(E330="",COUNT(AG330:AT330)&lt;2),"",LOOKUP(2,1/(AG330:AT330&lt;&gt;""),AG330:AT330)-MIN(AG330:AT330))</t>
        </is>
      </c>
      <c r="AD330" s="38" t="inlineStr">
        <is>
          <t>IF(OR(AB330="",AA330="Not started",AA330=""),"",IFERROR(AB330-IF(VLOOKUP(AA330,'04_Status_Pipeline'!$B$3:$E$20,4,FALSE)="",0,VLOOKUP(AA330,'04_Status_Pipeline'!$B$3:$E$20,4,FALSE)),""))</t>
        </is>
      </c>
      <c r="AE330" s="32" t="inlineStr">
        <is>
          <t>IF(E330="","",IF(OR(Y330="Cancelled",AA330="Cancelled"),"Cancelled",IF(OR(AA330="Completed / Handover",W330&lt;&gt;"",X330&gt;=100),"Completed — on track",IF(L330="Remaining",IF(S330="",IF(V330="","No planned date",IF(TODAY()&gt;V330,"Behind — past planned date",IF(V330-TODAY()&lt;=30,"At risk — close to off track","On track"))),IF(TODAY()&gt;S330,"Behind — award date passed",IF(S330-TODAY()&lt;=30,"At risk — close to off track","On track"))),IF(V330="","No planned date",IF(AND(TODAY()&gt;V330,OR(X330="",X330&lt;100)),"Behind — past end date",IF(AND(R330&lt;&gt;"",V330&lt;&gt;"",X330&lt;&gt;"",(X330&lt;100),((TODAY()-R330)/MAX(V330-R330,1)*100)-X330&gt;15),"Behind — progress lag",IF(AND(V330-TODAY()&lt;=30,V330-TODAY()&gt;=0,OR(X330="",X330&lt;90)),"At risk — close to off track","On track"))))))))</t>
        </is>
      </c>
      <c r="AF330" s="38" t="inlineStr">
        <is>
          <t>IF(OR(E330="",AA330="Completed / Handover",AA330="Cancelled"),"",IF(L330="Remaining",IF(S330&lt;&gt;"",S330-TODAY(),IF(V330="","",V330-TODAY())),IF(V330="","",V330-TODAY())))</t>
        </is>
      </c>
      <c r="AG330" s="36" t="n"/>
      <c r="AH330" s="36" t="n"/>
      <c r="AI330" s="36" t="n"/>
      <c r="AJ330" s="36" t="n"/>
      <c r="AK330" s="36" t="n"/>
      <c r="AL330" s="36" t="n"/>
      <c r="AM330" s="36" t="n"/>
      <c r="AN330" s="36" t="n"/>
      <c r="AO330" s="36" t="n"/>
      <c r="AP330" s="36" t="n"/>
      <c r="AQ330" s="36" t="n"/>
      <c r="AR330" s="40" t="n"/>
      <c r="AS330" s="40" t="n"/>
      <c r="AT330" s="40" t="n"/>
      <c r="AU330" s="38" t="inlineStr">
        <is>
          <t>IF(OR(E330="",AH330=""),"",IF(COUNT(AG330:AG330)=0,"",AH330-LOOKUP(2,1/(AG330:AG330&lt;&gt;""),AG330:AG330)))</t>
        </is>
      </c>
      <c r="AV330" s="38" t="inlineStr">
        <is>
          <t>IF(OR(E330="",AI330=""),"",IF(COUNT(AG330:AH330)=0,"",AI330-LOOKUP(2,1/(AG330:AH330&lt;&gt;""),AG330:AH330)))</t>
        </is>
      </c>
      <c r="AW330" s="38" t="inlineStr">
        <is>
          <t>IF(OR(E330="",AJ330=""),"",IF(COUNT(AG330:AI330)=0,"",AJ330-LOOKUP(2,1/(AG330:AI330&lt;&gt;""),AG330:AI330)))</t>
        </is>
      </c>
      <c r="AX330" s="38" t="inlineStr">
        <is>
          <t>IF(OR(E330="",AK330=""),"",IF(COUNT(AG330:AJ330)=0,"",AK330-LOOKUP(2,1/(AG330:AJ330&lt;&gt;""),AG330:AJ330)))</t>
        </is>
      </c>
      <c r="AY330" s="38" t="inlineStr">
        <is>
          <t>IF(OR(E330="",AL330=""),"",IF(COUNT(AG330:AK330)=0,"",AL330-LOOKUP(2,1/(AG330:AK330&lt;&gt;""),AG330:AK330)))</t>
        </is>
      </c>
      <c r="AZ330" s="38" t="inlineStr">
        <is>
          <t>IF(OR(E330="",AM330=""),"",IF(COUNT(AG330:AL330)=0,"",AM330-LOOKUP(2,1/(AG330:AL330&lt;&gt;""),AG330:AL330)))</t>
        </is>
      </c>
      <c r="BA330" s="38" t="inlineStr">
        <is>
          <t>IF(OR(E330="",AN330=""),"",IF(COUNT(AG330:AM330)=0,"",AN330-LOOKUP(2,1/(AG330:AM330&lt;&gt;""),AG330:AM330)))</t>
        </is>
      </c>
      <c r="BB330" s="38" t="inlineStr">
        <is>
          <t>IF(OR(E330="",AO330=""),"",IF(COUNT(AG330:AN330)=0,"",AO330-LOOKUP(2,1/(AG330:AN330&lt;&gt;""),AG330:AN330)))</t>
        </is>
      </c>
      <c r="BC330" s="38" t="inlineStr">
        <is>
          <t>IF(OR(E330="",AP330=""),"",IF(COUNT(AG330:AO330)=0,"",AP330-LOOKUP(2,1/(AG330:AO330&lt;&gt;""),AG330:AO330)))</t>
        </is>
      </c>
      <c r="BD330" s="38" t="inlineStr">
        <is>
          <t>IF(OR(E330="",AQ330=""),"",IF(COUNT(AG330:AP330)=0,"",AQ330-LOOKUP(2,1/(AG330:AP330&lt;&gt;""),AG330:AP330)))</t>
        </is>
      </c>
      <c r="BE330" s="38" t="inlineStr">
        <is>
          <t>IF(OR(E330="",AR330=""),"",IF(COUNT(AG330:AQ330)=0,"",AR330-LOOKUP(2,1/(AG330:AQ330&lt;&gt;""),AG330:AQ330)))</t>
        </is>
      </c>
      <c r="BF330" s="38" t="inlineStr">
        <is>
          <t>IF(OR(E330="",AS330=""),"",IF(COUNT(AG330:AR330)=0,"",AS330-LOOKUP(2,1/(AG330:AR330&lt;&gt;""),AG330:AR330)))</t>
        </is>
      </c>
      <c r="BG330" s="38" t="inlineStr">
        <is>
          <t>IF(OR(E330="",AT330=""),"",IF(COUNT(AG330:AS330)=0,"",AT330-LOOKUP(2,1/(AG330:AS330&lt;&gt;""),AG330:AS330)))</t>
        </is>
      </c>
      <c r="BH330" s="41" t="inlineStr">
        <is>
          <t>IF(G330="","All_Provinces",IFERROR(VLOOKUP(G330,'07_Lookups'!$A$4:$B$20,2,FALSE),"All_Provinces"))</t>
        </is>
      </c>
      <c r="BI330" s="41" t="inlineStr">
        <is>
          <t>IF(H330="","All_Districts",IFERROR(VLOOKUP(H330,'07_Lookups'!$E$4:$F$42,2,FALSE),"All_Districts"))</t>
        </is>
      </c>
    </row>
    <row r="331" ht="18" customHeight="1">
      <c r="A331" s="32" t="inlineStr">
        <is>
          <t>IF(E331="","",ROW()-3)</t>
        </is>
      </c>
      <c r="B331" s="42" t="inlineStr">
        <is>
          <t>AF2-AGF-R-018</t>
        </is>
      </c>
      <c r="C331" s="42" t="inlineStr">
        <is>
          <t>Emergency Food Security Project (EFSP) – WBK/AF-2</t>
        </is>
      </c>
      <c r="D331" s="42" t="inlineStr">
        <is>
          <t>Agroforestry saplings and seeds 2026/27</t>
        </is>
      </c>
      <c r="E331" s="42" t="inlineStr">
        <is>
          <t>Agroforestry — Khost / Qalander</t>
        </is>
      </c>
      <c r="F331" s="42" t="inlineStr">
        <is>
          <t>Agroforestry saplings / seeds</t>
        </is>
      </c>
      <c r="G331" s="42" t="inlineStr">
        <is>
          <t>Southeast / Gardez</t>
        </is>
      </c>
      <c r="H331" s="42" t="inlineStr">
        <is>
          <t>Khost</t>
        </is>
      </c>
      <c r="I331" s="42" t="inlineStr">
        <is>
          <t>Qalander</t>
        </is>
      </c>
      <c r="J331" s="42" t="inlineStr">
        <is>
          <t>Saplings: 7920; Seeds kg: 44</t>
        </is>
      </c>
      <c r="K331" s="42" t="inlineStr">
        <is>
          <t>World Bank (WBK/AF-2)</t>
        </is>
      </c>
      <c r="L331" s="42" t="inlineStr">
        <is>
          <t>Remaining</t>
        </is>
      </c>
      <c r="M331" s="42" t="inlineStr">
        <is>
          <t>Agroforestry</t>
        </is>
      </c>
      <c r="N331" s="42" t="inlineStr">
        <is>
          <t>7. Agroforestry Saplings-seeds</t>
        </is>
      </c>
      <c r="O331" s="42" t="inlineStr"/>
      <c r="P331" s="42" t="inlineStr"/>
      <c r="Q331" s="43" t="n"/>
      <c r="R331" s="35" t="inlineStr">
        <is>
          <t>IF(AO331="","",AO331)</t>
        </is>
      </c>
      <c r="S331" s="44" t="n">
        <v>46142</v>
      </c>
      <c r="T331" s="45" t="n">
        <v>12</v>
      </c>
      <c r="U331" s="44" t="n">
        <v>46478</v>
      </c>
      <c r="V331" s="35" t="inlineStr">
        <is>
          <t>IF(U331&lt;&gt;"",U331,IF(OR(R331="",T331=""),"",EDATE(R331,T331)))</t>
        </is>
      </c>
      <c r="W331" s="44" t="n"/>
      <c r="X331" s="45" t="n"/>
      <c r="Y331" s="42" t="inlineStr">
        <is>
          <t>Under Awarding</t>
        </is>
      </c>
      <c r="Z331" s="42" t="inlineStr">
        <is>
          <t>The saplings PO has already been issued and PO for seeds is expected to be issued in November 2026</t>
        </is>
      </c>
      <c r="AA331" s="32" t="inlineStr">
        <is>
          <t>IF(E331="","",IF(COUNT(AG331:AT331)=0,IF(Y331="","Not started",Y331),SUBSTITUTE(LOOKUP(2,1/(AG331:AT331&lt;&gt;""),$AG$3:$AT$3),"Date: ","")))</t>
        </is>
      </c>
      <c r="AB331" s="38" t="inlineStr">
        <is>
          <t>IF(OR(E331="",COUNT(AG331:AT331)=0),"",TODAY()-LOOKUP(2,1/(AG331:AT331&lt;&gt;""),AG331:AT331))</t>
        </is>
      </c>
      <c r="AC331" s="38" t="inlineStr">
        <is>
          <t>IF(OR(E331="",COUNT(AG331:AT331)&lt;2),"",LOOKUP(2,1/(AG331:AT331&lt;&gt;""),AG331:AT331)-MIN(AG331:AT331))</t>
        </is>
      </c>
      <c r="AD331" s="38" t="inlineStr">
        <is>
          <t>IF(OR(AB331="",AA331="Not started",AA331=""),"",IFERROR(AB331-IF(VLOOKUP(AA331,'04_Status_Pipeline'!$B$3:$E$20,4,FALSE)="",0,VLOOKUP(AA331,'04_Status_Pipeline'!$B$3:$E$20,4,FALSE)),""))</t>
        </is>
      </c>
      <c r="AE331" s="32" t="inlineStr">
        <is>
          <t>IF(E331="","",IF(OR(Y331="Cancelled",AA331="Cancelled"),"Cancelled",IF(OR(AA331="Completed / Handover",W331&lt;&gt;"",X331&gt;=100),"Completed — on track",IF(L331="Remaining",IF(S331="",IF(V331="","No planned date",IF(TODAY()&gt;V331,"Behind — past planned date",IF(V331-TODAY()&lt;=30,"At risk — close to off track","On track"))),IF(TODAY()&gt;S331,"Behind — award date passed",IF(S331-TODAY()&lt;=30,"At risk — close to off track","On track"))),IF(V331="","No planned date",IF(AND(TODAY()&gt;V331,OR(X331="",X331&lt;100)),"Behind — past end date",IF(AND(R331&lt;&gt;"",V331&lt;&gt;"",X331&lt;&gt;"",(X331&lt;100),((TODAY()-R331)/MAX(V331-R331,1)*100)-X331&gt;15),"Behind — progress lag",IF(AND(V331-TODAY()&lt;=30,V331-TODAY()&gt;=0,OR(X331="",X331&lt;90)),"At risk — close to off track","On track"))))))))</t>
        </is>
      </c>
      <c r="AF331" s="38" t="inlineStr">
        <is>
          <t>IF(OR(E331="",AA331="Completed / Handover",AA331="Cancelled"),"",IF(L331="Remaining",IF(S331&lt;&gt;"",S331-TODAY(),IF(V331="","",V331-TODAY())),IF(V331="","",V331-TODAY())))</t>
        </is>
      </c>
      <c r="AG331" s="44" t="n"/>
      <c r="AH331" s="44" t="n"/>
      <c r="AI331" s="44" t="n"/>
      <c r="AJ331" s="44" t="n"/>
      <c r="AK331" s="44" t="n"/>
      <c r="AL331" s="44" t="n"/>
      <c r="AM331" s="44" t="n"/>
      <c r="AN331" s="44" t="n"/>
      <c r="AO331" s="44" t="n"/>
      <c r="AP331" s="44" t="n"/>
      <c r="AQ331" s="44" t="n"/>
      <c r="AR331" s="40" t="n"/>
      <c r="AS331" s="40" t="n"/>
      <c r="AT331" s="40" t="n"/>
      <c r="AU331" s="38" t="inlineStr">
        <is>
          <t>IF(OR(E331="",AH331=""),"",IF(COUNT(AG331:AG331)=0,"",AH331-LOOKUP(2,1/(AG331:AG331&lt;&gt;""),AG331:AG331)))</t>
        </is>
      </c>
      <c r="AV331" s="38" t="inlineStr">
        <is>
          <t>IF(OR(E331="",AI331=""),"",IF(COUNT(AG331:AH331)=0,"",AI331-LOOKUP(2,1/(AG331:AH331&lt;&gt;""),AG331:AH331)))</t>
        </is>
      </c>
      <c r="AW331" s="38" t="inlineStr">
        <is>
          <t>IF(OR(E331="",AJ331=""),"",IF(COUNT(AG331:AI331)=0,"",AJ331-LOOKUP(2,1/(AG331:AI331&lt;&gt;""),AG331:AI331)))</t>
        </is>
      </c>
      <c r="AX331" s="38" t="inlineStr">
        <is>
          <t>IF(OR(E331="",AK331=""),"",IF(COUNT(AG331:AJ331)=0,"",AK331-LOOKUP(2,1/(AG331:AJ331&lt;&gt;""),AG331:AJ331)))</t>
        </is>
      </c>
      <c r="AY331" s="38" t="inlineStr">
        <is>
          <t>IF(OR(E331="",AL331=""),"",IF(COUNT(AG331:AK331)=0,"",AL331-LOOKUP(2,1/(AG331:AK331&lt;&gt;""),AG331:AK331)))</t>
        </is>
      </c>
      <c r="AZ331" s="38" t="inlineStr">
        <is>
          <t>IF(OR(E331="",AM331=""),"",IF(COUNT(AG331:AL331)=0,"",AM331-LOOKUP(2,1/(AG331:AL331&lt;&gt;""),AG331:AL331)))</t>
        </is>
      </c>
      <c r="BA331" s="38" t="inlineStr">
        <is>
          <t>IF(OR(E331="",AN331=""),"",IF(COUNT(AG331:AM331)=0,"",AN331-LOOKUP(2,1/(AG331:AM331&lt;&gt;""),AG331:AM331)))</t>
        </is>
      </c>
      <c r="BB331" s="38" t="inlineStr">
        <is>
          <t>IF(OR(E331="",AO331=""),"",IF(COUNT(AG331:AN331)=0,"",AO331-LOOKUP(2,1/(AG331:AN331&lt;&gt;""),AG331:AN331)))</t>
        </is>
      </c>
      <c r="BC331" s="38" t="inlineStr">
        <is>
          <t>IF(OR(E331="",AP331=""),"",IF(COUNT(AG331:AO331)=0,"",AP331-LOOKUP(2,1/(AG331:AO331&lt;&gt;""),AG331:AO331)))</t>
        </is>
      </c>
      <c r="BD331" s="38" t="inlineStr">
        <is>
          <t>IF(OR(E331="",AQ331=""),"",IF(COUNT(AG331:AP331)=0,"",AQ331-LOOKUP(2,1/(AG331:AP331&lt;&gt;""),AG331:AP331)))</t>
        </is>
      </c>
      <c r="BE331" s="38" t="inlineStr">
        <is>
          <t>IF(OR(E331="",AR331=""),"",IF(COUNT(AG331:AQ331)=0,"",AR331-LOOKUP(2,1/(AG331:AQ331&lt;&gt;""),AG331:AQ331)))</t>
        </is>
      </c>
      <c r="BF331" s="38" t="inlineStr">
        <is>
          <t>IF(OR(E331="",AS331=""),"",IF(COUNT(AG331:AR331)=0,"",AS331-LOOKUP(2,1/(AG331:AR331&lt;&gt;""),AG331:AR331)))</t>
        </is>
      </c>
      <c r="BG331" s="38" t="inlineStr">
        <is>
          <t>IF(OR(E331="",AT331=""),"",IF(COUNT(AG331:AS331)=0,"",AT331-LOOKUP(2,1/(AG331:AS331&lt;&gt;""),AG331:AS331)))</t>
        </is>
      </c>
      <c r="BH331" s="41" t="inlineStr">
        <is>
          <t>IF(G331="","All_Provinces",IFERROR(VLOOKUP(G331,'07_Lookups'!$A$4:$B$20,2,FALSE),"All_Provinces"))</t>
        </is>
      </c>
      <c r="BI331" s="41" t="inlineStr">
        <is>
          <t>IF(H331="","All_Districts",IFERROR(VLOOKUP(H331,'07_Lookups'!$E$4:$F$42,2,FALSE),"All_Districts"))</t>
        </is>
      </c>
    </row>
    <row r="332" ht="18" customHeight="1">
      <c r="A332" s="32" t="inlineStr">
        <is>
          <t>IF(E332="","",ROW()-3)</t>
        </is>
      </c>
      <c r="B332" s="33" t="inlineStr">
        <is>
          <t>AF2-AGF-R-019</t>
        </is>
      </c>
      <c r="C332" s="33" t="inlineStr">
        <is>
          <t>Emergency Food Security Project (EFSP) – WBK/AF-2</t>
        </is>
      </c>
      <c r="D332" s="33" t="inlineStr">
        <is>
          <t>Agroforestry saplings and seeds 2026/27</t>
        </is>
      </c>
      <c r="E332" s="33" t="inlineStr">
        <is>
          <t>Agroforestry — Khost / Musa Khil</t>
        </is>
      </c>
      <c r="F332" s="33" t="inlineStr">
        <is>
          <t>Agroforestry saplings / seeds</t>
        </is>
      </c>
      <c r="G332" s="33" t="inlineStr">
        <is>
          <t>Southeast / Gardez</t>
        </is>
      </c>
      <c r="H332" s="33" t="inlineStr">
        <is>
          <t>Khost</t>
        </is>
      </c>
      <c r="I332" s="33" t="inlineStr">
        <is>
          <t>Musa Khil</t>
        </is>
      </c>
      <c r="J332" s="33" t="inlineStr">
        <is>
          <t>Saplings: 7080; Seeds kg: 82</t>
        </is>
      </c>
      <c r="K332" s="33" t="inlineStr">
        <is>
          <t>World Bank (WBK/AF-2)</t>
        </is>
      </c>
      <c r="L332" s="33" t="inlineStr">
        <is>
          <t>Remaining</t>
        </is>
      </c>
      <c r="M332" s="33" t="inlineStr">
        <is>
          <t>Agroforestry</t>
        </is>
      </c>
      <c r="N332" s="33" t="inlineStr">
        <is>
          <t>7. Agroforestry Saplings-seeds</t>
        </is>
      </c>
      <c r="O332" s="33" t="inlineStr"/>
      <c r="P332" s="33" t="inlineStr"/>
      <c r="Q332" s="34" t="n"/>
      <c r="R332" s="35" t="inlineStr">
        <is>
          <t>IF(AO332="","",AO332)</t>
        </is>
      </c>
      <c r="S332" s="36" t="n">
        <v>46142</v>
      </c>
      <c r="T332" s="37" t="n">
        <v>12</v>
      </c>
      <c r="U332" s="36" t="n">
        <v>46478</v>
      </c>
      <c r="V332" s="35" t="inlineStr">
        <is>
          <t>IF(U332&lt;&gt;"",U332,IF(OR(R332="",T332=""),"",EDATE(R332,T332)))</t>
        </is>
      </c>
      <c r="W332" s="36" t="n"/>
      <c r="X332" s="37" t="n"/>
      <c r="Y332" s="33" t="inlineStr">
        <is>
          <t>Under Awarding</t>
        </is>
      </c>
      <c r="Z332" s="33" t="inlineStr">
        <is>
          <t>The saplings PO has already been issued and PO for seeds is expected to be issued in November 2026</t>
        </is>
      </c>
      <c r="AA332" s="32" t="inlineStr">
        <is>
          <t>IF(E332="","",IF(COUNT(AG332:AT332)=0,IF(Y332="","Not started",Y332),SUBSTITUTE(LOOKUP(2,1/(AG332:AT332&lt;&gt;""),$AG$3:$AT$3),"Date: ","")))</t>
        </is>
      </c>
      <c r="AB332" s="38" t="inlineStr">
        <is>
          <t>IF(OR(E332="",COUNT(AG332:AT332)=0),"",TODAY()-LOOKUP(2,1/(AG332:AT332&lt;&gt;""),AG332:AT332))</t>
        </is>
      </c>
      <c r="AC332" s="38" t="inlineStr">
        <is>
          <t>IF(OR(E332="",COUNT(AG332:AT332)&lt;2),"",LOOKUP(2,1/(AG332:AT332&lt;&gt;""),AG332:AT332)-MIN(AG332:AT332))</t>
        </is>
      </c>
      <c r="AD332" s="38" t="inlineStr">
        <is>
          <t>IF(OR(AB332="",AA332="Not started",AA332=""),"",IFERROR(AB332-IF(VLOOKUP(AA332,'04_Status_Pipeline'!$B$3:$E$20,4,FALSE)="",0,VLOOKUP(AA332,'04_Status_Pipeline'!$B$3:$E$20,4,FALSE)),""))</t>
        </is>
      </c>
      <c r="AE332" s="32" t="inlineStr">
        <is>
          <t>IF(E332="","",IF(OR(Y332="Cancelled",AA332="Cancelled"),"Cancelled",IF(OR(AA332="Completed / Handover",W332&lt;&gt;"",X332&gt;=100),"Completed — on track",IF(L332="Remaining",IF(S332="",IF(V332="","No planned date",IF(TODAY()&gt;V332,"Behind — past planned date",IF(V332-TODAY()&lt;=30,"At risk — close to off track","On track"))),IF(TODAY()&gt;S332,"Behind — award date passed",IF(S332-TODAY()&lt;=30,"At risk — close to off track","On track"))),IF(V332="","No planned date",IF(AND(TODAY()&gt;V332,OR(X332="",X332&lt;100)),"Behind — past end date",IF(AND(R332&lt;&gt;"",V332&lt;&gt;"",X332&lt;&gt;"",(X332&lt;100),((TODAY()-R332)/MAX(V332-R332,1)*100)-X332&gt;15),"Behind — progress lag",IF(AND(V332-TODAY()&lt;=30,V332-TODAY()&gt;=0,OR(X332="",X332&lt;90)),"At risk — close to off track","On track"))))))))</t>
        </is>
      </c>
      <c r="AF332" s="38" t="inlineStr">
        <is>
          <t>IF(OR(E332="",AA332="Completed / Handover",AA332="Cancelled"),"",IF(L332="Remaining",IF(S332&lt;&gt;"",S332-TODAY(),IF(V332="","",V332-TODAY())),IF(V332="","",V332-TODAY())))</t>
        </is>
      </c>
      <c r="AG332" s="36" t="n"/>
      <c r="AH332" s="36" t="n"/>
      <c r="AI332" s="36" t="n"/>
      <c r="AJ332" s="36" t="n"/>
      <c r="AK332" s="36" t="n"/>
      <c r="AL332" s="36" t="n"/>
      <c r="AM332" s="36" t="n"/>
      <c r="AN332" s="36" t="n"/>
      <c r="AO332" s="36" t="n"/>
      <c r="AP332" s="36" t="n"/>
      <c r="AQ332" s="36" t="n"/>
      <c r="AR332" s="40" t="n"/>
      <c r="AS332" s="40" t="n"/>
      <c r="AT332" s="40" t="n"/>
      <c r="AU332" s="38" t="inlineStr">
        <is>
          <t>IF(OR(E332="",AH332=""),"",IF(COUNT(AG332:AG332)=0,"",AH332-LOOKUP(2,1/(AG332:AG332&lt;&gt;""),AG332:AG332)))</t>
        </is>
      </c>
      <c r="AV332" s="38" t="inlineStr">
        <is>
          <t>IF(OR(E332="",AI332=""),"",IF(COUNT(AG332:AH332)=0,"",AI332-LOOKUP(2,1/(AG332:AH332&lt;&gt;""),AG332:AH332)))</t>
        </is>
      </c>
      <c r="AW332" s="38" t="inlineStr">
        <is>
          <t>IF(OR(E332="",AJ332=""),"",IF(COUNT(AG332:AI332)=0,"",AJ332-LOOKUP(2,1/(AG332:AI332&lt;&gt;""),AG332:AI332)))</t>
        </is>
      </c>
      <c r="AX332" s="38" t="inlineStr">
        <is>
          <t>IF(OR(E332="",AK332=""),"",IF(COUNT(AG332:AJ332)=0,"",AK332-LOOKUP(2,1/(AG332:AJ332&lt;&gt;""),AG332:AJ332)))</t>
        </is>
      </c>
      <c r="AY332" s="38" t="inlineStr">
        <is>
          <t>IF(OR(E332="",AL332=""),"",IF(COUNT(AG332:AK332)=0,"",AL332-LOOKUP(2,1/(AG332:AK332&lt;&gt;""),AG332:AK332)))</t>
        </is>
      </c>
      <c r="AZ332" s="38" t="inlineStr">
        <is>
          <t>IF(OR(E332="",AM332=""),"",IF(COUNT(AG332:AL332)=0,"",AM332-LOOKUP(2,1/(AG332:AL332&lt;&gt;""),AG332:AL332)))</t>
        </is>
      </c>
      <c r="BA332" s="38" t="inlineStr">
        <is>
          <t>IF(OR(E332="",AN332=""),"",IF(COUNT(AG332:AM332)=0,"",AN332-LOOKUP(2,1/(AG332:AM332&lt;&gt;""),AG332:AM332)))</t>
        </is>
      </c>
      <c r="BB332" s="38" t="inlineStr">
        <is>
          <t>IF(OR(E332="",AO332=""),"",IF(COUNT(AG332:AN332)=0,"",AO332-LOOKUP(2,1/(AG332:AN332&lt;&gt;""),AG332:AN332)))</t>
        </is>
      </c>
      <c r="BC332" s="38" t="inlineStr">
        <is>
          <t>IF(OR(E332="",AP332=""),"",IF(COUNT(AG332:AO332)=0,"",AP332-LOOKUP(2,1/(AG332:AO332&lt;&gt;""),AG332:AO332)))</t>
        </is>
      </c>
      <c r="BD332" s="38" t="inlineStr">
        <is>
          <t>IF(OR(E332="",AQ332=""),"",IF(COUNT(AG332:AP332)=0,"",AQ332-LOOKUP(2,1/(AG332:AP332&lt;&gt;""),AG332:AP332)))</t>
        </is>
      </c>
      <c r="BE332" s="38" t="inlineStr">
        <is>
          <t>IF(OR(E332="",AR332=""),"",IF(COUNT(AG332:AQ332)=0,"",AR332-LOOKUP(2,1/(AG332:AQ332&lt;&gt;""),AG332:AQ332)))</t>
        </is>
      </c>
      <c r="BF332" s="38" t="inlineStr">
        <is>
          <t>IF(OR(E332="",AS332=""),"",IF(COUNT(AG332:AR332)=0,"",AS332-LOOKUP(2,1/(AG332:AR332&lt;&gt;""),AG332:AR332)))</t>
        </is>
      </c>
      <c r="BG332" s="38" t="inlineStr">
        <is>
          <t>IF(OR(E332="",AT332=""),"",IF(COUNT(AG332:AS332)=0,"",AT332-LOOKUP(2,1/(AG332:AS332&lt;&gt;""),AG332:AS332)))</t>
        </is>
      </c>
      <c r="BH332" s="41" t="inlineStr">
        <is>
          <t>IF(G332="","All_Provinces",IFERROR(VLOOKUP(G332,'07_Lookups'!$A$4:$B$20,2,FALSE),"All_Provinces"))</t>
        </is>
      </c>
      <c r="BI332" s="41" t="inlineStr">
        <is>
          <t>IF(H332="","All_Districts",IFERROR(VLOOKUP(H332,'07_Lookups'!$E$4:$F$42,2,FALSE),"All_Districts"))</t>
        </is>
      </c>
    </row>
    <row r="333" ht="18" customHeight="1">
      <c r="A333" s="32" t="inlineStr">
        <is>
          <t>IF(E333="","",ROW()-3)</t>
        </is>
      </c>
      <c r="B333" s="42" t="inlineStr">
        <is>
          <t>AF2-AGF-R-020</t>
        </is>
      </c>
      <c r="C333" s="42" t="inlineStr">
        <is>
          <t>Emergency Food Security Project (EFSP) – WBK/AF-2</t>
        </is>
      </c>
      <c r="D333" s="42" t="inlineStr">
        <is>
          <t>Agroforestry saplings and seeds 2026/27</t>
        </is>
      </c>
      <c r="E333" s="42" t="inlineStr">
        <is>
          <t>Agroforestry — Kabul / Surubi</t>
        </is>
      </c>
      <c r="F333" s="42" t="inlineStr">
        <is>
          <t>Agroforestry saplings / seeds</t>
        </is>
      </c>
      <c r="G333" s="42" t="inlineStr">
        <is>
          <t>Central / Kabul</t>
        </is>
      </c>
      <c r="H333" s="42" t="inlineStr">
        <is>
          <t>Kabul</t>
        </is>
      </c>
      <c r="I333" s="42" t="inlineStr">
        <is>
          <t>Surubi</t>
        </is>
      </c>
      <c r="J333" s="42" t="inlineStr">
        <is>
          <t>Saplings: 10000; Seeds kg: 250</t>
        </is>
      </c>
      <c r="K333" s="42" t="inlineStr">
        <is>
          <t>World Bank (WBK/AF-2)</t>
        </is>
      </c>
      <c r="L333" s="42" t="inlineStr">
        <is>
          <t>Remaining</t>
        </is>
      </c>
      <c r="M333" s="42" t="inlineStr">
        <is>
          <t>Agroforestry</t>
        </is>
      </c>
      <c r="N333" s="42" t="inlineStr">
        <is>
          <t>7. Agroforestry Saplings-seeds</t>
        </is>
      </c>
      <c r="O333" s="42" t="inlineStr"/>
      <c r="P333" s="42" t="inlineStr"/>
      <c r="Q333" s="43" t="n"/>
      <c r="R333" s="35" t="inlineStr">
        <is>
          <t>IF(AO333="","",AO333)</t>
        </is>
      </c>
      <c r="S333" s="44" t="n">
        <v>46142</v>
      </c>
      <c r="T333" s="45" t="n">
        <v>12</v>
      </c>
      <c r="U333" s="44" t="n">
        <v>46478</v>
      </c>
      <c r="V333" s="35" t="inlineStr">
        <is>
          <t>IF(U333&lt;&gt;"",U333,IF(OR(R333="",T333=""),"",EDATE(R333,T333)))</t>
        </is>
      </c>
      <c r="W333" s="44" t="n"/>
      <c r="X333" s="45" t="n"/>
      <c r="Y333" s="42" t="inlineStr">
        <is>
          <t>Under Awarding</t>
        </is>
      </c>
      <c r="Z333" s="42" t="inlineStr">
        <is>
          <t>The saplings PO has already been issued and PO for seeds is expected to be issued in November 2026</t>
        </is>
      </c>
      <c r="AA333" s="32" t="inlineStr">
        <is>
          <t>IF(E333="","",IF(COUNT(AG333:AT333)=0,IF(Y333="","Not started",Y333),SUBSTITUTE(LOOKUP(2,1/(AG333:AT333&lt;&gt;""),$AG$3:$AT$3),"Date: ","")))</t>
        </is>
      </c>
      <c r="AB333" s="38" t="inlineStr">
        <is>
          <t>IF(OR(E333="",COUNT(AG333:AT333)=0),"",TODAY()-LOOKUP(2,1/(AG333:AT333&lt;&gt;""),AG333:AT333))</t>
        </is>
      </c>
      <c r="AC333" s="38" t="inlineStr">
        <is>
          <t>IF(OR(E333="",COUNT(AG333:AT333)&lt;2),"",LOOKUP(2,1/(AG333:AT333&lt;&gt;""),AG333:AT333)-MIN(AG333:AT333))</t>
        </is>
      </c>
      <c r="AD333" s="38" t="inlineStr">
        <is>
          <t>IF(OR(AB333="",AA333="Not started",AA333=""),"",IFERROR(AB333-IF(VLOOKUP(AA333,'04_Status_Pipeline'!$B$3:$E$20,4,FALSE)="",0,VLOOKUP(AA333,'04_Status_Pipeline'!$B$3:$E$20,4,FALSE)),""))</t>
        </is>
      </c>
      <c r="AE333" s="32" t="inlineStr">
        <is>
          <t>IF(E333="","",IF(OR(Y333="Cancelled",AA333="Cancelled"),"Cancelled",IF(OR(AA333="Completed / Handover",W333&lt;&gt;"",X333&gt;=100),"Completed — on track",IF(L333="Remaining",IF(S333="",IF(V333="","No planned date",IF(TODAY()&gt;V333,"Behind — past planned date",IF(V333-TODAY()&lt;=30,"At risk — close to off track","On track"))),IF(TODAY()&gt;S333,"Behind — award date passed",IF(S333-TODAY()&lt;=30,"At risk — close to off track","On track"))),IF(V333="","No planned date",IF(AND(TODAY()&gt;V333,OR(X333="",X333&lt;100)),"Behind — past end date",IF(AND(R333&lt;&gt;"",V333&lt;&gt;"",X333&lt;&gt;"",(X333&lt;100),((TODAY()-R333)/MAX(V333-R333,1)*100)-X333&gt;15),"Behind — progress lag",IF(AND(V333-TODAY()&lt;=30,V333-TODAY()&gt;=0,OR(X333="",X333&lt;90)),"At risk — close to off track","On track"))))))))</t>
        </is>
      </c>
      <c r="AF333" s="38" t="inlineStr">
        <is>
          <t>IF(OR(E333="",AA333="Completed / Handover",AA333="Cancelled"),"",IF(L333="Remaining",IF(S333&lt;&gt;"",S333-TODAY(),IF(V333="","",V333-TODAY())),IF(V333="","",V333-TODAY())))</t>
        </is>
      </c>
      <c r="AG333" s="44" t="n"/>
      <c r="AH333" s="44" t="n"/>
      <c r="AI333" s="44" t="n"/>
      <c r="AJ333" s="44" t="n"/>
      <c r="AK333" s="44" t="n"/>
      <c r="AL333" s="44" t="n"/>
      <c r="AM333" s="44" t="n"/>
      <c r="AN333" s="44" t="n"/>
      <c r="AO333" s="44" t="n"/>
      <c r="AP333" s="44" t="n"/>
      <c r="AQ333" s="44" t="n"/>
      <c r="AR333" s="40" t="n"/>
      <c r="AS333" s="40" t="n"/>
      <c r="AT333" s="40" t="n"/>
      <c r="AU333" s="38" t="inlineStr">
        <is>
          <t>IF(OR(E333="",AH333=""),"",IF(COUNT(AG333:AG333)=0,"",AH333-LOOKUP(2,1/(AG333:AG333&lt;&gt;""),AG333:AG333)))</t>
        </is>
      </c>
      <c r="AV333" s="38" t="inlineStr">
        <is>
          <t>IF(OR(E333="",AI333=""),"",IF(COUNT(AG333:AH333)=0,"",AI333-LOOKUP(2,1/(AG333:AH333&lt;&gt;""),AG333:AH333)))</t>
        </is>
      </c>
      <c r="AW333" s="38" t="inlineStr">
        <is>
          <t>IF(OR(E333="",AJ333=""),"",IF(COUNT(AG333:AI333)=0,"",AJ333-LOOKUP(2,1/(AG333:AI333&lt;&gt;""),AG333:AI333)))</t>
        </is>
      </c>
      <c r="AX333" s="38" t="inlineStr">
        <is>
          <t>IF(OR(E333="",AK333=""),"",IF(COUNT(AG333:AJ333)=0,"",AK333-LOOKUP(2,1/(AG333:AJ333&lt;&gt;""),AG333:AJ333)))</t>
        </is>
      </c>
      <c r="AY333" s="38" t="inlineStr">
        <is>
          <t>IF(OR(E333="",AL333=""),"",IF(COUNT(AG333:AK333)=0,"",AL333-LOOKUP(2,1/(AG333:AK333&lt;&gt;""),AG333:AK333)))</t>
        </is>
      </c>
      <c r="AZ333" s="38" t="inlineStr">
        <is>
          <t>IF(OR(E333="",AM333=""),"",IF(COUNT(AG333:AL333)=0,"",AM333-LOOKUP(2,1/(AG333:AL333&lt;&gt;""),AG333:AL333)))</t>
        </is>
      </c>
      <c r="BA333" s="38" t="inlineStr">
        <is>
          <t>IF(OR(E333="",AN333=""),"",IF(COUNT(AG333:AM333)=0,"",AN333-LOOKUP(2,1/(AG333:AM333&lt;&gt;""),AG333:AM333)))</t>
        </is>
      </c>
      <c r="BB333" s="38" t="inlineStr">
        <is>
          <t>IF(OR(E333="",AO333=""),"",IF(COUNT(AG333:AN333)=0,"",AO333-LOOKUP(2,1/(AG333:AN333&lt;&gt;""),AG333:AN333)))</t>
        </is>
      </c>
      <c r="BC333" s="38" t="inlineStr">
        <is>
          <t>IF(OR(E333="",AP333=""),"",IF(COUNT(AG333:AO333)=0,"",AP333-LOOKUP(2,1/(AG333:AO333&lt;&gt;""),AG333:AO333)))</t>
        </is>
      </c>
      <c r="BD333" s="38" t="inlineStr">
        <is>
          <t>IF(OR(E333="",AQ333=""),"",IF(COUNT(AG333:AP333)=0,"",AQ333-LOOKUP(2,1/(AG333:AP333&lt;&gt;""),AG333:AP333)))</t>
        </is>
      </c>
      <c r="BE333" s="38" t="inlineStr">
        <is>
          <t>IF(OR(E333="",AR333=""),"",IF(COUNT(AG333:AQ333)=0,"",AR333-LOOKUP(2,1/(AG333:AQ333&lt;&gt;""),AG333:AQ333)))</t>
        </is>
      </c>
      <c r="BF333" s="38" t="inlineStr">
        <is>
          <t>IF(OR(E333="",AS333=""),"",IF(COUNT(AG333:AR333)=0,"",AS333-LOOKUP(2,1/(AG333:AR333&lt;&gt;""),AG333:AR333)))</t>
        </is>
      </c>
      <c r="BG333" s="38" t="inlineStr">
        <is>
          <t>IF(OR(E333="",AT333=""),"",IF(COUNT(AG333:AS333)=0,"",AT333-LOOKUP(2,1/(AG333:AS333&lt;&gt;""),AG333:AS333)))</t>
        </is>
      </c>
      <c r="BH333" s="41" t="inlineStr">
        <is>
          <t>IF(G333="","All_Provinces",IFERROR(VLOOKUP(G333,'07_Lookups'!$A$4:$B$20,2,FALSE),"All_Provinces"))</t>
        </is>
      </c>
      <c r="BI333" s="41" t="inlineStr">
        <is>
          <t>IF(H333="","All_Districts",IFERROR(VLOOKUP(H333,'07_Lookups'!$E$4:$F$42,2,FALSE),"All_Districts"))</t>
        </is>
      </c>
    </row>
    <row r="334" ht="18" customHeight="1">
      <c r="A334" s="32" t="inlineStr">
        <is>
          <t>IF(E334="","",ROW()-3)</t>
        </is>
      </c>
      <c r="B334" s="33" t="inlineStr">
        <is>
          <t>AF2-AGF-R-021</t>
        </is>
      </c>
      <c r="C334" s="33" t="inlineStr">
        <is>
          <t>Emergency Food Security Project (EFSP) – WBK/AF-2</t>
        </is>
      </c>
      <c r="D334" s="33" t="inlineStr">
        <is>
          <t>Agroforestry saplings and seeds 2026/27</t>
        </is>
      </c>
      <c r="E334" s="33" t="inlineStr">
        <is>
          <t>Agroforestry — Panjsher / Unaba</t>
        </is>
      </c>
      <c r="F334" s="33" t="inlineStr">
        <is>
          <t>Agroforestry saplings / seeds</t>
        </is>
      </c>
      <c r="G334" s="33" t="inlineStr">
        <is>
          <t>Central / Kabul</t>
        </is>
      </c>
      <c r="H334" s="33" t="inlineStr">
        <is>
          <t>Panjsher</t>
        </is>
      </c>
      <c r="I334" s="33" t="inlineStr">
        <is>
          <t>Unaba</t>
        </is>
      </c>
      <c r="J334" s="33" t="inlineStr">
        <is>
          <t>Saplings: 4000; Seeds kg: 250</t>
        </is>
      </c>
      <c r="K334" s="33" t="inlineStr">
        <is>
          <t>World Bank (WBK/AF-2)</t>
        </is>
      </c>
      <c r="L334" s="33" t="inlineStr">
        <is>
          <t>Remaining</t>
        </is>
      </c>
      <c r="M334" s="33" t="inlineStr">
        <is>
          <t>Agroforestry</t>
        </is>
      </c>
      <c r="N334" s="33" t="inlineStr">
        <is>
          <t>7. Agroforestry Saplings-seeds</t>
        </is>
      </c>
      <c r="O334" s="33" t="inlineStr"/>
      <c r="P334" s="33" t="inlineStr"/>
      <c r="Q334" s="34" t="n"/>
      <c r="R334" s="35" t="inlineStr">
        <is>
          <t>IF(AO334="","",AO334)</t>
        </is>
      </c>
      <c r="S334" s="36" t="n">
        <v>46142</v>
      </c>
      <c r="T334" s="37" t="n">
        <v>12</v>
      </c>
      <c r="U334" s="36" t="n">
        <v>46478</v>
      </c>
      <c r="V334" s="35" t="inlineStr">
        <is>
          <t>IF(U334&lt;&gt;"",U334,IF(OR(R334="",T334=""),"",EDATE(R334,T334)))</t>
        </is>
      </c>
      <c r="W334" s="36" t="n"/>
      <c r="X334" s="37" t="n"/>
      <c r="Y334" s="33" t="inlineStr">
        <is>
          <t>Under Awarding</t>
        </is>
      </c>
      <c r="Z334" s="33" t="inlineStr">
        <is>
          <t>The saplings PO has already been issued and PO for seeds is expected to be issued in November 2026</t>
        </is>
      </c>
      <c r="AA334" s="32" t="inlineStr">
        <is>
          <t>IF(E334="","",IF(COUNT(AG334:AT334)=0,IF(Y334="","Not started",Y334),SUBSTITUTE(LOOKUP(2,1/(AG334:AT334&lt;&gt;""),$AG$3:$AT$3),"Date: ","")))</t>
        </is>
      </c>
      <c r="AB334" s="38" t="inlineStr">
        <is>
          <t>IF(OR(E334="",COUNT(AG334:AT334)=0),"",TODAY()-LOOKUP(2,1/(AG334:AT334&lt;&gt;""),AG334:AT334))</t>
        </is>
      </c>
      <c r="AC334" s="38" t="inlineStr">
        <is>
          <t>IF(OR(E334="",COUNT(AG334:AT334)&lt;2),"",LOOKUP(2,1/(AG334:AT334&lt;&gt;""),AG334:AT334)-MIN(AG334:AT334))</t>
        </is>
      </c>
      <c r="AD334" s="38" t="inlineStr">
        <is>
          <t>IF(OR(AB334="",AA334="Not started",AA334=""),"",IFERROR(AB334-IF(VLOOKUP(AA334,'04_Status_Pipeline'!$B$3:$E$20,4,FALSE)="",0,VLOOKUP(AA334,'04_Status_Pipeline'!$B$3:$E$20,4,FALSE)),""))</t>
        </is>
      </c>
      <c r="AE334" s="32" t="inlineStr">
        <is>
          <t>IF(E334="","",IF(OR(Y334="Cancelled",AA334="Cancelled"),"Cancelled",IF(OR(AA334="Completed / Handover",W334&lt;&gt;"",X334&gt;=100),"Completed — on track",IF(L334="Remaining",IF(S334="",IF(V334="","No planned date",IF(TODAY()&gt;V334,"Behind — past planned date",IF(V334-TODAY()&lt;=30,"At risk — close to off track","On track"))),IF(TODAY()&gt;S334,"Behind — award date passed",IF(S334-TODAY()&lt;=30,"At risk — close to off track","On track"))),IF(V334="","No planned date",IF(AND(TODAY()&gt;V334,OR(X334="",X334&lt;100)),"Behind — past end date",IF(AND(R334&lt;&gt;"",V334&lt;&gt;"",X334&lt;&gt;"",(X334&lt;100),((TODAY()-R334)/MAX(V334-R334,1)*100)-X334&gt;15),"Behind — progress lag",IF(AND(V334-TODAY()&lt;=30,V334-TODAY()&gt;=0,OR(X334="",X334&lt;90)),"At risk — close to off track","On track"))))))))</t>
        </is>
      </c>
      <c r="AF334" s="38" t="inlineStr">
        <is>
          <t>IF(OR(E334="",AA334="Completed / Handover",AA334="Cancelled"),"",IF(L334="Remaining",IF(S334&lt;&gt;"",S334-TODAY(),IF(V334="","",V334-TODAY())),IF(V334="","",V334-TODAY())))</t>
        </is>
      </c>
      <c r="AG334" s="36" t="n"/>
      <c r="AH334" s="36" t="n"/>
      <c r="AI334" s="36" t="n"/>
      <c r="AJ334" s="36" t="n"/>
      <c r="AK334" s="36" t="n"/>
      <c r="AL334" s="36" t="n"/>
      <c r="AM334" s="36" t="n"/>
      <c r="AN334" s="36" t="n"/>
      <c r="AO334" s="36" t="n"/>
      <c r="AP334" s="36" t="n"/>
      <c r="AQ334" s="36" t="n"/>
      <c r="AR334" s="40" t="n"/>
      <c r="AS334" s="40" t="n"/>
      <c r="AT334" s="40" t="n"/>
      <c r="AU334" s="38" t="inlineStr">
        <is>
          <t>IF(OR(E334="",AH334=""),"",IF(COUNT(AG334:AG334)=0,"",AH334-LOOKUP(2,1/(AG334:AG334&lt;&gt;""),AG334:AG334)))</t>
        </is>
      </c>
      <c r="AV334" s="38" t="inlineStr">
        <is>
          <t>IF(OR(E334="",AI334=""),"",IF(COUNT(AG334:AH334)=0,"",AI334-LOOKUP(2,1/(AG334:AH334&lt;&gt;""),AG334:AH334)))</t>
        </is>
      </c>
      <c r="AW334" s="38" t="inlineStr">
        <is>
          <t>IF(OR(E334="",AJ334=""),"",IF(COUNT(AG334:AI334)=0,"",AJ334-LOOKUP(2,1/(AG334:AI334&lt;&gt;""),AG334:AI334)))</t>
        </is>
      </c>
      <c r="AX334" s="38" t="inlineStr">
        <is>
          <t>IF(OR(E334="",AK334=""),"",IF(COUNT(AG334:AJ334)=0,"",AK334-LOOKUP(2,1/(AG334:AJ334&lt;&gt;""),AG334:AJ334)))</t>
        </is>
      </c>
      <c r="AY334" s="38" t="inlineStr">
        <is>
          <t>IF(OR(E334="",AL334=""),"",IF(COUNT(AG334:AK334)=0,"",AL334-LOOKUP(2,1/(AG334:AK334&lt;&gt;""),AG334:AK334)))</t>
        </is>
      </c>
      <c r="AZ334" s="38" t="inlineStr">
        <is>
          <t>IF(OR(E334="",AM334=""),"",IF(COUNT(AG334:AL334)=0,"",AM334-LOOKUP(2,1/(AG334:AL334&lt;&gt;""),AG334:AL334)))</t>
        </is>
      </c>
      <c r="BA334" s="38" t="inlineStr">
        <is>
          <t>IF(OR(E334="",AN334=""),"",IF(COUNT(AG334:AM334)=0,"",AN334-LOOKUP(2,1/(AG334:AM334&lt;&gt;""),AG334:AM334)))</t>
        </is>
      </c>
      <c r="BB334" s="38" t="inlineStr">
        <is>
          <t>IF(OR(E334="",AO334=""),"",IF(COUNT(AG334:AN334)=0,"",AO334-LOOKUP(2,1/(AG334:AN334&lt;&gt;""),AG334:AN334)))</t>
        </is>
      </c>
      <c r="BC334" s="38" t="inlineStr">
        <is>
          <t>IF(OR(E334="",AP334=""),"",IF(COUNT(AG334:AO334)=0,"",AP334-LOOKUP(2,1/(AG334:AO334&lt;&gt;""),AG334:AO334)))</t>
        </is>
      </c>
      <c r="BD334" s="38" t="inlineStr">
        <is>
          <t>IF(OR(E334="",AQ334=""),"",IF(COUNT(AG334:AP334)=0,"",AQ334-LOOKUP(2,1/(AG334:AP334&lt;&gt;""),AG334:AP334)))</t>
        </is>
      </c>
      <c r="BE334" s="38" t="inlineStr">
        <is>
          <t>IF(OR(E334="",AR334=""),"",IF(COUNT(AG334:AQ334)=0,"",AR334-LOOKUP(2,1/(AG334:AQ334&lt;&gt;""),AG334:AQ334)))</t>
        </is>
      </c>
      <c r="BF334" s="38" t="inlineStr">
        <is>
          <t>IF(OR(E334="",AS334=""),"",IF(COUNT(AG334:AR334)=0,"",AS334-LOOKUP(2,1/(AG334:AR334&lt;&gt;""),AG334:AR334)))</t>
        </is>
      </c>
      <c r="BG334" s="38" t="inlineStr">
        <is>
          <t>IF(OR(E334="",AT334=""),"",IF(COUNT(AG334:AS334)=0,"",AT334-LOOKUP(2,1/(AG334:AS334&lt;&gt;""),AG334:AS334)))</t>
        </is>
      </c>
      <c r="BH334" s="41" t="inlineStr">
        <is>
          <t>IF(G334="","All_Provinces",IFERROR(VLOOKUP(G334,'07_Lookups'!$A$4:$B$20,2,FALSE),"All_Provinces"))</t>
        </is>
      </c>
      <c r="BI334" s="41" t="inlineStr">
        <is>
          <t>IF(H334="","All_Districts",IFERROR(VLOOKUP(H334,'07_Lookups'!$E$4:$F$42,2,FALSE),"All_Districts"))</t>
        </is>
      </c>
    </row>
    <row r="335" ht="18" customHeight="1">
      <c r="A335" s="32" t="inlineStr">
        <is>
          <t>IF(E335="","",ROW()-3)</t>
        </is>
      </c>
      <c r="B335" s="42" t="inlineStr">
        <is>
          <t>AF2-AGF-R-022</t>
        </is>
      </c>
      <c r="C335" s="42" t="inlineStr">
        <is>
          <t>Emergency Food Security Project (EFSP) – WBK/AF-2</t>
        </is>
      </c>
      <c r="D335" s="42" t="inlineStr">
        <is>
          <t>Agroforestry saplings and seeds 2026/27</t>
        </is>
      </c>
      <c r="E335" s="42" t="inlineStr">
        <is>
          <t>Agroforestry — Panjsher / Khinj</t>
        </is>
      </c>
      <c r="F335" s="42" t="inlineStr">
        <is>
          <t>Agroforestry saplings / seeds</t>
        </is>
      </c>
      <c r="G335" s="42" t="inlineStr">
        <is>
          <t>Central / Kabul</t>
        </is>
      </c>
      <c r="H335" s="42" t="inlineStr">
        <is>
          <t>Panjsher</t>
        </is>
      </c>
      <c r="I335" s="42" t="inlineStr">
        <is>
          <t>Khinj</t>
        </is>
      </c>
      <c r="J335" s="42" t="inlineStr">
        <is>
          <t>Saplings: 3000; Seeds kg: 150</t>
        </is>
      </c>
      <c r="K335" s="42" t="inlineStr">
        <is>
          <t>World Bank (WBK/AF-2)</t>
        </is>
      </c>
      <c r="L335" s="42" t="inlineStr">
        <is>
          <t>Remaining</t>
        </is>
      </c>
      <c r="M335" s="42" t="inlineStr">
        <is>
          <t>Agroforestry</t>
        </is>
      </c>
      <c r="N335" s="42" t="inlineStr">
        <is>
          <t>7. Agroforestry Saplings-seeds</t>
        </is>
      </c>
      <c r="O335" s="42" t="inlineStr"/>
      <c r="P335" s="42" t="inlineStr"/>
      <c r="Q335" s="43" t="n"/>
      <c r="R335" s="35" t="inlineStr">
        <is>
          <t>IF(AO335="","",AO335)</t>
        </is>
      </c>
      <c r="S335" s="44" t="n">
        <v>46142</v>
      </c>
      <c r="T335" s="45" t="n">
        <v>12</v>
      </c>
      <c r="U335" s="44" t="n">
        <v>46478</v>
      </c>
      <c r="V335" s="35" t="inlineStr">
        <is>
          <t>IF(U335&lt;&gt;"",U335,IF(OR(R335="",T335=""),"",EDATE(R335,T335)))</t>
        </is>
      </c>
      <c r="W335" s="44" t="n"/>
      <c r="X335" s="45" t="n"/>
      <c r="Y335" s="42" t="inlineStr">
        <is>
          <t>Under Awarding</t>
        </is>
      </c>
      <c r="Z335" s="42" t="inlineStr">
        <is>
          <t>The saplings PO has already been issued and PO for seeds is expected to be issued in November 2026</t>
        </is>
      </c>
      <c r="AA335" s="32" t="inlineStr">
        <is>
          <t>IF(E335="","",IF(COUNT(AG335:AT335)=0,IF(Y335="","Not started",Y335),SUBSTITUTE(LOOKUP(2,1/(AG335:AT335&lt;&gt;""),$AG$3:$AT$3),"Date: ","")))</t>
        </is>
      </c>
      <c r="AB335" s="38" t="inlineStr">
        <is>
          <t>IF(OR(E335="",COUNT(AG335:AT335)=0),"",TODAY()-LOOKUP(2,1/(AG335:AT335&lt;&gt;""),AG335:AT335))</t>
        </is>
      </c>
      <c r="AC335" s="38" t="inlineStr">
        <is>
          <t>IF(OR(E335="",COUNT(AG335:AT335)&lt;2),"",LOOKUP(2,1/(AG335:AT335&lt;&gt;""),AG335:AT335)-MIN(AG335:AT335))</t>
        </is>
      </c>
      <c r="AD335" s="38" t="inlineStr">
        <is>
          <t>IF(OR(AB335="",AA335="Not started",AA335=""),"",IFERROR(AB335-IF(VLOOKUP(AA335,'04_Status_Pipeline'!$B$3:$E$20,4,FALSE)="",0,VLOOKUP(AA335,'04_Status_Pipeline'!$B$3:$E$20,4,FALSE)),""))</t>
        </is>
      </c>
      <c r="AE335" s="32" t="inlineStr">
        <is>
          <t>IF(E335="","",IF(OR(Y335="Cancelled",AA335="Cancelled"),"Cancelled",IF(OR(AA335="Completed / Handover",W335&lt;&gt;"",X335&gt;=100),"Completed — on track",IF(L335="Remaining",IF(S335="",IF(V335="","No planned date",IF(TODAY()&gt;V335,"Behind — past planned date",IF(V335-TODAY()&lt;=30,"At risk — close to off track","On track"))),IF(TODAY()&gt;S335,"Behind — award date passed",IF(S335-TODAY()&lt;=30,"At risk — close to off track","On track"))),IF(V335="","No planned date",IF(AND(TODAY()&gt;V335,OR(X335="",X335&lt;100)),"Behind — past end date",IF(AND(R335&lt;&gt;"",V335&lt;&gt;"",X335&lt;&gt;"",(X335&lt;100),((TODAY()-R335)/MAX(V335-R335,1)*100)-X335&gt;15),"Behind — progress lag",IF(AND(V335-TODAY()&lt;=30,V335-TODAY()&gt;=0,OR(X335="",X335&lt;90)),"At risk — close to off track","On track"))))))))</t>
        </is>
      </c>
      <c r="AF335" s="38" t="inlineStr">
        <is>
          <t>IF(OR(E335="",AA335="Completed / Handover",AA335="Cancelled"),"",IF(L335="Remaining",IF(S335&lt;&gt;"",S335-TODAY(),IF(V335="","",V335-TODAY())),IF(V335="","",V335-TODAY())))</t>
        </is>
      </c>
      <c r="AG335" s="44" t="n"/>
      <c r="AH335" s="44" t="n"/>
      <c r="AI335" s="44" t="n"/>
      <c r="AJ335" s="44" t="n"/>
      <c r="AK335" s="44" t="n"/>
      <c r="AL335" s="44" t="n"/>
      <c r="AM335" s="44" t="n"/>
      <c r="AN335" s="44" t="n"/>
      <c r="AO335" s="44" t="n"/>
      <c r="AP335" s="44" t="n"/>
      <c r="AQ335" s="44" t="n"/>
      <c r="AR335" s="40" t="n"/>
      <c r="AS335" s="40" t="n"/>
      <c r="AT335" s="40" t="n"/>
      <c r="AU335" s="38" t="inlineStr">
        <is>
          <t>IF(OR(E335="",AH335=""),"",IF(COUNT(AG335:AG335)=0,"",AH335-LOOKUP(2,1/(AG335:AG335&lt;&gt;""),AG335:AG335)))</t>
        </is>
      </c>
      <c r="AV335" s="38" t="inlineStr">
        <is>
          <t>IF(OR(E335="",AI335=""),"",IF(COUNT(AG335:AH335)=0,"",AI335-LOOKUP(2,1/(AG335:AH335&lt;&gt;""),AG335:AH335)))</t>
        </is>
      </c>
      <c r="AW335" s="38" t="inlineStr">
        <is>
          <t>IF(OR(E335="",AJ335=""),"",IF(COUNT(AG335:AI335)=0,"",AJ335-LOOKUP(2,1/(AG335:AI335&lt;&gt;""),AG335:AI335)))</t>
        </is>
      </c>
      <c r="AX335" s="38" t="inlineStr">
        <is>
          <t>IF(OR(E335="",AK335=""),"",IF(COUNT(AG335:AJ335)=0,"",AK335-LOOKUP(2,1/(AG335:AJ335&lt;&gt;""),AG335:AJ335)))</t>
        </is>
      </c>
      <c r="AY335" s="38" t="inlineStr">
        <is>
          <t>IF(OR(E335="",AL335=""),"",IF(COUNT(AG335:AK335)=0,"",AL335-LOOKUP(2,1/(AG335:AK335&lt;&gt;""),AG335:AK335)))</t>
        </is>
      </c>
      <c r="AZ335" s="38" t="inlineStr">
        <is>
          <t>IF(OR(E335="",AM335=""),"",IF(COUNT(AG335:AL335)=0,"",AM335-LOOKUP(2,1/(AG335:AL335&lt;&gt;""),AG335:AL335)))</t>
        </is>
      </c>
      <c r="BA335" s="38" t="inlineStr">
        <is>
          <t>IF(OR(E335="",AN335=""),"",IF(COUNT(AG335:AM335)=0,"",AN335-LOOKUP(2,1/(AG335:AM335&lt;&gt;""),AG335:AM335)))</t>
        </is>
      </c>
      <c r="BB335" s="38" t="inlineStr">
        <is>
          <t>IF(OR(E335="",AO335=""),"",IF(COUNT(AG335:AN335)=0,"",AO335-LOOKUP(2,1/(AG335:AN335&lt;&gt;""),AG335:AN335)))</t>
        </is>
      </c>
      <c r="BC335" s="38" t="inlineStr">
        <is>
          <t>IF(OR(E335="",AP335=""),"",IF(COUNT(AG335:AO335)=0,"",AP335-LOOKUP(2,1/(AG335:AO335&lt;&gt;""),AG335:AO335)))</t>
        </is>
      </c>
      <c r="BD335" s="38" t="inlineStr">
        <is>
          <t>IF(OR(E335="",AQ335=""),"",IF(COUNT(AG335:AP335)=0,"",AQ335-LOOKUP(2,1/(AG335:AP335&lt;&gt;""),AG335:AP335)))</t>
        </is>
      </c>
      <c r="BE335" s="38" t="inlineStr">
        <is>
          <t>IF(OR(E335="",AR335=""),"",IF(COUNT(AG335:AQ335)=0,"",AR335-LOOKUP(2,1/(AG335:AQ335&lt;&gt;""),AG335:AQ335)))</t>
        </is>
      </c>
      <c r="BF335" s="38" t="inlineStr">
        <is>
          <t>IF(OR(E335="",AS335=""),"",IF(COUNT(AG335:AR335)=0,"",AS335-LOOKUP(2,1/(AG335:AR335&lt;&gt;""),AG335:AR335)))</t>
        </is>
      </c>
      <c r="BG335" s="38" t="inlineStr">
        <is>
          <t>IF(OR(E335="",AT335=""),"",IF(COUNT(AG335:AS335)=0,"",AT335-LOOKUP(2,1/(AG335:AS335&lt;&gt;""),AG335:AS335)))</t>
        </is>
      </c>
      <c r="BH335" s="41" t="inlineStr">
        <is>
          <t>IF(G335="","All_Provinces",IFERROR(VLOOKUP(G335,'07_Lookups'!$A$4:$B$20,2,FALSE),"All_Provinces"))</t>
        </is>
      </c>
      <c r="BI335" s="41" t="inlineStr">
        <is>
          <t>IF(H335="","All_Districts",IFERROR(VLOOKUP(H335,'07_Lookups'!$E$4:$F$42,2,FALSE),"All_Districts"))</t>
        </is>
      </c>
    </row>
    <row r="336" ht="18" customHeight="1">
      <c r="A336" s="32" t="inlineStr">
        <is>
          <t>IF(E336="","",ROW()-3)</t>
        </is>
      </c>
      <c r="B336" s="33" t="inlineStr">
        <is>
          <t>AF2-AGF-R-023</t>
        </is>
      </c>
      <c r="C336" s="33" t="inlineStr">
        <is>
          <t>Emergency Food Security Project (EFSP) – WBK/AF-2</t>
        </is>
      </c>
      <c r="D336" s="33" t="inlineStr">
        <is>
          <t>Agroforestry saplings and seeds 2026/27</t>
        </is>
      </c>
      <c r="E336" s="33" t="inlineStr">
        <is>
          <t>Agroforestry — Panjsher / Paryan</t>
        </is>
      </c>
      <c r="F336" s="33" t="inlineStr">
        <is>
          <t>Agroforestry saplings / seeds</t>
        </is>
      </c>
      <c r="G336" s="33" t="inlineStr">
        <is>
          <t>Central / Kabul</t>
        </is>
      </c>
      <c r="H336" s="33" t="inlineStr">
        <is>
          <t>Panjsher</t>
        </is>
      </c>
      <c r="I336" s="33" t="inlineStr">
        <is>
          <t>Paryan</t>
        </is>
      </c>
      <c r="J336" s="33" t="inlineStr">
        <is>
          <t>Saplings: 3000; Seeds kg: 200</t>
        </is>
      </c>
      <c r="K336" s="33" t="inlineStr">
        <is>
          <t>World Bank (WBK/AF-2)</t>
        </is>
      </c>
      <c r="L336" s="33" t="inlineStr">
        <is>
          <t>Remaining</t>
        </is>
      </c>
      <c r="M336" s="33" t="inlineStr">
        <is>
          <t>Agroforestry</t>
        </is>
      </c>
      <c r="N336" s="33" t="inlineStr">
        <is>
          <t>7. Agroforestry Saplings-seeds</t>
        </is>
      </c>
      <c r="O336" s="33" t="inlineStr"/>
      <c r="P336" s="33" t="inlineStr"/>
      <c r="Q336" s="34" t="n"/>
      <c r="R336" s="35" t="inlineStr">
        <is>
          <t>IF(AO336="","",AO336)</t>
        </is>
      </c>
      <c r="S336" s="36" t="n">
        <v>46142</v>
      </c>
      <c r="T336" s="37" t="n">
        <v>12</v>
      </c>
      <c r="U336" s="36" t="n">
        <v>46478</v>
      </c>
      <c r="V336" s="35" t="inlineStr">
        <is>
          <t>IF(U336&lt;&gt;"",U336,IF(OR(R336="",T336=""),"",EDATE(R336,T336)))</t>
        </is>
      </c>
      <c r="W336" s="36" t="n"/>
      <c r="X336" s="37" t="n"/>
      <c r="Y336" s="33" t="inlineStr">
        <is>
          <t>Under Awarding</t>
        </is>
      </c>
      <c r="Z336" s="33" t="inlineStr">
        <is>
          <t>The saplings PO has already been issued and PO for seeds is expected to be issued in November 2026</t>
        </is>
      </c>
      <c r="AA336" s="32" t="inlineStr">
        <is>
          <t>IF(E336="","",IF(COUNT(AG336:AT336)=0,IF(Y336="","Not started",Y336),SUBSTITUTE(LOOKUP(2,1/(AG336:AT336&lt;&gt;""),$AG$3:$AT$3),"Date: ","")))</t>
        </is>
      </c>
      <c r="AB336" s="38" t="inlineStr">
        <is>
          <t>IF(OR(E336="",COUNT(AG336:AT336)=0),"",TODAY()-LOOKUP(2,1/(AG336:AT336&lt;&gt;""),AG336:AT336))</t>
        </is>
      </c>
      <c r="AC336" s="38" t="inlineStr">
        <is>
          <t>IF(OR(E336="",COUNT(AG336:AT336)&lt;2),"",LOOKUP(2,1/(AG336:AT336&lt;&gt;""),AG336:AT336)-MIN(AG336:AT336))</t>
        </is>
      </c>
      <c r="AD336" s="38" t="inlineStr">
        <is>
          <t>IF(OR(AB336="",AA336="Not started",AA336=""),"",IFERROR(AB336-IF(VLOOKUP(AA336,'04_Status_Pipeline'!$B$3:$E$20,4,FALSE)="",0,VLOOKUP(AA336,'04_Status_Pipeline'!$B$3:$E$20,4,FALSE)),""))</t>
        </is>
      </c>
      <c r="AE336" s="32" t="inlineStr">
        <is>
          <t>IF(E336="","",IF(OR(Y336="Cancelled",AA336="Cancelled"),"Cancelled",IF(OR(AA336="Completed / Handover",W336&lt;&gt;"",X336&gt;=100),"Completed — on track",IF(L336="Remaining",IF(S336="",IF(V336="","No planned date",IF(TODAY()&gt;V336,"Behind — past planned date",IF(V336-TODAY()&lt;=30,"At risk — close to off track","On track"))),IF(TODAY()&gt;S336,"Behind — award date passed",IF(S336-TODAY()&lt;=30,"At risk — close to off track","On track"))),IF(V336="","No planned date",IF(AND(TODAY()&gt;V336,OR(X336="",X336&lt;100)),"Behind — past end date",IF(AND(R336&lt;&gt;"",V336&lt;&gt;"",X336&lt;&gt;"",(X336&lt;100),((TODAY()-R336)/MAX(V336-R336,1)*100)-X336&gt;15),"Behind — progress lag",IF(AND(V336-TODAY()&lt;=30,V336-TODAY()&gt;=0,OR(X336="",X336&lt;90)),"At risk — close to off track","On track"))))))))</t>
        </is>
      </c>
      <c r="AF336" s="38" t="inlineStr">
        <is>
          <t>IF(OR(E336="",AA336="Completed / Handover",AA336="Cancelled"),"",IF(L336="Remaining",IF(S336&lt;&gt;"",S336-TODAY(),IF(V336="","",V336-TODAY())),IF(V336="","",V336-TODAY())))</t>
        </is>
      </c>
      <c r="AG336" s="36" t="n"/>
      <c r="AH336" s="36" t="n"/>
      <c r="AI336" s="36" t="n"/>
      <c r="AJ336" s="36" t="n"/>
      <c r="AK336" s="36" t="n"/>
      <c r="AL336" s="36" t="n"/>
      <c r="AM336" s="36" t="n"/>
      <c r="AN336" s="36" t="n"/>
      <c r="AO336" s="36" t="n"/>
      <c r="AP336" s="36" t="n"/>
      <c r="AQ336" s="36" t="n"/>
      <c r="AR336" s="40" t="n"/>
      <c r="AS336" s="40" t="n"/>
      <c r="AT336" s="40" t="n"/>
      <c r="AU336" s="38" t="inlineStr">
        <is>
          <t>IF(OR(E336="",AH336=""),"",IF(COUNT(AG336:AG336)=0,"",AH336-LOOKUP(2,1/(AG336:AG336&lt;&gt;""),AG336:AG336)))</t>
        </is>
      </c>
      <c r="AV336" s="38" t="inlineStr">
        <is>
          <t>IF(OR(E336="",AI336=""),"",IF(COUNT(AG336:AH336)=0,"",AI336-LOOKUP(2,1/(AG336:AH336&lt;&gt;""),AG336:AH336)))</t>
        </is>
      </c>
      <c r="AW336" s="38" t="inlineStr">
        <is>
          <t>IF(OR(E336="",AJ336=""),"",IF(COUNT(AG336:AI336)=0,"",AJ336-LOOKUP(2,1/(AG336:AI336&lt;&gt;""),AG336:AI336)))</t>
        </is>
      </c>
      <c r="AX336" s="38" t="inlineStr">
        <is>
          <t>IF(OR(E336="",AK336=""),"",IF(COUNT(AG336:AJ336)=0,"",AK336-LOOKUP(2,1/(AG336:AJ336&lt;&gt;""),AG336:AJ336)))</t>
        </is>
      </c>
      <c r="AY336" s="38" t="inlineStr">
        <is>
          <t>IF(OR(E336="",AL336=""),"",IF(COUNT(AG336:AK336)=0,"",AL336-LOOKUP(2,1/(AG336:AK336&lt;&gt;""),AG336:AK336)))</t>
        </is>
      </c>
      <c r="AZ336" s="38" t="inlineStr">
        <is>
          <t>IF(OR(E336="",AM336=""),"",IF(COUNT(AG336:AL336)=0,"",AM336-LOOKUP(2,1/(AG336:AL336&lt;&gt;""),AG336:AL336)))</t>
        </is>
      </c>
      <c r="BA336" s="38" t="inlineStr">
        <is>
          <t>IF(OR(E336="",AN336=""),"",IF(COUNT(AG336:AM336)=0,"",AN336-LOOKUP(2,1/(AG336:AM336&lt;&gt;""),AG336:AM336)))</t>
        </is>
      </c>
      <c r="BB336" s="38" t="inlineStr">
        <is>
          <t>IF(OR(E336="",AO336=""),"",IF(COUNT(AG336:AN336)=0,"",AO336-LOOKUP(2,1/(AG336:AN336&lt;&gt;""),AG336:AN336)))</t>
        </is>
      </c>
      <c r="BC336" s="38" t="inlineStr">
        <is>
          <t>IF(OR(E336="",AP336=""),"",IF(COUNT(AG336:AO336)=0,"",AP336-LOOKUP(2,1/(AG336:AO336&lt;&gt;""),AG336:AO336)))</t>
        </is>
      </c>
      <c r="BD336" s="38" t="inlineStr">
        <is>
          <t>IF(OR(E336="",AQ336=""),"",IF(COUNT(AG336:AP336)=0,"",AQ336-LOOKUP(2,1/(AG336:AP336&lt;&gt;""),AG336:AP336)))</t>
        </is>
      </c>
      <c r="BE336" s="38" t="inlineStr">
        <is>
          <t>IF(OR(E336="",AR336=""),"",IF(COUNT(AG336:AQ336)=0,"",AR336-LOOKUP(2,1/(AG336:AQ336&lt;&gt;""),AG336:AQ336)))</t>
        </is>
      </c>
      <c r="BF336" s="38" t="inlineStr">
        <is>
          <t>IF(OR(E336="",AS336=""),"",IF(COUNT(AG336:AR336)=0,"",AS336-LOOKUP(2,1/(AG336:AR336&lt;&gt;""),AG336:AR336)))</t>
        </is>
      </c>
      <c r="BG336" s="38" t="inlineStr">
        <is>
          <t>IF(OR(E336="",AT336=""),"",IF(COUNT(AG336:AS336)=0,"",AT336-LOOKUP(2,1/(AG336:AS336&lt;&gt;""),AG336:AS336)))</t>
        </is>
      </c>
      <c r="BH336" s="41" t="inlineStr">
        <is>
          <t>IF(G336="","All_Provinces",IFERROR(VLOOKUP(G336,'07_Lookups'!$A$4:$B$20,2,FALSE),"All_Provinces"))</t>
        </is>
      </c>
      <c r="BI336" s="41" t="inlineStr">
        <is>
          <t>IF(H336="","All_Districts",IFERROR(VLOOKUP(H336,'07_Lookups'!$E$4:$F$42,2,FALSE),"All_Districts"))</t>
        </is>
      </c>
    </row>
    <row r="337" ht="18" customHeight="1">
      <c r="A337" s="32" t="inlineStr">
        <is>
          <t>IF(E337="","",ROW()-3)</t>
        </is>
      </c>
      <c r="B337" s="42" t="inlineStr">
        <is>
          <t>AF2-AGF-R-024</t>
        </is>
      </c>
      <c r="C337" s="42" t="inlineStr">
        <is>
          <t>Emergency Food Security Project (EFSP) – WBK/AF-2</t>
        </is>
      </c>
      <c r="D337" s="42" t="inlineStr">
        <is>
          <t>Agroforestry saplings and seeds 2026/27</t>
        </is>
      </c>
      <c r="E337" s="42" t="inlineStr">
        <is>
          <t>Agroforestry — Nangarhar / Pachiragam</t>
        </is>
      </c>
      <c r="F337" s="42" t="inlineStr">
        <is>
          <t>Agroforestry saplings / seeds</t>
        </is>
      </c>
      <c r="G337" s="42" t="inlineStr">
        <is>
          <t>East / Jalalabad</t>
        </is>
      </c>
      <c r="H337" s="42" t="inlineStr">
        <is>
          <t>Nangarhar</t>
        </is>
      </c>
      <c r="I337" s="42" t="inlineStr">
        <is>
          <t>Pachiragam</t>
        </is>
      </c>
      <c r="J337" s="42" t="inlineStr">
        <is>
          <t>Saplings: 11792; Seeds kg: 442</t>
        </is>
      </c>
      <c r="K337" s="42" t="inlineStr">
        <is>
          <t>World Bank (WBK/AF-2)</t>
        </is>
      </c>
      <c r="L337" s="42" t="inlineStr">
        <is>
          <t>Remaining</t>
        </is>
      </c>
      <c r="M337" s="42" t="inlineStr">
        <is>
          <t>Agroforestry</t>
        </is>
      </c>
      <c r="N337" s="42" t="inlineStr">
        <is>
          <t>7. Agroforestry Saplings-seeds</t>
        </is>
      </c>
      <c r="O337" s="42" t="inlineStr"/>
      <c r="P337" s="42" t="inlineStr"/>
      <c r="Q337" s="43" t="n"/>
      <c r="R337" s="35" t="inlineStr">
        <is>
          <t>IF(AO337="","",AO337)</t>
        </is>
      </c>
      <c r="S337" s="44" t="n">
        <v>46142</v>
      </c>
      <c r="T337" s="45" t="n">
        <v>12</v>
      </c>
      <c r="U337" s="44" t="n">
        <v>46478</v>
      </c>
      <c r="V337" s="35" t="inlineStr">
        <is>
          <t>IF(U337&lt;&gt;"",U337,IF(OR(R337="",T337=""),"",EDATE(R337,T337)))</t>
        </is>
      </c>
      <c r="W337" s="44" t="n"/>
      <c r="X337" s="45" t="n"/>
      <c r="Y337" s="42" t="inlineStr">
        <is>
          <t>Under Awarding</t>
        </is>
      </c>
      <c r="Z337" s="42" t="inlineStr">
        <is>
          <t>The saplings PO has already been issued and PO for seeds is expected to be issued in November 2026</t>
        </is>
      </c>
      <c r="AA337" s="32" t="inlineStr">
        <is>
          <t>IF(E337="","",IF(COUNT(AG337:AT337)=0,IF(Y337="","Not started",Y337),SUBSTITUTE(LOOKUP(2,1/(AG337:AT337&lt;&gt;""),$AG$3:$AT$3),"Date: ","")))</t>
        </is>
      </c>
      <c r="AB337" s="38" t="inlineStr">
        <is>
          <t>IF(OR(E337="",COUNT(AG337:AT337)=0),"",TODAY()-LOOKUP(2,1/(AG337:AT337&lt;&gt;""),AG337:AT337))</t>
        </is>
      </c>
      <c r="AC337" s="38" t="inlineStr">
        <is>
          <t>IF(OR(E337="",COUNT(AG337:AT337)&lt;2),"",LOOKUP(2,1/(AG337:AT337&lt;&gt;""),AG337:AT337)-MIN(AG337:AT337))</t>
        </is>
      </c>
      <c r="AD337" s="38" t="inlineStr">
        <is>
          <t>IF(OR(AB337="",AA337="Not started",AA337=""),"",IFERROR(AB337-IF(VLOOKUP(AA337,'04_Status_Pipeline'!$B$3:$E$20,4,FALSE)="",0,VLOOKUP(AA337,'04_Status_Pipeline'!$B$3:$E$20,4,FALSE)),""))</t>
        </is>
      </c>
      <c r="AE337" s="32" t="inlineStr">
        <is>
          <t>IF(E337="","",IF(OR(Y337="Cancelled",AA337="Cancelled"),"Cancelled",IF(OR(AA337="Completed / Handover",W337&lt;&gt;"",X337&gt;=100),"Completed — on track",IF(L337="Remaining",IF(S337="",IF(V337="","No planned date",IF(TODAY()&gt;V337,"Behind — past planned date",IF(V337-TODAY()&lt;=30,"At risk — close to off track","On track"))),IF(TODAY()&gt;S337,"Behind — award date passed",IF(S337-TODAY()&lt;=30,"At risk — close to off track","On track"))),IF(V337="","No planned date",IF(AND(TODAY()&gt;V337,OR(X337="",X337&lt;100)),"Behind — past end date",IF(AND(R337&lt;&gt;"",V337&lt;&gt;"",X337&lt;&gt;"",(X337&lt;100),((TODAY()-R337)/MAX(V337-R337,1)*100)-X337&gt;15),"Behind — progress lag",IF(AND(V337-TODAY()&lt;=30,V337-TODAY()&gt;=0,OR(X337="",X337&lt;90)),"At risk — close to off track","On track"))))))))</t>
        </is>
      </c>
      <c r="AF337" s="38" t="inlineStr">
        <is>
          <t>IF(OR(E337="",AA337="Completed / Handover",AA337="Cancelled"),"",IF(L337="Remaining",IF(S337&lt;&gt;"",S337-TODAY(),IF(V337="","",V337-TODAY())),IF(V337="","",V337-TODAY())))</t>
        </is>
      </c>
      <c r="AG337" s="44" t="n"/>
      <c r="AH337" s="44" t="n"/>
      <c r="AI337" s="44" t="n"/>
      <c r="AJ337" s="44" t="n"/>
      <c r="AK337" s="44" t="n"/>
      <c r="AL337" s="44" t="n"/>
      <c r="AM337" s="44" t="n"/>
      <c r="AN337" s="44" t="n"/>
      <c r="AO337" s="44" t="n"/>
      <c r="AP337" s="44" t="n"/>
      <c r="AQ337" s="44" t="n"/>
      <c r="AR337" s="40" t="n"/>
      <c r="AS337" s="40" t="n"/>
      <c r="AT337" s="40" t="n"/>
      <c r="AU337" s="38" t="inlineStr">
        <is>
          <t>IF(OR(E337="",AH337=""),"",IF(COUNT(AG337:AG337)=0,"",AH337-LOOKUP(2,1/(AG337:AG337&lt;&gt;""),AG337:AG337)))</t>
        </is>
      </c>
      <c r="AV337" s="38" t="inlineStr">
        <is>
          <t>IF(OR(E337="",AI337=""),"",IF(COUNT(AG337:AH337)=0,"",AI337-LOOKUP(2,1/(AG337:AH337&lt;&gt;""),AG337:AH337)))</t>
        </is>
      </c>
      <c r="AW337" s="38" t="inlineStr">
        <is>
          <t>IF(OR(E337="",AJ337=""),"",IF(COUNT(AG337:AI337)=0,"",AJ337-LOOKUP(2,1/(AG337:AI337&lt;&gt;""),AG337:AI337)))</t>
        </is>
      </c>
      <c r="AX337" s="38" t="inlineStr">
        <is>
          <t>IF(OR(E337="",AK337=""),"",IF(COUNT(AG337:AJ337)=0,"",AK337-LOOKUP(2,1/(AG337:AJ337&lt;&gt;""),AG337:AJ337)))</t>
        </is>
      </c>
      <c r="AY337" s="38" t="inlineStr">
        <is>
          <t>IF(OR(E337="",AL337=""),"",IF(COUNT(AG337:AK337)=0,"",AL337-LOOKUP(2,1/(AG337:AK337&lt;&gt;""),AG337:AK337)))</t>
        </is>
      </c>
      <c r="AZ337" s="38" t="inlineStr">
        <is>
          <t>IF(OR(E337="",AM337=""),"",IF(COUNT(AG337:AL337)=0,"",AM337-LOOKUP(2,1/(AG337:AL337&lt;&gt;""),AG337:AL337)))</t>
        </is>
      </c>
      <c r="BA337" s="38" t="inlineStr">
        <is>
          <t>IF(OR(E337="",AN337=""),"",IF(COUNT(AG337:AM337)=0,"",AN337-LOOKUP(2,1/(AG337:AM337&lt;&gt;""),AG337:AM337)))</t>
        </is>
      </c>
      <c r="BB337" s="38" t="inlineStr">
        <is>
          <t>IF(OR(E337="",AO337=""),"",IF(COUNT(AG337:AN337)=0,"",AO337-LOOKUP(2,1/(AG337:AN337&lt;&gt;""),AG337:AN337)))</t>
        </is>
      </c>
      <c r="BC337" s="38" t="inlineStr">
        <is>
          <t>IF(OR(E337="",AP337=""),"",IF(COUNT(AG337:AO337)=0,"",AP337-LOOKUP(2,1/(AG337:AO337&lt;&gt;""),AG337:AO337)))</t>
        </is>
      </c>
      <c r="BD337" s="38" t="inlineStr">
        <is>
          <t>IF(OR(E337="",AQ337=""),"",IF(COUNT(AG337:AP337)=0,"",AQ337-LOOKUP(2,1/(AG337:AP337&lt;&gt;""),AG337:AP337)))</t>
        </is>
      </c>
      <c r="BE337" s="38" t="inlineStr">
        <is>
          <t>IF(OR(E337="",AR337=""),"",IF(COUNT(AG337:AQ337)=0,"",AR337-LOOKUP(2,1/(AG337:AQ337&lt;&gt;""),AG337:AQ337)))</t>
        </is>
      </c>
      <c r="BF337" s="38" t="inlineStr">
        <is>
          <t>IF(OR(E337="",AS337=""),"",IF(COUNT(AG337:AR337)=0,"",AS337-LOOKUP(2,1/(AG337:AR337&lt;&gt;""),AG337:AR337)))</t>
        </is>
      </c>
      <c r="BG337" s="38" t="inlineStr">
        <is>
          <t>IF(OR(E337="",AT337=""),"",IF(COUNT(AG337:AS337)=0,"",AT337-LOOKUP(2,1/(AG337:AS337&lt;&gt;""),AG337:AS337)))</t>
        </is>
      </c>
      <c r="BH337" s="41" t="inlineStr">
        <is>
          <t>IF(G337="","All_Provinces",IFERROR(VLOOKUP(G337,'07_Lookups'!$A$4:$B$20,2,FALSE),"All_Provinces"))</t>
        </is>
      </c>
      <c r="BI337" s="41" t="inlineStr">
        <is>
          <t>IF(H337="","All_Districts",IFERROR(VLOOKUP(H337,'07_Lookups'!$E$4:$F$42,2,FALSE),"All_Districts"))</t>
        </is>
      </c>
    </row>
    <row r="338" ht="18" customHeight="1">
      <c r="A338" s="32" t="inlineStr">
        <is>
          <t>IF(E338="","",ROW()-3)</t>
        </is>
      </c>
      <c r="B338" s="33" t="inlineStr">
        <is>
          <t>AF2-AGF-R-025</t>
        </is>
      </c>
      <c r="C338" s="33" t="inlineStr">
        <is>
          <t>Emergency Food Security Project (EFSP) – WBK/AF-2</t>
        </is>
      </c>
      <c r="D338" s="33" t="inlineStr">
        <is>
          <t>Agroforestry saplings and seeds 2026/27</t>
        </is>
      </c>
      <c r="E338" s="33" t="inlineStr">
        <is>
          <t>Agroforestry — Laghman / Alishing</t>
        </is>
      </c>
      <c r="F338" s="33" t="inlineStr">
        <is>
          <t>Agroforestry saplings / seeds</t>
        </is>
      </c>
      <c r="G338" s="33" t="inlineStr">
        <is>
          <t>East / Jalalabad</t>
        </is>
      </c>
      <c r="H338" s="33" t="inlineStr">
        <is>
          <t>Laghman</t>
        </is>
      </c>
      <c r="I338" s="33" t="inlineStr">
        <is>
          <t>Alishing</t>
        </is>
      </c>
      <c r="J338" s="33" t="inlineStr">
        <is>
          <t>Saplings: 12056; Seeds kg: 174</t>
        </is>
      </c>
      <c r="K338" s="33" t="inlineStr">
        <is>
          <t>World Bank (WBK/AF-2)</t>
        </is>
      </c>
      <c r="L338" s="33" t="inlineStr">
        <is>
          <t>Remaining</t>
        </is>
      </c>
      <c r="M338" s="33" t="inlineStr">
        <is>
          <t>Agroforestry</t>
        </is>
      </c>
      <c r="N338" s="33" t="inlineStr">
        <is>
          <t>7. Agroforestry Saplings-seeds</t>
        </is>
      </c>
      <c r="O338" s="33" t="inlineStr"/>
      <c r="P338" s="33" t="inlineStr"/>
      <c r="Q338" s="34" t="n"/>
      <c r="R338" s="35" t="inlineStr">
        <is>
          <t>IF(AO338="","",AO338)</t>
        </is>
      </c>
      <c r="S338" s="36" t="n">
        <v>46142</v>
      </c>
      <c r="T338" s="37" t="n">
        <v>12</v>
      </c>
      <c r="U338" s="36" t="n">
        <v>46478</v>
      </c>
      <c r="V338" s="35" t="inlineStr">
        <is>
          <t>IF(U338&lt;&gt;"",U338,IF(OR(R338="",T338=""),"",EDATE(R338,T338)))</t>
        </is>
      </c>
      <c r="W338" s="36" t="n"/>
      <c r="X338" s="37" t="n"/>
      <c r="Y338" s="33" t="inlineStr">
        <is>
          <t>Under Awarding</t>
        </is>
      </c>
      <c r="Z338" s="33" t="inlineStr">
        <is>
          <t>The saplings PO has already been issued and PO for seeds is expected to be issued in November 2026</t>
        </is>
      </c>
      <c r="AA338" s="32" t="inlineStr">
        <is>
          <t>IF(E338="","",IF(COUNT(AG338:AT338)=0,IF(Y338="","Not started",Y338),SUBSTITUTE(LOOKUP(2,1/(AG338:AT338&lt;&gt;""),$AG$3:$AT$3),"Date: ","")))</t>
        </is>
      </c>
      <c r="AB338" s="38" t="inlineStr">
        <is>
          <t>IF(OR(E338="",COUNT(AG338:AT338)=0),"",TODAY()-LOOKUP(2,1/(AG338:AT338&lt;&gt;""),AG338:AT338))</t>
        </is>
      </c>
      <c r="AC338" s="38" t="inlineStr">
        <is>
          <t>IF(OR(E338="",COUNT(AG338:AT338)&lt;2),"",LOOKUP(2,1/(AG338:AT338&lt;&gt;""),AG338:AT338)-MIN(AG338:AT338))</t>
        </is>
      </c>
      <c r="AD338" s="38" t="inlineStr">
        <is>
          <t>IF(OR(AB338="",AA338="Not started",AA338=""),"",IFERROR(AB338-IF(VLOOKUP(AA338,'04_Status_Pipeline'!$B$3:$E$20,4,FALSE)="",0,VLOOKUP(AA338,'04_Status_Pipeline'!$B$3:$E$20,4,FALSE)),""))</t>
        </is>
      </c>
      <c r="AE338" s="32" t="inlineStr">
        <is>
          <t>IF(E338="","",IF(OR(Y338="Cancelled",AA338="Cancelled"),"Cancelled",IF(OR(AA338="Completed / Handover",W338&lt;&gt;"",X338&gt;=100),"Completed — on track",IF(L338="Remaining",IF(S338="",IF(V338="","No planned date",IF(TODAY()&gt;V338,"Behind — past planned date",IF(V338-TODAY()&lt;=30,"At risk — close to off track","On track"))),IF(TODAY()&gt;S338,"Behind — award date passed",IF(S338-TODAY()&lt;=30,"At risk — close to off track","On track"))),IF(V338="","No planned date",IF(AND(TODAY()&gt;V338,OR(X338="",X338&lt;100)),"Behind — past end date",IF(AND(R338&lt;&gt;"",V338&lt;&gt;"",X338&lt;&gt;"",(X338&lt;100),((TODAY()-R338)/MAX(V338-R338,1)*100)-X338&gt;15),"Behind — progress lag",IF(AND(V338-TODAY()&lt;=30,V338-TODAY()&gt;=0,OR(X338="",X338&lt;90)),"At risk — close to off track","On track"))))))))</t>
        </is>
      </c>
      <c r="AF338" s="38" t="inlineStr">
        <is>
          <t>IF(OR(E338="",AA338="Completed / Handover",AA338="Cancelled"),"",IF(L338="Remaining",IF(S338&lt;&gt;"",S338-TODAY(),IF(V338="","",V338-TODAY())),IF(V338="","",V338-TODAY())))</t>
        </is>
      </c>
      <c r="AG338" s="36" t="n"/>
      <c r="AH338" s="36" t="n"/>
      <c r="AI338" s="36" t="n"/>
      <c r="AJ338" s="36" t="n"/>
      <c r="AK338" s="36" t="n"/>
      <c r="AL338" s="36" t="n"/>
      <c r="AM338" s="36" t="n"/>
      <c r="AN338" s="36" t="n"/>
      <c r="AO338" s="36" t="n"/>
      <c r="AP338" s="36" t="n"/>
      <c r="AQ338" s="36" t="n"/>
      <c r="AR338" s="40" t="n"/>
      <c r="AS338" s="40" t="n"/>
      <c r="AT338" s="40" t="n"/>
      <c r="AU338" s="38" t="inlineStr">
        <is>
          <t>IF(OR(E338="",AH338=""),"",IF(COUNT(AG338:AG338)=0,"",AH338-LOOKUP(2,1/(AG338:AG338&lt;&gt;""),AG338:AG338)))</t>
        </is>
      </c>
      <c r="AV338" s="38" t="inlineStr">
        <is>
          <t>IF(OR(E338="",AI338=""),"",IF(COUNT(AG338:AH338)=0,"",AI338-LOOKUP(2,1/(AG338:AH338&lt;&gt;""),AG338:AH338)))</t>
        </is>
      </c>
      <c r="AW338" s="38" t="inlineStr">
        <is>
          <t>IF(OR(E338="",AJ338=""),"",IF(COUNT(AG338:AI338)=0,"",AJ338-LOOKUP(2,1/(AG338:AI338&lt;&gt;""),AG338:AI338)))</t>
        </is>
      </c>
      <c r="AX338" s="38" t="inlineStr">
        <is>
          <t>IF(OR(E338="",AK338=""),"",IF(COUNT(AG338:AJ338)=0,"",AK338-LOOKUP(2,1/(AG338:AJ338&lt;&gt;""),AG338:AJ338)))</t>
        </is>
      </c>
      <c r="AY338" s="38" t="inlineStr">
        <is>
          <t>IF(OR(E338="",AL338=""),"",IF(COUNT(AG338:AK338)=0,"",AL338-LOOKUP(2,1/(AG338:AK338&lt;&gt;""),AG338:AK338)))</t>
        </is>
      </c>
      <c r="AZ338" s="38" t="inlineStr">
        <is>
          <t>IF(OR(E338="",AM338=""),"",IF(COUNT(AG338:AL338)=0,"",AM338-LOOKUP(2,1/(AG338:AL338&lt;&gt;""),AG338:AL338)))</t>
        </is>
      </c>
      <c r="BA338" s="38" t="inlineStr">
        <is>
          <t>IF(OR(E338="",AN338=""),"",IF(COUNT(AG338:AM338)=0,"",AN338-LOOKUP(2,1/(AG338:AM338&lt;&gt;""),AG338:AM338)))</t>
        </is>
      </c>
      <c r="BB338" s="38" t="inlineStr">
        <is>
          <t>IF(OR(E338="",AO338=""),"",IF(COUNT(AG338:AN338)=0,"",AO338-LOOKUP(2,1/(AG338:AN338&lt;&gt;""),AG338:AN338)))</t>
        </is>
      </c>
      <c r="BC338" s="38" t="inlineStr">
        <is>
          <t>IF(OR(E338="",AP338=""),"",IF(COUNT(AG338:AO338)=0,"",AP338-LOOKUP(2,1/(AG338:AO338&lt;&gt;""),AG338:AO338)))</t>
        </is>
      </c>
      <c r="BD338" s="38" t="inlineStr">
        <is>
          <t>IF(OR(E338="",AQ338=""),"",IF(COUNT(AG338:AP338)=0,"",AQ338-LOOKUP(2,1/(AG338:AP338&lt;&gt;""),AG338:AP338)))</t>
        </is>
      </c>
      <c r="BE338" s="38" t="inlineStr">
        <is>
          <t>IF(OR(E338="",AR338=""),"",IF(COUNT(AG338:AQ338)=0,"",AR338-LOOKUP(2,1/(AG338:AQ338&lt;&gt;""),AG338:AQ338)))</t>
        </is>
      </c>
      <c r="BF338" s="38" t="inlineStr">
        <is>
          <t>IF(OR(E338="",AS338=""),"",IF(COUNT(AG338:AR338)=0,"",AS338-LOOKUP(2,1/(AG338:AR338&lt;&gt;""),AG338:AR338)))</t>
        </is>
      </c>
      <c r="BG338" s="38" t="inlineStr">
        <is>
          <t>IF(OR(E338="",AT338=""),"",IF(COUNT(AG338:AS338)=0,"",AT338-LOOKUP(2,1/(AG338:AS338&lt;&gt;""),AG338:AS338)))</t>
        </is>
      </c>
      <c r="BH338" s="41" t="inlineStr">
        <is>
          <t>IF(G338="","All_Provinces",IFERROR(VLOOKUP(G338,'07_Lookups'!$A$4:$B$20,2,FALSE),"All_Provinces"))</t>
        </is>
      </c>
      <c r="BI338" s="41" t="inlineStr">
        <is>
          <t>IF(H338="","All_Districts",IFERROR(VLOOKUP(H338,'07_Lookups'!$E$4:$F$42,2,FALSE),"All_Districts"))</t>
        </is>
      </c>
    </row>
    <row r="339" ht="18" customHeight="1">
      <c r="A339" s="32" t="inlineStr">
        <is>
          <t>IF(E339="","",ROW()-3)</t>
        </is>
      </c>
      <c r="B339" s="42" t="inlineStr">
        <is>
          <t>AF2-AGF-R-026</t>
        </is>
      </c>
      <c r="C339" s="42" t="inlineStr">
        <is>
          <t>Emergency Food Security Project (EFSP) – WBK/AF-2</t>
        </is>
      </c>
      <c r="D339" s="42" t="inlineStr">
        <is>
          <t>Agroforestry saplings and seeds 2026/27</t>
        </is>
      </c>
      <c r="E339" s="42" t="inlineStr">
        <is>
          <t>Agroforestry — Nuristan / Kamdish</t>
        </is>
      </c>
      <c r="F339" s="42" t="inlineStr">
        <is>
          <t>Agroforestry saplings / seeds</t>
        </is>
      </c>
      <c r="G339" s="42" t="inlineStr">
        <is>
          <t>East / Jalalabad</t>
        </is>
      </c>
      <c r="H339" s="42" t="inlineStr">
        <is>
          <t>Nuristan</t>
        </is>
      </c>
      <c r="I339" s="42" t="inlineStr">
        <is>
          <t>Kamdish</t>
        </is>
      </c>
      <c r="J339" s="42" t="inlineStr">
        <is>
          <t>Saplings: 24152; Seeds kg: 234</t>
        </is>
      </c>
      <c r="K339" s="42" t="inlineStr">
        <is>
          <t>World Bank (WBK/AF-2)</t>
        </is>
      </c>
      <c r="L339" s="42" t="inlineStr">
        <is>
          <t>Remaining</t>
        </is>
      </c>
      <c r="M339" s="42" t="inlineStr">
        <is>
          <t>Agroforestry</t>
        </is>
      </c>
      <c r="N339" s="42" t="inlineStr">
        <is>
          <t>7. Agroforestry Saplings-seeds</t>
        </is>
      </c>
      <c r="O339" s="42" t="inlineStr"/>
      <c r="P339" s="42" t="inlineStr"/>
      <c r="Q339" s="43" t="n"/>
      <c r="R339" s="35" t="inlineStr">
        <is>
          <t>IF(AO339="","",AO339)</t>
        </is>
      </c>
      <c r="S339" s="44" t="n">
        <v>46142</v>
      </c>
      <c r="T339" s="45" t="n">
        <v>12</v>
      </c>
      <c r="U339" s="44" t="n">
        <v>46478</v>
      </c>
      <c r="V339" s="35" t="inlineStr">
        <is>
          <t>IF(U339&lt;&gt;"",U339,IF(OR(R339="",T339=""),"",EDATE(R339,T339)))</t>
        </is>
      </c>
      <c r="W339" s="44" t="n"/>
      <c r="X339" s="45" t="n"/>
      <c r="Y339" s="42" t="inlineStr">
        <is>
          <t>Under Awarding</t>
        </is>
      </c>
      <c r="Z339" s="42" t="inlineStr">
        <is>
          <t>The saplings PO has already been issued and PO for seeds is expected to be issued in November 2026</t>
        </is>
      </c>
      <c r="AA339" s="32" t="inlineStr">
        <is>
          <t>IF(E339="","",IF(COUNT(AG339:AT339)=0,IF(Y339="","Not started",Y339),SUBSTITUTE(LOOKUP(2,1/(AG339:AT339&lt;&gt;""),$AG$3:$AT$3),"Date: ","")))</t>
        </is>
      </c>
      <c r="AB339" s="38" t="inlineStr">
        <is>
          <t>IF(OR(E339="",COUNT(AG339:AT339)=0),"",TODAY()-LOOKUP(2,1/(AG339:AT339&lt;&gt;""),AG339:AT339))</t>
        </is>
      </c>
      <c r="AC339" s="38" t="inlineStr">
        <is>
          <t>IF(OR(E339="",COUNT(AG339:AT339)&lt;2),"",LOOKUP(2,1/(AG339:AT339&lt;&gt;""),AG339:AT339)-MIN(AG339:AT339))</t>
        </is>
      </c>
      <c r="AD339" s="38" t="inlineStr">
        <is>
          <t>IF(OR(AB339="",AA339="Not started",AA339=""),"",IFERROR(AB339-IF(VLOOKUP(AA339,'04_Status_Pipeline'!$B$3:$E$20,4,FALSE)="",0,VLOOKUP(AA339,'04_Status_Pipeline'!$B$3:$E$20,4,FALSE)),""))</t>
        </is>
      </c>
      <c r="AE339" s="32" t="inlineStr">
        <is>
          <t>IF(E339="","",IF(OR(Y339="Cancelled",AA339="Cancelled"),"Cancelled",IF(OR(AA339="Completed / Handover",W339&lt;&gt;"",X339&gt;=100),"Completed — on track",IF(L339="Remaining",IF(S339="",IF(V339="","No planned date",IF(TODAY()&gt;V339,"Behind — past planned date",IF(V339-TODAY()&lt;=30,"At risk — close to off track","On track"))),IF(TODAY()&gt;S339,"Behind — award date passed",IF(S339-TODAY()&lt;=30,"At risk — close to off track","On track"))),IF(V339="","No planned date",IF(AND(TODAY()&gt;V339,OR(X339="",X339&lt;100)),"Behind — past end date",IF(AND(R339&lt;&gt;"",V339&lt;&gt;"",X339&lt;&gt;"",(X339&lt;100),((TODAY()-R339)/MAX(V339-R339,1)*100)-X339&gt;15),"Behind — progress lag",IF(AND(V339-TODAY()&lt;=30,V339-TODAY()&gt;=0,OR(X339="",X339&lt;90)),"At risk — close to off track","On track"))))))))</t>
        </is>
      </c>
      <c r="AF339" s="38" t="inlineStr">
        <is>
          <t>IF(OR(E339="",AA339="Completed / Handover",AA339="Cancelled"),"",IF(L339="Remaining",IF(S339&lt;&gt;"",S339-TODAY(),IF(V339="","",V339-TODAY())),IF(V339="","",V339-TODAY())))</t>
        </is>
      </c>
      <c r="AG339" s="44" t="n"/>
      <c r="AH339" s="44" t="n"/>
      <c r="AI339" s="44" t="n"/>
      <c r="AJ339" s="44" t="n"/>
      <c r="AK339" s="44" t="n"/>
      <c r="AL339" s="44" t="n"/>
      <c r="AM339" s="44" t="n"/>
      <c r="AN339" s="44" t="n"/>
      <c r="AO339" s="44" t="n"/>
      <c r="AP339" s="44" t="n"/>
      <c r="AQ339" s="44" t="n"/>
      <c r="AR339" s="40" t="n"/>
      <c r="AS339" s="40" t="n"/>
      <c r="AT339" s="40" t="n"/>
      <c r="AU339" s="38" t="inlineStr">
        <is>
          <t>IF(OR(E339="",AH339=""),"",IF(COUNT(AG339:AG339)=0,"",AH339-LOOKUP(2,1/(AG339:AG339&lt;&gt;""),AG339:AG339)))</t>
        </is>
      </c>
      <c r="AV339" s="38" t="inlineStr">
        <is>
          <t>IF(OR(E339="",AI339=""),"",IF(COUNT(AG339:AH339)=0,"",AI339-LOOKUP(2,1/(AG339:AH339&lt;&gt;""),AG339:AH339)))</t>
        </is>
      </c>
      <c r="AW339" s="38" t="inlineStr">
        <is>
          <t>IF(OR(E339="",AJ339=""),"",IF(COUNT(AG339:AI339)=0,"",AJ339-LOOKUP(2,1/(AG339:AI339&lt;&gt;""),AG339:AI339)))</t>
        </is>
      </c>
      <c r="AX339" s="38" t="inlineStr">
        <is>
          <t>IF(OR(E339="",AK339=""),"",IF(COUNT(AG339:AJ339)=0,"",AK339-LOOKUP(2,1/(AG339:AJ339&lt;&gt;""),AG339:AJ339)))</t>
        </is>
      </c>
      <c r="AY339" s="38" t="inlineStr">
        <is>
          <t>IF(OR(E339="",AL339=""),"",IF(COUNT(AG339:AK339)=0,"",AL339-LOOKUP(2,1/(AG339:AK339&lt;&gt;""),AG339:AK339)))</t>
        </is>
      </c>
      <c r="AZ339" s="38" t="inlineStr">
        <is>
          <t>IF(OR(E339="",AM339=""),"",IF(COUNT(AG339:AL339)=0,"",AM339-LOOKUP(2,1/(AG339:AL339&lt;&gt;""),AG339:AL339)))</t>
        </is>
      </c>
      <c r="BA339" s="38" t="inlineStr">
        <is>
          <t>IF(OR(E339="",AN339=""),"",IF(COUNT(AG339:AM339)=0,"",AN339-LOOKUP(2,1/(AG339:AM339&lt;&gt;""),AG339:AM339)))</t>
        </is>
      </c>
      <c r="BB339" s="38" t="inlineStr">
        <is>
          <t>IF(OR(E339="",AO339=""),"",IF(COUNT(AG339:AN339)=0,"",AO339-LOOKUP(2,1/(AG339:AN339&lt;&gt;""),AG339:AN339)))</t>
        </is>
      </c>
      <c r="BC339" s="38" t="inlineStr">
        <is>
          <t>IF(OR(E339="",AP339=""),"",IF(COUNT(AG339:AO339)=0,"",AP339-LOOKUP(2,1/(AG339:AO339&lt;&gt;""),AG339:AO339)))</t>
        </is>
      </c>
      <c r="BD339" s="38" t="inlineStr">
        <is>
          <t>IF(OR(E339="",AQ339=""),"",IF(COUNT(AG339:AP339)=0,"",AQ339-LOOKUP(2,1/(AG339:AP339&lt;&gt;""),AG339:AP339)))</t>
        </is>
      </c>
      <c r="BE339" s="38" t="inlineStr">
        <is>
          <t>IF(OR(E339="",AR339=""),"",IF(COUNT(AG339:AQ339)=0,"",AR339-LOOKUP(2,1/(AG339:AQ339&lt;&gt;""),AG339:AQ339)))</t>
        </is>
      </c>
      <c r="BF339" s="38" t="inlineStr">
        <is>
          <t>IF(OR(E339="",AS339=""),"",IF(COUNT(AG339:AR339)=0,"",AS339-LOOKUP(2,1/(AG339:AR339&lt;&gt;""),AG339:AR339)))</t>
        </is>
      </c>
      <c r="BG339" s="38" t="inlineStr">
        <is>
          <t>IF(OR(E339="",AT339=""),"",IF(COUNT(AG339:AS339)=0,"",AT339-LOOKUP(2,1/(AG339:AS339&lt;&gt;""),AG339:AS339)))</t>
        </is>
      </c>
      <c r="BH339" s="41" t="inlineStr">
        <is>
          <t>IF(G339="","All_Provinces",IFERROR(VLOOKUP(G339,'07_Lookups'!$A$4:$B$20,2,FALSE),"All_Provinces"))</t>
        </is>
      </c>
      <c r="BI339" s="41" t="inlineStr">
        <is>
          <t>IF(H339="","All_Districts",IFERROR(VLOOKUP(H339,'07_Lookups'!$E$4:$F$42,2,FALSE),"All_Districts"))</t>
        </is>
      </c>
    </row>
    <row r="340" ht="18" customHeight="1">
      <c r="A340" s="32" t="inlineStr">
        <is>
          <t>IF(E340="","",ROW()-3)</t>
        </is>
      </c>
      <c r="B340" s="33" t="inlineStr">
        <is>
          <t>AF2-AGF-R-027</t>
        </is>
      </c>
      <c r="C340" s="33" t="inlineStr">
        <is>
          <t>Emergency Food Security Project (EFSP) – WBK/AF-2</t>
        </is>
      </c>
      <c r="D340" s="33" t="inlineStr">
        <is>
          <t>Agroforestry saplings and seeds 2026/27</t>
        </is>
      </c>
      <c r="E340" s="33" t="inlineStr">
        <is>
          <t>Agroforestry — Jawzgan / Sheberghan</t>
        </is>
      </c>
      <c r="F340" s="33" t="inlineStr">
        <is>
          <t>Agroforestry saplings / seeds</t>
        </is>
      </c>
      <c r="G340" s="33" t="inlineStr">
        <is>
          <t>North / Mazar</t>
        </is>
      </c>
      <c r="H340" s="33" t="inlineStr">
        <is>
          <t>Jawzgan</t>
        </is>
      </c>
      <c r="I340" s="33" t="inlineStr">
        <is>
          <t>Sheberghan</t>
        </is>
      </c>
      <c r="J340" s="33" t="inlineStr">
        <is>
          <t>Saplings: 3250; Seeds kg: 0</t>
        </is>
      </c>
      <c r="K340" s="33" t="inlineStr">
        <is>
          <t>World Bank (WBK/AF-2)</t>
        </is>
      </c>
      <c r="L340" s="33" t="inlineStr">
        <is>
          <t>Remaining</t>
        </is>
      </c>
      <c r="M340" s="33" t="inlineStr">
        <is>
          <t>Agroforestry</t>
        </is>
      </c>
      <c r="N340" s="33" t="inlineStr">
        <is>
          <t>7. Agroforestry Saplings-seeds</t>
        </is>
      </c>
      <c r="O340" s="33" t="inlineStr"/>
      <c r="P340" s="33" t="inlineStr"/>
      <c r="Q340" s="34" t="n"/>
      <c r="R340" s="35" t="inlineStr">
        <is>
          <t>IF(AO340="","",AO340)</t>
        </is>
      </c>
      <c r="S340" s="36" t="n">
        <v>46142</v>
      </c>
      <c r="T340" s="37" t="n">
        <v>12</v>
      </c>
      <c r="U340" s="36" t="n">
        <v>46478</v>
      </c>
      <c r="V340" s="35" t="inlineStr">
        <is>
          <t>IF(U340&lt;&gt;"",U340,IF(OR(R340="",T340=""),"",EDATE(R340,T340)))</t>
        </is>
      </c>
      <c r="W340" s="36" t="n"/>
      <c r="X340" s="37" t="n"/>
      <c r="Y340" s="33" t="inlineStr">
        <is>
          <t>Under Awarding</t>
        </is>
      </c>
      <c r="Z340" s="33" t="inlineStr">
        <is>
          <t>The saplings PO has already been issued and PO for seeds is expected to be issued in November 2026</t>
        </is>
      </c>
      <c r="AA340" s="32" t="inlineStr">
        <is>
          <t>IF(E340="","",IF(COUNT(AG340:AT340)=0,IF(Y340="","Not started",Y340),SUBSTITUTE(LOOKUP(2,1/(AG340:AT340&lt;&gt;""),$AG$3:$AT$3),"Date: ","")))</t>
        </is>
      </c>
      <c r="AB340" s="38" t="inlineStr">
        <is>
          <t>IF(OR(E340="",COUNT(AG340:AT340)=0),"",TODAY()-LOOKUP(2,1/(AG340:AT340&lt;&gt;""),AG340:AT340))</t>
        </is>
      </c>
      <c r="AC340" s="38" t="inlineStr">
        <is>
          <t>IF(OR(E340="",COUNT(AG340:AT340)&lt;2),"",LOOKUP(2,1/(AG340:AT340&lt;&gt;""),AG340:AT340)-MIN(AG340:AT340))</t>
        </is>
      </c>
      <c r="AD340" s="38" t="inlineStr">
        <is>
          <t>IF(OR(AB340="",AA340="Not started",AA340=""),"",IFERROR(AB340-IF(VLOOKUP(AA340,'04_Status_Pipeline'!$B$3:$E$20,4,FALSE)="",0,VLOOKUP(AA340,'04_Status_Pipeline'!$B$3:$E$20,4,FALSE)),""))</t>
        </is>
      </c>
      <c r="AE340" s="32" t="inlineStr">
        <is>
          <t>IF(E340="","",IF(OR(Y340="Cancelled",AA340="Cancelled"),"Cancelled",IF(OR(AA340="Completed / Handover",W340&lt;&gt;"",X340&gt;=100),"Completed — on track",IF(L340="Remaining",IF(S340="",IF(V340="","No planned date",IF(TODAY()&gt;V340,"Behind — past planned date",IF(V340-TODAY()&lt;=30,"At risk — close to off track","On track"))),IF(TODAY()&gt;S340,"Behind — award date passed",IF(S340-TODAY()&lt;=30,"At risk — close to off track","On track"))),IF(V340="","No planned date",IF(AND(TODAY()&gt;V340,OR(X340="",X340&lt;100)),"Behind — past end date",IF(AND(R340&lt;&gt;"",V340&lt;&gt;"",X340&lt;&gt;"",(X340&lt;100),((TODAY()-R340)/MAX(V340-R340,1)*100)-X340&gt;15),"Behind — progress lag",IF(AND(V340-TODAY()&lt;=30,V340-TODAY()&gt;=0,OR(X340="",X340&lt;90)),"At risk — close to off track","On track"))))))))</t>
        </is>
      </c>
      <c r="AF340" s="38" t="inlineStr">
        <is>
          <t>IF(OR(E340="",AA340="Completed / Handover",AA340="Cancelled"),"",IF(L340="Remaining",IF(S340&lt;&gt;"",S340-TODAY(),IF(V340="","",V340-TODAY())),IF(V340="","",V340-TODAY())))</t>
        </is>
      </c>
      <c r="AG340" s="36" t="n"/>
      <c r="AH340" s="36" t="n"/>
      <c r="AI340" s="36" t="n"/>
      <c r="AJ340" s="36" t="n"/>
      <c r="AK340" s="36" t="n"/>
      <c r="AL340" s="36" t="n"/>
      <c r="AM340" s="36" t="n"/>
      <c r="AN340" s="36" t="n"/>
      <c r="AO340" s="36" t="n"/>
      <c r="AP340" s="36" t="n"/>
      <c r="AQ340" s="36" t="n"/>
      <c r="AR340" s="40" t="n"/>
      <c r="AS340" s="40" t="n"/>
      <c r="AT340" s="40" t="n"/>
      <c r="AU340" s="38" t="inlineStr">
        <is>
          <t>IF(OR(E340="",AH340=""),"",IF(COUNT(AG340:AG340)=0,"",AH340-LOOKUP(2,1/(AG340:AG340&lt;&gt;""),AG340:AG340)))</t>
        </is>
      </c>
      <c r="AV340" s="38" t="inlineStr">
        <is>
          <t>IF(OR(E340="",AI340=""),"",IF(COUNT(AG340:AH340)=0,"",AI340-LOOKUP(2,1/(AG340:AH340&lt;&gt;""),AG340:AH340)))</t>
        </is>
      </c>
      <c r="AW340" s="38" t="inlineStr">
        <is>
          <t>IF(OR(E340="",AJ340=""),"",IF(COUNT(AG340:AI340)=0,"",AJ340-LOOKUP(2,1/(AG340:AI340&lt;&gt;""),AG340:AI340)))</t>
        </is>
      </c>
      <c r="AX340" s="38" t="inlineStr">
        <is>
          <t>IF(OR(E340="",AK340=""),"",IF(COUNT(AG340:AJ340)=0,"",AK340-LOOKUP(2,1/(AG340:AJ340&lt;&gt;""),AG340:AJ340)))</t>
        </is>
      </c>
      <c r="AY340" s="38" t="inlineStr">
        <is>
          <t>IF(OR(E340="",AL340=""),"",IF(COUNT(AG340:AK340)=0,"",AL340-LOOKUP(2,1/(AG340:AK340&lt;&gt;""),AG340:AK340)))</t>
        </is>
      </c>
      <c r="AZ340" s="38" t="inlineStr">
        <is>
          <t>IF(OR(E340="",AM340=""),"",IF(COUNT(AG340:AL340)=0,"",AM340-LOOKUP(2,1/(AG340:AL340&lt;&gt;""),AG340:AL340)))</t>
        </is>
      </c>
      <c r="BA340" s="38" t="inlineStr">
        <is>
          <t>IF(OR(E340="",AN340=""),"",IF(COUNT(AG340:AM340)=0,"",AN340-LOOKUP(2,1/(AG340:AM340&lt;&gt;""),AG340:AM340)))</t>
        </is>
      </c>
      <c r="BB340" s="38" t="inlineStr">
        <is>
          <t>IF(OR(E340="",AO340=""),"",IF(COUNT(AG340:AN340)=0,"",AO340-LOOKUP(2,1/(AG340:AN340&lt;&gt;""),AG340:AN340)))</t>
        </is>
      </c>
      <c r="BC340" s="38" t="inlineStr">
        <is>
          <t>IF(OR(E340="",AP340=""),"",IF(COUNT(AG340:AO340)=0,"",AP340-LOOKUP(2,1/(AG340:AO340&lt;&gt;""),AG340:AO340)))</t>
        </is>
      </c>
      <c r="BD340" s="38" t="inlineStr">
        <is>
          <t>IF(OR(E340="",AQ340=""),"",IF(COUNT(AG340:AP340)=0,"",AQ340-LOOKUP(2,1/(AG340:AP340&lt;&gt;""),AG340:AP340)))</t>
        </is>
      </c>
      <c r="BE340" s="38" t="inlineStr">
        <is>
          <t>IF(OR(E340="",AR340=""),"",IF(COUNT(AG340:AQ340)=0,"",AR340-LOOKUP(2,1/(AG340:AQ340&lt;&gt;""),AG340:AQ340)))</t>
        </is>
      </c>
      <c r="BF340" s="38" t="inlineStr">
        <is>
          <t>IF(OR(E340="",AS340=""),"",IF(COUNT(AG340:AR340)=0,"",AS340-LOOKUP(2,1/(AG340:AR340&lt;&gt;""),AG340:AR340)))</t>
        </is>
      </c>
      <c r="BG340" s="38" t="inlineStr">
        <is>
          <t>IF(OR(E340="",AT340=""),"",IF(COUNT(AG340:AS340)=0,"",AT340-LOOKUP(2,1/(AG340:AS340&lt;&gt;""),AG340:AS340)))</t>
        </is>
      </c>
      <c r="BH340" s="41" t="inlineStr">
        <is>
          <t>IF(G340="","All_Provinces",IFERROR(VLOOKUP(G340,'07_Lookups'!$A$4:$B$20,2,FALSE),"All_Provinces"))</t>
        </is>
      </c>
      <c r="BI340" s="41" t="inlineStr">
        <is>
          <t>IF(H340="","All_Districts",IFERROR(VLOOKUP(H340,'07_Lookups'!$E$4:$F$42,2,FALSE),"All_Districts"))</t>
        </is>
      </c>
    </row>
    <row r="341" ht="18" customHeight="1">
      <c r="A341" s="32" t="inlineStr">
        <is>
          <t>IF(E341="","",ROW()-3)</t>
        </is>
      </c>
      <c r="B341" s="42" t="inlineStr">
        <is>
          <t>AF2-AGF-R-028</t>
        </is>
      </c>
      <c r="C341" s="42" t="inlineStr">
        <is>
          <t>Emergency Food Security Project (EFSP) – WBK/AF-2</t>
        </is>
      </c>
      <c r="D341" s="42" t="inlineStr">
        <is>
          <t>Agroforestry saplings and seeds 2026/27</t>
        </is>
      </c>
      <c r="E341" s="42" t="inlineStr">
        <is>
          <t>Agroforestry — Faryab / Khoja Sabz Posh</t>
        </is>
      </c>
      <c r="F341" s="42" t="inlineStr">
        <is>
          <t>Agroforestry saplings / seeds</t>
        </is>
      </c>
      <c r="G341" s="42" t="inlineStr">
        <is>
          <t>North / Mazar</t>
        </is>
      </c>
      <c r="H341" s="42" t="inlineStr">
        <is>
          <t>Faryab</t>
        </is>
      </c>
      <c r="I341" s="42" t="inlineStr">
        <is>
          <t>Khoja Sabz Posh</t>
        </is>
      </c>
      <c r="J341" s="42" t="inlineStr">
        <is>
          <t>Saplings: 3250; Seeds kg: 154</t>
        </is>
      </c>
      <c r="K341" s="42" t="inlineStr">
        <is>
          <t>World Bank (WBK/AF-2)</t>
        </is>
      </c>
      <c r="L341" s="42" t="inlineStr">
        <is>
          <t>Remaining</t>
        </is>
      </c>
      <c r="M341" s="42" t="inlineStr">
        <is>
          <t>Agroforestry</t>
        </is>
      </c>
      <c r="N341" s="42" t="inlineStr">
        <is>
          <t>7. Agroforestry Saplings-seeds</t>
        </is>
      </c>
      <c r="O341" s="42" t="inlineStr"/>
      <c r="P341" s="42" t="inlineStr"/>
      <c r="Q341" s="43" t="n"/>
      <c r="R341" s="35" t="inlineStr">
        <is>
          <t>IF(AO341="","",AO341)</t>
        </is>
      </c>
      <c r="S341" s="44" t="n">
        <v>46142</v>
      </c>
      <c r="T341" s="45" t="n">
        <v>12</v>
      </c>
      <c r="U341" s="44" t="n">
        <v>46478</v>
      </c>
      <c r="V341" s="35" t="inlineStr">
        <is>
          <t>IF(U341&lt;&gt;"",U341,IF(OR(R341="",T341=""),"",EDATE(R341,T341)))</t>
        </is>
      </c>
      <c r="W341" s="44" t="n"/>
      <c r="X341" s="45" t="n"/>
      <c r="Y341" s="42" t="inlineStr">
        <is>
          <t>Under Awarding</t>
        </is>
      </c>
      <c r="Z341" s="42" t="inlineStr">
        <is>
          <t>The saplings PO has already been issued and PO for seeds is expected to be issued in November 2026</t>
        </is>
      </c>
      <c r="AA341" s="32" t="inlineStr">
        <is>
          <t>IF(E341="","",IF(COUNT(AG341:AT341)=0,IF(Y341="","Not started",Y341),SUBSTITUTE(LOOKUP(2,1/(AG341:AT341&lt;&gt;""),$AG$3:$AT$3),"Date: ","")))</t>
        </is>
      </c>
      <c r="AB341" s="38" t="inlineStr">
        <is>
          <t>IF(OR(E341="",COUNT(AG341:AT341)=0),"",TODAY()-LOOKUP(2,1/(AG341:AT341&lt;&gt;""),AG341:AT341))</t>
        </is>
      </c>
      <c r="AC341" s="38" t="inlineStr">
        <is>
          <t>IF(OR(E341="",COUNT(AG341:AT341)&lt;2),"",LOOKUP(2,1/(AG341:AT341&lt;&gt;""),AG341:AT341)-MIN(AG341:AT341))</t>
        </is>
      </c>
      <c r="AD341" s="38" t="inlineStr">
        <is>
          <t>IF(OR(AB341="",AA341="Not started",AA341=""),"",IFERROR(AB341-IF(VLOOKUP(AA341,'04_Status_Pipeline'!$B$3:$E$20,4,FALSE)="",0,VLOOKUP(AA341,'04_Status_Pipeline'!$B$3:$E$20,4,FALSE)),""))</t>
        </is>
      </c>
      <c r="AE341" s="32" t="inlineStr">
        <is>
          <t>IF(E341="","",IF(OR(Y341="Cancelled",AA341="Cancelled"),"Cancelled",IF(OR(AA341="Completed / Handover",W341&lt;&gt;"",X341&gt;=100),"Completed — on track",IF(L341="Remaining",IF(S341="",IF(V341="","No planned date",IF(TODAY()&gt;V341,"Behind — past planned date",IF(V341-TODAY()&lt;=30,"At risk — close to off track","On track"))),IF(TODAY()&gt;S341,"Behind — award date passed",IF(S341-TODAY()&lt;=30,"At risk — close to off track","On track"))),IF(V341="","No planned date",IF(AND(TODAY()&gt;V341,OR(X341="",X341&lt;100)),"Behind — past end date",IF(AND(R341&lt;&gt;"",V341&lt;&gt;"",X341&lt;&gt;"",(X341&lt;100),((TODAY()-R341)/MAX(V341-R341,1)*100)-X341&gt;15),"Behind — progress lag",IF(AND(V341-TODAY()&lt;=30,V341-TODAY()&gt;=0,OR(X341="",X341&lt;90)),"At risk — close to off track","On track"))))))))</t>
        </is>
      </c>
      <c r="AF341" s="38" t="inlineStr">
        <is>
          <t>IF(OR(E341="",AA341="Completed / Handover",AA341="Cancelled"),"",IF(L341="Remaining",IF(S341&lt;&gt;"",S341-TODAY(),IF(V341="","",V341-TODAY())),IF(V341="","",V341-TODAY())))</t>
        </is>
      </c>
      <c r="AG341" s="44" t="n"/>
      <c r="AH341" s="44" t="n"/>
      <c r="AI341" s="44" t="n"/>
      <c r="AJ341" s="44" t="n"/>
      <c r="AK341" s="44" t="n"/>
      <c r="AL341" s="44" t="n"/>
      <c r="AM341" s="44" t="n"/>
      <c r="AN341" s="44" t="n"/>
      <c r="AO341" s="44" t="n"/>
      <c r="AP341" s="44" t="n"/>
      <c r="AQ341" s="44" t="n"/>
      <c r="AR341" s="40" t="n"/>
      <c r="AS341" s="40" t="n"/>
      <c r="AT341" s="40" t="n"/>
      <c r="AU341" s="38" t="inlineStr">
        <is>
          <t>IF(OR(E341="",AH341=""),"",IF(COUNT(AG341:AG341)=0,"",AH341-LOOKUP(2,1/(AG341:AG341&lt;&gt;""),AG341:AG341)))</t>
        </is>
      </c>
      <c r="AV341" s="38" t="inlineStr">
        <is>
          <t>IF(OR(E341="",AI341=""),"",IF(COUNT(AG341:AH341)=0,"",AI341-LOOKUP(2,1/(AG341:AH341&lt;&gt;""),AG341:AH341)))</t>
        </is>
      </c>
      <c r="AW341" s="38" t="inlineStr">
        <is>
          <t>IF(OR(E341="",AJ341=""),"",IF(COUNT(AG341:AI341)=0,"",AJ341-LOOKUP(2,1/(AG341:AI341&lt;&gt;""),AG341:AI341)))</t>
        </is>
      </c>
      <c r="AX341" s="38" t="inlineStr">
        <is>
          <t>IF(OR(E341="",AK341=""),"",IF(COUNT(AG341:AJ341)=0,"",AK341-LOOKUP(2,1/(AG341:AJ341&lt;&gt;""),AG341:AJ341)))</t>
        </is>
      </c>
      <c r="AY341" s="38" t="inlineStr">
        <is>
          <t>IF(OR(E341="",AL341=""),"",IF(COUNT(AG341:AK341)=0,"",AL341-LOOKUP(2,1/(AG341:AK341&lt;&gt;""),AG341:AK341)))</t>
        </is>
      </c>
      <c r="AZ341" s="38" t="inlineStr">
        <is>
          <t>IF(OR(E341="",AM341=""),"",IF(COUNT(AG341:AL341)=0,"",AM341-LOOKUP(2,1/(AG341:AL341&lt;&gt;""),AG341:AL341)))</t>
        </is>
      </c>
      <c r="BA341" s="38" t="inlineStr">
        <is>
          <t>IF(OR(E341="",AN341=""),"",IF(COUNT(AG341:AM341)=0,"",AN341-LOOKUP(2,1/(AG341:AM341&lt;&gt;""),AG341:AM341)))</t>
        </is>
      </c>
      <c r="BB341" s="38" t="inlineStr">
        <is>
          <t>IF(OR(E341="",AO341=""),"",IF(COUNT(AG341:AN341)=0,"",AO341-LOOKUP(2,1/(AG341:AN341&lt;&gt;""),AG341:AN341)))</t>
        </is>
      </c>
      <c r="BC341" s="38" t="inlineStr">
        <is>
          <t>IF(OR(E341="",AP341=""),"",IF(COUNT(AG341:AO341)=0,"",AP341-LOOKUP(2,1/(AG341:AO341&lt;&gt;""),AG341:AO341)))</t>
        </is>
      </c>
      <c r="BD341" s="38" t="inlineStr">
        <is>
          <t>IF(OR(E341="",AQ341=""),"",IF(COUNT(AG341:AP341)=0,"",AQ341-LOOKUP(2,1/(AG341:AP341&lt;&gt;""),AG341:AP341)))</t>
        </is>
      </c>
      <c r="BE341" s="38" t="inlineStr">
        <is>
          <t>IF(OR(E341="",AR341=""),"",IF(COUNT(AG341:AQ341)=0,"",AR341-LOOKUP(2,1/(AG341:AQ341&lt;&gt;""),AG341:AQ341)))</t>
        </is>
      </c>
      <c r="BF341" s="38" t="inlineStr">
        <is>
          <t>IF(OR(E341="",AS341=""),"",IF(COUNT(AG341:AR341)=0,"",AS341-LOOKUP(2,1/(AG341:AR341&lt;&gt;""),AG341:AR341)))</t>
        </is>
      </c>
      <c r="BG341" s="38" t="inlineStr">
        <is>
          <t>IF(OR(E341="",AT341=""),"",IF(COUNT(AG341:AS341)=0,"",AT341-LOOKUP(2,1/(AG341:AS341&lt;&gt;""),AG341:AS341)))</t>
        </is>
      </c>
      <c r="BH341" s="41" t="inlineStr">
        <is>
          <t>IF(G341="","All_Provinces",IFERROR(VLOOKUP(G341,'07_Lookups'!$A$4:$B$20,2,FALSE),"All_Provinces"))</t>
        </is>
      </c>
      <c r="BI341" s="41" t="inlineStr">
        <is>
          <t>IF(H341="","All_Districts",IFERROR(VLOOKUP(H341,'07_Lookups'!$E$4:$F$42,2,FALSE),"All_Districts"))</t>
        </is>
      </c>
    </row>
    <row r="342" ht="18" customHeight="1">
      <c r="A342" s="32" t="inlineStr">
        <is>
          <t>IF(E342="","",ROW()-3)</t>
        </is>
      </c>
      <c r="B342" s="33" t="inlineStr">
        <is>
          <t>AF2-AGF-R-029</t>
        </is>
      </c>
      <c r="C342" s="33" t="inlineStr">
        <is>
          <t>Emergency Food Security Project (EFSP) – WBK/AF-2</t>
        </is>
      </c>
      <c r="D342" s="33" t="inlineStr">
        <is>
          <t>Agroforestry saplings and seeds 2026/27</t>
        </is>
      </c>
      <c r="E342" s="33" t="inlineStr">
        <is>
          <t>Agroforestry — Faryab / Almar</t>
        </is>
      </c>
      <c r="F342" s="33" t="inlineStr">
        <is>
          <t>Agroforestry saplings / seeds</t>
        </is>
      </c>
      <c r="G342" s="33" t="inlineStr">
        <is>
          <t>North / Mazar</t>
        </is>
      </c>
      <c r="H342" s="33" t="inlineStr">
        <is>
          <t>Faryab</t>
        </is>
      </c>
      <c r="I342" s="33" t="inlineStr">
        <is>
          <t>Almar</t>
        </is>
      </c>
      <c r="J342" s="33" t="inlineStr">
        <is>
          <t>Saplings: 0; Seeds kg: 154</t>
        </is>
      </c>
      <c r="K342" s="33" t="inlineStr">
        <is>
          <t>World Bank (WBK/AF-2)</t>
        </is>
      </c>
      <c r="L342" s="33" t="inlineStr">
        <is>
          <t>Remaining</t>
        </is>
      </c>
      <c r="M342" s="33" t="inlineStr">
        <is>
          <t>Agroforestry</t>
        </is>
      </c>
      <c r="N342" s="33" t="inlineStr">
        <is>
          <t>7. Agroforestry Saplings-seeds</t>
        </is>
      </c>
      <c r="O342" s="33" t="inlineStr"/>
      <c r="P342" s="33" t="inlineStr"/>
      <c r="Q342" s="34" t="n"/>
      <c r="R342" s="35" t="inlineStr">
        <is>
          <t>IF(AO342="","",AO342)</t>
        </is>
      </c>
      <c r="S342" s="36" t="n">
        <v>46142</v>
      </c>
      <c r="T342" s="37" t="n">
        <v>12</v>
      </c>
      <c r="U342" s="36" t="n">
        <v>46478</v>
      </c>
      <c r="V342" s="35" t="inlineStr">
        <is>
          <t>IF(U342&lt;&gt;"",U342,IF(OR(R342="",T342=""),"",EDATE(R342,T342)))</t>
        </is>
      </c>
      <c r="W342" s="36" t="n"/>
      <c r="X342" s="37" t="n"/>
      <c r="Y342" s="33" t="inlineStr">
        <is>
          <t>Under Awarding</t>
        </is>
      </c>
      <c r="Z342" s="33" t="inlineStr">
        <is>
          <t>The saplings PO has already been issued and PO for seeds is expected to be issued in November 2026</t>
        </is>
      </c>
      <c r="AA342" s="32" t="inlineStr">
        <is>
          <t>IF(E342="","",IF(COUNT(AG342:AT342)=0,IF(Y342="","Not started",Y342),SUBSTITUTE(LOOKUP(2,1/(AG342:AT342&lt;&gt;""),$AG$3:$AT$3),"Date: ","")))</t>
        </is>
      </c>
      <c r="AB342" s="38" t="inlineStr">
        <is>
          <t>IF(OR(E342="",COUNT(AG342:AT342)=0),"",TODAY()-LOOKUP(2,1/(AG342:AT342&lt;&gt;""),AG342:AT342))</t>
        </is>
      </c>
      <c r="AC342" s="38" t="inlineStr">
        <is>
          <t>IF(OR(E342="",COUNT(AG342:AT342)&lt;2),"",LOOKUP(2,1/(AG342:AT342&lt;&gt;""),AG342:AT342)-MIN(AG342:AT342))</t>
        </is>
      </c>
      <c r="AD342" s="38" t="inlineStr">
        <is>
          <t>IF(OR(AB342="",AA342="Not started",AA342=""),"",IFERROR(AB342-IF(VLOOKUP(AA342,'04_Status_Pipeline'!$B$3:$E$20,4,FALSE)="",0,VLOOKUP(AA342,'04_Status_Pipeline'!$B$3:$E$20,4,FALSE)),""))</t>
        </is>
      </c>
      <c r="AE342" s="32" t="inlineStr">
        <is>
          <t>IF(E342="","",IF(OR(Y342="Cancelled",AA342="Cancelled"),"Cancelled",IF(OR(AA342="Completed / Handover",W342&lt;&gt;"",X342&gt;=100),"Completed — on track",IF(L342="Remaining",IF(S342="",IF(V342="","No planned date",IF(TODAY()&gt;V342,"Behind — past planned date",IF(V342-TODAY()&lt;=30,"At risk — close to off track","On track"))),IF(TODAY()&gt;S342,"Behind — award date passed",IF(S342-TODAY()&lt;=30,"At risk — close to off track","On track"))),IF(V342="","No planned date",IF(AND(TODAY()&gt;V342,OR(X342="",X342&lt;100)),"Behind — past end date",IF(AND(R342&lt;&gt;"",V342&lt;&gt;"",X342&lt;&gt;"",(X342&lt;100),((TODAY()-R342)/MAX(V342-R342,1)*100)-X342&gt;15),"Behind — progress lag",IF(AND(V342-TODAY()&lt;=30,V342-TODAY()&gt;=0,OR(X342="",X342&lt;90)),"At risk — close to off track","On track"))))))))</t>
        </is>
      </c>
      <c r="AF342" s="38" t="inlineStr">
        <is>
          <t>IF(OR(E342="",AA342="Completed / Handover",AA342="Cancelled"),"",IF(L342="Remaining",IF(S342&lt;&gt;"",S342-TODAY(),IF(V342="","",V342-TODAY())),IF(V342="","",V342-TODAY())))</t>
        </is>
      </c>
      <c r="AG342" s="36" t="n"/>
      <c r="AH342" s="36" t="n"/>
      <c r="AI342" s="36" t="n"/>
      <c r="AJ342" s="36" t="n"/>
      <c r="AK342" s="36" t="n"/>
      <c r="AL342" s="36" t="n"/>
      <c r="AM342" s="36" t="n"/>
      <c r="AN342" s="36" t="n"/>
      <c r="AO342" s="36" t="n"/>
      <c r="AP342" s="36" t="n"/>
      <c r="AQ342" s="36" t="n"/>
      <c r="AR342" s="40" t="n"/>
      <c r="AS342" s="40" t="n"/>
      <c r="AT342" s="40" t="n"/>
      <c r="AU342" s="38" t="inlineStr">
        <is>
          <t>IF(OR(E342="",AH342=""),"",IF(COUNT(AG342:AG342)=0,"",AH342-LOOKUP(2,1/(AG342:AG342&lt;&gt;""),AG342:AG342)))</t>
        </is>
      </c>
      <c r="AV342" s="38" t="inlineStr">
        <is>
          <t>IF(OR(E342="",AI342=""),"",IF(COUNT(AG342:AH342)=0,"",AI342-LOOKUP(2,1/(AG342:AH342&lt;&gt;""),AG342:AH342)))</t>
        </is>
      </c>
      <c r="AW342" s="38" t="inlineStr">
        <is>
          <t>IF(OR(E342="",AJ342=""),"",IF(COUNT(AG342:AI342)=0,"",AJ342-LOOKUP(2,1/(AG342:AI342&lt;&gt;""),AG342:AI342)))</t>
        </is>
      </c>
      <c r="AX342" s="38" t="inlineStr">
        <is>
          <t>IF(OR(E342="",AK342=""),"",IF(COUNT(AG342:AJ342)=0,"",AK342-LOOKUP(2,1/(AG342:AJ342&lt;&gt;""),AG342:AJ342)))</t>
        </is>
      </c>
      <c r="AY342" s="38" t="inlineStr">
        <is>
          <t>IF(OR(E342="",AL342=""),"",IF(COUNT(AG342:AK342)=0,"",AL342-LOOKUP(2,1/(AG342:AK342&lt;&gt;""),AG342:AK342)))</t>
        </is>
      </c>
      <c r="AZ342" s="38" t="inlineStr">
        <is>
          <t>IF(OR(E342="",AM342=""),"",IF(COUNT(AG342:AL342)=0,"",AM342-LOOKUP(2,1/(AG342:AL342&lt;&gt;""),AG342:AL342)))</t>
        </is>
      </c>
      <c r="BA342" s="38" t="inlineStr">
        <is>
          <t>IF(OR(E342="",AN342=""),"",IF(COUNT(AG342:AM342)=0,"",AN342-LOOKUP(2,1/(AG342:AM342&lt;&gt;""),AG342:AM342)))</t>
        </is>
      </c>
      <c r="BB342" s="38" t="inlineStr">
        <is>
          <t>IF(OR(E342="",AO342=""),"",IF(COUNT(AG342:AN342)=0,"",AO342-LOOKUP(2,1/(AG342:AN342&lt;&gt;""),AG342:AN342)))</t>
        </is>
      </c>
      <c r="BC342" s="38" t="inlineStr">
        <is>
          <t>IF(OR(E342="",AP342=""),"",IF(COUNT(AG342:AO342)=0,"",AP342-LOOKUP(2,1/(AG342:AO342&lt;&gt;""),AG342:AO342)))</t>
        </is>
      </c>
      <c r="BD342" s="38" t="inlineStr">
        <is>
          <t>IF(OR(E342="",AQ342=""),"",IF(COUNT(AG342:AP342)=0,"",AQ342-LOOKUP(2,1/(AG342:AP342&lt;&gt;""),AG342:AP342)))</t>
        </is>
      </c>
      <c r="BE342" s="38" t="inlineStr">
        <is>
          <t>IF(OR(E342="",AR342=""),"",IF(COUNT(AG342:AQ342)=0,"",AR342-LOOKUP(2,1/(AG342:AQ342&lt;&gt;""),AG342:AQ342)))</t>
        </is>
      </c>
      <c r="BF342" s="38" t="inlineStr">
        <is>
          <t>IF(OR(E342="",AS342=""),"",IF(COUNT(AG342:AR342)=0,"",AS342-LOOKUP(2,1/(AG342:AR342&lt;&gt;""),AG342:AR342)))</t>
        </is>
      </c>
      <c r="BG342" s="38" t="inlineStr">
        <is>
          <t>IF(OR(E342="",AT342=""),"",IF(COUNT(AG342:AS342)=0,"",AT342-LOOKUP(2,1/(AG342:AS342&lt;&gt;""),AG342:AS342)))</t>
        </is>
      </c>
      <c r="BH342" s="41" t="inlineStr">
        <is>
          <t>IF(G342="","All_Provinces",IFERROR(VLOOKUP(G342,'07_Lookups'!$A$4:$B$20,2,FALSE),"All_Provinces"))</t>
        </is>
      </c>
      <c r="BI342" s="41" t="inlineStr">
        <is>
          <t>IF(H342="","All_Districts",IFERROR(VLOOKUP(H342,'07_Lookups'!$E$4:$F$42,2,FALSE),"All_Districts"))</t>
        </is>
      </c>
    </row>
    <row r="343" ht="18" customHeight="1">
      <c r="A343" s="32" t="inlineStr">
        <is>
          <t>IF(E343="","",ROW()-3)</t>
        </is>
      </c>
      <c r="B343" s="42" t="inlineStr">
        <is>
          <t>AF2-AGF-R-030</t>
        </is>
      </c>
      <c r="C343" s="42" t="inlineStr">
        <is>
          <t>Emergency Food Security Project (EFSP) – WBK/AF-2</t>
        </is>
      </c>
      <c r="D343" s="42" t="inlineStr">
        <is>
          <t>Agroforestry saplings and seeds 2026/27</t>
        </is>
      </c>
      <c r="E343" s="42" t="inlineStr">
        <is>
          <t>Agroforestry — Balkh / Dehdadi</t>
        </is>
      </c>
      <c r="F343" s="42" t="inlineStr">
        <is>
          <t>Agroforestry saplings / seeds</t>
        </is>
      </c>
      <c r="G343" s="42" t="inlineStr">
        <is>
          <t>North / Mazar</t>
        </is>
      </c>
      <c r="H343" s="42" t="inlineStr">
        <is>
          <t>Balkh</t>
        </is>
      </c>
      <c r="I343" s="42" t="inlineStr">
        <is>
          <t>Dehdadi</t>
        </is>
      </c>
      <c r="J343" s="42" t="inlineStr">
        <is>
          <t>Saplings: 2400; Seeds kg: 21</t>
        </is>
      </c>
      <c r="K343" s="42" t="inlineStr">
        <is>
          <t>World Bank (WBK/AF-2)</t>
        </is>
      </c>
      <c r="L343" s="42" t="inlineStr">
        <is>
          <t>Remaining</t>
        </is>
      </c>
      <c r="M343" s="42" t="inlineStr">
        <is>
          <t>Agroforestry</t>
        </is>
      </c>
      <c r="N343" s="42" t="inlineStr">
        <is>
          <t>7. Agroforestry Saplings-seeds</t>
        </is>
      </c>
      <c r="O343" s="42" t="inlineStr"/>
      <c r="P343" s="42" t="inlineStr"/>
      <c r="Q343" s="43" t="n"/>
      <c r="R343" s="35" t="inlineStr">
        <is>
          <t>IF(AO343="","",AO343)</t>
        </is>
      </c>
      <c r="S343" s="44" t="n">
        <v>46142</v>
      </c>
      <c r="T343" s="45" t="n">
        <v>12</v>
      </c>
      <c r="U343" s="44" t="n">
        <v>46478</v>
      </c>
      <c r="V343" s="35" t="inlineStr">
        <is>
          <t>IF(U343&lt;&gt;"",U343,IF(OR(R343="",T343=""),"",EDATE(R343,T343)))</t>
        </is>
      </c>
      <c r="W343" s="44" t="n"/>
      <c r="X343" s="45" t="n"/>
      <c r="Y343" s="42" t="inlineStr">
        <is>
          <t>Under Awarding</t>
        </is>
      </c>
      <c r="Z343" s="42" t="inlineStr">
        <is>
          <t>The saplings PO has already been issued and PO for seeds is expected to be issued in November 2026</t>
        </is>
      </c>
      <c r="AA343" s="32" t="inlineStr">
        <is>
          <t>IF(E343="","",IF(COUNT(AG343:AT343)=0,IF(Y343="","Not started",Y343),SUBSTITUTE(LOOKUP(2,1/(AG343:AT343&lt;&gt;""),$AG$3:$AT$3),"Date: ","")))</t>
        </is>
      </c>
      <c r="AB343" s="38" t="inlineStr">
        <is>
          <t>IF(OR(E343="",COUNT(AG343:AT343)=0),"",TODAY()-LOOKUP(2,1/(AG343:AT343&lt;&gt;""),AG343:AT343))</t>
        </is>
      </c>
      <c r="AC343" s="38" t="inlineStr">
        <is>
          <t>IF(OR(E343="",COUNT(AG343:AT343)&lt;2),"",LOOKUP(2,1/(AG343:AT343&lt;&gt;""),AG343:AT343)-MIN(AG343:AT343))</t>
        </is>
      </c>
      <c r="AD343" s="38" t="inlineStr">
        <is>
          <t>IF(OR(AB343="",AA343="Not started",AA343=""),"",IFERROR(AB343-IF(VLOOKUP(AA343,'04_Status_Pipeline'!$B$3:$E$20,4,FALSE)="",0,VLOOKUP(AA343,'04_Status_Pipeline'!$B$3:$E$20,4,FALSE)),""))</t>
        </is>
      </c>
      <c r="AE343" s="32" t="inlineStr">
        <is>
          <t>IF(E343="","",IF(OR(Y343="Cancelled",AA343="Cancelled"),"Cancelled",IF(OR(AA343="Completed / Handover",W343&lt;&gt;"",X343&gt;=100),"Completed — on track",IF(L343="Remaining",IF(S343="",IF(V343="","No planned date",IF(TODAY()&gt;V343,"Behind — past planned date",IF(V343-TODAY()&lt;=30,"At risk — close to off track","On track"))),IF(TODAY()&gt;S343,"Behind — award date passed",IF(S343-TODAY()&lt;=30,"At risk — close to off track","On track"))),IF(V343="","No planned date",IF(AND(TODAY()&gt;V343,OR(X343="",X343&lt;100)),"Behind — past end date",IF(AND(R343&lt;&gt;"",V343&lt;&gt;"",X343&lt;&gt;"",(X343&lt;100),((TODAY()-R343)/MAX(V343-R343,1)*100)-X343&gt;15),"Behind — progress lag",IF(AND(V343-TODAY()&lt;=30,V343-TODAY()&gt;=0,OR(X343="",X343&lt;90)),"At risk — close to off track","On track"))))))))</t>
        </is>
      </c>
      <c r="AF343" s="38" t="inlineStr">
        <is>
          <t>IF(OR(E343="",AA343="Completed / Handover",AA343="Cancelled"),"",IF(L343="Remaining",IF(S343&lt;&gt;"",S343-TODAY(),IF(V343="","",V343-TODAY())),IF(V343="","",V343-TODAY())))</t>
        </is>
      </c>
      <c r="AG343" s="44" t="n"/>
      <c r="AH343" s="44" t="n"/>
      <c r="AI343" s="44" t="n"/>
      <c r="AJ343" s="44" t="n"/>
      <c r="AK343" s="44" t="n"/>
      <c r="AL343" s="44" t="n"/>
      <c r="AM343" s="44" t="n"/>
      <c r="AN343" s="44" t="n"/>
      <c r="AO343" s="44" t="n"/>
      <c r="AP343" s="44" t="n"/>
      <c r="AQ343" s="44" t="n"/>
      <c r="AR343" s="40" t="n"/>
      <c r="AS343" s="40" t="n"/>
      <c r="AT343" s="40" t="n"/>
      <c r="AU343" s="38" t="inlineStr">
        <is>
          <t>IF(OR(E343="",AH343=""),"",IF(COUNT(AG343:AG343)=0,"",AH343-LOOKUP(2,1/(AG343:AG343&lt;&gt;""),AG343:AG343)))</t>
        </is>
      </c>
      <c r="AV343" s="38" t="inlineStr">
        <is>
          <t>IF(OR(E343="",AI343=""),"",IF(COUNT(AG343:AH343)=0,"",AI343-LOOKUP(2,1/(AG343:AH343&lt;&gt;""),AG343:AH343)))</t>
        </is>
      </c>
      <c r="AW343" s="38" t="inlineStr">
        <is>
          <t>IF(OR(E343="",AJ343=""),"",IF(COUNT(AG343:AI343)=0,"",AJ343-LOOKUP(2,1/(AG343:AI343&lt;&gt;""),AG343:AI343)))</t>
        </is>
      </c>
      <c r="AX343" s="38" t="inlineStr">
        <is>
          <t>IF(OR(E343="",AK343=""),"",IF(COUNT(AG343:AJ343)=0,"",AK343-LOOKUP(2,1/(AG343:AJ343&lt;&gt;""),AG343:AJ343)))</t>
        </is>
      </c>
      <c r="AY343" s="38" t="inlineStr">
        <is>
          <t>IF(OR(E343="",AL343=""),"",IF(COUNT(AG343:AK343)=0,"",AL343-LOOKUP(2,1/(AG343:AK343&lt;&gt;""),AG343:AK343)))</t>
        </is>
      </c>
      <c r="AZ343" s="38" t="inlineStr">
        <is>
          <t>IF(OR(E343="",AM343=""),"",IF(COUNT(AG343:AL343)=0,"",AM343-LOOKUP(2,1/(AG343:AL343&lt;&gt;""),AG343:AL343)))</t>
        </is>
      </c>
      <c r="BA343" s="38" t="inlineStr">
        <is>
          <t>IF(OR(E343="",AN343=""),"",IF(COUNT(AG343:AM343)=0,"",AN343-LOOKUP(2,1/(AG343:AM343&lt;&gt;""),AG343:AM343)))</t>
        </is>
      </c>
      <c r="BB343" s="38" t="inlineStr">
        <is>
          <t>IF(OR(E343="",AO343=""),"",IF(COUNT(AG343:AN343)=0,"",AO343-LOOKUP(2,1/(AG343:AN343&lt;&gt;""),AG343:AN343)))</t>
        </is>
      </c>
      <c r="BC343" s="38" t="inlineStr">
        <is>
          <t>IF(OR(E343="",AP343=""),"",IF(COUNT(AG343:AO343)=0,"",AP343-LOOKUP(2,1/(AG343:AO343&lt;&gt;""),AG343:AO343)))</t>
        </is>
      </c>
      <c r="BD343" s="38" t="inlineStr">
        <is>
          <t>IF(OR(E343="",AQ343=""),"",IF(COUNT(AG343:AP343)=0,"",AQ343-LOOKUP(2,1/(AG343:AP343&lt;&gt;""),AG343:AP343)))</t>
        </is>
      </c>
      <c r="BE343" s="38" t="inlineStr">
        <is>
          <t>IF(OR(E343="",AR343=""),"",IF(COUNT(AG343:AQ343)=0,"",AR343-LOOKUP(2,1/(AG343:AQ343&lt;&gt;""),AG343:AQ343)))</t>
        </is>
      </c>
      <c r="BF343" s="38" t="inlineStr">
        <is>
          <t>IF(OR(E343="",AS343=""),"",IF(COUNT(AG343:AR343)=0,"",AS343-LOOKUP(2,1/(AG343:AR343&lt;&gt;""),AG343:AR343)))</t>
        </is>
      </c>
      <c r="BG343" s="38" t="inlineStr">
        <is>
          <t>IF(OR(E343="",AT343=""),"",IF(COUNT(AG343:AS343)=0,"",AT343-LOOKUP(2,1/(AG343:AS343&lt;&gt;""),AG343:AS343)))</t>
        </is>
      </c>
      <c r="BH343" s="41" t="inlineStr">
        <is>
          <t>IF(G343="","All_Provinces",IFERROR(VLOOKUP(G343,'07_Lookups'!$A$4:$B$20,2,FALSE),"All_Provinces"))</t>
        </is>
      </c>
      <c r="BI343" s="41" t="inlineStr">
        <is>
          <t>IF(H343="","All_Districts",IFERROR(VLOOKUP(H343,'07_Lookups'!$E$4:$F$42,2,FALSE),"All_Districts"))</t>
        </is>
      </c>
    </row>
    <row r="344" ht="18" customHeight="1">
      <c r="A344" s="32" t="inlineStr">
        <is>
          <t>IF(E344="","",ROW()-3)</t>
        </is>
      </c>
      <c r="B344" s="33" t="inlineStr">
        <is>
          <t>AF2-AGF-R-031</t>
        </is>
      </c>
      <c r="C344" s="33" t="inlineStr">
        <is>
          <t>Emergency Food Security Project (EFSP) – WBK/AF-2</t>
        </is>
      </c>
      <c r="D344" s="33" t="inlineStr">
        <is>
          <t>Agroforestry saplings and seeds 2026/27</t>
        </is>
      </c>
      <c r="E344" s="33" t="inlineStr">
        <is>
          <t>Agroforestry — Balkh / Nahre Shahi</t>
        </is>
      </c>
      <c r="F344" s="33" t="inlineStr">
        <is>
          <t>Agroforestry saplings / seeds</t>
        </is>
      </c>
      <c r="G344" s="33" t="inlineStr">
        <is>
          <t>North / Mazar</t>
        </is>
      </c>
      <c r="H344" s="33" t="inlineStr">
        <is>
          <t>Balkh</t>
        </is>
      </c>
      <c r="I344" s="33" t="inlineStr">
        <is>
          <t>Nahre Shahi</t>
        </is>
      </c>
      <c r="J344" s="33" t="inlineStr">
        <is>
          <t>Saplings: 0; Seeds kg: 246</t>
        </is>
      </c>
      <c r="K344" s="33" t="inlineStr">
        <is>
          <t>World Bank (WBK/AF-2)</t>
        </is>
      </c>
      <c r="L344" s="33" t="inlineStr">
        <is>
          <t>Remaining</t>
        </is>
      </c>
      <c r="M344" s="33" t="inlineStr">
        <is>
          <t>Agroforestry</t>
        </is>
      </c>
      <c r="N344" s="33" t="inlineStr">
        <is>
          <t>7. Agroforestry Saplings-seeds</t>
        </is>
      </c>
      <c r="O344" s="33" t="inlineStr"/>
      <c r="P344" s="33" t="inlineStr"/>
      <c r="Q344" s="34" t="n"/>
      <c r="R344" s="35" t="inlineStr">
        <is>
          <t>IF(AO344="","",AO344)</t>
        </is>
      </c>
      <c r="S344" s="36" t="n">
        <v>46142</v>
      </c>
      <c r="T344" s="37" t="n">
        <v>12</v>
      </c>
      <c r="U344" s="36" t="n">
        <v>46478</v>
      </c>
      <c r="V344" s="35" t="inlineStr">
        <is>
          <t>IF(U344&lt;&gt;"",U344,IF(OR(R344="",T344=""),"",EDATE(R344,T344)))</t>
        </is>
      </c>
      <c r="W344" s="36" t="n"/>
      <c r="X344" s="37" t="n"/>
      <c r="Y344" s="33" t="inlineStr">
        <is>
          <t>Under Awarding</t>
        </is>
      </c>
      <c r="Z344" s="33" t="inlineStr">
        <is>
          <t>The saplings PO has already been issued and PO for seeds is expected to be issued in November 2026</t>
        </is>
      </c>
      <c r="AA344" s="32" t="inlineStr">
        <is>
          <t>IF(E344="","",IF(COUNT(AG344:AT344)=0,IF(Y344="","Not started",Y344),SUBSTITUTE(LOOKUP(2,1/(AG344:AT344&lt;&gt;""),$AG$3:$AT$3),"Date: ","")))</t>
        </is>
      </c>
      <c r="AB344" s="38" t="inlineStr">
        <is>
          <t>IF(OR(E344="",COUNT(AG344:AT344)=0),"",TODAY()-LOOKUP(2,1/(AG344:AT344&lt;&gt;""),AG344:AT344))</t>
        </is>
      </c>
      <c r="AC344" s="38" t="inlineStr">
        <is>
          <t>IF(OR(E344="",COUNT(AG344:AT344)&lt;2),"",LOOKUP(2,1/(AG344:AT344&lt;&gt;""),AG344:AT344)-MIN(AG344:AT344))</t>
        </is>
      </c>
      <c r="AD344" s="38" t="inlineStr">
        <is>
          <t>IF(OR(AB344="",AA344="Not started",AA344=""),"",IFERROR(AB344-IF(VLOOKUP(AA344,'04_Status_Pipeline'!$B$3:$E$20,4,FALSE)="",0,VLOOKUP(AA344,'04_Status_Pipeline'!$B$3:$E$20,4,FALSE)),""))</t>
        </is>
      </c>
      <c r="AE344" s="32" t="inlineStr">
        <is>
          <t>IF(E344="","",IF(OR(Y344="Cancelled",AA344="Cancelled"),"Cancelled",IF(OR(AA344="Completed / Handover",W344&lt;&gt;"",X344&gt;=100),"Completed — on track",IF(L344="Remaining",IF(S344="",IF(V344="","No planned date",IF(TODAY()&gt;V344,"Behind — past planned date",IF(V344-TODAY()&lt;=30,"At risk — close to off track","On track"))),IF(TODAY()&gt;S344,"Behind — award date passed",IF(S344-TODAY()&lt;=30,"At risk — close to off track","On track"))),IF(V344="","No planned date",IF(AND(TODAY()&gt;V344,OR(X344="",X344&lt;100)),"Behind — past end date",IF(AND(R344&lt;&gt;"",V344&lt;&gt;"",X344&lt;&gt;"",(X344&lt;100),((TODAY()-R344)/MAX(V344-R344,1)*100)-X344&gt;15),"Behind — progress lag",IF(AND(V344-TODAY()&lt;=30,V344-TODAY()&gt;=0,OR(X344="",X344&lt;90)),"At risk — close to off track","On track"))))))))</t>
        </is>
      </c>
      <c r="AF344" s="38" t="inlineStr">
        <is>
          <t>IF(OR(E344="",AA344="Completed / Handover",AA344="Cancelled"),"",IF(L344="Remaining",IF(S344&lt;&gt;"",S344-TODAY(),IF(V344="","",V344-TODAY())),IF(V344="","",V344-TODAY())))</t>
        </is>
      </c>
      <c r="AG344" s="36" t="n"/>
      <c r="AH344" s="36" t="n"/>
      <c r="AI344" s="36" t="n"/>
      <c r="AJ344" s="36" t="n"/>
      <c r="AK344" s="36" t="n"/>
      <c r="AL344" s="36" t="n"/>
      <c r="AM344" s="36" t="n"/>
      <c r="AN344" s="36" t="n"/>
      <c r="AO344" s="36" t="n"/>
      <c r="AP344" s="36" t="n"/>
      <c r="AQ344" s="36" t="n"/>
      <c r="AR344" s="40" t="n"/>
      <c r="AS344" s="40" t="n"/>
      <c r="AT344" s="40" t="n"/>
      <c r="AU344" s="38" t="inlineStr">
        <is>
          <t>IF(OR(E344="",AH344=""),"",IF(COUNT(AG344:AG344)=0,"",AH344-LOOKUP(2,1/(AG344:AG344&lt;&gt;""),AG344:AG344)))</t>
        </is>
      </c>
      <c r="AV344" s="38" t="inlineStr">
        <is>
          <t>IF(OR(E344="",AI344=""),"",IF(COUNT(AG344:AH344)=0,"",AI344-LOOKUP(2,1/(AG344:AH344&lt;&gt;""),AG344:AH344)))</t>
        </is>
      </c>
      <c r="AW344" s="38" t="inlineStr">
        <is>
          <t>IF(OR(E344="",AJ344=""),"",IF(COUNT(AG344:AI344)=0,"",AJ344-LOOKUP(2,1/(AG344:AI344&lt;&gt;""),AG344:AI344)))</t>
        </is>
      </c>
      <c r="AX344" s="38" t="inlineStr">
        <is>
          <t>IF(OR(E344="",AK344=""),"",IF(COUNT(AG344:AJ344)=0,"",AK344-LOOKUP(2,1/(AG344:AJ344&lt;&gt;""),AG344:AJ344)))</t>
        </is>
      </c>
      <c r="AY344" s="38" t="inlineStr">
        <is>
          <t>IF(OR(E344="",AL344=""),"",IF(COUNT(AG344:AK344)=0,"",AL344-LOOKUP(2,1/(AG344:AK344&lt;&gt;""),AG344:AK344)))</t>
        </is>
      </c>
      <c r="AZ344" s="38" t="inlineStr">
        <is>
          <t>IF(OR(E344="",AM344=""),"",IF(COUNT(AG344:AL344)=0,"",AM344-LOOKUP(2,1/(AG344:AL344&lt;&gt;""),AG344:AL344)))</t>
        </is>
      </c>
      <c r="BA344" s="38" t="inlineStr">
        <is>
          <t>IF(OR(E344="",AN344=""),"",IF(COUNT(AG344:AM344)=0,"",AN344-LOOKUP(2,1/(AG344:AM344&lt;&gt;""),AG344:AM344)))</t>
        </is>
      </c>
      <c r="BB344" s="38" t="inlineStr">
        <is>
          <t>IF(OR(E344="",AO344=""),"",IF(COUNT(AG344:AN344)=0,"",AO344-LOOKUP(2,1/(AG344:AN344&lt;&gt;""),AG344:AN344)))</t>
        </is>
      </c>
      <c r="BC344" s="38" t="inlineStr">
        <is>
          <t>IF(OR(E344="",AP344=""),"",IF(COUNT(AG344:AO344)=0,"",AP344-LOOKUP(2,1/(AG344:AO344&lt;&gt;""),AG344:AO344)))</t>
        </is>
      </c>
      <c r="BD344" s="38" t="inlineStr">
        <is>
          <t>IF(OR(E344="",AQ344=""),"",IF(COUNT(AG344:AP344)=0,"",AQ344-LOOKUP(2,1/(AG344:AP344&lt;&gt;""),AG344:AP344)))</t>
        </is>
      </c>
      <c r="BE344" s="38" t="inlineStr">
        <is>
          <t>IF(OR(E344="",AR344=""),"",IF(COUNT(AG344:AQ344)=0,"",AR344-LOOKUP(2,1/(AG344:AQ344&lt;&gt;""),AG344:AQ344)))</t>
        </is>
      </c>
      <c r="BF344" s="38" t="inlineStr">
        <is>
          <t>IF(OR(E344="",AS344=""),"",IF(COUNT(AG344:AR344)=0,"",AS344-LOOKUP(2,1/(AG344:AR344&lt;&gt;""),AG344:AR344)))</t>
        </is>
      </c>
      <c r="BG344" s="38" t="inlineStr">
        <is>
          <t>IF(OR(E344="",AT344=""),"",IF(COUNT(AG344:AS344)=0,"",AT344-LOOKUP(2,1/(AG344:AS344&lt;&gt;""),AG344:AS344)))</t>
        </is>
      </c>
      <c r="BH344" s="41" t="inlineStr">
        <is>
          <t>IF(G344="","All_Provinces",IFERROR(VLOOKUP(G344,'07_Lookups'!$A$4:$B$20,2,FALSE),"All_Provinces"))</t>
        </is>
      </c>
      <c r="BI344" s="41" t="inlineStr">
        <is>
          <t>IF(H344="","All_Districts",IFERROR(VLOOKUP(H344,'07_Lookups'!$E$4:$F$42,2,FALSE),"All_Districts"))</t>
        </is>
      </c>
    </row>
    <row r="345" ht="18" customHeight="1">
      <c r="A345" s="32" t="inlineStr">
        <is>
          <t>IF(E345="","",ROW()-3)</t>
        </is>
      </c>
      <c r="B345" s="42" t="inlineStr">
        <is>
          <t>AF2-AGF-R-032</t>
        </is>
      </c>
      <c r="C345" s="42" t="inlineStr">
        <is>
          <t>Emergency Food Security Project (EFSP) – WBK/AF-2</t>
        </is>
      </c>
      <c r="D345" s="42" t="inlineStr">
        <is>
          <t>Agroforestry saplings and seeds 2026/27</t>
        </is>
      </c>
      <c r="E345" s="42" t="inlineStr">
        <is>
          <t>Agroforestry — Balkh / Marmul</t>
        </is>
      </c>
      <c r="F345" s="42" t="inlineStr">
        <is>
          <t>Agroforestry saplings / seeds</t>
        </is>
      </c>
      <c r="G345" s="42" t="inlineStr">
        <is>
          <t>North / Mazar</t>
        </is>
      </c>
      <c r="H345" s="42" t="inlineStr">
        <is>
          <t>Balkh</t>
        </is>
      </c>
      <c r="I345" s="42" t="inlineStr">
        <is>
          <t>Marmul</t>
        </is>
      </c>
      <c r="J345" s="42" t="inlineStr">
        <is>
          <t>Saplings: 0; Seeds kg: 41</t>
        </is>
      </c>
      <c r="K345" s="42" t="inlineStr">
        <is>
          <t>World Bank (WBK/AF-2)</t>
        </is>
      </c>
      <c r="L345" s="42" t="inlineStr">
        <is>
          <t>Remaining</t>
        </is>
      </c>
      <c r="M345" s="42" t="inlineStr">
        <is>
          <t>Agroforestry</t>
        </is>
      </c>
      <c r="N345" s="42" t="inlineStr">
        <is>
          <t>7. Agroforestry Saplings-seeds</t>
        </is>
      </c>
      <c r="O345" s="42" t="inlineStr"/>
      <c r="P345" s="42" t="inlineStr"/>
      <c r="Q345" s="43" t="n"/>
      <c r="R345" s="35" t="inlineStr">
        <is>
          <t>IF(AO345="","",AO345)</t>
        </is>
      </c>
      <c r="S345" s="44" t="n">
        <v>46142</v>
      </c>
      <c r="T345" s="45" t="n">
        <v>12</v>
      </c>
      <c r="U345" s="44" t="n">
        <v>46478</v>
      </c>
      <c r="V345" s="35" t="inlineStr">
        <is>
          <t>IF(U345&lt;&gt;"",U345,IF(OR(R345="",T345=""),"",EDATE(R345,T345)))</t>
        </is>
      </c>
      <c r="W345" s="44" t="n"/>
      <c r="X345" s="45" t="n"/>
      <c r="Y345" s="42" t="inlineStr">
        <is>
          <t>Under Awarding</t>
        </is>
      </c>
      <c r="Z345" s="42" t="inlineStr">
        <is>
          <t>The saplings PO has already been issued and PO for seeds is expected to be issued in November 2026</t>
        </is>
      </c>
      <c r="AA345" s="32" t="inlineStr">
        <is>
          <t>IF(E345="","",IF(COUNT(AG345:AT345)=0,IF(Y345="","Not started",Y345),SUBSTITUTE(LOOKUP(2,1/(AG345:AT345&lt;&gt;""),$AG$3:$AT$3),"Date: ","")))</t>
        </is>
      </c>
      <c r="AB345" s="38" t="inlineStr">
        <is>
          <t>IF(OR(E345="",COUNT(AG345:AT345)=0),"",TODAY()-LOOKUP(2,1/(AG345:AT345&lt;&gt;""),AG345:AT345))</t>
        </is>
      </c>
      <c r="AC345" s="38" t="inlineStr">
        <is>
          <t>IF(OR(E345="",COUNT(AG345:AT345)&lt;2),"",LOOKUP(2,1/(AG345:AT345&lt;&gt;""),AG345:AT345)-MIN(AG345:AT345))</t>
        </is>
      </c>
      <c r="AD345" s="38" t="inlineStr">
        <is>
          <t>IF(OR(AB345="",AA345="Not started",AA345=""),"",IFERROR(AB345-IF(VLOOKUP(AA345,'04_Status_Pipeline'!$B$3:$E$20,4,FALSE)="",0,VLOOKUP(AA345,'04_Status_Pipeline'!$B$3:$E$20,4,FALSE)),""))</t>
        </is>
      </c>
      <c r="AE345" s="32" t="inlineStr">
        <is>
          <t>IF(E345="","",IF(OR(Y345="Cancelled",AA345="Cancelled"),"Cancelled",IF(OR(AA345="Completed / Handover",W345&lt;&gt;"",X345&gt;=100),"Completed — on track",IF(L345="Remaining",IF(S345="",IF(V345="","No planned date",IF(TODAY()&gt;V345,"Behind — past planned date",IF(V345-TODAY()&lt;=30,"At risk — close to off track","On track"))),IF(TODAY()&gt;S345,"Behind — award date passed",IF(S345-TODAY()&lt;=30,"At risk — close to off track","On track"))),IF(V345="","No planned date",IF(AND(TODAY()&gt;V345,OR(X345="",X345&lt;100)),"Behind — past end date",IF(AND(R345&lt;&gt;"",V345&lt;&gt;"",X345&lt;&gt;"",(X345&lt;100),((TODAY()-R345)/MAX(V345-R345,1)*100)-X345&gt;15),"Behind — progress lag",IF(AND(V345-TODAY()&lt;=30,V345-TODAY()&gt;=0,OR(X345="",X345&lt;90)),"At risk — close to off track","On track"))))))))</t>
        </is>
      </c>
      <c r="AF345" s="38" t="inlineStr">
        <is>
          <t>IF(OR(E345="",AA345="Completed / Handover",AA345="Cancelled"),"",IF(L345="Remaining",IF(S345&lt;&gt;"",S345-TODAY(),IF(V345="","",V345-TODAY())),IF(V345="","",V345-TODAY())))</t>
        </is>
      </c>
      <c r="AG345" s="44" t="n"/>
      <c r="AH345" s="44" t="n"/>
      <c r="AI345" s="44" t="n"/>
      <c r="AJ345" s="44" t="n"/>
      <c r="AK345" s="44" t="n"/>
      <c r="AL345" s="44" t="n"/>
      <c r="AM345" s="44" t="n"/>
      <c r="AN345" s="44" t="n"/>
      <c r="AO345" s="44" t="n"/>
      <c r="AP345" s="44" t="n"/>
      <c r="AQ345" s="44" t="n"/>
      <c r="AR345" s="40" t="n"/>
      <c r="AS345" s="40" t="n"/>
      <c r="AT345" s="40" t="n"/>
      <c r="AU345" s="38" t="inlineStr">
        <is>
          <t>IF(OR(E345="",AH345=""),"",IF(COUNT(AG345:AG345)=0,"",AH345-LOOKUP(2,1/(AG345:AG345&lt;&gt;""),AG345:AG345)))</t>
        </is>
      </c>
      <c r="AV345" s="38" t="inlineStr">
        <is>
          <t>IF(OR(E345="",AI345=""),"",IF(COUNT(AG345:AH345)=0,"",AI345-LOOKUP(2,1/(AG345:AH345&lt;&gt;""),AG345:AH345)))</t>
        </is>
      </c>
      <c r="AW345" s="38" t="inlineStr">
        <is>
          <t>IF(OR(E345="",AJ345=""),"",IF(COUNT(AG345:AI345)=0,"",AJ345-LOOKUP(2,1/(AG345:AI345&lt;&gt;""),AG345:AI345)))</t>
        </is>
      </c>
      <c r="AX345" s="38" t="inlineStr">
        <is>
          <t>IF(OR(E345="",AK345=""),"",IF(COUNT(AG345:AJ345)=0,"",AK345-LOOKUP(2,1/(AG345:AJ345&lt;&gt;""),AG345:AJ345)))</t>
        </is>
      </c>
      <c r="AY345" s="38" t="inlineStr">
        <is>
          <t>IF(OR(E345="",AL345=""),"",IF(COUNT(AG345:AK345)=0,"",AL345-LOOKUP(2,1/(AG345:AK345&lt;&gt;""),AG345:AK345)))</t>
        </is>
      </c>
      <c r="AZ345" s="38" t="inlineStr">
        <is>
          <t>IF(OR(E345="",AM345=""),"",IF(COUNT(AG345:AL345)=0,"",AM345-LOOKUP(2,1/(AG345:AL345&lt;&gt;""),AG345:AL345)))</t>
        </is>
      </c>
      <c r="BA345" s="38" t="inlineStr">
        <is>
          <t>IF(OR(E345="",AN345=""),"",IF(COUNT(AG345:AM345)=0,"",AN345-LOOKUP(2,1/(AG345:AM345&lt;&gt;""),AG345:AM345)))</t>
        </is>
      </c>
      <c r="BB345" s="38" t="inlineStr">
        <is>
          <t>IF(OR(E345="",AO345=""),"",IF(COUNT(AG345:AN345)=0,"",AO345-LOOKUP(2,1/(AG345:AN345&lt;&gt;""),AG345:AN345)))</t>
        </is>
      </c>
      <c r="BC345" s="38" t="inlineStr">
        <is>
          <t>IF(OR(E345="",AP345=""),"",IF(COUNT(AG345:AO345)=0,"",AP345-LOOKUP(2,1/(AG345:AO345&lt;&gt;""),AG345:AO345)))</t>
        </is>
      </c>
      <c r="BD345" s="38" t="inlineStr">
        <is>
          <t>IF(OR(E345="",AQ345=""),"",IF(COUNT(AG345:AP345)=0,"",AQ345-LOOKUP(2,1/(AG345:AP345&lt;&gt;""),AG345:AP345)))</t>
        </is>
      </c>
      <c r="BE345" s="38" t="inlineStr">
        <is>
          <t>IF(OR(E345="",AR345=""),"",IF(COUNT(AG345:AQ345)=0,"",AR345-LOOKUP(2,1/(AG345:AQ345&lt;&gt;""),AG345:AQ345)))</t>
        </is>
      </c>
      <c r="BF345" s="38" t="inlineStr">
        <is>
          <t>IF(OR(E345="",AS345=""),"",IF(COUNT(AG345:AR345)=0,"",AS345-LOOKUP(2,1/(AG345:AR345&lt;&gt;""),AG345:AR345)))</t>
        </is>
      </c>
      <c r="BG345" s="38" t="inlineStr">
        <is>
          <t>IF(OR(E345="",AT345=""),"",IF(COUNT(AG345:AS345)=0,"",AT345-LOOKUP(2,1/(AG345:AS345&lt;&gt;""),AG345:AS345)))</t>
        </is>
      </c>
      <c r="BH345" s="41" t="inlineStr">
        <is>
          <t>IF(G345="","All_Provinces",IFERROR(VLOOKUP(G345,'07_Lookups'!$A$4:$B$20,2,FALSE),"All_Provinces"))</t>
        </is>
      </c>
      <c r="BI345" s="41" t="inlineStr">
        <is>
          <t>IF(H345="","All_Districts",IFERROR(VLOOKUP(H345,'07_Lookups'!$E$4:$F$42,2,FALSE),"All_Districts"))</t>
        </is>
      </c>
    </row>
    <row r="346" ht="18" customHeight="1">
      <c r="A346" s="32" t="inlineStr">
        <is>
          <t>IF(E346="","",ROW()-3)</t>
        </is>
      </c>
      <c r="B346" s="33" t="inlineStr">
        <is>
          <t>AF2-AGF-R-033</t>
        </is>
      </c>
      <c r="C346" s="33" t="inlineStr">
        <is>
          <t>Emergency Food Security Project (EFSP) – WBK/AF-2</t>
        </is>
      </c>
      <c r="D346" s="33" t="inlineStr">
        <is>
          <t>Agroforestry saplings and seeds 2026/27</t>
        </is>
      </c>
      <c r="E346" s="33" t="inlineStr">
        <is>
          <t>Agroforestry — Balkh / Charkent</t>
        </is>
      </c>
      <c r="F346" s="33" t="inlineStr">
        <is>
          <t>Agroforestry saplings / seeds</t>
        </is>
      </c>
      <c r="G346" s="33" t="inlineStr">
        <is>
          <t>North / Mazar</t>
        </is>
      </c>
      <c r="H346" s="33" t="inlineStr">
        <is>
          <t>Balkh</t>
        </is>
      </c>
      <c r="I346" s="33" t="inlineStr">
        <is>
          <t>Charkent</t>
        </is>
      </c>
      <c r="J346" s="33" t="inlineStr">
        <is>
          <t>Saplings: 0; Seeds kg: 31</t>
        </is>
      </c>
      <c r="K346" s="33" t="inlineStr">
        <is>
          <t>World Bank (WBK/AF-2)</t>
        </is>
      </c>
      <c r="L346" s="33" t="inlineStr">
        <is>
          <t>Remaining</t>
        </is>
      </c>
      <c r="M346" s="33" t="inlineStr">
        <is>
          <t>Agroforestry</t>
        </is>
      </c>
      <c r="N346" s="33" t="inlineStr">
        <is>
          <t>7. Agroforestry Saplings-seeds</t>
        </is>
      </c>
      <c r="O346" s="33" t="inlineStr"/>
      <c r="P346" s="33" t="inlineStr"/>
      <c r="Q346" s="34" t="n"/>
      <c r="R346" s="35" t="inlineStr">
        <is>
          <t>IF(AO346="","",AO346)</t>
        </is>
      </c>
      <c r="S346" s="36" t="n">
        <v>46142</v>
      </c>
      <c r="T346" s="37" t="n">
        <v>12</v>
      </c>
      <c r="U346" s="36" t="n">
        <v>46478</v>
      </c>
      <c r="V346" s="35" t="inlineStr">
        <is>
          <t>IF(U346&lt;&gt;"",U346,IF(OR(R346="",T346=""),"",EDATE(R346,T346)))</t>
        </is>
      </c>
      <c r="W346" s="36" t="n"/>
      <c r="X346" s="37" t="n"/>
      <c r="Y346" s="33" t="inlineStr">
        <is>
          <t>Under Awarding</t>
        </is>
      </c>
      <c r="Z346" s="33" t="inlineStr">
        <is>
          <t>The saplings PO has already been issued and PO for seeds is expected to be issued in November 2026</t>
        </is>
      </c>
      <c r="AA346" s="32" t="inlineStr">
        <is>
          <t>IF(E346="","",IF(COUNT(AG346:AT346)=0,IF(Y346="","Not started",Y346),SUBSTITUTE(LOOKUP(2,1/(AG346:AT346&lt;&gt;""),$AG$3:$AT$3),"Date: ","")))</t>
        </is>
      </c>
      <c r="AB346" s="38" t="inlineStr">
        <is>
          <t>IF(OR(E346="",COUNT(AG346:AT346)=0),"",TODAY()-LOOKUP(2,1/(AG346:AT346&lt;&gt;""),AG346:AT346))</t>
        </is>
      </c>
      <c r="AC346" s="38" t="inlineStr">
        <is>
          <t>IF(OR(E346="",COUNT(AG346:AT346)&lt;2),"",LOOKUP(2,1/(AG346:AT346&lt;&gt;""),AG346:AT346)-MIN(AG346:AT346))</t>
        </is>
      </c>
      <c r="AD346" s="38" t="inlineStr">
        <is>
          <t>IF(OR(AB346="",AA346="Not started",AA346=""),"",IFERROR(AB346-IF(VLOOKUP(AA346,'04_Status_Pipeline'!$B$3:$E$20,4,FALSE)="",0,VLOOKUP(AA346,'04_Status_Pipeline'!$B$3:$E$20,4,FALSE)),""))</t>
        </is>
      </c>
      <c r="AE346" s="32" t="inlineStr">
        <is>
          <t>IF(E346="","",IF(OR(Y346="Cancelled",AA346="Cancelled"),"Cancelled",IF(OR(AA346="Completed / Handover",W346&lt;&gt;"",X346&gt;=100),"Completed — on track",IF(L346="Remaining",IF(S346="",IF(V346="","No planned date",IF(TODAY()&gt;V346,"Behind — past planned date",IF(V346-TODAY()&lt;=30,"At risk — close to off track","On track"))),IF(TODAY()&gt;S346,"Behind — award date passed",IF(S346-TODAY()&lt;=30,"At risk — close to off track","On track"))),IF(V346="","No planned date",IF(AND(TODAY()&gt;V346,OR(X346="",X346&lt;100)),"Behind — past end date",IF(AND(R346&lt;&gt;"",V346&lt;&gt;"",X346&lt;&gt;"",(X346&lt;100),((TODAY()-R346)/MAX(V346-R346,1)*100)-X346&gt;15),"Behind — progress lag",IF(AND(V346-TODAY()&lt;=30,V346-TODAY()&gt;=0,OR(X346="",X346&lt;90)),"At risk — close to off track","On track"))))))))</t>
        </is>
      </c>
      <c r="AF346" s="38" t="inlineStr">
        <is>
          <t>IF(OR(E346="",AA346="Completed / Handover",AA346="Cancelled"),"",IF(L346="Remaining",IF(S346&lt;&gt;"",S346-TODAY(),IF(V346="","",V346-TODAY())),IF(V346="","",V346-TODAY())))</t>
        </is>
      </c>
      <c r="AG346" s="36" t="n"/>
      <c r="AH346" s="36" t="n"/>
      <c r="AI346" s="36" t="n"/>
      <c r="AJ346" s="36" t="n"/>
      <c r="AK346" s="36" t="n"/>
      <c r="AL346" s="36" t="n"/>
      <c r="AM346" s="36" t="n"/>
      <c r="AN346" s="36" t="n"/>
      <c r="AO346" s="36" t="n"/>
      <c r="AP346" s="36" t="n"/>
      <c r="AQ346" s="36" t="n"/>
      <c r="AR346" s="40" t="n"/>
      <c r="AS346" s="40" t="n"/>
      <c r="AT346" s="40" t="n"/>
      <c r="AU346" s="38" t="inlineStr">
        <is>
          <t>IF(OR(E346="",AH346=""),"",IF(COUNT(AG346:AG346)=0,"",AH346-LOOKUP(2,1/(AG346:AG346&lt;&gt;""),AG346:AG346)))</t>
        </is>
      </c>
      <c r="AV346" s="38" t="inlineStr">
        <is>
          <t>IF(OR(E346="",AI346=""),"",IF(COUNT(AG346:AH346)=0,"",AI346-LOOKUP(2,1/(AG346:AH346&lt;&gt;""),AG346:AH346)))</t>
        </is>
      </c>
      <c r="AW346" s="38" t="inlineStr">
        <is>
          <t>IF(OR(E346="",AJ346=""),"",IF(COUNT(AG346:AI346)=0,"",AJ346-LOOKUP(2,1/(AG346:AI346&lt;&gt;""),AG346:AI346)))</t>
        </is>
      </c>
      <c r="AX346" s="38" t="inlineStr">
        <is>
          <t>IF(OR(E346="",AK346=""),"",IF(COUNT(AG346:AJ346)=0,"",AK346-LOOKUP(2,1/(AG346:AJ346&lt;&gt;""),AG346:AJ346)))</t>
        </is>
      </c>
      <c r="AY346" s="38" t="inlineStr">
        <is>
          <t>IF(OR(E346="",AL346=""),"",IF(COUNT(AG346:AK346)=0,"",AL346-LOOKUP(2,1/(AG346:AK346&lt;&gt;""),AG346:AK346)))</t>
        </is>
      </c>
      <c r="AZ346" s="38" t="inlineStr">
        <is>
          <t>IF(OR(E346="",AM346=""),"",IF(COUNT(AG346:AL346)=0,"",AM346-LOOKUP(2,1/(AG346:AL346&lt;&gt;""),AG346:AL346)))</t>
        </is>
      </c>
      <c r="BA346" s="38" t="inlineStr">
        <is>
          <t>IF(OR(E346="",AN346=""),"",IF(COUNT(AG346:AM346)=0,"",AN346-LOOKUP(2,1/(AG346:AM346&lt;&gt;""),AG346:AM346)))</t>
        </is>
      </c>
      <c r="BB346" s="38" t="inlineStr">
        <is>
          <t>IF(OR(E346="",AO346=""),"",IF(COUNT(AG346:AN346)=0,"",AO346-LOOKUP(2,1/(AG346:AN346&lt;&gt;""),AG346:AN346)))</t>
        </is>
      </c>
      <c r="BC346" s="38" t="inlineStr">
        <is>
          <t>IF(OR(E346="",AP346=""),"",IF(COUNT(AG346:AO346)=0,"",AP346-LOOKUP(2,1/(AG346:AO346&lt;&gt;""),AG346:AO346)))</t>
        </is>
      </c>
      <c r="BD346" s="38" t="inlineStr">
        <is>
          <t>IF(OR(E346="",AQ346=""),"",IF(COUNT(AG346:AP346)=0,"",AQ346-LOOKUP(2,1/(AG346:AP346&lt;&gt;""),AG346:AP346)))</t>
        </is>
      </c>
      <c r="BE346" s="38" t="inlineStr">
        <is>
          <t>IF(OR(E346="",AR346=""),"",IF(COUNT(AG346:AQ346)=0,"",AR346-LOOKUP(2,1/(AG346:AQ346&lt;&gt;""),AG346:AQ346)))</t>
        </is>
      </c>
      <c r="BF346" s="38" t="inlineStr">
        <is>
          <t>IF(OR(E346="",AS346=""),"",IF(COUNT(AG346:AR346)=0,"",AS346-LOOKUP(2,1/(AG346:AR346&lt;&gt;""),AG346:AR346)))</t>
        </is>
      </c>
      <c r="BG346" s="38" t="inlineStr">
        <is>
          <t>IF(OR(E346="",AT346=""),"",IF(COUNT(AG346:AS346)=0,"",AT346-LOOKUP(2,1/(AG346:AS346&lt;&gt;""),AG346:AS346)))</t>
        </is>
      </c>
      <c r="BH346" s="41" t="inlineStr">
        <is>
          <t>IF(G346="","All_Provinces",IFERROR(VLOOKUP(G346,'07_Lookups'!$A$4:$B$20,2,FALSE),"All_Provinces"))</t>
        </is>
      </c>
      <c r="BI346" s="41" t="inlineStr">
        <is>
          <t>IF(H346="","All_Districts",IFERROR(VLOOKUP(H346,'07_Lookups'!$E$4:$F$42,2,FALSE),"All_Districts"))</t>
        </is>
      </c>
    </row>
    <row r="347" ht="18" customHeight="1">
      <c r="A347" s="32" t="inlineStr">
        <is>
          <t>IF(E347="","",ROW()-3)</t>
        </is>
      </c>
      <c r="B347" s="42" t="inlineStr">
        <is>
          <t>AF2-AGF-R-034</t>
        </is>
      </c>
      <c r="C347" s="42" t="inlineStr">
        <is>
          <t>Emergency Food Security Project (EFSP) – WBK/AF-2</t>
        </is>
      </c>
      <c r="D347" s="42" t="inlineStr">
        <is>
          <t>Agroforestry saplings and seeds 2026/27</t>
        </is>
      </c>
      <c r="E347" s="42" t="inlineStr">
        <is>
          <t>Agroforestry — Balkh / Kishendeh</t>
        </is>
      </c>
      <c r="F347" s="42" t="inlineStr">
        <is>
          <t>Agroforestry saplings / seeds</t>
        </is>
      </c>
      <c r="G347" s="42" t="inlineStr">
        <is>
          <t>North / Mazar</t>
        </is>
      </c>
      <c r="H347" s="42" t="inlineStr">
        <is>
          <t>Balkh</t>
        </is>
      </c>
      <c r="I347" s="42" t="inlineStr">
        <is>
          <t>Kishendeh</t>
        </is>
      </c>
      <c r="J347" s="42" t="inlineStr">
        <is>
          <t>Saplings: 0; Seeds kg: 46</t>
        </is>
      </c>
      <c r="K347" s="42" t="inlineStr">
        <is>
          <t>World Bank (WBK/AF-2)</t>
        </is>
      </c>
      <c r="L347" s="42" t="inlineStr">
        <is>
          <t>Remaining</t>
        </is>
      </c>
      <c r="M347" s="42" t="inlineStr">
        <is>
          <t>Agroforestry</t>
        </is>
      </c>
      <c r="N347" s="42" t="inlineStr">
        <is>
          <t>7. Agroforestry Saplings-seeds</t>
        </is>
      </c>
      <c r="O347" s="42" t="inlineStr"/>
      <c r="P347" s="42" t="inlineStr"/>
      <c r="Q347" s="43" t="n"/>
      <c r="R347" s="35" t="inlineStr">
        <is>
          <t>IF(AO347="","",AO347)</t>
        </is>
      </c>
      <c r="S347" s="44" t="n">
        <v>46142</v>
      </c>
      <c r="T347" s="45" t="n">
        <v>12</v>
      </c>
      <c r="U347" s="44" t="n">
        <v>46478</v>
      </c>
      <c r="V347" s="35" t="inlineStr">
        <is>
          <t>IF(U347&lt;&gt;"",U347,IF(OR(R347="",T347=""),"",EDATE(R347,T347)))</t>
        </is>
      </c>
      <c r="W347" s="44" t="n"/>
      <c r="X347" s="45" t="n"/>
      <c r="Y347" s="42" t="inlineStr">
        <is>
          <t>Under Awarding</t>
        </is>
      </c>
      <c r="Z347" s="42" t="inlineStr">
        <is>
          <t>The saplings PO has already been issued and PO for seeds is expected to be issued in November 2026</t>
        </is>
      </c>
      <c r="AA347" s="32" t="inlineStr">
        <is>
          <t>IF(E347="","",IF(COUNT(AG347:AT347)=0,IF(Y347="","Not started",Y347),SUBSTITUTE(LOOKUP(2,1/(AG347:AT347&lt;&gt;""),$AG$3:$AT$3),"Date: ","")))</t>
        </is>
      </c>
      <c r="AB347" s="38" t="inlineStr">
        <is>
          <t>IF(OR(E347="",COUNT(AG347:AT347)=0),"",TODAY()-LOOKUP(2,1/(AG347:AT347&lt;&gt;""),AG347:AT347))</t>
        </is>
      </c>
      <c r="AC347" s="38" t="inlineStr">
        <is>
          <t>IF(OR(E347="",COUNT(AG347:AT347)&lt;2),"",LOOKUP(2,1/(AG347:AT347&lt;&gt;""),AG347:AT347)-MIN(AG347:AT347))</t>
        </is>
      </c>
      <c r="AD347" s="38" t="inlineStr">
        <is>
          <t>IF(OR(AB347="",AA347="Not started",AA347=""),"",IFERROR(AB347-IF(VLOOKUP(AA347,'04_Status_Pipeline'!$B$3:$E$20,4,FALSE)="",0,VLOOKUP(AA347,'04_Status_Pipeline'!$B$3:$E$20,4,FALSE)),""))</t>
        </is>
      </c>
      <c r="AE347" s="32" t="inlineStr">
        <is>
          <t>IF(E347="","",IF(OR(Y347="Cancelled",AA347="Cancelled"),"Cancelled",IF(OR(AA347="Completed / Handover",W347&lt;&gt;"",X347&gt;=100),"Completed — on track",IF(L347="Remaining",IF(S347="",IF(V347="","No planned date",IF(TODAY()&gt;V347,"Behind — past planned date",IF(V347-TODAY()&lt;=30,"At risk — close to off track","On track"))),IF(TODAY()&gt;S347,"Behind — award date passed",IF(S347-TODAY()&lt;=30,"At risk — close to off track","On track"))),IF(V347="","No planned date",IF(AND(TODAY()&gt;V347,OR(X347="",X347&lt;100)),"Behind — past end date",IF(AND(R347&lt;&gt;"",V347&lt;&gt;"",X347&lt;&gt;"",(X347&lt;100),((TODAY()-R347)/MAX(V347-R347,1)*100)-X347&gt;15),"Behind — progress lag",IF(AND(V347-TODAY()&lt;=30,V347-TODAY()&gt;=0,OR(X347="",X347&lt;90)),"At risk — close to off track","On track"))))))))</t>
        </is>
      </c>
      <c r="AF347" s="38" t="inlineStr">
        <is>
          <t>IF(OR(E347="",AA347="Completed / Handover",AA347="Cancelled"),"",IF(L347="Remaining",IF(S347&lt;&gt;"",S347-TODAY(),IF(V347="","",V347-TODAY())),IF(V347="","",V347-TODAY())))</t>
        </is>
      </c>
      <c r="AG347" s="44" t="n"/>
      <c r="AH347" s="44" t="n"/>
      <c r="AI347" s="44" t="n"/>
      <c r="AJ347" s="44" t="n"/>
      <c r="AK347" s="44" t="n"/>
      <c r="AL347" s="44" t="n"/>
      <c r="AM347" s="44" t="n"/>
      <c r="AN347" s="44" t="n"/>
      <c r="AO347" s="44" t="n"/>
      <c r="AP347" s="44" t="n"/>
      <c r="AQ347" s="44" t="n"/>
      <c r="AR347" s="40" t="n"/>
      <c r="AS347" s="40" t="n"/>
      <c r="AT347" s="40" t="n"/>
      <c r="AU347" s="38" t="inlineStr">
        <is>
          <t>IF(OR(E347="",AH347=""),"",IF(COUNT(AG347:AG347)=0,"",AH347-LOOKUP(2,1/(AG347:AG347&lt;&gt;""),AG347:AG347)))</t>
        </is>
      </c>
      <c r="AV347" s="38" t="inlineStr">
        <is>
          <t>IF(OR(E347="",AI347=""),"",IF(COUNT(AG347:AH347)=0,"",AI347-LOOKUP(2,1/(AG347:AH347&lt;&gt;""),AG347:AH347)))</t>
        </is>
      </c>
      <c r="AW347" s="38" t="inlineStr">
        <is>
          <t>IF(OR(E347="",AJ347=""),"",IF(COUNT(AG347:AI347)=0,"",AJ347-LOOKUP(2,1/(AG347:AI347&lt;&gt;""),AG347:AI347)))</t>
        </is>
      </c>
      <c r="AX347" s="38" t="inlineStr">
        <is>
          <t>IF(OR(E347="",AK347=""),"",IF(COUNT(AG347:AJ347)=0,"",AK347-LOOKUP(2,1/(AG347:AJ347&lt;&gt;""),AG347:AJ347)))</t>
        </is>
      </c>
      <c r="AY347" s="38" t="inlineStr">
        <is>
          <t>IF(OR(E347="",AL347=""),"",IF(COUNT(AG347:AK347)=0,"",AL347-LOOKUP(2,1/(AG347:AK347&lt;&gt;""),AG347:AK347)))</t>
        </is>
      </c>
      <c r="AZ347" s="38" t="inlineStr">
        <is>
          <t>IF(OR(E347="",AM347=""),"",IF(COUNT(AG347:AL347)=0,"",AM347-LOOKUP(2,1/(AG347:AL347&lt;&gt;""),AG347:AL347)))</t>
        </is>
      </c>
      <c r="BA347" s="38" t="inlineStr">
        <is>
          <t>IF(OR(E347="",AN347=""),"",IF(COUNT(AG347:AM347)=0,"",AN347-LOOKUP(2,1/(AG347:AM347&lt;&gt;""),AG347:AM347)))</t>
        </is>
      </c>
      <c r="BB347" s="38" t="inlineStr">
        <is>
          <t>IF(OR(E347="",AO347=""),"",IF(COUNT(AG347:AN347)=0,"",AO347-LOOKUP(2,1/(AG347:AN347&lt;&gt;""),AG347:AN347)))</t>
        </is>
      </c>
      <c r="BC347" s="38" t="inlineStr">
        <is>
          <t>IF(OR(E347="",AP347=""),"",IF(COUNT(AG347:AO347)=0,"",AP347-LOOKUP(2,1/(AG347:AO347&lt;&gt;""),AG347:AO347)))</t>
        </is>
      </c>
      <c r="BD347" s="38" t="inlineStr">
        <is>
          <t>IF(OR(E347="",AQ347=""),"",IF(COUNT(AG347:AP347)=0,"",AQ347-LOOKUP(2,1/(AG347:AP347&lt;&gt;""),AG347:AP347)))</t>
        </is>
      </c>
      <c r="BE347" s="38" t="inlineStr">
        <is>
          <t>IF(OR(E347="",AR347=""),"",IF(COUNT(AG347:AQ347)=0,"",AR347-LOOKUP(2,1/(AG347:AQ347&lt;&gt;""),AG347:AQ347)))</t>
        </is>
      </c>
      <c r="BF347" s="38" t="inlineStr">
        <is>
          <t>IF(OR(E347="",AS347=""),"",IF(COUNT(AG347:AR347)=0,"",AS347-LOOKUP(2,1/(AG347:AR347&lt;&gt;""),AG347:AR347)))</t>
        </is>
      </c>
      <c r="BG347" s="38" t="inlineStr">
        <is>
          <t>IF(OR(E347="",AT347=""),"",IF(COUNT(AG347:AS347)=0,"",AT347-LOOKUP(2,1/(AG347:AS347&lt;&gt;""),AG347:AS347)))</t>
        </is>
      </c>
      <c r="BH347" s="41" t="inlineStr">
        <is>
          <t>IF(G347="","All_Provinces",IFERROR(VLOOKUP(G347,'07_Lookups'!$A$4:$B$20,2,FALSE),"All_Provinces"))</t>
        </is>
      </c>
      <c r="BI347" s="41" t="inlineStr">
        <is>
          <t>IF(H347="","All_Districts",IFERROR(VLOOKUP(H347,'07_Lookups'!$E$4:$F$42,2,FALSE),"All_Districts"))</t>
        </is>
      </c>
    </row>
    <row r="348" ht="18" customHeight="1">
      <c r="A348" s="32" t="inlineStr">
        <is>
          <t>IF(E348="","",ROW()-3)</t>
        </is>
      </c>
      <c r="B348" s="33" t="inlineStr">
        <is>
          <t>AF2-AGF-R-035</t>
        </is>
      </c>
      <c r="C348" s="33" t="inlineStr">
        <is>
          <t>Emergency Food Security Project (EFSP) – WBK/AF-2</t>
        </is>
      </c>
      <c r="D348" s="33" t="inlineStr">
        <is>
          <t>Agroforestry saplings and seeds 2026/27</t>
        </is>
      </c>
      <c r="E348" s="33" t="inlineStr">
        <is>
          <t>Agroforestry — Sari Pul / Center</t>
        </is>
      </c>
      <c r="F348" s="33" t="inlineStr">
        <is>
          <t>Agroforestry saplings / seeds</t>
        </is>
      </c>
      <c r="G348" s="33" t="inlineStr">
        <is>
          <t>North / Mazar</t>
        </is>
      </c>
      <c r="H348" s="33" t="inlineStr">
        <is>
          <t>Sari Pul</t>
        </is>
      </c>
      <c r="I348" s="33" t="inlineStr">
        <is>
          <t>Center</t>
        </is>
      </c>
      <c r="J348" s="33" t="inlineStr">
        <is>
          <t>Saplings: 4800; Seeds kg: 259</t>
        </is>
      </c>
      <c r="K348" s="33" t="inlineStr">
        <is>
          <t>World Bank (WBK/AF-2)</t>
        </is>
      </c>
      <c r="L348" s="33" t="inlineStr">
        <is>
          <t>Remaining</t>
        </is>
      </c>
      <c r="M348" s="33" t="inlineStr">
        <is>
          <t>Agroforestry</t>
        </is>
      </c>
      <c r="N348" s="33" t="inlineStr">
        <is>
          <t>7. Agroforestry Saplings-seeds</t>
        </is>
      </c>
      <c r="O348" s="33" t="inlineStr"/>
      <c r="P348" s="33" t="inlineStr"/>
      <c r="Q348" s="34" t="n"/>
      <c r="R348" s="35" t="inlineStr">
        <is>
          <t>IF(AO348="","",AO348)</t>
        </is>
      </c>
      <c r="S348" s="36" t="n">
        <v>46142</v>
      </c>
      <c r="T348" s="37" t="n">
        <v>12</v>
      </c>
      <c r="U348" s="36" t="n">
        <v>46478</v>
      </c>
      <c r="V348" s="35" t="inlineStr">
        <is>
          <t>IF(U348&lt;&gt;"",U348,IF(OR(R348="",T348=""),"",EDATE(R348,T348)))</t>
        </is>
      </c>
      <c r="W348" s="36" t="n"/>
      <c r="X348" s="37" t="n"/>
      <c r="Y348" s="33" t="inlineStr">
        <is>
          <t>Under Awarding</t>
        </is>
      </c>
      <c r="Z348" s="33" t="inlineStr">
        <is>
          <t>The saplings PO has already been issued and PO for seeds is expected to be issued in November 2026</t>
        </is>
      </c>
      <c r="AA348" s="32" t="inlineStr">
        <is>
          <t>IF(E348="","",IF(COUNT(AG348:AT348)=0,IF(Y348="","Not started",Y348),SUBSTITUTE(LOOKUP(2,1/(AG348:AT348&lt;&gt;""),$AG$3:$AT$3),"Date: ","")))</t>
        </is>
      </c>
      <c r="AB348" s="38" t="inlineStr">
        <is>
          <t>IF(OR(E348="",COUNT(AG348:AT348)=0),"",TODAY()-LOOKUP(2,1/(AG348:AT348&lt;&gt;""),AG348:AT348))</t>
        </is>
      </c>
      <c r="AC348" s="38" t="inlineStr">
        <is>
          <t>IF(OR(E348="",COUNT(AG348:AT348)&lt;2),"",LOOKUP(2,1/(AG348:AT348&lt;&gt;""),AG348:AT348)-MIN(AG348:AT348))</t>
        </is>
      </c>
      <c r="AD348" s="38" t="inlineStr">
        <is>
          <t>IF(OR(AB348="",AA348="Not started",AA348=""),"",IFERROR(AB348-IF(VLOOKUP(AA348,'04_Status_Pipeline'!$B$3:$E$20,4,FALSE)="",0,VLOOKUP(AA348,'04_Status_Pipeline'!$B$3:$E$20,4,FALSE)),""))</t>
        </is>
      </c>
      <c r="AE348" s="32" t="inlineStr">
        <is>
          <t>IF(E348="","",IF(OR(Y348="Cancelled",AA348="Cancelled"),"Cancelled",IF(OR(AA348="Completed / Handover",W348&lt;&gt;"",X348&gt;=100),"Completed — on track",IF(L348="Remaining",IF(S348="",IF(V348="","No planned date",IF(TODAY()&gt;V348,"Behind — past planned date",IF(V348-TODAY()&lt;=30,"At risk — close to off track","On track"))),IF(TODAY()&gt;S348,"Behind — award date passed",IF(S348-TODAY()&lt;=30,"At risk — close to off track","On track"))),IF(V348="","No planned date",IF(AND(TODAY()&gt;V348,OR(X348="",X348&lt;100)),"Behind — past end date",IF(AND(R348&lt;&gt;"",V348&lt;&gt;"",X348&lt;&gt;"",(X348&lt;100),((TODAY()-R348)/MAX(V348-R348,1)*100)-X348&gt;15),"Behind — progress lag",IF(AND(V348-TODAY()&lt;=30,V348-TODAY()&gt;=0,OR(X348="",X348&lt;90)),"At risk — close to off track","On track"))))))))</t>
        </is>
      </c>
      <c r="AF348" s="38" t="inlineStr">
        <is>
          <t>IF(OR(E348="",AA348="Completed / Handover",AA348="Cancelled"),"",IF(L348="Remaining",IF(S348&lt;&gt;"",S348-TODAY(),IF(V348="","",V348-TODAY())),IF(V348="","",V348-TODAY())))</t>
        </is>
      </c>
      <c r="AG348" s="36" t="n"/>
      <c r="AH348" s="36" t="n"/>
      <c r="AI348" s="36" t="n"/>
      <c r="AJ348" s="36" t="n"/>
      <c r="AK348" s="36" t="n"/>
      <c r="AL348" s="36" t="n"/>
      <c r="AM348" s="36" t="n"/>
      <c r="AN348" s="36" t="n"/>
      <c r="AO348" s="36" t="n"/>
      <c r="AP348" s="36" t="n"/>
      <c r="AQ348" s="36" t="n"/>
      <c r="AR348" s="40" t="n"/>
      <c r="AS348" s="40" t="n"/>
      <c r="AT348" s="40" t="n"/>
      <c r="AU348" s="38" t="inlineStr">
        <is>
          <t>IF(OR(E348="",AH348=""),"",IF(COUNT(AG348:AG348)=0,"",AH348-LOOKUP(2,1/(AG348:AG348&lt;&gt;""),AG348:AG348)))</t>
        </is>
      </c>
      <c r="AV348" s="38" t="inlineStr">
        <is>
          <t>IF(OR(E348="",AI348=""),"",IF(COUNT(AG348:AH348)=0,"",AI348-LOOKUP(2,1/(AG348:AH348&lt;&gt;""),AG348:AH348)))</t>
        </is>
      </c>
      <c r="AW348" s="38" t="inlineStr">
        <is>
          <t>IF(OR(E348="",AJ348=""),"",IF(COUNT(AG348:AI348)=0,"",AJ348-LOOKUP(2,1/(AG348:AI348&lt;&gt;""),AG348:AI348)))</t>
        </is>
      </c>
      <c r="AX348" s="38" t="inlineStr">
        <is>
          <t>IF(OR(E348="",AK348=""),"",IF(COUNT(AG348:AJ348)=0,"",AK348-LOOKUP(2,1/(AG348:AJ348&lt;&gt;""),AG348:AJ348)))</t>
        </is>
      </c>
      <c r="AY348" s="38" t="inlineStr">
        <is>
          <t>IF(OR(E348="",AL348=""),"",IF(COUNT(AG348:AK348)=0,"",AL348-LOOKUP(2,1/(AG348:AK348&lt;&gt;""),AG348:AK348)))</t>
        </is>
      </c>
      <c r="AZ348" s="38" t="inlineStr">
        <is>
          <t>IF(OR(E348="",AM348=""),"",IF(COUNT(AG348:AL348)=0,"",AM348-LOOKUP(2,1/(AG348:AL348&lt;&gt;""),AG348:AL348)))</t>
        </is>
      </c>
      <c r="BA348" s="38" t="inlineStr">
        <is>
          <t>IF(OR(E348="",AN348=""),"",IF(COUNT(AG348:AM348)=0,"",AN348-LOOKUP(2,1/(AG348:AM348&lt;&gt;""),AG348:AM348)))</t>
        </is>
      </c>
      <c r="BB348" s="38" t="inlineStr">
        <is>
          <t>IF(OR(E348="",AO348=""),"",IF(COUNT(AG348:AN348)=0,"",AO348-LOOKUP(2,1/(AG348:AN348&lt;&gt;""),AG348:AN348)))</t>
        </is>
      </c>
      <c r="BC348" s="38" t="inlineStr">
        <is>
          <t>IF(OR(E348="",AP348=""),"",IF(COUNT(AG348:AO348)=0,"",AP348-LOOKUP(2,1/(AG348:AO348&lt;&gt;""),AG348:AO348)))</t>
        </is>
      </c>
      <c r="BD348" s="38" t="inlineStr">
        <is>
          <t>IF(OR(E348="",AQ348=""),"",IF(COUNT(AG348:AP348)=0,"",AQ348-LOOKUP(2,1/(AG348:AP348&lt;&gt;""),AG348:AP348)))</t>
        </is>
      </c>
      <c r="BE348" s="38" t="inlineStr">
        <is>
          <t>IF(OR(E348="",AR348=""),"",IF(COUNT(AG348:AQ348)=0,"",AR348-LOOKUP(2,1/(AG348:AQ348&lt;&gt;""),AG348:AQ348)))</t>
        </is>
      </c>
      <c r="BF348" s="38" t="inlineStr">
        <is>
          <t>IF(OR(E348="",AS348=""),"",IF(COUNT(AG348:AR348)=0,"",AS348-LOOKUP(2,1/(AG348:AR348&lt;&gt;""),AG348:AR348)))</t>
        </is>
      </c>
      <c r="BG348" s="38" t="inlineStr">
        <is>
          <t>IF(OR(E348="",AT348=""),"",IF(COUNT(AG348:AS348)=0,"",AT348-LOOKUP(2,1/(AG348:AS348&lt;&gt;""),AG348:AS348)))</t>
        </is>
      </c>
      <c r="BH348" s="41" t="inlineStr">
        <is>
          <t>IF(G348="","All_Provinces",IFERROR(VLOOKUP(G348,'07_Lookups'!$A$4:$B$20,2,FALSE),"All_Provinces"))</t>
        </is>
      </c>
      <c r="BI348" s="41" t="inlineStr">
        <is>
          <t>IF(H348="","All_Districts",IFERROR(VLOOKUP(H348,'07_Lookups'!$E$4:$F$42,2,FALSE),"All_Districts"))</t>
        </is>
      </c>
    </row>
    <row r="349" ht="18" customHeight="1">
      <c r="A349" s="32" t="inlineStr">
        <is>
          <t>IF(E349="","",ROW()-3)</t>
        </is>
      </c>
      <c r="B349" s="42" t="inlineStr">
        <is>
          <t>AF2-AGF-R-036</t>
        </is>
      </c>
      <c r="C349" s="42" t="inlineStr">
        <is>
          <t>Emergency Food Security Project (EFSP) – WBK/AF-2</t>
        </is>
      </c>
      <c r="D349" s="42" t="inlineStr">
        <is>
          <t>Agroforestry saplings and seeds 2026/27</t>
        </is>
      </c>
      <c r="E349" s="42" t="inlineStr">
        <is>
          <t>Agroforestry — Sari Pul / Kohistanat</t>
        </is>
      </c>
      <c r="F349" s="42" t="inlineStr">
        <is>
          <t>Agroforestry saplings / seeds</t>
        </is>
      </c>
      <c r="G349" s="42" t="inlineStr">
        <is>
          <t>North / Mazar</t>
        </is>
      </c>
      <c r="H349" s="42" t="inlineStr">
        <is>
          <t>Sari Pul</t>
        </is>
      </c>
      <c r="I349" s="42" t="inlineStr">
        <is>
          <t>Kohistanat</t>
        </is>
      </c>
      <c r="J349" s="42" t="inlineStr">
        <is>
          <t>Saplings: 0; Seeds kg: 30</t>
        </is>
      </c>
      <c r="K349" s="42" t="inlineStr">
        <is>
          <t>World Bank (WBK/AF-2)</t>
        </is>
      </c>
      <c r="L349" s="42" t="inlineStr">
        <is>
          <t>Remaining</t>
        </is>
      </c>
      <c r="M349" s="42" t="inlineStr">
        <is>
          <t>Agroforestry</t>
        </is>
      </c>
      <c r="N349" s="42" t="inlineStr">
        <is>
          <t>7. Agroforestry Saplings-seeds</t>
        </is>
      </c>
      <c r="O349" s="42" t="inlineStr"/>
      <c r="P349" s="42" t="inlineStr"/>
      <c r="Q349" s="43" t="n"/>
      <c r="R349" s="35" t="inlineStr">
        <is>
          <t>IF(AO349="","",AO349)</t>
        </is>
      </c>
      <c r="S349" s="44" t="n">
        <v>46142</v>
      </c>
      <c r="T349" s="45" t="n">
        <v>12</v>
      </c>
      <c r="U349" s="44" t="n">
        <v>46478</v>
      </c>
      <c r="V349" s="35" t="inlineStr">
        <is>
          <t>IF(U349&lt;&gt;"",U349,IF(OR(R349="",T349=""),"",EDATE(R349,T349)))</t>
        </is>
      </c>
      <c r="W349" s="44" t="n"/>
      <c r="X349" s="45" t="n"/>
      <c r="Y349" s="42" t="inlineStr">
        <is>
          <t>Under Awarding</t>
        </is>
      </c>
      <c r="Z349" s="42" t="inlineStr">
        <is>
          <t>The saplings PO has already been issued and PO for seeds is expected to be issued in November 2026</t>
        </is>
      </c>
      <c r="AA349" s="32" t="inlineStr">
        <is>
          <t>IF(E349="","",IF(COUNT(AG349:AT349)=0,IF(Y349="","Not started",Y349),SUBSTITUTE(LOOKUP(2,1/(AG349:AT349&lt;&gt;""),$AG$3:$AT$3),"Date: ","")))</t>
        </is>
      </c>
      <c r="AB349" s="38" t="inlineStr">
        <is>
          <t>IF(OR(E349="",COUNT(AG349:AT349)=0),"",TODAY()-LOOKUP(2,1/(AG349:AT349&lt;&gt;""),AG349:AT349))</t>
        </is>
      </c>
      <c r="AC349" s="38" t="inlineStr">
        <is>
          <t>IF(OR(E349="",COUNT(AG349:AT349)&lt;2),"",LOOKUP(2,1/(AG349:AT349&lt;&gt;""),AG349:AT349)-MIN(AG349:AT349))</t>
        </is>
      </c>
      <c r="AD349" s="38" t="inlineStr">
        <is>
          <t>IF(OR(AB349="",AA349="Not started",AA349=""),"",IFERROR(AB349-IF(VLOOKUP(AA349,'04_Status_Pipeline'!$B$3:$E$20,4,FALSE)="",0,VLOOKUP(AA349,'04_Status_Pipeline'!$B$3:$E$20,4,FALSE)),""))</t>
        </is>
      </c>
      <c r="AE349" s="32" t="inlineStr">
        <is>
          <t>IF(E349="","",IF(OR(Y349="Cancelled",AA349="Cancelled"),"Cancelled",IF(OR(AA349="Completed / Handover",W349&lt;&gt;"",X349&gt;=100),"Completed — on track",IF(L349="Remaining",IF(S349="",IF(V349="","No planned date",IF(TODAY()&gt;V349,"Behind — past planned date",IF(V349-TODAY()&lt;=30,"At risk — close to off track","On track"))),IF(TODAY()&gt;S349,"Behind — award date passed",IF(S349-TODAY()&lt;=30,"At risk — close to off track","On track"))),IF(V349="","No planned date",IF(AND(TODAY()&gt;V349,OR(X349="",X349&lt;100)),"Behind — past end date",IF(AND(R349&lt;&gt;"",V349&lt;&gt;"",X349&lt;&gt;"",(X349&lt;100),((TODAY()-R349)/MAX(V349-R349,1)*100)-X349&gt;15),"Behind — progress lag",IF(AND(V349-TODAY()&lt;=30,V349-TODAY()&gt;=0,OR(X349="",X349&lt;90)),"At risk — close to off track","On track"))))))))</t>
        </is>
      </c>
      <c r="AF349" s="38" t="inlineStr">
        <is>
          <t>IF(OR(E349="",AA349="Completed / Handover",AA349="Cancelled"),"",IF(L349="Remaining",IF(S349&lt;&gt;"",S349-TODAY(),IF(V349="","",V349-TODAY())),IF(V349="","",V349-TODAY())))</t>
        </is>
      </c>
      <c r="AG349" s="44" t="n"/>
      <c r="AH349" s="44" t="n"/>
      <c r="AI349" s="44" t="n"/>
      <c r="AJ349" s="44" t="n"/>
      <c r="AK349" s="44" t="n"/>
      <c r="AL349" s="44" t="n"/>
      <c r="AM349" s="44" t="n"/>
      <c r="AN349" s="44" t="n"/>
      <c r="AO349" s="44" t="n"/>
      <c r="AP349" s="44" t="n"/>
      <c r="AQ349" s="44" t="n"/>
      <c r="AR349" s="40" t="n"/>
      <c r="AS349" s="40" t="n"/>
      <c r="AT349" s="40" t="n"/>
      <c r="AU349" s="38" t="inlineStr">
        <is>
          <t>IF(OR(E349="",AH349=""),"",IF(COUNT(AG349:AG349)=0,"",AH349-LOOKUP(2,1/(AG349:AG349&lt;&gt;""),AG349:AG349)))</t>
        </is>
      </c>
      <c r="AV349" s="38" t="inlineStr">
        <is>
          <t>IF(OR(E349="",AI349=""),"",IF(COUNT(AG349:AH349)=0,"",AI349-LOOKUP(2,1/(AG349:AH349&lt;&gt;""),AG349:AH349)))</t>
        </is>
      </c>
      <c r="AW349" s="38" t="inlineStr">
        <is>
          <t>IF(OR(E349="",AJ349=""),"",IF(COUNT(AG349:AI349)=0,"",AJ349-LOOKUP(2,1/(AG349:AI349&lt;&gt;""),AG349:AI349)))</t>
        </is>
      </c>
      <c r="AX349" s="38" t="inlineStr">
        <is>
          <t>IF(OR(E349="",AK349=""),"",IF(COUNT(AG349:AJ349)=0,"",AK349-LOOKUP(2,1/(AG349:AJ349&lt;&gt;""),AG349:AJ349)))</t>
        </is>
      </c>
      <c r="AY349" s="38" t="inlineStr">
        <is>
          <t>IF(OR(E349="",AL349=""),"",IF(COUNT(AG349:AK349)=0,"",AL349-LOOKUP(2,1/(AG349:AK349&lt;&gt;""),AG349:AK349)))</t>
        </is>
      </c>
      <c r="AZ349" s="38" t="inlineStr">
        <is>
          <t>IF(OR(E349="",AM349=""),"",IF(COUNT(AG349:AL349)=0,"",AM349-LOOKUP(2,1/(AG349:AL349&lt;&gt;""),AG349:AL349)))</t>
        </is>
      </c>
      <c r="BA349" s="38" t="inlineStr">
        <is>
          <t>IF(OR(E349="",AN349=""),"",IF(COUNT(AG349:AM349)=0,"",AN349-LOOKUP(2,1/(AG349:AM349&lt;&gt;""),AG349:AM349)))</t>
        </is>
      </c>
      <c r="BB349" s="38" t="inlineStr">
        <is>
          <t>IF(OR(E349="",AO349=""),"",IF(COUNT(AG349:AN349)=0,"",AO349-LOOKUP(2,1/(AG349:AN349&lt;&gt;""),AG349:AN349)))</t>
        </is>
      </c>
      <c r="BC349" s="38" t="inlineStr">
        <is>
          <t>IF(OR(E349="",AP349=""),"",IF(COUNT(AG349:AO349)=0,"",AP349-LOOKUP(2,1/(AG349:AO349&lt;&gt;""),AG349:AO349)))</t>
        </is>
      </c>
      <c r="BD349" s="38" t="inlineStr">
        <is>
          <t>IF(OR(E349="",AQ349=""),"",IF(COUNT(AG349:AP349)=0,"",AQ349-LOOKUP(2,1/(AG349:AP349&lt;&gt;""),AG349:AP349)))</t>
        </is>
      </c>
      <c r="BE349" s="38" t="inlineStr">
        <is>
          <t>IF(OR(E349="",AR349=""),"",IF(COUNT(AG349:AQ349)=0,"",AR349-LOOKUP(2,1/(AG349:AQ349&lt;&gt;""),AG349:AQ349)))</t>
        </is>
      </c>
      <c r="BF349" s="38" t="inlineStr">
        <is>
          <t>IF(OR(E349="",AS349=""),"",IF(COUNT(AG349:AR349)=0,"",AS349-LOOKUP(2,1/(AG349:AR349&lt;&gt;""),AG349:AR349)))</t>
        </is>
      </c>
      <c r="BG349" s="38" t="inlineStr">
        <is>
          <t>IF(OR(E349="",AT349=""),"",IF(COUNT(AG349:AS349)=0,"",AT349-LOOKUP(2,1/(AG349:AS349&lt;&gt;""),AG349:AS349)))</t>
        </is>
      </c>
      <c r="BH349" s="41" t="inlineStr">
        <is>
          <t>IF(G349="","All_Provinces",IFERROR(VLOOKUP(G349,'07_Lookups'!$A$4:$B$20,2,FALSE),"All_Provinces"))</t>
        </is>
      </c>
      <c r="BI349" s="41" t="inlineStr">
        <is>
          <t>IF(H349="","All_Districts",IFERROR(VLOOKUP(H349,'07_Lookups'!$E$4:$F$42,2,FALSE),"All_Districts"))</t>
        </is>
      </c>
    </row>
    <row r="350" ht="18" customHeight="1">
      <c r="A350" s="32" t="inlineStr">
        <is>
          <t>IF(E350="","",ROW()-3)</t>
        </is>
      </c>
      <c r="B350" s="33" t="inlineStr">
        <is>
          <t>AF2-AGF-R-037</t>
        </is>
      </c>
      <c r="C350" s="33" t="inlineStr">
        <is>
          <t>Emergency Food Security Project (EFSP) – WBK/AF-2</t>
        </is>
      </c>
      <c r="D350" s="33" t="inlineStr">
        <is>
          <t>Agroforestry saplings and seeds 2026/27</t>
        </is>
      </c>
      <c r="E350" s="33" t="inlineStr">
        <is>
          <t>Agroforestry — Sari Pul / Balkhab</t>
        </is>
      </c>
      <c r="F350" s="33" t="inlineStr">
        <is>
          <t>Agroforestry saplings / seeds</t>
        </is>
      </c>
      <c r="G350" s="33" t="inlineStr">
        <is>
          <t>North / Mazar</t>
        </is>
      </c>
      <c r="H350" s="33" t="inlineStr">
        <is>
          <t>Sari Pul</t>
        </is>
      </c>
      <c r="I350" s="33" t="inlineStr">
        <is>
          <t>Balkhab</t>
        </is>
      </c>
      <c r="J350" s="33" t="inlineStr">
        <is>
          <t>Saplings: 0; Seeds kg: 30</t>
        </is>
      </c>
      <c r="K350" s="33" t="inlineStr">
        <is>
          <t>World Bank (WBK/AF-2)</t>
        </is>
      </c>
      <c r="L350" s="33" t="inlineStr">
        <is>
          <t>Remaining</t>
        </is>
      </c>
      <c r="M350" s="33" t="inlineStr">
        <is>
          <t>Agroforestry</t>
        </is>
      </c>
      <c r="N350" s="33" t="inlineStr">
        <is>
          <t>7. Agroforestry Saplings-seeds</t>
        </is>
      </c>
      <c r="O350" s="33" t="inlineStr"/>
      <c r="P350" s="33" t="inlineStr"/>
      <c r="Q350" s="34" t="n"/>
      <c r="R350" s="35" t="inlineStr">
        <is>
          <t>IF(AO350="","",AO350)</t>
        </is>
      </c>
      <c r="S350" s="36" t="n">
        <v>46142</v>
      </c>
      <c r="T350" s="37" t="n">
        <v>12</v>
      </c>
      <c r="U350" s="36" t="n">
        <v>46478</v>
      </c>
      <c r="V350" s="35" t="inlineStr">
        <is>
          <t>IF(U350&lt;&gt;"",U350,IF(OR(R350="",T350=""),"",EDATE(R350,T350)))</t>
        </is>
      </c>
      <c r="W350" s="36" t="n"/>
      <c r="X350" s="37" t="n"/>
      <c r="Y350" s="33" t="inlineStr">
        <is>
          <t>Under Awarding</t>
        </is>
      </c>
      <c r="Z350" s="33" t="inlineStr">
        <is>
          <t>The saplings PO has already been issued and PO for seeds is expected to be issued in November 2026</t>
        </is>
      </c>
      <c r="AA350" s="32" t="inlineStr">
        <is>
          <t>IF(E350="","",IF(COUNT(AG350:AT350)=0,IF(Y350="","Not started",Y350),SUBSTITUTE(LOOKUP(2,1/(AG350:AT350&lt;&gt;""),$AG$3:$AT$3),"Date: ","")))</t>
        </is>
      </c>
      <c r="AB350" s="38" t="inlineStr">
        <is>
          <t>IF(OR(E350="",COUNT(AG350:AT350)=0),"",TODAY()-LOOKUP(2,1/(AG350:AT350&lt;&gt;""),AG350:AT350))</t>
        </is>
      </c>
      <c r="AC350" s="38" t="inlineStr">
        <is>
          <t>IF(OR(E350="",COUNT(AG350:AT350)&lt;2),"",LOOKUP(2,1/(AG350:AT350&lt;&gt;""),AG350:AT350)-MIN(AG350:AT350))</t>
        </is>
      </c>
      <c r="AD350" s="38" t="inlineStr">
        <is>
          <t>IF(OR(AB350="",AA350="Not started",AA350=""),"",IFERROR(AB350-IF(VLOOKUP(AA350,'04_Status_Pipeline'!$B$3:$E$20,4,FALSE)="",0,VLOOKUP(AA350,'04_Status_Pipeline'!$B$3:$E$20,4,FALSE)),""))</t>
        </is>
      </c>
      <c r="AE350" s="32" t="inlineStr">
        <is>
          <t>IF(E350="","",IF(OR(Y350="Cancelled",AA350="Cancelled"),"Cancelled",IF(OR(AA350="Completed / Handover",W350&lt;&gt;"",X350&gt;=100),"Completed — on track",IF(L350="Remaining",IF(S350="",IF(V350="","No planned date",IF(TODAY()&gt;V350,"Behind — past planned date",IF(V350-TODAY()&lt;=30,"At risk — close to off track","On track"))),IF(TODAY()&gt;S350,"Behind — award date passed",IF(S350-TODAY()&lt;=30,"At risk — close to off track","On track"))),IF(V350="","No planned date",IF(AND(TODAY()&gt;V350,OR(X350="",X350&lt;100)),"Behind — past end date",IF(AND(R350&lt;&gt;"",V350&lt;&gt;"",X350&lt;&gt;"",(X350&lt;100),((TODAY()-R350)/MAX(V350-R350,1)*100)-X350&gt;15),"Behind — progress lag",IF(AND(V350-TODAY()&lt;=30,V350-TODAY()&gt;=0,OR(X350="",X350&lt;90)),"At risk — close to off track","On track"))))))))</t>
        </is>
      </c>
      <c r="AF350" s="38" t="inlineStr">
        <is>
          <t>IF(OR(E350="",AA350="Completed / Handover",AA350="Cancelled"),"",IF(L350="Remaining",IF(S350&lt;&gt;"",S350-TODAY(),IF(V350="","",V350-TODAY())),IF(V350="","",V350-TODAY())))</t>
        </is>
      </c>
      <c r="AG350" s="36" t="n"/>
      <c r="AH350" s="36" t="n"/>
      <c r="AI350" s="36" t="n"/>
      <c r="AJ350" s="36" t="n"/>
      <c r="AK350" s="36" t="n"/>
      <c r="AL350" s="36" t="n"/>
      <c r="AM350" s="36" t="n"/>
      <c r="AN350" s="36" t="n"/>
      <c r="AO350" s="36" t="n"/>
      <c r="AP350" s="36" t="n"/>
      <c r="AQ350" s="36" t="n"/>
      <c r="AR350" s="40" t="n"/>
      <c r="AS350" s="40" t="n"/>
      <c r="AT350" s="40" t="n"/>
      <c r="AU350" s="38" t="inlineStr">
        <is>
          <t>IF(OR(E350="",AH350=""),"",IF(COUNT(AG350:AG350)=0,"",AH350-LOOKUP(2,1/(AG350:AG350&lt;&gt;""),AG350:AG350)))</t>
        </is>
      </c>
      <c r="AV350" s="38" t="inlineStr">
        <is>
          <t>IF(OR(E350="",AI350=""),"",IF(COUNT(AG350:AH350)=0,"",AI350-LOOKUP(2,1/(AG350:AH350&lt;&gt;""),AG350:AH350)))</t>
        </is>
      </c>
      <c r="AW350" s="38" t="inlineStr">
        <is>
          <t>IF(OR(E350="",AJ350=""),"",IF(COUNT(AG350:AI350)=0,"",AJ350-LOOKUP(2,1/(AG350:AI350&lt;&gt;""),AG350:AI350)))</t>
        </is>
      </c>
      <c r="AX350" s="38" t="inlineStr">
        <is>
          <t>IF(OR(E350="",AK350=""),"",IF(COUNT(AG350:AJ350)=0,"",AK350-LOOKUP(2,1/(AG350:AJ350&lt;&gt;""),AG350:AJ350)))</t>
        </is>
      </c>
      <c r="AY350" s="38" t="inlineStr">
        <is>
          <t>IF(OR(E350="",AL350=""),"",IF(COUNT(AG350:AK350)=0,"",AL350-LOOKUP(2,1/(AG350:AK350&lt;&gt;""),AG350:AK350)))</t>
        </is>
      </c>
      <c r="AZ350" s="38" t="inlineStr">
        <is>
          <t>IF(OR(E350="",AM350=""),"",IF(COUNT(AG350:AL350)=0,"",AM350-LOOKUP(2,1/(AG350:AL350&lt;&gt;""),AG350:AL350)))</t>
        </is>
      </c>
      <c r="BA350" s="38" t="inlineStr">
        <is>
          <t>IF(OR(E350="",AN350=""),"",IF(COUNT(AG350:AM350)=0,"",AN350-LOOKUP(2,1/(AG350:AM350&lt;&gt;""),AG350:AM350)))</t>
        </is>
      </c>
      <c r="BB350" s="38" t="inlineStr">
        <is>
          <t>IF(OR(E350="",AO350=""),"",IF(COUNT(AG350:AN350)=0,"",AO350-LOOKUP(2,1/(AG350:AN350&lt;&gt;""),AG350:AN350)))</t>
        </is>
      </c>
      <c r="BC350" s="38" t="inlineStr">
        <is>
          <t>IF(OR(E350="",AP350=""),"",IF(COUNT(AG350:AO350)=0,"",AP350-LOOKUP(2,1/(AG350:AO350&lt;&gt;""),AG350:AO350)))</t>
        </is>
      </c>
      <c r="BD350" s="38" t="inlineStr">
        <is>
          <t>IF(OR(E350="",AQ350=""),"",IF(COUNT(AG350:AP350)=0,"",AQ350-LOOKUP(2,1/(AG350:AP350&lt;&gt;""),AG350:AP350)))</t>
        </is>
      </c>
      <c r="BE350" s="38" t="inlineStr">
        <is>
          <t>IF(OR(E350="",AR350=""),"",IF(COUNT(AG350:AQ350)=0,"",AR350-LOOKUP(2,1/(AG350:AQ350&lt;&gt;""),AG350:AQ350)))</t>
        </is>
      </c>
      <c r="BF350" s="38" t="inlineStr">
        <is>
          <t>IF(OR(E350="",AS350=""),"",IF(COUNT(AG350:AR350)=0,"",AS350-LOOKUP(2,1/(AG350:AR350&lt;&gt;""),AG350:AR350)))</t>
        </is>
      </c>
      <c r="BG350" s="38" t="inlineStr">
        <is>
          <t>IF(OR(E350="",AT350=""),"",IF(COUNT(AG350:AS350)=0,"",AT350-LOOKUP(2,1/(AG350:AS350&lt;&gt;""),AG350:AS350)))</t>
        </is>
      </c>
      <c r="BH350" s="41" t="inlineStr">
        <is>
          <t>IF(G350="","All_Provinces",IFERROR(VLOOKUP(G350,'07_Lookups'!$A$4:$B$20,2,FALSE),"All_Provinces"))</t>
        </is>
      </c>
      <c r="BI350" s="41" t="inlineStr">
        <is>
          <t>IF(H350="","All_Districts",IFERROR(VLOOKUP(H350,'07_Lookups'!$E$4:$F$42,2,FALSE),"All_Districts"))</t>
        </is>
      </c>
    </row>
    <row r="351" ht="18" customHeight="1">
      <c r="A351" s="32" t="inlineStr">
        <is>
          <t>IF(E351="","",ROW()-3)</t>
        </is>
      </c>
      <c r="B351" s="42" t="inlineStr">
        <is>
          <t>AF2-AGF-R-038</t>
        </is>
      </c>
      <c r="C351" s="42" t="inlineStr">
        <is>
          <t>Emergency Food Security Project (EFSP) – WBK/AF-2</t>
        </is>
      </c>
      <c r="D351" s="42" t="inlineStr">
        <is>
          <t>Agroforestry saplings and seeds 2026/27</t>
        </is>
      </c>
      <c r="E351" s="42" t="inlineStr">
        <is>
          <t>Agroforestry — Samangan / Hazrat-e-Sultan</t>
        </is>
      </c>
      <c r="F351" s="42" t="inlineStr">
        <is>
          <t>Agroforestry saplings / seeds</t>
        </is>
      </c>
      <c r="G351" s="42" t="inlineStr">
        <is>
          <t>North / Mazar</t>
        </is>
      </c>
      <c r="H351" s="42" t="inlineStr">
        <is>
          <t>Samangan</t>
        </is>
      </c>
      <c r="I351" s="42" t="inlineStr">
        <is>
          <t>Hazrat-e-Sultan</t>
        </is>
      </c>
      <c r="J351" s="42" t="inlineStr">
        <is>
          <t>Saplings: 1300; Seeds kg: 65</t>
        </is>
      </c>
      <c r="K351" s="42" t="inlineStr">
        <is>
          <t>World Bank (WBK/AF-2)</t>
        </is>
      </c>
      <c r="L351" s="42" t="inlineStr">
        <is>
          <t>Remaining</t>
        </is>
      </c>
      <c r="M351" s="42" t="inlineStr">
        <is>
          <t>Agroforestry</t>
        </is>
      </c>
      <c r="N351" s="42" t="inlineStr">
        <is>
          <t>7. Agroforestry Saplings-seeds</t>
        </is>
      </c>
      <c r="O351" s="42" t="inlineStr"/>
      <c r="P351" s="42" t="inlineStr"/>
      <c r="Q351" s="43" t="n"/>
      <c r="R351" s="35" t="inlineStr">
        <is>
          <t>IF(AO351="","",AO351)</t>
        </is>
      </c>
      <c r="S351" s="44" t="n">
        <v>46142</v>
      </c>
      <c r="T351" s="45" t="n">
        <v>12</v>
      </c>
      <c r="U351" s="44" t="n">
        <v>46478</v>
      </c>
      <c r="V351" s="35" t="inlineStr">
        <is>
          <t>IF(U351&lt;&gt;"",U351,IF(OR(R351="",T351=""),"",EDATE(R351,T351)))</t>
        </is>
      </c>
      <c r="W351" s="44" t="n"/>
      <c r="X351" s="45" t="n"/>
      <c r="Y351" s="42" t="inlineStr">
        <is>
          <t>Under Awarding</t>
        </is>
      </c>
      <c r="Z351" s="42" t="inlineStr">
        <is>
          <t>The saplings PO has already been issued and PO for seeds is expected to be issued in November 2026</t>
        </is>
      </c>
      <c r="AA351" s="32" t="inlineStr">
        <is>
          <t>IF(E351="","",IF(COUNT(AG351:AT351)=0,IF(Y351="","Not started",Y351),SUBSTITUTE(LOOKUP(2,1/(AG351:AT351&lt;&gt;""),$AG$3:$AT$3),"Date: ","")))</t>
        </is>
      </c>
      <c r="AB351" s="38" t="inlineStr">
        <is>
          <t>IF(OR(E351="",COUNT(AG351:AT351)=0),"",TODAY()-LOOKUP(2,1/(AG351:AT351&lt;&gt;""),AG351:AT351))</t>
        </is>
      </c>
      <c r="AC351" s="38" t="inlineStr">
        <is>
          <t>IF(OR(E351="",COUNT(AG351:AT351)&lt;2),"",LOOKUP(2,1/(AG351:AT351&lt;&gt;""),AG351:AT351)-MIN(AG351:AT351))</t>
        </is>
      </c>
      <c r="AD351" s="38" t="inlineStr">
        <is>
          <t>IF(OR(AB351="",AA351="Not started",AA351=""),"",IFERROR(AB351-IF(VLOOKUP(AA351,'04_Status_Pipeline'!$B$3:$E$20,4,FALSE)="",0,VLOOKUP(AA351,'04_Status_Pipeline'!$B$3:$E$20,4,FALSE)),""))</t>
        </is>
      </c>
      <c r="AE351" s="32" t="inlineStr">
        <is>
          <t>IF(E351="","",IF(OR(Y351="Cancelled",AA351="Cancelled"),"Cancelled",IF(OR(AA351="Completed / Handover",W351&lt;&gt;"",X351&gt;=100),"Completed — on track",IF(L351="Remaining",IF(S351="",IF(V351="","No planned date",IF(TODAY()&gt;V351,"Behind — past planned date",IF(V351-TODAY()&lt;=30,"At risk — close to off track","On track"))),IF(TODAY()&gt;S351,"Behind — award date passed",IF(S351-TODAY()&lt;=30,"At risk — close to off track","On track"))),IF(V351="","No planned date",IF(AND(TODAY()&gt;V351,OR(X351="",X351&lt;100)),"Behind — past end date",IF(AND(R351&lt;&gt;"",V351&lt;&gt;"",X351&lt;&gt;"",(X351&lt;100),((TODAY()-R351)/MAX(V351-R351,1)*100)-X351&gt;15),"Behind — progress lag",IF(AND(V351-TODAY()&lt;=30,V351-TODAY()&gt;=0,OR(X351="",X351&lt;90)),"At risk — close to off track","On track"))))))))</t>
        </is>
      </c>
      <c r="AF351" s="38" t="inlineStr">
        <is>
          <t>IF(OR(E351="",AA351="Completed / Handover",AA351="Cancelled"),"",IF(L351="Remaining",IF(S351&lt;&gt;"",S351-TODAY(),IF(V351="","",V351-TODAY())),IF(V351="","",V351-TODAY())))</t>
        </is>
      </c>
      <c r="AG351" s="44" t="n"/>
      <c r="AH351" s="44" t="n"/>
      <c r="AI351" s="44" t="n"/>
      <c r="AJ351" s="44" t="n"/>
      <c r="AK351" s="44" t="n"/>
      <c r="AL351" s="44" t="n"/>
      <c r="AM351" s="44" t="n"/>
      <c r="AN351" s="44" t="n"/>
      <c r="AO351" s="44" t="n"/>
      <c r="AP351" s="44" t="n"/>
      <c r="AQ351" s="44" t="n"/>
      <c r="AR351" s="40" t="n"/>
      <c r="AS351" s="40" t="n"/>
      <c r="AT351" s="40" t="n"/>
      <c r="AU351" s="38" t="inlineStr">
        <is>
          <t>IF(OR(E351="",AH351=""),"",IF(COUNT(AG351:AG351)=0,"",AH351-LOOKUP(2,1/(AG351:AG351&lt;&gt;""),AG351:AG351)))</t>
        </is>
      </c>
      <c r="AV351" s="38" t="inlineStr">
        <is>
          <t>IF(OR(E351="",AI351=""),"",IF(COUNT(AG351:AH351)=0,"",AI351-LOOKUP(2,1/(AG351:AH351&lt;&gt;""),AG351:AH351)))</t>
        </is>
      </c>
      <c r="AW351" s="38" t="inlineStr">
        <is>
          <t>IF(OR(E351="",AJ351=""),"",IF(COUNT(AG351:AI351)=0,"",AJ351-LOOKUP(2,1/(AG351:AI351&lt;&gt;""),AG351:AI351)))</t>
        </is>
      </c>
      <c r="AX351" s="38" t="inlineStr">
        <is>
          <t>IF(OR(E351="",AK351=""),"",IF(COUNT(AG351:AJ351)=0,"",AK351-LOOKUP(2,1/(AG351:AJ351&lt;&gt;""),AG351:AJ351)))</t>
        </is>
      </c>
      <c r="AY351" s="38" t="inlineStr">
        <is>
          <t>IF(OR(E351="",AL351=""),"",IF(COUNT(AG351:AK351)=0,"",AL351-LOOKUP(2,1/(AG351:AK351&lt;&gt;""),AG351:AK351)))</t>
        </is>
      </c>
      <c r="AZ351" s="38" t="inlineStr">
        <is>
          <t>IF(OR(E351="",AM351=""),"",IF(COUNT(AG351:AL351)=0,"",AM351-LOOKUP(2,1/(AG351:AL351&lt;&gt;""),AG351:AL351)))</t>
        </is>
      </c>
      <c r="BA351" s="38" t="inlineStr">
        <is>
          <t>IF(OR(E351="",AN351=""),"",IF(COUNT(AG351:AM351)=0,"",AN351-LOOKUP(2,1/(AG351:AM351&lt;&gt;""),AG351:AM351)))</t>
        </is>
      </c>
      <c r="BB351" s="38" t="inlineStr">
        <is>
          <t>IF(OR(E351="",AO351=""),"",IF(COUNT(AG351:AN351)=0,"",AO351-LOOKUP(2,1/(AG351:AN351&lt;&gt;""),AG351:AN351)))</t>
        </is>
      </c>
      <c r="BC351" s="38" t="inlineStr">
        <is>
          <t>IF(OR(E351="",AP351=""),"",IF(COUNT(AG351:AO351)=0,"",AP351-LOOKUP(2,1/(AG351:AO351&lt;&gt;""),AG351:AO351)))</t>
        </is>
      </c>
      <c r="BD351" s="38" t="inlineStr">
        <is>
          <t>IF(OR(E351="",AQ351=""),"",IF(COUNT(AG351:AP351)=0,"",AQ351-LOOKUP(2,1/(AG351:AP351&lt;&gt;""),AG351:AP351)))</t>
        </is>
      </c>
      <c r="BE351" s="38" t="inlineStr">
        <is>
          <t>IF(OR(E351="",AR351=""),"",IF(COUNT(AG351:AQ351)=0,"",AR351-LOOKUP(2,1/(AG351:AQ351&lt;&gt;""),AG351:AQ351)))</t>
        </is>
      </c>
      <c r="BF351" s="38" t="inlineStr">
        <is>
          <t>IF(OR(E351="",AS351=""),"",IF(COUNT(AG351:AR351)=0,"",AS351-LOOKUP(2,1/(AG351:AR351&lt;&gt;""),AG351:AR351)))</t>
        </is>
      </c>
      <c r="BG351" s="38" t="inlineStr">
        <is>
          <t>IF(OR(E351="",AT351=""),"",IF(COUNT(AG351:AS351)=0,"",AT351-LOOKUP(2,1/(AG351:AS351&lt;&gt;""),AG351:AS351)))</t>
        </is>
      </c>
      <c r="BH351" s="41" t="inlineStr">
        <is>
          <t>IF(G351="","All_Provinces",IFERROR(VLOOKUP(G351,'07_Lookups'!$A$4:$B$20,2,FALSE),"All_Provinces"))</t>
        </is>
      </c>
      <c r="BI351" s="41" t="inlineStr">
        <is>
          <t>IF(H351="","All_Districts",IFERROR(VLOOKUP(H351,'07_Lookups'!$E$4:$F$42,2,FALSE),"All_Districts"))</t>
        </is>
      </c>
    </row>
    <row r="352" ht="18" customHeight="1">
      <c r="A352" s="32" t="inlineStr">
        <is>
          <t>IF(E352="","",ROW()-3)</t>
        </is>
      </c>
      <c r="B352" s="33" t="inlineStr">
        <is>
          <t>AF2-AGF-R-039</t>
        </is>
      </c>
      <c r="C352" s="33" t="inlineStr">
        <is>
          <t>Emergency Food Security Project (EFSP) – WBK/AF-2</t>
        </is>
      </c>
      <c r="D352" s="33" t="inlineStr">
        <is>
          <t>Agroforestry saplings and seeds 2026/27</t>
        </is>
      </c>
      <c r="E352" s="33" t="inlineStr">
        <is>
          <t>Agroforestry — Samangan / Aybak</t>
        </is>
      </c>
      <c r="F352" s="33" t="inlineStr">
        <is>
          <t>Agroforestry saplings / seeds</t>
        </is>
      </c>
      <c r="G352" s="33" t="inlineStr">
        <is>
          <t>North / Mazar</t>
        </is>
      </c>
      <c r="H352" s="33" t="inlineStr">
        <is>
          <t>Samangan</t>
        </is>
      </c>
      <c r="I352" s="33" t="inlineStr">
        <is>
          <t>Aybak</t>
        </is>
      </c>
      <c r="J352" s="33" t="inlineStr">
        <is>
          <t>Saplings: 0; Seeds kg: 173</t>
        </is>
      </c>
      <c r="K352" s="33" t="inlineStr">
        <is>
          <t>World Bank (WBK/AF-2)</t>
        </is>
      </c>
      <c r="L352" s="33" t="inlineStr">
        <is>
          <t>Remaining</t>
        </is>
      </c>
      <c r="M352" s="33" t="inlineStr">
        <is>
          <t>Agroforestry</t>
        </is>
      </c>
      <c r="N352" s="33" t="inlineStr">
        <is>
          <t>7. Agroforestry Saplings-seeds</t>
        </is>
      </c>
      <c r="O352" s="33" t="inlineStr"/>
      <c r="P352" s="33" t="inlineStr"/>
      <c r="Q352" s="34" t="n"/>
      <c r="R352" s="35" t="inlineStr">
        <is>
          <t>IF(AO352="","",AO352)</t>
        </is>
      </c>
      <c r="S352" s="36" t="n">
        <v>46142</v>
      </c>
      <c r="T352" s="37" t="n">
        <v>12</v>
      </c>
      <c r="U352" s="36" t="n">
        <v>46478</v>
      </c>
      <c r="V352" s="35" t="inlineStr">
        <is>
          <t>IF(U352&lt;&gt;"",U352,IF(OR(R352="",T352=""),"",EDATE(R352,T352)))</t>
        </is>
      </c>
      <c r="W352" s="36" t="n"/>
      <c r="X352" s="37" t="n"/>
      <c r="Y352" s="33" t="inlineStr">
        <is>
          <t>Under Awarding</t>
        </is>
      </c>
      <c r="Z352" s="33" t="inlineStr">
        <is>
          <t>The saplings PO has already been issued and PO for seeds is expected to be issued in November 2026</t>
        </is>
      </c>
      <c r="AA352" s="32" t="inlineStr">
        <is>
          <t>IF(E352="","",IF(COUNT(AG352:AT352)=0,IF(Y352="","Not started",Y352),SUBSTITUTE(LOOKUP(2,1/(AG352:AT352&lt;&gt;""),$AG$3:$AT$3),"Date: ","")))</t>
        </is>
      </c>
      <c r="AB352" s="38" t="inlineStr">
        <is>
          <t>IF(OR(E352="",COUNT(AG352:AT352)=0),"",TODAY()-LOOKUP(2,1/(AG352:AT352&lt;&gt;""),AG352:AT352))</t>
        </is>
      </c>
      <c r="AC352" s="38" t="inlineStr">
        <is>
          <t>IF(OR(E352="",COUNT(AG352:AT352)&lt;2),"",LOOKUP(2,1/(AG352:AT352&lt;&gt;""),AG352:AT352)-MIN(AG352:AT352))</t>
        </is>
      </c>
      <c r="AD352" s="38" t="inlineStr">
        <is>
          <t>IF(OR(AB352="",AA352="Not started",AA352=""),"",IFERROR(AB352-IF(VLOOKUP(AA352,'04_Status_Pipeline'!$B$3:$E$20,4,FALSE)="",0,VLOOKUP(AA352,'04_Status_Pipeline'!$B$3:$E$20,4,FALSE)),""))</t>
        </is>
      </c>
      <c r="AE352" s="32" t="inlineStr">
        <is>
          <t>IF(E352="","",IF(OR(Y352="Cancelled",AA352="Cancelled"),"Cancelled",IF(OR(AA352="Completed / Handover",W352&lt;&gt;"",X352&gt;=100),"Completed — on track",IF(L352="Remaining",IF(S352="",IF(V352="","No planned date",IF(TODAY()&gt;V352,"Behind — past planned date",IF(V352-TODAY()&lt;=30,"At risk — close to off track","On track"))),IF(TODAY()&gt;S352,"Behind — award date passed",IF(S352-TODAY()&lt;=30,"At risk — close to off track","On track"))),IF(V352="","No planned date",IF(AND(TODAY()&gt;V352,OR(X352="",X352&lt;100)),"Behind — past end date",IF(AND(R352&lt;&gt;"",V352&lt;&gt;"",X352&lt;&gt;"",(X352&lt;100),((TODAY()-R352)/MAX(V352-R352,1)*100)-X352&gt;15),"Behind — progress lag",IF(AND(V352-TODAY()&lt;=30,V352-TODAY()&gt;=0,OR(X352="",X352&lt;90)),"At risk — close to off track","On track"))))))))</t>
        </is>
      </c>
      <c r="AF352" s="38" t="inlineStr">
        <is>
          <t>IF(OR(E352="",AA352="Completed / Handover",AA352="Cancelled"),"",IF(L352="Remaining",IF(S352&lt;&gt;"",S352-TODAY(),IF(V352="","",V352-TODAY())),IF(V352="","",V352-TODAY())))</t>
        </is>
      </c>
      <c r="AG352" s="36" t="n"/>
      <c r="AH352" s="36" t="n"/>
      <c r="AI352" s="36" t="n"/>
      <c r="AJ352" s="36" t="n"/>
      <c r="AK352" s="36" t="n"/>
      <c r="AL352" s="36" t="n"/>
      <c r="AM352" s="36" t="n"/>
      <c r="AN352" s="36" t="n"/>
      <c r="AO352" s="36" t="n"/>
      <c r="AP352" s="36" t="n"/>
      <c r="AQ352" s="36" t="n"/>
      <c r="AR352" s="40" t="n"/>
      <c r="AS352" s="40" t="n"/>
      <c r="AT352" s="40" t="n"/>
      <c r="AU352" s="38" t="inlineStr">
        <is>
          <t>IF(OR(E352="",AH352=""),"",IF(COUNT(AG352:AG352)=0,"",AH352-LOOKUP(2,1/(AG352:AG352&lt;&gt;""),AG352:AG352)))</t>
        </is>
      </c>
      <c r="AV352" s="38" t="inlineStr">
        <is>
          <t>IF(OR(E352="",AI352=""),"",IF(COUNT(AG352:AH352)=0,"",AI352-LOOKUP(2,1/(AG352:AH352&lt;&gt;""),AG352:AH352)))</t>
        </is>
      </c>
      <c r="AW352" s="38" t="inlineStr">
        <is>
          <t>IF(OR(E352="",AJ352=""),"",IF(COUNT(AG352:AI352)=0,"",AJ352-LOOKUP(2,1/(AG352:AI352&lt;&gt;""),AG352:AI352)))</t>
        </is>
      </c>
      <c r="AX352" s="38" t="inlineStr">
        <is>
          <t>IF(OR(E352="",AK352=""),"",IF(COUNT(AG352:AJ352)=0,"",AK352-LOOKUP(2,1/(AG352:AJ352&lt;&gt;""),AG352:AJ352)))</t>
        </is>
      </c>
      <c r="AY352" s="38" t="inlineStr">
        <is>
          <t>IF(OR(E352="",AL352=""),"",IF(COUNT(AG352:AK352)=0,"",AL352-LOOKUP(2,1/(AG352:AK352&lt;&gt;""),AG352:AK352)))</t>
        </is>
      </c>
      <c r="AZ352" s="38" t="inlineStr">
        <is>
          <t>IF(OR(E352="",AM352=""),"",IF(COUNT(AG352:AL352)=0,"",AM352-LOOKUP(2,1/(AG352:AL352&lt;&gt;""),AG352:AL352)))</t>
        </is>
      </c>
      <c r="BA352" s="38" t="inlineStr">
        <is>
          <t>IF(OR(E352="",AN352=""),"",IF(COUNT(AG352:AM352)=0,"",AN352-LOOKUP(2,1/(AG352:AM352&lt;&gt;""),AG352:AM352)))</t>
        </is>
      </c>
      <c r="BB352" s="38" t="inlineStr">
        <is>
          <t>IF(OR(E352="",AO352=""),"",IF(COUNT(AG352:AN352)=0,"",AO352-LOOKUP(2,1/(AG352:AN352&lt;&gt;""),AG352:AN352)))</t>
        </is>
      </c>
      <c r="BC352" s="38" t="inlineStr">
        <is>
          <t>IF(OR(E352="",AP352=""),"",IF(COUNT(AG352:AO352)=0,"",AP352-LOOKUP(2,1/(AG352:AO352&lt;&gt;""),AG352:AO352)))</t>
        </is>
      </c>
      <c r="BD352" s="38" t="inlineStr">
        <is>
          <t>IF(OR(E352="",AQ352=""),"",IF(COUNT(AG352:AP352)=0,"",AQ352-LOOKUP(2,1/(AG352:AP352&lt;&gt;""),AG352:AP352)))</t>
        </is>
      </c>
      <c r="BE352" s="38" t="inlineStr">
        <is>
          <t>IF(OR(E352="",AR352=""),"",IF(COUNT(AG352:AQ352)=0,"",AR352-LOOKUP(2,1/(AG352:AQ352&lt;&gt;""),AG352:AQ352)))</t>
        </is>
      </c>
      <c r="BF352" s="38" t="inlineStr">
        <is>
          <t>IF(OR(E352="",AS352=""),"",IF(COUNT(AG352:AR352)=0,"",AS352-LOOKUP(2,1/(AG352:AR352&lt;&gt;""),AG352:AR352)))</t>
        </is>
      </c>
      <c r="BG352" s="38" t="inlineStr">
        <is>
          <t>IF(OR(E352="",AT352=""),"",IF(COUNT(AG352:AS352)=0,"",AT352-LOOKUP(2,1/(AG352:AS352&lt;&gt;""),AG352:AS352)))</t>
        </is>
      </c>
      <c r="BH352" s="41" t="inlineStr">
        <is>
          <t>IF(G352="","All_Provinces",IFERROR(VLOOKUP(G352,'07_Lookups'!$A$4:$B$20,2,FALSE),"All_Provinces"))</t>
        </is>
      </c>
      <c r="BI352" s="41" t="inlineStr">
        <is>
          <t>IF(H352="","All_Districts",IFERROR(VLOOKUP(H352,'07_Lookups'!$E$4:$F$42,2,FALSE),"All_Districts"))</t>
        </is>
      </c>
    </row>
    <row r="353" ht="18" customHeight="1">
      <c r="A353" s="32" t="inlineStr">
        <is>
          <t>IF(E353="","",ROW()-3)</t>
        </is>
      </c>
      <c r="B353" s="42" t="n"/>
      <c r="C353" s="42" t="n"/>
      <c r="D353" s="42" t="n"/>
      <c r="E353" s="42" t="n"/>
      <c r="F353" s="42" t="n"/>
      <c r="G353" s="42" t="n"/>
      <c r="H353" s="42" t="n"/>
      <c r="I353" s="42" t="n"/>
      <c r="J353" s="42" t="n"/>
      <c r="K353" s="42" t="n"/>
      <c r="L353" s="42" t="n"/>
      <c r="M353" s="42" t="n"/>
      <c r="N353" s="42" t="n"/>
      <c r="O353" s="42" t="n"/>
      <c r="P353" s="42" t="n"/>
      <c r="Q353" s="43" t="n"/>
      <c r="R353" s="35" t="inlineStr">
        <is>
          <t>IF(AO353="","",AO353)</t>
        </is>
      </c>
      <c r="S353" s="44" t="n"/>
      <c r="T353" s="45" t="n"/>
      <c r="U353" s="44" t="n"/>
      <c r="V353" s="35" t="inlineStr">
        <is>
          <t>IF(U353&lt;&gt;"",U353,IF(OR(R353="",T353=""),"",EDATE(R353,T353)))</t>
        </is>
      </c>
      <c r="W353" s="44" t="n"/>
      <c r="X353" s="45" t="n"/>
      <c r="Y353" s="42" t="n"/>
      <c r="Z353" s="42" t="n"/>
      <c r="AA353" s="32" t="inlineStr">
        <is>
          <t>IF(E353="","",IF(COUNT(AG353:AT353)=0,IF(Y353="","Not started",Y353),SUBSTITUTE(LOOKUP(2,1/(AG353:AT353&lt;&gt;""),$AG$3:$AT$3),"Date: ","")))</t>
        </is>
      </c>
      <c r="AB353" s="38" t="inlineStr">
        <is>
          <t>IF(OR(E353="",COUNT(AG353:AT353)=0),"",TODAY()-LOOKUP(2,1/(AG353:AT353&lt;&gt;""),AG353:AT353))</t>
        </is>
      </c>
      <c r="AC353" s="38" t="inlineStr">
        <is>
          <t>IF(OR(E353="",COUNT(AG353:AT353)&lt;2),"",LOOKUP(2,1/(AG353:AT353&lt;&gt;""),AG353:AT353)-MIN(AG353:AT353))</t>
        </is>
      </c>
      <c r="AD353" s="38" t="inlineStr">
        <is>
          <t>IF(OR(AB353="",AA353="Not started",AA353=""),"",IFERROR(AB353-IF(VLOOKUP(AA353,'04_Status_Pipeline'!$B$3:$E$20,4,FALSE)="",0,VLOOKUP(AA353,'04_Status_Pipeline'!$B$3:$E$20,4,FALSE)),""))</t>
        </is>
      </c>
      <c r="AE353" s="32" t="inlineStr">
        <is>
          <t>IF(E353="","",IF(OR(Y353="Cancelled",AA353="Cancelled"),"Cancelled",IF(OR(AA353="Completed / Handover",W353&lt;&gt;"",X353&gt;=100),"Completed — on track",IF(L353="Remaining",IF(S353="",IF(V353="","No planned date",IF(TODAY()&gt;V353,"Behind — past planned date",IF(V353-TODAY()&lt;=30,"At risk — close to off track","On track"))),IF(TODAY()&gt;S353,"Behind — award date passed",IF(S353-TODAY()&lt;=30,"At risk — close to off track","On track"))),IF(V353="","No planned date",IF(AND(TODAY()&gt;V353,OR(X353="",X353&lt;100)),"Behind — past end date",IF(AND(R353&lt;&gt;"",V353&lt;&gt;"",X353&lt;&gt;"",(X353&lt;100),((TODAY()-R353)/MAX(V353-R353,1)*100)-X353&gt;15),"Behind — progress lag",IF(AND(V353-TODAY()&lt;=30,V353-TODAY()&gt;=0,OR(X353="",X353&lt;90)),"At risk — close to off track","On track"))))))))</t>
        </is>
      </c>
      <c r="AF353" s="38" t="inlineStr">
        <is>
          <t>IF(OR(E353="",AA353="Completed / Handover",AA353="Cancelled"),"",IF(L353="Remaining",IF(S353&lt;&gt;"",S353-TODAY(),IF(V353="","",V353-TODAY())),IF(V353="","",V353-TODAY())))</t>
        </is>
      </c>
      <c r="AG353" s="44" t="n"/>
      <c r="AH353" s="44" t="n"/>
      <c r="AI353" s="44" t="n"/>
      <c r="AJ353" s="44" t="n"/>
      <c r="AK353" s="44" t="n"/>
      <c r="AL353" s="44" t="n"/>
      <c r="AM353" s="44" t="n"/>
      <c r="AN353" s="44" t="n"/>
      <c r="AO353" s="44" t="n"/>
      <c r="AP353" s="44" t="n"/>
      <c r="AQ353" s="44" t="n"/>
      <c r="AR353" s="40" t="n"/>
      <c r="AS353" s="40" t="n"/>
      <c r="AT353" s="40" t="n"/>
      <c r="AU353" s="38" t="inlineStr">
        <is>
          <t>IF(OR(E353="",AH353=""),"",IF(COUNT(AG353:AG353)=0,"",AH353-LOOKUP(2,1/(AG353:AG353&lt;&gt;""),AG353:AG353)))</t>
        </is>
      </c>
      <c r="AV353" s="38" t="inlineStr">
        <is>
          <t>IF(OR(E353="",AI353=""),"",IF(COUNT(AG353:AH353)=0,"",AI353-LOOKUP(2,1/(AG353:AH353&lt;&gt;""),AG353:AH353)))</t>
        </is>
      </c>
      <c r="AW353" s="38" t="inlineStr">
        <is>
          <t>IF(OR(E353="",AJ353=""),"",IF(COUNT(AG353:AI353)=0,"",AJ353-LOOKUP(2,1/(AG353:AI353&lt;&gt;""),AG353:AI353)))</t>
        </is>
      </c>
      <c r="AX353" s="38" t="inlineStr">
        <is>
          <t>IF(OR(E353="",AK353=""),"",IF(COUNT(AG353:AJ353)=0,"",AK353-LOOKUP(2,1/(AG353:AJ353&lt;&gt;""),AG353:AJ353)))</t>
        </is>
      </c>
      <c r="AY353" s="38" t="inlineStr">
        <is>
          <t>IF(OR(E353="",AL353=""),"",IF(COUNT(AG353:AK353)=0,"",AL353-LOOKUP(2,1/(AG353:AK353&lt;&gt;""),AG353:AK353)))</t>
        </is>
      </c>
      <c r="AZ353" s="38" t="inlineStr">
        <is>
          <t>IF(OR(E353="",AM353=""),"",IF(COUNT(AG353:AL353)=0,"",AM353-LOOKUP(2,1/(AG353:AL353&lt;&gt;""),AG353:AL353)))</t>
        </is>
      </c>
      <c r="BA353" s="38" t="inlineStr">
        <is>
          <t>IF(OR(E353="",AN353=""),"",IF(COUNT(AG353:AM353)=0,"",AN353-LOOKUP(2,1/(AG353:AM353&lt;&gt;""),AG353:AM353)))</t>
        </is>
      </c>
      <c r="BB353" s="38" t="inlineStr">
        <is>
          <t>IF(OR(E353="",AO353=""),"",IF(COUNT(AG353:AN353)=0,"",AO353-LOOKUP(2,1/(AG353:AN353&lt;&gt;""),AG353:AN353)))</t>
        </is>
      </c>
      <c r="BC353" s="38" t="inlineStr">
        <is>
          <t>IF(OR(E353="",AP353=""),"",IF(COUNT(AG353:AO353)=0,"",AP353-LOOKUP(2,1/(AG353:AO353&lt;&gt;""),AG353:AO353)))</t>
        </is>
      </c>
      <c r="BD353" s="38" t="inlineStr">
        <is>
          <t>IF(OR(E353="",AQ353=""),"",IF(COUNT(AG353:AP353)=0,"",AQ353-LOOKUP(2,1/(AG353:AP353&lt;&gt;""),AG353:AP353)))</t>
        </is>
      </c>
      <c r="BE353" s="38" t="inlineStr">
        <is>
          <t>IF(OR(E353="",AR353=""),"",IF(COUNT(AG353:AQ353)=0,"",AR353-LOOKUP(2,1/(AG353:AQ353&lt;&gt;""),AG353:AQ353)))</t>
        </is>
      </c>
      <c r="BF353" s="38" t="inlineStr">
        <is>
          <t>IF(OR(E353="",AS353=""),"",IF(COUNT(AG353:AR353)=0,"",AS353-LOOKUP(2,1/(AG353:AR353&lt;&gt;""),AG353:AR353)))</t>
        </is>
      </c>
      <c r="BG353" s="38" t="inlineStr">
        <is>
          <t>IF(OR(E353="",AT353=""),"",IF(COUNT(AG353:AS353)=0,"",AT353-LOOKUP(2,1/(AG353:AS353&lt;&gt;""),AG353:AS353)))</t>
        </is>
      </c>
      <c r="BH353" s="41" t="inlineStr">
        <is>
          <t>IF(G353="","All_Provinces",IFERROR(VLOOKUP(G353,'07_Lookups'!$A$4:$B$20,2,FALSE),"All_Provinces"))</t>
        </is>
      </c>
      <c r="BI353" s="41" t="inlineStr">
        <is>
          <t>IF(H353="","All_Districts",IFERROR(VLOOKUP(H353,'07_Lookups'!$E$4:$F$42,2,FALSE),"All_Districts"))</t>
        </is>
      </c>
    </row>
    <row r="354" ht="18" customHeight="1">
      <c r="A354" s="32" t="inlineStr">
        <is>
          <t>IF(E354="","",ROW()-3)</t>
        </is>
      </c>
      <c r="B354" s="33" t="n"/>
      <c r="C354" s="33" t="n"/>
      <c r="D354" s="33" t="n"/>
      <c r="E354" s="33" t="n"/>
      <c r="F354" s="33" t="n"/>
      <c r="G354" s="33" t="n"/>
      <c r="H354" s="33" t="n"/>
      <c r="I354" s="33" t="n"/>
      <c r="J354" s="33" t="n"/>
      <c r="K354" s="33" t="n"/>
      <c r="L354" s="33" t="n"/>
      <c r="M354" s="33" t="n"/>
      <c r="N354" s="33" t="n"/>
      <c r="O354" s="33" t="n"/>
      <c r="P354" s="33" t="n"/>
      <c r="Q354" s="34" t="n"/>
      <c r="R354" s="35" t="inlineStr">
        <is>
          <t>IF(AO354="","",AO354)</t>
        </is>
      </c>
      <c r="S354" s="36" t="n"/>
      <c r="T354" s="37" t="n"/>
      <c r="U354" s="36" t="n"/>
      <c r="V354" s="35" t="inlineStr">
        <is>
          <t>IF(U354&lt;&gt;"",U354,IF(OR(R354="",T354=""),"",EDATE(R354,T354)))</t>
        </is>
      </c>
      <c r="W354" s="36" t="n"/>
      <c r="X354" s="37" t="n"/>
      <c r="Y354" s="33" t="n"/>
      <c r="Z354" s="33" t="n"/>
      <c r="AA354" s="32" t="inlineStr">
        <is>
          <t>IF(E354="","",IF(COUNT(AG354:AT354)=0,IF(Y354="","Not started",Y354),SUBSTITUTE(LOOKUP(2,1/(AG354:AT354&lt;&gt;""),$AG$3:$AT$3),"Date: ","")))</t>
        </is>
      </c>
      <c r="AB354" s="38" t="inlineStr">
        <is>
          <t>IF(OR(E354="",COUNT(AG354:AT354)=0),"",TODAY()-LOOKUP(2,1/(AG354:AT354&lt;&gt;""),AG354:AT354))</t>
        </is>
      </c>
      <c r="AC354" s="38" t="inlineStr">
        <is>
          <t>IF(OR(E354="",COUNT(AG354:AT354)&lt;2),"",LOOKUP(2,1/(AG354:AT354&lt;&gt;""),AG354:AT354)-MIN(AG354:AT354))</t>
        </is>
      </c>
      <c r="AD354" s="38" t="inlineStr">
        <is>
          <t>IF(OR(AB354="",AA354="Not started",AA354=""),"",IFERROR(AB354-IF(VLOOKUP(AA354,'04_Status_Pipeline'!$B$3:$E$20,4,FALSE)="",0,VLOOKUP(AA354,'04_Status_Pipeline'!$B$3:$E$20,4,FALSE)),""))</t>
        </is>
      </c>
      <c r="AE354" s="32" t="inlineStr">
        <is>
          <t>IF(E354="","",IF(OR(Y354="Cancelled",AA354="Cancelled"),"Cancelled",IF(OR(AA354="Completed / Handover",W354&lt;&gt;"",X354&gt;=100),"Completed — on track",IF(L354="Remaining",IF(S354="",IF(V354="","No planned date",IF(TODAY()&gt;V354,"Behind — past planned date",IF(V354-TODAY()&lt;=30,"At risk — close to off track","On track"))),IF(TODAY()&gt;S354,"Behind — award date passed",IF(S354-TODAY()&lt;=30,"At risk — close to off track","On track"))),IF(V354="","No planned date",IF(AND(TODAY()&gt;V354,OR(X354="",X354&lt;100)),"Behind — past end date",IF(AND(R354&lt;&gt;"",V354&lt;&gt;"",X354&lt;&gt;"",(X354&lt;100),((TODAY()-R354)/MAX(V354-R354,1)*100)-X354&gt;15),"Behind — progress lag",IF(AND(V354-TODAY()&lt;=30,V354-TODAY()&gt;=0,OR(X354="",X354&lt;90)),"At risk — close to off track","On track"))))))))</t>
        </is>
      </c>
      <c r="AF354" s="38" t="inlineStr">
        <is>
          <t>IF(OR(E354="",AA354="Completed / Handover",AA354="Cancelled"),"",IF(L354="Remaining",IF(S354&lt;&gt;"",S354-TODAY(),IF(V354="","",V354-TODAY())),IF(V354="","",V354-TODAY())))</t>
        </is>
      </c>
      <c r="AG354" s="36" t="n"/>
      <c r="AH354" s="36" t="n"/>
      <c r="AI354" s="36" t="n"/>
      <c r="AJ354" s="36" t="n"/>
      <c r="AK354" s="36" t="n"/>
      <c r="AL354" s="36" t="n"/>
      <c r="AM354" s="36" t="n"/>
      <c r="AN354" s="36" t="n"/>
      <c r="AO354" s="36" t="n"/>
      <c r="AP354" s="36" t="n"/>
      <c r="AQ354" s="36" t="n"/>
      <c r="AR354" s="40" t="n"/>
      <c r="AS354" s="40" t="n"/>
      <c r="AT354" s="40" t="n"/>
      <c r="AU354" s="38" t="inlineStr">
        <is>
          <t>IF(OR(E354="",AH354=""),"",IF(COUNT(AG354:AG354)=0,"",AH354-LOOKUP(2,1/(AG354:AG354&lt;&gt;""),AG354:AG354)))</t>
        </is>
      </c>
      <c r="AV354" s="38" t="inlineStr">
        <is>
          <t>IF(OR(E354="",AI354=""),"",IF(COUNT(AG354:AH354)=0,"",AI354-LOOKUP(2,1/(AG354:AH354&lt;&gt;""),AG354:AH354)))</t>
        </is>
      </c>
      <c r="AW354" s="38" t="inlineStr">
        <is>
          <t>IF(OR(E354="",AJ354=""),"",IF(COUNT(AG354:AI354)=0,"",AJ354-LOOKUP(2,1/(AG354:AI354&lt;&gt;""),AG354:AI354)))</t>
        </is>
      </c>
      <c r="AX354" s="38" t="inlineStr">
        <is>
          <t>IF(OR(E354="",AK354=""),"",IF(COUNT(AG354:AJ354)=0,"",AK354-LOOKUP(2,1/(AG354:AJ354&lt;&gt;""),AG354:AJ354)))</t>
        </is>
      </c>
      <c r="AY354" s="38" t="inlineStr">
        <is>
          <t>IF(OR(E354="",AL354=""),"",IF(COUNT(AG354:AK354)=0,"",AL354-LOOKUP(2,1/(AG354:AK354&lt;&gt;""),AG354:AK354)))</t>
        </is>
      </c>
      <c r="AZ354" s="38" t="inlineStr">
        <is>
          <t>IF(OR(E354="",AM354=""),"",IF(COUNT(AG354:AL354)=0,"",AM354-LOOKUP(2,1/(AG354:AL354&lt;&gt;""),AG354:AL354)))</t>
        </is>
      </c>
      <c r="BA354" s="38" t="inlineStr">
        <is>
          <t>IF(OR(E354="",AN354=""),"",IF(COUNT(AG354:AM354)=0,"",AN354-LOOKUP(2,1/(AG354:AM354&lt;&gt;""),AG354:AM354)))</t>
        </is>
      </c>
      <c r="BB354" s="38" t="inlineStr">
        <is>
          <t>IF(OR(E354="",AO354=""),"",IF(COUNT(AG354:AN354)=0,"",AO354-LOOKUP(2,1/(AG354:AN354&lt;&gt;""),AG354:AN354)))</t>
        </is>
      </c>
      <c r="BC354" s="38" t="inlineStr">
        <is>
          <t>IF(OR(E354="",AP354=""),"",IF(COUNT(AG354:AO354)=0,"",AP354-LOOKUP(2,1/(AG354:AO354&lt;&gt;""),AG354:AO354)))</t>
        </is>
      </c>
      <c r="BD354" s="38" t="inlineStr">
        <is>
          <t>IF(OR(E354="",AQ354=""),"",IF(COUNT(AG354:AP354)=0,"",AQ354-LOOKUP(2,1/(AG354:AP354&lt;&gt;""),AG354:AP354)))</t>
        </is>
      </c>
      <c r="BE354" s="38" t="inlineStr">
        <is>
          <t>IF(OR(E354="",AR354=""),"",IF(COUNT(AG354:AQ354)=0,"",AR354-LOOKUP(2,1/(AG354:AQ354&lt;&gt;""),AG354:AQ354)))</t>
        </is>
      </c>
      <c r="BF354" s="38" t="inlineStr">
        <is>
          <t>IF(OR(E354="",AS354=""),"",IF(COUNT(AG354:AR354)=0,"",AS354-LOOKUP(2,1/(AG354:AR354&lt;&gt;""),AG354:AR354)))</t>
        </is>
      </c>
      <c r="BG354" s="38" t="inlineStr">
        <is>
          <t>IF(OR(E354="",AT354=""),"",IF(COUNT(AG354:AS354)=0,"",AT354-LOOKUP(2,1/(AG354:AS354&lt;&gt;""),AG354:AS354)))</t>
        </is>
      </c>
      <c r="BH354" s="41" t="inlineStr">
        <is>
          <t>IF(G354="","All_Provinces",IFERROR(VLOOKUP(G354,'07_Lookups'!$A$4:$B$20,2,FALSE),"All_Provinces"))</t>
        </is>
      </c>
      <c r="BI354" s="41" t="inlineStr">
        <is>
          <t>IF(H354="","All_Districts",IFERROR(VLOOKUP(H354,'07_Lookups'!$E$4:$F$42,2,FALSE),"All_Districts"))</t>
        </is>
      </c>
    </row>
    <row r="355" ht="18" customHeight="1">
      <c r="A355" s="32" t="inlineStr">
        <is>
          <t>IF(E355="","",ROW()-3)</t>
        </is>
      </c>
      <c r="B355" s="42" t="n"/>
      <c r="C355" s="42" t="n"/>
      <c r="D355" s="42" t="n"/>
      <c r="E355" s="42" t="n"/>
      <c r="F355" s="42" t="n"/>
      <c r="G355" s="42" t="n"/>
      <c r="H355" s="42" t="n"/>
      <c r="I355" s="42" t="n"/>
      <c r="J355" s="42" t="n"/>
      <c r="K355" s="42" t="n"/>
      <c r="L355" s="42" t="n"/>
      <c r="M355" s="42" t="n"/>
      <c r="N355" s="42" t="n"/>
      <c r="O355" s="42" t="n"/>
      <c r="P355" s="42" t="n"/>
      <c r="Q355" s="43" t="n"/>
      <c r="R355" s="35" t="inlineStr">
        <is>
          <t>IF(AO355="","",AO355)</t>
        </is>
      </c>
      <c r="S355" s="44" t="n"/>
      <c r="T355" s="45" t="n"/>
      <c r="U355" s="44" t="n"/>
      <c r="V355" s="35" t="inlineStr">
        <is>
          <t>IF(U355&lt;&gt;"",U355,IF(OR(R355="",T355=""),"",EDATE(R355,T355)))</t>
        </is>
      </c>
      <c r="W355" s="44" t="n"/>
      <c r="X355" s="45" t="n"/>
      <c r="Y355" s="42" t="n"/>
      <c r="Z355" s="42" t="n"/>
      <c r="AA355" s="32" t="inlineStr">
        <is>
          <t>IF(E355="","",IF(COUNT(AG355:AT355)=0,IF(Y355="","Not started",Y355),SUBSTITUTE(LOOKUP(2,1/(AG355:AT355&lt;&gt;""),$AG$3:$AT$3),"Date: ","")))</t>
        </is>
      </c>
      <c r="AB355" s="38" t="inlineStr">
        <is>
          <t>IF(OR(E355="",COUNT(AG355:AT355)=0),"",TODAY()-LOOKUP(2,1/(AG355:AT355&lt;&gt;""),AG355:AT355))</t>
        </is>
      </c>
      <c r="AC355" s="38" t="inlineStr">
        <is>
          <t>IF(OR(E355="",COUNT(AG355:AT355)&lt;2),"",LOOKUP(2,1/(AG355:AT355&lt;&gt;""),AG355:AT355)-MIN(AG355:AT355))</t>
        </is>
      </c>
      <c r="AD355" s="38" t="inlineStr">
        <is>
          <t>IF(OR(AB355="",AA355="Not started",AA355=""),"",IFERROR(AB355-IF(VLOOKUP(AA355,'04_Status_Pipeline'!$B$3:$E$20,4,FALSE)="",0,VLOOKUP(AA355,'04_Status_Pipeline'!$B$3:$E$20,4,FALSE)),""))</t>
        </is>
      </c>
      <c r="AE355" s="32" t="inlineStr">
        <is>
          <t>IF(E355="","",IF(OR(Y355="Cancelled",AA355="Cancelled"),"Cancelled",IF(OR(AA355="Completed / Handover",W355&lt;&gt;"",X355&gt;=100),"Completed — on track",IF(L355="Remaining",IF(S355="",IF(V355="","No planned date",IF(TODAY()&gt;V355,"Behind — past planned date",IF(V355-TODAY()&lt;=30,"At risk — close to off track","On track"))),IF(TODAY()&gt;S355,"Behind — award date passed",IF(S355-TODAY()&lt;=30,"At risk — close to off track","On track"))),IF(V355="","No planned date",IF(AND(TODAY()&gt;V355,OR(X355="",X355&lt;100)),"Behind — past end date",IF(AND(R355&lt;&gt;"",V355&lt;&gt;"",X355&lt;&gt;"",(X355&lt;100),((TODAY()-R355)/MAX(V355-R355,1)*100)-X355&gt;15),"Behind — progress lag",IF(AND(V355-TODAY()&lt;=30,V355-TODAY()&gt;=0,OR(X355="",X355&lt;90)),"At risk — close to off track","On track"))))))))</t>
        </is>
      </c>
      <c r="AF355" s="38" t="inlineStr">
        <is>
          <t>IF(OR(E355="",AA355="Completed / Handover",AA355="Cancelled"),"",IF(L355="Remaining",IF(S355&lt;&gt;"",S355-TODAY(),IF(V355="","",V355-TODAY())),IF(V355="","",V355-TODAY())))</t>
        </is>
      </c>
      <c r="AG355" s="44" t="n"/>
      <c r="AH355" s="44" t="n"/>
      <c r="AI355" s="44" t="n"/>
      <c r="AJ355" s="44" t="n"/>
      <c r="AK355" s="44" t="n"/>
      <c r="AL355" s="44" t="n"/>
      <c r="AM355" s="44" t="n"/>
      <c r="AN355" s="44" t="n"/>
      <c r="AO355" s="44" t="n"/>
      <c r="AP355" s="44" t="n"/>
      <c r="AQ355" s="44" t="n"/>
      <c r="AR355" s="40" t="n"/>
      <c r="AS355" s="40" t="n"/>
      <c r="AT355" s="40" t="n"/>
      <c r="AU355" s="38" t="inlineStr">
        <is>
          <t>IF(OR(E355="",AH355=""),"",IF(COUNT(AG355:AG355)=0,"",AH355-LOOKUP(2,1/(AG355:AG355&lt;&gt;""),AG355:AG355)))</t>
        </is>
      </c>
      <c r="AV355" s="38" t="inlineStr">
        <is>
          <t>IF(OR(E355="",AI355=""),"",IF(COUNT(AG355:AH355)=0,"",AI355-LOOKUP(2,1/(AG355:AH355&lt;&gt;""),AG355:AH355)))</t>
        </is>
      </c>
      <c r="AW355" s="38" t="inlineStr">
        <is>
          <t>IF(OR(E355="",AJ355=""),"",IF(COUNT(AG355:AI355)=0,"",AJ355-LOOKUP(2,1/(AG355:AI355&lt;&gt;""),AG355:AI355)))</t>
        </is>
      </c>
      <c r="AX355" s="38" t="inlineStr">
        <is>
          <t>IF(OR(E355="",AK355=""),"",IF(COUNT(AG355:AJ355)=0,"",AK355-LOOKUP(2,1/(AG355:AJ355&lt;&gt;""),AG355:AJ355)))</t>
        </is>
      </c>
      <c r="AY355" s="38" t="inlineStr">
        <is>
          <t>IF(OR(E355="",AL355=""),"",IF(COUNT(AG355:AK355)=0,"",AL355-LOOKUP(2,1/(AG355:AK355&lt;&gt;""),AG355:AK355)))</t>
        </is>
      </c>
      <c r="AZ355" s="38" t="inlineStr">
        <is>
          <t>IF(OR(E355="",AM355=""),"",IF(COUNT(AG355:AL355)=0,"",AM355-LOOKUP(2,1/(AG355:AL355&lt;&gt;""),AG355:AL355)))</t>
        </is>
      </c>
      <c r="BA355" s="38" t="inlineStr">
        <is>
          <t>IF(OR(E355="",AN355=""),"",IF(COUNT(AG355:AM355)=0,"",AN355-LOOKUP(2,1/(AG355:AM355&lt;&gt;""),AG355:AM355)))</t>
        </is>
      </c>
      <c r="BB355" s="38" t="inlineStr">
        <is>
          <t>IF(OR(E355="",AO355=""),"",IF(COUNT(AG355:AN355)=0,"",AO355-LOOKUP(2,1/(AG355:AN355&lt;&gt;""),AG355:AN355)))</t>
        </is>
      </c>
      <c r="BC355" s="38" t="inlineStr">
        <is>
          <t>IF(OR(E355="",AP355=""),"",IF(COUNT(AG355:AO355)=0,"",AP355-LOOKUP(2,1/(AG355:AO355&lt;&gt;""),AG355:AO355)))</t>
        </is>
      </c>
      <c r="BD355" s="38" t="inlineStr">
        <is>
          <t>IF(OR(E355="",AQ355=""),"",IF(COUNT(AG355:AP355)=0,"",AQ355-LOOKUP(2,1/(AG355:AP355&lt;&gt;""),AG355:AP355)))</t>
        </is>
      </c>
      <c r="BE355" s="38" t="inlineStr">
        <is>
          <t>IF(OR(E355="",AR355=""),"",IF(COUNT(AG355:AQ355)=0,"",AR355-LOOKUP(2,1/(AG355:AQ355&lt;&gt;""),AG355:AQ355)))</t>
        </is>
      </c>
      <c r="BF355" s="38" t="inlineStr">
        <is>
          <t>IF(OR(E355="",AS355=""),"",IF(COUNT(AG355:AR355)=0,"",AS355-LOOKUP(2,1/(AG355:AR355&lt;&gt;""),AG355:AR355)))</t>
        </is>
      </c>
      <c r="BG355" s="38" t="inlineStr">
        <is>
          <t>IF(OR(E355="",AT355=""),"",IF(COUNT(AG355:AS355)=0,"",AT355-LOOKUP(2,1/(AG355:AS355&lt;&gt;""),AG355:AS355)))</t>
        </is>
      </c>
      <c r="BH355" s="41" t="inlineStr">
        <is>
          <t>IF(G355="","All_Provinces",IFERROR(VLOOKUP(G355,'07_Lookups'!$A$4:$B$20,2,FALSE),"All_Provinces"))</t>
        </is>
      </c>
      <c r="BI355" s="41" t="inlineStr">
        <is>
          <t>IF(H355="","All_Districts",IFERROR(VLOOKUP(H355,'07_Lookups'!$E$4:$F$42,2,FALSE),"All_Districts"))</t>
        </is>
      </c>
    </row>
    <row r="356" ht="18" customHeight="1">
      <c r="A356" s="32" t="inlineStr">
        <is>
          <t>IF(E356="","",ROW()-3)</t>
        </is>
      </c>
      <c r="B356" s="33" t="n"/>
      <c r="C356" s="33" t="n"/>
      <c r="D356" s="33" t="n"/>
      <c r="E356" s="33" t="n"/>
      <c r="F356" s="33" t="n"/>
      <c r="G356" s="33" t="n"/>
      <c r="H356" s="33" t="n"/>
      <c r="I356" s="33" t="n"/>
      <c r="J356" s="33" t="n"/>
      <c r="K356" s="33" t="n"/>
      <c r="L356" s="33" t="n"/>
      <c r="M356" s="33" t="n"/>
      <c r="N356" s="33" t="n"/>
      <c r="O356" s="33" t="n"/>
      <c r="P356" s="33" t="n"/>
      <c r="Q356" s="34" t="n"/>
      <c r="R356" s="35" t="inlineStr">
        <is>
          <t>IF(AO356="","",AO356)</t>
        </is>
      </c>
      <c r="S356" s="36" t="n"/>
      <c r="T356" s="37" t="n"/>
      <c r="U356" s="36" t="n"/>
      <c r="V356" s="35" t="inlineStr">
        <is>
          <t>IF(U356&lt;&gt;"",U356,IF(OR(R356="",T356=""),"",EDATE(R356,T356)))</t>
        </is>
      </c>
      <c r="W356" s="36" t="n"/>
      <c r="X356" s="37" t="n"/>
      <c r="Y356" s="33" t="n"/>
      <c r="Z356" s="33" t="n"/>
      <c r="AA356" s="32" t="inlineStr">
        <is>
          <t>IF(E356="","",IF(COUNT(AG356:AT356)=0,IF(Y356="","Not started",Y356),SUBSTITUTE(LOOKUP(2,1/(AG356:AT356&lt;&gt;""),$AG$3:$AT$3),"Date: ","")))</t>
        </is>
      </c>
      <c r="AB356" s="38" t="inlineStr">
        <is>
          <t>IF(OR(E356="",COUNT(AG356:AT356)=0),"",TODAY()-LOOKUP(2,1/(AG356:AT356&lt;&gt;""),AG356:AT356))</t>
        </is>
      </c>
      <c r="AC356" s="38" t="inlineStr">
        <is>
          <t>IF(OR(E356="",COUNT(AG356:AT356)&lt;2),"",LOOKUP(2,1/(AG356:AT356&lt;&gt;""),AG356:AT356)-MIN(AG356:AT356))</t>
        </is>
      </c>
      <c r="AD356" s="38" t="inlineStr">
        <is>
          <t>IF(OR(AB356="",AA356="Not started",AA356=""),"",IFERROR(AB356-IF(VLOOKUP(AA356,'04_Status_Pipeline'!$B$3:$E$20,4,FALSE)="",0,VLOOKUP(AA356,'04_Status_Pipeline'!$B$3:$E$20,4,FALSE)),""))</t>
        </is>
      </c>
      <c r="AE356" s="32" t="inlineStr">
        <is>
          <t>IF(E356="","",IF(OR(Y356="Cancelled",AA356="Cancelled"),"Cancelled",IF(OR(AA356="Completed / Handover",W356&lt;&gt;"",X356&gt;=100),"Completed — on track",IF(L356="Remaining",IF(S356="",IF(V356="","No planned date",IF(TODAY()&gt;V356,"Behind — past planned date",IF(V356-TODAY()&lt;=30,"At risk — close to off track","On track"))),IF(TODAY()&gt;S356,"Behind — award date passed",IF(S356-TODAY()&lt;=30,"At risk — close to off track","On track"))),IF(V356="","No planned date",IF(AND(TODAY()&gt;V356,OR(X356="",X356&lt;100)),"Behind — past end date",IF(AND(R356&lt;&gt;"",V356&lt;&gt;"",X356&lt;&gt;"",(X356&lt;100),((TODAY()-R356)/MAX(V356-R356,1)*100)-X356&gt;15),"Behind — progress lag",IF(AND(V356-TODAY()&lt;=30,V356-TODAY()&gt;=0,OR(X356="",X356&lt;90)),"At risk — close to off track","On track"))))))))</t>
        </is>
      </c>
      <c r="AF356" s="38" t="inlineStr">
        <is>
          <t>IF(OR(E356="",AA356="Completed / Handover",AA356="Cancelled"),"",IF(L356="Remaining",IF(S356&lt;&gt;"",S356-TODAY(),IF(V356="","",V356-TODAY())),IF(V356="","",V356-TODAY())))</t>
        </is>
      </c>
      <c r="AG356" s="36" t="n"/>
      <c r="AH356" s="36" t="n"/>
      <c r="AI356" s="36" t="n"/>
      <c r="AJ356" s="36" t="n"/>
      <c r="AK356" s="36" t="n"/>
      <c r="AL356" s="36" t="n"/>
      <c r="AM356" s="36" t="n"/>
      <c r="AN356" s="36" t="n"/>
      <c r="AO356" s="36" t="n"/>
      <c r="AP356" s="36" t="n"/>
      <c r="AQ356" s="36" t="n"/>
      <c r="AR356" s="40" t="n"/>
      <c r="AS356" s="40" t="n"/>
      <c r="AT356" s="40" t="n"/>
      <c r="AU356" s="38" t="inlineStr">
        <is>
          <t>IF(OR(E356="",AH356=""),"",IF(COUNT(AG356:AG356)=0,"",AH356-LOOKUP(2,1/(AG356:AG356&lt;&gt;""),AG356:AG356)))</t>
        </is>
      </c>
      <c r="AV356" s="38" t="inlineStr">
        <is>
          <t>IF(OR(E356="",AI356=""),"",IF(COUNT(AG356:AH356)=0,"",AI356-LOOKUP(2,1/(AG356:AH356&lt;&gt;""),AG356:AH356)))</t>
        </is>
      </c>
      <c r="AW356" s="38" t="inlineStr">
        <is>
          <t>IF(OR(E356="",AJ356=""),"",IF(COUNT(AG356:AI356)=0,"",AJ356-LOOKUP(2,1/(AG356:AI356&lt;&gt;""),AG356:AI356)))</t>
        </is>
      </c>
      <c r="AX356" s="38" t="inlineStr">
        <is>
          <t>IF(OR(E356="",AK356=""),"",IF(COUNT(AG356:AJ356)=0,"",AK356-LOOKUP(2,1/(AG356:AJ356&lt;&gt;""),AG356:AJ356)))</t>
        </is>
      </c>
      <c r="AY356" s="38" t="inlineStr">
        <is>
          <t>IF(OR(E356="",AL356=""),"",IF(COUNT(AG356:AK356)=0,"",AL356-LOOKUP(2,1/(AG356:AK356&lt;&gt;""),AG356:AK356)))</t>
        </is>
      </c>
      <c r="AZ356" s="38" t="inlineStr">
        <is>
          <t>IF(OR(E356="",AM356=""),"",IF(COUNT(AG356:AL356)=0,"",AM356-LOOKUP(2,1/(AG356:AL356&lt;&gt;""),AG356:AL356)))</t>
        </is>
      </c>
      <c r="BA356" s="38" t="inlineStr">
        <is>
          <t>IF(OR(E356="",AN356=""),"",IF(COUNT(AG356:AM356)=0,"",AN356-LOOKUP(2,1/(AG356:AM356&lt;&gt;""),AG356:AM356)))</t>
        </is>
      </c>
      <c r="BB356" s="38" t="inlineStr">
        <is>
          <t>IF(OR(E356="",AO356=""),"",IF(COUNT(AG356:AN356)=0,"",AO356-LOOKUP(2,1/(AG356:AN356&lt;&gt;""),AG356:AN356)))</t>
        </is>
      </c>
      <c r="BC356" s="38" t="inlineStr">
        <is>
          <t>IF(OR(E356="",AP356=""),"",IF(COUNT(AG356:AO356)=0,"",AP356-LOOKUP(2,1/(AG356:AO356&lt;&gt;""),AG356:AO356)))</t>
        </is>
      </c>
      <c r="BD356" s="38" t="inlineStr">
        <is>
          <t>IF(OR(E356="",AQ356=""),"",IF(COUNT(AG356:AP356)=0,"",AQ356-LOOKUP(2,1/(AG356:AP356&lt;&gt;""),AG356:AP356)))</t>
        </is>
      </c>
      <c r="BE356" s="38" t="inlineStr">
        <is>
          <t>IF(OR(E356="",AR356=""),"",IF(COUNT(AG356:AQ356)=0,"",AR356-LOOKUP(2,1/(AG356:AQ356&lt;&gt;""),AG356:AQ356)))</t>
        </is>
      </c>
      <c r="BF356" s="38" t="inlineStr">
        <is>
          <t>IF(OR(E356="",AS356=""),"",IF(COUNT(AG356:AR356)=0,"",AS356-LOOKUP(2,1/(AG356:AR356&lt;&gt;""),AG356:AR356)))</t>
        </is>
      </c>
      <c r="BG356" s="38" t="inlineStr">
        <is>
          <t>IF(OR(E356="",AT356=""),"",IF(COUNT(AG356:AS356)=0,"",AT356-LOOKUP(2,1/(AG356:AS356&lt;&gt;""),AG356:AS356)))</t>
        </is>
      </c>
      <c r="BH356" s="41" t="inlineStr">
        <is>
          <t>IF(G356="","All_Provinces",IFERROR(VLOOKUP(G356,'07_Lookups'!$A$4:$B$20,2,FALSE),"All_Provinces"))</t>
        </is>
      </c>
      <c r="BI356" s="41" t="inlineStr">
        <is>
          <t>IF(H356="","All_Districts",IFERROR(VLOOKUP(H356,'07_Lookups'!$E$4:$F$42,2,FALSE),"All_Districts"))</t>
        </is>
      </c>
    </row>
    <row r="357" ht="18" customHeight="1">
      <c r="A357" s="32" t="inlineStr">
        <is>
          <t>IF(E357="","",ROW()-3)</t>
        </is>
      </c>
      <c r="B357" s="42" t="n"/>
      <c r="C357" s="42" t="n"/>
      <c r="D357" s="42" t="n"/>
      <c r="E357" s="42" t="n"/>
      <c r="F357" s="42" t="n"/>
      <c r="G357" s="42" t="n"/>
      <c r="H357" s="42" t="n"/>
      <c r="I357" s="42" t="n"/>
      <c r="J357" s="42" t="n"/>
      <c r="K357" s="42" t="n"/>
      <c r="L357" s="42" t="n"/>
      <c r="M357" s="42" t="n"/>
      <c r="N357" s="42" t="n"/>
      <c r="O357" s="42" t="n"/>
      <c r="P357" s="42" t="n"/>
      <c r="Q357" s="43" t="n"/>
      <c r="R357" s="35" t="inlineStr">
        <is>
          <t>IF(AO357="","",AO357)</t>
        </is>
      </c>
      <c r="S357" s="44" t="n"/>
      <c r="T357" s="45" t="n"/>
      <c r="U357" s="44" t="n"/>
      <c r="V357" s="35" t="inlineStr">
        <is>
          <t>IF(U357&lt;&gt;"",U357,IF(OR(R357="",T357=""),"",EDATE(R357,T357)))</t>
        </is>
      </c>
      <c r="W357" s="44" t="n"/>
      <c r="X357" s="45" t="n"/>
      <c r="Y357" s="42" t="n"/>
      <c r="Z357" s="42" t="n"/>
      <c r="AA357" s="32" t="inlineStr">
        <is>
          <t>IF(E357="","",IF(COUNT(AG357:AT357)=0,IF(Y357="","Not started",Y357),SUBSTITUTE(LOOKUP(2,1/(AG357:AT357&lt;&gt;""),$AG$3:$AT$3),"Date: ","")))</t>
        </is>
      </c>
      <c r="AB357" s="38" t="inlineStr">
        <is>
          <t>IF(OR(E357="",COUNT(AG357:AT357)=0),"",TODAY()-LOOKUP(2,1/(AG357:AT357&lt;&gt;""),AG357:AT357))</t>
        </is>
      </c>
      <c r="AC357" s="38" t="inlineStr">
        <is>
          <t>IF(OR(E357="",COUNT(AG357:AT357)&lt;2),"",LOOKUP(2,1/(AG357:AT357&lt;&gt;""),AG357:AT357)-MIN(AG357:AT357))</t>
        </is>
      </c>
      <c r="AD357" s="38" t="inlineStr">
        <is>
          <t>IF(OR(AB357="",AA357="Not started",AA357=""),"",IFERROR(AB357-IF(VLOOKUP(AA357,'04_Status_Pipeline'!$B$3:$E$20,4,FALSE)="",0,VLOOKUP(AA357,'04_Status_Pipeline'!$B$3:$E$20,4,FALSE)),""))</t>
        </is>
      </c>
      <c r="AE357" s="32" t="inlineStr">
        <is>
          <t>IF(E357="","",IF(OR(Y357="Cancelled",AA357="Cancelled"),"Cancelled",IF(OR(AA357="Completed / Handover",W357&lt;&gt;"",X357&gt;=100),"Completed — on track",IF(L357="Remaining",IF(S357="",IF(V357="","No planned date",IF(TODAY()&gt;V357,"Behind — past planned date",IF(V357-TODAY()&lt;=30,"At risk — close to off track","On track"))),IF(TODAY()&gt;S357,"Behind — award date passed",IF(S357-TODAY()&lt;=30,"At risk — close to off track","On track"))),IF(V357="","No planned date",IF(AND(TODAY()&gt;V357,OR(X357="",X357&lt;100)),"Behind — past end date",IF(AND(R357&lt;&gt;"",V357&lt;&gt;"",X357&lt;&gt;"",(X357&lt;100),((TODAY()-R357)/MAX(V357-R357,1)*100)-X357&gt;15),"Behind — progress lag",IF(AND(V357-TODAY()&lt;=30,V357-TODAY()&gt;=0,OR(X357="",X357&lt;90)),"At risk — close to off track","On track"))))))))</t>
        </is>
      </c>
      <c r="AF357" s="38" t="inlineStr">
        <is>
          <t>IF(OR(E357="",AA357="Completed / Handover",AA357="Cancelled"),"",IF(L357="Remaining",IF(S357&lt;&gt;"",S357-TODAY(),IF(V357="","",V357-TODAY())),IF(V357="","",V357-TODAY())))</t>
        </is>
      </c>
      <c r="AG357" s="44" t="n"/>
      <c r="AH357" s="44" t="n"/>
      <c r="AI357" s="44" t="n"/>
      <c r="AJ357" s="44" t="n"/>
      <c r="AK357" s="44" t="n"/>
      <c r="AL357" s="44" t="n"/>
      <c r="AM357" s="44" t="n"/>
      <c r="AN357" s="44" t="n"/>
      <c r="AO357" s="44" t="n"/>
      <c r="AP357" s="44" t="n"/>
      <c r="AQ357" s="44" t="n"/>
      <c r="AR357" s="40" t="n"/>
      <c r="AS357" s="40" t="n"/>
      <c r="AT357" s="40" t="n"/>
      <c r="AU357" s="38" t="inlineStr">
        <is>
          <t>IF(OR(E357="",AH357=""),"",IF(COUNT(AG357:AG357)=0,"",AH357-LOOKUP(2,1/(AG357:AG357&lt;&gt;""),AG357:AG357)))</t>
        </is>
      </c>
      <c r="AV357" s="38" t="inlineStr">
        <is>
          <t>IF(OR(E357="",AI357=""),"",IF(COUNT(AG357:AH357)=0,"",AI357-LOOKUP(2,1/(AG357:AH357&lt;&gt;""),AG357:AH357)))</t>
        </is>
      </c>
      <c r="AW357" s="38" t="inlineStr">
        <is>
          <t>IF(OR(E357="",AJ357=""),"",IF(COUNT(AG357:AI357)=0,"",AJ357-LOOKUP(2,1/(AG357:AI357&lt;&gt;""),AG357:AI357)))</t>
        </is>
      </c>
      <c r="AX357" s="38" t="inlineStr">
        <is>
          <t>IF(OR(E357="",AK357=""),"",IF(COUNT(AG357:AJ357)=0,"",AK357-LOOKUP(2,1/(AG357:AJ357&lt;&gt;""),AG357:AJ357)))</t>
        </is>
      </c>
      <c r="AY357" s="38" t="inlineStr">
        <is>
          <t>IF(OR(E357="",AL357=""),"",IF(COUNT(AG357:AK357)=0,"",AL357-LOOKUP(2,1/(AG357:AK357&lt;&gt;""),AG357:AK357)))</t>
        </is>
      </c>
      <c r="AZ357" s="38" t="inlineStr">
        <is>
          <t>IF(OR(E357="",AM357=""),"",IF(COUNT(AG357:AL357)=0,"",AM357-LOOKUP(2,1/(AG357:AL357&lt;&gt;""),AG357:AL357)))</t>
        </is>
      </c>
      <c r="BA357" s="38" t="inlineStr">
        <is>
          <t>IF(OR(E357="",AN357=""),"",IF(COUNT(AG357:AM357)=0,"",AN357-LOOKUP(2,1/(AG357:AM357&lt;&gt;""),AG357:AM357)))</t>
        </is>
      </c>
      <c r="BB357" s="38" t="inlineStr">
        <is>
          <t>IF(OR(E357="",AO357=""),"",IF(COUNT(AG357:AN357)=0,"",AO357-LOOKUP(2,1/(AG357:AN357&lt;&gt;""),AG357:AN357)))</t>
        </is>
      </c>
      <c r="BC357" s="38" t="inlineStr">
        <is>
          <t>IF(OR(E357="",AP357=""),"",IF(COUNT(AG357:AO357)=0,"",AP357-LOOKUP(2,1/(AG357:AO357&lt;&gt;""),AG357:AO357)))</t>
        </is>
      </c>
      <c r="BD357" s="38" t="inlineStr">
        <is>
          <t>IF(OR(E357="",AQ357=""),"",IF(COUNT(AG357:AP357)=0,"",AQ357-LOOKUP(2,1/(AG357:AP357&lt;&gt;""),AG357:AP357)))</t>
        </is>
      </c>
      <c r="BE357" s="38" t="inlineStr">
        <is>
          <t>IF(OR(E357="",AR357=""),"",IF(COUNT(AG357:AQ357)=0,"",AR357-LOOKUP(2,1/(AG357:AQ357&lt;&gt;""),AG357:AQ357)))</t>
        </is>
      </c>
      <c r="BF357" s="38" t="inlineStr">
        <is>
          <t>IF(OR(E357="",AS357=""),"",IF(COUNT(AG357:AR357)=0,"",AS357-LOOKUP(2,1/(AG357:AR357&lt;&gt;""),AG357:AR357)))</t>
        </is>
      </c>
      <c r="BG357" s="38" t="inlineStr">
        <is>
          <t>IF(OR(E357="",AT357=""),"",IF(COUNT(AG357:AS357)=0,"",AT357-LOOKUP(2,1/(AG357:AS357&lt;&gt;""),AG357:AS357)))</t>
        </is>
      </c>
      <c r="BH357" s="41" t="inlineStr">
        <is>
          <t>IF(G357="","All_Provinces",IFERROR(VLOOKUP(G357,'07_Lookups'!$A$4:$B$20,2,FALSE),"All_Provinces"))</t>
        </is>
      </c>
      <c r="BI357" s="41" t="inlineStr">
        <is>
          <t>IF(H357="","All_Districts",IFERROR(VLOOKUP(H357,'07_Lookups'!$E$4:$F$42,2,FALSE),"All_Districts"))</t>
        </is>
      </c>
    </row>
    <row r="358" ht="18" customHeight="1">
      <c r="A358" s="32" t="inlineStr">
        <is>
          <t>IF(E358="","",ROW()-3)</t>
        </is>
      </c>
      <c r="B358" s="33" t="n"/>
      <c r="C358" s="33" t="n"/>
      <c r="D358" s="33" t="n"/>
      <c r="E358" s="33" t="n"/>
      <c r="F358" s="33" t="n"/>
      <c r="G358" s="33" t="n"/>
      <c r="H358" s="33" t="n"/>
      <c r="I358" s="33" t="n"/>
      <c r="J358" s="33" t="n"/>
      <c r="K358" s="33" t="n"/>
      <c r="L358" s="33" t="n"/>
      <c r="M358" s="33" t="n"/>
      <c r="N358" s="33" t="n"/>
      <c r="O358" s="33" t="n"/>
      <c r="P358" s="33" t="n"/>
      <c r="Q358" s="34" t="n"/>
      <c r="R358" s="35" t="inlineStr">
        <is>
          <t>IF(AO358="","",AO358)</t>
        </is>
      </c>
      <c r="S358" s="36" t="n"/>
      <c r="T358" s="37" t="n"/>
      <c r="U358" s="36" t="n"/>
      <c r="V358" s="35" t="inlineStr">
        <is>
          <t>IF(U358&lt;&gt;"",U358,IF(OR(R358="",T358=""),"",EDATE(R358,T358)))</t>
        </is>
      </c>
      <c r="W358" s="36" t="n"/>
      <c r="X358" s="37" t="n"/>
      <c r="Y358" s="33" t="n"/>
      <c r="Z358" s="33" t="n"/>
      <c r="AA358" s="32" t="inlineStr">
        <is>
          <t>IF(E358="","",IF(COUNT(AG358:AT358)=0,IF(Y358="","Not started",Y358),SUBSTITUTE(LOOKUP(2,1/(AG358:AT358&lt;&gt;""),$AG$3:$AT$3),"Date: ","")))</t>
        </is>
      </c>
      <c r="AB358" s="38" t="inlineStr">
        <is>
          <t>IF(OR(E358="",COUNT(AG358:AT358)=0),"",TODAY()-LOOKUP(2,1/(AG358:AT358&lt;&gt;""),AG358:AT358))</t>
        </is>
      </c>
      <c r="AC358" s="38" t="inlineStr">
        <is>
          <t>IF(OR(E358="",COUNT(AG358:AT358)&lt;2),"",LOOKUP(2,1/(AG358:AT358&lt;&gt;""),AG358:AT358)-MIN(AG358:AT358))</t>
        </is>
      </c>
      <c r="AD358" s="38" t="inlineStr">
        <is>
          <t>IF(OR(AB358="",AA358="Not started",AA358=""),"",IFERROR(AB358-IF(VLOOKUP(AA358,'04_Status_Pipeline'!$B$3:$E$20,4,FALSE)="",0,VLOOKUP(AA358,'04_Status_Pipeline'!$B$3:$E$20,4,FALSE)),""))</t>
        </is>
      </c>
      <c r="AE358" s="32" t="inlineStr">
        <is>
          <t>IF(E358="","",IF(OR(Y358="Cancelled",AA358="Cancelled"),"Cancelled",IF(OR(AA358="Completed / Handover",W358&lt;&gt;"",X358&gt;=100),"Completed — on track",IF(L358="Remaining",IF(S358="",IF(V358="","No planned date",IF(TODAY()&gt;V358,"Behind — past planned date",IF(V358-TODAY()&lt;=30,"At risk — close to off track","On track"))),IF(TODAY()&gt;S358,"Behind — award date passed",IF(S358-TODAY()&lt;=30,"At risk — close to off track","On track"))),IF(V358="","No planned date",IF(AND(TODAY()&gt;V358,OR(X358="",X358&lt;100)),"Behind — past end date",IF(AND(R358&lt;&gt;"",V358&lt;&gt;"",X358&lt;&gt;"",(X358&lt;100),((TODAY()-R358)/MAX(V358-R358,1)*100)-X358&gt;15),"Behind — progress lag",IF(AND(V358-TODAY()&lt;=30,V358-TODAY()&gt;=0,OR(X358="",X358&lt;90)),"At risk — close to off track","On track"))))))))</t>
        </is>
      </c>
      <c r="AF358" s="38" t="inlineStr">
        <is>
          <t>IF(OR(E358="",AA358="Completed / Handover",AA358="Cancelled"),"",IF(L358="Remaining",IF(S358&lt;&gt;"",S358-TODAY(),IF(V358="","",V358-TODAY())),IF(V358="","",V358-TODAY())))</t>
        </is>
      </c>
      <c r="AG358" s="36" t="n"/>
      <c r="AH358" s="36" t="n"/>
      <c r="AI358" s="36" t="n"/>
      <c r="AJ358" s="36" t="n"/>
      <c r="AK358" s="36" t="n"/>
      <c r="AL358" s="36" t="n"/>
      <c r="AM358" s="36" t="n"/>
      <c r="AN358" s="36" t="n"/>
      <c r="AO358" s="36" t="n"/>
      <c r="AP358" s="36" t="n"/>
      <c r="AQ358" s="36" t="n"/>
      <c r="AR358" s="40" t="n"/>
      <c r="AS358" s="40" t="n"/>
      <c r="AT358" s="40" t="n"/>
      <c r="AU358" s="38" t="inlineStr">
        <is>
          <t>IF(OR(E358="",AH358=""),"",IF(COUNT(AG358:AG358)=0,"",AH358-LOOKUP(2,1/(AG358:AG358&lt;&gt;""),AG358:AG358)))</t>
        </is>
      </c>
      <c r="AV358" s="38" t="inlineStr">
        <is>
          <t>IF(OR(E358="",AI358=""),"",IF(COUNT(AG358:AH358)=0,"",AI358-LOOKUP(2,1/(AG358:AH358&lt;&gt;""),AG358:AH358)))</t>
        </is>
      </c>
      <c r="AW358" s="38" t="inlineStr">
        <is>
          <t>IF(OR(E358="",AJ358=""),"",IF(COUNT(AG358:AI358)=0,"",AJ358-LOOKUP(2,1/(AG358:AI358&lt;&gt;""),AG358:AI358)))</t>
        </is>
      </c>
      <c r="AX358" s="38" t="inlineStr">
        <is>
          <t>IF(OR(E358="",AK358=""),"",IF(COUNT(AG358:AJ358)=0,"",AK358-LOOKUP(2,1/(AG358:AJ358&lt;&gt;""),AG358:AJ358)))</t>
        </is>
      </c>
      <c r="AY358" s="38" t="inlineStr">
        <is>
          <t>IF(OR(E358="",AL358=""),"",IF(COUNT(AG358:AK358)=0,"",AL358-LOOKUP(2,1/(AG358:AK358&lt;&gt;""),AG358:AK358)))</t>
        </is>
      </c>
      <c r="AZ358" s="38" t="inlineStr">
        <is>
          <t>IF(OR(E358="",AM358=""),"",IF(COUNT(AG358:AL358)=0,"",AM358-LOOKUP(2,1/(AG358:AL358&lt;&gt;""),AG358:AL358)))</t>
        </is>
      </c>
      <c r="BA358" s="38" t="inlineStr">
        <is>
          <t>IF(OR(E358="",AN358=""),"",IF(COUNT(AG358:AM358)=0,"",AN358-LOOKUP(2,1/(AG358:AM358&lt;&gt;""),AG358:AM358)))</t>
        </is>
      </c>
      <c r="BB358" s="38" t="inlineStr">
        <is>
          <t>IF(OR(E358="",AO358=""),"",IF(COUNT(AG358:AN358)=0,"",AO358-LOOKUP(2,1/(AG358:AN358&lt;&gt;""),AG358:AN358)))</t>
        </is>
      </c>
      <c r="BC358" s="38" t="inlineStr">
        <is>
          <t>IF(OR(E358="",AP358=""),"",IF(COUNT(AG358:AO358)=0,"",AP358-LOOKUP(2,1/(AG358:AO358&lt;&gt;""),AG358:AO358)))</t>
        </is>
      </c>
      <c r="BD358" s="38" t="inlineStr">
        <is>
          <t>IF(OR(E358="",AQ358=""),"",IF(COUNT(AG358:AP358)=0,"",AQ358-LOOKUP(2,1/(AG358:AP358&lt;&gt;""),AG358:AP358)))</t>
        </is>
      </c>
      <c r="BE358" s="38" t="inlineStr">
        <is>
          <t>IF(OR(E358="",AR358=""),"",IF(COUNT(AG358:AQ358)=0,"",AR358-LOOKUP(2,1/(AG358:AQ358&lt;&gt;""),AG358:AQ358)))</t>
        </is>
      </c>
      <c r="BF358" s="38" t="inlineStr">
        <is>
          <t>IF(OR(E358="",AS358=""),"",IF(COUNT(AG358:AR358)=0,"",AS358-LOOKUP(2,1/(AG358:AR358&lt;&gt;""),AG358:AR358)))</t>
        </is>
      </c>
      <c r="BG358" s="38" t="inlineStr">
        <is>
          <t>IF(OR(E358="",AT358=""),"",IF(COUNT(AG358:AS358)=0,"",AT358-LOOKUP(2,1/(AG358:AS358&lt;&gt;""),AG358:AS358)))</t>
        </is>
      </c>
      <c r="BH358" s="41" t="inlineStr">
        <is>
          <t>IF(G358="","All_Provinces",IFERROR(VLOOKUP(G358,'07_Lookups'!$A$4:$B$20,2,FALSE),"All_Provinces"))</t>
        </is>
      </c>
      <c r="BI358" s="41" t="inlineStr">
        <is>
          <t>IF(H358="","All_Districts",IFERROR(VLOOKUP(H358,'07_Lookups'!$E$4:$F$42,2,FALSE),"All_Districts"))</t>
        </is>
      </c>
    </row>
    <row r="359" ht="18" customHeight="1">
      <c r="A359" s="32" t="inlineStr">
        <is>
          <t>IF(E359="","",ROW()-3)</t>
        </is>
      </c>
      <c r="B359" s="42" t="n"/>
      <c r="C359" s="42" t="n"/>
      <c r="D359" s="42" t="n"/>
      <c r="E359" s="42" t="n"/>
      <c r="F359" s="42" t="n"/>
      <c r="G359" s="42" t="n"/>
      <c r="H359" s="42" t="n"/>
      <c r="I359" s="42" t="n"/>
      <c r="J359" s="42" t="n"/>
      <c r="K359" s="42" t="n"/>
      <c r="L359" s="42" t="n"/>
      <c r="M359" s="42" t="n"/>
      <c r="N359" s="42" t="n"/>
      <c r="O359" s="42" t="n"/>
      <c r="P359" s="42" t="n"/>
      <c r="Q359" s="43" t="n"/>
      <c r="R359" s="35" t="inlineStr">
        <is>
          <t>IF(AO359="","",AO359)</t>
        </is>
      </c>
      <c r="S359" s="44" t="n"/>
      <c r="T359" s="45" t="n"/>
      <c r="U359" s="44" t="n"/>
      <c r="V359" s="35" t="inlineStr">
        <is>
          <t>IF(U359&lt;&gt;"",U359,IF(OR(R359="",T359=""),"",EDATE(R359,T359)))</t>
        </is>
      </c>
      <c r="W359" s="44" t="n"/>
      <c r="X359" s="45" t="n"/>
      <c r="Y359" s="42" t="n"/>
      <c r="Z359" s="42" t="n"/>
      <c r="AA359" s="32" t="inlineStr">
        <is>
          <t>IF(E359="","",IF(COUNT(AG359:AT359)=0,IF(Y359="","Not started",Y359),SUBSTITUTE(LOOKUP(2,1/(AG359:AT359&lt;&gt;""),$AG$3:$AT$3),"Date: ","")))</t>
        </is>
      </c>
      <c r="AB359" s="38" t="inlineStr">
        <is>
          <t>IF(OR(E359="",COUNT(AG359:AT359)=0),"",TODAY()-LOOKUP(2,1/(AG359:AT359&lt;&gt;""),AG359:AT359))</t>
        </is>
      </c>
      <c r="AC359" s="38" t="inlineStr">
        <is>
          <t>IF(OR(E359="",COUNT(AG359:AT359)&lt;2),"",LOOKUP(2,1/(AG359:AT359&lt;&gt;""),AG359:AT359)-MIN(AG359:AT359))</t>
        </is>
      </c>
      <c r="AD359" s="38" t="inlineStr">
        <is>
          <t>IF(OR(AB359="",AA359="Not started",AA359=""),"",IFERROR(AB359-IF(VLOOKUP(AA359,'04_Status_Pipeline'!$B$3:$E$20,4,FALSE)="",0,VLOOKUP(AA359,'04_Status_Pipeline'!$B$3:$E$20,4,FALSE)),""))</t>
        </is>
      </c>
      <c r="AE359" s="32" t="inlineStr">
        <is>
          <t>IF(E359="","",IF(OR(Y359="Cancelled",AA359="Cancelled"),"Cancelled",IF(OR(AA359="Completed / Handover",W359&lt;&gt;"",X359&gt;=100),"Completed — on track",IF(L359="Remaining",IF(S359="",IF(V359="","No planned date",IF(TODAY()&gt;V359,"Behind — past planned date",IF(V359-TODAY()&lt;=30,"At risk — close to off track","On track"))),IF(TODAY()&gt;S359,"Behind — award date passed",IF(S359-TODAY()&lt;=30,"At risk — close to off track","On track"))),IF(V359="","No planned date",IF(AND(TODAY()&gt;V359,OR(X359="",X359&lt;100)),"Behind — past end date",IF(AND(R359&lt;&gt;"",V359&lt;&gt;"",X359&lt;&gt;"",(X359&lt;100),((TODAY()-R359)/MAX(V359-R359,1)*100)-X359&gt;15),"Behind — progress lag",IF(AND(V359-TODAY()&lt;=30,V359-TODAY()&gt;=0,OR(X359="",X359&lt;90)),"At risk — close to off track","On track"))))))))</t>
        </is>
      </c>
      <c r="AF359" s="38" t="inlineStr">
        <is>
          <t>IF(OR(E359="",AA359="Completed / Handover",AA359="Cancelled"),"",IF(L359="Remaining",IF(S359&lt;&gt;"",S359-TODAY(),IF(V359="","",V359-TODAY())),IF(V359="","",V359-TODAY())))</t>
        </is>
      </c>
      <c r="AG359" s="44" t="n"/>
      <c r="AH359" s="44" t="n"/>
      <c r="AI359" s="44" t="n"/>
      <c r="AJ359" s="44" t="n"/>
      <c r="AK359" s="44" t="n"/>
      <c r="AL359" s="44" t="n"/>
      <c r="AM359" s="44" t="n"/>
      <c r="AN359" s="44" t="n"/>
      <c r="AO359" s="44" t="n"/>
      <c r="AP359" s="44" t="n"/>
      <c r="AQ359" s="44" t="n"/>
      <c r="AR359" s="40" t="n"/>
      <c r="AS359" s="40" t="n"/>
      <c r="AT359" s="40" t="n"/>
      <c r="AU359" s="38" t="inlineStr">
        <is>
          <t>IF(OR(E359="",AH359=""),"",IF(COUNT(AG359:AG359)=0,"",AH359-LOOKUP(2,1/(AG359:AG359&lt;&gt;""),AG359:AG359)))</t>
        </is>
      </c>
      <c r="AV359" s="38" t="inlineStr">
        <is>
          <t>IF(OR(E359="",AI359=""),"",IF(COUNT(AG359:AH359)=0,"",AI359-LOOKUP(2,1/(AG359:AH359&lt;&gt;""),AG359:AH359)))</t>
        </is>
      </c>
      <c r="AW359" s="38" t="inlineStr">
        <is>
          <t>IF(OR(E359="",AJ359=""),"",IF(COUNT(AG359:AI359)=0,"",AJ359-LOOKUP(2,1/(AG359:AI359&lt;&gt;""),AG359:AI359)))</t>
        </is>
      </c>
      <c r="AX359" s="38" t="inlineStr">
        <is>
          <t>IF(OR(E359="",AK359=""),"",IF(COUNT(AG359:AJ359)=0,"",AK359-LOOKUP(2,1/(AG359:AJ359&lt;&gt;""),AG359:AJ359)))</t>
        </is>
      </c>
      <c r="AY359" s="38" t="inlineStr">
        <is>
          <t>IF(OR(E359="",AL359=""),"",IF(COUNT(AG359:AK359)=0,"",AL359-LOOKUP(2,1/(AG359:AK359&lt;&gt;""),AG359:AK359)))</t>
        </is>
      </c>
      <c r="AZ359" s="38" t="inlineStr">
        <is>
          <t>IF(OR(E359="",AM359=""),"",IF(COUNT(AG359:AL359)=0,"",AM359-LOOKUP(2,1/(AG359:AL359&lt;&gt;""),AG359:AL359)))</t>
        </is>
      </c>
      <c r="BA359" s="38" t="inlineStr">
        <is>
          <t>IF(OR(E359="",AN359=""),"",IF(COUNT(AG359:AM359)=0,"",AN359-LOOKUP(2,1/(AG359:AM359&lt;&gt;""),AG359:AM359)))</t>
        </is>
      </c>
      <c r="BB359" s="38" t="inlineStr">
        <is>
          <t>IF(OR(E359="",AO359=""),"",IF(COUNT(AG359:AN359)=0,"",AO359-LOOKUP(2,1/(AG359:AN359&lt;&gt;""),AG359:AN359)))</t>
        </is>
      </c>
      <c r="BC359" s="38" t="inlineStr">
        <is>
          <t>IF(OR(E359="",AP359=""),"",IF(COUNT(AG359:AO359)=0,"",AP359-LOOKUP(2,1/(AG359:AO359&lt;&gt;""),AG359:AO359)))</t>
        </is>
      </c>
      <c r="BD359" s="38" t="inlineStr">
        <is>
          <t>IF(OR(E359="",AQ359=""),"",IF(COUNT(AG359:AP359)=0,"",AQ359-LOOKUP(2,1/(AG359:AP359&lt;&gt;""),AG359:AP359)))</t>
        </is>
      </c>
      <c r="BE359" s="38" t="inlineStr">
        <is>
          <t>IF(OR(E359="",AR359=""),"",IF(COUNT(AG359:AQ359)=0,"",AR359-LOOKUP(2,1/(AG359:AQ359&lt;&gt;""),AG359:AQ359)))</t>
        </is>
      </c>
      <c r="BF359" s="38" t="inlineStr">
        <is>
          <t>IF(OR(E359="",AS359=""),"",IF(COUNT(AG359:AR359)=0,"",AS359-LOOKUP(2,1/(AG359:AR359&lt;&gt;""),AG359:AR359)))</t>
        </is>
      </c>
      <c r="BG359" s="38" t="inlineStr">
        <is>
          <t>IF(OR(E359="",AT359=""),"",IF(COUNT(AG359:AS359)=0,"",AT359-LOOKUP(2,1/(AG359:AS359&lt;&gt;""),AG359:AS359)))</t>
        </is>
      </c>
      <c r="BH359" s="41" t="inlineStr">
        <is>
          <t>IF(G359="","All_Provinces",IFERROR(VLOOKUP(G359,'07_Lookups'!$A$4:$B$20,2,FALSE),"All_Provinces"))</t>
        </is>
      </c>
      <c r="BI359" s="41" t="inlineStr">
        <is>
          <t>IF(H359="","All_Districts",IFERROR(VLOOKUP(H359,'07_Lookups'!$E$4:$F$42,2,FALSE),"All_Districts"))</t>
        </is>
      </c>
    </row>
    <row r="360" ht="18" customHeight="1">
      <c r="A360" s="32" t="inlineStr">
        <is>
          <t>IF(E360="","",ROW()-3)</t>
        </is>
      </c>
      <c r="B360" s="33" t="n"/>
      <c r="C360" s="33" t="n"/>
      <c r="D360" s="33" t="n"/>
      <c r="E360" s="33" t="n"/>
      <c r="F360" s="33" t="n"/>
      <c r="G360" s="33" t="n"/>
      <c r="H360" s="33" t="n"/>
      <c r="I360" s="33" t="n"/>
      <c r="J360" s="33" t="n"/>
      <c r="K360" s="33" t="n"/>
      <c r="L360" s="33" t="n"/>
      <c r="M360" s="33" t="n"/>
      <c r="N360" s="33" t="n"/>
      <c r="O360" s="33" t="n"/>
      <c r="P360" s="33" t="n"/>
      <c r="Q360" s="34" t="n"/>
      <c r="R360" s="35" t="inlineStr">
        <is>
          <t>IF(AO360="","",AO360)</t>
        </is>
      </c>
      <c r="S360" s="36" t="n"/>
      <c r="T360" s="37" t="n"/>
      <c r="U360" s="36" t="n"/>
      <c r="V360" s="35" t="inlineStr">
        <is>
          <t>IF(U360&lt;&gt;"",U360,IF(OR(R360="",T360=""),"",EDATE(R360,T360)))</t>
        </is>
      </c>
      <c r="W360" s="36" t="n"/>
      <c r="X360" s="37" t="n"/>
      <c r="Y360" s="33" t="n"/>
      <c r="Z360" s="33" t="n"/>
      <c r="AA360" s="32" t="inlineStr">
        <is>
          <t>IF(E360="","",IF(COUNT(AG360:AT360)=0,IF(Y360="","Not started",Y360),SUBSTITUTE(LOOKUP(2,1/(AG360:AT360&lt;&gt;""),$AG$3:$AT$3),"Date: ","")))</t>
        </is>
      </c>
      <c r="AB360" s="38" t="inlineStr">
        <is>
          <t>IF(OR(E360="",COUNT(AG360:AT360)=0),"",TODAY()-LOOKUP(2,1/(AG360:AT360&lt;&gt;""),AG360:AT360))</t>
        </is>
      </c>
      <c r="AC360" s="38" t="inlineStr">
        <is>
          <t>IF(OR(E360="",COUNT(AG360:AT360)&lt;2),"",LOOKUP(2,1/(AG360:AT360&lt;&gt;""),AG360:AT360)-MIN(AG360:AT360))</t>
        </is>
      </c>
      <c r="AD360" s="38" t="inlineStr">
        <is>
          <t>IF(OR(AB360="",AA360="Not started",AA360=""),"",IFERROR(AB360-IF(VLOOKUP(AA360,'04_Status_Pipeline'!$B$3:$E$20,4,FALSE)="",0,VLOOKUP(AA360,'04_Status_Pipeline'!$B$3:$E$20,4,FALSE)),""))</t>
        </is>
      </c>
      <c r="AE360" s="32" t="inlineStr">
        <is>
          <t>IF(E360="","",IF(OR(Y360="Cancelled",AA360="Cancelled"),"Cancelled",IF(OR(AA360="Completed / Handover",W360&lt;&gt;"",X360&gt;=100),"Completed — on track",IF(L360="Remaining",IF(S360="",IF(V360="","No planned date",IF(TODAY()&gt;V360,"Behind — past planned date",IF(V360-TODAY()&lt;=30,"At risk — close to off track","On track"))),IF(TODAY()&gt;S360,"Behind — award date passed",IF(S360-TODAY()&lt;=30,"At risk — close to off track","On track"))),IF(V360="","No planned date",IF(AND(TODAY()&gt;V360,OR(X360="",X360&lt;100)),"Behind — past end date",IF(AND(R360&lt;&gt;"",V360&lt;&gt;"",X360&lt;&gt;"",(X360&lt;100),((TODAY()-R360)/MAX(V360-R360,1)*100)-X360&gt;15),"Behind — progress lag",IF(AND(V360-TODAY()&lt;=30,V360-TODAY()&gt;=0,OR(X360="",X360&lt;90)),"At risk — close to off track","On track"))))))))</t>
        </is>
      </c>
      <c r="AF360" s="38" t="inlineStr">
        <is>
          <t>IF(OR(E360="",AA360="Completed / Handover",AA360="Cancelled"),"",IF(L360="Remaining",IF(S360&lt;&gt;"",S360-TODAY(),IF(V360="","",V360-TODAY())),IF(V360="","",V360-TODAY())))</t>
        </is>
      </c>
      <c r="AG360" s="36" t="n"/>
      <c r="AH360" s="36" t="n"/>
      <c r="AI360" s="36" t="n"/>
      <c r="AJ360" s="36" t="n"/>
      <c r="AK360" s="36" t="n"/>
      <c r="AL360" s="36" t="n"/>
      <c r="AM360" s="36" t="n"/>
      <c r="AN360" s="36" t="n"/>
      <c r="AO360" s="36" t="n"/>
      <c r="AP360" s="36" t="n"/>
      <c r="AQ360" s="36" t="n"/>
      <c r="AR360" s="40" t="n"/>
      <c r="AS360" s="40" t="n"/>
      <c r="AT360" s="40" t="n"/>
      <c r="AU360" s="38" t="inlineStr">
        <is>
          <t>IF(OR(E360="",AH360=""),"",IF(COUNT(AG360:AG360)=0,"",AH360-LOOKUP(2,1/(AG360:AG360&lt;&gt;""),AG360:AG360)))</t>
        </is>
      </c>
      <c r="AV360" s="38" t="inlineStr">
        <is>
          <t>IF(OR(E360="",AI360=""),"",IF(COUNT(AG360:AH360)=0,"",AI360-LOOKUP(2,1/(AG360:AH360&lt;&gt;""),AG360:AH360)))</t>
        </is>
      </c>
      <c r="AW360" s="38" t="inlineStr">
        <is>
          <t>IF(OR(E360="",AJ360=""),"",IF(COUNT(AG360:AI360)=0,"",AJ360-LOOKUP(2,1/(AG360:AI360&lt;&gt;""),AG360:AI360)))</t>
        </is>
      </c>
      <c r="AX360" s="38" t="inlineStr">
        <is>
          <t>IF(OR(E360="",AK360=""),"",IF(COUNT(AG360:AJ360)=0,"",AK360-LOOKUP(2,1/(AG360:AJ360&lt;&gt;""),AG360:AJ360)))</t>
        </is>
      </c>
      <c r="AY360" s="38" t="inlineStr">
        <is>
          <t>IF(OR(E360="",AL360=""),"",IF(COUNT(AG360:AK360)=0,"",AL360-LOOKUP(2,1/(AG360:AK360&lt;&gt;""),AG360:AK360)))</t>
        </is>
      </c>
      <c r="AZ360" s="38" t="inlineStr">
        <is>
          <t>IF(OR(E360="",AM360=""),"",IF(COUNT(AG360:AL360)=0,"",AM360-LOOKUP(2,1/(AG360:AL360&lt;&gt;""),AG360:AL360)))</t>
        </is>
      </c>
      <c r="BA360" s="38" t="inlineStr">
        <is>
          <t>IF(OR(E360="",AN360=""),"",IF(COUNT(AG360:AM360)=0,"",AN360-LOOKUP(2,1/(AG360:AM360&lt;&gt;""),AG360:AM360)))</t>
        </is>
      </c>
      <c r="BB360" s="38" t="inlineStr">
        <is>
          <t>IF(OR(E360="",AO360=""),"",IF(COUNT(AG360:AN360)=0,"",AO360-LOOKUP(2,1/(AG360:AN360&lt;&gt;""),AG360:AN360)))</t>
        </is>
      </c>
      <c r="BC360" s="38" t="inlineStr">
        <is>
          <t>IF(OR(E360="",AP360=""),"",IF(COUNT(AG360:AO360)=0,"",AP360-LOOKUP(2,1/(AG360:AO360&lt;&gt;""),AG360:AO360)))</t>
        </is>
      </c>
      <c r="BD360" s="38" t="inlineStr">
        <is>
          <t>IF(OR(E360="",AQ360=""),"",IF(COUNT(AG360:AP360)=0,"",AQ360-LOOKUP(2,1/(AG360:AP360&lt;&gt;""),AG360:AP360)))</t>
        </is>
      </c>
      <c r="BE360" s="38" t="inlineStr">
        <is>
          <t>IF(OR(E360="",AR360=""),"",IF(COUNT(AG360:AQ360)=0,"",AR360-LOOKUP(2,1/(AG360:AQ360&lt;&gt;""),AG360:AQ360)))</t>
        </is>
      </c>
      <c r="BF360" s="38" t="inlineStr">
        <is>
          <t>IF(OR(E360="",AS360=""),"",IF(COUNT(AG360:AR360)=0,"",AS360-LOOKUP(2,1/(AG360:AR360&lt;&gt;""),AG360:AR360)))</t>
        </is>
      </c>
      <c r="BG360" s="38" t="inlineStr">
        <is>
          <t>IF(OR(E360="",AT360=""),"",IF(COUNT(AG360:AS360)=0,"",AT360-LOOKUP(2,1/(AG360:AS360&lt;&gt;""),AG360:AS360)))</t>
        </is>
      </c>
      <c r="BH360" s="41" t="inlineStr">
        <is>
          <t>IF(G360="","All_Provinces",IFERROR(VLOOKUP(G360,'07_Lookups'!$A$4:$B$20,2,FALSE),"All_Provinces"))</t>
        </is>
      </c>
      <c r="BI360" s="41" t="inlineStr">
        <is>
          <t>IF(H360="","All_Districts",IFERROR(VLOOKUP(H360,'07_Lookups'!$E$4:$F$42,2,FALSE),"All_Districts"))</t>
        </is>
      </c>
    </row>
    <row r="361" ht="18" customHeight="1">
      <c r="A361" s="32" t="inlineStr">
        <is>
          <t>IF(E361="","",ROW()-3)</t>
        </is>
      </c>
      <c r="B361" s="42" t="n"/>
      <c r="C361" s="42" t="n"/>
      <c r="D361" s="42" t="n"/>
      <c r="E361" s="42" t="n"/>
      <c r="F361" s="42" t="n"/>
      <c r="G361" s="42" t="n"/>
      <c r="H361" s="42" t="n"/>
      <c r="I361" s="42" t="n"/>
      <c r="J361" s="42" t="n"/>
      <c r="K361" s="42" t="n"/>
      <c r="L361" s="42" t="n"/>
      <c r="M361" s="42" t="n"/>
      <c r="N361" s="42" t="n"/>
      <c r="O361" s="42" t="n"/>
      <c r="P361" s="42" t="n"/>
      <c r="Q361" s="43" t="n"/>
      <c r="R361" s="35" t="inlineStr">
        <is>
          <t>IF(AO361="","",AO361)</t>
        </is>
      </c>
      <c r="S361" s="44" t="n"/>
      <c r="T361" s="45" t="n"/>
      <c r="U361" s="44" t="n"/>
      <c r="V361" s="35" t="inlineStr">
        <is>
          <t>IF(U361&lt;&gt;"",U361,IF(OR(R361="",T361=""),"",EDATE(R361,T361)))</t>
        </is>
      </c>
      <c r="W361" s="44" t="n"/>
      <c r="X361" s="45" t="n"/>
      <c r="Y361" s="42" t="n"/>
      <c r="Z361" s="42" t="n"/>
      <c r="AA361" s="32" t="inlineStr">
        <is>
          <t>IF(E361="","",IF(COUNT(AG361:AT361)=0,IF(Y361="","Not started",Y361),SUBSTITUTE(LOOKUP(2,1/(AG361:AT361&lt;&gt;""),$AG$3:$AT$3),"Date: ","")))</t>
        </is>
      </c>
      <c r="AB361" s="38" t="inlineStr">
        <is>
          <t>IF(OR(E361="",COUNT(AG361:AT361)=0),"",TODAY()-LOOKUP(2,1/(AG361:AT361&lt;&gt;""),AG361:AT361))</t>
        </is>
      </c>
      <c r="AC361" s="38" t="inlineStr">
        <is>
          <t>IF(OR(E361="",COUNT(AG361:AT361)&lt;2),"",LOOKUP(2,1/(AG361:AT361&lt;&gt;""),AG361:AT361)-MIN(AG361:AT361))</t>
        </is>
      </c>
      <c r="AD361" s="38" t="inlineStr">
        <is>
          <t>IF(OR(AB361="",AA361="Not started",AA361=""),"",IFERROR(AB361-IF(VLOOKUP(AA361,'04_Status_Pipeline'!$B$3:$E$20,4,FALSE)="",0,VLOOKUP(AA361,'04_Status_Pipeline'!$B$3:$E$20,4,FALSE)),""))</t>
        </is>
      </c>
      <c r="AE361" s="32" t="inlineStr">
        <is>
          <t>IF(E361="","",IF(OR(Y361="Cancelled",AA361="Cancelled"),"Cancelled",IF(OR(AA361="Completed / Handover",W361&lt;&gt;"",X361&gt;=100),"Completed — on track",IF(L361="Remaining",IF(S361="",IF(V361="","No planned date",IF(TODAY()&gt;V361,"Behind — past planned date",IF(V361-TODAY()&lt;=30,"At risk — close to off track","On track"))),IF(TODAY()&gt;S361,"Behind — award date passed",IF(S361-TODAY()&lt;=30,"At risk — close to off track","On track"))),IF(V361="","No planned date",IF(AND(TODAY()&gt;V361,OR(X361="",X361&lt;100)),"Behind — past end date",IF(AND(R361&lt;&gt;"",V361&lt;&gt;"",X361&lt;&gt;"",(X361&lt;100),((TODAY()-R361)/MAX(V361-R361,1)*100)-X361&gt;15),"Behind — progress lag",IF(AND(V361-TODAY()&lt;=30,V361-TODAY()&gt;=0,OR(X361="",X361&lt;90)),"At risk — close to off track","On track"))))))))</t>
        </is>
      </c>
      <c r="AF361" s="38" t="inlineStr">
        <is>
          <t>IF(OR(E361="",AA361="Completed / Handover",AA361="Cancelled"),"",IF(L361="Remaining",IF(S361&lt;&gt;"",S361-TODAY(),IF(V361="","",V361-TODAY())),IF(V361="","",V361-TODAY())))</t>
        </is>
      </c>
      <c r="AG361" s="44" t="n"/>
      <c r="AH361" s="44" t="n"/>
      <c r="AI361" s="44" t="n"/>
      <c r="AJ361" s="44" t="n"/>
      <c r="AK361" s="44" t="n"/>
      <c r="AL361" s="44" t="n"/>
      <c r="AM361" s="44" t="n"/>
      <c r="AN361" s="44" t="n"/>
      <c r="AO361" s="44" t="n"/>
      <c r="AP361" s="44" t="n"/>
      <c r="AQ361" s="44" t="n"/>
      <c r="AR361" s="40" t="n"/>
      <c r="AS361" s="40" t="n"/>
      <c r="AT361" s="40" t="n"/>
      <c r="AU361" s="38" t="inlineStr">
        <is>
          <t>IF(OR(E361="",AH361=""),"",IF(COUNT(AG361:AG361)=0,"",AH361-LOOKUP(2,1/(AG361:AG361&lt;&gt;""),AG361:AG361)))</t>
        </is>
      </c>
      <c r="AV361" s="38" t="inlineStr">
        <is>
          <t>IF(OR(E361="",AI361=""),"",IF(COUNT(AG361:AH361)=0,"",AI361-LOOKUP(2,1/(AG361:AH361&lt;&gt;""),AG361:AH361)))</t>
        </is>
      </c>
      <c r="AW361" s="38" t="inlineStr">
        <is>
          <t>IF(OR(E361="",AJ361=""),"",IF(COUNT(AG361:AI361)=0,"",AJ361-LOOKUP(2,1/(AG361:AI361&lt;&gt;""),AG361:AI361)))</t>
        </is>
      </c>
      <c r="AX361" s="38" t="inlineStr">
        <is>
          <t>IF(OR(E361="",AK361=""),"",IF(COUNT(AG361:AJ361)=0,"",AK361-LOOKUP(2,1/(AG361:AJ361&lt;&gt;""),AG361:AJ361)))</t>
        </is>
      </c>
      <c r="AY361" s="38" t="inlineStr">
        <is>
          <t>IF(OR(E361="",AL361=""),"",IF(COUNT(AG361:AK361)=0,"",AL361-LOOKUP(2,1/(AG361:AK361&lt;&gt;""),AG361:AK361)))</t>
        </is>
      </c>
      <c r="AZ361" s="38" t="inlineStr">
        <is>
          <t>IF(OR(E361="",AM361=""),"",IF(COUNT(AG361:AL361)=0,"",AM361-LOOKUP(2,1/(AG361:AL361&lt;&gt;""),AG361:AL361)))</t>
        </is>
      </c>
      <c r="BA361" s="38" t="inlineStr">
        <is>
          <t>IF(OR(E361="",AN361=""),"",IF(COUNT(AG361:AM361)=0,"",AN361-LOOKUP(2,1/(AG361:AM361&lt;&gt;""),AG361:AM361)))</t>
        </is>
      </c>
      <c r="BB361" s="38" t="inlineStr">
        <is>
          <t>IF(OR(E361="",AO361=""),"",IF(COUNT(AG361:AN361)=0,"",AO361-LOOKUP(2,1/(AG361:AN361&lt;&gt;""),AG361:AN361)))</t>
        </is>
      </c>
      <c r="BC361" s="38" t="inlineStr">
        <is>
          <t>IF(OR(E361="",AP361=""),"",IF(COUNT(AG361:AO361)=0,"",AP361-LOOKUP(2,1/(AG361:AO361&lt;&gt;""),AG361:AO361)))</t>
        </is>
      </c>
      <c r="BD361" s="38" t="inlineStr">
        <is>
          <t>IF(OR(E361="",AQ361=""),"",IF(COUNT(AG361:AP361)=0,"",AQ361-LOOKUP(2,1/(AG361:AP361&lt;&gt;""),AG361:AP361)))</t>
        </is>
      </c>
      <c r="BE361" s="38" t="inlineStr">
        <is>
          <t>IF(OR(E361="",AR361=""),"",IF(COUNT(AG361:AQ361)=0,"",AR361-LOOKUP(2,1/(AG361:AQ361&lt;&gt;""),AG361:AQ361)))</t>
        </is>
      </c>
      <c r="BF361" s="38" t="inlineStr">
        <is>
          <t>IF(OR(E361="",AS361=""),"",IF(COUNT(AG361:AR361)=0,"",AS361-LOOKUP(2,1/(AG361:AR361&lt;&gt;""),AG361:AR361)))</t>
        </is>
      </c>
      <c r="BG361" s="38" t="inlineStr">
        <is>
          <t>IF(OR(E361="",AT361=""),"",IF(COUNT(AG361:AS361)=0,"",AT361-LOOKUP(2,1/(AG361:AS361&lt;&gt;""),AG361:AS361)))</t>
        </is>
      </c>
      <c r="BH361" s="41" t="inlineStr">
        <is>
          <t>IF(G361="","All_Provinces",IFERROR(VLOOKUP(G361,'07_Lookups'!$A$4:$B$20,2,FALSE),"All_Provinces"))</t>
        </is>
      </c>
      <c r="BI361" s="41" t="inlineStr">
        <is>
          <t>IF(H361="","All_Districts",IFERROR(VLOOKUP(H361,'07_Lookups'!$E$4:$F$42,2,FALSE),"All_Districts"))</t>
        </is>
      </c>
    </row>
    <row r="362" ht="18" customHeight="1">
      <c r="A362" s="32" t="inlineStr">
        <is>
          <t>IF(E362="","",ROW()-3)</t>
        </is>
      </c>
      <c r="B362" s="33" t="n"/>
      <c r="C362" s="33" t="n"/>
      <c r="D362" s="33" t="n"/>
      <c r="E362" s="33" t="n"/>
      <c r="F362" s="33" t="n"/>
      <c r="G362" s="33" t="n"/>
      <c r="H362" s="33" t="n"/>
      <c r="I362" s="33" t="n"/>
      <c r="J362" s="33" t="n"/>
      <c r="K362" s="33" t="n"/>
      <c r="L362" s="33" t="n"/>
      <c r="M362" s="33" t="n"/>
      <c r="N362" s="33" t="n"/>
      <c r="O362" s="33" t="n"/>
      <c r="P362" s="33" t="n"/>
      <c r="Q362" s="34" t="n"/>
      <c r="R362" s="35" t="inlineStr">
        <is>
          <t>IF(AO362="","",AO362)</t>
        </is>
      </c>
      <c r="S362" s="36" t="n"/>
      <c r="T362" s="37" t="n"/>
      <c r="U362" s="36" t="n"/>
      <c r="V362" s="35" t="inlineStr">
        <is>
          <t>IF(U362&lt;&gt;"",U362,IF(OR(R362="",T362=""),"",EDATE(R362,T362)))</t>
        </is>
      </c>
      <c r="W362" s="36" t="n"/>
      <c r="X362" s="37" t="n"/>
      <c r="Y362" s="33" t="n"/>
      <c r="Z362" s="33" t="n"/>
      <c r="AA362" s="32" t="inlineStr">
        <is>
          <t>IF(E362="","",IF(COUNT(AG362:AT362)=0,IF(Y362="","Not started",Y362),SUBSTITUTE(LOOKUP(2,1/(AG362:AT362&lt;&gt;""),$AG$3:$AT$3),"Date: ","")))</t>
        </is>
      </c>
      <c r="AB362" s="38" t="inlineStr">
        <is>
          <t>IF(OR(E362="",COUNT(AG362:AT362)=0),"",TODAY()-LOOKUP(2,1/(AG362:AT362&lt;&gt;""),AG362:AT362))</t>
        </is>
      </c>
      <c r="AC362" s="38" t="inlineStr">
        <is>
          <t>IF(OR(E362="",COUNT(AG362:AT362)&lt;2),"",LOOKUP(2,1/(AG362:AT362&lt;&gt;""),AG362:AT362)-MIN(AG362:AT362))</t>
        </is>
      </c>
      <c r="AD362" s="38" t="inlineStr">
        <is>
          <t>IF(OR(AB362="",AA362="Not started",AA362=""),"",IFERROR(AB362-IF(VLOOKUP(AA362,'04_Status_Pipeline'!$B$3:$E$20,4,FALSE)="",0,VLOOKUP(AA362,'04_Status_Pipeline'!$B$3:$E$20,4,FALSE)),""))</t>
        </is>
      </c>
      <c r="AE362" s="32" t="inlineStr">
        <is>
          <t>IF(E362="","",IF(OR(Y362="Cancelled",AA362="Cancelled"),"Cancelled",IF(OR(AA362="Completed / Handover",W362&lt;&gt;"",X362&gt;=100),"Completed — on track",IF(L362="Remaining",IF(S362="",IF(V362="","No planned date",IF(TODAY()&gt;V362,"Behind — past planned date",IF(V362-TODAY()&lt;=30,"At risk — close to off track","On track"))),IF(TODAY()&gt;S362,"Behind — award date passed",IF(S362-TODAY()&lt;=30,"At risk — close to off track","On track"))),IF(V362="","No planned date",IF(AND(TODAY()&gt;V362,OR(X362="",X362&lt;100)),"Behind — past end date",IF(AND(R362&lt;&gt;"",V362&lt;&gt;"",X362&lt;&gt;"",(X362&lt;100),((TODAY()-R362)/MAX(V362-R362,1)*100)-X362&gt;15),"Behind — progress lag",IF(AND(V362-TODAY()&lt;=30,V362-TODAY()&gt;=0,OR(X362="",X362&lt;90)),"At risk — close to off track","On track"))))))))</t>
        </is>
      </c>
      <c r="AF362" s="38" t="inlineStr">
        <is>
          <t>IF(OR(E362="",AA362="Completed / Handover",AA362="Cancelled"),"",IF(L362="Remaining",IF(S362&lt;&gt;"",S362-TODAY(),IF(V362="","",V362-TODAY())),IF(V362="","",V362-TODAY())))</t>
        </is>
      </c>
      <c r="AG362" s="36" t="n"/>
      <c r="AH362" s="36" t="n"/>
      <c r="AI362" s="36" t="n"/>
      <c r="AJ362" s="36" t="n"/>
      <c r="AK362" s="36" t="n"/>
      <c r="AL362" s="36" t="n"/>
      <c r="AM362" s="36" t="n"/>
      <c r="AN362" s="36" t="n"/>
      <c r="AO362" s="36" t="n"/>
      <c r="AP362" s="36" t="n"/>
      <c r="AQ362" s="36" t="n"/>
      <c r="AR362" s="40" t="n"/>
      <c r="AS362" s="40" t="n"/>
      <c r="AT362" s="40" t="n"/>
      <c r="AU362" s="38" t="inlineStr">
        <is>
          <t>IF(OR(E362="",AH362=""),"",IF(COUNT(AG362:AG362)=0,"",AH362-LOOKUP(2,1/(AG362:AG362&lt;&gt;""),AG362:AG362)))</t>
        </is>
      </c>
      <c r="AV362" s="38" t="inlineStr">
        <is>
          <t>IF(OR(E362="",AI362=""),"",IF(COUNT(AG362:AH362)=0,"",AI362-LOOKUP(2,1/(AG362:AH362&lt;&gt;""),AG362:AH362)))</t>
        </is>
      </c>
      <c r="AW362" s="38" t="inlineStr">
        <is>
          <t>IF(OR(E362="",AJ362=""),"",IF(COUNT(AG362:AI362)=0,"",AJ362-LOOKUP(2,1/(AG362:AI362&lt;&gt;""),AG362:AI362)))</t>
        </is>
      </c>
      <c r="AX362" s="38" t="inlineStr">
        <is>
          <t>IF(OR(E362="",AK362=""),"",IF(COUNT(AG362:AJ362)=0,"",AK362-LOOKUP(2,1/(AG362:AJ362&lt;&gt;""),AG362:AJ362)))</t>
        </is>
      </c>
      <c r="AY362" s="38" t="inlineStr">
        <is>
          <t>IF(OR(E362="",AL362=""),"",IF(COUNT(AG362:AK362)=0,"",AL362-LOOKUP(2,1/(AG362:AK362&lt;&gt;""),AG362:AK362)))</t>
        </is>
      </c>
      <c r="AZ362" s="38" t="inlineStr">
        <is>
          <t>IF(OR(E362="",AM362=""),"",IF(COUNT(AG362:AL362)=0,"",AM362-LOOKUP(2,1/(AG362:AL362&lt;&gt;""),AG362:AL362)))</t>
        </is>
      </c>
      <c r="BA362" s="38" t="inlineStr">
        <is>
          <t>IF(OR(E362="",AN362=""),"",IF(COUNT(AG362:AM362)=0,"",AN362-LOOKUP(2,1/(AG362:AM362&lt;&gt;""),AG362:AM362)))</t>
        </is>
      </c>
      <c r="BB362" s="38" t="inlineStr">
        <is>
          <t>IF(OR(E362="",AO362=""),"",IF(COUNT(AG362:AN362)=0,"",AO362-LOOKUP(2,1/(AG362:AN362&lt;&gt;""),AG362:AN362)))</t>
        </is>
      </c>
      <c r="BC362" s="38" t="inlineStr">
        <is>
          <t>IF(OR(E362="",AP362=""),"",IF(COUNT(AG362:AO362)=0,"",AP362-LOOKUP(2,1/(AG362:AO362&lt;&gt;""),AG362:AO362)))</t>
        </is>
      </c>
      <c r="BD362" s="38" t="inlineStr">
        <is>
          <t>IF(OR(E362="",AQ362=""),"",IF(COUNT(AG362:AP362)=0,"",AQ362-LOOKUP(2,1/(AG362:AP362&lt;&gt;""),AG362:AP362)))</t>
        </is>
      </c>
      <c r="BE362" s="38" t="inlineStr">
        <is>
          <t>IF(OR(E362="",AR362=""),"",IF(COUNT(AG362:AQ362)=0,"",AR362-LOOKUP(2,1/(AG362:AQ362&lt;&gt;""),AG362:AQ362)))</t>
        </is>
      </c>
      <c r="BF362" s="38" t="inlineStr">
        <is>
          <t>IF(OR(E362="",AS362=""),"",IF(COUNT(AG362:AR362)=0,"",AS362-LOOKUP(2,1/(AG362:AR362&lt;&gt;""),AG362:AR362)))</t>
        </is>
      </c>
      <c r="BG362" s="38" t="inlineStr">
        <is>
          <t>IF(OR(E362="",AT362=""),"",IF(COUNT(AG362:AS362)=0,"",AT362-LOOKUP(2,1/(AG362:AS362&lt;&gt;""),AG362:AS362)))</t>
        </is>
      </c>
      <c r="BH362" s="41" t="inlineStr">
        <is>
          <t>IF(G362="","All_Provinces",IFERROR(VLOOKUP(G362,'07_Lookups'!$A$4:$B$20,2,FALSE),"All_Provinces"))</t>
        </is>
      </c>
      <c r="BI362" s="41" t="inlineStr">
        <is>
          <t>IF(H362="","All_Districts",IFERROR(VLOOKUP(H362,'07_Lookups'!$E$4:$F$42,2,FALSE),"All_Districts"))</t>
        </is>
      </c>
    </row>
    <row r="363" ht="18" customHeight="1">
      <c r="A363" s="32" t="inlineStr">
        <is>
          <t>IF(E363="","",ROW()-3)</t>
        </is>
      </c>
      <c r="B363" s="42" t="n"/>
      <c r="C363" s="42" t="n"/>
      <c r="D363" s="42" t="n"/>
      <c r="E363" s="42" t="n"/>
      <c r="F363" s="42" t="n"/>
      <c r="G363" s="42" t="n"/>
      <c r="H363" s="42" t="n"/>
      <c r="I363" s="42" t="n"/>
      <c r="J363" s="42" t="n"/>
      <c r="K363" s="42" t="n"/>
      <c r="L363" s="42" t="n"/>
      <c r="M363" s="42" t="n"/>
      <c r="N363" s="42" t="n"/>
      <c r="O363" s="42" t="n"/>
      <c r="P363" s="42" t="n"/>
      <c r="Q363" s="43" t="n"/>
      <c r="R363" s="35" t="inlineStr">
        <is>
          <t>IF(AO363="","",AO363)</t>
        </is>
      </c>
      <c r="S363" s="44" t="n"/>
      <c r="T363" s="45" t="n"/>
      <c r="U363" s="44" t="n"/>
      <c r="V363" s="35" t="inlineStr">
        <is>
          <t>IF(U363&lt;&gt;"",U363,IF(OR(R363="",T363=""),"",EDATE(R363,T363)))</t>
        </is>
      </c>
      <c r="W363" s="44" t="n"/>
      <c r="X363" s="45" t="n"/>
      <c r="Y363" s="42" t="n"/>
      <c r="Z363" s="42" t="n"/>
      <c r="AA363" s="32" t="inlineStr">
        <is>
          <t>IF(E363="","",IF(COUNT(AG363:AT363)=0,IF(Y363="","Not started",Y363),SUBSTITUTE(LOOKUP(2,1/(AG363:AT363&lt;&gt;""),$AG$3:$AT$3),"Date: ","")))</t>
        </is>
      </c>
      <c r="AB363" s="38" t="inlineStr">
        <is>
          <t>IF(OR(E363="",COUNT(AG363:AT363)=0),"",TODAY()-LOOKUP(2,1/(AG363:AT363&lt;&gt;""),AG363:AT363))</t>
        </is>
      </c>
      <c r="AC363" s="38" t="inlineStr">
        <is>
          <t>IF(OR(E363="",COUNT(AG363:AT363)&lt;2),"",LOOKUP(2,1/(AG363:AT363&lt;&gt;""),AG363:AT363)-MIN(AG363:AT363))</t>
        </is>
      </c>
      <c r="AD363" s="38" t="inlineStr">
        <is>
          <t>IF(OR(AB363="",AA363="Not started",AA363=""),"",IFERROR(AB363-IF(VLOOKUP(AA363,'04_Status_Pipeline'!$B$3:$E$20,4,FALSE)="",0,VLOOKUP(AA363,'04_Status_Pipeline'!$B$3:$E$20,4,FALSE)),""))</t>
        </is>
      </c>
      <c r="AE363" s="32" t="inlineStr">
        <is>
          <t>IF(E363="","",IF(OR(Y363="Cancelled",AA363="Cancelled"),"Cancelled",IF(OR(AA363="Completed / Handover",W363&lt;&gt;"",X363&gt;=100),"Completed — on track",IF(L363="Remaining",IF(S363="",IF(V363="","No planned date",IF(TODAY()&gt;V363,"Behind — past planned date",IF(V363-TODAY()&lt;=30,"At risk — close to off track","On track"))),IF(TODAY()&gt;S363,"Behind — award date passed",IF(S363-TODAY()&lt;=30,"At risk — close to off track","On track"))),IF(V363="","No planned date",IF(AND(TODAY()&gt;V363,OR(X363="",X363&lt;100)),"Behind — past end date",IF(AND(R363&lt;&gt;"",V363&lt;&gt;"",X363&lt;&gt;"",(X363&lt;100),((TODAY()-R363)/MAX(V363-R363,1)*100)-X363&gt;15),"Behind — progress lag",IF(AND(V363-TODAY()&lt;=30,V363-TODAY()&gt;=0,OR(X363="",X363&lt;90)),"At risk — close to off track","On track"))))))))</t>
        </is>
      </c>
      <c r="AF363" s="38" t="inlineStr">
        <is>
          <t>IF(OR(E363="",AA363="Completed / Handover",AA363="Cancelled"),"",IF(L363="Remaining",IF(S363&lt;&gt;"",S363-TODAY(),IF(V363="","",V363-TODAY())),IF(V363="","",V363-TODAY())))</t>
        </is>
      </c>
      <c r="AG363" s="44" t="n"/>
      <c r="AH363" s="44" t="n"/>
      <c r="AI363" s="44" t="n"/>
      <c r="AJ363" s="44" t="n"/>
      <c r="AK363" s="44" t="n"/>
      <c r="AL363" s="44" t="n"/>
      <c r="AM363" s="44" t="n"/>
      <c r="AN363" s="44" t="n"/>
      <c r="AO363" s="44" t="n"/>
      <c r="AP363" s="44" t="n"/>
      <c r="AQ363" s="44" t="n"/>
      <c r="AR363" s="40" t="n"/>
      <c r="AS363" s="40" t="n"/>
      <c r="AT363" s="40" t="n"/>
      <c r="AU363" s="38" t="inlineStr">
        <is>
          <t>IF(OR(E363="",AH363=""),"",IF(COUNT(AG363:AG363)=0,"",AH363-LOOKUP(2,1/(AG363:AG363&lt;&gt;""),AG363:AG363)))</t>
        </is>
      </c>
      <c r="AV363" s="38" t="inlineStr">
        <is>
          <t>IF(OR(E363="",AI363=""),"",IF(COUNT(AG363:AH363)=0,"",AI363-LOOKUP(2,1/(AG363:AH363&lt;&gt;""),AG363:AH363)))</t>
        </is>
      </c>
      <c r="AW363" s="38" t="inlineStr">
        <is>
          <t>IF(OR(E363="",AJ363=""),"",IF(COUNT(AG363:AI363)=0,"",AJ363-LOOKUP(2,1/(AG363:AI363&lt;&gt;""),AG363:AI363)))</t>
        </is>
      </c>
      <c r="AX363" s="38" t="inlineStr">
        <is>
          <t>IF(OR(E363="",AK363=""),"",IF(COUNT(AG363:AJ363)=0,"",AK363-LOOKUP(2,1/(AG363:AJ363&lt;&gt;""),AG363:AJ363)))</t>
        </is>
      </c>
      <c r="AY363" s="38" t="inlineStr">
        <is>
          <t>IF(OR(E363="",AL363=""),"",IF(COUNT(AG363:AK363)=0,"",AL363-LOOKUP(2,1/(AG363:AK363&lt;&gt;""),AG363:AK363)))</t>
        </is>
      </c>
      <c r="AZ363" s="38" t="inlineStr">
        <is>
          <t>IF(OR(E363="",AM363=""),"",IF(COUNT(AG363:AL363)=0,"",AM363-LOOKUP(2,1/(AG363:AL363&lt;&gt;""),AG363:AL363)))</t>
        </is>
      </c>
      <c r="BA363" s="38" t="inlineStr">
        <is>
          <t>IF(OR(E363="",AN363=""),"",IF(COUNT(AG363:AM363)=0,"",AN363-LOOKUP(2,1/(AG363:AM363&lt;&gt;""),AG363:AM363)))</t>
        </is>
      </c>
      <c r="BB363" s="38" t="inlineStr">
        <is>
          <t>IF(OR(E363="",AO363=""),"",IF(COUNT(AG363:AN363)=0,"",AO363-LOOKUP(2,1/(AG363:AN363&lt;&gt;""),AG363:AN363)))</t>
        </is>
      </c>
      <c r="BC363" s="38" t="inlineStr">
        <is>
          <t>IF(OR(E363="",AP363=""),"",IF(COUNT(AG363:AO363)=0,"",AP363-LOOKUP(2,1/(AG363:AO363&lt;&gt;""),AG363:AO363)))</t>
        </is>
      </c>
      <c r="BD363" s="38" t="inlineStr">
        <is>
          <t>IF(OR(E363="",AQ363=""),"",IF(COUNT(AG363:AP363)=0,"",AQ363-LOOKUP(2,1/(AG363:AP363&lt;&gt;""),AG363:AP363)))</t>
        </is>
      </c>
      <c r="BE363" s="38" t="inlineStr">
        <is>
          <t>IF(OR(E363="",AR363=""),"",IF(COUNT(AG363:AQ363)=0,"",AR363-LOOKUP(2,1/(AG363:AQ363&lt;&gt;""),AG363:AQ363)))</t>
        </is>
      </c>
      <c r="BF363" s="38" t="inlineStr">
        <is>
          <t>IF(OR(E363="",AS363=""),"",IF(COUNT(AG363:AR363)=0,"",AS363-LOOKUP(2,1/(AG363:AR363&lt;&gt;""),AG363:AR363)))</t>
        </is>
      </c>
      <c r="BG363" s="38" t="inlineStr">
        <is>
          <t>IF(OR(E363="",AT363=""),"",IF(COUNT(AG363:AS363)=0,"",AT363-LOOKUP(2,1/(AG363:AS363&lt;&gt;""),AG363:AS363)))</t>
        </is>
      </c>
      <c r="BH363" s="41" t="inlineStr">
        <is>
          <t>IF(G363="","All_Provinces",IFERROR(VLOOKUP(G363,'07_Lookups'!$A$4:$B$20,2,FALSE),"All_Provinces"))</t>
        </is>
      </c>
      <c r="BI363" s="41" t="inlineStr">
        <is>
          <t>IF(H363="","All_Districts",IFERROR(VLOOKUP(H363,'07_Lookups'!$E$4:$F$42,2,FALSE),"All_Districts"))</t>
        </is>
      </c>
    </row>
    <row r="364" ht="18" customHeight="1">
      <c r="A364" s="32" t="inlineStr">
        <is>
          <t>IF(E364="","",ROW()-3)</t>
        </is>
      </c>
      <c r="B364" s="33" t="n"/>
      <c r="C364" s="33" t="n"/>
      <c r="D364" s="33" t="n"/>
      <c r="E364" s="33" t="n"/>
      <c r="F364" s="33" t="n"/>
      <c r="G364" s="33" t="n"/>
      <c r="H364" s="33" t="n"/>
      <c r="I364" s="33" t="n"/>
      <c r="J364" s="33" t="n"/>
      <c r="K364" s="33" t="n"/>
      <c r="L364" s="33" t="n"/>
      <c r="M364" s="33" t="n"/>
      <c r="N364" s="33" t="n"/>
      <c r="O364" s="33" t="n"/>
      <c r="P364" s="33" t="n"/>
      <c r="Q364" s="34" t="n"/>
      <c r="R364" s="35" t="inlineStr">
        <is>
          <t>IF(AO364="","",AO364)</t>
        </is>
      </c>
      <c r="S364" s="36" t="n"/>
      <c r="T364" s="37" t="n"/>
      <c r="U364" s="36" t="n"/>
      <c r="V364" s="35" t="inlineStr">
        <is>
          <t>IF(U364&lt;&gt;"",U364,IF(OR(R364="",T364=""),"",EDATE(R364,T364)))</t>
        </is>
      </c>
      <c r="W364" s="36" t="n"/>
      <c r="X364" s="37" t="n"/>
      <c r="Y364" s="33" t="n"/>
      <c r="Z364" s="33" t="n"/>
      <c r="AA364" s="32" t="inlineStr">
        <is>
          <t>IF(E364="","",IF(COUNT(AG364:AT364)=0,IF(Y364="","Not started",Y364),SUBSTITUTE(LOOKUP(2,1/(AG364:AT364&lt;&gt;""),$AG$3:$AT$3),"Date: ","")))</t>
        </is>
      </c>
      <c r="AB364" s="38" t="inlineStr">
        <is>
          <t>IF(OR(E364="",COUNT(AG364:AT364)=0),"",TODAY()-LOOKUP(2,1/(AG364:AT364&lt;&gt;""),AG364:AT364))</t>
        </is>
      </c>
      <c r="AC364" s="38" t="inlineStr">
        <is>
          <t>IF(OR(E364="",COUNT(AG364:AT364)&lt;2),"",LOOKUP(2,1/(AG364:AT364&lt;&gt;""),AG364:AT364)-MIN(AG364:AT364))</t>
        </is>
      </c>
      <c r="AD364" s="38" t="inlineStr">
        <is>
          <t>IF(OR(AB364="",AA364="Not started",AA364=""),"",IFERROR(AB364-IF(VLOOKUP(AA364,'04_Status_Pipeline'!$B$3:$E$20,4,FALSE)="",0,VLOOKUP(AA364,'04_Status_Pipeline'!$B$3:$E$20,4,FALSE)),""))</t>
        </is>
      </c>
      <c r="AE364" s="32" t="inlineStr">
        <is>
          <t>IF(E364="","",IF(OR(Y364="Cancelled",AA364="Cancelled"),"Cancelled",IF(OR(AA364="Completed / Handover",W364&lt;&gt;"",X364&gt;=100),"Completed — on track",IF(L364="Remaining",IF(S364="",IF(V364="","No planned date",IF(TODAY()&gt;V364,"Behind — past planned date",IF(V364-TODAY()&lt;=30,"At risk — close to off track","On track"))),IF(TODAY()&gt;S364,"Behind — award date passed",IF(S364-TODAY()&lt;=30,"At risk — close to off track","On track"))),IF(V364="","No planned date",IF(AND(TODAY()&gt;V364,OR(X364="",X364&lt;100)),"Behind — past end date",IF(AND(R364&lt;&gt;"",V364&lt;&gt;"",X364&lt;&gt;"",(X364&lt;100),((TODAY()-R364)/MAX(V364-R364,1)*100)-X364&gt;15),"Behind — progress lag",IF(AND(V364-TODAY()&lt;=30,V364-TODAY()&gt;=0,OR(X364="",X364&lt;90)),"At risk — close to off track","On track"))))))))</t>
        </is>
      </c>
      <c r="AF364" s="38" t="inlineStr">
        <is>
          <t>IF(OR(E364="",AA364="Completed / Handover",AA364="Cancelled"),"",IF(L364="Remaining",IF(S364&lt;&gt;"",S364-TODAY(),IF(V364="","",V364-TODAY())),IF(V364="","",V364-TODAY())))</t>
        </is>
      </c>
      <c r="AG364" s="36" t="n"/>
      <c r="AH364" s="36" t="n"/>
      <c r="AI364" s="36" t="n"/>
      <c r="AJ364" s="36" t="n"/>
      <c r="AK364" s="36" t="n"/>
      <c r="AL364" s="36" t="n"/>
      <c r="AM364" s="36" t="n"/>
      <c r="AN364" s="36" t="n"/>
      <c r="AO364" s="36" t="n"/>
      <c r="AP364" s="36" t="n"/>
      <c r="AQ364" s="36" t="n"/>
      <c r="AR364" s="40" t="n"/>
      <c r="AS364" s="40" t="n"/>
      <c r="AT364" s="40" t="n"/>
      <c r="AU364" s="38" t="inlineStr">
        <is>
          <t>IF(OR(E364="",AH364=""),"",IF(COUNT(AG364:AG364)=0,"",AH364-LOOKUP(2,1/(AG364:AG364&lt;&gt;""),AG364:AG364)))</t>
        </is>
      </c>
      <c r="AV364" s="38" t="inlineStr">
        <is>
          <t>IF(OR(E364="",AI364=""),"",IF(COUNT(AG364:AH364)=0,"",AI364-LOOKUP(2,1/(AG364:AH364&lt;&gt;""),AG364:AH364)))</t>
        </is>
      </c>
      <c r="AW364" s="38" t="inlineStr">
        <is>
          <t>IF(OR(E364="",AJ364=""),"",IF(COUNT(AG364:AI364)=0,"",AJ364-LOOKUP(2,1/(AG364:AI364&lt;&gt;""),AG364:AI364)))</t>
        </is>
      </c>
      <c r="AX364" s="38" t="inlineStr">
        <is>
          <t>IF(OR(E364="",AK364=""),"",IF(COUNT(AG364:AJ364)=0,"",AK364-LOOKUP(2,1/(AG364:AJ364&lt;&gt;""),AG364:AJ364)))</t>
        </is>
      </c>
      <c r="AY364" s="38" t="inlineStr">
        <is>
          <t>IF(OR(E364="",AL364=""),"",IF(COUNT(AG364:AK364)=0,"",AL364-LOOKUP(2,1/(AG364:AK364&lt;&gt;""),AG364:AK364)))</t>
        </is>
      </c>
      <c r="AZ364" s="38" t="inlineStr">
        <is>
          <t>IF(OR(E364="",AM364=""),"",IF(COUNT(AG364:AL364)=0,"",AM364-LOOKUP(2,1/(AG364:AL364&lt;&gt;""),AG364:AL364)))</t>
        </is>
      </c>
      <c r="BA364" s="38" t="inlineStr">
        <is>
          <t>IF(OR(E364="",AN364=""),"",IF(COUNT(AG364:AM364)=0,"",AN364-LOOKUP(2,1/(AG364:AM364&lt;&gt;""),AG364:AM364)))</t>
        </is>
      </c>
      <c r="BB364" s="38" t="inlineStr">
        <is>
          <t>IF(OR(E364="",AO364=""),"",IF(COUNT(AG364:AN364)=0,"",AO364-LOOKUP(2,1/(AG364:AN364&lt;&gt;""),AG364:AN364)))</t>
        </is>
      </c>
      <c r="BC364" s="38" t="inlineStr">
        <is>
          <t>IF(OR(E364="",AP364=""),"",IF(COUNT(AG364:AO364)=0,"",AP364-LOOKUP(2,1/(AG364:AO364&lt;&gt;""),AG364:AO364)))</t>
        </is>
      </c>
      <c r="BD364" s="38" t="inlineStr">
        <is>
          <t>IF(OR(E364="",AQ364=""),"",IF(COUNT(AG364:AP364)=0,"",AQ364-LOOKUP(2,1/(AG364:AP364&lt;&gt;""),AG364:AP364)))</t>
        </is>
      </c>
      <c r="BE364" s="38" t="inlineStr">
        <is>
          <t>IF(OR(E364="",AR364=""),"",IF(COUNT(AG364:AQ364)=0,"",AR364-LOOKUP(2,1/(AG364:AQ364&lt;&gt;""),AG364:AQ364)))</t>
        </is>
      </c>
      <c r="BF364" s="38" t="inlineStr">
        <is>
          <t>IF(OR(E364="",AS364=""),"",IF(COUNT(AG364:AR364)=0,"",AS364-LOOKUP(2,1/(AG364:AR364&lt;&gt;""),AG364:AR364)))</t>
        </is>
      </c>
      <c r="BG364" s="38" t="inlineStr">
        <is>
          <t>IF(OR(E364="",AT364=""),"",IF(COUNT(AG364:AS364)=0,"",AT364-LOOKUP(2,1/(AG364:AS364&lt;&gt;""),AG364:AS364)))</t>
        </is>
      </c>
      <c r="BH364" s="41" t="inlineStr">
        <is>
          <t>IF(G364="","All_Provinces",IFERROR(VLOOKUP(G364,'07_Lookups'!$A$4:$B$20,2,FALSE),"All_Provinces"))</t>
        </is>
      </c>
      <c r="BI364" s="41" t="inlineStr">
        <is>
          <t>IF(H364="","All_Districts",IFERROR(VLOOKUP(H364,'07_Lookups'!$E$4:$F$42,2,FALSE),"All_Districts"))</t>
        </is>
      </c>
    </row>
    <row r="365" ht="18" customHeight="1">
      <c r="A365" s="32" t="inlineStr">
        <is>
          <t>IF(E365="","",ROW()-3)</t>
        </is>
      </c>
      <c r="B365" s="42" t="n"/>
      <c r="C365" s="42" t="n"/>
      <c r="D365" s="42" t="n"/>
      <c r="E365" s="42" t="n"/>
      <c r="F365" s="42" t="n"/>
      <c r="G365" s="42" t="n"/>
      <c r="H365" s="42" t="n"/>
      <c r="I365" s="42" t="n"/>
      <c r="J365" s="42" t="n"/>
      <c r="K365" s="42" t="n"/>
      <c r="L365" s="42" t="n"/>
      <c r="M365" s="42" t="n"/>
      <c r="N365" s="42" t="n"/>
      <c r="O365" s="42" t="n"/>
      <c r="P365" s="42" t="n"/>
      <c r="Q365" s="43" t="n"/>
      <c r="R365" s="35" t="inlineStr">
        <is>
          <t>IF(AO365="","",AO365)</t>
        </is>
      </c>
      <c r="S365" s="44" t="n"/>
      <c r="T365" s="45" t="n"/>
      <c r="U365" s="44" t="n"/>
      <c r="V365" s="35" t="inlineStr">
        <is>
          <t>IF(U365&lt;&gt;"",U365,IF(OR(R365="",T365=""),"",EDATE(R365,T365)))</t>
        </is>
      </c>
      <c r="W365" s="44" t="n"/>
      <c r="X365" s="45" t="n"/>
      <c r="Y365" s="42" t="n"/>
      <c r="Z365" s="42" t="n"/>
      <c r="AA365" s="32" t="inlineStr">
        <is>
          <t>IF(E365="","",IF(COUNT(AG365:AT365)=0,IF(Y365="","Not started",Y365),SUBSTITUTE(LOOKUP(2,1/(AG365:AT365&lt;&gt;""),$AG$3:$AT$3),"Date: ","")))</t>
        </is>
      </c>
      <c r="AB365" s="38" t="inlineStr">
        <is>
          <t>IF(OR(E365="",COUNT(AG365:AT365)=0),"",TODAY()-LOOKUP(2,1/(AG365:AT365&lt;&gt;""),AG365:AT365))</t>
        </is>
      </c>
      <c r="AC365" s="38" t="inlineStr">
        <is>
          <t>IF(OR(E365="",COUNT(AG365:AT365)&lt;2),"",LOOKUP(2,1/(AG365:AT365&lt;&gt;""),AG365:AT365)-MIN(AG365:AT365))</t>
        </is>
      </c>
      <c r="AD365" s="38" t="inlineStr">
        <is>
          <t>IF(OR(AB365="",AA365="Not started",AA365=""),"",IFERROR(AB365-IF(VLOOKUP(AA365,'04_Status_Pipeline'!$B$3:$E$20,4,FALSE)="",0,VLOOKUP(AA365,'04_Status_Pipeline'!$B$3:$E$20,4,FALSE)),""))</t>
        </is>
      </c>
      <c r="AE365" s="32" t="inlineStr">
        <is>
          <t>IF(E365="","",IF(OR(Y365="Cancelled",AA365="Cancelled"),"Cancelled",IF(OR(AA365="Completed / Handover",W365&lt;&gt;"",X365&gt;=100),"Completed — on track",IF(L365="Remaining",IF(S365="",IF(V365="","No planned date",IF(TODAY()&gt;V365,"Behind — past planned date",IF(V365-TODAY()&lt;=30,"At risk — close to off track","On track"))),IF(TODAY()&gt;S365,"Behind — award date passed",IF(S365-TODAY()&lt;=30,"At risk — close to off track","On track"))),IF(V365="","No planned date",IF(AND(TODAY()&gt;V365,OR(X365="",X365&lt;100)),"Behind — past end date",IF(AND(R365&lt;&gt;"",V365&lt;&gt;"",X365&lt;&gt;"",(X365&lt;100),((TODAY()-R365)/MAX(V365-R365,1)*100)-X365&gt;15),"Behind — progress lag",IF(AND(V365-TODAY()&lt;=30,V365-TODAY()&gt;=0,OR(X365="",X365&lt;90)),"At risk — close to off track","On track"))))))))</t>
        </is>
      </c>
      <c r="AF365" s="38" t="inlineStr">
        <is>
          <t>IF(OR(E365="",AA365="Completed / Handover",AA365="Cancelled"),"",IF(L365="Remaining",IF(S365&lt;&gt;"",S365-TODAY(),IF(V365="","",V365-TODAY())),IF(V365="","",V365-TODAY())))</t>
        </is>
      </c>
      <c r="AG365" s="44" t="n"/>
      <c r="AH365" s="44" t="n"/>
      <c r="AI365" s="44" t="n"/>
      <c r="AJ365" s="44" t="n"/>
      <c r="AK365" s="44" t="n"/>
      <c r="AL365" s="44" t="n"/>
      <c r="AM365" s="44" t="n"/>
      <c r="AN365" s="44" t="n"/>
      <c r="AO365" s="44" t="n"/>
      <c r="AP365" s="44" t="n"/>
      <c r="AQ365" s="44" t="n"/>
      <c r="AR365" s="40" t="n"/>
      <c r="AS365" s="40" t="n"/>
      <c r="AT365" s="40" t="n"/>
      <c r="AU365" s="38" t="inlineStr">
        <is>
          <t>IF(OR(E365="",AH365=""),"",IF(COUNT(AG365:AG365)=0,"",AH365-LOOKUP(2,1/(AG365:AG365&lt;&gt;""),AG365:AG365)))</t>
        </is>
      </c>
      <c r="AV365" s="38" t="inlineStr">
        <is>
          <t>IF(OR(E365="",AI365=""),"",IF(COUNT(AG365:AH365)=0,"",AI365-LOOKUP(2,1/(AG365:AH365&lt;&gt;""),AG365:AH365)))</t>
        </is>
      </c>
      <c r="AW365" s="38" t="inlineStr">
        <is>
          <t>IF(OR(E365="",AJ365=""),"",IF(COUNT(AG365:AI365)=0,"",AJ365-LOOKUP(2,1/(AG365:AI365&lt;&gt;""),AG365:AI365)))</t>
        </is>
      </c>
      <c r="AX365" s="38" t="inlineStr">
        <is>
          <t>IF(OR(E365="",AK365=""),"",IF(COUNT(AG365:AJ365)=0,"",AK365-LOOKUP(2,1/(AG365:AJ365&lt;&gt;""),AG365:AJ365)))</t>
        </is>
      </c>
      <c r="AY365" s="38" t="inlineStr">
        <is>
          <t>IF(OR(E365="",AL365=""),"",IF(COUNT(AG365:AK365)=0,"",AL365-LOOKUP(2,1/(AG365:AK365&lt;&gt;""),AG365:AK365)))</t>
        </is>
      </c>
      <c r="AZ365" s="38" t="inlineStr">
        <is>
          <t>IF(OR(E365="",AM365=""),"",IF(COUNT(AG365:AL365)=0,"",AM365-LOOKUP(2,1/(AG365:AL365&lt;&gt;""),AG365:AL365)))</t>
        </is>
      </c>
      <c r="BA365" s="38" t="inlineStr">
        <is>
          <t>IF(OR(E365="",AN365=""),"",IF(COUNT(AG365:AM365)=0,"",AN365-LOOKUP(2,1/(AG365:AM365&lt;&gt;""),AG365:AM365)))</t>
        </is>
      </c>
      <c r="BB365" s="38" t="inlineStr">
        <is>
          <t>IF(OR(E365="",AO365=""),"",IF(COUNT(AG365:AN365)=0,"",AO365-LOOKUP(2,1/(AG365:AN365&lt;&gt;""),AG365:AN365)))</t>
        </is>
      </c>
      <c r="BC365" s="38" t="inlineStr">
        <is>
          <t>IF(OR(E365="",AP365=""),"",IF(COUNT(AG365:AO365)=0,"",AP365-LOOKUP(2,1/(AG365:AO365&lt;&gt;""),AG365:AO365)))</t>
        </is>
      </c>
      <c r="BD365" s="38" t="inlineStr">
        <is>
          <t>IF(OR(E365="",AQ365=""),"",IF(COUNT(AG365:AP365)=0,"",AQ365-LOOKUP(2,1/(AG365:AP365&lt;&gt;""),AG365:AP365)))</t>
        </is>
      </c>
      <c r="BE365" s="38" t="inlineStr">
        <is>
          <t>IF(OR(E365="",AR365=""),"",IF(COUNT(AG365:AQ365)=0,"",AR365-LOOKUP(2,1/(AG365:AQ365&lt;&gt;""),AG365:AQ365)))</t>
        </is>
      </c>
      <c r="BF365" s="38" t="inlineStr">
        <is>
          <t>IF(OR(E365="",AS365=""),"",IF(COUNT(AG365:AR365)=0,"",AS365-LOOKUP(2,1/(AG365:AR365&lt;&gt;""),AG365:AR365)))</t>
        </is>
      </c>
      <c r="BG365" s="38" t="inlineStr">
        <is>
          <t>IF(OR(E365="",AT365=""),"",IF(COUNT(AG365:AS365)=0,"",AT365-LOOKUP(2,1/(AG365:AS365&lt;&gt;""),AG365:AS365)))</t>
        </is>
      </c>
      <c r="BH365" s="41" t="inlineStr">
        <is>
          <t>IF(G365="","All_Provinces",IFERROR(VLOOKUP(G365,'07_Lookups'!$A$4:$B$20,2,FALSE),"All_Provinces"))</t>
        </is>
      </c>
      <c r="BI365" s="41" t="inlineStr">
        <is>
          <t>IF(H365="","All_Districts",IFERROR(VLOOKUP(H365,'07_Lookups'!$E$4:$F$42,2,FALSE),"All_Districts"))</t>
        </is>
      </c>
    </row>
    <row r="366" ht="18" customHeight="1">
      <c r="A366" s="32" t="inlineStr">
        <is>
          <t>IF(E366="","",ROW()-3)</t>
        </is>
      </c>
      <c r="B366" s="33" t="n"/>
      <c r="C366" s="33" t="n"/>
      <c r="D366" s="33" t="n"/>
      <c r="E366" s="33" t="n"/>
      <c r="F366" s="33" t="n"/>
      <c r="G366" s="33" t="n"/>
      <c r="H366" s="33" t="n"/>
      <c r="I366" s="33" t="n"/>
      <c r="J366" s="33" t="n"/>
      <c r="K366" s="33" t="n"/>
      <c r="L366" s="33" t="n"/>
      <c r="M366" s="33" t="n"/>
      <c r="N366" s="33" t="n"/>
      <c r="O366" s="33" t="n"/>
      <c r="P366" s="33" t="n"/>
      <c r="Q366" s="34" t="n"/>
      <c r="R366" s="35" t="inlineStr">
        <is>
          <t>IF(AO366="","",AO366)</t>
        </is>
      </c>
      <c r="S366" s="36" t="n"/>
      <c r="T366" s="37" t="n"/>
      <c r="U366" s="36" t="n"/>
      <c r="V366" s="35" t="inlineStr">
        <is>
          <t>IF(U366&lt;&gt;"",U366,IF(OR(R366="",T366=""),"",EDATE(R366,T366)))</t>
        </is>
      </c>
      <c r="W366" s="36" t="n"/>
      <c r="X366" s="37" t="n"/>
      <c r="Y366" s="33" t="n"/>
      <c r="Z366" s="33" t="n"/>
      <c r="AA366" s="32" t="inlineStr">
        <is>
          <t>IF(E366="","",IF(COUNT(AG366:AT366)=0,IF(Y366="","Not started",Y366),SUBSTITUTE(LOOKUP(2,1/(AG366:AT366&lt;&gt;""),$AG$3:$AT$3),"Date: ","")))</t>
        </is>
      </c>
      <c r="AB366" s="38" t="inlineStr">
        <is>
          <t>IF(OR(E366="",COUNT(AG366:AT366)=0),"",TODAY()-LOOKUP(2,1/(AG366:AT366&lt;&gt;""),AG366:AT366))</t>
        </is>
      </c>
      <c r="AC366" s="38" t="inlineStr">
        <is>
          <t>IF(OR(E366="",COUNT(AG366:AT366)&lt;2),"",LOOKUP(2,1/(AG366:AT366&lt;&gt;""),AG366:AT366)-MIN(AG366:AT366))</t>
        </is>
      </c>
      <c r="AD366" s="38" t="inlineStr">
        <is>
          <t>IF(OR(AB366="",AA366="Not started",AA366=""),"",IFERROR(AB366-IF(VLOOKUP(AA366,'04_Status_Pipeline'!$B$3:$E$20,4,FALSE)="",0,VLOOKUP(AA366,'04_Status_Pipeline'!$B$3:$E$20,4,FALSE)),""))</t>
        </is>
      </c>
      <c r="AE366" s="32" t="inlineStr">
        <is>
          <t>IF(E366="","",IF(OR(Y366="Cancelled",AA366="Cancelled"),"Cancelled",IF(OR(AA366="Completed / Handover",W366&lt;&gt;"",X366&gt;=100),"Completed — on track",IF(L366="Remaining",IF(S366="",IF(V366="","No planned date",IF(TODAY()&gt;V366,"Behind — past planned date",IF(V366-TODAY()&lt;=30,"At risk — close to off track","On track"))),IF(TODAY()&gt;S366,"Behind — award date passed",IF(S366-TODAY()&lt;=30,"At risk — close to off track","On track"))),IF(V366="","No planned date",IF(AND(TODAY()&gt;V366,OR(X366="",X366&lt;100)),"Behind — past end date",IF(AND(R366&lt;&gt;"",V366&lt;&gt;"",X366&lt;&gt;"",(X366&lt;100),((TODAY()-R366)/MAX(V366-R366,1)*100)-X366&gt;15),"Behind — progress lag",IF(AND(V366-TODAY()&lt;=30,V366-TODAY()&gt;=0,OR(X366="",X366&lt;90)),"At risk — close to off track","On track"))))))))</t>
        </is>
      </c>
      <c r="AF366" s="38" t="inlineStr">
        <is>
          <t>IF(OR(E366="",AA366="Completed / Handover",AA366="Cancelled"),"",IF(L366="Remaining",IF(S366&lt;&gt;"",S366-TODAY(),IF(V366="","",V366-TODAY())),IF(V366="","",V366-TODAY())))</t>
        </is>
      </c>
      <c r="AG366" s="36" t="n"/>
      <c r="AH366" s="36" t="n"/>
      <c r="AI366" s="36" t="n"/>
      <c r="AJ366" s="36" t="n"/>
      <c r="AK366" s="36" t="n"/>
      <c r="AL366" s="36" t="n"/>
      <c r="AM366" s="36" t="n"/>
      <c r="AN366" s="36" t="n"/>
      <c r="AO366" s="36" t="n"/>
      <c r="AP366" s="36" t="n"/>
      <c r="AQ366" s="36" t="n"/>
      <c r="AR366" s="40" t="n"/>
      <c r="AS366" s="40" t="n"/>
      <c r="AT366" s="40" t="n"/>
      <c r="AU366" s="38" t="inlineStr">
        <is>
          <t>IF(OR(E366="",AH366=""),"",IF(COUNT(AG366:AG366)=0,"",AH366-LOOKUP(2,1/(AG366:AG366&lt;&gt;""),AG366:AG366)))</t>
        </is>
      </c>
      <c r="AV366" s="38" t="inlineStr">
        <is>
          <t>IF(OR(E366="",AI366=""),"",IF(COUNT(AG366:AH366)=0,"",AI366-LOOKUP(2,1/(AG366:AH366&lt;&gt;""),AG366:AH366)))</t>
        </is>
      </c>
      <c r="AW366" s="38" t="inlineStr">
        <is>
          <t>IF(OR(E366="",AJ366=""),"",IF(COUNT(AG366:AI366)=0,"",AJ366-LOOKUP(2,1/(AG366:AI366&lt;&gt;""),AG366:AI366)))</t>
        </is>
      </c>
      <c r="AX366" s="38" t="inlineStr">
        <is>
          <t>IF(OR(E366="",AK366=""),"",IF(COUNT(AG366:AJ366)=0,"",AK366-LOOKUP(2,1/(AG366:AJ366&lt;&gt;""),AG366:AJ366)))</t>
        </is>
      </c>
      <c r="AY366" s="38" t="inlineStr">
        <is>
          <t>IF(OR(E366="",AL366=""),"",IF(COUNT(AG366:AK366)=0,"",AL366-LOOKUP(2,1/(AG366:AK366&lt;&gt;""),AG366:AK366)))</t>
        </is>
      </c>
      <c r="AZ366" s="38" t="inlineStr">
        <is>
          <t>IF(OR(E366="",AM366=""),"",IF(COUNT(AG366:AL366)=0,"",AM366-LOOKUP(2,1/(AG366:AL366&lt;&gt;""),AG366:AL366)))</t>
        </is>
      </c>
      <c r="BA366" s="38" t="inlineStr">
        <is>
          <t>IF(OR(E366="",AN366=""),"",IF(COUNT(AG366:AM366)=0,"",AN366-LOOKUP(2,1/(AG366:AM366&lt;&gt;""),AG366:AM366)))</t>
        </is>
      </c>
      <c r="BB366" s="38" t="inlineStr">
        <is>
          <t>IF(OR(E366="",AO366=""),"",IF(COUNT(AG366:AN366)=0,"",AO366-LOOKUP(2,1/(AG366:AN366&lt;&gt;""),AG366:AN366)))</t>
        </is>
      </c>
      <c r="BC366" s="38" t="inlineStr">
        <is>
          <t>IF(OR(E366="",AP366=""),"",IF(COUNT(AG366:AO366)=0,"",AP366-LOOKUP(2,1/(AG366:AO366&lt;&gt;""),AG366:AO366)))</t>
        </is>
      </c>
      <c r="BD366" s="38" t="inlineStr">
        <is>
          <t>IF(OR(E366="",AQ366=""),"",IF(COUNT(AG366:AP366)=0,"",AQ366-LOOKUP(2,1/(AG366:AP366&lt;&gt;""),AG366:AP366)))</t>
        </is>
      </c>
      <c r="BE366" s="38" t="inlineStr">
        <is>
          <t>IF(OR(E366="",AR366=""),"",IF(COUNT(AG366:AQ366)=0,"",AR366-LOOKUP(2,1/(AG366:AQ366&lt;&gt;""),AG366:AQ366)))</t>
        </is>
      </c>
      <c r="BF366" s="38" t="inlineStr">
        <is>
          <t>IF(OR(E366="",AS366=""),"",IF(COUNT(AG366:AR366)=0,"",AS366-LOOKUP(2,1/(AG366:AR366&lt;&gt;""),AG366:AR366)))</t>
        </is>
      </c>
      <c r="BG366" s="38" t="inlineStr">
        <is>
          <t>IF(OR(E366="",AT366=""),"",IF(COUNT(AG366:AS366)=0,"",AT366-LOOKUP(2,1/(AG366:AS366&lt;&gt;""),AG366:AS366)))</t>
        </is>
      </c>
      <c r="BH366" s="41" t="inlineStr">
        <is>
          <t>IF(G366="","All_Provinces",IFERROR(VLOOKUP(G366,'07_Lookups'!$A$4:$B$20,2,FALSE),"All_Provinces"))</t>
        </is>
      </c>
      <c r="BI366" s="41" t="inlineStr">
        <is>
          <t>IF(H366="","All_Districts",IFERROR(VLOOKUP(H366,'07_Lookups'!$E$4:$F$42,2,FALSE),"All_Districts"))</t>
        </is>
      </c>
    </row>
    <row r="367" ht="18" customHeight="1">
      <c r="A367" s="32" t="inlineStr">
        <is>
          <t>IF(E367="","",ROW()-3)</t>
        </is>
      </c>
      <c r="B367" s="42" t="n"/>
      <c r="C367" s="42" t="n"/>
      <c r="D367" s="42" t="n"/>
      <c r="E367" s="42" t="n"/>
      <c r="F367" s="42" t="n"/>
      <c r="G367" s="42" t="n"/>
      <c r="H367" s="42" t="n"/>
      <c r="I367" s="42" t="n"/>
      <c r="J367" s="42" t="n"/>
      <c r="K367" s="42" t="n"/>
      <c r="L367" s="42" t="n"/>
      <c r="M367" s="42" t="n"/>
      <c r="N367" s="42" t="n"/>
      <c r="O367" s="42" t="n"/>
      <c r="P367" s="42" t="n"/>
      <c r="Q367" s="43" t="n"/>
      <c r="R367" s="35" t="inlineStr">
        <is>
          <t>IF(AO367="","",AO367)</t>
        </is>
      </c>
      <c r="S367" s="44" t="n"/>
      <c r="T367" s="45" t="n"/>
      <c r="U367" s="44" t="n"/>
      <c r="V367" s="35" t="inlineStr">
        <is>
          <t>IF(U367&lt;&gt;"",U367,IF(OR(R367="",T367=""),"",EDATE(R367,T367)))</t>
        </is>
      </c>
      <c r="W367" s="44" t="n"/>
      <c r="X367" s="45" t="n"/>
      <c r="Y367" s="42" t="n"/>
      <c r="Z367" s="42" t="n"/>
      <c r="AA367" s="32" t="inlineStr">
        <is>
          <t>IF(E367="","",IF(COUNT(AG367:AT367)=0,IF(Y367="","Not started",Y367),SUBSTITUTE(LOOKUP(2,1/(AG367:AT367&lt;&gt;""),$AG$3:$AT$3),"Date: ","")))</t>
        </is>
      </c>
      <c r="AB367" s="38" t="inlineStr">
        <is>
          <t>IF(OR(E367="",COUNT(AG367:AT367)=0),"",TODAY()-LOOKUP(2,1/(AG367:AT367&lt;&gt;""),AG367:AT367))</t>
        </is>
      </c>
      <c r="AC367" s="38" t="inlineStr">
        <is>
          <t>IF(OR(E367="",COUNT(AG367:AT367)&lt;2),"",LOOKUP(2,1/(AG367:AT367&lt;&gt;""),AG367:AT367)-MIN(AG367:AT367))</t>
        </is>
      </c>
      <c r="AD367" s="38" t="inlineStr">
        <is>
          <t>IF(OR(AB367="",AA367="Not started",AA367=""),"",IFERROR(AB367-IF(VLOOKUP(AA367,'04_Status_Pipeline'!$B$3:$E$20,4,FALSE)="",0,VLOOKUP(AA367,'04_Status_Pipeline'!$B$3:$E$20,4,FALSE)),""))</t>
        </is>
      </c>
      <c r="AE367" s="32" t="inlineStr">
        <is>
          <t>IF(E367="","",IF(OR(Y367="Cancelled",AA367="Cancelled"),"Cancelled",IF(OR(AA367="Completed / Handover",W367&lt;&gt;"",X367&gt;=100),"Completed — on track",IF(L367="Remaining",IF(S367="",IF(V367="","No planned date",IF(TODAY()&gt;V367,"Behind — past planned date",IF(V367-TODAY()&lt;=30,"At risk — close to off track","On track"))),IF(TODAY()&gt;S367,"Behind — award date passed",IF(S367-TODAY()&lt;=30,"At risk — close to off track","On track"))),IF(V367="","No planned date",IF(AND(TODAY()&gt;V367,OR(X367="",X367&lt;100)),"Behind — past end date",IF(AND(R367&lt;&gt;"",V367&lt;&gt;"",X367&lt;&gt;"",(X367&lt;100),((TODAY()-R367)/MAX(V367-R367,1)*100)-X367&gt;15),"Behind — progress lag",IF(AND(V367-TODAY()&lt;=30,V367-TODAY()&gt;=0,OR(X367="",X367&lt;90)),"At risk — close to off track","On track"))))))))</t>
        </is>
      </c>
      <c r="AF367" s="38" t="inlineStr">
        <is>
          <t>IF(OR(E367="",AA367="Completed / Handover",AA367="Cancelled"),"",IF(L367="Remaining",IF(S367&lt;&gt;"",S367-TODAY(),IF(V367="","",V367-TODAY())),IF(V367="","",V367-TODAY())))</t>
        </is>
      </c>
      <c r="AG367" s="44" t="n"/>
      <c r="AH367" s="44" t="n"/>
      <c r="AI367" s="44" t="n"/>
      <c r="AJ367" s="44" t="n"/>
      <c r="AK367" s="44" t="n"/>
      <c r="AL367" s="44" t="n"/>
      <c r="AM367" s="44" t="n"/>
      <c r="AN367" s="44" t="n"/>
      <c r="AO367" s="44" t="n"/>
      <c r="AP367" s="44" t="n"/>
      <c r="AQ367" s="44" t="n"/>
      <c r="AR367" s="40" t="n"/>
      <c r="AS367" s="40" t="n"/>
      <c r="AT367" s="40" t="n"/>
      <c r="AU367" s="38" t="inlineStr">
        <is>
          <t>IF(OR(E367="",AH367=""),"",IF(COUNT(AG367:AG367)=0,"",AH367-LOOKUP(2,1/(AG367:AG367&lt;&gt;""),AG367:AG367)))</t>
        </is>
      </c>
      <c r="AV367" s="38" t="inlineStr">
        <is>
          <t>IF(OR(E367="",AI367=""),"",IF(COUNT(AG367:AH367)=0,"",AI367-LOOKUP(2,1/(AG367:AH367&lt;&gt;""),AG367:AH367)))</t>
        </is>
      </c>
      <c r="AW367" s="38" t="inlineStr">
        <is>
          <t>IF(OR(E367="",AJ367=""),"",IF(COUNT(AG367:AI367)=0,"",AJ367-LOOKUP(2,1/(AG367:AI367&lt;&gt;""),AG367:AI367)))</t>
        </is>
      </c>
      <c r="AX367" s="38" t="inlineStr">
        <is>
          <t>IF(OR(E367="",AK367=""),"",IF(COUNT(AG367:AJ367)=0,"",AK367-LOOKUP(2,1/(AG367:AJ367&lt;&gt;""),AG367:AJ367)))</t>
        </is>
      </c>
      <c r="AY367" s="38" t="inlineStr">
        <is>
          <t>IF(OR(E367="",AL367=""),"",IF(COUNT(AG367:AK367)=0,"",AL367-LOOKUP(2,1/(AG367:AK367&lt;&gt;""),AG367:AK367)))</t>
        </is>
      </c>
      <c r="AZ367" s="38" t="inlineStr">
        <is>
          <t>IF(OR(E367="",AM367=""),"",IF(COUNT(AG367:AL367)=0,"",AM367-LOOKUP(2,1/(AG367:AL367&lt;&gt;""),AG367:AL367)))</t>
        </is>
      </c>
      <c r="BA367" s="38" t="inlineStr">
        <is>
          <t>IF(OR(E367="",AN367=""),"",IF(COUNT(AG367:AM367)=0,"",AN367-LOOKUP(2,1/(AG367:AM367&lt;&gt;""),AG367:AM367)))</t>
        </is>
      </c>
      <c r="BB367" s="38" t="inlineStr">
        <is>
          <t>IF(OR(E367="",AO367=""),"",IF(COUNT(AG367:AN367)=0,"",AO367-LOOKUP(2,1/(AG367:AN367&lt;&gt;""),AG367:AN367)))</t>
        </is>
      </c>
      <c r="BC367" s="38" t="inlineStr">
        <is>
          <t>IF(OR(E367="",AP367=""),"",IF(COUNT(AG367:AO367)=0,"",AP367-LOOKUP(2,1/(AG367:AO367&lt;&gt;""),AG367:AO367)))</t>
        </is>
      </c>
      <c r="BD367" s="38" t="inlineStr">
        <is>
          <t>IF(OR(E367="",AQ367=""),"",IF(COUNT(AG367:AP367)=0,"",AQ367-LOOKUP(2,1/(AG367:AP367&lt;&gt;""),AG367:AP367)))</t>
        </is>
      </c>
      <c r="BE367" s="38" t="inlineStr">
        <is>
          <t>IF(OR(E367="",AR367=""),"",IF(COUNT(AG367:AQ367)=0,"",AR367-LOOKUP(2,1/(AG367:AQ367&lt;&gt;""),AG367:AQ367)))</t>
        </is>
      </c>
      <c r="BF367" s="38" t="inlineStr">
        <is>
          <t>IF(OR(E367="",AS367=""),"",IF(COUNT(AG367:AR367)=0,"",AS367-LOOKUP(2,1/(AG367:AR367&lt;&gt;""),AG367:AR367)))</t>
        </is>
      </c>
      <c r="BG367" s="38" t="inlineStr">
        <is>
          <t>IF(OR(E367="",AT367=""),"",IF(COUNT(AG367:AS367)=0,"",AT367-LOOKUP(2,1/(AG367:AS367&lt;&gt;""),AG367:AS367)))</t>
        </is>
      </c>
      <c r="BH367" s="41" t="inlineStr">
        <is>
          <t>IF(G367="","All_Provinces",IFERROR(VLOOKUP(G367,'07_Lookups'!$A$4:$B$20,2,FALSE),"All_Provinces"))</t>
        </is>
      </c>
      <c r="BI367" s="41" t="inlineStr">
        <is>
          <t>IF(H367="","All_Districts",IFERROR(VLOOKUP(H367,'07_Lookups'!$E$4:$F$42,2,FALSE),"All_Districts"))</t>
        </is>
      </c>
    </row>
    <row r="368" ht="18" customHeight="1">
      <c r="A368" s="32" t="inlineStr">
        <is>
          <t>IF(E368="","",ROW()-3)</t>
        </is>
      </c>
      <c r="B368" s="33" t="n"/>
      <c r="C368" s="33" t="n"/>
      <c r="D368" s="33" t="n"/>
      <c r="E368" s="33" t="n"/>
      <c r="F368" s="33" t="n"/>
      <c r="G368" s="33" t="n"/>
      <c r="H368" s="33" t="n"/>
      <c r="I368" s="33" t="n"/>
      <c r="J368" s="33" t="n"/>
      <c r="K368" s="33" t="n"/>
      <c r="L368" s="33" t="n"/>
      <c r="M368" s="33" t="n"/>
      <c r="N368" s="33" t="n"/>
      <c r="O368" s="33" t="n"/>
      <c r="P368" s="33" t="n"/>
      <c r="Q368" s="34" t="n"/>
      <c r="R368" s="35" t="inlineStr">
        <is>
          <t>IF(AO368="","",AO368)</t>
        </is>
      </c>
      <c r="S368" s="36" t="n"/>
      <c r="T368" s="37" t="n"/>
      <c r="U368" s="36" t="n"/>
      <c r="V368" s="35" t="inlineStr">
        <is>
          <t>IF(U368&lt;&gt;"",U368,IF(OR(R368="",T368=""),"",EDATE(R368,T368)))</t>
        </is>
      </c>
      <c r="W368" s="36" t="n"/>
      <c r="X368" s="37" t="n"/>
      <c r="Y368" s="33" t="n"/>
      <c r="Z368" s="33" t="n"/>
      <c r="AA368" s="32" t="inlineStr">
        <is>
          <t>IF(E368="","",IF(COUNT(AG368:AT368)=0,IF(Y368="","Not started",Y368),SUBSTITUTE(LOOKUP(2,1/(AG368:AT368&lt;&gt;""),$AG$3:$AT$3),"Date: ","")))</t>
        </is>
      </c>
      <c r="AB368" s="38" t="inlineStr">
        <is>
          <t>IF(OR(E368="",COUNT(AG368:AT368)=0),"",TODAY()-LOOKUP(2,1/(AG368:AT368&lt;&gt;""),AG368:AT368))</t>
        </is>
      </c>
      <c r="AC368" s="38" t="inlineStr">
        <is>
          <t>IF(OR(E368="",COUNT(AG368:AT368)&lt;2),"",LOOKUP(2,1/(AG368:AT368&lt;&gt;""),AG368:AT368)-MIN(AG368:AT368))</t>
        </is>
      </c>
      <c r="AD368" s="38" t="inlineStr">
        <is>
          <t>IF(OR(AB368="",AA368="Not started",AA368=""),"",IFERROR(AB368-IF(VLOOKUP(AA368,'04_Status_Pipeline'!$B$3:$E$20,4,FALSE)="",0,VLOOKUP(AA368,'04_Status_Pipeline'!$B$3:$E$20,4,FALSE)),""))</t>
        </is>
      </c>
      <c r="AE368" s="32" t="inlineStr">
        <is>
          <t>IF(E368="","",IF(OR(Y368="Cancelled",AA368="Cancelled"),"Cancelled",IF(OR(AA368="Completed / Handover",W368&lt;&gt;"",X368&gt;=100),"Completed — on track",IF(L368="Remaining",IF(S368="",IF(V368="","No planned date",IF(TODAY()&gt;V368,"Behind — past planned date",IF(V368-TODAY()&lt;=30,"At risk — close to off track","On track"))),IF(TODAY()&gt;S368,"Behind — award date passed",IF(S368-TODAY()&lt;=30,"At risk — close to off track","On track"))),IF(V368="","No planned date",IF(AND(TODAY()&gt;V368,OR(X368="",X368&lt;100)),"Behind — past end date",IF(AND(R368&lt;&gt;"",V368&lt;&gt;"",X368&lt;&gt;"",(X368&lt;100),((TODAY()-R368)/MAX(V368-R368,1)*100)-X368&gt;15),"Behind — progress lag",IF(AND(V368-TODAY()&lt;=30,V368-TODAY()&gt;=0,OR(X368="",X368&lt;90)),"At risk — close to off track","On track"))))))))</t>
        </is>
      </c>
      <c r="AF368" s="38" t="inlineStr">
        <is>
          <t>IF(OR(E368="",AA368="Completed / Handover",AA368="Cancelled"),"",IF(L368="Remaining",IF(S368&lt;&gt;"",S368-TODAY(),IF(V368="","",V368-TODAY())),IF(V368="","",V368-TODAY())))</t>
        </is>
      </c>
      <c r="AG368" s="36" t="n"/>
      <c r="AH368" s="36" t="n"/>
      <c r="AI368" s="36" t="n"/>
      <c r="AJ368" s="36" t="n"/>
      <c r="AK368" s="36" t="n"/>
      <c r="AL368" s="36" t="n"/>
      <c r="AM368" s="36" t="n"/>
      <c r="AN368" s="36" t="n"/>
      <c r="AO368" s="36" t="n"/>
      <c r="AP368" s="36" t="n"/>
      <c r="AQ368" s="36" t="n"/>
      <c r="AR368" s="40" t="n"/>
      <c r="AS368" s="40" t="n"/>
      <c r="AT368" s="40" t="n"/>
      <c r="AU368" s="38" t="inlineStr">
        <is>
          <t>IF(OR(E368="",AH368=""),"",IF(COUNT(AG368:AG368)=0,"",AH368-LOOKUP(2,1/(AG368:AG368&lt;&gt;""),AG368:AG368)))</t>
        </is>
      </c>
      <c r="AV368" s="38" t="inlineStr">
        <is>
          <t>IF(OR(E368="",AI368=""),"",IF(COUNT(AG368:AH368)=0,"",AI368-LOOKUP(2,1/(AG368:AH368&lt;&gt;""),AG368:AH368)))</t>
        </is>
      </c>
      <c r="AW368" s="38" t="inlineStr">
        <is>
          <t>IF(OR(E368="",AJ368=""),"",IF(COUNT(AG368:AI368)=0,"",AJ368-LOOKUP(2,1/(AG368:AI368&lt;&gt;""),AG368:AI368)))</t>
        </is>
      </c>
      <c r="AX368" s="38" t="inlineStr">
        <is>
          <t>IF(OR(E368="",AK368=""),"",IF(COUNT(AG368:AJ368)=0,"",AK368-LOOKUP(2,1/(AG368:AJ368&lt;&gt;""),AG368:AJ368)))</t>
        </is>
      </c>
      <c r="AY368" s="38" t="inlineStr">
        <is>
          <t>IF(OR(E368="",AL368=""),"",IF(COUNT(AG368:AK368)=0,"",AL368-LOOKUP(2,1/(AG368:AK368&lt;&gt;""),AG368:AK368)))</t>
        </is>
      </c>
      <c r="AZ368" s="38" t="inlineStr">
        <is>
          <t>IF(OR(E368="",AM368=""),"",IF(COUNT(AG368:AL368)=0,"",AM368-LOOKUP(2,1/(AG368:AL368&lt;&gt;""),AG368:AL368)))</t>
        </is>
      </c>
      <c r="BA368" s="38" t="inlineStr">
        <is>
          <t>IF(OR(E368="",AN368=""),"",IF(COUNT(AG368:AM368)=0,"",AN368-LOOKUP(2,1/(AG368:AM368&lt;&gt;""),AG368:AM368)))</t>
        </is>
      </c>
      <c r="BB368" s="38" t="inlineStr">
        <is>
          <t>IF(OR(E368="",AO368=""),"",IF(COUNT(AG368:AN368)=0,"",AO368-LOOKUP(2,1/(AG368:AN368&lt;&gt;""),AG368:AN368)))</t>
        </is>
      </c>
      <c r="BC368" s="38" t="inlineStr">
        <is>
          <t>IF(OR(E368="",AP368=""),"",IF(COUNT(AG368:AO368)=0,"",AP368-LOOKUP(2,1/(AG368:AO368&lt;&gt;""),AG368:AO368)))</t>
        </is>
      </c>
      <c r="BD368" s="38" t="inlineStr">
        <is>
          <t>IF(OR(E368="",AQ368=""),"",IF(COUNT(AG368:AP368)=0,"",AQ368-LOOKUP(2,1/(AG368:AP368&lt;&gt;""),AG368:AP368)))</t>
        </is>
      </c>
      <c r="BE368" s="38" t="inlineStr">
        <is>
          <t>IF(OR(E368="",AR368=""),"",IF(COUNT(AG368:AQ368)=0,"",AR368-LOOKUP(2,1/(AG368:AQ368&lt;&gt;""),AG368:AQ368)))</t>
        </is>
      </c>
      <c r="BF368" s="38" t="inlineStr">
        <is>
          <t>IF(OR(E368="",AS368=""),"",IF(COUNT(AG368:AR368)=0,"",AS368-LOOKUP(2,1/(AG368:AR368&lt;&gt;""),AG368:AR368)))</t>
        </is>
      </c>
      <c r="BG368" s="38" t="inlineStr">
        <is>
          <t>IF(OR(E368="",AT368=""),"",IF(COUNT(AG368:AS368)=0,"",AT368-LOOKUP(2,1/(AG368:AS368&lt;&gt;""),AG368:AS368)))</t>
        </is>
      </c>
      <c r="BH368" s="41" t="inlineStr">
        <is>
          <t>IF(G368="","All_Provinces",IFERROR(VLOOKUP(G368,'07_Lookups'!$A$4:$B$20,2,FALSE),"All_Provinces"))</t>
        </is>
      </c>
      <c r="BI368" s="41" t="inlineStr">
        <is>
          <t>IF(H368="","All_Districts",IFERROR(VLOOKUP(H368,'07_Lookups'!$E$4:$F$42,2,FALSE),"All_Districts"))</t>
        </is>
      </c>
    </row>
    <row r="369" ht="18" customHeight="1">
      <c r="A369" s="32" t="inlineStr">
        <is>
          <t>IF(E369="","",ROW()-3)</t>
        </is>
      </c>
      <c r="B369" s="42" t="n"/>
      <c r="C369" s="42" t="n"/>
      <c r="D369" s="42" t="n"/>
      <c r="E369" s="42" t="n"/>
      <c r="F369" s="42" t="n"/>
      <c r="G369" s="42" t="n"/>
      <c r="H369" s="42" t="n"/>
      <c r="I369" s="42" t="n"/>
      <c r="J369" s="42" t="n"/>
      <c r="K369" s="42" t="n"/>
      <c r="L369" s="42" t="n"/>
      <c r="M369" s="42" t="n"/>
      <c r="N369" s="42" t="n"/>
      <c r="O369" s="42" t="n"/>
      <c r="P369" s="42" t="n"/>
      <c r="Q369" s="43" t="n"/>
      <c r="R369" s="35" t="inlineStr">
        <is>
          <t>IF(AO369="","",AO369)</t>
        </is>
      </c>
      <c r="S369" s="44" t="n"/>
      <c r="T369" s="45" t="n"/>
      <c r="U369" s="44" t="n"/>
      <c r="V369" s="35" t="inlineStr">
        <is>
          <t>IF(U369&lt;&gt;"",U369,IF(OR(R369="",T369=""),"",EDATE(R369,T369)))</t>
        </is>
      </c>
      <c r="W369" s="44" t="n"/>
      <c r="X369" s="45" t="n"/>
      <c r="Y369" s="42" t="n"/>
      <c r="Z369" s="42" t="n"/>
      <c r="AA369" s="32" t="inlineStr">
        <is>
          <t>IF(E369="","",IF(COUNT(AG369:AT369)=0,IF(Y369="","Not started",Y369),SUBSTITUTE(LOOKUP(2,1/(AG369:AT369&lt;&gt;""),$AG$3:$AT$3),"Date: ","")))</t>
        </is>
      </c>
      <c r="AB369" s="38" t="inlineStr">
        <is>
          <t>IF(OR(E369="",COUNT(AG369:AT369)=0),"",TODAY()-LOOKUP(2,1/(AG369:AT369&lt;&gt;""),AG369:AT369))</t>
        </is>
      </c>
      <c r="AC369" s="38" t="inlineStr">
        <is>
          <t>IF(OR(E369="",COUNT(AG369:AT369)&lt;2),"",LOOKUP(2,1/(AG369:AT369&lt;&gt;""),AG369:AT369)-MIN(AG369:AT369))</t>
        </is>
      </c>
      <c r="AD369" s="38" t="inlineStr">
        <is>
          <t>IF(OR(AB369="",AA369="Not started",AA369=""),"",IFERROR(AB369-IF(VLOOKUP(AA369,'04_Status_Pipeline'!$B$3:$E$20,4,FALSE)="",0,VLOOKUP(AA369,'04_Status_Pipeline'!$B$3:$E$20,4,FALSE)),""))</t>
        </is>
      </c>
      <c r="AE369" s="32" t="inlineStr">
        <is>
          <t>IF(E369="","",IF(OR(Y369="Cancelled",AA369="Cancelled"),"Cancelled",IF(OR(AA369="Completed / Handover",W369&lt;&gt;"",X369&gt;=100),"Completed — on track",IF(L369="Remaining",IF(S369="",IF(V369="","No planned date",IF(TODAY()&gt;V369,"Behind — past planned date",IF(V369-TODAY()&lt;=30,"At risk — close to off track","On track"))),IF(TODAY()&gt;S369,"Behind — award date passed",IF(S369-TODAY()&lt;=30,"At risk — close to off track","On track"))),IF(V369="","No planned date",IF(AND(TODAY()&gt;V369,OR(X369="",X369&lt;100)),"Behind — past end date",IF(AND(R369&lt;&gt;"",V369&lt;&gt;"",X369&lt;&gt;"",(X369&lt;100),((TODAY()-R369)/MAX(V369-R369,1)*100)-X369&gt;15),"Behind — progress lag",IF(AND(V369-TODAY()&lt;=30,V369-TODAY()&gt;=0,OR(X369="",X369&lt;90)),"At risk — close to off track","On track"))))))))</t>
        </is>
      </c>
      <c r="AF369" s="38" t="inlineStr">
        <is>
          <t>IF(OR(E369="",AA369="Completed / Handover",AA369="Cancelled"),"",IF(L369="Remaining",IF(S369&lt;&gt;"",S369-TODAY(),IF(V369="","",V369-TODAY())),IF(V369="","",V369-TODAY())))</t>
        </is>
      </c>
      <c r="AG369" s="44" t="n"/>
      <c r="AH369" s="44" t="n"/>
      <c r="AI369" s="44" t="n"/>
      <c r="AJ369" s="44" t="n"/>
      <c r="AK369" s="44" t="n"/>
      <c r="AL369" s="44" t="n"/>
      <c r="AM369" s="44" t="n"/>
      <c r="AN369" s="44" t="n"/>
      <c r="AO369" s="44" t="n"/>
      <c r="AP369" s="44" t="n"/>
      <c r="AQ369" s="44" t="n"/>
      <c r="AR369" s="40" t="n"/>
      <c r="AS369" s="40" t="n"/>
      <c r="AT369" s="40" t="n"/>
      <c r="AU369" s="38" t="inlineStr">
        <is>
          <t>IF(OR(E369="",AH369=""),"",IF(COUNT(AG369:AG369)=0,"",AH369-LOOKUP(2,1/(AG369:AG369&lt;&gt;""),AG369:AG369)))</t>
        </is>
      </c>
      <c r="AV369" s="38" t="inlineStr">
        <is>
          <t>IF(OR(E369="",AI369=""),"",IF(COUNT(AG369:AH369)=0,"",AI369-LOOKUP(2,1/(AG369:AH369&lt;&gt;""),AG369:AH369)))</t>
        </is>
      </c>
      <c r="AW369" s="38" t="inlineStr">
        <is>
          <t>IF(OR(E369="",AJ369=""),"",IF(COUNT(AG369:AI369)=0,"",AJ369-LOOKUP(2,1/(AG369:AI369&lt;&gt;""),AG369:AI369)))</t>
        </is>
      </c>
      <c r="AX369" s="38" t="inlineStr">
        <is>
          <t>IF(OR(E369="",AK369=""),"",IF(COUNT(AG369:AJ369)=0,"",AK369-LOOKUP(2,1/(AG369:AJ369&lt;&gt;""),AG369:AJ369)))</t>
        </is>
      </c>
      <c r="AY369" s="38" t="inlineStr">
        <is>
          <t>IF(OR(E369="",AL369=""),"",IF(COUNT(AG369:AK369)=0,"",AL369-LOOKUP(2,1/(AG369:AK369&lt;&gt;""),AG369:AK369)))</t>
        </is>
      </c>
      <c r="AZ369" s="38" t="inlineStr">
        <is>
          <t>IF(OR(E369="",AM369=""),"",IF(COUNT(AG369:AL369)=0,"",AM369-LOOKUP(2,1/(AG369:AL369&lt;&gt;""),AG369:AL369)))</t>
        </is>
      </c>
      <c r="BA369" s="38" t="inlineStr">
        <is>
          <t>IF(OR(E369="",AN369=""),"",IF(COUNT(AG369:AM369)=0,"",AN369-LOOKUP(2,1/(AG369:AM369&lt;&gt;""),AG369:AM369)))</t>
        </is>
      </c>
      <c r="BB369" s="38" t="inlineStr">
        <is>
          <t>IF(OR(E369="",AO369=""),"",IF(COUNT(AG369:AN369)=0,"",AO369-LOOKUP(2,1/(AG369:AN369&lt;&gt;""),AG369:AN369)))</t>
        </is>
      </c>
      <c r="BC369" s="38" t="inlineStr">
        <is>
          <t>IF(OR(E369="",AP369=""),"",IF(COUNT(AG369:AO369)=0,"",AP369-LOOKUP(2,1/(AG369:AO369&lt;&gt;""),AG369:AO369)))</t>
        </is>
      </c>
      <c r="BD369" s="38" t="inlineStr">
        <is>
          <t>IF(OR(E369="",AQ369=""),"",IF(COUNT(AG369:AP369)=0,"",AQ369-LOOKUP(2,1/(AG369:AP369&lt;&gt;""),AG369:AP369)))</t>
        </is>
      </c>
      <c r="BE369" s="38" t="inlineStr">
        <is>
          <t>IF(OR(E369="",AR369=""),"",IF(COUNT(AG369:AQ369)=0,"",AR369-LOOKUP(2,1/(AG369:AQ369&lt;&gt;""),AG369:AQ369)))</t>
        </is>
      </c>
      <c r="BF369" s="38" t="inlineStr">
        <is>
          <t>IF(OR(E369="",AS369=""),"",IF(COUNT(AG369:AR369)=0,"",AS369-LOOKUP(2,1/(AG369:AR369&lt;&gt;""),AG369:AR369)))</t>
        </is>
      </c>
      <c r="BG369" s="38" t="inlineStr">
        <is>
          <t>IF(OR(E369="",AT369=""),"",IF(COUNT(AG369:AS369)=0,"",AT369-LOOKUP(2,1/(AG369:AS369&lt;&gt;""),AG369:AS369)))</t>
        </is>
      </c>
      <c r="BH369" s="41" t="inlineStr">
        <is>
          <t>IF(G369="","All_Provinces",IFERROR(VLOOKUP(G369,'07_Lookups'!$A$4:$B$20,2,FALSE),"All_Provinces"))</t>
        </is>
      </c>
      <c r="BI369" s="41" t="inlineStr">
        <is>
          <t>IF(H369="","All_Districts",IFERROR(VLOOKUP(H369,'07_Lookups'!$E$4:$F$42,2,FALSE),"All_Districts"))</t>
        </is>
      </c>
    </row>
    <row r="370" ht="18" customHeight="1">
      <c r="A370" s="32" t="inlineStr">
        <is>
          <t>IF(E370="","",ROW()-3)</t>
        </is>
      </c>
      <c r="B370" s="33" t="n"/>
      <c r="C370" s="33" t="n"/>
      <c r="D370" s="33" t="n"/>
      <c r="E370" s="33" t="n"/>
      <c r="F370" s="33" t="n"/>
      <c r="G370" s="33" t="n"/>
      <c r="H370" s="33" t="n"/>
      <c r="I370" s="33" t="n"/>
      <c r="J370" s="33" t="n"/>
      <c r="K370" s="33" t="n"/>
      <c r="L370" s="33" t="n"/>
      <c r="M370" s="33" t="n"/>
      <c r="N370" s="33" t="n"/>
      <c r="O370" s="33" t="n"/>
      <c r="P370" s="33" t="n"/>
      <c r="Q370" s="34" t="n"/>
      <c r="R370" s="35" t="inlineStr">
        <is>
          <t>IF(AO370="","",AO370)</t>
        </is>
      </c>
      <c r="S370" s="36" t="n"/>
      <c r="T370" s="37" t="n"/>
      <c r="U370" s="36" t="n"/>
      <c r="V370" s="35" t="inlineStr">
        <is>
          <t>IF(U370&lt;&gt;"",U370,IF(OR(R370="",T370=""),"",EDATE(R370,T370)))</t>
        </is>
      </c>
      <c r="W370" s="36" t="n"/>
      <c r="X370" s="37" t="n"/>
      <c r="Y370" s="33" t="n"/>
      <c r="Z370" s="33" t="n"/>
      <c r="AA370" s="32" t="inlineStr">
        <is>
          <t>IF(E370="","",IF(COUNT(AG370:AT370)=0,IF(Y370="","Not started",Y370),SUBSTITUTE(LOOKUP(2,1/(AG370:AT370&lt;&gt;""),$AG$3:$AT$3),"Date: ","")))</t>
        </is>
      </c>
      <c r="AB370" s="38" t="inlineStr">
        <is>
          <t>IF(OR(E370="",COUNT(AG370:AT370)=0),"",TODAY()-LOOKUP(2,1/(AG370:AT370&lt;&gt;""),AG370:AT370))</t>
        </is>
      </c>
      <c r="AC370" s="38" t="inlineStr">
        <is>
          <t>IF(OR(E370="",COUNT(AG370:AT370)&lt;2),"",LOOKUP(2,1/(AG370:AT370&lt;&gt;""),AG370:AT370)-MIN(AG370:AT370))</t>
        </is>
      </c>
      <c r="AD370" s="38" t="inlineStr">
        <is>
          <t>IF(OR(AB370="",AA370="Not started",AA370=""),"",IFERROR(AB370-IF(VLOOKUP(AA370,'04_Status_Pipeline'!$B$3:$E$20,4,FALSE)="",0,VLOOKUP(AA370,'04_Status_Pipeline'!$B$3:$E$20,4,FALSE)),""))</t>
        </is>
      </c>
      <c r="AE370" s="32" t="inlineStr">
        <is>
          <t>IF(E370="","",IF(OR(Y370="Cancelled",AA370="Cancelled"),"Cancelled",IF(OR(AA370="Completed / Handover",W370&lt;&gt;"",X370&gt;=100),"Completed — on track",IF(L370="Remaining",IF(S370="",IF(V370="","No planned date",IF(TODAY()&gt;V370,"Behind — past planned date",IF(V370-TODAY()&lt;=30,"At risk — close to off track","On track"))),IF(TODAY()&gt;S370,"Behind — award date passed",IF(S370-TODAY()&lt;=30,"At risk — close to off track","On track"))),IF(V370="","No planned date",IF(AND(TODAY()&gt;V370,OR(X370="",X370&lt;100)),"Behind — past end date",IF(AND(R370&lt;&gt;"",V370&lt;&gt;"",X370&lt;&gt;"",(X370&lt;100),((TODAY()-R370)/MAX(V370-R370,1)*100)-X370&gt;15),"Behind — progress lag",IF(AND(V370-TODAY()&lt;=30,V370-TODAY()&gt;=0,OR(X370="",X370&lt;90)),"At risk — close to off track","On track"))))))))</t>
        </is>
      </c>
      <c r="AF370" s="38" t="inlineStr">
        <is>
          <t>IF(OR(E370="",AA370="Completed / Handover",AA370="Cancelled"),"",IF(L370="Remaining",IF(S370&lt;&gt;"",S370-TODAY(),IF(V370="","",V370-TODAY())),IF(V370="","",V370-TODAY())))</t>
        </is>
      </c>
      <c r="AG370" s="36" t="n"/>
      <c r="AH370" s="36" t="n"/>
      <c r="AI370" s="36" t="n"/>
      <c r="AJ370" s="36" t="n"/>
      <c r="AK370" s="36" t="n"/>
      <c r="AL370" s="36" t="n"/>
      <c r="AM370" s="36" t="n"/>
      <c r="AN370" s="36" t="n"/>
      <c r="AO370" s="36" t="n"/>
      <c r="AP370" s="36" t="n"/>
      <c r="AQ370" s="36" t="n"/>
      <c r="AR370" s="40" t="n"/>
      <c r="AS370" s="40" t="n"/>
      <c r="AT370" s="40" t="n"/>
      <c r="AU370" s="38" t="inlineStr">
        <is>
          <t>IF(OR(E370="",AH370=""),"",IF(COUNT(AG370:AG370)=0,"",AH370-LOOKUP(2,1/(AG370:AG370&lt;&gt;""),AG370:AG370)))</t>
        </is>
      </c>
      <c r="AV370" s="38" t="inlineStr">
        <is>
          <t>IF(OR(E370="",AI370=""),"",IF(COUNT(AG370:AH370)=0,"",AI370-LOOKUP(2,1/(AG370:AH370&lt;&gt;""),AG370:AH370)))</t>
        </is>
      </c>
      <c r="AW370" s="38" t="inlineStr">
        <is>
          <t>IF(OR(E370="",AJ370=""),"",IF(COUNT(AG370:AI370)=0,"",AJ370-LOOKUP(2,1/(AG370:AI370&lt;&gt;""),AG370:AI370)))</t>
        </is>
      </c>
      <c r="AX370" s="38" t="inlineStr">
        <is>
          <t>IF(OR(E370="",AK370=""),"",IF(COUNT(AG370:AJ370)=0,"",AK370-LOOKUP(2,1/(AG370:AJ370&lt;&gt;""),AG370:AJ370)))</t>
        </is>
      </c>
      <c r="AY370" s="38" t="inlineStr">
        <is>
          <t>IF(OR(E370="",AL370=""),"",IF(COUNT(AG370:AK370)=0,"",AL370-LOOKUP(2,1/(AG370:AK370&lt;&gt;""),AG370:AK370)))</t>
        </is>
      </c>
      <c r="AZ370" s="38" t="inlineStr">
        <is>
          <t>IF(OR(E370="",AM370=""),"",IF(COUNT(AG370:AL370)=0,"",AM370-LOOKUP(2,1/(AG370:AL370&lt;&gt;""),AG370:AL370)))</t>
        </is>
      </c>
      <c r="BA370" s="38" t="inlineStr">
        <is>
          <t>IF(OR(E370="",AN370=""),"",IF(COUNT(AG370:AM370)=0,"",AN370-LOOKUP(2,1/(AG370:AM370&lt;&gt;""),AG370:AM370)))</t>
        </is>
      </c>
      <c r="BB370" s="38" t="inlineStr">
        <is>
          <t>IF(OR(E370="",AO370=""),"",IF(COUNT(AG370:AN370)=0,"",AO370-LOOKUP(2,1/(AG370:AN370&lt;&gt;""),AG370:AN370)))</t>
        </is>
      </c>
      <c r="BC370" s="38" t="inlineStr">
        <is>
          <t>IF(OR(E370="",AP370=""),"",IF(COUNT(AG370:AO370)=0,"",AP370-LOOKUP(2,1/(AG370:AO370&lt;&gt;""),AG370:AO370)))</t>
        </is>
      </c>
      <c r="BD370" s="38" t="inlineStr">
        <is>
          <t>IF(OR(E370="",AQ370=""),"",IF(COUNT(AG370:AP370)=0,"",AQ370-LOOKUP(2,1/(AG370:AP370&lt;&gt;""),AG370:AP370)))</t>
        </is>
      </c>
      <c r="BE370" s="38" t="inlineStr">
        <is>
          <t>IF(OR(E370="",AR370=""),"",IF(COUNT(AG370:AQ370)=0,"",AR370-LOOKUP(2,1/(AG370:AQ370&lt;&gt;""),AG370:AQ370)))</t>
        </is>
      </c>
      <c r="BF370" s="38" t="inlineStr">
        <is>
          <t>IF(OR(E370="",AS370=""),"",IF(COUNT(AG370:AR370)=0,"",AS370-LOOKUP(2,1/(AG370:AR370&lt;&gt;""),AG370:AR370)))</t>
        </is>
      </c>
      <c r="BG370" s="38" t="inlineStr">
        <is>
          <t>IF(OR(E370="",AT370=""),"",IF(COUNT(AG370:AS370)=0,"",AT370-LOOKUP(2,1/(AG370:AS370&lt;&gt;""),AG370:AS370)))</t>
        </is>
      </c>
      <c r="BH370" s="41" t="inlineStr">
        <is>
          <t>IF(G370="","All_Provinces",IFERROR(VLOOKUP(G370,'07_Lookups'!$A$4:$B$20,2,FALSE),"All_Provinces"))</t>
        </is>
      </c>
      <c r="BI370" s="41" t="inlineStr">
        <is>
          <t>IF(H370="","All_Districts",IFERROR(VLOOKUP(H370,'07_Lookups'!$E$4:$F$42,2,FALSE),"All_Districts"))</t>
        </is>
      </c>
    </row>
    <row r="371" ht="18" customHeight="1">
      <c r="A371" s="32" t="inlineStr">
        <is>
          <t>IF(E371="","",ROW()-3)</t>
        </is>
      </c>
      <c r="B371" s="42" t="n"/>
      <c r="C371" s="42" t="n"/>
      <c r="D371" s="42" t="n"/>
      <c r="E371" s="42" t="n"/>
      <c r="F371" s="42" t="n"/>
      <c r="G371" s="42" t="n"/>
      <c r="H371" s="42" t="n"/>
      <c r="I371" s="42" t="n"/>
      <c r="J371" s="42" t="n"/>
      <c r="K371" s="42" t="n"/>
      <c r="L371" s="42" t="n"/>
      <c r="M371" s="42" t="n"/>
      <c r="N371" s="42" t="n"/>
      <c r="O371" s="42" t="n"/>
      <c r="P371" s="42" t="n"/>
      <c r="Q371" s="43" t="n"/>
      <c r="R371" s="35" t="inlineStr">
        <is>
          <t>IF(AO371="","",AO371)</t>
        </is>
      </c>
      <c r="S371" s="44" t="n"/>
      <c r="T371" s="45" t="n"/>
      <c r="U371" s="44" t="n"/>
      <c r="V371" s="35" t="inlineStr">
        <is>
          <t>IF(U371&lt;&gt;"",U371,IF(OR(R371="",T371=""),"",EDATE(R371,T371)))</t>
        </is>
      </c>
      <c r="W371" s="44" t="n"/>
      <c r="X371" s="45" t="n"/>
      <c r="Y371" s="42" t="n"/>
      <c r="Z371" s="42" t="n"/>
      <c r="AA371" s="32" t="inlineStr">
        <is>
          <t>IF(E371="","",IF(COUNT(AG371:AT371)=0,IF(Y371="","Not started",Y371),SUBSTITUTE(LOOKUP(2,1/(AG371:AT371&lt;&gt;""),$AG$3:$AT$3),"Date: ","")))</t>
        </is>
      </c>
      <c r="AB371" s="38" t="inlineStr">
        <is>
          <t>IF(OR(E371="",COUNT(AG371:AT371)=0),"",TODAY()-LOOKUP(2,1/(AG371:AT371&lt;&gt;""),AG371:AT371))</t>
        </is>
      </c>
      <c r="AC371" s="38" t="inlineStr">
        <is>
          <t>IF(OR(E371="",COUNT(AG371:AT371)&lt;2),"",LOOKUP(2,1/(AG371:AT371&lt;&gt;""),AG371:AT371)-MIN(AG371:AT371))</t>
        </is>
      </c>
      <c r="AD371" s="38" t="inlineStr">
        <is>
          <t>IF(OR(AB371="",AA371="Not started",AA371=""),"",IFERROR(AB371-IF(VLOOKUP(AA371,'04_Status_Pipeline'!$B$3:$E$20,4,FALSE)="",0,VLOOKUP(AA371,'04_Status_Pipeline'!$B$3:$E$20,4,FALSE)),""))</t>
        </is>
      </c>
      <c r="AE371" s="32" t="inlineStr">
        <is>
          <t>IF(E371="","",IF(OR(Y371="Cancelled",AA371="Cancelled"),"Cancelled",IF(OR(AA371="Completed / Handover",W371&lt;&gt;"",X371&gt;=100),"Completed — on track",IF(L371="Remaining",IF(S371="",IF(V371="","No planned date",IF(TODAY()&gt;V371,"Behind — past planned date",IF(V371-TODAY()&lt;=30,"At risk — close to off track","On track"))),IF(TODAY()&gt;S371,"Behind — award date passed",IF(S371-TODAY()&lt;=30,"At risk — close to off track","On track"))),IF(V371="","No planned date",IF(AND(TODAY()&gt;V371,OR(X371="",X371&lt;100)),"Behind — past end date",IF(AND(R371&lt;&gt;"",V371&lt;&gt;"",X371&lt;&gt;"",(X371&lt;100),((TODAY()-R371)/MAX(V371-R371,1)*100)-X371&gt;15),"Behind — progress lag",IF(AND(V371-TODAY()&lt;=30,V371-TODAY()&gt;=0,OR(X371="",X371&lt;90)),"At risk — close to off track","On track"))))))))</t>
        </is>
      </c>
      <c r="AF371" s="38" t="inlineStr">
        <is>
          <t>IF(OR(E371="",AA371="Completed / Handover",AA371="Cancelled"),"",IF(L371="Remaining",IF(S371&lt;&gt;"",S371-TODAY(),IF(V371="","",V371-TODAY())),IF(V371="","",V371-TODAY())))</t>
        </is>
      </c>
      <c r="AG371" s="44" t="n"/>
      <c r="AH371" s="44" t="n"/>
      <c r="AI371" s="44" t="n"/>
      <c r="AJ371" s="44" t="n"/>
      <c r="AK371" s="44" t="n"/>
      <c r="AL371" s="44" t="n"/>
      <c r="AM371" s="44" t="n"/>
      <c r="AN371" s="44" t="n"/>
      <c r="AO371" s="44" t="n"/>
      <c r="AP371" s="44" t="n"/>
      <c r="AQ371" s="44" t="n"/>
      <c r="AR371" s="40" t="n"/>
      <c r="AS371" s="40" t="n"/>
      <c r="AT371" s="40" t="n"/>
      <c r="AU371" s="38" t="inlineStr">
        <is>
          <t>IF(OR(E371="",AH371=""),"",IF(COUNT(AG371:AG371)=0,"",AH371-LOOKUP(2,1/(AG371:AG371&lt;&gt;""),AG371:AG371)))</t>
        </is>
      </c>
      <c r="AV371" s="38" t="inlineStr">
        <is>
          <t>IF(OR(E371="",AI371=""),"",IF(COUNT(AG371:AH371)=0,"",AI371-LOOKUP(2,1/(AG371:AH371&lt;&gt;""),AG371:AH371)))</t>
        </is>
      </c>
      <c r="AW371" s="38" t="inlineStr">
        <is>
          <t>IF(OR(E371="",AJ371=""),"",IF(COUNT(AG371:AI371)=0,"",AJ371-LOOKUP(2,1/(AG371:AI371&lt;&gt;""),AG371:AI371)))</t>
        </is>
      </c>
      <c r="AX371" s="38" t="inlineStr">
        <is>
          <t>IF(OR(E371="",AK371=""),"",IF(COUNT(AG371:AJ371)=0,"",AK371-LOOKUP(2,1/(AG371:AJ371&lt;&gt;""),AG371:AJ371)))</t>
        </is>
      </c>
      <c r="AY371" s="38" t="inlineStr">
        <is>
          <t>IF(OR(E371="",AL371=""),"",IF(COUNT(AG371:AK371)=0,"",AL371-LOOKUP(2,1/(AG371:AK371&lt;&gt;""),AG371:AK371)))</t>
        </is>
      </c>
      <c r="AZ371" s="38" t="inlineStr">
        <is>
          <t>IF(OR(E371="",AM371=""),"",IF(COUNT(AG371:AL371)=0,"",AM371-LOOKUP(2,1/(AG371:AL371&lt;&gt;""),AG371:AL371)))</t>
        </is>
      </c>
      <c r="BA371" s="38" t="inlineStr">
        <is>
          <t>IF(OR(E371="",AN371=""),"",IF(COUNT(AG371:AM371)=0,"",AN371-LOOKUP(2,1/(AG371:AM371&lt;&gt;""),AG371:AM371)))</t>
        </is>
      </c>
      <c r="BB371" s="38" t="inlineStr">
        <is>
          <t>IF(OR(E371="",AO371=""),"",IF(COUNT(AG371:AN371)=0,"",AO371-LOOKUP(2,1/(AG371:AN371&lt;&gt;""),AG371:AN371)))</t>
        </is>
      </c>
      <c r="BC371" s="38" t="inlineStr">
        <is>
          <t>IF(OR(E371="",AP371=""),"",IF(COUNT(AG371:AO371)=0,"",AP371-LOOKUP(2,1/(AG371:AO371&lt;&gt;""),AG371:AO371)))</t>
        </is>
      </c>
      <c r="BD371" s="38" t="inlineStr">
        <is>
          <t>IF(OR(E371="",AQ371=""),"",IF(COUNT(AG371:AP371)=0,"",AQ371-LOOKUP(2,1/(AG371:AP371&lt;&gt;""),AG371:AP371)))</t>
        </is>
      </c>
      <c r="BE371" s="38" t="inlineStr">
        <is>
          <t>IF(OR(E371="",AR371=""),"",IF(COUNT(AG371:AQ371)=0,"",AR371-LOOKUP(2,1/(AG371:AQ371&lt;&gt;""),AG371:AQ371)))</t>
        </is>
      </c>
      <c r="BF371" s="38" t="inlineStr">
        <is>
          <t>IF(OR(E371="",AS371=""),"",IF(COUNT(AG371:AR371)=0,"",AS371-LOOKUP(2,1/(AG371:AR371&lt;&gt;""),AG371:AR371)))</t>
        </is>
      </c>
      <c r="BG371" s="38" t="inlineStr">
        <is>
          <t>IF(OR(E371="",AT371=""),"",IF(COUNT(AG371:AS371)=0,"",AT371-LOOKUP(2,1/(AG371:AS371&lt;&gt;""),AG371:AS371)))</t>
        </is>
      </c>
      <c r="BH371" s="41" t="inlineStr">
        <is>
          <t>IF(G371="","All_Provinces",IFERROR(VLOOKUP(G371,'07_Lookups'!$A$4:$B$20,2,FALSE),"All_Provinces"))</t>
        </is>
      </c>
      <c r="BI371" s="41" t="inlineStr">
        <is>
          <t>IF(H371="","All_Districts",IFERROR(VLOOKUP(H371,'07_Lookups'!$E$4:$F$42,2,FALSE),"All_Districts"))</t>
        </is>
      </c>
    </row>
    <row r="372" ht="18" customHeight="1">
      <c r="A372" s="32" t="inlineStr">
        <is>
          <t>IF(E372="","",ROW()-3)</t>
        </is>
      </c>
      <c r="B372" s="33" t="n"/>
      <c r="C372" s="33" t="n"/>
      <c r="D372" s="33" t="n"/>
      <c r="E372" s="33" t="n"/>
      <c r="F372" s="33" t="n"/>
      <c r="G372" s="33" t="n"/>
      <c r="H372" s="33" t="n"/>
      <c r="I372" s="33" t="n"/>
      <c r="J372" s="33" t="n"/>
      <c r="K372" s="33" t="n"/>
      <c r="L372" s="33" t="n"/>
      <c r="M372" s="33" t="n"/>
      <c r="N372" s="33" t="n"/>
      <c r="O372" s="33" t="n"/>
      <c r="P372" s="33" t="n"/>
      <c r="Q372" s="34" t="n"/>
      <c r="R372" s="35" t="inlineStr">
        <is>
          <t>IF(AO372="","",AO372)</t>
        </is>
      </c>
      <c r="S372" s="36" t="n"/>
      <c r="T372" s="37" t="n"/>
      <c r="U372" s="36" t="n"/>
      <c r="V372" s="35" t="inlineStr">
        <is>
          <t>IF(U372&lt;&gt;"",U372,IF(OR(R372="",T372=""),"",EDATE(R372,T372)))</t>
        </is>
      </c>
      <c r="W372" s="36" t="n"/>
      <c r="X372" s="37" t="n"/>
      <c r="Y372" s="33" t="n"/>
      <c r="Z372" s="33" t="n"/>
      <c r="AA372" s="32" t="inlineStr">
        <is>
          <t>IF(E372="","",IF(COUNT(AG372:AT372)=0,IF(Y372="","Not started",Y372),SUBSTITUTE(LOOKUP(2,1/(AG372:AT372&lt;&gt;""),$AG$3:$AT$3),"Date: ","")))</t>
        </is>
      </c>
      <c r="AB372" s="38" t="inlineStr">
        <is>
          <t>IF(OR(E372="",COUNT(AG372:AT372)=0),"",TODAY()-LOOKUP(2,1/(AG372:AT372&lt;&gt;""),AG372:AT372))</t>
        </is>
      </c>
      <c r="AC372" s="38" t="inlineStr">
        <is>
          <t>IF(OR(E372="",COUNT(AG372:AT372)&lt;2),"",LOOKUP(2,1/(AG372:AT372&lt;&gt;""),AG372:AT372)-MIN(AG372:AT372))</t>
        </is>
      </c>
      <c r="AD372" s="38" t="inlineStr">
        <is>
          <t>IF(OR(AB372="",AA372="Not started",AA372=""),"",IFERROR(AB372-IF(VLOOKUP(AA372,'04_Status_Pipeline'!$B$3:$E$20,4,FALSE)="",0,VLOOKUP(AA372,'04_Status_Pipeline'!$B$3:$E$20,4,FALSE)),""))</t>
        </is>
      </c>
      <c r="AE372" s="32" t="inlineStr">
        <is>
          <t>IF(E372="","",IF(OR(Y372="Cancelled",AA372="Cancelled"),"Cancelled",IF(OR(AA372="Completed / Handover",W372&lt;&gt;"",X372&gt;=100),"Completed — on track",IF(L372="Remaining",IF(S372="",IF(V372="","No planned date",IF(TODAY()&gt;V372,"Behind — past planned date",IF(V372-TODAY()&lt;=30,"At risk — close to off track","On track"))),IF(TODAY()&gt;S372,"Behind — award date passed",IF(S372-TODAY()&lt;=30,"At risk — close to off track","On track"))),IF(V372="","No planned date",IF(AND(TODAY()&gt;V372,OR(X372="",X372&lt;100)),"Behind — past end date",IF(AND(R372&lt;&gt;"",V372&lt;&gt;"",X372&lt;&gt;"",(X372&lt;100),((TODAY()-R372)/MAX(V372-R372,1)*100)-X372&gt;15),"Behind — progress lag",IF(AND(V372-TODAY()&lt;=30,V372-TODAY()&gt;=0,OR(X372="",X372&lt;90)),"At risk — close to off track","On track"))))))))</t>
        </is>
      </c>
      <c r="AF372" s="38" t="inlineStr">
        <is>
          <t>IF(OR(E372="",AA372="Completed / Handover",AA372="Cancelled"),"",IF(L372="Remaining",IF(S372&lt;&gt;"",S372-TODAY(),IF(V372="","",V372-TODAY())),IF(V372="","",V372-TODAY())))</t>
        </is>
      </c>
      <c r="AG372" s="36" t="n"/>
      <c r="AH372" s="36" t="n"/>
      <c r="AI372" s="36" t="n"/>
      <c r="AJ372" s="36" t="n"/>
      <c r="AK372" s="36" t="n"/>
      <c r="AL372" s="36" t="n"/>
      <c r="AM372" s="36" t="n"/>
      <c r="AN372" s="36" t="n"/>
      <c r="AO372" s="36" t="n"/>
      <c r="AP372" s="36" t="n"/>
      <c r="AQ372" s="36" t="n"/>
      <c r="AR372" s="40" t="n"/>
      <c r="AS372" s="40" t="n"/>
      <c r="AT372" s="40" t="n"/>
      <c r="AU372" s="38" t="inlineStr">
        <is>
          <t>IF(OR(E372="",AH372=""),"",IF(COUNT(AG372:AG372)=0,"",AH372-LOOKUP(2,1/(AG372:AG372&lt;&gt;""),AG372:AG372)))</t>
        </is>
      </c>
      <c r="AV372" s="38" t="inlineStr">
        <is>
          <t>IF(OR(E372="",AI372=""),"",IF(COUNT(AG372:AH372)=0,"",AI372-LOOKUP(2,1/(AG372:AH372&lt;&gt;""),AG372:AH372)))</t>
        </is>
      </c>
      <c r="AW372" s="38" t="inlineStr">
        <is>
          <t>IF(OR(E372="",AJ372=""),"",IF(COUNT(AG372:AI372)=0,"",AJ372-LOOKUP(2,1/(AG372:AI372&lt;&gt;""),AG372:AI372)))</t>
        </is>
      </c>
      <c r="AX372" s="38" t="inlineStr">
        <is>
          <t>IF(OR(E372="",AK372=""),"",IF(COUNT(AG372:AJ372)=0,"",AK372-LOOKUP(2,1/(AG372:AJ372&lt;&gt;""),AG372:AJ372)))</t>
        </is>
      </c>
      <c r="AY372" s="38" t="inlineStr">
        <is>
          <t>IF(OR(E372="",AL372=""),"",IF(COUNT(AG372:AK372)=0,"",AL372-LOOKUP(2,1/(AG372:AK372&lt;&gt;""),AG372:AK372)))</t>
        </is>
      </c>
      <c r="AZ372" s="38" t="inlineStr">
        <is>
          <t>IF(OR(E372="",AM372=""),"",IF(COUNT(AG372:AL372)=0,"",AM372-LOOKUP(2,1/(AG372:AL372&lt;&gt;""),AG372:AL372)))</t>
        </is>
      </c>
      <c r="BA372" s="38" t="inlineStr">
        <is>
          <t>IF(OR(E372="",AN372=""),"",IF(COUNT(AG372:AM372)=0,"",AN372-LOOKUP(2,1/(AG372:AM372&lt;&gt;""),AG372:AM372)))</t>
        </is>
      </c>
      <c r="BB372" s="38" t="inlineStr">
        <is>
          <t>IF(OR(E372="",AO372=""),"",IF(COUNT(AG372:AN372)=0,"",AO372-LOOKUP(2,1/(AG372:AN372&lt;&gt;""),AG372:AN372)))</t>
        </is>
      </c>
      <c r="BC372" s="38" t="inlineStr">
        <is>
          <t>IF(OR(E372="",AP372=""),"",IF(COUNT(AG372:AO372)=0,"",AP372-LOOKUP(2,1/(AG372:AO372&lt;&gt;""),AG372:AO372)))</t>
        </is>
      </c>
      <c r="BD372" s="38" t="inlineStr">
        <is>
          <t>IF(OR(E372="",AQ372=""),"",IF(COUNT(AG372:AP372)=0,"",AQ372-LOOKUP(2,1/(AG372:AP372&lt;&gt;""),AG372:AP372)))</t>
        </is>
      </c>
      <c r="BE372" s="38" t="inlineStr">
        <is>
          <t>IF(OR(E372="",AR372=""),"",IF(COUNT(AG372:AQ372)=0,"",AR372-LOOKUP(2,1/(AG372:AQ372&lt;&gt;""),AG372:AQ372)))</t>
        </is>
      </c>
      <c r="BF372" s="38" t="inlineStr">
        <is>
          <t>IF(OR(E372="",AS372=""),"",IF(COUNT(AG372:AR372)=0,"",AS372-LOOKUP(2,1/(AG372:AR372&lt;&gt;""),AG372:AR372)))</t>
        </is>
      </c>
      <c r="BG372" s="38" t="inlineStr">
        <is>
          <t>IF(OR(E372="",AT372=""),"",IF(COUNT(AG372:AS372)=0,"",AT372-LOOKUP(2,1/(AG372:AS372&lt;&gt;""),AG372:AS372)))</t>
        </is>
      </c>
      <c r="BH372" s="41" t="inlineStr">
        <is>
          <t>IF(G372="","All_Provinces",IFERROR(VLOOKUP(G372,'07_Lookups'!$A$4:$B$20,2,FALSE),"All_Provinces"))</t>
        </is>
      </c>
      <c r="BI372" s="41" t="inlineStr">
        <is>
          <t>IF(H372="","All_Districts",IFERROR(VLOOKUP(H372,'07_Lookups'!$E$4:$F$42,2,FALSE),"All_Districts"))</t>
        </is>
      </c>
    </row>
    <row r="373" ht="18" customHeight="1">
      <c r="A373" s="32" t="inlineStr">
        <is>
          <t>IF(E373="","",ROW()-3)</t>
        </is>
      </c>
      <c r="B373" s="42" t="n"/>
      <c r="C373" s="42" t="n"/>
      <c r="D373" s="42" t="n"/>
      <c r="E373" s="42" t="n"/>
      <c r="F373" s="42" t="n"/>
      <c r="G373" s="42" t="n"/>
      <c r="H373" s="42" t="n"/>
      <c r="I373" s="42" t="n"/>
      <c r="J373" s="42" t="n"/>
      <c r="K373" s="42" t="n"/>
      <c r="L373" s="42" t="n"/>
      <c r="M373" s="42" t="n"/>
      <c r="N373" s="42" t="n"/>
      <c r="O373" s="42" t="n"/>
      <c r="P373" s="42" t="n"/>
      <c r="Q373" s="43" t="n"/>
      <c r="R373" s="35" t="inlineStr">
        <is>
          <t>IF(AO373="","",AO373)</t>
        </is>
      </c>
      <c r="S373" s="44" t="n"/>
      <c r="T373" s="45" t="n"/>
      <c r="U373" s="44" t="n"/>
      <c r="V373" s="35" t="inlineStr">
        <is>
          <t>IF(U373&lt;&gt;"",U373,IF(OR(R373="",T373=""),"",EDATE(R373,T373)))</t>
        </is>
      </c>
      <c r="W373" s="44" t="n"/>
      <c r="X373" s="45" t="n"/>
      <c r="Y373" s="42" t="n"/>
      <c r="Z373" s="42" t="n"/>
      <c r="AA373" s="32" t="inlineStr">
        <is>
          <t>IF(E373="","",IF(COUNT(AG373:AT373)=0,IF(Y373="","Not started",Y373),SUBSTITUTE(LOOKUP(2,1/(AG373:AT373&lt;&gt;""),$AG$3:$AT$3),"Date: ","")))</t>
        </is>
      </c>
      <c r="AB373" s="38" t="inlineStr">
        <is>
          <t>IF(OR(E373="",COUNT(AG373:AT373)=0),"",TODAY()-LOOKUP(2,1/(AG373:AT373&lt;&gt;""),AG373:AT373))</t>
        </is>
      </c>
      <c r="AC373" s="38" t="inlineStr">
        <is>
          <t>IF(OR(E373="",COUNT(AG373:AT373)&lt;2),"",LOOKUP(2,1/(AG373:AT373&lt;&gt;""),AG373:AT373)-MIN(AG373:AT373))</t>
        </is>
      </c>
      <c r="AD373" s="38" t="inlineStr">
        <is>
          <t>IF(OR(AB373="",AA373="Not started",AA373=""),"",IFERROR(AB373-IF(VLOOKUP(AA373,'04_Status_Pipeline'!$B$3:$E$20,4,FALSE)="",0,VLOOKUP(AA373,'04_Status_Pipeline'!$B$3:$E$20,4,FALSE)),""))</t>
        </is>
      </c>
      <c r="AE373" s="32" t="inlineStr">
        <is>
          <t>IF(E373="","",IF(OR(Y373="Cancelled",AA373="Cancelled"),"Cancelled",IF(OR(AA373="Completed / Handover",W373&lt;&gt;"",X373&gt;=100),"Completed — on track",IF(L373="Remaining",IF(S373="",IF(V373="","No planned date",IF(TODAY()&gt;V373,"Behind — past planned date",IF(V373-TODAY()&lt;=30,"At risk — close to off track","On track"))),IF(TODAY()&gt;S373,"Behind — award date passed",IF(S373-TODAY()&lt;=30,"At risk — close to off track","On track"))),IF(V373="","No planned date",IF(AND(TODAY()&gt;V373,OR(X373="",X373&lt;100)),"Behind — past end date",IF(AND(R373&lt;&gt;"",V373&lt;&gt;"",X373&lt;&gt;"",(X373&lt;100),((TODAY()-R373)/MAX(V373-R373,1)*100)-X373&gt;15),"Behind — progress lag",IF(AND(V373-TODAY()&lt;=30,V373-TODAY()&gt;=0,OR(X373="",X373&lt;90)),"At risk — close to off track","On track"))))))))</t>
        </is>
      </c>
      <c r="AF373" s="38" t="inlineStr">
        <is>
          <t>IF(OR(E373="",AA373="Completed / Handover",AA373="Cancelled"),"",IF(L373="Remaining",IF(S373&lt;&gt;"",S373-TODAY(),IF(V373="","",V373-TODAY())),IF(V373="","",V373-TODAY())))</t>
        </is>
      </c>
      <c r="AG373" s="44" t="n"/>
      <c r="AH373" s="44" t="n"/>
      <c r="AI373" s="44" t="n"/>
      <c r="AJ373" s="44" t="n"/>
      <c r="AK373" s="44" t="n"/>
      <c r="AL373" s="44" t="n"/>
      <c r="AM373" s="44" t="n"/>
      <c r="AN373" s="44" t="n"/>
      <c r="AO373" s="44" t="n"/>
      <c r="AP373" s="44" t="n"/>
      <c r="AQ373" s="44" t="n"/>
      <c r="AR373" s="40" t="n"/>
      <c r="AS373" s="40" t="n"/>
      <c r="AT373" s="40" t="n"/>
      <c r="AU373" s="38" t="inlineStr">
        <is>
          <t>IF(OR(E373="",AH373=""),"",IF(COUNT(AG373:AG373)=0,"",AH373-LOOKUP(2,1/(AG373:AG373&lt;&gt;""),AG373:AG373)))</t>
        </is>
      </c>
      <c r="AV373" s="38" t="inlineStr">
        <is>
          <t>IF(OR(E373="",AI373=""),"",IF(COUNT(AG373:AH373)=0,"",AI373-LOOKUP(2,1/(AG373:AH373&lt;&gt;""),AG373:AH373)))</t>
        </is>
      </c>
      <c r="AW373" s="38" t="inlineStr">
        <is>
          <t>IF(OR(E373="",AJ373=""),"",IF(COUNT(AG373:AI373)=0,"",AJ373-LOOKUP(2,1/(AG373:AI373&lt;&gt;""),AG373:AI373)))</t>
        </is>
      </c>
      <c r="AX373" s="38" t="inlineStr">
        <is>
          <t>IF(OR(E373="",AK373=""),"",IF(COUNT(AG373:AJ373)=0,"",AK373-LOOKUP(2,1/(AG373:AJ373&lt;&gt;""),AG373:AJ373)))</t>
        </is>
      </c>
      <c r="AY373" s="38" t="inlineStr">
        <is>
          <t>IF(OR(E373="",AL373=""),"",IF(COUNT(AG373:AK373)=0,"",AL373-LOOKUP(2,1/(AG373:AK373&lt;&gt;""),AG373:AK373)))</t>
        </is>
      </c>
      <c r="AZ373" s="38" t="inlineStr">
        <is>
          <t>IF(OR(E373="",AM373=""),"",IF(COUNT(AG373:AL373)=0,"",AM373-LOOKUP(2,1/(AG373:AL373&lt;&gt;""),AG373:AL373)))</t>
        </is>
      </c>
      <c r="BA373" s="38" t="inlineStr">
        <is>
          <t>IF(OR(E373="",AN373=""),"",IF(COUNT(AG373:AM373)=0,"",AN373-LOOKUP(2,1/(AG373:AM373&lt;&gt;""),AG373:AM373)))</t>
        </is>
      </c>
      <c r="BB373" s="38" t="inlineStr">
        <is>
          <t>IF(OR(E373="",AO373=""),"",IF(COUNT(AG373:AN373)=0,"",AO373-LOOKUP(2,1/(AG373:AN373&lt;&gt;""),AG373:AN373)))</t>
        </is>
      </c>
      <c r="BC373" s="38" t="inlineStr">
        <is>
          <t>IF(OR(E373="",AP373=""),"",IF(COUNT(AG373:AO373)=0,"",AP373-LOOKUP(2,1/(AG373:AO373&lt;&gt;""),AG373:AO373)))</t>
        </is>
      </c>
      <c r="BD373" s="38" t="inlineStr">
        <is>
          <t>IF(OR(E373="",AQ373=""),"",IF(COUNT(AG373:AP373)=0,"",AQ373-LOOKUP(2,1/(AG373:AP373&lt;&gt;""),AG373:AP373)))</t>
        </is>
      </c>
      <c r="BE373" s="38" t="inlineStr">
        <is>
          <t>IF(OR(E373="",AR373=""),"",IF(COUNT(AG373:AQ373)=0,"",AR373-LOOKUP(2,1/(AG373:AQ373&lt;&gt;""),AG373:AQ373)))</t>
        </is>
      </c>
      <c r="BF373" s="38" t="inlineStr">
        <is>
          <t>IF(OR(E373="",AS373=""),"",IF(COUNT(AG373:AR373)=0,"",AS373-LOOKUP(2,1/(AG373:AR373&lt;&gt;""),AG373:AR373)))</t>
        </is>
      </c>
      <c r="BG373" s="38" t="inlineStr">
        <is>
          <t>IF(OR(E373="",AT373=""),"",IF(COUNT(AG373:AS373)=0,"",AT373-LOOKUP(2,1/(AG373:AS373&lt;&gt;""),AG373:AS373)))</t>
        </is>
      </c>
      <c r="BH373" s="41" t="inlineStr">
        <is>
          <t>IF(G373="","All_Provinces",IFERROR(VLOOKUP(G373,'07_Lookups'!$A$4:$B$20,2,FALSE),"All_Provinces"))</t>
        </is>
      </c>
      <c r="BI373" s="41" t="inlineStr">
        <is>
          <t>IF(H373="","All_Districts",IFERROR(VLOOKUP(H373,'07_Lookups'!$E$4:$F$42,2,FALSE),"All_Districts"))</t>
        </is>
      </c>
    </row>
    <row r="374" ht="18" customHeight="1">
      <c r="A374" s="32" t="inlineStr">
        <is>
          <t>IF(E374="","",ROW()-3)</t>
        </is>
      </c>
      <c r="B374" s="33" t="n"/>
      <c r="C374" s="33" t="n"/>
      <c r="D374" s="33" t="n"/>
      <c r="E374" s="33" t="n"/>
      <c r="F374" s="33" t="n"/>
      <c r="G374" s="33" t="n"/>
      <c r="H374" s="33" t="n"/>
      <c r="I374" s="33" t="n"/>
      <c r="J374" s="33" t="n"/>
      <c r="K374" s="33" t="n"/>
      <c r="L374" s="33" t="n"/>
      <c r="M374" s="33" t="n"/>
      <c r="N374" s="33" t="n"/>
      <c r="O374" s="33" t="n"/>
      <c r="P374" s="33" t="n"/>
      <c r="Q374" s="34" t="n"/>
      <c r="R374" s="35" t="inlineStr">
        <is>
          <t>IF(AO374="","",AO374)</t>
        </is>
      </c>
      <c r="S374" s="36" t="n"/>
      <c r="T374" s="37" t="n"/>
      <c r="U374" s="36" t="n"/>
      <c r="V374" s="35" t="inlineStr">
        <is>
          <t>IF(U374&lt;&gt;"",U374,IF(OR(R374="",T374=""),"",EDATE(R374,T374)))</t>
        </is>
      </c>
      <c r="W374" s="36" t="n"/>
      <c r="X374" s="37" t="n"/>
      <c r="Y374" s="33" t="n"/>
      <c r="Z374" s="33" t="n"/>
      <c r="AA374" s="32" t="inlineStr">
        <is>
          <t>IF(E374="","",IF(COUNT(AG374:AT374)=0,IF(Y374="","Not started",Y374),SUBSTITUTE(LOOKUP(2,1/(AG374:AT374&lt;&gt;""),$AG$3:$AT$3),"Date: ","")))</t>
        </is>
      </c>
      <c r="AB374" s="38" t="inlineStr">
        <is>
          <t>IF(OR(E374="",COUNT(AG374:AT374)=0),"",TODAY()-LOOKUP(2,1/(AG374:AT374&lt;&gt;""),AG374:AT374))</t>
        </is>
      </c>
      <c r="AC374" s="38" t="inlineStr">
        <is>
          <t>IF(OR(E374="",COUNT(AG374:AT374)&lt;2),"",LOOKUP(2,1/(AG374:AT374&lt;&gt;""),AG374:AT374)-MIN(AG374:AT374))</t>
        </is>
      </c>
      <c r="AD374" s="38" t="inlineStr">
        <is>
          <t>IF(OR(AB374="",AA374="Not started",AA374=""),"",IFERROR(AB374-IF(VLOOKUP(AA374,'04_Status_Pipeline'!$B$3:$E$20,4,FALSE)="",0,VLOOKUP(AA374,'04_Status_Pipeline'!$B$3:$E$20,4,FALSE)),""))</t>
        </is>
      </c>
      <c r="AE374" s="32" t="inlineStr">
        <is>
          <t>IF(E374="","",IF(OR(Y374="Cancelled",AA374="Cancelled"),"Cancelled",IF(OR(AA374="Completed / Handover",W374&lt;&gt;"",X374&gt;=100),"Completed — on track",IF(L374="Remaining",IF(S374="",IF(V374="","No planned date",IF(TODAY()&gt;V374,"Behind — past planned date",IF(V374-TODAY()&lt;=30,"At risk — close to off track","On track"))),IF(TODAY()&gt;S374,"Behind — award date passed",IF(S374-TODAY()&lt;=30,"At risk — close to off track","On track"))),IF(V374="","No planned date",IF(AND(TODAY()&gt;V374,OR(X374="",X374&lt;100)),"Behind — past end date",IF(AND(R374&lt;&gt;"",V374&lt;&gt;"",X374&lt;&gt;"",(X374&lt;100),((TODAY()-R374)/MAX(V374-R374,1)*100)-X374&gt;15),"Behind — progress lag",IF(AND(V374-TODAY()&lt;=30,V374-TODAY()&gt;=0,OR(X374="",X374&lt;90)),"At risk — close to off track","On track"))))))))</t>
        </is>
      </c>
      <c r="AF374" s="38" t="inlineStr">
        <is>
          <t>IF(OR(E374="",AA374="Completed / Handover",AA374="Cancelled"),"",IF(L374="Remaining",IF(S374&lt;&gt;"",S374-TODAY(),IF(V374="","",V374-TODAY())),IF(V374="","",V374-TODAY())))</t>
        </is>
      </c>
      <c r="AG374" s="36" t="n"/>
      <c r="AH374" s="36" t="n"/>
      <c r="AI374" s="36" t="n"/>
      <c r="AJ374" s="36" t="n"/>
      <c r="AK374" s="36" t="n"/>
      <c r="AL374" s="36" t="n"/>
      <c r="AM374" s="36" t="n"/>
      <c r="AN374" s="36" t="n"/>
      <c r="AO374" s="36" t="n"/>
      <c r="AP374" s="36" t="n"/>
      <c r="AQ374" s="36" t="n"/>
      <c r="AR374" s="40" t="n"/>
      <c r="AS374" s="40" t="n"/>
      <c r="AT374" s="40" t="n"/>
      <c r="AU374" s="38" t="inlineStr">
        <is>
          <t>IF(OR(E374="",AH374=""),"",IF(COUNT(AG374:AG374)=0,"",AH374-LOOKUP(2,1/(AG374:AG374&lt;&gt;""),AG374:AG374)))</t>
        </is>
      </c>
      <c r="AV374" s="38" t="inlineStr">
        <is>
          <t>IF(OR(E374="",AI374=""),"",IF(COUNT(AG374:AH374)=0,"",AI374-LOOKUP(2,1/(AG374:AH374&lt;&gt;""),AG374:AH374)))</t>
        </is>
      </c>
      <c r="AW374" s="38" t="inlineStr">
        <is>
          <t>IF(OR(E374="",AJ374=""),"",IF(COUNT(AG374:AI374)=0,"",AJ374-LOOKUP(2,1/(AG374:AI374&lt;&gt;""),AG374:AI374)))</t>
        </is>
      </c>
      <c r="AX374" s="38" t="inlineStr">
        <is>
          <t>IF(OR(E374="",AK374=""),"",IF(COUNT(AG374:AJ374)=0,"",AK374-LOOKUP(2,1/(AG374:AJ374&lt;&gt;""),AG374:AJ374)))</t>
        </is>
      </c>
      <c r="AY374" s="38" t="inlineStr">
        <is>
          <t>IF(OR(E374="",AL374=""),"",IF(COUNT(AG374:AK374)=0,"",AL374-LOOKUP(2,1/(AG374:AK374&lt;&gt;""),AG374:AK374)))</t>
        </is>
      </c>
      <c r="AZ374" s="38" t="inlineStr">
        <is>
          <t>IF(OR(E374="",AM374=""),"",IF(COUNT(AG374:AL374)=0,"",AM374-LOOKUP(2,1/(AG374:AL374&lt;&gt;""),AG374:AL374)))</t>
        </is>
      </c>
      <c r="BA374" s="38" t="inlineStr">
        <is>
          <t>IF(OR(E374="",AN374=""),"",IF(COUNT(AG374:AM374)=0,"",AN374-LOOKUP(2,1/(AG374:AM374&lt;&gt;""),AG374:AM374)))</t>
        </is>
      </c>
      <c r="BB374" s="38" t="inlineStr">
        <is>
          <t>IF(OR(E374="",AO374=""),"",IF(COUNT(AG374:AN374)=0,"",AO374-LOOKUP(2,1/(AG374:AN374&lt;&gt;""),AG374:AN374)))</t>
        </is>
      </c>
      <c r="BC374" s="38" t="inlineStr">
        <is>
          <t>IF(OR(E374="",AP374=""),"",IF(COUNT(AG374:AO374)=0,"",AP374-LOOKUP(2,1/(AG374:AO374&lt;&gt;""),AG374:AO374)))</t>
        </is>
      </c>
      <c r="BD374" s="38" t="inlineStr">
        <is>
          <t>IF(OR(E374="",AQ374=""),"",IF(COUNT(AG374:AP374)=0,"",AQ374-LOOKUP(2,1/(AG374:AP374&lt;&gt;""),AG374:AP374)))</t>
        </is>
      </c>
      <c r="BE374" s="38" t="inlineStr">
        <is>
          <t>IF(OR(E374="",AR374=""),"",IF(COUNT(AG374:AQ374)=0,"",AR374-LOOKUP(2,1/(AG374:AQ374&lt;&gt;""),AG374:AQ374)))</t>
        </is>
      </c>
      <c r="BF374" s="38" t="inlineStr">
        <is>
          <t>IF(OR(E374="",AS374=""),"",IF(COUNT(AG374:AR374)=0,"",AS374-LOOKUP(2,1/(AG374:AR374&lt;&gt;""),AG374:AR374)))</t>
        </is>
      </c>
      <c r="BG374" s="38" t="inlineStr">
        <is>
          <t>IF(OR(E374="",AT374=""),"",IF(COUNT(AG374:AS374)=0,"",AT374-LOOKUP(2,1/(AG374:AS374&lt;&gt;""),AG374:AS374)))</t>
        </is>
      </c>
      <c r="BH374" s="41" t="inlineStr">
        <is>
          <t>IF(G374="","All_Provinces",IFERROR(VLOOKUP(G374,'07_Lookups'!$A$4:$B$20,2,FALSE),"All_Provinces"))</t>
        </is>
      </c>
      <c r="BI374" s="41" t="inlineStr">
        <is>
          <t>IF(H374="","All_Districts",IFERROR(VLOOKUP(H374,'07_Lookups'!$E$4:$F$42,2,FALSE),"All_Districts"))</t>
        </is>
      </c>
    </row>
    <row r="375" ht="18" customHeight="1">
      <c r="A375" s="32" t="inlineStr">
        <is>
          <t>IF(E375="","",ROW()-3)</t>
        </is>
      </c>
      <c r="B375" s="42" t="n"/>
      <c r="C375" s="42" t="n"/>
      <c r="D375" s="42" t="n"/>
      <c r="E375" s="42" t="n"/>
      <c r="F375" s="42" t="n"/>
      <c r="G375" s="42" t="n"/>
      <c r="H375" s="42" t="n"/>
      <c r="I375" s="42" t="n"/>
      <c r="J375" s="42" t="n"/>
      <c r="K375" s="42" t="n"/>
      <c r="L375" s="42" t="n"/>
      <c r="M375" s="42" t="n"/>
      <c r="N375" s="42" t="n"/>
      <c r="O375" s="42" t="n"/>
      <c r="P375" s="42" t="n"/>
      <c r="Q375" s="43" t="n"/>
      <c r="R375" s="35" t="inlineStr">
        <is>
          <t>IF(AO375="","",AO375)</t>
        </is>
      </c>
      <c r="S375" s="44" t="n"/>
      <c r="T375" s="45" t="n"/>
      <c r="U375" s="44" t="n"/>
      <c r="V375" s="35" t="inlineStr">
        <is>
          <t>IF(U375&lt;&gt;"",U375,IF(OR(R375="",T375=""),"",EDATE(R375,T375)))</t>
        </is>
      </c>
      <c r="W375" s="44" t="n"/>
      <c r="X375" s="45" t="n"/>
      <c r="Y375" s="42" t="n"/>
      <c r="Z375" s="42" t="n"/>
      <c r="AA375" s="32" t="inlineStr">
        <is>
          <t>IF(E375="","",IF(COUNT(AG375:AT375)=0,IF(Y375="","Not started",Y375),SUBSTITUTE(LOOKUP(2,1/(AG375:AT375&lt;&gt;""),$AG$3:$AT$3),"Date: ","")))</t>
        </is>
      </c>
      <c r="AB375" s="38" t="inlineStr">
        <is>
          <t>IF(OR(E375="",COUNT(AG375:AT375)=0),"",TODAY()-LOOKUP(2,1/(AG375:AT375&lt;&gt;""),AG375:AT375))</t>
        </is>
      </c>
      <c r="AC375" s="38" t="inlineStr">
        <is>
          <t>IF(OR(E375="",COUNT(AG375:AT375)&lt;2),"",LOOKUP(2,1/(AG375:AT375&lt;&gt;""),AG375:AT375)-MIN(AG375:AT375))</t>
        </is>
      </c>
      <c r="AD375" s="38" t="inlineStr">
        <is>
          <t>IF(OR(AB375="",AA375="Not started",AA375=""),"",IFERROR(AB375-IF(VLOOKUP(AA375,'04_Status_Pipeline'!$B$3:$E$20,4,FALSE)="",0,VLOOKUP(AA375,'04_Status_Pipeline'!$B$3:$E$20,4,FALSE)),""))</t>
        </is>
      </c>
      <c r="AE375" s="32" t="inlineStr">
        <is>
          <t>IF(E375="","",IF(OR(Y375="Cancelled",AA375="Cancelled"),"Cancelled",IF(OR(AA375="Completed / Handover",W375&lt;&gt;"",X375&gt;=100),"Completed — on track",IF(L375="Remaining",IF(S375="",IF(V375="","No planned date",IF(TODAY()&gt;V375,"Behind — past planned date",IF(V375-TODAY()&lt;=30,"At risk — close to off track","On track"))),IF(TODAY()&gt;S375,"Behind — award date passed",IF(S375-TODAY()&lt;=30,"At risk — close to off track","On track"))),IF(V375="","No planned date",IF(AND(TODAY()&gt;V375,OR(X375="",X375&lt;100)),"Behind — past end date",IF(AND(R375&lt;&gt;"",V375&lt;&gt;"",X375&lt;&gt;"",(X375&lt;100),((TODAY()-R375)/MAX(V375-R375,1)*100)-X375&gt;15),"Behind — progress lag",IF(AND(V375-TODAY()&lt;=30,V375-TODAY()&gt;=0,OR(X375="",X375&lt;90)),"At risk — close to off track","On track"))))))))</t>
        </is>
      </c>
      <c r="AF375" s="38" t="inlineStr">
        <is>
          <t>IF(OR(E375="",AA375="Completed / Handover",AA375="Cancelled"),"",IF(L375="Remaining",IF(S375&lt;&gt;"",S375-TODAY(),IF(V375="","",V375-TODAY())),IF(V375="","",V375-TODAY())))</t>
        </is>
      </c>
      <c r="AG375" s="44" t="n"/>
      <c r="AH375" s="44" t="n"/>
      <c r="AI375" s="44" t="n"/>
      <c r="AJ375" s="44" t="n"/>
      <c r="AK375" s="44" t="n"/>
      <c r="AL375" s="44" t="n"/>
      <c r="AM375" s="44" t="n"/>
      <c r="AN375" s="44" t="n"/>
      <c r="AO375" s="44" t="n"/>
      <c r="AP375" s="44" t="n"/>
      <c r="AQ375" s="44" t="n"/>
      <c r="AR375" s="40" t="n"/>
      <c r="AS375" s="40" t="n"/>
      <c r="AT375" s="40" t="n"/>
      <c r="AU375" s="38" t="inlineStr">
        <is>
          <t>IF(OR(E375="",AH375=""),"",IF(COUNT(AG375:AG375)=0,"",AH375-LOOKUP(2,1/(AG375:AG375&lt;&gt;""),AG375:AG375)))</t>
        </is>
      </c>
      <c r="AV375" s="38" t="inlineStr">
        <is>
          <t>IF(OR(E375="",AI375=""),"",IF(COUNT(AG375:AH375)=0,"",AI375-LOOKUP(2,1/(AG375:AH375&lt;&gt;""),AG375:AH375)))</t>
        </is>
      </c>
      <c r="AW375" s="38" t="inlineStr">
        <is>
          <t>IF(OR(E375="",AJ375=""),"",IF(COUNT(AG375:AI375)=0,"",AJ375-LOOKUP(2,1/(AG375:AI375&lt;&gt;""),AG375:AI375)))</t>
        </is>
      </c>
      <c r="AX375" s="38" t="inlineStr">
        <is>
          <t>IF(OR(E375="",AK375=""),"",IF(COUNT(AG375:AJ375)=0,"",AK375-LOOKUP(2,1/(AG375:AJ375&lt;&gt;""),AG375:AJ375)))</t>
        </is>
      </c>
      <c r="AY375" s="38" t="inlineStr">
        <is>
          <t>IF(OR(E375="",AL375=""),"",IF(COUNT(AG375:AK375)=0,"",AL375-LOOKUP(2,1/(AG375:AK375&lt;&gt;""),AG375:AK375)))</t>
        </is>
      </c>
      <c r="AZ375" s="38" t="inlineStr">
        <is>
          <t>IF(OR(E375="",AM375=""),"",IF(COUNT(AG375:AL375)=0,"",AM375-LOOKUP(2,1/(AG375:AL375&lt;&gt;""),AG375:AL375)))</t>
        </is>
      </c>
      <c r="BA375" s="38" t="inlineStr">
        <is>
          <t>IF(OR(E375="",AN375=""),"",IF(COUNT(AG375:AM375)=0,"",AN375-LOOKUP(2,1/(AG375:AM375&lt;&gt;""),AG375:AM375)))</t>
        </is>
      </c>
      <c r="BB375" s="38" t="inlineStr">
        <is>
          <t>IF(OR(E375="",AO375=""),"",IF(COUNT(AG375:AN375)=0,"",AO375-LOOKUP(2,1/(AG375:AN375&lt;&gt;""),AG375:AN375)))</t>
        </is>
      </c>
      <c r="BC375" s="38" t="inlineStr">
        <is>
          <t>IF(OR(E375="",AP375=""),"",IF(COUNT(AG375:AO375)=0,"",AP375-LOOKUP(2,1/(AG375:AO375&lt;&gt;""),AG375:AO375)))</t>
        </is>
      </c>
      <c r="BD375" s="38" t="inlineStr">
        <is>
          <t>IF(OR(E375="",AQ375=""),"",IF(COUNT(AG375:AP375)=0,"",AQ375-LOOKUP(2,1/(AG375:AP375&lt;&gt;""),AG375:AP375)))</t>
        </is>
      </c>
      <c r="BE375" s="38" t="inlineStr">
        <is>
          <t>IF(OR(E375="",AR375=""),"",IF(COUNT(AG375:AQ375)=0,"",AR375-LOOKUP(2,1/(AG375:AQ375&lt;&gt;""),AG375:AQ375)))</t>
        </is>
      </c>
      <c r="BF375" s="38" t="inlineStr">
        <is>
          <t>IF(OR(E375="",AS375=""),"",IF(COUNT(AG375:AR375)=0,"",AS375-LOOKUP(2,1/(AG375:AR375&lt;&gt;""),AG375:AR375)))</t>
        </is>
      </c>
      <c r="BG375" s="38" t="inlineStr">
        <is>
          <t>IF(OR(E375="",AT375=""),"",IF(COUNT(AG375:AS375)=0,"",AT375-LOOKUP(2,1/(AG375:AS375&lt;&gt;""),AG375:AS375)))</t>
        </is>
      </c>
      <c r="BH375" s="41" t="inlineStr">
        <is>
          <t>IF(G375="","All_Provinces",IFERROR(VLOOKUP(G375,'07_Lookups'!$A$4:$B$20,2,FALSE),"All_Provinces"))</t>
        </is>
      </c>
      <c r="BI375" s="41" t="inlineStr">
        <is>
          <t>IF(H375="","All_Districts",IFERROR(VLOOKUP(H375,'07_Lookups'!$E$4:$F$42,2,FALSE),"All_Districts"))</t>
        </is>
      </c>
    </row>
    <row r="376" ht="18" customHeight="1">
      <c r="A376" s="32" t="inlineStr">
        <is>
          <t>IF(E376="","",ROW()-3)</t>
        </is>
      </c>
      <c r="B376" s="33" t="n"/>
      <c r="C376" s="33" t="n"/>
      <c r="D376" s="33" t="n"/>
      <c r="E376" s="33" t="n"/>
      <c r="F376" s="33" t="n"/>
      <c r="G376" s="33" t="n"/>
      <c r="H376" s="33" t="n"/>
      <c r="I376" s="33" t="n"/>
      <c r="J376" s="33" t="n"/>
      <c r="K376" s="33" t="n"/>
      <c r="L376" s="33" t="n"/>
      <c r="M376" s="33" t="n"/>
      <c r="N376" s="33" t="n"/>
      <c r="O376" s="33" t="n"/>
      <c r="P376" s="33" t="n"/>
      <c r="Q376" s="34" t="n"/>
      <c r="R376" s="35" t="inlineStr">
        <is>
          <t>IF(AO376="","",AO376)</t>
        </is>
      </c>
      <c r="S376" s="36" t="n"/>
      <c r="T376" s="37" t="n"/>
      <c r="U376" s="36" t="n"/>
      <c r="V376" s="35" t="inlineStr">
        <is>
          <t>IF(U376&lt;&gt;"",U376,IF(OR(R376="",T376=""),"",EDATE(R376,T376)))</t>
        </is>
      </c>
      <c r="W376" s="36" t="n"/>
      <c r="X376" s="37" t="n"/>
      <c r="Y376" s="33" t="n"/>
      <c r="Z376" s="33" t="n"/>
      <c r="AA376" s="32" t="inlineStr">
        <is>
          <t>IF(E376="","",IF(COUNT(AG376:AT376)=0,IF(Y376="","Not started",Y376),SUBSTITUTE(LOOKUP(2,1/(AG376:AT376&lt;&gt;""),$AG$3:$AT$3),"Date: ","")))</t>
        </is>
      </c>
      <c r="AB376" s="38" t="inlineStr">
        <is>
          <t>IF(OR(E376="",COUNT(AG376:AT376)=0),"",TODAY()-LOOKUP(2,1/(AG376:AT376&lt;&gt;""),AG376:AT376))</t>
        </is>
      </c>
      <c r="AC376" s="38" t="inlineStr">
        <is>
          <t>IF(OR(E376="",COUNT(AG376:AT376)&lt;2),"",LOOKUP(2,1/(AG376:AT376&lt;&gt;""),AG376:AT376)-MIN(AG376:AT376))</t>
        </is>
      </c>
      <c r="AD376" s="38" t="inlineStr">
        <is>
          <t>IF(OR(AB376="",AA376="Not started",AA376=""),"",IFERROR(AB376-IF(VLOOKUP(AA376,'04_Status_Pipeline'!$B$3:$E$20,4,FALSE)="",0,VLOOKUP(AA376,'04_Status_Pipeline'!$B$3:$E$20,4,FALSE)),""))</t>
        </is>
      </c>
      <c r="AE376" s="32" t="inlineStr">
        <is>
          <t>IF(E376="","",IF(OR(Y376="Cancelled",AA376="Cancelled"),"Cancelled",IF(OR(AA376="Completed / Handover",W376&lt;&gt;"",X376&gt;=100),"Completed — on track",IF(L376="Remaining",IF(S376="",IF(V376="","No planned date",IF(TODAY()&gt;V376,"Behind — past planned date",IF(V376-TODAY()&lt;=30,"At risk — close to off track","On track"))),IF(TODAY()&gt;S376,"Behind — award date passed",IF(S376-TODAY()&lt;=30,"At risk — close to off track","On track"))),IF(V376="","No planned date",IF(AND(TODAY()&gt;V376,OR(X376="",X376&lt;100)),"Behind — past end date",IF(AND(R376&lt;&gt;"",V376&lt;&gt;"",X376&lt;&gt;"",(X376&lt;100),((TODAY()-R376)/MAX(V376-R376,1)*100)-X376&gt;15),"Behind — progress lag",IF(AND(V376-TODAY()&lt;=30,V376-TODAY()&gt;=0,OR(X376="",X376&lt;90)),"At risk — close to off track","On track"))))))))</t>
        </is>
      </c>
      <c r="AF376" s="38" t="inlineStr">
        <is>
          <t>IF(OR(E376="",AA376="Completed / Handover",AA376="Cancelled"),"",IF(L376="Remaining",IF(S376&lt;&gt;"",S376-TODAY(),IF(V376="","",V376-TODAY())),IF(V376="","",V376-TODAY())))</t>
        </is>
      </c>
      <c r="AG376" s="36" t="n"/>
      <c r="AH376" s="36" t="n"/>
      <c r="AI376" s="36" t="n"/>
      <c r="AJ376" s="36" t="n"/>
      <c r="AK376" s="36" t="n"/>
      <c r="AL376" s="36" t="n"/>
      <c r="AM376" s="36" t="n"/>
      <c r="AN376" s="36" t="n"/>
      <c r="AO376" s="36" t="n"/>
      <c r="AP376" s="36" t="n"/>
      <c r="AQ376" s="36" t="n"/>
      <c r="AR376" s="40" t="n"/>
      <c r="AS376" s="40" t="n"/>
      <c r="AT376" s="40" t="n"/>
      <c r="AU376" s="38" t="inlineStr">
        <is>
          <t>IF(OR(E376="",AH376=""),"",IF(COUNT(AG376:AG376)=0,"",AH376-LOOKUP(2,1/(AG376:AG376&lt;&gt;""),AG376:AG376)))</t>
        </is>
      </c>
      <c r="AV376" s="38" t="inlineStr">
        <is>
          <t>IF(OR(E376="",AI376=""),"",IF(COUNT(AG376:AH376)=0,"",AI376-LOOKUP(2,1/(AG376:AH376&lt;&gt;""),AG376:AH376)))</t>
        </is>
      </c>
      <c r="AW376" s="38" t="inlineStr">
        <is>
          <t>IF(OR(E376="",AJ376=""),"",IF(COUNT(AG376:AI376)=0,"",AJ376-LOOKUP(2,1/(AG376:AI376&lt;&gt;""),AG376:AI376)))</t>
        </is>
      </c>
      <c r="AX376" s="38" t="inlineStr">
        <is>
          <t>IF(OR(E376="",AK376=""),"",IF(COUNT(AG376:AJ376)=0,"",AK376-LOOKUP(2,1/(AG376:AJ376&lt;&gt;""),AG376:AJ376)))</t>
        </is>
      </c>
      <c r="AY376" s="38" t="inlineStr">
        <is>
          <t>IF(OR(E376="",AL376=""),"",IF(COUNT(AG376:AK376)=0,"",AL376-LOOKUP(2,1/(AG376:AK376&lt;&gt;""),AG376:AK376)))</t>
        </is>
      </c>
      <c r="AZ376" s="38" t="inlineStr">
        <is>
          <t>IF(OR(E376="",AM376=""),"",IF(COUNT(AG376:AL376)=0,"",AM376-LOOKUP(2,1/(AG376:AL376&lt;&gt;""),AG376:AL376)))</t>
        </is>
      </c>
      <c r="BA376" s="38" t="inlineStr">
        <is>
          <t>IF(OR(E376="",AN376=""),"",IF(COUNT(AG376:AM376)=0,"",AN376-LOOKUP(2,1/(AG376:AM376&lt;&gt;""),AG376:AM376)))</t>
        </is>
      </c>
      <c r="BB376" s="38" t="inlineStr">
        <is>
          <t>IF(OR(E376="",AO376=""),"",IF(COUNT(AG376:AN376)=0,"",AO376-LOOKUP(2,1/(AG376:AN376&lt;&gt;""),AG376:AN376)))</t>
        </is>
      </c>
      <c r="BC376" s="38" t="inlineStr">
        <is>
          <t>IF(OR(E376="",AP376=""),"",IF(COUNT(AG376:AO376)=0,"",AP376-LOOKUP(2,1/(AG376:AO376&lt;&gt;""),AG376:AO376)))</t>
        </is>
      </c>
      <c r="BD376" s="38" t="inlineStr">
        <is>
          <t>IF(OR(E376="",AQ376=""),"",IF(COUNT(AG376:AP376)=0,"",AQ376-LOOKUP(2,1/(AG376:AP376&lt;&gt;""),AG376:AP376)))</t>
        </is>
      </c>
      <c r="BE376" s="38" t="inlineStr">
        <is>
          <t>IF(OR(E376="",AR376=""),"",IF(COUNT(AG376:AQ376)=0,"",AR376-LOOKUP(2,1/(AG376:AQ376&lt;&gt;""),AG376:AQ376)))</t>
        </is>
      </c>
      <c r="BF376" s="38" t="inlineStr">
        <is>
          <t>IF(OR(E376="",AS376=""),"",IF(COUNT(AG376:AR376)=0,"",AS376-LOOKUP(2,1/(AG376:AR376&lt;&gt;""),AG376:AR376)))</t>
        </is>
      </c>
      <c r="BG376" s="38" t="inlineStr">
        <is>
          <t>IF(OR(E376="",AT376=""),"",IF(COUNT(AG376:AS376)=0,"",AT376-LOOKUP(2,1/(AG376:AS376&lt;&gt;""),AG376:AS376)))</t>
        </is>
      </c>
      <c r="BH376" s="41" t="inlineStr">
        <is>
          <t>IF(G376="","All_Provinces",IFERROR(VLOOKUP(G376,'07_Lookups'!$A$4:$B$20,2,FALSE),"All_Provinces"))</t>
        </is>
      </c>
      <c r="BI376" s="41" t="inlineStr">
        <is>
          <t>IF(H376="","All_Districts",IFERROR(VLOOKUP(H376,'07_Lookups'!$E$4:$F$42,2,FALSE),"All_Districts"))</t>
        </is>
      </c>
    </row>
    <row r="377" ht="18" customHeight="1">
      <c r="A377" s="32" t="inlineStr">
        <is>
          <t>IF(E377="","",ROW()-3)</t>
        </is>
      </c>
      <c r="B377" s="42" t="n"/>
      <c r="C377" s="42" t="n"/>
      <c r="D377" s="42" t="n"/>
      <c r="E377" s="42" t="n"/>
      <c r="F377" s="42" t="n"/>
      <c r="G377" s="42" t="n"/>
      <c r="H377" s="42" t="n"/>
      <c r="I377" s="42" t="n"/>
      <c r="J377" s="42" t="n"/>
      <c r="K377" s="42" t="n"/>
      <c r="L377" s="42" t="n"/>
      <c r="M377" s="42" t="n"/>
      <c r="N377" s="42" t="n"/>
      <c r="O377" s="42" t="n"/>
      <c r="P377" s="42" t="n"/>
      <c r="Q377" s="43" t="n"/>
      <c r="R377" s="35" t="inlineStr">
        <is>
          <t>IF(AO377="","",AO377)</t>
        </is>
      </c>
      <c r="S377" s="44" t="n"/>
      <c r="T377" s="45" t="n"/>
      <c r="U377" s="44" t="n"/>
      <c r="V377" s="35" t="inlineStr">
        <is>
          <t>IF(U377&lt;&gt;"",U377,IF(OR(R377="",T377=""),"",EDATE(R377,T377)))</t>
        </is>
      </c>
      <c r="W377" s="44" t="n"/>
      <c r="X377" s="45" t="n"/>
      <c r="Y377" s="42" t="n"/>
      <c r="Z377" s="42" t="n"/>
      <c r="AA377" s="32" t="inlineStr">
        <is>
          <t>IF(E377="","",IF(COUNT(AG377:AT377)=0,IF(Y377="","Not started",Y377),SUBSTITUTE(LOOKUP(2,1/(AG377:AT377&lt;&gt;""),$AG$3:$AT$3),"Date: ","")))</t>
        </is>
      </c>
      <c r="AB377" s="38" t="inlineStr">
        <is>
          <t>IF(OR(E377="",COUNT(AG377:AT377)=0),"",TODAY()-LOOKUP(2,1/(AG377:AT377&lt;&gt;""),AG377:AT377))</t>
        </is>
      </c>
      <c r="AC377" s="38" t="inlineStr">
        <is>
          <t>IF(OR(E377="",COUNT(AG377:AT377)&lt;2),"",LOOKUP(2,1/(AG377:AT377&lt;&gt;""),AG377:AT377)-MIN(AG377:AT377))</t>
        </is>
      </c>
      <c r="AD377" s="38" t="inlineStr">
        <is>
          <t>IF(OR(AB377="",AA377="Not started",AA377=""),"",IFERROR(AB377-IF(VLOOKUP(AA377,'04_Status_Pipeline'!$B$3:$E$20,4,FALSE)="",0,VLOOKUP(AA377,'04_Status_Pipeline'!$B$3:$E$20,4,FALSE)),""))</t>
        </is>
      </c>
      <c r="AE377" s="32" t="inlineStr">
        <is>
          <t>IF(E377="","",IF(OR(Y377="Cancelled",AA377="Cancelled"),"Cancelled",IF(OR(AA377="Completed / Handover",W377&lt;&gt;"",X377&gt;=100),"Completed — on track",IF(L377="Remaining",IF(S377="",IF(V377="","No planned date",IF(TODAY()&gt;V377,"Behind — past planned date",IF(V377-TODAY()&lt;=30,"At risk — close to off track","On track"))),IF(TODAY()&gt;S377,"Behind — award date passed",IF(S377-TODAY()&lt;=30,"At risk — close to off track","On track"))),IF(V377="","No planned date",IF(AND(TODAY()&gt;V377,OR(X377="",X377&lt;100)),"Behind — past end date",IF(AND(R377&lt;&gt;"",V377&lt;&gt;"",X377&lt;&gt;"",(X377&lt;100),((TODAY()-R377)/MAX(V377-R377,1)*100)-X377&gt;15),"Behind — progress lag",IF(AND(V377-TODAY()&lt;=30,V377-TODAY()&gt;=0,OR(X377="",X377&lt;90)),"At risk — close to off track","On track"))))))))</t>
        </is>
      </c>
      <c r="AF377" s="38" t="inlineStr">
        <is>
          <t>IF(OR(E377="",AA377="Completed / Handover",AA377="Cancelled"),"",IF(L377="Remaining",IF(S377&lt;&gt;"",S377-TODAY(),IF(V377="","",V377-TODAY())),IF(V377="","",V377-TODAY())))</t>
        </is>
      </c>
      <c r="AG377" s="44" t="n"/>
      <c r="AH377" s="44" t="n"/>
      <c r="AI377" s="44" t="n"/>
      <c r="AJ377" s="44" t="n"/>
      <c r="AK377" s="44" t="n"/>
      <c r="AL377" s="44" t="n"/>
      <c r="AM377" s="44" t="n"/>
      <c r="AN377" s="44" t="n"/>
      <c r="AO377" s="44" t="n"/>
      <c r="AP377" s="44" t="n"/>
      <c r="AQ377" s="44" t="n"/>
      <c r="AR377" s="40" t="n"/>
      <c r="AS377" s="40" t="n"/>
      <c r="AT377" s="40" t="n"/>
      <c r="AU377" s="38" t="inlineStr">
        <is>
          <t>IF(OR(E377="",AH377=""),"",IF(COUNT(AG377:AG377)=0,"",AH377-LOOKUP(2,1/(AG377:AG377&lt;&gt;""),AG377:AG377)))</t>
        </is>
      </c>
      <c r="AV377" s="38" t="inlineStr">
        <is>
          <t>IF(OR(E377="",AI377=""),"",IF(COUNT(AG377:AH377)=0,"",AI377-LOOKUP(2,1/(AG377:AH377&lt;&gt;""),AG377:AH377)))</t>
        </is>
      </c>
      <c r="AW377" s="38" t="inlineStr">
        <is>
          <t>IF(OR(E377="",AJ377=""),"",IF(COUNT(AG377:AI377)=0,"",AJ377-LOOKUP(2,1/(AG377:AI377&lt;&gt;""),AG377:AI377)))</t>
        </is>
      </c>
      <c r="AX377" s="38" t="inlineStr">
        <is>
          <t>IF(OR(E377="",AK377=""),"",IF(COUNT(AG377:AJ377)=0,"",AK377-LOOKUP(2,1/(AG377:AJ377&lt;&gt;""),AG377:AJ377)))</t>
        </is>
      </c>
      <c r="AY377" s="38" t="inlineStr">
        <is>
          <t>IF(OR(E377="",AL377=""),"",IF(COUNT(AG377:AK377)=0,"",AL377-LOOKUP(2,1/(AG377:AK377&lt;&gt;""),AG377:AK377)))</t>
        </is>
      </c>
      <c r="AZ377" s="38" t="inlineStr">
        <is>
          <t>IF(OR(E377="",AM377=""),"",IF(COUNT(AG377:AL377)=0,"",AM377-LOOKUP(2,1/(AG377:AL377&lt;&gt;""),AG377:AL377)))</t>
        </is>
      </c>
      <c r="BA377" s="38" t="inlineStr">
        <is>
          <t>IF(OR(E377="",AN377=""),"",IF(COUNT(AG377:AM377)=0,"",AN377-LOOKUP(2,1/(AG377:AM377&lt;&gt;""),AG377:AM377)))</t>
        </is>
      </c>
      <c r="BB377" s="38" t="inlineStr">
        <is>
          <t>IF(OR(E377="",AO377=""),"",IF(COUNT(AG377:AN377)=0,"",AO377-LOOKUP(2,1/(AG377:AN377&lt;&gt;""),AG377:AN377)))</t>
        </is>
      </c>
      <c r="BC377" s="38" t="inlineStr">
        <is>
          <t>IF(OR(E377="",AP377=""),"",IF(COUNT(AG377:AO377)=0,"",AP377-LOOKUP(2,1/(AG377:AO377&lt;&gt;""),AG377:AO377)))</t>
        </is>
      </c>
      <c r="BD377" s="38" t="inlineStr">
        <is>
          <t>IF(OR(E377="",AQ377=""),"",IF(COUNT(AG377:AP377)=0,"",AQ377-LOOKUP(2,1/(AG377:AP377&lt;&gt;""),AG377:AP377)))</t>
        </is>
      </c>
      <c r="BE377" s="38" t="inlineStr">
        <is>
          <t>IF(OR(E377="",AR377=""),"",IF(COUNT(AG377:AQ377)=0,"",AR377-LOOKUP(2,1/(AG377:AQ377&lt;&gt;""),AG377:AQ377)))</t>
        </is>
      </c>
      <c r="BF377" s="38" t="inlineStr">
        <is>
          <t>IF(OR(E377="",AS377=""),"",IF(COUNT(AG377:AR377)=0,"",AS377-LOOKUP(2,1/(AG377:AR377&lt;&gt;""),AG377:AR377)))</t>
        </is>
      </c>
      <c r="BG377" s="38" t="inlineStr">
        <is>
          <t>IF(OR(E377="",AT377=""),"",IF(COUNT(AG377:AS377)=0,"",AT377-LOOKUP(2,1/(AG377:AS377&lt;&gt;""),AG377:AS377)))</t>
        </is>
      </c>
      <c r="BH377" s="41" t="inlineStr">
        <is>
          <t>IF(G377="","All_Provinces",IFERROR(VLOOKUP(G377,'07_Lookups'!$A$4:$B$20,2,FALSE),"All_Provinces"))</t>
        </is>
      </c>
      <c r="BI377" s="41" t="inlineStr">
        <is>
          <t>IF(H377="","All_Districts",IFERROR(VLOOKUP(H377,'07_Lookups'!$E$4:$F$42,2,FALSE),"All_Districts"))</t>
        </is>
      </c>
    </row>
    <row r="378" ht="18" customHeight="1">
      <c r="A378" s="32" t="inlineStr">
        <is>
          <t>IF(E378="","",ROW()-3)</t>
        </is>
      </c>
      <c r="B378" s="33" t="n"/>
      <c r="C378" s="33" t="n"/>
      <c r="D378" s="33" t="n"/>
      <c r="E378" s="33" t="n"/>
      <c r="F378" s="33" t="n"/>
      <c r="G378" s="33" t="n"/>
      <c r="H378" s="33" t="n"/>
      <c r="I378" s="33" t="n"/>
      <c r="J378" s="33" t="n"/>
      <c r="K378" s="33" t="n"/>
      <c r="L378" s="33" t="n"/>
      <c r="M378" s="33" t="n"/>
      <c r="N378" s="33" t="n"/>
      <c r="O378" s="33" t="n"/>
      <c r="P378" s="33" t="n"/>
      <c r="Q378" s="34" t="n"/>
      <c r="R378" s="35" t="inlineStr">
        <is>
          <t>IF(AO378="","",AO378)</t>
        </is>
      </c>
      <c r="S378" s="36" t="n"/>
      <c r="T378" s="37" t="n"/>
      <c r="U378" s="36" t="n"/>
      <c r="V378" s="35" t="inlineStr">
        <is>
          <t>IF(U378&lt;&gt;"",U378,IF(OR(R378="",T378=""),"",EDATE(R378,T378)))</t>
        </is>
      </c>
      <c r="W378" s="36" t="n"/>
      <c r="X378" s="37" t="n"/>
      <c r="Y378" s="33" t="n"/>
      <c r="Z378" s="33" t="n"/>
      <c r="AA378" s="32" t="inlineStr">
        <is>
          <t>IF(E378="","",IF(COUNT(AG378:AT378)=0,IF(Y378="","Not started",Y378),SUBSTITUTE(LOOKUP(2,1/(AG378:AT378&lt;&gt;""),$AG$3:$AT$3),"Date: ","")))</t>
        </is>
      </c>
      <c r="AB378" s="38" t="inlineStr">
        <is>
          <t>IF(OR(E378="",COUNT(AG378:AT378)=0),"",TODAY()-LOOKUP(2,1/(AG378:AT378&lt;&gt;""),AG378:AT378))</t>
        </is>
      </c>
      <c r="AC378" s="38" t="inlineStr">
        <is>
          <t>IF(OR(E378="",COUNT(AG378:AT378)&lt;2),"",LOOKUP(2,1/(AG378:AT378&lt;&gt;""),AG378:AT378)-MIN(AG378:AT378))</t>
        </is>
      </c>
      <c r="AD378" s="38" t="inlineStr">
        <is>
          <t>IF(OR(AB378="",AA378="Not started",AA378=""),"",IFERROR(AB378-IF(VLOOKUP(AA378,'04_Status_Pipeline'!$B$3:$E$20,4,FALSE)="",0,VLOOKUP(AA378,'04_Status_Pipeline'!$B$3:$E$20,4,FALSE)),""))</t>
        </is>
      </c>
      <c r="AE378" s="32" t="inlineStr">
        <is>
          <t>IF(E378="","",IF(OR(Y378="Cancelled",AA378="Cancelled"),"Cancelled",IF(OR(AA378="Completed / Handover",W378&lt;&gt;"",X378&gt;=100),"Completed — on track",IF(L378="Remaining",IF(S378="",IF(V378="","No planned date",IF(TODAY()&gt;V378,"Behind — past planned date",IF(V378-TODAY()&lt;=30,"At risk — close to off track","On track"))),IF(TODAY()&gt;S378,"Behind — award date passed",IF(S378-TODAY()&lt;=30,"At risk — close to off track","On track"))),IF(V378="","No planned date",IF(AND(TODAY()&gt;V378,OR(X378="",X378&lt;100)),"Behind — past end date",IF(AND(R378&lt;&gt;"",V378&lt;&gt;"",X378&lt;&gt;"",(X378&lt;100),((TODAY()-R378)/MAX(V378-R378,1)*100)-X378&gt;15),"Behind — progress lag",IF(AND(V378-TODAY()&lt;=30,V378-TODAY()&gt;=0,OR(X378="",X378&lt;90)),"At risk — close to off track","On track"))))))))</t>
        </is>
      </c>
      <c r="AF378" s="38" t="inlineStr">
        <is>
          <t>IF(OR(E378="",AA378="Completed / Handover",AA378="Cancelled"),"",IF(L378="Remaining",IF(S378&lt;&gt;"",S378-TODAY(),IF(V378="","",V378-TODAY())),IF(V378="","",V378-TODAY())))</t>
        </is>
      </c>
      <c r="AG378" s="36" t="n"/>
      <c r="AH378" s="36" t="n"/>
      <c r="AI378" s="36" t="n"/>
      <c r="AJ378" s="36" t="n"/>
      <c r="AK378" s="36" t="n"/>
      <c r="AL378" s="36" t="n"/>
      <c r="AM378" s="36" t="n"/>
      <c r="AN378" s="36" t="n"/>
      <c r="AO378" s="36" t="n"/>
      <c r="AP378" s="36" t="n"/>
      <c r="AQ378" s="36" t="n"/>
      <c r="AR378" s="40" t="n"/>
      <c r="AS378" s="40" t="n"/>
      <c r="AT378" s="40" t="n"/>
      <c r="AU378" s="38" t="inlineStr">
        <is>
          <t>IF(OR(E378="",AH378=""),"",IF(COUNT(AG378:AG378)=0,"",AH378-LOOKUP(2,1/(AG378:AG378&lt;&gt;""),AG378:AG378)))</t>
        </is>
      </c>
      <c r="AV378" s="38" t="inlineStr">
        <is>
          <t>IF(OR(E378="",AI378=""),"",IF(COUNT(AG378:AH378)=0,"",AI378-LOOKUP(2,1/(AG378:AH378&lt;&gt;""),AG378:AH378)))</t>
        </is>
      </c>
      <c r="AW378" s="38" t="inlineStr">
        <is>
          <t>IF(OR(E378="",AJ378=""),"",IF(COUNT(AG378:AI378)=0,"",AJ378-LOOKUP(2,1/(AG378:AI378&lt;&gt;""),AG378:AI378)))</t>
        </is>
      </c>
      <c r="AX378" s="38" t="inlineStr">
        <is>
          <t>IF(OR(E378="",AK378=""),"",IF(COUNT(AG378:AJ378)=0,"",AK378-LOOKUP(2,1/(AG378:AJ378&lt;&gt;""),AG378:AJ378)))</t>
        </is>
      </c>
      <c r="AY378" s="38" t="inlineStr">
        <is>
          <t>IF(OR(E378="",AL378=""),"",IF(COUNT(AG378:AK378)=0,"",AL378-LOOKUP(2,1/(AG378:AK378&lt;&gt;""),AG378:AK378)))</t>
        </is>
      </c>
      <c r="AZ378" s="38" t="inlineStr">
        <is>
          <t>IF(OR(E378="",AM378=""),"",IF(COUNT(AG378:AL378)=0,"",AM378-LOOKUP(2,1/(AG378:AL378&lt;&gt;""),AG378:AL378)))</t>
        </is>
      </c>
      <c r="BA378" s="38" t="inlineStr">
        <is>
          <t>IF(OR(E378="",AN378=""),"",IF(COUNT(AG378:AM378)=0,"",AN378-LOOKUP(2,1/(AG378:AM378&lt;&gt;""),AG378:AM378)))</t>
        </is>
      </c>
      <c r="BB378" s="38" t="inlineStr">
        <is>
          <t>IF(OR(E378="",AO378=""),"",IF(COUNT(AG378:AN378)=0,"",AO378-LOOKUP(2,1/(AG378:AN378&lt;&gt;""),AG378:AN378)))</t>
        </is>
      </c>
      <c r="BC378" s="38" t="inlineStr">
        <is>
          <t>IF(OR(E378="",AP378=""),"",IF(COUNT(AG378:AO378)=0,"",AP378-LOOKUP(2,1/(AG378:AO378&lt;&gt;""),AG378:AO378)))</t>
        </is>
      </c>
      <c r="BD378" s="38" t="inlineStr">
        <is>
          <t>IF(OR(E378="",AQ378=""),"",IF(COUNT(AG378:AP378)=0,"",AQ378-LOOKUP(2,1/(AG378:AP378&lt;&gt;""),AG378:AP378)))</t>
        </is>
      </c>
      <c r="BE378" s="38" t="inlineStr">
        <is>
          <t>IF(OR(E378="",AR378=""),"",IF(COUNT(AG378:AQ378)=0,"",AR378-LOOKUP(2,1/(AG378:AQ378&lt;&gt;""),AG378:AQ378)))</t>
        </is>
      </c>
      <c r="BF378" s="38" t="inlineStr">
        <is>
          <t>IF(OR(E378="",AS378=""),"",IF(COUNT(AG378:AR378)=0,"",AS378-LOOKUP(2,1/(AG378:AR378&lt;&gt;""),AG378:AR378)))</t>
        </is>
      </c>
      <c r="BG378" s="38" t="inlineStr">
        <is>
          <t>IF(OR(E378="",AT378=""),"",IF(COUNT(AG378:AS378)=0,"",AT378-LOOKUP(2,1/(AG378:AS378&lt;&gt;""),AG378:AS378)))</t>
        </is>
      </c>
      <c r="BH378" s="41" t="inlineStr">
        <is>
          <t>IF(G378="","All_Provinces",IFERROR(VLOOKUP(G378,'07_Lookups'!$A$4:$B$20,2,FALSE),"All_Provinces"))</t>
        </is>
      </c>
      <c r="BI378" s="41" t="inlineStr">
        <is>
          <t>IF(H378="","All_Districts",IFERROR(VLOOKUP(H378,'07_Lookups'!$E$4:$F$42,2,FALSE),"All_Districts"))</t>
        </is>
      </c>
    </row>
    <row r="379" ht="18" customHeight="1">
      <c r="A379" s="32" t="inlineStr">
        <is>
          <t>IF(E379="","",ROW()-3)</t>
        </is>
      </c>
      <c r="B379" s="42" t="n"/>
      <c r="C379" s="42" t="n"/>
      <c r="D379" s="42" t="n"/>
      <c r="E379" s="42" t="n"/>
      <c r="F379" s="42" t="n"/>
      <c r="G379" s="42" t="n"/>
      <c r="H379" s="42" t="n"/>
      <c r="I379" s="42" t="n"/>
      <c r="J379" s="42" t="n"/>
      <c r="K379" s="42" t="n"/>
      <c r="L379" s="42" t="n"/>
      <c r="M379" s="42" t="n"/>
      <c r="N379" s="42" t="n"/>
      <c r="O379" s="42" t="n"/>
      <c r="P379" s="42" t="n"/>
      <c r="Q379" s="43" t="n"/>
      <c r="R379" s="35" t="inlineStr">
        <is>
          <t>IF(AO379="","",AO379)</t>
        </is>
      </c>
      <c r="S379" s="44" t="n"/>
      <c r="T379" s="45" t="n"/>
      <c r="U379" s="44" t="n"/>
      <c r="V379" s="35" t="inlineStr">
        <is>
          <t>IF(U379&lt;&gt;"",U379,IF(OR(R379="",T379=""),"",EDATE(R379,T379)))</t>
        </is>
      </c>
      <c r="W379" s="44" t="n"/>
      <c r="X379" s="45" t="n"/>
      <c r="Y379" s="42" t="n"/>
      <c r="Z379" s="42" t="n"/>
      <c r="AA379" s="32" t="inlineStr">
        <is>
          <t>IF(E379="","",IF(COUNT(AG379:AT379)=0,IF(Y379="","Not started",Y379),SUBSTITUTE(LOOKUP(2,1/(AG379:AT379&lt;&gt;""),$AG$3:$AT$3),"Date: ","")))</t>
        </is>
      </c>
      <c r="AB379" s="38" t="inlineStr">
        <is>
          <t>IF(OR(E379="",COUNT(AG379:AT379)=0),"",TODAY()-LOOKUP(2,1/(AG379:AT379&lt;&gt;""),AG379:AT379))</t>
        </is>
      </c>
      <c r="AC379" s="38" t="inlineStr">
        <is>
          <t>IF(OR(E379="",COUNT(AG379:AT379)&lt;2),"",LOOKUP(2,1/(AG379:AT379&lt;&gt;""),AG379:AT379)-MIN(AG379:AT379))</t>
        </is>
      </c>
      <c r="AD379" s="38" t="inlineStr">
        <is>
          <t>IF(OR(AB379="",AA379="Not started",AA379=""),"",IFERROR(AB379-IF(VLOOKUP(AA379,'04_Status_Pipeline'!$B$3:$E$20,4,FALSE)="",0,VLOOKUP(AA379,'04_Status_Pipeline'!$B$3:$E$20,4,FALSE)),""))</t>
        </is>
      </c>
      <c r="AE379" s="32" t="inlineStr">
        <is>
          <t>IF(E379="","",IF(OR(Y379="Cancelled",AA379="Cancelled"),"Cancelled",IF(OR(AA379="Completed / Handover",W379&lt;&gt;"",X379&gt;=100),"Completed — on track",IF(L379="Remaining",IF(S379="",IF(V379="","No planned date",IF(TODAY()&gt;V379,"Behind — past planned date",IF(V379-TODAY()&lt;=30,"At risk — close to off track","On track"))),IF(TODAY()&gt;S379,"Behind — award date passed",IF(S379-TODAY()&lt;=30,"At risk — close to off track","On track"))),IF(V379="","No planned date",IF(AND(TODAY()&gt;V379,OR(X379="",X379&lt;100)),"Behind — past end date",IF(AND(R379&lt;&gt;"",V379&lt;&gt;"",X379&lt;&gt;"",(X379&lt;100),((TODAY()-R379)/MAX(V379-R379,1)*100)-X379&gt;15),"Behind — progress lag",IF(AND(V379-TODAY()&lt;=30,V379-TODAY()&gt;=0,OR(X379="",X379&lt;90)),"At risk — close to off track","On track"))))))))</t>
        </is>
      </c>
      <c r="AF379" s="38" t="inlineStr">
        <is>
          <t>IF(OR(E379="",AA379="Completed / Handover",AA379="Cancelled"),"",IF(L379="Remaining",IF(S379&lt;&gt;"",S379-TODAY(),IF(V379="","",V379-TODAY())),IF(V379="","",V379-TODAY())))</t>
        </is>
      </c>
      <c r="AG379" s="44" t="n"/>
      <c r="AH379" s="44" t="n"/>
      <c r="AI379" s="44" t="n"/>
      <c r="AJ379" s="44" t="n"/>
      <c r="AK379" s="44" t="n"/>
      <c r="AL379" s="44" t="n"/>
      <c r="AM379" s="44" t="n"/>
      <c r="AN379" s="44" t="n"/>
      <c r="AO379" s="44" t="n"/>
      <c r="AP379" s="44" t="n"/>
      <c r="AQ379" s="44" t="n"/>
      <c r="AR379" s="40" t="n"/>
      <c r="AS379" s="40" t="n"/>
      <c r="AT379" s="40" t="n"/>
      <c r="AU379" s="38" t="inlineStr">
        <is>
          <t>IF(OR(E379="",AH379=""),"",IF(COUNT(AG379:AG379)=0,"",AH379-LOOKUP(2,1/(AG379:AG379&lt;&gt;""),AG379:AG379)))</t>
        </is>
      </c>
      <c r="AV379" s="38" t="inlineStr">
        <is>
          <t>IF(OR(E379="",AI379=""),"",IF(COUNT(AG379:AH379)=0,"",AI379-LOOKUP(2,1/(AG379:AH379&lt;&gt;""),AG379:AH379)))</t>
        </is>
      </c>
      <c r="AW379" s="38" t="inlineStr">
        <is>
          <t>IF(OR(E379="",AJ379=""),"",IF(COUNT(AG379:AI379)=0,"",AJ379-LOOKUP(2,1/(AG379:AI379&lt;&gt;""),AG379:AI379)))</t>
        </is>
      </c>
      <c r="AX379" s="38" t="inlineStr">
        <is>
          <t>IF(OR(E379="",AK379=""),"",IF(COUNT(AG379:AJ379)=0,"",AK379-LOOKUP(2,1/(AG379:AJ379&lt;&gt;""),AG379:AJ379)))</t>
        </is>
      </c>
      <c r="AY379" s="38" t="inlineStr">
        <is>
          <t>IF(OR(E379="",AL379=""),"",IF(COUNT(AG379:AK379)=0,"",AL379-LOOKUP(2,1/(AG379:AK379&lt;&gt;""),AG379:AK379)))</t>
        </is>
      </c>
      <c r="AZ379" s="38" t="inlineStr">
        <is>
          <t>IF(OR(E379="",AM379=""),"",IF(COUNT(AG379:AL379)=0,"",AM379-LOOKUP(2,1/(AG379:AL379&lt;&gt;""),AG379:AL379)))</t>
        </is>
      </c>
      <c r="BA379" s="38" t="inlineStr">
        <is>
          <t>IF(OR(E379="",AN379=""),"",IF(COUNT(AG379:AM379)=0,"",AN379-LOOKUP(2,1/(AG379:AM379&lt;&gt;""),AG379:AM379)))</t>
        </is>
      </c>
      <c r="BB379" s="38" t="inlineStr">
        <is>
          <t>IF(OR(E379="",AO379=""),"",IF(COUNT(AG379:AN379)=0,"",AO379-LOOKUP(2,1/(AG379:AN379&lt;&gt;""),AG379:AN379)))</t>
        </is>
      </c>
      <c r="BC379" s="38" t="inlineStr">
        <is>
          <t>IF(OR(E379="",AP379=""),"",IF(COUNT(AG379:AO379)=0,"",AP379-LOOKUP(2,1/(AG379:AO379&lt;&gt;""),AG379:AO379)))</t>
        </is>
      </c>
      <c r="BD379" s="38" t="inlineStr">
        <is>
          <t>IF(OR(E379="",AQ379=""),"",IF(COUNT(AG379:AP379)=0,"",AQ379-LOOKUP(2,1/(AG379:AP379&lt;&gt;""),AG379:AP379)))</t>
        </is>
      </c>
      <c r="BE379" s="38" t="inlineStr">
        <is>
          <t>IF(OR(E379="",AR379=""),"",IF(COUNT(AG379:AQ379)=0,"",AR379-LOOKUP(2,1/(AG379:AQ379&lt;&gt;""),AG379:AQ379)))</t>
        </is>
      </c>
      <c r="BF379" s="38" t="inlineStr">
        <is>
          <t>IF(OR(E379="",AS379=""),"",IF(COUNT(AG379:AR379)=0,"",AS379-LOOKUP(2,1/(AG379:AR379&lt;&gt;""),AG379:AR379)))</t>
        </is>
      </c>
      <c r="BG379" s="38" t="inlineStr">
        <is>
          <t>IF(OR(E379="",AT379=""),"",IF(COUNT(AG379:AS379)=0,"",AT379-LOOKUP(2,1/(AG379:AS379&lt;&gt;""),AG379:AS379)))</t>
        </is>
      </c>
      <c r="BH379" s="41" t="inlineStr">
        <is>
          <t>IF(G379="","All_Provinces",IFERROR(VLOOKUP(G379,'07_Lookups'!$A$4:$B$20,2,FALSE),"All_Provinces"))</t>
        </is>
      </c>
      <c r="BI379" s="41" t="inlineStr">
        <is>
          <t>IF(H379="","All_Districts",IFERROR(VLOOKUP(H379,'07_Lookups'!$E$4:$F$42,2,FALSE),"All_Districts"))</t>
        </is>
      </c>
    </row>
    <row r="380" ht="18" customHeight="1">
      <c r="A380" s="32" t="inlineStr">
        <is>
          <t>IF(E380="","",ROW()-3)</t>
        </is>
      </c>
      <c r="B380" s="33" t="n"/>
      <c r="C380" s="33" t="n"/>
      <c r="D380" s="33" t="n"/>
      <c r="E380" s="33" t="n"/>
      <c r="F380" s="33" t="n"/>
      <c r="G380" s="33" t="n"/>
      <c r="H380" s="33" t="n"/>
      <c r="I380" s="33" t="n"/>
      <c r="J380" s="33" t="n"/>
      <c r="K380" s="33" t="n"/>
      <c r="L380" s="33" t="n"/>
      <c r="M380" s="33" t="n"/>
      <c r="N380" s="33" t="n"/>
      <c r="O380" s="33" t="n"/>
      <c r="P380" s="33" t="n"/>
      <c r="Q380" s="34" t="n"/>
      <c r="R380" s="35" t="inlineStr">
        <is>
          <t>IF(AO380="","",AO380)</t>
        </is>
      </c>
      <c r="S380" s="36" t="n"/>
      <c r="T380" s="37" t="n"/>
      <c r="U380" s="36" t="n"/>
      <c r="V380" s="35" t="inlineStr">
        <is>
          <t>IF(U380&lt;&gt;"",U380,IF(OR(R380="",T380=""),"",EDATE(R380,T380)))</t>
        </is>
      </c>
      <c r="W380" s="36" t="n"/>
      <c r="X380" s="37" t="n"/>
      <c r="Y380" s="33" t="n"/>
      <c r="Z380" s="33" t="n"/>
      <c r="AA380" s="32" t="inlineStr">
        <is>
          <t>IF(E380="","",IF(COUNT(AG380:AT380)=0,IF(Y380="","Not started",Y380),SUBSTITUTE(LOOKUP(2,1/(AG380:AT380&lt;&gt;""),$AG$3:$AT$3),"Date: ","")))</t>
        </is>
      </c>
      <c r="AB380" s="38" t="inlineStr">
        <is>
          <t>IF(OR(E380="",COUNT(AG380:AT380)=0),"",TODAY()-LOOKUP(2,1/(AG380:AT380&lt;&gt;""),AG380:AT380))</t>
        </is>
      </c>
      <c r="AC380" s="38" t="inlineStr">
        <is>
          <t>IF(OR(E380="",COUNT(AG380:AT380)&lt;2),"",LOOKUP(2,1/(AG380:AT380&lt;&gt;""),AG380:AT380)-MIN(AG380:AT380))</t>
        </is>
      </c>
      <c r="AD380" s="38" t="inlineStr">
        <is>
          <t>IF(OR(AB380="",AA380="Not started",AA380=""),"",IFERROR(AB380-IF(VLOOKUP(AA380,'04_Status_Pipeline'!$B$3:$E$20,4,FALSE)="",0,VLOOKUP(AA380,'04_Status_Pipeline'!$B$3:$E$20,4,FALSE)),""))</t>
        </is>
      </c>
      <c r="AE380" s="32" t="inlineStr">
        <is>
          <t>IF(E380="","",IF(OR(Y380="Cancelled",AA380="Cancelled"),"Cancelled",IF(OR(AA380="Completed / Handover",W380&lt;&gt;"",X380&gt;=100),"Completed — on track",IF(L380="Remaining",IF(S380="",IF(V380="","No planned date",IF(TODAY()&gt;V380,"Behind — past planned date",IF(V380-TODAY()&lt;=30,"At risk — close to off track","On track"))),IF(TODAY()&gt;S380,"Behind — award date passed",IF(S380-TODAY()&lt;=30,"At risk — close to off track","On track"))),IF(V380="","No planned date",IF(AND(TODAY()&gt;V380,OR(X380="",X380&lt;100)),"Behind — past end date",IF(AND(R380&lt;&gt;"",V380&lt;&gt;"",X380&lt;&gt;"",(X380&lt;100),((TODAY()-R380)/MAX(V380-R380,1)*100)-X380&gt;15),"Behind — progress lag",IF(AND(V380-TODAY()&lt;=30,V380-TODAY()&gt;=0,OR(X380="",X380&lt;90)),"At risk — close to off track","On track"))))))))</t>
        </is>
      </c>
      <c r="AF380" s="38" t="inlineStr">
        <is>
          <t>IF(OR(E380="",AA380="Completed / Handover",AA380="Cancelled"),"",IF(L380="Remaining",IF(S380&lt;&gt;"",S380-TODAY(),IF(V380="","",V380-TODAY())),IF(V380="","",V380-TODAY())))</t>
        </is>
      </c>
      <c r="AG380" s="36" t="n"/>
      <c r="AH380" s="36" t="n"/>
      <c r="AI380" s="36" t="n"/>
      <c r="AJ380" s="36" t="n"/>
      <c r="AK380" s="36" t="n"/>
      <c r="AL380" s="36" t="n"/>
      <c r="AM380" s="36" t="n"/>
      <c r="AN380" s="36" t="n"/>
      <c r="AO380" s="36" t="n"/>
      <c r="AP380" s="36" t="n"/>
      <c r="AQ380" s="36" t="n"/>
      <c r="AR380" s="40" t="n"/>
      <c r="AS380" s="40" t="n"/>
      <c r="AT380" s="40" t="n"/>
      <c r="AU380" s="38" t="inlineStr">
        <is>
          <t>IF(OR(E380="",AH380=""),"",IF(COUNT(AG380:AG380)=0,"",AH380-LOOKUP(2,1/(AG380:AG380&lt;&gt;""),AG380:AG380)))</t>
        </is>
      </c>
      <c r="AV380" s="38" t="inlineStr">
        <is>
          <t>IF(OR(E380="",AI380=""),"",IF(COUNT(AG380:AH380)=0,"",AI380-LOOKUP(2,1/(AG380:AH380&lt;&gt;""),AG380:AH380)))</t>
        </is>
      </c>
      <c r="AW380" s="38" t="inlineStr">
        <is>
          <t>IF(OR(E380="",AJ380=""),"",IF(COUNT(AG380:AI380)=0,"",AJ380-LOOKUP(2,1/(AG380:AI380&lt;&gt;""),AG380:AI380)))</t>
        </is>
      </c>
      <c r="AX380" s="38" t="inlineStr">
        <is>
          <t>IF(OR(E380="",AK380=""),"",IF(COUNT(AG380:AJ380)=0,"",AK380-LOOKUP(2,1/(AG380:AJ380&lt;&gt;""),AG380:AJ380)))</t>
        </is>
      </c>
      <c r="AY380" s="38" t="inlineStr">
        <is>
          <t>IF(OR(E380="",AL380=""),"",IF(COUNT(AG380:AK380)=0,"",AL380-LOOKUP(2,1/(AG380:AK380&lt;&gt;""),AG380:AK380)))</t>
        </is>
      </c>
      <c r="AZ380" s="38" t="inlineStr">
        <is>
          <t>IF(OR(E380="",AM380=""),"",IF(COUNT(AG380:AL380)=0,"",AM380-LOOKUP(2,1/(AG380:AL380&lt;&gt;""),AG380:AL380)))</t>
        </is>
      </c>
      <c r="BA380" s="38" t="inlineStr">
        <is>
          <t>IF(OR(E380="",AN380=""),"",IF(COUNT(AG380:AM380)=0,"",AN380-LOOKUP(2,1/(AG380:AM380&lt;&gt;""),AG380:AM380)))</t>
        </is>
      </c>
      <c r="BB380" s="38" t="inlineStr">
        <is>
          <t>IF(OR(E380="",AO380=""),"",IF(COUNT(AG380:AN380)=0,"",AO380-LOOKUP(2,1/(AG380:AN380&lt;&gt;""),AG380:AN380)))</t>
        </is>
      </c>
      <c r="BC380" s="38" t="inlineStr">
        <is>
          <t>IF(OR(E380="",AP380=""),"",IF(COUNT(AG380:AO380)=0,"",AP380-LOOKUP(2,1/(AG380:AO380&lt;&gt;""),AG380:AO380)))</t>
        </is>
      </c>
      <c r="BD380" s="38" t="inlineStr">
        <is>
          <t>IF(OR(E380="",AQ380=""),"",IF(COUNT(AG380:AP380)=0,"",AQ380-LOOKUP(2,1/(AG380:AP380&lt;&gt;""),AG380:AP380)))</t>
        </is>
      </c>
      <c r="BE380" s="38" t="inlineStr">
        <is>
          <t>IF(OR(E380="",AR380=""),"",IF(COUNT(AG380:AQ380)=0,"",AR380-LOOKUP(2,1/(AG380:AQ380&lt;&gt;""),AG380:AQ380)))</t>
        </is>
      </c>
      <c r="BF380" s="38" t="inlineStr">
        <is>
          <t>IF(OR(E380="",AS380=""),"",IF(COUNT(AG380:AR380)=0,"",AS380-LOOKUP(2,1/(AG380:AR380&lt;&gt;""),AG380:AR380)))</t>
        </is>
      </c>
      <c r="BG380" s="38" t="inlineStr">
        <is>
          <t>IF(OR(E380="",AT380=""),"",IF(COUNT(AG380:AS380)=0,"",AT380-LOOKUP(2,1/(AG380:AS380&lt;&gt;""),AG380:AS380)))</t>
        </is>
      </c>
      <c r="BH380" s="41" t="inlineStr">
        <is>
          <t>IF(G380="","All_Provinces",IFERROR(VLOOKUP(G380,'07_Lookups'!$A$4:$B$20,2,FALSE),"All_Provinces"))</t>
        </is>
      </c>
      <c r="BI380" s="41" t="inlineStr">
        <is>
          <t>IF(H380="","All_Districts",IFERROR(VLOOKUP(H380,'07_Lookups'!$E$4:$F$42,2,FALSE),"All_Districts"))</t>
        </is>
      </c>
    </row>
    <row r="381" ht="18" customHeight="1">
      <c r="A381" s="32" t="inlineStr">
        <is>
          <t>IF(E381="","",ROW()-3)</t>
        </is>
      </c>
      <c r="B381" s="42" t="n"/>
      <c r="C381" s="42" t="n"/>
      <c r="D381" s="42" t="n"/>
      <c r="E381" s="42" t="n"/>
      <c r="F381" s="42" t="n"/>
      <c r="G381" s="42" t="n"/>
      <c r="H381" s="42" t="n"/>
      <c r="I381" s="42" t="n"/>
      <c r="J381" s="42" t="n"/>
      <c r="K381" s="42" t="n"/>
      <c r="L381" s="42" t="n"/>
      <c r="M381" s="42" t="n"/>
      <c r="N381" s="42" t="n"/>
      <c r="O381" s="42" t="n"/>
      <c r="P381" s="42" t="n"/>
      <c r="Q381" s="43" t="n"/>
      <c r="R381" s="35" t="inlineStr">
        <is>
          <t>IF(AO381="","",AO381)</t>
        </is>
      </c>
      <c r="S381" s="44" t="n"/>
      <c r="T381" s="45" t="n"/>
      <c r="U381" s="44" t="n"/>
      <c r="V381" s="35" t="inlineStr">
        <is>
          <t>IF(U381&lt;&gt;"",U381,IF(OR(R381="",T381=""),"",EDATE(R381,T381)))</t>
        </is>
      </c>
      <c r="W381" s="44" t="n"/>
      <c r="X381" s="45" t="n"/>
      <c r="Y381" s="42" t="n"/>
      <c r="Z381" s="42" t="n"/>
      <c r="AA381" s="32" t="inlineStr">
        <is>
          <t>IF(E381="","",IF(COUNT(AG381:AT381)=0,IF(Y381="","Not started",Y381),SUBSTITUTE(LOOKUP(2,1/(AG381:AT381&lt;&gt;""),$AG$3:$AT$3),"Date: ","")))</t>
        </is>
      </c>
      <c r="AB381" s="38" t="inlineStr">
        <is>
          <t>IF(OR(E381="",COUNT(AG381:AT381)=0),"",TODAY()-LOOKUP(2,1/(AG381:AT381&lt;&gt;""),AG381:AT381))</t>
        </is>
      </c>
      <c r="AC381" s="38" t="inlineStr">
        <is>
          <t>IF(OR(E381="",COUNT(AG381:AT381)&lt;2),"",LOOKUP(2,1/(AG381:AT381&lt;&gt;""),AG381:AT381)-MIN(AG381:AT381))</t>
        </is>
      </c>
      <c r="AD381" s="38" t="inlineStr">
        <is>
          <t>IF(OR(AB381="",AA381="Not started",AA381=""),"",IFERROR(AB381-IF(VLOOKUP(AA381,'04_Status_Pipeline'!$B$3:$E$20,4,FALSE)="",0,VLOOKUP(AA381,'04_Status_Pipeline'!$B$3:$E$20,4,FALSE)),""))</t>
        </is>
      </c>
      <c r="AE381" s="32" t="inlineStr">
        <is>
          <t>IF(E381="","",IF(OR(Y381="Cancelled",AA381="Cancelled"),"Cancelled",IF(OR(AA381="Completed / Handover",W381&lt;&gt;"",X381&gt;=100),"Completed — on track",IF(L381="Remaining",IF(S381="",IF(V381="","No planned date",IF(TODAY()&gt;V381,"Behind — past planned date",IF(V381-TODAY()&lt;=30,"At risk — close to off track","On track"))),IF(TODAY()&gt;S381,"Behind — award date passed",IF(S381-TODAY()&lt;=30,"At risk — close to off track","On track"))),IF(V381="","No planned date",IF(AND(TODAY()&gt;V381,OR(X381="",X381&lt;100)),"Behind — past end date",IF(AND(R381&lt;&gt;"",V381&lt;&gt;"",X381&lt;&gt;"",(X381&lt;100),((TODAY()-R381)/MAX(V381-R381,1)*100)-X381&gt;15),"Behind — progress lag",IF(AND(V381-TODAY()&lt;=30,V381-TODAY()&gt;=0,OR(X381="",X381&lt;90)),"At risk — close to off track","On track"))))))))</t>
        </is>
      </c>
      <c r="AF381" s="38" t="inlineStr">
        <is>
          <t>IF(OR(E381="",AA381="Completed / Handover",AA381="Cancelled"),"",IF(L381="Remaining",IF(S381&lt;&gt;"",S381-TODAY(),IF(V381="","",V381-TODAY())),IF(V381="","",V381-TODAY())))</t>
        </is>
      </c>
      <c r="AG381" s="44" t="n"/>
      <c r="AH381" s="44" t="n"/>
      <c r="AI381" s="44" t="n"/>
      <c r="AJ381" s="44" t="n"/>
      <c r="AK381" s="44" t="n"/>
      <c r="AL381" s="44" t="n"/>
      <c r="AM381" s="44" t="n"/>
      <c r="AN381" s="44" t="n"/>
      <c r="AO381" s="44" t="n"/>
      <c r="AP381" s="44" t="n"/>
      <c r="AQ381" s="44" t="n"/>
      <c r="AR381" s="40" t="n"/>
      <c r="AS381" s="40" t="n"/>
      <c r="AT381" s="40" t="n"/>
      <c r="AU381" s="38" t="inlineStr">
        <is>
          <t>IF(OR(E381="",AH381=""),"",IF(COUNT(AG381:AG381)=0,"",AH381-LOOKUP(2,1/(AG381:AG381&lt;&gt;""),AG381:AG381)))</t>
        </is>
      </c>
      <c r="AV381" s="38" t="inlineStr">
        <is>
          <t>IF(OR(E381="",AI381=""),"",IF(COUNT(AG381:AH381)=0,"",AI381-LOOKUP(2,1/(AG381:AH381&lt;&gt;""),AG381:AH381)))</t>
        </is>
      </c>
      <c r="AW381" s="38" t="inlineStr">
        <is>
          <t>IF(OR(E381="",AJ381=""),"",IF(COUNT(AG381:AI381)=0,"",AJ381-LOOKUP(2,1/(AG381:AI381&lt;&gt;""),AG381:AI381)))</t>
        </is>
      </c>
      <c r="AX381" s="38" t="inlineStr">
        <is>
          <t>IF(OR(E381="",AK381=""),"",IF(COUNT(AG381:AJ381)=0,"",AK381-LOOKUP(2,1/(AG381:AJ381&lt;&gt;""),AG381:AJ381)))</t>
        </is>
      </c>
      <c r="AY381" s="38" t="inlineStr">
        <is>
          <t>IF(OR(E381="",AL381=""),"",IF(COUNT(AG381:AK381)=0,"",AL381-LOOKUP(2,1/(AG381:AK381&lt;&gt;""),AG381:AK381)))</t>
        </is>
      </c>
      <c r="AZ381" s="38" t="inlineStr">
        <is>
          <t>IF(OR(E381="",AM381=""),"",IF(COUNT(AG381:AL381)=0,"",AM381-LOOKUP(2,1/(AG381:AL381&lt;&gt;""),AG381:AL381)))</t>
        </is>
      </c>
      <c r="BA381" s="38" t="inlineStr">
        <is>
          <t>IF(OR(E381="",AN381=""),"",IF(COUNT(AG381:AM381)=0,"",AN381-LOOKUP(2,1/(AG381:AM381&lt;&gt;""),AG381:AM381)))</t>
        </is>
      </c>
      <c r="BB381" s="38" t="inlineStr">
        <is>
          <t>IF(OR(E381="",AO381=""),"",IF(COUNT(AG381:AN381)=0,"",AO381-LOOKUP(2,1/(AG381:AN381&lt;&gt;""),AG381:AN381)))</t>
        </is>
      </c>
      <c r="BC381" s="38" t="inlineStr">
        <is>
          <t>IF(OR(E381="",AP381=""),"",IF(COUNT(AG381:AO381)=0,"",AP381-LOOKUP(2,1/(AG381:AO381&lt;&gt;""),AG381:AO381)))</t>
        </is>
      </c>
      <c r="BD381" s="38" t="inlineStr">
        <is>
          <t>IF(OR(E381="",AQ381=""),"",IF(COUNT(AG381:AP381)=0,"",AQ381-LOOKUP(2,1/(AG381:AP381&lt;&gt;""),AG381:AP381)))</t>
        </is>
      </c>
      <c r="BE381" s="38" t="inlineStr">
        <is>
          <t>IF(OR(E381="",AR381=""),"",IF(COUNT(AG381:AQ381)=0,"",AR381-LOOKUP(2,1/(AG381:AQ381&lt;&gt;""),AG381:AQ381)))</t>
        </is>
      </c>
      <c r="BF381" s="38" t="inlineStr">
        <is>
          <t>IF(OR(E381="",AS381=""),"",IF(COUNT(AG381:AR381)=0,"",AS381-LOOKUP(2,1/(AG381:AR381&lt;&gt;""),AG381:AR381)))</t>
        </is>
      </c>
      <c r="BG381" s="38" t="inlineStr">
        <is>
          <t>IF(OR(E381="",AT381=""),"",IF(COUNT(AG381:AS381)=0,"",AT381-LOOKUP(2,1/(AG381:AS381&lt;&gt;""),AG381:AS381)))</t>
        </is>
      </c>
      <c r="BH381" s="41" t="inlineStr">
        <is>
          <t>IF(G381="","All_Provinces",IFERROR(VLOOKUP(G381,'07_Lookups'!$A$4:$B$20,2,FALSE),"All_Provinces"))</t>
        </is>
      </c>
      <c r="BI381" s="41" t="inlineStr">
        <is>
          <t>IF(H381="","All_Districts",IFERROR(VLOOKUP(H381,'07_Lookups'!$E$4:$F$42,2,FALSE),"All_Districts"))</t>
        </is>
      </c>
    </row>
    <row r="382" ht="18" customHeight="1">
      <c r="A382" s="32" t="inlineStr">
        <is>
          <t>IF(E382="","",ROW()-3)</t>
        </is>
      </c>
      <c r="B382" s="33" t="n"/>
      <c r="C382" s="33" t="n"/>
      <c r="D382" s="33" t="n"/>
      <c r="E382" s="33" t="n"/>
      <c r="F382" s="33" t="n"/>
      <c r="G382" s="33" t="n"/>
      <c r="H382" s="33" t="n"/>
      <c r="I382" s="33" t="n"/>
      <c r="J382" s="33" t="n"/>
      <c r="K382" s="33" t="n"/>
      <c r="L382" s="33" t="n"/>
      <c r="M382" s="33" t="n"/>
      <c r="N382" s="33" t="n"/>
      <c r="O382" s="33" t="n"/>
      <c r="P382" s="33" t="n"/>
      <c r="Q382" s="34" t="n"/>
      <c r="R382" s="35" t="inlineStr">
        <is>
          <t>IF(AO382="","",AO382)</t>
        </is>
      </c>
      <c r="S382" s="36" t="n"/>
      <c r="T382" s="37" t="n"/>
      <c r="U382" s="36" t="n"/>
      <c r="V382" s="35" t="inlineStr">
        <is>
          <t>IF(U382&lt;&gt;"",U382,IF(OR(R382="",T382=""),"",EDATE(R382,T382)))</t>
        </is>
      </c>
      <c r="W382" s="36" t="n"/>
      <c r="X382" s="37" t="n"/>
      <c r="Y382" s="33" t="n"/>
      <c r="Z382" s="33" t="n"/>
      <c r="AA382" s="32" t="inlineStr">
        <is>
          <t>IF(E382="","",IF(COUNT(AG382:AT382)=0,IF(Y382="","Not started",Y382),SUBSTITUTE(LOOKUP(2,1/(AG382:AT382&lt;&gt;""),$AG$3:$AT$3),"Date: ","")))</t>
        </is>
      </c>
      <c r="AB382" s="38" t="inlineStr">
        <is>
          <t>IF(OR(E382="",COUNT(AG382:AT382)=0),"",TODAY()-LOOKUP(2,1/(AG382:AT382&lt;&gt;""),AG382:AT382))</t>
        </is>
      </c>
      <c r="AC382" s="38" t="inlineStr">
        <is>
          <t>IF(OR(E382="",COUNT(AG382:AT382)&lt;2),"",LOOKUP(2,1/(AG382:AT382&lt;&gt;""),AG382:AT382)-MIN(AG382:AT382))</t>
        </is>
      </c>
      <c r="AD382" s="38" t="inlineStr">
        <is>
          <t>IF(OR(AB382="",AA382="Not started",AA382=""),"",IFERROR(AB382-IF(VLOOKUP(AA382,'04_Status_Pipeline'!$B$3:$E$20,4,FALSE)="",0,VLOOKUP(AA382,'04_Status_Pipeline'!$B$3:$E$20,4,FALSE)),""))</t>
        </is>
      </c>
      <c r="AE382" s="32" t="inlineStr">
        <is>
          <t>IF(E382="","",IF(OR(Y382="Cancelled",AA382="Cancelled"),"Cancelled",IF(OR(AA382="Completed / Handover",W382&lt;&gt;"",X382&gt;=100),"Completed — on track",IF(L382="Remaining",IF(S382="",IF(V382="","No planned date",IF(TODAY()&gt;V382,"Behind — past planned date",IF(V382-TODAY()&lt;=30,"At risk — close to off track","On track"))),IF(TODAY()&gt;S382,"Behind — award date passed",IF(S382-TODAY()&lt;=30,"At risk — close to off track","On track"))),IF(V382="","No planned date",IF(AND(TODAY()&gt;V382,OR(X382="",X382&lt;100)),"Behind — past end date",IF(AND(R382&lt;&gt;"",V382&lt;&gt;"",X382&lt;&gt;"",(X382&lt;100),((TODAY()-R382)/MAX(V382-R382,1)*100)-X382&gt;15),"Behind — progress lag",IF(AND(V382-TODAY()&lt;=30,V382-TODAY()&gt;=0,OR(X382="",X382&lt;90)),"At risk — close to off track","On track"))))))))</t>
        </is>
      </c>
      <c r="AF382" s="38" t="inlineStr">
        <is>
          <t>IF(OR(E382="",AA382="Completed / Handover",AA382="Cancelled"),"",IF(L382="Remaining",IF(S382&lt;&gt;"",S382-TODAY(),IF(V382="","",V382-TODAY())),IF(V382="","",V382-TODAY())))</t>
        </is>
      </c>
      <c r="AG382" s="36" t="n"/>
      <c r="AH382" s="36" t="n"/>
      <c r="AI382" s="36" t="n"/>
      <c r="AJ382" s="36" t="n"/>
      <c r="AK382" s="36" t="n"/>
      <c r="AL382" s="36" t="n"/>
      <c r="AM382" s="36" t="n"/>
      <c r="AN382" s="36" t="n"/>
      <c r="AO382" s="36" t="n"/>
      <c r="AP382" s="36" t="n"/>
      <c r="AQ382" s="36" t="n"/>
      <c r="AR382" s="40" t="n"/>
      <c r="AS382" s="40" t="n"/>
      <c r="AT382" s="40" t="n"/>
      <c r="AU382" s="38" t="inlineStr">
        <is>
          <t>IF(OR(E382="",AH382=""),"",IF(COUNT(AG382:AG382)=0,"",AH382-LOOKUP(2,1/(AG382:AG382&lt;&gt;""),AG382:AG382)))</t>
        </is>
      </c>
      <c r="AV382" s="38" t="inlineStr">
        <is>
          <t>IF(OR(E382="",AI382=""),"",IF(COUNT(AG382:AH382)=0,"",AI382-LOOKUP(2,1/(AG382:AH382&lt;&gt;""),AG382:AH382)))</t>
        </is>
      </c>
      <c r="AW382" s="38" t="inlineStr">
        <is>
          <t>IF(OR(E382="",AJ382=""),"",IF(COUNT(AG382:AI382)=0,"",AJ382-LOOKUP(2,1/(AG382:AI382&lt;&gt;""),AG382:AI382)))</t>
        </is>
      </c>
      <c r="AX382" s="38" t="inlineStr">
        <is>
          <t>IF(OR(E382="",AK382=""),"",IF(COUNT(AG382:AJ382)=0,"",AK382-LOOKUP(2,1/(AG382:AJ382&lt;&gt;""),AG382:AJ382)))</t>
        </is>
      </c>
      <c r="AY382" s="38" t="inlineStr">
        <is>
          <t>IF(OR(E382="",AL382=""),"",IF(COUNT(AG382:AK382)=0,"",AL382-LOOKUP(2,1/(AG382:AK382&lt;&gt;""),AG382:AK382)))</t>
        </is>
      </c>
      <c r="AZ382" s="38" t="inlineStr">
        <is>
          <t>IF(OR(E382="",AM382=""),"",IF(COUNT(AG382:AL382)=0,"",AM382-LOOKUP(2,1/(AG382:AL382&lt;&gt;""),AG382:AL382)))</t>
        </is>
      </c>
      <c r="BA382" s="38" t="inlineStr">
        <is>
          <t>IF(OR(E382="",AN382=""),"",IF(COUNT(AG382:AM382)=0,"",AN382-LOOKUP(2,1/(AG382:AM382&lt;&gt;""),AG382:AM382)))</t>
        </is>
      </c>
      <c r="BB382" s="38" t="inlineStr">
        <is>
          <t>IF(OR(E382="",AO382=""),"",IF(COUNT(AG382:AN382)=0,"",AO382-LOOKUP(2,1/(AG382:AN382&lt;&gt;""),AG382:AN382)))</t>
        </is>
      </c>
      <c r="BC382" s="38" t="inlineStr">
        <is>
          <t>IF(OR(E382="",AP382=""),"",IF(COUNT(AG382:AO382)=0,"",AP382-LOOKUP(2,1/(AG382:AO382&lt;&gt;""),AG382:AO382)))</t>
        </is>
      </c>
      <c r="BD382" s="38" t="inlineStr">
        <is>
          <t>IF(OR(E382="",AQ382=""),"",IF(COUNT(AG382:AP382)=0,"",AQ382-LOOKUP(2,1/(AG382:AP382&lt;&gt;""),AG382:AP382)))</t>
        </is>
      </c>
      <c r="BE382" s="38" t="inlineStr">
        <is>
          <t>IF(OR(E382="",AR382=""),"",IF(COUNT(AG382:AQ382)=0,"",AR382-LOOKUP(2,1/(AG382:AQ382&lt;&gt;""),AG382:AQ382)))</t>
        </is>
      </c>
      <c r="BF382" s="38" t="inlineStr">
        <is>
          <t>IF(OR(E382="",AS382=""),"",IF(COUNT(AG382:AR382)=0,"",AS382-LOOKUP(2,1/(AG382:AR382&lt;&gt;""),AG382:AR382)))</t>
        </is>
      </c>
      <c r="BG382" s="38" t="inlineStr">
        <is>
          <t>IF(OR(E382="",AT382=""),"",IF(COUNT(AG382:AS382)=0,"",AT382-LOOKUP(2,1/(AG382:AS382&lt;&gt;""),AG382:AS382)))</t>
        </is>
      </c>
      <c r="BH382" s="41" t="inlineStr">
        <is>
          <t>IF(G382="","All_Provinces",IFERROR(VLOOKUP(G382,'07_Lookups'!$A$4:$B$20,2,FALSE),"All_Provinces"))</t>
        </is>
      </c>
      <c r="BI382" s="41" t="inlineStr">
        <is>
          <t>IF(H382="","All_Districts",IFERROR(VLOOKUP(H382,'07_Lookups'!$E$4:$F$42,2,FALSE),"All_Districts"))</t>
        </is>
      </c>
    </row>
    <row r="383" ht="18" customHeight="1">
      <c r="A383" s="32" t="inlineStr">
        <is>
          <t>IF(E383="","",ROW()-3)</t>
        </is>
      </c>
      <c r="B383" s="42" t="n"/>
      <c r="C383" s="42" t="n"/>
      <c r="D383" s="42" t="n"/>
      <c r="E383" s="42" t="n"/>
      <c r="F383" s="42" t="n"/>
      <c r="G383" s="42" t="n"/>
      <c r="H383" s="42" t="n"/>
      <c r="I383" s="42" t="n"/>
      <c r="J383" s="42" t="n"/>
      <c r="K383" s="42" t="n"/>
      <c r="L383" s="42" t="n"/>
      <c r="M383" s="42" t="n"/>
      <c r="N383" s="42" t="n"/>
      <c r="O383" s="42" t="n"/>
      <c r="P383" s="42" t="n"/>
      <c r="Q383" s="43" t="n"/>
      <c r="R383" s="35" t="inlineStr">
        <is>
          <t>IF(AO383="","",AO383)</t>
        </is>
      </c>
      <c r="S383" s="44" t="n"/>
      <c r="T383" s="45" t="n"/>
      <c r="U383" s="44" t="n"/>
      <c r="V383" s="35" t="inlineStr">
        <is>
          <t>IF(U383&lt;&gt;"",U383,IF(OR(R383="",T383=""),"",EDATE(R383,T383)))</t>
        </is>
      </c>
      <c r="W383" s="44" t="n"/>
      <c r="X383" s="45" t="n"/>
      <c r="Y383" s="42" t="n"/>
      <c r="Z383" s="42" t="n"/>
      <c r="AA383" s="32" t="inlineStr">
        <is>
          <t>IF(E383="","",IF(COUNT(AG383:AT383)=0,IF(Y383="","Not started",Y383),SUBSTITUTE(LOOKUP(2,1/(AG383:AT383&lt;&gt;""),$AG$3:$AT$3),"Date: ","")))</t>
        </is>
      </c>
      <c r="AB383" s="38" t="inlineStr">
        <is>
          <t>IF(OR(E383="",COUNT(AG383:AT383)=0),"",TODAY()-LOOKUP(2,1/(AG383:AT383&lt;&gt;""),AG383:AT383))</t>
        </is>
      </c>
      <c r="AC383" s="38" t="inlineStr">
        <is>
          <t>IF(OR(E383="",COUNT(AG383:AT383)&lt;2),"",LOOKUP(2,1/(AG383:AT383&lt;&gt;""),AG383:AT383)-MIN(AG383:AT383))</t>
        </is>
      </c>
      <c r="AD383" s="38" t="inlineStr">
        <is>
          <t>IF(OR(AB383="",AA383="Not started",AA383=""),"",IFERROR(AB383-IF(VLOOKUP(AA383,'04_Status_Pipeline'!$B$3:$E$20,4,FALSE)="",0,VLOOKUP(AA383,'04_Status_Pipeline'!$B$3:$E$20,4,FALSE)),""))</t>
        </is>
      </c>
      <c r="AE383" s="32" t="inlineStr">
        <is>
          <t>IF(E383="","",IF(OR(Y383="Cancelled",AA383="Cancelled"),"Cancelled",IF(OR(AA383="Completed / Handover",W383&lt;&gt;"",X383&gt;=100),"Completed — on track",IF(L383="Remaining",IF(S383="",IF(V383="","No planned date",IF(TODAY()&gt;V383,"Behind — past planned date",IF(V383-TODAY()&lt;=30,"At risk — close to off track","On track"))),IF(TODAY()&gt;S383,"Behind — award date passed",IF(S383-TODAY()&lt;=30,"At risk — close to off track","On track"))),IF(V383="","No planned date",IF(AND(TODAY()&gt;V383,OR(X383="",X383&lt;100)),"Behind — past end date",IF(AND(R383&lt;&gt;"",V383&lt;&gt;"",X383&lt;&gt;"",(X383&lt;100),((TODAY()-R383)/MAX(V383-R383,1)*100)-X383&gt;15),"Behind — progress lag",IF(AND(V383-TODAY()&lt;=30,V383-TODAY()&gt;=0,OR(X383="",X383&lt;90)),"At risk — close to off track","On track"))))))))</t>
        </is>
      </c>
      <c r="AF383" s="38" t="inlineStr">
        <is>
          <t>IF(OR(E383="",AA383="Completed / Handover",AA383="Cancelled"),"",IF(L383="Remaining",IF(S383&lt;&gt;"",S383-TODAY(),IF(V383="","",V383-TODAY())),IF(V383="","",V383-TODAY())))</t>
        </is>
      </c>
      <c r="AG383" s="44" t="n"/>
      <c r="AH383" s="44" t="n"/>
      <c r="AI383" s="44" t="n"/>
      <c r="AJ383" s="44" t="n"/>
      <c r="AK383" s="44" t="n"/>
      <c r="AL383" s="44" t="n"/>
      <c r="AM383" s="44" t="n"/>
      <c r="AN383" s="44" t="n"/>
      <c r="AO383" s="44" t="n"/>
      <c r="AP383" s="44" t="n"/>
      <c r="AQ383" s="44" t="n"/>
      <c r="AR383" s="40" t="n"/>
      <c r="AS383" s="40" t="n"/>
      <c r="AT383" s="40" t="n"/>
      <c r="AU383" s="38" t="inlineStr">
        <is>
          <t>IF(OR(E383="",AH383=""),"",IF(COUNT(AG383:AG383)=0,"",AH383-LOOKUP(2,1/(AG383:AG383&lt;&gt;""),AG383:AG383)))</t>
        </is>
      </c>
      <c r="AV383" s="38" t="inlineStr">
        <is>
          <t>IF(OR(E383="",AI383=""),"",IF(COUNT(AG383:AH383)=0,"",AI383-LOOKUP(2,1/(AG383:AH383&lt;&gt;""),AG383:AH383)))</t>
        </is>
      </c>
      <c r="AW383" s="38" t="inlineStr">
        <is>
          <t>IF(OR(E383="",AJ383=""),"",IF(COUNT(AG383:AI383)=0,"",AJ383-LOOKUP(2,1/(AG383:AI383&lt;&gt;""),AG383:AI383)))</t>
        </is>
      </c>
      <c r="AX383" s="38" t="inlineStr">
        <is>
          <t>IF(OR(E383="",AK383=""),"",IF(COUNT(AG383:AJ383)=0,"",AK383-LOOKUP(2,1/(AG383:AJ383&lt;&gt;""),AG383:AJ383)))</t>
        </is>
      </c>
      <c r="AY383" s="38" t="inlineStr">
        <is>
          <t>IF(OR(E383="",AL383=""),"",IF(COUNT(AG383:AK383)=0,"",AL383-LOOKUP(2,1/(AG383:AK383&lt;&gt;""),AG383:AK383)))</t>
        </is>
      </c>
      <c r="AZ383" s="38" t="inlineStr">
        <is>
          <t>IF(OR(E383="",AM383=""),"",IF(COUNT(AG383:AL383)=0,"",AM383-LOOKUP(2,1/(AG383:AL383&lt;&gt;""),AG383:AL383)))</t>
        </is>
      </c>
      <c r="BA383" s="38" t="inlineStr">
        <is>
          <t>IF(OR(E383="",AN383=""),"",IF(COUNT(AG383:AM383)=0,"",AN383-LOOKUP(2,1/(AG383:AM383&lt;&gt;""),AG383:AM383)))</t>
        </is>
      </c>
      <c r="BB383" s="38" t="inlineStr">
        <is>
          <t>IF(OR(E383="",AO383=""),"",IF(COUNT(AG383:AN383)=0,"",AO383-LOOKUP(2,1/(AG383:AN383&lt;&gt;""),AG383:AN383)))</t>
        </is>
      </c>
      <c r="BC383" s="38" t="inlineStr">
        <is>
          <t>IF(OR(E383="",AP383=""),"",IF(COUNT(AG383:AO383)=0,"",AP383-LOOKUP(2,1/(AG383:AO383&lt;&gt;""),AG383:AO383)))</t>
        </is>
      </c>
      <c r="BD383" s="38" t="inlineStr">
        <is>
          <t>IF(OR(E383="",AQ383=""),"",IF(COUNT(AG383:AP383)=0,"",AQ383-LOOKUP(2,1/(AG383:AP383&lt;&gt;""),AG383:AP383)))</t>
        </is>
      </c>
      <c r="BE383" s="38" t="inlineStr">
        <is>
          <t>IF(OR(E383="",AR383=""),"",IF(COUNT(AG383:AQ383)=0,"",AR383-LOOKUP(2,1/(AG383:AQ383&lt;&gt;""),AG383:AQ383)))</t>
        </is>
      </c>
      <c r="BF383" s="38" t="inlineStr">
        <is>
          <t>IF(OR(E383="",AS383=""),"",IF(COUNT(AG383:AR383)=0,"",AS383-LOOKUP(2,1/(AG383:AR383&lt;&gt;""),AG383:AR383)))</t>
        </is>
      </c>
      <c r="BG383" s="38" t="inlineStr">
        <is>
          <t>IF(OR(E383="",AT383=""),"",IF(COUNT(AG383:AS383)=0,"",AT383-LOOKUP(2,1/(AG383:AS383&lt;&gt;""),AG383:AS383)))</t>
        </is>
      </c>
      <c r="BH383" s="41" t="inlineStr">
        <is>
          <t>IF(G383="","All_Provinces",IFERROR(VLOOKUP(G383,'07_Lookups'!$A$4:$B$20,2,FALSE),"All_Provinces"))</t>
        </is>
      </c>
      <c r="BI383" s="41" t="inlineStr">
        <is>
          <t>IF(H383="","All_Districts",IFERROR(VLOOKUP(H383,'07_Lookups'!$E$4:$F$42,2,FALSE),"All_Districts"))</t>
        </is>
      </c>
    </row>
    <row r="384" ht="18" customHeight="1">
      <c r="A384" s="32" t="inlineStr">
        <is>
          <t>IF(E384="","",ROW()-3)</t>
        </is>
      </c>
      <c r="B384" s="33" t="n"/>
      <c r="C384" s="33" t="n"/>
      <c r="D384" s="33" t="n"/>
      <c r="E384" s="33" t="n"/>
      <c r="F384" s="33" t="n"/>
      <c r="G384" s="33" t="n"/>
      <c r="H384" s="33" t="n"/>
      <c r="I384" s="33" t="n"/>
      <c r="J384" s="33" t="n"/>
      <c r="K384" s="33" t="n"/>
      <c r="L384" s="33" t="n"/>
      <c r="M384" s="33" t="n"/>
      <c r="N384" s="33" t="n"/>
      <c r="O384" s="33" t="n"/>
      <c r="P384" s="33" t="n"/>
      <c r="Q384" s="34" t="n"/>
      <c r="R384" s="35" t="inlineStr">
        <is>
          <t>IF(AO384="","",AO384)</t>
        </is>
      </c>
      <c r="S384" s="36" t="n"/>
      <c r="T384" s="37" t="n"/>
      <c r="U384" s="36" t="n"/>
      <c r="V384" s="35" t="inlineStr">
        <is>
          <t>IF(U384&lt;&gt;"",U384,IF(OR(R384="",T384=""),"",EDATE(R384,T384)))</t>
        </is>
      </c>
      <c r="W384" s="36" t="n"/>
      <c r="X384" s="37" t="n"/>
      <c r="Y384" s="33" t="n"/>
      <c r="Z384" s="33" t="n"/>
      <c r="AA384" s="32" t="inlineStr">
        <is>
          <t>IF(E384="","",IF(COUNT(AG384:AT384)=0,IF(Y384="","Not started",Y384),SUBSTITUTE(LOOKUP(2,1/(AG384:AT384&lt;&gt;""),$AG$3:$AT$3),"Date: ","")))</t>
        </is>
      </c>
      <c r="AB384" s="38" t="inlineStr">
        <is>
          <t>IF(OR(E384="",COUNT(AG384:AT384)=0),"",TODAY()-LOOKUP(2,1/(AG384:AT384&lt;&gt;""),AG384:AT384))</t>
        </is>
      </c>
      <c r="AC384" s="38" t="inlineStr">
        <is>
          <t>IF(OR(E384="",COUNT(AG384:AT384)&lt;2),"",LOOKUP(2,1/(AG384:AT384&lt;&gt;""),AG384:AT384)-MIN(AG384:AT384))</t>
        </is>
      </c>
      <c r="AD384" s="38" t="inlineStr">
        <is>
          <t>IF(OR(AB384="",AA384="Not started",AA384=""),"",IFERROR(AB384-IF(VLOOKUP(AA384,'04_Status_Pipeline'!$B$3:$E$20,4,FALSE)="",0,VLOOKUP(AA384,'04_Status_Pipeline'!$B$3:$E$20,4,FALSE)),""))</t>
        </is>
      </c>
      <c r="AE384" s="32" t="inlineStr">
        <is>
          <t>IF(E384="","",IF(OR(Y384="Cancelled",AA384="Cancelled"),"Cancelled",IF(OR(AA384="Completed / Handover",W384&lt;&gt;"",X384&gt;=100),"Completed — on track",IF(L384="Remaining",IF(S384="",IF(V384="","No planned date",IF(TODAY()&gt;V384,"Behind — past planned date",IF(V384-TODAY()&lt;=30,"At risk — close to off track","On track"))),IF(TODAY()&gt;S384,"Behind — award date passed",IF(S384-TODAY()&lt;=30,"At risk — close to off track","On track"))),IF(V384="","No planned date",IF(AND(TODAY()&gt;V384,OR(X384="",X384&lt;100)),"Behind — past end date",IF(AND(R384&lt;&gt;"",V384&lt;&gt;"",X384&lt;&gt;"",(X384&lt;100),((TODAY()-R384)/MAX(V384-R384,1)*100)-X384&gt;15),"Behind — progress lag",IF(AND(V384-TODAY()&lt;=30,V384-TODAY()&gt;=0,OR(X384="",X384&lt;90)),"At risk — close to off track","On track"))))))))</t>
        </is>
      </c>
      <c r="AF384" s="38" t="inlineStr">
        <is>
          <t>IF(OR(E384="",AA384="Completed / Handover",AA384="Cancelled"),"",IF(L384="Remaining",IF(S384&lt;&gt;"",S384-TODAY(),IF(V384="","",V384-TODAY())),IF(V384="","",V384-TODAY())))</t>
        </is>
      </c>
      <c r="AG384" s="36" t="n"/>
      <c r="AH384" s="36" t="n"/>
      <c r="AI384" s="36" t="n"/>
      <c r="AJ384" s="36" t="n"/>
      <c r="AK384" s="36" t="n"/>
      <c r="AL384" s="36" t="n"/>
      <c r="AM384" s="36" t="n"/>
      <c r="AN384" s="36" t="n"/>
      <c r="AO384" s="36" t="n"/>
      <c r="AP384" s="36" t="n"/>
      <c r="AQ384" s="36" t="n"/>
      <c r="AR384" s="40" t="n"/>
      <c r="AS384" s="40" t="n"/>
      <c r="AT384" s="40" t="n"/>
      <c r="AU384" s="38" t="inlineStr">
        <is>
          <t>IF(OR(E384="",AH384=""),"",IF(COUNT(AG384:AG384)=0,"",AH384-LOOKUP(2,1/(AG384:AG384&lt;&gt;""),AG384:AG384)))</t>
        </is>
      </c>
      <c r="AV384" s="38" t="inlineStr">
        <is>
          <t>IF(OR(E384="",AI384=""),"",IF(COUNT(AG384:AH384)=0,"",AI384-LOOKUP(2,1/(AG384:AH384&lt;&gt;""),AG384:AH384)))</t>
        </is>
      </c>
      <c r="AW384" s="38" t="inlineStr">
        <is>
          <t>IF(OR(E384="",AJ384=""),"",IF(COUNT(AG384:AI384)=0,"",AJ384-LOOKUP(2,1/(AG384:AI384&lt;&gt;""),AG384:AI384)))</t>
        </is>
      </c>
      <c r="AX384" s="38" t="inlineStr">
        <is>
          <t>IF(OR(E384="",AK384=""),"",IF(COUNT(AG384:AJ384)=0,"",AK384-LOOKUP(2,1/(AG384:AJ384&lt;&gt;""),AG384:AJ384)))</t>
        </is>
      </c>
      <c r="AY384" s="38" t="inlineStr">
        <is>
          <t>IF(OR(E384="",AL384=""),"",IF(COUNT(AG384:AK384)=0,"",AL384-LOOKUP(2,1/(AG384:AK384&lt;&gt;""),AG384:AK384)))</t>
        </is>
      </c>
      <c r="AZ384" s="38" t="inlineStr">
        <is>
          <t>IF(OR(E384="",AM384=""),"",IF(COUNT(AG384:AL384)=0,"",AM384-LOOKUP(2,1/(AG384:AL384&lt;&gt;""),AG384:AL384)))</t>
        </is>
      </c>
      <c r="BA384" s="38" t="inlineStr">
        <is>
          <t>IF(OR(E384="",AN384=""),"",IF(COUNT(AG384:AM384)=0,"",AN384-LOOKUP(2,1/(AG384:AM384&lt;&gt;""),AG384:AM384)))</t>
        </is>
      </c>
      <c r="BB384" s="38" t="inlineStr">
        <is>
          <t>IF(OR(E384="",AO384=""),"",IF(COUNT(AG384:AN384)=0,"",AO384-LOOKUP(2,1/(AG384:AN384&lt;&gt;""),AG384:AN384)))</t>
        </is>
      </c>
      <c r="BC384" s="38" t="inlineStr">
        <is>
          <t>IF(OR(E384="",AP384=""),"",IF(COUNT(AG384:AO384)=0,"",AP384-LOOKUP(2,1/(AG384:AO384&lt;&gt;""),AG384:AO384)))</t>
        </is>
      </c>
      <c r="BD384" s="38" t="inlineStr">
        <is>
          <t>IF(OR(E384="",AQ384=""),"",IF(COUNT(AG384:AP384)=0,"",AQ384-LOOKUP(2,1/(AG384:AP384&lt;&gt;""),AG384:AP384)))</t>
        </is>
      </c>
      <c r="BE384" s="38" t="inlineStr">
        <is>
          <t>IF(OR(E384="",AR384=""),"",IF(COUNT(AG384:AQ384)=0,"",AR384-LOOKUP(2,1/(AG384:AQ384&lt;&gt;""),AG384:AQ384)))</t>
        </is>
      </c>
      <c r="BF384" s="38" t="inlineStr">
        <is>
          <t>IF(OR(E384="",AS384=""),"",IF(COUNT(AG384:AR384)=0,"",AS384-LOOKUP(2,1/(AG384:AR384&lt;&gt;""),AG384:AR384)))</t>
        </is>
      </c>
      <c r="BG384" s="38" t="inlineStr">
        <is>
          <t>IF(OR(E384="",AT384=""),"",IF(COUNT(AG384:AS384)=0,"",AT384-LOOKUP(2,1/(AG384:AS384&lt;&gt;""),AG384:AS384)))</t>
        </is>
      </c>
      <c r="BH384" s="41" t="inlineStr">
        <is>
          <t>IF(G384="","All_Provinces",IFERROR(VLOOKUP(G384,'07_Lookups'!$A$4:$B$20,2,FALSE),"All_Provinces"))</t>
        </is>
      </c>
      <c r="BI384" s="41" t="inlineStr">
        <is>
          <t>IF(H384="","All_Districts",IFERROR(VLOOKUP(H384,'07_Lookups'!$E$4:$F$42,2,FALSE),"All_Districts"))</t>
        </is>
      </c>
    </row>
    <row r="385" ht="18" customHeight="1">
      <c r="A385" s="32" t="inlineStr">
        <is>
          <t>IF(E385="","",ROW()-3)</t>
        </is>
      </c>
      <c r="B385" s="42" t="n"/>
      <c r="C385" s="42" t="n"/>
      <c r="D385" s="42" t="n"/>
      <c r="E385" s="42" t="n"/>
      <c r="F385" s="42" t="n"/>
      <c r="G385" s="42" t="n"/>
      <c r="H385" s="42" t="n"/>
      <c r="I385" s="42" t="n"/>
      <c r="J385" s="42" t="n"/>
      <c r="K385" s="42" t="n"/>
      <c r="L385" s="42" t="n"/>
      <c r="M385" s="42" t="n"/>
      <c r="N385" s="42" t="n"/>
      <c r="O385" s="42" t="n"/>
      <c r="P385" s="42" t="n"/>
      <c r="Q385" s="43" t="n"/>
      <c r="R385" s="35" t="inlineStr">
        <is>
          <t>IF(AO385="","",AO385)</t>
        </is>
      </c>
      <c r="S385" s="44" t="n"/>
      <c r="T385" s="45" t="n"/>
      <c r="U385" s="44" t="n"/>
      <c r="V385" s="35" t="inlineStr">
        <is>
          <t>IF(U385&lt;&gt;"",U385,IF(OR(R385="",T385=""),"",EDATE(R385,T385)))</t>
        </is>
      </c>
      <c r="W385" s="44" t="n"/>
      <c r="X385" s="45" t="n"/>
      <c r="Y385" s="42" t="n"/>
      <c r="Z385" s="42" t="n"/>
      <c r="AA385" s="32" t="inlineStr">
        <is>
          <t>IF(E385="","",IF(COUNT(AG385:AT385)=0,IF(Y385="","Not started",Y385),SUBSTITUTE(LOOKUP(2,1/(AG385:AT385&lt;&gt;""),$AG$3:$AT$3),"Date: ","")))</t>
        </is>
      </c>
      <c r="AB385" s="38" t="inlineStr">
        <is>
          <t>IF(OR(E385="",COUNT(AG385:AT385)=0),"",TODAY()-LOOKUP(2,1/(AG385:AT385&lt;&gt;""),AG385:AT385))</t>
        </is>
      </c>
      <c r="AC385" s="38" t="inlineStr">
        <is>
          <t>IF(OR(E385="",COUNT(AG385:AT385)&lt;2),"",LOOKUP(2,1/(AG385:AT385&lt;&gt;""),AG385:AT385)-MIN(AG385:AT385))</t>
        </is>
      </c>
      <c r="AD385" s="38" t="inlineStr">
        <is>
          <t>IF(OR(AB385="",AA385="Not started",AA385=""),"",IFERROR(AB385-IF(VLOOKUP(AA385,'04_Status_Pipeline'!$B$3:$E$20,4,FALSE)="",0,VLOOKUP(AA385,'04_Status_Pipeline'!$B$3:$E$20,4,FALSE)),""))</t>
        </is>
      </c>
      <c r="AE385" s="32" t="inlineStr">
        <is>
          <t>IF(E385="","",IF(OR(Y385="Cancelled",AA385="Cancelled"),"Cancelled",IF(OR(AA385="Completed / Handover",W385&lt;&gt;"",X385&gt;=100),"Completed — on track",IF(L385="Remaining",IF(S385="",IF(V385="","No planned date",IF(TODAY()&gt;V385,"Behind — past planned date",IF(V385-TODAY()&lt;=30,"At risk — close to off track","On track"))),IF(TODAY()&gt;S385,"Behind — award date passed",IF(S385-TODAY()&lt;=30,"At risk — close to off track","On track"))),IF(V385="","No planned date",IF(AND(TODAY()&gt;V385,OR(X385="",X385&lt;100)),"Behind — past end date",IF(AND(R385&lt;&gt;"",V385&lt;&gt;"",X385&lt;&gt;"",(X385&lt;100),((TODAY()-R385)/MAX(V385-R385,1)*100)-X385&gt;15),"Behind — progress lag",IF(AND(V385-TODAY()&lt;=30,V385-TODAY()&gt;=0,OR(X385="",X385&lt;90)),"At risk — close to off track","On track"))))))))</t>
        </is>
      </c>
      <c r="AF385" s="38" t="inlineStr">
        <is>
          <t>IF(OR(E385="",AA385="Completed / Handover",AA385="Cancelled"),"",IF(L385="Remaining",IF(S385&lt;&gt;"",S385-TODAY(),IF(V385="","",V385-TODAY())),IF(V385="","",V385-TODAY())))</t>
        </is>
      </c>
      <c r="AG385" s="44" t="n"/>
      <c r="AH385" s="44" t="n"/>
      <c r="AI385" s="44" t="n"/>
      <c r="AJ385" s="44" t="n"/>
      <c r="AK385" s="44" t="n"/>
      <c r="AL385" s="44" t="n"/>
      <c r="AM385" s="44" t="n"/>
      <c r="AN385" s="44" t="n"/>
      <c r="AO385" s="44" t="n"/>
      <c r="AP385" s="44" t="n"/>
      <c r="AQ385" s="44" t="n"/>
      <c r="AR385" s="40" t="n"/>
      <c r="AS385" s="40" t="n"/>
      <c r="AT385" s="40" t="n"/>
      <c r="AU385" s="38" t="inlineStr">
        <is>
          <t>IF(OR(E385="",AH385=""),"",IF(COUNT(AG385:AG385)=0,"",AH385-LOOKUP(2,1/(AG385:AG385&lt;&gt;""),AG385:AG385)))</t>
        </is>
      </c>
      <c r="AV385" s="38" t="inlineStr">
        <is>
          <t>IF(OR(E385="",AI385=""),"",IF(COUNT(AG385:AH385)=0,"",AI385-LOOKUP(2,1/(AG385:AH385&lt;&gt;""),AG385:AH385)))</t>
        </is>
      </c>
      <c r="AW385" s="38" t="inlineStr">
        <is>
          <t>IF(OR(E385="",AJ385=""),"",IF(COUNT(AG385:AI385)=0,"",AJ385-LOOKUP(2,1/(AG385:AI385&lt;&gt;""),AG385:AI385)))</t>
        </is>
      </c>
      <c r="AX385" s="38" t="inlineStr">
        <is>
          <t>IF(OR(E385="",AK385=""),"",IF(COUNT(AG385:AJ385)=0,"",AK385-LOOKUP(2,1/(AG385:AJ385&lt;&gt;""),AG385:AJ385)))</t>
        </is>
      </c>
      <c r="AY385" s="38" t="inlineStr">
        <is>
          <t>IF(OR(E385="",AL385=""),"",IF(COUNT(AG385:AK385)=0,"",AL385-LOOKUP(2,1/(AG385:AK385&lt;&gt;""),AG385:AK385)))</t>
        </is>
      </c>
      <c r="AZ385" s="38" t="inlineStr">
        <is>
          <t>IF(OR(E385="",AM385=""),"",IF(COUNT(AG385:AL385)=0,"",AM385-LOOKUP(2,1/(AG385:AL385&lt;&gt;""),AG385:AL385)))</t>
        </is>
      </c>
      <c r="BA385" s="38" t="inlineStr">
        <is>
          <t>IF(OR(E385="",AN385=""),"",IF(COUNT(AG385:AM385)=0,"",AN385-LOOKUP(2,1/(AG385:AM385&lt;&gt;""),AG385:AM385)))</t>
        </is>
      </c>
      <c r="BB385" s="38" t="inlineStr">
        <is>
          <t>IF(OR(E385="",AO385=""),"",IF(COUNT(AG385:AN385)=0,"",AO385-LOOKUP(2,1/(AG385:AN385&lt;&gt;""),AG385:AN385)))</t>
        </is>
      </c>
      <c r="BC385" s="38" t="inlineStr">
        <is>
          <t>IF(OR(E385="",AP385=""),"",IF(COUNT(AG385:AO385)=0,"",AP385-LOOKUP(2,1/(AG385:AO385&lt;&gt;""),AG385:AO385)))</t>
        </is>
      </c>
      <c r="BD385" s="38" t="inlineStr">
        <is>
          <t>IF(OR(E385="",AQ385=""),"",IF(COUNT(AG385:AP385)=0,"",AQ385-LOOKUP(2,1/(AG385:AP385&lt;&gt;""),AG385:AP385)))</t>
        </is>
      </c>
      <c r="BE385" s="38" t="inlineStr">
        <is>
          <t>IF(OR(E385="",AR385=""),"",IF(COUNT(AG385:AQ385)=0,"",AR385-LOOKUP(2,1/(AG385:AQ385&lt;&gt;""),AG385:AQ385)))</t>
        </is>
      </c>
      <c r="BF385" s="38" t="inlineStr">
        <is>
          <t>IF(OR(E385="",AS385=""),"",IF(COUNT(AG385:AR385)=0,"",AS385-LOOKUP(2,1/(AG385:AR385&lt;&gt;""),AG385:AR385)))</t>
        </is>
      </c>
      <c r="BG385" s="38" t="inlineStr">
        <is>
          <t>IF(OR(E385="",AT385=""),"",IF(COUNT(AG385:AS385)=0,"",AT385-LOOKUP(2,1/(AG385:AS385&lt;&gt;""),AG385:AS385)))</t>
        </is>
      </c>
      <c r="BH385" s="41" t="inlineStr">
        <is>
          <t>IF(G385="","All_Provinces",IFERROR(VLOOKUP(G385,'07_Lookups'!$A$4:$B$20,2,FALSE),"All_Provinces"))</t>
        </is>
      </c>
      <c r="BI385" s="41" t="inlineStr">
        <is>
          <t>IF(H385="","All_Districts",IFERROR(VLOOKUP(H385,'07_Lookups'!$E$4:$F$42,2,FALSE),"All_Districts"))</t>
        </is>
      </c>
    </row>
    <row r="386" ht="18" customHeight="1">
      <c r="A386" s="32" t="inlineStr">
        <is>
          <t>IF(E386="","",ROW()-3)</t>
        </is>
      </c>
      <c r="B386" s="33" t="n"/>
      <c r="C386" s="33" t="n"/>
      <c r="D386" s="33" t="n"/>
      <c r="E386" s="33" t="n"/>
      <c r="F386" s="33" t="n"/>
      <c r="G386" s="33" t="n"/>
      <c r="H386" s="33" t="n"/>
      <c r="I386" s="33" t="n"/>
      <c r="J386" s="33" t="n"/>
      <c r="K386" s="33" t="n"/>
      <c r="L386" s="33" t="n"/>
      <c r="M386" s="33" t="n"/>
      <c r="N386" s="33" t="n"/>
      <c r="O386" s="33" t="n"/>
      <c r="P386" s="33" t="n"/>
      <c r="Q386" s="34" t="n"/>
      <c r="R386" s="35" t="inlineStr">
        <is>
          <t>IF(AO386="","",AO386)</t>
        </is>
      </c>
      <c r="S386" s="36" t="n"/>
      <c r="T386" s="37" t="n"/>
      <c r="U386" s="36" t="n"/>
      <c r="V386" s="35" t="inlineStr">
        <is>
          <t>IF(U386&lt;&gt;"",U386,IF(OR(R386="",T386=""),"",EDATE(R386,T386)))</t>
        </is>
      </c>
      <c r="W386" s="36" t="n"/>
      <c r="X386" s="37" t="n"/>
      <c r="Y386" s="33" t="n"/>
      <c r="Z386" s="33" t="n"/>
      <c r="AA386" s="32" t="inlineStr">
        <is>
          <t>IF(E386="","",IF(COUNT(AG386:AT386)=0,IF(Y386="","Not started",Y386),SUBSTITUTE(LOOKUP(2,1/(AG386:AT386&lt;&gt;""),$AG$3:$AT$3),"Date: ","")))</t>
        </is>
      </c>
      <c r="AB386" s="38" t="inlineStr">
        <is>
          <t>IF(OR(E386="",COUNT(AG386:AT386)=0),"",TODAY()-LOOKUP(2,1/(AG386:AT386&lt;&gt;""),AG386:AT386))</t>
        </is>
      </c>
      <c r="AC386" s="38" t="inlineStr">
        <is>
          <t>IF(OR(E386="",COUNT(AG386:AT386)&lt;2),"",LOOKUP(2,1/(AG386:AT386&lt;&gt;""),AG386:AT386)-MIN(AG386:AT386))</t>
        </is>
      </c>
      <c r="AD386" s="38" t="inlineStr">
        <is>
          <t>IF(OR(AB386="",AA386="Not started",AA386=""),"",IFERROR(AB386-IF(VLOOKUP(AA386,'04_Status_Pipeline'!$B$3:$E$20,4,FALSE)="",0,VLOOKUP(AA386,'04_Status_Pipeline'!$B$3:$E$20,4,FALSE)),""))</t>
        </is>
      </c>
      <c r="AE386" s="32" t="inlineStr">
        <is>
          <t>IF(E386="","",IF(OR(Y386="Cancelled",AA386="Cancelled"),"Cancelled",IF(OR(AA386="Completed / Handover",W386&lt;&gt;"",X386&gt;=100),"Completed — on track",IF(L386="Remaining",IF(S386="",IF(V386="","No planned date",IF(TODAY()&gt;V386,"Behind — past planned date",IF(V386-TODAY()&lt;=30,"At risk — close to off track","On track"))),IF(TODAY()&gt;S386,"Behind — award date passed",IF(S386-TODAY()&lt;=30,"At risk — close to off track","On track"))),IF(V386="","No planned date",IF(AND(TODAY()&gt;V386,OR(X386="",X386&lt;100)),"Behind — past end date",IF(AND(R386&lt;&gt;"",V386&lt;&gt;"",X386&lt;&gt;"",(X386&lt;100),((TODAY()-R386)/MAX(V386-R386,1)*100)-X386&gt;15),"Behind — progress lag",IF(AND(V386-TODAY()&lt;=30,V386-TODAY()&gt;=0,OR(X386="",X386&lt;90)),"At risk — close to off track","On track"))))))))</t>
        </is>
      </c>
      <c r="AF386" s="38" t="inlineStr">
        <is>
          <t>IF(OR(E386="",AA386="Completed / Handover",AA386="Cancelled"),"",IF(L386="Remaining",IF(S386&lt;&gt;"",S386-TODAY(),IF(V386="","",V386-TODAY())),IF(V386="","",V386-TODAY())))</t>
        </is>
      </c>
      <c r="AG386" s="36" t="n"/>
      <c r="AH386" s="36" t="n"/>
      <c r="AI386" s="36" t="n"/>
      <c r="AJ386" s="36" t="n"/>
      <c r="AK386" s="36" t="n"/>
      <c r="AL386" s="36" t="n"/>
      <c r="AM386" s="36" t="n"/>
      <c r="AN386" s="36" t="n"/>
      <c r="AO386" s="36" t="n"/>
      <c r="AP386" s="36" t="n"/>
      <c r="AQ386" s="36" t="n"/>
      <c r="AR386" s="40" t="n"/>
      <c r="AS386" s="40" t="n"/>
      <c r="AT386" s="40" t="n"/>
      <c r="AU386" s="38" t="inlineStr">
        <is>
          <t>IF(OR(E386="",AH386=""),"",IF(COUNT(AG386:AG386)=0,"",AH386-LOOKUP(2,1/(AG386:AG386&lt;&gt;""),AG386:AG386)))</t>
        </is>
      </c>
      <c r="AV386" s="38" t="inlineStr">
        <is>
          <t>IF(OR(E386="",AI386=""),"",IF(COUNT(AG386:AH386)=0,"",AI386-LOOKUP(2,1/(AG386:AH386&lt;&gt;""),AG386:AH386)))</t>
        </is>
      </c>
      <c r="AW386" s="38" t="inlineStr">
        <is>
          <t>IF(OR(E386="",AJ386=""),"",IF(COUNT(AG386:AI386)=0,"",AJ386-LOOKUP(2,1/(AG386:AI386&lt;&gt;""),AG386:AI386)))</t>
        </is>
      </c>
      <c r="AX386" s="38" t="inlineStr">
        <is>
          <t>IF(OR(E386="",AK386=""),"",IF(COUNT(AG386:AJ386)=0,"",AK386-LOOKUP(2,1/(AG386:AJ386&lt;&gt;""),AG386:AJ386)))</t>
        </is>
      </c>
      <c r="AY386" s="38" t="inlineStr">
        <is>
          <t>IF(OR(E386="",AL386=""),"",IF(COUNT(AG386:AK386)=0,"",AL386-LOOKUP(2,1/(AG386:AK386&lt;&gt;""),AG386:AK386)))</t>
        </is>
      </c>
      <c r="AZ386" s="38" t="inlineStr">
        <is>
          <t>IF(OR(E386="",AM386=""),"",IF(COUNT(AG386:AL386)=0,"",AM386-LOOKUP(2,1/(AG386:AL386&lt;&gt;""),AG386:AL386)))</t>
        </is>
      </c>
      <c r="BA386" s="38" t="inlineStr">
        <is>
          <t>IF(OR(E386="",AN386=""),"",IF(COUNT(AG386:AM386)=0,"",AN386-LOOKUP(2,1/(AG386:AM386&lt;&gt;""),AG386:AM386)))</t>
        </is>
      </c>
      <c r="BB386" s="38" t="inlineStr">
        <is>
          <t>IF(OR(E386="",AO386=""),"",IF(COUNT(AG386:AN386)=0,"",AO386-LOOKUP(2,1/(AG386:AN386&lt;&gt;""),AG386:AN386)))</t>
        </is>
      </c>
      <c r="BC386" s="38" t="inlineStr">
        <is>
          <t>IF(OR(E386="",AP386=""),"",IF(COUNT(AG386:AO386)=0,"",AP386-LOOKUP(2,1/(AG386:AO386&lt;&gt;""),AG386:AO386)))</t>
        </is>
      </c>
      <c r="BD386" s="38" t="inlineStr">
        <is>
          <t>IF(OR(E386="",AQ386=""),"",IF(COUNT(AG386:AP386)=0,"",AQ386-LOOKUP(2,1/(AG386:AP386&lt;&gt;""),AG386:AP386)))</t>
        </is>
      </c>
      <c r="BE386" s="38" t="inlineStr">
        <is>
          <t>IF(OR(E386="",AR386=""),"",IF(COUNT(AG386:AQ386)=0,"",AR386-LOOKUP(2,1/(AG386:AQ386&lt;&gt;""),AG386:AQ386)))</t>
        </is>
      </c>
      <c r="BF386" s="38" t="inlineStr">
        <is>
          <t>IF(OR(E386="",AS386=""),"",IF(COUNT(AG386:AR386)=0,"",AS386-LOOKUP(2,1/(AG386:AR386&lt;&gt;""),AG386:AR386)))</t>
        </is>
      </c>
      <c r="BG386" s="38" t="inlineStr">
        <is>
          <t>IF(OR(E386="",AT386=""),"",IF(COUNT(AG386:AS386)=0,"",AT386-LOOKUP(2,1/(AG386:AS386&lt;&gt;""),AG386:AS386)))</t>
        </is>
      </c>
      <c r="BH386" s="41" t="inlineStr">
        <is>
          <t>IF(G386="","All_Provinces",IFERROR(VLOOKUP(G386,'07_Lookups'!$A$4:$B$20,2,FALSE),"All_Provinces"))</t>
        </is>
      </c>
      <c r="BI386" s="41" t="inlineStr">
        <is>
          <t>IF(H386="","All_Districts",IFERROR(VLOOKUP(H386,'07_Lookups'!$E$4:$F$42,2,FALSE),"All_Districts"))</t>
        </is>
      </c>
    </row>
    <row r="387" ht="18" customHeight="1">
      <c r="A387" s="32" t="inlineStr">
        <is>
          <t>IF(E387="","",ROW()-3)</t>
        </is>
      </c>
      <c r="B387" s="42" t="n"/>
      <c r="C387" s="42" t="n"/>
      <c r="D387" s="42" t="n"/>
      <c r="E387" s="42" t="n"/>
      <c r="F387" s="42" t="n"/>
      <c r="G387" s="42" t="n"/>
      <c r="H387" s="42" t="n"/>
      <c r="I387" s="42" t="n"/>
      <c r="J387" s="42" t="n"/>
      <c r="K387" s="42" t="n"/>
      <c r="L387" s="42" t="n"/>
      <c r="M387" s="42" t="n"/>
      <c r="N387" s="42" t="n"/>
      <c r="O387" s="42" t="n"/>
      <c r="P387" s="42" t="n"/>
      <c r="Q387" s="43" t="n"/>
      <c r="R387" s="35" t="inlineStr">
        <is>
          <t>IF(AO387="","",AO387)</t>
        </is>
      </c>
      <c r="S387" s="44" t="n"/>
      <c r="T387" s="45" t="n"/>
      <c r="U387" s="44" t="n"/>
      <c r="V387" s="35" t="inlineStr">
        <is>
          <t>IF(U387&lt;&gt;"",U387,IF(OR(R387="",T387=""),"",EDATE(R387,T387)))</t>
        </is>
      </c>
      <c r="W387" s="44" t="n"/>
      <c r="X387" s="45" t="n"/>
      <c r="Y387" s="42" t="n"/>
      <c r="Z387" s="42" t="n"/>
      <c r="AA387" s="32" t="inlineStr">
        <is>
          <t>IF(E387="","",IF(COUNT(AG387:AT387)=0,IF(Y387="","Not started",Y387),SUBSTITUTE(LOOKUP(2,1/(AG387:AT387&lt;&gt;""),$AG$3:$AT$3),"Date: ","")))</t>
        </is>
      </c>
      <c r="AB387" s="38" t="inlineStr">
        <is>
          <t>IF(OR(E387="",COUNT(AG387:AT387)=0),"",TODAY()-LOOKUP(2,1/(AG387:AT387&lt;&gt;""),AG387:AT387))</t>
        </is>
      </c>
      <c r="AC387" s="38" t="inlineStr">
        <is>
          <t>IF(OR(E387="",COUNT(AG387:AT387)&lt;2),"",LOOKUP(2,1/(AG387:AT387&lt;&gt;""),AG387:AT387)-MIN(AG387:AT387))</t>
        </is>
      </c>
      <c r="AD387" s="38" t="inlineStr">
        <is>
          <t>IF(OR(AB387="",AA387="Not started",AA387=""),"",IFERROR(AB387-IF(VLOOKUP(AA387,'04_Status_Pipeline'!$B$3:$E$20,4,FALSE)="",0,VLOOKUP(AA387,'04_Status_Pipeline'!$B$3:$E$20,4,FALSE)),""))</t>
        </is>
      </c>
      <c r="AE387" s="32" t="inlineStr">
        <is>
          <t>IF(E387="","",IF(OR(Y387="Cancelled",AA387="Cancelled"),"Cancelled",IF(OR(AA387="Completed / Handover",W387&lt;&gt;"",X387&gt;=100),"Completed — on track",IF(L387="Remaining",IF(S387="",IF(V387="","No planned date",IF(TODAY()&gt;V387,"Behind — past planned date",IF(V387-TODAY()&lt;=30,"At risk — close to off track","On track"))),IF(TODAY()&gt;S387,"Behind — award date passed",IF(S387-TODAY()&lt;=30,"At risk — close to off track","On track"))),IF(V387="","No planned date",IF(AND(TODAY()&gt;V387,OR(X387="",X387&lt;100)),"Behind — past end date",IF(AND(R387&lt;&gt;"",V387&lt;&gt;"",X387&lt;&gt;"",(X387&lt;100),((TODAY()-R387)/MAX(V387-R387,1)*100)-X387&gt;15),"Behind — progress lag",IF(AND(V387-TODAY()&lt;=30,V387-TODAY()&gt;=0,OR(X387="",X387&lt;90)),"At risk — close to off track","On track"))))))))</t>
        </is>
      </c>
      <c r="AF387" s="38" t="inlineStr">
        <is>
          <t>IF(OR(E387="",AA387="Completed / Handover",AA387="Cancelled"),"",IF(L387="Remaining",IF(S387&lt;&gt;"",S387-TODAY(),IF(V387="","",V387-TODAY())),IF(V387="","",V387-TODAY())))</t>
        </is>
      </c>
      <c r="AG387" s="44" t="n"/>
      <c r="AH387" s="44" t="n"/>
      <c r="AI387" s="44" t="n"/>
      <c r="AJ387" s="44" t="n"/>
      <c r="AK387" s="44" t="n"/>
      <c r="AL387" s="44" t="n"/>
      <c r="AM387" s="44" t="n"/>
      <c r="AN387" s="44" t="n"/>
      <c r="AO387" s="44" t="n"/>
      <c r="AP387" s="44" t="n"/>
      <c r="AQ387" s="44" t="n"/>
      <c r="AR387" s="40" t="n"/>
      <c r="AS387" s="40" t="n"/>
      <c r="AT387" s="40" t="n"/>
      <c r="AU387" s="38" t="inlineStr">
        <is>
          <t>IF(OR(E387="",AH387=""),"",IF(COUNT(AG387:AG387)=0,"",AH387-LOOKUP(2,1/(AG387:AG387&lt;&gt;""),AG387:AG387)))</t>
        </is>
      </c>
      <c r="AV387" s="38" t="inlineStr">
        <is>
          <t>IF(OR(E387="",AI387=""),"",IF(COUNT(AG387:AH387)=0,"",AI387-LOOKUP(2,1/(AG387:AH387&lt;&gt;""),AG387:AH387)))</t>
        </is>
      </c>
      <c r="AW387" s="38" t="inlineStr">
        <is>
          <t>IF(OR(E387="",AJ387=""),"",IF(COUNT(AG387:AI387)=0,"",AJ387-LOOKUP(2,1/(AG387:AI387&lt;&gt;""),AG387:AI387)))</t>
        </is>
      </c>
      <c r="AX387" s="38" t="inlineStr">
        <is>
          <t>IF(OR(E387="",AK387=""),"",IF(COUNT(AG387:AJ387)=0,"",AK387-LOOKUP(2,1/(AG387:AJ387&lt;&gt;""),AG387:AJ387)))</t>
        </is>
      </c>
      <c r="AY387" s="38" t="inlineStr">
        <is>
          <t>IF(OR(E387="",AL387=""),"",IF(COUNT(AG387:AK387)=0,"",AL387-LOOKUP(2,1/(AG387:AK387&lt;&gt;""),AG387:AK387)))</t>
        </is>
      </c>
      <c r="AZ387" s="38" t="inlineStr">
        <is>
          <t>IF(OR(E387="",AM387=""),"",IF(COUNT(AG387:AL387)=0,"",AM387-LOOKUP(2,1/(AG387:AL387&lt;&gt;""),AG387:AL387)))</t>
        </is>
      </c>
      <c r="BA387" s="38" t="inlineStr">
        <is>
          <t>IF(OR(E387="",AN387=""),"",IF(COUNT(AG387:AM387)=0,"",AN387-LOOKUP(2,1/(AG387:AM387&lt;&gt;""),AG387:AM387)))</t>
        </is>
      </c>
      <c r="BB387" s="38" t="inlineStr">
        <is>
          <t>IF(OR(E387="",AO387=""),"",IF(COUNT(AG387:AN387)=0,"",AO387-LOOKUP(2,1/(AG387:AN387&lt;&gt;""),AG387:AN387)))</t>
        </is>
      </c>
      <c r="BC387" s="38" t="inlineStr">
        <is>
          <t>IF(OR(E387="",AP387=""),"",IF(COUNT(AG387:AO387)=0,"",AP387-LOOKUP(2,1/(AG387:AO387&lt;&gt;""),AG387:AO387)))</t>
        </is>
      </c>
      <c r="BD387" s="38" t="inlineStr">
        <is>
          <t>IF(OR(E387="",AQ387=""),"",IF(COUNT(AG387:AP387)=0,"",AQ387-LOOKUP(2,1/(AG387:AP387&lt;&gt;""),AG387:AP387)))</t>
        </is>
      </c>
      <c r="BE387" s="38" t="inlineStr">
        <is>
          <t>IF(OR(E387="",AR387=""),"",IF(COUNT(AG387:AQ387)=0,"",AR387-LOOKUP(2,1/(AG387:AQ387&lt;&gt;""),AG387:AQ387)))</t>
        </is>
      </c>
      <c r="BF387" s="38" t="inlineStr">
        <is>
          <t>IF(OR(E387="",AS387=""),"",IF(COUNT(AG387:AR387)=0,"",AS387-LOOKUP(2,1/(AG387:AR387&lt;&gt;""),AG387:AR387)))</t>
        </is>
      </c>
      <c r="BG387" s="38" t="inlineStr">
        <is>
          <t>IF(OR(E387="",AT387=""),"",IF(COUNT(AG387:AS387)=0,"",AT387-LOOKUP(2,1/(AG387:AS387&lt;&gt;""),AG387:AS387)))</t>
        </is>
      </c>
      <c r="BH387" s="41" t="inlineStr">
        <is>
          <t>IF(G387="","All_Provinces",IFERROR(VLOOKUP(G387,'07_Lookups'!$A$4:$B$20,2,FALSE),"All_Provinces"))</t>
        </is>
      </c>
      <c r="BI387" s="41" t="inlineStr">
        <is>
          <t>IF(H387="","All_Districts",IFERROR(VLOOKUP(H387,'07_Lookups'!$E$4:$F$42,2,FALSE),"All_Districts"))</t>
        </is>
      </c>
    </row>
    <row r="388" ht="18" customHeight="1">
      <c r="A388" s="32" t="inlineStr">
        <is>
          <t>IF(E388="","",ROW()-3)</t>
        </is>
      </c>
      <c r="B388" s="33" t="n"/>
      <c r="C388" s="33" t="n"/>
      <c r="D388" s="33" t="n"/>
      <c r="E388" s="33" t="n"/>
      <c r="F388" s="33" t="n"/>
      <c r="G388" s="33" t="n"/>
      <c r="H388" s="33" t="n"/>
      <c r="I388" s="33" t="n"/>
      <c r="J388" s="33" t="n"/>
      <c r="K388" s="33" t="n"/>
      <c r="L388" s="33" t="n"/>
      <c r="M388" s="33" t="n"/>
      <c r="N388" s="33" t="n"/>
      <c r="O388" s="33" t="n"/>
      <c r="P388" s="33" t="n"/>
      <c r="Q388" s="34" t="n"/>
      <c r="R388" s="35" t="inlineStr">
        <is>
          <t>IF(AO388="","",AO388)</t>
        </is>
      </c>
      <c r="S388" s="36" t="n"/>
      <c r="T388" s="37" t="n"/>
      <c r="U388" s="36" t="n"/>
      <c r="V388" s="35" t="inlineStr">
        <is>
          <t>IF(U388&lt;&gt;"",U388,IF(OR(R388="",T388=""),"",EDATE(R388,T388)))</t>
        </is>
      </c>
      <c r="W388" s="36" t="n"/>
      <c r="X388" s="37" t="n"/>
      <c r="Y388" s="33" t="n"/>
      <c r="Z388" s="33" t="n"/>
      <c r="AA388" s="32" t="inlineStr">
        <is>
          <t>IF(E388="","",IF(COUNT(AG388:AT388)=0,IF(Y388="","Not started",Y388),SUBSTITUTE(LOOKUP(2,1/(AG388:AT388&lt;&gt;""),$AG$3:$AT$3),"Date: ","")))</t>
        </is>
      </c>
      <c r="AB388" s="38" t="inlineStr">
        <is>
          <t>IF(OR(E388="",COUNT(AG388:AT388)=0),"",TODAY()-LOOKUP(2,1/(AG388:AT388&lt;&gt;""),AG388:AT388))</t>
        </is>
      </c>
      <c r="AC388" s="38" t="inlineStr">
        <is>
          <t>IF(OR(E388="",COUNT(AG388:AT388)&lt;2),"",LOOKUP(2,1/(AG388:AT388&lt;&gt;""),AG388:AT388)-MIN(AG388:AT388))</t>
        </is>
      </c>
      <c r="AD388" s="38" t="inlineStr">
        <is>
          <t>IF(OR(AB388="",AA388="Not started",AA388=""),"",IFERROR(AB388-IF(VLOOKUP(AA388,'04_Status_Pipeline'!$B$3:$E$20,4,FALSE)="",0,VLOOKUP(AA388,'04_Status_Pipeline'!$B$3:$E$20,4,FALSE)),""))</t>
        </is>
      </c>
      <c r="AE388" s="32" t="inlineStr">
        <is>
          <t>IF(E388="","",IF(OR(Y388="Cancelled",AA388="Cancelled"),"Cancelled",IF(OR(AA388="Completed / Handover",W388&lt;&gt;"",X388&gt;=100),"Completed — on track",IF(L388="Remaining",IF(S388="",IF(V388="","No planned date",IF(TODAY()&gt;V388,"Behind — past planned date",IF(V388-TODAY()&lt;=30,"At risk — close to off track","On track"))),IF(TODAY()&gt;S388,"Behind — award date passed",IF(S388-TODAY()&lt;=30,"At risk — close to off track","On track"))),IF(V388="","No planned date",IF(AND(TODAY()&gt;V388,OR(X388="",X388&lt;100)),"Behind — past end date",IF(AND(R388&lt;&gt;"",V388&lt;&gt;"",X388&lt;&gt;"",(X388&lt;100),((TODAY()-R388)/MAX(V388-R388,1)*100)-X388&gt;15),"Behind — progress lag",IF(AND(V388-TODAY()&lt;=30,V388-TODAY()&gt;=0,OR(X388="",X388&lt;90)),"At risk — close to off track","On track"))))))))</t>
        </is>
      </c>
      <c r="AF388" s="38" t="inlineStr">
        <is>
          <t>IF(OR(E388="",AA388="Completed / Handover",AA388="Cancelled"),"",IF(L388="Remaining",IF(S388&lt;&gt;"",S388-TODAY(),IF(V388="","",V388-TODAY())),IF(V388="","",V388-TODAY())))</t>
        </is>
      </c>
      <c r="AG388" s="36" t="n"/>
      <c r="AH388" s="36" t="n"/>
      <c r="AI388" s="36" t="n"/>
      <c r="AJ388" s="36" t="n"/>
      <c r="AK388" s="36" t="n"/>
      <c r="AL388" s="36" t="n"/>
      <c r="AM388" s="36" t="n"/>
      <c r="AN388" s="36" t="n"/>
      <c r="AO388" s="36" t="n"/>
      <c r="AP388" s="36" t="n"/>
      <c r="AQ388" s="36" t="n"/>
      <c r="AR388" s="40" t="n"/>
      <c r="AS388" s="40" t="n"/>
      <c r="AT388" s="40" t="n"/>
      <c r="AU388" s="38" t="inlineStr">
        <is>
          <t>IF(OR(E388="",AH388=""),"",IF(COUNT(AG388:AG388)=0,"",AH388-LOOKUP(2,1/(AG388:AG388&lt;&gt;""),AG388:AG388)))</t>
        </is>
      </c>
      <c r="AV388" s="38" t="inlineStr">
        <is>
          <t>IF(OR(E388="",AI388=""),"",IF(COUNT(AG388:AH388)=0,"",AI388-LOOKUP(2,1/(AG388:AH388&lt;&gt;""),AG388:AH388)))</t>
        </is>
      </c>
      <c r="AW388" s="38" t="inlineStr">
        <is>
          <t>IF(OR(E388="",AJ388=""),"",IF(COUNT(AG388:AI388)=0,"",AJ388-LOOKUP(2,1/(AG388:AI388&lt;&gt;""),AG388:AI388)))</t>
        </is>
      </c>
      <c r="AX388" s="38" t="inlineStr">
        <is>
          <t>IF(OR(E388="",AK388=""),"",IF(COUNT(AG388:AJ388)=0,"",AK388-LOOKUP(2,1/(AG388:AJ388&lt;&gt;""),AG388:AJ388)))</t>
        </is>
      </c>
      <c r="AY388" s="38" t="inlineStr">
        <is>
          <t>IF(OR(E388="",AL388=""),"",IF(COUNT(AG388:AK388)=0,"",AL388-LOOKUP(2,1/(AG388:AK388&lt;&gt;""),AG388:AK388)))</t>
        </is>
      </c>
      <c r="AZ388" s="38" t="inlineStr">
        <is>
          <t>IF(OR(E388="",AM388=""),"",IF(COUNT(AG388:AL388)=0,"",AM388-LOOKUP(2,1/(AG388:AL388&lt;&gt;""),AG388:AL388)))</t>
        </is>
      </c>
      <c r="BA388" s="38" t="inlineStr">
        <is>
          <t>IF(OR(E388="",AN388=""),"",IF(COUNT(AG388:AM388)=0,"",AN388-LOOKUP(2,1/(AG388:AM388&lt;&gt;""),AG388:AM388)))</t>
        </is>
      </c>
      <c r="BB388" s="38" t="inlineStr">
        <is>
          <t>IF(OR(E388="",AO388=""),"",IF(COUNT(AG388:AN388)=0,"",AO388-LOOKUP(2,1/(AG388:AN388&lt;&gt;""),AG388:AN388)))</t>
        </is>
      </c>
      <c r="BC388" s="38" t="inlineStr">
        <is>
          <t>IF(OR(E388="",AP388=""),"",IF(COUNT(AG388:AO388)=0,"",AP388-LOOKUP(2,1/(AG388:AO388&lt;&gt;""),AG388:AO388)))</t>
        </is>
      </c>
      <c r="BD388" s="38" t="inlineStr">
        <is>
          <t>IF(OR(E388="",AQ388=""),"",IF(COUNT(AG388:AP388)=0,"",AQ388-LOOKUP(2,1/(AG388:AP388&lt;&gt;""),AG388:AP388)))</t>
        </is>
      </c>
      <c r="BE388" s="38" t="inlineStr">
        <is>
          <t>IF(OR(E388="",AR388=""),"",IF(COUNT(AG388:AQ388)=0,"",AR388-LOOKUP(2,1/(AG388:AQ388&lt;&gt;""),AG388:AQ388)))</t>
        </is>
      </c>
      <c r="BF388" s="38" t="inlineStr">
        <is>
          <t>IF(OR(E388="",AS388=""),"",IF(COUNT(AG388:AR388)=0,"",AS388-LOOKUP(2,1/(AG388:AR388&lt;&gt;""),AG388:AR388)))</t>
        </is>
      </c>
      <c r="BG388" s="38" t="inlineStr">
        <is>
          <t>IF(OR(E388="",AT388=""),"",IF(COUNT(AG388:AS388)=0,"",AT388-LOOKUP(2,1/(AG388:AS388&lt;&gt;""),AG388:AS388)))</t>
        </is>
      </c>
      <c r="BH388" s="41" t="inlineStr">
        <is>
          <t>IF(G388="","All_Provinces",IFERROR(VLOOKUP(G388,'07_Lookups'!$A$4:$B$20,2,FALSE),"All_Provinces"))</t>
        </is>
      </c>
      <c r="BI388" s="41" t="inlineStr">
        <is>
          <t>IF(H388="","All_Districts",IFERROR(VLOOKUP(H388,'07_Lookups'!$E$4:$F$42,2,FALSE),"All_Districts"))</t>
        </is>
      </c>
    </row>
    <row r="389" ht="18" customHeight="1">
      <c r="A389" s="32" t="inlineStr">
        <is>
          <t>IF(E389="","",ROW()-3)</t>
        </is>
      </c>
      <c r="B389" s="42" t="n"/>
      <c r="C389" s="42" t="n"/>
      <c r="D389" s="42" t="n"/>
      <c r="E389" s="42" t="n"/>
      <c r="F389" s="42" t="n"/>
      <c r="G389" s="42" t="n"/>
      <c r="H389" s="42" t="n"/>
      <c r="I389" s="42" t="n"/>
      <c r="J389" s="42" t="n"/>
      <c r="K389" s="42" t="n"/>
      <c r="L389" s="42" t="n"/>
      <c r="M389" s="42" t="n"/>
      <c r="N389" s="42" t="n"/>
      <c r="O389" s="42" t="n"/>
      <c r="P389" s="42" t="n"/>
      <c r="Q389" s="43" t="n"/>
      <c r="R389" s="35" t="inlineStr">
        <is>
          <t>IF(AO389="","",AO389)</t>
        </is>
      </c>
      <c r="S389" s="44" t="n"/>
      <c r="T389" s="45" t="n"/>
      <c r="U389" s="44" t="n"/>
      <c r="V389" s="35" t="inlineStr">
        <is>
          <t>IF(U389&lt;&gt;"",U389,IF(OR(R389="",T389=""),"",EDATE(R389,T389)))</t>
        </is>
      </c>
      <c r="W389" s="44" t="n"/>
      <c r="X389" s="45" t="n"/>
      <c r="Y389" s="42" t="n"/>
      <c r="Z389" s="42" t="n"/>
      <c r="AA389" s="32" t="inlineStr">
        <is>
          <t>IF(E389="","",IF(COUNT(AG389:AT389)=0,IF(Y389="","Not started",Y389),SUBSTITUTE(LOOKUP(2,1/(AG389:AT389&lt;&gt;""),$AG$3:$AT$3),"Date: ","")))</t>
        </is>
      </c>
      <c r="AB389" s="38" t="inlineStr">
        <is>
          <t>IF(OR(E389="",COUNT(AG389:AT389)=0),"",TODAY()-LOOKUP(2,1/(AG389:AT389&lt;&gt;""),AG389:AT389))</t>
        </is>
      </c>
      <c r="AC389" s="38" t="inlineStr">
        <is>
          <t>IF(OR(E389="",COUNT(AG389:AT389)&lt;2),"",LOOKUP(2,1/(AG389:AT389&lt;&gt;""),AG389:AT389)-MIN(AG389:AT389))</t>
        </is>
      </c>
      <c r="AD389" s="38" t="inlineStr">
        <is>
          <t>IF(OR(AB389="",AA389="Not started",AA389=""),"",IFERROR(AB389-IF(VLOOKUP(AA389,'04_Status_Pipeline'!$B$3:$E$20,4,FALSE)="",0,VLOOKUP(AA389,'04_Status_Pipeline'!$B$3:$E$20,4,FALSE)),""))</t>
        </is>
      </c>
      <c r="AE389" s="32" t="inlineStr">
        <is>
          <t>IF(E389="","",IF(OR(Y389="Cancelled",AA389="Cancelled"),"Cancelled",IF(OR(AA389="Completed / Handover",W389&lt;&gt;"",X389&gt;=100),"Completed — on track",IF(L389="Remaining",IF(S389="",IF(V389="","No planned date",IF(TODAY()&gt;V389,"Behind — past planned date",IF(V389-TODAY()&lt;=30,"At risk — close to off track","On track"))),IF(TODAY()&gt;S389,"Behind — award date passed",IF(S389-TODAY()&lt;=30,"At risk — close to off track","On track"))),IF(V389="","No planned date",IF(AND(TODAY()&gt;V389,OR(X389="",X389&lt;100)),"Behind — past end date",IF(AND(R389&lt;&gt;"",V389&lt;&gt;"",X389&lt;&gt;"",(X389&lt;100),((TODAY()-R389)/MAX(V389-R389,1)*100)-X389&gt;15),"Behind — progress lag",IF(AND(V389-TODAY()&lt;=30,V389-TODAY()&gt;=0,OR(X389="",X389&lt;90)),"At risk — close to off track","On track"))))))))</t>
        </is>
      </c>
      <c r="AF389" s="38" t="inlineStr">
        <is>
          <t>IF(OR(E389="",AA389="Completed / Handover",AA389="Cancelled"),"",IF(L389="Remaining",IF(S389&lt;&gt;"",S389-TODAY(),IF(V389="","",V389-TODAY())),IF(V389="","",V389-TODAY())))</t>
        </is>
      </c>
      <c r="AG389" s="44" t="n"/>
      <c r="AH389" s="44" t="n"/>
      <c r="AI389" s="44" t="n"/>
      <c r="AJ389" s="44" t="n"/>
      <c r="AK389" s="44" t="n"/>
      <c r="AL389" s="44" t="n"/>
      <c r="AM389" s="44" t="n"/>
      <c r="AN389" s="44" t="n"/>
      <c r="AO389" s="44" t="n"/>
      <c r="AP389" s="44" t="n"/>
      <c r="AQ389" s="44" t="n"/>
      <c r="AR389" s="40" t="n"/>
      <c r="AS389" s="40" t="n"/>
      <c r="AT389" s="40" t="n"/>
      <c r="AU389" s="38" t="inlineStr">
        <is>
          <t>IF(OR(E389="",AH389=""),"",IF(COUNT(AG389:AG389)=0,"",AH389-LOOKUP(2,1/(AG389:AG389&lt;&gt;""),AG389:AG389)))</t>
        </is>
      </c>
      <c r="AV389" s="38" t="inlineStr">
        <is>
          <t>IF(OR(E389="",AI389=""),"",IF(COUNT(AG389:AH389)=0,"",AI389-LOOKUP(2,1/(AG389:AH389&lt;&gt;""),AG389:AH389)))</t>
        </is>
      </c>
      <c r="AW389" s="38" t="inlineStr">
        <is>
          <t>IF(OR(E389="",AJ389=""),"",IF(COUNT(AG389:AI389)=0,"",AJ389-LOOKUP(2,1/(AG389:AI389&lt;&gt;""),AG389:AI389)))</t>
        </is>
      </c>
      <c r="AX389" s="38" t="inlineStr">
        <is>
          <t>IF(OR(E389="",AK389=""),"",IF(COUNT(AG389:AJ389)=0,"",AK389-LOOKUP(2,1/(AG389:AJ389&lt;&gt;""),AG389:AJ389)))</t>
        </is>
      </c>
      <c r="AY389" s="38" t="inlineStr">
        <is>
          <t>IF(OR(E389="",AL389=""),"",IF(COUNT(AG389:AK389)=0,"",AL389-LOOKUP(2,1/(AG389:AK389&lt;&gt;""),AG389:AK389)))</t>
        </is>
      </c>
      <c r="AZ389" s="38" t="inlineStr">
        <is>
          <t>IF(OR(E389="",AM389=""),"",IF(COUNT(AG389:AL389)=0,"",AM389-LOOKUP(2,1/(AG389:AL389&lt;&gt;""),AG389:AL389)))</t>
        </is>
      </c>
      <c r="BA389" s="38" t="inlineStr">
        <is>
          <t>IF(OR(E389="",AN389=""),"",IF(COUNT(AG389:AM389)=0,"",AN389-LOOKUP(2,1/(AG389:AM389&lt;&gt;""),AG389:AM389)))</t>
        </is>
      </c>
      <c r="BB389" s="38" t="inlineStr">
        <is>
          <t>IF(OR(E389="",AO389=""),"",IF(COUNT(AG389:AN389)=0,"",AO389-LOOKUP(2,1/(AG389:AN389&lt;&gt;""),AG389:AN389)))</t>
        </is>
      </c>
      <c r="BC389" s="38" t="inlineStr">
        <is>
          <t>IF(OR(E389="",AP389=""),"",IF(COUNT(AG389:AO389)=0,"",AP389-LOOKUP(2,1/(AG389:AO389&lt;&gt;""),AG389:AO389)))</t>
        </is>
      </c>
      <c r="BD389" s="38" t="inlineStr">
        <is>
          <t>IF(OR(E389="",AQ389=""),"",IF(COUNT(AG389:AP389)=0,"",AQ389-LOOKUP(2,1/(AG389:AP389&lt;&gt;""),AG389:AP389)))</t>
        </is>
      </c>
      <c r="BE389" s="38" t="inlineStr">
        <is>
          <t>IF(OR(E389="",AR389=""),"",IF(COUNT(AG389:AQ389)=0,"",AR389-LOOKUP(2,1/(AG389:AQ389&lt;&gt;""),AG389:AQ389)))</t>
        </is>
      </c>
      <c r="BF389" s="38" t="inlineStr">
        <is>
          <t>IF(OR(E389="",AS389=""),"",IF(COUNT(AG389:AR389)=0,"",AS389-LOOKUP(2,1/(AG389:AR389&lt;&gt;""),AG389:AR389)))</t>
        </is>
      </c>
      <c r="BG389" s="38" t="inlineStr">
        <is>
          <t>IF(OR(E389="",AT389=""),"",IF(COUNT(AG389:AS389)=0,"",AT389-LOOKUP(2,1/(AG389:AS389&lt;&gt;""),AG389:AS389)))</t>
        </is>
      </c>
      <c r="BH389" s="41" t="inlineStr">
        <is>
          <t>IF(G389="","All_Provinces",IFERROR(VLOOKUP(G389,'07_Lookups'!$A$4:$B$20,2,FALSE),"All_Provinces"))</t>
        </is>
      </c>
      <c r="BI389" s="41" t="inlineStr">
        <is>
          <t>IF(H389="","All_Districts",IFERROR(VLOOKUP(H389,'07_Lookups'!$E$4:$F$42,2,FALSE),"All_Districts"))</t>
        </is>
      </c>
    </row>
    <row r="390" ht="18" customHeight="1">
      <c r="A390" s="32" t="inlineStr">
        <is>
          <t>IF(E390="","",ROW()-3)</t>
        </is>
      </c>
      <c r="B390" s="33" t="n"/>
      <c r="C390" s="33" t="n"/>
      <c r="D390" s="33" t="n"/>
      <c r="E390" s="33" t="n"/>
      <c r="F390" s="33" t="n"/>
      <c r="G390" s="33" t="n"/>
      <c r="H390" s="33" t="n"/>
      <c r="I390" s="33" t="n"/>
      <c r="J390" s="33" t="n"/>
      <c r="K390" s="33" t="n"/>
      <c r="L390" s="33" t="n"/>
      <c r="M390" s="33" t="n"/>
      <c r="N390" s="33" t="n"/>
      <c r="O390" s="33" t="n"/>
      <c r="P390" s="33" t="n"/>
      <c r="Q390" s="34" t="n"/>
      <c r="R390" s="35" t="inlineStr">
        <is>
          <t>IF(AO390="","",AO390)</t>
        </is>
      </c>
      <c r="S390" s="36" t="n"/>
      <c r="T390" s="37" t="n"/>
      <c r="U390" s="36" t="n"/>
      <c r="V390" s="35" t="inlineStr">
        <is>
          <t>IF(U390&lt;&gt;"",U390,IF(OR(R390="",T390=""),"",EDATE(R390,T390)))</t>
        </is>
      </c>
      <c r="W390" s="36" t="n"/>
      <c r="X390" s="37" t="n"/>
      <c r="Y390" s="33" t="n"/>
      <c r="Z390" s="33" t="n"/>
      <c r="AA390" s="32" t="inlineStr">
        <is>
          <t>IF(E390="","",IF(COUNT(AG390:AT390)=0,IF(Y390="","Not started",Y390),SUBSTITUTE(LOOKUP(2,1/(AG390:AT390&lt;&gt;""),$AG$3:$AT$3),"Date: ","")))</t>
        </is>
      </c>
      <c r="AB390" s="38" t="inlineStr">
        <is>
          <t>IF(OR(E390="",COUNT(AG390:AT390)=0),"",TODAY()-LOOKUP(2,1/(AG390:AT390&lt;&gt;""),AG390:AT390))</t>
        </is>
      </c>
      <c r="AC390" s="38" t="inlineStr">
        <is>
          <t>IF(OR(E390="",COUNT(AG390:AT390)&lt;2),"",LOOKUP(2,1/(AG390:AT390&lt;&gt;""),AG390:AT390)-MIN(AG390:AT390))</t>
        </is>
      </c>
      <c r="AD390" s="38" t="inlineStr">
        <is>
          <t>IF(OR(AB390="",AA390="Not started",AA390=""),"",IFERROR(AB390-IF(VLOOKUP(AA390,'04_Status_Pipeline'!$B$3:$E$20,4,FALSE)="",0,VLOOKUP(AA390,'04_Status_Pipeline'!$B$3:$E$20,4,FALSE)),""))</t>
        </is>
      </c>
      <c r="AE390" s="32" t="inlineStr">
        <is>
          <t>IF(E390="","",IF(OR(Y390="Cancelled",AA390="Cancelled"),"Cancelled",IF(OR(AA390="Completed / Handover",W390&lt;&gt;"",X390&gt;=100),"Completed — on track",IF(L390="Remaining",IF(S390="",IF(V390="","No planned date",IF(TODAY()&gt;V390,"Behind — past planned date",IF(V390-TODAY()&lt;=30,"At risk — close to off track","On track"))),IF(TODAY()&gt;S390,"Behind — award date passed",IF(S390-TODAY()&lt;=30,"At risk — close to off track","On track"))),IF(V390="","No planned date",IF(AND(TODAY()&gt;V390,OR(X390="",X390&lt;100)),"Behind — past end date",IF(AND(R390&lt;&gt;"",V390&lt;&gt;"",X390&lt;&gt;"",(X390&lt;100),((TODAY()-R390)/MAX(V390-R390,1)*100)-X390&gt;15),"Behind — progress lag",IF(AND(V390-TODAY()&lt;=30,V390-TODAY()&gt;=0,OR(X390="",X390&lt;90)),"At risk — close to off track","On track"))))))))</t>
        </is>
      </c>
      <c r="AF390" s="38" t="inlineStr">
        <is>
          <t>IF(OR(E390="",AA390="Completed / Handover",AA390="Cancelled"),"",IF(L390="Remaining",IF(S390&lt;&gt;"",S390-TODAY(),IF(V390="","",V390-TODAY())),IF(V390="","",V390-TODAY())))</t>
        </is>
      </c>
      <c r="AG390" s="36" t="n"/>
      <c r="AH390" s="36" t="n"/>
      <c r="AI390" s="36" t="n"/>
      <c r="AJ390" s="36" t="n"/>
      <c r="AK390" s="36" t="n"/>
      <c r="AL390" s="36" t="n"/>
      <c r="AM390" s="36" t="n"/>
      <c r="AN390" s="36" t="n"/>
      <c r="AO390" s="36" t="n"/>
      <c r="AP390" s="36" t="n"/>
      <c r="AQ390" s="36" t="n"/>
      <c r="AR390" s="40" t="n"/>
      <c r="AS390" s="40" t="n"/>
      <c r="AT390" s="40" t="n"/>
      <c r="AU390" s="38" t="inlineStr">
        <is>
          <t>IF(OR(E390="",AH390=""),"",IF(COUNT(AG390:AG390)=0,"",AH390-LOOKUP(2,1/(AG390:AG390&lt;&gt;""),AG390:AG390)))</t>
        </is>
      </c>
      <c r="AV390" s="38" t="inlineStr">
        <is>
          <t>IF(OR(E390="",AI390=""),"",IF(COUNT(AG390:AH390)=0,"",AI390-LOOKUP(2,1/(AG390:AH390&lt;&gt;""),AG390:AH390)))</t>
        </is>
      </c>
      <c r="AW390" s="38" t="inlineStr">
        <is>
          <t>IF(OR(E390="",AJ390=""),"",IF(COUNT(AG390:AI390)=0,"",AJ390-LOOKUP(2,1/(AG390:AI390&lt;&gt;""),AG390:AI390)))</t>
        </is>
      </c>
      <c r="AX390" s="38" t="inlineStr">
        <is>
          <t>IF(OR(E390="",AK390=""),"",IF(COUNT(AG390:AJ390)=0,"",AK390-LOOKUP(2,1/(AG390:AJ390&lt;&gt;""),AG390:AJ390)))</t>
        </is>
      </c>
      <c r="AY390" s="38" t="inlineStr">
        <is>
          <t>IF(OR(E390="",AL390=""),"",IF(COUNT(AG390:AK390)=0,"",AL390-LOOKUP(2,1/(AG390:AK390&lt;&gt;""),AG390:AK390)))</t>
        </is>
      </c>
      <c r="AZ390" s="38" t="inlineStr">
        <is>
          <t>IF(OR(E390="",AM390=""),"",IF(COUNT(AG390:AL390)=0,"",AM390-LOOKUP(2,1/(AG390:AL390&lt;&gt;""),AG390:AL390)))</t>
        </is>
      </c>
      <c r="BA390" s="38" t="inlineStr">
        <is>
          <t>IF(OR(E390="",AN390=""),"",IF(COUNT(AG390:AM390)=0,"",AN390-LOOKUP(2,1/(AG390:AM390&lt;&gt;""),AG390:AM390)))</t>
        </is>
      </c>
      <c r="BB390" s="38" t="inlineStr">
        <is>
          <t>IF(OR(E390="",AO390=""),"",IF(COUNT(AG390:AN390)=0,"",AO390-LOOKUP(2,1/(AG390:AN390&lt;&gt;""),AG390:AN390)))</t>
        </is>
      </c>
      <c r="BC390" s="38" t="inlineStr">
        <is>
          <t>IF(OR(E390="",AP390=""),"",IF(COUNT(AG390:AO390)=0,"",AP390-LOOKUP(2,1/(AG390:AO390&lt;&gt;""),AG390:AO390)))</t>
        </is>
      </c>
      <c r="BD390" s="38" t="inlineStr">
        <is>
          <t>IF(OR(E390="",AQ390=""),"",IF(COUNT(AG390:AP390)=0,"",AQ390-LOOKUP(2,1/(AG390:AP390&lt;&gt;""),AG390:AP390)))</t>
        </is>
      </c>
      <c r="BE390" s="38" t="inlineStr">
        <is>
          <t>IF(OR(E390="",AR390=""),"",IF(COUNT(AG390:AQ390)=0,"",AR390-LOOKUP(2,1/(AG390:AQ390&lt;&gt;""),AG390:AQ390)))</t>
        </is>
      </c>
      <c r="BF390" s="38" t="inlineStr">
        <is>
          <t>IF(OR(E390="",AS390=""),"",IF(COUNT(AG390:AR390)=0,"",AS390-LOOKUP(2,1/(AG390:AR390&lt;&gt;""),AG390:AR390)))</t>
        </is>
      </c>
      <c r="BG390" s="38" t="inlineStr">
        <is>
          <t>IF(OR(E390="",AT390=""),"",IF(COUNT(AG390:AS390)=0,"",AT390-LOOKUP(2,1/(AG390:AS390&lt;&gt;""),AG390:AS390)))</t>
        </is>
      </c>
      <c r="BH390" s="41" t="inlineStr">
        <is>
          <t>IF(G390="","All_Provinces",IFERROR(VLOOKUP(G390,'07_Lookups'!$A$4:$B$20,2,FALSE),"All_Provinces"))</t>
        </is>
      </c>
      <c r="BI390" s="41" t="inlineStr">
        <is>
          <t>IF(H390="","All_Districts",IFERROR(VLOOKUP(H390,'07_Lookups'!$E$4:$F$42,2,FALSE),"All_Districts"))</t>
        </is>
      </c>
    </row>
    <row r="391" ht="18" customHeight="1">
      <c r="A391" s="32" t="inlineStr">
        <is>
          <t>IF(E391="","",ROW()-3)</t>
        </is>
      </c>
      <c r="B391" s="42" t="n"/>
      <c r="C391" s="42" t="n"/>
      <c r="D391" s="42" t="n"/>
      <c r="E391" s="42" t="n"/>
      <c r="F391" s="42" t="n"/>
      <c r="G391" s="42" t="n"/>
      <c r="H391" s="42" t="n"/>
      <c r="I391" s="42" t="n"/>
      <c r="J391" s="42" t="n"/>
      <c r="K391" s="42" t="n"/>
      <c r="L391" s="42" t="n"/>
      <c r="M391" s="42" t="n"/>
      <c r="N391" s="42" t="n"/>
      <c r="O391" s="42" t="n"/>
      <c r="P391" s="42" t="n"/>
      <c r="Q391" s="43" t="n"/>
      <c r="R391" s="35" t="inlineStr">
        <is>
          <t>IF(AO391="","",AO391)</t>
        </is>
      </c>
      <c r="S391" s="44" t="n"/>
      <c r="T391" s="45" t="n"/>
      <c r="U391" s="44" t="n"/>
      <c r="V391" s="35" t="inlineStr">
        <is>
          <t>IF(U391&lt;&gt;"",U391,IF(OR(R391="",T391=""),"",EDATE(R391,T391)))</t>
        </is>
      </c>
      <c r="W391" s="44" t="n"/>
      <c r="X391" s="45" t="n"/>
      <c r="Y391" s="42" t="n"/>
      <c r="Z391" s="42" t="n"/>
      <c r="AA391" s="32" t="inlineStr">
        <is>
          <t>IF(E391="","",IF(COUNT(AG391:AT391)=0,IF(Y391="","Not started",Y391),SUBSTITUTE(LOOKUP(2,1/(AG391:AT391&lt;&gt;""),$AG$3:$AT$3),"Date: ","")))</t>
        </is>
      </c>
      <c r="AB391" s="38" t="inlineStr">
        <is>
          <t>IF(OR(E391="",COUNT(AG391:AT391)=0),"",TODAY()-LOOKUP(2,1/(AG391:AT391&lt;&gt;""),AG391:AT391))</t>
        </is>
      </c>
      <c r="AC391" s="38" t="inlineStr">
        <is>
          <t>IF(OR(E391="",COUNT(AG391:AT391)&lt;2),"",LOOKUP(2,1/(AG391:AT391&lt;&gt;""),AG391:AT391)-MIN(AG391:AT391))</t>
        </is>
      </c>
      <c r="AD391" s="38" t="inlineStr">
        <is>
          <t>IF(OR(AB391="",AA391="Not started",AA391=""),"",IFERROR(AB391-IF(VLOOKUP(AA391,'04_Status_Pipeline'!$B$3:$E$20,4,FALSE)="",0,VLOOKUP(AA391,'04_Status_Pipeline'!$B$3:$E$20,4,FALSE)),""))</t>
        </is>
      </c>
      <c r="AE391" s="32" t="inlineStr">
        <is>
          <t>IF(E391="","",IF(OR(Y391="Cancelled",AA391="Cancelled"),"Cancelled",IF(OR(AA391="Completed / Handover",W391&lt;&gt;"",X391&gt;=100),"Completed — on track",IF(L391="Remaining",IF(S391="",IF(V391="","No planned date",IF(TODAY()&gt;V391,"Behind — past planned date",IF(V391-TODAY()&lt;=30,"At risk — close to off track","On track"))),IF(TODAY()&gt;S391,"Behind — award date passed",IF(S391-TODAY()&lt;=30,"At risk — close to off track","On track"))),IF(V391="","No planned date",IF(AND(TODAY()&gt;V391,OR(X391="",X391&lt;100)),"Behind — past end date",IF(AND(R391&lt;&gt;"",V391&lt;&gt;"",X391&lt;&gt;"",(X391&lt;100),((TODAY()-R391)/MAX(V391-R391,1)*100)-X391&gt;15),"Behind — progress lag",IF(AND(V391-TODAY()&lt;=30,V391-TODAY()&gt;=0,OR(X391="",X391&lt;90)),"At risk — close to off track","On track"))))))))</t>
        </is>
      </c>
      <c r="AF391" s="38" t="inlineStr">
        <is>
          <t>IF(OR(E391="",AA391="Completed / Handover",AA391="Cancelled"),"",IF(L391="Remaining",IF(S391&lt;&gt;"",S391-TODAY(),IF(V391="","",V391-TODAY())),IF(V391="","",V391-TODAY())))</t>
        </is>
      </c>
      <c r="AG391" s="44" t="n"/>
      <c r="AH391" s="44" t="n"/>
      <c r="AI391" s="44" t="n"/>
      <c r="AJ391" s="44" t="n"/>
      <c r="AK391" s="44" t="n"/>
      <c r="AL391" s="44" t="n"/>
      <c r="AM391" s="44" t="n"/>
      <c r="AN391" s="44" t="n"/>
      <c r="AO391" s="44" t="n"/>
      <c r="AP391" s="44" t="n"/>
      <c r="AQ391" s="44" t="n"/>
      <c r="AR391" s="40" t="n"/>
      <c r="AS391" s="40" t="n"/>
      <c r="AT391" s="40" t="n"/>
      <c r="AU391" s="38" t="inlineStr">
        <is>
          <t>IF(OR(E391="",AH391=""),"",IF(COUNT(AG391:AG391)=0,"",AH391-LOOKUP(2,1/(AG391:AG391&lt;&gt;""),AG391:AG391)))</t>
        </is>
      </c>
      <c r="AV391" s="38" t="inlineStr">
        <is>
          <t>IF(OR(E391="",AI391=""),"",IF(COUNT(AG391:AH391)=0,"",AI391-LOOKUP(2,1/(AG391:AH391&lt;&gt;""),AG391:AH391)))</t>
        </is>
      </c>
      <c r="AW391" s="38" t="inlineStr">
        <is>
          <t>IF(OR(E391="",AJ391=""),"",IF(COUNT(AG391:AI391)=0,"",AJ391-LOOKUP(2,1/(AG391:AI391&lt;&gt;""),AG391:AI391)))</t>
        </is>
      </c>
      <c r="AX391" s="38" t="inlineStr">
        <is>
          <t>IF(OR(E391="",AK391=""),"",IF(COUNT(AG391:AJ391)=0,"",AK391-LOOKUP(2,1/(AG391:AJ391&lt;&gt;""),AG391:AJ391)))</t>
        </is>
      </c>
      <c r="AY391" s="38" t="inlineStr">
        <is>
          <t>IF(OR(E391="",AL391=""),"",IF(COUNT(AG391:AK391)=0,"",AL391-LOOKUP(2,1/(AG391:AK391&lt;&gt;""),AG391:AK391)))</t>
        </is>
      </c>
      <c r="AZ391" s="38" t="inlineStr">
        <is>
          <t>IF(OR(E391="",AM391=""),"",IF(COUNT(AG391:AL391)=0,"",AM391-LOOKUP(2,1/(AG391:AL391&lt;&gt;""),AG391:AL391)))</t>
        </is>
      </c>
      <c r="BA391" s="38" t="inlineStr">
        <is>
          <t>IF(OR(E391="",AN391=""),"",IF(COUNT(AG391:AM391)=0,"",AN391-LOOKUP(2,1/(AG391:AM391&lt;&gt;""),AG391:AM391)))</t>
        </is>
      </c>
      <c r="BB391" s="38" t="inlineStr">
        <is>
          <t>IF(OR(E391="",AO391=""),"",IF(COUNT(AG391:AN391)=0,"",AO391-LOOKUP(2,1/(AG391:AN391&lt;&gt;""),AG391:AN391)))</t>
        </is>
      </c>
      <c r="BC391" s="38" t="inlineStr">
        <is>
          <t>IF(OR(E391="",AP391=""),"",IF(COUNT(AG391:AO391)=0,"",AP391-LOOKUP(2,1/(AG391:AO391&lt;&gt;""),AG391:AO391)))</t>
        </is>
      </c>
      <c r="BD391" s="38" t="inlineStr">
        <is>
          <t>IF(OR(E391="",AQ391=""),"",IF(COUNT(AG391:AP391)=0,"",AQ391-LOOKUP(2,1/(AG391:AP391&lt;&gt;""),AG391:AP391)))</t>
        </is>
      </c>
      <c r="BE391" s="38" t="inlineStr">
        <is>
          <t>IF(OR(E391="",AR391=""),"",IF(COUNT(AG391:AQ391)=0,"",AR391-LOOKUP(2,1/(AG391:AQ391&lt;&gt;""),AG391:AQ391)))</t>
        </is>
      </c>
      <c r="BF391" s="38" t="inlineStr">
        <is>
          <t>IF(OR(E391="",AS391=""),"",IF(COUNT(AG391:AR391)=0,"",AS391-LOOKUP(2,1/(AG391:AR391&lt;&gt;""),AG391:AR391)))</t>
        </is>
      </c>
      <c r="BG391" s="38" t="inlineStr">
        <is>
          <t>IF(OR(E391="",AT391=""),"",IF(COUNT(AG391:AS391)=0,"",AT391-LOOKUP(2,1/(AG391:AS391&lt;&gt;""),AG391:AS391)))</t>
        </is>
      </c>
      <c r="BH391" s="41" t="inlineStr">
        <is>
          <t>IF(G391="","All_Provinces",IFERROR(VLOOKUP(G391,'07_Lookups'!$A$4:$B$20,2,FALSE),"All_Provinces"))</t>
        </is>
      </c>
      <c r="BI391" s="41" t="inlineStr">
        <is>
          <t>IF(H391="","All_Districts",IFERROR(VLOOKUP(H391,'07_Lookups'!$E$4:$F$42,2,FALSE),"All_Districts"))</t>
        </is>
      </c>
    </row>
    <row r="392" ht="18" customHeight="1">
      <c r="A392" s="32" t="inlineStr">
        <is>
          <t>IF(E392="","",ROW()-3)</t>
        </is>
      </c>
      <c r="B392" s="33" t="n"/>
      <c r="C392" s="33" t="n"/>
      <c r="D392" s="33" t="n"/>
      <c r="E392" s="33" t="n"/>
      <c r="F392" s="33" t="n"/>
      <c r="G392" s="33" t="n"/>
      <c r="H392" s="33" t="n"/>
      <c r="I392" s="33" t="n"/>
      <c r="J392" s="33" t="n"/>
      <c r="K392" s="33" t="n"/>
      <c r="L392" s="33" t="n"/>
      <c r="M392" s="33" t="n"/>
      <c r="N392" s="33" t="n"/>
      <c r="O392" s="33" t="n"/>
      <c r="P392" s="33" t="n"/>
      <c r="Q392" s="34" t="n"/>
      <c r="R392" s="35" t="inlineStr">
        <is>
          <t>IF(AO392="","",AO392)</t>
        </is>
      </c>
      <c r="S392" s="36" t="n"/>
      <c r="T392" s="37" t="n"/>
      <c r="U392" s="36" t="n"/>
      <c r="V392" s="35" t="inlineStr">
        <is>
          <t>IF(U392&lt;&gt;"",U392,IF(OR(R392="",T392=""),"",EDATE(R392,T392)))</t>
        </is>
      </c>
      <c r="W392" s="36" t="n"/>
      <c r="X392" s="37" t="n"/>
      <c r="Y392" s="33" t="n"/>
      <c r="Z392" s="33" t="n"/>
      <c r="AA392" s="32" t="inlineStr">
        <is>
          <t>IF(E392="","",IF(COUNT(AG392:AT392)=0,IF(Y392="","Not started",Y392),SUBSTITUTE(LOOKUP(2,1/(AG392:AT392&lt;&gt;""),$AG$3:$AT$3),"Date: ","")))</t>
        </is>
      </c>
      <c r="AB392" s="38" t="inlineStr">
        <is>
          <t>IF(OR(E392="",COUNT(AG392:AT392)=0),"",TODAY()-LOOKUP(2,1/(AG392:AT392&lt;&gt;""),AG392:AT392))</t>
        </is>
      </c>
      <c r="AC392" s="38" t="inlineStr">
        <is>
          <t>IF(OR(E392="",COUNT(AG392:AT392)&lt;2),"",LOOKUP(2,1/(AG392:AT392&lt;&gt;""),AG392:AT392)-MIN(AG392:AT392))</t>
        </is>
      </c>
      <c r="AD392" s="38" t="inlineStr">
        <is>
          <t>IF(OR(AB392="",AA392="Not started",AA392=""),"",IFERROR(AB392-IF(VLOOKUP(AA392,'04_Status_Pipeline'!$B$3:$E$20,4,FALSE)="",0,VLOOKUP(AA392,'04_Status_Pipeline'!$B$3:$E$20,4,FALSE)),""))</t>
        </is>
      </c>
      <c r="AE392" s="32" t="inlineStr">
        <is>
          <t>IF(E392="","",IF(OR(Y392="Cancelled",AA392="Cancelled"),"Cancelled",IF(OR(AA392="Completed / Handover",W392&lt;&gt;"",X392&gt;=100),"Completed — on track",IF(L392="Remaining",IF(S392="",IF(V392="","No planned date",IF(TODAY()&gt;V392,"Behind — past planned date",IF(V392-TODAY()&lt;=30,"At risk — close to off track","On track"))),IF(TODAY()&gt;S392,"Behind — award date passed",IF(S392-TODAY()&lt;=30,"At risk — close to off track","On track"))),IF(V392="","No planned date",IF(AND(TODAY()&gt;V392,OR(X392="",X392&lt;100)),"Behind — past end date",IF(AND(R392&lt;&gt;"",V392&lt;&gt;"",X392&lt;&gt;"",(X392&lt;100),((TODAY()-R392)/MAX(V392-R392,1)*100)-X392&gt;15),"Behind — progress lag",IF(AND(V392-TODAY()&lt;=30,V392-TODAY()&gt;=0,OR(X392="",X392&lt;90)),"At risk — close to off track","On track"))))))))</t>
        </is>
      </c>
      <c r="AF392" s="38" t="inlineStr">
        <is>
          <t>IF(OR(E392="",AA392="Completed / Handover",AA392="Cancelled"),"",IF(L392="Remaining",IF(S392&lt;&gt;"",S392-TODAY(),IF(V392="","",V392-TODAY())),IF(V392="","",V392-TODAY())))</t>
        </is>
      </c>
      <c r="AG392" s="36" t="n"/>
      <c r="AH392" s="36" t="n"/>
      <c r="AI392" s="36" t="n"/>
      <c r="AJ392" s="36" t="n"/>
      <c r="AK392" s="36" t="n"/>
      <c r="AL392" s="36" t="n"/>
      <c r="AM392" s="36" t="n"/>
      <c r="AN392" s="36" t="n"/>
      <c r="AO392" s="36" t="n"/>
      <c r="AP392" s="36" t="n"/>
      <c r="AQ392" s="36" t="n"/>
      <c r="AR392" s="40" t="n"/>
      <c r="AS392" s="40" t="n"/>
      <c r="AT392" s="40" t="n"/>
      <c r="AU392" s="38" t="inlineStr">
        <is>
          <t>IF(OR(E392="",AH392=""),"",IF(COUNT(AG392:AG392)=0,"",AH392-LOOKUP(2,1/(AG392:AG392&lt;&gt;""),AG392:AG392)))</t>
        </is>
      </c>
      <c r="AV392" s="38" t="inlineStr">
        <is>
          <t>IF(OR(E392="",AI392=""),"",IF(COUNT(AG392:AH392)=0,"",AI392-LOOKUP(2,1/(AG392:AH392&lt;&gt;""),AG392:AH392)))</t>
        </is>
      </c>
      <c r="AW392" s="38" t="inlineStr">
        <is>
          <t>IF(OR(E392="",AJ392=""),"",IF(COUNT(AG392:AI392)=0,"",AJ392-LOOKUP(2,1/(AG392:AI392&lt;&gt;""),AG392:AI392)))</t>
        </is>
      </c>
      <c r="AX392" s="38" t="inlineStr">
        <is>
          <t>IF(OR(E392="",AK392=""),"",IF(COUNT(AG392:AJ392)=0,"",AK392-LOOKUP(2,1/(AG392:AJ392&lt;&gt;""),AG392:AJ392)))</t>
        </is>
      </c>
      <c r="AY392" s="38" t="inlineStr">
        <is>
          <t>IF(OR(E392="",AL392=""),"",IF(COUNT(AG392:AK392)=0,"",AL392-LOOKUP(2,1/(AG392:AK392&lt;&gt;""),AG392:AK392)))</t>
        </is>
      </c>
      <c r="AZ392" s="38" t="inlineStr">
        <is>
          <t>IF(OR(E392="",AM392=""),"",IF(COUNT(AG392:AL392)=0,"",AM392-LOOKUP(2,1/(AG392:AL392&lt;&gt;""),AG392:AL392)))</t>
        </is>
      </c>
      <c r="BA392" s="38" t="inlineStr">
        <is>
          <t>IF(OR(E392="",AN392=""),"",IF(COUNT(AG392:AM392)=0,"",AN392-LOOKUP(2,1/(AG392:AM392&lt;&gt;""),AG392:AM392)))</t>
        </is>
      </c>
      <c r="BB392" s="38" t="inlineStr">
        <is>
          <t>IF(OR(E392="",AO392=""),"",IF(COUNT(AG392:AN392)=0,"",AO392-LOOKUP(2,1/(AG392:AN392&lt;&gt;""),AG392:AN392)))</t>
        </is>
      </c>
      <c r="BC392" s="38" t="inlineStr">
        <is>
          <t>IF(OR(E392="",AP392=""),"",IF(COUNT(AG392:AO392)=0,"",AP392-LOOKUP(2,1/(AG392:AO392&lt;&gt;""),AG392:AO392)))</t>
        </is>
      </c>
      <c r="BD392" s="38" t="inlineStr">
        <is>
          <t>IF(OR(E392="",AQ392=""),"",IF(COUNT(AG392:AP392)=0,"",AQ392-LOOKUP(2,1/(AG392:AP392&lt;&gt;""),AG392:AP392)))</t>
        </is>
      </c>
      <c r="BE392" s="38" t="inlineStr">
        <is>
          <t>IF(OR(E392="",AR392=""),"",IF(COUNT(AG392:AQ392)=0,"",AR392-LOOKUP(2,1/(AG392:AQ392&lt;&gt;""),AG392:AQ392)))</t>
        </is>
      </c>
      <c r="BF392" s="38" t="inlineStr">
        <is>
          <t>IF(OR(E392="",AS392=""),"",IF(COUNT(AG392:AR392)=0,"",AS392-LOOKUP(2,1/(AG392:AR392&lt;&gt;""),AG392:AR392)))</t>
        </is>
      </c>
      <c r="BG392" s="38" t="inlineStr">
        <is>
          <t>IF(OR(E392="",AT392=""),"",IF(COUNT(AG392:AS392)=0,"",AT392-LOOKUP(2,1/(AG392:AS392&lt;&gt;""),AG392:AS392)))</t>
        </is>
      </c>
      <c r="BH392" s="41" t="inlineStr">
        <is>
          <t>IF(G392="","All_Provinces",IFERROR(VLOOKUP(G392,'07_Lookups'!$A$4:$B$20,2,FALSE),"All_Provinces"))</t>
        </is>
      </c>
      <c r="BI392" s="41" t="inlineStr">
        <is>
          <t>IF(H392="","All_Districts",IFERROR(VLOOKUP(H392,'07_Lookups'!$E$4:$F$42,2,FALSE),"All_Districts"))</t>
        </is>
      </c>
    </row>
    <row r="393" ht="18" customHeight="1">
      <c r="A393" s="32" t="inlineStr">
        <is>
          <t>IF(E393="","",ROW()-3)</t>
        </is>
      </c>
      <c r="B393" s="42" t="n"/>
      <c r="C393" s="42" t="n"/>
      <c r="D393" s="42" t="n"/>
      <c r="E393" s="42" t="n"/>
      <c r="F393" s="42" t="n"/>
      <c r="G393" s="42" t="n"/>
      <c r="H393" s="42" t="n"/>
      <c r="I393" s="42" t="n"/>
      <c r="J393" s="42" t="n"/>
      <c r="K393" s="42" t="n"/>
      <c r="L393" s="42" t="n"/>
      <c r="M393" s="42" t="n"/>
      <c r="N393" s="42" t="n"/>
      <c r="O393" s="42" t="n"/>
      <c r="P393" s="42" t="n"/>
      <c r="Q393" s="43" t="n"/>
      <c r="R393" s="35" t="inlineStr">
        <is>
          <t>IF(AO393="","",AO393)</t>
        </is>
      </c>
      <c r="S393" s="44" t="n"/>
      <c r="T393" s="45" t="n"/>
      <c r="U393" s="44" t="n"/>
      <c r="V393" s="35" t="inlineStr">
        <is>
          <t>IF(U393&lt;&gt;"",U393,IF(OR(R393="",T393=""),"",EDATE(R393,T393)))</t>
        </is>
      </c>
      <c r="W393" s="44" t="n"/>
      <c r="X393" s="45" t="n"/>
      <c r="Y393" s="42" t="n"/>
      <c r="Z393" s="42" t="n"/>
      <c r="AA393" s="32" t="inlineStr">
        <is>
          <t>IF(E393="","",IF(COUNT(AG393:AT393)=0,IF(Y393="","Not started",Y393),SUBSTITUTE(LOOKUP(2,1/(AG393:AT393&lt;&gt;""),$AG$3:$AT$3),"Date: ","")))</t>
        </is>
      </c>
      <c r="AB393" s="38" t="inlineStr">
        <is>
          <t>IF(OR(E393="",COUNT(AG393:AT393)=0),"",TODAY()-LOOKUP(2,1/(AG393:AT393&lt;&gt;""),AG393:AT393))</t>
        </is>
      </c>
      <c r="AC393" s="38" t="inlineStr">
        <is>
          <t>IF(OR(E393="",COUNT(AG393:AT393)&lt;2),"",LOOKUP(2,1/(AG393:AT393&lt;&gt;""),AG393:AT393)-MIN(AG393:AT393))</t>
        </is>
      </c>
      <c r="AD393" s="38" t="inlineStr">
        <is>
          <t>IF(OR(AB393="",AA393="Not started",AA393=""),"",IFERROR(AB393-IF(VLOOKUP(AA393,'04_Status_Pipeline'!$B$3:$E$20,4,FALSE)="",0,VLOOKUP(AA393,'04_Status_Pipeline'!$B$3:$E$20,4,FALSE)),""))</t>
        </is>
      </c>
      <c r="AE393" s="32" t="inlineStr">
        <is>
          <t>IF(E393="","",IF(OR(Y393="Cancelled",AA393="Cancelled"),"Cancelled",IF(OR(AA393="Completed / Handover",W393&lt;&gt;"",X393&gt;=100),"Completed — on track",IF(L393="Remaining",IF(S393="",IF(V393="","No planned date",IF(TODAY()&gt;V393,"Behind — past planned date",IF(V393-TODAY()&lt;=30,"At risk — close to off track","On track"))),IF(TODAY()&gt;S393,"Behind — award date passed",IF(S393-TODAY()&lt;=30,"At risk — close to off track","On track"))),IF(V393="","No planned date",IF(AND(TODAY()&gt;V393,OR(X393="",X393&lt;100)),"Behind — past end date",IF(AND(R393&lt;&gt;"",V393&lt;&gt;"",X393&lt;&gt;"",(X393&lt;100),((TODAY()-R393)/MAX(V393-R393,1)*100)-X393&gt;15),"Behind — progress lag",IF(AND(V393-TODAY()&lt;=30,V393-TODAY()&gt;=0,OR(X393="",X393&lt;90)),"At risk — close to off track","On track"))))))))</t>
        </is>
      </c>
      <c r="AF393" s="38" t="inlineStr">
        <is>
          <t>IF(OR(E393="",AA393="Completed / Handover",AA393="Cancelled"),"",IF(L393="Remaining",IF(S393&lt;&gt;"",S393-TODAY(),IF(V393="","",V393-TODAY())),IF(V393="","",V393-TODAY())))</t>
        </is>
      </c>
      <c r="AG393" s="44" t="n"/>
      <c r="AH393" s="44" t="n"/>
      <c r="AI393" s="44" t="n"/>
      <c r="AJ393" s="44" t="n"/>
      <c r="AK393" s="44" t="n"/>
      <c r="AL393" s="44" t="n"/>
      <c r="AM393" s="44" t="n"/>
      <c r="AN393" s="44" t="n"/>
      <c r="AO393" s="44" t="n"/>
      <c r="AP393" s="44" t="n"/>
      <c r="AQ393" s="44" t="n"/>
      <c r="AR393" s="40" t="n"/>
      <c r="AS393" s="40" t="n"/>
      <c r="AT393" s="40" t="n"/>
      <c r="AU393" s="38" t="inlineStr">
        <is>
          <t>IF(OR(E393="",AH393=""),"",IF(COUNT(AG393:AG393)=0,"",AH393-LOOKUP(2,1/(AG393:AG393&lt;&gt;""),AG393:AG393)))</t>
        </is>
      </c>
      <c r="AV393" s="38" t="inlineStr">
        <is>
          <t>IF(OR(E393="",AI393=""),"",IF(COUNT(AG393:AH393)=0,"",AI393-LOOKUP(2,1/(AG393:AH393&lt;&gt;""),AG393:AH393)))</t>
        </is>
      </c>
      <c r="AW393" s="38" t="inlineStr">
        <is>
          <t>IF(OR(E393="",AJ393=""),"",IF(COUNT(AG393:AI393)=0,"",AJ393-LOOKUP(2,1/(AG393:AI393&lt;&gt;""),AG393:AI393)))</t>
        </is>
      </c>
      <c r="AX393" s="38" t="inlineStr">
        <is>
          <t>IF(OR(E393="",AK393=""),"",IF(COUNT(AG393:AJ393)=0,"",AK393-LOOKUP(2,1/(AG393:AJ393&lt;&gt;""),AG393:AJ393)))</t>
        </is>
      </c>
      <c r="AY393" s="38" t="inlineStr">
        <is>
          <t>IF(OR(E393="",AL393=""),"",IF(COUNT(AG393:AK393)=0,"",AL393-LOOKUP(2,1/(AG393:AK393&lt;&gt;""),AG393:AK393)))</t>
        </is>
      </c>
      <c r="AZ393" s="38" t="inlineStr">
        <is>
          <t>IF(OR(E393="",AM393=""),"",IF(COUNT(AG393:AL393)=0,"",AM393-LOOKUP(2,1/(AG393:AL393&lt;&gt;""),AG393:AL393)))</t>
        </is>
      </c>
      <c r="BA393" s="38" t="inlineStr">
        <is>
          <t>IF(OR(E393="",AN393=""),"",IF(COUNT(AG393:AM393)=0,"",AN393-LOOKUP(2,1/(AG393:AM393&lt;&gt;""),AG393:AM393)))</t>
        </is>
      </c>
      <c r="BB393" s="38" t="inlineStr">
        <is>
          <t>IF(OR(E393="",AO393=""),"",IF(COUNT(AG393:AN393)=0,"",AO393-LOOKUP(2,1/(AG393:AN393&lt;&gt;""),AG393:AN393)))</t>
        </is>
      </c>
      <c r="BC393" s="38" t="inlineStr">
        <is>
          <t>IF(OR(E393="",AP393=""),"",IF(COUNT(AG393:AO393)=0,"",AP393-LOOKUP(2,1/(AG393:AO393&lt;&gt;""),AG393:AO393)))</t>
        </is>
      </c>
      <c r="BD393" s="38" t="inlineStr">
        <is>
          <t>IF(OR(E393="",AQ393=""),"",IF(COUNT(AG393:AP393)=0,"",AQ393-LOOKUP(2,1/(AG393:AP393&lt;&gt;""),AG393:AP393)))</t>
        </is>
      </c>
      <c r="BE393" s="38" t="inlineStr">
        <is>
          <t>IF(OR(E393="",AR393=""),"",IF(COUNT(AG393:AQ393)=0,"",AR393-LOOKUP(2,1/(AG393:AQ393&lt;&gt;""),AG393:AQ393)))</t>
        </is>
      </c>
      <c r="BF393" s="38" t="inlineStr">
        <is>
          <t>IF(OR(E393="",AS393=""),"",IF(COUNT(AG393:AR393)=0,"",AS393-LOOKUP(2,1/(AG393:AR393&lt;&gt;""),AG393:AR393)))</t>
        </is>
      </c>
      <c r="BG393" s="38" t="inlineStr">
        <is>
          <t>IF(OR(E393="",AT393=""),"",IF(COUNT(AG393:AS393)=0,"",AT393-LOOKUP(2,1/(AG393:AS393&lt;&gt;""),AG393:AS393)))</t>
        </is>
      </c>
      <c r="BH393" s="41" t="inlineStr">
        <is>
          <t>IF(G393="","All_Provinces",IFERROR(VLOOKUP(G393,'07_Lookups'!$A$4:$B$20,2,FALSE),"All_Provinces"))</t>
        </is>
      </c>
      <c r="BI393" s="41" t="inlineStr">
        <is>
          <t>IF(H393="","All_Districts",IFERROR(VLOOKUP(H393,'07_Lookups'!$E$4:$F$42,2,FALSE),"All_Districts"))</t>
        </is>
      </c>
    </row>
    <row r="394" ht="18" customHeight="1">
      <c r="A394" s="32" t="inlineStr">
        <is>
          <t>IF(E394="","",ROW()-3)</t>
        </is>
      </c>
      <c r="B394" s="33" t="n"/>
      <c r="C394" s="33" t="n"/>
      <c r="D394" s="33" t="n"/>
      <c r="E394" s="33" t="n"/>
      <c r="F394" s="33" t="n"/>
      <c r="G394" s="33" t="n"/>
      <c r="H394" s="33" t="n"/>
      <c r="I394" s="33" t="n"/>
      <c r="J394" s="33" t="n"/>
      <c r="K394" s="33" t="n"/>
      <c r="L394" s="33" t="n"/>
      <c r="M394" s="33" t="n"/>
      <c r="N394" s="33" t="n"/>
      <c r="O394" s="33" t="n"/>
      <c r="P394" s="33" t="n"/>
      <c r="Q394" s="34" t="n"/>
      <c r="R394" s="35" t="inlineStr">
        <is>
          <t>IF(AO394="","",AO394)</t>
        </is>
      </c>
      <c r="S394" s="36" t="n"/>
      <c r="T394" s="37" t="n"/>
      <c r="U394" s="36" t="n"/>
      <c r="V394" s="35" t="inlineStr">
        <is>
          <t>IF(U394&lt;&gt;"",U394,IF(OR(R394="",T394=""),"",EDATE(R394,T394)))</t>
        </is>
      </c>
      <c r="W394" s="36" t="n"/>
      <c r="X394" s="37" t="n"/>
      <c r="Y394" s="33" t="n"/>
      <c r="Z394" s="33" t="n"/>
      <c r="AA394" s="32" t="inlineStr">
        <is>
          <t>IF(E394="","",IF(COUNT(AG394:AT394)=0,IF(Y394="","Not started",Y394),SUBSTITUTE(LOOKUP(2,1/(AG394:AT394&lt;&gt;""),$AG$3:$AT$3),"Date: ","")))</t>
        </is>
      </c>
      <c r="AB394" s="38" t="inlineStr">
        <is>
          <t>IF(OR(E394="",COUNT(AG394:AT394)=0),"",TODAY()-LOOKUP(2,1/(AG394:AT394&lt;&gt;""),AG394:AT394))</t>
        </is>
      </c>
      <c r="AC394" s="38" t="inlineStr">
        <is>
          <t>IF(OR(E394="",COUNT(AG394:AT394)&lt;2),"",LOOKUP(2,1/(AG394:AT394&lt;&gt;""),AG394:AT394)-MIN(AG394:AT394))</t>
        </is>
      </c>
      <c r="AD394" s="38" t="inlineStr">
        <is>
          <t>IF(OR(AB394="",AA394="Not started",AA394=""),"",IFERROR(AB394-IF(VLOOKUP(AA394,'04_Status_Pipeline'!$B$3:$E$20,4,FALSE)="",0,VLOOKUP(AA394,'04_Status_Pipeline'!$B$3:$E$20,4,FALSE)),""))</t>
        </is>
      </c>
      <c r="AE394" s="32" t="inlineStr">
        <is>
          <t>IF(E394="","",IF(OR(Y394="Cancelled",AA394="Cancelled"),"Cancelled",IF(OR(AA394="Completed / Handover",W394&lt;&gt;"",X394&gt;=100),"Completed — on track",IF(L394="Remaining",IF(S394="",IF(V394="","No planned date",IF(TODAY()&gt;V394,"Behind — past planned date",IF(V394-TODAY()&lt;=30,"At risk — close to off track","On track"))),IF(TODAY()&gt;S394,"Behind — award date passed",IF(S394-TODAY()&lt;=30,"At risk — close to off track","On track"))),IF(V394="","No planned date",IF(AND(TODAY()&gt;V394,OR(X394="",X394&lt;100)),"Behind — past end date",IF(AND(R394&lt;&gt;"",V394&lt;&gt;"",X394&lt;&gt;"",(X394&lt;100),((TODAY()-R394)/MAX(V394-R394,1)*100)-X394&gt;15),"Behind — progress lag",IF(AND(V394-TODAY()&lt;=30,V394-TODAY()&gt;=0,OR(X394="",X394&lt;90)),"At risk — close to off track","On track"))))))))</t>
        </is>
      </c>
      <c r="AF394" s="38" t="inlineStr">
        <is>
          <t>IF(OR(E394="",AA394="Completed / Handover",AA394="Cancelled"),"",IF(L394="Remaining",IF(S394&lt;&gt;"",S394-TODAY(),IF(V394="","",V394-TODAY())),IF(V394="","",V394-TODAY())))</t>
        </is>
      </c>
      <c r="AG394" s="36" t="n"/>
      <c r="AH394" s="36" t="n"/>
      <c r="AI394" s="36" t="n"/>
      <c r="AJ394" s="36" t="n"/>
      <c r="AK394" s="36" t="n"/>
      <c r="AL394" s="36" t="n"/>
      <c r="AM394" s="36" t="n"/>
      <c r="AN394" s="36" t="n"/>
      <c r="AO394" s="36" t="n"/>
      <c r="AP394" s="36" t="n"/>
      <c r="AQ394" s="36" t="n"/>
      <c r="AR394" s="40" t="n"/>
      <c r="AS394" s="40" t="n"/>
      <c r="AT394" s="40" t="n"/>
      <c r="AU394" s="38" t="inlineStr">
        <is>
          <t>IF(OR(E394="",AH394=""),"",IF(COUNT(AG394:AG394)=0,"",AH394-LOOKUP(2,1/(AG394:AG394&lt;&gt;""),AG394:AG394)))</t>
        </is>
      </c>
      <c r="AV394" s="38" t="inlineStr">
        <is>
          <t>IF(OR(E394="",AI394=""),"",IF(COUNT(AG394:AH394)=0,"",AI394-LOOKUP(2,1/(AG394:AH394&lt;&gt;""),AG394:AH394)))</t>
        </is>
      </c>
      <c r="AW394" s="38" t="inlineStr">
        <is>
          <t>IF(OR(E394="",AJ394=""),"",IF(COUNT(AG394:AI394)=0,"",AJ394-LOOKUP(2,1/(AG394:AI394&lt;&gt;""),AG394:AI394)))</t>
        </is>
      </c>
      <c r="AX394" s="38" t="inlineStr">
        <is>
          <t>IF(OR(E394="",AK394=""),"",IF(COUNT(AG394:AJ394)=0,"",AK394-LOOKUP(2,1/(AG394:AJ394&lt;&gt;""),AG394:AJ394)))</t>
        </is>
      </c>
      <c r="AY394" s="38" t="inlineStr">
        <is>
          <t>IF(OR(E394="",AL394=""),"",IF(COUNT(AG394:AK394)=0,"",AL394-LOOKUP(2,1/(AG394:AK394&lt;&gt;""),AG394:AK394)))</t>
        </is>
      </c>
      <c r="AZ394" s="38" t="inlineStr">
        <is>
          <t>IF(OR(E394="",AM394=""),"",IF(COUNT(AG394:AL394)=0,"",AM394-LOOKUP(2,1/(AG394:AL394&lt;&gt;""),AG394:AL394)))</t>
        </is>
      </c>
      <c r="BA394" s="38" t="inlineStr">
        <is>
          <t>IF(OR(E394="",AN394=""),"",IF(COUNT(AG394:AM394)=0,"",AN394-LOOKUP(2,1/(AG394:AM394&lt;&gt;""),AG394:AM394)))</t>
        </is>
      </c>
      <c r="BB394" s="38" t="inlineStr">
        <is>
          <t>IF(OR(E394="",AO394=""),"",IF(COUNT(AG394:AN394)=0,"",AO394-LOOKUP(2,1/(AG394:AN394&lt;&gt;""),AG394:AN394)))</t>
        </is>
      </c>
      <c r="BC394" s="38" t="inlineStr">
        <is>
          <t>IF(OR(E394="",AP394=""),"",IF(COUNT(AG394:AO394)=0,"",AP394-LOOKUP(2,1/(AG394:AO394&lt;&gt;""),AG394:AO394)))</t>
        </is>
      </c>
      <c r="BD394" s="38" t="inlineStr">
        <is>
          <t>IF(OR(E394="",AQ394=""),"",IF(COUNT(AG394:AP394)=0,"",AQ394-LOOKUP(2,1/(AG394:AP394&lt;&gt;""),AG394:AP394)))</t>
        </is>
      </c>
      <c r="BE394" s="38" t="inlineStr">
        <is>
          <t>IF(OR(E394="",AR394=""),"",IF(COUNT(AG394:AQ394)=0,"",AR394-LOOKUP(2,1/(AG394:AQ394&lt;&gt;""),AG394:AQ394)))</t>
        </is>
      </c>
      <c r="BF394" s="38" t="inlineStr">
        <is>
          <t>IF(OR(E394="",AS394=""),"",IF(COUNT(AG394:AR394)=0,"",AS394-LOOKUP(2,1/(AG394:AR394&lt;&gt;""),AG394:AR394)))</t>
        </is>
      </c>
      <c r="BG394" s="38" t="inlineStr">
        <is>
          <t>IF(OR(E394="",AT394=""),"",IF(COUNT(AG394:AS394)=0,"",AT394-LOOKUP(2,1/(AG394:AS394&lt;&gt;""),AG394:AS394)))</t>
        </is>
      </c>
      <c r="BH394" s="41" t="inlineStr">
        <is>
          <t>IF(G394="","All_Provinces",IFERROR(VLOOKUP(G394,'07_Lookups'!$A$4:$B$20,2,FALSE),"All_Provinces"))</t>
        </is>
      </c>
      <c r="BI394" s="41" t="inlineStr">
        <is>
          <t>IF(H394="","All_Districts",IFERROR(VLOOKUP(H394,'07_Lookups'!$E$4:$F$42,2,FALSE),"All_Districts"))</t>
        </is>
      </c>
    </row>
    <row r="395" ht="18" customHeight="1">
      <c r="A395" s="32" t="inlineStr">
        <is>
          <t>IF(E395="","",ROW()-3)</t>
        </is>
      </c>
      <c r="B395" s="42" t="n"/>
      <c r="C395" s="42" t="n"/>
      <c r="D395" s="42" t="n"/>
      <c r="E395" s="42" t="n"/>
      <c r="F395" s="42" t="n"/>
      <c r="G395" s="42" t="n"/>
      <c r="H395" s="42" t="n"/>
      <c r="I395" s="42" t="n"/>
      <c r="J395" s="42" t="n"/>
      <c r="K395" s="42" t="n"/>
      <c r="L395" s="42" t="n"/>
      <c r="M395" s="42" t="n"/>
      <c r="N395" s="42" t="n"/>
      <c r="O395" s="42" t="n"/>
      <c r="P395" s="42" t="n"/>
      <c r="Q395" s="43" t="n"/>
      <c r="R395" s="35" t="inlineStr">
        <is>
          <t>IF(AO395="","",AO395)</t>
        </is>
      </c>
      <c r="S395" s="44" t="n"/>
      <c r="T395" s="45" t="n"/>
      <c r="U395" s="44" t="n"/>
      <c r="V395" s="35" t="inlineStr">
        <is>
          <t>IF(U395&lt;&gt;"",U395,IF(OR(R395="",T395=""),"",EDATE(R395,T395)))</t>
        </is>
      </c>
      <c r="W395" s="44" t="n"/>
      <c r="X395" s="45" t="n"/>
      <c r="Y395" s="42" t="n"/>
      <c r="Z395" s="42" t="n"/>
      <c r="AA395" s="32" t="inlineStr">
        <is>
          <t>IF(E395="","",IF(COUNT(AG395:AT395)=0,IF(Y395="","Not started",Y395),SUBSTITUTE(LOOKUP(2,1/(AG395:AT395&lt;&gt;""),$AG$3:$AT$3),"Date: ","")))</t>
        </is>
      </c>
      <c r="AB395" s="38" t="inlineStr">
        <is>
          <t>IF(OR(E395="",COUNT(AG395:AT395)=0),"",TODAY()-LOOKUP(2,1/(AG395:AT395&lt;&gt;""),AG395:AT395))</t>
        </is>
      </c>
      <c r="AC395" s="38" t="inlineStr">
        <is>
          <t>IF(OR(E395="",COUNT(AG395:AT395)&lt;2),"",LOOKUP(2,1/(AG395:AT395&lt;&gt;""),AG395:AT395)-MIN(AG395:AT395))</t>
        </is>
      </c>
      <c r="AD395" s="38" t="inlineStr">
        <is>
          <t>IF(OR(AB395="",AA395="Not started",AA395=""),"",IFERROR(AB395-IF(VLOOKUP(AA395,'04_Status_Pipeline'!$B$3:$E$20,4,FALSE)="",0,VLOOKUP(AA395,'04_Status_Pipeline'!$B$3:$E$20,4,FALSE)),""))</t>
        </is>
      </c>
      <c r="AE395" s="32" t="inlineStr">
        <is>
          <t>IF(E395="","",IF(OR(Y395="Cancelled",AA395="Cancelled"),"Cancelled",IF(OR(AA395="Completed / Handover",W395&lt;&gt;"",X395&gt;=100),"Completed — on track",IF(L395="Remaining",IF(S395="",IF(V395="","No planned date",IF(TODAY()&gt;V395,"Behind — past planned date",IF(V395-TODAY()&lt;=30,"At risk — close to off track","On track"))),IF(TODAY()&gt;S395,"Behind — award date passed",IF(S395-TODAY()&lt;=30,"At risk — close to off track","On track"))),IF(V395="","No planned date",IF(AND(TODAY()&gt;V395,OR(X395="",X395&lt;100)),"Behind — past end date",IF(AND(R395&lt;&gt;"",V395&lt;&gt;"",X395&lt;&gt;"",(X395&lt;100),((TODAY()-R395)/MAX(V395-R395,1)*100)-X395&gt;15),"Behind — progress lag",IF(AND(V395-TODAY()&lt;=30,V395-TODAY()&gt;=0,OR(X395="",X395&lt;90)),"At risk — close to off track","On track"))))))))</t>
        </is>
      </c>
      <c r="AF395" s="38" t="inlineStr">
        <is>
          <t>IF(OR(E395="",AA395="Completed / Handover",AA395="Cancelled"),"",IF(L395="Remaining",IF(S395&lt;&gt;"",S395-TODAY(),IF(V395="","",V395-TODAY())),IF(V395="","",V395-TODAY())))</t>
        </is>
      </c>
      <c r="AG395" s="44" t="n"/>
      <c r="AH395" s="44" t="n"/>
      <c r="AI395" s="44" t="n"/>
      <c r="AJ395" s="44" t="n"/>
      <c r="AK395" s="44" t="n"/>
      <c r="AL395" s="44" t="n"/>
      <c r="AM395" s="44" t="n"/>
      <c r="AN395" s="44" t="n"/>
      <c r="AO395" s="44" t="n"/>
      <c r="AP395" s="44" t="n"/>
      <c r="AQ395" s="44" t="n"/>
      <c r="AR395" s="40" t="n"/>
      <c r="AS395" s="40" t="n"/>
      <c r="AT395" s="40" t="n"/>
      <c r="AU395" s="38" t="inlineStr">
        <is>
          <t>IF(OR(E395="",AH395=""),"",IF(COUNT(AG395:AG395)=0,"",AH395-LOOKUP(2,1/(AG395:AG395&lt;&gt;""),AG395:AG395)))</t>
        </is>
      </c>
      <c r="AV395" s="38" t="inlineStr">
        <is>
          <t>IF(OR(E395="",AI395=""),"",IF(COUNT(AG395:AH395)=0,"",AI395-LOOKUP(2,1/(AG395:AH395&lt;&gt;""),AG395:AH395)))</t>
        </is>
      </c>
      <c r="AW395" s="38" t="inlineStr">
        <is>
          <t>IF(OR(E395="",AJ395=""),"",IF(COUNT(AG395:AI395)=0,"",AJ395-LOOKUP(2,1/(AG395:AI395&lt;&gt;""),AG395:AI395)))</t>
        </is>
      </c>
      <c r="AX395" s="38" t="inlineStr">
        <is>
          <t>IF(OR(E395="",AK395=""),"",IF(COUNT(AG395:AJ395)=0,"",AK395-LOOKUP(2,1/(AG395:AJ395&lt;&gt;""),AG395:AJ395)))</t>
        </is>
      </c>
      <c r="AY395" s="38" t="inlineStr">
        <is>
          <t>IF(OR(E395="",AL395=""),"",IF(COUNT(AG395:AK395)=0,"",AL395-LOOKUP(2,1/(AG395:AK395&lt;&gt;""),AG395:AK395)))</t>
        </is>
      </c>
      <c r="AZ395" s="38" t="inlineStr">
        <is>
          <t>IF(OR(E395="",AM395=""),"",IF(COUNT(AG395:AL395)=0,"",AM395-LOOKUP(2,1/(AG395:AL395&lt;&gt;""),AG395:AL395)))</t>
        </is>
      </c>
      <c r="BA395" s="38" t="inlineStr">
        <is>
          <t>IF(OR(E395="",AN395=""),"",IF(COUNT(AG395:AM395)=0,"",AN395-LOOKUP(2,1/(AG395:AM395&lt;&gt;""),AG395:AM395)))</t>
        </is>
      </c>
      <c r="BB395" s="38" t="inlineStr">
        <is>
          <t>IF(OR(E395="",AO395=""),"",IF(COUNT(AG395:AN395)=0,"",AO395-LOOKUP(2,1/(AG395:AN395&lt;&gt;""),AG395:AN395)))</t>
        </is>
      </c>
      <c r="BC395" s="38" t="inlineStr">
        <is>
          <t>IF(OR(E395="",AP395=""),"",IF(COUNT(AG395:AO395)=0,"",AP395-LOOKUP(2,1/(AG395:AO395&lt;&gt;""),AG395:AO395)))</t>
        </is>
      </c>
      <c r="BD395" s="38" t="inlineStr">
        <is>
          <t>IF(OR(E395="",AQ395=""),"",IF(COUNT(AG395:AP395)=0,"",AQ395-LOOKUP(2,1/(AG395:AP395&lt;&gt;""),AG395:AP395)))</t>
        </is>
      </c>
      <c r="BE395" s="38" t="inlineStr">
        <is>
          <t>IF(OR(E395="",AR395=""),"",IF(COUNT(AG395:AQ395)=0,"",AR395-LOOKUP(2,1/(AG395:AQ395&lt;&gt;""),AG395:AQ395)))</t>
        </is>
      </c>
      <c r="BF395" s="38" t="inlineStr">
        <is>
          <t>IF(OR(E395="",AS395=""),"",IF(COUNT(AG395:AR395)=0,"",AS395-LOOKUP(2,1/(AG395:AR395&lt;&gt;""),AG395:AR395)))</t>
        </is>
      </c>
      <c r="BG395" s="38" t="inlineStr">
        <is>
          <t>IF(OR(E395="",AT395=""),"",IF(COUNT(AG395:AS395)=0,"",AT395-LOOKUP(2,1/(AG395:AS395&lt;&gt;""),AG395:AS395)))</t>
        </is>
      </c>
      <c r="BH395" s="41" t="inlineStr">
        <is>
          <t>IF(G395="","All_Provinces",IFERROR(VLOOKUP(G395,'07_Lookups'!$A$4:$B$20,2,FALSE),"All_Provinces"))</t>
        </is>
      </c>
      <c r="BI395" s="41" t="inlineStr">
        <is>
          <t>IF(H395="","All_Districts",IFERROR(VLOOKUP(H395,'07_Lookups'!$E$4:$F$42,2,FALSE),"All_Districts"))</t>
        </is>
      </c>
    </row>
    <row r="396" ht="18" customHeight="1">
      <c r="A396" s="32" t="inlineStr">
        <is>
          <t>IF(E396="","",ROW()-3)</t>
        </is>
      </c>
      <c r="B396" s="33" t="n"/>
      <c r="C396" s="33" t="n"/>
      <c r="D396" s="33" t="n"/>
      <c r="E396" s="33" t="n"/>
      <c r="F396" s="33" t="n"/>
      <c r="G396" s="33" t="n"/>
      <c r="H396" s="33" t="n"/>
      <c r="I396" s="33" t="n"/>
      <c r="J396" s="33" t="n"/>
      <c r="K396" s="33" t="n"/>
      <c r="L396" s="33" t="n"/>
      <c r="M396" s="33" t="n"/>
      <c r="N396" s="33" t="n"/>
      <c r="O396" s="33" t="n"/>
      <c r="P396" s="33" t="n"/>
      <c r="Q396" s="34" t="n"/>
      <c r="R396" s="35" t="inlineStr">
        <is>
          <t>IF(AO396="","",AO396)</t>
        </is>
      </c>
      <c r="S396" s="36" t="n"/>
      <c r="T396" s="37" t="n"/>
      <c r="U396" s="36" t="n"/>
      <c r="V396" s="35" t="inlineStr">
        <is>
          <t>IF(U396&lt;&gt;"",U396,IF(OR(R396="",T396=""),"",EDATE(R396,T396)))</t>
        </is>
      </c>
      <c r="W396" s="36" t="n"/>
      <c r="X396" s="37" t="n"/>
      <c r="Y396" s="33" t="n"/>
      <c r="Z396" s="33" t="n"/>
      <c r="AA396" s="32" t="inlineStr">
        <is>
          <t>IF(E396="","",IF(COUNT(AG396:AT396)=0,IF(Y396="","Not started",Y396),SUBSTITUTE(LOOKUP(2,1/(AG396:AT396&lt;&gt;""),$AG$3:$AT$3),"Date: ","")))</t>
        </is>
      </c>
      <c r="AB396" s="38" t="inlineStr">
        <is>
          <t>IF(OR(E396="",COUNT(AG396:AT396)=0),"",TODAY()-LOOKUP(2,1/(AG396:AT396&lt;&gt;""),AG396:AT396))</t>
        </is>
      </c>
      <c r="AC396" s="38" t="inlineStr">
        <is>
          <t>IF(OR(E396="",COUNT(AG396:AT396)&lt;2),"",LOOKUP(2,1/(AG396:AT396&lt;&gt;""),AG396:AT396)-MIN(AG396:AT396))</t>
        </is>
      </c>
      <c r="AD396" s="38" t="inlineStr">
        <is>
          <t>IF(OR(AB396="",AA396="Not started",AA396=""),"",IFERROR(AB396-IF(VLOOKUP(AA396,'04_Status_Pipeline'!$B$3:$E$20,4,FALSE)="",0,VLOOKUP(AA396,'04_Status_Pipeline'!$B$3:$E$20,4,FALSE)),""))</t>
        </is>
      </c>
      <c r="AE396" s="32" t="inlineStr">
        <is>
          <t>IF(E396="","",IF(OR(Y396="Cancelled",AA396="Cancelled"),"Cancelled",IF(OR(AA396="Completed / Handover",W396&lt;&gt;"",X396&gt;=100),"Completed — on track",IF(L396="Remaining",IF(S396="",IF(V396="","No planned date",IF(TODAY()&gt;V396,"Behind — past planned date",IF(V396-TODAY()&lt;=30,"At risk — close to off track","On track"))),IF(TODAY()&gt;S396,"Behind — award date passed",IF(S396-TODAY()&lt;=30,"At risk — close to off track","On track"))),IF(V396="","No planned date",IF(AND(TODAY()&gt;V396,OR(X396="",X396&lt;100)),"Behind — past end date",IF(AND(R396&lt;&gt;"",V396&lt;&gt;"",X396&lt;&gt;"",(X396&lt;100),((TODAY()-R396)/MAX(V396-R396,1)*100)-X396&gt;15),"Behind — progress lag",IF(AND(V396-TODAY()&lt;=30,V396-TODAY()&gt;=0,OR(X396="",X396&lt;90)),"At risk — close to off track","On track"))))))))</t>
        </is>
      </c>
      <c r="AF396" s="38" t="inlineStr">
        <is>
          <t>IF(OR(E396="",AA396="Completed / Handover",AA396="Cancelled"),"",IF(L396="Remaining",IF(S396&lt;&gt;"",S396-TODAY(),IF(V396="","",V396-TODAY())),IF(V396="","",V396-TODAY())))</t>
        </is>
      </c>
      <c r="AG396" s="36" t="n"/>
      <c r="AH396" s="36" t="n"/>
      <c r="AI396" s="36" t="n"/>
      <c r="AJ396" s="36" t="n"/>
      <c r="AK396" s="36" t="n"/>
      <c r="AL396" s="36" t="n"/>
      <c r="AM396" s="36" t="n"/>
      <c r="AN396" s="36" t="n"/>
      <c r="AO396" s="36" t="n"/>
      <c r="AP396" s="36" t="n"/>
      <c r="AQ396" s="36" t="n"/>
      <c r="AR396" s="40" t="n"/>
      <c r="AS396" s="40" t="n"/>
      <c r="AT396" s="40" t="n"/>
      <c r="AU396" s="38" t="inlineStr">
        <is>
          <t>IF(OR(E396="",AH396=""),"",IF(COUNT(AG396:AG396)=0,"",AH396-LOOKUP(2,1/(AG396:AG396&lt;&gt;""),AG396:AG396)))</t>
        </is>
      </c>
      <c r="AV396" s="38" t="inlineStr">
        <is>
          <t>IF(OR(E396="",AI396=""),"",IF(COUNT(AG396:AH396)=0,"",AI396-LOOKUP(2,1/(AG396:AH396&lt;&gt;""),AG396:AH396)))</t>
        </is>
      </c>
      <c r="AW396" s="38" t="inlineStr">
        <is>
          <t>IF(OR(E396="",AJ396=""),"",IF(COUNT(AG396:AI396)=0,"",AJ396-LOOKUP(2,1/(AG396:AI396&lt;&gt;""),AG396:AI396)))</t>
        </is>
      </c>
      <c r="AX396" s="38" t="inlineStr">
        <is>
          <t>IF(OR(E396="",AK396=""),"",IF(COUNT(AG396:AJ396)=0,"",AK396-LOOKUP(2,1/(AG396:AJ396&lt;&gt;""),AG396:AJ396)))</t>
        </is>
      </c>
      <c r="AY396" s="38" t="inlineStr">
        <is>
          <t>IF(OR(E396="",AL396=""),"",IF(COUNT(AG396:AK396)=0,"",AL396-LOOKUP(2,1/(AG396:AK396&lt;&gt;""),AG396:AK396)))</t>
        </is>
      </c>
      <c r="AZ396" s="38" t="inlineStr">
        <is>
          <t>IF(OR(E396="",AM396=""),"",IF(COUNT(AG396:AL396)=0,"",AM396-LOOKUP(2,1/(AG396:AL396&lt;&gt;""),AG396:AL396)))</t>
        </is>
      </c>
      <c r="BA396" s="38" t="inlineStr">
        <is>
          <t>IF(OR(E396="",AN396=""),"",IF(COUNT(AG396:AM396)=0,"",AN396-LOOKUP(2,1/(AG396:AM396&lt;&gt;""),AG396:AM396)))</t>
        </is>
      </c>
      <c r="BB396" s="38" t="inlineStr">
        <is>
          <t>IF(OR(E396="",AO396=""),"",IF(COUNT(AG396:AN396)=0,"",AO396-LOOKUP(2,1/(AG396:AN396&lt;&gt;""),AG396:AN396)))</t>
        </is>
      </c>
      <c r="BC396" s="38" t="inlineStr">
        <is>
          <t>IF(OR(E396="",AP396=""),"",IF(COUNT(AG396:AO396)=0,"",AP396-LOOKUP(2,1/(AG396:AO396&lt;&gt;""),AG396:AO396)))</t>
        </is>
      </c>
      <c r="BD396" s="38" t="inlineStr">
        <is>
          <t>IF(OR(E396="",AQ396=""),"",IF(COUNT(AG396:AP396)=0,"",AQ396-LOOKUP(2,1/(AG396:AP396&lt;&gt;""),AG396:AP396)))</t>
        </is>
      </c>
      <c r="BE396" s="38" t="inlineStr">
        <is>
          <t>IF(OR(E396="",AR396=""),"",IF(COUNT(AG396:AQ396)=0,"",AR396-LOOKUP(2,1/(AG396:AQ396&lt;&gt;""),AG396:AQ396)))</t>
        </is>
      </c>
      <c r="BF396" s="38" t="inlineStr">
        <is>
          <t>IF(OR(E396="",AS396=""),"",IF(COUNT(AG396:AR396)=0,"",AS396-LOOKUP(2,1/(AG396:AR396&lt;&gt;""),AG396:AR396)))</t>
        </is>
      </c>
      <c r="BG396" s="38" t="inlineStr">
        <is>
          <t>IF(OR(E396="",AT396=""),"",IF(COUNT(AG396:AS396)=0,"",AT396-LOOKUP(2,1/(AG396:AS396&lt;&gt;""),AG396:AS396)))</t>
        </is>
      </c>
      <c r="BH396" s="41" t="inlineStr">
        <is>
          <t>IF(G396="","All_Provinces",IFERROR(VLOOKUP(G396,'07_Lookups'!$A$4:$B$20,2,FALSE),"All_Provinces"))</t>
        </is>
      </c>
      <c r="BI396" s="41" t="inlineStr">
        <is>
          <t>IF(H396="","All_Districts",IFERROR(VLOOKUP(H396,'07_Lookups'!$E$4:$F$42,2,FALSE),"All_Districts"))</t>
        </is>
      </c>
    </row>
    <row r="397" ht="18" customHeight="1">
      <c r="A397" s="32" t="inlineStr">
        <is>
          <t>IF(E397="","",ROW()-3)</t>
        </is>
      </c>
      <c r="B397" s="42" t="n"/>
      <c r="C397" s="42" t="n"/>
      <c r="D397" s="42" t="n"/>
      <c r="E397" s="42" t="n"/>
      <c r="F397" s="42" t="n"/>
      <c r="G397" s="42" t="n"/>
      <c r="H397" s="42" t="n"/>
      <c r="I397" s="42" t="n"/>
      <c r="J397" s="42" t="n"/>
      <c r="K397" s="42" t="n"/>
      <c r="L397" s="42" t="n"/>
      <c r="M397" s="42" t="n"/>
      <c r="N397" s="42" t="n"/>
      <c r="O397" s="42" t="n"/>
      <c r="P397" s="42" t="n"/>
      <c r="Q397" s="43" t="n"/>
      <c r="R397" s="35" t="inlineStr">
        <is>
          <t>IF(AO397="","",AO397)</t>
        </is>
      </c>
      <c r="S397" s="44" t="n"/>
      <c r="T397" s="45" t="n"/>
      <c r="U397" s="44" t="n"/>
      <c r="V397" s="35" t="inlineStr">
        <is>
          <t>IF(U397&lt;&gt;"",U397,IF(OR(R397="",T397=""),"",EDATE(R397,T397)))</t>
        </is>
      </c>
      <c r="W397" s="44" t="n"/>
      <c r="X397" s="45" t="n"/>
      <c r="Y397" s="42" t="n"/>
      <c r="Z397" s="42" t="n"/>
      <c r="AA397" s="32" t="inlineStr">
        <is>
          <t>IF(E397="","",IF(COUNT(AG397:AT397)=0,IF(Y397="","Not started",Y397),SUBSTITUTE(LOOKUP(2,1/(AG397:AT397&lt;&gt;""),$AG$3:$AT$3),"Date: ","")))</t>
        </is>
      </c>
      <c r="AB397" s="38" t="inlineStr">
        <is>
          <t>IF(OR(E397="",COUNT(AG397:AT397)=0),"",TODAY()-LOOKUP(2,1/(AG397:AT397&lt;&gt;""),AG397:AT397))</t>
        </is>
      </c>
      <c r="AC397" s="38" t="inlineStr">
        <is>
          <t>IF(OR(E397="",COUNT(AG397:AT397)&lt;2),"",LOOKUP(2,1/(AG397:AT397&lt;&gt;""),AG397:AT397)-MIN(AG397:AT397))</t>
        </is>
      </c>
      <c r="AD397" s="38" t="inlineStr">
        <is>
          <t>IF(OR(AB397="",AA397="Not started",AA397=""),"",IFERROR(AB397-IF(VLOOKUP(AA397,'04_Status_Pipeline'!$B$3:$E$20,4,FALSE)="",0,VLOOKUP(AA397,'04_Status_Pipeline'!$B$3:$E$20,4,FALSE)),""))</t>
        </is>
      </c>
      <c r="AE397" s="32" t="inlineStr">
        <is>
          <t>IF(E397="","",IF(OR(Y397="Cancelled",AA397="Cancelled"),"Cancelled",IF(OR(AA397="Completed / Handover",W397&lt;&gt;"",X397&gt;=100),"Completed — on track",IF(L397="Remaining",IF(S397="",IF(V397="","No planned date",IF(TODAY()&gt;V397,"Behind — past planned date",IF(V397-TODAY()&lt;=30,"At risk — close to off track","On track"))),IF(TODAY()&gt;S397,"Behind — award date passed",IF(S397-TODAY()&lt;=30,"At risk — close to off track","On track"))),IF(V397="","No planned date",IF(AND(TODAY()&gt;V397,OR(X397="",X397&lt;100)),"Behind — past end date",IF(AND(R397&lt;&gt;"",V397&lt;&gt;"",X397&lt;&gt;"",(X397&lt;100),((TODAY()-R397)/MAX(V397-R397,1)*100)-X397&gt;15),"Behind — progress lag",IF(AND(V397-TODAY()&lt;=30,V397-TODAY()&gt;=0,OR(X397="",X397&lt;90)),"At risk — close to off track","On track"))))))))</t>
        </is>
      </c>
      <c r="AF397" s="38" t="inlineStr">
        <is>
          <t>IF(OR(E397="",AA397="Completed / Handover",AA397="Cancelled"),"",IF(L397="Remaining",IF(S397&lt;&gt;"",S397-TODAY(),IF(V397="","",V397-TODAY())),IF(V397="","",V397-TODAY())))</t>
        </is>
      </c>
      <c r="AG397" s="44" t="n"/>
      <c r="AH397" s="44" t="n"/>
      <c r="AI397" s="44" t="n"/>
      <c r="AJ397" s="44" t="n"/>
      <c r="AK397" s="44" t="n"/>
      <c r="AL397" s="44" t="n"/>
      <c r="AM397" s="44" t="n"/>
      <c r="AN397" s="44" t="n"/>
      <c r="AO397" s="44" t="n"/>
      <c r="AP397" s="44" t="n"/>
      <c r="AQ397" s="44" t="n"/>
      <c r="AR397" s="40" t="n"/>
      <c r="AS397" s="40" t="n"/>
      <c r="AT397" s="40" t="n"/>
      <c r="AU397" s="38" t="inlineStr">
        <is>
          <t>IF(OR(E397="",AH397=""),"",IF(COUNT(AG397:AG397)=0,"",AH397-LOOKUP(2,1/(AG397:AG397&lt;&gt;""),AG397:AG397)))</t>
        </is>
      </c>
      <c r="AV397" s="38" t="inlineStr">
        <is>
          <t>IF(OR(E397="",AI397=""),"",IF(COUNT(AG397:AH397)=0,"",AI397-LOOKUP(2,1/(AG397:AH397&lt;&gt;""),AG397:AH397)))</t>
        </is>
      </c>
      <c r="AW397" s="38" t="inlineStr">
        <is>
          <t>IF(OR(E397="",AJ397=""),"",IF(COUNT(AG397:AI397)=0,"",AJ397-LOOKUP(2,1/(AG397:AI397&lt;&gt;""),AG397:AI397)))</t>
        </is>
      </c>
      <c r="AX397" s="38" t="inlineStr">
        <is>
          <t>IF(OR(E397="",AK397=""),"",IF(COUNT(AG397:AJ397)=0,"",AK397-LOOKUP(2,1/(AG397:AJ397&lt;&gt;""),AG397:AJ397)))</t>
        </is>
      </c>
      <c r="AY397" s="38" t="inlineStr">
        <is>
          <t>IF(OR(E397="",AL397=""),"",IF(COUNT(AG397:AK397)=0,"",AL397-LOOKUP(2,1/(AG397:AK397&lt;&gt;""),AG397:AK397)))</t>
        </is>
      </c>
      <c r="AZ397" s="38" t="inlineStr">
        <is>
          <t>IF(OR(E397="",AM397=""),"",IF(COUNT(AG397:AL397)=0,"",AM397-LOOKUP(2,1/(AG397:AL397&lt;&gt;""),AG397:AL397)))</t>
        </is>
      </c>
      <c r="BA397" s="38" t="inlineStr">
        <is>
          <t>IF(OR(E397="",AN397=""),"",IF(COUNT(AG397:AM397)=0,"",AN397-LOOKUP(2,1/(AG397:AM397&lt;&gt;""),AG397:AM397)))</t>
        </is>
      </c>
      <c r="BB397" s="38" t="inlineStr">
        <is>
          <t>IF(OR(E397="",AO397=""),"",IF(COUNT(AG397:AN397)=0,"",AO397-LOOKUP(2,1/(AG397:AN397&lt;&gt;""),AG397:AN397)))</t>
        </is>
      </c>
      <c r="BC397" s="38" t="inlineStr">
        <is>
          <t>IF(OR(E397="",AP397=""),"",IF(COUNT(AG397:AO397)=0,"",AP397-LOOKUP(2,1/(AG397:AO397&lt;&gt;""),AG397:AO397)))</t>
        </is>
      </c>
      <c r="BD397" s="38" t="inlineStr">
        <is>
          <t>IF(OR(E397="",AQ397=""),"",IF(COUNT(AG397:AP397)=0,"",AQ397-LOOKUP(2,1/(AG397:AP397&lt;&gt;""),AG397:AP397)))</t>
        </is>
      </c>
      <c r="BE397" s="38" t="inlineStr">
        <is>
          <t>IF(OR(E397="",AR397=""),"",IF(COUNT(AG397:AQ397)=0,"",AR397-LOOKUP(2,1/(AG397:AQ397&lt;&gt;""),AG397:AQ397)))</t>
        </is>
      </c>
      <c r="BF397" s="38" t="inlineStr">
        <is>
          <t>IF(OR(E397="",AS397=""),"",IF(COUNT(AG397:AR397)=0,"",AS397-LOOKUP(2,1/(AG397:AR397&lt;&gt;""),AG397:AR397)))</t>
        </is>
      </c>
      <c r="BG397" s="38" t="inlineStr">
        <is>
          <t>IF(OR(E397="",AT397=""),"",IF(COUNT(AG397:AS397)=0,"",AT397-LOOKUP(2,1/(AG397:AS397&lt;&gt;""),AG397:AS397)))</t>
        </is>
      </c>
      <c r="BH397" s="41" t="inlineStr">
        <is>
          <t>IF(G397="","All_Provinces",IFERROR(VLOOKUP(G397,'07_Lookups'!$A$4:$B$20,2,FALSE),"All_Provinces"))</t>
        </is>
      </c>
      <c r="BI397" s="41" t="inlineStr">
        <is>
          <t>IF(H397="","All_Districts",IFERROR(VLOOKUP(H397,'07_Lookups'!$E$4:$F$42,2,FALSE),"All_Districts"))</t>
        </is>
      </c>
    </row>
    <row r="398" ht="18" customHeight="1">
      <c r="A398" s="32" t="inlineStr">
        <is>
          <t>IF(E398="","",ROW()-3)</t>
        </is>
      </c>
      <c r="B398" s="33" t="n"/>
      <c r="C398" s="33" t="n"/>
      <c r="D398" s="33" t="n"/>
      <c r="E398" s="33" t="n"/>
      <c r="F398" s="33" t="n"/>
      <c r="G398" s="33" t="n"/>
      <c r="H398" s="33" t="n"/>
      <c r="I398" s="33" t="n"/>
      <c r="J398" s="33" t="n"/>
      <c r="K398" s="33" t="n"/>
      <c r="L398" s="33" t="n"/>
      <c r="M398" s="33" t="n"/>
      <c r="N398" s="33" t="n"/>
      <c r="O398" s="33" t="n"/>
      <c r="P398" s="33" t="n"/>
      <c r="Q398" s="34" t="n"/>
      <c r="R398" s="35" t="inlineStr">
        <is>
          <t>IF(AO398="","",AO398)</t>
        </is>
      </c>
      <c r="S398" s="36" t="n"/>
      <c r="T398" s="37" t="n"/>
      <c r="U398" s="36" t="n"/>
      <c r="V398" s="35" t="inlineStr">
        <is>
          <t>IF(U398&lt;&gt;"",U398,IF(OR(R398="",T398=""),"",EDATE(R398,T398)))</t>
        </is>
      </c>
      <c r="W398" s="36" t="n"/>
      <c r="X398" s="37" t="n"/>
      <c r="Y398" s="33" t="n"/>
      <c r="Z398" s="33" t="n"/>
      <c r="AA398" s="32" t="inlineStr">
        <is>
          <t>IF(E398="","",IF(COUNT(AG398:AT398)=0,IF(Y398="","Not started",Y398),SUBSTITUTE(LOOKUP(2,1/(AG398:AT398&lt;&gt;""),$AG$3:$AT$3),"Date: ","")))</t>
        </is>
      </c>
      <c r="AB398" s="38" t="inlineStr">
        <is>
          <t>IF(OR(E398="",COUNT(AG398:AT398)=0),"",TODAY()-LOOKUP(2,1/(AG398:AT398&lt;&gt;""),AG398:AT398))</t>
        </is>
      </c>
      <c r="AC398" s="38" t="inlineStr">
        <is>
          <t>IF(OR(E398="",COUNT(AG398:AT398)&lt;2),"",LOOKUP(2,1/(AG398:AT398&lt;&gt;""),AG398:AT398)-MIN(AG398:AT398))</t>
        </is>
      </c>
      <c r="AD398" s="38" t="inlineStr">
        <is>
          <t>IF(OR(AB398="",AA398="Not started",AA398=""),"",IFERROR(AB398-IF(VLOOKUP(AA398,'04_Status_Pipeline'!$B$3:$E$20,4,FALSE)="",0,VLOOKUP(AA398,'04_Status_Pipeline'!$B$3:$E$20,4,FALSE)),""))</t>
        </is>
      </c>
      <c r="AE398" s="32" t="inlineStr">
        <is>
          <t>IF(E398="","",IF(OR(Y398="Cancelled",AA398="Cancelled"),"Cancelled",IF(OR(AA398="Completed / Handover",W398&lt;&gt;"",X398&gt;=100),"Completed — on track",IF(L398="Remaining",IF(S398="",IF(V398="","No planned date",IF(TODAY()&gt;V398,"Behind — past planned date",IF(V398-TODAY()&lt;=30,"At risk — close to off track","On track"))),IF(TODAY()&gt;S398,"Behind — award date passed",IF(S398-TODAY()&lt;=30,"At risk — close to off track","On track"))),IF(V398="","No planned date",IF(AND(TODAY()&gt;V398,OR(X398="",X398&lt;100)),"Behind — past end date",IF(AND(R398&lt;&gt;"",V398&lt;&gt;"",X398&lt;&gt;"",(X398&lt;100),((TODAY()-R398)/MAX(V398-R398,1)*100)-X398&gt;15),"Behind — progress lag",IF(AND(V398-TODAY()&lt;=30,V398-TODAY()&gt;=0,OR(X398="",X398&lt;90)),"At risk — close to off track","On track"))))))))</t>
        </is>
      </c>
      <c r="AF398" s="38" t="inlineStr">
        <is>
          <t>IF(OR(E398="",AA398="Completed / Handover",AA398="Cancelled"),"",IF(L398="Remaining",IF(S398&lt;&gt;"",S398-TODAY(),IF(V398="","",V398-TODAY())),IF(V398="","",V398-TODAY())))</t>
        </is>
      </c>
      <c r="AG398" s="36" t="n"/>
      <c r="AH398" s="36" t="n"/>
      <c r="AI398" s="36" t="n"/>
      <c r="AJ398" s="36" t="n"/>
      <c r="AK398" s="36" t="n"/>
      <c r="AL398" s="36" t="n"/>
      <c r="AM398" s="36" t="n"/>
      <c r="AN398" s="36" t="n"/>
      <c r="AO398" s="36" t="n"/>
      <c r="AP398" s="36" t="n"/>
      <c r="AQ398" s="36" t="n"/>
      <c r="AR398" s="40" t="n"/>
      <c r="AS398" s="40" t="n"/>
      <c r="AT398" s="40" t="n"/>
      <c r="AU398" s="38" t="inlineStr">
        <is>
          <t>IF(OR(E398="",AH398=""),"",IF(COUNT(AG398:AG398)=0,"",AH398-LOOKUP(2,1/(AG398:AG398&lt;&gt;""),AG398:AG398)))</t>
        </is>
      </c>
      <c r="AV398" s="38" t="inlineStr">
        <is>
          <t>IF(OR(E398="",AI398=""),"",IF(COUNT(AG398:AH398)=0,"",AI398-LOOKUP(2,1/(AG398:AH398&lt;&gt;""),AG398:AH398)))</t>
        </is>
      </c>
      <c r="AW398" s="38" t="inlineStr">
        <is>
          <t>IF(OR(E398="",AJ398=""),"",IF(COUNT(AG398:AI398)=0,"",AJ398-LOOKUP(2,1/(AG398:AI398&lt;&gt;""),AG398:AI398)))</t>
        </is>
      </c>
      <c r="AX398" s="38" t="inlineStr">
        <is>
          <t>IF(OR(E398="",AK398=""),"",IF(COUNT(AG398:AJ398)=0,"",AK398-LOOKUP(2,1/(AG398:AJ398&lt;&gt;""),AG398:AJ398)))</t>
        </is>
      </c>
      <c r="AY398" s="38" t="inlineStr">
        <is>
          <t>IF(OR(E398="",AL398=""),"",IF(COUNT(AG398:AK398)=0,"",AL398-LOOKUP(2,1/(AG398:AK398&lt;&gt;""),AG398:AK398)))</t>
        </is>
      </c>
      <c r="AZ398" s="38" t="inlineStr">
        <is>
          <t>IF(OR(E398="",AM398=""),"",IF(COUNT(AG398:AL398)=0,"",AM398-LOOKUP(2,1/(AG398:AL398&lt;&gt;""),AG398:AL398)))</t>
        </is>
      </c>
      <c r="BA398" s="38" t="inlineStr">
        <is>
          <t>IF(OR(E398="",AN398=""),"",IF(COUNT(AG398:AM398)=0,"",AN398-LOOKUP(2,1/(AG398:AM398&lt;&gt;""),AG398:AM398)))</t>
        </is>
      </c>
      <c r="BB398" s="38" t="inlineStr">
        <is>
          <t>IF(OR(E398="",AO398=""),"",IF(COUNT(AG398:AN398)=0,"",AO398-LOOKUP(2,1/(AG398:AN398&lt;&gt;""),AG398:AN398)))</t>
        </is>
      </c>
      <c r="BC398" s="38" t="inlineStr">
        <is>
          <t>IF(OR(E398="",AP398=""),"",IF(COUNT(AG398:AO398)=0,"",AP398-LOOKUP(2,1/(AG398:AO398&lt;&gt;""),AG398:AO398)))</t>
        </is>
      </c>
      <c r="BD398" s="38" t="inlineStr">
        <is>
          <t>IF(OR(E398="",AQ398=""),"",IF(COUNT(AG398:AP398)=0,"",AQ398-LOOKUP(2,1/(AG398:AP398&lt;&gt;""),AG398:AP398)))</t>
        </is>
      </c>
      <c r="BE398" s="38" t="inlineStr">
        <is>
          <t>IF(OR(E398="",AR398=""),"",IF(COUNT(AG398:AQ398)=0,"",AR398-LOOKUP(2,1/(AG398:AQ398&lt;&gt;""),AG398:AQ398)))</t>
        </is>
      </c>
      <c r="BF398" s="38" t="inlineStr">
        <is>
          <t>IF(OR(E398="",AS398=""),"",IF(COUNT(AG398:AR398)=0,"",AS398-LOOKUP(2,1/(AG398:AR398&lt;&gt;""),AG398:AR398)))</t>
        </is>
      </c>
      <c r="BG398" s="38" t="inlineStr">
        <is>
          <t>IF(OR(E398="",AT398=""),"",IF(COUNT(AG398:AS398)=0,"",AT398-LOOKUP(2,1/(AG398:AS398&lt;&gt;""),AG398:AS398)))</t>
        </is>
      </c>
      <c r="BH398" s="41" t="inlineStr">
        <is>
          <t>IF(G398="","All_Provinces",IFERROR(VLOOKUP(G398,'07_Lookups'!$A$4:$B$20,2,FALSE),"All_Provinces"))</t>
        </is>
      </c>
      <c r="BI398" s="41" t="inlineStr">
        <is>
          <t>IF(H398="","All_Districts",IFERROR(VLOOKUP(H398,'07_Lookups'!$E$4:$F$42,2,FALSE),"All_Districts"))</t>
        </is>
      </c>
    </row>
    <row r="399" ht="18" customHeight="1">
      <c r="A399" s="32" t="inlineStr">
        <is>
          <t>IF(E399="","",ROW()-3)</t>
        </is>
      </c>
      <c r="B399" s="42" t="n"/>
      <c r="C399" s="42" t="n"/>
      <c r="D399" s="42" t="n"/>
      <c r="E399" s="42" t="n"/>
      <c r="F399" s="42" t="n"/>
      <c r="G399" s="42" t="n"/>
      <c r="H399" s="42" t="n"/>
      <c r="I399" s="42" t="n"/>
      <c r="J399" s="42" t="n"/>
      <c r="K399" s="42" t="n"/>
      <c r="L399" s="42" t="n"/>
      <c r="M399" s="42" t="n"/>
      <c r="N399" s="42" t="n"/>
      <c r="O399" s="42" t="n"/>
      <c r="P399" s="42" t="n"/>
      <c r="Q399" s="43" t="n"/>
      <c r="R399" s="35" t="inlineStr">
        <is>
          <t>IF(AO399="","",AO399)</t>
        </is>
      </c>
      <c r="S399" s="44" t="n"/>
      <c r="T399" s="45" t="n"/>
      <c r="U399" s="44" t="n"/>
      <c r="V399" s="35" t="inlineStr">
        <is>
          <t>IF(U399&lt;&gt;"",U399,IF(OR(R399="",T399=""),"",EDATE(R399,T399)))</t>
        </is>
      </c>
      <c r="W399" s="44" t="n"/>
      <c r="X399" s="45" t="n"/>
      <c r="Y399" s="42" t="n"/>
      <c r="Z399" s="42" t="n"/>
      <c r="AA399" s="32" t="inlineStr">
        <is>
          <t>IF(E399="","",IF(COUNT(AG399:AT399)=0,IF(Y399="","Not started",Y399),SUBSTITUTE(LOOKUP(2,1/(AG399:AT399&lt;&gt;""),$AG$3:$AT$3),"Date: ","")))</t>
        </is>
      </c>
      <c r="AB399" s="38" t="inlineStr">
        <is>
          <t>IF(OR(E399="",COUNT(AG399:AT399)=0),"",TODAY()-LOOKUP(2,1/(AG399:AT399&lt;&gt;""),AG399:AT399))</t>
        </is>
      </c>
      <c r="AC399" s="38" t="inlineStr">
        <is>
          <t>IF(OR(E399="",COUNT(AG399:AT399)&lt;2),"",LOOKUP(2,1/(AG399:AT399&lt;&gt;""),AG399:AT399)-MIN(AG399:AT399))</t>
        </is>
      </c>
      <c r="AD399" s="38" t="inlineStr">
        <is>
          <t>IF(OR(AB399="",AA399="Not started",AA399=""),"",IFERROR(AB399-IF(VLOOKUP(AA399,'04_Status_Pipeline'!$B$3:$E$20,4,FALSE)="",0,VLOOKUP(AA399,'04_Status_Pipeline'!$B$3:$E$20,4,FALSE)),""))</t>
        </is>
      </c>
      <c r="AE399" s="32" t="inlineStr">
        <is>
          <t>IF(E399="","",IF(OR(Y399="Cancelled",AA399="Cancelled"),"Cancelled",IF(OR(AA399="Completed / Handover",W399&lt;&gt;"",X399&gt;=100),"Completed — on track",IF(L399="Remaining",IF(S399="",IF(V399="","No planned date",IF(TODAY()&gt;V399,"Behind — past planned date",IF(V399-TODAY()&lt;=30,"At risk — close to off track","On track"))),IF(TODAY()&gt;S399,"Behind — award date passed",IF(S399-TODAY()&lt;=30,"At risk — close to off track","On track"))),IF(V399="","No planned date",IF(AND(TODAY()&gt;V399,OR(X399="",X399&lt;100)),"Behind — past end date",IF(AND(R399&lt;&gt;"",V399&lt;&gt;"",X399&lt;&gt;"",(X399&lt;100),((TODAY()-R399)/MAX(V399-R399,1)*100)-X399&gt;15),"Behind — progress lag",IF(AND(V399-TODAY()&lt;=30,V399-TODAY()&gt;=0,OR(X399="",X399&lt;90)),"At risk — close to off track","On track"))))))))</t>
        </is>
      </c>
      <c r="AF399" s="38" t="inlineStr">
        <is>
          <t>IF(OR(E399="",AA399="Completed / Handover",AA399="Cancelled"),"",IF(L399="Remaining",IF(S399&lt;&gt;"",S399-TODAY(),IF(V399="","",V399-TODAY())),IF(V399="","",V399-TODAY())))</t>
        </is>
      </c>
      <c r="AG399" s="44" t="n"/>
      <c r="AH399" s="44" t="n"/>
      <c r="AI399" s="44" t="n"/>
      <c r="AJ399" s="44" t="n"/>
      <c r="AK399" s="44" t="n"/>
      <c r="AL399" s="44" t="n"/>
      <c r="AM399" s="44" t="n"/>
      <c r="AN399" s="44" t="n"/>
      <c r="AO399" s="44" t="n"/>
      <c r="AP399" s="44" t="n"/>
      <c r="AQ399" s="44" t="n"/>
      <c r="AR399" s="40" t="n"/>
      <c r="AS399" s="40" t="n"/>
      <c r="AT399" s="40" t="n"/>
      <c r="AU399" s="38" t="inlineStr">
        <is>
          <t>IF(OR(E399="",AH399=""),"",IF(COUNT(AG399:AG399)=0,"",AH399-LOOKUP(2,1/(AG399:AG399&lt;&gt;""),AG399:AG399)))</t>
        </is>
      </c>
      <c r="AV399" s="38" t="inlineStr">
        <is>
          <t>IF(OR(E399="",AI399=""),"",IF(COUNT(AG399:AH399)=0,"",AI399-LOOKUP(2,1/(AG399:AH399&lt;&gt;""),AG399:AH399)))</t>
        </is>
      </c>
      <c r="AW399" s="38" t="inlineStr">
        <is>
          <t>IF(OR(E399="",AJ399=""),"",IF(COUNT(AG399:AI399)=0,"",AJ399-LOOKUP(2,1/(AG399:AI399&lt;&gt;""),AG399:AI399)))</t>
        </is>
      </c>
      <c r="AX399" s="38" t="inlineStr">
        <is>
          <t>IF(OR(E399="",AK399=""),"",IF(COUNT(AG399:AJ399)=0,"",AK399-LOOKUP(2,1/(AG399:AJ399&lt;&gt;""),AG399:AJ399)))</t>
        </is>
      </c>
      <c r="AY399" s="38" t="inlineStr">
        <is>
          <t>IF(OR(E399="",AL399=""),"",IF(COUNT(AG399:AK399)=0,"",AL399-LOOKUP(2,1/(AG399:AK399&lt;&gt;""),AG399:AK399)))</t>
        </is>
      </c>
      <c r="AZ399" s="38" t="inlineStr">
        <is>
          <t>IF(OR(E399="",AM399=""),"",IF(COUNT(AG399:AL399)=0,"",AM399-LOOKUP(2,1/(AG399:AL399&lt;&gt;""),AG399:AL399)))</t>
        </is>
      </c>
      <c r="BA399" s="38" t="inlineStr">
        <is>
          <t>IF(OR(E399="",AN399=""),"",IF(COUNT(AG399:AM399)=0,"",AN399-LOOKUP(2,1/(AG399:AM399&lt;&gt;""),AG399:AM399)))</t>
        </is>
      </c>
      <c r="BB399" s="38" t="inlineStr">
        <is>
          <t>IF(OR(E399="",AO399=""),"",IF(COUNT(AG399:AN399)=0,"",AO399-LOOKUP(2,1/(AG399:AN399&lt;&gt;""),AG399:AN399)))</t>
        </is>
      </c>
      <c r="BC399" s="38" t="inlineStr">
        <is>
          <t>IF(OR(E399="",AP399=""),"",IF(COUNT(AG399:AO399)=0,"",AP399-LOOKUP(2,1/(AG399:AO399&lt;&gt;""),AG399:AO399)))</t>
        </is>
      </c>
      <c r="BD399" s="38" t="inlineStr">
        <is>
          <t>IF(OR(E399="",AQ399=""),"",IF(COUNT(AG399:AP399)=0,"",AQ399-LOOKUP(2,1/(AG399:AP399&lt;&gt;""),AG399:AP399)))</t>
        </is>
      </c>
      <c r="BE399" s="38" t="inlineStr">
        <is>
          <t>IF(OR(E399="",AR399=""),"",IF(COUNT(AG399:AQ399)=0,"",AR399-LOOKUP(2,1/(AG399:AQ399&lt;&gt;""),AG399:AQ399)))</t>
        </is>
      </c>
      <c r="BF399" s="38" t="inlineStr">
        <is>
          <t>IF(OR(E399="",AS399=""),"",IF(COUNT(AG399:AR399)=0,"",AS399-LOOKUP(2,1/(AG399:AR399&lt;&gt;""),AG399:AR399)))</t>
        </is>
      </c>
      <c r="BG399" s="38" t="inlineStr">
        <is>
          <t>IF(OR(E399="",AT399=""),"",IF(COUNT(AG399:AS399)=0,"",AT399-LOOKUP(2,1/(AG399:AS399&lt;&gt;""),AG399:AS399)))</t>
        </is>
      </c>
      <c r="BH399" s="41" t="inlineStr">
        <is>
          <t>IF(G399="","All_Provinces",IFERROR(VLOOKUP(G399,'07_Lookups'!$A$4:$B$20,2,FALSE),"All_Provinces"))</t>
        </is>
      </c>
      <c r="BI399" s="41" t="inlineStr">
        <is>
          <t>IF(H399="","All_Districts",IFERROR(VLOOKUP(H399,'07_Lookups'!$E$4:$F$42,2,FALSE),"All_Districts"))</t>
        </is>
      </c>
    </row>
    <row r="400" ht="18" customHeight="1">
      <c r="A400" s="32" t="inlineStr">
        <is>
          <t>IF(E400="","",ROW()-3)</t>
        </is>
      </c>
      <c r="B400" s="33" t="n"/>
      <c r="C400" s="33" t="n"/>
      <c r="D400" s="33" t="n"/>
      <c r="E400" s="33" t="n"/>
      <c r="F400" s="33" t="n"/>
      <c r="G400" s="33" t="n"/>
      <c r="H400" s="33" t="n"/>
      <c r="I400" s="33" t="n"/>
      <c r="J400" s="33" t="n"/>
      <c r="K400" s="33" t="n"/>
      <c r="L400" s="33" t="n"/>
      <c r="M400" s="33" t="n"/>
      <c r="N400" s="33" t="n"/>
      <c r="O400" s="33" t="n"/>
      <c r="P400" s="33" t="n"/>
      <c r="Q400" s="34" t="n"/>
      <c r="R400" s="35" t="inlineStr">
        <is>
          <t>IF(AO400="","",AO400)</t>
        </is>
      </c>
      <c r="S400" s="36" t="n"/>
      <c r="T400" s="37" t="n"/>
      <c r="U400" s="36" t="n"/>
      <c r="V400" s="35" t="inlineStr">
        <is>
          <t>IF(U400&lt;&gt;"",U400,IF(OR(R400="",T400=""),"",EDATE(R400,T400)))</t>
        </is>
      </c>
      <c r="W400" s="36" t="n"/>
      <c r="X400" s="37" t="n"/>
      <c r="Y400" s="33" t="n"/>
      <c r="Z400" s="33" t="n"/>
      <c r="AA400" s="32" t="inlineStr">
        <is>
          <t>IF(E400="","",IF(COUNT(AG400:AT400)=0,IF(Y400="","Not started",Y400),SUBSTITUTE(LOOKUP(2,1/(AG400:AT400&lt;&gt;""),$AG$3:$AT$3),"Date: ","")))</t>
        </is>
      </c>
      <c r="AB400" s="38" t="inlineStr">
        <is>
          <t>IF(OR(E400="",COUNT(AG400:AT400)=0),"",TODAY()-LOOKUP(2,1/(AG400:AT400&lt;&gt;""),AG400:AT400))</t>
        </is>
      </c>
      <c r="AC400" s="38" t="inlineStr">
        <is>
          <t>IF(OR(E400="",COUNT(AG400:AT400)&lt;2),"",LOOKUP(2,1/(AG400:AT400&lt;&gt;""),AG400:AT400)-MIN(AG400:AT400))</t>
        </is>
      </c>
      <c r="AD400" s="38" t="inlineStr">
        <is>
          <t>IF(OR(AB400="",AA400="Not started",AA400=""),"",IFERROR(AB400-IF(VLOOKUP(AA400,'04_Status_Pipeline'!$B$3:$E$20,4,FALSE)="",0,VLOOKUP(AA400,'04_Status_Pipeline'!$B$3:$E$20,4,FALSE)),""))</t>
        </is>
      </c>
      <c r="AE400" s="32" t="inlineStr">
        <is>
          <t>IF(E400="","",IF(OR(Y400="Cancelled",AA400="Cancelled"),"Cancelled",IF(OR(AA400="Completed / Handover",W400&lt;&gt;"",X400&gt;=100),"Completed — on track",IF(L400="Remaining",IF(S400="",IF(V400="","No planned date",IF(TODAY()&gt;V400,"Behind — past planned date",IF(V400-TODAY()&lt;=30,"At risk — close to off track","On track"))),IF(TODAY()&gt;S400,"Behind — award date passed",IF(S400-TODAY()&lt;=30,"At risk — close to off track","On track"))),IF(V400="","No planned date",IF(AND(TODAY()&gt;V400,OR(X400="",X400&lt;100)),"Behind — past end date",IF(AND(R400&lt;&gt;"",V400&lt;&gt;"",X400&lt;&gt;"",(X400&lt;100),((TODAY()-R400)/MAX(V400-R400,1)*100)-X400&gt;15),"Behind — progress lag",IF(AND(V400-TODAY()&lt;=30,V400-TODAY()&gt;=0,OR(X400="",X400&lt;90)),"At risk — close to off track","On track"))))))))</t>
        </is>
      </c>
      <c r="AF400" s="38" t="inlineStr">
        <is>
          <t>IF(OR(E400="",AA400="Completed / Handover",AA400="Cancelled"),"",IF(L400="Remaining",IF(S400&lt;&gt;"",S400-TODAY(),IF(V400="","",V400-TODAY())),IF(V400="","",V400-TODAY())))</t>
        </is>
      </c>
      <c r="AG400" s="36" t="n"/>
      <c r="AH400" s="36" t="n"/>
      <c r="AI400" s="36" t="n"/>
      <c r="AJ400" s="36" t="n"/>
      <c r="AK400" s="36" t="n"/>
      <c r="AL400" s="36" t="n"/>
      <c r="AM400" s="36" t="n"/>
      <c r="AN400" s="36" t="n"/>
      <c r="AO400" s="36" t="n"/>
      <c r="AP400" s="36" t="n"/>
      <c r="AQ400" s="36" t="n"/>
      <c r="AR400" s="40" t="n"/>
      <c r="AS400" s="40" t="n"/>
      <c r="AT400" s="40" t="n"/>
      <c r="AU400" s="38" t="inlineStr">
        <is>
          <t>IF(OR(E400="",AH400=""),"",IF(COUNT(AG400:AG400)=0,"",AH400-LOOKUP(2,1/(AG400:AG400&lt;&gt;""),AG400:AG400)))</t>
        </is>
      </c>
      <c r="AV400" s="38" t="inlineStr">
        <is>
          <t>IF(OR(E400="",AI400=""),"",IF(COUNT(AG400:AH400)=0,"",AI400-LOOKUP(2,1/(AG400:AH400&lt;&gt;""),AG400:AH400)))</t>
        </is>
      </c>
      <c r="AW400" s="38" t="inlineStr">
        <is>
          <t>IF(OR(E400="",AJ400=""),"",IF(COUNT(AG400:AI400)=0,"",AJ400-LOOKUP(2,1/(AG400:AI400&lt;&gt;""),AG400:AI400)))</t>
        </is>
      </c>
      <c r="AX400" s="38" t="inlineStr">
        <is>
          <t>IF(OR(E400="",AK400=""),"",IF(COUNT(AG400:AJ400)=0,"",AK400-LOOKUP(2,1/(AG400:AJ400&lt;&gt;""),AG400:AJ400)))</t>
        </is>
      </c>
      <c r="AY400" s="38" t="inlineStr">
        <is>
          <t>IF(OR(E400="",AL400=""),"",IF(COUNT(AG400:AK400)=0,"",AL400-LOOKUP(2,1/(AG400:AK400&lt;&gt;""),AG400:AK400)))</t>
        </is>
      </c>
      <c r="AZ400" s="38" t="inlineStr">
        <is>
          <t>IF(OR(E400="",AM400=""),"",IF(COUNT(AG400:AL400)=0,"",AM400-LOOKUP(2,1/(AG400:AL400&lt;&gt;""),AG400:AL400)))</t>
        </is>
      </c>
      <c r="BA400" s="38" t="inlineStr">
        <is>
          <t>IF(OR(E400="",AN400=""),"",IF(COUNT(AG400:AM400)=0,"",AN400-LOOKUP(2,1/(AG400:AM400&lt;&gt;""),AG400:AM400)))</t>
        </is>
      </c>
      <c r="BB400" s="38" t="inlineStr">
        <is>
          <t>IF(OR(E400="",AO400=""),"",IF(COUNT(AG400:AN400)=0,"",AO400-LOOKUP(2,1/(AG400:AN400&lt;&gt;""),AG400:AN400)))</t>
        </is>
      </c>
      <c r="BC400" s="38" t="inlineStr">
        <is>
          <t>IF(OR(E400="",AP400=""),"",IF(COUNT(AG400:AO400)=0,"",AP400-LOOKUP(2,1/(AG400:AO400&lt;&gt;""),AG400:AO400)))</t>
        </is>
      </c>
      <c r="BD400" s="38" t="inlineStr">
        <is>
          <t>IF(OR(E400="",AQ400=""),"",IF(COUNT(AG400:AP400)=0,"",AQ400-LOOKUP(2,1/(AG400:AP400&lt;&gt;""),AG400:AP400)))</t>
        </is>
      </c>
      <c r="BE400" s="38" t="inlineStr">
        <is>
          <t>IF(OR(E400="",AR400=""),"",IF(COUNT(AG400:AQ400)=0,"",AR400-LOOKUP(2,1/(AG400:AQ400&lt;&gt;""),AG400:AQ400)))</t>
        </is>
      </c>
      <c r="BF400" s="38" t="inlineStr">
        <is>
          <t>IF(OR(E400="",AS400=""),"",IF(COUNT(AG400:AR400)=0,"",AS400-LOOKUP(2,1/(AG400:AR400&lt;&gt;""),AG400:AR400)))</t>
        </is>
      </c>
      <c r="BG400" s="38" t="inlineStr">
        <is>
          <t>IF(OR(E400="",AT400=""),"",IF(COUNT(AG400:AS400)=0,"",AT400-LOOKUP(2,1/(AG400:AS400&lt;&gt;""),AG400:AS400)))</t>
        </is>
      </c>
      <c r="BH400" s="41" t="inlineStr">
        <is>
          <t>IF(G400="","All_Provinces",IFERROR(VLOOKUP(G400,'07_Lookups'!$A$4:$B$20,2,FALSE),"All_Provinces"))</t>
        </is>
      </c>
      <c r="BI400" s="41" t="inlineStr">
        <is>
          <t>IF(H400="","All_Districts",IFERROR(VLOOKUP(H400,'07_Lookups'!$E$4:$F$42,2,FALSE),"All_Districts"))</t>
        </is>
      </c>
    </row>
    <row r="401" ht="18" customHeight="1">
      <c r="A401" s="32" t="inlineStr">
        <is>
          <t>IF(E401="","",ROW()-3)</t>
        </is>
      </c>
      <c r="B401" s="42" t="n"/>
      <c r="C401" s="42" t="n"/>
      <c r="D401" s="42" t="n"/>
      <c r="E401" s="42" t="n"/>
      <c r="F401" s="42" t="n"/>
      <c r="G401" s="42" t="n"/>
      <c r="H401" s="42" t="n"/>
      <c r="I401" s="42" t="n"/>
      <c r="J401" s="42" t="n"/>
      <c r="K401" s="42" t="n"/>
      <c r="L401" s="42" t="n"/>
      <c r="M401" s="42" t="n"/>
      <c r="N401" s="42" t="n"/>
      <c r="O401" s="42" t="n"/>
      <c r="P401" s="42" t="n"/>
      <c r="Q401" s="43" t="n"/>
      <c r="R401" s="35" t="inlineStr">
        <is>
          <t>IF(AO401="","",AO401)</t>
        </is>
      </c>
      <c r="S401" s="44" t="n"/>
      <c r="T401" s="45" t="n"/>
      <c r="U401" s="44" t="n"/>
      <c r="V401" s="35" t="inlineStr">
        <is>
          <t>IF(U401&lt;&gt;"",U401,IF(OR(R401="",T401=""),"",EDATE(R401,T401)))</t>
        </is>
      </c>
      <c r="W401" s="44" t="n"/>
      <c r="X401" s="45" t="n"/>
      <c r="Y401" s="42" t="n"/>
      <c r="Z401" s="42" t="n"/>
      <c r="AA401" s="32" t="inlineStr">
        <is>
          <t>IF(E401="","",IF(COUNT(AG401:AT401)=0,IF(Y401="","Not started",Y401),SUBSTITUTE(LOOKUP(2,1/(AG401:AT401&lt;&gt;""),$AG$3:$AT$3),"Date: ","")))</t>
        </is>
      </c>
      <c r="AB401" s="38" t="inlineStr">
        <is>
          <t>IF(OR(E401="",COUNT(AG401:AT401)=0),"",TODAY()-LOOKUP(2,1/(AG401:AT401&lt;&gt;""),AG401:AT401))</t>
        </is>
      </c>
      <c r="AC401" s="38" t="inlineStr">
        <is>
          <t>IF(OR(E401="",COUNT(AG401:AT401)&lt;2),"",LOOKUP(2,1/(AG401:AT401&lt;&gt;""),AG401:AT401)-MIN(AG401:AT401))</t>
        </is>
      </c>
      <c r="AD401" s="38" t="inlineStr">
        <is>
          <t>IF(OR(AB401="",AA401="Not started",AA401=""),"",IFERROR(AB401-IF(VLOOKUP(AA401,'04_Status_Pipeline'!$B$3:$E$20,4,FALSE)="",0,VLOOKUP(AA401,'04_Status_Pipeline'!$B$3:$E$20,4,FALSE)),""))</t>
        </is>
      </c>
      <c r="AE401" s="32" t="inlineStr">
        <is>
          <t>IF(E401="","",IF(OR(Y401="Cancelled",AA401="Cancelled"),"Cancelled",IF(OR(AA401="Completed / Handover",W401&lt;&gt;"",X401&gt;=100),"Completed — on track",IF(L401="Remaining",IF(S401="",IF(V401="","No planned date",IF(TODAY()&gt;V401,"Behind — past planned date",IF(V401-TODAY()&lt;=30,"At risk — close to off track","On track"))),IF(TODAY()&gt;S401,"Behind — award date passed",IF(S401-TODAY()&lt;=30,"At risk — close to off track","On track"))),IF(V401="","No planned date",IF(AND(TODAY()&gt;V401,OR(X401="",X401&lt;100)),"Behind — past end date",IF(AND(R401&lt;&gt;"",V401&lt;&gt;"",X401&lt;&gt;"",(X401&lt;100),((TODAY()-R401)/MAX(V401-R401,1)*100)-X401&gt;15),"Behind — progress lag",IF(AND(V401-TODAY()&lt;=30,V401-TODAY()&gt;=0,OR(X401="",X401&lt;90)),"At risk — close to off track","On track"))))))))</t>
        </is>
      </c>
      <c r="AF401" s="38" t="inlineStr">
        <is>
          <t>IF(OR(E401="",AA401="Completed / Handover",AA401="Cancelled"),"",IF(L401="Remaining",IF(S401&lt;&gt;"",S401-TODAY(),IF(V401="","",V401-TODAY())),IF(V401="","",V401-TODAY())))</t>
        </is>
      </c>
      <c r="AG401" s="44" t="n"/>
      <c r="AH401" s="44" t="n"/>
      <c r="AI401" s="44" t="n"/>
      <c r="AJ401" s="44" t="n"/>
      <c r="AK401" s="44" t="n"/>
      <c r="AL401" s="44" t="n"/>
      <c r="AM401" s="44" t="n"/>
      <c r="AN401" s="44" t="n"/>
      <c r="AO401" s="44" t="n"/>
      <c r="AP401" s="44" t="n"/>
      <c r="AQ401" s="44" t="n"/>
      <c r="AR401" s="40" t="n"/>
      <c r="AS401" s="40" t="n"/>
      <c r="AT401" s="40" t="n"/>
      <c r="AU401" s="38" t="inlineStr">
        <is>
          <t>IF(OR(E401="",AH401=""),"",IF(COUNT(AG401:AG401)=0,"",AH401-LOOKUP(2,1/(AG401:AG401&lt;&gt;""),AG401:AG401)))</t>
        </is>
      </c>
      <c r="AV401" s="38" t="inlineStr">
        <is>
          <t>IF(OR(E401="",AI401=""),"",IF(COUNT(AG401:AH401)=0,"",AI401-LOOKUP(2,1/(AG401:AH401&lt;&gt;""),AG401:AH401)))</t>
        </is>
      </c>
      <c r="AW401" s="38" t="inlineStr">
        <is>
          <t>IF(OR(E401="",AJ401=""),"",IF(COUNT(AG401:AI401)=0,"",AJ401-LOOKUP(2,1/(AG401:AI401&lt;&gt;""),AG401:AI401)))</t>
        </is>
      </c>
      <c r="AX401" s="38" t="inlineStr">
        <is>
          <t>IF(OR(E401="",AK401=""),"",IF(COUNT(AG401:AJ401)=0,"",AK401-LOOKUP(2,1/(AG401:AJ401&lt;&gt;""),AG401:AJ401)))</t>
        </is>
      </c>
      <c r="AY401" s="38" t="inlineStr">
        <is>
          <t>IF(OR(E401="",AL401=""),"",IF(COUNT(AG401:AK401)=0,"",AL401-LOOKUP(2,1/(AG401:AK401&lt;&gt;""),AG401:AK401)))</t>
        </is>
      </c>
      <c r="AZ401" s="38" t="inlineStr">
        <is>
          <t>IF(OR(E401="",AM401=""),"",IF(COUNT(AG401:AL401)=0,"",AM401-LOOKUP(2,1/(AG401:AL401&lt;&gt;""),AG401:AL401)))</t>
        </is>
      </c>
      <c r="BA401" s="38" t="inlineStr">
        <is>
          <t>IF(OR(E401="",AN401=""),"",IF(COUNT(AG401:AM401)=0,"",AN401-LOOKUP(2,1/(AG401:AM401&lt;&gt;""),AG401:AM401)))</t>
        </is>
      </c>
      <c r="BB401" s="38" t="inlineStr">
        <is>
          <t>IF(OR(E401="",AO401=""),"",IF(COUNT(AG401:AN401)=0,"",AO401-LOOKUP(2,1/(AG401:AN401&lt;&gt;""),AG401:AN401)))</t>
        </is>
      </c>
      <c r="BC401" s="38" t="inlineStr">
        <is>
          <t>IF(OR(E401="",AP401=""),"",IF(COUNT(AG401:AO401)=0,"",AP401-LOOKUP(2,1/(AG401:AO401&lt;&gt;""),AG401:AO401)))</t>
        </is>
      </c>
      <c r="BD401" s="38" t="inlineStr">
        <is>
          <t>IF(OR(E401="",AQ401=""),"",IF(COUNT(AG401:AP401)=0,"",AQ401-LOOKUP(2,1/(AG401:AP401&lt;&gt;""),AG401:AP401)))</t>
        </is>
      </c>
      <c r="BE401" s="38" t="inlineStr">
        <is>
          <t>IF(OR(E401="",AR401=""),"",IF(COUNT(AG401:AQ401)=0,"",AR401-LOOKUP(2,1/(AG401:AQ401&lt;&gt;""),AG401:AQ401)))</t>
        </is>
      </c>
      <c r="BF401" s="38" t="inlineStr">
        <is>
          <t>IF(OR(E401="",AS401=""),"",IF(COUNT(AG401:AR401)=0,"",AS401-LOOKUP(2,1/(AG401:AR401&lt;&gt;""),AG401:AR401)))</t>
        </is>
      </c>
      <c r="BG401" s="38" t="inlineStr">
        <is>
          <t>IF(OR(E401="",AT401=""),"",IF(COUNT(AG401:AS401)=0,"",AT401-LOOKUP(2,1/(AG401:AS401&lt;&gt;""),AG401:AS401)))</t>
        </is>
      </c>
      <c r="BH401" s="41" t="inlineStr">
        <is>
          <t>IF(G401="","All_Provinces",IFERROR(VLOOKUP(G401,'07_Lookups'!$A$4:$B$20,2,FALSE),"All_Provinces"))</t>
        </is>
      </c>
      <c r="BI401" s="41" t="inlineStr">
        <is>
          <t>IF(H401="","All_Districts",IFERROR(VLOOKUP(H401,'07_Lookups'!$E$4:$F$42,2,FALSE),"All_Districts"))</t>
        </is>
      </c>
    </row>
    <row r="402" ht="18" customHeight="1">
      <c r="A402" s="32" t="inlineStr">
        <is>
          <t>IF(E402="","",ROW()-3)</t>
        </is>
      </c>
      <c r="B402" s="33" t="n"/>
      <c r="C402" s="33" t="n"/>
      <c r="D402" s="33" t="n"/>
      <c r="E402" s="33" t="n"/>
      <c r="F402" s="33" t="n"/>
      <c r="G402" s="33" t="n"/>
      <c r="H402" s="33" t="n"/>
      <c r="I402" s="33" t="n"/>
      <c r="J402" s="33" t="n"/>
      <c r="K402" s="33" t="n"/>
      <c r="L402" s="33" t="n"/>
      <c r="M402" s="33" t="n"/>
      <c r="N402" s="33" t="n"/>
      <c r="O402" s="33" t="n"/>
      <c r="P402" s="33" t="n"/>
      <c r="Q402" s="34" t="n"/>
      <c r="R402" s="35" t="inlineStr">
        <is>
          <t>IF(AO402="","",AO402)</t>
        </is>
      </c>
      <c r="S402" s="36" t="n"/>
      <c r="T402" s="37" t="n"/>
      <c r="U402" s="36" t="n"/>
      <c r="V402" s="35" t="inlineStr">
        <is>
          <t>IF(U402&lt;&gt;"",U402,IF(OR(R402="",T402=""),"",EDATE(R402,T402)))</t>
        </is>
      </c>
      <c r="W402" s="36" t="n"/>
      <c r="X402" s="37" t="n"/>
      <c r="Y402" s="33" t="n"/>
      <c r="Z402" s="33" t="n"/>
      <c r="AA402" s="32" t="inlineStr">
        <is>
          <t>IF(E402="","",IF(COUNT(AG402:AT402)=0,IF(Y402="","Not started",Y402),SUBSTITUTE(LOOKUP(2,1/(AG402:AT402&lt;&gt;""),$AG$3:$AT$3),"Date: ","")))</t>
        </is>
      </c>
      <c r="AB402" s="38" t="inlineStr">
        <is>
          <t>IF(OR(E402="",COUNT(AG402:AT402)=0),"",TODAY()-LOOKUP(2,1/(AG402:AT402&lt;&gt;""),AG402:AT402))</t>
        </is>
      </c>
      <c r="AC402" s="38" t="inlineStr">
        <is>
          <t>IF(OR(E402="",COUNT(AG402:AT402)&lt;2),"",LOOKUP(2,1/(AG402:AT402&lt;&gt;""),AG402:AT402)-MIN(AG402:AT402))</t>
        </is>
      </c>
      <c r="AD402" s="38" t="inlineStr">
        <is>
          <t>IF(OR(AB402="",AA402="Not started",AA402=""),"",IFERROR(AB402-IF(VLOOKUP(AA402,'04_Status_Pipeline'!$B$3:$E$20,4,FALSE)="",0,VLOOKUP(AA402,'04_Status_Pipeline'!$B$3:$E$20,4,FALSE)),""))</t>
        </is>
      </c>
      <c r="AE402" s="32" t="inlineStr">
        <is>
          <t>IF(E402="","",IF(OR(Y402="Cancelled",AA402="Cancelled"),"Cancelled",IF(OR(AA402="Completed / Handover",W402&lt;&gt;"",X402&gt;=100),"Completed — on track",IF(L402="Remaining",IF(S402="",IF(V402="","No planned date",IF(TODAY()&gt;V402,"Behind — past planned date",IF(V402-TODAY()&lt;=30,"At risk — close to off track","On track"))),IF(TODAY()&gt;S402,"Behind — award date passed",IF(S402-TODAY()&lt;=30,"At risk — close to off track","On track"))),IF(V402="","No planned date",IF(AND(TODAY()&gt;V402,OR(X402="",X402&lt;100)),"Behind — past end date",IF(AND(R402&lt;&gt;"",V402&lt;&gt;"",X402&lt;&gt;"",(X402&lt;100),((TODAY()-R402)/MAX(V402-R402,1)*100)-X402&gt;15),"Behind — progress lag",IF(AND(V402-TODAY()&lt;=30,V402-TODAY()&gt;=0,OR(X402="",X402&lt;90)),"At risk — close to off track","On track"))))))))</t>
        </is>
      </c>
      <c r="AF402" s="38" t="inlineStr">
        <is>
          <t>IF(OR(E402="",AA402="Completed / Handover",AA402="Cancelled"),"",IF(L402="Remaining",IF(S402&lt;&gt;"",S402-TODAY(),IF(V402="","",V402-TODAY())),IF(V402="","",V402-TODAY())))</t>
        </is>
      </c>
      <c r="AG402" s="36" t="n"/>
      <c r="AH402" s="36" t="n"/>
      <c r="AI402" s="36" t="n"/>
      <c r="AJ402" s="36" t="n"/>
      <c r="AK402" s="36" t="n"/>
      <c r="AL402" s="36" t="n"/>
      <c r="AM402" s="36" t="n"/>
      <c r="AN402" s="36" t="n"/>
      <c r="AO402" s="36" t="n"/>
      <c r="AP402" s="36" t="n"/>
      <c r="AQ402" s="36" t="n"/>
      <c r="AR402" s="40" t="n"/>
      <c r="AS402" s="40" t="n"/>
      <c r="AT402" s="40" t="n"/>
      <c r="AU402" s="38" t="inlineStr">
        <is>
          <t>IF(OR(E402="",AH402=""),"",IF(COUNT(AG402:AG402)=0,"",AH402-LOOKUP(2,1/(AG402:AG402&lt;&gt;""),AG402:AG402)))</t>
        </is>
      </c>
      <c r="AV402" s="38" t="inlineStr">
        <is>
          <t>IF(OR(E402="",AI402=""),"",IF(COUNT(AG402:AH402)=0,"",AI402-LOOKUP(2,1/(AG402:AH402&lt;&gt;""),AG402:AH402)))</t>
        </is>
      </c>
      <c r="AW402" s="38" t="inlineStr">
        <is>
          <t>IF(OR(E402="",AJ402=""),"",IF(COUNT(AG402:AI402)=0,"",AJ402-LOOKUP(2,1/(AG402:AI402&lt;&gt;""),AG402:AI402)))</t>
        </is>
      </c>
      <c r="AX402" s="38" t="inlineStr">
        <is>
          <t>IF(OR(E402="",AK402=""),"",IF(COUNT(AG402:AJ402)=0,"",AK402-LOOKUP(2,1/(AG402:AJ402&lt;&gt;""),AG402:AJ402)))</t>
        </is>
      </c>
      <c r="AY402" s="38" t="inlineStr">
        <is>
          <t>IF(OR(E402="",AL402=""),"",IF(COUNT(AG402:AK402)=0,"",AL402-LOOKUP(2,1/(AG402:AK402&lt;&gt;""),AG402:AK402)))</t>
        </is>
      </c>
      <c r="AZ402" s="38" t="inlineStr">
        <is>
          <t>IF(OR(E402="",AM402=""),"",IF(COUNT(AG402:AL402)=0,"",AM402-LOOKUP(2,1/(AG402:AL402&lt;&gt;""),AG402:AL402)))</t>
        </is>
      </c>
      <c r="BA402" s="38" t="inlineStr">
        <is>
          <t>IF(OR(E402="",AN402=""),"",IF(COUNT(AG402:AM402)=0,"",AN402-LOOKUP(2,1/(AG402:AM402&lt;&gt;""),AG402:AM402)))</t>
        </is>
      </c>
      <c r="BB402" s="38" t="inlineStr">
        <is>
          <t>IF(OR(E402="",AO402=""),"",IF(COUNT(AG402:AN402)=0,"",AO402-LOOKUP(2,1/(AG402:AN402&lt;&gt;""),AG402:AN402)))</t>
        </is>
      </c>
      <c r="BC402" s="38" t="inlineStr">
        <is>
          <t>IF(OR(E402="",AP402=""),"",IF(COUNT(AG402:AO402)=0,"",AP402-LOOKUP(2,1/(AG402:AO402&lt;&gt;""),AG402:AO402)))</t>
        </is>
      </c>
      <c r="BD402" s="38" t="inlineStr">
        <is>
          <t>IF(OR(E402="",AQ402=""),"",IF(COUNT(AG402:AP402)=0,"",AQ402-LOOKUP(2,1/(AG402:AP402&lt;&gt;""),AG402:AP402)))</t>
        </is>
      </c>
      <c r="BE402" s="38" t="inlineStr">
        <is>
          <t>IF(OR(E402="",AR402=""),"",IF(COUNT(AG402:AQ402)=0,"",AR402-LOOKUP(2,1/(AG402:AQ402&lt;&gt;""),AG402:AQ402)))</t>
        </is>
      </c>
      <c r="BF402" s="38" t="inlineStr">
        <is>
          <t>IF(OR(E402="",AS402=""),"",IF(COUNT(AG402:AR402)=0,"",AS402-LOOKUP(2,1/(AG402:AR402&lt;&gt;""),AG402:AR402)))</t>
        </is>
      </c>
      <c r="BG402" s="38" t="inlineStr">
        <is>
          <t>IF(OR(E402="",AT402=""),"",IF(COUNT(AG402:AS402)=0,"",AT402-LOOKUP(2,1/(AG402:AS402&lt;&gt;""),AG402:AS402)))</t>
        </is>
      </c>
      <c r="BH402" s="41" t="inlineStr">
        <is>
          <t>IF(G402="","All_Provinces",IFERROR(VLOOKUP(G402,'07_Lookups'!$A$4:$B$20,2,FALSE),"All_Provinces"))</t>
        </is>
      </c>
      <c r="BI402" s="41" t="inlineStr">
        <is>
          <t>IF(H402="","All_Districts",IFERROR(VLOOKUP(H402,'07_Lookups'!$E$4:$F$42,2,FALSE),"All_Districts"))</t>
        </is>
      </c>
    </row>
    <row r="403" ht="18" customHeight="1">
      <c r="A403" s="32" t="inlineStr">
        <is>
          <t>IF(E403="","",ROW()-3)</t>
        </is>
      </c>
      <c r="B403" s="42" t="n"/>
      <c r="C403" s="42" t="n"/>
      <c r="D403" s="42" t="n"/>
      <c r="E403" s="42" t="n"/>
      <c r="F403" s="42" t="n"/>
      <c r="G403" s="42" t="n"/>
      <c r="H403" s="42" t="n"/>
      <c r="I403" s="42" t="n"/>
      <c r="J403" s="42" t="n"/>
      <c r="K403" s="42" t="n"/>
      <c r="L403" s="42" t="n"/>
      <c r="M403" s="42" t="n"/>
      <c r="N403" s="42" t="n"/>
      <c r="O403" s="42" t="n"/>
      <c r="P403" s="42" t="n"/>
      <c r="Q403" s="43" t="n"/>
      <c r="R403" s="35" t="inlineStr">
        <is>
          <t>IF(AO403="","",AO403)</t>
        </is>
      </c>
      <c r="S403" s="44" t="n"/>
      <c r="T403" s="45" t="n"/>
      <c r="U403" s="44" t="n"/>
      <c r="V403" s="35" t="inlineStr">
        <is>
          <t>IF(U403&lt;&gt;"",U403,IF(OR(R403="",T403=""),"",EDATE(R403,T403)))</t>
        </is>
      </c>
      <c r="W403" s="44" t="n"/>
      <c r="X403" s="45" t="n"/>
      <c r="Y403" s="42" t="n"/>
      <c r="Z403" s="42" t="n"/>
      <c r="AA403" s="32" t="inlineStr">
        <is>
          <t>IF(E403="","",IF(COUNT(AG403:AT403)=0,IF(Y403="","Not started",Y403),SUBSTITUTE(LOOKUP(2,1/(AG403:AT403&lt;&gt;""),$AG$3:$AT$3),"Date: ","")))</t>
        </is>
      </c>
      <c r="AB403" s="38" t="inlineStr">
        <is>
          <t>IF(OR(E403="",COUNT(AG403:AT403)=0),"",TODAY()-LOOKUP(2,1/(AG403:AT403&lt;&gt;""),AG403:AT403))</t>
        </is>
      </c>
      <c r="AC403" s="38" t="inlineStr">
        <is>
          <t>IF(OR(E403="",COUNT(AG403:AT403)&lt;2),"",LOOKUP(2,1/(AG403:AT403&lt;&gt;""),AG403:AT403)-MIN(AG403:AT403))</t>
        </is>
      </c>
      <c r="AD403" s="38" t="inlineStr">
        <is>
          <t>IF(OR(AB403="",AA403="Not started",AA403=""),"",IFERROR(AB403-IF(VLOOKUP(AA403,'04_Status_Pipeline'!$B$3:$E$20,4,FALSE)="",0,VLOOKUP(AA403,'04_Status_Pipeline'!$B$3:$E$20,4,FALSE)),""))</t>
        </is>
      </c>
      <c r="AE403" s="32" t="inlineStr">
        <is>
          <t>IF(E403="","",IF(OR(Y403="Cancelled",AA403="Cancelled"),"Cancelled",IF(OR(AA403="Completed / Handover",W403&lt;&gt;"",X403&gt;=100),"Completed — on track",IF(L403="Remaining",IF(S403="",IF(V403="","No planned date",IF(TODAY()&gt;V403,"Behind — past planned date",IF(V403-TODAY()&lt;=30,"At risk — close to off track","On track"))),IF(TODAY()&gt;S403,"Behind — award date passed",IF(S403-TODAY()&lt;=30,"At risk — close to off track","On track"))),IF(V403="","No planned date",IF(AND(TODAY()&gt;V403,OR(X403="",X403&lt;100)),"Behind — past end date",IF(AND(R403&lt;&gt;"",V403&lt;&gt;"",X403&lt;&gt;"",(X403&lt;100),((TODAY()-R403)/MAX(V403-R403,1)*100)-X403&gt;15),"Behind — progress lag",IF(AND(V403-TODAY()&lt;=30,V403-TODAY()&gt;=0,OR(X403="",X403&lt;90)),"At risk — close to off track","On track"))))))))</t>
        </is>
      </c>
      <c r="AF403" s="38" t="inlineStr">
        <is>
          <t>IF(OR(E403="",AA403="Completed / Handover",AA403="Cancelled"),"",IF(L403="Remaining",IF(S403&lt;&gt;"",S403-TODAY(),IF(V403="","",V403-TODAY())),IF(V403="","",V403-TODAY())))</t>
        </is>
      </c>
      <c r="AG403" s="44" t="n"/>
      <c r="AH403" s="44" t="n"/>
      <c r="AI403" s="44" t="n"/>
      <c r="AJ403" s="44" t="n"/>
      <c r="AK403" s="44" t="n"/>
      <c r="AL403" s="44" t="n"/>
      <c r="AM403" s="44" t="n"/>
      <c r="AN403" s="44" t="n"/>
      <c r="AO403" s="44" t="n"/>
      <c r="AP403" s="44" t="n"/>
      <c r="AQ403" s="44" t="n"/>
      <c r="AR403" s="40" t="n"/>
      <c r="AS403" s="40" t="n"/>
      <c r="AT403" s="40" t="n"/>
      <c r="AU403" s="38" t="inlineStr">
        <is>
          <t>IF(OR(E403="",AH403=""),"",IF(COUNT(AG403:AG403)=0,"",AH403-LOOKUP(2,1/(AG403:AG403&lt;&gt;""),AG403:AG403)))</t>
        </is>
      </c>
      <c r="AV403" s="38" t="inlineStr">
        <is>
          <t>IF(OR(E403="",AI403=""),"",IF(COUNT(AG403:AH403)=0,"",AI403-LOOKUP(2,1/(AG403:AH403&lt;&gt;""),AG403:AH403)))</t>
        </is>
      </c>
      <c r="AW403" s="38" t="inlineStr">
        <is>
          <t>IF(OR(E403="",AJ403=""),"",IF(COUNT(AG403:AI403)=0,"",AJ403-LOOKUP(2,1/(AG403:AI403&lt;&gt;""),AG403:AI403)))</t>
        </is>
      </c>
      <c r="AX403" s="38" t="inlineStr">
        <is>
          <t>IF(OR(E403="",AK403=""),"",IF(COUNT(AG403:AJ403)=0,"",AK403-LOOKUP(2,1/(AG403:AJ403&lt;&gt;""),AG403:AJ403)))</t>
        </is>
      </c>
      <c r="AY403" s="38" t="inlineStr">
        <is>
          <t>IF(OR(E403="",AL403=""),"",IF(COUNT(AG403:AK403)=0,"",AL403-LOOKUP(2,1/(AG403:AK403&lt;&gt;""),AG403:AK403)))</t>
        </is>
      </c>
      <c r="AZ403" s="38" t="inlineStr">
        <is>
          <t>IF(OR(E403="",AM403=""),"",IF(COUNT(AG403:AL403)=0,"",AM403-LOOKUP(2,1/(AG403:AL403&lt;&gt;""),AG403:AL403)))</t>
        </is>
      </c>
      <c r="BA403" s="38" t="inlineStr">
        <is>
          <t>IF(OR(E403="",AN403=""),"",IF(COUNT(AG403:AM403)=0,"",AN403-LOOKUP(2,1/(AG403:AM403&lt;&gt;""),AG403:AM403)))</t>
        </is>
      </c>
      <c r="BB403" s="38" t="inlineStr">
        <is>
          <t>IF(OR(E403="",AO403=""),"",IF(COUNT(AG403:AN403)=0,"",AO403-LOOKUP(2,1/(AG403:AN403&lt;&gt;""),AG403:AN403)))</t>
        </is>
      </c>
      <c r="BC403" s="38" t="inlineStr">
        <is>
          <t>IF(OR(E403="",AP403=""),"",IF(COUNT(AG403:AO403)=0,"",AP403-LOOKUP(2,1/(AG403:AO403&lt;&gt;""),AG403:AO403)))</t>
        </is>
      </c>
      <c r="BD403" s="38" t="inlineStr">
        <is>
          <t>IF(OR(E403="",AQ403=""),"",IF(COUNT(AG403:AP403)=0,"",AQ403-LOOKUP(2,1/(AG403:AP403&lt;&gt;""),AG403:AP403)))</t>
        </is>
      </c>
      <c r="BE403" s="38" t="inlineStr">
        <is>
          <t>IF(OR(E403="",AR403=""),"",IF(COUNT(AG403:AQ403)=0,"",AR403-LOOKUP(2,1/(AG403:AQ403&lt;&gt;""),AG403:AQ403)))</t>
        </is>
      </c>
      <c r="BF403" s="38" t="inlineStr">
        <is>
          <t>IF(OR(E403="",AS403=""),"",IF(COUNT(AG403:AR403)=0,"",AS403-LOOKUP(2,1/(AG403:AR403&lt;&gt;""),AG403:AR403)))</t>
        </is>
      </c>
      <c r="BG403" s="38" t="inlineStr">
        <is>
          <t>IF(OR(E403="",AT403=""),"",IF(COUNT(AG403:AS403)=0,"",AT403-LOOKUP(2,1/(AG403:AS403&lt;&gt;""),AG403:AS403)))</t>
        </is>
      </c>
      <c r="BH403" s="41" t="inlineStr">
        <is>
          <t>IF(G403="","All_Provinces",IFERROR(VLOOKUP(G403,'07_Lookups'!$A$4:$B$20,2,FALSE),"All_Provinces"))</t>
        </is>
      </c>
      <c r="BI403" s="41" t="inlineStr">
        <is>
          <t>IF(H403="","All_Districts",IFERROR(VLOOKUP(H403,'07_Lookups'!$E$4:$F$42,2,FALSE),"All_Districts"))</t>
        </is>
      </c>
    </row>
    <row r="404" ht="18" customHeight="1">
      <c r="A404" s="32" t="inlineStr">
        <is>
          <t>IF(E404="","",ROW()-3)</t>
        </is>
      </c>
      <c r="B404" s="33" t="n"/>
      <c r="C404" s="33" t="n"/>
      <c r="D404" s="33" t="n"/>
      <c r="E404" s="33" t="n"/>
      <c r="F404" s="33" t="n"/>
      <c r="G404" s="33" t="n"/>
      <c r="H404" s="33" t="n"/>
      <c r="I404" s="33" t="n"/>
      <c r="J404" s="33" t="n"/>
      <c r="K404" s="33" t="n"/>
      <c r="L404" s="33" t="n"/>
      <c r="M404" s="33" t="n"/>
      <c r="N404" s="33" t="n"/>
      <c r="O404" s="33" t="n"/>
      <c r="P404" s="33" t="n"/>
      <c r="Q404" s="34" t="n"/>
      <c r="R404" s="35" t="inlineStr">
        <is>
          <t>IF(AO404="","",AO404)</t>
        </is>
      </c>
      <c r="S404" s="36" t="n"/>
      <c r="T404" s="37" t="n"/>
      <c r="U404" s="36" t="n"/>
      <c r="V404" s="35" t="inlineStr">
        <is>
          <t>IF(U404&lt;&gt;"",U404,IF(OR(R404="",T404=""),"",EDATE(R404,T404)))</t>
        </is>
      </c>
      <c r="W404" s="36" t="n"/>
      <c r="X404" s="37" t="n"/>
      <c r="Y404" s="33" t="n"/>
      <c r="Z404" s="33" t="n"/>
      <c r="AA404" s="32" t="inlineStr">
        <is>
          <t>IF(E404="","",IF(COUNT(AG404:AT404)=0,IF(Y404="","Not started",Y404),SUBSTITUTE(LOOKUP(2,1/(AG404:AT404&lt;&gt;""),$AG$3:$AT$3),"Date: ","")))</t>
        </is>
      </c>
      <c r="AB404" s="38" t="inlineStr">
        <is>
          <t>IF(OR(E404="",COUNT(AG404:AT404)=0),"",TODAY()-LOOKUP(2,1/(AG404:AT404&lt;&gt;""),AG404:AT404))</t>
        </is>
      </c>
      <c r="AC404" s="38" t="inlineStr">
        <is>
          <t>IF(OR(E404="",COUNT(AG404:AT404)&lt;2),"",LOOKUP(2,1/(AG404:AT404&lt;&gt;""),AG404:AT404)-MIN(AG404:AT404))</t>
        </is>
      </c>
      <c r="AD404" s="38" t="inlineStr">
        <is>
          <t>IF(OR(AB404="",AA404="Not started",AA404=""),"",IFERROR(AB404-IF(VLOOKUP(AA404,'04_Status_Pipeline'!$B$3:$E$20,4,FALSE)="",0,VLOOKUP(AA404,'04_Status_Pipeline'!$B$3:$E$20,4,FALSE)),""))</t>
        </is>
      </c>
      <c r="AE404" s="32" t="inlineStr">
        <is>
          <t>IF(E404="","",IF(OR(Y404="Cancelled",AA404="Cancelled"),"Cancelled",IF(OR(AA404="Completed / Handover",W404&lt;&gt;"",X404&gt;=100),"Completed — on track",IF(L404="Remaining",IF(S404="",IF(V404="","No planned date",IF(TODAY()&gt;V404,"Behind — past planned date",IF(V404-TODAY()&lt;=30,"At risk — close to off track","On track"))),IF(TODAY()&gt;S404,"Behind — award date passed",IF(S404-TODAY()&lt;=30,"At risk — close to off track","On track"))),IF(V404="","No planned date",IF(AND(TODAY()&gt;V404,OR(X404="",X404&lt;100)),"Behind — past end date",IF(AND(R404&lt;&gt;"",V404&lt;&gt;"",X404&lt;&gt;"",(X404&lt;100),((TODAY()-R404)/MAX(V404-R404,1)*100)-X404&gt;15),"Behind — progress lag",IF(AND(V404-TODAY()&lt;=30,V404-TODAY()&gt;=0,OR(X404="",X404&lt;90)),"At risk — close to off track","On track"))))))))</t>
        </is>
      </c>
      <c r="AF404" s="38" t="inlineStr">
        <is>
          <t>IF(OR(E404="",AA404="Completed / Handover",AA404="Cancelled"),"",IF(L404="Remaining",IF(S404&lt;&gt;"",S404-TODAY(),IF(V404="","",V404-TODAY())),IF(V404="","",V404-TODAY())))</t>
        </is>
      </c>
      <c r="AG404" s="36" t="n"/>
      <c r="AH404" s="36" t="n"/>
      <c r="AI404" s="36" t="n"/>
      <c r="AJ404" s="36" t="n"/>
      <c r="AK404" s="36" t="n"/>
      <c r="AL404" s="36" t="n"/>
      <c r="AM404" s="36" t="n"/>
      <c r="AN404" s="36" t="n"/>
      <c r="AO404" s="36" t="n"/>
      <c r="AP404" s="36" t="n"/>
      <c r="AQ404" s="36" t="n"/>
      <c r="AR404" s="40" t="n"/>
      <c r="AS404" s="40" t="n"/>
      <c r="AT404" s="40" t="n"/>
      <c r="AU404" s="38" t="inlineStr">
        <is>
          <t>IF(OR(E404="",AH404=""),"",IF(COUNT(AG404:AG404)=0,"",AH404-LOOKUP(2,1/(AG404:AG404&lt;&gt;""),AG404:AG404)))</t>
        </is>
      </c>
      <c r="AV404" s="38" t="inlineStr">
        <is>
          <t>IF(OR(E404="",AI404=""),"",IF(COUNT(AG404:AH404)=0,"",AI404-LOOKUP(2,1/(AG404:AH404&lt;&gt;""),AG404:AH404)))</t>
        </is>
      </c>
      <c r="AW404" s="38" t="inlineStr">
        <is>
          <t>IF(OR(E404="",AJ404=""),"",IF(COUNT(AG404:AI404)=0,"",AJ404-LOOKUP(2,1/(AG404:AI404&lt;&gt;""),AG404:AI404)))</t>
        </is>
      </c>
      <c r="AX404" s="38" t="inlineStr">
        <is>
          <t>IF(OR(E404="",AK404=""),"",IF(COUNT(AG404:AJ404)=0,"",AK404-LOOKUP(2,1/(AG404:AJ404&lt;&gt;""),AG404:AJ404)))</t>
        </is>
      </c>
      <c r="AY404" s="38" t="inlineStr">
        <is>
          <t>IF(OR(E404="",AL404=""),"",IF(COUNT(AG404:AK404)=0,"",AL404-LOOKUP(2,1/(AG404:AK404&lt;&gt;""),AG404:AK404)))</t>
        </is>
      </c>
      <c r="AZ404" s="38" t="inlineStr">
        <is>
          <t>IF(OR(E404="",AM404=""),"",IF(COUNT(AG404:AL404)=0,"",AM404-LOOKUP(2,1/(AG404:AL404&lt;&gt;""),AG404:AL404)))</t>
        </is>
      </c>
      <c r="BA404" s="38" t="inlineStr">
        <is>
          <t>IF(OR(E404="",AN404=""),"",IF(COUNT(AG404:AM404)=0,"",AN404-LOOKUP(2,1/(AG404:AM404&lt;&gt;""),AG404:AM404)))</t>
        </is>
      </c>
      <c r="BB404" s="38" t="inlineStr">
        <is>
          <t>IF(OR(E404="",AO404=""),"",IF(COUNT(AG404:AN404)=0,"",AO404-LOOKUP(2,1/(AG404:AN404&lt;&gt;""),AG404:AN404)))</t>
        </is>
      </c>
      <c r="BC404" s="38" t="inlineStr">
        <is>
          <t>IF(OR(E404="",AP404=""),"",IF(COUNT(AG404:AO404)=0,"",AP404-LOOKUP(2,1/(AG404:AO404&lt;&gt;""),AG404:AO404)))</t>
        </is>
      </c>
      <c r="BD404" s="38" t="inlineStr">
        <is>
          <t>IF(OR(E404="",AQ404=""),"",IF(COUNT(AG404:AP404)=0,"",AQ404-LOOKUP(2,1/(AG404:AP404&lt;&gt;""),AG404:AP404)))</t>
        </is>
      </c>
      <c r="BE404" s="38" t="inlineStr">
        <is>
          <t>IF(OR(E404="",AR404=""),"",IF(COUNT(AG404:AQ404)=0,"",AR404-LOOKUP(2,1/(AG404:AQ404&lt;&gt;""),AG404:AQ404)))</t>
        </is>
      </c>
      <c r="BF404" s="38" t="inlineStr">
        <is>
          <t>IF(OR(E404="",AS404=""),"",IF(COUNT(AG404:AR404)=0,"",AS404-LOOKUP(2,1/(AG404:AR404&lt;&gt;""),AG404:AR404)))</t>
        </is>
      </c>
      <c r="BG404" s="38" t="inlineStr">
        <is>
          <t>IF(OR(E404="",AT404=""),"",IF(COUNT(AG404:AS404)=0,"",AT404-LOOKUP(2,1/(AG404:AS404&lt;&gt;""),AG404:AS404)))</t>
        </is>
      </c>
      <c r="BH404" s="41" t="inlineStr">
        <is>
          <t>IF(G404="","All_Provinces",IFERROR(VLOOKUP(G404,'07_Lookups'!$A$4:$B$20,2,FALSE),"All_Provinces"))</t>
        </is>
      </c>
      <c r="BI404" s="41" t="inlineStr">
        <is>
          <t>IF(H404="","All_Districts",IFERROR(VLOOKUP(H404,'07_Lookups'!$E$4:$F$42,2,FALSE),"All_Districts"))</t>
        </is>
      </c>
    </row>
    <row r="405" ht="18" customHeight="1">
      <c r="A405" s="32" t="inlineStr">
        <is>
          <t>IF(E405="","",ROW()-3)</t>
        </is>
      </c>
      <c r="B405" s="42" t="n"/>
      <c r="C405" s="42" t="n"/>
      <c r="D405" s="42" t="n"/>
      <c r="E405" s="42" t="n"/>
      <c r="F405" s="42" t="n"/>
      <c r="G405" s="42" t="n"/>
      <c r="H405" s="42" t="n"/>
      <c r="I405" s="42" t="n"/>
      <c r="J405" s="42" t="n"/>
      <c r="K405" s="42" t="n"/>
      <c r="L405" s="42" t="n"/>
      <c r="M405" s="42" t="n"/>
      <c r="N405" s="42" t="n"/>
      <c r="O405" s="42" t="n"/>
      <c r="P405" s="42" t="n"/>
      <c r="Q405" s="43" t="n"/>
      <c r="R405" s="35" t="inlineStr">
        <is>
          <t>IF(AO405="","",AO405)</t>
        </is>
      </c>
      <c r="S405" s="44" t="n"/>
      <c r="T405" s="45" t="n"/>
      <c r="U405" s="44" t="n"/>
      <c r="V405" s="35" t="inlineStr">
        <is>
          <t>IF(U405&lt;&gt;"",U405,IF(OR(R405="",T405=""),"",EDATE(R405,T405)))</t>
        </is>
      </c>
      <c r="W405" s="44" t="n"/>
      <c r="X405" s="45" t="n"/>
      <c r="Y405" s="42" t="n"/>
      <c r="Z405" s="42" t="n"/>
      <c r="AA405" s="32" t="inlineStr">
        <is>
          <t>IF(E405="","",IF(COUNT(AG405:AT405)=0,IF(Y405="","Not started",Y405),SUBSTITUTE(LOOKUP(2,1/(AG405:AT405&lt;&gt;""),$AG$3:$AT$3),"Date: ","")))</t>
        </is>
      </c>
      <c r="AB405" s="38" t="inlineStr">
        <is>
          <t>IF(OR(E405="",COUNT(AG405:AT405)=0),"",TODAY()-LOOKUP(2,1/(AG405:AT405&lt;&gt;""),AG405:AT405))</t>
        </is>
      </c>
      <c r="AC405" s="38" t="inlineStr">
        <is>
          <t>IF(OR(E405="",COUNT(AG405:AT405)&lt;2),"",LOOKUP(2,1/(AG405:AT405&lt;&gt;""),AG405:AT405)-MIN(AG405:AT405))</t>
        </is>
      </c>
      <c r="AD405" s="38" t="inlineStr">
        <is>
          <t>IF(OR(AB405="",AA405="Not started",AA405=""),"",IFERROR(AB405-IF(VLOOKUP(AA405,'04_Status_Pipeline'!$B$3:$E$20,4,FALSE)="",0,VLOOKUP(AA405,'04_Status_Pipeline'!$B$3:$E$20,4,FALSE)),""))</t>
        </is>
      </c>
      <c r="AE405" s="32" t="inlineStr">
        <is>
          <t>IF(E405="","",IF(OR(Y405="Cancelled",AA405="Cancelled"),"Cancelled",IF(OR(AA405="Completed / Handover",W405&lt;&gt;"",X405&gt;=100),"Completed — on track",IF(L405="Remaining",IF(S405="",IF(V405="","No planned date",IF(TODAY()&gt;V405,"Behind — past planned date",IF(V405-TODAY()&lt;=30,"At risk — close to off track","On track"))),IF(TODAY()&gt;S405,"Behind — award date passed",IF(S405-TODAY()&lt;=30,"At risk — close to off track","On track"))),IF(V405="","No planned date",IF(AND(TODAY()&gt;V405,OR(X405="",X405&lt;100)),"Behind — past end date",IF(AND(R405&lt;&gt;"",V405&lt;&gt;"",X405&lt;&gt;"",(X405&lt;100),((TODAY()-R405)/MAX(V405-R405,1)*100)-X405&gt;15),"Behind — progress lag",IF(AND(V405-TODAY()&lt;=30,V405-TODAY()&gt;=0,OR(X405="",X405&lt;90)),"At risk — close to off track","On track"))))))))</t>
        </is>
      </c>
      <c r="AF405" s="38" t="inlineStr">
        <is>
          <t>IF(OR(E405="",AA405="Completed / Handover",AA405="Cancelled"),"",IF(L405="Remaining",IF(S405&lt;&gt;"",S405-TODAY(),IF(V405="","",V405-TODAY())),IF(V405="","",V405-TODAY())))</t>
        </is>
      </c>
      <c r="AG405" s="44" t="n"/>
      <c r="AH405" s="44" t="n"/>
      <c r="AI405" s="44" t="n"/>
      <c r="AJ405" s="44" t="n"/>
      <c r="AK405" s="44" t="n"/>
      <c r="AL405" s="44" t="n"/>
      <c r="AM405" s="44" t="n"/>
      <c r="AN405" s="44" t="n"/>
      <c r="AO405" s="44" t="n"/>
      <c r="AP405" s="44" t="n"/>
      <c r="AQ405" s="44" t="n"/>
      <c r="AR405" s="40" t="n"/>
      <c r="AS405" s="40" t="n"/>
      <c r="AT405" s="40" t="n"/>
      <c r="AU405" s="38" t="inlineStr">
        <is>
          <t>IF(OR(E405="",AH405=""),"",IF(COUNT(AG405:AG405)=0,"",AH405-LOOKUP(2,1/(AG405:AG405&lt;&gt;""),AG405:AG405)))</t>
        </is>
      </c>
      <c r="AV405" s="38" t="inlineStr">
        <is>
          <t>IF(OR(E405="",AI405=""),"",IF(COUNT(AG405:AH405)=0,"",AI405-LOOKUP(2,1/(AG405:AH405&lt;&gt;""),AG405:AH405)))</t>
        </is>
      </c>
      <c r="AW405" s="38" t="inlineStr">
        <is>
          <t>IF(OR(E405="",AJ405=""),"",IF(COUNT(AG405:AI405)=0,"",AJ405-LOOKUP(2,1/(AG405:AI405&lt;&gt;""),AG405:AI405)))</t>
        </is>
      </c>
      <c r="AX405" s="38" t="inlineStr">
        <is>
          <t>IF(OR(E405="",AK405=""),"",IF(COUNT(AG405:AJ405)=0,"",AK405-LOOKUP(2,1/(AG405:AJ405&lt;&gt;""),AG405:AJ405)))</t>
        </is>
      </c>
      <c r="AY405" s="38" t="inlineStr">
        <is>
          <t>IF(OR(E405="",AL405=""),"",IF(COUNT(AG405:AK405)=0,"",AL405-LOOKUP(2,1/(AG405:AK405&lt;&gt;""),AG405:AK405)))</t>
        </is>
      </c>
      <c r="AZ405" s="38" t="inlineStr">
        <is>
          <t>IF(OR(E405="",AM405=""),"",IF(COUNT(AG405:AL405)=0,"",AM405-LOOKUP(2,1/(AG405:AL405&lt;&gt;""),AG405:AL405)))</t>
        </is>
      </c>
      <c r="BA405" s="38" t="inlineStr">
        <is>
          <t>IF(OR(E405="",AN405=""),"",IF(COUNT(AG405:AM405)=0,"",AN405-LOOKUP(2,1/(AG405:AM405&lt;&gt;""),AG405:AM405)))</t>
        </is>
      </c>
      <c r="BB405" s="38" t="inlineStr">
        <is>
          <t>IF(OR(E405="",AO405=""),"",IF(COUNT(AG405:AN405)=0,"",AO405-LOOKUP(2,1/(AG405:AN405&lt;&gt;""),AG405:AN405)))</t>
        </is>
      </c>
      <c r="BC405" s="38" t="inlineStr">
        <is>
          <t>IF(OR(E405="",AP405=""),"",IF(COUNT(AG405:AO405)=0,"",AP405-LOOKUP(2,1/(AG405:AO405&lt;&gt;""),AG405:AO405)))</t>
        </is>
      </c>
      <c r="BD405" s="38" t="inlineStr">
        <is>
          <t>IF(OR(E405="",AQ405=""),"",IF(COUNT(AG405:AP405)=0,"",AQ405-LOOKUP(2,1/(AG405:AP405&lt;&gt;""),AG405:AP405)))</t>
        </is>
      </c>
      <c r="BE405" s="38" t="inlineStr">
        <is>
          <t>IF(OR(E405="",AR405=""),"",IF(COUNT(AG405:AQ405)=0,"",AR405-LOOKUP(2,1/(AG405:AQ405&lt;&gt;""),AG405:AQ405)))</t>
        </is>
      </c>
      <c r="BF405" s="38" t="inlineStr">
        <is>
          <t>IF(OR(E405="",AS405=""),"",IF(COUNT(AG405:AR405)=0,"",AS405-LOOKUP(2,1/(AG405:AR405&lt;&gt;""),AG405:AR405)))</t>
        </is>
      </c>
      <c r="BG405" s="38" t="inlineStr">
        <is>
          <t>IF(OR(E405="",AT405=""),"",IF(COUNT(AG405:AS405)=0,"",AT405-LOOKUP(2,1/(AG405:AS405&lt;&gt;""),AG405:AS405)))</t>
        </is>
      </c>
      <c r="BH405" s="41" t="inlineStr">
        <is>
          <t>IF(G405="","All_Provinces",IFERROR(VLOOKUP(G405,'07_Lookups'!$A$4:$B$20,2,FALSE),"All_Provinces"))</t>
        </is>
      </c>
      <c r="BI405" s="41" t="inlineStr">
        <is>
          <t>IF(H405="","All_Districts",IFERROR(VLOOKUP(H405,'07_Lookups'!$E$4:$F$42,2,FALSE),"All_Districts"))</t>
        </is>
      </c>
    </row>
    <row r="406" ht="18" customHeight="1">
      <c r="A406" s="32" t="inlineStr">
        <is>
          <t>IF(E406="","",ROW()-3)</t>
        </is>
      </c>
      <c r="B406" s="33" t="n"/>
      <c r="C406" s="33" t="n"/>
      <c r="D406" s="33" t="n"/>
      <c r="E406" s="33" t="n"/>
      <c r="F406" s="33" t="n"/>
      <c r="G406" s="33" t="n"/>
      <c r="H406" s="33" t="n"/>
      <c r="I406" s="33" t="n"/>
      <c r="J406" s="33" t="n"/>
      <c r="K406" s="33" t="n"/>
      <c r="L406" s="33" t="n"/>
      <c r="M406" s="33" t="n"/>
      <c r="N406" s="33" t="n"/>
      <c r="O406" s="33" t="n"/>
      <c r="P406" s="33" t="n"/>
      <c r="Q406" s="34" t="n"/>
      <c r="R406" s="35" t="inlineStr">
        <is>
          <t>IF(AO406="","",AO406)</t>
        </is>
      </c>
      <c r="S406" s="36" t="n"/>
      <c r="T406" s="37" t="n"/>
      <c r="U406" s="36" t="n"/>
      <c r="V406" s="35" t="inlineStr">
        <is>
          <t>IF(U406&lt;&gt;"",U406,IF(OR(R406="",T406=""),"",EDATE(R406,T406)))</t>
        </is>
      </c>
      <c r="W406" s="36" t="n"/>
      <c r="X406" s="37" t="n"/>
      <c r="Y406" s="33" t="n"/>
      <c r="Z406" s="33" t="n"/>
      <c r="AA406" s="32" t="inlineStr">
        <is>
          <t>IF(E406="","",IF(COUNT(AG406:AT406)=0,IF(Y406="","Not started",Y406),SUBSTITUTE(LOOKUP(2,1/(AG406:AT406&lt;&gt;""),$AG$3:$AT$3),"Date: ","")))</t>
        </is>
      </c>
      <c r="AB406" s="38" t="inlineStr">
        <is>
          <t>IF(OR(E406="",COUNT(AG406:AT406)=0),"",TODAY()-LOOKUP(2,1/(AG406:AT406&lt;&gt;""),AG406:AT406))</t>
        </is>
      </c>
      <c r="AC406" s="38" t="inlineStr">
        <is>
          <t>IF(OR(E406="",COUNT(AG406:AT406)&lt;2),"",LOOKUP(2,1/(AG406:AT406&lt;&gt;""),AG406:AT406)-MIN(AG406:AT406))</t>
        </is>
      </c>
      <c r="AD406" s="38" t="inlineStr">
        <is>
          <t>IF(OR(AB406="",AA406="Not started",AA406=""),"",IFERROR(AB406-IF(VLOOKUP(AA406,'04_Status_Pipeline'!$B$3:$E$20,4,FALSE)="",0,VLOOKUP(AA406,'04_Status_Pipeline'!$B$3:$E$20,4,FALSE)),""))</t>
        </is>
      </c>
      <c r="AE406" s="32" t="inlineStr">
        <is>
          <t>IF(E406="","",IF(OR(Y406="Cancelled",AA406="Cancelled"),"Cancelled",IF(OR(AA406="Completed / Handover",W406&lt;&gt;"",X406&gt;=100),"Completed — on track",IF(L406="Remaining",IF(S406="",IF(V406="","No planned date",IF(TODAY()&gt;V406,"Behind — past planned date",IF(V406-TODAY()&lt;=30,"At risk — close to off track","On track"))),IF(TODAY()&gt;S406,"Behind — award date passed",IF(S406-TODAY()&lt;=30,"At risk — close to off track","On track"))),IF(V406="","No planned date",IF(AND(TODAY()&gt;V406,OR(X406="",X406&lt;100)),"Behind — past end date",IF(AND(R406&lt;&gt;"",V406&lt;&gt;"",X406&lt;&gt;"",(X406&lt;100),((TODAY()-R406)/MAX(V406-R406,1)*100)-X406&gt;15),"Behind — progress lag",IF(AND(V406-TODAY()&lt;=30,V406-TODAY()&gt;=0,OR(X406="",X406&lt;90)),"At risk — close to off track","On track"))))))))</t>
        </is>
      </c>
      <c r="AF406" s="38" t="inlineStr">
        <is>
          <t>IF(OR(E406="",AA406="Completed / Handover",AA406="Cancelled"),"",IF(L406="Remaining",IF(S406&lt;&gt;"",S406-TODAY(),IF(V406="","",V406-TODAY())),IF(V406="","",V406-TODAY())))</t>
        </is>
      </c>
      <c r="AG406" s="36" t="n"/>
      <c r="AH406" s="36" t="n"/>
      <c r="AI406" s="36" t="n"/>
      <c r="AJ406" s="36" t="n"/>
      <c r="AK406" s="36" t="n"/>
      <c r="AL406" s="36" t="n"/>
      <c r="AM406" s="36" t="n"/>
      <c r="AN406" s="36" t="n"/>
      <c r="AO406" s="36" t="n"/>
      <c r="AP406" s="36" t="n"/>
      <c r="AQ406" s="36" t="n"/>
      <c r="AR406" s="40" t="n"/>
      <c r="AS406" s="40" t="n"/>
      <c r="AT406" s="40" t="n"/>
      <c r="AU406" s="38" t="inlineStr">
        <is>
          <t>IF(OR(E406="",AH406=""),"",IF(COUNT(AG406:AG406)=0,"",AH406-LOOKUP(2,1/(AG406:AG406&lt;&gt;""),AG406:AG406)))</t>
        </is>
      </c>
      <c r="AV406" s="38" t="inlineStr">
        <is>
          <t>IF(OR(E406="",AI406=""),"",IF(COUNT(AG406:AH406)=0,"",AI406-LOOKUP(2,1/(AG406:AH406&lt;&gt;""),AG406:AH406)))</t>
        </is>
      </c>
      <c r="AW406" s="38" t="inlineStr">
        <is>
          <t>IF(OR(E406="",AJ406=""),"",IF(COUNT(AG406:AI406)=0,"",AJ406-LOOKUP(2,1/(AG406:AI406&lt;&gt;""),AG406:AI406)))</t>
        </is>
      </c>
      <c r="AX406" s="38" t="inlineStr">
        <is>
          <t>IF(OR(E406="",AK406=""),"",IF(COUNT(AG406:AJ406)=0,"",AK406-LOOKUP(2,1/(AG406:AJ406&lt;&gt;""),AG406:AJ406)))</t>
        </is>
      </c>
      <c r="AY406" s="38" t="inlineStr">
        <is>
          <t>IF(OR(E406="",AL406=""),"",IF(COUNT(AG406:AK406)=0,"",AL406-LOOKUP(2,1/(AG406:AK406&lt;&gt;""),AG406:AK406)))</t>
        </is>
      </c>
      <c r="AZ406" s="38" t="inlineStr">
        <is>
          <t>IF(OR(E406="",AM406=""),"",IF(COUNT(AG406:AL406)=0,"",AM406-LOOKUP(2,1/(AG406:AL406&lt;&gt;""),AG406:AL406)))</t>
        </is>
      </c>
      <c r="BA406" s="38" t="inlineStr">
        <is>
          <t>IF(OR(E406="",AN406=""),"",IF(COUNT(AG406:AM406)=0,"",AN406-LOOKUP(2,1/(AG406:AM406&lt;&gt;""),AG406:AM406)))</t>
        </is>
      </c>
      <c r="BB406" s="38" t="inlineStr">
        <is>
          <t>IF(OR(E406="",AO406=""),"",IF(COUNT(AG406:AN406)=0,"",AO406-LOOKUP(2,1/(AG406:AN406&lt;&gt;""),AG406:AN406)))</t>
        </is>
      </c>
      <c r="BC406" s="38" t="inlineStr">
        <is>
          <t>IF(OR(E406="",AP406=""),"",IF(COUNT(AG406:AO406)=0,"",AP406-LOOKUP(2,1/(AG406:AO406&lt;&gt;""),AG406:AO406)))</t>
        </is>
      </c>
      <c r="BD406" s="38" t="inlineStr">
        <is>
          <t>IF(OR(E406="",AQ406=""),"",IF(COUNT(AG406:AP406)=0,"",AQ406-LOOKUP(2,1/(AG406:AP406&lt;&gt;""),AG406:AP406)))</t>
        </is>
      </c>
      <c r="BE406" s="38" t="inlineStr">
        <is>
          <t>IF(OR(E406="",AR406=""),"",IF(COUNT(AG406:AQ406)=0,"",AR406-LOOKUP(2,1/(AG406:AQ406&lt;&gt;""),AG406:AQ406)))</t>
        </is>
      </c>
      <c r="BF406" s="38" t="inlineStr">
        <is>
          <t>IF(OR(E406="",AS406=""),"",IF(COUNT(AG406:AR406)=0,"",AS406-LOOKUP(2,1/(AG406:AR406&lt;&gt;""),AG406:AR406)))</t>
        </is>
      </c>
      <c r="BG406" s="38" t="inlineStr">
        <is>
          <t>IF(OR(E406="",AT406=""),"",IF(COUNT(AG406:AS406)=0,"",AT406-LOOKUP(2,1/(AG406:AS406&lt;&gt;""),AG406:AS406)))</t>
        </is>
      </c>
      <c r="BH406" s="41" t="inlineStr">
        <is>
          <t>IF(G406="","All_Provinces",IFERROR(VLOOKUP(G406,'07_Lookups'!$A$4:$B$20,2,FALSE),"All_Provinces"))</t>
        </is>
      </c>
      <c r="BI406" s="41" t="inlineStr">
        <is>
          <t>IF(H406="","All_Districts",IFERROR(VLOOKUP(H406,'07_Lookups'!$E$4:$F$42,2,FALSE),"All_Districts"))</t>
        </is>
      </c>
    </row>
    <row r="407" ht="18" customHeight="1">
      <c r="A407" s="32" t="inlineStr">
        <is>
          <t>IF(E407="","",ROW()-3)</t>
        </is>
      </c>
      <c r="B407" s="42" t="n"/>
      <c r="C407" s="42" t="n"/>
      <c r="D407" s="42" t="n"/>
      <c r="E407" s="42" t="n"/>
      <c r="F407" s="42" t="n"/>
      <c r="G407" s="42" t="n"/>
      <c r="H407" s="42" t="n"/>
      <c r="I407" s="42" t="n"/>
      <c r="J407" s="42" t="n"/>
      <c r="K407" s="42" t="n"/>
      <c r="L407" s="42" t="n"/>
      <c r="M407" s="42" t="n"/>
      <c r="N407" s="42" t="n"/>
      <c r="O407" s="42" t="n"/>
      <c r="P407" s="42" t="n"/>
      <c r="Q407" s="43" t="n"/>
      <c r="R407" s="35" t="inlineStr">
        <is>
          <t>IF(AO407="","",AO407)</t>
        </is>
      </c>
      <c r="S407" s="44" t="n"/>
      <c r="T407" s="45" t="n"/>
      <c r="U407" s="44" t="n"/>
      <c r="V407" s="35" t="inlineStr">
        <is>
          <t>IF(U407&lt;&gt;"",U407,IF(OR(R407="",T407=""),"",EDATE(R407,T407)))</t>
        </is>
      </c>
      <c r="W407" s="44" t="n"/>
      <c r="X407" s="45" t="n"/>
      <c r="Y407" s="42" t="n"/>
      <c r="Z407" s="42" t="n"/>
      <c r="AA407" s="32" t="inlineStr">
        <is>
          <t>IF(E407="","",IF(COUNT(AG407:AT407)=0,IF(Y407="","Not started",Y407),SUBSTITUTE(LOOKUP(2,1/(AG407:AT407&lt;&gt;""),$AG$3:$AT$3),"Date: ","")))</t>
        </is>
      </c>
      <c r="AB407" s="38" t="inlineStr">
        <is>
          <t>IF(OR(E407="",COUNT(AG407:AT407)=0),"",TODAY()-LOOKUP(2,1/(AG407:AT407&lt;&gt;""),AG407:AT407))</t>
        </is>
      </c>
      <c r="AC407" s="38" t="inlineStr">
        <is>
          <t>IF(OR(E407="",COUNT(AG407:AT407)&lt;2),"",LOOKUP(2,1/(AG407:AT407&lt;&gt;""),AG407:AT407)-MIN(AG407:AT407))</t>
        </is>
      </c>
      <c r="AD407" s="38" t="inlineStr">
        <is>
          <t>IF(OR(AB407="",AA407="Not started",AA407=""),"",IFERROR(AB407-IF(VLOOKUP(AA407,'04_Status_Pipeline'!$B$3:$E$20,4,FALSE)="",0,VLOOKUP(AA407,'04_Status_Pipeline'!$B$3:$E$20,4,FALSE)),""))</t>
        </is>
      </c>
      <c r="AE407" s="32" t="inlineStr">
        <is>
          <t>IF(E407="","",IF(OR(Y407="Cancelled",AA407="Cancelled"),"Cancelled",IF(OR(AA407="Completed / Handover",W407&lt;&gt;"",X407&gt;=100),"Completed — on track",IF(L407="Remaining",IF(S407="",IF(V407="","No planned date",IF(TODAY()&gt;V407,"Behind — past planned date",IF(V407-TODAY()&lt;=30,"At risk — close to off track","On track"))),IF(TODAY()&gt;S407,"Behind — award date passed",IF(S407-TODAY()&lt;=30,"At risk — close to off track","On track"))),IF(V407="","No planned date",IF(AND(TODAY()&gt;V407,OR(X407="",X407&lt;100)),"Behind — past end date",IF(AND(R407&lt;&gt;"",V407&lt;&gt;"",X407&lt;&gt;"",(X407&lt;100),((TODAY()-R407)/MAX(V407-R407,1)*100)-X407&gt;15),"Behind — progress lag",IF(AND(V407-TODAY()&lt;=30,V407-TODAY()&gt;=0,OR(X407="",X407&lt;90)),"At risk — close to off track","On track"))))))))</t>
        </is>
      </c>
      <c r="AF407" s="38" t="inlineStr">
        <is>
          <t>IF(OR(E407="",AA407="Completed / Handover",AA407="Cancelled"),"",IF(L407="Remaining",IF(S407&lt;&gt;"",S407-TODAY(),IF(V407="","",V407-TODAY())),IF(V407="","",V407-TODAY())))</t>
        </is>
      </c>
      <c r="AG407" s="44" t="n"/>
      <c r="AH407" s="44" t="n"/>
      <c r="AI407" s="44" t="n"/>
      <c r="AJ407" s="44" t="n"/>
      <c r="AK407" s="44" t="n"/>
      <c r="AL407" s="44" t="n"/>
      <c r="AM407" s="44" t="n"/>
      <c r="AN407" s="44" t="n"/>
      <c r="AO407" s="44" t="n"/>
      <c r="AP407" s="44" t="n"/>
      <c r="AQ407" s="44" t="n"/>
      <c r="AR407" s="40" t="n"/>
      <c r="AS407" s="40" t="n"/>
      <c r="AT407" s="40" t="n"/>
      <c r="AU407" s="38" t="inlineStr">
        <is>
          <t>IF(OR(E407="",AH407=""),"",IF(COUNT(AG407:AG407)=0,"",AH407-LOOKUP(2,1/(AG407:AG407&lt;&gt;""),AG407:AG407)))</t>
        </is>
      </c>
      <c r="AV407" s="38" t="inlineStr">
        <is>
          <t>IF(OR(E407="",AI407=""),"",IF(COUNT(AG407:AH407)=0,"",AI407-LOOKUP(2,1/(AG407:AH407&lt;&gt;""),AG407:AH407)))</t>
        </is>
      </c>
      <c r="AW407" s="38" t="inlineStr">
        <is>
          <t>IF(OR(E407="",AJ407=""),"",IF(COUNT(AG407:AI407)=0,"",AJ407-LOOKUP(2,1/(AG407:AI407&lt;&gt;""),AG407:AI407)))</t>
        </is>
      </c>
      <c r="AX407" s="38" t="inlineStr">
        <is>
          <t>IF(OR(E407="",AK407=""),"",IF(COUNT(AG407:AJ407)=0,"",AK407-LOOKUP(2,1/(AG407:AJ407&lt;&gt;""),AG407:AJ407)))</t>
        </is>
      </c>
      <c r="AY407" s="38" t="inlineStr">
        <is>
          <t>IF(OR(E407="",AL407=""),"",IF(COUNT(AG407:AK407)=0,"",AL407-LOOKUP(2,1/(AG407:AK407&lt;&gt;""),AG407:AK407)))</t>
        </is>
      </c>
      <c r="AZ407" s="38" t="inlineStr">
        <is>
          <t>IF(OR(E407="",AM407=""),"",IF(COUNT(AG407:AL407)=0,"",AM407-LOOKUP(2,1/(AG407:AL407&lt;&gt;""),AG407:AL407)))</t>
        </is>
      </c>
      <c r="BA407" s="38" t="inlineStr">
        <is>
          <t>IF(OR(E407="",AN407=""),"",IF(COUNT(AG407:AM407)=0,"",AN407-LOOKUP(2,1/(AG407:AM407&lt;&gt;""),AG407:AM407)))</t>
        </is>
      </c>
      <c r="BB407" s="38" t="inlineStr">
        <is>
          <t>IF(OR(E407="",AO407=""),"",IF(COUNT(AG407:AN407)=0,"",AO407-LOOKUP(2,1/(AG407:AN407&lt;&gt;""),AG407:AN407)))</t>
        </is>
      </c>
      <c r="BC407" s="38" t="inlineStr">
        <is>
          <t>IF(OR(E407="",AP407=""),"",IF(COUNT(AG407:AO407)=0,"",AP407-LOOKUP(2,1/(AG407:AO407&lt;&gt;""),AG407:AO407)))</t>
        </is>
      </c>
      <c r="BD407" s="38" t="inlineStr">
        <is>
          <t>IF(OR(E407="",AQ407=""),"",IF(COUNT(AG407:AP407)=0,"",AQ407-LOOKUP(2,1/(AG407:AP407&lt;&gt;""),AG407:AP407)))</t>
        </is>
      </c>
      <c r="BE407" s="38" t="inlineStr">
        <is>
          <t>IF(OR(E407="",AR407=""),"",IF(COUNT(AG407:AQ407)=0,"",AR407-LOOKUP(2,1/(AG407:AQ407&lt;&gt;""),AG407:AQ407)))</t>
        </is>
      </c>
      <c r="BF407" s="38" t="inlineStr">
        <is>
          <t>IF(OR(E407="",AS407=""),"",IF(COUNT(AG407:AR407)=0,"",AS407-LOOKUP(2,1/(AG407:AR407&lt;&gt;""),AG407:AR407)))</t>
        </is>
      </c>
      <c r="BG407" s="38" t="inlineStr">
        <is>
          <t>IF(OR(E407="",AT407=""),"",IF(COUNT(AG407:AS407)=0,"",AT407-LOOKUP(2,1/(AG407:AS407&lt;&gt;""),AG407:AS407)))</t>
        </is>
      </c>
      <c r="BH407" s="41" t="inlineStr">
        <is>
          <t>IF(G407="","All_Provinces",IFERROR(VLOOKUP(G407,'07_Lookups'!$A$4:$B$20,2,FALSE),"All_Provinces"))</t>
        </is>
      </c>
      <c r="BI407" s="41" t="inlineStr">
        <is>
          <t>IF(H407="","All_Districts",IFERROR(VLOOKUP(H407,'07_Lookups'!$E$4:$F$42,2,FALSE),"All_Districts"))</t>
        </is>
      </c>
    </row>
    <row r="408" ht="18" customHeight="1">
      <c r="A408" s="32" t="inlineStr">
        <is>
          <t>IF(E408="","",ROW()-3)</t>
        </is>
      </c>
      <c r="B408" s="33" t="n"/>
      <c r="C408" s="33" t="n"/>
      <c r="D408" s="33" t="n"/>
      <c r="E408" s="33" t="n"/>
      <c r="F408" s="33" t="n"/>
      <c r="G408" s="33" t="n"/>
      <c r="H408" s="33" t="n"/>
      <c r="I408" s="33" t="n"/>
      <c r="J408" s="33" t="n"/>
      <c r="K408" s="33" t="n"/>
      <c r="L408" s="33" t="n"/>
      <c r="M408" s="33" t="n"/>
      <c r="N408" s="33" t="n"/>
      <c r="O408" s="33" t="n"/>
      <c r="P408" s="33" t="n"/>
      <c r="Q408" s="34" t="n"/>
      <c r="R408" s="35" t="inlineStr">
        <is>
          <t>IF(AO408="","",AO408)</t>
        </is>
      </c>
      <c r="S408" s="36" t="n"/>
      <c r="T408" s="37" t="n"/>
      <c r="U408" s="36" t="n"/>
      <c r="V408" s="35" t="inlineStr">
        <is>
          <t>IF(U408&lt;&gt;"",U408,IF(OR(R408="",T408=""),"",EDATE(R408,T408)))</t>
        </is>
      </c>
      <c r="W408" s="36" t="n"/>
      <c r="X408" s="37" t="n"/>
      <c r="Y408" s="33" t="n"/>
      <c r="Z408" s="33" t="n"/>
      <c r="AA408" s="32" t="inlineStr">
        <is>
          <t>IF(E408="","",IF(COUNT(AG408:AT408)=0,IF(Y408="","Not started",Y408),SUBSTITUTE(LOOKUP(2,1/(AG408:AT408&lt;&gt;""),$AG$3:$AT$3),"Date: ","")))</t>
        </is>
      </c>
      <c r="AB408" s="38" t="inlineStr">
        <is>
          <t>IF(OR(E408="",COUNT(AG408:AT408)=0),"",TODAY()-LOOKUP(2,1/(AG408:AT408&lt;&gt;""),AG408:AT408))</t>
        </is>
      </c>
      <c r="AC408" s="38" t="inlineStr">
        <is>
          <t>IF(OR(E408="",COUNT(AG408:AT408)&lt;2),"",LOOKUP(2,1/(AG408:AT408&lt;&gt;""),AG408:AT408)-MIN(AG408:AT408))</t>
        </is>
      </c>
      <c r="AD408" s="38" t="inlineStr">
        <is>
          <t>IF(OR(AB408="",AA408="Not started",AA408=""),"",IFERROR(AB408-IF(VLOOKUP(AA408,'04_Status_Pipeline'!$B$3:$E$20,4,FALSE)="",0,VLOOKUP(AA408,'04_Status_Pipeline'!$B$3:$E$20,4,FALSE)),""))</t>
        </is>
      </c>
      <c r="AE408" s="32" t="inlineStr">
        <is>
          <t>IF(E408="","",IF(OR(Y408="Cancelled",AA408="Cancelled"),"Cancelled",IF(OR(AA408="Completed / Handover",W408&lt;&gt;"",X408&gt;=100),"Completed — on track",IF(L408="Remaining",IF(S408="",IF(V408="","No planned date",IF(TODAY()&gt;V408,"Behind — past planned date",IF(V408-TODAY()&lt;=30,"At risk — close to off track","On track"))),IF(TODAY()&gt;S408,"Behind — award date passed",IF(S408-TODAY()&lt;=30,"At risk — close to off track","On track"))),IF(V408="","No planned date",IF(AND(TODAY()&gt;V408,OR(X408="",X408&lt;100)),"Behind — past end date",IF(AND(R408&lt;&gt;"",V408&lt;&gt;"",X408&lt;&gt;"",(X408&lt;100),((TODAY()-R408)/MAX(V408-R408,1)*100)-X408&gt;15),"Behind — progress lag",IF(AND(V408-TODAY()&lt;=30,V408-TODAY()&gt;=0,OR(X408="",X408&lt;90)),"At risk — close to off track","On track"))))))))</t>
        </is>
      </c>
      <c r="AF408" s="38" t="inlineStr">
        <is>
          <t>IF(OR(E408="",AA408="Completed / Handover",AA408="Cancelled"),"",IF(L408="Remaining",IF(S408&lt;&gt;"",S408-TODAY(),IF(V408="","",V408-TODAY())),IF(V408="","",V408-TODAY())))</t>
        </is>
      </c>
      <c r="AG408" s="36" t="n"/>
      <c r="AH408" s="36" t="n"/>
      <c r="AI408" s="36" t="n"/>
      <c r="AJ408" s="36" t="n"/>
      <c r="AK408" s="36" t="n"/>
      <c r="AL408" s="36" t="n"/>
      <c r="AM408" s="36" t="n"/>
      <c r="AN408" s="36" t="n"/>
      <c r="AO408" s="36" t="n"/>
      <c r="AP408" s="36" t="n"/>
      <c r="AQ408" s="36" t="n"/>
      <c r="AR408" s="40" t="n"/>
      <c r="AS408" s="40" t="n"/>
      <c r="AT408" s="40" t="n"/>
      <c r="AU408" s="38" t="inlineStr">
        <is>
          <t>IF(OR(E408="",AH408=""),"",IF(COUNT(AG408:AG408)=0,"",AH408-LOOKUP(2,1/(AG408:AG408&lt;&gt;""),AG408:AG408)))</t>
        </is>
      </c>
      <c r="AV408" s="38" t="inlineStr">
        <is>
          <t>IF(OR(E408="",AI408=""),"",IF(COUNT(AG408:AH408)=0,"",AI408-LOOKUP(2,1/(AG408:AH408&lt;&gt;""),AG408:AH408)))</t>
        </is>
      </c>
      <c r="AW408" s="38" t="inlineStr">
        <is>
          <t>IF(OR(E408="",AJ408=""),"",IF(COUNT(AG408:AI408)=0,"",AJ408-LOOKUP(2,1/(AG408:AI408&lt;&gt;""),AG408:AI408)))</t>
        </is>
      </c>
      <c r="AX408" s="38" t="inlineStr">
        <is>
          <t>IF(OR(E408="",AK408=""),"",IF(COUNT(AG408:AJ408)=0,"",AK408-LOOKUP(2,1/(AG408:AJ408&lt;&gt;""),AG408:AJ408)))</t>
        </is>
      </c>
      <c r="AY408" s="38" t="inlineStr">
        <is>
          <t>IF(OR(E408="",AL408=""),"",IF(COUNT(AG408:AK408)=0,"",AL408-LOOKUP(2,1/(AG408:AK408&lt;&gt;""),AG408:AK408)))</t>
        </is>
      </c>
      <c r="AZ408" s="38" t="inlineStr">
        <is>
          <t>IF(OR(E408="",AM408=""),"",IF(COUNT(AG408:AL408)=0,"",AM408-LOOKUP(2,1/(AG408:AL408&lt;&gt;""),AG408:AL408)))</t>
        </is>
      </c>
      <c r="BA408" s="38" t="inlineStr">
        <is>
          <t>IF(OR(E408="",AN408=""),"",IF(COUNT(AG408:AM408)=0,"",AN408-LOOKUP(2,1/(AG408:AM408&lt;&gt;""),AG408:AM408)))</t>
        </is>
      </c>
      <c r="BB408" s="38" t="inlineStr">
        <is>
          <t>IF(OR(E408="",AO408=""),"",IF(COUNT(AG408:AN408)=0,"",AO408-LOOKUP(2,1/(AG408:AN408&lt;&gt;""),AG408:AN408)))</t>
        </is>
      </c>
      <c r="BC408" s="38" t="inlineStr">
        <is>
          <t>IF(OR(E408="",AP408=""),"",IF(COUNT(AG408:AO408)=0,"",AP408-LOOKUP(2,1/(AG408:AO408&lt;&gt;""),AG408:AO408)))</t>
        </is>
      </c>
      <c r="BD408" s="38" t="inlineStr">
        <is>
          <t>IF(OR(E408="",AQ408=""),"",IF(COUNT(AG408:AP408)=0,"",AQ408-LOOKUP(2,1/(AG408:AP408&lt;&gt;""),AG408:AP408)))</t>
        </is>
      </c>
      <c r="BE408" s="38" t="inlineStr">
        <is>
          <t>IF(OR(E408="",AR408=""),"",IF(COUNT(AG408:AQ408)=0,"",AR408-LOOKUP(2,1/(AG408:AQ408&lt;&gt;""),AG408:AQ408)))</t>
        </is>
      </c>
      <c r="BF408" s="38" t="inlineStr">
        <is>
          <t>IF(OR(E408="",AS408=""),"",IF(COUNT(AG408:AR408)=0,"",AS408-LOOKUP(2,1/(AG408:AR408&lt;&gt;""),AG408:AR408)))</t>
        </is>
      </c>
      <c r="BG408" s="38" t="inlineStr">
        <is>
          <t>IF(OR(E408="",AT408=""),"",IF(COUNT(AG408:AS408)=0,"",AT408-LOOKUP(2,1/(AG408:AS408&lt;&gt;""),AG408:AS408)))</t>
        </is>
      </c>
      <c r="BH408" s="41" t="inlineStr">
        <is>
          <t>IF(G408="","All_Provinces",IFERROR(VLOOKUP(G408,'07_Lookups'!$A$4:$B$20,2,FALSE),"All_Provinces"))</t>
        </is>
      </c>
      <c r="BI408" s="41" t="inlineStr">
        <is>
          <t>IF(H408="","All_Districts",IFERROR(VLOOKUP(H408,'07_Lookups'!$E$4:$F$42,2,FALSE),"All_Districts"))</t>
        </is>
      </c>
    </row>
    <row r="409" ht="18" customHeight="1">
      <c r="A409" s="32" t="inlineStr">
        <is>
          <t>IF(E409="","",ROW()-3)</t>
        </is>
      </c>
      <c r="B409" s="42" t="n"/>
      <c r="C409" s="42" t="n"/>
      <c r="D409" s="42" t="n"/>
      <c r="E409" s="42" t="n"/>
      <c r="F409" s="42" t="n"/>
      <c r="G409" s="42" t="n"/>
      <c r="H409" s="42" t="n"/>
      <c r="I409" s="42" t="n"/>
      <c r="J409" s="42" t="n"/>
      <c r="K409" s="42" t="n"/>
      <c r="L409" s="42" t="n"/>
      <c r="M409" s="42" t="n"/>
      <c r="N409" s="42" t="n"/>
      <c r="O409" s="42" t="n"/>
      <c r="P409" s="42" t="n"/>
      <c r="Q409" s="43" t="n"/>
      <c r="R409" s="35" t="inlineStr">
        <is>
          <t>IF(AO409="","",AO409)</t>
        </is>
      </c>
      <c r="S409" s="44" t="n"/>
      <c r="T409" s="45" t="n"/>
      <c r="U409" s="44" t="n"/>
      <c r="V409" s="35" t="inlineStr">
        <is>
          <t>IF(U409&lt;&gt;"",U409,IF(OR(R409="",T409=""),"",EDATE(R409,T409)))</t>
        </is>
      </c>
      <c r="W409" s="44" t="n"/>
      <c r="X409" s="45" t="n"/>
      <c r="Y409" s="42" t="n"/>
      <c r="Z409" s="42" t="n"/>
      <c r="AA409" s="32" t="inlineStr">
        <is>
          <t>IF(E409="","",IF(COUNT(AG409:AT409)=0,IF(Y409="","Not started",Y409),SUBSTITUTE(LOOKUP(2,1/(AG409:AT409&lt;&gt;""),$AG$3:$AT$3),"Date: ","")))</t>
        </is>
      </c>
      <c r="AB409" s="38" t="inlineStr">
        <is>
          <t>IF(OR(E409="",COUNT(AG409:AT409)=0),"",TODAY()-LOOKUP(2,1/(AG409:AT409&lt;&gt;""),AG409:AT409))</t>
        </is>
      </c>
      <c r="AC409" s="38" t="inlineStr">
        <is>
          <t>IF(OR(E409="",COUNT(AG409:AT409)&lt;2),"",LOOKUP(2,1/(AG409:AT409&lt;&gt;""),AG409:AT409)-MIN(AG409:AT409))</t>
        </is>
      </c>
      <c r="AD409" s="38" t="inlineStr">
        <is>
          <t>IF(OR(AB409="",AA409="Not started",AA409=""),"",IFERROR(AB409-IF(VLOOKUP(AA409,'04_Status_Pipeline'!$B$3:$E$20,4,FALSE)="",0,VLOOKUP(AA409,'04_Status_Pipeline'!$B$3:$E$20,4,FALSE)),""))</t>
        </is>
      </c>
      <c r="AE409" s="32" t="inlineStr">
        <is>
          <t>IF(E409="","",IF(OR(Y409="Cancelled",AA409="Cancelled"),"Cancelled",IF(OR(AA409="Completed / Handover",W409&lt;&gt;"",X409&gt;=100),"Completed — on track",IF(L409="Remaining",IF(S409="",IF(V409="","No planned date",IF(TODAY()&gt;V409,"Behind — past planned date",IF(V409-TODAY()&lt;=30,"At risk — close to off track","On track"))),IF(TODAY()&gt;S409,"Behind — award date passed",IF(S409-TODAY()&lt;=30,"At risk — close to off track","On track"))),IF(V409="","No planned date",IF(AND(TODAY()&gt;V409,OR(X409="",X409&lt;100)),"Behind — past end date",IF(AND(R409&lt;&gt;"",V409&lt;&gt;"",X409&lt;&gt;"",(X409&lt;100),((TODAY()-R409)/MAX(V409-R409,1)*100)-X409&gt;15),"Behind — progress lag",IF(AND(V409-TODAY()&lt;=30,V409-TODAY()&gt;=0,OR(X409="",X409&lt;90)),"At risk — close to off track","On track"))))))))</t>
        </is>
      </c>
      <c r="AF409" s="38" t="inlineStr">
        <is>
          <t>IF(OR(E409="",AA409="Completed / Handover",AA409="Cancelled"),"",IF(L409="Remaining",IF(S409&lt;&gt;"",S409-TODAY(),IF(V409="","",V409-TODAY())),IF(V409="","",V409-TODAY())))</t>
        </is>
      </c>
      <c r="AG409" s="44" t="n"/>
      <c r="AH409" s="44" t="n"/>
      <c r="AI409" s="44" t="n"/>
      <c r="AJ409" s="44" t="n"/>
      <c r="AK409" s="44" t="n"/>
      <c r="AL409" s="44" t="n"/>
      <c r="AM409" s="44" t="n"/>
      <c r="AN409" s="44" t="n"/>
      <c r="AO409" s="44" t="n"/>
      <c r="AP409" s="44" t="n"/>
      <c r="AQ409" s="44" t="n"/>
      <c r="AR409" s="40" t="n"/>
      <c r="AS409" s="40" t="n"/>
      <c r="AT409" s="40" t="n"/>
      <c r="AU409" s="38" t="inlineStr">
        <is>
          <t>IF(OR(E409="",AH409=""),"",IF(COUNT(AG409:AG409)=0,"",AH409-LOOKUP(2,1/(AG409:AG409&lt;&gt;""),AG409:AG409)))</t>
        </is>
      </c>
      <c r="AV409" s="38" t="inlineStr">
        <is>
          <t>IF(OR(E409="",AI409=""),"",IF(COUNT(AG409:AH409)=0,"",AI409-LOOKUP(2,1/(AG409:AH409&lt;&gt;""),AG409:AH409)))</t>
        </is>
      </c>
      <c r="AW409" s="38" t="inlineStr">
        <is>
          <t>IF(OR(E409="",AJ409=""),"",IF(COUNT(AG409:AI409)=0,"",AJ409-LOOKUP(2,1/(AG409:AI409&lt;&gt;""),AG409:AI409)))</t>
        </is>
      </c>
      <c r="AX409" s="38" t="inlineStr">
        <is>
          <t>IF(OR(E409="",AK409=""),"",IF(COUNT(AG409:AJ409)=0,"",AK409-LOOKUP(2,1/(AG409:AJ409&lt;&gt;""),AG409:AJ409)))</t>
        </is>
      </c>
      <c r="AY409" s="38" t="inlineStr">
        <is>
          <t>IF(OR(E409="",AL409=""),"",IF(COUNT(AG409:AK409)=0,"",AL409-LOOKUP(2,1/(AG409:AK409&lt;&gt;""),AG409:AK409)))</t>
        </is>
      </c>
      <c r="AZ409" s="38" t="inlineStr">
        <is>
          <t>IF(OR(E409="",AM409=""),"",IF(COUNT(AG409:AL409)=0,"",AM409-LOOKUP(2,1/(AG409:AL409&lt;&gt;""),AG409:AL409)))</t>
        </is>
      </c>
      <c r="BA409" s="38" t="inlineStr">
        <is>
          <t>IF(OR(E409="",AN409=""),"",IF(COUNT(AG409:AM409)=0,"",AN409-LOOKUP(2,1/(AG409:AM409&lt;&gt;""),AG409:AM409)))</t>
        </is>
      </c>
      <c r="BB409" s="38" t="inlineStr">
        <is>
          <t>IF(OR(E409="",AO409=""),"",IF(COUNT(AG409:AN409)=0,"",AO409-LOOKUP(2,1/(AG409:AN409&lt;&gt;""),AG409:AN409)))</t>
        </is>
      </c>
      <c r="BC409" s="38" t="inlineStr">
        <is>
          <t>IF(OR(E409="",AP409=""),"",IF(COUNT(AG409:AO409)=0,"",AP409-LOOKUP(2,1/(AG409:AO409&lt;&gt;""),AG409:AO409)))</t>
        </is>
      </c>
      <c r="BD409" s="38" t="inlineStr">
        <is>
          <t>IF(OR(E409="",AQ409=""),"",IF(COUNT(AG409:AP409)=0,"",AQ409-LOOKUP(2,1/(AG409:AP409&lt;&gt;""),AG409:AP409)))</t>
        </is>
      </c>
      <c r="BE409" s="38" t="inlineStr">
        <is>
          <t>IF(OR(E409="",AR409=""),"",IF(COUNT(AG409:AQ409)=0,"",AR409-LOOKUP(2,1/(AG409:AQ409&lt;&gt;""),AG409:AQ409)))</t>
        </is>
      </c>
      <c r="BF409" s="38" t="inlineStr">
        <is>
          <t>IF(OR(E409="",AS409=""),"",IF(COUNT(AG409:AR409)=0,"",AS409-LOOKUP(2,1/(AG409:AR409&lt;&gt;""),AG409:AR409)))</t>
        </is>
      </c>
      <c r="BG409" s="38" t="inlineStr">
        <is>
          <t>IF(OR(E409="",AT409=""),"",IF(COUNT(AG409:AS409)=0,"",AT409-LOOKUP(2,1/(AG409:AS409&lt;&gt;""),AG409:AS409)))</t>
        </is>
      </c>
      <c r="BH409" s="41" t="inlineStr">
        <is>
          <t>IF(G409="","All_Provinces",IFERROR(VLOOKUP(G409,'07_Lookups'!$A$4:$B$20,2,FALSE),"All_Provinces"))</t>
        </is>
      </c>
      <c r="BI409" s="41" t="inlineStr">
        <is>
          <t>IF(H409="","All_Districts",IFERROR(VLOOKUP(H409,'07_Lookups'!$E$4:$F$42,2,FALSE),"All_Districts"))</t>
        </is>
      </c>
    </row>
    <row r="410" ht="18" customHeight="1">
      <c r="A410" s="32" t="inlineStr">
        <is>
          <t>IF(E410="","",ROW()-3)</t>
        </is>
      </c>
      <c r="B410" s="33" t="n"/>
      <c r="C410" s="33" t="n"/>
      <c r="D410" s="33" t="n"/>
      <c r="E410" s="33" t="n"/>
      <c r="F410" s="33" t="n"/>
      <c r="G410" s="33" t="n"/>
      <c r="H410" s="33" t="n"/>
      <c r="I410" s="33" t="n"/>
      <c r="J410" s="33" t="n"/>
      <c r="K410" s="33" t="n"/>
      <c r="L410" s="33" t="n"/>
      <c r="M410" s="33" t="n"/>
      <c r="N410" s="33" t="n"/>
      <c r="O410" s="33" t="n"/>
      <c r="P410" s="33" t="n"/>
      <c r="Q410" s="34" t="n"/>
      <c r="R410" s="35" t="inlineStr">
        <is>
          <t>IF(AO410="","",AO410)</t>
        </is>
      </c>
      <c r="S410" s="36" t="n"/>
      <c r="T410" s="37" t="n"/>
      <c r="U410" s="36" t="n"/>
      <c r="V410" s="35" t="inlineStr">
        <is>
          <t>IF(U410&lt;&gt;"",U410,IF(OR(R410="",T410=""),"",EDATE(R410,T410)))</t>
        </is>
      </c>
      <c r="W410" s="36" t="n"/>
      <c r="X410" s="37" t="n"/>
      <c r="Y410" s="33" t="n"/>
      <c r="Z410" s="33" t="n"/>
      <c r="AA410" s="32" t="inlineStr">
        <is>
          <t>IF(E410="","",IF(COUNT(AG410:AT410)=0,IF(Y410="","Not started",Y410),SUBSTITUTE(LOOKUP(2,1/(AG410:AT410&lt;&gt;""),$AG$3:$AT$3),"Date: ","")))</t>
        </is>
      </c>
      <c r="AB410" s="38" t="inlineStr">
        <is>
          <t>IF(OR(E410="",COUNT(AG410:AT410)=0),"",TODAY()-LOOKUP(2,1/(AG410:AT410&lt;&gt;""),AG410:AT410))</t>
        </is>
      </c>
      <c r="AC410" s="38" t="inlineStr">
        <is>
          <t>IF(OR(E410="",COUNT(AG410:AT410)&lt;2),"",LOOKUP(2,1/(AG410:AT410&lt;&gt;""),AG410:AT410)-MIN(AG410:AT410))</t>
        </is>
      </c>
      <c r="AD410" s="38" t="inlineStr">
        <is>
          <t>IF(OR(AB410="",AA410="Not started",AA410=""),"",IFERROR(AB410-IF(VLOOKUP(AA410,'04_Status_Pipeline'!$B$3:$E$20,4,FALSE)="",0,VLOOKUP(AA410,'04_Status_Pipeline'!$B$3:$E$20,4,FALSE)),""))</t>
        </is>
      </c>
      <c r="AE410" s="32" t="inlineStr">
        <is>
          <t>IF(E410="","",IF(OR(Y410="Cancelled",AA410="Cancelled"),"Cancelled",IF(OR(AA410="Completed / Handover",W410&lt;&gt;"",X410&gt;=100),"Completed — on track",IF(L410="Remaining",IF(S410="",IF(V410="","No planned date",IF(TODAY()&gt;V410,"Behind — past planned date",IF(V410-TODAY()&lt;=30,"At risk — close to off track","On track"))),IF(TODAY()&gt;S410,"Behind — award date passed",IF(S410-TODAY()&lt;=30,"At risk — close to off track","On track"))),IF(V410="","No planned date",IF(AND(TODAY()&gt;V410,OR(X410="",X410&lt;100)),"Behind — past end date",IF(AND(R410&lt;&gt;"",V410&lt;&gt;"",X410&lt;&gt;"",(X410&lt;100),((TODAY()-R410)/MAX(V410-R410,1)*100)-X410&gt;15),"Behind — progress lag",IF(AND(V410-TODAY()&lt;=30,V410-TODAY()&gt;=0,OR(X410="",X410&lt;90)),"At risk — close to off track","On track"))))))))</t>
        </is>
      </c>
      <c r="AF410" s="38" t="inlineStr">
        <is>
          <t>IF(OR(E410="",AA410="Completed / Handover",AA410="Cancelled"),"",IF(L410="Remaining",IF(S410&lt;&gt;"",S410-TODAY(),IF(V410="","",V410-TODAY())),IF(V410="","",V410-TODAY())))</t>
        </is>
      </c>
      <c r="AG410" s="36" t="n"/>
      <c r="AH410" s="36" t="n"/>
      <c r="AI410" s="36" t="n"/>
      <c r="AJ410" s="36" t="n"/>
      <c r="AK410" s="36" t="n"/>
      <c r="AL410" s="36" t="n"/>
      <c r="AM410" s="36" t="n"/>
      <c r="AN410" s="36" t="n"/>
      <c r="AO410" s="36" t="n"/>
      <c r="AP410" s="36" t="n"/>
      <c r="AQ410" s="36" t="n"/>
      <c r="AR410" s="40" t="n"/>
      <c r="AS410" s="40" t="n"/>
      <c r="AT410" s="40" t="n"/>
      <c r="AU410" s="38" t="inlineStr">
        <is>
          <t>IF(OR(E410="",AH410=""),"",IF(COUNT(AG410:AG410)=0,"",AH410-LOOKUP(2,1/(AG410:AG410&lt;&gt;""),AG410:AG410)))</t>
        </is>
      </c>
      <c r="AV410" s="38" t="inlineStr">
        <is>
          <t>IF(OR(E410="",AI410=""),"",IF(COUNT(AG410:AH410)=0,"",AI410-LOOKUP(2,1/(AG410:AH410&lt;&gt;""),AG410:AH410)))</t>
        </is>
      </c>
      <c r="AW410" s="38" t="inlineStr">
        <is>
          <t>IF(OR(E410="",AJ410=""),"",IF(COUNT(AG410:AI410)=0,"",AJ410-LOOKUP(2,1/(AG410:AI410&lt;&gt;""),AG410:AI410)))</t>
        </is>
      </c>
      <c r="AX410" s="38" t="inlineStr">
        <is>
          <t>IF(OR(E410="",AK410=""),"",IF(COUNT(AG410:AJ410)=0,"",AK410-LOOKUP(2,1/(AG410:AJ410&lt;&gt;""),AG410:AJ410)))</t>
        </is>
      </c>
      <c r="AY410" s="38" t="inlineStr">
        <is>
          <t>IF(OR(E410="",AL410=""),"",IF(COUNT(AG410:AK410)=0,"",AL410-LOOKUP(2,1/(AG410:AK410&lt;&gt;""),AG410:AK410)))</t>
        </is>
      </c>
      <c r="AZ410" s="38" t="inlineStr">
        <is>
          <t>IF(OR(E410="",AM410=""),"",IF(COUNT(AG410:AL410)=0,"",AM410-LOOKUP(2,1/(AG410:AL410&lt;&gt;""),AG410:AL410)))</t>
        </is>
      </c>
      <c r="BA410" s="38" t="inlineStr">
        <is>
          <t>IF(OR(E410="",AN410=""),"",IF(COUNT(AG410:AM410)=0,"",AN410-LOOKUP(2,1/(AG410:AM410&lt;&gt;""),AG410:AM410)))</t>
        </is>
      </c>
      <c r="BB410" s="38" t="inlineStr">
        <is>
          <t>IF(OR(E410="",AO410=""),"",IF(COUNT(AG410:AN410)=0,"",AO410-LOOKUP(2,1/(AG410:AN410&lt;&gt;""),AG410:AN410)))</t>
        </is>
      </c>
      <c r="BC410" s="38" t="inlineStr">
        <is>
          <t>IF(OR(E410="",AP410=""),"",IF(COUNT(AG410:AO410)=0,"",AP410-LOOKUP(2,1/(AG410:AO410&lt;&gt;""),AG410:AO410)))</t>
        </is>
      </c>
      <c r="BD410" s="38" t="inlineStr">
        <is>
          <t>IF(OR(E410="",AQ410=""),"",IF(COUNT(AG410:AP410)=0,"",AQ410-LOOKUP(2,1/(AG410:AP410&lt;&gt;""),AG410:AP410)))</t>
        </is>
      </c>
      <c r="BE410" s="38" t="inlineStr">
        <is>
          <t>IF(OR(E410="",AR410=""),"",IF(COUNT(AG410:AQ410)=0,"",AR410-LOOKUP(2,1/(AG410:AQ410&lt;&gt;""),AG410:AQ410)))</t>
        </is>
      </c>
      <c r="BF410" s="38" t="inlineStr">
        <is>
          <t>IF(OR(E410="",AS410=""),"",IF(COUNT(AG410:AR410)=0,"",AS410-LOOKUP(2,1/(AG410:AR410&lt;&gt;""),AG410:AR410)))</t>
        </is>
      </c>
      <c r="BG410" s="38" t="inlineStr">
        <is>
          <t>IF(OR(E410="",AT410=""),"",IF(COUNT(AG410:AS410)=0,"",AT410-LOOKUP(2,1/(AG410:AS410&lt;&gt;""),AG410:AS410)))</t>
        </is>
      </c>
      <c r="BH410" s="41" t="inlineStr">
        <is>
          <t>IF(G410="","All_Provinces",IFERROR(VLOOKUP(G410,'07_Lookups'!$A$4:$B$20,2,FALSE),"All_Provinces"))</t>
        </is>
      </c>
      <c r="BI410" s="41" t="inlineStr">
        <is>
          <t>IF(H410="","All_Districts",IFERROR(VLOOKUP(H410,'07_Lookups'!$E$4:$F$42,2,FALSE),"All_Districts"))</t>
        </is>
      </c>
    </row>
    <row r="411" ht="18" customHeight="1">
      <c r="A411" s="32" t="inlineStr">
        <is>
          <t>IF(E411="","",ROW()-3)</t>
        </is>
      </c>
      <c r="B411" s="42" t="n"/>
      <c r="C411" s="42" t="n"/>
      <c r="D411" s="42" t="n"/>
      <c r="E411" s="42" t="n"/>
      <c r="F411" s="42" t="n"/>
      <c r="G411" s="42" t="n"/>
      <c r="H411" s="42" t="n"/>
      <c r="I411" s="42" t="n"/>
      <c r="J411" s="42" t="n"/>
      <c r="K411" s="42" t="n"/>
      <c r="L411" s="42" t="n"/>
      <c r="M411" s="42" t="n"/>
      <c r="N411" s="42" t="n"/>
      <c r="O411" s="42" t="n"/>
      <c r="P411" s="42" t="n"/>
      <c r="Q411" s="43" t="n"/>
      <c r="R411" s="35" t="inlineStr">
        <is>
          <t>IF(AO411="","",AO411)</t>
        </is>
      </c>
      <c r="S411" s="44" t="n"/>
      <c r="T411" s="45" t="n"/>
      <c r="U411" s="44" t="n"/>
      <c r="V411" s="35" t="inlineStr">
        <is>
          <t>IF(U411&lt;&gt;"",U411,IF(OR(R411="",T411=""),"",EDATE(R411,T411)))</t>
        </is>
      </c>
      <c r="W411" s="44" t="n"/>
      <c r="X411" s="45" t="n"/>
      <c r="Y411" s="42" t="n"/>
      <c r="Z411" s="42" t="n"/>
      <c r="AA411" s="32" t="inlineStr">
        <is>
          <t>IF(E411="","",IF(COUNT(AG411:AT411)=0,IF(Y411="","Not started",Y411),SUBSTITUTE(LOOKUP(2,1/(AG411:AT411&lt;&gt;""),$AG$3:$AT$3),"Date: ","")))</t>
        </is>
      </c>
      <c r="AB411" s="38" t="inlineStr">
        <is>
          <t>IF(OR(E411="",COUNT(AG411:AT411)=0),"",TODAY()-LOOKUP(2,1/(AG411:AT411&lt;&gt;""),AG411:AT411))</t>
        </is>
      </c>
      <c r="AC411" s="38" t="inlineStr">
        <is>
          <t>IF(OR(E411="",COUNT(AG411:AT411)&lt;2),"",LOOKUP(2,1/(AG411:AT411&lt;&gt;""),AG411:AT411)-MIN(AG411:AT411))</t>
        </is>
      </c>
      <c r="AD411" s="38" t="inlineStr">
        <is>
          <t>IF(OR(AB411="",AA411="Not started",AA411=""),"",IFERROR(AB411-IF(VLOOKUP(AA411,'04_Status_Pipeline'!$B$3:$E$20,4,FALSE)="",0,VLOOKUP(AA411,'04_Status_Pipeline'!$B$3:$E$20,4,FALSE)),""))</t>
        </is>
      </c>
      <c r="AE411" s="32" t="inlineStr">
        <is>
          <t>IF(E411="","",IF(OR(Y411="Cancelled",AA411="Cancelled"),"Cancelled",IF(OR(AA411="Completed / Handover",W411&lt;&gt;"",X411&gt;=100),"Completed — on track",IF(L411="Remaining",IF(S411="",IF(V411="","No planned date",IF(TODAY()&gt;V411,"Behind — past planned date",IF(V411-TODAY()&lt;=30,"At risk — close to off track","On track"))),IF(TODAY()&gt;S411,"Behind — award date passed",IF(S411-TODAY()&lt;=30,"At risk — close to off track","On track"))),IF(V411="","No planned date",IF(AND(TODAY()&gt;V411,OR(X411="",X411&lt;100)),"Behind — past end date",IF(AND(R411&lt;&gt;"",V411&lt;&gt;"",X411&lt;&gt;"",(X411&lt;100),((TODAY()-R411)/MAX(V411-R411,1)*100)-X411&gt;15),"Behind — progress lag",IF(AND(V411-TODAY()&lt;=30,V411-TODAY()&gt;=0,OR(X411="",X411&lt;90)),"At risk — close to off track","On track"))))))))</t>
        </is>
      </c>
      <c r="AF411" s="38" t="inlineStr">
        <is>
          <t>IF(OR(E411="",AA411="Completed / Handover",AA411="Cancelled"),"",IF(L411="Remaining",IF(S411&lt;&gt;"",S411-TODAY(),IF(V411="","",V411-TODAY())),IF(V411="","",V411-TODAY())))</t>
        </is>
      </c>
      <c r="AG411" s="44" t="n"/>
      <c r="AH411" s="44" t="n"/>
      <c r="AI411" s="44" t="n"/>
      <c r="AJ411" s="44" t="n"/>
      <c r="AK411" s="44" t="n"/>
      <c r="AL411" s="44" t="n"/>
      <c r="AM411" s="44" t="n"/>
      <c r="AN411" s="44" t="n"/>
      <c r="AO411" s="44" t="n"/>
      <c r="AP411" s="44" t="n"/>
      <c r="AQ411" s="44" t="n"/>
      <c r="AR411" s="40" t="n"/>
      <c r="AS411" s="40" t="n"/>
      <c r="AT411" s="40" t="n"/>
      <c r="AU411" s="38" t="inlineStr">
        <is>
          <t>IF(OR(E411="",AH411=""),"",IF(COUNT(AG411:AG411)=0,"",AH411-LOOKUP(2,1/(AG411:AG411&lt;&gt;""),AG411:AG411)))</t>
        </is>
      </c>
      <c r="AV411" s="38" t="inlineStr">
        <is>
          <t>IF(OR(E411="",AI411=""),"",IF(COUNT(AG411:AH411)=0,"",AI411-LOOKUP(2,1/(AG411:AH411&lt;&gt;""),AG411:AH411)))</t>
        </is>
      </c>
      <c r="AW411" s="38" t="inlineStr">
        <is>
          <t>IF(OR(E411="",AJ411=""),"",IF(COUNT(AG411:AI411)=0,"",AJ411-LOOKUP(2,1/(AG411:AI411&lt;&gt;""),AG411:AI411)))</t>
        </is>
      </c>
      <c r="AX411" s="38" t="inlineStr">
        <is>
          <t>IF(OR(E411="",AK411=""),"",IF(COUNT(AG411:AJ411)=0,"",AK411-LOOKUP(2,1/(AG411:AJ411&lt;&gt;""),AG411:AJ411)))</t>
        </is>
      </c>
      <c r="AY411" s="38" t="inlineStr">
        <is>
          <t>IF(OR(E411="",AL411=""),"",IF(COUNT(AG411:AK411)=0,"",AL411-LOOKUP(2,1/(AG411:AK411&lt;&gt;""),AG411:AK411)))</t>
        </is>
      </c>
      <c r="AZ411" s="38" t="inlineStr">
        <is>
          <t>IF(OR(E411="",AM411=""),"",IF(COUNT(AG411:AL411)=0,"",AM411-LOOKUP(2,1/(AG411:AL411&lt;&gt;""),AG411:AL411)))</t>
        </is>
      </c>
      <c r="BA411" s="38" t="inlineStr">
        <is>
          <t>IF(OR(E411="",AN411=""),"",IF(COUNT(AG411:AM411)=0,"",AN411-LOOKUP(2,1/(AG411:AM411&lt;&gt;""),AG411:AM411)))</t>
        </is>
      </c>
      <c r="BB411" s="38" t="inlineStr">
        <is>
          <t>IF(OR(E411="",AO411=""),"",IF(COUNT(AG411:AN411)=0,"",AO411-LOOKUP(2,1/(AG411:AN411&lt;&gt;""),AG411:AN411)))</t>
        </is>
      </c>
      <c r="BC411" s="38" t="inlineStr">
        <is>
          <t>IF(OR(E411="",AP411=""),"",IF(COUNT(AG411:AO411)=0,"",AP411-LOOKUP(2,1/(AG411:AO411&lt;&gt;""),AG411:AO411)))</t>
        </is>
      </c>
      <c r="BD411" s="38" t="inlineStr">
        <is>
          <t>IF(OR(E411="",AQ411=""),"",IF(COUNT(AG411:AP411)=0,"",AQ411-LOOKUP(2,1/(AG411:AP411&lt;&gt;""),AG411:AP411)))</t>
        </is>
      </c>
      <c r="BE411" s="38" t="inlineStr">
        <is>
          <t>IF(OR(E411="",AR411=""),"",IF(COUNT(AG411:AQ411)=0,"",AR411-LOOKUP(2,1/(AG411:AQ411&lt;&gt;""),AG411:AQ411)))</t>
        </is>
      </c>
      <c r="BF411" s="38" t="inlineStr">
        <is>
          <t>IF(OR(E411="",AS411=""),"",IF(COUNT(AG411:AR411)=0,"",AS411-LOOKUP(2,1/(AG411:AR411&lt;&gt;""),AG411:AR411)))</t>
        </is>
      </c>
      <c r="BG411" s="38" t="inlineStr">
        <is>
          <t>IF(OR(E411="",AT411=""),"",IF(COUNT(AG411:AS411)=0,"",AT411-LOOKUP(2,1/(AG411:AS411&lt;&gt;""),AG411:AS411)))</t>
        </is>
      </c>
      <c r="BH411" s="41" t="inlineStr">
        <is>
          <t>IF(G411="","All_Provinces",IFERROR(VLOOKUP(G411,'07_Lookups'!$A$4:$B$20,2,FALSE),"All_Provinces"))</t>
        </is>
      </c>
      <c r="BI411" s="41" t="inlineStr">
        <is>
          <t>IF(H411="","All_Districts",IFERROR(VLOOKUP(H411,'07_Lookups'!$E$4:$F$42,2,FALSE),"All_Districts"))</t>
        </is>
      </c>
    </row>
    <row r="412" ht="18" customHeight="1">
      <c r="A412" s="32" t="inlineStr">
        <is>
          <t>IF(E412="","",ROW()-3)</t>
        </is>
      </c>
      <c r="B412" s="33" t="n"/>
      <c r="C412" s="33" t="n"/>
      <c r="D412" s="33" t="n"/>
      <c r="E412" s="33" t="n"/>
      <c r="F412" s="33" t="n"/>
      <c r="G412" s="33" t="n"/>
      <c r="H412" s="33" t="n"/>
      <c r="I412" s="33" t="n"/>
      <c r="J412" s="33" t="n"/>
      <c r="K412" s="33" t="n"/>
      <c r="L412" s="33" t="n"/>
      <c r="M412" s="33" t="n"/>
      <c r="N412" s="33" t="n"/>
      <c r="O412" s="33" t="n"/>
      <c r="P412" s="33" t="n"/>
      <c r="Q412" s="34" t="n"/>
      <c r="R412" s="35" t="inlineStr">
        <is>
          <t>IF(AO412="","",AO412)</t>
        </is>
      </c>
      <c r="S412" s="36" t="n"/>
      <c r="T412" s="37" t="n"/>
      <c r="U412" s="36" t="n"/>
      <c r="V412" s="35" t="inlineStr">
        <is>
          <t>IF(U412&lt;&gt;"",U412,IF(OR(R412="",T412=""),"",EDATE(R412,T412)))</t>
        </is>
      </c>
      <c r="W412" s="36" t="n"/>
      <c r="X412" s="37" t="n"/>
      <c r="Y412" s="33" t="n"/>
      <c r="Z412" s="33" t="n"/>
      <c r="AA412" s="32" t="inlineStr">
        <is>
          <t>IF(E412="","",IF(COUNT(AG412:AT412)=0,IF(Y412="","Not started",Y412),SUBSTITUTE(LOOKUP(2,1/(AG412:AT412&lt;&gt;""),$AG$3:$AT$3),"Date: ","")))</t>
        </is>
      </c>
      <c r="AB412" s="38" t="inlineStr">
        <is>
          <t>IF(OR(E412="",COUNT(AG412:AT412)=0),"",TODAY()-LOOKUP(2,1/(AG412:AT412&lt;&gt;""),AG412:AT412))</t>
        </is>
      </c>
      <c r="AC412" s="38" t="inlineStr">
        <is>
          <t>IF(OR(E412="",COUNT(AG412:AT412)&lt;2),"",LOOKUP(2,1/(AG412:AT412&lt;&gt;""),AG412:AT412)-MIN(AG412:AT412))</t>
        </is>
      </c>
      <c r="AD412" s="38" t="inlineStr">
        <is>
          <t>IF(OR(AB412="",AA412="Not started",AA412=""),"",IFERROR(AB412-IF(VLOOKUP(AA412,'04_Status_Pipeline'!$B$3:$E$20,4,FALSE)="",0,VLOOKUP(AA412,'04_Status_Pipeline'!$B$3:$E$20,4,FALSE)),""))</t>
        </is>
      </c>
      <c r="AE412" s="32" t="inlineStr">
        <is>
          <t>IF(E412="","",IF(OR(Y412="Cancelled",AA412="Cancelled"),"Cancelled",IF(OR(AA412="Completed / Handover",W412&lt;&gt;"",X412&gt;=100),"Completed — on track",IF(L412="Remaining",IF(S412="",IF(V412="","No planned date",IF(TODAY()&gt;V412,"Behind — past planned date",IF(V412-TODAY()&lt;=30,"At risk — close to off track","On track"))),IF(TODAY()&gt;S412,"Behind — award date passed",IF(S412-TODAY()&lt;=30,"At risk — close to off track","On track"))),IF(V412="","No planned date",IF(AND(TODAY()&gt;V412,OR(X412="",X412&lt;100)),"Behind — past end date",IF(AND(R412&lt;&gt;"",V412&lt;&gt;"",X412&lt;&gt;"",(X412&lt;100),((TODAY()-R412)/MAX(V412-R412,1)*100)-X412&gt;15),"Behind — progress lag",IF(AND(V412-TODAY()&lt;=30,V412-TODAY()&gt;=0,OR(X412="",X412&lt;90)),"At risk — close to off track","On track"))))))))</t>
        </is>
      </c>
      <c r="AF412" s="38" t="inlineStr">
        <is>
          <t>IF(OR(E412="",AA412="Completed / Handover",AA412="Cancelled"),"",IF(L412="Remaining",IF(S412&lt;&gt;"",S412-TODAY(),IF(V412="","",V412-TODAY())),IF(V412="","",V412-TODAY())))</t>
        </is>
      </c>
      <c r="AG412" s="36" t="n"/>
      <c r="AH412" s="36" t="n"/>
      <c r="AI412" s="36" t="n"/>
      <c r="AJ412" s="36" t="n"/>
      <c r="AK412" s="36" t="n"/>
      <c r="AL412" s="36" t="n"/>
      <c r="AM412" s="36" t="n"/>
      <c r="AN412" s="36" t="n"/>
      <c r="AO412" s="36" t="n"/>
      <c r="AP412" s="36" t="n"/>
      <c r="AQ412" s="36" t="n"/>
      <c r="AR412" s="40" t="n"/>
      <c r="AS412" s="40" t="n"/>
      <c r="AT412" s="40" t="n"/>
      <c r="AU412" s="38" t="inlineStr">
        <is>
          <t>IF(OR(E412="",AH412=""),"",IF(COUNT(AG412:AG412)=0,"",AH412-LOOKUP(2,1/(AG412:AG412&lt;&gt;""),AG412:AG412)))</t>
        </is>
      </c>
      <c r="AV412" s="38" t="inlineStr">
        <is>
          <t>IF(OR(E412="",AI412=""),"",IF(COUNT(AG412:AH412)=0,"",AI412-LOOKUP(2,1/(AG412:AH412&lt;&gt;""),AG412:AH412)))</t>
        </is>
      </c>
      <c r="AW412" s="38" t="inlineStr">
        <is>
          <t>IF(OR(E412="",AJ412=""),"",IF(COUNT(AG412:AI412)=0,"",AJ412-LOOKUP(2,1/(AG412:AI412&lt;&gt;""),AG412:AI412)))</t>
        </is>
      </c>
      <c r="AX412" s="38" t="inlineStr">
        <is>
          <t>IF(OR(E412="",AK412=""),"",IF(COUNT(AG412:AJ412)=0,"",AK412-LOOKUP(2,1/(AG412:AJ412&lt;&gt;""),AG412:AJ412)))</t>
        </is>
      </c>
      <c r="AY412" s="38" t="inlineStr">
        <is>
          <t>IF(OR(E412="",AL412=""),"",IF(COUNT(AG412:AK412)=0,"",AL412-LOOKUP(2,1/(AG412:AK412&lt;&gt;""),AG412:AK412)))</t>
        </is>
      </c>
      <c r="AZ412" s="38" t="inlineStr">
        <is>
          <t>IF(OR(E412="",AM412=""),"",IF(COUNT(AG412:AL412)=0,"",AM412-LOOKUP(2,1/(AG412:AL412&lt;&gt;""),AG412:AL412)))</t>
        </is>
      </c>
      <c r="BA412" s="38" t="inlineStr">
        <is>
          <t>IF(OR(E412="",AN412=""),"",IF(COUNT(AG412:AM412)=0,"",AN412-LOOKUP(2,1/(AG412:AM412&lt;&gt;""),AG412:AM412)))</t>
        </is>
      </c>
      <c r="BB412" s="38" t="inlineStr">
        <is>
          <t>IF(OR(E412="",AO412=""),"",IF(COUNT(AG412:AN412)=0,"",AO412-LOOKUP(2,1/(AG412:AN412&lt;&gt;""),AG412:AN412)))</t>
        </is>
      </c>
      <c r="BC412" s="38" t="inlineStr">
        <is>
          <t>IF(OR(E412="",AP412=""),"",IF(COUNT(AG412:AO412)=0,"",AP412-LOOKUP(2,1/(AG412:AO412&lt;&gt;""),AG412:AO412)))</t>
        </is>
      </c>
      <c r="BD412" s="38" t="inlineStr">
        <is>
          <t>IF(OR(E412="",AQ412=""),"",IF(COUNT(AG412:AP412)=0,"",AQ412-LOOKUP(2,1/(AG412:AP412&lt;&gt;""),AG412:AP412)))</t>
        </is>
      </c>
      <c r="BE412" s="38" t="inlineStr">
        <is>
          <t>IF(OR(E412="",AR412=""),"",IF(COUNT(AG412:AQ412)=0,"",AR412-LOOKUP(2,1/(AG412:AQ412&lt;&gt;""),AG412:AQ412)))</t>
        </is>
      </c>
      <c r="BF412" s="38" t="inlineStr">
        <is>
          <t>IF(OR(E412="",AS412=""),"",IF(COUNT(AG412:AR412)=0,"",AS412-LOOKUP(2,1/(AG412:AR412&lt;&gt;""),AG412:AR412)))</t>
        </is>
      </c>
      <c r="BG412" s="38" t="inlineStr">
        <is>
          <t>IF(OR(E412="",AT412=""),"",IF(COUNT(AG412:AS412)=0,"",AT412-LOOKUP(2,1/(AG412:AS412&lt;&gt;""),AG412:AS412)))</t>
        </is>
      </c>
      <c r="BH412" s="41" t="inlineStr">
        <is>
          <t>IF(G412="","All_Provinces",IFERROR(VLOOKUP(G412,'07_Lookups'!$A$4:$B$20,2,FALSE),"All_Provinces"))</t>
        </is>
      </c>
      <c r="BI412" s="41" t="inlineStr">
        <is>
          <t>IF(H412="","All_Districts",IFERROR(VLOOKUP(H412,'07_Lookups'!$E$4:$F$42,2,FALSE),"All_Districts"))</t>
        </is>
      </c>
    </row>
    <row r="413" ht="18" customHeight="1">
      <c r="A413" s="32" t="inlineStr">
        <is>
          <t>IF(E413="","",ROW()-3)</t>
        </is>
      </c>
      <c r="B413" s="42" t="n"/>
      <c r="C413" s="42" t="n"/>
      <c r="D413" s="42" t="n"/>
      <c r="E413" s="42" t="n"/>
      <c r="F413" s="42" t="n"/>
      <c r="G413" s="42" t="n"/>
      <c r="H413" s="42" t="n"/>
      <c r="I413" s="42" t="n"/>
      <c r="J413" s="42" t="n"/>
      <c r="K413" s="42" t="n"/>
      <c r="L413" s="42" t="n"/>
      <c r="M413" s="42" t="n"/>
      <c r="N413" s="42" t="n"/>
      <c r="O413" s="42" t="n"/>
      <c r="P413" s="42" t="n"/>
      <c r="Q413" s="43" t="n"/>
      <c r="R413" s="35" t="inlineStr">
        <is>
          <t>IF(AO413="","",AO413)</t>
        </is>
      </c>
      <c r="S413" s="44" t="n"/>
      <c r="T413" s="45" t="n"/>
      <c r="U413" s="44" t="n"/>
      <c r="V413" s="35" t="inlineStr">
        <is>
          <t>IF(U413&lt;&gt;"",U413,IF(OR(R413="",T413=""),"",EDATE(R413,T413)))</t>
        </is>
      </c>
      <c r="W413" s="44" t="n"/>
      <c r="X413" s="45" t="n"/>
      <c r="Y413" s="42" t="n"/>
      <c r="Z413" s="42" t="n"/>
      <c r="AA413" s="32" t="inlineStr">
        <is>
          <t>IF(E413="","",IF(COUNT(AG413:AT413)=0,IF(Y413="","Not started",Y413),SUBSTITUTE(LOOKUP(2,1/(AG413:AT413&lt;&gt;""),$AG$3:$AT$3),"Date: ","")))</t>
        </is>
      </c>
      <c r="AB413" s="38" t="inlineStr">
        <is>
          <t>IF(OR(E413="",COUNT(AG413:AT413)=0),"",TODAY()-LOOKUP(2,1/(AG413:AT413&lt;&gt;""),AG413:AT413))</t>
        </is>
      </c>
      <c r="AC413" s="38" t="inlineStr">
        <is>
          <t>IF(OR(E413="",COUNT(AG413:AT413)&lt;2),"",LOOKUP(2,1/(AG413:AT413&lt;&gt;""),AG413:AT413)-MIN(AG413:AT413))</t>
        </is>
      </c>
      <c r="AD413" s="38" t="inlineStr">
        <is>
          <t>IF(OR(AB413="",AA413="Not started",AA413=""),"",IFERROR(AB413-IF(VLOOKUP(AA413,'04_Status_Pipeline'!$B$3:$E$20,4,FALSE)="",0,VLOOKUP(AA413,'04_Status_Pipeline'!$B$3:$E$20,4,FALSE)),""))</t>
        </is>
      </c>
      <c r="AE413" s="32" t="inlineStr">
        <is>
          <t>IF(E413="","",IF(OR(Y413="Cancelled",AA413="Cancelled"),"Cancelled",IF(OR(AA413="Completed / Handover",W413&lt;&gt;"",X413&gt;=100),"Completed — on track",IF(L413="Remaining",IF(S413="",IF(V413="","No planned date",IF(TODAY()&gt;V413,"Behind — past planned date",IF(V413-TODAY()&lt;=30,"At risk — close to off track","On track"))),IF(TODAY()&gt;S413,"Behind — award date passed",IF(S413-TODAY()&lt;=30,"At risk — close to off track","On track"))),IF(V413="","No planned date",IF(AND(TODAY()&gt;V413,OR(X413="",X413&lt;100)),"Behind — past end date",IF(AND(R413&lt;&gt;"",V413&lt;&gt;"",X413&lt;&gt;"",(X413&lt;100),((TODAY()-R413)/MAX(V413-R413,1)*100)-X413&gt;15),"Behind — progress lag",IF(AND(V413-TODAY()&lt;=30,V413-TODAY()&gt;=0,OR(X413="",X413&lt;90)),"At risk — close to off track","On track"))))))))</t>
        </is>
      </c>
      <c r="AF413" s="38" t="inlineStr">
        <is>
          <t>IF(OR(E413="",AA413="Completed / Handover",AA413="Cancelled"),"",IF(L413="Remaining",IF(S413&lt;&gt;"",S413-TODAY(),IF(V413="","",V413-TODAY())),IF(V413="","",V413-TODAY())))</t>
        </is>
      </c>
      <c r="AG413" s="44" t="n"/>
      <c r="AH413" s="44" t="n"/>
      <c r="AI413" s="44" t="n"/>
      <c r="AJ413" s="44" t="n"/>
      <c r="AK413" s="44" t="n"/>
      <c r="AL413" s="44" t="n"/>
      <c r="AM413" s="44" t="n"/>
      <c r="AN413" s="44" t="n"/>
      <c r="AO413" s="44" t="n"/>
      <c r="AP413" s="44" t="n"/>
      <c r="AQ413" s="44" t="n"/>
      <c r="AR413" s="40" t="n"/>
      <c r="AS413" s="40" t="n"/>
      <c r="AT413" s="40" t="n"/>
      <c r="AU413" s="38" t="inlineStr">
        <is>
          <t>IF(OR(E413="",AH413=""),"",IF(COUNT(AG413:AG413)=0,"",AH413-LOOKUP(2,1/(AG413:AG413&lt;&gt;""),AG413:AG413)))</t>
        </is>
      </c>
      <c r="AV413" s="38" t="inlineStr">
        <is>
          <t>IF(OR(E413="",AI413=""),"",IF(COUNT(AG413:AH413)=0,"",AI413-LOOKUP(2,1/(AG413:AH413&lt;&gt;""),AG413:AH413)))</t>
        </is>
      </c>
      <c r="AW413" s="38" t="inlineStr">
        <is>
          <t>IF(OR(E413="",AJ413=""),"",IF(COUNT(AG413:AI413)=0,"",AJ413-LOOKUP(2,1/(AG413:AI413&lt;&gt;""),AG413:AI413)))</t>
        </is>
      </c>
      <c r="AX413" s="38" t="inlineStr">
        <is>
          <t>IF(OR(E413="",AK413=""),"",IF(COUNT(AG413:AJ413)=0,"",AK413-LOOKUP(2,1/(AG413:AJ413&lt;&gt;""),AG413:AJ413)))</t>
        </is>
      </c>
      <c r="AY413" s="38" t="inlineStr">
        <is>
          <t>IF(OR(E413="",AL413=""),"",IF(COUNT(AG413:AK413)=0,"",AL413-LOOKUP(2,1/(AG413:AK413&lt;&gt;""),AG413:AK413)))</t>
        </is>
      </c>
      <c r="AZ413" s="38" t="inlineStr">
        <is>
          <t>IF(OR(E413="",AM413=""),"",IF(COUNT(AG413:AL413)=0,"",AM413-LOOKUP(2,1/(AG413:AL413&lt;&gt;""),AG413:AL413)))</t>
        </is>
      </c>
      <c r="BA413" s="38" t="inlineStr">
        <is>
          <t>IF(OR(E413="",AN413=""),"",IF(COUNT(AG413:AM413)=0,"",AN413-LOOKUP(2,1/(AG413:AM413&lt;&gt;""),AG413:AM413)))</t>
        </is>
      </c>
      <c r="BB413" s="38" t="inlineStr">
        <is>
          <t>IF(OR(E413="",AO413=""),"",IF(COUNT(AG413:AN413)=0,"",AO413-LOOKUP(2,1/(AG413:AN413&lt;&gt;""),AG413:AN413)))</t>
        </is>
      </c>
      <c r="BC413" s="38" t="inlineStr">
        <is>
          <t>IF(OR(E413="",AP413=""),"",IF(COUNT(AG413:AO413)=0,"",AP413-LOOKUP(2,1/(AG413:AO413&lt;&gt;""),AG413:AO413)))</t>
        </is>
      </c>
      <c r="BD413" s="38" t="inlineStr">
        <is>
          <t>IF(OR(E413="",AQ413=""),"",IF(COUNT(AG413:AP413)=0,"",AQ413-LOOKUP(2,1/(AG413:AP413&lt;&gt;""),AG413:AP413)))</t>
        </is>
      </c>
      <c r="BE413" s="38" t="inlineStr">
        <is>
          <t>IF(OR(E413="",AR413=""),"",IF(COUNT(AG413:AQ413)=0,"",AR413-LOOKUP(2,1/(AG413:AQ413&lt;&gt;""),AG413:AQ413)))</t>
        </is>
      </c>
      <c r="BF413" s="38" t="inlineStr">
        <is>
          <t>IF(OR(E413="",AS413=""),"",IF(COUNT(AG413:AR413)=0,"",AS413-LOOKUP(2,1/(AG413:AR413&lt;&gt;""),AG413:AR413)))</t>
        </is>
      </c>
      <c r="BG413" s="38" t="inlineStr">
        <is>
          <t>IF(OR(E413="",AT413=""),"",IF(COUNT(AG413:AS413)=0,"",AT413-LOOKUP(2,1/(AG413:AS413&lt;&gt;""),AG413:AS413)))</t>
        </is>
      </c>
      <c r="BH413" s="41" t="inlineStr">
        <is>
          <t>IF(G413="","All_Provinces",IFERROR(VLOOKUP(G413,'07_Lookups'!$A$4:$B$20,2,FALSE),"All_Provinces"))</t>
        </is>
      </c>
      <c r="BI413" s="41" t="inlineStr">
        <is>
          <t>IF(H413="","All_Districts",IFERROR(VLOOKUP(H413,'07_Lookups'!$E$4:$F$42,2,FALSE),"All_Districts"))</t>
        </is>
      </c>
    </row>
    <row r="414" ht="18" customHeight="1">
      <c r="A414" s="32" t="inlineStr">
        <is>
          <t>IF(E414="","",ROW()-3)</t>
        </is>
      </c>
      <c r="B414" s="33" t="n"/>
      <c r="C414" s="33" t="n"/>
      <c r="D414" s="33" t="n"/>
      <c r="E414" s="33" t="n"/>
      <c r="F414" s="33" t="n"/>
      <c r="G414" s="33" t="n"/>
      <c r="H414" s="33" t="n"/>
      <c r="I414" s="33" t="n"/>
      <c r="J414" s="33" t="n"/>
      <c r="K414" s="33" t="n"/>
      <c r="L414" s="33" t="n"/>
      <c r="M414" s="33" t="n"/>
      <c r="N414" s="33" t="n"/>
      <c r="O414" s="33" t="n"/>
      <c r="P414" s="33" t="n"/>
      <c r="Q414" s="34" t="n"/>
      <c r="R414" s="35" t="inlineStr">
        <is>
          <t>IF(AO414="","",AO414)</t>
        </is>
      </c>
      <c r="S414" s="36" t="n"/>
      <c r="T414" s="37" t="n"/>
      <c r="U414" s="36" t="n"/>
      <c r="V414" s="35" t="inlineStr">
        <is>
          <t>IF(U414&lt;&gt;"",U414,IF(OR(R414="",T414=""),"",EDATE(R414,T414)))</t>
        </is>
      </c>
      <c r="W414" s="36" t="n"/>
      <c r="X414" s="37" t="n"/>
      <c r="Y414" s="33" t="n"/>
      <c r="Z414" s="33" t="n"/>
      <c r="AA414" s="32" t="inlineStr">
        <is>
          <t>IF(E414="","",IF(COUNT(AG414:AT414)=0,IF(Y414="","Not started",Y414),SUBSTITUTE(LOOKUP(2,1/(AG414:AT414&lt;&gt;""),$AG$3:$AT$3),"Date: ","")))</t>
        </is>
      </c>
      <c r="AB414" s="38" t="inlineStr">
        <is>
          <t>IF(OR(E414="",COUNT(AG414:AT414)=0),"",TODAY()-LOOKUP(2,1/(AG414:AT414&lt;&gt;""),AG414:AT414))</t>
        </is>
      </c>
      <c r="AC414" s="38" t="inlineStr">
        <is>
          <t>IF(OR(E414="",COUNT(AG414:AT414)&lt;2),"",LOOKUP(2,1/(AG414:AT414&lt;&gt;""),AG414:AT414)-MIN(AG414:AT414))</t>
        </is>
      </c>
      <c r="AD414" s="38" t="inlineStr">
        <is>
          <t>IF(OR(AB414="",AA414="Not started",AA414=""),"",IFERROR(AB414-IF(VLOOKUP(AA414,'04_Status_Pipeline'!$B$3:$E$20,4,FALSE)="",0,VLOOKUP(AA414,'04_Status_Pipeline'!$B$3:$E$20,4,FALSE)),""))</t>
        </is>
      </c>
      <c r="AE414" s="32" t="inlineStr">
        <is>
          <t>IF(E414="","",IF(OR(Y414="Cancelled",AA414="Cancelled"),"Cancelled",IF(OR(AA414="Completed / Handover",W414&lt;&gt;"",X414&gt;=100),"Completed — on track",IF(L414="Remaining",IF(S414="",IF(V414="","No planned date",IF(TODAY()&gt;V414,"Behind — past planned date",IF(V414-TODAY()&lt;=30,"At risk — close to off track","On track"))),IF(TODAY()&gt;S414,"Behind — award date passed",IF(S414-TODAY()&lt;=30,"At risk — close to off track","On track"))),IF(V414="","No planned date",IF(AND(TODAY()&gt;V414,OR(X414="",X414&lt;100)),"Behind — past end date",IF(AND(R414&lt;&gt;"",V414&lt;&gt;"",X414&lt;&gt;"",(X414&lt;100),((TODAY()-R414)/MAX(V414-R414,1)*100)-X414&gt;15),"Behind — progress lag",IF(AND(V414-TODAY()&lt;=30,V414-TODAY()&gt;=0,OR(X414="",X414&lt;90)),"At risk — close to off track","On track"))))))))</t>
        </is>
      </c>
      <c r="AF414" s="38" t="inlineStr">
        <is>
          <t>IF(OR(E414="",AA414="Completed / Handover",AA414="Cancelled"),"",IF(L414="Remaining",IF(S414&lt;&gt;"",S414-TODAY(),IF(V414="","",V414-TODAY())),IF(V414="","",V414-TODAY())))</t>
        </is>
      </c>
      <c r="AG414" s="36" t="n"/>
      <c r="AH414" s="36" t="n"/>
      <c r="AI414" s="36" t="n"/>
      <c r="AJ414" s="36" t="n"/>
      <c r="AK414" s="36" t="n"/>
      <c r="AL414" s="36" t="n"/>
      <c r="AM414" s="36" t="n"/>
      <c r="AN414" s="36" t="n"/>
      <c r="AO414" s="36" t="n"/>
      <c r="AP414" s="36" t="n"/>
      <c r="AQ414" s="36" t="n"/>
      <c r="AR414" s="40" t="n"/>
      <c r="AS414" s="40" t="n"/>
      <c r="AT414" s="40" t="n"/>
      <c r="AU414" s="38" t="inlineStr">
        <is>
          <t>IF(OR(E414="",AH414=""),"",IF(COUNT(AG414:AG414)=0,"",AH414-LOOKUP(2,1/(AG414:AG414&lt;&gt;""),AG414:AG414)))</t>
        </is>
      </c>
      <c r="AV414" s="38" t="inlineStr">
        <is>
          <t>IF(OR(E414="",AI414=""),"",IF(COUNT(AG414:AH414)=0,"",AI414-LOOKUP(2,1/(AG414:AH414&lt;&gt;""),AG414:AH414)))</t>
        </is>
      </c>
      <c r="AW414" s="38" t="inlineStr">
        <is>
          <t>IF(OR(E414="",AJ414=""),"",IF(COUNT(AG414:AI414)=0,"",AJ414-LOOKUP(2,1/(AG414:AI414&lt;&gt;""),AG414:AI414)))</t>
        </is>
      </c>
      <c r="AX414" s="38" t="inlineStr">
        <is>
          <t>IF(OR(E414="",AK414=""),"",IF(COUNT(AG414:AJ414)=0,"",AK414-LOOKUP(2,1/(AG414:AJ414&lt;&gt;""),AG414:AJ414)))</t>
        </is>
      </c>
      <c r="AY414" s="38" t="inlineStr">
        <is>
          <t>IF(OR(E414="",AL414=""),"",IF(COUNT(AG414:AK414)=0,"",AL414-LOOKUP(2,1/(AG414:AK414&lt;&gt;""),AG414:AK414)))</t>
        </is>
      </c>
      <c r="AZ414" s="38" t="inlineStr">
        <is>
          <t>IF(OR(E414="",AM414=""),"",IF(COUNT(AG414:AL414)=0,"",AM414-LOOKUP(2,1/(AG414:AL414&lt;&gt;""),AG414:AL414)))</t>
        </is>
      </c>
      <c r="BA414" s="38" t="inlineStr">
        <is>
          <t>IF(OR(E414="",AN414=""),"",IF(COUNT(AG414:AM414)=0,"",AN414-LOOKUP(2,1/(AG414:AM414&lt;&gt;""),AG414:AM414)))</t>
        </is>
      </c>
      <c r="BB414" s="38" t="inlineStr">
        <is>
          <t>IF(OR(E414="",AO414=""),"",IF(COUNT(AG414:AN414)=0,"",AO414-LOOKUP(2,1/(AG414:AN414&lt;&gt;""),AG414:AN414)))</t>
        </is>
      </c>
      <c r="BC414" s="38" t="inlineStr">
        <is>
          <t>IF(OR(E414="",AP414=""),"",IF(COUNT(AG414:AO414)=0,"",AP414-LOOKUP(2,1/(AG414:AO414&lt;&gt;""),AG414:AO414)))</t>
        </is>
      </c>
      <c r="BD414" s="38" t="inlineStr">
        <is>
          <t>IF(OR(E414="",AQ414=""),"",IF(COUNT(AG414:AP414)=0,"",AQ414-LOOKUP(2,1/(AG414:AP414&lt;&gt;""),AG414:AP414)))</t>
        </is>
      </c>
      <c r="BE414" s="38" t="inlineStr">
        <is>
          <t>IF(OR(E414="",AR414=""),"",IF(COUNT(AG414:AQ414)=0,"",AR414-LOOKUP(2,1/(AG414:AQ414&lt;&gt;""),AG414:AQ414)))</t>
        </is>
      </c>
      <c r="BF414" s="38" t="inlineStr">
        <is>
          <t>IF(OR(E414="",AS414=""),"",IF(COUNT(AG414:AR414)=0,"",AS414-LOOKUP(2,1/(AG414:AR414&lt;&gt;""),AG414:AR414)))</t>
        </is>
      </c>
      <c r="BG414" s="38" t="inlineStr">
        <is>
          <t>IF(OR(E414="",AT414=""),"",IF(COUNT(AG414:AS414)=0,"",AT414-LOOKUP(2,1/(AG414:AS414&lt;&gt;""),AG414:AS414)))</t>
        </is>
      </c>
      <c r="BH414" s="41" t="inlineStr">
        <is>
          <t>IF(G414="","All_Provinces",IFERROR(VLOOKUP(G414,'07_Lookups'!$A$4:$B$20,2,FALSE),"All_Provinces"))</t>
        </is>
      </c>
      <c r="BI414" s="41" t="inlineStr">
        <is>
          <t>IF(H414="","All_Districts",IFERROR(VLOOKUP(H414,'07_Lookups'!$E$4:$F$42,2,FALSE),"All_Districts"))</t>
        </is>
      </c>
    </row>
    <row r="415" ht="18" customHeight="1">
      <c r="A415" s="32" t="inlineStr">
        <is>
          <t>IF(E415="","",ROW()-3)</t>
        </is>
      </c>
      <c r="B415" s="42" t="n"/>
      <c r="C415" s="42" t="n"/>
      <c r="D415" s="42" t="n"/>
      <c r="E415" s="42" t="n"/>
      <c r="F415" s="42" t="n"/>
      <c r="G415" s="42" t="n"/>
      <c r="H415" s="42" t="n"/>
      <c r="I415" s="42" t="n"/>
      <c r="J415" s="42" t="n"/>
      <c r="K415" s="42" t="n"/>
      <c r="L415" s="42" t="n"/>
      <c r="M415" s="42" t="n"/>
      <c r="N415" s="42" t="n"/>
      <c r="O415" s="42" t="n"/>
      <c r="P415" s="42" t="n"/>
      <c r="Q415" s="43" t="n"/>
      <c r="R415" s="35" t="inlineStr">
        <is>
          <t>IF(AO415="","",AO415)</t>
        </is>
      </c>
      <c r="S415" s="44" t="n"/>
      <c r="T415" s="45" t="n"/>
      <c r="U415" s="44" t="n"/>
      <c r="V415" s="35" t="inlineStr">
        <is>
          <t>IF(U415&lt;&gt;"",U415,IF(OR(R415="",T415=""),"",EDATE(R415,T415)))</t>
        </is>
      </c>
      <c r="W415" s="44" t="n"/>
      <c r="X415" s="45" t="n"/>
      <c r="Y415" s="42" t="n"/>
      <c r="Z415" s="42" t="n"/>
      <c r="AA415" s="32" t="inlineStr">
        <is>
          <t>IF(E415="","",IF(COUNT(AG415:AT415)=0,IF(Y415="","Not started",Y415),SUBSTITUTE(LOOKUP(2,1/(AG415:AT415&lt;&gt;""),$AG$3:$AT$3),"Date: ","")))</t>
        </is>
      </c>
      <c r="AB415" s="38" t="inlineStr">
        <is>
          <t>IF(OR(E415="",COUNT(AG415:AT415)=0),"",TODAY()-LOOKUP(2,1/(AG415:AT415&lt;&gt;""),AG415:AT415))</t>
        </is>
      </c>
      <c r="AC415" s="38" t="inlineStr">
        <is>
          <t>IF(OR(E415="",COUNT(AG415:AT415)&lt;2),"",LOOKUP(2,1/(AG415:AT415&lt;&gt;""),AG415:AT415)-MIN(AG415:AT415))</t>
        </is>
      </c>
      <c r="AD415" s="38" t="inlineStr">
        <is>
          <t>IF(OR(AB415="",AA415="Not started",AA415=""),"",IFERROR(AB415-IF(VLOOKUP(AA415,'04_Status_Pipeline'!$B$3:$E$20,4,FALSE)="",0,VLOOKUP(AA415,'04_Status_Pipeline'!$B$3:$E$20,4,FALSE)),""))</t>
        </is>
      </c>
      <c r="AE415" s="32" t="inlineStr">
        <is>
          <t>IF(E415="","",IF(OR(Y415="Cancelled",AA415="Cancelled"),"Cancelled",IF(OR(AA415="Completed / Handover",W415&lt;&gt;"",X415&gt;=100),"Completed — on track",IF(L415="Remaining",IF(S415="",IF(V415="","No planned date",IF(TODAY()&gt;V415,"Behind — past planned date",IF(V415-TODAY()&lt;=30,"At risk — close to off track","On track"))),IF(TODAY()&gt;S415,"Behind — award date passed",IF(S415-TODAY()&lt;=30,"At risk — close to off track","On track"))),IF(V415="","No planned date",IF(AND(TODAY()&gt;V415,OR(X415="",X415&lt;100)),"Behind — past end date",IF(AND(R415&lt;&gt;"",V415&lt;&gt;"",X415&lt;&gt;"",(X415&lt;100),((TODAY()-R415)/MAX(V415-R415,1)*100)-X415&gt;15),"Behind — progress lag",IF(AND(V415-TODAY()&lt;=30,V415-TODAY()&gt;=0,OR(X415="",X415&lt;90)),"At risk — close to off track","On track"))))))))</t>
        </is>
      </c>
      <c r="AF415" s="38" t="inlineStr">
        <is>
          <t>IF(OR(E415="",AA415="Completed / Handover",AA415="Cancelled"),"",IF(L415="Remaining",IF(S415&lt;&gt;"",S415-TODAY(),IF(V415="","",V415-TODAY())),IF(V415="","",V415-TODAY())))</t>
        </is>
      </c>
      <c r="AG415" s="44" t="n"/>
      <c r="AH415" s="44" t="n"/>
      <c r="AI415" s="44" t="n"/>
      <c r="AJ415" s="44" t="n"/>
      <c r="AK415" s="44" t="n"/>
      <c r="AL415" s="44" t="n"/>
      <c r="AM415" s="44" t="n"/>
      <c r="AN415" s="44" t="n"/>
      <c r="AO415" s="44" t="n"/>
      <c r="AP415" s="44" t="n"/>
      <c r="AQ415" s="44" t="n"/>
      <c r="AR415" s="40" t="n"/>
      <c r="AS415" s="40" t="n"/>
      <c r="AT415" s="40" t="n"/>
      <c r="AU415" s="38" t="inlineStr">
        <is>
          <t>IF(OR(E415="",AH415=""),"",IF(COUNT(AG415:AG415)=0,"",AH415-LOOKUP(2,1/(AG415:AG415&lt;&gt;""),AG415:AG415)))</t>
        </is>
      </c>
      <c r="AV415" s="38" t="inlineStr">
        <is>
          <t>IF(OR(E415="",AI415=""),"",IF(COUNT(AG415:AH415)=0,"",AI415-LOOKUP(2,1/(AG415:AH415&lt;&gt;""),AG415:AH415)))</t>
        </is>
      </c>
      <c r="AW415" s="38" t="inlineStr">
        <is>
          <t>IF(OR(E415="",AJ415=""),"",IF(COUNT(AG415:AI415)=0,"",AJ415-LOOKUP(2,1/(AG415:AI415&lt;&gt;""),AG415:AI415)))</t>
        </is>
      </c>
      <c r="AX415" s="38" t="inlineStr">
        <is>
          <t>IF(OR(E415="",AK415=""),"",IF(COUNT(AG415:AJ415)=0,"",AK415-LOOKUP(2,1/(AG415:AJ415&lt;&gt;""),AG415:AJ415)))</t>
        </is>
      </c>
      <c r="AY415" s="38" t="inlineStr">
        <is>
          <t>IF(OR(E415="",AL415=""),"",IF(COUNT(AG415:AK415)=0,"",AL415-LOOKUP(2,1/(AG415:AK415&lt;&gt;""),AG415:AK415)))</t>
        </is>
      </c>
      <c r="AZ415" s="38" t="inlineStr">
        <is>
          <t>IF(OR(E415="",AM415=""),"",IF(COUNT(AG415:AL415)=0,"",AM415-LOOKUP(2,1/(AG415:AL415&lt;&gt;""),AG415:AL415)))</t>
        </is>
      </c>
      <c r="BA415" s="38" t="inlineStr">
        <is>
          <t>IF(OR(E415="",AN415=""),"",IF(COUNT(AG415:AM415)=0,"",AN415-LOOKUP(2,1/(AG415:AM415&lt;&gt;""),AG415:AM415)))</t>
        </is>
      </c>
      <c r="BB415" s="38" t="inlineStr">
        <is>
          <t>IF(OR(E415="",AO415=""),"",IF(COUNT(AG415:AN415)=0,"",AO415-LOOKUP(2,1/(AG415:AN415&lt;&gt;""),AG415:AN415)))</t>
        </is>
      </c>
      <c r="BC415" s="38" t="inlineStr">
        <is>
          <t>IF(OR(E415="",AP415=""),"",IF(COUNT(AG415:AO415)=0,"",AP415-LOOKUP(2,1/(AG415:AO415&lt;&gt;""),AG415:AO415)))</t>
        </is>
      </c>
      <c r="BD415" s="38" t="inlineStr">
        <is>
          <t>IF(OR(E415="",AQ415=""),"",IF(COUNT(AG415:AP415)=0,"",AQ415-LOOKUP(2,1/(AG415:AP415&lt;&gt;""),AG415:AP415)))</t>
        </is>
      </c>
      <c r="BE415" s="38" t="inlineStr">
        <is>
          <t>IF(OR(E415="",AR415=""),"",IF(COUNT(AG415:AQ415)=0,"",AR415-LOOKUP(2,1/(AG415:AQ415&lt;&gt;""),AG415:AQ415)))</t>
        </is>
      </c>
      <c r="BF415" s="38" t="inlineStr">
        <is>
          <t>IF(OR(E415="",AS415=""),"",IF(COUNT(AG415:AR415)=0,"",AS415-LOOKUP(2,1/(AG415:AR415&lt;&gt;""),AG415:AR415)))</t>
        </is>
      </c>
      <c r="BG415" s="38" t="inlineStr">
        <is>
          <t>IF(OR(E415="",AT415=""),"",IF(COUNT(AG415:AS415)=0,"",AT415-LOOKUP(2,1/(AG415:AS415&lt;&gt;""),AG415:AS415)))</t>
        </is>
      </c>
      <c r="BH415" s="41" t="inlineStr">
        <is>
          <t>IF(G415="","All_Provinces",IFERROR(VLOOKUP(G415,'07_Lookups'!$A$4:$B$20,2,FALSE),"All_Provinces"))</t>
        </is>
      </c>
      <c r="BI415" s="41" t="inlineStr">
        <is>
          <t>IF(H415="","All_Districts",IFERROR(VLOOKUP(H415,'07_Lookups'!$E$4:$F$42,2,FALSE),"All_Districts"))</t>
        </is>
      </c>
    </row>
    <row r="416" ht="18" customHeight="1">
      <c r="A416" s="32" t="inlineStr">
        <is>
          <t>IF(E416="","",ROW()-3)</t>
        </is>
      </c>
      <c r="B416" s="33" t="n"/>
      <c r="C416" s="33" t="n"/>
      <c r="D416" s="33" t="n"/>
      <c r="E416" s="33" t="n"/>
      <c r="F416" s="33" t="n"/>
      <c r="G416" s="33" t="n"/>
      <c r="H416" s="33" t="n"/>
      <c r="I416" s="33" t="n"/>
      <c r="J416" s="33" t="n"/>
      <c r="K416" s="33" t="n"/>
      <c r="L416" s="33" t="n"/>
      <c r="M416" s="33" t="n"/>
      <c r="N416" s="33" t="n"/>
      <c r="O416" s="33" t="n"/>
      <c r="P416" s="33" t="n"/>
      <c r="Q416" s="34" t="n"/>
      <c r="R416" s="35" t="inlineStr">
        <is>
          <t>IF(AO416="","",AO416)</t>
        </is>
      </c>
      <c r="S416" s="36" t="n"/>
      <c r="T416" s="37" t="n"/>
      <c r="U416" s="36" t="n"/>
      <c r="V416" s="35" t="inlineStr">
        <is>
          <t>IF(U416&lt;&gt;"",U416,IF(OR(R416="",T416=""),"",EDATE(R416,T416)))</t>
        </is>
      </c>
      <c r="W416" s="36" t="n"/>
      <c r="X416" s="37" t="n"/>
      <c r="Y416" s="33" t="n"/>
      <c r="Z416" s="33" t="n"/>
      <c r="AA416" s="32" t="inlineStr">
        <is>
          <t>IF(E416="","",IF(COUNT(AG416:AT416)=0,IF(Y416="","Not started",Y416),SUBSTITUTE(LOOKUP(2,1/(AG416:AT416&lt;&gt;""),$AG$3:$AT$3),"Date: ","")))</t>
        </is>
      </c>
      <c r="AB416" s="38" t="inlineStr">
        <is>
          <t>IF(OR(E416="",COUNT(AG416:AT416)=0),"",TODAY()-LOOKUP(2,1/(AG416:AT416&lt;&gt;""),AG416:AT416))</t>
        </is>
      </c>
      <c r="AC416" s="38" t="inlineStr">
        <is>
          <t>IF(OR(E416="",COUNT(AG416:AT416)&lt;2),"",LOOKUP(2,1/(AG416:AT416&lt;&gt;""),AG416:AT416)-MIN(AG416:AT416))</t>
        </is>
      </c>
      <c r="AD416" s="38" t="inlineStr">
        <is>
          <t>IF(OR(AB416="",AA416="Not started",AA416=""),"",IFERROR(AB416-IF(VLOOKUP(AA416,'04_Status_Pipeline'!$B$3:$E$20,4,FALSE)="",0,VLOOKUP(AA416,'04_Status_Pipeline'!$B$3:$E$20,4,FALSE)),""))</t>
        </is>
      </c>
      <c r="AE416" s="32" t="inlineStr">
        <is>
          <t>IF(E416="","",IF(OR(Y416="Cancelled",AA416="Cancelled"),"Cancelled",IF(OR(AA416="Completed / Handover",W416&lt;&gt;"",X416&gt;=100),"Completed — on track",IF(L416="Remaining",IF(S416="",IF(V416="","No planned date",IF(TODAY()&gt;V416,"Behind — past planned date",IF(V416-TODAY()&lt;=30,"At risk — close to off track","On track"))),IF(TODAY()&gt;S416,"Behind — award date passed",IF(S416-TODAY()&lt;=30,"At risk — close to off track","On track"))),IF(V416="","No planned date",IF(AND(TODAY()&gt;V416,OR(X416="",X416&lt;100)),"Behind — past end date",IF(AND(R416&lt;&gt;"",V416&lt;&gt;"",X416&lt;&gt;"",(X416&lt;100),((TODAY()-R416)/MAX(V416-R416,1)*100)-X416&gt;15),"Behind — progress lag",IF(AND(V416-TODAY()&lt;=30,V416-TODAY()&gt;=0,OR(X416="",X416&lt;90)),"At risk — close to off track","On track"))))))))</t>
        </is>
      </c>
      <c r="AF416" s="38" t="inlineStr">
        <is>
          <t>IF(OR(E416="",AA416="Completed / Handover",AA416="Cancelled"),"",IF(L416="Remaining",IF(S416&lt;&gt;"",S416-TODAY(),IF(V416="","",V416-TODAY())),IF(V416="","",V416-TODAY())))</t>
        </is>
      </c>
      <c r="AG416" s="36" t="n"/>
      <c r="AH416" s="36" t="n"/>
      <c r="AI416" s="36" t="n"/>
      <c r="AJ416" s="36" t="n"/>
      <c r="AK416" s="36" t="n"/>
      <c r="AL416" s="36" t="n"/>
      <c r="AM416" s="36" t="n"/>
      <c r="AN416" s="36" t="n"/>
      <c r="AO416" s="36" t="n"/>
      <c r="AP416" s="36" t="n"/>
      <c r="AQ416" s="36" t="n"/>
      <c r="AR416" s="40" t="n"/>
      <c r="AS416" s="40" t="n"/>
      <c r="AT416" s="40" t="n"/>
      <c r="AU416" s="38" t="inlineStr">
        <is>
          <t>IF(OR(E416="",AH416=""),"",IF(COUNT(AG416:AG416)=0,"",AH416-LOOKUP(2,1/(AG416:AG416&lt;&gt;""),AG416:AG416)))</t>
        </is>
      </c>
      <c r="AV416" s="38" t="inlineStr">
        <is>
          <t>IF(OR(E416="",AI416=""),"",IF(COUNT(AG416:AH416)=0,"",AI416-LOOKUP(2,1/(AG416:AH416&lt;&gt;""),AG416:AH416)))</t>
        </is>
      </c>
      <c r="AW416" s="38" t="inlineStr">
        <is>
          <t>IF(OR(E416="",AJ416=""),"",IF(COUNT(AG416:AI416)=0,"",AJ416-LOOKUP(2,1/(AG416:AI416&lt;&gt;""),AG416:AI416)))</t>
        </is>
      </c>
      <c r="AX416" s="38" t="inlineStr">
        <is>
          <t>IF(OR(E416="",AK416=""),"",IF(COUNT(AG416:AJ416)=0,"",AK416-LOOKUP(2,1/(AG416:AJ416&lt;&gt;""),AG416:AJ416)))</t>
        </is>
      </c>
      <c r="AY416" s="38" t="inlineStr">
        <is>
          <t>IF(OR(E416="",AL416=""),"",IF(COUNT(AG416:AK416)=0,"",AL416-LOOKUP(2,1/(AG416:AK416&lt;&gt;""),AG416:AK416)))</t>
        </is>
      </c>
      <c r="AZ416" s="38" t="inlineStr">
        <is>
          <t>IF(OR(E416="",AM416=""),"",IF(COUNT(AG416:AL416)=0,"",AM416-LOOKUP(2,1/(AG416:AL416&lt;&gt;""),AG416:AL416)))</t>
        </is>
      </c>
      <c r="BA416" s="38" t="inlineStr">
        <is>
          <t>IF(OR(E416="",AN416=""),"",IF(COUNT(AG416:AM416)=0,"",AN416-LOOKUP(2,1/(AG416:AM416&lt;&gt;""),AG416:AM416)))</t>
        </is>
      </c>
      <c r="BB416" s="38" t="inlineStr">
        <is>
          <t>IF(OR(E416="",AO416=""),"",IF(COUNT(AG416:AN416)=0,"",AO416-LOOKUP(2,1/(AG416:AN416&lt;&gt;""),AG416:AN416)))</t>
        </is>
      </c>
      <c r="BC416" s="38" t="inlineStr">
        <is>
          <t>IF(OR(E416="",AP416=""),"",IF(COUNT(AG416:AO416)=0,"",AP416-LOOKUP(2,1/(AG416:AO416&lt;&gt;""),AG416:AO416)))</t>
        </is>
      </c>
      <c r="BD416" s="38" t="inlineStr">
        <is>
          <t>IF(OR(E416="",AQ416=""),"",IF(COUNT(AG416:AP416)=0,"",AQ416-LOOKUP(2,1/(AG416:AP416&lt;&gt;""),AG416:AP416)))</t>
        </is>
      </c>
      <c r="BE416" s="38" t="inlineStr">
        <is>
          <t>IF(OR(E416="",AR416=""),"",IF(COUNT(AG416:AQ416)=0,"",AR416-LOOKUP(2,1/(AG416:AQ416&lt;&gt;""),AG416:AQ416)))</t>
        </is>
      </c>
      <c r="BF416" s="38" t="inlineStr">
        <is>
          <t>IF(OR(E416="",AS416=""),"",IF(COUNT(AG416:AR416)=0,"",AS416-LOOKUP(2,1/(AG416:AR416&lt;&gt;""),AG416:AR416)))</t>
        </is>
      </c>
      <c r="BG416" s="38" t="inlineStr">
        <is>
          <t>IF(OR(E416="",AT416=""),"",IF(COUNT(AG416:AS416)=0,"",AT416-LOOKUP(2,1/(AG416:AS416&lt;&gt;""),AG416:AS416)))</t>
        </is>
      </c>
      <c r="BH416" s="41" t="inlineStr">
        <is>
          <t>IF(G416="","All_Provinces",IFERROR(VLOOKUP(G416,'07_Lookups'!$A$4:$B$20,2,FALSE),"All_Provinces"))</t>
        </is>
      </c>
      <c r="BI416" s="41" t="inlineStr">
        <is>
          <t>IF(H416="","All_Districts",IFERROR(VLOOKUP(H416,'07_Lookups'!$E$4:$F$42,2,FALSE),"All_Districts"))</t>
        </is>
      </c>
    </row>
    <row r="417" ht="18" customHeight="1">
      <c r="A417" s="32" t="inlineStr">
        <is>
          <t>IF(E417="","",ROW()-3)</t>
        </is>
      </c>
      <c r="B417" s="42" t="n"/>
      <c r="C417" s="42" t="n"/>
      <c r="D417" s="42" t="n"/>
      <c r="E417" s="42" t="n"/>
      <c r="F417" s="42" t="n"/>
      <c r="G417" s="42" t="n"/>
      <c r="H417" s="42" t="n"/>
      <c r="I417" s="42" t="n"/>
      <c r="J417" s="42" t="n"/>
      <c r="K417" s="42" t="n"/>
      <c r="L417" s="42" t="n"/>
      <c r="M417" s="42" t="n"/>
      <c r="N417" s="42" t="n"/>
      <c r="O417" s="42" t="n"/>
      <c r="P417" s="42" t="n"/>
      <c r="Q417" s="43" t="n"/>
      <c r="R417" s="35" t="inlineStr">
        <is>
          <t>IF(AO417="","",AO417)</t>
        </is>
      </c>
      <c r="S417" s="44" t="n"/>
      <c r="T417" s="45" t="n"/>
      <c r="U417" s="44" t="n"/>
      <c r="V417" s="35" t="inlineStr">
        <is>
          <t>IF(U417&lt;&gt;"",U417,IF(OR(R417="",T417=""),"",EDATE(R417,T417)))</t>
        </is>
      </c>
      <c r="W417" s="44" t="n"/>
      <c r="X417" s="45" t="n"/>
      <c r="Y417" s="42" t="n"/>
      <c r="Z417" s="42" t="n"/>
      <c r="AA417" s="32" t="inlineStr">
        <is>
          <t>IF(E417="","",IF(COUNT(AG417:AT417)=0,IF(Y417="","Not started",Y417),SUBSTITUTE(LOOKUP(2,1/(AG417:AT417&lt;&gt;""),$AG$3:$AT$3),"Date: ","")))</t>
        </is>
      </c>
      <c r="AB417" s="38" t="inlineStr">
        <is>
          <t>IF(OR(E417="",COUNT(AG417:AT417)=0),"",TODAY()-LOOKUP(2,1/(AG417:AT417&lt;&gt;""),AG417:AT417))</t>
        </is>
      </c>
      <c r="AC417" s="38" t="inlineStr">
        <is>
          <t>IF(OR(E417="",COUNT(AG417:AT417)&lt;2),"",LOOKUP(2,1/(AG417:AT417&lt;&gt;""),AG417:AT417)-MIN(AG417:AT417))</t>
        </is>
      </c>
      <c r="AD417" s="38" t="inlineStr">
        <is>
          <t>IF(OR(AB417="",AA417="Not started",AA417=""),"",IFERROR(AB417-IF(VLOOKUP(AA417,'04_Status_Pipeline'!$B$3:$E$20,4,FALSE)="",0,VLOOKUP(AA417,'04_Status_Pipeline'!$B$3:$E$20,4,FALSE)),""))</t>
        </is>
      </c>
      <c r="AE417" s="32" t="inlineStr">
        <is>
          <t>IF(E417="","",IF(OR(Y417="Cancelled",AA417="Cancelled"),"Cancelled",IF(OR(AA417="Completed / Handover",W417&lt;&gt;"",X417&gt;=100),"Completed — on track",IF(L417="Remaining",IF(S417="",IF(V417="","No planned date",IF(TODAY()&gt;V417,"Behind — past planned date",IF(V417-TODAY()&lt;=30,"At risk — close to off track","On track"))),IF(TODAY()&gt;S417,"Behind — award date passed",IF(S417-TODAY()&lt;=30,"At risk — close to off track","On track"))),IF(V417="","No planned date",IF(AND(TODAY()&gt;V417,OR(X417="",X417&lt;100)),"Behind — past end date",IF(AND(R417&lt;&gt;"",V417&lt;&gt;"",X417&lt;&gt;"",(X417&lt;100),((TODAY()-R417)/MAX(V417-R417,1)*100)-X417&gt;15),"Behind — progress lag",IF(AND(V417-TODAY()&lt;=30,V417-TODAY()&gt;=0,OR(X417="",X417&lt;90)),"At risk — close to off track","On track"))))))))</t>
        </is>
      </c>
      <c r="AF417" s="38" t="inlineStr">
        <is>
          <t>IF(OR(E417="",AA417="Completed / Handover",AA417="Cancelled"),"",IF(L417="Remaining",IF(S417&lt;&gt;"",S417-TODAY(),IF(V417="","",V417-TODAY())),IF(V417="","",V417-TODAY())))</t>
        </is>
      </c>
      <c r="AG417" s="44" t="n"/>
      <c r="AH417" s="44" t="n"/>
      <c r="AI417" s="44" t="n"/>
      <c r="AJ417" s="44" t="n"/>
      <c r="AK417" s="44" t="n"/>
      <c r="AL417" s="44" t="n"/>
      <c r="AM417" s="44" t="n"/>
      <c r="AN417" s="44" t="n"/>
      <c r="AO417" s="44" t="n"/>
      <c r="AP417" s="44" t="n"/>
      <c r="AQ417" s="44" t="n"/>
      <c r="AR417" s="40" t="n"/>
      <c r="AS417" s="40" t="n"/>
      <c r="AT417" s="40" t="n"/>
      <c r="AU417" s="38" t="inlineStr">
        <is>
          <t>IF(OR(E417="",AH417=""),"",IF(COUNT(AG417:AG417)=0,"",AH417-LOOKUP(2,1/(AG417:AG417&lt;&gt;""),AG417:AG417)))</t>
        </is>
      </c>
      <c r="AV417" s="38" t="inlineStr">
        <is>
          <t>IF(OR(E417="",AI417=""),"",IF(COUNT(AG417:AH417)=0,"",AI417-LOOKUP(2,1/(AG417:AH417&lt;&gt;""),AG417:AH417)))</t>
        </is>
      </c>
      <c r="AW417" s="38" t="inlineStr">
        <is>
          <t>IF(OR(E417="",AJ417=""),"",IF(COUNT(AG417:AI417)=0,"",AJ417-LOOKUP(2,1/(AG417:AI417&lt;&gt;""),AG417:AI417)))</t>
        </is>
      </c>
      <c r="AX417" s="38" t="inlineStr">
        <is>
          <t>IF(OR(E417="",AK417=""),"",IF(COUNT(AG417:AJ417)=0,"",AK417-LOOKUP(2,1/(AG417:AJ417&lt;&gt;""),AG417:AJ417)))</t>
        </is>
      </c>
      <c r="AY417" s="38" t="inlineStr">
        <is>
          <t>IF(OR(E417="",AL417=""),"",IF(COUNT(AG417:AK417)=0,"",AL417-LOOKUP(2,1/(AG417:AK417&lt;&gt;""),AG417:AK417)))</t>
        </is>
      </c>
      <c r="AZ417" s="38" t="inlineStr">
        <is>
          <t>IF(OR(E417="",AM417=""),"",IF(COUNT(AG417:AL417)=0,"",AM417-LOOKUP(2,1/(AG417:AL417&lt;&gt;""),AG417:AL417)))</t>
        </is>
      </c>
      <c r="BA417" s="38" t="inlineStr">
        <is>
          <t>IF(OR(E417="",AN417=""),"",IF(COUNT(AG417:AM417)=0,"",AN417-LOOKUP(2,1/(AG417:AM417&lt;&gt;""),AG417:AM417)))</t>
        </is>
      </c>
      <c r="BB417" s="38" t="inlineStr">
        <is>
          <t>IF(OR(E417="",AO417=""),"",IF(COUNT(AG417:AN417)=0,"",AO417-LOOKUP(2,1/(AG417:AN417&lt;&gt;""),AG417:AN417)))</t>
        </is>
      </c>
      <c r="BC417" s="38" t="inlineStr">
        <is>
          <t>IF(OR(E417="",AP417=""),"",IF(COUNT(AG417:AO417)=0,"",AP417-LOOKUP(2,1/(AG417:AO417&lt;&gt;""),AG417:AO417)))</t>
        </is>
      </c>
      <c r="BD417" s="38" t="inlineStr">
        <is>
          <t>IF(OR(E417="",AQ417=""),"",IF(COUNT(AG417:AP417)=0,"",AQ417-LOOKUP(2,1/(AG417:AP417&lt;&gt;""),AG417:AP417)))</t>
        </is>
      </c>
      <c r="BE417" s="38" t="inlineStr">
        <is>
          <t>IF(OR(E417="",AR417=""),"",IF(COUNT(AG417:AQ417)=0,"",AR417-LOOKUP(2,1/(AG417:AQ417&lt;&gt;""),AG417:AQ417)))</t>
        </is>
      </c>
      <c r="BF417" s="38" t="inlineStr">
        <is>
          <t>IF(OR(E417="",AS417=""),"",IF(COUNT(AG417:AR417)=0,"",AS417-LOOKUP(2,1/(AG417:AR417&lt;&gt;""),AG417:AR417)))</t>
        </is>
      </c>
      <c r="BG417" s="38" t="inlineStr">
        <is>
          <t>IF(OR(E417="",AT417=""),"",IF(COUNT(AG417:AS417)=0,"",AT417-LOOKUP(2,1/(AG417:AS417&lt;&gt;""),AG417:AS417)))</t>
        </is>
      </c>
      <c r="BH417" s="41" t="inlineStr">
        <is>
          <t>IF(G417="","All_Provinces",IFERROR(VLOOKUP(G417,'07_Lookups'!$A$4:$B$20,2,FALSE),"All_Provinces"))</t>
        </is>
      </c>
      <c r="BI417" s="41" t="inlineStr">
        <is>
          <t>IF(H417="","All_Districts",IFERROR(VLOOKUP(H417,'07_Lookups'!$E$4:$F$42,2,FALSE),"All_Districts"))</t>
        </is>
      </c>
    </row>
    <row r="418" ht="18" customHeight="1">
      <c r="A418" s="32" t="inlineStr">
        <is>
          <t>IF(E418="","",ROW()-3)</t>
        </is>
      </c>
      <c r="B418" s="33" t="n"/>
      <c r="C418" s="33" t="n"/>
      <c r="D418" s="33" t="n"/>
      <c r="E418" s="33" t="n"/>
      <c r="F418" s="33" t="n"/>
      <c r="G418" s="33" t="n"/>
      <c r="H418" s="33" t="n"/>
      <c r="I418" s="33" t="n"/>
      <c r="J418" s="33" t="n"/>
      <c r="K418" s="33" t="n"/>
      <c r="L418" s="33" t="n"/>
      <c r="M418" s="33" t="n"/>
      <c r="N418" s="33" t="n"/>
      <c r="O418" s="33" t="n"/>
      <c r="P418" s="33" t="n"/>
      <c r="Q418" s="34" t="n"/>
      <c r="R418" s="35" t="inlineStr">
        <is>
          <t>IF(AO418="","",AO418)</t>
        </is>
      </c>
      <c r="S418" s="36" t="n"/>
      <c r="T418" s="37" t="n"/>
      <c r="U418" s="36" t="n"/>
      <c r="V418" s="35" t="inlineStr">
        <is>
          <t>IF(U418&lt;&gt;"",U418,IF(OR(R418="",T418=""),"",EDATE(R418,T418)))</t>
        </is>
      </c>
      <c r="W418" s="36" t="n"/>
      <c r="X418" s="37" t="n"/>
      <c r="Y418" s="33" t="n"/>
      <c r="Z418" s="33" t="n"/>
      <c r="AA418" s="32" t="inlineStr">
        <is>
          <t>IF(E418="","",IF(COUNT(AG418:AT418)=0,IF(Y418="","Not started",Y418),SUBSTITUTE(LOOKUP(2,1/(AG418:AT418&lt;&gt;""),$AG$3:$AT$3),"Date: ","")))</t>
        </is>
      </c>
      <c r="AB418" s="38" t="inlineStr">
        <is>
          <t>IF(OR(E418="",COUNT(AG418:AT418)=0),"",TODAY()-LOOKUP(2,1/(AG418:AT418&lt;&gt;""),AG418:AT418))</t>
        </is>
      </c>
      <c r="AC418" s="38" t="inlineStr">
        <is>
          <t>IF(OR(E418="",COUNT(AG418:AT418)&lt;2),"",LOOKUP(2,1/(AG418:AT418&lt;&gt;""),AG418:AT418)-MIN(AG418:AT418))</t>
        </is>
      </c>
      <c r="AD418" s="38" t="inlineStr">
        <is>
          <t>IF(OR(AB418="",AA418="Not started",AA418=""),"",IFERROR(AB418-IF(VLOOKUP(AA418,'04_Status_Pipeline'!$B$3:$E$20,4,FALSE)="",0,VLOOKUP(AA418,'04_Status_Pipeline'!$B$3:$E$20,4,FALSE)),""))</t>
        </is>
      </c>
      <c r="AE418" s="32" t="inlineStr">
        <is>
          <t>IF(E418="","",IF(OR(Y418="Cancelled",AA418="Cancelled"),"Cancelled",IF(OR(AA418="Completed / Handover",W418&lt;&gt;"",X418&gt;=100),"Completed — on track",IF(L418="Remaining",IF(S418="",IF(V418="","No planned date",IF(TODAY()&gt;V418,"Behind — past planned date",IF(V418-TODAY()&lt;=30,"At risk — close to off track","On track"))),IF(TODAY()&gt;S418,"Behind — award date passed",IF(S418-TODAY()&lt;=30,"At risk — close to off track","On track"))),IF(V418="","No planned date",IF(AND(TODAY()&gt;V418,OR(X418="",X418&lt;100)),"Behind — past end date",IF(AND(R418&lt;&gt;"",V418&lt;&gt;"",X418&lt;&gt;"",(X418&lt;100),((TODAY()-R418)/MAX(V418-R418,1)*100)-X418&gt;15),"Behind — progress lag",IF(AND(V418-TODAY()&lt;=30,V418-TODAY()&gt;=0,OR(X418="",X418&lt;90)),"At risk — close to off track","On track"))))))))</t>
        </is>
      </c>
      <c r="AF418" s="38" t="inlineStr">
        <is>
          <t>IF(OR(E418="",AA418="Completed / Handover",AA418="Cancelled"),"",IF(L418="Remaining",IF(S418&lt;&gt;"",S418-TODAY(),IF(V418="","",V418-TODAY())),IF(V418="","",V418-TODAY())))</t>
        </is>
      </c>
      <c r="AG418" s="36" t="n"/>
      <c r="AH418" s="36" t="n"/>
      <c r="AI418" s="36" t="n"/>
      <c r="AJ418" s="36" t="n"/>
      <c r="AK418" s="36" t="n"/>
      <c r="AL418" s="36" t="n"/>
      <c r="AM418" s="36" t="n"/>
      <c r="AN418" s="36" t="n"/>
      <c r="AO418" s="36" t="n"/>
      <c r="AP418" s="36" t="n"/>
      <c r="AQ418" s="36" t="n"/>
      <c r="AR418" s="40" t="n"/>
      <c r="AS418" s="40" t="n"/>
      <c r="AT418" s="40" t="n"/>
      <c r="AU418" s="38" t="inlineStr">
        <is>
          <t>IF(OR(E418="",AH418=""),"",IF(COUNT(AG418:AG418)=0,"",AH418-LOOKUP(2,1/(AG418:AG418&lt;&gt;""),AG418:AG418)))</t>
        </is>
      </c>
      <c r="AV418" s="38" t="inlineStr">
        <is>
          <t>IF(OR(E418="",AI418=""),"",IF(COUNT(AG418:AH418)=0,"",AI418-LOOKUP(2,1/(AG418:AH418&lt;&gt;""),AG418:AH418)))</t>
        </is>
      </c>
      <c r="AW418" s="38" t="inlineStr">
        <is>
          <t>IF(OR(E418="",AJ418=""),"",IF(COUNT(AG418:AI418)=0,"",AJ418-LOOKUP(2,1/(AG418:AI418&lt;&gt;""),AG418:AI418)))</t>
        </is>
      </c>
      <c r="AX418" s="38" t="inlineStr">
        <is>
          <t>IF(OR(E418="",AK418=""),"",IF(COUNT(AG418:AJ418)=0,"",AK418-LOOKUP(2,1/(AG418:AJ418&lt;&gt;""),AG418:AJ418)))</t>
        </is>
      </c>
      <c r="AY418" s="38" t="inlineStr">
        <is>
          <t>IF(OR(E418="",AL418=""),"",IF(COUNT(AG418:AK418)=0,"",AL418-LOOKUP(2,1/(AG418:AK418&lt;&gt;""),AG418:AK418)))</t>
        </is>
      </c>
      <c r="AZ418" s="38" t="inlineStr">
        <is>
          <t>IF(OR(E418="",AM418=""),"",IF(COUNT(AG418:AL418)=0,"",AM418-LOOKUP(2,1/(AG418:AL418&lt;&gt;""),AG418:AL418)))</t>
        </is>
      </c>
      <c r="BA418" s="38" t="inlineStr">
        <is>
          <t>IF(OR(E418="",AN418=""),"",IF(COUNT(AG418:AM418)=0,"",AN418-LOOKUP(2,1/(AG418:AM418&lt;&gt;""),AG418:AM418)))</t>
        </is>
      </c>
      <c r="BB418" s="38" t="inlineStr">
        <is>
          <t>IF(OR(E418="",AO418=""),"",IF(COUNT(AG418:AN418)=0,"",AO418-LOOKUP(2,1/(AG418:AN418&lt;&gt;""),AG418:AN418)))</t>
        </is>
      </c>
      <c r="BC418" s="38" t="inlineStr">
        <is>
          <t>IF(OR(E418="",AP418=""),"",IF(COUNT(AG418:AO418)=0,"",AP418-LOOKUP(2,1/(AG418:AO418&lt;&gt;""),AG418:AO418)))</t>
        </is>
      </c>
      <c r="BD418" s="38" t="inlineStr">
        <is>
          <t>IF(OR(E418="",AQ418=""),"",IF(COUNT(AG418:AP418)=0,"",AQ418-LOOKUP(2,1/(AG418:AP418&lt;&gt;""),AG418:AP418)))</t>
        </is>
      </c>
      <c r="BE418" s="38" t="inlineStr">
        <is>
          <t>IF(OR(E418="",AR418=""),"",IF(COUNT(AG418:AQ418)=0,"",AR418-LOOKUP(2,1/(AG418:AQ418&lt;&gt;""),AG418:AQ418)))</t>
        </is>
      </c>
      <c r="BF418" s="38" t="inlineStr">
        <is>
          <t>IF(OR(E418="",AS418=""),"",IF(COUNT(AG418:AR418)=0,"",AS418-LOOKUP(2,1/(AG418:AR418&lt;&gt;""),AG418:AR418)))</t>
        </is>
      </c>
      <c r="BG418" s="38" t="inlineStr">
        <is>
          <t>IF(OR(E418="",AT418=""),"",IF(COUNT(AG418:AS418)=0,"",AT418-LOOKUP(2,1/(AG418:AS418&lt;&gt;""),AG418:AS418)))</t>
        </is>
      </c>
      <c r="BH418" s="41" t="inlineStr">
        <is>
          <t>IF(G418="","All_Provinces",IFERROR(VLOOKUP(G418,'07_Lookups'!$A$4:$B$20,2,FALSE),"All_Provinces"))</t>
        </is>
      </c>
      <c r="BI418" s="41" t="inlineStr">
        <is>
          <t>IF(H418="","All_Districts",IFERROR(VLOOKUP(H418,'07_Lookups'!$E$4:$F$42,2,FALSE),"All_Districts"))</t>
        </is>
      </c>
    </row>
    <row r="419" ht="18" customHeight="1">
      <c r="A419" s="32" t="inlineStr">
        <is>
          <t>IF(E419="","",ROW()-3)</t>
        </is>
      </c>
      <c r="B419" s="42" t="n"/>
      <c r="C419" s="42" t="n"/>
      <c r="D419" s="42" t="n"/>
      <c r="E419" s="42" t="n"/>
      <c r="F419" s="42" t="n"/>
      <c r="G419" s="42" t="n"/>
      <c r="H419" s="42" t="n"/>
      <c r="I419" s="42" t="n"/>
      <c r="J419" s="42" t="n"/>
      <c r="K419" s="42" t="n"/>
      <c r="L419" s="42" t="n"/>
      <c r="M419" s="42" t="n"/>
      <c r="N419" s="42" t="n"/>
      <c r="O419" s="42" t="n"/>
      <c r="P419" s="42" t="n"/>
      <c r="Q419" s="43" t="n"/>
      <c r="R419" s="35" t="inlineStr">
        <is>
          <t>IF(AO419="","",AO419)</t>
        </is>
      </c>
      <c r="S419" s="44" t="n"/>
      <c r="T419" s="45" t="n"/>
      <c r="U419" s="44" t="n"/>
      <c r="V419" s="35" t="inlineStr">
        <is>
          <t>IF(U419&lt;&gt;"",U419,IF(OR(R419="",T419=""),"",EDATE(R419,T419)))</t>
        </is>
      </c>
      <c r="W419" s="44" t="n"/>
      <c r="X419" s="45" t="n"/>
      <c r="Y419" s="42" t="n"/>
      <c r="Z419" s="42" t="n"/>
      <c r="AA419" s="32" t="inlineStr">
        <is>
          <t>IF(E419="","",IF(COUNT(AG419:AT419)=0,IF(Y419="","Not started",Y419),SUBSTITUTE(LOOKUP(2,1/(AG419:AT419&lt;&gt;""),$AG$3:$AT$3),"Date: ","")))</t>
        </is>
      </c>
      <c r="AB419" s="38" t="inlineStr">
        <is>
          <t>IF(OR(E419="",COUNT(AG419:AT419)=0),"",TODAY()-LOOKUP(2,1/(AG419:AT419&lt;&gt;""),AG419:AT419))</t>
        </is>
      </c>
      <c r="AC419" s="38" t="inlineStr">
        <is>
          <t>IF(OR(E419="",COUNT(AG419:AT419)&lt;2),"",LOOKUP(2,1/(AG419:AT419&lt;&gt;""),AG419:AT419)-MIN(AG419:AT419))</t>
        </is>
      </c>
      <c r="AD419" s="38" t="inlineStr">
        <is>
          <t>IF(OR(AB419="",AA419="Not started",AA419=""),"",IFERROR(AB419-IF(VLOOKUP(AA419,'04_Status_Pipeline'!$B$3:$E$20,4,FALSE)="",0,VLOOKUP(AA419,'04_Status_Pipeline'!$B$3:$E$20,4,FALSE)),""))</t>
        </is>
      </c>
      <c r="AE419" s="32" t="inlineStr">
        <is>
          <t>IF(E419="","",IF(OR(Y419="Cancelled",AA419="Cancelled"),"Cancelled",IF(OR(AA419="Completed / Handover",W419&lt;&gt;"",X419&gt;=100),"Completed — on track",IF(L419="Remaining",IF(S419="",IF(V419="","No planned date",IF(TODAY()&gt;V419,"Behind — past planned date",IF(V419-TODAY()&lt;=30,"At risk — close to off track","On track"))),IF(TODAY()&gt;S419,"Behind — award date passed",IF(S419-TODAY()&lt;=30,"At risk — close to off track","On track"))),IF(V419="","No planned date",IF(AND(TODAY()&gt;V419,OR(X419="",X419&lt;100)),"Behind — past end date",IF(AND(R419&lt;&gt;"",V419&lt;&gt;"",X419&lt;&gt;"",(X419&lt;100),((TODAY()-R419)/MAX(V419-R419,1)*100)-X419&gt;15),"Behind — progress lag",IF(AND(V419-TODAY()&lt;=30,V419-TODAY()&gt;=0,OR(X419="",X419&lt;90)),"At risk — close to off track","On track"))))))))</t>
        </is>
      </c>
      <c r="AF419" s="38" t="inlineStr">
        <is>
          <t>IF(OR(E419="",AA419="Completed / Handover",AA419="Cancelled"),"",IF(L419="Remaining",IF(S419&lt;&gt;"",S419-TODAY(),IF(V419="","",V419-TODAY())),IF(V419="","",V419-TODAY())))</t>
        </is>
      </c>
      <c r="AG419" s="44" t="n"/>
      <c r="AH419" s="44" t="n"/>
      <c r="AI419" s="44" t="n"/>
      <c r="AJ419" s="44" t="n"/>
      <c r="AK419" s="44" t="n"/>
      <c r="AL419" s="44" t="n"/>
      <c r="AM419" s="44" t="n"/>
      <c r="AN419" s="44" t="n"/>
      <c r="AO419" s="44" t="n"/>
      <c r="AP419" s="44" t="n"/>
      <c r="AQ419" s="44" t="n"/>
      <c r="AR419" s="40" t="n"/>
      <c r="AS419" s="40" t="n"/>
      <c r="AT419" s="40" t="n"/>
      <c r="AU419" s="38" t="inlineStr">
        <is>
          <t>IF(OR(E419="",AH419=""),"",IF(COUNT(AG419:AG419)=0,"",AH419-LOOKUP(2,1/(AG419:AG419&lt;&gt;""),AG419:AG419)))</t>
        </is>
      </c>
      <c r="AV419" s="38" t="inlineStr">
        <is>
          <t>IF(OR(E419="",AI419=""),"",IF(COUNT(AG419:AH419)=0,"",AI419-LOOKUP(2,1/(AG419:AH419&lt;&gt;""),AG419:AH419)))</t>
        </is>
      </c>
      <c r="AW419" s="38" t="inlineStr">
        <is>
          <t>IF(OR(E419="",AJ419=""),"",IF(COUNT(AG419:AI419)=0,"",AJ419-LOOKUP(2,1/(AG419:AI419&lt;&gt;""),AG419:AI419)))</t>
        </is>
      </c>
      <c r="AX419" s="38" t="inlineStr">
        <is>
          <t>IF(OR(E419="",AK419=""),"",IF(COUNT(AG419:AJ419)=0,"",AK419-LOOKUP(2,1/(AG419:AJ419&lt;&gt;""),AG419:AJ419)))</t>
        </is>
      </c>
      <c r="AY419" s="38" t="inlineStr">
        <is>
          <t>IF(OR(E419="",AL419=""),"",IF(COUNT(AG419:AK419)=0,"",AL419-LOOKUP(2,1/(AG419:AK419&lt;&gt;""),AG419:AK419)))</t>
        </is>
      </c>
      <c r="AZ419" s="38" t="inlineStr">
        <is>
          <t>IF(OR(E419="",AM419=""),"",IF(COUNT(AG419:AL419)=0,"",AM419-LOOKUP(2,1/(AG419:AL419&lt;&gt;""),AG419:AL419)))</t>
        </is>
      </c>
      <c r="BA419" s="38" t="inlineStr">
        <is>
          <t>IF(OR(E419="",AN419=""),"",IF(COUNT(AG419:AM419)=0,"",AN419-LOOKUP(2,1/(AG419:AM419&lt;&gt;""),AG419:AM419)))</t>
        </is>
      </c>
      <c r="BB419" s="38" t="inlineStr">
        <is>
          <t>IF(OR(E419="",AO419=""),"",IF(COUNT(AG419:AN419)=0,"",AO419-LOOKUP(2,1/(AG419:AN419&lt;&gt;""),AG419:AN419)))</t>
        </is>
      </c>
      <c r="BC419" s="38" t="inlineStr">
        <is>
          <t>IF(OR(E419="",AP419=""),"",IF(COUNT(AG419:AO419)=0,"",AP419-LOOKUP(2,1/(AG419:AO419&lt;&gt;""),AG419:AO419)))</t>
        </is>
      </c>
      <c r="BD419" s="38" t="inlineStr">
        <is>
          <t>IF(OR(E419="",AQ419=""),"",IF(COUNT(AG419:AP419)=0,"",AQ419-LOOKUP(2,1/(AG419:AP419&lt;&gt;""),AG419:AP419)))</t>
        </is>
      </c>
      <c r="BE419" s="38" t="inlineStr">
        <is>
          <t>IF(OR(E419="",AR419=""),"",IF(COUNT(AG419:AQ419)=0,"",AR419-LOOKUP(2,1/(AG419:AQ419&lt;&gt;""),AG419:AQ419)))</t>
        </is>
      </c>
      <c r="BF419" s="38" t="inlineStr">
        <is>
          <t>IF(OR(E419="",AS419=""),"",IF(COUNT(AG419:AR419)=0,"",AS419-LOOKUP(2,1/(AG419:AR419&lt;&gt;""),AG419:AR419)))</t>
        </is>
      </c>
      <c r="BG419" s="38" t="inlineStr">
        <is>
          <t>IF(OR(E419="",AT419=""),"",IF(COUNT(AG419:AS419)=0,"",AT419-LOOKUP(2,1/(AG419:AS419&lt;&gt;""),AG419:AS419)))</t>
        </is>
      </c>
      <c r="BH419" s="41" t="inlineStr">
        <is>
          <t>IF(G419="","All_Provinces",IFERROR(VLOOKUP(G419,'07_Lookups'!$A$4:$B$20,2,FALSE),"All_Provinces"))</t>
        </is>
      </c>
      <c r="BI419" s="41" t="inlineStr">
        <is>
          <t>IF(H419="","All_Districts",IFERROR(VLOOKUP(H419,'07_Lookups'!$E$4:$F$42,2,FALSE),"All_Districts"))</t>
        </is>
      </c>
    </row>
    <row r="420" ht="18" customHeight="1">
      <c r="A420" s="32" t="inlineStr">
        <is>
          <t>IF(E420="","",ROW()-3)</t>
        </is>
      </c>
      <c r="B420" s="33" t="n"/>
      <c r="C420" s="33" t="n"/>
      <c r="D420" s="33" t="n"/>
      <c r="E420" s="33" t="n"/>
      <c r="F420" s="33" t="n"/>
      <c r="G420" s="33" t="n"/>
      <c r="H420" s="33" t="n"/>
      <c r="I420" s="33" t="n"/>
      <c r="J420" s="33" t="n"/>
      <c r="K420" s="33" t="n"/>
      <c r="L420" s="33" t="n"/>
      <c r="M420" s="33" t="n"/>
      <c r="N420" s="33" t="n"/>
      <c r="O420" s="33" t="n"/>
      <c r="P420" s="33" t="n"/>
      <c r="Q420" s="34" t="n"/>
      <c r="R420" s="35" t="inlineStr">
        <is>
          <t>IF(AO420="","",AO420)</t>
        </is>
      </c>
      <c r="S420" s="36" t="n"/>
      <c r="T420" s="37" t="n"/>
      <c r="U420" s="36" t="n"/>
      <c r="V420" s="35" t="inlineStr">
        <is>
          <t>IF(U420&lt;&gt;"",U420,IF(OR(R420="",T420=""),"",EDATE(R420,T420)))</t>
        </is>
      </c>
      <c r="W420" s="36" t="n"/>
      <c r="X420" s="37" t="n"/>
      <c r="Y420" s="33" t="n"/>
      <c r="Z420" s="33" t="n"/>
      <c r="AA420" s="32" t="inlineStr">
        <is>
          <t>IF(E420="","",IF(COUNT(AG420:AT420)=0,IF(Y420="","Not started",Y420),SUBSTITUTE(LOOKUP(2,1/(AG420:AT420&lt;&gt;""),$AG$3:$AT$3),"Date: ","")))</t>
        </is>
      </c>
      <c r="AB420" s="38" t="inlineStr">
        <is>
          <t>IF(OR(E420="",COUNT(AG420:AT420)=0),"",TODAY()-LOOKUP(2,1/(AG420:AT420&lt;&gt;""),AG420:AT420))</t>
        </is>
      </c>
      <c r="AC420" s="38" t="inlineStr">
        <is>
          <t>IF(OR(E420="",COUNT(AG420:AT420)&lt;2),"",LOOKUP(2,1/(AG420:AT420&lt;&gt;""),AG420:AT420)-MIN(AG420:AT420))</t>
        </is>
      </c>
      <c r="AD420" s="38" t="inlineStr">
        <is>
          <t>IF(OR(AB420="",AA420="Not started",AA420=""),"",IFERROR(AB420-IF(VLOOKUP(AA420,'04_Status_Pipeline'!$B$3:$E$20,4,FALSE)="",0,VLOOKUP(AA420,'04_Status_Pipeline'!$B$3:$E$20,4,FALSE)),""))</t>
        </is>
      </c>
      <c r="AE420" s="32" t="inlineStr">
        <is>
          <t>IF(E420="","",IF(OR(Y420="Cancelled",AA420="Cancelled"),"Cancelled",IF(OR(AA420="Completed / Handover",W420&lt;&gt;"",X420&gt;=100),"Completed — on track",IF(L420="Remaining",IF(S420="",IF(V420="","No planned date",IF(TODAY()&gt;V420,"Behind — past planned date",IF(V420-TODAY()&lt;=30,"At risk — close to off track","On track"))),IF(TODAY()&gt;S420,"Behind — award date passed",IF(S420-TODAY()&lt;=30,"At risk — close to off track","On track"))),IF(V420="","No planned date",IF(AND(TODAY()&gt;V420,OR(X420="",X420&lt;100)),"Behind — past end date",IF(AND(R420&lt;&gt;"",V420&lt;&gt;"",X420&lt;&gt;"",(X420&lt;100),((TODAY()-R420)/MAX(V420-R420,1)*100)-X420&gt;15),"Behind — progress lag",IF(AND(V420-TODAY()&lt;=30,V420-TODAY()&gt;=0,OR(X420="",X420&lt;90)),"At risk — close to off track","On track"))))))))</t>
        </is>
      </c>
      <c r="AF420" s="38" t="inlineStr">
        <is>
          <t>IF(OR(E420="",AA420="Completed / Handover",AA420="Cancelled"),"",IF(L420="Remaining",IF(S420&lt;&gt;"",S420-TODAY(),IF(V420="","",V420-TODAY())),IF(V420="","",V420-TODAY())))</t>
        </is>
      </c>
      <c r="AG420" s="36" t="n"/>
      <c r="AH420" s="36" t="n"/>
      <c r="AI420" s="36" t="n"/>
      <c r="AJ420" s="36" t="n"/>
      <c r="AK420" s="36" t="n"/>
      <c r="AL420" s="36" t="n"/>
      <c r="AM420" s="36" t="n"/>
      <c r="AN420" s="36" t="n"/>
      <c r="AO420" s="36" t="n"/>
      <c r="AP420" s="36" t="n"/>
      <c r="AQ420" s="36" t="n"/>
      <c r="AR420" s="40" t="n"/>
      <c r="AS420" s="40" t="n"/>
      <c r="AT420" s="40" t="n"/>
      <c r="AU420" s="38" t="inlineStr">
        <is>
          <t>IF(OR(E420="",AH420=""),"",IF(COUNT(AG420:AG420)=0,"",AH420-LOOKUP(2,1/(AG420:AG420&lt;&gt;""),AG420:AG420)))</t>
        </is>
      </c>
      <c r="AV420" s="38" t="inlineStr">
        <is>
          <t>IF(OR(E420="",AI420=""),"",IF(COUNT(AG420:AH420)=0,"",AI420-LOOKUP(2,1/(AG420:AH420&lt;&gt;""),AG420:AH420)))</t>
        </is>
      </c>
      <c r="AW420" s="38" t="inlineStr">
        <is>
          <t>IF(OR(E420="",AJ420=""),"",IF(COUNT(AG420:AI420)=0,"",AJ420-LOOKUP(2,1/(AG420:AI420&lt;&gt;""),AG420:AI420)))</t>
        </is>
      </c>
      <c r="AX420" s="38" t="inlineStr">
        <is>
          <t>IF(OR(E420="",AK420=""),"",IF(COUNT(AG420:AJ420)=0,"",AK420-LOOKUP(2,1/(AG420:AJ420&lt;&gt;""),AG420:AJ420)))</t>
        </is>
      </c>
      <c r="AY420" s="38" t="inlineStr">
        <is>
          <t>IF(OR(E420="",AL420=""),"",IF(COUNT(AG420:AK420)=0,"",AL420-LOOKUP(2,1/(AG420:AK420&lt;&gt;""),AG420:AK420)))</t>
        </is>
      </c>
      <c r="AZ420" s="38" t="inlineStr">
        <is>
          <t>IF(OR(E420="",AM420=""),"",IF(COUNT(AG420:AL420)=0,"",AM420-LOOKUP(2,1/(AG420:AL420&lt;&gt;""),AG420:AL420)))</t>
        </is>
      </c>
      <c r="BA420" s="38" t="inlineStr">
        <is>
          <t>IF(OR(E420="",AN420=""),"",IF(COUNT(AG420:AM420)=0,"",AN420-LOOKUP(2,1/(AG420:AM420&lt;&gt;""),AG420:AM420)))</t>
        </is>
      </c>
      <c r="BB420" s="38" t="inlineStr">
        <is>
          <t>IF(OR(E420="",AO420=""),"",IF(COUNT(AG420:AN420)=0,"",AO420-LOOKUP(2,1/(AG420:AN420&lt;&gt;""),AG420:AN420)))</t>
        </is>
      </c>
      <c r="BC420" s="38" t="inlineStr">
        <is>
          <t>IF(OR(E420="",AP420=""),"",IF(COUNT(AG420:AO420)=0,"",AP420-LOOKUP(2,1/(AG420:AO420&lt;&gt;""),AG420:AO420)))</t>
        </is>
      </c>
      <c r="BD420" s="38" t="inlineStr">
        <is>
          <t>IF(OR(E420="",AQ420=""),"",IF(COUNT(AG420:AP420)=0,"",AQ420-LOOKUP(2,1/(AG420:AP420&lt;&gt;""),AG420:AP420)))</t>
        </is>
      </c>
      <c r="BE420" s="38" t="inlineStr">
        <is>
          <t>IF(OR(E420="",AR420=""),"",IF(COUNT(AG420:AQ420)=0,"",AR420-LOOKUP(2,1/(AG420:AQ420&lt;&gt;""),AG420:AQ420)))</t>
        </is>
      </c>
      <c r="BF420" s="38" t="inlineStr">
        <is>
          <t>IF(OR(E420="",AS420=""),"",IF(COUNT(AG420:AR420)=0,"",AS420-LOOKUP(2,1/(AG420:AR420&lt;&gt;""),AG420:AR420)))</t>
        </is>
      </c>
      <c r="BG420" s="38" t="inlineStr">
        <is>
          <t>IF(OR(E420="",AT420=""),"",IF(COUNT(AG420:AS420)=0,"",AT420-LOOKUP(2,1/(AG420:AS420&lt;&gt;""),AG420:AS420)))</t>
        </is>
      </c>
      <c r="BH420" s="41" t="inlineStr">
        <is>
          <t>IF(G420="","All_Provinces",IFERROR(VLOOKUP(G420,'07_Lookups'!$A$4:$B$20,2,FALSE),"All_Provinces"))</t>
        </is>
      </c>
      <c r="BI420" s="41" t="inlineStr">
        <is>
          <t>IF(H420="","All_Districts",IFERROR(VLOOKUP(H420,'07_Lookups'!$E$4:$F$42,2,FALSE),"All_Districts"))</t>
        </is>
      </c>
    </row>
    <row r="421" ht="18" customHeight="1">
      <c r="A421" s="32" t="inlineStr">
        <is>
          <t>IF(E421="","",ROW()-3)</t>
        </is>
      </c>
      <c r="B421" s="42" t="n"/>
      <c r="C421" s="42" t="n"/>
      <c r="D421" s="42" t="n"/>
      <c r="E421" s="42" t="n"/>
      <c r="F421" s="42" t="n"/>
      <c r="G421" s="42" t="n"/>
      <c r="H421" s="42" t="n"/>
      <c r="I421" s="42" t="n"/>
      <c r="J421" s="42" t="n"/>
      <c r="K421" s="42" t="n"/>
      <c r="L421" s="42" t="n"/>
      <c r="M421" s="42" t="n"/>
      <c r="N421" s="42" t="n"/>
      <c r="O421" s="42" t="n"/>
      <c r="P421" s="42" t="n"/>
      <c r="Q421" s="43" t="n"/>
      <c r="R421" s="35" t="inlineStr">
        <is>
          <t>IF(AO421="","",AO421)</t>
        </is>
      </c>
      <c r="S421" s="44" t="n"/>
      <c r="T421" s="45" t="n"/>
      <c r="U421" s="44" t="n"/>
      <c r="V421" s="35" t="inlineStr">
        <is>
          <t>IF(U421&lt;&gt;"",U421,IF(OR(R421="",T421=""),"",EDATE(R421,T421)))</t>
        </is>
      </c>
      <c r="W421" s="44" t="n"/>
      <c r="X421" s="45" t="n"/>
      <c r="Y421" s="42" t="n"/>
      <c r="Z421" s="42" t="n"/>
      <c r="AA421" s="32" t="inlineStr">
        <is>
          <t>IF(E421="","",IF(COUNT(AG421:AT421)=0,IF(Y421="","Not started",Y421),SUBSTITUTE(LOOKUP(2,1/(AG421:AT421&lt;&gt;""),$AG$3:$AT$3),"Date: ","")))</t>
        </is>
      </c>
      <c r="AB421" s="38" t="inlineStr">
        <is>
          <t>IF(OR(E421="",COUNT(AG421:AT421)=0),"",TODAY()-LOOKUP(2,1/(AG421:AT421&lt;&gt;""),AG421:AT421))</t>
        </is>
      </c>
      <c r="AC421" s="38" t="inlineStr">
        <is>
          <t>IF(OR(E421="",COUNT(AG421:AT421)&lt;2),"",LOOKUP(2,1/(AG421:AT421&lt;&gt;""),AG421:AT421)-MIN(AG421:AT421))</t>
        </is>
      </c>
      <c r="AD421" s="38" t="inlineStr">
        <is>
          <t>IF(OR(AB421="",AA421="Not started",AA421=""),"",IFERROR(AB421-IF(VLOOKUP(AA421,'04_Status_Pipeline'!$B$3:$E$20,4,FALSE)="",0,VLOOKUP(AA421,'04_Status_Pipeline'!$B$3:$E$20,4,FALSE)),""))</t>
        </is>
      </c>
      <c r="AE421" s="32" t="inlineStr">
        <is>
          <t>IF(E421="","",IF(OR(Y421="Cancelled",AA421="Cancelled"),"Cancelled",IF(OR(AA421="Completed / Handover",W421&lt;&gt;"",X421&gt;=100),"Completed — on track",IF(L421="Remaining",IF(S421="",IF(V421="","No planned date",IF(TODAY()&gt;V421,"Behind — past planned date",IF(V421-TODAY()&lt;=30,"At risk — close to off track","On track"))),IF(TODAY()&gt;S421,"Behind — award date passed",IF(S421-TODAY()&lt;=30,"At risk — close to off track","On track"))),IF(V421="","No planned date",IF(AND(TODAY()&gt;V421,OR(X421="",X421&lt;100)),"Behind — past end date",IF(AND(R421&lt;&gt;"",V421&lt;&gt;"",X421&lt;&gt;"",(X421&lt;100),((TODAY()-R421)/MAX(V421-R421,1)*100)-X421&gt;15),"Behind — progress lag",IF(AND(V421-TODAY()&lt;=30,V421-TODAY()&gt;=0,OR(X421="",X421&lt;90)),"At risk — close to off track","On track"))))))))</t>
        </is>
      </c>
      <c r="AF421" s="38" t="inlineStr">
        <is>
          <t>IF(OR(E421="",AA421="Completed / Handover",AA421="Cancelled"),"",IF(L421="Remaining",IF(S421&lt;&gt;"",S421-TODAY(),IF(V421="","",V421-TODAY())),IF(V421="","",V421-TODAY())))</t>
        </is>
      </c>
      <c r="AG421" s="44" t="n"/>
      <c r="AH421" s="44" t="n"/>
      <c r="AI421" s="44" t="n"/>
      <c r="AJ421" s="44" t="n"/>
      <c r="AK421" s="44" t="n"/>
      <c r="AL421" s="44" t="n"/>
      <c r="AM421" s="44" t="n"/>
      <c r="AN421" s="44" t="n"/>
      <c r="AO421" s="44" t="n"/>
      <c r="AP421" s="44" t="n"/>
      <c r="AQ421" s="44" t="n"/>
      <c r="AR421" s="40" t="n"/>
      <c r="AS421" s="40" t="n"/>
      <c r="AT421" s="40" t="n"/>
      <c r="AU421" s="38" t="inlineStr">
        <is>
          <t>IF(OR(E421="",AH421=""),"",IF(COUNT(AG421:AG421)=0,"",AH421-LOOKUP(2,1/(AG421:AG421&lt;&gt;""),AG421:AG421)))</t>
        </is>
      </c>
      <c r="AV421" s="38" t="inlineStr">
        <is>
          <t>IF(OR(E421="",AI421=""),"",IF(COUNT(AG421:AH421)=0,"",AI421-LOOKUP(2,1/(AG421:AH421&lt;&gt;""),AG421:AH421)))</t>
        </is>
      </c>
      <c r="AW421" s="38" t="inlineStr">
        <is>
          <t>IF(OR(E421="",AJ421=""),"",IF(COUNT(AG421:AI421)=0,"",AJ421-LOOKUP(2,1/(AG421:AI421&lt;&gt;""),AG421:AI421)))</t>
        </is>
      </c>
      <c r="AX421" s="38" t="inlineStr">
        <is>
          <t>IF(OR(E421="",AK421=""),"",IF(COUNT(AG421:AJ421)=0,"",AK421-LOOKUP(2,1/(AG421:AJ421&lt;&gt;""),AG421:AJ421)))</t>
        </is>
      </c>
      <c r="AY421" s="38" t="inlineStr">
        <is>
          <t>IF(OR(E421="",AL421=""),"",IF(COUNT(AG421:AK421)=0,"",AL421-LOOKUP(2,1/(AG421:AK421&lt;&gt;""),AG421:AK421)))</t>
        </is>
      </c>
      <c r="AZ421" s="38" t="inlineStr">
        <is>
          <t>IF(OR(E421="",AM421=""),"",IF(COUNT(AG421:AL421)=0,"",AM421-LOOKUP(2,1/(AG421:AL421&lt;&gt;""),AG421:AL421)))</t>
        </is>
      </c>
      <c r="BA421" s="38" t="inlineStr">
        <is>
          <t>IF(OR(E421="",AN421=""),"",IF(COUNT(AG421:AM421)=0,"",AN421-LOOKUP(2,1/(AG421:AM421&lt;&gt;""),AG421:AM421)))</t>
        </is>
      </c>
      <c r="BB421" s="38" t="inlineStr">
        <is>
          <t>IF(OR(E421="",AO421=""),"",IF(COUNT(AG421:AN421)=0,"",AO421-LOOKUP(2,1/(AG421:AN421&lt;&gt;""),AG421:AN421)))</t>
        </is>
      </c>
      <c r="BC421" s="38" t="inlineStr">
        <is>
          <t>IF(OR(E421="",AP421=""),"",IF(COUNT(AG421:AO421)=0,"",AP421-LOOKUP(2,1/(AG421:AO421&lt;&gt;""),AG421:AO421)))</t>
        </is>
      </c>
      <c r="BD421" s="38" t="inlineStr">
        <is>
          <t>IF(OR(E421="",AQ421=""),"",IF(COUNT(AG421:AP421)=0,"",AQ421-LOOKUP(2,1/(AG421:AP421&lt;&gt;""),AG421:AP421)))</t>
        </is>
      </c>
      <c r="BE421" s="38" t="inlineStr">
        <is>
          <t>IF(OR(E421="",AR421=""),"",IF(COUNT(AG421:AQ421)=0,"",AR421-LOOKUP(2,1/(AG421:AQ421&lt;&gt;""),AG421:AQ421)))</t>
        </is>
      </c>
      <c r="BF421" s="38" t="inlineStr">
        <is>
          <t>IF(OR(E421="",AS421=""),"",IF(COUNT(AG421:AR421)=0,"",AS421-LOOKUP(2,1/(AG421:AR421&lt;&gt;""),AG421:AR421)))</t>
        </is>
      </c>
      <c r="BG421" s="38" t="inlineStr">
        <is>
          <t>IF(OR(E421="",AT421=""),"",IF(COUNT(AG421:AS421)=0,"",AT421-LOOKUP(2,1/(AG421:AS421&lt;&gt;""),AG421:AS421)))</t>
        </is>
      </c>
      <c r="BH421" s="41" t="inlineStr">
        <is>
          <t>IF(G421="","All_Provinces",IFERROR(VLOOKUP(G421,'07_Lookups'!$A$4:$B$20,2,FALSE),"All_Provinces"))</t>
        </is>
      </c>
      <c r="BI421" s="41" t="inlineStr">
        <is>
          <t>IF(H421="","All_Districts",IFERROR(VLOOKUP(H421,'07_Lookups'!$E$4:$F$42,2,FALSE),"All_Districts"))</t>
        </is>
      </c>
    </row>
    <row r="422" ht="18" customHeight="1">
      <c r="A422" s="32" t="inlineStr">
        <is>
          <t>IF(E422="","",ROW()-3)</t>
        </is>
      </c>
      <c r="B422" s="33" t="n"/>
      <c r="C422" s="33" t="n"/>
      <c r="D422" s="33" t="n"/>
      <c r="E422" s="33" t="n"/>
      <c r="F422" s="33" t="n"/>
      <c r="G422" s="33" t="n"/>
      <c r="H422" s="33" t="n"/>
      <c r="I422" s="33" t="n"/>
      <c r="J422" s="33" t="n"/>
      <c r="K422" s="33" t="n"/>
      <c r="L422" s="33" t="n"/>
      <c r="M422" s="33" t="n"/>
      <c r="N422" s="33" t="n"/>
      <c r="O422" s="33" t="n"/>
      <c r="P422" s="33" t="n"/>
      <c r="Q422" s="34" t="n"/>
      <c r="R422" s="35" t="inlineStr">
        <is>
          <t>IF(AO422="","",AO422)</t>
        </is>
      </c>
      <c r="S422" s="36" t="n"/>
      <c r="T422" s="37" t="n"/>
      <c r="U422" s="36" t="n"/>
      <c r="V422" s="35" t="inlineStr">
        <is>
          <t>IF(U422&lt;&gt;"",U422,IF(OR(R422="",T422=""),"",EDATE(R422,T422)))</t>
        </is>
      </c>
      <c r="W422" s="36" t="n"/>
      <c r="X422" s="37" t="n"/>
      <c r="Y422" s="33" t="n"/>
      <c r="Z422" s="33" t="n"/>
      <c r="AA422" s="32" t="inlineStr">
        <is>
          <t>IF(E422="","",IF(COUNT(AG422:AT422)=0,IF(Y422="","Not started",Y422),SUBSTITUTE(LOOKUP(2,1/(AG422:AT422&lt;&gt;""),$AG$3:$AT$3),"Date: ","")))</t>
        </is>
      </c>
      <c r="AB422" s="38" t="inlineStr">
        <is>
          <t>IF(OR(E422="",COUNT(AG422:AT422)=0),"",TODAY()-LOOKUP(2,1/(AG422:AT422&lt;&gt;""),AG422:AT422))</t>
        </is>
      </c>
      <c r="AC422" s="38" t="inlineStr">
        <is>
          <t>IF(OR(E422="",COUNT(AG422:AT422)&lt;2),"",LOOKUP(2,1/(AG422:AT422&lt;&gt;""),AG422:AT422)-MIN(AG422:AT422))</t>
        </is>
      </c>
      <c r="AD422" s="38" t="inlineStr">
        <is>
          <t>IF(OR(AB422="",AA422="Not started",AA422=""),"",IFERROR(AB422-IF(VLOOKUP(AA422,'04_Status_Pipeline'!$B$3:$E$20,4,FALSE)="",0,VLOOKUP(AA422,'04_Status_Pipeline'!$B$3:$E$20,4,FALSE)),""))</t>
        </is>
      </c>
      <c r="AE422" s="32" t="inlineStr">
        <is>
          <t>IF(E422="","",IF(OR(Y422="Cancelled",AA422="Cancelled"),"Cancelled",IF(OR(AA422="Completed / Handover",W422&lt;&gt;"",X422&gt;=100),"Completed — on track",IF(L422="Remaining",IF(S422="",IF(V422="","No planned date",IF(TODAY()&gt;V422,"Behind — past planned date",IF(V422-TODAY()&lt;=30,"At risk — close to off track","On track"))),IF(TODAY()&gt;S422,"Behind — award date passed",IF(S422-TODAY()&lt;=30,"At risk — close to off track","On track"))),IF(V422="","No planned date",IF(AND(TODAY()&gt;V422,OR(X422="",X422&lt;100)),"Behind — past end date",IF(AND(R422&lt;&gt;"",V422&lt;&gt;"",X422&lt;&gt;"",(X422&lt;100),((TODAY()-R422)/MAX(V422-R422,1)*100)-X422&gt;15),"Behind — progress lag",IF(AND(V422-TODAY()&lt;=30,V422-TODAY()&gt;=0,OR(X422="",X422&lt;90)),"At risk — close to off track","On track"))))))))</t>
        </is>
      </c>
      <c r="AF422" s="38" t="inlineStr">
        <is>
          <t>IF(OR(E422="",AA422="Completed / Handover",AA422="Cancelled"),"",IF(L422="Remaining",IF(S422&lt;&gt;"",S422-TODAY(),IF(V422="","",V422-TODAY())),IF(V422="","",V422-TODAY())))</t>
        </is>
      </c>
      <c r="AG422" s="36" t="n"/>
      <c r="AH422" s="36" t="n"/>
      <c r="AI422" s="36" t="n"/>
      <c r="AJ422" s="36" t="n"/>
      <c r="AK422" s="36" t="n"/>
      <c r="AL422" s="36" t="n"/>
      <c r="AM422" s="36" t="n"/>
      <c r="AN422" s="36" t="n"/>
      <c r="AO422" s="36" t="n"/>
      <c r="AP422" s="36" t="n"/>
      <c r="AQ422" s="36" t="n"/>
      <c r="AR422" s="40" t="n"/>
      <c r="AS422" s="40" t="n"/>
      <c r="AT422" s="40" t="n"/>
      <c r="AU422" s="38" t="inlineStr">
        <is>
          <t>IF(OR(E422="",AH422=""),"",IF(COUNT(AG422:AG422)=0,"",AH422-LOOKUP(2,1/(AG422:AG422&lt;&gt;""),AG422:AG422)))</t>
        </is>
      </c>
      <c r="AV422" s="38" t="inlineStr">
        <is>
          <t>IF(OR(E422="",AI422=""),"",IF(COUNT(AG422:AH422)=0,"",AI422-LOOKUP(2,1/(AG422:AH422&lt;&gt;""),AG422:AH422)))</t>
        </is>
      </c>
      <c r="AW422" s="38" t="inlineStr">
        <is>
          <t>IF(OR(E422="",AJ422=""),"",IF(COUNT(AG422:AI422)=0,"",AJ422-LOOKUP(2,1/(AG422:AI422&lt;&gt;""),AG422:AI422)))</t>
        </is>
      </c>
      <c r="AX422" s="38" t="inlineStr">
        <is>
          <t>IF(OR(E422="",AK422=""),"",IF(COUNT(AG422:AJ422)=0,"",AK422-LOOKUP(2,1/(AG422:AJ422&lt;&gt;""),AG422:AJ422)))</t>
        </is>
      </c>
      <c r="AY422" s="38" t="inlineStr">
        <is>
          <t>IF(OR(E422="",AL422=""),"",IF(COUNT(AG422:AK422)=0,"",AL422-LOOKUP(2,1/(AG422:AK422&lt;&gt;""),AG422:AK422)))</t>
        </is>
      </c>
      <c r="AZ422" s="38" t="inlineStr">
        <is>
          <t>IF(OR(E422="",AM422=""),"",IF(COUNT(AG422:AL422)=0,"",AM422-LOOKUP(2,1/(AG422:AL422&lt;&gt;""),AG422:AL422)))</t>
        </is>
      </c>
      <c r="BA422" s="38" t="inlineStr">
        <is>
          <t>IF(OR(E422="",AN422=""),"",IF(COUNT(AG422:AM422)=0,"",AN422-LOOKUP(2,1/(AG422:AM422&lt;&gt;""),AG422:AM422)))</t>
        </is>
      </c>
      <c r="BB422" s="38" t="inlineStr">
        <is>
          <t>IF(OR(E422="",AO422=""),"",IF(COUNT(AG422:AN422)=0,"",AO422-LOOKUP(2,1/(AG422:AN422&lt;&gt;""),AG422:AN422)))</t>
        </is>
      </c>
      <c r="BC422" s="38" t="inlineStr">
        <is>
          <t>IF(OR(E422="",AP422=""),"",IF(COUNT(AG422:AO422)=0,"",AP422-LOOKUP(2,1/(AG422:AO422&lt;&gt;""),AG422:AO422)))</t>
        </is>
      </c>
      <c r="BD422" s="38" t="inlineStr">
        <is>
          <t>IF(OR(E422="",AQ422=""),"",IF(COUNT(AG422:AP422)=0,"",AQ422-LOOKUP(2,1/(AG422:AP422&lt;&gt;""),AG422:AP422)))</t>
        </is>
      </c>
      <c r="BE422" s="38" t="inlineStr">
        <is>
          <t>IF(OR(E422="",AR422=""),"",IF(COUNT(AG422:AQ422)=0,"",AR422-LOOKUP(2,1/(AG422:AQ422&lt;&gt;""),AG422:AQ422)))</t>
        </is>
      </c>
      <c r="BF422" s="38" t="inlineStr">
        <is>
          <t>IF(OR(E422="",AS422=""),"",IF(COUNT(AG422:AR422)=0,"",AS422-LOOKUP(2,1/(AG422:AR422&lt;&gt;""),AG422:AR422)))</t>
        </is>
      </c>
      <c r="BG422" s="38" t="inlineStr">
        <is>
          <t>IF(OR(E422="",AT422=""),"",IF(COUNT(AG422:AS422)=0,"",AT422-LOOKUP(2,1/(AG422:AS422&lt;&gt;""),AG422:AS422)))</t>
        </is>
      </c>
      <c r="BH422" s="41" t="inlineStr">
        <is>
          <t>IF(G422="","All_Provinces",IFERROR(VLOOKUP(G422,'07_Lookups'!$A$4:$B$20,2,FALSE),"All_Provinces"))</t>
        </is>
      </c>
      <c r="BI422" s="41" t="inlineStr">
        <is>
          <t>IF(H422="","All_Districts",IFERROR(VLOOKUP(H422,'07_Lookups'!$E$4:$F$42,2,FALSE),"All_Districts"))</t>
        </is>
      </c>
    </row>
    <row r="423" ht="18" customHeight="1">
      <c r="A423" s="32" t="inlineStr">
        <is>
          <t>IF(E423="","",ROW()-3)</t>
        </is>
      </c>
      <c r="B423" s="42" t="n"/>
      <c r="C423" s="42" t="n"/>
      <c r="D423" s="42" t="n"/>
      <c r="E423" s="42" t="n"/>
      <c r="F423" s="42" t="n"/>
      <c r="G423" s="42" t="n"/>
      <c r="H423" s="42" t="n"/>
      <c r="I423" s="42" t="n"/>
      <c r="J423" s="42" t="n"/>
      <c r="K423" s="42" t="n"/>
      <c r="L423" s="42" t="n"/>
      <c r="M423" s="42" t="n"/>
      <c r="N423" s="42" t="n"/>
      <c r="O423" s="42" t="n"/>
      <c r="P423" s="42" t="n"/>
      <c r="Q423" s="43" t="n"/>
      <c r="R423" s="35" t="inlineStr">
        <is>
          <t>IF(AO423="","",AO423)</t>
        </is>
      </c>
      <c r="S423" s="44" t="n"/>
      <c r="T423" s="45" t="n"/>
      <c r="U423" s="44" t="n"/>
      <c r="V423" s="35" t="inlineStr">
        <is>
          <t>IF(U423&lt;&gt;"",U423,IF(OR(R423="",T423=""),"",EDATE(R423,T423)))</t>
        </is>
      </c>
      <c r="W423" s="44" t="n"/>
      <c r="X423" s="45" t="n"/>
      <c r="Y423" s="42" t="n"/>
      <c r="Z423" s="42" t="n"/>
      <c r="AA423" s="32" t="inlineStr">
        <is>
          <t>IF(E423="","",IF(COUNT(AG423:AT423)=0,IF(Y423="","Not started",Y423),SUBSTITUTE(LOOKUP(2,1/(AG423:AT423&lt;&gt;""),$AG$3:$AT$3),"Date: ","")))</t>
        </is>
      </c>
      <c r="AB423" s="38" t="inlineStr">
        <is>
          <t>IF(OR(E423="",COUNT(AG423:AT423)=0),"",TODAY()-LOOKUP(2,1/(AG423:AT423&lt;&gt;""),AG423:AT423))</t>
        </is>
      </c>
      <c r="AC423" s="38" t="inlineStr">
        <is>
          <t>IF(OR(E423="",COUNT(AG423:AT423)&lt;2),"",LOOKUP(2,1/(AG423:AT423&lt;&gt;""),AG423:AT423)-MIN(AG423:AT423))</t>
        </is>
      </c>
      <c r="AD423" s="38" t="inlineStr">
        <is>
          <t>IF(OR(AB423="",AA423="Not started",AA423=""),"",IFERROR(AB423-IF(VLOOKUP(AA423,'04_Status_Pipeline'!$B$3:$E$20,4,FALSE)="",0,VLOOKUP(AA423,'04_Status_Pipeline'!$B$3:$E$20,4,FALSE)),""))</t>
        </is>
      </c>
      <c r="AE423" s="32" t="inlineStr">
        <is>
          <t>IF(E423="","",IF(OR(Y423="Cancelled",AA423="Cancelled"),"Cancelled",IF(OR(AA423="Completed / Handover",W423&lt;&gt;"",X423&gt;=100),"Completed — on track",IF(L423="Remaining",IF(S423="",IF(V423="","No planned date",IF(TODAY()&gt;V423,"Behind — past planned date",IF(V423-TODAY()&lt;=30,"At risk — close to off track","On track"))),IF(TODAY()&gt;S423,"Behind — award date passed",IF(S423-TODAY()&lt;=30,"At risk — close to off track","On track"))),IF(V423="","No planned date",IF(AND(TODAY()&gt;V423,OR(X423="",X423&lt;100)),"Behind — past end date",IF(AND(R423&lt;&gt;"",V423&lt;&gt;"",X423&lt;&gt;"",(X423&lt;100),((TODAY()-R423)/MAX(V423-R423,1)*100)-X423&gt;15),"Behind — progress lag",IF(AND(V423-TODAY()&lt;=30,V423-TODAY()&gt;=0,OR(X423="",X423&lt;90)),"At risk — close to off track","On track"))))))))</t>
        </is>
      </c>
      <c r="AF423" s="38" t="inlineStr">
        <is>
          <t>IF(OR(E423="",AA423="Completed / Handover",AA423="Cancelled"),"",IF(L423="Remaining",IF(S423&lt;&gt;"",S423-TODAY(),IF(V423="","",V423-TODAY())),IF(V423="","",V423-TODAY())))</t>
        </is>
      </c>
      <c r="AG423" s="44" t="n"/>
      <c r="AH423" s="44" t="n"/>
      <c r="AI423" s="44" t="n"/>
      <c r="AJ423" s="44" t="n"/>
      <c r="AK423" s="44" t="n"/>
      <c r="AL423" s="44" t="n"/>
      <c r="AM423" s="44" t="n"/>
      <c r="AN423" s="44" t="n"/>
      <c r="AO423" s="44" t="n"/>
      <c r="AP423" s="44" t="n"/>
      <c r="AQ423" s="44" t="n"/>
      <c r="AR423" s="40" t="n"/>
      <c r="AS423" s="40" t="n"/>
      <c r="AT423" s="40" t="n"/>
      <c r="AU423" s="38" t="inlineStr">
        <is>
          <t>IF(OR(E423="",AH423=""),"",IF(COUNT(AG423:AG423)=0,"",AH423-LOOKUP(2,1/(AG423:AG423&lt;&gt;""),AG423:AG423)))</t>
        </is>
      </c>
      <c r="AV423" s="38" t="inlineStr">
        <is>
          <t>IF(OR(E423="",AI423=""),"",IF(COUNT(AG423:AH423)=0,"",AI423-LOOKUP(2,1/(AG423:AH423&lt;&gt;""),AG423:AH423)))</t>
        </is>
      </c>
      <c r="AW423" s="38" t="inlineStr">
        <is>
          <t>IF(OR(E423="",AJ423=""),"",IF(COUNT(AG423:AI423)=0,"",AJ423-LOOKUP(2,1/(AG423:AI423&lt;&gt;""),AG423:AI423)))</t>
        </is>
      </c>
      <c r="AX423" s="38" t="inlineStr">
        <is>
          <t>IF(OR(E423="",AK423=""),"",IF(COUNT(AG423:AJ423)=0,"",AK423-LOOKUP(2,1/(AG423:AJ423&lt;&gt;""),AG423:AJ423)))</t>
        </is>
      </c>
      <c r="AY423" s="38" t="inlineStr">
        <is>
          <t>IF(OR(E423="",AL423=""),"",IF(COUNT(AG423:AK423)=0,"",AL423-LOOKUP(2,1/(AG423:AK423&lt;&gt;""),AG423:AK423)))</t>
        </is>
      </c>
      <c r="AZ423" s="38" t="inlineStr">
        <is>
          <t>IF(OR(E423="",AM423=""),"",IF(COUNT(AG423:AL423)=0,"",AM423-LOOKUP(2,1/(AG423:AL423&lt;&gt;""),AG423:AL423)))</t>
        </is>
      </c>
      <c r="BA423" s="38" t="inlineStr">
        <is>
          <t>IF(OR(E423="",AN423=""),"",IF(COUNT(AG423:AM423)=0,"",AN423-LOOKUP(2,1/(AG423:AM423&lt;&gt;""),AG423:AM423)))</t>
        </is>
      </c>
      <c r="BB423" s="38" t="inlineStr">
        <is>
          <t>IF(OR(E423="",AO423=""),"",IF(COUNT(AG423:AN423)=0,"",AO423-LOOKUP(2,1/(AG423:AN423&lt;&gt;""),AG423:AN423)))</t>
        </is>
      </c>
      <c r="BC423" s="38" t="inlineStr">
        <is>
          <t>IF(OR(E423="",AP423=""),"",IF(COUNT(AG423:AO423)=0,"",AP423-LOOKUP(2,1/(AG423:AO423&lt;&gt;""),AG423:AO423)))</t>
        </is>
      </c>
      <c r="BD423" s="38" t="inlineStr">
        <is>
          <t>IF(OR(E423="",AQ423=""),"",IF(COUNT(AG423:AP423)=0,"",AQ423-LOOKUP(2,1/(AG423:AP423&lt;&gt;""),AG423:AP423)))</t>
        </is>
      </c>
      <c r="BE423" s="38" t="inlineStr">
        <is>
          <t>IF(OR(E423="",AR423=""),"",IF(COUNT(AG423:AQ423)=0,"",AR423-LOOKUP(2,1/(AG423:AQ423&lt;&gt;""),AG423:AQ423)))</t>
        </is>
      </c>
      <c r="BF423" s="38" t="inlineStr">
        <is>
          <t>IF(OR(E423="",AS423=""),"",IF(COUNT(AG423:AR423)=0,"",AS423-LOOKUP(2,1/(AG423:AR423&lt;&gt;""),AG423:AR423)))</t>
        </is>
      </c>
      <c r="BG423" s="38" t="inlineStr">
        <is>
          <t>IF(OR(E423="",AT423=""),"",IF(COUNT(AG423:AS423)=0,"",AT423-LOOKUP(2,1/(AG423:AS423&lt;&gt;""),AG423:AS423)))</t>
        </is>
      </c>
      <c r="BH423" s="41" t="inlineStr">
        <is>
          <t>IF(G423="","All_Provinces",IFERROR(VLOOKUP(G423,'07_Lookups'!$A$4:$B$20,2,FALSE),"All_Provinces"))</t>
        </is>
      </c>
      <c r="BI423" s="41" t="inlineStr">
        <is>
          <t>IF(H423="","All_Districts",IFERROR(VLOOKUP(H423,'07_Lookups'!$E$4:$F$42,2,FALSE),"All_Districts"))</t>
        </is>
      </c>
    </row>
    <row r="424" ht="18" customHeight="1">
      <c r="A424" s="32" t="inlineStr">
        <is>
          <t>IF(E424="","",ROW()-3)</t>
        </is>
      </c>
      <c r="B424" s="33" t="n"/>
      <c r="C424" s="33" t="n"/>
      <c r="D424" s="33" t="n"/>
      <c r="E424" s="33" t="n"/>
      <c r="F424" s="33" t="n"/>
      <c r="G424" s="33" t="n"/>
      <c r="H424" s="33" t="n"/>
      <c r="I424" s="33" t="n"/>
      <c r="J424" s="33" t="n"/>
      <c r="K424" s="33" t="n"/>
      <c r="L424" s="33" t="n"/>
      <c r="M424" s="33" t="n"/>
      <c r="N424" s="33" t="n"/>
      <c r="O424" s="33" t="n"/>
      <c r="P424" s="33" t="n"/>
      <c r="Q424" s="34" t="n"/>
      <c r="R424" s="35" t="inlineStr">
        <is>
          <t>IF(AO424="","",AO424)</t>
        </is>
      </c>
      <c r="S424" s="36" t="n"/>
      <c r="T424" s="37" t="n"/>
      <c r="U424" s="36" t="n"/>
      <c r="V424" s="35" t="inlineStr">
        <is>
          <t>IF(U424&lt;&gt;"",U424,IF(OR(R424="",T424=""),"",EDATE(R424,T424)))</t>
        </is>
      </c>
      <c r="W424" s="36" t="n"/>
      <c r="X424" s="37" t="n"/>
      <c r="Y424" s="33" t="n"/>
      <c r="Z424" s="33" t="n"/>
      <c r="AA424" s="32" t="inlineStr">
        <is>
          <t>IF(E424="","",IF(COUNT(AG424:AT424)=0,IF(Y424="","Not started",Y424),SUBSTITUTE(LOOKUP(2,1/(AG424:AT424&lt;&gt;""),$AG$3:$AT$3),"Date: ","")))</t>
        </is>
      </c>
      <c r="AB424" s="38" t="inlineStr">
        <is>
          <t>IF(OR(E424="",COUNT(AG424:AT424)=0),"",TODAY()-LOOKUP(2,1/(AG424:AT424&lt;&gt;""),AG424:AT424))</t>
        </is>
      </c>
      <c r="AC424" s="38" t="inlineStr">
        <is>
          <t>IF(OR(E424="",COUNT(AG424:AT424)&lt;2),"",LOOKUP(2,1/(AG424:AT424&lt;&gt;""),AG424:AT424)-MIN(AG424:AT424))</t>
        </is>
      </c>
      <c r="AD424" s="38" t="inlineStr">
        <is>
          <t>IF(OR(AB424="",AA424="Not started",AA424=""),"",IFERROR(AB424-IF(VLOOKUP(AA424,'04_Status_Pipeline'!$B$3:$E$20,4,FALSE)="",0,VLOOKUP(AA424,'04_Status_Pipeline'!$B$3:$E$20,4,FALSE)),""))</t>
        </is>
      </c>
      <c r="AE424" s="32" t="inlineStr">
        <is>
          <t>IF(E424="","",IF(OR(Y424="Cancelled",AA424="Cancelled"),"Cancelled",IF(OR(AA424="Completed / Handover",W424&lt;&gt;"",X424&gt;=100),"Completed — on track",IF(L424="Remaining",IF(S424="",IF(V424="","No planned date",IF(TODAY()&gt;V424,"Behind — past planned date",IF(V424-TODAY()&lt;=30,"At risk — close to off track","On track"))),IF(TODAY()&gt;S424,"Behind — award date passed",IF(S424-TODAY()&lt;=30,"At risk — close to off track","On track"))),IF(V424="","No planned date",IF(AND(TODAY()&gt;V424,OR(X424="",X424&lt;100)),"Behind — past end date",IF(AND(R424&lt;&gt;"",V424&lt;&gt;"",X424&lt;&gt;"",(X424&lt;100),((TODAY()-R424)/MAX(V424-R424,1)*100)-X424&gt;15),"Behind — progress lag",IF(AND(V424-TODAY()&lt;=30,V424-TODAY()&gt;=0,OR(X424="",X424&lt;90)),"At risk — close to off track","On track"))))))))</t>
        </is>
      </c>
      <c r="AF424" s="38" t="inlineStr">
        <is>
          <t>IF(OR(E424="",AA424="Completed / Handover",AA424="Cancelled"),"",IF(L424="Remaining",IF(S424&lt;&gt;"",S424-TODAY(),IF(V424="","",V424-TODAY())),IF(V424="","",V424-TODAY())))</t>
        </is>
      </c>
      <c r="AG424" s="36" t="n"/>
      <c r="AH424" s="36" t="n"/>
      <c r="AI424" s="36" t="n"/>
      <c r="AJ424" s="36" t="n"/>
      <c r="AK424" s="36" t="n"/>
      <c r="AL424" s="36" t="n"/>
      <c r="AM424" s="36" t="n"/>
      <c r="AN424" s="36" t="n"/>
      <c r="AO424" s="36" t="n"/>
      <c r="AP424" s="36" t="n"/>
      <c r="AQ424" s="36" t="n"/>
      <c r="AR424" s="40" t="n"/>
      <c r="AS424" s="40" t="n"/>
      <c r="AT424" s="40" t="n"/>
      <c r="AU424" s="38" t="inlineStr">
        <is>
          <t>IF(OR(E424="",AH424=""),"",IF(COUNT(AG424:AG424)=0,"",AH424-LOOKUP(2,1/(AG424:AG424&lt;&gt;""),AG424:AG424)))</t>
        </is>
      </c>
      <c r="AV424" s="38" t="inlineStr">
        <is>
          <t>IF(OR(E424="",AI424=""),"",IF(COUNT(AG424:AH424)=0,"",AI424-LOOKUP(2,1/(AG424:AH424&lt;&gt;""),AG424:AH424)))</t>
        </is>
      </c>
      <c r="AW424" s="38" t="inlineStr">
        <is>
          <t>IF(OR(E424="",AJ424=""),"",IF(COUNT(AG424:AI424)=0,"",AJ424-LOOKUP(2,1/(AG424:AI424&lt;&gt;""),AG424:AI424)))</t>
        </is>
      </c>
      <c r="AX424" s="38" t="inlineStr">
        <is>
          <t>IF(OR(E424="",AK424=""),"",IF(COUNT(AG424:AJ424)=0,"",AK424-LOOKUP(2,1/(AG424:AJ424&lt;&gt;""),AG424:AJ424)))</t>
        </is>
      </c>
      <c r="AY424" s="38" t="inlineStr">
        <is>
          <t>IF(OR(E424="",AL424=""),"",IF(COUNT(AG424:AK424)=0,"",AL424-LOOKUP(2,1/(AG424:AK424&lt;&gt;""),AG424:AK424)))</t>
        </is>
      </c>
      <c r="AZ424" s="38" t="inlineStr">
        <is>
          <t>IF(OR(E424="",AM424=""),"",IF(COUNT(AG424:AL424)=0,"",AM424-LOOKUP(2,1/(AG424:AL424&lt;&gt;""),AG424:AL424)))</t>
        </is>
      </c>
      <c r="BA424" s="38" t="inlineStr">
        <is>
          <t>IF(OR(E424="",AN424=""),"",IF(COUNT(AG424:AM424)=0,"",AN424-LOOKUP(2,1/(AG424:AM424&lt;&gt;""),AG424:AM424)))</t>
        </is>
      </c>
      <c r="BB424" s="38" t="inlineStr">
        <is>
          <t>IF(OR(E424="",AO424=""),"",IF(COUNT(AG424:AN424)=0,"",AO424-LOOKUP(2,1/(AG424:AN424&lt;&gt;""),AG424:AN424)))</t>
        </is>
      </c>
      <c r="BC424" s="38" t="inlineStr">
        <is>
          <t>IF(OR(E424="",AP424=""),"",IF(COUNT(AG424:AO424)=0,"",AP424-LOOKUP(2,1/(AG424:AO424&lt;&gt;""),AG424:AO424)))</t>
        </is>
      </c>
      <c r="BD424" s="38" t="inlineStr">
        <is>
          <t>IF(OR(E424="",AQ424=""),"",IF(COUNT(AG424:AP424)=0,"",AQ424-LOOKUP(2,1/(AG424:AP424&lt;&gt;""),AG424:AP424)))</t>
        </is>
      </c>
      <c r="BE424" s="38" t="inlineStr">
        <is>
          <t>IF(OR(E424="",AR424=""),"",IF(COUNT(AG424:AQ424)=0,"",AR424-LOOKUP(2,1/(AG424:AQ424&lt;&gt;""),AG424:AQ424)))</t>
        </is>
      </c>
      <c r="BF424" s="38" t="inlineStr">
        <is>
          <t>IF(OR(E424="",AS424=""),"",IF(COUNT(AG424:AR424)=0,"",AS424-LOOKUP(2,1/(AG424:AR424&lt;&gt;""),AG424:AR424)))</t>
        </is>
      </c>
      <c r="BG424" s="38" t="inlineStr">
        <is>
          <t>IF(OR(E424="",AT424=""),"",IF(COUNT(AG424:AS424)=0,"",AT424-LOOKUP(2,1/(AG424:AS424&lt;&gt;""),AG424:AS424)))</t>
        </is>
      </c>
      <c r="BH424" s="41" t="inlineStr">
        <is>
          <t>IF(G424="","All_Provinces",IFERROR(VLOOKUP(G424,'07_Lookups'!$A$4:$B$20,2,FALSE),"All_Provinces"))</t>
        </is>
      </c>
      <c r="BI424" s="41" t="inlineStr">
        <is>
          <t>IF(H424="","All_Districts",IFERROR(VLOOKUP(H424,'07_Lookups'!$E$4:$F$42,2,FALSE),"All_Districts"))</t>
        </is>
      </c>
    </row>
    <row r="425" ht="18" customHeight="1">
      <c r="A425" s="32" t="inlineStr">
        <is>
          <t>IF(E425="","",ROW()-3)</t>
        </is>
      </c>
      <c r="B425" s="42" t="n"/>
      <c r="C425" s="42" t="n"/>
      <c r="D425" s="42" t="n"/>
      <c r="E425" s="42" t="n"/>
      <c r="F425" s="42" t="n"/>
      <c r="G425" s="42" t="n"/>
      <c r="H425" s="42" t="n"/>
      <c r="I425" s="42" t="n"/>
      <c r="J425" s="42" t="n"/>
      <c r="K425" s="42" t="n"/>
      <c r="L425" s="42" t="n"/>
      <c r="M425" s="42" t="n"/>
      <c r="N425" s="42" t="n"/>
      <c r="O425" s="42" t="n"/>
      <c r="P425" s="42" t="n"/>
      <c r="Q425" s="43" t="n"/>
      <c r="R425" s="35" t="inlineStr">
        <is>
          <t>IF(AO425="","",AO425)</t>
        </is>
      </c>
      <c r="S425" s="44" t="n"/>
      <c r="T425" s="45" t="n"/>
      <c r="U425" s="44" t="n"/>
      <c r="V425" s="35" t="inlineStr">
        <is>
          <t>IF(U425&lt;&gt;"",U425,IF(OR(R425="",T425=""),"",EDATE(R425,T425)))</t>
        </is>
      </c>
      <c r="W425" s="44" t="n"/>
      <c r="X425" s="45" t="n"/>
      <c r="Y425" s="42" t="n"/>
      <c r="Z425" s="42" t="n"/>
      <c r="AA425" s="32" t="inlineStr">
        <is>
          <t>IF(E425="","",IF(COUNT(AG425:AT425)=0,IF(Y425="","Not started",Y425),SUBSTITUTE(LOOKUP(2,1/(AG425:AT425&lt;&gt;""),$AG$3:$AT$3),"Date: ","")))</t>
        </is>
      </c>
      <c r="AB425" s="38" t="inlineStr">
        <is>
          <t>IF(OR(E425="",COUNT(AG425:AT425)=0),"",TODAY()-LOOKUP(2,1/(AG425:AT425&lt;&gt;""),AG425:AT425))</t>
        </is>
      </c>
      <c r="AC425" s="38" t="inlineStr">
        <is>
          <t>IF(OR(E425="",COUNT(AG425:AT425)&lt;2),"",LOOKUP(2,1/(AG425:AT425&lt;&gt;""),AG425:AT425)-MIN(AG425:AT425))</t>
        </is>
      </c>
      <c r="AD425" s="38" t="inlineStr">
        <is>
          <t>IF(OR(AB425="",AA425="Not started",AA425=""),"",IFERROR(AB425-IF(VLOOKUP(AA425,'04_Status_Pipeline'!$B$3:$E$20,4,FALSE)="",0,VLOOKUP(AA425,'04_Status_Pipeline'!$B$3:$E$20,4,FALSE)),""))</t>
        </is>
      </c>
      <c r="AE425" s="32" t="inlineStr">
        <is>
          <t>IF(E425="","",IF(OR(Y425="Cancelled",AA425="Cancelled"),"Cancelled",IF(OR(AA425="Completed / Handover",W425&lt;&gt;"",X425&gt;=100),"Completed — on track",IF(L425="Remaining",IF(S425="",IF(V425="","No planned date",IF(TODAY()&gt;V425,"Behind — past planned date",IF(V425-TODAY()&lt;=30,"At risk — close to off track","On track"))),IF(TODAY()&gt;S425,"Behind — award date passed",IF(S425-TODAY()&lt;=30,"At risk — close to off track","On track"))),IF(V425="","No planned date",IF(AND(TODAY()&gt;V425,OR(X425="",X425&lt;100)),"Behind — past end date",IF(AND(R425&lt;&gt;"",V425&lt;&gt;"",X425&lt;&gt;"",(X425&lt;100),((TODAY()-R425)/MAX(V425-R425,1)*100)-X425&gt;15),"Behind — progress lag",IF(AND(V425-TODAY()&lt;=30,V425-TODAY()&gt;=0,OR(X425="",X425&lt;90)),"At risk — close to off track","On track"))))))))</t>
        </is>
      </c>
      <c r="AF425" s="38" t="inlineStr">
        <is>
          <t>IF(OR(E425="",AA425="Completed / Handover",AA425="Cancelled"),"",IF(L425="Remaining",IF(S425&lt;&gt;"",S425-TODAY(),IF(V425="","",V425-TODAY())),IF(V425="","",V425-TODAY())))</t>
        </is>
      </c>
      <c r="AG425" s="44" t="n"/>
      <c r="AH425" s="44" t="n"/>
      <c r="AI425" s="44" t="n"/>
      <c r="AJ425" s="44" t="n"/>
      <c r="AK425" s="44" t="n"/>
      <c r="AL425" s="44" t="n"/>
      <c r="AM425" s="44" t="n"/>
      <c r="AN425" s="44" t="n"/>
      <c r="AO425" s="44" t="n"/>
      <c r="AP425" s="44" t="n"/>
      <c r="AQ425" s="44" t="n"/>
      <c r="AR425" s="40" t="n"/>
      <c r="AS425" s="40" t="n"/>
      <c r="AT425" s="40" t="n"/>
      <c r="AU425" s="38" t="inlineStr">
        <is>
          <t>IF(OR(E425="",AH425=""),"",IF(COUNT(AG425:AG425)=0,"",AH425-LOOKUP(2,1/(AG425:AG425&lt;&gt;""),AG425:AG425)))</t>
        </is>
      </c>
      <c r="AV425" s="38" t="inlineStr">
        <is>
          <t>IF(OR(E425="",AI425=""),"",IF(COUNT(AG425:AH425)=0,"",AI425-LOOKUP(2,1/(AG425:AH425&lt;&gt;""),AG425:AH425)))</t>
        </is>
      </c>
      <c r="AW425" s="38" t="inlineStr">
        <is>
          <t>IF(OR(E425="",AJ425=""),"",IF(COUNT(AG425:AI425)=0,"",AJ425-LOOKUP(2,1/(AG425:AI425&lt;&gt;""),AG425:AI425)))</t>
        </is>
      </c>
      <c r="AX425" s="38" t="inlineStr">
        <is>
          <t>IF(OR(E425="",AK425=""),"",IF(COUNT(AG425:AJ425)=0,"",AK425-LOOKUP(2,1/(AG425:AJ425&lt;&gt;""),AG425:AJ425)))</t>
        </is>
      </c>
      <c r="AY425" s="38" t="inlineStr">
        <is>
          <t>IF(OR(E425="",AL425=""),"",IF(COUNT(AG425:AK425)=0,"",AL425-LOOKUP(2,1/(AG425:AK425&lt;&gt;""),AG425:AK425)))</t>
        </is>
      </c>
      <c r="AZ425" s="38" t="inlineStr">
        <is>
          <t>IF(OR(E425="",AM425=""),"",IF(COUNT(AG425:AL425)=0,"",AM425-LOOKUP(2,1/(AG425:AL425&lt;&gt;""),AG425:AL425)))</t>
        </is>
      </c>
      <c r="BA425" s="38" t="inlineStr">
        <is>
          <t>IF(OR(E425="",AN425=""),"",IF(COUNT(AG425:AM425)=0,"",AN425-LOOKUP(2,1/(AG425:AM425&lt;&gt;""),AG425:AM425)))</t>
        </is>
      </c>
      <c r="BB425" s="38" t="inlineStr">
        <is>
          <t>IF(OR(E425="",AO425=""),"",IF(COUNT(AG425:AN425)=0,"",AO425-LOOKUP(2,1/(AG425:AN425&lt;&gt;""),AG425:AN425)))</t>
        </is>
      </c>
      <c r="BC425" s="38" t="inlineStr">
        <is>
          <t>IF(OR(E425="",AP425=""),"",IF(COUNT(AG425:AO425)=0,"",AP425-LOOKUP(2,1/(AG425:AO425&lt;&gt;""),AG425:AO425)))</t>
        </is>
      </c>
      <c r="BD425" s="38" t="inlineStr">
        <is>
          <t>IF(OR(E425="",AQ425=""),"",IF(COUNT(AG425:AP425)=0,"",AQ425-LOOKUP(2,1/(AG425:AP425&lt;&gt;""),AG425:AP425)))</t>
        </is>
      </c>
      <c r="BE425" s="38" t="inlineStr">
        <is>
          <t>IF(OR(E425="",AR425=""),"",IF(COUNT(AG425:AQ425)=0,"",AR425-LOOKUP(2,1/(AG425:AQ425&lt;&gt;""),AG425:AQ425)))</t>
        </is>
      </c>
      <c r="BF425" s="38" t="inlineStr">
        <is>
          <t>IF(OR(E425="",AS425=""),"",IF(COUNT(AG425:AR425)=0,"",AS425-LOOKUP(2,1/(AG425:AR425&lt;&gt;""),AG425:AR425)))</t>
        </is>
      </c>
      <c r="BG425" s="38" t="inlineStr">
        <is>
          <t>IF(OR(E425="",AT425=""),"",IF(COUNT(AG425:AS425)=0,"",AT425-LOOKUP(2,1/(AG425:AS425&lt;&gt;""),AG425:AS425)))</t>
        </is>
      </c>
      <c r="BH425" s="41" t="inlineStr">
        <is>
          <t>IF(G425="","All_Provinces",IFERROR(VLOOKUP(G425,'07_Lookups'!$A$4:$B$20,2,FALSE),"All_Provinces"))</t>
        </is>
      </c>
      <c r="BI425" s="41" t="inlineStr">
        <is>
          <t>IF(H425="","All_Districts",IFERROR(VLOOKUP(H425,'07_Lookups'!$E$4:$F$42,2,FALSE),"All_Districts"))</t>
        </is>
      </c>
    </row>
    <row r="426" ht="18" customHeight="1">
      <c r="A426" s="32" t="inlineStr">
        <is>
          <t>IF(E426="","",ROW()-3)</t>
        </is>
      </c>
      <c r="B426" s="33" t="n"/>
      <c r="C426" s="33" t="n"/>
      <c r="D426" s="33" t="n"/>
      <c r="E426" s="33" t="n"/>
      <c r="F426" s="33" t="n"/>
      <c r="G426" s="33" t="n"/>
      <c r="H426" s="33" t="n"/>
      <c r="I426" s="33" t="n"/>
      <c r="J426" s="33" t="n"/>
      <c r="K426" s="33" t="n"/>
      <c r="L426" s="33" t="n"/>
      <c r="M426" s="33" t="n"/>
      <c r="N426" s="33" t="n"/>
      <c r="O426" s="33" t="n"/>
      <c r="P426" s="33" t="n"/>
      <c r="Q426" s="34" t="n"/>
      <c r="R426" s="35" t="inlineStr">
        <is>
          <t>IF(AO426="","",AO426)</t>
        </is>
      </c>
      <c r="S426" s="36" t="n"/>
      <c r="T426" s="37" t="n"/>
      <c r="U426" s="36" t="n"/>
      <c r="V426" s="35" t="inlineStr">
        <is>
          <t>IF(U426&lt;&gt;"",U426,IF(OR(R426="",T426=""),"",EDATE(R426,T426)))</t>
        </is>
      </c>
      <c r="W426" s="36" t="n"/>
      <c r="X426" s="37" t="n"/>
      <c r="Y426" s="33" t="n"/>
      <c r="Z426" s="33" t="n"/>
      <c r="AA426" s="32" t="inlineStr">
        <is>
          <t>IF(E426="","",IF(COUNT(AG426:AT426)=0,IF(Y426="","Not started",Y426),SUBSTITUTE(LOOKUP(2,1/(AG426:AT426&lt;&gt;""),$AG$3:$AT$3),"Date: ","")))</t>
        </is>
      </c>
      <c r="AB426" s="38" t="inlineStr">
        <is>
          <t>IF(OR(E426="",COUNT(AG426:AT426)=0),"",TODAY()-LOOKUP(2,1/(AG426:AT426&lt;&gt;""),AG426:AT426))</t>
        </is>
      </c>
      <c r="AC426" s="38" t="inlineStr">
        <is>
          <t>IF(OR(E426="",COUNT(AG426:AT426)&lt;2),"",LOOKUP(2,1/(AG426:AT426&lt;&gt;""),AG426:AT426)-MIN(AG426:AT426))</t>
        </is>
      </c>
      <c r="AD426" s="38" t="inlineStr">
        <is>
          <t>IF(OR(AB426="",AA426="Not started",AA426=""),"",IFERROR(AB426-IF(VLOOKUP(AA426,'04_Status_Pipeline'!$B$3:$E$20,4,FALSE)="",0,VLOOKUP(AA426,'04_Status_Pipeline'!$B$3:$E$20,4,FALSE)),""))</t>
        </is>
      </c>
      <c r="AE426" s="32" t="inlineStr">
        <is>
          <t>IF(E426="","",IF(OR(Y426="Cancelled",AA426="Cancelled"),"Cancelled",IF(OR(AA426="Completed / Handover",W426&lt;&gt;"",X426&gt;=100),"Completed — on track",IF(L426="Remaining",IF(S426="",IF(V426="","No planned date",IF(TODAY()&gt;V426,"Behind — past planned date",IF(V426-TODAY()&lt;=30,"At risk — close to off track","On track"))),IF(TODAY()&gt;S426,"Behind — award date passed",IF(S426-TODAY()&lt;=30,"At risk — close to off track","On track"))),IF(V426="","No planned date",IF(AND(TODAY()&gt;V426,OR(X426="",X426&lt;100)),"Behind — past end date",IF(AND(R426&lt;&gt;"",V426&lt;&gt;"",X426&lt;&gt;"",(X426&lt;100),((TODAY()-R426)/MAX(V426-R426,1)*100)-X426&gt;15),"Behind — progress lag",IF(AND(V426-TODAY()&lt;=30,V426-TODAY()&gt;=0,OR(X426="",X426&lt;90)),"At risk — close to off track","On track"))))))))</t>
        </is>
      </c>
      <c r="AF426" s="38" t="inlineStr">
        <is>
          <t>IF(OR(E426="",AA426="Completed / Handover",AA426="Cancelled"),"",IF(L426="Remaining",IF(S426&lt;&gt;"",S426-TODAY(),IF(V426="","",V426-TODAY())),IF(V426="","",V426-TODAY())))</t>
        </is>
      </c>
      <c r="AG426" s="36" t="n"/>
      <c r="AH426" s="36" t="n"/>
      <c r="AI426" s="36" t="n"/>
      <c r="AJ426" s="36" t="n"/>
      <c r="AK426" s="36" t="n"/>
      <c r="AL426" s="36" t="n"/>
      <c r="AM426" s="36" t="n"/>
      <c r="AN426" s="36" t="n"/>
      <c r="AO426" s="36" t="n"/>
      <c r="AP426" s="36" t="n"/>
      <c r="AQ426" s="36" t="n"/>
      <c r="AR426" s="40" t="n"/>
      <c r="AS426" s="40" t="n"/>
      <c r="AT426" s="40" t="n"/>
      <c r="AU426" s="38" t="inlineStr">
        <is>
          <t>IF(OR(E426="",AH426=""),"",IF(COUNT(AG426:AG426)=0,"",AH426-LOOKUP(2,1/(AG426:AG426&lt;&gt;""),AG426:AG426)))</t>
        </is>
      </c>
      <c r="AV426" s="38" t="inlineStr">
        <is>
          <t>IF(OR(E426="",AI426=""),"",IF(COUNT(AG426:AH426)=0,"",AI426-LOOKUP(2,1/(AG426:AH426&lt;&gt;""),AG426:AH426)))</t>
        </is>
      </c>
      <c r="AW426" s="38" t="inlineStr">
        <is>
          <t>IF(OR(E426="",AJ426=""),"",IF(COUNT(AG426:AI426)=0,"",AJ426-LOOKUP(2,1/(AG426:AI426&lt;&gt;""),AG426:AI426)))</t>
        </is>
      </c>
      <c r="AX426" s="38" t="inlineStr">
        <is>
          <t>IF(OR(E426="",AK426=""),"",IF(COUNT(AG426:AJ426)=0,"",AK426-LOOKUP(2,1/(AG426:AJ426&lt;&gt;""),AG426:AJ426)))</t>
        </is>
      </c>
      <c r="AY426" s="38" t="inlineStr">
        <is>
          <t>IF(OR(E426="",AL426=""),"",IF(COUNT(AG426:AK426)=0,"",AL426-LOOKUP(2,1/(AG426:AK426&lt;&gt;""),AG426:AK426)))</t>
        </is>
      </c>
      <c r="AZ426" s="38" t="inlineStr">
        <is>
          <t>IF(OR(E426="",AM426=""),"",IF(COUNT(AG426:AL426)=0,"",AM426-LOOKUP(2,1/(AG426:AL426&lt;&gt;""),AG426:AL426)))</t>
        </is>
      </c>
      <c r="BA426" s="38" t="inlineStr">
        <is>
          <t>IF(OR(E426="",AN426=""),"",IF(COUNT(AG426:AM426)=0,"",AN426-LOOKUP(2,1/(AG426:AM426&lt;&gt;""),AG426:AM426)))</t>
        </is>
      </c>
      <c r="BB426" s="38" t="inlineStr">
        <is>
          <t>IF(OR(E426="",AO426=""),"",IF(COUNT(AG426:AN426)=0,"",AO426-LOOKUP(2,1/(AG426:AN426&lt;&gt;""),AG426:AN426)))</t>
        </is>
      </c>
      <c r="BC426" s="38" t="inlineStr">
        <is>
          <t>IF(OR(E426="",AP426=""),"",IF(COUNT(AG426:AO426)=0,"",AP426-LOOKUP(2,1/(AG426:AO426&lt;&gt;""),AG426:AO426)))</t>
        </is>
      </c>
      <c r="BD426" s="38" t="inlineStr">
        <is>
          <t>IF(OR(E426="",AQ426=""),"",IF(COUNT(AG426:AP426)=0,"",AQ426-LOOKUP(2,1/(AG426:AP426&lt;&gt;""),AG426:AP426)))</t>
        </is>
      </c>
      <c r="BE426" s="38" t="inlineStr">
        <is>
          <t>IF(OR(E426="",AR426=""),"",IF(COUNT(AG426:AQ426)=0,"",AR426-LOOKUP(2,1/(AG426:AQ426&lt;&gt;""),AG426:AQ426)))</t>
        </is>
      </c>
      <c r="BF426" s="38" t="inlineStr">
        <is>
          <t>IF(OR(E426="",AS426=""),"",IF(COUNT(AG426:AR426)=0,"",AS426-LOOKUP(2,1/(AG426:AR426&lt;&gt;""),AG426:AR426)))</t>
        </is>
      </c>
      <c r="BG426" s="38" t="inlineStr">
        <is>
          <t>IF(OR(E426="",AT426=""),"",IF(COUNT(AG426:AS426)=0,"",AT426-LOOKUP(2,1/(AG426:AS426&lt;&gt;""),AG426:AS426)))</t>
        </is>
      </c>
      <c r="BH426" s="41" t="inlineStr">
        <is>
          <t>IF(G426="","All_Provinces",IFERROR(VLOOKUP(G426,'07_Lookups'!$A$4:$B$20,2,FALSE),"All_Provinces"))</t>
        </is>
      </c>
      <c r="BI426" s="41" t="inlineStr">
        <is>
          <t>IF(H426="","All_Districts",IFERROR(VLOOKUP(H426,'07_Lookups'!$E$4:$F$42,2,FALSE),"All_Districts"))</t>
        </is>
      </c>
    </row>
    <row r="427" ht="18" customHeight="1">
      <c r="A427" s="32" t="inlineStr">
        <is>
          <t>IF(E427="","",ROW()-3)</t>
        </is>
      </c>
      <c r="B427" s="42" t="n"/>
      <c r="C427" s="42" t="n"/>
      <c r="D427" s="42" t="n"/>
      <c r="E427" s="42" t="n"/>
      <c r="F427" s="42" t="n"/>
      <c r="G427" s="42" t="n"/>
      <c r="H427" s="42" t="n"/>
      <c r="I427" s="42" t="n"/>
      <c r="J427" s="42" t="n"/>
      <c r="K427" s="42" t="n"/>
      <c r="L427" s="42" t="n"/>
      <c r="M427" s="42" t="n"/>
      <c r="N427" s="42" t="n"/>
      <c r="O427" s="42" t="n"/>
      <c r="P427" s="42" t="n"/>
      <c r="Q427" s="43" t="n"/>
      <c r="R427" s="35" t="inlineStr">
        <is>
          <t>IF(AO427="","",AO427)</t>
        </is>
      </c>
      <c r="S427" s="44" t="n"/>
      <c r="T427" s="45" t="n"/>
      <c r="U427" s="44" t="n"/>
      <c r="V427" s="35" t="inlineStr">
        <is>
          <t>IF(U427&lt;&gt;"",U427,IF(OR(R427="",T427=""),"",EDATE(R427,T427)))</t>
        </is>
      </c>
      <c r="W427" s="44" t="n"/>
      <c r="X427" s="45" t="n"/>
      <c r="Y427" s="42" t="n"/>
      <c r="Z427" s="42" t="n"/>
      <c r="AA427" s="32" t="inlineStr">
        <is>
          <t>IF(E427="","",IF(COUNT(AG427:AT427)=0,IF(Y427="","Not started",Y427),SUBSTITUTE(LOOKUP(2,1/(AG427:AT427&lt;&gt;""),$AG$3:$AT$3),"Date: ","")))</t>
        </is>
      </c>
      <c r="AB427" s="38" t="inlineStr">
        <is>
          <t>IF(OR(E427="",COUNT(AG427:AT427)=0),"",TODAY()-LOOKUP(2,1/(AG427:AT427&lt;&gt;""),AG427:AT427))</t>
        </is>
      </c>
      <c r="AC427" s="38" t="inlineStr">
        <is>
          <t>IF(OR(E427="",COUNT(AG427:AT427)&lt;2),"",LOOKUP(2,1/(AG427:AT427&lt;&gt;""),AG427:AT427)-MIN(AG427:AT427))</t>
        </is>
      </c>
      <c r="AD427" s="38" t="inlineStr">
        <is>
          <t>IF(OR(AB427="",AA427="Not started",AA427=""),"",IFERROR(AB427-IF(VLOOKUP(AA427,'04_Status_Pipeline'!$B$3:$E$20,4,FALSE)="",0,VLOOKUP(AA427,'04_Status_Pipeline'!$B$3:$E$20,4,FALSE)),""))</t>
        </is>
      </c>
      <c r="AE427" s="32" t="inlineStr">
        <is>
          <t>IF(E427="","",IF(OR(Y427="Cancelled",AA427="Cancelled"),"Cancelled",IF(OR(AA427="Completed / Handover",W427&lt;&gt;"",X427&gt;=100),"Completed — on track",IF(L427="Remaining",IF(S427="",IF(V427="","No planned date",IF(TODAY()&gt;V427,"Behind — past planned date",IF(V427-TODAY()&lt;=30,"At risk — close to off track","On track"))),IF(TODAY()&gt;S427,"Behind — award date passed",IF(S427-TODAY()&lt;=30,"At risk — close to off track","On track"))),IF(V427="","No planned date",IF(AND(TODAY()&gt;V427,OR(X427="",X427&lt;100)),"Behind — past end date",IF(AND(R427&lt;&gt;"",V427&lt;&gt;"",X427&lt;&gt;"",(X427&lt;100),((TODAY()-R427)/MAX(V427-R427,1)*100)-X427&gt;15),"Behind — progress lag",IF(AND(V427-TODAY()&lt;=30,V427-TODAY()&gt;=0,OR(X427="",X427&lt;90)),"At risk — close to off track","On track"))))))))</t>
        </is>
      </c>
      <c r="AF427" s="38" t="inlineStr">
        <is>
          <t>IF(OR(E427="",AA427="Completed / Handover",AA427="Cancelled"),"",IF(L427="Remaining",IF(S427&lt;&gt;"",S427-TODAY(),IF(V427="","",V427-TODAY())),IF(V427="","",V427-TODAY())))</t>
        </is>
      </c>
      <c r="AG427" s="44" t="n"/>
      <c r="AH427" s="44" t="n"/>
      <c r="AI427" s="44" t="n"/>
      <c r="AJ427" s="44" t="n"/>
      <c r="AK427" s="44" t="n"/>
      <c r="AL427" s="44" t="n"/>
      <c r="AM427" s="44" t="n"/>
      <c r="AN427" s="44" t="n"/>
      <c r="AO427" s="44" t="n"/>
      <c r="AP427" s="44" t="n"/>
      <c r="AQ427" s="44" t="n"/>
      <c r="AR427" s="40" t="n"/>
      <c r="AS427" s="40" t="n"/>
      <c r="AT427" s="40" t="n"/>
      <c r="AU427" s="38" t="inlineStr">
        <is>
          <t>IF(OR(E427="",AH427=""),"",IF(COUNT(AG427:AG427)=0,"",AH427-LOOKUP(2,1/(AG427:AG427&lt;&gt;""),AG427:AG427)))</t>
        </is>
      </c>
      <c r="AV427" s="38" t="inlineStr">
        <is>
          <t>IF(OR(E427="",AI427=""),"",IF(COUNT(AG427:AH427)=0,"",AI427-LOOKUP(2,1/(AG427:AH427&lt;&gt;""),AG427:AH427)))</t>
        </is>
      </c>
      <c r="AW427" s="38" t="inlineStr">
        <is>
          <t>IF(OR(E427="",AJ427=""),"",IF(COUNT(AG427:AI427)=0,"",AJ427-LOOKUP(2,1/(AG427:AI427&lt;&gt;""),AG427:AI427)))</t>
        </is>
      </c>
      <c r="AX427" s="38" t="inlineStr">
        <is>
          <t>IF(OR(E427="",AK427=""),"",IF(COUNT(AG427:AJ427)=0,"",AK427-LOOKUP(2,1/(AG427:AJ427&lt;&gt;""),AG427:AJ427)))</t>
        </is>
      </c>
      <c r="AY427" s="38" t="inlineStr">
        <is>
          <t>IF(OR(E427="",AL427=""),"",IF(COUNT(AG427:AK427)=0,"",AL427-LOOKUP(2,1/(AG427:AK427&lt;&gt;""),AG427:AK427)))</t>
        </is>
      </c>
      <c r="AZ427" s="38" t="inlineStr">
        <is>
          <t>IF(OR(E427="",AM427=""),"",IF(COUNT(AG427:AL427)=0,"",AM427-LOOKUP(2,1/(AG427:AL427&lt;&gt;""),AG427:AL427)))</t>
        </is>
      </c>
      <c r="BA427" s="38" t="inlineStr">
        <is>
          <t>IF(OR(E427="",AN427=""),"",IF(COUNT(AG427:AM427)=0,"",AN427-LOOKUP(2,1/(AG427:AM427&lt;&gt;""),AG427:AM427)))</t>
        </is>
      </c>
      <c r="BB427" s="38" t="inlineStr">
        <is>
          <t>IF(OR(E427="",AO427=""),"",IF(COUNT(AG427:AN427)=0,"",AO427-LOOKUP(2,1/(AG427:AN427&lt;&gt;""),AG427:AN427)))</t>
        </is>
      </c>
      <c r="BC427" s="38" t="inlineStr">
        <is>
          <t>IF(OR(E427="",AP427=""),"",IF(COUNT(AG427:AO427)=0,"",AP427-LOOKUP(2,1/(AG427:AO427&lt;&gt;""),AG427:AO427)))</t>
        </is>
      </c>
      <c r="BD427" s="38" t="inlineStr">
        <is>
          <t>IF(OR(E427="",AQ427=""),"",IF(COUNT(AG427:AP427)=0,"",AQ427-LOOKUP(2,1/(AG427:AP427&lt;&gt;""),AG427:AP427)))</t>
        </is>
      </c>
      <c r="BE427" s="38" t="inlineStr">
        <is>
          <t>IF(OR(E427="",AR427=""),"",IF(COUNT(AG427:AQ427)=0,"",AR427-LOOKUP(2,1/(AG427:AQ427&lt;&gt;""),AG427:AQ427)))</t>
        </is>
      </c>
      <c r="BF427" s="38" t="inlineStr">
        <is>
          <t>IF(OR(E427="",AS427=""),"",IF(COUNT(AG427:AR427)=0,"",AS427-LOOKUP(2,1/(AG427:AR427&lt;&gt;""),AG427:AR427)))</t>
        </is>
      </c>
      <c r="BG427" s="38" t="inlineStr">
        <is>
          <t>IF(OR(E427="",AT427=""),"",IF(COUNT(AG427:AS427)=0,"",AT427-LOOKUP(2,1/(AG427:AS427&lt;&gt;""),AG427:AS427)))</t>
        </is>
      </c>
      <c r="BH427" s="41" t="inlineStr">
        <is>
          <t>IF(G427="","All_Provinces",IFERROR(VLOOKUP(G427,'07_Lookups'!$A$4:$B$20,2,FALSE),"All_Provinces"))</t>
        </is>
      </c>
      <c r="BI427" s="41" t="inlineStr">
        <is>
          <t>IF(H427="","All_Districts",IFERROR(VLOOKUP(H427,'07_Lookups'!$E$4:$F$42,2,FALSE),"All_Districts"))</t>
        </is>
      </c>
    </row>
    <row r="428" ht="18" customHeight="1">
      <c r="A428" s="32" t="inlineStr">
        <is>
          <t>IF(E428="","",ROW()-3)</t>
        </is>
      </c>
      <c r="B428" s="33" t="n"/>
      <c r="C428" s="33" t="n"/>
      <c r="D428" s="33" t="n"/>
      <c r="E428" s="33" t="n"/>
      <c r="F428" s="33" t="n"/>
      <c r="G428" s="33" t="n"/>
      <c r="H428" s="33" t="n"/>
      <c r="I428" s="33" t="n"/>
      <c r="J428" s="33" t="n"/>
      <c r="K428" s="33" t="n"/>
      <c r="L428" s="33" t="n"/>
      <c r="M428" s="33" t="n"/>
      <c r="N428" s="33" t="n"/>
      <c r="O428" s="33" t="n"/>
      <c r="P428" s="33" t="n"/>
      <c r="Q428" s="34" t="n"/>
      <c r="R428" s="35" t="inlineStr">
        <is>
          <t>IF(AO428="","",AO428)</t>
        </is>
      </c>
      <c r="S428" s="36" t="n"/>
      <c r="T428" s="37" t="n"/>
      <c r="U428" s="36" t="n"/>
      <c r="V428" s="35" t="inlineStr">
        <is>
          <t>IF(U428&lt;&gt;"",U428,IF(OR(R428="",T428=""),"",EDATE(R428,T428)))</t>
        </is>
      </c>
      <c r="W428" s="36" t="n"/>
      <c r="X428" s="37" t="n"/>
      <c r="Y428" s="33" t="n"/>
      <c r="Z428" s="33" t="n"/>
      <c r="AA428" s="32" t="inlineStr">
        <is>
          <t>IF(E428="","",IF(COUNT(AG428:AT428)=0,IF(Y428="","Not started",Y428),SUBSTITUTE(LOOKUP(2,1/(AG428:AT428&lt;&gt;""),$AG$3:$AT$3),"Date: ","")))</t>
        </is>
      </c>
      <c r="AB428" s="38" t="inlineStr">
        <is>
          <t>IF(OR(E428="",COUNT(AG428:AT428)=0),"",TODAY()-LOOKUP(2,1/(AG428:AT428&lt;&gt;""),AG428:AT428))</t>
        </is>
      </c>
      <c r="AC428" s="38" t="inlineStr">
        <is>
          <t>IF(OR(E428="",COUNT(AG428:AT428)&lt;2),"",LOOKUP(2,1/(AG428:AT428&lt;&gt;""),AG428:AT428)-MIN(AG428:AT428))</t>
        </is>
      </c>
      <c r="AD428" s="38" t="inlineStr">
        <is>
          <t>IF(OR(AB428="",AA428="Not started",AA428=""),"",IFERROR(AB428-IF(VLOOKUP(AA428,'04_Status_Pipeline'!$B$3:$E$20,4,FALSE)="",0,VLOOKUP(AA428,'04_Status_Pipeline'!$B$3:$E$20,4,FALSE)),""))</t>
        </is>
      </c>
      <c r="AE428" s="32" t="inlineStr">
        <is>
          <t>IF(E428="","",IF(OR(Y428="Cancelled",AA428="Cancelled"),"Cancelled",IF(OR(AA428="Completed / Handover",W428&lt;&gt;"",X428&gt;=100),"Completed — on track",IF(L428="Remaining",IF(S428="",IF(V428="","No planned date",IF(TODAY()&gt;V428,"Behind — past planned date",IF(V428-TODAY()&lt;=30,"At risk — close to off track","On track"))),IF(TODAY()&gt;S428,"Behind — award date passed",IF(S428-TODAY()&lt;=30,"At risk — close to off track","On track"))),IF(V428="","No planned date",IF(AND(TODAY()&gt;V428,OR(X428="",X428&lt;100)),"Behind — past end date",IF(AND(R428&lt;&gt;"",V428&lt;&gt;"",X428&lt;&gt;"",(X428&lt;100),((TODAY()-R428)/MAX(V428-R428,1)*100)-X428&gt;15),"Behind — progress lag",IF(AND(V428-TODAY()&lt;=30,V428-TODAY()&gt;=0,OR(X428="",X428&lt;90)),"At risk — close to off track","On track"))))))))</t>
        </is>
      </c>
      <c r="AF428" s="38" t="inlineStr">
        <is>
          <t>IF(OR(E428="",AA428="Completed / Handover",AA428="Cancelled"),"",IF(L428="Remaining",IF(S428&lt;&gt;"",S428-TODAY(),IF(V428="","",V428-TODAY())),IF(V428="","",V428-TODAY())))</t>
        </is>
      </c>
      <c r="AG428" s="36" t="n"/>
      <c r="AH428" s="36" t="n"/>
      <c r="AI428" s="36" t="n"/>
      <c r="AJ428" s="36" t="n"/>
      <c r="AK428" s="36" t="n"/>
      <c r="AL428" s="36" t="n"/>
      <c r="AM428" s="36" t="n"/>
      <c r="AN428" s="36" t="n"/>
      <c r="AO428" s="36" t="n"/>
      <c r="AP428" s="36" t="n"/>
      <c r="AQ428" s="36" t="n"/>
      <c r="AR428" s="40" t="n"/>
      <c r="AS428" s="40" t="n"/>
      <c r="AT428" s="40" t="n"/>
      <c r="AU428" s="38" t="inlineStr">
        <is>
          <t>IF(OR(E428="",AH428=""),"",IF(COUNT(AG428:AG428)=0,"",AH428-LOOKUP(2,1/(AG428:AG428&lt;&gt;""),AG428:AG428)))</t>
        </is>
      </c>
      <c r="AV428" s="38" t="inlineStr">
        <is>
          <t>IF(OR(E428="",AI428=""),"",IF(COUNT(AG428:AH428)=0,"",AI428-LOOKUP(2,1/(AG428:AH428&lt;&gt;""),AG428:AH428)))</t>
        </is>
      </c>
      <c r="AW428" s="38" t="inlineStr">
        <is>
          <t>IF(OR(E428="",AJ428=""),"",IF(COUNT(AG428:AI428)=0,"",AJ428-LOOKUP(2,1/(AG428:AI428&lt;&gt;""),AG428:AI428)))</t>
        </is>
      </c>
      <c r="AX428" s="38" t="inlineStr">
        <is>
          <t>IF(OR(E428="",AK428=""),"",IF(COUNT(AG428:AJ428)=0,"",AK428-LOOKUP(2,1/(AG428:AJ428&lt;&gt;""),AG428:AJ428)))</t>
        </is>
      </c>
      <c r="AY428" s="38" t="inlineStr">
        <is>
          <t>IF(OR(E428="",AL428=""),"",IF(COUNT(AG428:AK428)=0,"",AL428-LOOKUP(2,1/(AG428:AK428&lt;&gt;""),AG428:AK428)))</t>
        </is>
      </c>
      <c r="AZ428" s="38" t="inlineStr">
        <is>
          <t>IF(OR(E428="",AM428=""),"",IF(COUNT(AG428:AL428)=0,"",AM428-LOOKUP(2,1/(AG428:AL428&lt;&gt;""),AG428:AL428)))</t>
        </is>
      </c>
      <c r="BA428" s="38" t="inlineStr">
        <is>
          <t>IF(OR(E428="",AN428=""),"",IF(COUNT(AG428:AM428)=0,"",AN428-LOOKUP(2,1/(AG428:AM428&lt;&gt;""),AG428:AM428)))</t>
        </is>
      </c>
      <c r="BB428" s="38" t="inlineStr">
        <is>
          <t>IF(OR(E428="",AO428=""),"",IF(COUNT(AG428:AN428)=0,"",AO428-LOOKUP(2,1/(AG428:AN428&lt;&gt;""),AG428:AN428)))</t>
        </is>
      </c>
      <c r="BC428" s="38" t="inlineStr">
        <is>
          <t>IF(OR(E428="",AP428=""),"",IF(COUNT(AG428:AO428)=0,"",AP428-LOOKUP(2,1/(AG428:AO428&lt;&gt;""),AG428:AO428)))</t>
        </is>
      </c>
      <c r="BD428" s="38" t="inlineStr">
        <is>
          <t>IF(OR(E428="",AQ428=""),"",IF(COUNT(AG428:AP428)=0,"",AQ428-LOOKUP(2,1/(AG428:AP428&lt;&gt;""),AG428:AP428)))</t>
        </is>
      </c>
      <c r="BE428" s="38" t="inlineStr">
        <is>
          <t>IF(OR(E428="",AR428=""),"",IF(COUNT(AG428:AQ428)=0,"",AR428-LOOKUP(2,1/(AG428:AQ428&lt;&gt;""),AG428:AQ428)))</t>
        </is>
      </c>
      <c r="BF428" s="38" t="inlineStr">
        <is>
          <t>IF(OR(E428="",AS428=""),"",IF(COUNT(AG428:AR428)=0,"",AS428-LOOKUP(2,1/(AG428:AR428&lt;&gt;""),AG428:AR428)))</t>
        </is>
      </c>
      <c r="BG428" s="38" t="inlineStr">
        <is>
          <t>IF(OR(E428="",AT428=""),"",IF(COUNT(AG428:AS428)=0,"",AT428-LOOKUP(2,1/(AG428:AS428&lt;&gt;""),AG428:AS428)))</t>
        </is>
      </c>
      <c r="BH428" s="41" t="inlineStr">
        <is>
          <t>IF(G428="","All_Provinces",IFERROR(VLOOKUP(G428,'07_Lookups'!$A$4:$B$20,2,FALSE),"All_Provinces"))</t>
        </is>
      </c>
      <c r="BI428" s="41" t="inlineStr">
        <is>
          <t>IF(H428="","All_Districts",IFERROR(VLOOKUP(H428,'07_Lookups'!$E$4:$F$42,2,FALSE),"All_Districts"))</t>
        </is>
      </c>
    </row>
    <row r="429" ht="18" customHeight="1">
      <c r="A429" s="32" t="inlineStr">
        <is>
          <t>IF(E429="","",ROW()-3)</t>
        </is>
      </c>
      <c r="B429" s="42" t="n"/>
      <c r="C429" s="42" t="n"/>
      <c r="D429" s="42" t="n"/>
      <c r="E429" s="42" t="n"/>
      <c r="F429" s="42" t="n"/>
      <c r="G429" s="42" t="n"/>
      <c r="H429" s="42" t="n"/>
      <c r="I429" s="42" t="n"/>
      <c r="J429" s="42" t="n"/>
      <c r="K429" s="42" t="n"/>
      <c r="L429" s="42" t="n"/>
      <c r="M429" s="42" t="n"/>
      <c r="N429" s="42" t="n"/>
      <c r="O429" s="42" t="n"/>
      <c r="P429" s="42" t="n"/>
      <c r="Q429" s="43" t="n"/>
      <c r="R429" s="35" t="inlineStr">
        <is>
          <t>IF(AO429="","",AO429)</t>
        </is>
      </c>
      <c r="S429" s="44" t="n"/>
      <c r="T429" s="45" t="n"/>
      <c r="U429" s="44" t="n"/>
      <c r="V429" s="35" t="inlineStr">
        <is>
          <t>IF(U429&lt;&gt;"",U429,IF(OR(R429="",T429=""),"",EDATE(R429,T429)))</t>
        </is>
      </c>
      <c r="W429" s="44" t="n"/>
      <c r="X429" s="45" t="n"/>
      <c r="Y429" s="42" t="n"/>
      <c r="Z429" s="42" t="n"/>
      <c r="AA429" s="32" t="inlineStr">
        <is>
          <t>IF(E429="","",IF(COUNT(AG429:AT429)=0,IF(Y429="","Not started",Y429),SUBSTITUTE(LOOKUP(2,1/(AG429:AT429&lt;&gt;""),$AG$3:$AT$3),"Date: ","")))</t>
        </is>
      </c>
      <c r="AB429" s="38" t="inlineStr">
        <is>
          <t>IF(OR(E429="",COUNT(AG429:AT429)=0),"",TODAY()-LOOKUP(2,1/(AG429:AT429&lt;&gt;""),AG429:AT429))</t>
        </is>
      </c>
      <c r="AC429" s="38" t="inlineStr">
        <is>
          <t>IF(OR(E429="",COUNT(AG429:AT429)&lt;2),"",LOOKUP(2,1/(AG429:AT429&lt;&gt;""),AG429:AT429)-MIN(AG429:AT429))</t>
        </is>
      </c>
      <c r="AD429" s="38" t="inlineStr">
        <is>
          <t>IF(OR(AB429="",AA429="Not started",AA429=""),"",IFERROR(AB429-IF(VLOOKUP(AA429,'04_Status_Pipeline'!$B$3:$E$20,4,FALSE)="",0,VLOOKUP(AA429,'04_Status_Pipeline'!$B$3:$E$20,4,FALSE)),""))</t>
        </is>
      </c>
      <c r="AE429" s="32" t="inlineStr">
        <is>
          <t>IF(E429="","",IF(OR(Y429="Cancelled",AA429="Cancelled"),"Cancelled",IF(OR(AA429="Completed / Handover",W429&lt;&gt;"",X429&gt;=100),"Completed — on track",IF(L429="Remaining",IF(S429="",IF(V429="","No planned date",IF(TODAY()&gt;V429,"Behind — past planned date",IF(V429-TODAY()&lt;=30,"At risk — close to off track","On track"))),IF(TODAY()&gt;S429,"Behind — award date passed",IF(S429-TODAY()&lt;=30,"At risk — close to off track","On track"))),IF(V429="","No planned date",IF(AND(TODAY()&gt;V429,OR(X429="",X429&lt;100)),"Behind — past end date",IF(AND(R429&lt;&gt;"",V429&lt;&gt;"",X429&lt;&gt;"",(X429&lt;100),((TODAY()-R429)/MAX(V429-R429,1)*100)-X429&gt;15),"Behind — progress lag",IF(AND(V429-TODAY()&lt;=30,V429-TODAY()&gt;=0,OR(X429="",X429&lt;90)),"At risk — close to off track","On track"))))))))</t>
        </is>
      </c>
      <c r="AF429" s="38" t="inlineStr">
        <is>
          <t>IF(OR(E429="",AA429="Completed / Handover",AA429="Cancelled"),"",IF(L429="Remaining",IF(S429&lt;&gt;"",S429-TODAY(),IF(V429="","",V429-TODAY())),IF(V429="","",V429-TODAY())))</t>
        </is>
      </c>
      <c r="AG429" s="44" t="n"/>
      <c r="AH429" s="44" t="n"/>
      <c r="AI429" s="44" t="n"/>
      <c r="AJ429" s="44" t="n"/>
      <c r="AK429" s="44" t="n"/>
      <c r="AL429" s="44" t="n"/>
      <c r="AM429" s="44" t="n"/>
      <c r="AN429" s="44" t="n"/>
      <c r="AO429" s="44" t="n"/>
      <c r="AP429" s="44" t="n"/>
      <c r="AQ429" s="44" t="n"/>
      <c r="AR429" s="40" t="n"/>
      <c r="AS429" s="40" t="n"/>
      <c r="AT429" s="40" t="n"/>
      <c r="AU429" s="38" t="inlineStr">
        <is>
          <t>IF(OR(E429="",AH429=""),"",IF(COUNT(AG429:AG429)=0,"",AH429-LOOKUP(2,1/(AG429:AG429&lt;&gt;""),AG429:AG429)))</t>
        </is>
      </c>
      <c r="AV429" s="38" t="inlineStr">
        <is>
          <t>IF(OR(E429="",AI429=""),"",IF(COUNT(AG429:AH429)=0,"",AI429-LOOKUP(2,1/(AG429:AH429&lt;&gt;""),AG429:AH429)))</t>
        </is>
      </c>
      <c r="AW429" s="38" t="inlineStr">
        <is>
          <t>IF(OR(E429="",AJ429=""),"",IF(COUNT(AG429:AI429)=0,"",AJ429-LOOKUP(2,1/(AG429:AI429&lt;&gt;""),AG429:AI429)))</t>
        </is>
      </c>
      <c r="AX429" s="38" t="inlineStr">
        <is>
          <t>IF(OR(E429="",AK429=""),"",IF(COUNT(AG429:AJ429)=0,"",AK429-LOOKUP(2,1/(AG429:AJ429&lt;&gt;""),AG429:AJ429)))</t>
        </is>
      </c>
      <c r="AY429" s="38" t="inlineStr">
        <is>
          <t>IF(OR(E429="",AL429=""),"",IF(COUNT(AG429:AK429)=0,"",AL429-LOOKUP(2,1/(AG429:AK429&lt;&gt;""),AG429:AK429)))</t>
        </is>
      </c>
      <c r="AZ429" s="38" t="inlineStr">
        <is>
          <t>IF(OR(E429="",AM429=""),"",IF(COUNT(AG429:AL429)=0,"",AM429-LOOKUP(2,1/(AG429:AL429&lt;&gt;""),AG429:AL429)))</t>
        </is>
      </c>
      <c r="BA429" s="38" t="inlineStr">
        <is>
          <t>IF(OR(E429="",AN429=""),"",IF(COUNT(AG429:AM429)=0,"",AN429-LOOKUP(2,1/(AG429:AM429&lt;&gt;""),AG429:AM429)))</t>
        </is>
      </c>
      <c r="BB429" s="38" t="inlineStr">
        <is>
          <t>IF(OR(E429="",AO429=""),"",IF(COUNT(AG429:AN429)=0,"",AO429-LOOKUP(2,1/(AG429:AN429&lt;&gt;""),AG429:AN429)))</t>
        </is>
      </c>
      <c r="BC429" s="38" t="inlineStr">
        <is>
          <t>IF(OR(E429="",AP429=""),"",IF(COUNT(AG429:AO429)=0,"",AP429-LOOKUP(2,1/(AG429:AO429&lt;&gt;""),AG429:AO429)))</t>
        </is>
      </c>
      <c r="BD429" s="38" t="inlineStr">
        <is>
          <t>IF(OR(E429="",AQ429=""),"",IF(COUNT(AG429:AP429)=0,"",AQ429-LOOKUP(2,1/(AG429:AP429&lt;&gt;""),AG429:AP429)))</t>
        </is>
      </c>
      <c r="BE429" s="38" t="inlineStr">
        <is>
          <t>IF(OR(E429="",AR429=""),"",IF(COUNT(AG429:AQ429)=0,"",AR429-LOOKUP(2,1/(AG429:AQ429&lt;&gt;""),AG429:AQ429)))</t>
        </is>
      </c>
      <c r="BF429" s="38" t="inlineStr">
        <is>
          <t>IF(OR(E429="",AS429=""),"",IF(COUNT(AG429:AR429)=0,"",AS429-LOOKUP(2,1/(AG429:AR429&lt;&gt;""),AG429:AR429)))</t>
        </is>
      </c>
      <c r="BG429" s="38" t="inlineStr">
        <is>
          <t>IF(OR(E429="",AT429=""),"",IF(COUNT(AG429:AS429)=0,"",AT429-LOOKUP(2,1/(AG429:AS429&lt;&gt;""),AG429:AS429)))</t>
        </is>
      </c>
      <c r="BH429" s="41" t="inlineStr">
        <is>
          <t>IF(G429="","All_Provinces",IFERROR(VLOOKUP(G429,'07_Lookups'!$A$4:$B$20,2,FALSE),"All_Provinces"))</t>
        </is>
      </c>
      <c r="BI429" s="41" t="inlineStr">
        <is>
          <t>IF(H429="","All_Districts",IFERROR(VLOOKUP(H429,'07_Lookups'!$E$4:$F$42,2,FALSE),"All_Districts"))</t>
        </is>
      </c>
    </row>
    <row r="430" ht="18" customHeight="1">
      <c r="A430" s="32" t="inlineStr">
        <is>
          <t>IF(E430="","",ROW()-3)</t>
        </is>
      </c>
      <c r="B430" s="33" t="n"/>
      <c r="C430" s="33" t="n"/>
      <c r="D430" s="33" t="n"/>
      <c r="E430" s="33" t="n"/>
      <c r="F430" s="33" t="n"/>
      <c r="G430" s="33" t="n"/>
      <c r="H430" s="33" t="n"/>
      <c r="I430" s="33" t="n"/>
      <c r="J430" s="33" t="n"/>
      <c r="K430" s="33" t="n"/>
      <c r="L430" s="33" t="n"/>
      <c r="M430" s="33" t="n"/>
      <c r="N430" s="33" t="n"/>
      <c r="O430" s="33" t="n"/>
      <c r="P430" s="33" t="n"/>
      <c r="Q430" s="34" t="n"/>
      <c r="R430" s="35" t="inlineStr">
        <is>
          <t>IF(AO430="","",AO430)</t>
        </is>
      </c>
      <c r="S430" s="36" t="n"/>
      <c r="T430" s="37" t="n"/>
      <c r="U430" s="36" t="n"/>
      <c r="V430" s="35" t="inlineStr">
        <is>
          <t>IF(U430&lt;&gt;"",U430,IF(OR(R430="",T430=""),"",EDATE(R430,T430)))</t>
        </is>
      </c>
      <c r="W430" s="36" t="n"/>
      <c r="X430" s="37" t="n"/>
      <c r="Y430" s="33" t="n"/>
      <c r="Z430" s="33" t="n"/>
      <c r="AA430" s="32" t="inlineStr">
        <is>
          <t>IF(E430="","",IF(COUNT(AG430:AT430)=0,IF(Y430="","Not started",Y430),SUBSTITUTE(LOOKUP(2,1/(AG430:AT430&lt;&gt;""),$AG$3:$AT$3),"Date: ","")))</t>
        </is>
      </c>
      <c r="AB430" s="38" t="inlineStr">
        <is>
          <t>IF(OR(E430="",COUNT(AG430:AT430)=0),"",TODAY()-LOOKUP(2,1/(AG430:AT430&lt;&gt;""),AG430:AT430))</t>
        </is>
      </c>
      <c r="AC430" s="38" t="inlineStr">
        <is>
          <t>IF(OR(E430="",COUNT(AG430:AT430)&lt;2),"",LOOKUP(2,1/(AG430:AT430&lt;&gt;""),AG430:AT430)-MIN(AG430:AT430))</t>
        </is>
      </c>
      <c r="AD430" s="38" t="inlineStr">
        <is>
          <t>IF(OR(AB430="",AA430="Not started",AA430=""),"",IFERROR(AB430-IF(VLOOKUP(AA430,'04_Status_Pipeline'!$B$3:$E$20,4,FALSE)="",0,VLOOKUP(AA430,'04_Status_Pipeline'!$B$3:$E$20,4,FALSE)),""))</t>
        </is>
      </c>
      <c r="AE430" s="32" t="inlineStr">
        <is>
          <t>IF(E430="","",IF(OR(Y430="Cancelled",AA430="Cancelled"),"Cancelled",IF(OR(AA430="Completed / Handover",W430&lt;&gt;"",X430&gt;=100),"Completed — on track",IF(L430="Remaining",IF(S430="",IF(V430="","No planned date",IF(TODAY()&gt;V430,"Behind — past planned date",IF(V430-TODAY()&lt;=30,"At risk — close to off track","On track"))),IF(TODAY()&gt;S430,"Behind — award date passed",IF(S430-TODAY()&lt;=30,"At risk — close to off track","On track"))),IF(V430="","No planned date",IF(AND(TODAY()&gt;V430,OR(X430="",X430&lt;100)),"Behind — past end date",IF(AND(R430&lt;&gt;"",V430&lt;&gt;"",X430&lt;&gt;"",(X430&lt;100),((TODAY()-R430)/MAX(V430-R430,1)*100)-X430&gt;15),"Behind — progress lag",IF(AND(V430-TODAY()&lt;=30,V430-TODAY()&gt;=0,OR(X430="",X430&lt;90)),"At risk — close to off track","On track"))))))))</t>
        </is>
      </c>
      <c r="AF430" s="38" t="inlineStr">
        <is>
          <t>IF(OR(E430="",AA430="Completed / Handover",AA430="Cancelled"),"",IF(L430="Remaining",IF(S430&lt;&gt;"",S430-TODAY(),IF(V430="","",V430-TODAY())),IF(V430="","",V430-TODAY())))</t>
        </is>
      </c>
      <c r="AG430" s="36" t="n"/>
      <c r="AH430" s="36" t="n"/>
      <c r="AI430" s="36" t="n"/>
      <c r="AJ430" s="36" t="n"/>
      <c r="AK430" s="36" t="n"/>
      <c r="AL430" s="36" t="n"/>
      <c r="AM430" s="36" t="n"/>
      <c r="AN430" s="36" t="n"/>
      <c r="AO430" s="36" t="n"/>
      <c r="AP430" s="36" t="n"/>
      <c r="AQ430" s="36" t="n"/>
      <c r="AR430" s="40" t="n"/>
      <c r="AS430" s="40" t="n"/>
      <c r="AT430" s="40" t="n"/>
      <c r="AU430" s="38" t="inlineStr">
        <is>
          <t>IF(OR(E430="",AH430=""),"",IF(COUNT(AG430:AG430)=0,"",AH430-LOOKUP(2,1/(AG430:AG430&lt;&gt;""),AG430:AG430)))</t>
        </is>
      </c>
      <c r="AV430" s="38" t="inlineStr">
        <is>
          <t>IF(OR(E430="",AI430=""),"",IF(COUNT(AG430:AH430)=0,"",AI430-LOOKUP(2,1/(AG430:AH430&lt;&gt;""),AG430:AH430)))</t>
        </is>
      </c>
      <c r="AW430" s="38" t="inlineStr">
        <is>
          <t>IF(OR(E430="",AJ430=""),"",IF(COUNT(AG430:AI430)=0,"",AJ430-LOOKUP(2,1/(AG430:AI430&lt;&gt;""),AG430:AI430)))</t>
        </is>
      </c>
      <c r="AX430" s="38" t="inlineStr">
        <is>
          <t>IF(OR(E430="",AK430=""),"",IF(COUNT(AG430:AJ430)=0,"",AK430-LOOKUP(2,1/(AG430:AJ430&lt;&gt;""),AG430:AJ430)))</t>
        </is>
      </c>
      <c r="AY430" s="38" t="inlineStr">
        <is>
          <t>IF(OR(E430="",AL430=""),"",IF(COUNT(AG430:AK430)=0,"",AL430-LOOKUP(2,1/(AG430:AK430&lt;&gt;""),AG430:AK430)))</t>
        </is>
      </c>
      <c r="AZ430" s="38" t="inlineStr">
        <is>
          <t>IF(OR(E430="",AM430=""),"",IF(COUNT(AG430:AL430)=0,"",AM430-LOOKUP(2,1/(AG430:AL430&lt;&gt;""),AG430:AL430)))</t>
        </is>
      </c>
      <c r="BA430" s="38" t="inlineStr">
        <is>
          <t>IF(OR(E430="",AN430=""),"",IF(COUNT(AG430:AM430)=0,"",AN430-LOOKUP(2,1/(AG430:AM430&lt;&gt;""),AG430:AM430)))</t>
        </is>
      </c>
      <c r="BB430" s="38" t="inlineStr">
        <is>
          <t>IF(OR(E430="",AO430=""),"",IF(COUNT(AG430:AN430)=0,"",AO430-LOOKUP(2,1/(AG430:AN430&lt;&gt;""),AG430:AN430)))</t>
        </is>
      </c>
      <c r="BC430" s="38" t="inlineStr">
        <is>
          <t>IF(OR(E430="",AP430=""),"",IF(COUNT(AG430:AO430)=0,"",AP430-LOOKUP(2,1/(AG430:AO430&lt;&gt;""),AG430:AO430)))</t>
        </is>
      </c>
      <c r="BD430" s="38" t="inlineStr">
        <is>
          <t>IF(OR(E430="",AQ430=""),"",IF(COUNT(AG430:AP430)=0,"",AQ430-LOOKUP(2,1/(AG430:AP430&lt;&gt;""),AG430:AP430)))</t>
        </is>
      </c>
      <c r="BE430" s="38" t="inlineStr">
        <is>
          <t>IF(OR(E430="",AR430=""),"",IF(COUNT(AG430:AQ430)=0,"",AR430-LOOKUP(2,1/(AG430:AQ430&lt;&gt;""),AG430:AQ430)))</t>
        </is>
      </c>
      <c r="BF430" s="38" t="inlineStr">
        <is>
          <t>IF(OR(E430="",AS430=""),"",IF(COUNT(AG430:AR430)=0,"",AS430-LOOKUP(2,1/(AG430:AR430&lt;&gt;""),AG430:AR430)))</t>
        </is>
      </c>
      <c r="BG430" s="38" t="inlineStr">
        <is>
          <t>IF(OR(E430="",AT430=""),"",IF(COUNT(AG430:AS430)=0,"",AT430-LOOKUP(2,1/(AG430:AS430&lt;&gt;""),AG430:AS430)))</t>
        </is>
      </c>
      <c r="BH430" s="41" t="inlineStr">
        <is>
          <t>IF(G430="","All_Provinces",IFERROR(VLOOKUP(G430,'07_Lookups'!$A$4:$B$20,2,FALSE),"All_Provinces"))</t>
        </is>
      </c>
      <c r="BI430" s="41" t="inlineStr">
        <is>
          <t>IF(H430="","All_Districts",IFERROR(VLOOKUP(H430,'07_Lookups'!$E$4:$F$42,2,FALSE),"All_Districts"))</t>
        </is>
      </c>
    </row>
    <row r="431" ht="18" customHeight="1">
      <c r="A431" s="32" t="inlineStr">
        <is>
          <t>IF(E431="","",ROW()-3)</t>
        </is>
      </c>
      <c r="B431" s="42" t="n"/>
      <c r="C431" s="42" t="n"/>
      <c r="D431" s="42" t="n"/>
      <c r="E431" s="42" t="n"/>
      <c r="F431" s="42" t="n"/>
      <c r="G431" s="42" t="n"/>
      <c r="H431" s="42" t="n"/>
      <c r="I431" s="42" t="n"/>
      <c r="J431" s="42" t="n"/>
      <c r="K431" s="42" t="n"/>
      <c r="L431" s="42" t="n"/>
      <c r="M431" s="42" t="n"/>
      <c r="N431" s="42" t="n"/>
      <c r="O431" s="42" t="n"/>
      <c r="P431" s="42" t="n"/>
      <c r="Q431" s="43" t="n"/>
      <c r="R431" s="35" t="inlineStr">
        <is>
          <t>IF(AO431="","",AO431)</t>
        </is>
      </c>
      <c r="S431" s="44" t="n"/>
      <c r="T431" s="45" t="n"/>
      <c r="U431" s="44" t="n"/>
      <c r="V431" s="35" t="inlineStr">
        <is>
          <t>IF(U431&lt;&gt;"",U431,IF(OR(R431="",T431=""),"",EDATE(R431,T431)))</t>
        </is>
      </c>
      <c r="W431" s="44" t="n"/>
      <c r="X431" s="45" t="n"/>
      <c r="Y431" s="42" t="n"/>
      <c r="Z431" s="42" t="n"/>
      <c r="AA431" s="32" t="inlineStr">
        <is>
          <t>IF(E431="","",IF(COUNT(AG431:AT431)=0,IF(Y431="","Not started",Y431),SUBSTITUTE(LOOKUP(2,1/(AG431:AT431&lt;&gt;""),$AG$3:$AT$3),"Date: ","")))</t>
        </is>
      </c>
      <c r="AB431" s="38" t="inlineStr">
        <is>
          <t>IF(OR(E431="",COUNT(AG431:AT431)=0),"",TODAY()-LOOKUP(2,1/(AG431:AT431&lt;&gt;""),AG431:AT431))</t>
        </is>
      </c>
      <c r="AC431" s="38" t="inlineStr">
        <is>
          <t>IF(OR(E431="",COUNT(AG431:AT431)&lt;2),"",LOOKUP(2,1/(AG431:AT431&lt;&gt;""),AG431:AT431)-MIN(AG431:AT431))</t>
        </is>
      </c>
      <c r="AD431" s="38" t="inlineStr">
        <is>
          <t>IF(OR(AB431="",AA431="Not started",AA431=""),"",IFERROR(AB431-IF(VLOOKUP(AA431,'04_Status_Pipeline'!$B$3:$E$20,4,FALSE)="",0,VLOOKUP(AA431,'04_Status_Pipeline'!$B$3:$E$20,4,FALSE)),""))</t>
        </is>
      </c>
      <c r="AE431" s="32" t="inlineStr">
        <is>
          <t>IF(E431="","",IF(OR(Y431="Cancelled",AA431="Cancelled"),"Cancelled",IF(OR(AA431="Completed / Handover",W431&lt;&gt;"",X431&gt;=100),"Completed — on track",IF(L431="Remaining",IF(S431="",IF(V431="","No planned date",IF(TODAY()&gt;V431,"Behind — past planned date",IF(V431-TODAY()&lt;=30,"At risk — close to off track","On track"))),IF(TODAY()&gt;S431,"Behind — award date passed",IF(S431-TODAY()&lt;=30,"At risk — close to off track","On track"))),IF(V431="","No planned date",IF(AND(TODAY()&gt;V431,OR(X431="",X431&lt;100)),"Behind — past end date",IF(AND(R431&lt;&gt;"",V431&lt;&gt;"",X431&lt;&gt;"",(X431&lt;100),((TODAY()-R431)/MAX(V431-R431,1)*100)-X431&gt;15),"Behind — progress lag",IF(AND(V431-TODAY()&lt;=30,V431-TODAY()&gt;=0,OR(X431="",X431&lt;90)),"At risk — close to off track","On track"))))))))</t>
        </is>
      </c>
      <c r="AF431" s="38" t="inlineStr">
        <is>
          <t>IF(OR(E431="",AA431="Completed / Handover",AA431="Cancelled"),"",IF(L431="Remaining",IF(S431&lt;&gt;"",S431-TODAY(),IF(V431="","",V431-TODAY())),IF(V431="","",V431-TODAY())))</t>
        </is>
      </c>
      <c r="AG431" s="44" t="n"/>
      <c r="AH431" s="44" t="n"/>
      <c r="AI431" s="44" t="n"/>
      <c r="AJ431" s="44" t="n"/>
      <c r="AK431" s="44" t="n"/>
      <c r="AL431" s="44" t="n"/>
      <c r="AM431" s="44" t="n"/>
      <c r="AN431" s="44" t="n"/>
      <c r="AO431" s="44" t="n"/>
      <c r="AP431" s="44" t="n"/>
      <c r="AQ431" s="44" t="n"/>
      <c r="AR431" s="40" t="n"/>
      <c r="AS431" s="40" t="n"/>
      <c r="AT431" s="40" t="n"/>
      <c r="AU431" s="38" t="inlineStr">
        <is>
          <t>IF(OR(E431="",AH431=""),"",IF(COUNT(AG431:AG431)=0,"",AH431-LOOKUP(2,1/(AG431:AG431&lt;&gt;""),AG431:AG431)))</t>
        </is>
      </c>
      <c r="AV431" s="38" t="inlineStr">
        <is>
          <t>IF(OR(E431="",AI431=""),"",IF(COUNT(AG431:AH431)=0,"",AI431-LOOKUP(2,1/(AG431:AH431&lt;&gt;""),AG431:AH431)))</t>
        </is>
      </c>
      <c r="AW431" s="38" t="inlineStr">
        <is>
          <t>IF(OR(E431="",AJ431=""),"",IF(COUNT(AG431:AI431)=0,"",AJ431-LOOKUP(2,1/(AG431:AI431&lt;&gt;""),AG431:AI431)))</t>
        </is>
      </c>
      <c r="AX431" s="38" t="inlineStr">
        <is>
          <t>IF(OR(E431="",AK431=""),"",IF(COUNT(AG431:AJ431)=0,"",AK431-LOOKUP(2,1/(AG431:AJ431&lt;&gt;""),AG431:AJ431)))</t>
        </is>
      </c>
      <c r="AY431" s="38" t="inlineStr">
        <is>
          <t>IF(OR(E431="",AL431=""),"",IF(COUNT(AG431:AK431)=0,"",AL431-LOOKUP(2,1/(AG431:AK431&lt;&gt;""),AG431:AK431)))</t>
        </is>
      </c>
      <c r="AZ431" s="38" t="inlineStr">
        <is>
          <t>IF(OR(E431="",AM431=""),"",IF(COUNT(AG431:AL431)=0,"",AM431-LOOKUP(2,1/(AG431:AL431&lt;&gt;""),AG431:AL431)))</t>
        </is>
      </c>
      <c r="BA431" s="38" t="inlineStr">
        <is>
          <t>IF(OR(E431="",AN431=""),"",IF(COUNT(AG431:AM431)=0,"",AN431-LOOKUP(2,1/(AG431:AM431&lt;&gt;""),AG431:AM431)))</t>
        </is>
      </c>
      <c r="BB431" s="38" t="inlineStr">
        <is>
          <t>IF(OR(E431="",AO431=""),"",IF(COUNT(AG431:AN431)=0,"",AO431-LOOKUP(2,1/(AG431:AN431&lt;&gt;""),AG431:AN431)))</t>
        </is>
      </c>
      <c r="BC431" s="38" t="inlineStr">
        <is>
          <t>IF(OR(E431="",AP431=""),"",IF(COUNT(AG431:AO431)=0,"",AP431-LOOKUP(2,1/(AG431:AO431&lt;&gt;""),AG431:AO431)))</t>
        </is>
      </c>
      <c r="BD431" s="38" t="inlineStr">
        <is>
          <t>IF(OR(E431="",AQ431=""),"",IF(COUNT(AG431:AP431)=0,"",AQ431-LOOKUP(2,1/(AG431:AP431&lt;&gt;""),AG431:AP431)))</t>
        </is>
      </c>
      <c r="BE431" s="38" t="inlineStr">
        <is>
          <t>IF(OR(E431="",AR431=""),"",IF(COUNT(AG431:AQ431)=0,"",AR431-LOOKUP(2,1/(AG431:AQ431&lt;&gt;""),AG431:AQ431)))</t>
        </is>
      </c>
      <c r="BF431" s="38" t="inlineStr">
        <is>
          <t>IF(OR(E431="",AS431=""),"",IF(COUNT(AG431:AR431)=0,"",AS431-LOOKUP(2,1/(AG431:AR431&lt;&gt;""),AG431:AR431)))</t>
        </is>
      </c>
      <c r="BG431" s="38" t="inlineStr">
        <is>
          <t>IF(OR(E431="",AT431=""),"",IF(COUNT(AG431:AS431)=0,"",AT431-LOOKUP(2,1/(AG431:AS431&lt;&gt;""),AG431:AS431)))</t>
        </is>
      </c>
      <c r="BH431" s="41" t="inlineStr">
        <is>
          <t>IF(G431="","All_Provinces",IFERROR(VLOOKUP(G431,'07_Lookups'!$A$4:$B$20,2,FALSE),"All_Provinces"))</t>
        </is>
      </c>
      <c r="BI431" s="41" t="inlineStr">
        <is>
          <t>IF(H431="","All_Districts",IFERROR(VLOOKUP(H431,'07_Lookups'!$E$4:$F$42,2,FALSE),"All_Districts"))</t>
        </is>
      </c>
    </row>
    <row r="432" ht="18" customHeight="1">
      <c r="A432" s="32" t="inlineStr">
        <is>
          <t>IF(E432="","",ROW()-3)</t>
        </is>
      </c>
      <c r="B432" s="33" t="n"/>
      <c r="C432" s="33" t="n"/>
      <c r="D432" s="33" t="n"/>
      <c r="E432" s="33" t="n"/>
      <c r="F432" s="33" t="n"/>
      <c r="G432" s="33" t="n"/>
      <c r="H432" s="33" t="n"/>
      <c r="I432" s="33" t="n"/>
      <c r="J432" s="33" t="n"/>
      <c r="K432" s="33" t="n"/>
      <c r="L432" s="33" t="n"/>
      <c r="M432" s="33" t="n"/>
      <c r="N432" s="33" t="n"/>
      <c r="O432" s="33" t="n"/>
      <c r="P432" s="33" t="n"/>
      <c r="Q432" s="34" t="n"/>
      <c r="R432" s="35" t="inlineStr">
        <is>
          <t>IF(AO432="","",AO432)</t>
        </is>
      </c>
      <c r="S432" s="36" t="n"/>
      <c r="T432" s="37" t="n"/>
      <c r="U432" s="36" t="n"/>
      <c r="V432" s="35" t="inlineStr">
        <is>
          <t>IF(U432&lt;&gt;"",U432,IF(OR(R432="",T432=""),"",EDATE(R432,T432)))</t>
        </is>
      </c>
      <c r="W432" s="36" t="n"/>
      <c r="X432" s="37" t="n"/>
      <c r="Y432" s="33" t="n"/>
      <c r="Z432" s="33" t="n"/>
      <c r="AA432" s="32" t="inlineStr">
        <is>
          <t>IF(E432="","",IF(COUNT(AG432:AT432)=0,IF(Y432="","Not started",Y432),SUBSTITUTE(LOOKUP(2,1/(AG432:AT432&lt;&gt;""),$AG$3:$AT$3),"Date: ","")))</t>
        </is>
      </c>
      <c r="AB432" s="38" t="inlineStr">
        <is>
          <t>IF(OR(E432="",COUNT(AG432:AT432)=0),"",TODAY()-LOOKUP(2,1/(AG432:AT432&lt;&gt;""),AG432:AT432))</t>
        </is>
      </c>
      <c r="AC432" s="38" t="inlineStr">
        <is>
          <t>IF(OR(E432="",COUNT(AG432:AT432)&lt;2),"",LOOKUP(2,1/(AG432:AT432&lt;&gt;""),AG432:AT432)-MIN(AG432:AT432))</t>
        </is>
      </c>
      <c r="AD432" s="38" t="inlineStr">
        <is>
          <t>IF(OR(AB432="",AA432="Not started",AA432=""),"",IFERROR(AB432-IF(VLOOKUP(AA432,'04_Status_Pipeline'!$B$3:$E$20,4,FALSE)="",0,VLOOKUP(AA432,'04_Status_Pipeline'!$B$3:$E$20,4,FALSE)),""))</t>
        </is>
      </c>
      <c r="AE432" s="32" t="inlineStr">
        <is>
          <t>IF(E432="","",IF(OR(Y432="Cancelled",AA432="Cancelled"),"Cancelled",IF(OR(AA432="Completed / Handover",W432&lt;&gt;"",X432&gt;=100),"Completed — on track",IF(L432="Remaining",IF(S432="",IF(V432="","No planned date",IF(TODAY()&gt;V432,"Behind — past planned date",IF(V432-TODAY()&lt;=30,"At risk — close to off track","On track"))),IF(TODAY()&gt;S432,"Behind — award date passed",IF(S432-TODAY()&lt;=30,"At risk — close to off track","On track"))),IF(V432="","No planned date",IF(AND(TODAY()&gt;V432,OR(X432="",X432&lt;100)),"Behind — past end date",IF(AND(R432&lt;&gt;"",V432&lt;&gt;"",X432&lt;&gt;"",(X432&lt;100),((TODAY()-R432)/MAX(V432-R432,1)*100)-X432&gt;15),"Behind — progress lag",IF(AND(V432-TODAY()&lt;=30,V432-TODAY()&gt;=0,OR(X432="",X432&lt;90)),"At risk — close to off track","On track"))))))))</t>
        </is>
      </c>
      <c r="AF432" s="38" t="inlineStr">
        <is>
          <t>IF(OR(E432="",AA432="Completed / Handover",AA432="Cancelled"),"",IF(L432="Remaining",IF(S432&lt;&gt;"",S432-TODAY(),IF(V432="","",V432-TODAY())),IF(V432="","",V432-TODAY())))</t>
        </is>
      </c>
      <c r="AG432" s="36" t="n"/>
      <c r="AH432" s="36" t="n"/>
      <c r="AI432" s="36" t="n"/>
      <c r="AJ432" s="36" t="n"/>
      <c r="AK432" s="36" t="n"/>
      <c r="AL432" s="36" t="n"/>
      <c r="AM432" s="36" t="n"/>
      <c r="AN432" s="36" t="n"/>
      <c r="AO432" s="36" t="n"/>
      <c r="AP432" s="36" t="n"/>
      <c r="AQ432" s="36" t="n"/>
      <c r="AR432" s="40" t="n"/>
      <c r="AS432" s="40" t="n"/>
      <c r="AT432" s="40" t="n"/>
      <c r="AU432" s="38" t="inlineStr">
        <is>
          <t>IF(OR(E432="",AH432=""),"",IF(COUNT(AG432:AG432)=0,"",AH432-LOOKUP(2,1/(AG432:AG432&lt;&gt;""),AG432:AG432)))</t>
        </is>
      </c>
      <c r="AV432" s="38" t="inlineStr">
        <is>
          <t>IF(OR(E432="",AI432=""),"",IF(COUNT(AG432:AH432)=0,"",AI432-LOOKUP(2,1/(AG432:AH432&lt;&gt;""),AG432:AH432)))</t>
        </is>
      </c>
      <c r="AW432" s="38" t="inlineStr">
        <is>
          <t>IF(OR(E432="",AJ432=""),"",IF(COUNT(AG432:AI432)=0,"",AJ432-LOOKUP(2,1/(AG432:AI432&lt;&gt;""),AG432:AI432)))</t>
        </is>
      </c>
      <c r="AX432" s="38" t="inlineStr">
        <is>
          <t>IF(OR(E432="",AK432=""),"",IF(COUNT(AG432:AJ432)=0,"",AK432-LOOKUP(2,1/(AG432:AJ432&lt;&gt;""),AG432:AJ432)))</t>
        </is>
      </c>
      <c r="AY432" s="38" t="inlineStr">
        <is>
          <t>IF(OR(E432="",AL432=""),"",IF(COUNT(AG432:AK432)=0,"",AL432-LOOKUP(2,1/(AG432:AK432&lt;&gt;""),AG432:AK432)))</t>
        </is>
      </c>
      <c r="AZ432" s="38" t="inlineStr">
        <is>
          <t>IF(OR(E432="",AM432=""),"",IF(COUNT(AG432:AL432)=0,"",AM432-LOOKUP(2,1/(AG432:AL432&lt;&gt;""),AG432:AL432)))</t>
        </is>
      </c>
      <c r="BA432" s="38" t="inlineStr">
        <is>
          <t>IF(OR(E432="",AN432=""),"",IF(COUNT(AG432:AM432)=0,"",AN432-LOOKUP(2,1/(AG432:AM432&lt;&gt;""),AG432:AM432)))</t>
        </is>
      </c>
      <c r="BB432" s="38" t="inlineStr">
        <is>
          <t>IF(OR(E432="",AO432=""),"",IF(COUNT(AG432:AN432)=0,"",AO432-LOOKUP(2,1/(AG432:AN432&lt;&gt;""),AG432:AN432)))</t>
        </is>
      </c>
      <c r="BC432" s="38" t="inlineStr">
        <is>
          <t>IF(OR(E432="",AP432=""),"",IF(COUNT(AG432:AO432)=0,"",AP432-LOOKUP(2,1/(AG432:AO432&lt;&gt;""),AG432:AO432)))</t>
        </is>
      </c>
      <c r="BD432" s="38" t="inlineStr">
        <is>
          <t>IF(OR(E432="",AQ432=""),"",IF(COUNT(AG432:AP432)=0,"",AQ432-LOOKUP(2,1/(AG432:AP432&lt;&gt;""),AG432:AP432)))</t>
        </is>
      </c>
      <c r="BE432" s="38" t="inlineStr">
        <is>
          <t>IF(OR(E432="",AR432=""),"",IF(COUNT(AG432:AQ432)=0,"",AR432-LOOKUP(2,1/(AG432:AQ432&lt;&gt;""),AG432:AQ432)))</t>
        </is>
      </c>
      <c r="BF432" s="38" t="inlineStr">
        <is>
          <t>IF(OR(E432="",AS432=""),"",IF(COUNT(AG432:AR432)=0,"",AS432-LOOKUP(2,1/(AG432:AR432&lt;&gt;""),AG432:AR432)))</t>
        </is>
      </c>
      <c r="BG432" s="38" t="inlineStr">
        <is>
          <t>IF(OR(E432="",AT432=""),"",IF(COUNT(AG432:AS432)=0,"",AT432-LOOKUP(2,1/(AG432:AS432&lt;&gt;""),AG432:AS432)))</t>
        </is>
      </c>
      <c r="BH432" s="41" t="inlineStr">
        <is>
          <t>IF(G432="","All_Provinces",IFERROR(VLOOKUP(G432,'07_Lookups'!$A$4:$B$20,2,FALSE),"All_Provinces"))</t>
        </is>
      </c>
      <c r="BI432" s="41" t="inlineStr">
        <is>
          <t>IF(H432="","All_Districts",IFERROR(VLOOKUP(H432,'07_Lookups'!$E$4:$F$42,2,FALSE),"All_Districts"))</t>
        </is>
      </c>
    </row>
    <row r="433" ht="18" customHeight="1">
      <c r="A433" s="32" t="inlineStr">
        <is>
          <t>IF(E433="","",ROW()-3)</t>
        </is>
      </c>
      <c r="B433" s="42" t="n"/>
      <c r="C433" s="42" t="n"/>
      <c r="D433" s="42" t="n"/>
      <c r="E433" s="42" t="n"/>
      <c r="F433" s="42" t="n"/>
      <c r="G433" s="42" t="n"/>
      <c r="H433" s="42" t="n"/>
      <c r="I433" s="42" t="n"/>
      <c r="J433" s="42" t="n"/>
      <c r="K433" s="42" t="n"/>
      <c r="L433" s="42" t="n"/>
      <c r="M433" s="42" t="n"/>
      <c r="N433" s="42" t="n"/>
      <c r="O433" s="42" t="n"/>
      <c r="P433" s="42" t="n"/>
      <c r="Q433" s="43" t="n"/>
      <c r="R433" s="35" t="inlineStr">
        <is>
          <t>IF(AO433="","",AO433)</t>
        </is>
      </c>
      <c r="S433" s="44" t="n"/>
      <c r="T433" s="45" t="n"/>
      <c r="U433" s="44" t="n"/>
      <c r="V433" s="35" t="inlineStr">
        <is>
          <t>IF(U433&lt;&gt;"",U433,IF(OR(R433="",T433=""),"",EDATE(R433,T433)))</t>
        </is>
      </c>
      <c r="W433" s="44" t="n"/>
      <c r="X433" s="45" t="n"/>
      <c r="Y433" s="42" t="n"/>
      <c r="Z433" s="42" t="n"/>
      <c r="AA433" s="32" t="inlineStr">
        <is>
          <t>IF(E433="","",IF(COUNT(AG433:AT433)=0,IF(Y433="","Not started",Y433),SUBSTITUTE(LOOKUP(2,1/(AG433:AT433&lt;&gt;""),$AG$3:$AT$3),"Date: ","")))</t>
        </is>
      </c>
      <c r="AB433" s="38" t="inlineStr">
        <is>
          <t>IF(OR(E433="",COUNT(AG433:AT433)=0),"",TODAY()-LOOKUP(2,1/(AG433:AT433&lt;&gt;""),AG433:AT433))</t>
        </is>
      </c>
      <c r="AC433" s="38" t="inlineStr">
        <is>
          <t>IF(OR(E433="",COUNT(AG433:AT433)&lt;2),"",LOOKUP(2,1/(AG433:AT433&lt;&gt;""),AG433:AT433)-MIN(AG433:AT433))</t>
        </is>
      </c>
      <c r="AD433" s="38" t="inlineStr">
        <is>
          <t>IF(OR(AB433="",AA433="Not started",AA433=""),"",IFERROR(AB433-IF(VLOOKUP(AA433,'04_Status_Pipeline'!$B$3:$E$20,4,FALSE)="",0,VLOOKUP(AA433,'04_Status_Pipeline'!$B$3:$E$20,4,FALSE)),""))</t>
        </is>
      </c>
      <c r="AE433" s="32" t="inlineStr">
        <is>
          <t>IF(E433="","",IF(OR(Y433="Cancelled",AA433="Cancelled"),"Cancelled",IF(OR(AA433="Completed / Handover",W433&lt;&gt;"",X433&gt;=100),"Completed — on track",IF(L433="Remaining",IF(S433="",IF(V433="","No planned date",IF(TODAY()&gt;V433,"Behind — past planned date",IF(V433-TODAY()&lt;=30,"At risk — close to off track","On track"))),IF(TODAY()&gt;S433,"Behind — award date passed",IF(S433-TODAY()&lt;=30,"At risk — close to off track","On track"))),IF(V433="","No planned date",IF(AND(TODAY()&gt;V433,OR(X433="",X433&lt;100)),"Behind — past end date",IF(AND(R433&lt;&gt;"",V433&lt;&gt;"",X433&lt;&gt;"",(X433&lt;100),((TODAY()-R433)/MAX(V433-R433,1)*100)-X433&gt;15),"Behind — progress lag",IF(AND(V433-TODAY()&lt;=30,V433-TODAY()&gt;=0,OR(X433="",X433&lt;90)),"At risk — close to off track","On track"))))))))</t>
        </is>
      </c>
      <c r="AF433" s="38" t="inlineStr">
        <is>
          <t>IF(OR(E433="",AA433="Completed / Handover",AA433="Cancelled"),"",IF(L433="Remaining",IF(S433&lt;&gt;"",S433-TODAY(),IF(V433="","",V433-TODAY())),IF(V433="","",V433-TODAY())))</t>
        </is>
      </c>
      <c r="AG433" s="44" t="n"/>
      <c r="AH433" s="44" t="n"/>
      <c r="AI433" s="44" t="n"/>
      <c r="AJ433" s="44" t="n"/>
      <c r="AK433" s="44" t="n"/>
      <c r="AL433" s="44" t="n"/>
      <c r="AM433" s="44" t="n"/>
      <c r="AN433" s="44" t="n"/>
      <c r="AO433" s="44" t="n"/>
      <c r="AP433" s="44" t="n"/>
      <c r="AQ433" s="44" t="n"/>
      <c r="AR433" s="40" t="n"/>
      <c r="AS433" s="40" t="n"/>
      <c r="AT433" s="40" t="n"/>
      <c r="AU433" s="38" t="inlineStr">
        <is>
          <t>IF(OR(E433="",AH433=""),"",IF(COUNT(AG433:AG433)=0,"",AH433-LOOKUP(2,1/(AG433:AG433&lt;&gt;""),AG433:AG433)))</t>
        </is>
      </c>
      <c r="AV433" s="38" t="inlineStr">
        <is>
          <t>IF(OR(E433="",AI433=""),"",IF(COUNT(AG433:AH433)=0,"",AI433-LOOKUP(2,1/(AG433:AH433&lt;&gt;""),AG433:AH433)))</t>
        </is>
      </c>
      <c r="AW433" s="38" t="inlineStr">
        <is>
          <t>IF(OR(E433="",AJ433=""),"",IF(COUNT(AG433:AI433)=0,"",AJ433-LOOKUP(2,1/(AG433:AI433&lt;&gt;""),AG433:AI433)))</t>
        </is>
      </c>
      <c r="AX433" s="38" t="inlineStr">
        <is>
          <t>IF(OR(E433="",AK433=""),"",IF(COUNT(AG433:AJ433)=0,"",AK433-LOOKUP(2,1/(AG433:AJ433&lt;&gt;""),AG433:AJ433)))</t>
        </is>
      </c>
      <c r="AY433" s="38" t="inlineStr">
        <is>
          <t>IF(OR(E433="",AL433=""),"",IF(COUNT(AG433:AK433)=0,"",AL433-LOOKUP(2,1/(AG433:AK433&lt;&gt;""),AG433:AK433)))</t>
        </is>
      </c>
      <c r="AZ433" s="38" t="inlineStr">
        <is>
          <t>IF(OR(E433="",AM433=""),"",IF(COUNT(AG433:AL433)=0,"",AM433-LOOKUP(2,1/(AG433:AL433&lt;&gt;""),AG433:AL433)))</t>
        </is>
      </c>
      <c r="BA433" s="38" t="inlineStr">
        <is>
          <t>IF(OR(E433="",AN433=""),"",IF(COUNT(AG433:AM433)=0,"",AN433-LOOKUP(2,1/(AG433:AM433&lt;&gt;""),AG433:AM433)))</t>
        </is>
      </c>
      <c r="BB433" s="38" t="inlineStr">
        <is>
          <t>IF(OR(E433="",AO433=""),"",IF(COUNT(AG433:AN433)=0,"",AO433-LOOKUP(2,1/(AG433:AN433&lt;&gt;""),AG433:AN433)))</t>
        </is>
      </c>
      <c r="BC433" s="38" t="inlineStr">
        <is>
          <t>IF(OR(E433="",AP433=""),"",IF(COUNT(AG433:AO433)=0,"",AP433-LOOKUP(2,1/(AG433:AO433&lt;&gt;""),AG433:AO433)))</t>
        </is>
      </c>
      <c r="BD433" s="38" t="inlineStr">
        <is>
          <t>IF(OR(E433="",AQ433=""),"",IF(COUNT(AG433:AP433)=0,"",AQ433-LOOKUP(2,1/(AG433:AP433&lt;&gt;""),AG433:AP433)))</t>
        </is>
      </c>
      <c r="BE433" s="38" t="inlineStr">
        <is>
          <t>IF(OR(E433="",AR433=""),"",IF(COUNT(AG433:AQ433)=0,"",AR433-LOOKUP(2,1/(AG433:AQ433&lt;&gt;""),AG433:AQ433)))</t>
        </is>
      </c>
      <c r="BF433" s="38" t="inlineStr">
        <is>
          <t>IF(OR(E433="",AS433=""),"",IF(COUNT(AG433:AR433)=0,"",AS433-LOOKUP(2,1/(AG433:AR433&lt;&gt;""),AG433:AR433)))</t>
        </is>
      </c>
      <c r="BG433" s="38" t="inlineStr">
        <is>
          <t>IF(OR(E433="",AT433=""),"",IF(COUNT(AG433:AS433)=0,"",AT433-LOOKUP(2,1/(AG433:AS433&lt;&gt;""),AG433:AS433)))</t>
        </is>
      </c>
      <c r="BH433" s="41" t="inlineStr">
        <is>
          <t>IF(G433="","All_Provinces",IFERROR(VLOOKUP(G433,'07_Lookups'!$A$4:$B$20,2,FALSE),"All_Provinces"))</t>
        </is>
      </c>
      <c r="BI433" s="41" t="inlineStr">
        <is>
          <t>IF(H433="","All_Districts",IFERROR(VLOOKUP(H433,'07_Lookups'!$E$4:$F$42,2,FALSE),"All_Districts"))</t>
        </is>
      </c>
    </row>
    <row r="434" ht="18" customHeight="1">
      <c r="A434" s="32" t="inlineStr">
        <is>
          <t>IF(E434="","",ROW()-3)</t>
        </is>
      </c>
      <c r="B434" s="33" t="n"/>
      <c r="C434" s="33" t="n"/>
      <c r="D434" s="33" t="n"/>
      <c r="E434" s="33" t="n"/>
      <c r="F434" s="33" t="n"/>
      <c r="G434" s="33" t="n"/>
      <c r="H434" s="33" t="n"/>
      <c r="I434" s="33" t="n"/>
      <c r="J434" s="33" t="n"/>
      <c r="K434" s="33" t="n"/>
      <c r="L434" s="33" t="n"/>
      <c r="M434" s="33" t="n"/>
      <c r="N434" s="33" t="n"/>
      <c r="O434" s="33" t="n"/>
      <c r="P434" s="33" t="n"/>
      <c r="Q434" s="34" t="n"/>
      <c r="R434" s="35" t="inlineStr">
        <is>
          <t>IF(AO434="","",AO434)</t>
        </is>
      </c>
      <c r="S434" s="36" t="n"/>
      <c r="T434" s="37" t="n"/>
      <c r="U434" s="36" t="n"/>
      <c r="V434" s="35" t="inlineStr">
        <is>
          <t>IF(U434&lt;&gt;"",U434,IF(OR(R434="",T434=""),"",EDATE(R434,T434)))</t>
        </is>
      </c>
      <c r="W434" s="36" t="n"/>
      <c r="X434" s="37" t="n"/>
      <c r="Y434" s="33" t="n"/>
      <c r="Z434" s="33" t="n"/>
      <c r="AA434" s="32" t="inlineStr">
        <is>
          <t>IF(E434="","",IF(COUNT(AG434:AT434)=0,IF(Y434="","Not started",Y434),SUBSTITUTE(LOOKUP(2,1/(AG434:AT434&lt;&gt;""),$AG$3:$AT$3),"Date: ","")))</t>
        </is>
      </c>
      <c r="AB434" s="38" t="inlineStr">
        <is>
          <t>IF(OR(E434="",COUNT(AG434:AT434)=0),"",TODAY()-LOOKUP(2,1/(AG434:AT434&lt;&gt;""),AG434:AT434))</t>
        </is>
      </c>
      <c r="AC434" s="38" t="inlineStr">
        <is>
          <t>IF(OR(E434="",COUNT(AG434:AT434)&lt;2),"",LOOKUP(2,1/(AG434:AT434&lt;&gt;""),AG434:AT434)-MIN(AG434:AT434))</t>
        </is>
      </c>
      <c r="AD434" s="38" t="inlineStr">
        <is>
          <t>IF(OR(AB434="",AA434="Not started",AA434=""),"",IFERROR(AB434-IF(VLOOKUP(AA434,'04_Status_Pipeline'!$B$3:$E$20,4,FALSE)="",0,VLOOKUP(AA434,'04_Status_Pipeline'!$B$3:$E$20,4,FALSE)),""))</t>
        </is>
      </c>
      <c r="AE434" s="32" t="inlineStr">
        <is>
          <t>IF(E434="","",IF(OR(Y434="Cancelled",AA434="Cancelled"),"Cancelled",IF(OR(AA434="Completed / Handover",W434&lt;&gt;"",X434&gt;=100),"Completed — on track",IF(L434="Remaining",IF(S434="",IF(V434="","No planned date",IF(TODAY()&gt;V434,"Behind — past planned date",IF(V434-TODAY()&lt;=30,"At risk — close to off track","On track"))),IF(TODAY()&gt;S434,"Behind — award date passed",IF(S434-TODAY()&lt;=30,"At risk — close to off track","On track"))),IF(V434="","No planned date",IF(AND(TODAY()&gt;V434,OR(X434="",X434&lt;100)),"Behind — past end date",IF(AND(R434&lt;&gt;"",V434&lt;&gt;"",X434&lt;&gt;"",(X434&lt;100),((TODAY()-R434)/MAX(V434-R434,1)*100)-X434&gt;15),"Behind — progress lag",IF(AND(V434-TODAY()&lt;=30,V434-TODAY()&gt;=0,OR(X434="",X434&lt;90)),"At risk — close to off track","On track"))))))))</t>
        </is>
      </c>
      <c r="AF434" s="38" t="inlineStr">
        <is>
          <t>IF(OR(E434="",AA434="Completed / Handover",AA434="Cancelled"),"",IF(L434="Remaining",IF(S434&lt;&gt;"",S434-TODAY(),IF(V434="","",V434-TODAY())),IF(V434="","",V434-TODAY())))</t>
        </is>
      </c>
      <c r="AG434" s="36" t="n"/>
      <c r="AH434" s="36" t="n"/>
      <c r="AI434" s="36" t="n"/>
      <c r="AJ434" s="36" t="n"/>
      <c r="AK434" s="36" t="n"/>
      <c r="AL434" s="36" t="n"/>
      <c r="AM434" s="36" t="n"/>
      <c r="AN434" s="36" t="n"/>
      <c r="AO434" s="36" t="n"/>
      <c r="AP434" s="36" t="n"/>
      <c r="AQ434" s="36" t="n"/>
      <c r="AR434" s="40" t="n"/>
      <c r="AS434" s="40" t="n"/>
      <c r="AT434" s="40" t="n"/>
      <c r="AU434" s="38" t="inlineStr">
        <is>
          <t>IF(OR(E434="",AH434=""),"",IF(COUNT(AG434:AG434)=0,"",AH434-LOOKUP(2,1/(AG434:AG434&lt;&gt;""),AG434:AG434)))</t>
        </is>
      </c>
      <c r="AV434" s="38" t="inlineStr">
        <is>
          <t>IF(OR(E434="",AI434=""),"",IF(COUNT(AG434:AH434)=0,"",AI434-LOOKUP(2,1/(AG434:AH434&lt;&gt;""),AG434:AH434)))</t>
        </is>
      </c>
      <c r="AW434" s="38" t="inlineStr">
        <is>
          <t>IF(OR(E434="",AJ434=""),"",IF(COUNT(AG434:AI434)=0,"",AJ434-LOOKUP(2,1/(AG434:AI434&lt;&gt;""),AG434:AI434)))</t>
        </is>
      </c>
      <c r="AX434" s="38" t="inlineStr">
        <is>
          <t>IF(OR(E434="",AK434=""),"",IF(COUNT(AG434:AJ434)=0,"",AK434-LOOKUP(2,1/(AG434:AJ434&lt;&gt;""),AG434:AJ434)))</t>
        </is>
      </c>
      <c r="AY434" s="38" t="inlineStr">
        <is>
          <t>IF(OR(E434="",AL434=""),"",IF(COUNT(AG434:AK434)=0,"",AL434-LOOKUP(2,1/(AG434:AK434&lt;&gt;""),AG434:AK434)))</t>
        </is>
      </c>
      <c r="AZ434" s="38" t="inlineStr">
        <is>
          <t>IF(OR(E434="",AM434=""),"",IF(COUNT(AG434:AL434)=0,"",AM434-LOOKUP(2,1/(AG434:AL434&lt;&gt;""),AG434:AL434)))</t>
        </is>
      </c>
      <c r="BA434" s="38" t="inlineStr">
        <is>
          <t>IF(OR(E434="",AN434=""),"",IF(COUNT(AG434:AM434)=0,"",AN434-LOOKUP(2,1/(AG434:AM434&lt;&gt;""),AG434:AM434)))</t>
        </is>
      </c>
      <c r="BB434" s="38" t="inlineStr">
        <is>
          <t>IF(OR(E434="",AO434=""),"",IF(COUNT(AG434:AN434)=0,"",AO434-LOOKUP(2,1/(AG434:AN434&lt;&gt;""),AG434:AN434)))</t>
        </is>
      </c>
      <c r="BC434" s="38" t="inlineStr">
        <is>
          <t>IF(OR(E434="",AP434=""),"",IF(COUNT(AG434:AO434)=0,"",AP434-LOOKUP(2,1/(AG434:AO434&lt;&gt;""),AG434:AO434)))</t>
        </is>
      </c>
      <c r="BD434" s="38" t="inlineStr">
        <is>
          <t>IF(OR(E434="",AQ434=""),"",IF(COUNT(AG434:AP434)=0,"",AQ434-LOOKUP(2,1/(AG434:AP434&lt;&gt;""),AG434:AP434)))</t>
        </is>
      </c>
      <c r="BE434" s="38" t="inlineStr">
        <is>
          <t>IF(OR(E434="",AR434=""),"",IF(COUNT(AG434:AQ434)=0,"",AR434-LOOKUP(2,1/(AG434:AQ434&lt;&gt;""),AG434:AQ434)))</t>
        </is>
      </c>
      <c r="BF434" s="38" t="inlineStr">
        <is>
          <t>IF(OR(E434="",AS434=""),"",IF(COUNT(AG434:AR434)=0,"",AS434-LOOKUP(2,1/(AG434:AR434&lt;&gt;""),AG434:AR434)))</t>
        </is>
      </c>
      <c r="BG434" s="38" t="inlineStr">
        <is>
          <t>IF(OR(E434="",AT434=""),"",IF(COUNT(AG434:AS434)=0,"",AT434-LOOKUP(2,1/(AG434:AS434&lt;&gt;""),AG434:AS434)))</t>
        </is>
      </c>
      <c r="BH434" s="41" t="inlineStr">
        <is>
          <t>IF(G434="","All_Provinces",IFERROR(VLOOKUP(G434,'07_Lookups'!$A$4:$B$20,2,FALSE),"All_Provinces"))</t>
        </is>
      </c>
      <c r="BI434" s="41" t="inlineStr">
        <is>
          <t>IF(H434="","All_Districts",IFERROR(VLOOKUP(H434,'07_Lookups'!$E$4:$F$42,2,FALSE),"All_Districts"))</t>
        </is>
      </c>
    </row>
    <row r="435" ht="18" customHeight="1">
      <c r="A435" s="32" t="inlineStr">
        <is>
          <t>IF(E435="","",ROW()-3)</t>
        </is>
      </c>
      <c r="B435" s="42" t="n"/>
      <c r="C435" s="42" t="n"/>
      <c r="D435" s="42" t="n"/>
      <c r="E435" s="42" t="n"/>
      <c r="F435" s="42" t="n"/>
      <c r="G435" s="42" t="n"/>
      <c r="H435" s="42" t="n"/>
      <c r="I435" s="42" t="n"/>
      <c r="J435" s="42" t="n"/>
      <c r="K435" s="42" t="n"/>
      <c r="L435" s="42" t="n"/>
      <c r="M435" s="42" t="n"/>
      <c r="N435" s="42" t="n"/>
      <c r="O435" s="42" t="n"/>
      <c r="P435" s="42" t="n"/>
      <c r="Q435" s="43" t="n"/>
      <c r="R435" s="35" t="inlineStr">
        <is>
          <t>IF(AO435="","",AO435)</t>
        </is>
      </c>
      <c r="S435" s="44" t="n"/>
      <c r="T435" s="45" t="n"/>
      <c r="U435" s="44" t="n"/>
      <c r="V435" s="35" t="inlineStr">
        <is>
          <t>IF(U435&lt;&gt;"",U435,IF(OR(R435="",T435=""),"",EDATE(R435,T435)))</t>
        </is>
      </c>
      <c r="W435" s="44" t="n"/>
      <c r="X435" s="45" t="n"/>
      <c r="Y435" s="42" t="n"/>
      <c r="Z435" s="42" t="n"/>
      <c r="AA435" s="32" t="inlineStr">
        <is>
          <t>IF(E435="","",IF(COUNT(AG435:AT435)=0,IF(Y435="","Not started",Y435),SUBSTITUTE(LOOKUP(2,1/(AG435:AT435&lt;&gt;""),$AG$3:$AT$3),"Date: ","")))</t>
        </is>
      </c>
      <c r="AB435" s="38" t="inlineStr">
        <is>
          <t>IF(OR(E435="",COUNT(AG435:AT435)=0),"",TODAY()-LOOKUP(2,1/(AG435:AT435&lt;&gt;""),AG435:AT435))</t>
        </is>
      </c>
      <c r="AC435" s="38" t="inlineStr">
        <is>
          <t>IF(OR(E435="",COUNT(AG435:AT435)&lt;2),"",LOOKUP(2,1/(AG435:AT435&lt;&gt;""),AG435:AT435)-MIN(AG435:AT435))</t>
        </is>
      </c>
      <c r="AD435" s="38" t="inlineStr">
        <is>
          <t>IF(OR(AB435="",AA435="Not started",AA435=""),"",IFERROR(AB435-IF(VLOOKUP(AA435,'04_Status_Pipeline'!$B$3:$E$20,4,FALSE)="",0,VLOOKUP(AA435,'04_Status_Pipeline'!$B$3:$E$20,4,FALSE)),""))</t>
        </is>
      </c>
      <c r="AE435" s="32" t="inlineStr">
        <is>
          <t>IF(E435="","",IF(OR(Y435="Cancelled",AA435="Cancelled"),"Cancelled",IF(OR(AA435="Completed / Handover",W435&lt;&gt;"",X435&gt;=100),"Completed — on track",IF(L435="Remaining",IF(S435="",IF(V435="","No planned date",IF(TODAY()&gt;V435,"Behind — past planned date",IF(V435-TODAY()&lt;=30,"At risk — close to off track","On track"))),IF(TODAY()&gt;S435,"Behind — award date passed",IF(S435-TODAY()&lt;=30,"At risk — close to off track","On track"))),IF(V435="","No planned date",IF(AND(TODAY()&gt;V435,OR(X435="",X435&lt;100)),"Behind — past end date",IF(AND(R435&lt;&gt;"",V435&lt;&gt;"",X435&lt;&gt;"",(X435&lt;100),((TODAY()-R435)/MAX(V435-R435,1)*100)-X435&gt;15),"Behind — progress lag",IF(AND(V435-TODAY()&lt;=30,V435-TODAY()&gt;=0,OR(X435="",X435&lt;90)),"At risk — close to off track","On track"))))))))</t>
        </is>
      </c>
      <c r="AF435" s="38" t="inlineStr">
        <is>
          <t>IF(OR(E435="",AA435="Completed / Handover",AA435="Cancelled"),"",IF(L435="Remaining",IF(S435&lt;&gt;"",S435-TODAY(),IF(V435="","",V435-TODAY())),IF(V435="","",V435-TODAY())))</t>
        </is>
      </c>
      <c r="AG435" s="44" t="n"/>
      <c r="AH435" s="44" t="n"/>
      <c r="AI435" s="44" t="n"/>
      <c r="AJ435" s="44" t="n"/>
      <c r="AK435" s="44" t="n"/>
      <c r="AL435" s="44" t="n"/>
      <c r="AM435" s="44" t="n"/>
      <c r="AN435" s="44" t="n"/>
      <c r="AO435" s="44" t="n"/>
      <c r="AP435" s="44" t="n"/>
      <c r="AQ435" s="44" t="n"/>
      <c r="AR435" s="40" t="n"/>
      <c r="AS435" s="40" t="n"/>
      <c r="AT435" s="40" t="n"/>
      <c r="AU435" s="38" t="inlineStr">
        <is>
          <t>IF(OR(E435="",AH435=""),"",IF(COUNT(AG435:AG435)=0,"",AH435-LOOKUP(2,1/(AG435:AG435&lt;&gt;""),AG435:AG435)))</t>
        </is>
      </c>
      <c r="AV435" s="38" t="inlineStr">
        <is>
          <t>IF(OR(E435="",AI435=""),"",IF(COUNT(AG435:AH435)=0,"",AI435-LOOKUP(2,1/(AG435:AH435&lt;&gt;""),AG435:AH435)))</t>
        </is>
      </c>
      <c r="AW435" s="38" t="inlineStr">
        <is>
          <t>IF(OR(E435="",AJ435=""),"",IF(COUNT(AG435:AI435)=0,"",AJ435-LOOKUP(2,1/(AG435:AI435&lt;&gt;""),AG435:AI435)))</t>
        </is>
      </c>
      <c r="AX435" s="38" t="inlineStr">
        <is>
          <t>IF(OR(E435="",AK435=""),"",IF(COUNT(AG435:AJ435)=0,"",AK435-LOOKUP(2,1/(AG435:AJ435&lt;&gt;""),AG435:AJ435)))</t>
        </is>
      </c>
      <c r="AY435" s="38" t="inlineStr">
        <is>
          <t>IF(OR(E435="",AL435=""),"",IF(COUNT(AG435:AK435)=0,"",AL435-LOOKUP(2,1/(AG435:AK435&lt;&gt;""),AG435:AK435)))</t>
        </is>
      </c>
      <c r="AZ435" s="38" t="inlineStr">
        <is>
          <t>IF(OR(E435="",AM435=""),"",IF(COUNT(AG435:AL435)=0,"",AM435-LOOKUP(2,1/(AG435:AL435&lt;&gt;""),AG435:AL435)))</t>
        </is>
      </c>
      <c r="BA435" s="38" t="inlineStr">
        <is>
          <t>IF(OR(E435="",AN435=""),"",IF(COUNT(AG435:AM435)=0,"",AN435-LOOKUP(2,1/(AG435:AM435&lt;&gt;""),AG435:AM435)))</t>
        </is>
      </c>
      <c r="BB435" s="38" t="inlineStr">
        <is>
          <t>IF(OR(E435="",AO435=""),"",IF(COUNT(AG435:AN435)=0,"",AO435-LOOKUP(2,1/(AG435:AN435&lt;&gt;""),AG435:AN435)))</t>
        </is>
      </c>
      <c r="BC435" s="38" t="inlineStr">
        <is>
          <t>IF(OR(E435="",AP435=""),"",IF(COUNT(AG435:AO435)=0,"",AP435-LOOKUP(2,1/(AG435:AO435&lt;&gt;""),AG435:AO435)))</t>
        </is>
      </c>
      <c r="BD435" s="38" t="inlineStr">
        <is>
          <t>IF(OR(E435="",AQ435=""),"",IF(COUNT(AG435:AP435)=0,"",AQ435-LOOKUP(2,1/(AG435:AP435&lt;&gt;""),AG435:AP435)))</t>
        </is>
      </c>
      <c r="BE435" s="38" t="inlineStr">
        <is>
          <t>IF(OR(E435="",AR435=""),"",IF(COUNT(AG435:AQ435)=0,"",AR435-LOOKUP(2,1/(AG435:AQ435&lt;&gt;""),AG435:AQ435)))</t>
        </is>
      </c>
      <c r="BF435" s="38" t="inlineStr">
        <is>
          <t>IF(OR(E435="",AS435=""),"",IF(COUNT(AG435:AR435)=0,"",AS435-LOOKUP(2,1/(AG435:AR435&lt;&gt;""),AG435:AR435)))</t>
        </is>
      </c>
      <c r="BG435" s="38" t="inlineStr">
        <is>
          <t>IF(OR(E435="",AT435=""),"",IF(COUNT(AG435:AS435)=0,"",AT435-LOOKUP(2,1/(AG435:AS435&lt;&gt;""),AG435:AS435)))</t>
        </is>
      </c>
      <c r="BH435" s="41" t="inlineStr">
        <is>
          <t>IF(G435="","All_Provinces",IFERROR(VLOOKUP(G435,'07_Lookups'!$A$4:$B$20,2,FALSE),"All_Provinces"))</t>
        </is>
      </c>
      <c r="BI435" s="41" t="inlineStr">
        <is>
          <t>IF(H435="","All_Districts",IFERROR(VLOOKUP(H435,'07_Lookups'!$E$4:$F$42,2,FALSE),"All_Districts"))</t>
        </is>
      </c>
    </row>
    <row r="436" ht="18" customHeight="1">
      <c r="A436" s="32" t="inlineStr">
        <is>
          <t>IF(E436="","",ROW()-3)</t>
        </is>
      </c>
      <c r="B436" s="33" t="n"/>
      <c r="C436" s="33" t="n"/>
      <c r="D436" s="33" t="n"/>
      <c r="E436" s="33" t="n"/>
      <c r="F436" s="33" t="n"/>
      <c r="G436" s="33" t="n"/>
      <c r="H436" s="33" t="n"/>
      <c r="I436" s="33" t="n"/>
      <c r="J436" s="33" t="n"/>
      <c r="K436" s="33" t="n"/>
      <c r="L436" s="33" t="n"/>
      <c r="M436" s="33" t="n"/>
      <c r="N436" s="33" t="n"/>
      <c r="O436" s="33" t="n"/>
      <c r="P436" s="33" t="n"/>
      <c r="Q436" s="34" t="n"/>
      <c r="R436" s="35" t="inlineStr">
        <is>
          <t>IF(AO436="","",AO436)</t>
        </is>
      </c>
      <c r="S436" s="36" t="n"/>
      <c r="T436" s="37" t="n"/>
      <c r="U436" s="36" t="n"/>
      <c r="V436" s="35" t="inlineStr">
        <is>
          <t>IF(U436&lt;&gt;"",U436,IF(OR(R436="",T436=""),"",EDATE(R436,T436)))</t>
        </is>
      </c>
      <c r="W436" s="36" t="n"/>
      <c r="X436" s="37" t="n"/>
      <c r="Y436" s="33" t="n"/>
      <c r="Z436" s="33" t="n"/>
      <c r="AA436" s="32" t="inlineStr">
        <is>
          <t>IF(E436="","",IF(COUNT(AG436:AT436)=0,IF(Y436="","Not started",Y436),SUBSTITUTE(LOOKUP(2,1/(AG436:AT436&lt;&gt;""),$AG$3:$AT$3),"Date: ","")))</t>
        </is>
      </c>
      <c r="AB436" s="38" t="inlineStr">
        <is>
          <t>IF(OR(E436="",COUNT(AG436:AT436)=0),"",TODAY()-LOOKUP(2,1/(AG436:AT436&lt;&gt;""),AG436:AT436))</t>
        </is>
      </c>
      <c r="AC436" s="38" t="inlineStr">
        <is>
          <t>IF(OR(E436="",COUNT(AG436:AT436)&lt;2),"",LOOKUP(2,1/(AG436:AT436&lt;&gt;""),AG436:AT436)-MIN(AG436:AT436))</t>
        </is>
      </c>
      <c r="AD436" s="38" t="inlineStr">
        <is>
          <t>IF(OR(AB436="",AA436="Not started",AA436=""),"",IFERROR(AB436-IF(VLOOKUP(AA436,'04_Status_Pipeline'!$B$3:$E$20,4,FALSE)="",0,VLOOKUP(AA436,'04_Status_Pipeline'!$B$3:$E$20,4,FALSE)),""))</t>
        </is>
      </c>
      <c r="AE436" s="32" t="inlineStr">
        <is>
          <t>IF(E436="","",IF(OR(Y436="Cancelled",AA436="Cancelled"),"Cancelled",IF(OR(AA436="Completed / Handover",W436&lt;&gt;"",X436&gt;=100),"Completed — on track",IF(L436="Remaining",IF(S436="",IF(V436="","No planned date",IF(TODAY()&gt;V436,"Behind — past planned date",IF(V436-TODAY()&lt;=30,"At risk — close to off track","On track"))),IF(TODAY()&gt;S436,"Behind — award date passed",IF(S436-TODAY()&lt;=30,"At risk — close to off track","On track"))),IF(V436="","No planned date",IF(AND(TODAY()&gt;V436,OR(X436="",X436&lt;100)),"Behind — past end date",IF(AND(R436&lt;&gt;"",V436&lt;&gt;"",X436&lt;&gt;"",(X436&lt;100),((TODAY()-R436)/MAX(V436-R436,1)*100)-X436&gt;15),"Behind — progress lag",IF(AND(V436-TODAY()&lt;=30,V436-TODAY()&gt;=0,OR(X436="",X436&lt;90)),"At risk — close to off track","On track"))))))))</t>
        </is>
      </c>
      <c r="AF436" s="38" t="inlineStr">
        <is>
          <t>IF(OR(E436="",AA436="Completed / Handover",AA436="Cancelled"),"",IF(L436="Remaining",IF(S436&lt;&gt;"",S436-TODAY(),IF(V436="","",V436-TODAY())),IF(V436="","",V436-TODAY())))</t>
        </is>
      </c>
      <c r="AG436" s="36" t="n"/>
      <c r="AH436" s="36" t="n"/>
      <c r="AI436" s="36" t="n"/>
      <c r="AJ436" s="36" t="n"/>
      <c r="AK436" s="36" t="n"/>
      <c r="AL436" s="36" t="n"/>
      <c r="AM436" s="36" t="n"/>
      <c r="AN436" s="36" t="n"/>
      <c r="AO436" s="36" t="n"/>
      <c r="AP436" s="36" t="n"/>
      <c r="AQ436" s="36" t="n"/>
      <c r="AR436" s="40" t="n"/>
      <c r="AS436" s="40" t="n"/>
      <c r="AT436" s="40" t="n"/>
      <c r="AU436" s="38" t="inlineStr">
        <is>
          <t>IF(OR(E436="",AH436=""),"",IF(COUNT(AG436:AG436)=0,"",AH436-LOOKUP(2,1/(AG436:AG436&lt;&gt;""),AG436:AG436)))</t>
        </is>
      </c>
      <c r="AV436" s="38" t="inlineStr">
        <is>
          <t>IF(OR(E436="",AI436=""),"",IF(COUNT(AG436:AH436)=0,"",AI436-LOOKUP(2,1/(AG436:AH436&lt;&gt;""),AG436:AH436)))</t>
        </is>
      </c>
      <c r="AW436" s="38" t="inlineStr">
        <is>
          <t>IF(OR(E436="",AJ436=""),"",IF(COUNT(AG436:AI436)=0,"",AJ436-LOOKUP(2,1/(AG436:AI436&lt;&gt;""),AG436:AI436)))</t>
        </is>
      </c>
      <c r="AX436" s="38" t="inlineStr">
        <is>
          <t>IF(OR(E436="",AK436=""),"",IF(COUNT(AG436:AJ436)=0,"",AK436-LOOKUP(2,1/(AG436:AJ436&lt;&gt;""),AG436:AJ436)))</t>
        </is>
      </c>
      <c r="AY436" s="38" t="inlineStr">
        <is>
          <t>IF(OR(E436="",AL436=""),"",IF(COUNT(AG436:AK436)=0,"",AL436-LOOKUP(2,1/(AG436:AK436&lt;&gt;""),AG436:AK436)))</t>
        </is>
      </c>
      <c r="AZ436" s="38" t="inlineStr">
        <is>
          <t>IF(OR(E436="",AM436=""),"",IF(COUNT(AG436:AL436)=0,"",AM436-LOOKUP(2,1/(AG436:AL436&lt;&gt;""),AG436:AL436)))</t>
        </is>
      </c>
      <c r="BA436" s="38" t="inlineStr">
        <is>
          <t>IF(OR(E436="",AN436=""),"",IF(COUNT(AG436:AM436)=0,"",AN436-LOOKUP(2,1/(AG436:AM436&lt;&gt;""),AG436:AM436)))</t>
        </is>
      </c>
      <c r="BB436" s="38" t="inlineStr">
        <is>
          <t>IF(OR(E436="",AO436=""),"",IF(COUNT(AG436:AN436)=0,"",AO436-LOOKUP(2,1/(AG436:AN436&lt;&gt;""),AG436:AN436)))</t>
        </is>
      </c>
      <c r="BC436" s="38" t="inlineStr">
        <is>
          <t>IF(OR(E436="",AP436=""),"",IF(COUNT(AG436:AO436)=0,"",AP436-LOOKUP(2,1/(AG436:AO436&lt;&gt;""),AG436:AO436)))</t>
        </is>
      </c>
      <c r="BD436" s="38" t="inlineStr">
        <is>
          <t>IF(OR(E436="",AQ436=""),"",IF(COUNT(AG436:AP436)=0,"",AQ436-LOOKUP(2,1/(AG436:AP436&lt;&gt;""),AG436:AP436)))</t>
        </is>
      </c>
      <c r="BE436" s="38" t="inlineStr">
        <is>
          <t>IF(OR(E436="",AR436=""),"",IF(COUNT(AG436:AQ436)=0,"",AR436-LOOKUP(2,1/(AG436:AQ436&lt;&gt;""),AG436:AQ436)))</t>
        </is>
      </c>
      <c r="BF436" s="38" t="inlineStr">
        <is>
          <t>IF(OR(E436="",AS436=""),"",IF(COUNT(AG436:AR436)=0,"",AS436-LOOKUP(2,1/(AG436:AR436&lt;&gt;""),AG436:AR436)))</t>
        </is>
      </c>
      <c r="BG436" s="38" t="inlineStr">
        <is>
          <t>IF(OR(E436="",AT436=""),"",IF(COUNT(AG436:AS436)=0,"",AT436-LOOKUP(2,1/(AG436:AS436&lt;&gt;""),AG436:AS436)))</t>
        </is>
      </c>
      <c r="BH436" s="41" t="inlineStr">
        <is>
          <t>IF(G436="","All_Provinces",IFERROR(VLOOKUP(G436,'07_Lookups'!$A$4:$B$20,2,FALSE),"All_Provinces"))</t>
        </is>
      </c>
      <c r="BI436" s="41" t="inlineStr">
        <is>
          <t>IF(H436="","All_Districts",IFERROR(VLOOKUP(H436,'07_Lookups'!$E$4:$F$42,2,FALSE),"All_Districts"))</t>
        </is>
      </c>
    </row>
    <row r="437" ht="18" customHeight="1">
      <c r="A437" s="32" t="inlineStr">
        <is>
          <t>IF(E437="","",ROW()-3)</t>
        </is>
      </c>
      <c r="B437" s="42" t="n"/>
      <c r="C437" s="42" t="n"/>
      <c r="D437" s="42" t="n"/>
      <c r="E437" s="42" t="n"/>
      <c r="F437" s="42" t="n"/>
      <c r="G437" s="42" t="n"/>
      <c r="H437" s="42" t="n"/>
      <c r="I437" s="42" t="n"/>
      <c r="J437" s="42" t="n"/>
      <c r="K437" s="42" t="n"/>
      <c r="L437" s="42" t="n"/>
      <c r="M437" s="42" t="n"/>
      <c r="N437" s="42" t="n"/>
      <c r="O437" s="42" t="n"/>
      <c r="P437" s="42" t="n"/>
      <c r="Q437" s="43" t="n"/>
      <c r="R437" s="35" t="inlineStr">
        <is>
          <t>IF(AO437="","",AO437)</t>
        </is>
      </c>
      <c r="S437" s="44" t="n"/>
      <c r="T437" s="45" t="n"/>
      <c r="U437" s="44" t="n"/>
      <c r="V437" s="35" t="inlineStr">
        <is>
          <t>IF(U437&lt;&gt;"",U437,IF(OR(R437="",T437=""),"",EDATE(R437,T437)))</t>
        </is>
      </c>
      <c r="W437" s="44" t="n"/>
      <c r="X437" s="45" t="n"/>
      <c r="Y437" s="42" t="n"/>
      <c r="Z437" s="42" t="n"/>
      <c r="AA437" s="32" t="inlineStr">
        <is>
          <t>IF(E437="","",IF(COUNT(AG437:AT437)=0,IF(Y437="","Not started",Y437),SUBSTITUTE(LOOKUP(2,1/(AG437:AT437&lt;&gt;""),$AG$3:$AT$3),"Date: ","")))</t>
        </is>
      </c>
      <c r="AB437" s="38" t="inlineStr">
        <is>
          <t>IF(OR(E437="",COUNT(AG437:AT437)=0),"",TODAY()-LOOKUP(2,1/(AG437:AT437&lt;&gt;""),AG437:AT437))</t>
        </is>
      </c>
      <c r="AC437" s="38" t="inlineStr">
        <is>
          <t>IF(OR(E437="",COUNT(AG437:AT437)&lt;2),"",LOOKUP(2,1/(AG437:AT437&lt;&gt;""),AG437:AT437)-MIN(AG437:AT437))</t>
        </is>
      </c>
      <c r="AD437" s="38" t="inlineStr">
        <is>
          <t>IF(OR(AB437="",AA437="Not started",AA437=""),"",IFERROR(AB437-IF(VLOOKUP(AA437,'04_Status_Pipeline'!$B$3:$E$20,4,FALSE)="",0,VLOOKUP(AA437,'04_Status_Pipeline'!$B$3:$E$20,4,FALSE)),""))</t>
        </is>
      </c>
      <c r="AE437" s="32" t="inlineStr">
        <is>
          <t>IF(E437="","",IF(OR(Y437="Cancelled",AA437="Cancelled"),"Cancelled",IF(OR(AA437="Completed / Handover",W437&lt;&gt;"",X437&gt;=100),"Completed — on track",IF(L437="Remaining",IF(S437="",IF(V437="","No planned date",IF(TODAY()&gt;V437,"Behind — past planned date",IF(V437-TODAY()&lt;=30,"At risk — close to off track","On track"))),IF(TODAY()&gt;S437,"Behind — award date passed",IF(S437-TODAY()&lt;=30,"At risk — close to off track","On track"))),IF(V437="","No planned date",IF(AND(TODAY()&gt;V437,OR(X437="",X437&lt;100)),"Behind — past end date",IF(AND(R437&lt;&gt;"",V437&lt;&gt;"",X437&lt;&gt;"",(X437&lt;100),((TODAY()-R437)/MAX(V437-R437,1)*100)-X437&gt;15),"Behind — progress lag",IF(AND(V437-TODAY()&lt;=30,V437-TODAY()&gt;=0,OR(X437="",X437&lt;90)),"At risk — close to off track","On track"))))))))</t>
        </is>
      </c>
      <c r="AF437" s="38" t="inlineStr">
        <is>
          <t>IF(OR(E437="",AA437="Completed / Handover",AA437="Cancelled"),"",IF(L437="Remaining",IF(S437&lt;&gt;"",S437-TODAY(),IF(V437="","",V437-TODAY())),IF(V437="","",V437-TODAY())))</t>
        </is>
      </c>
      <c r="AG437" s="44" t="n"/>
      <c r="AH437" s="44" t="n"/>
      <c r="AI437" s="44" t="n"/>
      <c r="AJ437" s="44" t="n"/>
      <c r="AK437" s="44" t="n"/>
      <c r="AL437" s="44" t="n"/>
      <c r="AM437" s="44" t="n"/>
      <c r="AN437" s="44" t="n"/>
      <c r="AO437" s="44" t="n"/>
      <c r="AP437" s="44" t="n"/>
      <c r="AQ437" s="44" t="n"/>
      <c r="AR437" s="40" t="n"/>
      <c r="AS437" s="40" t="n"/>
      <c r="AT437" s="40" t="n"/>
      <c r="AU437" s="38" t="inlineStr">
        <is>
          <t>IF(OR(E437="",AH437=""),"",IF(COUNT(AG437:AG437)=0,"",AH437-LOOKUP(2,1/(AG437:AG437&lt;&gt;""),AG437:AG437)))</t>
        </is>
      </c>
      <c r="AV437" s="38" t="inlineStr">
        <is>
          <t>IF(OR(E437="",AI437=""),"",IF(COUNT(AG437:AH437)=0,"",AI437-LOOKUP(2,1/(AG437:AH437&lt;&gt;""),AG437:AH437)))</t>
        </is>
      </c>
      <c r="AW437" s="38" t="inlineStr">
        <is>
          <t>IF(OR(E437="",AJ437=""),"",IF(COUNT(AG437:AI437)=0,"",AJ437-LOOKUP(2,1/(AG437:AI437&lt;&gt;""),AG437:AI437)))</t>
        </is>
      </c>
      <c r="AX437" s="38" t="inlineStr">
        <is>
          <t>IF(OR(E437="",AK437=""),"",IF(COUNT(AG437:AJ437)=0,"",AK437-LOOKUP(2,1/(AG437:AJ437&lt;&gt;""),AG437:AJ437)))</t>
        </is>
      </c>
      <c r="AY437" s="38" t="inlineStr">
        <is>
          <t>IF(OR(E437="",AL437=""),"",IF(COUNT(AG437:AK437)=0,"",AL437-LOOKUP(2,1/(AG437:AK437&lt;&gt;""),AG437:AK437)))</t>
        </is>
      </c>
      <c r="AZ437" s="38" t="inlineStr">
        <is>
          <t>IF(OR(E437="",AM437=""),"",IF(COUNT(AG437:AL437)=0,"",AM437-LOOKUP(2,1/(AG437:AL437&lt;&gt;""),AG437:AL437)))</t>
        </is>
      </c>
      <c r="BA437" s="38" t="inlineStr">
        <is>
          <t>IF(OR(E437="",AN437=""),"",IF(COUNT(AG437:AM437)=0,"",AN437-LOOKUP(2,1/(AG437:AM437&lt;&gt;""),AG437:AM437)))</t>
        </is>
      </c>
      <c r="BB437" s="38" t="inlineStr">
        <is>
          <t>IF(OR(E437="",AO437=""),"",IF(COUNT(AG437:AN437)=0,"",AO437-LOOKUP(2,1/(AG437:AN437&lt;&gt;""),AG437:AN437)))</t>
        </is>
      </c>
      <c r="BC437" s="38" t="inlineStr">
        <is>
          <t>IF(OR(E437="",AP437=""),"",IF(COUNT(AG437:AO437)=0,"",AP437-LOOKUP(2,1/(AG437:AO437&lt;&gt;""),AG437:AO437)))</t>
        </is>
      </c>
      <c r="BD437" s="38" t="inlineStr">
        <is>
          <t>IF(OR(E437="",AQ437=""),"",IF(COUNT(AG437:AP437)=0,"",AQ437-LOOKUP(2,1/(AG437:AP437&lt;&gt;""),AG437:AP437)))</t>
        </is>
      </c>
      <c r="BE437" s="38" t="inlineStr">
        <is>
          <t>IF(OR(E437="",AR437=""),"",IF(COUNT(AG437:AQ437)=0,"",AR437-LOOKUP(2,1/(AG437:AQ437&lt;&gt;""),AG437:AQ437)))</t>
        </is>
      </c>
      <c r="BF437" s="38" t="inlineStr">
        <is>
          <t>IF(OR(E437="",AS437=""),"",IF(COUNT(AG437:AR437)=0,"",AS437-LOOKUP(2,1/(AG437:AR437&lt;&gt;""),AG437:AR437)))</t>
        </is>
      </c>
      <c r="BG437" s="38" t="inlineStr">
        <is>
          <t>IF(OR(E437="",AT437=""),"",IF(COUNT(AG437:AS437)=0,"",AT437-LOOKUP(2,1/(AG437:AS437&lt;&gt;""),AG437:AS437)))</t>
        </is>
      </c>
      <c r="BH437" s="41" t="inlineStr">
        <is>
          <t>IF(G437="","All_Provinces",IFERROR(VLOOKUP(G437,'07_Lookups'!$A$4:$B$20,2,FALSE),"All_Provinces"))</t>
        </is>
      </c>
      <c r="BI437" s="41" t="inlineStr">
        <is>
          <t>IF(H437="","All_Districts",IFERROR(VLOOKUP(H437,'07_Lookups'!$E$4:$F$42,2,FALSE),"All_Districts"))</t>
        </is>
      </c>
    </row>
    <row r="438" ht="18" customHeight="1">
      <c r="A438" s="32" t="inlineStr">
        <is>
          <t>IF(E438="","",ROW()-3)</t>
        </is>
      </c>
      <c r="B438" s="33" t="n"/>
      <c r="C438" s="33" t="n"/>
      <c r="D438" s="33" t="n"/>
      <c r="E438" s="33" t="n"/>
      <c r="F438" s="33" t="n"/>
      <c r="G438" s="33" t="n"/>
      <c r="H438" s="33" t="n"/>
      <c r="I438" s="33" t="n"/>
      <c r="J438" s="33" t="n"/>
      <c r="K438" s="33" t="n"/>
      <c r="L438" s="33" t="n"/>
      <c r="M438" s="33" t="n"/>
      <c r="N438" s="33" t="n"/>
      <c r="O438" s="33" t="n"/>
      <c r="P438" s="33" t="n"/>
      <c r="Q438" s="34" t="n"/>
      <c r="R438" s="35" t="inlineStr">
        <is>
          <t>IF(AO438="","",AO438)</t>
        </is>
      </c>
      <c r="S438" s="36" t="n"/>
      <c r="T438" s="37" t="n"/>
      <c r="U438" s="36" t="n"/>
      <c r="V438" s="35" t="inlineStr">
        <is>
          <t>IF(U438&lt;&gt;"",U438,IF(OR(R438="",T438=""),"",EDATE(R438,T438)))</t>
        </is>
      </c>
      <c r="W438" s="36" t="n"/>
      <c r="X438" s="37" t="n"/>
      <c r="Y438" s="33" t="n"/>
      <c r="Z438" s="33" t="n"/>
      <c r="AA438" s="32" t="inlineStr">
        <is>
          <t>IF(E438="","",IF(COUNT(AG438:AT438)=0,IF(Y438="","Not started",Y438),SUBSTITUTE(LOOKUP(2,1/(AG438:AT438&lt;&gt;""),$AG$3:$AT$3),"Date: ","")))</t>
        </is>
      </c>
      <c r="AB438" s="38" t="inlineStr">
        <is>
          <t>IF(OR(E438="",COUNT(AG438:AT438)=0),"",TODAY()-LOOKUP(2,1/(AG438:AT438&lt;&gt;""),AG438:AT438))</t>
        </is>
      </c>
      <c r="AC438" s="38" t="inlineStr">
        <is>
          <t>IF(OR(E438="",COUNT(AG438:AT438)&lt;2),"",LOOKUP(2,1/(AG438:AT438&lt;&gt;""),AG438:AT438)-MIN(AG438:AT438))</t>
        </is>
      </c>
      <c r="AD438" s="38" t="inlineStr">
        <is>
          <t>IF(OR(AB438="",AA438="Not started",AA438=""),"",IFERROR(AB438-IF(VLOOKUP(AA438,'04_Status_Pipeline'!$B$3:$E$20,4,FALSE)="",0,VLOOKUP(AA438,'04_Status_Pipeline'!$B$3:$E$20,4,FALSE)),""))</t>
        </is>
      </c>
      <c r="AE438" s="32" t="inlineStr">
        <is>
          <t>IF(E438="","",IF(OR(Y438="Cancelled",AA438="Cancelled"),"Cancelled",IF(OR(AA438="Completed / Handover",W438&lt;&gt;"",X438&gt;=100),"Completed — on track",IF(L438="Remaining",IF(S438="",IF(V438="","No planned date",IF(TODAY()&gt;V438,"Behind — past planned date",IF(V438-TODAY()&lt;=30,"At risk — close to off track","On track"))),IF(TODAY()&gt;S438,"Behind — award date passed",IF(S438-TODAY()&lt;=30,"At risk — close to off track","On track"))),IF(V438="","No planned date",IF(AND(TODAY()&gt;V438,OR(X438="",X438&lt;100)),"Behind — past end date",IF(AND(R438&lt;&gt;"",V438&lt;&gt;"",X438&lt;&gt;"",(X438&lt;100),((TODAY()-R438)/MAX(V438-R438,1)*100)-X438&gt;15),"Behind — progress lag",IF(AND(V438-TODAY()&lt;=30,V438-TODAY()&gt;=0,OR(X438="",X438&lt;90)),"At risk — close to off track","On track"))))))))</t>
        </is>
      </c>
      <c r="AF438" s="38" t="inlineStr">
        <is>
          <t>IF(OR(E438="",AA438="Completed / Handover",AA438="Cancelled"),"",IF(L438="Remaining",IF(S438&lt;&gt;"",S438-TODAY(),IF(V438="","",V438-TODAY())),IF(V438="","",V438-TODAY())))</t>
        </is>
      </c>
      <c r="AG438" s="36" t="n"/>
      <c r="AH438" s="36" t="n"/>
      <c r="AI438" s="36" t="n"/>
      <c r="AJ438" s="36" t="n"/>
      <c r="AK438" s="36" t="n"/>
      <c r="AL438" s="36" t="n"/>
      <c r="AM438" s="36" t="n"/>
      <c r="AN438" s="36" t="n"/>
      <c r="AO438" s="36" t="n"/>
      <c r="AP438" s="36" t="n"/>
      <c r="AQ438" s="36" t="n"/>
      <c r="AR438" s="40" t="n"/>
      <c r="AS438" s="40" t="n"/>
      <c r="AT438" s="40" t="n"/>
      <c r="AU438" s="38" t="inlineStr">
        <is>
          <t>IF(OR(E438="",AH438=""),"",IF(COUNT(AG438:AG438)=0,"",AH438-LOOKUP(2,1/(AG438:AG438&lt;&gt;""),AG438:AG438)))</t>
        </is>
      </c>
      <c r="AV438" s="38" t="inlineStr">
        <is>
          <t>IF(OR(E438="",AI438=""),"",IF(COUNT(AG438:AH438)=0,"",AI438-LOOKUP(2,1/(AG438:AH438&lt;&gt;""),AG438:AH438)))</t>
        </is>
      </c>
      <c r="AW438" s="38" t="inlineStr">
        <is>
          <t>IF(OR(E438="",AJ438=""),"",IF(COUNT(AG438:AI438)=0,"",AJ438-LOOKUP(2,1/(AG438:AI438&lt;&gt;""),AG438:AI438)))</t>
        </is>
      </c>
      <c r="AX438" s="38" t="inlineStr">
        <is>
          <t>IF(OR(E438="",AK438=""),"",IF(COUNT(AG438:AJ438)=0,"",AK438-LOOKUP(2,1/(AG438:AJ438&lt;&gt;""),AG438:AJ438)))</t>
        </is>
      </c>
      <c r="AY438" s="38" t="inlineStr">
        <is>
          <t>IF(OR(E438="",AL438=""),"",IF(COUNT(AG438:AK438)=0,"",AL438-LOOKUP(2,1/(AG438:AK438&lt;&gt;""),AG438:AK438)))</t>
        </is>
      </c>
      <c r="AZ438" s="38" t="inlineStr">
        <is>
          <t>IF(OR(E438="",AM438=""),"",IF(COUNT(AG438:AL438)=0,"",AM438-LOOKUP(2,1/(AG438:AL438&lt;&gt;""),AG438:AL438)))</t>
        </is>
      </c>
      <c r="BA438" s="38" t="inlineStr">
        <is>
          <t>IF(OR(E438="",AN438=""),"",IF(COUNT(AG438:AM438)=0,"",AN438-LOOKUP(2,1/(AG438:AM438&lt;&gt;""),AG438:AM438)))</t>
        </is>
      </c>
      <c r="BB438" s="38" t="inlineStr">
        <is>
          <t>IF(OR(E438="",AO438=""),"",IF(COUNT(AG438:AN438)=0,"",AO438-LOOKUP(2,1/(AG438:AN438&lt;&gt;""),AG438:AN438)))</t>
        </is>
      </c>
      <c r="BC438" s="38" t="inlineStr">
        <is>
          <t>IF(OR(E438="",AP438=""),"",IF(COUNT(AG438:AO438)=0,"",AP438-LOOKUP(2,1/(AG438:AO438&lt;&gt;""),AG438:AO438)))</t>
        </is>
      </c>
      <c r="BD438" s="38" t="inlineStr">
        <is>
          <t>IF(OR(E438="",AQ438=""),"",IF(COUNT(AG438:AP438)=0,"",AQ438-LOOKUP(2,1/(AG438:AP438&lt;&gt;""),AG438:AP438)))</t>
        </is>
      </c>
      <c r="BE438" s="38" t="inlineStr">
        <is>
          <t>IF(OR(E438="",AR438=""),"",IF(COUNT(AG438:AQ438)=0,"",AR438-LOOKUP(2,1/(AG438:AQ438&lt;&gt;""),AG438:AQ438)))</t>
        </is>
      </c>
      <c r="BF438" s="38" t="inlineStr">
        <is>
          <t>IF(OR(E438="",AS438=""),"",IF(COUNT(AG438:AR438)=0,"",AS438-LOOKUP(2,1/(AG438:AR438&lt;&gt;""),AG438:AR438)))</t>
        </is>
      </c>
      <c r="BG438" s="38" t="inlineStr">
        <is>
          <t>IF(OR(E438="",AT438=""),"",IF(COUNT(AG438:AS438)=0,"",AT438-LOOKUP(2,1/(AG438:AS438&lt;&gt;""),AG438:AS438)))</t>
        </is>
      </c>
      <c r="BH438" s="41" t="inlineStr">
        <is>
          <t>IF(G438="","All_Provinces",IFERROR(VLOOKUP(G438,'07_Lookups'!$A$4:$B$20,2,FALSE),"All_Provinces"))</t>
        </is>
      </c>
      <c r="BI438" s="41" t="inlineStr">
        <is>
          <t>IF(H438="","All_Districts",IFERROR(VLOOKUP(H438,'07_Lookups'!$E$4:$F$42,2,FALSE),"All_Districts"))</t>
        </is>
      </c>
    </row>
    <row r="439" ht="18" customHeight="1">
      <c r="A439" s="32" t="inlineStr">
        <is>
          <t>IF(E439="","",ROW()-3)</t>
        </is>
      </c>
      <c r="B439" s="42" t="n"/>
      <c r="C439" s="42" t="n"/>
      <c r="D439" s="42" t="n"/>
      <c r="E439" s="42" t="n"/>
      <c r="F439" s="42" t="n"/>
      <c r="G439" s="42" t="n"/>
      <c r="H439" s="42" t="n"/>
      <c r="I439" s="42" t="n"/>
      <c r="J439" s="42" t="n"/>
      <c r="K439" s="42" t="n"/>
      <c r="L439" s="42" t="n"/>
      <c r="M439" s="42" t="n"/>
      <c r="N439" s="42" t="n"/>
      <c r="O439" s="42" t="n"/>
      <c r="P439" s="42" t="n"/>
      <c r="Q439" s="43" t="n"/>
      <c r="R439" s="35" t="inlineStr">
        <is>
          <t>IF(AO439="","",AO439)</t>
        </is>
      </c>
      <c r="S439" s="44" t="n"/>
      <c r="T439" s="45" t="n"/>
      <c r="U439" s="44" t="n"/>
      <c r="V439" s="35" t="inlineStr">
        <is>
          <t>IF(U439&lt;&gt;"",U439,IF(OR(R439="",T439=""),"",EDATE(R439,T439)))</t>
        </is>
      </c>
      <c r="W439" s="44" t="n"/>
      <c r="X439" s="45" t="n"/>
      <c r="Y439" s="42" t="n"/>
      <c r="Z439" s="42" t="n"/>
      <c r="AA439" s="32" t="inlineStr">
        <is>
          <t>IF(E439="","",IF(COUNT(AG439:AT439)=0,IF(Y439="","Not started",Y439),SUBSTITUTE(LOOKUP(2,1/(AG439:AT439&lt;&gt;""),$AG$3:$AT$3),"Date: ","")))</t>
        </is>
      </c>
      <c r="AB439" s="38" t="inlineStr">
        <is>
          <t>IF(OR(E439="",COUNT(AG439:AT439)=0),"",TODAY()-LOOKUP(2,1/(AG439:AT439&lt;&gt;""),AG439:AT439))</t>
        </is>
      </c>
      <c r="AC439" s="38" t="inlineStr">
        <is>
          <t>IF(OR(E439="",COUNT(AG439:AT439)&lt;2),"",LOOKUP(2,1/(AG439:AT439&lt;&gt;""),AG439:AT439)-MIN(AG439:AT439))</t>
        </is>
      </c>
      <c r="AD439" s="38" t="inlineStr">
        <is>
          <t>IF(OR(AB439="",AA439="Not started",AA439=""),"",IFERROR(AB439-IF(VLOOKUP(AA439,'04_Status_Pipeline'!$B$3:$E$20,4,FALSE)="",0,VLOOKUP(AA439,'04_Status_Pipeline'!$B$3:$E$20,4,FALSE)),""))</t>
        </is>
      </c>
      <c r="AE439" s="32" t="inlineStr">
        <is>
          <t>IF(E439="","",IF(OR(Y439="Cancelled",AA439="Cancelled"),"Cancelled",IF(OR(AA439="Completed / Handover",W439&lt;&gt;"",X439&gt;=100),"Completed — on track",IF(L439="Remaining",IF(S439="",IF(V439="","No planned date",IF(TODAY()&gt;V439,"Behind — past planned date",IF(V439-TODAY()&lt;=30,"At risk — close to off track","On track"))),IF(TODAY()&gt;S439,"Behind — award date passed",IF(S439-TODAY()&lt;=30,"At risk — close to off track","On track"))),IF(V439="","No planned date",IF(AND(TODAY()&gt;V439,OR(X439="",X439&lt;100)),"Behind — past end date",IF(AND(R439&lt;&gt;"",V439&lt;&gt;"",X439&lt;&gt;"",(X439&lt;100),((TODAY()-R439)/MAX(V439-R439,1)*100)-X439&gt;15),"Behind — progress lag",IF(AND(V439-TODAY()&lt;=30,V439-TODAY()&gt;=0,OR(X439="",X439&lt;90)),"At risk — close to off track","On track"))))))))</t>
        </is>
      </c>
      <c r="AF439" s="38" t="inlineStr">
        <is>
          <t>IF(OR(E439="",AA439="Completed / Handover",AA439="Cancelled"),"",IF(L439="Remaining",IF(S439&lt;&gt;"",S439-TODAY(),IF(V439="","",V439-TODAY())),IF(V439="","",V439-TODAY())))</t>
        </is>
      </c>
      <c r="AG439" s="44" t="n"/>
      <c r="AH439" s="44" t="n"/>
      <c r="AI439" s="44" t="n"/>
      <c r="AJ439" s="44" t="n"/>
      <c r="AK439" s="44" t="n"/>
      <c r="AL439" s="44" t="n"/>
      <c r="AM439" s="44" t="n"/>
      <c r="AN439" s="44" t="n"/>
      <c r="AO439" s="44" t="n"/>
      <c r="AP439" s="44" t="n"/>
      <c r="AQ439" s="44" t="n"/>
      <c r="AR439" s="40" t="n"/>
      <c r="AS439" s="40" t="n"/>
      <c r="AT439" s="40" t="n"/>
      <c r="AU439" s="38" t="inlineStr">
        <is>
          <t>IF(OR(E439="",AH439=""),"",IF(COUNT(AG439:AG439)=0,"",AH439-LOOKUP(2,1/(AG439:AG439&lt;&gt;""),AG439:AG439)))</t>
        </is>
      </c>
      <c r="AV439" s="38" t="inlineStr">
        <is>
          <t>IF(OR(E439="",AI439=""),"",IF(COUNT(AG439:AH439)=0,"",AI439-LOOKUP(2,1/(AG439:AH439&lt;&gt;""),AG439:AH439)))</t>
        </is>
      </c>
      <c r="AW439" s="38" t="inlineStr">
        <is>
          <t>IF(OR(E439="",AJ439=""),"",IF(COUNT(AG439:AI439)=0,"",AJ439-LOOKUP(2,1/(AG439:AI439&lt;&gt;""),AG439:AI439)))</t>
        </is>
      </c>
      <c r="AX439" s="38" t="inlineStr">
        <is>
          <t>IF(OR(E439="",AK439=""),"",IF(COUNT(AG439:AJ439)=0,"",AK439-LOOKUP(2,1/(AG439:AJ439&lt;&gt;""),AG439:AJ439)))</t>
        </is>
      </c>
      <c r="AY439" s="38" t="inlineStr">
        <is>
          <t>IF(OR(E439="",AL439=""),"",IF(COUNT(AG439:AK439)=0,"",AL439-LOOKUP(2,1/(AG439:AK439&lt;&gt;""),AG439:AK439)))</t>
        </is>
      </c>
      <c r="AZ439" s="38" t="inlineStr">
        <is>
          <t>IF(OR(E439="",AM439=""),"",IF(COUNT(AG439:AL439)=0,"",AM439-LOOKUP(2,1/(AG439:AL439&lt;&gt;""),AG439:AL439)))</t>
        </is>
      </c>
      <c r="BA439" s="38" t="inlineStr">
        <is>
          <t>IF(OR(E439="",AN439=""),"",IF(COUNT(AG439:AM439)=0,"",AN439-LOOKUP(2,1/(AG439:AM439&lt;&gt;""),AG439:AM439)))</t>
        </is>
      </c>
      <c r="BB439" s="38" t="inlineStr">
        <is>
          <t>IF(OR(E439="",AO439=""),"",IF(COUNT(AG439:AN439)=0,"",AO439-LOOKUP(2,1/(AG439:AN439&lt;&gt;""),AG439:AN439)))</t>
        </is>
      </c>
      <c r="BC439" s="38" t="inlineStr">
        <is>
          <t>IF(OR(E439="",AP439=""),"",IF(COUNT(AG439:AO439)=0,"",AP439-LOOKUP(2,1/(AG439:AO439&lt;&gt;""),AG439:AO439)))</t>
        </is>
      </c>
      <c r="BD439" s="38" t="inlineStr">
        <is>
          <t>IF(OR(E439="",AQ439=""),"",IF(COUNT(AG439:AP439)=0,"",AQ439-LOOKUP(2,1/(AG439:AP439&lt;&gt;""),AG439:AP439)))</t>
        </is>
      </c>
      <c r="BE439" s="38" t="inlineStr">
        <is>
          <t>IF(OR(E439="",AR439=""),"",IF(COUNT(AG439:AQ439)=0,"",AR439-LOOKUP(2,1/(AG439:AQ439&lt;&gt;""),AG439:AQ439)))</t>
        </is>
      </c>
      <c r="BF439" s="38" t="inlineStr">
        <is>
          <t>IF(OR(E439="",AS439=""),"",IF(COUNT(AG439:AR439)=0,"",AS439-LOOKUP(2,1/(AG439:AR439&lt;&gt;""),AG439:AR439)))</t>
        </is>
      </c>
      <c r="BG439" s="38" t="inlineStr">
        <is>
          <t>IF(OR(E439="",AT439=""),"",IF(COUNT(AG439:AS439)=0,"",AT439-LOOKUP(2,1/(AG439:AS439&lt;&gt;""),AG439:AS439)))</t>
        </is>
      </c>
      <c r="BH439" s="41" t="inlineStr">
        <is>
          <t>IF(G439="","All_Provinces",IFERROR(VLOOKUP(G439,'07_Lookups'!$A$4:$B$20,2,FALSE),"All_Provinces"))</t>
        </is>
      </c>
      <c r="BI439" s="41" t="inlineStr">
        <is>
          <t>IF(H439="","All_Districts",IFERROR(VLOOKUP(H439,'07_Lookups'!$E$4:$F$42,2,FALSE),"All_Districts"))</t>
        </is>
      </c>
    </row>
    <row r="440" ht="18" customHeight="1">
      <c r="A440" s="32" t="inlineStr">
        <is>
          <t>IF(E440="","",ROW()-3)</t>
        </is>
      </c>
      <c r="B440" s="33" t="n"/>
      <c r="C440" s="33" t="n"/>
      <c r="D440" s="33" t="n"/>
      <c r="E440" s="33" t="n"/>
      <c r="F440" s="33" t="n"/>
      <c r="G440" s="33" t="n"/>
      <c r="H440" s="33" t="n"/>
      <c r="I440" s="33" t="n"/>
      <c r="J440" s="33" t="n"/>
      <c r="K440" s="33" t="n"/>
      <c r="L440" s="33" t="n"/>
      <c r="M440" s="33" t="n"/>
      <c r="N440" s="33" t="n"/>
      <c r="O440" s="33" t="n"/>
      <c r="P440" s="33" t="n"/>
      <c r="Q440" s="34" t="n"/>
      <c r="R440" s="35" t="inlineStr">
        <is>
          <t>IF(AO440="","",AO440)</t>
        </is>
      </c>
      <c r="S440" s="36" t="n"/>
      <c r="T440" s="37" t="n"/>
      <c r="U440" s="36" t="n"/>
      <c r="V440" s="35" t="inlineStr">
        <is>
          <t>IF(U440&lt;&gt;"",U440,IF(OR(R440="",T440=""),"",EDATE(R440,T440)))</t>
        </is>
      </c>
      <c r="W440" s="36" t="n"/>
      <c r="X440" s="37" t="n"/>
      <c r="Y440" s="33" t="n"/>
      <c r="Z440" s="33" t="n"/>
      <c r="AA440" s="32" t="inlineStr">
        <is>
          <t>IF(E440="","",IF(COUNT(AG440:AT440)=0,IF(Y440="","Not started",Y440),SUBSTITUTE(LOOKUP(2,1/(AG440:AT440&lt;&gt;""),$AG$3:$AT$3),"Date: ","")))</t>
        </is>
      </c>
      <c r="AB440" s="38" t="inlineStr">
        <is>
          <t>IF(OR(E440="",COUNT(AG440:AT440)=0),"",TODAY()-LOOKUP(2,1/(AG440:AT440&lt;&gt;""),AG440:AT440))</t>
        </is>
      </c>
      <c r="AC440" s="38" t="inlineStr">
        <is>
          <t>IF(OR(E440="",COUNT(AG440:AT440)&lt;2),"",LOOKUP(2,1/(AG440:AT440&lt;&gt;""),AG440:AT440)-MIN(AG440:AT440))</t>
        </is>
      </c>
      <c r="AD440" s="38" t="inlineStr">
        <is>
          <t>IF(OR(AB440="",AA440="Not started",AA440=""),"",IFERROR(AB440-IF(VLOOKUP(AA440,'04_Status_Pipeline'!$B$3:$E$20,4,FALSE)="",0,VLOOKUP(AA440,'04_Status_Pipeline'!$B$3:$E$20,4,FALSE)),""))</t>
        </is>
      </c>
      <c r="AE440" s="32" t="inlineStr">
        <is>
          <t>IF(E440="","",IF(OR(Y440="Cancelled",AA440="Cancelled"),"Cancelled",IF(OR(AA440="Completed / Handover",W440&lt;&gt;"",X440&gt;=100),"Completed — on track",IF(L440="Remaining",IF(S440="",IF(V440="","No planned date",IF(TODAY()&gt;V440,"Behind — past planned date",IF(V440-TODAY()&lt;=30,"At risk — close to off track","On track"))),IF(TODAY()&gt;S440,"Behind — award date passed",IF(S440-TODAY()&lt;=30,"At risk — close to off track","On track"))),IF(V440="","No planned date",IF(AND(TODAY()&gt;V440,OR(X440="",X440&lt;100)),"Behind — past end date",IF(AND(R440&lt;&gt;"",V440&lt;&gt;"",X440&lt;&gt;"",(X440&lt;100),((TODAY()-R440)/MAX(V440-R440,1)*100)-X440&gt;15),"Behind — progress lag",IF(AND(V440-TODAY()&lt;=30,V440-TODAY()&gt;=0,OR(X440="",X440&lt;90)),"At risk — close to off track","On track"))))))))</t>
        </is>
      </c>
      <c r="AF440" s="38" t="inlineStr">
        <is>
          <t>IF(OR(E440="",AA440="Completed / Handover",AA440="Cancelled"),"",IF(L440="Remaining",IF(S440&lt;&gt;"",S440-TODAY(),IF(V440="","",V440-TODAY())),IF(V440="","",V440-TODAY())))</t>
        </is>
      </c>
      <c r="AG440" s="36" t="n"/>
      <c r="AH440" s="36" t="n"/>
      <c r="AI440" s="36" t="n"/>
      <c r="AJ440" s="36" t="n"/>
      <c r="AK440" s="36" t="n"/>
      <c r="AL440" s="36" t="n"/>
      <c r="AM440" s="36" t="n"/>
      <c r="AN440" s="36" t="n"/>
      <c r="AO440" s="36" t="n"/>
      <c r="AP440" s="36" t="n"/>
      <c r="AQ440" s="36" t="n"/>
      <c r="AR440" s="40" t="n"/>
      <c r="AS440" s="40" t="n"/>
      <c r="AT440" s="40" t="n"/>
      <c r="AU440" s="38" t="inlineStr">
        <is>
          <t>IF(OR(E440="",AH440=""),"",IF(COUNT(AG440:AG440)=0,"",AH440-LOOKUP(2,1/(AG440:AG440&lt;&gt;""),AG440:AG440)))</t>
        </is>
      </c>
      <c r="AV440" s="38" t="inlineStr">
        <is>
          <t>IF(OR(E440="",AI440=""),"",IF(COUNT(AG440:AH440)=0,"",AI440-LOOKUP(2,1/(AG440:AH440&lt;&gt;""),AG440:AH440)))</t>
        </is>
      </c>
      <c r="AW440" s="38" t="inlineStr">
        <is>
          <t>IF(OR(E440="",AJ440=""),"",IF(COUNT(AG440:AI440)=0,"",AJ440-LOOKUP(2,1/(AG440:AI440&lt;&gt;""),AG440:AI440)))</t>
        </is>
      </c>
      <c r="AX440" s="38" t="inlineStr">
        <is>
          <t>IF(OR(E440="",AK440=""),"",IF(COUNT(AG440:AJ440)=0,"",AK440-LOOKUP(2,1/(AG440:AJ440&lt;&gt;""),AG440:AJ440)))</t>
        </is>
      </c>
      <c r="AY440" s="38" t="inlineStr">
        <is>
          <t>IF(OR(E440="",AL440=""),"",IF(COUNT(AG440:AK440)=0,"",AL440-LOOKUP(2,1/(AG440:AK440&lt;&gt;""),AG440:AK440)))</t>
        </is>
      </c>
      <c r="AZ440" s="38" t="inlineStr">
        <is>
          <t>IF(OR(E440="",AM440=""),"",IF(COUNT(AG440:AL440)=0,"",AM440-LOOKUP(2,1/(AG440:AL440&lt;&gt;""),AG440:AL440)))</t>
        </is>
      </c>
      <c r="BA440" s="38" t="inlineStr">
        <is>
          <t>IF(OR(E440="",AN440=""),"",IF(COUNT(AG440:AM440)=0,"",AN440-LOOKUP(2,1/(AG440:AM440&lt;&gt;""),AG440:AM440)))</t>
        </is>
      </c>
      <c r="BB440" s="38" t="inlineStr">
        <is>
          <t>IF(OR(E440="",AO440=""),"",IF(COUNT(AG440:AN440)=0,"",AO440-LOOKUP(2,1/(AG440:AN440&lt;&gt;""),AG440:AN440)))</t>
        </is>
      </c>
      <c r="BC440" s="38" t="inlineStr">
        <is>
          <t>IF(OR(E440="",AP440=""),"",IF(COUNT(AG440:AO440)=0,"",AP440-LOOKUP(2,1/(AG440:AO440&lt;&gt;""),AG440:AO440)))</t>
        </is>
      </c>
      <c r="BD440" s="38" t="inlineStr">
        <is>
          <t>IF(OR(E440="",AQ440=""),"",IF(COUNT(AG440:AP440)=0,"",AQ440-LOOKUP(2,1/(AG440:AP440&lt;&gt;""),AG440:AP440)))</t>
        </is>
      </c>
      <c r="BE440" s="38" t="inlineStr">
        <is>
          <t>IF(OR(E440="",AR440=""),"",IF(COUNT(AG440:AQ440)=0,"",AR440-LOOKUP(2,1/(AG440:AQ440&lt;&gt;""),AG440:AQ440)))</t>
        </is>
      </c>
      <c r="BF440" s="38" t="inlineStr">
        <is>
          <t>IF(OR(E440="",AS440=""),"",IF(COUNT(AG440:AR440)=0,"",AS440-LOOKUP(2,1/(AG440:AR440&lt;&gt;""),AG440:AR440)))</t>
        </is>
      </c>
      <c r="BG440" s="38" t="inlineStr">
        <is>
          <t>IF(OR(E440="",AT440=""),"",IF(COUNT(AG440:AS440)=0,"",AT440-LOOKUP(2,1/(AG440:AS440&lt;&gt;""),AG440:AS440)))</t>
        </is>
      </c>
      <c r="BH440" s="41" t="inlineStr">
        <is>
          <t>IF(G440="","All_Provinces",IFERROR(VLOOKUP(G440,'07_Lookups'!$A$4:$B$20,2,FALSE),"All_Provinces"))</t>
        </is>
      </c>
      <c r="BI440" s="41" t="inlineStr">
        <is>
          <t>IF(H440="","All_Districts",IFERROR(VLOOKUP(H440,'07_Lookups'!$E$4:$F$42,2,FALSE),"All_Districts"))</t>
        </is>
      </c>
    </row>
    <row r="441" ht="18" customHeight="1">
      <c r="A441" s="32" t="inlineStr">
        <is>
          <t>IF(E441="","",ROW()-3)</t>
        </is>
      </c>
      <c r="B441" s="42" t="n"/>
      <c r="C441" s="42" t="n"/>
      <c r="D441" s="42" t="n"/>
      <c r="E441" s="42" t="n"/>
      <c r="F441" s="42" t="n"/>
      <c r="G441" s="42" t="n"/>
      <c r="H441" s="42" t="n"/>
      <c r="I441" s="42" t="n"/>
      <c r="J441" s="42" t="n"/>
      <c r="K441" s="42" t="n"/>
      <c r="L441" s="42" t="n"/>
      <c r="M441" s="42" t="n"/>
      <c r="N441" s="42" t="n"/>
      <c r="O441" s="42" t="n"/>
      <c r="P441" s="42" t="n"/>
      <c r="Q441" s="43" t="n"/>
      <c r="R441" s="35" t="inlineStr">
        <is>
          <t>IF(AO441="","",AO441)</t>
        </is>
      </c>
      <c r="S441" s="44" t="n"/>
      <c r="T441" s="45" t="n"/>
      <c r="U441" s="44" t="n"/>
      <c r="V441" s="35" t="inlineStr">
        <is>
          <t>IF(U441&lt;&gt;"",U441,IF(OR(R441="",T441=""),"",EDATE(R441,T441)))</t>
        </is>
      </c>
      <c r="W441" s="44" t="n"/>
      <c r="X441" s="45" t="n"/>
      <c r="Y441" s="42" t="n"/>
      <c r="Z441" s="42" t="n"/>
      <c r="AA441" s="32" t="inlineStr">
        <is>
          <t>IF(E441="","",IF(COUNT(AG441:AT441)=0,IF(Y441="","Not started",Y441),SUBSTITUTE(LOOKUP(2,1/(AG441:AT441&lt;&gt;""),$AG$3:$AT$3),"Date: ","")))</t>
        </is>
      </c>
      <c r="AB441" s="38" t="inlineStr">
        <is>
          <t>IF(OR(E441="",COUNT(AG441:AT441)=0),"",TODAY()-LOOKUP(2,1/(AG441:AT441&lt;&gt;""),AG441:AT441))</t>
        </is>
      </c>
      <c r="AC441" s="38" t="inlineStr">
        <is>
          <t>IF(OR(E441="",COUNT(AG441:AT441)&lt;2),"",LOOKUP(2,1/(AG441:AT441&lt;&gt;""),AG441:AT441)-MIN(AG441:AT441))</t>
        </is>
      </c>
      <c r="AD441" s="38" t="inlineStr">
        <is>
          <t>IF(OR(AB441="",AA441="Not started",AA441=""),"",IFERROR(AB441-IF(VLOOKUP(AA441,'04_Status_Pipeline'!$B$3:$E$20,4,FALSE)="",0,VLOOKUP(AA441,'04_Status_Pipeline'!$B$3:$E$20,4,FALSE)),""))</t>
        </is>
      </c>
      <c r="AE441" s="32" t="inlineStr">
        <is>
          <t>IF(E441="","",IF(OR(Y441="Cancelled",AA441="Cancelled"),"Cancelled",IF(OR(AA441="Completed / Handover",W441&lt;&gt;"",X441&gt;=100),"Completed — on track",IF(L441="Remaining",IF(S441="",IF(V441="","No planned date",IF(TODAY()&gt;V441,"Behind — past planned date",IF(V441-TODAY()&lt;=30,"At risk — close to off track","On track"))),IF(TODAY()&gt;S441,"Behind — award date passed",IF(S441-TODAY()&lt;=30,"At risk — close to off track","On track"))),IF(V441="","No planned date",IF(AND(TODAY()&gt;V441,OR(X441="",X441&lt;100)),"Behind — past end date",IF(AND(R441&lt;&gt;"",V441&lt;&gt;"",X441&lt;&gt;"",(X441&lt;100),((TODAY()-R441)/MAX(V441-R441,1)*100)-X441&gt;15),"Behind — progress lag",IF(AND(V441-TODAY()&lt;=30,V441-TODAY()&gt;=0,OR(X441="",X441&lt;90)),"At risk — close to off track","On track"))))))))</t>
        </is>
      </c>
      <c r="AF441" s="38" t="inlineStr">
        <is>
          <t>IF(OR(E441="",AA441="Completed / Handover",AA441="Cancelled"),"",IF(L441="Remaining",IF(S441&lt;&gt;"",S441-TODAY(),IF(V441="","",V441-TODAY())),IF(V441="","",V441-TODAY())))</t>
        </is>
      </c>
      <c r="AG441" s="44" t="n"/>
      <c r="AH441" s="44" t="n"/>
      <c r="AI441" s="44" t="n"/>
      <c r="AJ441" s="44" t="n"/>
      <c r="AK441" s="44" t="n"/>
      <c r="AL441" s="44" t="n"/>
      <c r="AM441" s="44" t="n"/>
      <c r="AN441" s="44" t="n"/>
      <c r="AO441" s="44" t="n"/>
      <c r="AP441" s="44" t="n"/>
      <c r="AQ441" s="44" t="n"/>
      <c r="AR441" s="40" t="n"/>
      <c r="AS441" s="40" t="n"/>
      <c r="AT441" s="40" t="n"/>
      <c r="AU441" s="38" t="inlineStr">
        <is>
          <t>IF(OR(E441="",AH441=""),"",IF(COUNT(AG441:AG441)=0,"",AH441-LOOKUP(2,1/(AG441:AG441&lt;&gt;""),AG441:AG441)))</t>
        </is>
      </c>
      <c r="AV441" s="38" t="inlineStr">
        <is>
          <t>IF(OR(E441="",AI441=""),"",IF(COUNT(AG441:AH441)=0,"",AI441-LOOKUP(2,1/(AG441:AH441&lt;&gt;""),AG441:AH441)))</t>
        </is>
      </c>
      <c r="AW441" s="38" t="inlineStr">
        <is>
          <t>IF(OR(E441="",AJ441=""),"",IF(COUNT(AG441:AI441)=0,"",AJ441-LOOKUP(2,1/(AG441:AI441&lt;&gt;""),AG441:AI441)))</t>
        </is>
      </c>
      <c r="AX441" s="38" t="inlineStr">
        <is>
          <t>IF(OR(E441="",AK441=""),"",IF(COUNT(AG441:AJ441)=0,"",AK441-LOOKUP(2,1/(AG441:AJ441&lt;&gt;""),AG441:AJ441)))</t>
        </is>
      </c>
      <c r="AY441" s="38" t="inlineStr">
        <is>
          <t>IF(OR(E441="",AL441=""),"",IF(COUNT(AG441:AK441)=0,"",AL441-LOOKUP(2,1/(AG441:AK441&lt;&gt;""),AG441:AK441)))</t>
        </is>
      </c>
      <c r="AZ441" s="38" t="inlineStr">
        <is>
          <t>IF(OR(E441="",AM441=""),"",IF(COUNT(AG441:AL441)=0,"",AM441-LOOKUP(2,1/(AG441:AL441&lt;&gt;""),AG441:AL441)))</t>
        </is>
      </c>
      <c r="BA441" s="38" t="inlineStr">
        <is>
          <t>IF(OR(E441="",AN441=""),"",IF(COUNT(AG441:AM441)=0,"",AN441-LOOKUP(2,1/(AG441:AM441&lt;&gt;""),AG441:AM441)))</t>
        </is>
      </c>
      <c r="BB441" s="38" t="inlineStr">
        <is>
          <t>IF(OR(E441="",AO441=""),"",IF(COUNT(AG441:AN441)=0,"",AO441-LOOKUP(2,1/(AG441:AN441&lt;&gt;""),AG441:AN441)))</t>
        </is>
      </c>
      <c r="BC441" s="38" t="inlineStr">
        <is>
          <t>IF(OR(E441="",AP441=""),"",IF(COUNT(AG441:AO441)=0,"",AP441-LOOKUP(2,1/(AG441:AO441&lt;&gt;""),AG441:AO441)))</t>
        </is>
      </c>
      <c r="BD441" s="38" t="inlineStr">
        <is>
          <t>IF(OR(E441="",AQ441=""),"",IF(COUNT(AG441:AP441)=0,"",AQ441-LOOKUP(2,1/(AG441:AP441&lt;&gt;""),AG441:AP441)))</t>
        </is>
      </c>
      <c r="BE441" s="38" t="inlineStr">
        <is>
          <t>IF(OR(E441="",AR441=""),"",IF(COUNT(AG441:AQ441)=0,"",AR441-LOOKUP(2,1/(AG441:AQ441&lt;&gt;""),AG441:AQ441)))</t>
        </is>
      </c>
      <c r="BF441" s="38" t="inlineStr">
        <is>
          <t>IF(OR(E441="",AS441=""),"",IF(COUNT(AG441:AR441)=0,"",AS441-LOOKUP(2,1/(AG441:AR441&lt;&gt;""),AG441:AR441)))</t>
        </is>
      </c>
      <c r="BG441" s="38" t="inlineStr">
        <is>
          <t>IF(OR(E441="",AT441=""),"",IF(COUNT(AG441:AS441)=0,"",AT441-LOOKUP(2,1/(AG441:AS441&lt;&gt;""),AG441:AS441)))</t>
        </is>
      </c>
      <c r="BH441" s="41" t="inlineStr">
        <is>
          <t>IF(G441="","All_Provinces",IFERROR(VLOOKUP(G441,'07_Lookups'!$A$4:$B$20,2,FALSE),"All_Provinces"))</t>
        </is>
      </c>
      <c r="BI441" s="41" t="inlineStr">
        <is>
          <t>IF(H441="","All_Districts",IFERROR(VLOOKUP(H441,'07_Lookups'!$E$4:$F$42,2,FALSE),"All_Districts"))</t>
        </is>
      </c>
    </row>
    <row r="442" ht="18" customHeight="1">
      <c r="A442" s="32" t="inlineStr">
        <is>
          <t>IF(E442="","",ROW()-3)</t>
        </is>
      </c>
      <c r="B442" s="33" t="n"/>
      <c r="C442" s="33" t="n"/>
      <c r="D442" s="33" t="n"/>
      <c r="E442" s="33" t="n"/>
      <c r="F442" s="33" t="n"/>
      <c r="G442" s="33" t="n"/>
      <c r="H442" s="33" t="n"/>
      <c r="I442" s="33" t="n"/>
      <c r="J442" s="33" t="n"/>
      <c r="K442" s="33" t="n"/>
      <c r="L442" s="33" t="n"/>
      <c r="M442" s="33" t="n"/>
      <c r="N442" s="33" t="n"/>
      <c r="O442" s="33" t="n"/>
      <c r="P442" s="33" t="n"/>
      <c r="Q442" s="34" t="n"/>
      <c r="R442" s="35" t="inlineStr">
        <is>
          <t>IF(AO442="","",AO442)</t>
        </is>
      </c>
      <c r="S442" s="36" t="n"/>
      <c r="T442" s="37" t="n"/>
      <c r="U442" s="36" t="n"/>
      <c r="V442" s="35" t="inlineStr">
        <is>
          <t>IF(U442&lt;&gt;"",U442,IF(OR(R442="",T442=""),"",EDATE(R442,T442)))</t>
        </is>
      </c>
      <c r="W442" s="36" t="n"/>
      <c r="X442" s="37" t="n"/>
      <c r="Y442" s="33" t="n"/>
      <c r="Z442" s="33" t="n"/>
      <c r="AA442" s="32" t="inlineStr">
        <is>
          <t>IF(E442="","",IF(COUNT(AG442:AT442)=0,IF(Y442="","Not started",Y442),SUBSTITUTE(LOOKUP(2,1/(AG442:AT442&lt;&gt;""),$AG$3:$AT$3),"Date: ","")))</t>
        </is>
      </c>
      <c r="AB442" s="38" t="inlineStr">
        <is>
          <t>IF(OR(E442="",COUNT(AG442:AT442)=0),"",TODAY()-LOOKUP(2,1/(AG442:AT442&lt;&gt;""),AG442:AT442))</t>
        </is>
      </c>
      <c r="AC442" s="38" t="inlineStr">
        <is>
          <t>IF(OR(E442="",COUNT(AG442:AT442)&lt;2),"",LOOKUP(2,1/(AG442:AT442&lt;&gt;""),AG442:AT442)-MIN(AG442:AT442))</t>
        </is>
      </c>
      <c r="AD442" s="38" t="inlineStr">
        <is>
          <t>IF(OR(AB442="",AA442="Not started",AA442=""),"",IFERROR(AB442-IF(VLOOKUP(AA442,'04_Status_Pipeline'!$B$3:$E$20,4,FALSE)="",0,VLOOKUP(AA442,'04_Status_Pipeline'!$B$3:$E$20,4,FALSE)),""))</t>
        </is>
      </c>
      <c r="AE442" s="32" t="inlineStr">
        <is>
          <t>IF(E442="","",IF(OR(Y442="Cancelled",AA442="Cancelled"),"Cancelled",IF(OR(AA442="Completed / Handover",W442&lt;&gt;"",X442&gt;=100),"Completed — on track",IF(L442="Remaining",IF(S442="",IF(V442="","No planned date",IF(TODAY()&gt;V442,"Behind — past planned date",IF(V442-TODAY()&lt;=30,"At risk — close to off track","On track"))),IF(TODAY()&gt;S442,"Behind — award date passed",IF(S442-TODAY()&lt;=30,"At risk — close to off track","On track"))),IF(V442="","No planned date",IF(AND(TODAY()&gt;V442,OR(X442="",X442&lt;100)),"Behind — past end date",IF(AND(R442&lt;&gt;"",V442&lt;&gt;"",X442&lt;&gt;"",(X442&lt;100),((TODAY()-R442)/MAX(V442-R442,1)*100)-X442&gt;15),"Behind — progress lag",IF(AND(V442-TODAY()&lt;=30,V442-TODAY()&gt;=0,OR(X442="",X442&lt;90)),"At risk — close to off track","On track"))))))))</t>
        </is>
      </c>
      <c r="AF442" s="38" t="inlineStr">
        <is>
          <t>IF(OR(E442="",AA442="Completed / Handover",AA442="Cancelled"),"",IF(L442="Remaining",IF(S442&lt;&gt;"",S442-TODAY(),IF(V442="","",V442-TODAY())),IF(V442="","",V442-TODAY())))</t>
        </is>
      </c>
      <c r="AG442" s="36" t="n"/>
      <c r="AH442" s="36" t="n"/>
      <c r="AI442" s="36" t="n"/>
      <c r="AJ442" s="36" t="n"/>
      <c r="AK442" s="36" t="n"/>
      <c r="AL442" s="36" t="n"/>
      <c r="AM442" s="36" t="n"/>
      <c r="AN442" s="36" t="n"/>
      <c r="AO442" s="36" t="n"/>
      <c r="AP442" s="36" t="n"/>
      <c r="AQ442" s="36" t="n"/>
      <c r="AR442" s="40" t="n"/>
      <c r="AS442" s="40" t="n"/>
      <c r="AT442" s="40" t="n"/>
      <c r="AU442" s="38" t="inlineStr">
        <is>
          <t>IF(OR(E442="",AH442=""),"",IF(COUNT(AG442:AG442)=0,"",AH442-LOOKUP(2,1/(AG442:AG442&lt;&gt;""),AG442:AG442)))</t>
        </is>
      </c>
      <c r="AV442" s="38" t="inlineStr">
        <is>
          <t>IF(OR(E442="",AI442=""),"",IF(COUNT(AG442:AH442)=0,"",AI442-LOOKUP(2,1/(AG442:AH442&lt;&gt;""),AG442:AH442)))</t>
        </is>
      </c>
      <c r="AW442" s="38" t="inlineStr">
        <is>
          <t>IF(OR(E442="",AJ442=""),"",IF(COUNT(AG442:AI442)=0,"",AJ442-LOOKUP(2,1/(AG442:AI442&lt;&gt;""),AG442:AI442)))</t>
        </is>
      </c>
      <c r="AX442" s="38" t="inlineStr">
        <is>
          <t>IF(OR(E442="",AK442=""),"",IF(COUNT(AG442:AJ442)=0,"",AK442-LOOKUP(2,1/(AG442:AJ442&lt;&gt;""),AG442:AJ442)))</t>
        </is>
      </c>
      <c r="AY442" s="38" t="inlineStr">
        <is>
          <t>IF(OR(E442="",AL442=""),"",IF(COUNT(AG442:AK442)=0,"",AL442-LOOKUP(2,1/(AG442:AK442&lt;&gt;""),AG442:AK442)))</t>
        </is>
      </c>
      <c r="AZ442" s="38" t="inlineStr">
        <is>
          <t>IF(OR(E442="",AM442=""),"",IF(COUNT(AG442:AL442)=0,"",AM442-LOOKUP(2,1/(AG442:AL442&lt;&gt;""),AG442:AL442)))</t>
        </is>
      </c>
      <c r="BA442" s="38" t="inlineStr">
        <is>
          <t>IF(OR(E442="",AN442=""),"",IF(COUNT(AG442:AM442)=0,"",AN442-LOOKUP(2,1/(AG442:AM442&lt;&gt;""),AG442:AM442)))</t>
        </is>
      </c>
      <c r="BB442" s="38" t="inlineStr">
        <is>
          <t>IF(OR(E442="",AO442=""),"",IF(COUNT(AG442:AN442)=0,"",AO442-LOOKUP(2,1/(AG442:AN442&lt;&gt;""),AG442:AN442)))</t>
        </is>
      </c>
      <c r="BC442" s="38" t="inlineStr">
        <is>
          <t>IF(OR(E442="",AP442=""),"",IF(COUNT(AG442:AO442)=0,"",AP442-LOOKUP(2,1/(AG442:AO442&lt;&gt;""),AG442:AO442)))</t>
        </is>
      </c>
      <c r="BD442" s="38" t="inlineStr">
        <is>
          <t>IF(OR(E442="",AQ442=""),"",IF(COUNT(AG442:AP442)=0,"",AQ442-LOOKUP(2,1/(AG442:AP442&lt;&gt;""),AG442:AP442)))</t>
        </is>
      </c>
      <c r="BE442" s="38" t="inlineStr">
        <is>
          <t>IF(OR(E442="",AR442=""),"",IF(COUNT(AG442:AQ442)=0,"",AR442-LOOKUP(2,1/(AG442:AQ442&lt;&gt;""),AG442:AQ442)))</t>
        </is>
      </c>
      <c r="BF442" s="38" t="inlineStr">
        <is>
          <t>IF(OR(E442="",AS442=""),"",IF(COUNT(AG442:AR442)=0,"",AS442-LOOKUP(2,1/(AG442:AR442&lt;&gt;""),AG442:AR442)))</t>
        </is>
      </c>
      <c r="BG442" s="38" t="inlineStr">
        <is>
          <t>IF(OR(E442="",AT442=""),"",IF(COUNT(AG442:AS442)=0,"",AT442-LOOKUP(2,1/(AG442:AS442&lt;&gt;""),AG442:AS442)))</t>
        </is>
      </c>
      <c r="BH442" s="41" t="inlineStr">
        <is>
          <t>IF(G442="","All_Provinces",IFERROR(VLOOKUP(G442,'07_Lookups'!$A$4:$B$20,2,FALSE),"All_Provinces"))</t>
        </is>
      </c>
      <c r="BI442" s="41" t="inlineStr">
        <is>
          <t>IF(H442="","All_Districts",IFERROR(VLOOKUP(H442,'07_Lookups'!$E$4:$F$42,2,FALSE),"All_Districts"))</t>
        </is>
      </c>
    </row>
    <row r="443" ht="18" customHeight="1">
      <c r="A443" s="32" t="inlineStr">
        <is>
          <t>IF(E443="","",ROW()-3)</t>
        </is>
      </c>
      <c r="B443" s="42" t="n"/>
      <c r="C443" s="42" t="n"/>
      <c r="D443" s="42" t="n"/>
      <c r="E443" s="42" t="n"/>
      <c r="F443" s="42" t="n"/>
      <c r="G443" s="42" t="n"/>
      <c r="H443" s="42" t="n"/>
      <c r="I443" s="42" t="n"/>
      <c r="J443" s="42" t="n"/>
      <c r="K443" s="42" t="n"/>
      <c r="L443" s="42" t="n"/>
      <c r="M443" s="42" t="n"/>
      <c r="N443" s="42" t="n"/>
      <c r="O443" s="42" t="n"/>
      <c r="P443" s="42" t="n"/>
      <c r="Q443" s="43" t="n"/>
      <c r="R443" s="35" t="inlineStr">
        <is>
          <t>IF(AO443="","",AO443)</t>
        </is>
      </c>
      <c r="S443" s="44" t="n"/>
      <c r="T443" s="45" t="n"/>
      <c r="U443" s="44" t="n"/>
      <c r="V443" s="35" t="inlineStr">
        <is>
          <t>IF(U443&lt;&gt;"",U443,IF(OR(R443="",T443=""),"",EDATE(R443,T443)))</t>
        </is>
      </c>
      <c r="W443" s="44" t="n"/>
      <c r="X443" s="45" t="n"/>
      <c r="Y443" s="42" t="n"/>
      <c r="Z443" s="42" t="n"/>
      <c r="AA443" s="32" t="inlineStr">
        <is>
          <t>IF(E443="","",IF(COUNT(AG443:AT443)=0,IF(Y443="","Not started",Y443),SUBSTITUTE(LOOKUP(2,1/(AG443:AT443&lt;&gt;""),$AG$3:$AT$3),"Date: ","")))</t>
        </is>
      </c>
      <c r="AB443" s="38" t="inlineStr">
        <is>
          <t>IF(OR(E443="",COUNT(AG443:AT443)=0),"",TODAY()-LOOKUP(2,1/(AG443:AT443&lt;&gt;""),AG443:AT443))</t>
        </is>
      </c>
      <c r="AC443" s="38" t="inlineStr">
        <is>
          <t>IF(OR(E443="",COUNT(AG443:AT443)&lt;2),"",LOOKUP(2,1/(AG443:AT443&lt;&gt;""),AG443:AT443)-MIN(AG443:AT443))</t>
        </is>
      </c>
      <c r="AD443" s="38" t="inlineStr">
        <is>
          <t>IF(OR(AB443="",AA443="Not started",AA443=""),"",IFERROR(AB443-IF(VLOOKUP(AA443,'04_Status_Pipeline'!$B$3:$E$20,4,FALSE)="",0,VLOOKUP(AA443,'04_Status_Pipeline'!$B$3:$E$20,4,FALSE)),""))</t>
        </is>
      </c>
      <c r="AE443" s="32" t="inlineStr">
        <is>
          <t>IF(E443="","",IF(OR(Y443="Cancelled",AA443="Cancelled"),"Cancelled",IF(OR(AA443="Completed / Handover",W443&lt;&gt;"",X443&gt;=100),"Completed — on track",IF(L443="Remaining",IF(S443="",IF(V443="","No planned date",IF(TODAY()&gt;V443,"Behind — past planned date",IF(V443-TODAY()&lt;=30,"At risk — close to off track","On track"))),IF(TODAY()&gt;S443,"Behind — award date passed",IF(S443-TODAY()&lt;=30,"At risk — close to off track","On track"))),IF(V443="","No planned date",IF(AND(TODAY()&gt;V443,OR(X443="",X443&lt;100)),"Behind — past end date",IF(AND(R443&lt;&gt;"",V443&lt;&gt;"",X443&lt;&gt;"",(X443&lt;100),((TODAY()-R443)/MAX(V443-R443,1)*100)-X443&gt;15),"Behind — progress lag",IF(AND(V443-TODAY()&lt;=30,V443-TODAY()&gt;=0,OR(X443="",X443&lt;90)),"At risk — close to off track","On track"))))))))</t>
        </is>
      </c>
      <c r="AF443" s="38" t="inlineStr">
        <is>
          <t>IF(OR(E443="",AA443="Completed / Handover",AA443="Cancelled"),"",IF(L443="Remaining",IF(S443&lt;&gt;"",S443-TODAY(),IF(V443="","",V443-TODAY())),IF(V443="","",V443-TODAY())))</t>
        </is>
      </c>
      <c r="AG443" s="44" t="n"/>
      <c r="AH443" s="44" t="n"/>
      <c r="AI443" s="44" t="n"/>
      <c r="AJ443" s="44" t="n"/>
      <c r="AK443" s="44" t="n"/>
      <c r="AL443" s="44" t="n"/>
      <c r="AM443" s="44" t="n"/>
      <c r="AN443" s="44" t="n"/>
      <c r="AO443" s="44" t="n"/>
      <c r="AP443" s="44" t="n"/>
      <c r="AQ443" s="44" t="n"/>
      <c r="AR443" s="40" t="n"/>
      <c r="AS443" s="40" t="n"/>
      <c r="AT443" s="40" t="n"/>
      <c r="AU443" s="38" t="inlineStr">
        <is>
          <t>IF(OR(E443="",AH443=""),"",IF(COUNT(AG443:AG443)=0,"",AH443-LOOKUP(2,1/(AG443:AG443&lt;&gt;""),AG443:AG443)))</t>
        </is>
      </c>
      <c r="AV443" s="38" t="inlineStr">
        <is>
          <t>IF(OR(E443="",AI443=""),"",IF(COUNT(AG443:AH443)=0,"",AI443-LOOKUP(2,1/(AG443:AH443&lt;&gt;""),AG443:AH443)))</t>
        </is>
      </c>
      <c r="AW443" s="38" t="inlineStr">
        <is>
          <t>IF(OR(E443="",AJ443=""),"",IF(COUNT(AG443:AI443)=0,"",AJ443-LOOKUP(2,1/(AG443:AI443&lt;&gt;""),AG443:AI443)))</t>
        </is>
      </c>
      <c r="AX443" s="38" t="inlineStr">
        <is>
          <t>IF(OR(E443="",AK443=""),"",IF(COUNT(AG443:AJ443)=0,"",AK443-LOOKUP(2,1/(AG443:AJ443&lt;&gt;""),AG443:AJ443)))</t>
        </is>
      </c>
      <c r="AY443" s="38" t="inlineStr">
        <is>
          <t>IF(OR(E443="",AL443=""),"",IF(COUNT(AG443:AK443)=0,"",AL443-LOOKUP(2,1/(AG443:AK443&lt;&gt;""),AG443:AK443)))</t>
        </is>
      </c>
      <c r="AZ443" s="38" t="inlineStr">
        <is>
          <t>IF(OR(E443="",AM443=""),"",IF(COUNT(AG443:AL443)=0,"",AM443-LOOKUP(2,1/(AG443:AL443&lt;&gt;""),AG443:AL443)))</t>
        </is>
      </c>
      <c r="BA443" s="38" t="inlineStr">
        <is>
          <t>IF(OR(E443="",AN443=""),"",IF(COUNT(AG443:AM443)=0,"",AN443-LOOKUP(2,1/(AG443:AM443&lt;&gt;""),AG443:AM443)))</t>
        </is>
      </c>
      <c r="BB443" s="38" t="inlineStr">
        <is>
          <t>IF(OR(E443="",AO443=""),"",IF(COUNT(AG443:AN443)=0,"",AO443-LOOKUP(2,1/(AG443:AN443&lt;&gt;""),AG443:AN443)))</t>
        </is>
      </c>
      <c r="BC443" s="38" t="inlineStr">
        <is>
          <t>IF(OR(E443="",AP443=""),"",IF(COUNT(AG443:AO443)=0,"",AP443-LOOKUP(2,1/(AG443:AO443&lt;&gt;""),AG443:AO443)))</t>
        </is>
      </c>
      <c r="BD443" s="38" t="inlineStr">
        <is>
          <t>IF(OR(E443="",AQ443=""),"",IF(COUNT(AG443:AP443)=0,"",AQ443-LOOKUP(2,1/(AG443:AP443&lt;&gt;""),AG443:AP443)))</t>
        </is>
      </c>
      <c r="BE443" s="38" t="inlineStr">
        <is>
          <t>IF(OR(E443="",AR443=""),"",IF(COUNT(AG443:AQ443)=0,"",AR443-LOOKUP(2,1/(AG443:AQ443&lt;&gt;""),AG443:AQ443)))</t>
        </is>
      </c>
      <c r="BF443" s="38" t="inlineStr">
        <is>
          <t>IF(OR(E443="",AS443=""),"",IF(COUNT(AG443:AR443)=0,"",AS443-LOOKUP(2,1/(AG443:AR443&lt;&gt;""),AG443:AR443)))</t>
        </is>
      </c>
      <c r="BG443" s="38" t="inlineStr">
        <is>
          <t>IF(OR(E443="",AT443=""),"",IF(COUNT(AG443:AS443)=0,"",AT443-LOOKUP(2,1/(AG443:AS443&lt;&gt;""),AG443:AS443)))</t>
        </is>
      </c>
      <c r="BH443" s="41" t="inlineStr">
        <is>
          <t>IF(G443="","All_Provinces",IFERROR(VLOOKUP(G443,'07_Lookups'!$A$4:$B$20,2,FALSE),"All_Provinces"))</t>
        </is>
      </c>
      <c r="BI443" s="41" t="inlineStr">
        <is>
          <t>IF(H443="","All_Districts",IFERROR(VLOOKUP(H443,'07_Lookups'!$E$4:$F$42,2,FALSE),"All_Districts"))</t>
        </is>
      </c>
    </row>
    <row r="444" ht="18" customHeight="1">
      <c r="A444" s="32" t="inlineStr">
        <is>
          <t>IF(E444="","",ROW()-3)</t>
        </is>
      </c>
      <c r="B444" s="33" t="n"/>
      <c r="C444" s="33" t="n"/>
      <c r="D444" s="33" t="n"/>
      <c r="E444" s="33" t="n"/>
      <c r="F444" s="33" t="n"/>
      <c r="G444" s="33" t="n"/>
      <c r="H444" s="33" t="n"/>
      <c r="I444" s="33" t="n"/>
      <c r="J444" s="33" t="n"/>
      <c r="K444" s="33" t="n"/>
      <c r="L444" s="33" t="n"/>
      <c r="M444" s="33" t="n"/>
      <c r="N444" s="33" t="n"/>
      <c r="O444" s="33" t="n"/>
      <c r="P444" s="33" t="n"/>
      <c r="Q444" s="34" t="n"/>
      <c r="R444" s="35" t="inlineStr">
        <is>
          <t>IF(AO444="","",AO444)</t>
        </is>
      </c>
      <c r="S444" s="36" t="n"/>
      <c r="T444" s="37" t="n"/>
      <c r="U444" s="36" t="n"/>
      <c r="V444" s="35" t="inlineStr">
        <is>
          <t>IF(U444&lt;&gt;"",U444,IF(OR(R444="",T444=""),"",EDATE(R444,T444)))</t>
        </is>
      </c>
      <c r="W444" s="36" t="n"/>
      <c r="X444" s="37" t="n"/>
      <c r="Y444" s="33" t="n"/>
      <c r="Z444" s="33" t="n"/>
      <c r="AA444" s="32" t="inlineStr">
        <is>
          <t>IF(E444="","",IF(COUNT(AG444:AT444)=0,IF(Y444="","Not started",Y444),SUBSTITUTE(LOOKUP(2,1/(AG444:AT444&lt;&gt;""),$AG$3:$AT$3),"Date: ","")))</t>
        </is>
      </c>
      <c r="AB444" s="38" t="inlineStr">
        <is>
          <t>IF(OR(E444="",COUNT(AG444:AT444)=0),"",TODAY()-LOOKUP(2,1/(AG444:AT444&lt;&gt;""),AG444:AT444))</t>
        </is>
      </c>
      <c r="AC444" s="38" t="inlineStr">
        <is>
          <t>IF(OR(E444="",COUNT(AG444:AT444)&lt;2),"",LOOKUP(2,1/(AG444:AT444&lt;&gt;""),AG444:AT444)-MIN(AG444:AT444))</t>
        </is>
      </c>
      <c r="AD444" s="38" t="inlineStr">
        <is>
          <t>IF(OR(AB444="",AA444="Not started",AA444=""),"",IFERROR(AB444-IF(VLOOKUP(AA444,'04_Status_Pipeline'!$B$3:$E$20,4,FALSE)="",0,VLOOKUP(AA444,'04_Status_Pipeline'!$B$3:$E$20,4,FALSE)),""))</t>
        </is>
      </c>
      <c r="AE444" s="32" t="inlineStr">
        <is>
          <t>IF(E444="","",IF(OR(Y444="Cancelled",AA444="Cancelled"),"Cancelled",IF(OR(AA444="Completed / Handover",W444&lt;&gt;"",X444&gt;=100),"Completed — on track",IF(L444="Remaining",IF(S444="",IF(V444="","No planned date",IF(TODAY()&gt;V444,"Behind — past planned date",IF(V444-TODAY()&lt;=30,"At risk — close to off track","On track"))),IF(TODAY()&gt;S444,"Behind — award date passed",IF(S444-TODAY()&lt;=30,"At risk — close to off track","On track"))),IF(V444="","No planned date",IF(AND(TODAY()&gt;V444,OR(X444="",X444&lt;100)),"Behind — past end date",IF(AND(R444&lt;&gt;"",V444&lt;&gt;"",X444&lt;&gt;"",(X444&lt;100),((TODAY()-R444)/MAX(V444-R444,1)*100)-X444&gt;15),"Behind — progress lag",IF(AND(V444-TODAY()&lt;=30,V444-TODAY()&gt;=0,OR(X444="",X444&lt;90)),"At risk — close to off track","On track"))))))))</t>
        </is>
      </c>
      <c r="AF444" s="38" t="inlineStr">
        <is>
          <t>IF(OR(E444="",AA444="Completed / Handover",AA444="Cancelled"),"",IF(L444="Remaining",IF(S444&lt;&gt;"",S444-TODAY(),IF(V444="","",V444-TODAY())),IF(V444="","",V444-TODAY())))</t>
        </is>
      </c>
      <c r="AG444" s="36" t="n"/>
      <c r="AH444" s="36" t="n"/>
      <c r="AI444" s="36" t="n"/>
      <c r="AJ444" s="36" t="n"/>
      <c r="AK444" s="36" t="n"/>
      <c r="AL444" s="36" t="n"/>
      <c r="AM444" s="36" t="n"/>
      <c r="AN444" s="36" t="n"/>
      <c r="AO444" s="36" t="n"/>
      <c r="AP444" s="36" t="n"/>
      <c r="AQ444" s="36" t="n"/>
      <c r="AR444" s="40" t="n"/>
      <c r="AS444" s="40" t="n"/>
      <c r="AT444" s="40" t="n"/>
      <c r="AU444" s="38" t="inlineStr">
        <is>
          <t>IF(OR(E444="",AH444=""),"",IF(COUNT(AG444:AG444)=0,"",AH444-LOOKUP(2,1/(AG444:AG444&lt;&gt;""),AG444:AG444)))</t>
        </is>
      </c>
      <c r="AV444" s="38" t="inlineStr">
        <is>
          <t>IF(OR(E444="",AI444=""),"",IF(COUNT(AG444:AH444)=0,"",AI444-LOOKUP(2,1/(AG444:AH444&lt;&gt;""),AG444:AH444)))</t>
        </is>
      </c>
      <c r="AW444" s="38" t="inlineStr">
        <is>
          <t>IF(OR(E444="",AJ444=""),"",IF(COUNT(AG444:AI444)=0,"",AJ444-LOOKUP(2,1/(AG444:AI444&lt;&gt;""),AG444:AI444)))</t>
        </is>
      </c>
      <c r="AX444" s="38" t="inlineStr">
        <is>
          <t>IF(OR(E444="",AK444=""),"",IF(COUNT(AG444:AJ444)=0,"",AK444-LOOKUP(2,1/(AG444:AJ444&lt;&gt;""),AG444:AJ444)))</t>
        </is>
      </c>
      <c r="AY444" s="38" t="inlineStr">
        <is>
          <t>IF(OR(E444="",AL444=""),"",IF(COUNT(AG444:AK444)=0,"",AL444-LOOKUP(2,1/(AG444:AK444&lt;&gt;""),AG444:AK444)))</t>
        </is>
      </c>
      <c r="AZ444" s="38" t="inlineStr">
        <is>
          <t>IF(OR(E444="",AM444=""),"",IF(COUNT(AG444:AL444)=0,"",AM444-LOOKUP(2,1/(AG444:AL444&lt;&gt;""),AG444:AL444)))</t>
        </is>
      </c>
      <c r="BA444" s="38" t="inlineStr">
        <is>
          <t>IF(OR(E444="",AN444=""),"",IF(COUNT(AG444:AM444)=0,"",AN444-LOOKUP(2,1/(AG444:AM444&lt;&gt;""),AG444:AM444)))</t>
        </is>
      </c>
      <c r="BB444" s="38" t="inlineStr">
        <is>
          <t>IF(OR(E444="",AO444=""),"",IF(COUNT(AG444:AN444)=0,"",AO444-LOOKUP(2,1/(AG444:AN444&lt;&gt;""),AG444:AN444)))</t>
        </is>
      </c>
      <c r="BC444" s="38" t="inlineStr">
        <is>
          <t>IF(OR(E444="",AP444=""),"",IF(COUNT(AG444:AO444)=0,"",AP444-LOOKUP(2,1/(AG444:AO444&lt;&gt;""),AG444:AO444)))</t>
        </is>
      </c>
      <c r="BD444" s="38" t="inlineStr">
        <is>
          <t>IF(OR(E444="",AQ444=""),"",IF(COUNT(AG444:AP444)=0,"",AQ444-LOOKUP(2,1/(AG444:AP444&lt;&gt;""),AG444:AP444)))</t>
        </is>
      </c>
      <c r="BE444" s="38" t="inlineStr">
        <is>
          <t>IF(OR(E444="",AR444=""),"",IF(COUNT(AG444:AQ444)=0,"",AR444-LOOKUP(2,1/(AG444:AQ444&lt;&gt;""),AG444:AQ444)))</t>
        </is>
      </c>
      <c r="BF444" s="38" t="inlineStr">
        <is>
          <t>IF(OR(E444="",AS444=""),"",IF(COUNT(AG444:AR444)=0,"",AS444-LOOKUP(2,1/(AG444:AR444&lt;&gt;""),AG444:AR444)))</t>
        </is>
      </c>
      <c r="BG444" s="38" t="inlineStr">
        <is>
          <t>IF(OR(E444="",AT444=""),"",IF(COUNT(AG444:AS444)=0,"",AT444-LOOKUP(2,1/(AG444:AS444&lt;&gt;""),AG444:AS444)))</t>
        </is>
      </c>
      <c r="BH444" s="41" t="inlineStr">
        <is>
          <t>IF(G444="","All_Provinces",IFERROR(VLOOKUP(G444,'07_Lookups'!$A$4:$B$20,2,FALSE),"All_Provinces"))</t>
        </is>
      </c>
      <c r="BI444" s="41" t="inlineStr">
        <is>
          <t>IF(H444="","All_Districts",IFERROR(VLOOKUP(H444,'07_Lookups'!$E$4:$F$42,2,FALSE),"All_Districts"))</t>
        </is>
      </c>
    </row>
    <row r="445" ht="18" customHeight="1">
      <c r="A445" s="32" t="inlineStr">
        <is>
          <t>IF(E445="","",ROW()-3)</t>
        </is>
      </c>
      <c r="B445" s="42" t="n"/>
      <c r="C445" s="42" t="n"/>
      <c r="D445" s="42" t="n"/>
      <c r="E445" s="42" t="n"/>
      <c r="F445" s="42" t="n"/>
      <c r="G445" s="42" t="n"/>
      <c r="H445" s="42" t="n"/>
      <c r="I445" s="42" t="n"/>
      <c r="J445" s="42" t="n"/>
      <c r="K445" s="42" t="n"/>
      <c r="L445" s="42" t="n"/>
      <c r="M445" s="42" t="n"/>
      <c r="N445" s="42" t="n"/>
      <c r="O445" s="42" t="n"/>
      <c r="P445" s="42" t="n"/>
      <c r="Q445" s="43" t="n"/>
      <c r="R445" s="35" t="inlineStr">
        <is>
          <t>IF(AO445="","",AO445)</t>
        </is>
      </c>
      <c r="S445" s="44" t="n"/>
      <c r="T445" s="45" t="n"/>
      <c r="U445" s="44" t="n"/>
      <c r="V445" s="35" t="inlineStr">
        <is>
          <t>IF(U445&lt;&gt;"",U445,IF(OR(R445="",T445=""),"",EDATE(R445,T445)))</t>
        </is>
      </c>
      <c r="W445" s="44" t="n"/>
      <c r="X445" s="45" t="n"/>
      <c r="Y445" s="42" t="n"/>
      <c r="Z445" s="42" t="n"/>
      <c r="AA445" s="32" t="inlineStr">
        <is>
          <t>IF(E445="","",IF(COUNT(AG445:AT445)=0,IF(Y445="","Not started",Y445),SUBSTITUTE(LOOKUP(2,1/(AG445:AT445&lt;&gt;""),$AG$3:$AT$3),"Date: ","")))</t>
        </is>
      </c>
      <c r="AB445" s="38" t="inlineStr">
        <is>
          <t>IF(OR(E445="",COUNT(AG445:AT445)=0),"",TODAY()-LOOKUP(2,1/(AG445:AT445&lt;&gt;""),AG445:AT445))</t>
        </is>
      </c>
      <c r="AC445" s="38" t="inlineStr">
        <is>
          <t>IF(OR(E445="",COUNT(AG445:AT445)&lt;2),"",LOOKUP(2,1/(AG445:AT445&lt;&gt;""),AG445:AT445)-MIN(AG445:AT445))</t>
        </is>
      </c>
      <c r="AD445" s="38" t="inlineStr">
        <is>
          <t>IF(OR(AB445="",AA445="Not started",AA445=""),"",IFERROR(AB445-IF(VLOOKUP(AA445,'04_Status_Pipeline'!$B$3:$E$20,4,FALSE)="",0,VLOOKUP(AA445,'04_Status_Pipeline'!$B$3:$E$20,4,FALSE)),""))</t>
        </is>
      </c>
      <c r="AE445" s="32" t="inlineStr">
        <is>
          <t>IF(E445="","",IF(OR(Y445="Cancelled",AA445="Cancelled"),"Cancelled",IF(OR(AA445="Completed / Handover",W445&lt;&gt;"",X445&gt;=100),"Completed — on track",IF(L445="Remaining",IF(S445="",IF(V445="","No planned date",IF(TODAY()&gt;V445,"Behind — past planned date",IF(V445-TODAY()&lt;=30,"At risk — close to off track","On track"))),IF(TODAY()&gt;S445,"Behind — award date passed",IF(S445-TODAY()&lt;=30,"At risk — close to off track","On track"))),IF(V445="","No planned date",IF(AND(TODAY()&gt;V445,OR(X445="",X445&lt;100)),"Behind — past end date",IF(AND(R445&lt;&gt;"",V445&lt;&gt;"",X445&lt;&gt;"",(X445&lt;100),((TODAY()-R445)/MAX(V445-R445,1)*100)-X445&gt;15),"Behind — progress lag",IF(AND(V445-TODAY()&lt;=30,V445-TODAY()&gt;=0,OR(X445="",X445&lt;90)),"At risk — close to off track","On track"))))))))</t>
        </is>
      </c>
      <c r="AF445" s="38" t="inlineStr">
        <is>
          <t>IF(OR(E445="",AA445="Completed / Handover",AA445="Cancelled"),"",IF(L445="Remaining",IF(S445&lt;&gt;"",S445-TODAY(),IF(V445="","",V445-TODAY())),IF(V445="","",V445-TODAY())))</t>
        </is>
      </c>
      <c r="AG445" s="44" t="n"/>
      <c r="AH445" s="44" t="n"/>
      <c r="AI445" s="44" t="n"/>
      <c r="AJ445" s="44" t="n"/>
      <c r="AK445" s="44" t="n"/>
      <c r="AL445" s="44" t="n"/>
      <c r="AM445" s="44" t="n"/>
      <c r="AN445" s="44" t="n"/>
      <c r="AO445" s="44" t="n"/>
      <c r="AP445" s="44" t="n"/>
      <c r="AQ445" s="44" t="n"/>
      <c r="AR445" s="40" t="n"/>
      <c r="AS445" s="40" t="n"/>
      <c r="AT445" s="40" t="n"/>
      <c r="AU445" s="38" t="inlineStr">
        <is>
          <t>IF(OR(E445="",AH445=""),"",IF(COUNT(AG445:AG445)=0,"",AH445-LOOKUP(2,1/(AG445:AG445&lt;&gt;""),AG445:AG445)))</t>
        </is>
      </c>
      <c r="AV445" s="38" t="inlineStr">
        <is>
          <t>IF(OR(E445="",AI445=""),"",IF(COUNT(AG445:AH445)=0,"",AI445-LOOKUP(2,1/(AG445:AH445&lt;&gt;""),AG445:AH445)))</t>
        </is>
      </c>
      <c r="AW445" s="38" t="inlineStr">
        <is>
          <t>IF(OR(E445="",AJ445=""),"",IF(COUNT(AG445:AI445)=0,"",AJ445-LOOKUP(2,1/(AG445:AI445&lt;&gt;""),AG445:AI445)))</t>
        </is>
      </c>
      <c r="AX445" s="38" t="inlineStr">
        <is>
          <t>IF(OR(E445="",AK445=""),"",IF(COUNT(AG445:AJ445)=0,"",AK445-LOOKUP(2,1/(AG445:AJ445&lt;&gt;""),AG445:AJ445)))</t>
        </is>
      </c>
      <c r="AY445" s="38" t="inlineStr">
        <is>
          <t>IF(OR(E445="",AL445=""),"",IF(COUNT(AG445:AK445)=0,"",AL445-LOOKUP(2,1/(AG445:AK445&lt;&gt;""),AG445:AK445)))</t>
        </is>
      </c>
      <c r="AZ445" s="38" t="inlineStr">
        <is>
          <t>IF(OR(E445="",AM445=""),"",IF(COUNT(AG445:AL445)=0,"",AM445-LOOKUP(2,1/(AG445:AL445&lt;&gt;""),AG445:AL445)))</t>
        </is>
      </c>
      <c r="BA445" s="38" t="inlineStr">
        <is>
          <t>IF(OR(E445="",AN445=""),"",IF(COUNT(AG445:AM445)=0,"",AN445-LOOKUP(2,1/(AG445:AM445&lt;&gt;""),AG445:AM445)))</t>
        </is>
      </c>
      <c r="BB445" s="38" t="inlineStr">
        <is>
          <t>IF(OR(E445="",AO445=""),"",IF(COUNT(AG445:AN445)=0,"",AO445-LOOKUP(2,1/(AG445:AN445&lt;&gt;""),AG445:AN445)))</t>
        </is>
      </c>
      <c r="BC445" s="38" t="inlineStr">
        <is>
          <t>IF(OR(E445="",AP445=""),"",IF(COUNT(AG445:AO445)=0,"",AP445-LOOKUP(2,1/(AG445:AO445&lt;&gt;""),AG445:AO445)))</t>
        </is>
      </c>
      <c r="BD445" s="38" t="inlineStr">
        <is>
          <t>IF(OR(E445="",AQ445=""),"",IF(COUNT(AG445:AP445)=0,"",AQ445-LOOKUP(2,1/(AG445:AP445&lt;&gt;""),AG445:AP445)))</t>
        </is>
      </c>
      <c r="BE445" s="38" t="inlineStr">
        <is>
          <t>IF(OR(E445="",AR445=""),"",IF(COUNT(AG445:AQ445)=0,"",AR445-LOOKUP(2,1/(AG445:AQ445&lt;&gt;""),AG445:AQ445)))</t>
        </is>
      </c>
      <c r="BF445" s="38" t="inlineStr">
        <is>
          <t>IF(OR(E445="",AS445=""),"",IF(COUNT(AG445:AR445)=0,"",AS445-LOOKUP(2,1/(AG445:AR445&lt;&gt;""),AG445:AR445)))</t>
        </is>
      </c>
      <c r="BG445" s="38" t="inlineStr">
        <is>
          <t>IF(OR(E445="",AT445=""),"",IF(COUNT(AG445:AS445)=0,"",AT445-LOOKUP(2,1/(AG445:AS445&lt;&gt;""),AG445:AS445)))</t>
        </is>
      </c>
      <c r="BH445" s="41" t="inlineStr">
        <is>
          <t>IF(G445="","All_Provinces",IFERROR(VLOOKUP(G445,'07_Lookups'!$A$4:$B$20,2,FALSE),"All_Provinces"))</t>
        </is>
      </c>
      <c r="BI445" s="41" t="inlineStr">
        <is>
          <t>IF(H445="","All_Districts",IFERROR(VLOOKUP(H445,'07_Lookups'!$E$4:$F$42,2,FALSE),"All_Districts"))</t>
        </is>
      </c>
    </row>
    <row r="446" ht="18" customHeight="1">
      <c r="A446" s="32" t="inlineStr">
        <is>
          <t>IF(E446="","",ROW()-3)</t>
        </is>
      </c>
      <c r="B446" s="33" t="n"/>
      <c r="C446" s="33" t="n"/>
      <c r="D446" s="33" t="n"/>
      <c r="E446" s="33" t="n"/>
      <c r="F446" s="33" t="n"/>
      <c r="G446" s="33" t="n"/>
      <c r="H446" s="33" t="n"/>
      <c r="I446" s="33" t="n"/>
      <c r="J446" s="33" t="n"/>
      <c r="K446" s="33" t="n"/>
      <c r="L446" s="33" t="n"/>
      <c r="M446" s="33" t="n"/>
      <c r="N446" s="33" t="n"/>
      <c r="O446" s="33" t="n"/>
      <c r="P446" s="33" t="n"/>
      <c r="Q446" s="34" t="n"/>
      <c r="R446" s="35" t="inlineStr">
        <is>
          <t>IF(AO446="","",AO446)</t>
        </is>
      </c>
      <c r="S446" s="36" t="n"/>
      <c r="T446" s="37" t="n"/>
      <c r="U446" s="36" t="n"/>
      <c r="V446" s="35" t="inlineStr">
        <is>
          <t>IF(U446&lt;&gt;"",U446,IF(OR(R446="",T446=""),"",EDATE(R446,T446)))</t>
        </is>
      </c>
      <c r="W446" s="36" t="n"/>
      <c r="X446" s="37" t="n"/>
      <c r="Y446" s="33" t="n"/>
      <c r="Z446" s="33" t="n"/>
      <c r="AA446" s="32" t="inlineStr">
        <is>
          <t>IF(E446="","",IF(COUNT(AG446:AT446)=0,IF(Y446="","Not started",Y446),SUBSTITUTE(LOOKUP(2,1/(AG446:AT446&lt;&gt;""),$AG$3:$AT$3),"Date: ","")))</t>
        </is>
      </c>
      <c r="AB446" s="38" t="inlineStr">
        <is>
          <t>IF(OR(E446="",COUNT(AG446:AT446)=0),"",TODAY()-LOOKUP(2,1/(AG446:AT446&lt;&gt;""),AG446:AT446))</t>
        </is>
      </c>
      <c r="AC446" s="38" t="inlineStr">
        <is>
          <t>IF(OR(E446="",COUNT(AG446:AT446)&lt;2),"",LOOKUP(2,1/(AG446:AT446&lt;&gt;""),AG446:AT446)-MIN(AG446:AT446))</t>
        </is>
      </c>
      <c r="AD446" s="38" t="inlineStr">
        <is>
          <t>IF(OR(AB446="",AA446="Not started",AA446=""),"",IFERROR(AB446-IF(VLOOKUP(AA446,'04_Status_Pipeline'!$B$3:$E$20,4,FALSE)="",0,VLOOKUP(AA446,'04_Status_Pipeline'!$B$3:$E$20,4,FALSE)),""))</t>
        </is>
      </c>
      <c r="AE446" s="32" t="inlineStr">
        <is>
          <t>IF(E446="","",IF(OR(Y446="Cancelled",AA446="Cancelled"),"Cancelled",IF(OR(AA446="Completed / Handover",W446&lt;&gt;"",X446&gt;=100),"Completed — on track",IF(L446="Remaining",IF(S446="",IF(V446="","No planned date",IF(TODAY()&gt;V446,"Behind — past planned date",IF(V446-TODAY()&lt;=30,"At risk — close to off track","On track"))),IF(TODAY()&gt;S446,"Behind — award date passed",IF(S446-TODAY()&lt;=30,"At risk — close to off track","On track"))),IF(V446="","No planned date",IF(AND(TODAY()&gt;V446,OR(X446="",X446&lt;100)),"Behind — past end date",IF(AND(R446&lt;&gt;"",V446&lt;&gt;"",X446&lt;&gt;"",(X446&lt;100),((TODAY()-R446)/MAX(V446-R446,1)*100)-X446&gt;15),"Behind — progress lag",IF(AND(V446-TODAY()&lt;=30,V446-TODAY()&gt;=0,OR(X446="",X446&lt;90)),"At risk — close to off track","On track"))))))))</t>
        </is>
      </c>
      <c r="AF446" s="38" t="inlineStr">
        <is>
          <t>IF(OR(E446="",AA446="Completed / Handover",AA446="Cancelled"),"",IF(L446="Remaining",IF(S446&lt;&gt;"",S446-TODAY(),IF(V446="","",V446-TODAY())),IF(V446="","",V446-TODAY())))</t>
        </is>
      </c>
      <c r="AG446" s="36" t="n"/>
      <c r="AH446" s="36" t="n"/>
      <c r="AI446" s="36" t="n"/>
      <c r="AJ446" s="36" t="n"/>
      <c r="AK446" s="36" t="n"/>
      <c r="AL446" s="36" t="n"/>
      <c r="AM446" s="36" t="n"/>
      <c r="AN446" s="36" t="n"/>
      <c r="AO446" s="36" t="n"/>
      <c r="AP446" s="36" t="n"/>
      <c r="AQ446" s="36" t="n"/>
      <c r="AR446" s="40" t="n"/>
      <c r="AS446" s="40" t="n"/>
      <c r="AT446" s="40" t="n"/>
      <c r="AU446" s="38" t="inlineStr">
        <is>
          <t>IF(OR(E446="",AH446=""),"",IF(COUNT(AG446:AG446)=0,"",AH446-LOOKUP(2,1/(AG446:AG446&lt;&gt;""),AG446:AG446)))</t>
        </is>
      </c>
      <c r="AV446" s="38" t="inlineStr">
        <is>
          <t>IF(OR(E446="",AI446=""),"",IF(COUNT(AG446:AH446)=0,"",AI446-LOOKUP(2,1/(AG446:AH446&lt;&gt;""),AG446:AH446)))</t>
        </is>
      </c>
      <c r="AW446" s="38" t="inlineStr">
        <is>
          <t>IF(OR(E446="",AJ446=""),"",IF(COUNT(AG446:AI446)=0,"",AJ446-LOOKUP(2,1/(AG446:AI446&lt;&gt;""),AG446:AI446)))</t>
        </is>
      </c>
      <c r="AX446" s="38" t="inlineStr">
        <is>
          <t>IF(OR(E446="",AK446=""),"",IF(COUNT(AG446:AJ446)=0,"",AK446-LOOKUP(2,1/(AG446:AJ446&lt;&gt;""),AG446:AJ446)))</t>
        </is>
      </c>
      <c r="AY446" s="38" t="inlineStr">
        <is>
          <t>IF(OR(E446="",AL446=""),"",IF(COUNT(AG446:AK446)=0,"",AL446-LOOKUP(2,1/(AG446:AK446&lt;&gt;""),AG446:AK446)))</t>
        </is>
      </c>
      <c r="AZ446" s="38" t="inlineStr">
        <is>
          <t>IF(OR(E446="",AM446=""),"",IF(COUNT(AG446:AL446)=0,"",AM446-LOOKUP(2,1/(AG446:AL446&lt;&gt;""),AG446:AL446)))</t>
        </is>
      </c>
      <c r="BA446" s="38" t="inlineStr">
        <is>
          <t>IF(OR(E446="",AN446=""),"",IF(COUNT(AG446:AM446)=0,"",AN446-LOOKUP(2,1/(AG446:AM446&lt;&gt;""),AG446:AM446)))</t>
        </is>
      </c>
      <c r="BB446" s="38" t="inlineStr">
        <is>
          <t>IF(OR(E446="",AO446=""),"",IF(COUNT(AG446:AN446)=0,"",AO446-LOOKUP(2,1/(AG446:AN446&lt;&gt;""),AG446:AN446)))</t>
        </is>
      </c>
      <c r="BC446" s="38" t="inlineStr">
        <is>
          <t>IF(OR(E446="",AP446=""),"",IF(COUNT(AG446:AO446)=0,"",AP446-LOOKUP(2,1/(AG446:AO446&lt;&gt;""),AG446:AO446)))</t>
        </is>
      </c>
      <c r="BD446" s="38" t="inlineStr">
        <is>
          <t>IF(OR(E446="",AQ446=""),"",IF(COUNT(AG446:AP446)=0,"",AQ446-LOOKUP(2,1/(AG446:AP446&lt;&gt;""),AG446:AP446)))</t>
        </is>
      </c>
      <c r="BE446" s="38" t="inlineStr">
        <is>
          <t>IF(OR(E446="",AR446=""),"",IF(COUNT(AG446:AQ446)=0,"",AR446-LOOKUP(2,1/(AG446:AQ446&lt;&gt;""),AG446:AQ446)))</t>
        </is>
      </c>
      <c r="BF446" s="38" t="inlineStr">
        <is>
          <t>IF(OR(E446="",AS446=""),"",IF(COUNT(AG446:AR446)=0,"",AS446-LOOKUP(2,1/(AG446:AR446&lt;&gt;""),AG446:AR446)))</t>
        </is>
      </c>
      <c r="BG446" s="38" t="inlineStr">
        <is>
          <t>IF(OR(E446="",AT446=""),"",IF(COUNT(AG446:AS446)=0,"",AT446-LOOKUP(2,1/(AG446:AS446&lt;&gt;""),AG446:AS446)))</t>
        </is>
      </c>
      <c r="BH446" s="41" t="inlineStr">
        <is>
          <t>IF(G446="","All_Provinces",IFERROR(VLOOKUP(G446,'07_Lookups'!$A$4:$B$20,2,FALSE),"All_Provinces"))</t>
        </is>
      </c>
      <c r="BI446" s="41" t="inlineStr">
        <is>
          <t>IF(H446="","All_Districts",IFERROR(VLOOKUP(H446,'07_Lookups'!$E$4:$F$42,2,FALSE),"All_Districts"))</t>
        </is>
      </c>
    </row>
    <row r="447" ht="18" customHeight="1">
      <c r="A447" s="32" t="inlineStr">
        <is>
          <t>IF(E447="","",ROW()-3)</t>
        </is>
      </c>
      <c r="B447" s="42" t="n"/>
      <c r="C447" s="42" t="n"/>
      <c r="D447" s="42" t="n"/>
      <c r="E447" s="42" t="n"/>
      <c r="F447" s="42" t="n"/>
      <c r="G447" s="42" t="n"/>
      <c r="H447" s="42" t="n"/>
      <c r="I447" s="42" t="n"/>
      <c r="J447" s="42" t="n"/>
      <c r="K447" s="42" t="n"/>
      <c r="L447" s="42" t="n"/>
      <c r="M447" s="42" t="n"/>
      <c r="N447" s="42" t="n"/>
      <c r="O447" s="42" t="n"/>
      <c r="P447" s="42" t="n"/>
      <c r="Q447" s="43" t="n"/>
      <c r="R447" s="35" t="inlineStr">
        <is>
          <t>IF(AO447="","",AO447)</t>
        </is>
      </c>
      <c r="S447" s="44" t="n"/>
      <c r="T447" s="45" t="n"/>
      <c r="U447" s="44" t="n"/>
      <c r="V447" s="35" t="inlineStr">
        <is>
          <t>IF(U447&lt;&gt;"",U447,IF(OR(R447="",T447=""),"",EDATE(R447,T447)))</t>
        </is>
      </c>
      <c r="W447" s="44" t="n"/>
      <c r="X447" s="45" t="n"/>
      <c r="Y447" s="42" t="n"/>
      <c r="Z447" s="42" t="n"/>
      <c r="AA447" s="32" t="inlineStr">
        <is>
          <t>IF(E447="","",IF(COUNT(AG447:AT447)=0,IF(Y447="","Not started",Y447),SUBSTITUTE(LOOKUP(2,1/(AG447:AT447&lt;&gt;""),$AG$3:$AT$3),"Date: ","")))</t>
        </is>
      </c>
      <c r="AB447" s="38" t="inlineStr">
        <is>
          <t>IF(OR(E447="",COUNT(AG447:AT447)=0),"",TODAY()-LOOKUP(2,1/(AG447:AT447&lt;&gt;""),AG447:AT447))</t>
        </is>
      </c>
      <c r="AC447" s="38" t="inlineStr">
        <is>
          <t>IF(OR(E447="",COUNT(AG447:AT447)&lt;2),"",LOOKUP(2,1/(AG447:AT447&lt;&gt;""),AG447:AT447)-MIN(AG447:AT447))</t>
        </is>
      </c>
      <c r="AD447" s="38" t="inlineStr">
        <is>
          <t>IF(OR(AB447="",AA447="Not started",AA447=""),"",IFERROR(AB447-IF(VLOOKUP(AA447,'04_Status_Pipeline'!$B$3:$E$20,4,FALSE)="",0,VLOOKUP(AA447,'04_Status_Pipeline'!$B$3:$E$20,4,FALSE)),""))</t>
        </is>
      </c>
      <c r="AE447" s="32" t="inlineStr">
        <is>
          <t>IF(E447="","",IF(OR(Y447="Cancelled",AA447="Cancelled"),"Cancelled",IF(OR(AA447="Completed / Handover",W447&lt;&gt;"",X447&gt;=100),"Completed — on track",IF(L447="Remaining",IF(S447="",IF(V447="","No planned date",IF(TODAY()&gt;V447,"Behind — past planned date",IF(V447-TODAY()&lt;=30,"At risk — close to off track","On track"))),IF(TODAY()&gt;S447,"Behind — award date passed",IF(S447-TODAY()&lt;=30,"At risk — close to off track","On track"))),IF(V447="","No planned date",IF(AND(TODAY()&gt;V447,OR(X447="",X447&lt;100)),"Behind — past end date",IF(AND(R447&lt;&gt;"",V447&lt;&gt;"",X447&lt;&gt;"",(X447&lt;100),((TODAY()-R447)/MAX(V447-R447,1)*100)-X447&gt;15),"Behind — progress lag",IF(AND(V447-TODAY()&lt;=30,V447-TODAY()&gt;=0,OR(X447="",X447&lt;90)),"At risk — close to off track","On track"))))))))</t>
        </is>
      </c>
      <c r="AF447" s="38" t="inlineStr">
        <is>
          <t>IF(OR(E447="",AA447="Completed / Handover",AA447="Cancelled"),"",IF(L447="Remaining",IF(S447&lt;&gt;"",S447-TODAY(),IF(V447="","",V447-TODAY())),IF(V447="","",V447-TODAY())))</t>
        </is>
      </c>
      <c r="AG447" s="44" t="n"/>
      <c r="AH447" s="44" t="n"/>
      <c r="AI447" s="44" t="n"/>
      <c r="AJ447" s="44" t="n"/>
      <c r="AK447" s="44" t="n"/>
      <c r="AL447" s="44" t="n"/>
      <c r="AM447" s="44" t="n"/>
      <c r="AN447" s="44" t="n"/>
      <c r="AO447" s="44" t="n"/>
      <c r="AP447" s="44" t="n"/>
      <c r="AQ447" s="44" t="n"/>
      <c r="AR447" s="40" t="n"/>
      <c r="AS447" s="40" t="n"/>
      <c r="AT447" s="40" t="n"/>
      <c r="AU447" s="38" t="inlineStr">
        <is>
          <t>IF(OR(E447="",AH447=""),"",IF(COUNT(AG447:AG447)=0,"",AH447-LOOKUP(2,1/(AG447:AG447&lt;&gt;""),AG447:AG447)))</t>
        </is>
      </c>
      <c r="AV447" s="38" t="inlineStr">
        <is>
          <t>IF(OR(E447="",AI447=""),"",IF(COUNT(AG447:AH447)=0,"",AI447-LOOKUP(2,1/(AG447:AH447&lt;&gt;""),AG447:AH447)))</t>
        </is>
      </c>
      <c r="AW447" s="38" t="inlineStr">
        <is>
          <t>IF(OR(E447="",AJ447=""),"",IF(COUNT(AG447:AI447)=0,"",AJ447-LOOKUP(2,1/(AG447:AI447&lt;&gt;""),AG447:AI447)))</t>
        </is>
      </c>
      <c r="AX447" s="38" t="inlineStr">
        <is>
          <t>IF(OR(E447="",AK447=""),"",IF(COUNT(AG447:AJ447)=0,"",AK447-LOOKUP(2,1/(AG447:AJ447&lt;&gt;""),AG447:AJ447)))</t>
        </is>
      </c>
      <c r="AY447" s="38" t="inlineStr">
        <is>
          <t>IF(OR(E447="",AL447=""),"",IF(COUNT(AG447:AK447)=0,"",AL447-LOOKUP(2,1/(AG447:AK447&lt;&gt;""),AG447:AK447)))</t>
        </is>
      </c>
      <c r="AZ447" s="38" t="inlineStr">
        <is>
          <t>IF(OR(E447="",AM447=""),"",IF(COUNT(AG447:AL447)=0,"",AM447-LOOKUP(2,1/(AG447:AL447&lt;&gt;""),AG447:AL447)))</t>
        </is>
      </c>
      <c r="BA447" s="38" t="inlineStr">
        <is>
          <t>IF(OR(E447="",AN447=""),"",IF(COUNT(AG447:AM447)=0,"",AN447-LOOKUP(2,1/(AG447:AM447&lt;&gt;""),AG447:AM447)))</t>
        </is>
      </c>
      <c r="BB447" s="38" t="inlineStr">
        <is>
          <t>IF(OR(E447="",AO447=""),"",IF(COUNT(AG447:AN447)=0,"",AO447-LOOKUP(2,1/(AG447:AN447&lt;&gt;""),AG447:AN447)))</t>
        </is>
      </c>
      <c r="BC447" s="38" t="inlineStr">
        <is>
          <t>IF(OR(E447="",AP447=""),"",IF(COUNT(AG447:AO447)=0,"",AP447-LOOKUP(2,1/(AG447:AO447&lt;&gt;""),AG447:AO447)))</t>
        </is>
      </c>
      <c r="BD447" s="38" t="inlineStr">
        <is>
          <t>IF(OR(E447="",AQ447=""),"",IF(COUNT(AG447:AP447)=0,"",AQ447-LOOKUP(2,1/(AG447:AP447&lt;&gt;""),AG447:AP447)))</t>
        </is>
      </c>
      <c r="BE447" s="38" t="inlineStr">
        <is>
          <t>IF(OR(E447="",AR447=""),"",IF(COUNT(AG447:AQ447)=0,"",AR447-LOOKUP(2,1/(AG447:AQ447&lt;&gt;""),AG447:AQ447)))</t>
        </is>
      </c>
      <c r="BF447" s="38" t="inlineStr">
        <is>
          <t>IF(OR(E447="",AS447=""),"",IF(COUNT(AG447:AR447)=0,"",AS447-LOOKUP(2,1/(AG447:AR447&lt;&gt;""),AG447:AR447)))</t>
        </is>
      </c>
      <c r="BG447" s="38" t="inlineStr">
        <is>
          <t>IF(OR(E447="",AT447=""),"",IF(COUNT(AG447:AS447)=0,"",AT447-LOOKUP(2,1/(AG447:AS447&lt;&gt;""),AG447:AS447)))</t>
        </is>
      </c>
      <c r="BH447" s="41" t="inlineStr">
        <is>
          <t>IF(G447="","All_Provinces",IFERROR(VLOOKUP(G447,'07_Lookups'!$A$4:$B$20,2,FALSE),"All_Provinces"))</t>
        </is>
      </c>
      <c r="BI447" s="41" t="inlineStr">
        <is>
          <t>IF(H447="","All_Districts",IFERROR(VLOOKUP(H447,'07_Lookups'!$E$4:$F$42,2,FALSE),"All_Districts"))</t>
        </is>
      </c>
    </row>
    <row r="448" ht="18" customHeight="1">
      <c r="A448" s="32" t="inlineStr">
        <is>
          <t>IF(E448="","",ROW()-3)</t>
        </is>
      </c>
      <c r="B448" s="33" t="n"/>
      <c r="C448" s="33" t="n"/>
      <c r="D448" s="33" t="n"/>
      <c r="E448" s="33" t="n"/>
      <c r="F448" s="33" t="n"/>
      <c r="G448" s="33" t="n"/>
      <c r="H448" s="33" t="n"/>
      <c r="I448" s="33" t="n"/>
      <c r="J448" s="33" t="n"/>
      <c r="K448" s="33" t="n"/>
      <c r="L448" s="33" t="n"/>
      <c r="M448" s="33" t="n"/>
      <c r="N448" s="33" t="n"/>
      <c r="O448" s="33" t="n"/>
      <c r="P448" s="33" t="n"/>
      <c r="Q448" s="34" t="n"/>
      <c r="R448" s="35" t="inlineStr">
        <is>
          <t>IF(AO448="","",AO448)</t>
        </is>
      </c>
      <c r="S448" s="36" t="n"/>
      <c r="T448" s="37" t="n"/>
      <c r="U448" s="36" t="n"/>
      <c r="V448" s="35" t="inlineStr">
        <is>
          <t>IF(U448&lt;&gt;"",U448,IF(OR(R448="",T448=""),"",EDATE(R448,T448)))</t>
        </is>
      </c>
      <c r="W448" s="36" t="n"/>
      <c r="X448" s="37" t="n"/>
      <c r="Y448" s="33" t="n"/>
      <c r="Z448" s="33" t="n"/>
      <c r="AA448" s="32" t="inlineStr">
        <is>
          <t>IF(E448="","",IF(COUNT(AG448:AT448)=0,IF(Y448="","Not started",Y448),SUBSTITUTE(LOOKUP(2,1/(AG448:AT448&lt;&gt;""),$AG$3:$AT$3),"Date: ","")))</t>
        </is>
      </c>
      <c r="AB448" s="38" t="inlineStr">
        <is>
          <t>IF(OR(E448="",COUNT(AG448:AT448)=0),"",TODAY()-LOOKUP(2,1/(AG448:AT448&lt;&gt;""),AG448:AT448))</t>
        </is>
      </c>
      <c r="AC448" s="38" t="inlineStr">
        <is>
          <t>IF(OR(E448="",COUNT(AG448:AT448)&lt;2),"",LOOKUP(2,1/(AG448:AT448&lt;&gt;""),AG448:AT448)-MIN(AG448:AT448))</t>
        </is>
      </c>
      <c r="AD448" s="38" t="inlineStr">
        <is>
          <t>IF(OR(AB448="",AA448="Not started",AA448=""),"",IFERROR(AB448-IF(VLOOKUP(AA448,'04_Status_Pipeline'!$B$3:$E$20,4,FALSE)="",0,VLOOKUP(AA448,'04_Status_Pipeline'!$B$3:$E$20,4,FALSE)),""))</t>
        </is>
      </c>
      <c r="AE448" s="32" t="inlineStr">
        <is>
          <t>IF(E448="","",IF(OR(Y448="Cancelled",AA448="Cancelled"),"Cancelled",IF(OR(AA448="Completed / Handover",W448&lt;&gt;"",X448&gt;=100),"Completed — on track",IF(L448="Remaining",IF(S448="",IF(V448="","No planned date",IF(TODAY()&gt;V448,"Behind — past planned date",IF(V448-TODAY()&lt;=30,"At risk — close to off track","On track"))),IF(TODAY()&gt;S448,"Behind — award date passed",IF(S448-TODAY()&lt;=30,"At risk — close to off track","On track"))),IF(V448="","No planned date",IF(AND(TODAY()&gt;V448,OR(X448="",X448&lt;100)),"Behind — past end date",IF(AND(R448&lt;&gt;"",V448&lt;&gt;"",X448&lt;&gt;"",(X448&lt;100),((TODAY()-R448)/MAX(V448-R448,1)*100)-X448&gt;15),"Behind — progress lag",IF(AND(V448-TODAY()&lt;=30,V448-TODAY()&gt;=0,OR(X448="",X448&lt;90)),"At risk — close to off track","On track"))))))))</t>
        </is>
      </c>
      <c r="AF448" s="38" t="inlineStr">
        <is>
          <t>IF(OR(E448="",AA448="Completed / Handover",AA448="Cancelled"),"",IF(L448="Remaining",IF(S448&lt;&gt;"",S448-TODAY(),IF(V448="","",V448-TODAY())),IF(V448="","",V448-TODAY())))</t>
        </is>
      </c>
      <c r="AG448" s="36" t="n"/>
      <c r="AH448" s="36" t="n"/>
      <c r="AI448" s="36" t="n"/>
      <c r="AJ448" s="36" t="n"/>
      <c r="AK448" s="36" t="n"/>
      <c r="AL448" s="36" t="n"/>
      <c r="AM448" s="36" t="n"/>
      <c r="AN448" s="36" t="n"/>
      <c r="AO448" s="36" t="n"/>
      <c r="AP448" s="36" t="n"/>
      <c r="AQ448" s="36" t="n"/>
      <c r="AR448" s="40" t="n"/>
      <c r="AS448" s="40" t="n"/>
      <c r="AT448" s="40" t="n"/>
      <c r="AU448" s="38" t="inlineStr">
        <is>
          <t>IF(OR(E448="",AH448=""),"",IF(COUNT(AG448:AG448)=0,"",AH448-LOOKUP(2,1/(AG448:AG448&lt;&gt;""),AG448:AG448)))</t>
        </is>
      </c>
      <c r="AV448" s="38" t="inlineStr">
        <is>
          <t>IF(OR(E448="",AI448=""),"",IF(COUNT(AG448:AH448)=0,"",AI448-LOOKUP(2,1/(AG448:AH448&lt;&gt;""),AG448:AH448)))</t>
        </is>
      </c>
      <c r="AW448" s="38" t="inlineStr">
        <is>
          <t>IF(OR(E448="",AJ448=""),"",IF(COUNT(AG448:AI448)=0,"",AJ448-LOOKUP(2,1/(AG448:AI448&lt;&gt;""),AG448:AI448)))</t>
        </is>
      </c>
      <c r="AX448" s="38" t="inlineStr">
        <is>
          <t>IF(OR(E448="",AK448=""),"",IF(COUNT(AG448:AJ448)=0,"",AK448-LOOKUP(2,1/(AG448:AJ448&lt;&gt;""),AG448:AJ448)))</t>
        </is>
      </c>
      <c r="AY448" s="38" t="inlineStr">
        <is>
          <t>IF(OR(E448="",AL448=""),"",IF(COUNT(AG448:AK448)=0,"",AL448-LOOKUP(2,1/(AG448:AK448&lt;&gt;""),AG448:AK448)))</t>
        </is>
      </c>
      <c r="AZ448" s="38" t="inlineStr">
        <is>
          <t>IF(OR(E448="",AM448=""),"",IF(COUNT(AG448:AL448)=0,"",AM448-LOOKUP(2,1/(AG448:AL448&lt;&gt;""),AG448:AL448)))</t>
        </is>
      </c>
      <c r="BA448" s="38" t="inlineStr">
        <is>
          <t>IF(OR(E448="",AN448=""),"",IF(COUNT(AG448:AM448)=0,"",AN448-LOOKUP(2,1/(AG448:AM448&lt;&gt;""),AG448:AM448)))</t>
        </is>
      </c>
      <c r="BB448" s="38" t="inlineStr">
        <is>
          <t>IF(OR(E448="",AO448=""),"",IF(COUNT(AG448:AN448)=0,"",AO448-LOOKUP(2,1/(AG448:AN448&lt;&gt;""),AG448:AN448)))</t>
        </is>
      </c>
      <c r="BC448" s="38" t="inlineStr">
        <is>
          <t>IF(OR(E448="",AP448=""),"",IF(COUNT(AG448:AO448)=0,"",AP448-LOOKUP(2,1/(AG448:AO448&lt;&gt;""),AG448:AO448)))</t>
        </is>
      </c>
      <c r="BD448" s="38" t="inlineStr">
        <is>
          <t>IF(OR(E448="",AQ448=""),"",IF(COUNT(AG448:AP448)=0,"",AQ448-LOOKUP(2,1/(AG448:AP448&lt;&gt;""),AG448:AP448)))</t>
        </is>
      </c>
      <c r="BE448" s="38" t="inlineStr">
        <is>
          <t>IF(OR(E448="",AR448=""),"",IF(COUNT(AG448:AQ448)=0,"",AR448-LOOKUP(2,1/(AG448:AQ448&lt;&gt;""),AG448:AQ448)))</t>
        </is>
      </c>
      <c r="BF448" s="38" t="inlineStr">
        <is>
          <t>IF(OR(E448="",AS448=""),"",IF(COUNT(AG448:AR448)=0,"",AS448-LOOKUP(2,1/(AG448:AR448&lt;&gt;""),AG448:AR448)))</t>
        </is>
      </c>
      <c r="BG448" s="38" t="inlineStr">
        <is>
          <t>IF(OR(E448="",AT448=""),"",IF(COUNT(AG448:AS448)=0,"",AT448-LOOKUP(2,1/(AG448:AS448&lt;&gt;""),AG448:AS448)))</t>
        </is>
      </c>
      <c r="BH448" s="41" t="inlineStr">
        <is>
          <t>IF(G448="","All_Provinces",IFERROR(VLOOKUP(G448,'07_Lookups'!$A$4:$B$20,2,FALSE),"All_Provinces"))</t>
        </is>
      </c>
      <c r="BI448" s="41" t="inlineStr">
        <is>
          <t>IF(H448="","All_Districts",IFERROR(VLOOKUP(H448,'07_Lookups'!$E$4:$F$42,2,FALSE),"All_Districts"))</t>
        </is>
      </c>
    </row>
    <row r="449" ht="18" customHeight="1">
      <c r="A449" s="32" t="inlineStr">
        <is>
          <t>IF(E449="","",ROW()-3)</t>
        </is>
      </c>
      <c r="B449" s="42" t="n"/>
      <c r="C449" s="42" t="n"/>
      <c r="D449" s="42" t="n"/>
      <c r="E449" s="42" t="n"/>
      <c r="F449" s="42" t="n"/>
      <c r="G449" s="42" t="n"/>
      <c r="H449" s="42" t="n"/>
      <c r="I449" s="42" t="n"/>
      <c r="J449" s="42" t="n"/>
      <c r="K449" s="42" t="n"/>
      <c r="L449" s="42" t="n"/>
      <c r="M449" s="42" t="n"/>
      <c r="N449" s="42" t="n"/>
      <c r="O449" s="42" t="n"/>
      <c r="P449" s="42" t="n"/>
      <c r="Q449" s="43" t="n"/>
      <c r="R449" s="35" t="inlineStr">
        <is>
          <t>IF(AO449="","",AO449)</t>
        </is>
      </c>
      <c r="S449" s="44" t="n"/>
      <c r="T449" s="45" t="n"/>
      <c r="U449" s="44" t="n"/>
      <c r="V449" s="35" t="inlineStr">
        <is>
          <t>IF(U449&lt;&gt;"",U449,IF(OR(R449="",T449=""),"",EDATE(R449,T449)))</t>
        </is>
      </c>
      <c r="W449" s="44" t="n"/>
      <c r="X449" s="45" t="n"/>
      <c r="Y449" s="42" t="n"/>
      <c r="Z449" s="42" t="n"/>
      <c r="AA449" s="32" t="inlineStr">
        <is>
          <t>IF(E449="","",IF(COUNT(AG449:AT449)=0,IF(Y449="","Not started",Y449),SUBSTITUTE(LOOKUP(2,1/(AG449:AT449&lt;&gt;""),$AG$3:$AT$3),"Date: ","")))</t>
        </is>
      </c>
      <c r="AB449" s="38" t="inlineStr">
        <is>
          <t>IF(OR(E449="",COUNT(AG449:AT449)=0),"",TODAY()-LOOKUP(2,1/(AG449:AT449&lt;&gt;""),AG449:AT449))</t>
        </is>
      </c>
      <c r="AC449" s="38" t="inlineStr">
        <is>
          <t>IF(OR(E449="",COUNT(AG449:AT449)&lt;2),"",LOOKUP(2,1/(AG449:AT449&lt;&gt;""),AG449:AT449)-MIN(AG449:AT449))</t>
        </is>
      </c>
      <c r="AD449" s="38" t="inlineStr">
        <is>
          <t>IF(OR(AB449="",AA449="Not started",AA449=""),"",IFERROR(AB449-IF(VLOOKUP(AA449,'04_Status_Pipeline'!$B$3:$E$20,4,FALSE)="",0,VLOOKUP(AA449,'04_Status_Pipeline'!$B$3:$E$20,4,FALSE)),""))</t>
        </is>
      </c>
      <c r="AE449" s="32" t="inlineStr">
        <is>
          <t>IF(E449="","",IF(OR(Y449="Cancelled",AA449="Cancelled"),"Cancelled",IF(OR(AA449="Completed / Handover",W449&lt;&gt;"",X449&gt;=100),"Completed — on track",IF(L449="Remaining",IF(S449="",IF(V449="","No planned date",IF(TODAY()&gt;V449,"Behind — past planned date",IF(V449-TODAY()&lt;=30,"At risk — close to off track","On track"))),IF(TODAY()&gt;S449,"Behind — award date passed",IF(S449-TODAY()&lt;=30,"At risk — close to off track","On track"))),IF(V449="","No planned date",IF(AND(TODAY()&gt;V449,OR(X449="",X449&lt;100)),"Behind — past end date",IF(AND(R449&lt;&gt;"",V449&lt;&gt;"",X449&lt;&gt;"",(X449&lt;100),((TODAY()-R449)/MAX(V449-R449,1)*100)-X449&gt;15),"Behind — progress lag",IF(AND(V449-TODAY()&lt;=30,V449-TODAY()&gt;=0,OR(X449="",X449&lt;90)),"At risk — close to off track","On track"))))))))</t>
        </is>
      </c>
      <c r="AF449" s="38" t="inlineStr">
        <is>
          <t>IF(OR(E449="",AA449="Completed / Handover",AA449="Cancelled"),"",IF(L449="Remaining",IF(S449&lt;&gt;"",S449-TODAY(),IF(V449="","",V449-TODAY())),IF(V449="","",V449-TODAY())))</t>
        </is>
      </c>
      <c r="AG449" s="44" t="n"/>
      <c r="AH449" s="44" t="n"/>
      <c r="AI449" s="44" t="n"/>
      <c r="AJ449" s="44" t="n"/>
      <c r="AK449" s="44" t="n"/>
      <c r="AL449" s="44" t="n"/>
      <c r="AM449" s="44" t="n"/>
      <c r="AN449" s="44" t="n"/>
      <c r="AO449" s="44" t="n"/>
      <c r="AP449" s="44" t="n"/>
      <c r="AQ449" s="44" t="n"/>
      <c r="AR449" s="40" t="n"/>
      <c r="AS449" s="40" t="n"/>
      <c r="AT449" s="40" t="n"/>
      <c r="AU449" s="38" t="inlineStr">
        <is>
          <t>IF(OR(E449="",AH449=""),"",IF(COUNT(AG449:AG449)=0,"",AH449-LOOKUP(2,1/(AG449:AG449&lt;&gt;""),AG449:AG449)))</t>
        </is>
      </c>
      <c r="AV449" s="38" t="inlineStr">
        <is>
          <t>IF(OR(E449="",AI449=""),"",IF(COUNT(AG449:AH449)=0,"",AI449-LOOKUP(2,1/(AG449:AH449&lt;&gt;""),AG449:AH449)))</t>
        </is>
      </c>
      <c r="AW449" s="38" t="inlineStr">
        <is>
          <t>IF(OR(E449="",AJ449=""),"",IF(COUNT(AG449:AI449)=0,"",AJ449-LOOKUP(2,1/(AG449:AI449&lt;&gt;""),AG449:AI449)))</t>
        </is>
      </c>
      <c r="AX449" s="38" t="inlineStr">
        <is>
          <t>IF(OR(E449="",AK449=""),"",IF(COUNT(AG449:AJ449)=0,"",AK449-LOOKUP(2,1/(AG449:AJ449&lt;&gt;""),AG449:AJ449)))</t>
        </is>
      </c>
      <c r="AY449" s="38" t="inlineStr">
        <is>
          <t>IF(OR(E449="",AL449=""),"",IF(COUNT(AG449:AK449)=0,"",AL449-LOOKUP(2,1/(AG449:AK449&lt;&gt;""),AG449:AK449)))</t>
        </is>
      </c>
      <c r="AZ449" s="38" t="inlineStr">
        <is>
          <t>IF(OR(E449="",AM449=""),"",IF(COUNT(AG449:AL449)=0,"",AM449-LOOKUP(2,1/(AG449:AL449&lt;&gt;""),AG449:AL449)))</t>
        </is>
      </c>
      <c r="BA449" s="38" t="inlineStr">
        <is>
          <t>IF(OR(E449="",AN449=""),"",IF(COUNT(AG449:AM449)=0,"",AN449-LOOKUP(2,1/(AG449:AM449&lt;&gt;""),AG449:AM449)))</t>
        </is>
      </c>
      <c r="BB449" s="38" t="inlineStr">
        <is>
          <t>IF(OR(E449="",AO449=""),"",IF(COUNT(AG449:AN449)=0,"",AO449-LOOKUP(2,1/(AG449:AN449&lt;&gt;""),AG449:AN449)))</t>
        </is>
      </c>
      <c r="BC449" s="38" t="inlineStr">
        <is>
          <t>IF(OR(E449="",AP449=""),"",IF(COUNT(AG449:AO449)=0,"",AP449-LOOKUP(2,1/(AG449:AO449&lt;&gt;""),AG449:AO449)))</t>
        </is>
      </c>
      <c r="BD449" s="38" t="inlineStr">
        <is>
          <t>IF(OR(E449="",AQ449=""),"",IF(COUNT(AG449:AP449)=0,"",AQ449-LOOKUP(2,1/(AG449:AP449&lt;&gt;""),AG449:AP449)))</t>
        </is>
      </c>
      <c r="BE449" s="38" t="inlineStr">
        <is>
          <t>IF(OR(E449="",AR449=""),"",IF(COUNT(AG449:AQ449)=0,"",AR449-LOOKUP(2,1/(AG449:AQ449&lt;&gt;""),AG449:AQ449)))</t>
        </is>
      </c>
      <c r="BF449" s="38" t="inlineStr">
        <is>
          <t>IF(OR(E449="",AS449=""),"",IF(COUNT(AG449:AR449)=0,"",AS449-LOOKUP(2,1/(AG449:AR449&lt;&gt;""),AG449:AR449)))</t>
        </is>
      </c>
      <c r="BG449" s="38" t="inlineStr">
        <is>
          <t>IF(OR(E449="",AT449=""),"",IF(COUNT(AG449:AS449)=0,"",AT449-LOOKUP(2,1/(AG449:AS449&lt;&gt;""),AG449:AS449)))</t>
        </is>
      </c>
      <c r="BH449" s="41" t="inlineStr">
        <is>
          <t>IF(G449="","All_Provinces",IFERROR(VLOOKUP(G449,'07_Lookups'!$A$4:$B$20,2,FALSE),"All_Provinces"))</t>
        </is>
      </c>
      <c r="BI449" s="41" t="inlineStr">
        <is>
          <t>IF(H449="","All_Districts",IFERROR(VLOOKUP(H449,'07_Lookups'!$E$4:$F$42,2,FALSE),"All_Districts"))</t>
        </is>
      </c>
    </row>
    <row r="450" ht="18" customHeight="1">
      <c r="A450" s="32" t="inlineStr">
        <is>
          <t>IF(E450="","",ROW()-3)</t>
        </is>
      </c>
      <c r="B450" s="33" t="n"/>
      <c r="C450" s="33" t="n"/>
      <c r="D450" s="33" t="n"/>
      <c r="E450" s="33" t="n"/>
      <c r="F450" s="33" t="n"/>
      <c r="G450" s="33" t="n"/>
      <c r="H450" s="33" t="n"/>
      <c r="I450" s="33" t="n"/>
      <c r="J450" s="33" t="n"/>
      <c r="K450" s="33" t="n"/>
      <c r="L450" s="33" t="n"/>
      <c r="M450" s="33" t="n"/>
      <c r="N450" s="33" t="n"/>
      <c r="O450" s="33" t="n"/>
      <c r="P450" s="33" t="n"/>
      <c r="Q450" s="34" t="n"/>
      <c r="R450" s="35" t="inlineStr">
        <is>
          <t>IF(AO450="","",AO450)</t>
        </is>
      </c>
      <c r="S450" s="36" t="n"/>
      <c r="T450" s="37" t="n"/>
      <c r="U450" s="36" t="n"/>
      <c r="V450" s="35" t="inlineStr">
        <is>
          <t>IF(U450&lt;&gt;"",U450,IF(OR(R450="",T450=""),"",EDATE(R450,T450)))</t>
        </is>
      </c>
      <c r="W450" s="36" t="n"/>
      <c r="X450" s="37" t="n"/>
      <c r="Y450" s="33" t="n"/>
      <c r="Z450" s="33" t="n"/>
      <c r="AA450" s="32" t="inlineStr">
        <is>
          <t>IF(E450="","",IF(COUNT(AG450:AT450)=0,IF(Y450="","Not started",Y450),SUBSTITUTE(LOOKUP(2,1/(AG450:AT450&lt;&gt;""),$AG$3:$AT$3),"Date: ","")))</t>
        </is>
      </c>
      <c r="AB450" s="38" t="inlineStr">
        <is>
          <t>IF(OR(E450="",COUNT(AG450:AT450)=0),"",TODAY()-LOOKUP(2,1/(AG450:AT450&lt;&gt;""),AG450:AT450))</t>
        </is>
      </c>
      <c r="AC450" s="38" t="inlineStr">
        <is>
          <t>IF(OR(E450="",COUNT(AG450:AT450)&lt;2),"",LOOKUP(2,1/(AG450:AT450&lt;&gt;""),AG450:AT450)-MIN(AG450:AT450))</t>
        </is>
      </c>
      <c r="AD450" s="38" t="inlineStr">
        <is>
          <t>IF(OR(AB450="",AA450="Not started",AA450=""),"",IFERROR(AB450-IF(VLOOKUP(AA450,'04_Status_Pipeline'!$B$3:$E$20,4,FALSE)="",0,VLOOKUP(AA450,'04_Status_Pipeline'!$B$3:$E$20,4,FALSE)),""))</t>
        </is>
      </c>
      <c r="AE450" s="32" t="inlineStr">
        <is>
          <t>IF(E450="","",IF(OR(Y450="Cancelled",AA450="Cancelled"),"Cancelled",IF(OR(AA450="Completed / Handover",W450&lt;&gt;"",X450&gt;=100),"Completed — on track",IF(L450="Remaining",IF(S450="",IF(V450="","No planned date",IF(TODAY()&gt;V450,"Behind — past planned date",IF(V450-TODAY()&lt;=30,"At risk — close to off track","On track"))),IF(TODAY()&gt;S450,"Behind — award date passed",IF(S450-TODAY()&lt;=30,"At risk — close to off track","On track"))),IF(V450="","No planned date",IF(AND(TODAY()&gt;V450,OR(X450="",X450&lt;100)),"Behind — past end date",IF(AND(R450&lt;&gt;"",V450&lt;&gt;"",X450&lt;&gt;"",(X450&lt;100),((TODAY()-R450)/MAX(V450-R450,1)*100)-X450&gt;15),"Behind — progress lag",IF(AND(V450-TODAY()&lt;=30,V450-TODAY()&gt;=0,OR(X450="",X450&lt;90)),"At risk — close to off track","On track"))))))))</t>
        </is>
      </c>
      <c r="AF450" s="38" t="inlineStr">
        <is>
          <t>IF(OR(E450="",AA450="Completed / Handover",AA450="Cancelled"),"",IF(L450="Remaining",IF(S450&lt;&gt;"",S450-TODAY(),IF(V450="","",V450-TODAY())),IF(V450="","",V450-TODAY())))</t>
        </is>
      </c>
      <c r="AG450" s="36" t="n"/>
      <c r="AH450" s="36" t="n"/>
      <c r="AI450" s="36" t="n"/>
      <c r="AJ450" s="36" t="n"/>
      <c r="AK450" s="36" t="n"/>
      <c r="AL450" s="36" t="n"/>
      <c r="AM450" s="36" t="n"/>
      <c r="AN450" s="36" t="n"/>
      <c r="AO450" s="36" t="n"/>
      <c r="AP450" s="36" t="n"/>
      <c r="AQ450" s="36" t="n"/>
      <c r="AR450" s="40" t="n"/>
      <c r="AS450" s="40" t="n"/>
      <c r="AT450" s="40" t="n"/>
      <c r="AU450" s="38" t="inlineStr">
        <is>
          <t>IF(OR(E450="",AH450=""),"",IF(COUNT(AG450:AG450)=0,"",AH450-LOOKUP(2,1/(AG450:AG450&lt;&gt;""),AG450:AG450)))</t>
        </is>
      </c>
      <c r="AV450" s="38" t="inlineStr">
        <is>
          <t>IF(OR(E450="",AI450=""),"",IF(COUNT(AG450:AH450)=0,"",AI450-LOOKUP(2,1/(AG450:AH450&lt;&gt;""),AG450:AH450)))</t>
        </is>
      </c>
      <c r="AW450" s="38" t="inlineStr">
        <is>
          <t>IF(OR(E450="",AJ450=""),"",IF(COUNT(AG450:AI450)=0,"",AJ450-LOOKUP(2,1/(AG450:AI450&lt;&gt;""),AG450:AI450)))</t>
        </is>
      </c>
      <c r="AX450" s="38" t="inlineStr">
        <is>
          <t>IF(OR(E450="",AK450=""),"",IF(COUNT(AG450:AJ450)=0,"",AK450-LOOKUP(2,1/(AG450:AJ450&lt;&gt;""),AG450:AJ450)))</t>
        </is>
      </c>
      <c r="AY450" s="38" t="inlineStr">
        <is>
          <t>IF(OR(E450="",AL450=""),"",IF(COUNT(AG450:AK450)=0,"",AL450-LOOKUP(2,1/(AG450:AK450&lt;&gt;""),AG450:AK450)))</t>
        </is>
      </c>
      <c r="AZ450" s="38" t="inlineStr">
        <is>
          <t>IF(OR(E450="",AM450=""),"",IF(COUNT(AG450:AL450)=0,"",AM450-LOOKUP(2,1/(AG450:AL450&lt;&gt;""),AG450:AL450)))</t>
        </is>
      </c>
      <c r="BA450" s="38" t="inlineStr">
        <is>
          <t>IF(OR(E450="",AN450=""),"",IF(COUNT(AG450:AM450)=0,"",AN450-LOOKUP(2,1/(AG450:AM450&lt;&gt;""),AG450:AM450)))</t>
        </is>
      </c>
      <c r="BB450" s="38" t="inlineStr">
        <is>
          <t>IF(OR(E450="",AO450=""),"",IF(COUNT(AG450:AN450)=0,"",AO450-LOOKUP(2,1/(AG450:AN450&lt;&gt;""),AG450:AN450)))</t>
        </is>
      </c>
      <c r="BC450" s="38" t="inlineStr">
        <is>
          <t>IF(OR(E450="",AP450=""),"",IF(COUNT(AG450:AO450)=0,"",AP450-LOOKUP(2,1/(AG450:AO450&lt;&gt;""),AG450:AO450)))</t>
        </is>
      </c>
      <c r="BD450" s="38" t="inlineStr">
        <is>
          <t>IF(OR(E450="",AQ450=""),"",IF(COUNT(AG450:AP450)=0,"",AQ450-LOOKUP(2,1/(AG450:AP450&lt;&gt;""),AG450:AP450)))</t>
        </is>
      </c>
      <c r="BE450" s="38" t="inlineStr">
        <is>
          <t>IF(OR(E450="",AR450=""),"",IF(COUNT(AG450:AQ450)=0,"",AR450-LOOKUP(2,1/(AG450:AQ450&lt;&gt;""),AG450:AQ450)))</t>
        </is>
      </c>
      <c r="BF450" s="38" t="inlineStr">
        <is>
          <t>IF(OR(E450="",AS450=""),"",IF(COUNT(AG450:AR450)=0,"",AS450-LOOKUP(2,1/(AG450:AR450&lt;&gt;""),AG450:AR450)))</t>
        </is>
      </c>
      <c r="BG450" s="38" t="inlineStr">
        <is>
          <t>IF(OR(E450="",AT450=""),"",IF(COUNT(AG450:AS450)=0,"",AT450-LOOKUP(2,1/(AG450:AS450&lt;&gt;""),AG450:AS450)))</t>
        </is>
      </c>
      <c r="BH450" s="41" t="inlineStr">
        <is>
          <t>IF(G450="","All_Provinces",IFERROR(VLOOKUP(G450,'07_Lookups'!$A$4:$B$20,2,FALSE),"All_Provinces"))</t>
        </is>
      </c>
      <c r="BI450" s="41" t="inlineStr">
        <is>
          <t>IF(H450="","All_Districts",IFERROR(VLOOKUP(H450,'07_Lookups'!$E$4:$F$42,2,FALSE),"All_Districts"))</t>
        </is>
      </c>
    </row>
    <row r="451" ht="18" customHeight="1">
      <c r="A451" s="32" t="inlineStr">
        <is>
          <t>IF(E451="","",ROW()-3)</t>
        </is>
      </c>
      <c r="B451" s="42" t="n"/>
      <c r="C451" s="42" t="n"/>
      <c r="D451" s="42" t="n"/>
      <c r="E451" s="42" t="n"/>
      <c r="F451" s="42" t="n"/>
      <c r="G451" s="42" t="n"/>
      <c r="H451" s="42" t="n"/>
      <c r="I451" s="42" t="n"/>
      <c r="J451" s="42" t="n"/>
      <c r="K451" s="42" t="n"/>
      <c r="L451" s="42" t="n"/>
      <c r="M451" s="42" t="n"/>
      <c r="N451" s="42" t="n"/>
      <c r="O451" s="42" t="n"/>
      <c r="P451" s="42" t="n"/>
      <c r="Q451" s="43" t="n"/>
      <c r="R451" s="35" t="inlineStr">
        <is>
          <t>IF(AO451="","",AO451)</t>
        </is>
      </c>
      <c r="S451" s="44" t="n"/>
      <c r="T451" s="45" t="n"/>
      <c r="U451" s="44" t="n"/>
      <c r="V451" s="35" t="inlineStr">
        <is>
          <t>IF(U451&lt;&gt;"",U451,IF(OR(R451="",T451=""),"",EDATE(R451,T451)))</t>
        </is>
      </c>
      <c r="W451" s="44" t="n"/>
      <c r="X451" s="45" t="n"/>
      <c r="Y451" s="42" t="n"/>
      <c r="Z451" s="42" t="n"/>
      <c r="AA451" s="32" t="inlineStr">
        <is>
          <t>IF(E451="","",IF(COUNT(AG451:AT451)=0,IF(Y451="","Not started",Y451),SUBSTITUTE(LOOKUP(2,1/(AG451:AT451&lt;&gt;""),$AG$3:$AT$3),"Date: ","")))</t>
        </is>
      </c>
      <c r="AB451" s="38" t="inlineStr">
        <is>
          <t>IF(OR(E451="",COUNT(AG451:AT451)=0),"",TODAY()-LOOKUP(2,1/(AG451:AT451&lt;&gt;""),AG451:AT451))</t>
        </is>
      </c>
      <c r="AC451" s="38" t="inlineStr">
        <is>
          <t>IF(OR(E451="",COUNT(AG451:AT451)&lt;2),"",LOOKUP(2,1/(AG451:AT451&lt;&gt;""),AG451:AT451)-MIN(AG451:AT451))</t>
        </is>
      </c>
      <c r="AD451" s="38" t="inlineStr">
        <is>
          <t>IF(OR(AB451="",AA451="Not started",AA451=""),"",IFERROR(AB451-IF(VLOOKUP(AA451,'04_Status_Pipeline'!$B$3:$E$20,4,FALSE)="",0,VLOOKUP(AA451,'04_Status_Pipeline'!$B$3:$E$20,4,FALSE)),""))</t>
        </is>
      </c>
      <c r="AE451" s="32" t="inlineStr">
        <is>
          <t>IF(E451="","",IF(OR(Y451="Cancelled",AA451="Cancelled"),"Cancelled",IF(OR(AA451="Completed / Handover",W451&lt;&gt;"",X451&gt;=100),"Completed — on track",IF(L451="Remaining",IF(S451="",IF(V451="","No planned date",IF(TODAY()&gt;V451,"Behind — past planned date",IF(V451-TODAY()&lt;=30,"At risk — close to off track","On track"))),IF(TODAY()&gt;S451,"Behind — award date passed",IF(S451-TODAY()&lt;=30,"At risk — close to off track","On track"))),IF(V451="","No planned date",IF(AND(TODAY()&gt;V451,OR(X451="",X451&lt;100)),"Behind — past end date",IF(AND(R451&lt;&gt;"",V451&lt;&gt;"",X451&lt;&gt;"",(X451&lt;100),((TODAY()-R451)/MAX(V451-R451,1)*100)-X451&gt;15),"Behind — progress lag",IF(AND(V451-TODAY()&lt;=30,V451-TODAY()&gt;=0,OR(X451="",X451&lt;90)),"At risk — close to off track","On track"))))))))</t>
        </is>
      </c>
      <c r="AF451" s="38" t="inlineStr">
        <is>
          <t>IF(OR(E451="",AA451="Completed / Handover",AA451="Cancelled"),"",IF(L451="Remaining",IF(S451&lt;&gt;"",S451-TODAY(),IF(V451="","",V451-TODAY())),IF(V451="","",V451-TODAY())))</t>
        </is>
      </c>
      <c r="AG451" s="44" t="n"/>
      <c r="AH451" s="44" t="n"/>
      <c r="AI451" s="44" t="n"/>
      <c r="AJ451" s="44" t="n"/>
      <c r="AK451" s="44" t="n"/>
      <c r="AL451" s="44" t="n"/>
      <c r="AM451" s="44" t="n"/>
      <c r="AN451" s="44" t="n"/>
      <c r="AO451" s="44" t="n"/>
      <c r="AP451" s="44" t="n"/>
      <c r="AQ451" s="44" t="n"/>
      <c r="AR451" s="40" t="n"/>
      <c r="AS451" s="40" t="n"/>
      <c r="AT451" s="40" t="n"/>
      <c r="AU451" s="38" t="inlineStr">
        <is>
          <t>IF(OR(E451="",AH451=""),"",IF(COUNT(AG451:AG451)=0,"",AH451-LOOKUP(2,1/(AG451:AG451&lt;&gt;""),AG451:AG451)))</t>
        </is>
      </c>
      <c r="AV451" s="38" t="inlineStr">
        <is>
          <t>IF(OR(E451="",AI451=""),"",IF(COUNT(AG451:AH451)=0,"",AI451-LOOKUP(2,1/(AG451:AH451&lt;&gt;""),AG451:AH451)))</t>
        </is>
      </c>
      <c r="AW451" s="38" t="inlineStr">
        <is>
          <t>IF(OR(E451="",AJ451=""),"",IF(COUNT(AG451:AI451)=0,"",AJ451-LOOKUP(2,1/(AG451:AI451&lt;&gt;""),AG451:AI451)))</t>
        </is>
      </c>
      <c r="AX451" s="38" t="inlineStr">
        <is>
          <t>IF(OR(E451="",AK451=""),"",IF(COUNT(AG451:AJ451)=0,"",AK451-LOOKUP(2,1/(AG451:AJ451&lt;&gt;""),AG451:AJ451)))</t>
        </is>
      </c>
      <c r="AY451" s="38" t="inlineStr">
        <is>
          <t>IF(OR(E451="",AL451=""),"",IF(COUNT(AG451:AK451)=0,"",AL451-LOOKUP(2,1/(AG451:AK451&lt;&gt;""),AG451:AK451)))</t>
        </is>
      </c>
      <c r="AZ451" s="38" t="inlineStr">
        <is>
          <t>IF(OR(E451="",AM451=""),"",IF(COUNT(AG451:AL451)=0,"",AM451-LOOKUP(2,1/(AG451:AL451&lt;&gt;""),AG451:AL451)))</t>
        </is>
      </c>
      <c r="BA451" s="38" t="inlineStr">
        <is>
          <t>IF(OR(E451="",AN451=""),"",IF(COUNT(AG451:AM451)=0,"",AN451-LOOKUP(2,1/(AG451:AM451&lt;&gt;""),AG451:AM451)))</t>
        </is>
      </c>
      <c r="BB451" s="38" t="inlineStr">
        <is>
          <t>IF(OR(E451="",AO451=""),"",IF(COUNT(AG451:AN451)=0,"",AO451-LOOKUP(2,1/(AG451:AN451&lt;&gt;""),AG451:AN451)))</t>
        </is>
      </c>
      <c r="BC451" s="38" t="inlineStr">
        <is>
          <t>IF(OR(E451="",AP451=""),"",IF(COUNT(AG451:AO451)=0,"",AP451-LOOKUP(2,1/(AG451:AO451&lt;&gt;""),AG451:AO451)))</t>
        </is>
      </c>
      <c r="BD451" s="38" t="inlineStr">
        <is>
          <t>IF(OR(E451="",AQ451=""),"",IF(COUNT(AG451:AP451)=0,"",AQ451-LOOKUP(2,1/(AG451:AP451&lt;&gt;""),AG451:AP451)))</t>
        </is>
      </c>
      <c r="BE451" s="38" t="inlineStr">
        <is>
          <t>IF(OR(E451="",AR451=""),"",IF(COUNT(AG451:AQ451)=0,"",AR451-LOOKUP(2,1/(AG451:AQ451&lt;&gt;""),AG451:AQ451)))</t>
        </is>
      </c>
      <c r="BF451" s="38" t="inlineStr">
        <is>
          <t>IF(OR(E451="",AS451=""),"",IF(COUNT(AG451:AR451)=0,"",AS451-LOOKUP(2,1/(AG451:AR451&lt;&gt;""),AG451:AR451)))</t>
        </is>
      </c>
      <c r="BG451" s="38" t="inlineStr">
        <is>
          <t>IF(OR(E451="",AT451=""),"",IF(COUNT(AG451:AS451)=0,"",AT451-LOOKUP(2,1/(AG451:AS451&lt;&gt;""),AG451:AS451)))</t>
        </is>
      </c>
      <c r="BH451" s="41" t="inlineStr">
        <is>
          <t>IF(G451="","All_Provinces",IFERROR(VLOOKUP(G451,'07_Lookups'!$A$4:$B$20,2,FALSE),"All_Provinces"))</t>
        </is>
      </c>
      <c r="BI451" s="41" t="inlineStr">
        <is>
          <t>IF(H451="","All_Districts",IFERROR(VLOOKUP(H451,'07_Lookups'!$E$4:$F$42,2,FALSE),"All_Districts"))</t>
        </is>
      </c>
    </row>
    <row r="452" ht="18" customHeight="1">
      <c r="A452" s="32" t="inlineStr">
        <is>
          <t>IF(E452="","",ROW()-3)</t>
        </is>
      </c>
      <c r="B452" s="33" t="n"/>
      <c r="C452" s="33" t="n"/>
      <c r="D452" s="33" t="n"/>
      <c r="E452" s="33" t="n"/>
      <c r="F452" s="33" t="n"/>
      <c r="G452" s="33" t="n"/>
      <c r="H452" s="33" t="n"/>
      <c r="I452" s="33" t="n"/>
      <c r="J452" s="33" t="n"/>
      <c r="K452" s="33" t="n"/>
      <c r="L452" s="33" t="n"/>
      <c r="M452" s="33" t="n"/>
      <c r="N452" s="33" t="n"/>
      <c r="O452" s="33" t="n"/>
      <c r="P452" s="33" t="n"/>
      <c r="Q452" s="34" t="n"/>
      <c r="R452" s="35" t="inlineStr">
        <is>
          <t>IF(AO452="","",AO452)</t>
        </is>
      </c>
      <c r="S452" s="36" t="n"/>
      <c r="T452" s="37" t="n"/>
      <c r="U452" s="36" t="n"/>
      <c r="V452" s="35" t="inlineStr">
        <is>
          <t>IF(U452&lt;&gt;"",U452,IF(OR(R452="",T452=""),"",EDATE(R452,T452)))</t>
        </is>
      </c>
      <c r="W452" s="36" t="n"/>
      <c r="X452" s="37" t="n"/>
      <c r="Y452" s="33" t="n"/>
      <c r="Z452" s="33" t="n"/>
      <c r="AA452" s="32" t="inlineStr">
        <is>
          <t>IF(E452="","",IF(COUNT(AG452:AT452)=0,IF(Y452="","Not started",Y452),SUBSTITUTE(LOOKUP(2,1/(AG452:AT452&lt;&gt;""),$AG$3:$AT$3),"Date: ","")))</t>
        </is>
      </c>
      <c r="AB452" s="38" t="inlineStr">
        <is>
          <t>IF(OR(E452="",COUNT(AG452:AT452)=0),"",TODAY()-LOOKUP(2,1/(AG452:AT452&lt;&gt;""),AG452:AT452))</t>
        </is>
      </c>
      <c r="AC452" s="38" t="inlineStr">
        <is>
          <t>IF(OR(E452="",COUNT(AG452:AT452)&lt;2),"",LOOKUP(2,1/(AG452:AT452&lt;&gt;""),AG452:AT452)-MIN(AG452:AT452))</t>
        </is>
      </c>
      <c r="AD452" s="38" t="inlineStr">
        <is>
          <t>IF(OR(AB452="",AA452="Not started",AA452=""),"",IFERROR(AB452-IF(VLOOKUP(AA452,'04_Status_Pipeline'!$B$3:$E$20,4,FALSE)="",0,VLOOKUP(AA452,'04_Status_Pipeline'!$B$3:$E$20,4,FALSE)),""))</t>
        </is>
      </c>
      <c r="AE452" s="32" t="inlineStr">
        <is>
          <t>IF(E452="","",IF(OR(Y452="Cancelled",AA452="Cancelled"),"Cancelled",IF(OR(AA452="Completed / Handover",W452&lt;&gt;"",X452&gt;=100),"Completed — on track",IF(L452="Remaining",IF(S452="",IF(V452="","No planned date",IF(TODAY()&gt;V452,"Behind — past planned date",IF(V452-TODAY()&lt;=30,"At risk — close to off track","On track"))),IF(TODAY()&gt;S452,"Behind — award date passed",IF(S452-TODAY()&lt;=30,"At risk — close to off track","On track"))),IF(V452="","No planned date",IF(AND(TODAY()&gt;V452,OR(X452="",X452&lt;100)),"Behind — past end date",IF(AND(R452&lt;&gt;"",V452&lt;&gt;"",X452&lt;&gt;"",(X452&lt;100),((TODAY()-R452)/MAX(V452-R452,1)*100)-X452&gt;15),"Behind — progress lag",IF(AND(V452-TODAY()&lt;=30,V452-TODAY()&gt;=0,OR(X452="",X452&lt;90)),"At risk — close to off track","On track"))))))))</t>
        </is>
      </c>
      <c r="AF452" s="38" t="inlineStr">
        <is>
          <t>IF(OR(E452="",AA452="Completed / Handover",AA452="Cancelled"),"",IF(L452="Remaining",IF(S452&lt;&gt;"",S452-TODAY(),IF(V452="","",V452-TODAY())),IF(V452="","",V452-TODAY())))</t>
        </is>
      </c>
      <c r="AG452" s="36" t="n"/>
      <c r="AH452" s="36" t="n"/>
      <c r="AI452" s="36" t="n"/>
      <c r="AJ452" s="36" t="n"/>
      <c r="AK452" s="36" t="n"/>
      <c r="AL452" s="36" t="n"/>
      <c r="AM452" s="36" t="n"/>
      <c r="AN452" s="36" t="n"/>
      <c r="AO452" s="36" t="n"/>
      <c r="AP452" s="36" t="n"/>
      <c r="AQ452" s="36" t="n"/>
      <c r="AR452" s="40" t="n"/>
      <c r="AS452" s="40" t="n"/>
      <c r="AT452" s="40" t="n"/>
      <c r="AU452" s="38" t="inlineStr">
        <is>
          <t>IF(OR(E452="",AH452=""),"",IF(COUNT(AG452:AG452)=0,"",AH452-LOOKUP(2,1/(AG452:AG452&lt;&gt;""),AG452:AG452)))</t>
        </is>
      </c>
      <c r="AV452" s="38" t="inlineStr">
        <is>
          <t>IF(OR(E452="",AI452=""),"",IF(COUNT(AG452:AH452)=0,"",AI452-LOOKUP(2,1/(AG452:AH452&lt;&gt;""),AG452:AH452)))</t>
        </is>
      </c>
      <c r="AW452" s="38" t="inlineStr">
        <is>
          <t>IF(OR(E452="",AJ452=""),"",IF(COUNT(AG452:AI452)=0,"",AJ452-LOOKUP(2,1/(AG452:AI452&lt;&gt;""),AG452:AI452)))</t>
        </is>
      </c>
      <c r="AX452" s="38" t="inlineStr">
        <is>
          <t>IF(OR(E452="",AK452=""),"",IF(COUNT(AG452:AJ452)=0,"",AK452-LOOKUP(2,1/(AG452:AJ452&lt;&gt;""),AG452:AJ452)))</t>
        </is>
      </c>
      <c r="AY452" s="38" t="inlineStr">
        <is>
          <t>IF(OR(E452="",AL452=""),"",IF(COUNT(AG452:AK452)=0,"",AL452-LOOKUP(2,1/(AG452:AK452&lt;&gt;""),AG452:AK452)))</t>
        </is>
      </c>
      <c r="AZ452" s="38" t="inlineStr">
        <is>
          <t>IF(OR(E452="",AM452=""),"",IF(COUNT(AG452:AL452)=0,"",AM452-LOOKUP(2,1/(AG452:AL452&lt;&gt;""),AG452:AL452)))</t>
        </is>
      </c>
      <c r="BA452" s="38" t="inlineStr">
        <is>
          <t>IF(OR(E452="",AN452=""),"",IF(COUNT(AG452:AM452)=0,"",AN452-LOOKUP(2,1/(AG452:AM452&lt;&gt;""),AG452:AM452)))</t>
        </is>
      </c>
      <c r="BB452" s="38" t="inlineStr">
        <is>
          <t>IF(OR(E452="",AO452=""),"",IF(COUNT(AG452:AN452)=0,"",AO452-LOOKUP(2,1/(AG452:AN452&lt;&gt;""),AG452:AN452)))</t>
        </is>
      </c>
      <c r="BC452" s="38" t="inlineStr">
        <is>
          <t>IF(OR(E452="",AP452=""),"",IF(COUNT(AG452:AO452)=0,"",AP452-LOOKUP(2,1/(AG452:AO452&lt;&gt;""),AG452:AO452)))</t>
        </is>
      </c>
      <c r="BD452" s="38" t="inlineStr">
        <is>
          <t>IF(OR(E452="",AQ452=""),"",IF(COUNT(AG452:AP452)=0,"",AQ452-LOOKUP(2,1/(AG452:AP452&lt;&gt;""),AG452:AP452)))</t>
        </is>
      </c>
      <c r="BE452" s="38" t="inlineStr">
        <is>
          <t>IF(OR(E452="",AR452=""),"",IF(COUNT(AG452:AQ452)=0,"",AR452-LOOKUP(2,1/(AG452:AQ452&lt;&gt;""),AG452:AQ452)))</t>
        </is>
      </c>
      <c r="BF452" s="38" t="inlineStr">
        <is>
          <t>IF(OR(E452="",AS452=""),"",IF(COUNT(AG452:AR452)=0,"",AS452-LOOKUP(2,1/(AG452:AR452&lt;&gt;""),AG452:AR452)))</t>
        </is>
      </c>
      <c r="BG452" s="38" t="inlineStr">
        <is>
          <t>IF(OR(E452="",AT452=""),"",IF(COUNT(AG452:AS452)=0,"",AT452-LOOKUP(2,1/(AG452:AS452&lt;&gt;""),AG452:AS452)))</t>
        </is>
      </c>
      <c r="BH452" s="41" t="inlineStr">
        <is>
          <t>IF(G452="","All_Provinces",IFERROR(VLOOKUP(G452,'07_Lookups'!$A$4:$B$20,2,FALSE),"All_Provinces"))</t>
        </is>
      </c>
      <c r="BI452" s="41" t="inlineStr">
        <is>
          <t>IF(H452="","All_Districts",IFERROR(VLOOKUP(H452,'07_Lookups'!$E$4:$F$42,2,FALSE),"All_Districts"))</t>
        </is>
      </c>
    </row>
    <row r="453" ht="18" customHeight="1">
      <c r="A453" s="32" t="inlineStr">
        <is>
          <t>IF(E453="","",ROW()-3)</t>
        </is>
      </c>
      <c r="B453" s="42" t="n"/>
      <c r="C453" s="42" t="n"/>
      <c r="D453" s="42" t="n"/>
      <c r="E453" s="42" t="n"/>
      <c r="F453" s="42" t="n"/>
      <c r="G453" s="42" t="n"/>
      <c r="H453" s="42" t="n"/>
      <c r="I453" s="42" t="n"/>
      <c r="J453" s="42" t="n"/>
      <c r="K453" s="42" t="n"/>
      <c r="L453" s="42" t="n"/>
      <c r="M453" s="42" t="n"/>
      <c r="N453" s="42" t="n"/>
      <c r="O453" s="42" t="n"/>
      <c r="P453" s="42" t="n"/>
      <c r="Q453" s="43" t="n"/>
      <c r="R453" s="35" t="inlineStr">
        <is>
          <t>IF(AO453="","",AO453)</t>
        </is>
      </c>
      <c r="S453" s="44" t="n"/>
      <c r="T453" s="45" t="n"/>
      <c r="U453" s="44" t="n"/>
      <c r="V453" s="35" t="inlineStr">
        <is>
          <t>IF(U453&lt;&gt;"",U453,IF(OR(R453="",T453=""),"",EDATE(R453,T453)))</t>
        </is>
      </c>
      <c r="W453" s="44" t="n"/>
      <c r="X453" s="45" t="n"/>
      <c r="Y453" s="42" t="n"/>
      <c r="Z453" s="42" t="n"/>
      <c r="AA453" s="32" t="inlineStr">
        <is>
          <t>IF(E453="","",IF(COUNT(AG453:AT453)=0,IF(Y453="","Not started",Y453),SUBSTITUTE(LOOKUP(2,1/(AG453:AT453&lt;&gt;""),$AG$3:$AT$3),"Date: ","")))</t>
        </is>
      </c>
      <c r="AB453" s="38" t="inlineStr">
        <is>
          <t>IF(OR(E453="",COUNT(AG453:AT453)=0),"",TODAY()-LOOKUP(2,1/(AG453:AT453&lt;&gt;""),AG453:AT453))</t>
        </is>
      </c>
      <c r="AC453" s="38" t="inlineStr">
        <is>
          <t>IF(OR(E453="",COUNT(AG453:AT453)&lt;2),"",LOOKUP(2,1/(AG453:AT453&lt;&gt;""),AG453:AT453)-MIN(AG453:AT453))</t>
        </is>
      </c>
      <c r="AD453" s="38" t="inlineStr">
        <is>
          <t>IF(OR(AB453="",AA453="Not started",AA453=""),"",IFERROR(AB453-IF(VLOOKUP(AA453,'04_Status_Pipeline'!$B$3:$E$20,4,FALSE)="",0,VLOOKUP(AA453,'04_Status_Pipeline'!$B$3:$E$20,4,FALSE)),""))</t>
        </is>
      </c>
      <c r="AE453" s="32" t="inlineStr">
        <is>
          <t>IF(E453="","",IF(OR(Y453="Cancelled",AA453="Cancelled"),"Cancelled",IF(OR(AA453="Completed / Handover",W453&lt;&gt;"",X453&gt;=100),"Completed — on track",IF(L453="Remaining",IF(S453="",IF(V453="","No planned date",IF(TODAY()&gt;V453,"Behind — past planned date",IF(V453-TODAY()&lt;=30,"At risk — close to off track","On track"))),IF(TODAY()&gt;S453,"Behind — award date passed",IF(S453-TODAY()&lt;=30,"At risk — close to off track","On track"))),IF(V453="","No planned date",IF(AND(TODAY()&gt;V453,OR(X453="",X453&lt;100)),"Behind — past end date",IF(AND(R453&lt;&gt;"",V453&lt;&gt;"",X453&lt;&gt;"",(X453&lt;100),((TODAY()-R453)/MAX(V453-R453,1)*100)-X453&gt;15),"Behind — progress lag",IF(AND(V453-TODAY()&lt;=30,V453-TODAY()&gt;=0,OR(X453="",X453&lt;90)),"At risk — close to off track","On track"))))))))</t>
        </is>
      </c>
      <c r="AF453" s="38" t="inlineStr">
        <is>
          <t>IF(OR(E453="",AA453="Completed / Handover",AA453="Cancelled"),"",IF(L453="Remaining",IF(S453&lt;&gt;"",S453-TODAY(),IF(V453="","",V453-TODAY())),IF(V453="","",V453-TODAY())))</t>
        </is>
      </c>
      <c r="AG453" s="44" t="n"/>
      <c r="AH453" s="44" t="n"/>
      <c r="AI453" s="44" t="n"/>
      <c r="AJ453" s="44" t="n"/>
      <c r="AK453" s="44" t="n"/>
      <c r="AL453" s="44" t="n"/>
      <c r="AM453" s="44" t="n"/>
      <c r="AN453" s="44" t="n"/>
      <c r="AO453" s="44" t="n"/>
      <c r="AP453" s="44" t="n"/>
      <c r="AQ453" s="44" t="n"/>
      <c r="AR453" s="40" t="n"/>
      <c r="AS453" s="40" t="n"/>
      <c r="AT453" s="40" t="n"/>
      <c r="AU453" s="38" t="inlineStr">
        <is>
          <t>IF(OR(E453="",AH453=""),"",IF(COUNT(AG453:AG453)=0,"",AH453-LOOKUP(2,1/(AG453:AG453&lt;&gt;""),AG453:AG453)))</t>
        </is>
      </c>
      <c r="AV453" s="38" t="inlineStr">
        <is>
          <t>IF(OR(E453="",AI453=""),"",IF(COUNT(AG453:AH453)=0,"",AI453-LOOKUP(2,1/(AG453:AH453&lt;&gt;""),AG453:AH453)))</t>
        </is>
      </c>
      <c r="AW453" s="38" t="inlineStr">
        <is>
          <t>IF(OR(E453="",AJ453=""),"",IF(COUNT(AG453:AI453)=0,"",AJ453-LOOKUP(2,1/(AG453:AI453&lt;&gt;""),AG453:AI453)))</t>
        </is>
      </c>
      <c r="AX453" s="38" t="inlineStr">
        <is>
          <t>IF(OR(E453="",AK453=""),"",IF(COUNT(AG453:AJ453)=0,"",AK453-LOOKUP(2,1/(AG453:AJ453&lt;&gt;""),AG453:AJ453)))</t>
        </is>
      </c>
      <c r="AY453" s="38" t="inlineStr">
        <is>
          <t>IF(OR(E453="",AL453=""),"",IF(COUNT(AG453:AK453)=0,"",AL453-LOOKUP(2,1/(AG453:AK453&lt;&gt;""),AG453:AK453)))</t>
        </is>
      </c>
      <c r="AZ453" s="38" t="inlineStr">
        <is>
          <t>IF(OR(E453="",AM453=""),"",IF(COUNT(AG453:AL453)=0,"",AM453-LOOKUP(2,1/(AG453:AL453&lt;&gt;""),AG453:AL453)))</t>
        </is>
      </c>
      <c r="BA453" s="38" t="inlineStr">
        <is>
          <t>IF(OR(E453="",AN453=""),"",IF(COUNT(AG453:AM453)=0,"",AN453-LOOKUP(2,1/(AG453:AM453&lt;&gt;""),AG453:AM453)))</t>
        </is>
      </c>
      <c r="BB453" s="38" t="inlineStr">
        <is>
          <t>IF(OR(E453="",AO453=""),"",IF(COUNT(AG453:AN453)=0,"",AO453-LOOKUP(2,1/(AG453:AN453&lt;&gt;""),AG453:AN453)))</t>
        </is>
      </c>
      <c r="BC453" s="38" t="inlineStr">
        <is>
          <t>IF(OR(E453="",AP453=""),"",IF(COUNT(AG453:AO453)=0,"",AP453-LOOKUP(2,1/(AG453:AO453&lt;&gt;""),AG453:AO453)))</t>
        </is>
      </c>
      <c r="BD453" s="38" t="inlineStr">
        <is>
          <t>IF(OR(E453="",AQ453=""),"",IF(COUNT(AG453:AP453)=0,"",AQ453-LOOKUP(2,1/(AG453:AP453&lt;&gt;""),AG453:AP453)))</t>
        </is>
      </c>
      <c r="BE453" s="38" t="inlineStr">
        <is>
          <t>IF(OR(E453="",AR453=""),"",IF(COUNT(AG453:AQ453)=0,"",AR453-LOOKUP(2,1/(AG453:AQ453&lt;&gt;""),AG453:AQ453)))</t>
        </is>
      </c>
      <c r="BF453" s="38" t="inlineStr">
        <is>
          <t>IF(OR(E453="",AS453=""),"",IF(COUNT(AG453:AR453)=0,"",AS453-LOOKUP(2,1/(AG453:AR453&lt;&gt;""),AG453:AR453)))</t>
        </is>
      </c>
      <c r="BG453" s="38" t="inlineStr">
        <is>
          <t>IF(OR(E453="",AT453=""),"",IF(COUNT(AG453:AS453)=0,"",AT453-LOOKUP(2,1/(AG453:AS453&lt;&gt;""),AG453:AS453)))</t>
        </is>
      </c>
      <c r="BH453" s="41" t="inlineStr">
        <is>
          <t>IF(G453="","All_Provinces",IFERROR(VLOOKUP(G453,'07_Lookups'!$A$4:$B$20,2,FALSE),"All_Provinces"))</t>
        </is>
      </c>
      <c r="BI453" s="41" t="inlineStr">
        <is>
          <t>IF(H453="","All_Districts",IFERROR(VLOOKUP(H453,'07_Lookups'!$E$4:$F$42,2,FALSE),"All_Districts"))</t>
        </is>
      </c>
    </row>
  </sheetData>
  <autoFilter ref="A3:BG453"/>
  <mergeCells count="6">
    <mergeCell ref="O2:Z2"/>
    <mergeCell ref="AA2:AF2"/>
    <mergeCell ref="AU2:BG2"/>
    <mergeCell ref="A1:BI1"/>
    <mergeCell ref="A2:N2"/>
    <mergeCell ref="AG2:AT2"/>
  </mergeCells>
  <conditionalFormatting sqref="AA4:AA45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"PR to be Raised"</formula>
    </cfRule>
    <cfRule type="cellIs" priority="5" operator="equal" dxfId="4">
      <formula>"ITB Launched"</formula>
    </cfRule>
    <cfRule type="cellIs" priority="6" operator="equal" dxfId="4">
      <formula>"Retendered (Re-ITB)"</formula>
    </cfRule>
    <cfRule type="cellIs" priority="7" operator="equal" dxfId="5">
      <formula>"Under Technical Evaluation"</formula>
    </cfRule>
    <cfRule type="cellIs" priority="8" operator="equal" dxfId="6">
      <formula>"Under Awarding"</formula>
    </cfRule>
    <cfRule type="cellIs" priority="9" operator="equal" dxfId="7">
      <formula>"Awarded"</formula>
    </cfRule>
    <cfRule type="cellIs" priority="10" operator="equal" dxfId="8">
      <formula>"Under Construction"</formula>
    </cfRule>
    <cfRule type="cellIs" priority="11" operator="equal" dxfId="9">
      <formula>"Completed / Handover"</formula>
    </cfRule>
    <cfRule type="cellIs" priority="12" operator="equal" dxfId="10">
      <formula>"Cancelled"</formula>
    </cfRule>
    <cfRule type="cellIs" priority="13" operator="equal" dxfId="11">
      <formula>"Not started"</formula>
    </cfRule>
  </conditionalFormatting>
  <conditionalFormatting sqref="AB4:AB453">
    <cfRule type="cellIs" priority="14" operator="greaterThan" dxfId="12">
      <formula>30</formula>
    </cfRule>
  </conditionalFormatting>
  <conditionalFormatting sqref="AD4:AD453">
    <cfRule type="cellIs" priority="15" operator="greaterThan" dxfId="13">
      <formula>0</formula>
    </cfRule>
  </conditionalFormatting>
  <conditionalFormatting sqref="X4:X453">
    <cfRule type="dataBar" priority="16">
      <dataBar showValue="1">
        <cfvo type="num" val="0"/>
        <cfvo type="num" val="100"/>
        <color rgb="003D5A3D"/>
      </dataBar>
    </cfRule>
  </conditionalFormatting>
  <conditionalFormatting sqref="AE4:AE453">
    <cfRule type="cellIs" priority="17" operator="equal" dxfId="14">
      <formula>"On track"</formula>
    </cfRule>
    <cfRule type="cellIs" priority="18" operator="equal" dxfId="14">
      <formula>"Completed — on track"</formula>
    </cfRule>
    <cfRule type="cellIs" priority="19" operator="equal" dxfId="15">
      <formula>"At risk — close to off track"</formula>
    </cfRule>
    <cfRule type="cellIs" priority="20" operator="equal" dxfId="16">
      <formula>"Behind — past end date"</formula>
    </cfRule>
    <cfRule type="cellIs" priority="21" operator="equal" dxfId="16">
      <formula>"Behind — past planned date"</formula>
    </cfRule>
    <cfRule type="cellIs" priority="22" operator="equal" dxfId="16">
      <formula>"Behind — award date passed"</formula>
    </cfRule>
    <cfRule type="cellIs" priority="23" operator="equal" dxfId="16">
      <formula>"Behind — progress lag"</formula>
    </cfRule>
    <cfRule type="cellIs" priority="24" operator="equal" dxfId="10">
      <formula>"Cancelled"</formula>
    </cfRule>
  </conditionalFormatting>
  <conditionalFormatting sqref="AF4:AF453">
    <cfRule type="cellIs" priority="25" operator="lessThan" dxfId="16">
      <formula>0</formula>
    </cfRule>
    <cfRule type="cellIs" priority="26" operator="between" dxfId="15">
      <formula>0</formula>
      <formula>30</formula>
    </cfRule>
    <cfRule type="cellIs" priority="27" operator="greaterThan" dxfId="14">
      <formula>30</formula>
    </cfRule>
  </conditionalFormatting>
  <conditionalFormatting sqref="AU4:BG453">
    <cfRule type="cellIs" priority="28" operator="lessThan" dxfId="13">
      <formula>0</formula>
    </cfRule>
  </conditionalFormatting>
  <dataValidations count="12">
    <dataValidation sqref="C4:C453" showDropDown="0" showInputMessage="0" showErrorMessage="1" allowBlank="1" errorTitle="Not in list" error="Choose a value from the list, or add it on the Domains / Geography sheet first." type="list">
      <formula1>=Projects</formula1>
    </dataValidation>
    <dataValidation sqref="F4:F453" showDropDown="0" showInputMessage="0" showErrorMessage="1" allowBlank="1" errorTitle="Not in list" error="Choose a value from the list, or add it on the Domains / Geography sheet first." type="list">
      <formula1>=Interventions</formula1>
    </dataValidation>
    <dataValidation sqref="G4:G453" showDropDown="0" showInputMessage="0" showErrorMessage="1" allowBlank="1" errorTitle="Not in list" error="Choose a value from the list, or add it on the Domains / Geography sheet first." type="list">
      <formula1>=Regions</formula1>
    </dataValidation>
    <dataValidation sqref="K4:K453" showDropDown="0" showInputMessage="0" showErrorMessage="1" allowBlank="1" errorTitle="Not in list" error="Choose a value from the list, or add it on the Domains / Geography sheet first." type="list">
      <formula1>=Donors</formula1>
    </dataValidation>
    <dataValidation sqref="Y4:Y453" showDropDown="0" showInputMessage="0" showErrorMessage="1" allowBlank="1" errorTitle="Not in list" error="Choose a value from the list, or add it on the Domains / Geography sheet first." type="list">
      <formula1>=Statuses</formula1>
    </dataValidation>
    <dataValidation sqref="L4:L453" showDropDown="0" showInputMessage="0" showErrorMessage="1" allowBlank="1" errorTitle="Not in list" error="Choose a value from the list, or add it on the Domains / Geography sheet first." type="list">
      <formula1>=AwardGroups</formula1>
    </dataValidation>
    <dataValidation sqref="M4:M453" showDropDown="0" showInputMessage="0" showErrorMessage="1" allowBlank="1" errorTitle="Not in list" error="Choose a value from the list, or add it on the Domains / Geography sheet first." type="list">
      <formula1>=Families</formula1>
    </dataValidation>
    <dataValidation sqref="R4:R453 S4:S453 U4:U453 W4:W453 AG4:AT453" showDropDown="0" showInputMessage="0" showErrorMessage="1" allowBlank="1" errorTitle="Date required" error="Enter a calendar date (for example 15-Mar-2026)." type="date" operator="greaterThanOrEqual">
      <formula1>DATE(2018,1,1)</formula1>
    </dataValidation>
    <dataValidation sqref="X4:X453" showDropDown="0" showInputMessage="0" showErrorMessage="1" allowBlank="1" errorTitle="0–100" error="Physical progress must be between 0 and 100." type="decimal" operator="between">
      <formula1>0</formula1>
      <formula2>100</formula2>
    </dataValidation>
    <dataValidation sqref="T4:T453" showDropDown="0" showInputMessage="0" showErrorMessage="1" allowBlank="1" errorTitle="Months" error="Enter contract duration in months (for example 5)." type="decimal" operator="greaterThanOrEqual">
      <formula1>0</formula1>
    </dataValidation>
    <dataValidation sqref="H4:H453" showDropDown="0" showInputMessage="0" showErrorMessage="1" allowBlank="1" errorTitle="Province" error="Select a province for the chosen region (add new ones on 06_Geography)." type="list">
      <formula1>=01_Scheme_Tracker_ThisProvList</formula1>
    </dataValidation>
    <dataValidation sqref="I4:I453" showDropDown="0" showInputMessage="0" showErrorMessage="1" allowBlank="1" errorTitle="District" error="Select a district for the chosen province (add new ones on 06_Geography)." type="list">
      <formula1>=01_Scheme_Tracker_ThisDistList</formula1>
    </dataValidation>
  </dataValidations>
  <pageMargins left="0.75" right="0.75" top="1" bottom="1" header="0.5" footer="0.5"/>
  <pageSetup orientation="landscape" paperSize="3" fitToHeight="0" fitToWidth="1"/>
  <headerFooter>
    <oddHeader/>
    <oddFooter>&amp;LConstruction Works Scheme Tracker  ·  live register — type dates in section 4&amp;RPage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8A6D3B"/>
    <outlinePr summaryBelow="1" summaryRight="1"/>
    <pageSetUpPr fitToPage="1"/>
  </sheetPr>
  <dimension ref="A1:L38"/>
  <sheetViews>
    <sheetView showGridLines="0" workbookViewId="0">
      <selection activeCell="A1" sqref="A1"/>
    </sheetView>
  </sheetViews>
  <sheetFormatPr baseColWidth="8" defaultRowHeight="15"/>
  <cols>
    <col width="28" customWidth="1" min="1" max="1"/>
    <col width="12" customWidth="1" min="2" max="2"/>
    <col width="12" customWidth="1" min="3" max="3"/>
    <col width="3" customWidth="1" min="4" max="4"/>
    <col width="28" customWidth="1" min="5" max="5"/>
    <col width="12" customWidth="1" min="6" max="6"/>
    <col width="12" customWidth="1" min="7" max="7"/>
    <col width="3" customWidth="1" min="8" max="8"/>
    <col width="42" customWidth="1" min="9" max="9"/>
    <col width="14" customWidth="1" min="10" max="10"/>
    <col width="16" customWidth="1" min="11" max="11"/>
    <col width="12" customWidth="1" min="12" max="12"/>
  </cols>
  <sheetData>
    <row r="1" ht="26" customHeight="1">
      <c r="A1" s="21" t="inlineStr">
        <is>
          <t>Dashboard — scheme counts and time spent in each step</t>
        </is>
      </c>
      <c r="B1" s="22" t="n"/>
      <c r="C1" s="22" t="n"/>
      <c r="D1" s="22" t="n"/>
      <c r="E1" s="22" t="n"/>
      <c r="F1" s="22" t="n"/>
      <c r="G1" s="22" t="n"/>
      <c r="H1" s="22" t="n"/>
      <c r="I1" s="22" t="n"/>
      <c r="J1" s="22" t="n"/>
      <c r="K1" s="22" t="n"/>
      <c r="L1" s="22" t="n"/>
    </row>
    <row r="2">
      <c r="A2" s="46" t="inlineStr">
        <is>
          <t>Counts use Current Status (auto). Average days ignore blanks. Schemes with no scheme name are ignored. Red threshold for 'stuck' is 30 days.</t>
        </is>
      </c>
      <c r="B2" s="8" t="n"/>
      <c r="C2" s="8" t="n"/>
      <c r="D2" s="8" t="n"/>
      <c r="E2" s="8" t="n"/>
      <c r="F2" s="8" t="n"/>
      <c r="G2" s="8" t="n"/>
      <c r="H2" s="8" t="n"/>
      <c r="I2" s="8" t="n"/>
      <c r="J2" s="8" t="n"/>
      <c r="K2" s="8" t="n"/>
      <c r="L2" s="8" t="n"/>
    </row>
    <row r="4" ht="16" customHeight="1">
      <c r="A4" s="9" t="inlineStr">
        <is>
          <t>Schemes registered</t>
        </is>
      </c>
      <c r="B4" s="47" t="n"/>
      <c r="C4" s="47" t="n"/>
      <c r="D4" s="9" t="inlineStr">
        <is>
          <t>On track / completed</t>
        </is>
      </c>
      <c r="E4" s="47" t="n"/>
      <c r="F4" s="47" t="n"/>
      <c r="G4" s="9" t="inlineStr">
        <is>
          <t>At risk — close to off track</t>
        </is>
      </c>
      <c r="H4" s="47" t="n"/>
      <c r="I4" s="47" t="n"/>
      <c r="J4" s="9" t="inlineStr">
        <is>
          <t>Behind planned date</t>
        </is>
      </c>
      <c r="K4" s="47" t="n"/>
      <c r="L4" s="47" t="n"/>
    </row>
    <row r="5" ht="28" customHeight="1">
      <c r="A5" s="48">
        <f>COUNTA('01_Scheme_Tracker'!$E$4:$E$453)</f>
        <v/>
      </c>
      <c r="B5" s="49" t="n"/>
      <c r="C5" s="49" t="n"/>
      <c r="D5" s="48">
        <f>COUNTIF('01_Scheme_Tracker'!$AE$4:$AE$453,"On track")+COUNTIF('01_Scheme_Tracker'!$AE$4:$AE$453,"Completed — on track")</f>
        <v/>
      </c>
      <c r="E5" s="49" t="n"/>
      <c r="F5" s="49" t="n"/>
      <c r="G5" s="48">
        <f>COUNTIF('01_Scheme_Tracker'!$AE$4:$AE$453,"At risk — close to off track")</f>
        <v/>
      </c>
      <c r="H5" s="49" t="n"/>
      <c r="I5" s="49" t="n"/>
      <c r="J5" s="48">
        <f>COUNTIF('01_Scheme_Tracker'!$AE$4:$AE$453,"Behind*")</f>
        <v/>
      </c>
      <c r="K5" s="49" t="n"/>
      <c r="L5" s="49" t="n"/>
    </row>
    <row r="7">
      <c r="A7" s="7" t="inlineStr">
        <is>
          <t>Schemes by current status</t>
        </is>
      </c>
      <c r="E7" s="50" t="inlineStr">
        <is>
          <t>Schemes by region</t>
        </is>
      </c>
      <c r="I7" s="51" t="inlineStr">
        <is>
          <t>Average days between steps</t>
        </is>
      </c>
    </row>
    <row r="8">
      <c r="A8" s="23" t="inlineStr">
        <is>
          <t>Status</t>
        </is>
      </c>
      <c r="B8" s="23" t="inlineStr">
        <is>
          <t>Count</t>
        </is>
      </c>
      <c r="C8" s="23" t="inlineStr">
        <is>
          <t>Share</t>
        </is>
      </c>
      <c r="E8" s="24" t="inlineStr">
        <is>
          <t>Region</t>
        </is>
      </c>
      <c r="F8" s="24" t="inlineStr">
        <is>
          <t>Count</t>
        </is>
      </c>
      <c r="G8" s="24" t="inlineStr">
        <is>
          <t>Share</t>
        </is>
      </c>
      <c r="I8" s="26" t="inlineStr">
        <is>
          <t>Step</t>
        </is>
      </c>
      <c r="J8" s="26" t="inlineStr">
        <is>
          <t>Average days</t>
        </is>
      </c>
      <c r="K8" s="26" t="inlineStr">
        <is>
          <t>Schemes with this step dated</t>
        </is>
      </c>
      <c r="L8" s="26" t="inlineStr">
        <is>
          <t>Target days</t>
        </is>
      </c>
    </row>
    <row r="9">
      <c r="A9" s="11" t="inlineStr">
        <is>
          <t>Under Design</t>
        </is>
      </c>
      <c r="B9" s="38">
        <f>COUNTIF('01_Scheme_Tracker'!$AA$4:$AA$453,A9)</f>
        <v/>
      </c>
      <c r="C9" s="52">
        <f>IF($A$5=0,"",B9/$A$5)</f>
        <v/>
      </c>
      <c r="E9" s="5" t="inlineStr">
        <is>
          <t>West / Herat</t>
        </is>
      </c>
      <c r="F9" s="38">
        <f>COUNTIF('01_Scheme_Tracker'!$G$4:$G$453,E9)</f>
        <v/>
      </c>
      <c r="G9" s="52">
        <f>IF($A$5=0,"",F9/$A$5)</f>
        <v/>
      </c>
      <c r="I9" s="5">
        <f>'01_Scheme_Tracker'!AU3</f>
        <v/>
      </c>
      <c r="J9" s="53">
        <f>IFERROR(AVERAGE('01_Scheme_Tracker'!$AU$4:$AU$453),"")</f>
        <v/>
      </c>
      <c r="K9" s="38">
        <f>COUNT('01_Scheme_Tracker'!$AH$4:$AH$453)</f>
        <v/>
      </c>
      <c r="L9" s="38">
        <f>IFERROR('04_Status_Pipeline'!E4,"")</f>
        <v/>
      </c>
    </row>
    <row r="10">
      <c r="A10" s="12" t="inlineStr">
        <is>
          <t>Under Review of WRI</t>
        </is>
      </c>
      <c r="B10" s="38">
        <f>COUNTIF('01_Scheme_Tracker'!$AA$4:$AA$453,A10)</f>
        <v/>
      </c>
      <c r="C10" s="52">
        <f>IF($A$5=0,"",B10/$A$5)</f>
        <v/>
      </c>
      <c r="E10" s="5" t="inlineStr">
        <is>
          <t>East / Jalalabad</t>
        </is>
      </c>
      <c r="F10" s="38">
        <f>COUNTIF('01_Scheme_Tracker'!$G$4:$G$453,E10)</f>
        <v/>
      </c>
      <c r="G10" s="52">
        <f>IF($A$5=0,"",F10/$A$5)</f>
        <v/>
      </c>
      <c r="I10" s="5">
        <f>'01_Scheme_Tracker'!AV3</f>
        <v/>
      </c>
      <c r="J10" s="53">
        <f>IFERROR(AVERAGE('01_Scheme_Tracker'!$AV$4:$AV$453),"")</f>
        <v/>
      </c>
      <c r="K10" s="38">
        <f>COUNT('01_Scheme_Tracker'!$AI$4:$AI$453)</f>
        <v/>
      </c>
      <c r="L10" s="38">
        <f>IFERROR('04_Status_Pipeline'!E5,"")</f>
        <v/>
      </c>
    </row>
    <row r="11">
      <c r="A11" s="13" t="inlineStr">
        <is>
          <t>Under LTO Review</t>
        </is>
      </c>
      <c r="B11" s="38">
        <f>COUNTIF('01_Scheme_Tracker'!$AA$4:$AA$453,A11)</f>
        <v/>
      </c>
      <c r="C11" s="52">
        <f>IF($A$5=0,"",B11/$A$5)</f>
        <v/>
      </c>
      <c r="E11" s="5" t="inlineStr">
        <is>
          <t>Central / Kabul</t>
        </is>
      </c>
      <c r="F11" s="38">
        <f>COUNTIF('01_Scheme_Tracker'!$G$4:$G$453,E11)</f>
        <v/>
      </c>
      <c r="G11" s="52">
        <f>IF($A$5=0,"",F11/$A$5)</f>
        <v/>
      </c>
      <c r="I11" s="5">
        <f>'01_Scheme_Tracker'!AW3</f>
        <v/>
      </c>
      <c r="J11" s="53">
        <f>IFERROR(AVERAGE('01_Scheme_Tracker'!$AW$4:$AW$453),"")</f>
        <v/>
      </c>
      <c r="K11" s="38">
        <f>COUNT('01_Scheme_Tracker'!$AJ$4:$AJ$453)</f>
        <v/>
      </c>
      <c r="L11" s="38">
        <f>IFERROR('04_Status_Pipeline'!E6,"")</f>
        <v/>
      </c>
    </row>
    <row r="12">
      <c r="A12" s="14" t="inlineStr">
        <is>
          <t>PR to be Raised</t>
        </is>
      </c>
      <c r="B12" s="38">
        <f>COUNTIF('01_Scheme_Tracker'!$AA$4:$AA$453,A12)</f>
        <v/>
      </c>
      <c r="C12" s="52">
        <f>IF($A$5=0,"",B12/$A$5)</f>
        <v/>
      </c>
      <c r="E12" s="5" t="inlineStr">
        <is>
          <t>Central Highland / Bamyan</t>
        </is>
      </c>
      <c r="F12" s="38">
        <f>COUNTIF('01_Scheme_Tracker'!$G$4:$G$453,E12)</f>
        <v/>
      </c>
      <c r="G12" s="52">
        <f>IF($A$5=0,"",F12/$A$5)</f>
        <v/>
      </c>
      <c r="I12" s="5">
        <f>'01_Scheme_Tracker'!AX3</f>
        <v/>
      </c>
      <c r="J12" s="53">
        <f>IFERROR(AVERAGE('01_Scheme_Tracker'!$AX$4:$AX$453),"")</f>
        <v/>
      </c>
      <c r="K12" s="38">
        <f>COUNT('01_Scheme_Tracker'!$AK$4:$AK$453)</f>
        <v/>
      </c>
      <c r="L12" s="38">
        <f>IFERROR('04_Status_Pipeline'!E7,"")</f>
        <v/>
      </c>
    </row>
    <row r="13">
      <c r="A13" s="15" t="inlineStr">
        <is>
          <t>ITB Launched</t>
        </is>
      </c>
      <c r="B13" s="38">
        <f>COUNTIF('01_Scheme_Tracker'!$AA$4:$AA$453,A13)</f>
        <v/>
      </c>
      <c r="C13" s="52">
        <f>IF($A$5=0,"",B13/$A$5)</f>
        <v/>
      </c>
      <c r="E13" s="5" t="inlineStr">
        <is>
          <t>Southeast / Gardez</t>
        </is>
      </c>
      <c r="F13" s="38">
        <f>COUNTIF('01_Scheme_Tracker'!$G$4:$G$453,E13)</f>
        <v/>
      </c>
      <c r="G13" s="52">
        <f>IF($A$5=0,"",F13/$A$5)</f>
        <v/>
      </c>
      <c r="I13" s="5">
        <f>'01_Scheme_Tracker'!AY3</f>
        <v/>
      </c>
      <c r="J13" s="53">
        <f>IFERROR(AVERAGE('01_Scheme_Tracker'!$AY$4:$AY$453),"")</f>
        <v/>
      </c>
      <c r="K13" s="38">
        <f>COUNT('01_Scheme_Tracker'!$AL$4:$AL$453)</f>
        <v/>
      </c>
      <c r="L13" s="38">
        <f>IFERROR('04_Status_Pipeline'!E8,"")</f>
        <v/>
      </c>
    </row>
    <row r="14">
      <c r="A14" s="15" t="inlineStr">
        <is>
          <t>Retendered (Re-ITB)</t>
        </is>
      </c>
      <c r="B14" s="38">
        <f>COUNTIF('01_Scheme_Tracker'!$AA$4:$AA$453,A14)</f>
        <v/>
      </c>
      <c r="C14" s="52">
        <f>IF($A$5=0,"",B14/$A$5)</f>
        <v/>
      </c>
      <c r="E14" s="5" t="inlineStr">
        <is>
          <t>South / Kandahar</t>
        </is>
      </c>
      <c r="F14" s="38">
        <f>COUNTIF('01_Scheme_Tracker'!$G$4:$G$453,E14)</f>
        <v/>
      </c>
      <c r="G14" s="52">
        <f>IF($A$5=0,"",F14/$A$5)</f>
        <v/>
      </c>
      <c r="I14" s="5">
        <f>'01_Scheme_Tracker'!AZ3</f>
        <v/>
      </c>
      <c r="J14" s="53">
        <f>IFERROR(AVERAGE('01_Scheme_Tracker'!$AZ$4:$AZ$453),"")</f>
        <v/>
      </c>
      <c r="K14" s="38">
        <f>COUNT('01_Scheme_Tracker'!$AM$4:$AM$453)</f>
        <v/>
      </c>
      <c r="L14" s="38">
        <f>IFERROR('04_Status_Pipeline'!E9,"")</f>
        <v/>
      </c>
    </row>
    <row r="15">
      <c r="A15" s="16" t="inlineStr">
        <is>
          <t>Under Technical Evaluation</t>
        </is>
      </c>
      <c r="B15" s="38">
        <f>COUNTIF('01_Scheme_Tracker'!$AA$4:$AA$453,A15)</f>
        <v/>
      </c>
      <c r="C15" s="52">
        <f>IF($A$5=0,"",B15/$A$5)</f>
        <v/>
      </c>
      <c r="E15" s="5" t="inlineStr">
        <is>
          <t>North / Mazar</t>
        </is>
      </c>
      <c r="F15" s="38">
        <f>COUNTIF('01_Scheme_Tracker'!$G$4:$G$453,E15)</f>
        <v/>
      </c>
      <c r="G15" s="52">
        <f>IF($A$5=0,"",F15/$A$5)</f>
        <v/>
      </c>
      <c r="I15" s="5">
        <f>'01_Scheme_Tracker'!BA3</f>
        <v/>
      </c>
      <c r="J15" s="53">
        <f>IFERROR(AVERAGE('01_Scheme_Tracker'!$BA$4:$BA$453),"")</f>
        <v/>
      </c>
      <c r="K15" s="38">
        <f>COUNT('01_Scheme_Tracker'!$AN$4:$AN$453)</f>
        <v/>
      </c>
      <c r="L15" s="38">
        <f>IFERROR('04_Status_Pipeline'!E10,"")</f>
        <v/>
      </c>
    </row>
    <row r="16">
      <c r="A16" s="17" t="inlineStr">
        <is>
          <t>Under Awarding</t>
        </is>
      </c>
      <c r="B16" s="38">
        <f>COUNTIF('01_Scheme_Tracker'!$AA$4:$AA$453,A16)</f>
        <v/>
      </c>
      <c r="C16" s="52">
        <f>IF($A$5=0,"",B16/$A$5)</f>
        <v/>
      </c>
      <c r="E16" s="5" t="inlineStr">
        <is>
          <t>Northeast / Kunduz</t>
        </is>
      </c>
      <c r="F16" s="38">
        <f>COUNTIF('01_Scheme_Tracker'!$G$4:$G$453,E16)</f>
        <v/>
      </c>
      <c r="G16" s="52">
        <f>IF($A$5=0,"",F16/$A$5)</f>
        <v/>
      </c>
      <c r="I16" s="5">
        <f>'01_Scheme_Tracker'!BB3</f>
        <v/>
      </c>
      <c r="J16" s="53">
        <f>IFERROR(AVERAGE('01_Scheme_Tracker'!$BB$4:$BB$453),"")</f>
        <v/>
      </c>
      <c r="K16" s="38">
        <f>COUNT('01_Scheme_Tracker'!$AO$4:$AO$453)</f>
        <v/>
      </c>
      <c r="L16" s="38">
        <f>IFERROR('04_Status_Pipeline'!E11,"")</f>
        <v/>
      </c>
    </row>
    <row r="17">
      <c r="A17" s="18" t="inlineStr">
        <is>
          <t>Awarded</t>
        </is>
      </c>
      <c r="B17" s="38">
        <f>COUNTIF('01_Scheme_Tracker'!$AA$4:$AA$453,A17)</f>
        <v/>
      </c>
      <c r="C17" s="52">
        <f>IF($A$5=0,"",B17/$A$5)</f>
        <v/>
      </c>
      <c r="I17" s="5">
        <f>'01_Scheme_Tracker'!BC3</f>
        <v/>
      </c>
      <c r="J17" s="53">
        <f>IFERROR(AVERAGE('01_Scheme_Tracker'!$BC$4:$BC$453),"")</f>
        <v/>
      </c>
      <c r="K17" s="38">
        <f>COUNT('01_Scheme_Tracker'!$AP$4:$AP$453)</f>
        <v/>
      </c>
      <c r="L17" s="38">
        <f>IFERROR('04_Status_Pipeline'!E12,"")</f>
        <v/>
      </c>
    </row>
    <row r="18">
      <c r="A18" s="19" t="inlineStr">
        <is>
          <t>Under Construction</t>
        </is>
      </c>
      <c r="B18" s="38">
        <f>COUNTIF('01_Scheme_Tracker'!$AA$4:$AA$453,A18)</f>
        <v/>
      </c>
      <c r="C18" s="52">
        <f>IF($A$5=0,"",B18/$A$5)</f>
        <v/>
      </c>
      <c r="I18" s="5">
        <f>'01_Scheme_Tracker'!BD3</f>
        <v/>
      </c>
      <c r="J18" s="53">
        <f>IFERROR(AVERAGE('01_Scheme_Tracker'!$BD$4:$BD$453),"")</f>
        <v/>
      </c>
      <c r="K18" s="38">
        <f>COUNT('01_Scheme_Tracker'!$AQ$4:$AQ$453)</f>
        <v/>
      </c>
      <c r="L18" s="38">
        <f>IFERROR('04_Status_Pipeline'!E13,"")</f>
        <v/>
      </c>
    </row>
    <row r="19">
      <c r="A19" s="20" t="inlineStr">
        <is>
          <t>Completed / Handover</t>
        </is>
      </c>
      <c r="B19" s="38">
        <f>COUNTIF('01_Scheme_Tracker'!$AA$4:$AA$453,A19)</f>
        <v/>
      </c>
      <c r="C19" s="52">
        <f>IF($A$5=0,"",B19/$A$5)</f>
        <v/>
      </c>
      <c r="I19" s="5">
        <f>'01_Scheme_Tracker'!BE3</f>
        <v/>
      </c>
      <c r="J19" s="53">
        <f>IFERROR(AVERAGE('01_Scheme_Tracker'!$BE$4:$BE$453),"")</f>
        <v/>
      </c>
      <c r="K19" s="38">
        <f>COUNT('01_Scheme_Tracker'!$AR$4:$AR$453)</f>
        <v/>
      </c>
      <c r="L19" s="38">
        <f>IFERROR('04_Status_Pipeline'!E14,"")</f>
        <v/>
      </c>
    </row>
    <row r="20">
      <c r="A20" s="33" t="inlineStr">
        <is>
          <t>Not started</t>
        </is>
      </c>
      <c r="B20" s="38">
        <f>COUNTIF('01_Scheme_Tracker'!$AA$4:$AA$453,A20)</f>
        <v/>
      </c>
      <c r="C20" s="52">
        <f>IF($A$5=0,"",B20/$A$5)</f>
        <v/>
      </c>
      <c r="I20" s="5">
        <f>'01_Scheme_Tracker'!BF3</f>
        <v/>
      </c>
      <c r="J20" s="53">
        <f>IFERROR(AVERAGE('01_Scheme_Tracker'!$BF$4:$BF$453),"")</f>
        <v/>
      </c>
      <c r="K20" s="38">
        <f>COUNT('01_Scheme_Tracker'!$AS$4:$AS$453)</f>
        <v/>
      </c>
      <c r="L20" s="38">
        <f>IFERROR('04_Status_Pipeline'!E15,"")</f>
        <v/>
      </c>
    </row>
    <row r="21">
      <c r="I21" s="5">
        <f>'01_Scheme_Tracker'!BG3</f>
        <v/>
      </c>
      <c r="J21" s="53">
        <f>IFERROR(AVERAGE('01_Scheme_Tracker'!$BG$4:$BG$453),"")</f>
        <v/>
      </c>
      <c r="K21" s="38">
        <f>COUNT('01_Scheme_Tracker'!$AT$4:$AT$453)</f>
        <v/>
      </c>
      <c r="L21" s="38">
        <f>IFERROR('04_Status_Pipeline'!E16,"")</f>
        <v/>
      </c>
    </row>
    <row r="22">
      <c r="A22" s="7" t="inlineStr">
        <is>
          <t>Schemes by intervention type</t>
        </is>
      </c>
      <c r="E22" s="54" t="inlineStr">
        <is>
          <t>Average total pipeline days (first → last dated step)</t>
        </is>
      </c>
    </row>
    <row r="23">
      <c r="A23" s="23" t="inlineStr">
        <is>
          <t>Intervention type</t>
        </is>
      </c>
      <c r="B23" s="23" t="inlineStr">
        <is>
          <t>Count</t>
        </is>
      </c>
      <c r="E23" s="55">
        <f>IFERROR(AVERAGE('01_Scheme_Tracker'!$AC$4:$AC$453),"")</f>
        <v/>
      </c>
      <c r="F23" s="56" t="n"/>
      <c r="G23" s="57" t="n"/>
    </row>
    <row r="24">
      <c r="A24" s="5" t="inlineStr">
        <is>
          <t>Check Dam</t>
        </is>
      </c>
      <c r="B24" s="38">
        <f>COUNTIF('01_Scheme_Tracker'!$F$4:$F$453,A24)</f>
        <v/>
      </c>
    </row>
    <row r="25">
      <c r="A25" s="5" t="inlineStr">
        <is>
          <t>Boulder Check Dam</t>
        </is>
      </c>
      <c r="B25" s="38">
        <f>COUNTIF('01_Scheme_Tracker'!$F$4:$F$453,A25)</f>
        <v/>
      </c>
      <c r="E25" s="58" t="inlineStr">
        <is>
          <t>How to read this dashboard</t>
        </is>
      </c>
    </row>
    <row r="26">
      <c r="A26" s="5" t="inlineStr">
        <is>
          <t>Check Dam and Water Pond</t>
        </is>
      </c>
      <c r="B26" s="38">
        <f>COUNTIF('01_Scheme_Tracker'!$F$4:$F$453,A26)</f>
        <v/>
      </c>
      <c r="E26" s="59" t="inlineStr">
        <is>
          <t>Current Status follows the latest date typed on 01_Scheme_Tracker. Until dates are entered, schemes sit under whatever you chose as Reported Status (or Not started). Average days between steps populate only after both ends of a step have dates — see 03_Example_Filled for a complete worked pipeline. Add or rename a status on 04_Status_Pipeline; this average-days table uses the tracker headers, so it follows.</t>
        </is>
      </c>
    </row>
    <row r="27">
      <c r="A27" s="5" t="inlineStr">
        <is>
          <t>Watershed Management</t>
        </is>
      </c>
      <c r="B27" s="38">
        <f>COUNTIF('01_Scheme_Tracker'!$F$4:$F$453,A27)</f>
        <v/>
      </c>
    </row>
    <row r="28">
      <c r="A28" s="5" t="inlineStr">
        <is>
          <t>Irrigation Canal</t>
        </is>
      </c>
      <c r="B28" s="38">
        <f>COUNTIF('01_Scheme_Tracker'!$F$4:$F$453,A28)</f>
        <v/>
      </c>
    </row>
    <row r="29">
      <c r="A29" s="5" t="inlineStr">
        <is>
          <t>Drip Irrigation</t>
        </is>
      </c>
      <c r="B29" s="38">
        <f>COUNTIF('01_Scheme_Tracker'!$F$4:$F$453,A29)</f>
        <v/>
      </c>
    </row>
    <row r="30">
      <c r="A30" s="5" t="inlineStr">
        <is>
          <t>Laser Land Leveler (LLL)</t>
        </is>
      </c>
      <c r="B30" s="38">
        <f>COUNTIF('01_Scheme_Tracker'!$F$4:$F$453,A30)</f>
        <v/>
      </c>
    </row>
    <row r="31">
      <c r="A31" s="5" t="inlineStr">
        <is>
          <t>Agroforestry saplings / seeds</t>
        </is>
      </c>
      <c r="B31" s="38">
        <f>COUNTIF('01_Scheme_Tracker'!$F$4:$F$453,A31)</f>
        <v/>
      </c>
    </row>
    <row r="32">
      <c r="A32" s="5" t="inlineStr">
        <is>
          <t>Protection Wall</t>
        </is>
      </c>
      <c r="B32" s="38">
        <f>COUNTIF('01_Scheme_Tracker'!$F$4:$F$453,A32)</f>
        <v/>
      </c>
    </row>
    <row r="33">
      <c r="A33" s="5" t="inlineStr">
        <is>
          <t>Karez Rehabilitation</t>
        </is>
      </c>
      <c r="B33" s="38">
        <f>COUNTIF('01_Scheme_Tracker'!$F$4:$F$453,A33)</f>
        <v/>
      </c>
    </row>
    <row r="34">
      <c r="A34" s="5" t="inlineStr">
        <is>
          <t>Intake / Diversion</t>
        </is>
      </c>
      <c r="B34" s="38">
        <f>COUNTIF('01_Scheme_Tracker'!$F$4:$F$453,A34)</f>
        <v/>
      </c>
    </row>
    <row r="35">
      <c r="A35" s="5" t="inlineStr">
        <is>
          <t>Water Supply Scheme</t>
        </is>
      </c>
      <c r="B35" s="38">
        <f>COUNTIF('01_Scheme_Tracker'!$F$4:$F$453,A35)</f>
        <v/>
      </c>
    </row>
    <row r="36">
      <c r="A36" s="5" t="inlineStr">
        <is>
          <t>Flood Protection</t>
        </is>
      </c>
      <c r="B36" s="38">
        <f>COUNTIF('01_Scheme_Tracker'!$F$4:$F$453,A36)</f>
        <v/>
      </c>
    </row>
    <row r="37">
      <c r="A37" s="5" t="inlineStr">
        <is>
          <t>Gabion Structure</t>
        </is>
      </c>
      <c r="B37" s="38">
        <f>COUNTIF('01_Scheme_Tracker'!$F$4:$F$453,A37)</f>
        <v/>
      </c>
    </row>
    <row r="38">
      <c r="A38" s="5" t="inlineStr">
        <is>
          <t>Other</t>
        </is>
      </c>
      <c r="B38" s="38">
        <f>COUNTIF('01_Scheme_Tracker'!$F$4:$F$453,A38)</f>
        <v/>
      </c>
    </row>
  </sheetData>
  <mergeCells count="17">
    <mergeCell ref="J5:L5"/>
    <mergeCell ref="A2:L2"/>
    <mergeCell ref="E22:G22"/>
    <mergeCell ref="D5:F5"/>
    <mergeCell ref="A5:C5"/>
    <mergeCell ref="G5:I5"/>
    <mergeCell ref="E23:G23"/>
    <mergeCell ref="A1:L1"/>
    <mergeCell ref="D4:F4"/>
    <mergeCell ref="A22:C22"/>
    <mergeCell ref="G4:I4"/>
    <mergeCell ref="J4:L4"/>
    <mergeCell ref="A7:C7"/>
    <mergeCell ref="I7:L7"/>
    <mergeCell ref="A4:C4"/>
    <mergeCell ref="E26:L29"/>
    <mergeCell ref="E7:G7"/>
  </mergeCells>
  <pageMargins left="0.75" right="0.75" top="1" bottom="1" header="0.5" footer="0.5"/>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8A6D3B"/>
    <outlinePr summaryBelow="1" summaryRight="1"/>
    <pageSetUpPr fitToPage="1"/>
  </sheetPr>
  <dimension ref="A1:BI453"/>
  <sheetViews>
    <sheetView zoomScale="90" workbookViewId="0">
      <pane xSplit="32" ySplit="3" topLeftCell="AG4"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28" customWidth="1" min="3" max="3"/>
    <col width="36" customWidth="1" min="4" max="4"/>
    <col width="32" customWidth="1" min="5" max="5"/>
    <col width="20" customWidth="1" min="6" max="6"/>
    <col width="22" customWidth="1" min="7" max="7"/>
    <col width="16" customWidth="1" min="8" max="8"/>
    <col width="22" customWidth="1" min="9" max="9"/>
    <col width="28" customWidth="1" min="10" max="10"/>
    <col width="22" customWidth="1" min="11" max="11"/>
    <col width="14" customWidth="1" min="12" max="12"/>
    <col width="22" customWidth="1" min="13" max="13"/>
    <col width="28" customWidth="1" min="14" max="14"/>
    <col width="22" customWidth="1" min="15" max="15"/>
    <col width="16" customWidth="1" min="16" max="16"/>
    <col width="16"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24" customWidth="1" min="25" max="25"/>
    <col width="28" customWidth="1" min="26" max="26"/>
    <col width="24" customWidth="1" min="27" max="27"/>
    <col width="12" customWidth="1" min="28" max="28"/>
    <col width="12" customWidth="1" min="29" max="29"/>
    <col width="12" customWidth="1" min="30" max="30"/>
    <col width="26" customWidth="1" min="31" max="31"/>
    <col width="14"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hidden="1" width="14" customWidth="1" min="60" max="60"/>
    <col hidden="1" width="14" customWidth="1" min="61" max="61"/>
  </cols>
  <sheetData>
    <row r="1" ht="24" customHeight="1">
      <c r="A1" s="21" t="inlineStr">
        <is>
          <t>EXAMPLE ONLY — two worked schemes so you can see day counts. Do not use for reporting.</t>
        </is>
      </c>
      <c r="B1" s="22" t="n"/>
      <c r="C1" s="22" t="n"/>
      <c r="D1" s="22" t="n"/>
      <c r="E1" s="22" t="n"/>
      <c r="F1" s="22" t="n"/>
      <c r="G1" s="22" t="n"/>
      <c r="H1" s="22" t="n"/>
      <c r="I1" s="22" t="n"/>
      <c r="J1" s="22" t="n"/>
      <c r="K1" s="22" t="n"/>
      <c r="L1" s="22" t="n"/>
      <c r="M1" s="22" t="n"/>
      <c r="N1" s="22" t="n"/>
      <c r="O1" s="22" t="n"/>
      <c r="P1" s="22" t="n"/>
      <c r="Q1" s="22" t="n"/>
      <c r="R1" s="22" t="n"/>
      <c r="S1" s="22" t="n"/>
      <c r="T1" s="22" t="n"/>
      <c r="U1" s="22" t="n"/>
      <c r="V1" s="22" t="n"/>
      <c r="W1" s="22" t="n"/>
      <c r="X1" s="22" t="n"/>
      <c r="Y1" s="22" t="n"/>
      <c r="Z1" s="22" t="n"/>
      <c r="AA1" s="22" t="n"/>
      <c r="AB1" s="22" t="n"/>
      <c r="AC1" s="22" t="n"/>
      <c r="AD1" s="22" t="n"/>
      <c r="AE1" s="22" t="n"/>
      <c r="AF1" s="22" t="n"/>
      <c r="AG1" s="22" t="n"/>
      <c r="AH1" s="22" t="n"/>
      <c r="AI1" s="22" t="n"/>
      <c r="AJ1" s="22" t="n"/>
      <c r="AK1" s="22" t="n"/>
      <c r="AL1" s="22" t="n"/>
      <c r="AM1" s="22" t="n"/>
      <c r="AN1" s="22" t="n"/>
      <c r="AO1" s="22" t="n"/>
      <c r="AP1" s="22" t="n"/>
      <c r="AQ1" s="22" t="n"/>
      <c r="AR1" s="22" t="n"/>
      <c r="AS1" s="22" t="n"/>
      <c r="AT1" s="22" t="n"/>
      <c r="AU1" s="22" t="n"/>
      <c r="AV1" s="22" t="n"/>
      <c r="AW1" s="22" t="n"/>
      <c r="AX1" s="22" t="n"/>
      <c r="AY1" s="22" t="n"/>
      <c r="AZ1" s="22" t="n"/>
      <c r="BA1" s="22" t="n"/>
      <c r="BB1" s="22" t="n"/>
      <c r="BC1" s="22" t="n"/>
      <c r="BD1" s="22" t="n"/>
      <c r="BE1" s="22" t="n"/>
      <c r="BF1" s="22" t="n"/>
      <c r="BG1" s="22" t="n"/>
      <c r="BH1" s="22" t="n"/>
      <c r="BI1" s="22" t="n"/>
    </row>
    <row r="2" ht="20" customHeight="1">
      <c r="A2" s="23" t="inlineStr">
        <is>
          <t>1. Scheme identity</t>
        </is>
      </c>
      <c r="B2" s="22" t="n"/>
      <c r="C2" s="22" t="n"/>
      <c r="D2" s="22" t="n"/>
      <c r="E2" s="22" t="n"/>
      <c r="F2" s="22" t="n"/>
      <c r="G2" s="22" t="n"/>
      <c r="H2" s="22" t="n"/>
      <c r="I2" s="22" t="n"/>
      <c r="J2" s="22" t="n"/>
      <c r="K2" s="22" t="n"/>
      <c r="L2" s="22" t="n"/>
      <c r="M2" s="22" t="n"/>
      <c r="N2" s="22" t="n"/>
      <c r="O2" s="24" t="inlineStr">
        <is>
          <t>2. Contract and physical progress</t>
        </is>
      </c>
      <c r="P2" s="25" t="n"/>
      <c r="Q2" s="25" t="n"/>
      <c r="R2" s="25" t="n"/>
      <c r="S2" s="25" t="n"/>
      <c r="T2" s="25" t="n"/>
      <c r="U2" s="25" t="n"/>
      <c r="V2" s="25" t="n"/>
      <c r="W2" s="25" t="n"/>
      <c r="X2" s="25" t="n"/>
      <c r="Y2" s="25" t="n"/>
      <c r="Z2" s="25" t="n"/>
      <c r="AA2" s="26" t="inlineStr">
        <is>
          <t>3. Live status and schedule health (calculated)</t>
        </is>
      </c>
      <c r="AB2" s="27" t="n"/>
      <c r="AC2" s="27" t="n"/>
      <c r="AD2" s="27" t="n"/>
      <c r="AE2" s="27" t="n"/>
      <c r="AF2" s="27" t="n"/>
      <c r="AG2" s="9" t="inlineStr">
        <is>
          <t>4. Status dates — enter the date each step was reached</t>
        </is>
      </c>
      <c r="AH2" s="28" t="n"/>
      <c r="AI2" s="28" t="n"/>
      <c r="AJ2" s="28" t="n"/>
      <c r="AK2" s="28" t="n"/>
      <c r="AL2" s="28" t="n"/>
      <c r="AM2" s="28" t="n"/>
      <c r="AN2" s="28" t="n"/>
      <c r="AO2" s="28" t="n"/>
      <c r="AP2" s="28" t="n"/>
      <c r="AQ2" s="28" t="n"/>
      <c r="AR2" s="28" t="n"/>
      <c r="AS2" s="28" t="n"/>
      <c r="AT2" s="28" t="n"/>
      <c r="AU2" s="29" t="inlineStr">
        <is>
          <t>5. Days between steps (calculated)</t>
        </is>
      </c>
      <c r="AV2" s="30" t="n"/>
      <c r="AW2" s="30" t="n"/>
      <c r="AX2" s="30" t="n"/>
      <c r="AY2" s="30" t="n"/>
      <c r="AZ2" s="30" t="n"/>
      <c r="BA2" s="30" t="n"/>
      <c r="BB2" s="30" t="n"/>
      <c r="BC2" s="30" t="n"/>
      <c r="BD2" s="30" t="n"/>
      <c r="BE2" s="30" t="n"/>
      <c r="BF2" s="30" t="n"/>
      <c r="BG2" s="30" t="n"/>
    </row>
    <row r="3" ht="36" customHeight="1">
      <c r="A3" s="23" t="inlineStr">
        <is>
          <t>SN</t>
        </is>
      </c>
      <c r="B3" s="23" t="inlineStr">
        <is>
          <t>Scheme ID</t>
        </is>
      </c>
      <c r="C3" s="23" t="inlineStr">
        <is>
          <t>Project Name</t>
        </is>
      </c>
      <c r="D3" s="23" t="inlineStr">
        <is>
          <t>Package / Contract Name</t>
        </is>
      </c>
      <c r="E3" s="23" t="inlineStr">
        <is>
          <t>Scheme Name</t>
        </is>
      </c>
      <c r="F3" s="23" t="inlineStr">
        <is>
          <t>Intervention Type</t>
        </is>
      </c>
      <c r="G3" s="23" t="inlineStr">
        <is>
          <t>Region</t>
        </is>
      </c>
      <c r="H3" s="23" t="inlineStr">
        <is>
          <t>Province</t>
        </is>
      </c>
      <c r="I3" s="23" t="inlineStr">
        <is>
          <t>District</t>
        </is>
      </c>
      <c r="J3" s="23" t="inlineStr">
        <is>
          <t>Village</t>
        </is>
      </c>
      <c r="K3" s="23" t="inlineStr">
        <is>
          <t>Donor</t>
        </is>
      </c>
      <c r="L3" s="23" t="inlineStr">
        <is>
          <t>Awarded / Remaining</t>
        </is>
      </c>
      <c r="M3" s="23" t="inlineStr">
        <is>
          <t>Intervention family</t>
        </is>
      </c>
      <c r="N3" s="23" t="inlineStr">
        <is>
          <t>Source sheet</t>
        </is>
      </c>
      <c r="O3" s="24" t="inlineStr">
        <is>
          <t>Contractor Name</t>
        </is>
      </c>
      <c r="P3" s="24" t="inlineStr">
        <is>
          <t>Contract Number</t>
        </is>
      </c>
      <c r="Q3" s="24" t="inlineStr">
        <is>
          <t>Contract Cost (USD)</t>
        </is>
      </c>
      <c r="R3" s="24" t="inlineStr">
        <is>
          <t>Awarded Date</t>
        </is>
      </c>
      <c r="S3" s="24" t="inlineStr">
        <is>
          <t>Expected award date</t>
        </is>
      </c>
      <c r="T3" s="24" t="inlineStr">
        <is>
          <t>Contract Duration (months)</t>
        </is>
      </c>
      <c r="U3" s="24" t="inlineStr">
        <is>
          <t>Contract / expected end date</t>
        </is>
      </c>
      <c r="V3" s="24" t="inlineStr">
        <is>
          <t>Planned End Date</t>
        </is>
      </c>
      <c r="W3" s="24" t="inlineStr">
        <is>
          <t>Actual completion date</t>
        </is>
      </c>
      <c r="X3" s="24" t="inlineStr">
        <is>
          <t>Physical Works Progress %</t>
        </is>
      </c>
      <c r="Y3" s="24" t="inlineStr">
        <is>
          <t>Reported Status</t>
        </is>
      </c>
      <c r="Z3" s="24" t="inlineStr">
        <is>
          <t>Remarks</t>
        </is>
      </c>
      <c r="AA3" s="26" t="inlineStr">
        <is>
          <t>Current Status (auto)</t>
        </is>
      </c>
      <c r="AB3" s="26" t="inlineStr">
        <is>
          <t>Days in current status</t>
        </is>
      </c>
      <c r="AC3" s="26" t="inlineStr">
        <is>
          <t>Total days first → last step</t>
        </is>
      </c>
      <c r="AD3" s="26" t="inlineStr">
        <is>
          <t>Days over target this step</t>
        </is>
      </c>
      <c r="AE3" s="26" t="inlineStr">
        <is>
          <t>Schedule health</t>
        </is>
      </c>
      <c r="AF3" s="26" t="inlineStr">
        <is>
          <t>Days vs planned date</t>
        </is>
      </c>
      <c r="AG3" s="9" t="inlineStr">
        <is>
          <t>IF('04_Status_Pipeline'!B3="","(spare slot 1)","Date: "&amp;'04_Status_Pipeline'!B3)</t>
        </is>
      </c>
      <c r="AH3" s="9" t="inlineStr">
        <is>
          <t>IF('04_Status_Pipeline'!B4="","(spare slot 2)","Date: "&amp;'04_Status_Pipeline'!B4)</t>
        </is>
      </c>
      <c r="AI3" s="9" t="inlineStr">
        <is>
          <t>IF('04_Status_Pipeline'!B5="","(spare slot 3)","Date: "&amp;'04_Status_Pipeline'!B5)</t>
        </is>
      </c>
      <c r="AJ3" s="9" t="inlineStr">
        <is>
          <t>IF('04_Status_Pipeline'!B6="","(spare slot 4)","Date: "&amp;'04_Status_Pipeline'!B6)</t>
        </is>
      </c>
      <c r="AK3" s="9" t="inlineStr">
        <is>
          <t>IF('04_Status_Pipeline'!B7="","(spare slot 5)","Date: "&amp;'04_Status_Pipeline'!B7)</t>
        </is>
      </c>
      <c r="AL3" s="9" t="inlineStr">
        <is>
          <t>IF('04_Status_Pipeline'!B8="","(spare slot 6)","Date: "&amp;'04_Status_Pipeline'!B8)</t>
        </is>
      </c>
      <c r="AM3" s="9" t="inlineStr">
        <is>
          <t>IF('04_Status_Pipeline'!B9="","(spare slot 7)","Date: "&amp;'04_Status_Pipeline'!B9)</t>
        </is>
      </c>
      <c r="AN3" s="9" t="inlineStr">
        <is>
          <t>IF('04_Status_Pipeline'!B10="","(spare slot 8)","Date: "&amp;'04_Status_Pipeline'!B10)</t>
        </is>
      </c>
      <c r="AO3" s="9" t="inlineStr">
        <is>
          <t>IF('04_Status_Pipeline'!B11="","(spare slot 9)","Date: "&amp;'04_Status_Pipeline'!B11)</t>
        </is>
      </c>
      <c r="AP3" s="9" t="inlineStr">
        <is>
          <t>IF('04_Status_Pipeline'!B12="","(spare slot 10)","Date: "&amp;'04_Status_Pipeline'!B12)</t>
        </is>
      </c>
      <c r="AQ3" s="9" t="inlineStr">
        <is>
          <t>IF('04_Status_Pipeline'!B13="","(spare slot 11)","Date: "&amp;'04_Status_Pipeline'!B13)</t>
        </is>
      </c>
      <c r="AR3" s="9" t="inlineStr">
        <is>
          <t>IF('04_Status_Pipeline'!B14="","(spare slot 12)","Date: "&amp;'04_Status_Pipeline'!B14)</t>
        </is>
      </c>
      <c r="AS3" s="9" t="inlineStr">
        <is>
          <t>IF('04_Status_Pipeline'!B15="","(spare slot 13)","Date: "&amp;'04_Status_Pipeline'!B15)</t>
        </is>
      </c>
      <c r="AT3" s="9" t="inlineStr">
        <is>
          <t>IF('04_Status_Pipeline'!B16="","(spare slot 14)","Date: "&amp;'04_Status_Pipeline'!B16)</t>
        </is>
      </c>
      <c r="AU3" s="29" t="inlineStr">
        <is>
          <t>IF(AND('04_Status_Pipeline'!B3="",'04_Status_Pipeline'!B4=""),"(spare)","Days: "&amp;IF('04_Status_Pipeline'!B3="","(prev)",'04_Status_Pipeline'!B3)&amp;" → "&amp;IF('04_Status_Pipeline'!B4="","(next)",'04_Status_Pipeline'!B4))</t>
        </is>
      </c>
      <c r="AV3" s="29" t="inlineStr">
        <is>
          <t>IF(AND('04_Status_Pipeline'!B4="",'04_Status_Pipeline'!B5=""),"(spare)","Days: "&amp;IF('04_Status_Pipeline'!B4="","(prev)",'04_Status_Pipeline'!B4)&amp;" → "&amp;IF('04_Status_Pipeline'!B5="","(next)",'04_Status_Pipeline'!B5))</t>
        </is>
      </c>
      <c r="AW3" s="29" t="inlineStr">
        <is>
          <t>IF(AND('04_Status_Pipeline'!B5="",'04_Status_Pipeline'!B6=""),"(spare)","Days: "&amp;IF('04_Status_Pipeline'!B5="","(prev)",'04_Status_Pipeline'!B5)&amp;" → "&amp;IF('04_Status_Pipeline'!B6="","(next)",'04_Status_Pipeline'!B6))</t>
        </is>
      </c>
      <c r="AX3" s="29" t="inlineStr">
        <is>
          <t>IF(AND('04_Status_Pipeline'!B6="",'04_Status_Pipeline'!B7=""),"(spare)","Days: "&amp;IF('04_Status_Pipeline'!B6="","(prev)",'04_Status_Pipeline'!B6)&amp;" → "&amp;IF('04_Status_Pipeline'!B7="","(next)",'04_Status_Pipeline'!B7))</t>
        </is>
      </c>
      <c r="AY3" s="29" t="inlineStr">
        <is>
          <t>IF(AND('04_Status_Pipeline'!B7="",'04_Status_Pipeline'!B8=""),"(spare)","Days: "&amp;IF('04_Status_Pipeline'!B7="","(prev)",'04_Status_Pipeline'!B7)&amp;" → "&amp;IF('04_Status_Pipeline'!B8="","(next)",'04_Status_Pipeline'!B8))</t>
        </is>
      </c>
      <c r="AZ3" s="29" t="inlineStr">
        <is>
          <t>IF(AND('04_Status_Pipeline'!B8="",'04_Status_Pipeline'!B9=""),"(spare)","Days: "&amp;IF('04_Status_Pipeline'!B8="","(prev)",'04_Status_Pipeline'!B8)&amp;" → "&amp;IF('04_Status_Pipeline'!B9="","(next)",'04_Status_Pipeline'!B9))</t>
        </is>
      </c>
      <c r="BA3" s="29" t="inlineStr">
        <is>
          <t>IF(AND('04_Status_Pipeline'!B9="",'04_Status_Pipeline'!B10=""),"(spare)","Days: "&amp;IF('04_Status_Pipeline'!B9="","(prev)",'04_Status_Pipeline'!B9)&amp;" → "&amp;IF('04_Status_Pipeline'!B10="","(next)",'04_Status_Pipeline'!B10))</t>
        </is>
      </c>
      <c r="BB3" s="29" t="inlineStr">
        <is>
          <t>IF(AND('04_Status_Pipeline'!B10="",'04_Status_Pipeline'!B11=""),"(spare)","Days: "&amp;IF('04_Status_Pipeline'!B10="","(prev)",'04_Status_Pipeline'!B10)&amp;" → "&amp;IF('04_Status_Pipeline'!B11="","(next)",'04_Status_Pipeline'!B11))</t>
        </is>
      </c>
      <c r="BC3" s="29" t="inlineStr">
        <is>
          <t>IF(AND('04_Status_Pipeline'!B11="",'04_Status_Pipeline'!B12=""),"(spare)","Days: "&amp;IF('04_Status_Pipeline'!B11="","(prev)",'04_Status_Pipeline'!B11)&amp;" → "&amp;IF('04_Status_Pipeline'!B12="","(next)",'04_Status_Pipeline'!B12))</t>
        </is>
      </c>
      <c r="BD3" s="29" t="inlineStr">
        <is>
          <t>IF(AND('04_Status_Pipeline'!B12="",'04_Status_Pipeline'!B13=""),"(spare)","Days: "&amp;IF('04_Status_Pipeline'!B12="","(prev)",'04_Status_Pipeline'!B12)&amp;" → "&amp;IF('04_Status_Pipeline'!B13="","(next)",'04_Status_Pipeline'!B13))</t>
        </is>
      </c>
      <c r="BE3" s="29" t="inlineStr">
        <is>
          <t>IF(AND('04_Status_Pipeline'!B13="",'04_Status_Pipeline'!B14=""),"(spare)","Days: "&amp;IF('04_Status_Pipeline'!B13="","(prev)",'04_Status_Pipeline'!B13)&amp;" → "&amp;IF('04_Status_Pipeline'!B14="","(next)",'04_Status_Pipeline'!B14))</t>
        </is>
      </c>
      <c r="BF3" s="29" t="inlineStr">
        <is>
          <t>IF(AND('04_Status_Pipeline'!B14="",'04_Status_Pipeline'!B15=""),"(spare)","Days: "&amp;IF('04_Status_Pipeline'!B14="","(prev)",'04_Status_Pipeline'!B14)&amp;" → "&amp;IF('04_Status_Pipeline'!B15="","(next)",'04_Status_Pipeline'!B15))</t>
        </is>
      </c>
      <c r="BG3" s="29" t="inlineStr">
        <is>
          <t>IF(AND('04_Status_Pipeline'!B15="",'04_Status_Pipeline'!B16=""),"(spare)","Days: "&amp;IF('04_Status_Pipeline'!B15="","(prev)",'04_Status_Pipeline'!B15)&amp;" → "&amp;IF('04_Status_Pipeline'!B16="","(next)",'04_Status_Pipeline'!B16))</t>
        </is>
      </c>
      <c r="BH3" s="31" t="inlineStr">
        <is>
          <t>_ProvinceList</t>
        </is>
      </c>
      <c r="BI3" s="31" t="inlineStr">
        <is>
          <t>_DistrictList</t>
        </is>
      </c>
    </row>
    <row r="4" ht="18" customHeight="1">
      <c r="A4" s="32" t="inlineStr">
        <is>
          <t>IF(E4="","",ROW()-3)</t>
        </is>
      </c>
      <c r="B4" s="33" t="inlineStr">
        <is>
          <t>DEMO-01</t>
        </is>
      </c>
      <c r="C4" s="33" t="inlineStr">
        <is>
          <t>Emergency Food Security Project (EFSP) – WBK/AF-2</t>
        </is>
      </c>
      <c r="D4" s="33" t="inlineStr">
        <is>
          <t>DEMO Package A — full pipeline (delete from reports)</t>
        </is>
      </c>
      <c r="E4" s="33" t="inlineStr">
        <is>
          <t>Demo Scheme: completed handover</t>
        </is>
      </c>
      <c r="F4" s="33" t="inlineStr">
        <is>
          <t>Check Dam</t>
        </is>
      </c>
      <c r="G4" s="33" t="inlineStr">
        <is>
          <t>West / Herat</t>
        </is>
      </c>
      <c r="H4" s="33" t="inlineStr">
        <is>
          <t>Badghis</t>
        </is>
      </c>
      <c r="I4" s="33" t="inlineStr">
        <is>
          <t>Qadis</t>
        </is>
      </c>
      <c r="J4" s="33" t="inlineStr">
        <is>
          <t>Demo Village A</t>
        </is>
      </c>
      <c r="K4" s="33" t="inlineStr">
        <is>
          <t>World Bank (WBK/AF-2)</t>
        </is>
      </c>
      <c r="L4" s="33" t="n"/>
      <c r="M4" s="33" t="n"/>
      <c r="N4" s="33" t="n"/>
      <c r="O4" s="33" t="inlineStr">
        <is>
          <t>Demo Contractor Ltd</t>
        </is>
      </c>
      <c r="P4" s="33" t="inlineStr">
        <is>
          <t>DEMO-CNT-001</t>
        </is>
      </c>
      <c r="Q4" s="34" t="n">
        <v>120000</v>
      </c>
      <c r="R4" s="35" t="inlineStr">
        <is>
          <t>IF(AO4="","",AO4)</t>
        </is>
      </c>
      <c r="S4" s="36" t="n"/>
      <c r="T4" s="37" t="n">
        <v>5</v>
      </c>
      <c r="U4" s="36" t="n"/>
      <c r="V4" s="35" t="inlineStr">
        <is>
          <t>IF(U4&lt;&gt;"",U4,IF(OR(R4="",T4=""),"",EDATE(R4,T4)))</t>
        </is>
      </c>
      <c r="W4" s="36" t="n"/>
      <c r="X4" s="37" t="n">
        <v>100</v>
      </c>
      <c r="Y4" s="33" t="inlineStr">
        <is>
          <t>Completed / Handover</t>
        </is>
      </c>
      <c r="Z4" s="33" t="inlineStr">
        <is>
          <t>EXAMPLE ONLY — shows days between every step.</t>
        </is>
      </c>
      <c r="AA4" s="32" t="inlineStr">
        <is>
          <t>IF(E4="","",IF(COUNT(AG4:AT4)=0,IF(Y4="","Not started",Y4),SUBSTITUTE(LOOKUP(2,1/(AG4:AT4&lt;&gt;""),$AG$3:$AT$3),"Date: ","")))</t>
        </is>
      </c>
      <c r="AB4" s="38" t="inlineStr">
        <is>
          <t>IF(OR(E4="",COUNT(AG4:AT4)=0),"",TODAY()-LOOKUP(2,1/(AG4:AT4&lt;&gt;""),AG4:AT4))</t>
        </is>
      </c>
      <c r="AC4" s="38" t="inlineStr">
        <is>
          <t>IF(OR(E4="",COUNT(AG4:AT4)&lt;2),"",LOOKUP(2,1/(AG4:AT4&lt;&gt;""),AG4:AT4)-MIN(AG4:AT4))</t>
        </is>
      </c>
      <c r="AD4" s="38" t="inlineStr">
        <is>
          <t>IF(OR(AB4="",AA4="Not started",AA4=""),"",IFERROR(AB4-IF(VLOOKUP(AA4,'04_Status_Pipeline'!$B$3:$E$20,4,FALSE)="",0,VLOOKUP(AA4,'04_Status_Pipeline'!$B$3:$E$20,4,FALSE)),""))</t>
        </is>
      </c>
      <c r="AE4" s="32" t="inlineStr">
        <is>
          <t>IF(E4="","",IF(OR(Y4="Cancelled",AA4="Cancelled"),"Cancelled",IF(OR(AA4="Completed / Handover",W4&lt;&gt;"",X4&gt;=100),"Completed — on track",IF(L4="Remaining",IF(S4="",IF(V4="","No planned date",IF(TODAY()&gt;V4,"Behind — past planned date",IF(V4-TODAY()&lt;=30,"At risk — close to off track","On track"))),IF(TODAY()&gt;S4,"Behind — award date passed",IF(S4-TODAY()&lt;=30,"At risk — close to off track","On track"))),IF(V4="","No planned date",IF(AND(TODAY()&gt;V4,OR(X4="",X4&lt;100)),"Behind — past end date",IF(AND(R4&lt;&gt;"",V4&lt;&gt;"",X4&lt;&gt;"",(X4&lt;100),((TODAY()-R4)/MAX(V4-R4,1)*100)-X4&gt;15),"Behind — progress lag",IF(AND(V4-TODAY()&lt;=30,V4-TODAY()&gt;=0,OR(X4="",X4&lt;90)),"At risk — close to off track","On track"))))))))</t>
        </is>
      </c>
      <c r="AF4" s="38" t="inlineStr">
        <is>
          <t>IF(OR(E4="",AA4="Completed / Handover",AA4="Cancelled"),"",IF(L4="Remaining",IF(S4&lt;&gt;"",S4-TODAY(),IF(V4="","",V4-TODAY())),IF(V4="","",V4-TODAY())))</t>
        </is>
      </c>
      <c r="AG4" s="39" t="n">
        <v>45667</v>
      </c>
      <c r="AH4" s="39" t="n">
        <v>45692</v>
      </c>
      <c r="AI4" s="39" t="n">
        <v>45706</v>
      </c>
      <c r="AJ4" s="39" t="n"/>
      <c r="AK4" s="39" t="n">
        <v>45718</v>
      </c>
      <c r="AL4" s="39" t="n"/>
      <c r="AM4" s="39" t="n">
        <v>45740</v>
      </c>
      <c r="AN4" s="39" t="n">
        <v>45755</v>
      </c>
      <c r="AO4" s="39" t="n">
        <v>45769</v>
      </c>
      <c r="AP4" s="39" t="n">
        <v>45787</v>
      </c>
      <c r="AQ4" s="39" t="n">
        <v>45930</v>
      </c>
      <c r="AR4" s="40" t="n"/>
      <c r="AS4" s="40" t="n"/>
      <c r="AT4" s="40" t="n"/>
      <c r="AU4" s="38" t="inlineStr">
        <is>
          <t>IF(OR(E4="",AH4=""),"",IF(COUNT(AG4:AG4)=0,"",AH4-LOOKUP(2,1/(AG4:AG4&lt;&gt;""),AG4:AG4)))</t>
        </is>
      </c>
      <c r="AV4" s="38" t="inlineStr">
        <is>
          <t>IF(OR(E4="",AI4=""),"",IF(COUNT(AG4:AH4)=0,"",AI4-LOOKUP(2,1/(AG4:AH4&lt;&gt;""),AG4:AH4)))</t>
        </is>
      </c>
      <c r="AW4" s="38" t="inlineStr">
        <is>
          <t>IF(OR(E4="",AJ4=""),"",IF(COUNT(AG4:AI4)=0,"",AJ4-LOOKUP(2,1/(AG4:AI4&lt;&gt;""),AG4:AI4)))</t>
        </is>
      </c>
      <c r="AX4" s="38" t="inlineStr">
        <is>
          <t>IF(OR(E4="",AK4=""),"",IF(COUNT(AG4:AJ4)=0,"",AK4-LOOKUP(2,1/(AG4:AJ4&lt;&gt;""),AG4:AJ4)))</t>
        </is>
      </c>
      <c r="AY4" s="38" t="inlineStr">
        <is>
          <t>IF(OR(E4="",AL4=""),"",IF(COUNT(AG4:AK4)=0,"",AL4-LOOKUP(2,1/(AG4:AK4&lt;&gt;""),AG4:AK4)))</t>
        </is>
      </c>
      <c r="AZ4" s="38" t="inlineStr">
        <is>
          <t>IF(OR(E4="",AM4=""),"",IF(COUNT(AG4:AL4)=0,"",AM4-LOOKUP(2,1/(AG4:AL4&lt;&gt;""),AG4:AL4)))</t>
        </is>
      </c>
      <c r="BA4" s="38" t="inlineStr">
        <is>
          <t>IF(OR(E4="",AN4=""),"",IF(COUNT(AG4:AM4)=0,"",AN4-LOOKUP(2,1/(AG4:AM4&lt;&gt;""),AG4:AM4)))</t>
        </is>
      </c>
      <c r="BB4" s="38" t="inlineStr">
        <is>
          <t>IF(OR(E4="",AO4=""),"",IF(COUNT(AG4:AN4)=0,"",AO4-LOOKUP(2,1/(AG4:AN4&lt;&gt;""),AG4:AN4)))</t>
        </is>
      </c>
      <c r="BC4" s="38" t="inlineStr">
        <is>
          <t>IF(OR(E4="",AP4=""),"",IF(COUNT(AG4:AO4)=0,"",AP4-LOOKUP(2,1/(AG4:AO4&lt;&gt;""),AG4:AO4)))</t>
        </is>
      </c>
      <c r="BD4" s="38" t="inlineStr">
        <is>
          <t>IF(OR(E4="",AQ4=""),"",IF(COUNT(AG4:AP4)=0,"",AQ4-LOOKUP(2,1/(AG4:AP4&lt;&gt;""),AG4:AP4)))</t>
        </is>
      </c>
      <c r="BE4" s="38" t="inlineStr">
        <is>
          <t>IF(OR(E4="",AR4=""),"",IF(COUNT(AG4:AQ4)=0,"",AR4-LOOKUP(2,1/(AG4:AQ4&lt;&gt;""),AG4:AQ4)))</t>
        </is>
      </c>
      <c r="BF4" s="38" t="inlineStr">
        <is>
          <t>IF(OR(E4="",AS4=""),"",IF(COUNT(AG4:AR4)=0,"",AS4-LOOKUP(2,1/(AG4:AR4&lt;&gt;""),AG4:AR4)))</t>
        </is>
      </c>
      <c r="BG4" s="38" t="inlineStr">
        <is>
          <t>IF(OR(E4="",AT4=""),"",IF(COUNT(AG4:AS4)=0,"",AT4-LOOKUP(2,1/(AG4:AS4&lt;&gt;""),AG4:AS4)))</t>
        </is>
      </c>
      <c r="BH4" s="41" t="inlineStr">
        <is>
          <t>IF(G4="","All_Provinces",IFERROR(VLOOKUP(G4,'07_Lookups'!$A$4:$B$20,2,FALSE),"All_Provinces"))</t>
        </is>
      </c>
      <c r="BI4" s="41" t="inlineStr">
        <is>
          <t>IF(H4="","All_Districts",IFERROR(VLOOKUP(H4,'07_Lookups'!$E$4:$F$42,2,FALSE),"All_Districts"))</t>
        </is>
      </c>
    </row>
    <row r="5" ht="18" customHeight="1">
      <c r="A5" s="32" t="inlineStr">
        <is>
          <t>IF(E5="","",ROW()-3)</t>
        </is>
      </c>
      <c r="B5" s="42" t="inlineStr">
        <is>
          <t>DEMO-02</t>
        </is>
      </c>
      <c r="C5" s="42" t="inlineStr">
        <is>
          <t>Emergency Food Security Project (EFSP) – WBK/AF-2</t>
        </is>
      </c>
      <c r="D5" s="42" t="inlineStr">
        <is>
          <t>DEMO Package B — mid pipeline (delete from reports)</t>
        </is>
      </c>
      <c r="E5" s="42" t="inlineStr">
        <is>
          <t>Demo Scheme: currently under technical evaluation</t>
        </is>
      </c>
      <c r="F5" s="42" t="inlineStr">
        <is>
          <t>Boulder Check Dam</t>
        </is>
      </c>
      <c r="G5" s="42" t="inlineStr">
        <is>
          <t>East / Jalalabad</t>
        </is>
      </c>
      <c r="H5" s="42" t="inlineStr">
        <is>
          <t>Kunar</t>
        </is>
      </c>
      <c r="I5" s="42" t="inlineStr">
        <is>
          <t>Narang</t>
        </is>
      </c>
      <c r="J5" s="42" t="inlineStr">
        <is>
          <t>Demo Village B</t>
        </is>
      </c>
      <c r="K5" s="42" t="inlineStr">
        <is>
          <t>World Bank (WBK/AF-2)</t>
        </is>
      </c>
      <c r="L5" s="42" t="n"/>
      <c r="M5" s="42" t="n"/>
      <c r="N5" s="42" t="n"/>
      <c r="O5" s="42" t="n"/>
      <c r="P5" s="42" t="n"/>
      <c r="Q5" s="43" t="n">
        <v>98000</v>
      </c>
      <c r="R5" s="35" t="inlineStr">
        <is>
          <t>IF(AO5="","",AO5)</t>
        </is>
      </c>
      <c r="S5" s="44" t="n"/>
      <c r="T5" s="45" t="n"/>
      <c r="U5" s="44" t="n"/>
      <c r="V5" s="35" t="inlineStr">
        <is>
          <t>IF(U5&lt;&gt;"",U5,IF(OR(R5="",T5=""),"",EDATE(R5,T5)))</t>
        </is>
      </c>
      <c r="W5" s="44" t="n"/>
      <c r="X5" s="45" t="n"/>
      <c r="Y5" s="42" t="inlineStr">
        <is>
          <t>Under Technical Evaluation</t>
        </is>
      </c>
      <c r="Z5" s="42" t="inlineStr">
        <is>
          <t>EXAMPLE ONLY — later dates are blank; days in current step uses TODAY().</t>
        </is>
      </c>
      <c r="AA5" s="32" t="inlineStr">
        <is>
          <t>IF(E5="","",IF(COUNT(AG5:AT5)=0,IF(Y5="","Not started",Y5),SUBSTITUTE(LOOKUP(2,1/(AG5:AT5&lt;&gt;""),$AG$3:$AT$3),"Date: ","")))</t>
        </is>
      </c>
      <c r="AB5" s="38" t="inlineStr">
        <is>
          <t>IF(OR(E5="",COUNT(AG5:AT5)=0),"",TODAY()-LOOKUP(2,1/(AG5:AT5&lt;&gt;""),AG5:AT5))</t>
        </is>
      </c>
      <c r="AC5" s="38" t="inlineStr">
        <is>
          <t>IF(OR(E5="",COUNT(AG5:AT5)&lt;2),"",LOOKUP(2,1/(AG5:AT5&lt;&gt;""),AG5:AT5)-MIN(AG5:AT5))</t>
        </is>
      </c>
      <c r="AD5" s="38" t="inlineStr">
        <is>
          <t>IF(OR(AB5="",AA5="Not started",AA5=""),"",IFERROR(AB5-IF(VLOOKUP(AA5,'04_Status_Pipeline'!$B$3:$E$20,4,FALSE)="",0,VLOOKUP(AA5,'04_Status_Pipeline'!$B$3:$E$20,4,FALSE)),""))</t>
        </is>
      </c>
      <c r="AE5" s="32" t="inlineStr">
        <is>
          <t>IF(E5="","",IF(OR(Y5="Cancelled",AA5="Cancelled"),"Cancelled",IF(OR(AA5="Completed / Handover",W5&lt;&gt;"",X5&gt;=100),"Completed — on track",IF(L5="Remaining",IF(S5="",IF(V5="","No planned date",IF(TODAY()&gt;V5,"Behind — past planned date",IF(V5-TODAY()&lt;=30,"At risk — close to off track","On track"))),IF(TODAY()&gt;S5,"Behind — award date passed",IF(S5-TODAY()&lt;=30,"At risk — close to off track","On track"))),IF(V5="","No planned date",IF(AND(TODAY()&gt;V5,OR(X5="",X5&lt;100)),"Behind — past end date",IF(AND(R5&lt;&gt;"",V5&lt;&gt;"",X5&lt;&gt;"",(X5&lt;100),((TODAY()-R5)/MAX(V5-R5,1)*100)-X5&gt;15),"Behind — progress lag",IF(AND(V5-TODAY()&lt;=30,V5-TODAY()&gt;=0,OR(X5="",X5&lt;90)),"At risk — close to off track","On track"))))))))</t>
        </is>
      </c>
      <c r="AF5" s="38" t="inlineStr">
        <is>
          <t>IF(OR(E5="",AA5="Completed / Handover",AA5="Cancelled"),"",IF(L5="Remaining",IF(S5&lt;&gt;"",S5-TODAY(),IF(V5="","",V5-TODAY())),IF(V5="","",V5-TODAY())))</t>
        </is>
      </c>
      <c r="AG5" s="39" t="n">
        <v>45809</v>
      </c>
      <c r="AH5" s="39" t="n">
        <v>45828</v>
      </c>
      <c r="AI5" s="39" t="n">
        <v>45843</v>
      </c>
      <c r="AJ5" s="39" t="n"/>
      <c r="AK5" s="39" t="n">
        <v>45858</v>
      </c>
      <c r="AL5" s="39" t="n"/>
      <c r="AM5" s="39" t="n">
        <v>45884</v>
      </c>
      <c r="AN5" s="39" t="n"/>
      <c r="AO5" s="39" t="n"/>
      <c r="AP5" s="39" t="n"/>
      <c r="AQ5" s="39" t="n"/>
      <c r="AR5" s="40" t="n"/>
      <c r="AS5" s="40" t="n"/>
      <c r="AT5" s="40" t="n"/>
      <c r="AU5" s="38" t="inlineStr">
        <is>
          <t>IF(OR(E5="",AH5=""),"",IF(COUNT(AG5:AG5)=0,"",AH5-LOOKUP(2,1/(AG5:AG5&lt;&gt;""),AG5:AG5)))</t>
        </is>
      </c>
      <c r="AV5" s="38" t="inlineStr">
        <is>
          <t>IF(OR(E5="",AI5=""),"",IF(COUNT(AG5:AH5)=0,"",AI5-LOOKUP(2,1/(AG5:AH5&lt;&gt;""),AG5:AH5)))</t>
        </is>
      </c>
      <c r="AW5" s="38" t="inlineStr">
        <is>
          <t>IF(OR(E5="",AJ5=""),"",IF(COUNT(AG5:AI5)=0,"",AJ5-LOOKUP(2,1/(AG5:AI5&lt;&gt;""),AG5:AI5)))</t>
        </is>
      </c>
      <c r="AX5" s="38" t="inlineStr">
        <is>
          <t>IF(OR(E5="",AK5=""),"",IF(COUNT(AG5:AJ5)=0,"",AK5-LOOKUP(2,1/(AG5:AJ5&lt;&gt;""),AG5:AJ5)))</t>
        </is>
      </c>
      <c r="AY5" s="38" t="inlineStr">
        <is>
          <t>IF(OR(E5="",AL5=""),"",IF(COUNT(AG5:AK5)=0,"",AL5-LOOKUP(2,1/(AG5:AK5&lt;&gt;""),AG5:AK5)))</t>
        </is>
      </c>
      <c r="AZ5" s="38" t="inlineStr">
        <is>
          <t>IF(OR(E5="",AM5=""),"",IF(COUNT(AG5:AL5)=0,"",AM5-LOOKUP(2,1/(AG5:AL5&lt;&gt;""),AG5:AL5)))</t>
        </is>
      </c>
      <c r="BA5" s="38" t="inlineStr">
        <is>
          <t>IF(OR(E5="",AN5=""),"",IF(COUNT(AG5:AM5)=0,"",AN5-LOOKUP(2,1/(AG5:AM5&lt;&gt;""),AG5:AM5)))</t>
        </is>
      </c>
      <c r="BB5" s="38" t="inlineStr">
        <is>
          <t>IF(OR(E5="",AO5=""),"",IF(COUNT(AG5:AN5)=0,"",AO5-LOOKUP(2,1/(AG5:AN5&lt;&gt;""),AG5:AN5)))</t>
        </is>
      </c>
      <c r="BC5" s="38" t="inlineStr">
        <is>
          <t>IF(OR(E5="",AP5=""),"",IF(COUNT(AG5:AO5)=0,"",AP5-LOOKUP(2,1/(AG5:AO5&lt;&gt;""),AG5:AO5)))</t>
        </is>
      </c>
      <c r="BD5" s="38" t="inlineStr">
        <is>
          <t>IF(OR(E5="",AQ5=""),"",IF(COUNT(AG5:AP5)=0,"",AQ5-LOOKUP(2,1/(AG5:AP5&lt;&gt;""),AG5:AP5)))</t>
        </is>
      </c>
      <c r="BE5" s="38" t="inlineStr">
        <is>
          <t>IF(OR(E5="",AR5=""),"",IF(COUNT(AG5:AQ5)=0,"",AR5-LOOKUP(2,1/(AG5:AQ5&lt;&gt;""),AG5:AQ5)))</t>
        </is>
      </c>
      <c r="BF5" s="38" t="inlineStr">
        <is>
          <t>IF(OR(E5="",AS5=""),"",IF(COUNT(AG5:AR5)=0,"",AS5-LOOKUP(2,1/(AG5:AR5&lt;&gt;""),AG5:AR5)))</t>
        </is>
      </c>
      <c r="BG5" s="38" t="inlineStr">
        <is>
          <t>IF(OR(E5="",AT5=""),"",IF(COUNT(AG5:AS5)=0,"",AT5-LOOKUP(2,1/(AG5:AS5&lt;&gt;""),AG5:AS5)))</t>
        </is>
      </c>
      <c r="BH5" s="41" t="inlineStr">
        <is>
          <t>IF(G5="","All_Provinces",IFERROR(VLOOKUP(G5,'07_Lookups'!$A$4:$B$20,2,FALSE),"All_Provinces"))</t>
        </is>
      </c>
      <c r="BI5" s="41" t="inlineStr">
        <is>
          <t>IF(H5="","All_Districts",IFERROR(VLOOKUP(H5,'07_Lookups'!$E$4:$F$42,2,FALSE),"All_Districts"))</t>
        </is>
      </c>
    </row>
    <row r="6" ht="18" customHeight="1">
      <c r="A6" s="32" t="inlineStr">
        <is>
          <t>IF(E6="","",ROW()-3)</t>
        </is>
      </c>
      <c r="B6" s="33" t="n"/>
      <c r="C6" s="33" t="n"/>
      <c r="D6" s="33" t="n"/>
      <c r="E6" s="33" t="n"/>
      <c r="F6" s="33" t="n"/>
      <c r="G6" s="33" t="n"/>
      <c r="H6" s="33" t="n"/>
      <c r="I6" s="33" t="n"/>
      <c r="J6" s="33" t="n"/>
      <c r="K6" s="33" t="n"/>
      <c r="L6" s="33" t="n"/>
      <c r="M6" s="33" t="n"/>
      <c r="N6" s="33" t="n"/>
      <c r="O6" s="33" t="n"/>
      <c r="P6" s="33" t="n"/>
      <c r="Q6" s="34" t="n"/>
      <c r="R6" s="35" t="inlineStr">
        <is>
          <t>IF(AO6="","",AO6)</t>
        </is>
      </c>
      <c r="S6" s="36" t="n"/>
      <c r="T6" s="37" t="n"/>
      <c r="U6" s="36" t="n"/>
      <c r="V6" s="35" t="inlineStr">
        <is>
          <t>IF(U6&lt;&gt;"",U6,IF(OR(R6="",T6=""),"",EDATE(R6,T6)))</t>
        </is>
      </c>
      <c r="W6" s="36" t="n"/>
      <c r="X6" s="37" t="n"/>
      <c r="Y6" s="33" t="n"/>
      <c r="Z6" s="33" t="n"/>
      <c r="AA6" s="32" t="inlineStr">
        <is>
          <t>IF(E6="","",IF(COUNT(AG6:AT6)=0,IF(Y6="","Not started",Y6),SUBSTITUTE(LOOKUP(2,1/(AG6:AT6&lt;&gt;""),$AG$3:$AT$3),"Date: ","")))</t>
        </is>
      </c>
      <c r="AB6" s="38" t="inlineStr">
        <is>
          <t>IF(OR(E6="",COUNT(AG6:AT6)=0),"",TODAY()-LOOKUP(2,1/(AG6:AT6&lt;&gt;""),AG6:AT6))</t>
        </is>
      </c>
      <c r="AC6" s="38" t="inlineStr">
        <is>
          <t>IF(OR(E6="",COUNT(AG6:AT6)&lt;2),"",LOOKUP(2,1/(AG6:AT6&lt;&gt;""),AG6:AT6)-MIN(AG6:AT6))</t>
        </is>
      </c>
      <c r="AD6" s="38" t="inlineStr">
        <is>
          <t>IF(OR(AB6="",AA6="Not started",AA6=""),"",IFERROR(AB6-IF(VLOOKUP(AA6,'04_Status_Pipeline'!$B$3:$E$20,4,FALSE)="",0,VLOOKUP(AA6,'04_Status_Pipeline'!$B$3:$E$20,4,FALSE)),""))</t>
        </is>
      </c>
      <c r="AE6" s="32" t="inlineStr">
        <is>
          <t>IF(E6="","",IF(OR(Y6="Cancelled",AA6="Cancelled"),"Cancelled",IF(OR(AA6="Completed / Handover",W6&lt;&gt;"",X6&gt;=100),"Completed — on track",IF(L6="Remaining",IF(S6="",IF(V6="","No planned date",IF(TODAY()&gt;V6,"Behind — past planned date",IF(V6-TODAY()&lt;=30,"At risk — close to off track","On track"))),IF(TODAY()&gt;S6,"Behind — award date passed",IF(S6-TODAY()&lt;=30,"At risk — close to off track","On track"))),IF(V6="","No planned date",IF(AND(TODAY()&gt;V6,OR(X6="",X6&lt;100)),"Behind — past end date",IF(AND(R6&lt;&gt;"",V6&lt;&gt;"",X6&lt;&gt;"",(X6&lt;100),((TODAY()-R6)/MAX(V6-R6,1)*100)-X6&gt;15),"Behind — progress lag",IF(AND(V6-TODAY()&lt;=30,V6-TODAY()&gt;=0,OR(X6="",X6&lt;90)),"At risk — close to off track","On track"))))))))</t>
        </is>
      </c>
      <c r="AF6" s="38" t="inlineStr">
        <is>
          <t>IF(OR(E6="",AA6="Completed / Handover",AA6="Cancelled"),"",IF(L6="Remaining",IF(S6&lt;&gt;"",S6-TODAY(),IF(V6="","",V6-TODAY())),IF(V6="","",V6-TODAY())))</t>
        </is>
      </c>
      <c r="AG6" s="36" t="n"/>
      <c r="AH6" s="36" t="n"/>
      <c r="AI6" s="36" t="n"/>
      <c r="AJ6" s="36" t="n"/>
      <c r="AK6" s="36" t="n"/>
      <c r="AL6" s="36" t="n"/>
      <c r="AM6" s="36" t="n"/>
      <c r="AN6" s="36" t="n"/>
      <c r="AO6" s="36" t="n"/>
      <c r="AP6" s="36" t="n"/>
      <c r="AQ6" s="36" t="n"/>
      <c r="AR6" s="40" t="n"/>
      <c r="AS6" s="40" t="n"/>
      <c r="AT6" s="40" t="n"/>
      <c r="AU6" s="38" t="inlineStr">
        <is>
          <t>IF(OR(E6="",AH6=""),"",IF(COUNT(AG6:AG6)=0,"",AH6-LOOKUP(2,1/(AG6:AG6&lt;&gt;""),AG6:AG6)))</t>
        </is>
      </c>
      <c r="AV6" s="38" t="inlineStr">
        <is>
          <t>IF(OR(E6="",AI6=""),"",IF(COUNT(AG6:AH6)=0,"",AI6-LOOKUP(2,1/(AG6:AH6&lt;&gt;""),AG6:AH6)))</t>
        </is>
      </c>
      <c r="AW6" s="38" t="inlineStr">
        <is>
          <t>IF(OR(E6="",AJ6=""),"",IF(COUNT(AG6:AI6)=0,"",AJ6-LOOKUP(2,1/(AG6:AI6&lt;&gt;""),AG6:AI6)))</t>
        </is>
      </c>
      <c r="AX6" s="38" t="inlineStr">
        <is>
          <t>IF(OR(E6="",AK6=""),"",IF(COUNT(AG6:AJ6)=0,"",AK6-LOOKUP(2,1/(AG6:AJ6&lt;&gt;""),AG6:AJ6)))</t>
        </is>
      </c>
      <c r="AY6" s="38" t="inlineStr">
        <is>
          <t>IF(OR(E6="",AL6=""),"",IF(COUNT(AG6:AK6)=0,"",AL6-LOOKUP(2,1/(AG6:AK6&lt;&gt;""),AG6:AK6)))</t>
        </is>
      </c>
      <c r="AZ6" s="38" t="inlineStr">
        <is>
          <t>IF(OR(E6="",AM6=""),"",IF(COUNT(AG6:AL6)=0,"",AM6-LOOKUP(2,1/(AG6:AL6&lt;&gt;""),AG6:AL6)))</t>
        </is>
      </c>
      <c r="BA6" s="38" t="inlineStr">
        <is>
          <t>IF(OR(E6="",AN6=""),"",IF(COUNT(AG6:AM6)=0,"",AN6-LOOKUP(2,1/(AG6:AM6&lt;&gt;""),AG6:AM6)))</t>
        </is>
      </c>
      <c r="BB6" s="38" t="inlineStr">
        <is>
          <t>IF(OR(E6="",AO6=""),"",IF(COUNT(AG6:AN6)=0,"",AO6-LOOKUP(2,1/(AG6:AN6&lt;&gt;""),AG6:AN6)))</t>
        </is>
      </c>
      <c r="BC6" s="38" t="inlineStr">
        <is>
          <t>IF(OR(E6="",AP6=""),"",IF(COUNT(AG6:AO6)=0,"",AP6-LOOKUP(2,1/(AG6:AO6&lt;&gt;""),AG6:AO6)))</t>
        </is>
      </c>
      <c r="BD6" s="38" t="inlineStr">
        <is>
          <t>IF(OR(E6="",AQ6=""),"",IF(COUNT(AG6:AP6)=0,"",AQ6-LOOKUP(2,1/(AG6:AP6&lt;&gt;""),AG6:AP6)))</t>
        </is>
      </c>
      <c r="BE6" s="38" t="inlineStr">
        <is>
          <t>IF(OR(E6="",AR6=""),"",IF(COUNT(AG6:AQ6)=0,"",AR6-LOOKUP(2,1/(AG6:AQ6&lt;&gt;""),AG6:AQ6)))</t>
        </is>
      </c>
      <c r="BF6" s="38" t="inlineStr">
        <is>
          <t>IF(OR(E6="",AS6=""),"",IF(COUNT(AG6:AR6)=0,"",AS6-LOOKUP(2,1/(AG6:AR6&lt;&gt;""),AG6:AR6)))</t>
        </is>
      </c>
      <c r="BG6" s="38" t="inlineStr">
        <is>
          <t>IF(OR(E6="",AT6=""),"",IF(COUNT(AG6:AS6)=0,"",AT6-LOOKUP(2,1/(AG6:AS6&lt;&gt;""),AG6:AS6)))</t>
        </is>
      </c>
      <c r="BH6" s="41" t="inlineStr">
        <is>
          <t>IF(G6="","All_Provinces",IFERROR(VLOOKUP(G6,'07_Lookups'!$A$4:$B$20,2,FALSE),"All_Provinces"))</t>
        </is>
      </c>
      <c r="BI6" s="41" t="inlineStr">
        <is>
          <t>IF(H6="","All_Districts",IFERROR(VLOOKUP(H6,'07_Lookups'!$E$4:$F$42,2,FALSE),"All_Districts"))</t>
        </is>
      </c>
    </row>
    <row r="7" ht="18" customHeight="1">
      <c r="A7" s="32" t="inlineStr">
        <is>
          <t>IF(E7="","",ROW()-3)</t>
        </is>
      </c>
      <c r="B7" s="42" t="n"/>
      <c r="C7" s="42" t="n"/>
      <c r="D7" s="42" t="n"/>
      <c r="E7" s="42" t="n"/>
      <c r="F7" s="42" t="n"/>
      <c r="G7" s="42" t="n"/>
      <c r="H7" s="42" t="n"/>
      <c r="I7" s="42" t="n"/>
      <c r="J7" s="42" t="n"/>
      <c r="K7" s="42" t="n"/>
      <c r="L7" s="42" t="n"/>
      <c r="M7" s="42" t="n"/>
      <c r="N7" s="42" t="n"/>
      <c r="O7" s="42" t="n"/>
      <c r="P7" s="42" t="n"/>
      <c r="Q7" s="43" t="n"/>
      <c r="R7" s="35" t="inlineStr">
        <is>
          <t>IF(AO7="","",AO7)</t>
        </is>
      </c>
      <c r="S7" s="44" t="n"/>
      <c r="T7" s="45" t="n"/>
      <c r="U7" s="44" t="n"/>
      <c r="V7" s="35" t="inlineStr">
        <is>
          <t>IF(U7&lt;&gt;"",U7,IF(OR(R7="",T7=""),"",EDATE(R7,T7)))</t>
        </is>
      </c>
      <c r="W7" s="44" t="n"/>
      <c r="X7" s="45" t="n"/>
      <c r="Y7" s="42" t="n"/>
      <c r="Z7" s="42" t="n"/>
      <c r="AA7" s="32" t="inlineStr">
        <is>
          <t>IF(E7="","",IF(COUNT(AG7:AT7)=0,IF(Y7="","Not started",Y7),SUBSTITUTE(LOOKUP(2,1/(AG7:AT7&lt;&gt;""),$AG$3:$AT$3),"Date: ","")))</t>
        </is>
      </c>
      <c r="AB7" s="38" t="inlineStr">
        <is>
          <t>IF(OR(E7="",COUNT(AG7:AT7)=0),"",TODAY()-LOOKUP(2,1/(AG7:AT7&lt;&gt;""),AG7:AT7))</t>
        </is>
      </c>
      <c r="AC7" s="38" t="inlineStr">
        <is>
          <t>IF(OR(E7="",COUNT(AG7:AT7)&lt;2),"",LOOKUP(2,1/(AG7:AT7&lt;&gt;""),AG7:AT7)-MIN(AG7:AT7))</t>
        </is>
      </c>
      <c r="AD7" s="38" t="inlineStr">
        <is>
          <t>IF(OR(AB7="",AA7="Not started",AA7=""),"",IFERROR(AB7-IF(VLOOKUP(AA7,'04_Status_Pipeline'!$B$3:$E$20,4,FALSE)="",0,VLOOKUP(AA7,'04_Status_Pipeline'!$B$3:$E$20,4,FALSE)),""))</t>
        </is>
      </c>
      <c r="AE7" s="32" t="inlineStr">
        <is>
          <t>IF(E7="","",IF(OR(Y7="Cancelled",AA7="Cancelled"),"Cancelled",IF(OR(AA7="Completed / Handover",W7&lt;&gt;"",X7&gt;=100),"Completed — on track",IF(L7="Remaining",IF(S7="",IF(V7="","No planned date",IF(TODAY()&gt;V7,"Behind — past planned date",IF(V7-TODAY()&lt;=30,"At risk — close to off track","On track"))),IF(TODAY()&gt;S7,"Behind — award date passed",IF(S7-TODAY()&lt;=30,"At risk — close to off track","On track"))),IF(V7="","No planned date",IF(AND(TODAY()&gt;V7,OR(X7="",X7&lt;100)),"Behind — past end date",IF(AND(R7&lt;&gt;"",V7&lt;&gt;"",X7&lt;&gt;"",(X7&lt;100),((TODAY()-R7)/MAX(V7-R7,1)*100)-X7&gt;15),"Behind — progress lag",IF(AND(V7-TODAY()&lt;=30,V7-TODAY()&gt;=0,OR(X7="",X7&lt;90)),"At risk — close to off track","On track"))))))))</t>
        </is>
      </c>
      <c r="AF7" s="38" t="inlineStr">
        <is>
          <t>IF(OR(E7="",AA7="Completed / Handover",AA7="Cancelled"),"",IF(L7="Remaining",IF(S7&lt;&gt;"",S7-TODAY(),IF(V7="","",V7-TODAY())),IF(V7="","",V7-TODAY())))</t>
        </is>
      </c>
      <c r="AG7" s="44" t="n"/>
      <c r="AH7" s="44" t="n"/>
      <c r="AI7" s="44" t="n"/>
      <c r="AJ7" s="44" t="n"/>
      <c r="AK7" s="44" t="n"/>
      <c r="AL7" s="44" t="n"/>
      <c r="AM7" s="44" t="n"/>
      <c r="AN7" s="44" t="n"/>
      <c r="AO7" s="44" t="n"/>
      <c r="AP7" s="44" t="n"/>
      <c r="AQ7" s="44" t="n"/>
      <c r="AR7" s="40" t="n"/>
      <c r="AS7" s="40" t="n"/>
      <c r="AT7" s="40" t="n"/>
      <c r="AU7" s="38" t="inlineStr">
        <is>
          <t>IF(OR(E7="",AH7=""),"",IF(COUNT(AG7:AG7)=0,"",AH7-LOOKUP(2,1/(AG7:AG7&lt;&gt;""),AG7:AG7)))</t>
        </is>
      </c>
      <c r="AV7" s="38" t="inlineStr">
        <is>
          <t>IF(OR(E7="",AI7=""),"",IF(COUNT(AG7:AH7)=0,"",AI7-LOOKUP(2,1/(AG7:AH7&lt;&gt;""),AG7:AH7)))</t>
        </is>
      </c>
      <c r="AW7" s="38" t="inlineStr">
        <is>
          <t>IF(OR(E7="",AJ7=""),"",IF(COUNT(AG7:AI7)=0,"",AJ7-LOOKUP(2,1/(AG7:AI7&lt;&gt;""),AG7:AI7)))</t>
        </is>
      </c>
      <c r="AX7" s="38" t="inlineStr">
        <is>
          <t>IF(OR(E7="",AK7=""),"",IF(COUNT(AG7:AJ7)=0,"",AK7-LOOKUP(2,1/(AG7:AJ7&lt;&gt;""),AG7:AJ7)))</t>
        </is>
      </c>
      <c r="AY7" s="38" t="inlineStr">
        <is>
          <t>IF(OR(E7="",AL7=""),"",IF(COUNT(AG7:AK7)=0,"",AL7-LOOKUP(2,1/(AG7:AK7&lt;&gt;""),AG7:AK7)))</t>
        </is>
      </c>
      <c r="AZ7" s="38" t="inlineStr">
        <is>
          <t>IF(OR(E7="",AM7=""),"",IF(COUNT(AG7:AL7)=0,"",AM7-LOOKUP(2,1/(AG7:AL7&lt;&gt;""),AG7:AL7)))</t>
        </is>
      </c>
      <c r="BA7" s="38" t="inlineStr">
        <is>
          <t>IF(OR(E7="",AN7=""),"",IF(COUNT(AG7:AM7)=0,"",AN7-LOOKUP(2,1/(AG7:AM7&lt;&gt;""),AG7:AM7)))</t>
        </is>
      </c>
      <c r="BB7" s="38" t="inlineStr">
        <is>
          <t>IF(OR(E7="",AO7=""),"",IF(COUNT(AG7:AN7)=0,"",AO7-LOOKUP(2,1/(AG7:AN7&lt;&gt;""),AG7:AN7)))</t>
        </is>
      </c>
      <c r="BC7" s="38" t="inlineStr">
        <is>
          <t>IF(OR(E7="",AP7=""),"",IF(COUNT(AG7:AO7)=0,"",AP7-LOOKUP(2,1/(AG7:AO7&lt;&gt;""),AG7:AO7)))</t>
        </is>
      </c>
      <c r="BD7" s="38" t="inlineStr">
        <is>
          <t>IF(OR(E7="",AQ7=""),"",IF(COUNT(AG7:AP7)=0,"",AQ7-LOOKUP(2,1/(AG7:AP7&lt;&gt;""),AG7:AP7)))</t>
        </is>
      </c>
      <c r="BE7" s="38" t="inlineStr">
        <is>
          <t>IF(OR(E7="",AR7=""),"",IF(COUNT(AG7:AQ7)=0,"",AR7-LOOKUP(2,1/(AG7:AQ7&lt;&gt;""),AG7:AQ7)))</t>
        </is>
      </c>
      <c r="BF7" s="38" t="inlineStr">
        <is>
          <t>IF(OR(E7="",AS7=""),"",IF(COUNT(AG7:AR7)=0,"",AS7-LOOKUP(2,1/(AG7:AR7&lt;&gt;""),AG7:AR7)))</t>
        </is>
      </c>
      <c r="BG7" s="38" t="inlineStr">
        <is>
          <t>IF(OR(E7="",AT7=""),"",IF(COUNT(AG7:AS7)=0,"",AT7-LOOKUP(2,1/(AG7:AS7&lt;&gt;""),AG7:AS7)))</t>
        </is>
      </c>
      <c r="BH7" s="41" t="inlineStr">
        <is>
          <t>IF(G7="","All_Provinces",IFERROR(VLOOKUP(G7,'07_Lookups'!$A$4:$B$20,2,FALSE),"All_Provinces"))</t>
        </is>
      </c>
      <c r="BI7" s="41" t="inlineStr">
        <is>
          <t>IF(H7="","All_Districts",IFERROR(VLOOKUP(H7,'07_Lookups'!$E$4:$F$42,2,FALSE),"All_Districts"))</t>
        </is>
      </c>
    </row>
    <row r="8" ht="18" customHeight="1">
      <c r="A8" s="32" t="inlineStr">
        <is>
          <t>IF(E8="","",ROW()-3)</t>
        </is>
      </c>
      <c r="B8" s="33" t="n"/>
      <c r="C8" s="33" t="n"/>
      <c r="D8" s="33" t="n"/>
      <c r="E8" s="33" t="n"/>
      <c r="F8" s="33" t="n"/>
      <c r="G8" s="33" t="n"/>
      <c r="H8" s="33" t="n"/>
      <c r="I8" s="33" t="n"/>
      <c r="J8" s="33" t="n"/>
      <c r="K8" s="33" t="n"/>
      <c r="L8" s="33" t="n"/>
      <c r="M8" s="33" t="n"/>
      <c r="N8" s="33" t="n"/>
      <c r="O8" s="33" t="n"/>
      <c r="P8" s="33" t="n"/>
      <c r="Q8" s="34" t="n"/>
      <c r="R8" s="35" t="inlineStr">
        <is>
          <t>IF(AO8="","",AO8)</t>
        </is>
      </c>
      <c r="S8" s="36" t="n"/>
      <c r="T8" s="37" t="n"/>
      <c r="U8" s="36" t="n"/>
      <c r="V8" s="35" t="inlineStr">
        <is>
          <t>IF(U8&lt;&gt;"",U8,IF(OR(R8="",T8=""),"",EDATE(R8,T8)))</t>
        </is>
      </c>
      <c r="W8" s="36" t="n"/>
      <c r="X8" s="37" t="n"/>
      <c r="Y8" s="33" t="n"/>
      <c r="Z8" s="33" t="n"/>
      <c r="AA8" s="32" t="inlineStr">
        <is>
          <t>IF(E8="","",IF(COUNT(AG8:AT8)=0,IF(Y8="","Not started",Y8),SUBSTITUTE(LOOKUP(2,1/(AG8:AT8&lt;&gt;""),$AG$3:$AT$3),"Date: ","")))</t>
        </is>
      </c>
      <c r="AB8" s="38" t="inlineStr">
        <is>
          <t>IF(OR(E8="",COUNT(AG8:AT8)=0),"",TODAY()-LOOKUP(2,1/(AG8:AT8&lt;&gt;""),AG8:AT8))</t>
        </is>
      </c>
      <c r="AC8" s="38" t="inlineStr">
        <is>
          <t>IF(OR(E8="",COUNT(AG8:AT8)&lt;2),"",LOOKUP(2,1/(AG8:AT8&lt;&gt;""),AG8:AT8)-MIN(AG8:AT8))</t>
        </is>
      </c>
      <c r="AD8" s="38" t="inlineStr">
        <is>
          <t>IF(OR(AB8="",AA8="Not started",AA8=""),"",IFERROR(AB8-IF(VLOOKUP(AA8,'04_Status_Pipeline'!$B$3:$E$20,4,FALSE)="",0,VLOOKUP(AA8,'04_Status_Pipeline'!$B$3:$E$20,4,FALSE)),""))</t>
        </is>
      </c>
      <c r="AE8" s="32" t="inlineStr">
        <is>
          <t>IF(E8="","",IF(OR(Y8="Cancelled",AA8="Cancelled"),"Cancelled",IF(OR(AA8="Completed / Handover",W8&lt;&gt;"",X8&gt;=100),"Completed — on track",IF(L8="Remaining",IF(S8="",IF(V8="","No planned date",IF(TODAY()&gt;V8,"Behind — past planned date",IF(V8-TODAY()&lt;=30,"At risk — close to off track","On track"))),IF(TODAY()&gt;S8,"Behind — award date passed",IF(S8-TODAY()&lt;=30,"At risk — close to off track","On track"))),IF(V8="","No planned date",IF(AND(TODAY()&gt;V8,OR(X8="",X8&lt;100)),"Behind — past end date",IF(AND(R8&lt;&gt;"",V8&lt;&gt;"",X8&lt;&gt;"",(X8&lt;100),((TODAY()-R8)/MAX(V8-R8,1)*100)-X8&gt;15),"Behind — progress lag",IF(AND(V8-TODAY()&lt;=30,V8-TODAY()&gt;=0,OR(X8="",X8&lt;90)),"At risk — close to off track","On track"))))))))</t>
        </is>
      </c>
      <c r="AF8" s="38" t="inlineStr">
        <is>
          <t>IF(OR(E8="",AA8="Completed / Handover",AA8="Cancelled"),"",IF(L8="Remaining",IF(S8&lt;&gt;"",S8-TODAY(),IF(V8="","",V8-TODAY())),IF(V8="","",V8-TODAY())))</t>
        </is>
      </c>
      <c r="AG8" s="36" t="n"/>
      <c r="AH8" s="36" t="n"/>
      <c r="AI8" s="36" t="n"/>
      <c r="AJ8" s="36" t="n"/>
      <c r="AK8" s="36" t="n"/>
      <c r="AL8" s="36" t="n"/>
      <c r="AM8" s="36" t="n"/>
      <c r="AN8" s="36" t="n"/>
      <c r="AO8" s="36" t="n"/>
      <c r="AP8" s="36" t="n"/>
      <c r="AQ8" s="36" t="n"/>
      <c r="AR8" s="40" t="n"/>
      <c r="AS8" s="40" t="n"/>
      <c r="AT8" s="40" t="n"/>
      <c r="AU8" s="38" t="inlineStr">
        <is>
          <t>IF(OR(E8="",AH8=""),"",IF(COUNT(AG8:AG8)=0,"",AH8-LOOKUP(2,1/(AG8:AG8&lt;&gt;""),AG8:AG8)))</t>
        </is>
      </c>
      <c r="AV8" s="38" t="inlineStr">
        <is>
          <t>IF(OR(E8="",AI8=""),"",IF(COUNT(AG8:AH8)=0,"",AI8-LOOKUP(2,1/(AG8:AH8&lt;&gt;""),AG8:AH8)))</t>
        </is>
      </c>
      <c r="AW8" s="38" t="inlineStr">
        <is>
          <t>IF(OR(E8="",AJ8=""),"",IF(COUNT(AG8:AI8)=0,"",AJ8-LOOKUP(2,1/(AG8:AI8&lt;&gt;""),AG8:AI8)))</t>
        </is>
      </c>
      <c r="AX8" s="38" t="inlineStr">
        <is>
          <t>IF(OR(E8="",AK8=""),"",IF(COUNT(AG8:AJ8)=0,"",AK8-LOOKUP(2,1/(AG8:AJ8&lt;&gt;""),AG8:AJ8)))</t>
        </is>
      </c>
      <c r="AY8" s="38" t="inlineStr">
        <is>
          <t>IF(OR(E8="",AL8=""),"",IF(COUNT(AG8:AK8)=0,"",AL8-LOOKUP(2,1/(AG8:AK8&lt;&gt;""),AG8:AK8)))</t>
        </is>
      </c>
      <c r="AZ8" s="38" t="inlineStr">
        <is>
          <t>IF(OR(E8="",AM8=""),"",IF(COUNT(AG8:AL8)=0,"",AM8-LOOKUP(2,1/(AG8:AL8&lt;&gt;""),AG8:AL8)))</t>
        </is>
      </c>
      <c r="BA8" s="38" t="inlineStr">
        <is>
          <t>IF(OR(E8="",AN8=""),"",IF(COUNT(AG8:AM8)=0,"",AN8-LOOKUP(2,1/(AG8:AM8&lt;&gt;""),AG8:AM8)))</t>
        </is>
      </c>
      <c r="BB8" s="38" t="inlineStr">
        <is>
          <t>IF(OR(E8="",AO8=""),"",IF(COUNT(AG8:AN8)=0,"",AO8-LOOKUP(2,1/(AG8:AN8&lt;&gt;""),AG8:AN8)))</t>
        </is>
      </c>
      <c r="BC8" s="38" t="inlineStr">
        <is>
          <t>IF(OR(E8="",AP8=""),"",IF(COUNT(AG8:AO8)=0,"",AP8-LOOKUP(2,1/(AG8:AO8&lt;&gt;""),AG8:AO8)))</t>
        </is>
      </c>
      <c r="BD8" s="38" t="inlineStr">
        <is>
          <t>IF(OR(E8="",AQ8=""),"",IF(COUNT(AG8:AP8)=0,"",AQ8-LOOKUP(2,1/(AG8:AP8&lt;&gt;""),AG8:AP8)))</t>
        </is>
      </c>
      <c r="BE8" s="38" t="inlineStr">
        <is>
          <t>IF(OR(E8="",AR8=""),"",IF(COUNT(AG8:AQ8)=0,"",AR8-LOOKUP(2,1/(AG8:AQ8&lt;&gt;""),AG8:AQ8)))</t>
        </is>
      </c>
      <c r="BF8" s="38" t="inlineStr">
        <is>
          <t>IF(OR(E8="",AS8=""),"",IF(COUNT(AG8:AR8)=0,"",AS8-LOOKUP(2,1/(AG8:AR8&lt;&gt;""),AG8:AR8)))</t>
        </is>
      </c>
      <c r="BG8" s="38" t="inlineStr">
        <is>
          <t>IF(OR(E8="",AT8=""),"",IF(COUNT(AG8:AS8)=0,"",AT8-LOOKUP(2,1/(AG8:AS8&lt;&gt;""),AG8:AS8)))</t>
        </is>
      </c>
      <c r="BH8" s="41" t="inlineStr">
        <is>
          <t>IF(G8="","All_Provinces",IFERROR(VLOOKUP(G8,'07_Lookups'!$A$4:$B$20,2,FALSE),"All_Provinces"))</t>
        </is>
      </c>
      <c r="BI8" s="41" t="inlineStr">
        <is>
          <t>IF(H8="","All_Districts",IFERROR(VLOOKUP(H8,'07_Lookups'!$E$4:$F$42,2,FALSE),"All_Districts"))</t>
        </is>
      </c>
    </row>
    <row r="9" ht="18" customHeight="1">
      <c r="A9" s="32" t="inlineStr">
        <is>
          <t>IF(E9="","",ROW()-3)</t>
        </is>
      </c>
      <c r="B9" s="42" t="n"/>
      <c r="C9" s="42" t="n"/>
      <c r="D9" s="42" t="n"/>
      <c r="E9" s="42" t="n"/>
      <c r="F9" s="42" t="n"/>
      <c r="G9" s="42" t="n"/>
      <c r="H9" s="42" t="n"/>
      <c r="I9" s="42" t="n"/>
      <c r="J9" s="42" t="n"/>
      <c r="K9" s="42" t="n"/>
      <c r="L9" s="42" t="n"/>
      <c r="M9" s="42" t="n"/>
      <c r="N9" s="42" t="n"/>
      <c r="O9" s="42" t="n"/>
      <c r="P9" s="42" t="n"/>
      <c r="Q9" s="43" t="n"/>
      <c r="R9" s="35" t="inlineStr">
        <is>
          <t>IF(AO9="","",AO9)</t>
        </is>
      </c>
      <c r="S9" s="44" t="n"/>
      <c r="T9" s="45" t="n"/>
      <c r="U9" s="44" t="n"/>
      <c r="V9" s="35" t="inlineStr">
        <is>
          <t>IF(U9&lt;&gt;"",U9,IF(OR(R9="",T9=""),"",EDATE(R9,T9)))</t>
        </is>
      </c>
      <c r="W9" s="44" t="n"/>
      <c r="X9" s="45" t="n"/>
      <c r="Y9" s="42" t="n"/>
      <c r="Z9" s="42" t="n"/>
      <c r="AA9" s="32" t="inlineStr">
        <is>
          <t>IF(E9="","",IF(COUNT(AG9:AT9)=0,IF(Y9="","Not started",Y9),SUBSTITUTE(LOOKUP(2,1/(AG9:AT9&lt;&gt;""),$AG$3:$AT$3),"Date: ","")))</t>
        </is>
      </c>
      <c r="AB9" s="38" t="inlineStr">
        <is>
          <t>IF(OR(E9="",COUNT(AG9:AT9)=0),"",TODAY()-LOOKUP(2,1/(AG9:AT9&lt;&gt;""),AG9:AT9))</t>
        </is>
      </c>
      <c r="AC9" s="38" t="inlineStr">
        <is>
          <t>IF(OR(E9="",COUNT(AG9:AT9)&lt;2),"",LOOKUP(2,1/(AG9:AT9&lt;&gt;""),AG9:AT9)-MIN(AG9:AT9))</t>
        </is>
      </c>
      <c r="AD9" s="38" t="inlineStr">
        <is>
          <t>IF(OR(AB9="",AA9="Not started",AA9=""),"",IFERROR(AB9-IF(VLOOKUP(AA9,'04_Status_Pipeline'!$B$3:$E$20,4,FALSE)="",0,VLOOKUP(AA9,'04_Status_Pipeline'!$B$3:$E$20,4,FALSE)),""))</t>
        </is>
      </c>
      <c r="AE9" s="32" t="inlineStr">
        <is>
          <t>IF(E9="","",IF(OR(Y9="Cancelled",AA9="Cancelled"),"Cancelled",IF(OR(AA9="Completed / Handover",W9&lt;&gt;"",X9&gt;=100),"Completed — on track",IF(L9="Remaining",IF(S9="",IF(V9="","No planned date",IF(TODAY()&gt;V9,"Behind — past planned date",IF(V9-TODAY()&lt;=30,"At risk — close to off track","On track"))),IF(TODAY()&gt;S9,"Behind — award date passed",IF(S9-TODAY()&lt;=30,"At risk — close to off track","On track"))),IF(V9="","No planned date",IF(AND(TODAY()&gt;V9,OR(X9="",X9&lt;100)),"Behind — past end date",IF(AND(R9&lt;&gt;"",V9&lt;&gt;"",X9&lt;&gt;"",(X9&lt;100),((TODAY()-R9)/MAX(V9-R9,1)*100)-X9&gt;15),"Behind — progress lag",IF(AND(V9-TODAY()&lt;=30,V9-TODAY()&gt;=0,OR(X9="",X9&lt;90)),"At risk — close to off track","On track"))))))))</t>
        </is>
      </c>
      <c r="AF9" s="38" t="inlineStr">
        <is>
          <t>IF(OR(E9="",AA9="Completed / Handover",AA9="Cancelled"),"",IF(L9="Remaining",IF(S9&lt;&gt;"",S9-TODAY(),IF(V9="","",V9-TODAY())),IF(V9="","",V9-TODAY())))</t>
        </is>
      </c>
      <c r="AG9" s="44" t="n"/>
      <c r="AH9" s="44" t="n"/>
      <c r="AI9" s="44" t="n"/>
      <c r="AJ9" s="44" t="n"/>
      <c r="AK9" s="44" t="n"/>
      <c r="AL9" s="44" t="n"/>
      <c r="AM9" s="44" t="n"/>
      <c r="AN9" s="44" t="n"/>
      <c r="AO9" s="44" t="n"/>
      <c r="AP9" s="44" t="n"/>
      <c r="AQ9" s="44" t="n"/>
      <c r="AR9" s="40" t="n"/>
      <c r="AS9" s="40" t="n"/>
      <c r="AT9" s="40" t="n"/>
      <c r="AU9" s="38" t="inlineStr">
        <is>
          <t>IF(OR(E9="",AH9=""),"",IF(COUNT(AG9:AG9)=0,"",AH9-LOOKUP(2,1/(AG9:AG9&lt;&gt;""),AG9:AG9)))</t>
        </is>
      </c>
      <c r="AV9" s="38" t="inlineStr">
        <is>
          <t>IF(OR(E9="",AI9=""),"",IF(COUNT(AG9:AH9)=0,"",AI9-LOOKUP(2,1/(AG9:AH9&lt;&gt;""),AG9:AH9)))</t>
        </is>
      </c>
      <c r="AW9" s="38" t="inlineStr">
        <is>
          <t>IF(OR(E9="",AJ9=""),"",IF(COUNT(AG9:AI9)=0,"",AJ9-LOOKUP(2,1/(AG9:AI9&lt;&gt;""),AG9:AI9)))</t>
        </is>
      </c>
      <c r="AX9" s="38" t="inlineStr">
        <is>
          <t>IF(OR(E9="",AK9=""),"",IF(COUNT(AG9:AJ9)=0,"",AK9-LOOKUP(2,1/(AG9:AJ9&lt;&gt;""),AG9:AJ9)))</t>
        </is>
      </c>
      <c r="AY9" s="38" t="inlineStr">
        <is>
          <t>IF(OR(E9="",AL9=""),"",IF(COUNT(AG9:AK9)=0,"",AL9-LOOKUP(2,1/(AG9:AK9&lt;&gt;""),AG9:AK9)))</t>
        </is>
      </c>
      <c r="AZ9" s="38" t="inlineStr">
        <is>
          <t>IF(OR(E9="",AM9=""),"",IF(COUNT(AG9:AL9)=0,"",AM9-LOOKUP(2,1/(AG9:AL9&lt;&gt;""),AG9:AL9)))</t>
        </is>
      </c>
      <c r="BA9" s="38" t="inlineStr">
        <is>
          <t>IF(OR(E9="",AN9=""),"",IF(COUNT(AG9:AM9)=0,"",AN9-LOOKUP(2,1/(AG9:AM9&lt;&gt;""),AG9:AM9)))</t>
        </is>
      </c>
      <c r="BB9" s="38" t="inlineStr">
        <is>
          <t>IF(OR(E9="",AO9=""),"",IF(COUNT(AG9:AN9)=0,"",AO9-LOOKUP(2,1/(AG9:AN9&lt;&gt;""),AG9:AN9)))</t>
        </is>
      </c>
      <c r="BC9" s="38" t="inlineStr">
        <is>
          <t>IF(OR(E9="",AP9=""),"",IF(COUNT(AG9:AO9)=0,"",AP9-LOOKUP(2,1/(AG9:AO9&lt;&gt;""),AG9:AO9)))</t>
        </is>
      </c>
      <c r="BD9" s="38" t="inlineStr">
        <is>
          <t>IF(OR(E9="",AQ9=""),"",IF(COUNT(AG9:AP9)=0,"",AQ9-LOOKUP(2,1/(AG9:AP9&lt;&gt;""),AG9:AP9)))</t>
        </is>
      </c>
      <c r="BE9" s="38" t="inlineStr">
        <is>
          <t>IF(OR(E9="",AR9=""),"",IF(COUNT(AG9:AQ9)=0,"",AR9-LOOKUP(2,1/(AG9:AQ9&lt;&gt;""),AG9:AQ9)))</t>
        </is>
      </c>
      <c r="BF9" s="38" t="inlineStr">
        <is>
          <t>IF(OR(E9="",AS9=""),"",IF(COUNT(AG9:AR9)=0,"",AS9-LOOKUP(2,1/(AG9:AR9&lt;&gt;""),AG9:AR9)))</t>
        </is>
      </c>
      <c r="BG9" s="38" t="inlineStr">
        <is>
          <t>IF(OR(E9="",AT9=""),"",IF(COUNT(AG9:AS9)=0,"",AT9-LOOKUP(2,1/(AG9:AS9&lt;&gt;""),AG9:AS9)))</t>
        </is>
      </c>
      <c r="BH9" s="41" t="inlineStr">
        <is>
          <t>IF(G9="","All_Provinces",IFERROR(VLOOKUP(G9,'07_Lookups'!$A$4:$B$20,2,FALSE),"All_Provinces"))</t>
        </is>
      </c>
      <c r="BI9" s="41" t="inlineStr">
        <is>
          <t>IF(H9="","All_Districts",IFERROR(VLOOKUP(H9,'07_Lookups'!$E$4:$F$42,2,FALSE),"All_Districts"))</t>
        </is>
      </c>
    </row>
    <row r="10" ht="18" customHeight="1">
      <c r="A10" s="32" t="inlineStr">
        <is>
          <t>IF(E10="","",ROW()-3)</t>
        </is>
      </c>
      <c r="B10" s="33" t="n"/>
      <c r="C10" s="33" t="n"/>
      <c r="D10" s="33" t="n"/>
      <c r="E10" s="33" t="n"/>
      <c r="F10" s="33" t="n"/>
      <c r="G10" s="33" t="n"/>
      <c r="H10" s="33" t="n"/>
      <c r="I10" s="33" t="n"/>
      <c r="J10" s="33" t="n"/>
      <c r="K10" s="33" t="n"/>
      <c r="L10" s="33" t="n"/>
      <c r="M10" s="33" t="n"/>
      <c r="N10" s="33" t="n"/>
      <c r="O10" s="33" t="n"/>
      <c r="P10" s="33" t="n"/>
      <c r="Q10" s="34" t="n"/>
      <c r="R10" s="35" t="inlineStr">
        <is>
          <t>IF(AO10="","",AO10)</t>
        </is>
      </c>
      <c r="S10" s="36" t="n"/>
      <c r="T10" s="37" t="n"/>
      <c r="U10" s="36" t="n"/>
      <c r="V10" s="35" t="inlineStr">
        <is>
          <t>IF(U10&lt;&gt;"",U10,IF(OR(R10="",T10=""),"",EDATE(R10,T10)))</t>
        </is>
      </c>
      <c r="W10" s="36" t="n"/>
      <c r="X10" s="37" t="n"/>
      <c r="Y10" s="33" t="n"/>
      <c r="Z10" s="33" t="n"/>
      <c r="AA10" s="32" t="inlineStr">
        <is>
          <t>IF(E10="","",IF(COUNT(AG10:AT10)=0,IF(Y10="","Not started",Y10),SUBSTITUTE(LOOKUP(2,1/(AG10:AT10&lt;&gt;""),$AG$3:$AT$3),"Date: ","")))</t>
        </is>
      </c>
      <c r="AB10" s="38" t="inlineStr">
        <is>
          <t>IF(OR(E10="",COUNT(AG10:AT10)=0),"",TODAY()-LOOKUP(2,1/(AG10:AT10&lt;&gt;""),AG10:AT10))</t>
        </is>
      </c>
      <c r="AC10" s="38" t="inlineStr">
        <is>
          <t>IF(OR(E10="",COUNT(AG10:AT10)&lt;2),"",LOOKUP(2,1/(AG10:AT10&lt;&gt;""),AG10:AT10)-MIN(AG10:AT10))</t>
        </is>
      </c>
      <c r="AD10" s="38" t="inlineStr">
        <is>
          <t>IF(OR(AB10="",AA10="Not started",AA10=""),"",IFERROR(AB10-IF(VLOOKUP(AA10,'04_Status_Pipeline'!$B$3:$E$20,4,FALSE)="",0,VLOOKUP(AA10,'04_Status_Pipeline'!$B$3:$E$20,4,FALSE)),""))</t>
        </is>
      </c>
      <c r="AE10" s="32" t="inlineStr">
        <is>
          <t>IF(E10="","",IF(OR(Y10="Cancelled",AA10="Cancelled"),"Cancelled",IF(OR(AA10="Completed / Handover",W10&lt;&gt;"",X10&gt;=100),"Completed — on track",IF(L10="Remaining",IF(S10="",IF(V10="","No planned date",IF(TODAY()&gt;V10,"Behind — past planned date",IF(V10-TODAY()&lt;=30,"At risk — close to off track","On track"))),IF(TODAY()&gt;S10,"Behind — award date passed",IF(S10-TODAY()&lt;=30,"At risk — close to off track","On track"))),IF(V10="","No planned date",IF(AND(TODAY()&gt;V10,OR(X10="",X10&lt;100)),"Behind — past end date",IF(AND(R10&lt;&gt;"",V10&lt;&gt;"",X10&lt;&gt;"",(X10&lt;100),((TODAY()-R10)/MAX(V10-R10,1)*100)-X10&gt;15),"Behind — progress lag",IF(AND(V10-TODAY()&lt;=30,V10-TODAY()&gt;=0,OR(X10="",X10&lt;90)),"At risk — close to off track","On track"))))))))</t>
        </is>
      </c>
      <c r="AF10" s="38" t="inlineStr">
        <is>
          <t>IF(OR(E10="",AA10="Completed / Handover",AA10="Cancelled"),"",IF(L10="Remaining",IF(S10&lt;&gt;"",S10-TODAY(),IF(V10="","",V10-TODAY())),IF(V10="","",V10-TODAY())))</t>
        </is>
      </c>
      <c r="AG10" s="36" t="n"/>
      <c r="AH10" s="36" t="n"/>
      <c r="AI10" s="36" t="n"/>
      <c r="AJ10" s="36" t="n"/>
      <c r="AK10" s="36" t="n"/>
      <c r="AL10" s="36" t="n"/>
      <c r="AM10" s="36" t="n"/>
      <c r="AN10" s="36" t="n"/>
      <c r="AO10" s="36" t="n"/>
      <c r="AP10" s="36" t="n"/>
      <c r="AQ10" s="36" t="n"/>
      <c r="AR10" s="40" t="n"/>
      <c r="AS10" s="40" t="n"/>
      <c r="AT10" s="40" t="n"/>
      <c r="AU10" s="38" t="inlineStr">
        <is>
          <t>IF(OR(E10="",AH10=""),"",IF(COUNT(AG10:AG10)=0,"",AH10-LOOKUP(2,1/(AG10:AG10&lt;&gt;""),AG10:AG10)))</t>
        </is>
      </c>
      <c r="AV10" s="38" t="inlineStr">
        <is>
          <t>IF(OR(E10="",AI10=""),"",IF(COUNT(AG10:AH10)=0,"",AI10-LOOKUP(2,1/(AG10:AH10&lt;&gt;""),AG10:AH10)))</t>
        </is>
      </c>
      <c r="AW10" s="38" t="inlineStr">
        <is>
          <t>IF(OR(E10="",AJ10=""),"",IF(COUNT(AG10:AI10)=0,"",AJ10-LOOKUP(2,1/(AG10:AI10&lt;&gt;""),AG10:AI10)))</t>
        </is>
      </c>
      <c r="AX10" s="38" t="inlineStr">
        <is>
          <t>IF(OR(E10="",AK10=""),"",IF(COUNT(AG10:AJ10)=0,"",AK10-LOOKUP(2,1/(AG10:AJ10&lt;&gt;""),AG10:AJ10)))</t>
        </is>
      </c>
      <c r="AY10" s="38" t="inlineStr">
        <is>
          <t>IF(OR(E10="",AL10=""),"",IF(COUNT(AG10:AK10)=0,"",AL10-LOOKUP(2,1/(AG10:AK10&lt;&gt;""),AG10:AK10)))</t>
        </is>
      </c>
      <c r="AZ10" s="38" t="inlineStr">
        <is>
          <t>IF(OR(E10="",AM10=""),"",IF(COUNT(AG10:AL10)=0,"",AM10-LOOKUP(2,1/(AG10:AL10&lt;&gt;""),AG10:AL10)))</t>
        </is>
      </c>
      <c r="BA10" s="38" t="inlineStr">
        <is>
          <t>IF(OR(E10="",AN10=""),"",IF(COUNT(AG10:AM10)=0,"",AN10-LOOKUP(2,1/(AG10:AM10&lt;&gt;""),AG10:AM10)))</t>
        </is>
      </c>
      <c r="BB10" s="38" t="inlineStr">
        <is>
          <t>IF(OR(E10="",AO10=""),"",IF(COUNT(AG10:AN10)=0,"",AO10-LOOKUP(2,1/(AG10:AN10&lt;&gt;""),AG10:AN10)))</t>
        </is>
      </c>
      <c r="BC10" s="38" t="inlineStr">
        <is>
          <t>IF(OR(E10="",AP10=""),"",IF(COUNT(AG10:AO10)=0,"",AP10-LOOKUP(2,1/(AG10:AO10&lt;&gt;""),AG10:AO10)))</t>
        </is>
      </c>
      <c r="BD10" s="38" t="inlineStr">
        <is>
          <t>IF(OR(E10="",AQ10=""),"",IF(COUNT(AG10:AP10)=0,"",AQ10-LOOKUP(2,1/(AG10:AP10&lt;&gt;""),AG10:AP10)))</t>
        </is>
      </c>
      <c r="BE10" s="38" t="inlineStr">
        <is>
          <t>IF(OR(E10="",AR10=""),"",IF(COUNT(AG10:AQ10)=0,"",AR10-LOOKUP(2,1/(AG10:AQ10&lt;&gt;""),AG10:AQ10)))</t>
        </is>
      </c>
      <c r="BF10" s="38" t="inlineStr">
        <is>
          <t>IF(OR(E10="",AS10=""),"",IF(COUNT(AG10:AR10)=0,"",AS10-LOOKUP(2,1/(AG10:AR10&lt;&gt;""),AG10:AR10)))</t>
        </is>
      </c>
      <c r="BG10" s="38" t="inlineStr">
        <is>
          <t>IF(OR(E10="",AT10=""),"",IF(COUNT(AG10:AS10)=0,"",AT10-LOOKUP(2,1/(AG10:AS10&lt;&gt;""),AG10:AS10)))</t>
        </is>
      </c>
      <c r="BH10" s="41" t="inlineStr">
        <is>
          <t>IF(G10="","All_Provinces",IFERROR(VLOOKUP(G10,'07_Lookups'!$A$4:$B$20,2,FALSE),"All_Provinces"))</t>
        </is>
      </c>
      <c r="BI10" s="41" t="inlineStr">
        <is>
          <t>IF(H10="","All_Districts",IFERROR(VLOOKUP(H10,'07_Lookups'!$E$4:$F$42,2,FALSE),"All_Districts"))</t>
        </is>
      </c>
    </row>
    <row r="11" ht="18" customHeight="1">
      <c r="A11" s="32" t="inlineStr">
        <is>
          <t>IF(E11="","",ROW()-3)</t>
        </is>
      </c>
      <c r="B11" s="42" t="n"/>
      <c r="C11" s="42" t="n"/>
      <c r="D11" s="42" t="n"/>
      <c r="E11" s="42" t="n"/>
      <c r="F11" s="42" t="n"/>
      <c r="G11" s="42" t="n"/>
      <c r="H11" s="42" t="n"/>
      <c r="I11" s="42" t="n"/>
      <c r="J11" s="42" t="n"/>
      <c r="K11" s="42" t="n"/>
      <c r="L11" s="42" t="n"/>
      <c r="M11" s="42" t="n"/>
      <c r="N11" s="42" t="n"/>
      <c r="O11" s="42" t="n"/>
      <c r="P11" s="42" t="n"/>
      <c r="Q11" s="43" t="n"/>
      <c r="R11" s="35" t="inlineStr">
        <is>
          <t>IF(AO11="","",AO11)</t>
        </is>
      </c>
      <c r="S11" s="44" t="n"/>
      <c r="T11" s="45" t="n"/>
      <c r="U11" s="44" t="n"/>
      <c r="V11" s="35" t="inlineStr">
        <is>
          <t>IF(U11&lt;&gt;"",U11,IF(OR(R11="",T11=""),"",EDATE(R11,T11)))</t>
        </is>
      </c>
      <c r="W11" s="44" t="n"/>
      <c r="X11" s="45" t="n"/>
      <c r="Y11" s="42" t="n"/>
      <c r="Z11" s="42" t="n"/>
      <c r="AA11" s="32" t="inlineStr">
        <is>
          <t>IF(E11="","",IF(COUNT(AG11:AT11)=0,IF(Y11="","Not started",Y11),SUBSTITUTE(LOOKUP(2,1/(AG11:AT11&lt;&gt;""),$AG$3:$AT$3),"Date: ","")))</t>
        </is>
      </c>
      <c r="AB11" s="38" t="inlineStr">
        <is>
          <t>IF(OR(E11="",COUNT(AG11:AT11)=0),"",TODAY()-LOOKUP(2,1/(AG11:AT11&lt;&gt;""),AG11:AT11))</t>
        </is>
      </c>
      <c r="AC11" s="38" t="inlineStr">
        <is>
          <t>IF(OR(E11="",COUNT(AG11:AT11)&lt;2),"",LOOKUP(2,1/(AG11:AT11&lt;&gt;""),AG11:AT11)-MIN(AG11:AT11))</t>
        </is>
      </c>
      <c r="AD11" s="38" t="inlineStr">
        <is>
          <t>IF(OR(AB11="",AA11="Not started",AA11=""),"",IFERROR(AB11-IF(VLOOKUP(AA11,'04_Status_Pipeline'!$B$3:$E$20,4,FALSE)="",0,VLOOKUP(AA11,'04_Status_Pipeline'!$B$3:$E$20,4,FALSE)),""))</t>
        </is>
      </c>
      <c r="AE11" s="32" t="inlineStr">
        <is>
          <t>IF(E11="","",IF(OR(Y11="Cancelled",AA11="Cancelled"),"Cancelled",IF(OR(AA11="Completed / Handover",W11&lt;&gt;"",X11&gt;=100),"Completed — on track",IF(L11="Remaining",IF(S11="",IF(V11="","No planned date",IF(TODAY()&gt;V11,"Behind — past planned date",IF(V11-TODAY()&lt;=30,"At risk — close to off track","On track"))),IF(TODAY()&gt;S11,"Behind — award date passed",IF(S11-TODAY()&lt;=30,"At risk — close to off track","On track"))),IF(V11="","No planned date",IF(AND(TODAY()&gt;V11,OR(X11="",X11&lt;100)),"Behind — past end date",IF(AND(R11&lt;&gt;"",V11&lt;&gt;"",X11&lt;&gt;"",(X11&lt;100),((TODAY()-R11)/MAX(V11-R11,1)*100)-X11&gt;15),"Behind — progress lag",IF(AND(V11-TODAY()&lt;=30,V11-TODAY()&gt;=0,OR(X11="",X11&lt;90)),"At risk — close to off track","On track"))))))))</t>
        </is>
      </c>
      <c r="AF11" s="38" t="inlineStr">
        <is>
          <t>IF(OR(E11="",AA11="Completed / Handover",AA11="Cancelled"),"",IF(L11="Remaining",IF(S11&lt;&gt;"",S11-TODAY(),IF(V11="","",V11-TODAY())),IF(V11="","",V11-TODAY())))</t>
        </is>
      </c>
      <c r="AG11" s="44" t="n"/>
      <c r="AH11" s="44" t="n"/>
      <c r="AI11" s="44" t="n"/>
      <c r="AJ11" s="44" t="n"/>
      <c r="AK11" s="44" t="n"/>
      <c r="AL11" s="44" t="n"/>
      <c r="AM11" s="44" t="n"/>
      <c r="AN11" s="44" t="n"/>
      <c r="AO11" s="44" t="n"/>
      <c r="AP11" s="44" t="n"/>
      <c r="AQ11" s="44" t="n"/>
      <c r="AR11" s="40" t="n"/>
      <c r="AS11" s="40" t="n"/>
      <c r="AT11" s="40" t="n"/>
      <c r="AU11" s="38" t="inlineStr">
        <is>
          <t>IF(OR(E11="",AH11=""),"",IF(COUNT(AG11:AG11)=0,"",AH11-LOOKUP(2,1/(AG11:AG11&lt;&gt;""),AG11:AG11)))</t>
        </is>
      </c>
      <c r="AV11" s="38" t="inlineStr">
        <is>
          <t>IF(OR(E11="",AI11=""),"",IF(COUNT(AG11:AH11)=0,"",AI11-LOOKUP(2,1/(AG11:AH11&lt;&gt;""),AG11:AH11)))</t>
        </is>
      </c>
      <c r="AW11" s="38" t="inlineStr">
        <is>
          <t>IF(OR(E11="",AJ11=""),"",IF(COUNT(AG11:AI11)=0,"",AJ11-LOOKUP(2,1/(AG11:AI11&lt;&gt;""),AG11:AI11)))</t>
        </is>
      </c>
      <c r="AX11" s="38" t="inlineStr">
        <is>
          <t>IF(OR(E11="",AK11=""),"",IF(COUNT(AG11:AJ11)=0,"",AK11-LOOKUP(2,1/(AG11:AJ11&lt;&gt;""),AG11:AJ11)))</t>
        </is>
      </c>
      <c r="AY11" s="38" t="inlineStr">
        <is>
          <t>IF(OR(E11="",AL11=""),"",IF(COUNT(AG11:AK11)=0,"",AL11-LOOKUP(2,1/(AG11:AK11&lt;&gt;""),AG11:AK11)))</t>
        </is>
      </c>
      <c r="AZ11" s="38" t="inlineStr">
        <is>
          <t>IF(OR(E11="",AM11=""),"",IF(COUNT(AG11:AL11)=0,"",AM11-LOOKUP(2,1/(AG11:AL11&lt;&gt;""),AG11:AL11)))</t>
        </is>
      </c>
      <c r="BA11" s="38" t="inlineStr">
        <is>
          <t>IF(OR(E11="",AN11=""),"",IF(COUNT(AG11:AM11)=0,"",AN11-LOOKUP(2,1/(AG11:AM11&lt;&gt;""),AG11:AM11)))</t>
        </is>
      </c>
      <c r="BB11" s="38" t="inlineStr">
        <is>
          <t>IF(OR(E11="",AO11=""),"",IF(COUNT(AG11:AN11)=0,"",AO11-LOOKUP(2,1/(AG11:AN11&lt;&gt;""),AG11:AN11)))</t>
        </is>
      </c>
      <c r="BC11" s="38" t="inlineStr">
        <is>
          <t>IF(OR(E11="",AP11=""),"",IF(COUNT(AG11:AO11)=0,"",AP11-LOOKUP(2,1/(AG11:AO11&lt;&gt;""),AG11:AO11)))</t>
        </is>
      </c>
      <c r="BD11" s="38" t="inlineStr">
        <is>
          <t>IF(OR(E11="",AQ11=""),"",IF(COUNT(AG11:AP11)=0,"",AQ11-LOOKUP(2,1/(AG11:AP11&lt;&gt;""),AG11:AP11)))</t>
        </is>
      </c>
      <c r="BE11" s="38" t="inlineStr">
        <is>
          <t>IF(OR(E11="",AR11=""),"",IF(COUNT(AG11:AQ11)=0,"",AR11-LOOKUP(2,1/(AG11:AQ11&lt;&gt;""),AG11:AQ11)))</t>
        </is>
      </c>
      <c r="BF11" s="38" t="inlineStr">
        <is>
          <t>IF(OR(E11="",AS11=""),"",IF(COUNT(AG11:AR11)=0,"",AS11-LOOKUP(2,1/(AG11:AR11&lt;&gt;""),AG11:AR11)))</t>
        </is>
      </c>
      <c r="BG11" s="38" t="inlineStr">
        <is>
          <t>IF(OR(E11="",AT11=""),"",IF(COUNT(AG11:AS11)=0,"",AT11-LOOKUP(2,1/(AG11:AS11&lt;&gt;""),AG11:AS11)))</t>
        </is>
      </c>
      <c r="BH11" s="41" t="inlineStr">
        <is>
          <t>IF(G11="","All_Provinces",IFERROR(VLOOKUP(G11,'07_Lookups'!$A$4:$B$20,2,FALSE),"All_Provinces"))</t>
        </is>
      </c>
      <c r="BI11" s="41" t="inlineStr">
        <is>
          <t>IF(H11="","All_Districts",IFERROR(VLOOKUP(H11,'07_Lookups'!$E$4:$F$42,2,FALSE),"All_Districts"))</t>
        </is>
      </c>
    </row>
    <row r="12" ht="18" customHeight="1">
      <c r="A12" s="32" t="inlineStr">
        <is>
          <t>IF(E12="","",ROW()-3)</t>
        </is>
      </c>
      <c r="B12" s="33" t="n"/>
      <c r="C12" s="33" t="n"/>
      <c r="D12" s="33" t="n"/>
      <c r="E12" s="33" t="n"/>
      <c r="F12" s="33" t="n"/>
      <c r="G12" s="33" t="n"/>
      <c r="H12" s="33" t="n"/>
      <c r="I12" s="33" t="n"/>
      <c r="J12" s="33" t="n"/>
      <c r="K12" s="33" t="n"/>
      <c r="L12" s="33" t="n"/>
      <c r="M12" s="33" t="n"/>
      <c r="N12" s="33" t="n"/>
      <c r="O12" s="33" t="n"/>
      <c r="P12" s="33" t="n"/>
      <c r="Q12" s="34" t="n"/>
      <c r="R12" s="35" t="inlineStr">
        <is>
          <t>IF(AO12="","",AO12)</t>
        </is>
      </c>
      <c r="S12" s="36" t="n"/>
      <c r="T12" s="37" t="n"/>
      <c r="U12" s="36" t="n"/>
      <c r="V12" s="35" t="inlineStr">
        <is>
          <t>IF(U12&lt;&gt;"",U12,IF(OR(R12="",T12=""),"",EDATE(R12,T12)))</t>
        </is>
      </c>
      <c r="W12" s="36" t="n"/>
      <c r="X12" s="37" t="n"/>
      <c r="Y12" s="33" t="n"/>
      <c r="Z12" s="33" t="n"/>
      <c r="AA12" s="32" t="inlineStr">
        <is>
          <t>IF(E12="","",IF(COUNT(AG12:AT12)=0,IF(Y12="","Not started",Y12),SUBSTITUTE(LOOKUP(2,1/(AG12:AT12&lt;&gt;""),$AG$3:$AT$3),"Date: ","")))</t>
        </is>
      </c>
      <c r="AB12" s="38" t="inlineStr">
        <is>
          <t>IF(OR(E12="",COUNT(AG12:AT12)=0),"",TODAY()-LOOKUP(2,1/(AG12:AT12&lt;&gt;""),AG12:AT12))</t>
        </is>
      </c>
      <c r="AC12" s="38" t="inlineStr">
        <is>
          <t>IF(OR(E12="",COUNT(AG12:AT12)&lt;2),"",LOOKUP(2,1/(AG12:AT12&lt;&gt;""),AG12:AT12)-MIN(AG12:AT12))</t>
        </is>
      </c>
      <c r="AD12" s="38" t="inlineStr">
        <is>
          <t>IF(OR(AB12="",AA12="Not started",AA12=""),"",IFERROR(AB12-IF(VLOOKUP(AA12,'04_Status_Pipeline'!$B$3:$E$20,4,FALSE)="",0,VLOOKUP(AA12,'04_Status_Pipeline'!$B$3:$E$20,4,FALSE)),""))</t>
        </is>
      </c>
      <c r="AE12" s="32" t="inlineStr">
        <is>
          <t>IF(E12="","",IF(OR(Y12="Cancelled",AA12="Cancelled"),"Cancelled",IF(OR(AA12="Completed / Handover",W12&lt;&gt;"",X12&gt;=100),"Completed — on track",IF(L12="Remaining",IF(S12="",IF(V12="","No planned date",IF(TODAY()&gt;V12,"Behind — past planned date",IF(V12-TODAY()&lt;=30,"At risk — close to off track","On track"))),IF(TODAY()&gt;S12,"Behind — award date passed",IF(S12-TODAY()&lt;=30,"At risk — close to off track","On track"))),IF(V12="","No planned date",IF(AND(TODAY()&gt;V12,OR(X12="",X12&lt;100)),"Behind — past end date",IF(AND(R12&lt;&gt;"",V12&lt;&gt;"",X12&lt;&gt;"",(X12&lt;100),((TODAY()-R12)/MAX(V12-R12,1)*100)-X12&gt;15),"Behind — progress lag",IF(AND(V12-TODAY()&lt;=30,V12-TODAY()&gt;=0,OR(X12="",X12&lt;90)),"At risk — close to off track","On track"))))))))</t>
        </is>
      </c>
      <c r="AF12" s="38" t="inlineStr">
        <is>
          <t>IF(OR(E12="",AA12="Completed / Handover",AA12="Cancelled"),"",IF(L12="Remaining",IF(S12&lt;&gt;"",S12-TODAY(),IF(V12="","",V12-TODAY())),IF(V12="","",V12-TODAY())))</t>
        </is>
      </c>
      <c r="AG12" s="36" t="n"/>
      <c r="AH12" s="36" t="n"/>
      <c r="AI12" s="36" t="n"/>
      <c r="AJ12" s="36" t="n"/>
      <c r="AK12" s="36" t="n"/>
      <c r="AL12" s="36" t="n"/>
      <c r="AM12" s="36" t="n"/>
      <c r="AN12" s="36" t="n"/>
      <c r="AO12" s="36" t="n"/>
      <c r="AP12" s="36" t="n"/>
      <c r="AQ12" s="36" t="n"/>
      <c r="AR12" s="40" t="n"/>
      <c r="AS12" s="40" t="n"/>
      <c r="AT12" s="40" t="n"/>
      <c r="AU12" s="38" t="inlineStr">
        <is>
          <t>IF(OR(E12="",AH12=""),"",IF(COUNT(AG12:AG12)=0,"",AH12-LOOKUP(2,1/(AG12:AG12&lt;&gt;""),AG12:AG12)))</t>
        </is>
      </c>
      <c r="AV12" s="38" t="inlineStr">
        <is>
          <t>IF(OR(E12="",AI12=""),"",IF(COUNT(AG12:AH12)=0,"",AI12-LOOKUP(2,1/(AG12:AH12&lt;&gt;""),AG12:AH12)))</t>
        </is>
      </c>
      <c r="AW12" s="38" t="inlineStr">
        <is>
          <t>IF(OR(E12="",AJ12=""),"",IF(COUNT(AG12:AI12)=0,"",AJ12-LOOKUP(2,1/(AG12:AI12&lt;&gt;""),AG12:AI12)))</t>
        </is>
      </c>
      <c r="AX12" s="38" t="inlineStr">
        <is>
          <t>IF(OR(E12="",AK12=""),"",IF(COUNT(AG12:AJ12)=0,"",AK12-LOOKUP(2,1/(AG12:AJ12&lt;&gt;""),AG12:AJ12)))</t>
        </is>
      </c>
      <c r="AY12" s="38" t="inlineStr">
        <is>
          <t>IF(OR(E12="",AL12=""),"",IF(COUNT(AG12:AK12)=0,"",AL12-LOOKUP(2,1/(AG12:AK12&lt;&gt;""),AG12:AK12)))</t>
        </is>
      </c>
      <c r="AZ12" s="38" t="inlineStr">
        <is>
          <t>IF(OR(E12="",AM12=""),"",IF(COUNT(AG12:AL12)=0,"",AM12-LOOKUP(2,1/(AG12:AL12&lt;&gt;""),AG12:AL12)))</t>
        </is>
      </c>
      <c r="BA12" s="38" t="inlineStr">
        <is>
          <t>IF(OR(E12="",AN12=""),"",IF(COUNT(AG12:AM12)=0,"",AN12-LOOKUP(2,1/(AG12:AM12&lt;&gt;""),AG12:AM12)))</t>
        </is>
      </c>
      <c r="BB12" s="38" t="inlineStr">
        <is>
          <t>IF(OR(E12="",AO12=""),"",IF(COUNT(AG12:AN12)=0,"",AO12-LOOKUP(2,1/(AG12:AN12&lt;&gt;""),AG12:AN12)))</t>
        </is>
      </c>
      <c r="BC12" s="38" t="inlineStr">
        <is>
          <t>IF(OR(E12="",AP12=""),"",IF(COUNT(AG12:AO12)=0,"",AP12-LOOKUP(2,1/(AG12:AO12&lt;&gt;""),AG12:AO12)))</t>
        </is>
      </c>
      <c r="BD12" s="38" t="inlineStr">
        <is>
          <t>IF(OR(E12="",AQ12=""),"",IF(COUNT(AG12:AP12)=0,"",AQ12-LOOKUP(2,1/(AG12:AP12&lt;&gt;""),AG12:AP12)))</t>
        </is>
      </c>
      <c r="BE12" s="38" t="inlineStr">
        <is>
          <t>IF(OR(E12="",AR12=""),"",IF(COUNT(AG12:AQ12)=0,"",AR12-LOOKUP(2,1/(AG12:AQ12&lt;&gt;""),AG12:AQ12)))</t>
        </is>
      </c>
      <c r="BF12" s="38" t="inlineStr">
        <is>
          <t>IF(OR(E12="",AS12=""),"",IF(COUNT(AG12:AR12)=0,"",AS12-LOOKUP(2,1/(AG12:AR12&lt;&gt;""),AG12:AR12)))</t>
        </is>
      </c>
      <c r="BG12" s="38" t="inlineStr">
        <is>
          <t>IF(OR(E12="",AT12=""),"",IF(COUNT(AG12:AS12)=0,"",AT12-LOOKUP(2,1/(AG12:AS12&lt;&gt;""),AG12:AS12)))</t>
        </is>
      </c>
      <c r="BH12" s="41" t="inlineStr">
        <is>
          <t>IF(G12="","All_Provinces",IFERROR(VLOOKUP(G12,'07_Lookups'!$A$4:$B$20,2,FALSE),"All_Provinces"))</t>
        </is>
      </c>
      <c r="BI12" s="41" t="inlineStr">
        <is>
          <t>IF(H12="","All_Districts",IFERROR(VLOOKUP(H12,'07_Lookups'!$E$4:$F$42,2,FALSE),"All_Districts"))</t>
        </is>
      </c>
    </row>
    <row r="13" ht="18" customHeight="1">
      <c r="A13" s="32" t="inlineStr">
        <is>
          <t>IF(E13="","",ROW()-3)</t>
        </is>
      </c>
      <c r="B13" s="42" t="n"/>
      <c r="C13" s="42" t="n"/>
      <c r="D13" s="42" t="n"/>
      <c r="E13" s="42" t="n"/>
      <c r="F13" s="42" t="n"/>
      <c r="G13" s="42" t="n"/>
      <c r="H13" s="42" t="n"/>
      <c r="I13" s="42" t="n"/>
      <c r="J13" s="42" t="n"/>
      <c r="K13" s="42" t="n"/>
      <c r="L13" s="42" t="n"/>
      <c r="M13" s="42" t="n"/>
      <c r="N13" s="42" t="n"/>
      <c r="O13" s="42" t="n"/>
      <c r="P13" s="42" t="n"/>
      <c r="Q13" s="43" t="n"/>
      <c r="R13" s="35" t="inlineStr">
        <is>
          <t>IF(AO13="","",AO13)</t>
        </is>
      </c>
      <c r="S13" s="44" t="n"/>
      <c r="T13" s="45" t="n"/>
      <c r="U13" s="44" t="n"/>
      <c r="V13" s="35" t="inlineStr">
        <is>
          <t>IF(U13&lt;&gt;"",U13,IF(OR(R13="",T13=""),"",EDATE(R13,T13)))</t>
        </is>
      </c>
      <c r="W13" s="44" t="n"/>
      <c r="X13" s="45" t="n"/>
      <c r="Y13" s="42" t="n"/>
      <c r="Z13" s="42" t="n"/>
      <c r="AA13" s="32" t="inlineStr">
        <is>
          <t>IF(E13="","",IF(COUNT(AG13:AT13)=0,IF(Y13="","Not started",Y13),SUBSTITUTE(LOOKUP(2,1/(AG13:AT13&lt;&gt;""),$AG$3:$AT$3),"Date: ","")))</t>
        </is>
      </c>
      <c r="AB13" s="38" t="inlineStr">
        <is>
          <t>IF(OR(E13="",COUNT(AG13:AT13)=0),"",TODAY()-LOOKUP(2,1/(AG13:AT13&lt;&gt;""),AG13:AT13))</t>
        </is>
      </c>
      <c r="AC13" s="38" t="inlineStr">
        <is>
          <t>IF(OR(E13="",COUNT(AG13:AT13)&lt;2),"",LOOKUP(2,1/(AG13:AT13&lt;&gt;""),AG13:AT13)-MIN(AG13:AT13))</t>
        </is>
      </c>
      <c r="AD13" s="38" t="inlineStr">
        <is>
          <t>IF(OR(AB13="",AA13="Not started",AA13=""),"",IFERROR(AB13-IF(VLOOKUP(AA13,'04_Status_Pipeline'!$B$3:$E$20,4,FALSE)="",0,VLOOKUP(AA13,'04_Status_Pipeline'!$B$3:$E$20,4,FALSE)),""))</t>
        </is>
      </c>
      <c r="AE13" s="32" t="inlineStr">
        <is>
          <t>IF(E13="","",IF(OR(Y13="Cancelled",AA13="Cancelled"),"Cancelled",IF(OR(AA13="Completed / Handover",W13&lt;&gt;"",X13&gt;=100),"Completed — on track",IF(L13="Remaining",IF(S13="",IF(V13="","No planned date",IF(TODAY()&gt;V13,"Behind — past planned date",IF(V13-TODAY()&lt;=30,"At risk — close to off track","On track"))),IF(TODAY()&gt;S13,"Behind — award date passed",IF(S13-TODAY()&lt;=30,"At risk — close to off track","On track"))),IF(V13="","No planned date",IF(AND(TODAY()&gt;V13,OR(X13="",X13&lt;100)),"Behind — past end date",IF(AND(R13&lt;&gt;"",V13&lt;&gt;"",X13&lt;&gt;"",(X13&lt;100),((TODAY()-R13)/MAX(V13-R13,1)*100)-X13&gt;15),"Behind — progress lag",IF(AND(V13-TODAY()&lt;=30,V13-TODAY()&gt;=0,OR(X13="",X13&lt;90)),"At risk — close to off track","On track"))))))))</t>
        </is>
      </c>
      <c r="AF13" s="38" t="inlineStr">
        <is>
          <t>IF(OR(E13="",AA13="Completed / Handover",AA13="Cancelled"),"",IF(L13="Remaining",IF(S13&lt;&gt;"",S13-TODAY(),IF(V13="","",V13-TODAY())),IF(V13="","",V13-TODAY())))</t>
        </is>
      </c>
      <c r="AG13" s="44" t="n"/>
      <c r="AH13" s="44" t="n"/>
      <c r="AI13" s="44" t="n"/>
      <c r="AJ13" s="44" t="n"/>
      <c r="AK13" s="44" t="n"/>
      <c r="AL13" s="44" t="n"/>
      <c r="AM13" s="44" t="n"/>
      <c r="AN13" s="44" t="n"/>
      <c r="AO13" s="44" t="n"/>
      <c r="AP13" s="44" t="n"/>
      <c r="AQ13" s="44" t="n"/>
      <c r="AR13" s="40" t="n"/>
      <c r="AS13" s="40" t="n"/>
      <c r="AT13" s="40" t="n"/>
      <c r="AU13" s="38" t="inlineStr">
        <is>
          <t>IF(OR(E13="",AH13=""),"",IF(COUNT(AG13:AG13)=0,"",AH13-LOOKUP(2,1/(AG13:AG13&lt;&gt;""),AG13:AG13)))</t>
        </is>
      </c>
      <c r="AV13" s="38" t="inlineStr">
        <is>
          <t>IF(OR(E13="",AI13=""),"",IF(COUNT(AG13:AH13)=0,"",AI13-LOOKUP(2,1/(AG13:AH13&lt;&gt;""),AG13:AH13)))</t>
        </is>
      </c>
      <c r="AW13" s="38" t="inlineStr">
        <is>
          <t>IF(OR(E13="",AJ13=""),"",IF(COUNT(AG13:AI13)=0,"",AJ13-LOOKUP(2,1/(AG13:AI13&lt;&gt;""),AG13:AI13)))</t>
        </is>
      </c>
      <c r="AX13" s="38" t="inlineStr">
        <is>
          <t>IF(OR(E13="",AK13=""),"",IF(COUNT(AG13:AJ13)=0,"",AK13-LOOKUP(2,1/(AG13:AJ13&lt;&gt;""),AG13:AJ13)))</t>
        </is>
      </c>
      <c r="AY13" s="38" t="inlineStr">
        <is>
          <t>IF(OR(E13="",AL13=""),"",IF(COUNT(AG13:AK13)=0,"",AL13-LOOKUP(2,1/(AG13:AK13&lt;&gt;""),AG13:AK13)))</t>
        </is>
      </c>
      <c r="AZ13" s="38" t="inlineStr">
        <is>
          <t>IF(OR(E13="",AM13=""),"",IF(COUNT(AG13:AL13)=0,"",AM13-LOOKUP(2,1/(AG13:AL13&lt;&gt;""),AG13:AL13)))</t>
        </is>
      </c>
      <c r="BA13" s="38" t="inlineStr">
        <is>
          <t>IF(OR(E13="",AN13=""),"",IF(COUNT(AG13:AM13)=0,"",AN13-LOOKUP(2,1/(AG13:AM13&lt;&gt;""),AG13:AM13)))</t>
        </is>
      </c>
      <c r="BB13" s="38" t="inlineStr">
        <is>
          <t>IF(OR(E13="",AO13=""),"",IF(COUNT(AG13:AN13)=0,"",AO13-LOOKUP(2,1/(AG13:AN13&lt;&gt;""),AG13:AN13)))</t>
        </is>
      </c>
      <c r="BC13" s="38" t="inlineStr">
        <is>
          <t>IF(OR(E13="",AP13=""),"",IF(COUNT(AG13:AO13)=0,"",AP13-LOOKUP(2,1/(AG13:AO13&lt;&gt;""),AG13:AO13)))</t>
        </is>
      </c>
      <c r="BD13" s="38" t="inlineStr">
        <is>
          <t>IF(OR(E13="",AQ13=""),"",IF(COUNT(AG13:AP13)=0,"",AQ13-LOOKUP(2,1/(AG13:AP13&lt;&gt;""),AG13:AP13)))</t>
        </is>
      </c>
      <c r="BE13" s="38" t="inlineStr">
        <is>
          <t>IF(OR(E13="",AR13=""),"",IF(COUNT(AG13:AQ13)=0,"",AR13-LOOKUP(2,1/(AG13:AQ13&lt;&gt;""),AG13:AQ13)))</t>
        </is>
      </c>
      <c r="BF13" s="38" t="inlineStr">
        <is>
          <t>IF(OR(E13="",AS13=""),"",IF(COUNT(AG13:AR13)=0,"",AS13-LOOKUP(2,1/(AG13:AR13&lt;&gt;""),AG13:AR13)))</t>
        </is>
      </c>
      <c r="BG13" s="38" t="inlineStr">
        <is>
          <t>IF(OR(E13="",AT13=""),"",IF(COUNT(AG13:AS13)=0,"",AT13-LOOKUP(2,1/(AG13:AS13&lt;&gt;""),AG13:AS13)))</t>
        </is>
      </c>
      <c r="BH13" s="41" t="inlineStr">
        <is>
          <t>IF(G13="","All_Provinces",IFERROR(VLOOKUP(G13,'07_Lookups'!$A$4:$B$20,2,FALSE),"All_Provinces"))</t>
        </is>
      </c>
      <c r="BI13" s="41" t="inlineStr">
        <is>
          <t>IF(H13="","All_Districts",IFERROR(VLOOKUP(H13,'07_Lookups'!$E$4:$F$42,2,FALSE),"All_Districts"))</t>
        </is>
      </c>
    </row>
    <row r="14" ht="18" customHeight="1">
      <c r="A14" s="32" t="inlineStr">
        <is>
          <t>IF(E14="","",ROW()-3)</t>
        </is>
      </c>
      <c r="B14" s="33" t="n"/>
      <c r="C14" s="33" t="n"/>
      <c r="D14" s="33" t="n"/>
      <c r="E14" s="33" t="n"/>
      <c r="F14" s="33" t="n"/>
      <c r="G14" s="33" t="n"/>
      <c r="H14" s="33" t="n"/>
      <c r="I14" s="33" t="n"/>
      <c r="J14" s="33" t="n"/>
      <c r="K14" s="33" t="n"/>
      <c r="L14" s="33" t="n"/>
      <c r="M14" s="33" t="n"/>
      <c r="N14" s="33" t="n"/>
      <c r="O14" s="33" t="n"/>
      <c r="P14" s="33" t="n"/>
      <c r="Q14" s="34" t="n"/>
      <c r="R14" s="35" t="inlineStr">
        <is>
          <t>IF(AO14="","",AO14)</t>
        </is>
      </c>
      <c r="S14" s="36" t="n"/>
      <c r="T14" s="37" t="n"/>
      <c r="U14" s="36" t="n"/>
      <c r="V14" s="35" t="inlineStr">
        <is>
          <t>IF(U14&lt;&gt;"",U14,IF(OR(R14="",T14=""),"",EDATE(R14,T14)))</t>
        </is>
      </c>
      <c r="W14" s="36" t="n"/>
      <c r="X14" s="37" t="n"/>
      <c r="Y14" s="33" t="n"/>
      <c r="Z14" s="33" t="n"/>
      <c r="AA14" s="32" t="inlineStr">
        <is>
          <t>IF(E14="","",IF(COUNT(AG14:AT14)=0,IF(Y14="","Not started",Y14),SUBSTITUTE(LOOKUP(2,1/(AG14:AT14&lt;&gt;""),$AG$3:$AT$3),"Date: ","")))</t>
        </is>
      </c>
      <c r="AB14" s="38" t="inlineStr">
        <is>
          <t>IF(OR(E14="",COUNT(AG14:AT14)=0),"",TODAY()-LOOKUP(2,1/(AG14:AT14&lt;&gt;""),AG14:AT14))</t>
        </is>
      </c>
      <c r="AC14" s="38" t="inlineStr">
        <is>
          <t>IF(OR(E14="",COUNT(AG14:AT14)&lt;2),"",LOOKUP(2,1/(AG14:AT14&lt;&gt;""),AG14:AT14)-MIN(AG14:AT14))</t>
        </is>
      </c>
      <c r="AD14" s="38" t="inlineStr">
        <is>
          <t>IF(OR(AB14="",AA14="Not started",AA14=""),"",IFERROR(AB14-IF(VLOOKUP(AA14,'04_Status_Pipeline'!$B$3:$E$20,4,FALSE)="",0,VLOOKUP(AA14,'04_Status_Pipeline'!$B$3:$E$20,4,FALSE)),""))</t>
        </is>
      </c>
      <c r="AE14" s="32" t="inlineStr">
        <is>
          <t>IF(E14="","",IF(OR(Y14="Cancelled",AA14="Cancelled"),"Cancelled",IF(OR(AA14="Completed / Handover",W14&lt;&gt;"",X14&gt;=100),"Completed — on track",IF(L14="Remaining",IF(S14="",IF(V14="","No planned date",IF(TODAY()&gt;V14,"Behind — past planned date",IF(V14-TODAY()&lt;=30,"At risk — close to off track","On track"))),IF(TODAY()&gt;S14,"Behind — award date passed",IF(S14-TODAY()&lt;=30,"At risk — close to off track","On track"))),IF(V14="","No planned date",IF(AND(TODAY()&gt;V14,OR(X14="",X14&lt;100)),"Behind — past end date",IF(AND(R14&lt;&gt;"",V14&lt;&gt;"",X14&lt;&gt;"",(X14&lt;100),((TODAY()-R14)/MAX(V14-R14,1)*100)-X14&gt;15),"Behind — progress lag",IF(AND(V14-TODAY()&lt;=30,V14-TODAY()&gt;=0,OR(X14="",X14&lt;90)),"At risk — close to off track","On track"))))))))</t>
        </is>
      </c>
      <c r="AF14" s="38" t="inlineStr">
        <is>
          <t>IF(OR(E14="",AA14="Completed / Handover",AA14="Cancelled"),"",IF(L14="Remaining",IF(S14&lt;&gt;"",S14-TODAY(),IF(V14="","",V14-TODAY())),IF(V14="","",V14-TODAY())))</t>
        </is>
      </c>
      <c r="AG14" s="36" t="n"/>
      <c r="AH14" s="36" t="n"/>
      <c r="AI14" s="36" t="n"/>
      <c r="AJ14" s="36" t="n"/>
      <c r="AK14" s="36" t="n"/>
      <c r="AL14" s="36" t="n"/>
      <c r="AM14" s="36" t="n"/>
      <c r="AN14" s="36" t="n"/>
      <c r="AO14" s="36" t="n"/>
      <c r="AP14" s="36" t="n"/>
      <c r="AQ14" s="36" t="n"/>
      <c r="AR14" s="40" t="n"/>
      <c r="AS14" s="40" t="n"/>
      <c r="AT14" s="40" t="n"/>
      <c r="AU14" s="38" t="inlineStr">
        <is>
          <t>IF(OR(E14="",AH14=""),"",IF(COUNT(AG14:AG14)=0,"",AH14-LOOKUP(2,1/(AG14:AG14&lt;&gt;""),AG14:AG14)))</t>
        </is>
      </c>
      <c r="AV14" s="38" t="inlineStr">
        <is>
          <t>IF(OR(E14="",AI14=""),"",IF(COUNT(AG14:AH14)=0,"",AI14-LOOKUP(2,1/(AG14:AH14&lt;&gt;""),AG14:AH14)))</t>
        </is>
      </c>
      <c r="AW14" s="38" t="inlineStr">
        <is>
          <t>IF(OR(E14="",AJ14=""),"",IF(COUNT(AG14:AI14)=0,"",AJ14-LOOKUP(2,1/(AG14:AI14&lt;&gt;""),AG14:AI14)))</t>
        </is>
      </c>
      <c r="AX14" s="38" t="inlineStr">
        <is>
          <t>IF(OR(E14="",AK14=""),"",IF(COUNT(AG14:AJ14)=0,"",AK14-LOOKUP(2,1/(AG14:AJ14&lt;&gt;""),AG14:AJ14)))</t>
        </is>
      </c>
      <c r="AY14" s="38" t="inlineStr">
        <is>
          <t>IF(OR(E14="",AL14=""),"",IF(COUNT(AG14:AK14)=0,"",AL14-LOOKUP(2,1/(AG14:AK14&lt;&gt;""),AG14:AK14)))</t>
        </is>
      </c>
      <c r="AZ14" s="38" t="inlineStr">
        <is>
          <t>IF(OR(E14="",AM14=""),"",IF(COUNT(AG14:AL14)=0,"",AM14-LOOKUP(2,1/(AG14:AL14&lt;&gt;""),AG14:AL14)))</t>
        </is>
      </c>
      <c r="BA14" s="38" t="inlineStr">
        <is>
          <t>IF(OR(E14="",AN14=""),"",IF(COUNT(AG14:AM14)=0,"",AN14-LOOKUP(2,1/(AG14:AM14&lt;&gt;""),AG14:AM14)))</t>
        </is>
      </c>
      <c r="BB14" s="38" t="inlineStr">
        <is>
          <t>IF(OR(E14="",AO14=""),"",IF(COUNT(AG14:AN14)=0,"",AO14-LOOKUP(2,1/(AG14:AN14&lt;&gt;""),AG14:AN14)))</t>
        </is>
      </c>
      <c r="BC14" s="38" t="inlineStr">
        <is>
          <t>IF(OR(E14="",AP14=""),"",IF(COUNT(AG14:AO14)=0,"",AP14-LOOKUP(2,1/(AG14:AO14&lt;&gt;""),AG14:AO14)))</t>
        </is>
      </c>
      <c r="BD14" s="38" t="inlineStr">
        <is>
          <t>IF(OR(E14="",AQ14=""),"",IF(COUNT(AG14:AP14)=0,"",AQ14-LOOKUP(2,1/(AG14:AP14&lt;&gt;""),AG14:AP14)))</t>
        </is>
      </c>
      <c r="BE14" s="38" t="inlineStr">
        <is>
          <t>IF(OR(E14="",AR14=""),"",IF(COUNT(AG14:AQ14)=0,"",AR14-LOOKUP(2,1/(AG14:AQ14&lt;&gt;""),AG14:AQ14)))</t>
        </is>
      </c>
      <c r="BF14" s="38" t="inlineStr">
        <is>
          <t>IF(OR(E14="",AS14=""),"",IF(COUNT(AG14:AR14)=0,"",AS14-LOOKUP(2,1/(AG14:AR14&lt;&gt;""),AG14:AR14)))</t>
        </is>
      </c>
      <c r="BG14" s="38" t="inlineStr">
        <is>
          <t>IF(OR(E14="",AT14=""),"",IF(COUNT(AG14:AS14)=0,"",AT14-LOOKUP(2,1/(AG14:AS14&lt;&gt;""),AG14:AS14)))</t>
        </is>
      </c>
      <c r="BH14" s="41" t="inlineStr">
        <is>
          <t>IF(G14="","All_Provinces",IFERROR(VLOOKUP(G14,'07_Lookups'!$A$4:$B$20,2,FALSE),"All_Provinces"))</t>
        </is>
      </c>
      <c r="BI14" s="41" t="inlineStr">
        <is>
          <t>IF(H14="","All_Districts",IFERROR(VLOOKUP(H14,'07_Lookups'!$E$4:$F$42,2,FALSE),"All_Districts"))</t>
        </is>
      </c>
    </row>
    <row r="15" ht="18" customHeight="1">
      <c r="A15" s="32" t="inlineStr">
        <is>
          <t>IF(E15="","",ROW()-3)</t>
        </is>
      </c>
      <c r="B15" s="42" t="n"/>
      <c r="C15" s="42" t="n"/>
      <c r="D15" s="42" t="n"/>
      <c r="E15" s="42" t="n"/>
      <c r="F15" s="42" t="n"/>
      <c r="G15" s="42" t="n"/>
      <c r="H15" s="42" t="n"/>
      <c r="I15" s="42" t="n"/>
      <c r="J15" s="42" t="n"/>
      <c r="K15" s="42" t="n"/>
      <c r="L15" s="42" t="n"/>
      <c r="M15" s="42" t="n"/>
      <c r="N15" s="42" t="n"/>
      <c r="O15" s="42" t="n"/>
      <c r="P15" s="42" t="n"/>
      <c r="Q15" s="43" t="n"/>
      <c r="R15" s="35" t="inlineStr">
        <is>
          <t>IF(AO15="","",AO15)</t>
        </is>
      </c>
      <c r="S15" s="44" t="n"/>
      <c r="T15" s="45" t="n"/>
      <c r="U15" s="44" t="n"/>
      <c r="V15" s="35" t="inlineStr">
        <is>
          <t>IF(U15&lt;&gt;"",U15,IF(OR(R15="",T15=""),"",EDATE(R15,T15)))</t>
        </is>
      </c>
      <c r="W15" s="44" t="n"/>
      <c r="X15" s="45" t="n"/>
      <c r="Y15" s="42" t="n"/>
      <c r="Z15" s="42" t="n"/>
      <c r="AA15" s="32" t="inlineStr">
        <is>
          <t>IF(E15="","",IF(COUNT(AG15:AT15)=0,IF(Y15="","Not started",Y15),SUBSTITUTE(LOOKUP(2,1/(AG15:AT15&lt;&gt;""),$AG$3:$AT$3),"Date: ","")))</t>
        </is>
      </c>
      <c r="AB15" s="38" t="inlineStr">
        <is>
          <t>IF(OR(E15="",COUNT(AG15:AT15)=0),"",TODAY()-LOOKUP(2,1/(AG15:AT15&lt;&gt;""),AG15:AT15))</t>
        </is>
      </c>
      <c r="AC15" s="38" t="inlineStr">
        <is>
          <t>IF(OR(E15="",COUNT(AG15:AT15)&lt;2),"",LOOKUP(2,1/(AG15:AT15&lt;&gt;""),AG15:AT15)-MIN(AG15:AT15))</t>
        </is>
      </c>
      <c r="AD15" s="38" t="inlineStr">
        <is>
          <t>IF(OR(AB15="",AA15="Not started",AA15=""),"",IFERROR(AB15-IF(VLOOKUP(AA15,'04_Status_Pipeline'!$B$3:$E$20,4,FALSE)="",0,VLOOKUP(AA15,'04_Status_Pipeline'!$B$3:$E$20,4,FALSE)),""))</t>
        </is>
      </c>
      <c r="AE15" s="32" t="inlineStr">
        <is>
          <t>IF(E15="","",IF(OR(Y15="Cancelled",AA15="Cancelled"),"Cancelled",IF(OR(AA15="Completed / Handover",W15&lt;&gt;"",X15&gt;=100),"Completed — on track",IF(L15="Remaining",IF(S15="",IF(V15="","No planned date",IF(TODAY()&gt;V15,"Behind — past planned date",IF(V15-TODAY()&lt;=30,"At risk — close to off track","On track"))),IF(TODAY()&gt;S15,"Behind — award date passed",IF(S15-TODAY()&lt;=30,"At risk — close to off track","On track"))),IF(V15="","No planned date",IF(AND(TODAY()&gt;V15,OR(X15="",X15&lt;100)),"Behind — past end date",IF(AND(R15&lt;&gt;"",V15&lt;&gt;"",X15&lt;&gt;"",(X15&lt;100),((TODAY()-R15)/MAX(V15-R15,1)*100)-X15&gt;15),"Behind — progress lag",IF(AND(V15-TODAY()&lt;=30,V15-TODAY()&gt;=0,OR(X15="",X15&lt;90)),"At risk — close to off track","On track"))))))))</t>
        </is>
      </c>
      <c r="AF15" s="38" t="inlineStr">
        <is>
          <t>IF(OR(E15="",AA15="Completed / Handover",AA15="Cancelled"),"",IF(L15="Remaining",IF(S15&lt;&gt;"",S15-TODAY(),IF(V15="","",V15-TODAY())),IF(V15="","",V15-TODAY())))</t>
        </is>
      </c>
      <c r="AG15" s="44" t="n"/>
      <c r="AH15" s="44" t="n"/>
      <c r="AI15" s="44" t="n"/>
      <c r="AJ15" s="44" t="n"/>
      <c r="AK15" s="44" t="n"/>
      <c r="AL15" s="44" t="n"/>
      <c r="AM15" s="44" t="n"/>
      <c r="AN15" s="44" t="n"/>
      <c r="AO15" s="44" t="n"/>
      <c r="AP15" s="44" t="n"/>
      <c r="AQ15" s="44" t="n"/>
      <c r="AR15" s="40" t="n"/>
      <c r="AS15" s="40" t="n"/>
      <c r="AT15" s="40" t="n"/>
      <c r="AU15" s="38" t="inlineStr">
        <is>
          <t>IF(OR(E15="",AH15=""),"",IF(COUNT(AG15:AG15)=0,"",AH15-LOOKUP(2,1/(AG15:AG15&lt;&gt;""),AG15:AG15)))</t>
        </is>
      </c>
      <c r="AV15" s="38" t="inlineStr">
        <is>
          <t>IF(OR(E15="",AI15=""),"",IF(COUNT(AG15:AH15)=0,"",AI15-LOOKUP(2,1/(AG15:AH15&lt;&gt;""),AG15:AH15)))</t>
        </is>
      </c>
      <c r="AW15" s="38" t="inlineStr">
        <is>
          <t>IF(OR(E15="",AJ15=""),"",IF(COUNT(AG15:AI15)=0,"",AJ15-LOOKUP(2,1/(AG15:AI15&lt;&gt;""),AG15:AI15)))</t>
        </is>
      </c>
      <c r="AX15" s="38" t="inlineStr">
        <is>
          <t>IF(OR(E15="",AK15=""),"",IF(COUNT(AG15:AJ15)=0,"",AK15-LOOKUP(2,1/(AG15:AJ15&lt;&gt;""),AG15:AJ15)))</t>
        </is>
      </c>
      <c r="AY15" s="38" t="inlineStr">
        <is>
          <t>IF(OR(E15="",AL15=""),"",IF(COUNT(AG15:AK15)=0,"",AL15-LOOKUP(2,1/(AG15:AK15&lt;&gt;""),AG15:AK15)))</t>
        </is>
      </c>
      <c r="AZ15" s="38" t="inlineStr">
        <is>
          <t>IF(OR(E15="",AM15=""),"",IF(COUNT(AG15:AL15)=0,"",AM15-LOOKUP(2,1/(AG15:AL15&lt;&gt;""),AG15:AL15)))</t>
        </is>
      </c>
      <c r="BA15" s="38" t="inlineStr">
        <is>
          <t>IF(OR(E15="",AN15=""),"",IF(COUNT(AG15:AM15)=0,"",AN15-LOOKUP(2,1/(AG15:AM15&lt;&gt;""),AG15:AM15)))</t>
        </is>
      </c>
      <c r="BB15" s="38" t="inlineStr">
        <is>
          <t>IF(OR(E15="",AO15=""),"",IF(COUNT(AG15:AN15)=0,"",AO15-LOOKUP(2,1/(AG15:AN15&lt;&gt;""),AG15:AN15)))</t>
        </is>
      </c>
      <c r="BC15" s="38" t="inlineStr">
        <is>
          <t>IF(OR(E15="",AP15=""),"",IF(COUNT(AG15:AO15)=0,"",AP15-LOOKUP(2,1/(AG15:AO15&lt;&gt;""),AG15:AO15)))</t>
        </is>
      </c>
      <c r="BD15" s="38" t="inlineStr">
        <is>
          <t>IF(OR(E15="",AQ15=""),"",IF(COUNT(AG15:AP15)=0,"",AQ15-LOOKUP(2,1/(AG15:AP15&lt;&gt;""),AG15:AP15)))</t>
        </is>
      </c>
      <c r="BE15" s="38" t="inlineStr">
        <is>
          <t>IF(OR(E15="",AR15=""),"",IF(COUNT(AG15:AQ15)=0,"",AR15-LOOKUP(2,1/(AG15:AQ15&lt;&gt;""),AG15:AQ15)))</t>
        </is>
      </c>
      <c r="BF15" s="38" t="inlineStr">
        <is>
          <t>IF(OR(E15="",AS15=""),"",IF(COUNT(AG15:AR15)=0,"",AS15-LOOKUP(2,1/(AG15:AR15&lt;&gt;""),AG15:AR15)))</t>
        </is>
      </c>
      <c r="BG15" s="38" t="inlineStr">
        <is>
          <t>IF(OR(E15="",AT15=""),"",IF(COUNT(AG15:AS15)=0,"",AT15-LOOKUP(2,1/(AG15:AS15&lt;&gt;""),AG15:AS15)))</t>
        </is>
      </c>
      <c r="BH15" s="41" t="inlineStr">
        <is>
          <t>IF(G15="","All_Provinces",IFERROR(VLOOKUP(G15,'07_Lookups'!$A$4:$B$20,2,FALSE),"All_Provinces"))</t>
        </is>
      </c>
      <c r="BI15" s="41" t="inlineStr">
        <is>
          <t>IF(H15="","All_Districts",IFERROR(VLOOKUP(H15,'07_Lookups'!$E$4:$F$42,2,FALSE),"All_Districts"))</t>
        </is>
      </c>
    </row>
    <row r="16" ht="18" customHeight="1">
      <c r="A16" s="32" t="inlineStr">
        <is>
          <t>IF(E16="","",ROW()-3)</t>
        </is>
      </c>
      <c r="B16" s="33" t="n"/>
      <c r="C16" s="33" t="n"/>
      <c r="D16" s="33" t="n"/>
      <c r="E16" s="33" t="n"/>
      <c r="F16" s="33" t="n"/>
      <c r="G16" s="33" t="n"/>
      <c r="H16" s="33" t="n"/>
      <c r="I16" s="33" t="n"/>
      <c r="J16" s="33" t="n"/>
      <c r="K16" s="33" t="n"/>
      <c r="L16" s="33" t="n"/>
      <c r="M16" s="33" t="n"/>
      <c r="N16" s="33" t="n"/>
      <c r="O16" s="33" t="n"/>
      <c r="P16" s="33" t="n"/>
      <c r="Q16" s="34" t="n"/>
      <c r="R16" s="35" t="inlineStr">
        <is>
          <t>IF(AO16="","",AO16)</t>
        </is>
      </c>
      <c r="S16" s="36" t="n"/>
      <c r="T16" s="37" t="n"/>
      <c r="U16" s="36" t="n"/>
      <c r="V16" s="35" t="inlineStr">
        <is>
          <t>IF(U16&lt;&gt;"",U16,IF(OR(R16="",T16=""),"",EDATE(R16,T16)))</t>
        </is>
      </c>
      <c r="W16" s="36" t="n"/>
      <c r="X16" s="37" t="n"/>
      <c r="Y16" s="33" t="n"/>
      <c r="Z16" s="33" t="n"/>
      <c r="AA16" s="32" t="inlineStr">
        <is>
          <t>IF(E16="","",IF(COUNT(AG16:AT16)=0,IF(Y16="","Not started",Y16),SUBSTITUTE(LOOKUP(2,1/(AG16:AT16&lt;&gt;""),$AG$3:$AT$3),"Date: ","")))</t>
        </is>
      </c>
      <c r="AB16" s="38" t="inlineStr">
        <is>
          <t>IF(OR(E16="",COUNT(AG16:AT16)=0),"",TODAY()-LOOKUP(2,1/(AG16:AT16&lt;&gt;""),AG16:AT16))</t>
        </is>
      </c>
      <c r="AC16" s="38" t="inlineStr">
        <is>
          <t>IF(OR(E16="",COUNT(AG16:AT16)&lt;2),"",LOOKUP(2,1/(AG16:AT16&lt;&gt;""),AG16:AT16)-MIN(AG16:AT16))</t>
        </is>
      </c>
      <c r="AD16" s="38" t="inlineStr">
        <is>
          <t>IF(OR(AB16="",AA16="Not started",AA16=""),"",IFERROR(AB16-IF(VLOOKUP(AA16,'04_Status_Pipeline'!$B$3:$E$20,4,FALSE)="",0,VLOOKUP(AA16,'04_Status_Pipeline'!$B$3:$E$20,4,FALSE)),""))</t>
        </is>
      </c>
      <c r="AE16" s="32" t="inlineStr">
        <is>
          <t>IF(E16="","",IF(OR(Y16="Cancelled",AA16="Cancelled"),"Cancelled",IF(OR(AA16="Completed / Handover",W16&lt;&gt;"",X16&gt;=100),"Completed — on track",IF(L16="Remaining",IF(S16="",IF(V16="","No planned date",IF(TODAY()&gt;V16,"Behind — past planned date",IF(V16-TODAY()&lt;=30,"At risk — close to off track","On track"))),IF(TODAY()&gt;S16,"Behind — award date passed",IF(S16-TODAY()&lt;=30,"At risk — close to off track","On track"))),IF(V16="","No planned date",IF(AND(TODAY()&gt;V16,OR(X16="",X16&lt;100)),"Behind — past end date",IF(AND(R16&lt;&gt;"",V16&lt;&gt;"",X16&lt;&gt;"",(X16&lt;100),((TODAY()-R16)/MAX(V16-R16,1)*100)-X16&gt;15),"Behind — progress lag",IF(AND(V16-TODAY()&lt;=30,V16-TODAY()&gt;=0,OR(X16="",X16&lt;90)),"At risk — close to off track","On track"))))))))</t>
        </is>
      </c>
      <c r="AF16" s="38" t="inlineStr">
        <is>
          <t>IF(OR(E16="",AA16="Completed / Handover",AA16="Cancelled"),"",IF(L16="Remaining",IF(S16&lt;&gt;"",S16-TODAY(),IF(V16="","",V16-TODAY())),IF(V16="","",V16-TODAY())))</t>
        </is>
      </c>
      <c r="AG16" s="36" t="n"/>
      <c r="AH16" s="36" t="n"/>
      <c r="AI16" s="36" t="n"/>
      <c r="AJ16" s="36" t="n"/>
      <c r="AK16" s="36" t="n"/>
      <c r="AL16" s="36" t="n"/>
      <c r="AM16" s="36" t="n"/>
      <c r="AN16" s="36" t="n"/>
      <c r="AO16" s="36" t="n"/>
      <c r="AP16" s="36" t="n"/>
      <c r="AQ16" s="36" t="n"/>
      <c r="AR16" s="40" t="n"/>
      <c r="AS16" s="40" t="n"/>
      <c r="AT16" s="40" t="n"/>
      <c r="AU16" s="38" t="inlineStr">
        <is>
          <t>IF(OR(E16="",AH16=""),"",IF(COUNT(AG16:AG16)=0,"",AH16-LOOKUP(2,1/(AG16:AG16&lt;&gt;""),AG16:AG16)))</t>
        </is>
      </c>
      <c r="AV16" s="38" t="inlineStr">
        <is>
          <t>IF(OR(E16="",AI16=""),"",IF(COUNT(AG16:AH16)=0,"",AI16-LOOKUP(2,1/(AG16:AH16&lt;&gt;""),AG16:AH16)))</t>
        </is>
      </c>
      <c r="AW16" s="38" t="inlineStr">
        <is>
          <t>IF(OR(E16="",AJ16=""),"",IF(COUNT(AG16:AI16)=0,"",AJ16-LOOKUP(2,1/(AG16:AI16&lt;&gt;""),AG16:AI16)))</t>
        </is>
      </c>
      <c r="AX16" s="38" t="inlineStr">
        <is>
          <t>IF(OR(E16="",AK16=""),"",IF(COUNT(AG16:AJ16)=0,"",AK16-LOOKUP(2,1/(AG16:AJ16&lt;&gt;""),AG16:AJ16)))</t>
        </is>
      </c>
      <c r="AY16" s="38" t="inlineStr">
        <is>
          <t>IF(OR(E16="",AL16=""),"",IF(COUNT(AG16:AK16)=0,"",AL16-LOOKUP(2,1/(AG16:AK16&lt;&gt;""),AG16:AK16)))</t>
        </is>
      </c>
      <c r="AZ16" s="38" t="inlineStr">
        <is>
          <t>IF(OR(E16="",AM16=""),"",IF(COUNT(AG16:AL16)=0,"",AM16-LOOKUP(2,1/(AG16:AL16&lt;&gt;""),AG16:AL16)))</t>
        </is>
      </c>
      <c r="BA16" s="38" t="inlineStr">
        <is>
          <t>IF(OR(E16="",AN16=""),"",IF(COUNT(AG16:AM16)=0,"",AN16-LOOKUP(2,1/(AG16:AM16&lt;&gt;""),AG16:AM16)))</t>
        </is>
      </c>
      <c r="BB16" s="38" t="inlineStr">
        <is>
          <t>IF(OR(E16="",AO16=""),"",IF(COUNT(AG16:AN16)=0,"",AO16-LOOKUP(2,1/(AG16:AN16&lt;&gt;""),AG16:AN16)))</t>
        </is>
      </c>
      <c r="BC16" s="38" t="inlineStr">
        <is>
          <t>IF(OR(E16="",AP16=""),"",IF(COUNT(AG16:AO16)=0,"",AP16-LOOKUP(2,1/(AG16:AO16&lt;&gt;""),AG16:AO16)))</t>
        </is>
      </c>
      <c r="BD16" s="38" t="inlineStr">
        <is>
          <t>IF(OR(E16="",AQ16=""),"",IF(COUNT(AG16:AP16)=0,"",AQ16-LOOKUP(2,1/(AG16:AP16&lt;&gt;""),AG16:AP16)))</t>
        </is>
      </c>
      <c r="BE16" s="38" t="inlineStr">
        <is>
          <t>IF(OR(E16="",AR16=""),"",IF(COUNT(AG16:AQ16)=0,"",AR16-LOOKUP(2,1/(AG16:AQ16&lt;&gt;""),AG16:AQ16)))</t>
        </is>
      </c>
      <c r="BF16" s="38" t="inlineStr">
        <is>
          <t>IF(OR(E16="",AS16=""),"",IF(COUNT(AG16:AR16)=0,"",AS16-LOOKUP(2,1/(AG16:AR16&lt;&gt;""),AG16:AR16)))</t>
        </is>
      </c>
      <c r="BG16" s="38" t="inlineStr">
        <is>
          <t>IF(OR(E16="",AT16=""),"",IF(COUNT(AG16:AS16)=0,"",AT16-LOOKUP(2,1/(AG16:AS16&lt;&gt;""),AG16:AS16)))</t>
        </is>
      </c>
      <c r="BH16" s="41" t="inlineStr">
        <is>
          <t>IF(G16="","All_Provinces",IFERROR(VLOOKUP(G16,'07_Lookups'!$A$4:$B$20,2,FALSE),"All_Provinces"))</t>
        </is>
      </c>
      <c r="BI16" s="41" t="inlineStr">
        <is>
          <t>IF(H16="","All_Districts",IFERROR(VLOOKUP(H16,'07_Lookups'!$E$4:$F$42,2,FALSE),"All_Districts"))</t>
        </is>
      </c>
    </row>
    <row r="17" ht="18" customHeight="1">
      <c r="A17" s="32" t="inlineStr">
        <is>
          <t>IF(E17="","",ROW()-3)</t>
        </is>
      </c>
      <c r="B17" s="42" t="n"/>
      <c r="C17" s="42" t="n"/>
      <c r="D17" s="42" t="n"/>
      <c r="E17" s="42" t="n"/>
      <c r="F17" s="42" t="n"/>
      <c r="G17" s="42" t="n"/>
      <c r="H17" s="42" t="n"/>
      <c r="I17" s="42" t="n"/>
      <c r="J17" s="42" t="n"/>
      <c r="K17" s="42" t="n"/>
      <c r="L17" s="42" t="n"/>
      <c r="M17" s="42" t="n"/>
      <c r="N17" s="42" t="n"/>
      <c r="O17" s="42" t="n"/>
      <c r="P17" s="42" t="n"/>
      <c r="Q17" s="43" t="n"/>
      <c r="R17" s="35" t="inlineStr">
        <is>
          <t>IF(AO17="","",AO17)</t>
        </is>
      </c>
      <c r="S17" s="44" t="n"/>
      <c r="T17" s="45" t="n"/>
      <c r="U17" s="44" t="n"/>
      <c r="V17" s="35" t="inlineStr">
        <is>
          <t>IF(U17&lt;&gt;"",U17,IF(OR(R17="",T17=""),"",EDATE(R17,T17)))</t>
        </is>
      </c>
      <c r="W17" s="44" t="n"/>
      <c r="X17" s="45" t="n"/>
      <c r="Y17" s="42" t="n"/>
      <c r="Z17" s="42" t="n"/>
      <c r="AA17" s="32" t="inlineStr">
        <is>
          <t>IF(E17="","",IF(COUNT(AG17:AT17)=0,IF(Y17="","Not started",Y17),SUBSTITUTE(LOOKUP(2,1/(AG17:AT17&lt;&gt;""),$AG$3:$AT$3),"Date: ","")))</t>
        </is>
      </c>
      <c r="AB17" s="38" t="inlineStr">
        <is>
          <t>IF(OR(E17="",COUNT(AG17:AT17)=0),"",TODAY()-LOOKUP(2,1/(AG17:AT17&lt;&gt;""),AG17:AT17))</t>
        </is>
      </c>
      <c r="AC17" s="38" t="inlineStr">
        <is>
          <t>IF(OR(E17="",COUNT(AG17:AT17)&lt;2),"",LOOKUP(2,1/(AG17:AT17&lt;&gt;""),AG17:AT17)-MIN(AG17:AT17))</t>
        </is>
      </c>
      <c r="AD17" s="38" t="inlineStr">
        <is>
          <t>IF(OR(AB17="",AA17="Not started",AA17=""),"",IFERROR(AB17-IF(VLOOKUP(AA17,'04_Status_Pipeline'!$B$3:$E$20,4,FALSE)="",0,VLOOKUP(AA17,'04_Status_Pipeline'!$B$3:$E$20,4,FALSE)),""))</t>
        </is>
      </c>
      <c r="AE17" s="32" t="inlineStr">
        <is>
          <t>IF(E17="","",IF(OR(Y17="Cancelled",AA17="Cancelled"),"Cancelled",IF(OR(AA17="Completed / Handover",W17&lt;&gt;"",X17&gt;=100),"Completed — on track",IF(L17="Remaining",IF(S17="",IF(V17="","No planned date",IF(TODAY()&gt;V17,"Behind — past planned date",IF(V17-TODAY()&lt;=30,"At risk — close to off track","On track"))),IF(TODAY()&gt;S17,"Behind — award date passed",IF(S17-TODAY()&lt;=30,"At risk — close to off track","On track"))),IF(V17="","No planned date",IF(AND(TODAY()&gt;V17,OR(X17="",X17&lt;100)),"Behind — past end date",IF(AND(R17&lt;&gt;"",V17&lt;&gt;"",X17&lt;&gt;"",(X17&lt;100),((TODAY()-R17)/MAX(V17-R17,1)*100)-X17&gt;15),"Behind — progress lag",IF(AND(V17-TODAY()&lt;=30,V17-TODAY()&gt;=0,OR(X17="",X17&lt;90)),"At risk — close to off track","On track"))))))))</t>
        </is>
      </c>
      <c r="AF17" s="38" t="inlineStr">
        <is>
          <t>IF(OR(E17="",AA17="Completed / Handover",AA17="Cancelled"),"",IF(L17="Remaining",IF(S17&lt;&gt;"",S17-TODAY(),IF(V17="","",V17-TODAY())),IF(V17="","",V17-TODAY())))</t>
        </is>
      </c>
      <c r="AG17" s="44" t="n"/>
      <c r="AH17" s="44" t="n"/>
      <c r="AI17" s="44" t="n"/>
      <c r="AJ17" s="44" t="n"/>
      <c r="AK17" s="44" t="n"/>
      <c r="AL17" s="44" t="n"/>
      <c r="AM17" s="44" t="n"/>
      <c r="AN17" s="44" t="n"/>
      <c r="AO17" s="44" t="n"/>
      <c r="AP17" s="44" t="n"/>
      <c r="AQ17" s="44" t="n"/>
      <c r="AR17" s="40" t="n"/>
      <c r="AS17" s="40" t="n"/>
      <c r="AT17" s="40" t="n"/>
      <c r="AU17" s="38" t="inlineStr">
        <is>
          <t>IF(OR(E17="",AH17=""),"",IF(COUNT(AG17:AG17)=0,"",AH17-LOOKUP(2,1/(AG17:AG17&lt;&gt;""),AG17:AG17)))</t>
        </is>
      </c>
      <c r="AV17" s="38" t="inlineStr">
        <is>
          <t>IF(OR(E17="",AI17=""),"",IF(COUNT(AG17:AH17)=0,"",AI17-LOOKUP(2,1/(AG17:AH17&lt;&gt;""),AG17:AH17)))</t>
        </is>
      </c>
      <c r="AW17" s="38" t="inlineStr">
        <is>
          <t>IF(OR(E17="",AJ17=""),"",IF(COUNT(AG17:AI17)=0,"",AJ17-LOOKUP(2,1/(AG17:AI17&lt;&gt;""),AG17:AI17)))</t>
        </is>
      </c>
      <c r="AX17" s="38" t="inlineStr">
        <is>
          <t>IF(OR(E17="",AK17=""),"",IF(COUNT(AG17:AJ17)=0,"",AK17-LOOKUP(2,1/(AG17:AJ17&lt;&gt;""),AG17:AJ17)))</t>
        </is>
      </c>
      <c r="AY17" s="38" t="inlineStr">
        <is>
          <t>IF(OR(E17="",AL17=""),"",IF(COUNT(AG17:AK17)=0,"",AL17-LOOKUP(2,1/(AG17:AK17&lt;&gt;""),AG17:AK17)))</t>
        </is>
      </c>
      <c r="AZ17" s="38" t="inlineStr">
        <is>
          <t>IF(OR(E17="",AM17=""),"",IF(COUNT(AG17:AL17)=0,"",AM17-LOOKUP(2,1/(AG17:AL17&lt;&gt;""),AG17:AL17)))</t>
        </is>
      </c>
      <c r="BA17" s="38" t="inlineStr">
        <is>
          <t>IF(OR(E17="",AN17=""),"",IF(COUNT(AG17:AM17)=0,"",AN17-LOOKUP(2,1/(AG17:AM17&lt;&gt;""),AG17:AM17)))</t>
        </is>
      </c>
      <c r="BB17" s="38" t="inlineStr">
        <is>
          <t>IF(OR(E17="",AO17=""),"",IF(COUNT(AG17:AN17)=0,"",AO17-LOOKUP(2,1/(AG17:AN17&lt;&gt;""),AG17:AN17)))</t>
        </is>
      </c>
      <c r="BC17" s="38" t="inlineStr">
        <is>
          <t>IF(OR(E17="",AP17=""),"",IF(COUNT(AG17:AO17)=0,"",AP17-LOOKUP(2,1/(AG17:AO17&lt;&gt;""),AG17:AO17)))</t>
        </is>
      </c>
      <c r="BD17" s="38" t="inlineStr">
        <is>
          <t>IF(OR(E17="",AQ17=""),"",IF(COUNT(AG17:AP17)=0,"",AQ17-LOOKUP(2,1/(AG17:AP17&lt;&gt;""),AG17:AP17)))</t>
        </is>
      </c>
      <c r="BE17" s="38" t="inlineStr">
        <is>
          <t>IF(OR(E17="",AR17=""),"",IF(COUNT(AG17:AQ17)=0,"",AR17-LOOKUP(2,1/(AG17:AQ17&lt;&gt;""),AG17:AQ17)))</t>
        </is>
      </c>
      <c r="BF17" s="38" t="inlineStr">
        <is>
          <t>IF(OR(E17="",AS17=""),"",IF(COUNT(AG17:AR17)=0,"",AS17-LOOKUP(2,1/(AG17:AR17&lt;&gt;""),AG17:AR17)))</t>
        </is>
      </c>
      <c r="BG17" s="38" t="inlineStr">
        <is>
          <t>IF(OR(E17="",AT17=""),"",IF(COUNT(AG17:AS17)=0,"",AT17-LOOKUP(2,1/(AG17:AS17&lt;&gt;""),AG17:AS17)))</t>
        </is>
      </c>
      <c r="BH17" s="41" t="inlineStr">
        <is>
          <t>IF(G17="","All_Provinces",IFERROR(VLOOKUP(G17,'07_Lookups'!$A$4:$B$20,2,FALSE),"All_Provinces"))</t>
        </is>
      </c>
      <c r="BI17" s="41" t="inlineStr">
        <is>
          <t>IF(H17="","All_Districts",IFERROR(VLOOKUP(H17,'07_Lookups'!$E$4:$F$42,2,FALSE),"All_Districts"))</t>
        </is>
      </c>
    </row>
    <row r="18" ht="18" customHeight="1">
      <c r="A18" s="32" t="inlineStr">
        <is>
          <t>IF(E18="","",ROW()-3)</t>
        </is>
      </c>
      <c r="B18" s="33" t="n"/>
      <c r="C18" s="33" t="n"/>
      <c r="D18" s="33" t="n"/>
      <c r="E18" s="33" t="n"/>
      <c r="F18" s="33" t="n"/>
      <c r="G18" s="33" t="n"/>
      <c r="H18" s="33" t="n"/>
      <c r="I18" s="33" t="n"/>
      <c r="J18" s="33" t="n"/>
      <c r="K18" s="33" t="n"/>
      <c r="L18" s="33" t="n"/>
      <c r="M18" s="33" t="n"/>
      <c r="N18" s="33" t="n"/>
      <c r="O18" s="33" t="n"/>
      <c r="P18" s="33" t="n"/>
      <c r="Q18" s="34" t="n"/>
      <c r="R18" s="35" t="inlineStr">
        <is>
          <t>IF(AO18="","",AO18)</t>
        </is>
      </c>
      <c r="S18" s="36" t="n"/>
      <c r="T18" s="37" t="n"/>
      <c r="U18" s="36" t="n"/>
      <c r="V18" s="35" t="inlineStr">
        <is>
          <t>IF(U18&lt;&gt;"",U18,IF(OR(R18="",T18=""),"",EDATE(R18,T18)))</t>
        </is>
      </c>
      <c r="W18" s="36" t="n"/>
      <c r="X18" s="37" t="n"/>
      <c r="Y18" s="33" t="n"/>
      <c r="Z18" s="33" t="n"/>
      <c r="AA18" s="32" t="inlineStr">
        <is>
          <t>IF(E18="","",IF(COUNT(AG18:AT18)=0,IF(Y18="","Not started",Y18),SUBSTITUTE(LOOKUP(2,1/(AG18:AT18&lt;&gt;""),$AG$3:$AT$3),"Date: ","")))</t>
        </is>
      </c>
      <c r="AB18" s="38" t="inlineStr">
        <is>
          <t>IF(OR(E18="",COUNT(AG18:AT18)=0),"",TODAY()-LOOKUP(2,1/(AG18:AT18&lt;&gt;""),AG18:AT18))</t>
        </is>
      </c>
      <c r="AC18" s="38" t="inlineStr">
        <is>
          <t>IF(OR(E18="",COUNT(AG18:AT18)&lt;2),"",LOOKUP(2,1/(AG18:AT18&lt;&gt;""),AG18:AT18)-MIN(AG18:AT18))</t>
        </is>
      </c>
      <c r="AD18" s="38" t="inlineStr">
        <is>
          <t>IF(OR(AB18="",AA18="Not started",AA18=""),"",IFERROR(AB18-IF(VLOOKUP(AA18,'04_Status_Pipeline'!$B$3:$E$20,4,FALSE)="",0,VLOOKUP(AA18,'04_Status_Pipeline'!$B$3:$E$20,4,FALSE)),""))</t>
        </is>
      </c>
      <c r="AE18" s="32" t="inlineStr">
        <is>
          <t>IF(E18="","",IF(OR(Y18="Cancelled",AA18="Cancelled"),"Cancelled",IF(OR(AA18="Completed / Handover",W18&lt;&gt;"",X18&gt;=100),"Completed — on track",IF(L18="Remaining",IF(S18="",IF(V18="","No planned date",IF(TODAY()&gt;V18,"Behind — past planned date",IF(V18-TODAY()&lt;=30,"At risk — close to off track","On track"))),IF(TODAY()&gt;S18,"Behind — award date passed",IF(S18-TODAY()&lt;=30,"At risk — close to off track","On track"))),IF(V18="","No planned date",IF(AND(TODAY()&gt;V18,OR(X18="",X18&lt;100)),"Behind — past end date",IF(AND(R18&lt;&gt;"",V18&lt;&gt;"",X18&lt;&gt;"",(X18&lt;100),((TODAY()-R18)/MAX(V18-R18,1)*100)-X18&gt;15),"Behind — progress lag",IF(AND(V18-TODAY()&lt;=30,V18-TODAY()&gt;=0,OR(X18="",X18&lt;90)),"At risk — close to off track","On track"))))))))</t>
        </is>
      </c>
      <c r="AF18" s="38" t="inlineStr">
        <is>
          <t>IF(OR(E18="",AA18="Completed / Handover",AA18="Cancelled"),"",IF(L18="Remaining",IF(S18&lt;&gt;"",S18-TODAY(),IF(V18="","",V18-TODAY())),IF(V18="","",V18-TODAY())))</t>
        </is>
      </c>
      <c r="AG18" s="36" t="n"/>
      <c r="AH18" s="36" t="n"/>
      <c r="AI18" s="36" t="n"/>
      <c r="AJ18" s="36" t="n"/>
      <c r="AK18" s="36" t="n"/>
      <c r="AL18" s="36" t="n"/>
      <c r="AM18" s="36" t="n"/>
      <c r="AN18" s="36" t="n"/>
      <c r="AO18" s="36" t="n"/>
      <c r="AP18" s="36" t="n"/>
      <c r="AQ18" s="36" t="n"/>
      <c r="AR18" s="40" t="n"/>
      <c r="AS18" s="40" t="n"/>
      <c r="AT18" s="40" t="n"/>
      <c r="AU18" s="38" t="inlineStr">
        <is>
          <t>IF(OR(E18="",AH18=""),"",IF(COUNT(AG18:AG18)=0,"",AH18-LOOKUP(2,1/(AG18:AG18&lt;&gt;""),AG18:AG18)))</t>
        </is>
      </c>
      <c r="AV18" s="38" t="inlineStr">
        <is>
          <t>IF(OR(E18="",AI18=""),"",IF(COUNT(AG18:AH18)=0,"",AI18-LOOKUP(2,1/(AG18:AH18&lt;&gt;""),AG18:AH18)))</t>
        </is>
      </c>
      <c r="AW18" s="38" t="inlineStr">
        <is>
          <t>IF(OR(E18="",AJ18=""),"",IF(COUNT(AG18:AI18)=0,"",AJ18-LOOKUP(2,1/(AG18:AI18&lt;&gt;""),AG18:AI18)))</t>
        </is>
      </c>
      <c r="AX18" s="38" t="inlineStr">
        <is>
          <t>IF(OR(E18="",AK18=""),"",IF(COUNT(AG18:AJ18)=0,"",AK18-LOOKUP(2,1/(AG18:AJ18&lt;&gt;""),AG18:AJ18)))</t>
        </is>
      </c>
      <c r="AY18" s="38" t="inlineStr">
        <is>
          <t>IF(OR(E18="",AL18=""),"",IF(COUNT(AG18:AK18)=0,"",AL18-LOOKUP(2,1/(AG18:AK18&lt;&gt;""),AG18:AK18)))</t>
        </is>
      </c>
      <c r="AZ18" s="38" t="inlineStr">
        <is>
          <t>IF(OR(E18="",AM18=""),"",IF(COUNT(AG18:AL18)=0,"",AM18-LOOKUP(2,1/(AG18:AL18&lt;&gt;""),AG18:AL18)))</t>
        </is>
      </c>
      <c r="BA18" s="38" t="inlineStr">
        <is>
          <t>IF(OR(E18="",AN18=""),"",IF(COUNT(AG18:AM18)=0,"",AN18-LOOKUP(2,1/(AG18:AM18&lt;&gt;""),AG18:AM18)))</t>
        </is>
      </c>
      <c r="BB18" s="38" t="inlineStr">
        <is>
          <t>IF(OR(E18="",AO18=""),"",IF(COUNT(AG18:AN18)=0,"",AO18-LOOKUP(2,1/(AG18:AN18&lt;&gt;""),AG18:AN18)))</t>
        </is>
      </c>
      <c r="BC18" s="38" t="inlineStr">
        <is>
          <t>IF(OR(E18="",AP18=""),"",IF(COUNT(AG18:AO18)=0,"",AP18-LOOKUP(2,1/(AG18:AO18&lt;&gt;""),AG18:AO18)))</t>
        </is>
      </c>
      <c r="BD18" s="38" t="inlineStr">
        <is>
          <t>IF(OR(E18="",AQ18=""),"",IF(COUNT(AG18:AP18)=0,"",AQ18-LOOKUP(2,1/(AG18:AP18&lt;&gt;""),AG18:AP18)))</t>
        </is>
      </c>
      <c r="BE18" s="38" t="inlineStr">
        <is>
          <t>IF(OR(E18="",AR18=""),"",IF(COUNT(AG18:AQ18)=0,"",AR18-LOOKUP(2,1/(AG18:AQ18&lt;&gt;""),AG18:AQ18)))</t>
        </is>
      </c>
      <c r="BF18" s="38" t="inlineStr">
        <is>
          <t>IF(OR(E18="",AS18=""),"",IF(COUNT(AG18:AR18)=0,"",AS18-LOOKUP(2,1/(AG18:AR18&lt;&gt;""),AG18:AR18)))</t>
        </is>
      </c>
      <c r="BG18" s="38" t="inlineStr">
        <is>
          <t>IF(OR(E18="",AT18=""),"",IF(COUNT(AG18:AS18)=0,"",AT18-LOOKUP(2,1/(AG18:AS18&lt;&gt;""),AG18:AS18)))</t>
        </is>
      </c>
      <c r="BH18" s="41" t="inlineStr">
        <is>
          <t>IF(G18="","All_Provinces",IFERROR(VLOOKUP(G18,'07_Lookups'!$A$4:$B$20,2,FALSE),"All_Provinces"))</t>
        </is>
      </c>
      <c r="BI18" s="41" t="inlineStr">
        <is>
          <t>IF(H18="","All_Districts",IFERROR(VLOOKUP(H18,'07_Lookups'!$E$4:$F$42,2,FALSE),"All_Districts"))</t>
        </is>
      </c>
    </row>
    <row r="19" ht="18" customHeight="1">
      <c r="A19" s="32" t="inlineStr">
        <is>
          <t>IF(E19="","",ROW()-3)</t>
        </is>
      </c>
      <c r="B19" s="42" t="n"/>
      <c r="C19" s="42" t="n"/>
      <c r="D19" s="42" t="n"/>
      <c r="E19" s="42" t="n"/>
      <c r="F19" s="42" t="n"/>
      <c r="G19" s="42" t="n"/>
      <c r="H19" s="42" t="n"/>
      <c r="I19" s="42" t="n"/>
      <c r="J19" s="42" t="n"/>
      <c r="K19" s="42" t="n"/>
      <c r="L19" s="42" t="n"/>
      <c r="M19" s="42" t="n"/>
      <c r="N19" s="42" t="n"/>
      <c r="O19" s="42" t="n"/>
      <c r="P19" s="42" t="n"/>
      <c r="Q19" s="43" t="n"/>
      <c r="R19" s="35" t="inlineStr">
        <is>
          <t>IF(AO19="","",AO19)</t>
        </is>
      </c>
      <c r="S19" s="44" t="n"/>
      <c r="T19" s="45" t="n"/>
      <c r="U19" s="44" t="n"/>
      <c r="V19" s="35" t="inlineStr">
        <is>
          <t>IF(U19&lt;&gt;"",U19,IF(OR(R19="",T19=""),"",EDATE(R19,T19)))</t>
        </is>
      </c>
      <c r="W19" s="44" t="n"/>
      <c r="X19" s="45" t="n"/>
      <c r="Y19" s="42" t="n"/>
      <c r="Z19" s="42" t="n"/>
      <c r="AA19" s="32" t="inlineStr">
        <is>
          <t>IF(E19="","",IF(COUNT(AG19:AT19)=0,IF(Y19="","Not started",Y19),SUBSTITUTE(LOOKUP(2,1/(AG19:AT19&lt;&gt;""),$AG$3:$AT$3),"Date: ","")))</t>
        </is>
      </c>
      <c r="AB19" s="38" t="inlineStr">
        <is>
          <t>IF(OR(E19="",COUNT(AG19:AT19)=0),"",TODAY()-LOOKUP(2,1/(AG19:AT19&lt;&gt;""),AG19:AT19))</t>
        </is>
      </c>
      <c r="AC19" s="38" t="inlineStr">
        <is>
          <t>IF(OR(E19="",COUNT(AG19:AT19)&lt;2),"",LOOKUP(2,1/(AG19:AT19&lt;&gt;""),AG19:AT19)-MIN(AG19:AT19))</t>
        </is>
      </c>
      <c r="AD19" s="38" t="inlineStr">
        <is>
          <t>IF(OR(AB19="",AA19="Not started",AA19=""),"",IFERROR(AB19-IF(VLOOKUP(AA19,'04_Status_Pipeline'!$B$3:$E$20,4,FALSE)="",0,VLOOKUP(AA19,'04_Status_Pipeline'!$B$3:$E$20,4,FALSE)),""))</t>
        </is>
      </c>
      <c r="AE19" s="32" t="inlineStr">
        <is>
          <t>IF(E19="","",IF(OR(Y19="Cancelled",AA19="Cancelled"),"Cancelled",IF(OR(AA19="Completed / Handover",W19&lt;&gt;"",X19&gt;=100),"Completed — on track",IF(L19="Remaining",IF(S19="",IF(V19="","No planned date",IF(TODAY()&gt;V19,"Behind — past planned date",IF(V19-TODAY()&lt;=30,"At risk — close to off track","On track"))),IF(TODAY()&gt;S19,"Behind — award date passed",IF(S19-TODAY()&lt;=30,"At risk — close to off track","On track"))),IF(V19="","No planned date",IF(AND(TODAY()&gt;V19,OR(X19="",X19&lt;100)),"Behind — past end date",IF(AND(R19&lt;&gt;"",V19&lt;&gt;"",X19&lt;&gt;"",(X19&lt;100),((TODAY()-R19)/MAX(V19-R19,1)*100)-X19&gt;15),"Behind — progress lag",IF(AND(V19-TODAY()&lt;=30,V19-TODAY()&gt;=0,OR(X19="",X19&lt;90)),"At risk — close to off track","On track"))))))))</t>
        </is>
      </c>
      <c r="AF19" s="38" t="inlineStr">
        <is>
          <t>IF(OR(E19="",AA19="Completed / Handover",AA19="Cancelled"),"",IF(L19="Remaining",IF(S19&lt;&gt;"",S19-TODAY(),IF(V19="","",V19-TODAY())),IF(V19="","",V19-TODAY())))</t>
        </is>
      </c>
      <c r="AG19" s="44" t="n"/>
      <c r="AH19" s="44" t="n"/>
      <c r="AI19" s="44" t="n"/>
      <c r="AJ19" s="44" t="n"/>
      <c r="AK19" s="44" t="n"/>
      <c r="AL19" s="44" t="n"/>
      <c r="AM19" s="44" t="n"/>
      <c r="AN19" s="44" t="n"/>
      <c r="AO19" s="44" t="n"/>
      <c r="AP19" s="44" t="n"/>
      <c r="AQ19" s="44" t="n"/>
      <c r="AR19" s="40" t="n"/>
      <c r="AS19" s="40" t="n"/>
      <c r="AT19" s="40" t="n"/>
      <c r="AU19" s="38" t="inlineStr">
        <is>
          <t>IF(OR(E19="",AH19=""),"",IF(COUNT(AG19:AG19)=0,"",AH19-LOOKUP(2,1/(AG19:AG19&lt;&gt;""),AG19:AG19)))</t>
        </is>
      </c>
      <c r="AV19" s="38" t="inlineStr">
        <is>
          <t>IF(OR(E19="",AI19=""),"",IF(COUNT(AG19:AH19)=0,"",AI19-LOOKUP(2,1/(AG19:AH19&lt;&gt;""),AG19:AH19)))</t>
        </is>
      </c>
      <c r="AW19" s="38" t="inlineStr">
        <is>
          <t>IF(OR(E19="",AJ19=""),"",IF(COUNT(AG19:AI19)=0,"",AJ19-LOOKUP(2,1/(AG19:AI19&lt;&gt;""),AG19:AI19)))</t>
        </is>
      </c>
      <c r="AX19" s="38" t="inlineStr">
        <is>
          <t>IF(OR(E19="",AK19=""),"",IF(COUNT(AG19:AJ19)=0,"",AK19-LOOKUP(2,1/(AG19:AJ19&lt;&gt;""),AG19:AJ19)))</t>
        </is>
      </c>
      <c r="AY19" s="38" t="inlineStr">
        <is>
          <t>IF(OR(E19="",AL19=""),"",IF(COUNT(AG19:AK19)=0,"",AL19-LOOKUP(2,1/(AG19:AK19&lt;&gt;""),AG19:AK19)))</t>
        </is>
      </c>
      <c r="AZ19" s="38" t="inlineStr">
        <is>
          <t>IF(OR(E19="",AM19=""),"",IF(COUNT(AG19:AL19)=0,"",AM19-LOOKUP(2,1/(AG19:AL19&lt;&gt;""),AG19:AL19)))</t>
        </is>
      </c>
      <c r="BA19" s="38" t="inlineStr">
        <is>
          <t>IF(OR(E19="",AN19=""),"",IF(COUNT(AG19:AM19)=0,"",AN19-LOOKUP(2,1/(AG19:AM19&lt;&gt;""),AG19:AM19)))</t>
        </is>
      </c>
      <c r="BB19" s="38" t="inlineStr">
        <is>
          <t>IF(OR(E19="",AO19=""),"",IF(COUNT(AG19:AN19)=0,"",AO19-LOOKUP(2,1/(AG19:AN19&lt;&gt;""),AG19:AN19)))</t>
        </is>
      </c>
      <c r="BC19" s="38" t="inlineStr">
        <is>
          <t>IF(OR(E19="",AP19=""),"",IF(COUNT(AG19:AO19)=0,"",AP19-LOOKUP(2,1/(AG19:AO19&lt;&gt;""),AG19:AO19)))</t>
        </is>
      </c>
      <c r="BD19" s="38" t="inlineStr">
        <is>
          <t>IF(OR(E19="",AQ19=""),"",IF(COUNT(AG19:AP19)=0,"",AQ19-LOOKUP(2,1/(AG19:AP19&lt;&gt;""),AG19:AP19)))</t>
        </is>
      </c>
      <c r="BE19" s="38" t="inlineStr">
        <is>
          <t>IF(OR(E19="",AR19=""),"",IF(COUNT(AG19:AQ19)=0,"",AR19-LOOKUP(2,1/(AG19:AQ19&lt;&gt;""),AG19:AQ19)))</t>
        </is>
      </c>
      <c r="BF19" s="38" t="inlineStr">
        <is>
          <t>IF(OR(E19="",AS19=""),"",IF(COUNT(AG19:AR19)=0,"",AS19-LOOKUP(2,1/(AG19:AR19&lt;&gt;""),AG19:AR19)))</t>
        </is>
      </c>
      <c r="BG19" s="38" t="inlineStr">
        <is>
          <t>IF(OR(E19="",AT19=""),"",IF(COUNT(AG19:AS19)=0,"",AT19-LOOKUP(2,1/(AG19:AS19&lt;&gt;""),AG19:AS19)))</t>
        </is>
      </c>
      <c r="BH19" s="41" t="inlineStr">
        <is>
          <t>IF(G19="","All_Provinces",IFERROR(VLOOKUP(G19,'07_Lookups'!$A$4:$B$20,2,FALSE),"All_Provinces"))</t>
        </is>
      </c>
      <c r="BI19" s="41" t="inlineStr">
        <is>
          <t>IF(H19="","All_Districts",IFERROR(VLOOKUP(H19,'07_Lookups'!$E$4:$F$42,2,FALSE),"All_Districts"))</t>
        </is>
      </c>
    </row>
    <row r="20" ht="18" customHeight="1">
      <c r="A20" s="32" t="inlineStr">
        <is>
          <t>IF(E20="","",ROW()-3)</t>
        </is>
      </c>
      <c r="B20" s="33" t="n"/>
      <c r="C20" s="33" t="n"/>
      <c r="D20" s="33" t="n"/>
      <c r="E20" s="33" t="n"/>
      <c r="F20" s="33" t="n"/>
      <c r="G20" s="33" t="n"/>
      <c r="H20" s="33" t="n"/>
      <c r="I20" s="33" t="n"/>
      <c r="J20" s="33" t="n"/>
      <c r="K20" s="33" t="n"/>
      <c r="L20" s="33" t="n"/>
      <c r="M20" s="33" t="n"/>
      <c r="N20" s="33" t="n"/>
      <c r="O20" s="33" t="n"/>
      <c r="P20" s="33" t="n"/>
      <c r="Q20" s="34" t="n"/>
      <c r="R20" s="35" t="inlineStr">
        <is>
          <t>IF(AO20="","",AO20)</t>
        </is>
      </c>
      <c r="S20" s="36" t="n"/>
      <c r="T20" s="37" t="n"/>
      <c r="U20" s="36" t="n"/>
      <c r="V20" s="35" t="inlineStr">
        <is>
          <t>IF(U20&lt;&gt;"",U20,IF(OR(R20="",T20=""),"",EDATE(R20,T20)))</t>
        </is>
      </c>
      <c r="W20" s="36" t="n"/>
      <c r="X20" s="37" t="n"/>
      <c r="Y20" s="33" t="n"/>
      <c r="Z20" s="33" t="n"/>
      <c r="AA20" s="32" t="inlineStr">
        <is>
          <t>IF(E20="","",IF(COUNT(AG20:AT20)=0,IF(Y20="","Not started",Y20),SUBSTITUTE(LOOKUP(2,1/(AG20:AT20&lt;&gt;""),$AG$3:$AT$3),"Date: ","")))</t>
        </is>
      </c>
      <c r="AB20" s="38" t="inlineStr">
        <is>
          <t>IF(OR(E20="",COUNT(AG20:AT20)=0),"",TODAY()-LOOKUP(2,1/(AG20:AT20&lt;&gt;""),AG20:AT20))</t>
        </is>
      </c>
      <c r="AC20" s="38" t="inlineStr">
        <is>
          <t>IF(OR(E20="",COUNT(AG20:AT20)&lt;2),"",LOOKUP(2,1/(AG20:AT20&lt;&gt;""),AG20:AT20)-MIN(AG20:AT20))</t>
        </is>
      </c>
      <c r="AD20" s="38" t="inlineStr">
        <is>
          <t>IF(OR(AB20="",AA20="Not started",AA20=""),"",IFERROR(AB20-IF(VLOOKUP(AA20,'04_Status_Pipeline'!$B$3:$E$20,4,FALSE)="",0,VLOOKUP(AA20,'04_Status_Pipeline'!$B$3:$E$20,4,FALSE)),""))</t>
        </is>
      </c>
      <c r="AE20" s="32" t="inlineStr">
        <is>
          <t>IF(E20="","",IF(OR(Y20="Cancelled",AA20="Cancelled"),"Cancelled",IF(OR(AA20="Completed / Handover",W20&lt;&gt;"",X20&gt;=100),"Completed — on track",IF(L20="Remaining",IF(S20="",IF(V20="","No planned date",IF(TODAY()&gt;V20,"Behind — past planned date",IF(V20-TODAY()&lt;=30,"At risk — close to off track","On track"))),IF(TODAY()&gt;S20,"Behind — award date passed",IF(S20-TODAY()&lt;=30,"At risk — close to off track","On track"))),IF(V20="","No planned date",IF(AND(TODAY()&gt;V20,OR(X20="",X20&lt;100)),"Behind — past end date",IF(AND(R20&lt;&gt;"",V20&lt;&gt;"",X20&lt;&gt;"",(X20&lt;100),((TODAY()-R20)/MAX(V20-R20,1)*100)-X20&gt;15),"Behind — progress lag",IF(AND(V20-TODAY()&lt;=30,V20-TODAY()&gt;=0,OR(X20="",X20&lt;90)),"At risk — close to off track","On track"))))))))</t>
        </is>
      </c>
      <c r="AF20" s="38" t="inlineStr">
        <is>
          <t>IF(OR(E20="",AA20="Completed / Handover",AA20="Cancelled"),"",IF(L20="Remaining",IF(S20&lt;&gt;"",S20-TODAY(),IF(V20="","",V20-TODAY())),IF(V20="","",V20-TODAY())))</t>
        </is>
      </c>
      <c r="AG20" s="36" t="n"/>
      <c r="AH20" s="36" t="n"/>
      <c r="AI20" s="36" t="n"/>
      <c r="AJ20" s="36" t="n"/>
      <c r="AK20" s="36" t="n"/>
      <c r="AL20" s="36" t="n"/>
      <c r="AM20" s="36" t="n"/>
      <c r="AN20" s="36" t="n"/>
      <c r="AO20" s="36" t="n"/>
      <c r="AP20" s="36" t="n"/>
      <c r="AQ20" s="36" t="n"/>
      <c r="AR20" s="40" t="n"/>
      <c r="AS20" s="40" t="n"/>
      <c r="AT20" s="40" t="n"/>
      <c r="AU20" s="38" t="inlineStr">
        <is>
          <t>IF(OR(E20="",AH20=""),"",IF(COUNT(AG20:AG20)=0,"",AH20-LOOKUP(2,1/(AG20:AG20&lt;&gt;""),AG20:AG20)))</t>
        </is>
      </c>
      <c r="AV20" s="38" t="inlineStr">
        <is>
          <t>IF(OR(E20="",AI20=""),"",IF(COUNT(AG20:AH20)=0,"",AI20-LOOKUP(2,1/(AG20:AH20&lt;&gt;""),AG20:AH20)))</t>
        </is>
      </c>
      <c r="AW20" s="38" t="inlineStr">
        <is>
          <t>IF(OR(E20="",AJ20=""),"",IF(COUNT(AG20:AI20)=0,"",AJ20-LOOKUP(2,1/(AG20:AI20&lt;&gt;""),AG20:AI20)))</t>
        </is>
      </c>
      <c r="AX20" s="38" t="inlineStr">
        <is>
          <t>IF(OR(E20="",AK20=""),"",IF(COUNT(AG20:AJ20)=0,"",AK20-LOOKUP(2,1/(AG20:AJ20&lt;&gt;""),AG20:AJ20)))</t>
        </is>
      </c>
      <c r="AY20" s="38" t="inlineStr">
        <is>
          <t>IF(OR(E20="",AL20=""),"",IF(COUNT(AG20:AK20)=0,"",AL20-LOOKUP(2,1/(AG20:AK20&lt;&gt;""),AG20:AK20)))</t>
        </is>
      </c>
      <c r="AZ20" s="38" t="inlineStr">
        <is>
          <t>IF(OR(E20="",AM20=""),"",IF(COUNT(AG20:AL20)=0,"",AM20-LOOKUP(2,1/(AG20:AL20&lt;&gt;""),AG20:AL20)))</t>
        </is>
      </c>
      <c r="BA20" s="38" t="inlineStr">
        <is>
          <t>IF(OR(E20="",AN20=""),"",IF(COUNT(AG20:AM20)=0,"",AN20-LOOKUP(2,1/(AG20:AM20&lt;&gt;""),AG20:AM20)))</t>
        </is>
      </c>
      <c r="BB20" s="38" t="inlineStr">
        <is>
          <t>IF(OR(E20="",AO20=""),"",IF(COUNT(AG20:AN20)=0,"",AO20-LOOKUP(2,1/(AG20:AN20&lt;&gt;""),AG20:AN20)))</t>
        </is>
      </c>
      <c r="BC20" s="38" t="inlineStr">
        <is>
          <t>IF(OR(E20="",AP20=""),"",IF(COUNT(AG20:AO20)=0,"",AP20-LOOKUP(2,1/(AG20:AO20&lt;&gt;""),AG20:AO20)))</t>
        </is>
      </c>
      <c r="BD20" s="38" t="inlineStr">
        <is>
          <t>IF(OR(E20="",AQ20=""),"",IF(COUNT(AG20:AP20)=0,"",AQ20-LOOKUP(2,1/(AG20:AP20&lt;&gt;""),AG20:AP20)))</t>
        </is>
      </c>
      <c r="BE20" s="38" t="inlineStr">
        <is>
          <t>IF(OR(E20="",AR20=""),"",IF(COUNT(AG20:AQ20)=0,"",AR20-LOOKUP(2,1/(AG20:AQ20&lt;&gt;""),AG20:AQ20)))</t>
        </is>
      </c>
      <c r="BF20" s="38" t="inlineStr">
        <is>
          <t>IF(OR(E20="",AS20=""),"",IF(COUNT(AG20:AR20)=0,"",AS20-LOOKUP(2,1/(AG20:AR20&lt;&gt;""),AG20:AR20)))</t>
        </is>
      </c>
      <c r="BG20" s="38" t="inlineStr">
        <is>
          <t>IF(OR(E20="",AT20=""),"",IF(COUNT(AG20:AS20)=0,"",AT20-LOOKUP(2,1/(AG20:AS20&lt;&gt;""),AG20:AS20)))</t>
        </is>
      </c>
      <c r="BH20" s="41" t="inlineStr">
        <is>
          <t>IF(G20="","All_Provinces",IFERROR(VLOOKUP(G20,'07_Lookups'!$A$4:$B$20,2,FALSE),"All_Provinces"))</t>
        </is>
      </c>
      <c r="BI20" s="41" t="inlineStr">
        <is>
          <t>IF(H20="","All_Districts",IFERROR(VLOOKUP(H20,'07_Lookups'!$E$4:$F$42,2,FALSE),"All_Districts"))</t>
        </is>
      </c>
    </row>
    <row r="21" ht="18" customHeight="1">
      <c r="A21" s="32" t="inlineStr">
        <is>
          <t>IF(E21="","",ROW()-3)</t>
        </is>
      </c>
      <c r="B21" s="42" t="n"/>
      <c r="C21" s="42" t="n"/>
      <c r="D21" s="42" t="n"/>
      <c r="E21" s="42" t="n"/>
      <c r="F21" s="42" t="n"/>
      <c r="G21" s="42" t="n"/>
      <c r="H21" s="42" t="n"/>
      <c r="I21" s="42" t="n"/>
      <c r="J21" s="42" t="n"/>
      <c r="K21" s="42" t="n"/>
      <c r="L21" s="42" t="n"/>
      <c r="M21" s="42" t="n"/>
      <c r="N21" s="42" t="n"/>
      <c r="O21" s="42" t="n"/>
      <c r="P21" s="42" t="n"/>
      <c r="Q21" s="43" t="n"/>
      <c r="R21" s="35" t="inlineStr">
        <is>
          <t>IF(AO21="","",AO21)</t>
        </is>
      </c>
      <c r="S21" s="44" t="n"/>
      <c r="T21" s="45" t="n"/>
      <c r="U21" s="44" t="n"/>
      <c r="V21" s="35" t="inlineStr">
        <is>
          <t>IF(U21&lt;&gt;"",U21,IF(OR(R21="",T21=""),"",EDATE(R21,T21)))</t>
        </is>
      </c>
      <c r="W21" s="44" t="n"/>
      <c r="X21" s="45" t="n"/>
      <c r="Y21" s="42" t="n"/>
      <c r="Z21" s="42" t="n"/>
      <c r="AA21" s="32" t="inlineStr">
        <is>
          <t>IF(E21="","",IF(COUNT(AG21:AT21)=0,IF(Y21="","Not started",Y21),SUBSTITUTE(LOOKUP(2,1/(AG21:AT21&lt;&gt;""),$AG$3:$AT$3),"Date: ","")))</t>
        </is>
      </c>
      <c r="AB21" s="38" t="inlineStr">
        <is>
          <t>IF(OR(E21="",COUNT(AG21:AT21)=0),"",TODAY()-LOOKUP(2,1/(AG21:AT21&lt;&gt;""),AG21:AT21))</t>
        </is>
      </c>
      <c r="AC21" s="38" t="inlineStr">
        <is>
          <t>IF(OR(E21="",COUNT(AG21:AT21)&lt;2),"",LOOKUP(2,1/(AG21:AT21&lt;&gt;""),AG21:AT21)-MIN(AG21:AT21))</t>
        </is>
      </c>
      <c r="AD21" s="38" t="inlineStr">
        <is>
          <t>IF(OR(AB21="",AA21="Not started",AA21=""),"",IFERROR(AB21-IF(VLOOKUP(AA21,'04_Status_Pipeline'!$B$3:$E$20,4,FALSE)="",0,VLOOKUP(AA21,'04_Status_Pipeline'!$B$3:$E$20,4,FALSE)),""))</t>
        </is>
      </c>
      <c r="AE21" s="32" t="inlineStr">
        <is>
          <t>IF(E21="","",IF(OR(Y21="Cancelled",AA21="Cancelled"),"Cancelled",IF(OR(AA21="Completed / Handover",W21&lt;&gt;"",X21&gt;=100),"Completed — on track",IF(L21="Remaining",IF(S21="",IF(V21="","No planned date",IF(TODAY()&gt;V21,"Behind — past planned date",IF(V21-TODAY()&lt;=30,"At risk — close to off track","On track"))),IF(TODAY()&gt;S21,"Behind — award date passed",IF(S21-TODAY()&lt;=30,"At risk — close to off track","On track"))),IF(V21="","No planned date",IF(AND(TODAY()&gt;V21,OR(X21="",X21&lt;100)),"Behind — past end date",IF(AND(R21&lt;&gt;"",V21&lt;&gt;"",X21&lt;&gt;"",(X21&lt;100),((TODAY()-R21)/MAX(V21-R21,1)*100)-X21&gt;15),"Behind — progress lag",IF(AND(V21-TODAY()&lt;=30,V21-TODAY()&gt;=0,OR(X21="",X21&lt;90)),"At risk — close to off track","On track"))))))))</t>
        </is>
      </c>
      <c r="AF21" s="38" t="inlineStr">
        <is>
          <t>IF(OR(E21="",AA21="Completed / Handover",AA21="Cancelled"),"",IF(L21="Remaining",IF(S21&lt;&gt;"",S21-TODAY(),IF(V21="","",V21-TODAY())),IF(V21="","",V21-TODAY())))</t>
        </is>
      </c>
      <c r="AG21" s="44" t="n"/>
      <c r="AH21" s="44" t="n"/>
      <c r="AI21" s="44" t="n"/>
      <c r="AJ21" s="44" t="n"/>
      <c r="AK21" s="44" t="n"/>
      <c r="AL21" s="44" t="n"/>
      <c r="AM21" s="44" t="n"/>
      <c r="AN21" s="44" t="n"/>
      <c r="AO21" s="44" t="n"/>
      <c r="AP21" s="44" t="n"/>
      <c r="AQ21" s="44" t="n"/>
      <c r="AR21" s="40" t="n"/>
      <c r="AS21" s="40" t="n"/>
      <c r="AT21" s="40" t="n"/>
      <c r="AU21" s="38" t="inlineStr">
        <is>
          <t>IF(OR(E21="",AH21=""),"",IF(COUNT(AG21:AG21)=0,"",AH21-LOOKUP(2,1/(AG21:AG21&lt;&gt;""),AG21:AG21)))</t>
        </is>
      </c>
      <c r="AV21" s="38" t="inlineStr">
        <is>
          <t>IF(OR(E21="",AI21=""),"",IF(COUNT(AG21:AH21)=0,"",AI21-LOOKUP(2,1/(AG21:AH21&lt;&gt;""),AG21:AH21)))</t>
        </is>
      </c>
      <c r="AW21" s="38" t="inlineStr">
        <is>
          <t>IF(OR(E21="",AJ21=""),"",IF(COUNT(AG21:AI21)=0,"",AJ21-LOOKUP(2,1/(AG21:AI21&lt;&gt;""),AG21:AI21)))</t>
        </is>
      </c>
      <c r="AX21" s="38" t="inlineStr">
        <is>
          <t>IF(OR(E21="",AK21=""),"",IF(COUNT(AG21:AJ21)=0,"",AK21-LOOKUP(2,1/(AG21:AJ21&lt;&gt;""),AG21:AJ21)))</t>
        </is>
      </c>
      <c r="AY21" s="38" t="inlineStr">
        <is>
          <t>IF(OR(E21="",AL21=""),"",IF(COUNT(AG21:AK21)=0,"",AL21-LOOKUP(2,1/(AG21:AK21&lt;&gt;""),AG21:AK21)))</t>
        </is>
      </c>
      <c r="AZ21" s="38" t="inlineStr">
        <is>
          <t>IF(OR(E21="",AM21=""),"",IF(COUNT(AG21:AL21)=0,"",AM21-LOOKUP(2,1/(AG21:AL21&lt;&gt;""),AG21:AL21)))</t>
        </is>
      </c>
      <c r="BA21" s="38" t="inlineStr">
        <is>
          <t>IF(OR(E21="",AN21=""),"",IF(COUNT(AG21:AM21)=0,"",AN21-LOOKUP(2,1/(AG21:AM21&lt;&gt;""),AG21:AM21)))</t>
        </is>
      </c>
      <c r="BB21" s="38" t="inlineStr">
        <is>
          <t>IF(OR(E21="",AO21=""),"",IF(COUNT(AG21:AN21)=0,"",AO21-LOOKUP(2,1/(AG21:AN21&lt;&gt;""),AG21:AN21)))</t>
        </is>
      </c>
      <c r="BC21" s="38" t="inlineStr">
        <is>
          <t>IF(OR(E21="",AP21=""),"",IF(COUNT(AG21:AO21)=0,"",AP21-LOOKUP(2,1/(AG21:AO21&lt;&gt;""),AG21:AO21)))</t>
        </is>
      </c>
      <c r="BD21" s="38" t="inlineStr">
        <is>
          <t>IF(OR(E21="",AQ21=""),"",IF(COUNT(AG21:AP21)=0,"",AQ21-LOOKUP(2,1/(AG21:AP21&lt;&gt;""),AG21:AP21)))</t>
        </is>
      </c>
      <c r="BE21" s="38" t="inlineStr">
        <is>
          <t>IF(OR(E21="",AR21=""),"",IF(COUNT(AG21:AQ21)=0,"",AR21-LOOKUP(2,1/(AG21:AQ21&lt;&gt;""),AG21:AQ21)))</t>
        </is>
      </c>
      <c r="BF21" s="38" t="inlineStr">
        <is>
          <t>IF(OR(E21="",AS21=""),"",IF(COUNT(AG21:AR21)=0,"",AS21-LOOKUP(2,1/(AG21:AR21&lt;&gt;""),AG21:AR21)))</t>
        </is>
      </c>
      <c r="BG21" s="38" t="inlineStr">
        <is>
          <t>IF(OR(E21="",AT21=""),"",IF(COUNT(AG21:AS21)=0,"",AT21-LOOKUP(2,1/(AG21:AS21&lt;&gt;""),AG21:AS21)))</t>
        </is>
      </c>
      <c r="BH21" s="41" t="inlineStr">
        <is>
          <t>IF(G21="","All_Provinces",IFERROR(VLOOKUP(G21,'07_Lookups'!$A$4:$B$20,2,FALSE),"All_Provinces"))</t>
        </is>
      </c>
      <c r="BI21" s="41" t="inlineStr">
        <is>
          <t>IF(H21="","All_Districts",IFERROR(VLOOKUP(H21,'07_Lookups'!$E$4:$F$42,2,FALSE),"All_Districts"))</t>
        </is>
      </c>
    </row>
    <row r="22" ht="18" customHeight="1">
      <c r="A22" s="32" t="inlineStr">
        <is>
          <t>IF(E22="","",ROW()-3)</t>
        </is>
      </c>
      <c r="B22" s="33" t="n"/>
      <c r="C22" s="33" t="n"/>
      <c r="D22" s="33" t="n"/>
      <c r="E22" s="33" t="n"/>
      <c r="F22" s="33" t="n"/>
      <c r="G22" s="33" t="n"/>
      <c r="H22" s="33" t="n"/>
      <c r="I22" s="33" t="n"/>
      <c r="J22" s="33" t="n"/>
      <c r="K22" s="33" t="n"/>
      <c r="L22" s="33" t="n"/>
      <c r="M22" s="33" t="n"/>
      <c r="N22" s="33" t="n"/>
      <c r="O22" s="33" t="n"/>
      <c r="P22" s="33" t="n"/>
      <c r="Q22" s="34" t="n"/>
      <c r="R22" s="35" t="inlineStr">
        <is>
          <t>IF(AO22="","",AO22)</t>
        </is>
      </c>
      <c r="S22" s="36" t="n"/>
      <c r="T22" s="37" t="n"/>
      <c r="U22" s="36" t="n"/>
      <c r="V22" s="35" t="inlineStr">
        <is>
          <t>IF(U22&lt;&gt;"",U22,IF(OR(R22="",T22=""),"",EDATE(R22,T22)))</t>
        </is>
      </c>
      <c r="W22" s="36" t="n"/>
      <c r="X22" s="37" t="n"/>
      <c r="Y22" s="33" t="n"/>
      <c r="Z22" s="33" t="n"/>
      <c r="AA22" s="32" t="inlineStr">
        <is>
          <t>IF(E22="","",IF(COUNT(AG22:AT22)=0,IF(Y22="","Not started",Y22),SUBSTITUTE(LOOKUP(2,1/(AG22:AT22&lt;&gt;""),$AG$3:$AT$3),"Date: ","")))</t>
        </is>
      </c>
      <c r="AB22" s="38" t="inlineStr">
        <is>
          <t>IF(OR(E22="",COUNT(AG22:AT22)=0),"",TODAY()-LOOKUP(2,1/(AG22:AT22&lt;&gt;""),AG22:AT22))</t>
        </is>
      </c>
      <c r="AC22" s="38" t="inlineStr">
        <is>
          <t>IF(OR(E22="",COUNT(AG22:AT22)&lt;2),"",LOOKUP(2,1/(AG22:AT22&lt;&gt;""),AG22:AT22)-MIN(AG22:AT22))</t>
        </is>
      </c>
      <c r="AD22" s="38" t="inlineStr">
        <is>
          <t>IF(OR(AB22="",AA22="Not started",AA22=""),"",IFERROR(AB22-IF(VLOOKUP(AA22,'04_Status_Pipeline'!$B$3:$E$20,4,FALSE)="",0,VLOOKUP(AA22,'04_Status_Pipeline'!$B$3:$E$20,4,FALSE)),""))</t>
        </is>
      </c>
      <c r="AE22" s="32" t="inlineStr">
        <is>
          <t>IF(E22="","",IF(OR(Y22="Cancelled",AA22="Cancelled"),"Cancelled",IF(OR(AA22="Completed / Handover",W22&lt;&gt;"",X22&gt;=100),"Completed — on track",IF(L22="Remaining",IF(S22="",IF(V22="","No planned date",IF(TODAY()&gt;V22,"Behind — past planned date",IF(V22-TODAY()&lt;=30,"At risk — close to off track","On track"))),IF(TODAY()&gt;S22,"Behind — award date passed",IF(S22-TODAY()&lt;=30,"At risk — close to off track","On track"))),IF(V22="","No planned date",IF(AND(TODAY()&gt;V22,OR(X22="",X22&lt;100)),"Behind — past end date",IF(AND(R22&lt;&gt;"",V22&lt;&gt;"",X22&lt;&gt;"",(X22&lt;100),((TODAY()-R22)/MAX(V22-R22,1)*100)-X22&gt;15),"Behind — progress lag",IF(AND(V22-TODAY()&lt;=30,V22-TODAY()&gt;=0,OR(X22="",X22&lt;90)),"At risk — close to off track","On track"))))))))</t>
        </is>
      </c>
      <c r="AF22" s="38" t="inlineStr">
        <is>
          <t>IF(OR(E22="",AA22="Completed / Handover",AA22="Cancelled"),"",IF(L22="Remaining",IF(S22&lt;&gt;"",S22-TODAY(),IF(V22="","",V22-TODAY())),IF(V22="","",V22-TODAY())))</t>
        </is>
      </c>
      <c r="AG22" s="36" t="n"/>
      <c r="AH22" s="36" t="n"/>
      <c r="AI22" s="36" t="n"/>
      <c r="AJ22" s="36" t="n"/>
      <c r="AK22" s="36" t="n"/>
      <c r="AL22" s="36" t="n"/>
      <c r="AM22" s="36" t="n"/>
      <c r="AN22" s="36" t="n"/>
      <c r="AO22" s="36" t="n"/>
      <c r="AP22" s="36" t="n"/>
      <c r="AQ22" s="36" t="n"/>
      <c r="AR22" s="40" t="n"/>
      <c r="AS22" s="40" t="n"/>
      <c r="AT22" s="40" t="n"/>
      <c r="AU22" s="38" t="inlineStr">
        <is>
          <t>IF(OR(E22="",AH22=""),"",IF(COUNT(AG22:AG22)=0,"",AH22-LOOKUP(2,1/(AG22:AG22&lt;&gt;""),AG22:AG22)))</t>
        </is>
      </c>
      <c r="AV22" s="38" t="inlineStr">
        <is>
          <t>IF(OR(E22="",AI22=""),"",IF(COUNT(AG22:AH22)=0,"",AI22-LOOKUP(2,1/(AG22:AH22&lt;&gt;""),AG22:AH22)))</t>
        </is>
      </c>
      <c r="AW22" s="38" t="inlineStr">
        <is>
          <t>IF(OR(E22="",AJ22=""),"",IF(COUNT(AG22:AI22)=0,"",AJ22-LOOKUP(2,1/(AG22:AI22&lt;&gt;""),AG22:AI22)))</t>
        </is>
      </c>
      <c r="AX22" s="38" t="inlineStr">
        <is>
          <t>IF(OR(E22="",AK22=""),"",IF(COUNT(AG22:AJ22)=0,"",AK22-LOOKUP(2,1/(AG22:AJ22&lt;&gt;""),AG22:AJ22)))</t>
        </is>
      </c>
      <c r="AY22" s="38" t="inlineStr">
        <is>
          <t>IF(OR(E22="",AL22=""),"",IF(COUNT(AG22:AK22)=0,"",AL22-LOOKUP(2,1/(AG22:AK22&lt;&gt;""),AG22:AK22)))</t>
        </is>
      </c>
      <c r="AZ22" s="38" t="inlineStr">
        <is>
          <t>IF(OR(E22="",AM22=""),"",IF(COUNT(AG22:AL22)=0,"",AM22-LOOKUP(2,1/(AG22:AL22&lt;&gt;""),AG22:AL22)))</t>
        </is>
      </c>
      <c r="BA22" s="38" t="inlineStr">
        <is>
          <t>IF(OR(E22="",AN22=""),"",IF(COUNT(AG22:AM22)=0,"",AN22-LOOKUP(2,1/(AG22:AM22&lt;&gt;""),AG22:AM22)))</t>
        </is>
      </c>
      <c r="BB22" s="38" t="inlineStr">
        <is>
          <t>IF(OR(E22="",AO22=""),"",IF(COUNT(AG22:AN22)=0,"",AO22-LOOKUP(2,1/(AG22:AN22&lt;&gt;""),AG22:AN22)))</t>
        </is>
      </c>
      <c r="BC22" s="38" t="inlineStr">
        <is>
          <t>IF(OR(E22="",AP22=""),"",IF(COUNT(AG22:AO22)=0,"",AP22-LOOKUP(2,1/(AG22:AO22&lt;&gt;""),AG22:AO22)))</t>
        </is>
      </c>
      <c r="BD22" s="38" t="inlineStr">
        <is>
          <t>IF(OR(E22="",AQ22=""),"",IF(COUNT(AG22:AP22)=0,"",AQ22-LOOKUP(2,1/(AG22:AP22&lt;&gt;""),AG22:AP22)))</t>
        </is>
      </c>
      <c r="BE22" s="38" t="inlineStr">
        <is>
          <t>IF(OR(E22="",AR22=""),"",IF(COUNT(AG22:AQ22)=0,"",AR22-LOOKUP(2,1/(AG22:AQ22&lt;&gt;""),AG22:AQ22)))</t>
        </is>
      </c>
      <c r="BF22" s="38" t="inlineStr">
        <is>
          <t>IF(OR(E22="",AS22=""),"",IF(COUNT(AG22:AR22)=0,"",AS22-LOOKUP(2,1/(AG22:AR22&lt;&gt;""),AG22:AR22)))</t>
        </is>
      </c>
      <c r="BG22" s="38" t="inlineStr">
        <is>
          <t>IF(OR(E22="",AT22=""),"",IF(COUNT(AG22:AS22)=0,"",AT22-LOOKUP(2,1/(AG22:AS22&lt;&gt;""),AG22:AS22)))</t>
        </is>
      </c>
      <c r="BH22" s="41" t="inlineStr">
        <is>
          <t>IF(G22="","All_Provinces",IFERROR(VLOOKUP(G22,'07_Lookups'!$A$4:$B$20,2,FALSE),"All_Provinces"))</t>
        </is>
      </c>
      <c r="BI22" s="41" t="inlineStr">
        <is>
          <t>IF(H22="","All_Districts",IFERROR(VLOOKUP(H22,'07_Lookups'!$E$4:$F$42,2,FALSE),"All_Districts"))</t>
        </is>
      </c>
    </row>
    <row r="23" ht="18" customHeight="1">
      <c r="A23" s="32" t="inlineStr">
        <is>
          <t>IF(E23="","",ROW()-3)</t>
        </is>
      </c>
      <c r="B23" s="42" t="n"/>
      <c r="C23" s="42" t="n"/>
      <c r="D23" s="42" t="n"/>
      <c r="E23" s="42" t="n"/>
      <c r="F23" s="42" t="n"/>
      <c r="G23" s="42" t="n"/>
      <c r="H23" s="42" t="n"/>
      <c r="I23" s="42" t="n"/>
      <c r="J23" s="42" t="n"/>
      <c r="K23" s="42" t="n"/>
      <c r="L23" s="42" t="n"/>
      <c r="M23" s="42" t="n"/>
      <c r="N23" s="42" t="n"/>
      <c r="O23" s="42" t="n"/>
      <c r="P23" s="42" t="n"/>
      <c r="Q23" s="43" t="n"/>
      <c r="R23" s="35" t="inlineStr">
        <is>
          <t>IF(AO23="","",AO23)</t>
        </is>
      </c>
      <c r="S23" s="44" t="n"/>
      <c r="T23" s="45" t="n"/>
      <c r="U23" s="44" t="n"/>
      <c r="V23" s="35" t="inlineStr">
        <is>
          <t>IF(U23&lt;&gt;"",U23,IF(OR(R23="",T23=""),"",EDATE(R23,T23)))</t>
        </is>
      </c>
      <c r="W23" s="44" t="n"/>
      <c r="X23" s="45" t="n"/>
      <c r="Y23" s="42" t="n"/>
      <c r="Z23" s="42" t="n"/>
      <c r="AA23" s="32" t="inlineStr">
        <is>
          <t>IF(E23="","",IF(COUNT(AG23:AT23)=0,IF(Y23="","Not started",Y23),SUBSTITUTE(LOOKUP(2,1/(AG23:AT23&lt;&gt;""),$AG$3:$AT$3),"Date: ","")))</t>
        </is>
      </c>
      <c r="AB23" s="38" t="inlineStr">
        <is>
          <t>IF(OR(E23="",COUNT(AG23:AT23)=0),"",TODAY()-LOOKUP(2,1/(AG23:AT23&lt;&gt;""),AG23:AT23))</t>
        </is>
      </c>
      <c r="AC23" s="38" t="inlineStr">
        <is>
          <t>IF(OR(E23="",COUNT(AG23:AT23)&lt;2),"",LOOKUP(2,1/(AG23:AT23&lt;&gt;""),AG23:AT23)-MIN(AG23:AT23))</t>
        </is>
      </c>
      <c r="AD23" s="38" t="inlineStr">
        <is>
          <t>IF(OR(AB23="",AA23="Not started",AA23=""),"",IFERROR(AB23-IF(VLOOKUP(AA23,'04_Status_Pipeline'!$B$3:$E$20,4,FALSE)="",0,VLOOKUP(AA23,'04_Status_Pipeline'!$B$3:$E$20,4,FALSE)),""))</t>
        </is>
      </c>
      <c r="AE23" s="32" t="inlineStr">
        <is>
          <t>IF(E23="","",IF(OR(Y23="Cancelled",AA23="Cancelled"),"Cancelled",IF(OR(AA23="Completed / Handover",W23&lt;&gt;"",X23&gt;=100),"Completed — on track",IF(L23="Remaining",IF(S23="",IF(V23="","No planned date",IF(TODAY()&gt;V23,"Behind — past planned date",IF(V23-TODAY()&lt;=30,"At risk — close to off track","On track"))),IF(TODAY()&gt;S23,"Behind — award date passed",IF(S23-TODAY()&lt;=30,"At risk — close to off track","On track"))),IF(V23="","No planned date",IF(AND(TODAY()&gt;V23,OR(X23="",X23&lt;100)),"Behind — past end date",IF(AND(R23&lt;&gt;"",V23&lt;&gt;"",X23&lt;&gt;"",(X23&lt;100),((TODAY()-R23)/MAX(V23-R23,1)*100)-X23&gt;15),"Behind — progress lag",IF(AND(V23-TODAY()&lt;=30,V23-TODAY()&gt;=0,OR(X23="",X23&lt;90)),"At risk — close to off track","On track"))))))))</t>
        </is>
      </c>
      <c r="AF23" s="38" t="inlineStr">
        <is>
          <t>IF(OR(E23="",AA23="Completed / Handover",AA23="Cancelled"),"",IF(L23="Remaining",IF(S23&lt;&gt;"",S23-TODAY(),IF(V23="","",V23-TODAY())),IF(V23="","",V23-TODAY())))</t>
        </is>
      </c>
      <c r="AG23" s="44" t="n"/>
      <c r="AH23" s="44" t="n"/>
      <c r="AI23" s="44" t="n"/>
      <c r="AJ23" s="44" t="n"/>
      <c r="AK23" s="44" t="n"/>
      <c r="AL23" s="44" t="n"/>
      <c r="AM23" s="44" t="n"/>
      <c r="AN23" s="44" t="n"/>
      <c r="AO23" s="44" t="n"/>
      <c r="AP23" s="44" t="n"/>
      <c r="AQ23" s="44" t="n"/>
      <c r="AR23" s="40" t="n"/>
      <c r="AS23" s="40" t="n"/>
      <c r="AT23" s="40" t="n"/>
      <c r="AU23" s="38" t="inlineStr">
        <is>
          <t>IF(OR(E23="",AH23=""),"",IF(COUNT(AG23:AG23)=0,"",AH23-LOOKUP(2,1/(AG23:AG23&lt;&gt;""),AG23:AG23)))</t>
        </is>
      </c>
      <c r="AV23" s="38" t="inlineStr">
        <is>
          <t>IF(OR(E23="",AI23=""),"",IF(COUNT(AG23:AH23)=0,"",AI23-LOOKUP(2,1/(AG23:AH23&lt;&gt;""),AG23:AH23)))</t>
        </is>
      </c>
      <c r="AW23" s="38" t="inlineStr">
        <is>
          <t>IF(OR(E23="",AJ23=""),"",IF(COUNT(AG23:AI23)=0,"",AJ23-LOOKUP(2,1/(AG23:AI23&lt;&gt;""),AG23:AI23)))</t>
        </is>
      </c>
      <c r="AX23" s="38" t="inlineStr">
        <is>
          <t>IF(OR(E23="",AK23=""),"",IF(COUNT(AG23:AJ23)=0,"",AK23-LOOKUP(2,1/(AG23:AJ23&lt;&gt;""),AG23:AJ23)))</t>
        </is>
      </c>
      <c r="AY23" s="38" t="inlineStr">
        <is>
          <t>IF(OR(E23="",AL23=""),"",IF(COUNT(AG23:AK23)=0,"",AL23-LOOKUP(2,1/(AG23:AK23&lt;&gt;""),AG23:AK23)))</t>
        </is>
      </c>
      <c r="AZ23" s="38" t="inlineStr">
        <is>
          <t>IF(OR(E23="",AM23=""),"",IF(COUNT(AG23:AL23)=0,"",AM23-LOOKUP(2,1/(AG23:AL23&lt;&gt;""),AG23:AL23)))</t>
        </is>
      </c>
      <c r="BA23" s="38" t="inlineStr">
        <is>
          <t>IF(OR(E23="",AN23=""),"",IF(COUNT(AG23:AM23)=0,"",AN23-LOOKUP(2,1/(AG23:AM23&lt;&gt;""),AG23:AM23)))</t>
        </is>
      </c>
      <c r="BB23" s="38" t="inlineStr">
        <is>
          <t>IF(OR(E23="",AO23=""),"",IF(COUNT(AG23:AN23)=0,"",AO23-LOOKUP(2,1/(AG23:AN23&lt;&gt;""),AG23:AN23)))</t>
        </is>
      </c>
      <c r="BC23" s="38" t="inlineStr">
        <is>
          <t>IF(OR(E23="",AP23=""),"",IF(COUNT(AG23:AO23)=0,"",AP23-LOOKUP(2,1/(AG23:AO23&lt;&gt;""),AG23:AO23)))</t>
        </is>
      </c>
      <c r="BD23" s="38" t="inlineStr">
        <is>
          <t>IF(OR(E23="",AQ23=""),"",IF(COUNT(AG23:AP23)=0,"",AQ23-LOOKUP(2,1/(AG23:AP23&lt;&gt;""),AG23:AP23)))</t>
        </is>
      </c>
      <c r="BE23" s="38" t="inlineStr">
        <is>
          <t>IF(OR(E23="",AR23=""),"",IF(COUNT(AG23:AQ23)=0,"",AR23-LOOKUP(2,1/(AG23:AQ23&lt;&gt;""),AG23:AQ23)))</t>
        </is>
      </c>
      <c r="BF23" s="38" t="inlineStr">
        <is>
          <t>IF(OR(E23="",AS23=""),"",IF(COUNT(AG23:AR23)=0,"",AS23-LOOKUP(2,1/(AG23:AR23&lt;&gt;""),AG23:AR23)))</t>
        </is>
      </c>
      <c r="BG23" s="38" t="inlineStr">
        <is>
          <t>IF(OR(E23="",AT23=""),"",IF(COUNT(AG23:AS23)=0,"",AT23-LOOKUP(2,1/(AG23:AS23&lt;&gt;""),AG23:AS23)))</t>
        </is>
      </c>
      <c r="BH23" s="41" t="inlineStr">
        <is>
          <t>IF(G23="","All_Provinces",IFERROR(VLOOKUP(G23,'07_Lookups'!$A$4:$B$20,2,FALSE),"All_Provinces"))</t>
        </is>
      </c>
      <c r="BI23" s="41" t="inlineStr">
        <is>
          <t>IF(H23="","All_Districts",IFERROR(VLOOKUP(H23,'07_Lookups'!$E$4:$F$42,2,FALSE),"All_Districts"))</t>
        </is>
      </c>
    </row>
    <row r="24" ht="18" customHeight="1">
      <c r="A24" s="32" t="inlineStr">
        <is>
          <t>IF(E24="","",ROW()-3)</t>
        </is>
      </c>
      <c r="B24" s="33" t="n"/>
      <c r="C24" s="33" t="n"/>
      <c r="D24" s="33" t="n"/>
      <c r="E24" s="33" t="n"/>
      <c r="F24" s="33" t="n"/>
      <c r="G24" s="33" t="n"/>
      <c r="H24" s="33" t="n"/>
      <c r="I24" s="33" t="n"/>
      <c r="J24" s="33" t="n"/>
      <c r="K24" s="33" t="n"/>
      <c r="L24" s="33" t="n"/>
      <c r="M24" s="33" t="n"/>
      <c r="N24" s="33" t="n"/>
      <c r="O24" s="33" t="n"/>
      <c r="P24" s="33" t="n"/>
      <c r="Q24" s="34" t="n"/>
      <c r="R24" s="35" t="inlineStr">
        <is>
          <t>IF(AO24="","",AO24)</t>
        </is>
      </c>
      <c r="S24" s="36" t="n"/>
      <c r="T24" s="37" t="n"/>
      <c r="U24" s="36" t="n"/>
      <c r="V24" s="35" t="inlineStr">
        <is>
          <t>IF(U24&lt;&gt;"",U24,IF(OR(R24="",T24=""),"",EDATE(R24,T24)))</t>
        </is>
      </c>
      <c r="W24" s="36" t="n"/>
      <c r="X24" s="37" t="n"/>
      <c r="Y24" s="33" t="n"/>
      <c r="Z24" s="33" t="n"/>
      <c r="AA24" s="32" t="inlineStr">
        <is>
          <t>IF(E24="","",IF(COUNT(AG24:AT24)=0,IF(Y24="","Not started",Y24),SUBSTITUTE(LOOKUP(2,1/(AG24:AT24&lt;&gt;""),$AG$3:$AT$3),"Date: ","")))</t>
        </is>
      </c>
      <c r="AB24" s="38" t="inlineStr">
        <is>
          <t>IF(OR(E24="",COUNT(AG24:AT24)=0),"",TODAY()-LOOKUP(2,1/(AG24:AT24&lt;&gt;""),AG24:AT24))</t>
        </is>
      </c>
      <c r="AC24" s="38" t="inlineStr">
        <is>
          <t>IF(OR(E24="",COUNT(AG24:AT24)&lt;2),"",LOOKUP(2,1/(AG24:AT24&lt;&gt;""),AG24:AT24)-MIN(AG24:AT24))</t>
        </is>
      </c>
      <c r="AD24" s="38" t="inlineStr">
        <is>
          <t>IF(OR(AB24="",AA24="Not started",AA24=""),"",IFERROR(AB24-IF(VLOOKUP(AA24,'04_Status_Pipeline'!$B$3:$E$20,4,FALSE)="",0,VLOOKUP(AA24,'04_Status_Pipeline'!$B$3:$E$20,4,FALSE)),""))</t>
        </is>
      </c>
      <c r="AE24" s="32" t="inlineStr">
        <is>
          <t>IF(E24="","",IF(OR(Y24="Cancelled",AA24="Cancelled"),"Cancelled",IF(OR(AA24="Completed / Handover",W24&lt;&gt;"",X24&gt;=100),"Completed — on track",IF(L24="Remaining",IF(S24="",IF(V24="","No planned date",IF(TODAY()&gt;V24,"Behind — past planned date",IF(V24-TODAY()&lt;=30,"At risk — close to off track","On track"))),IF(TODAY()&gt;S24,"Behind — award date passed",IF(S24-TODAY()&lt;=30,"At risk — close to off track","On track"))),IF(V24="","No planned date",IF(AND(TODAY()&gt;V24,OR(X24="",X24&lt;100)),"Behind — past end date",IF(AND(R24&lt;&gt;"",V24&lt;&gt;"",X24&lt;&gt;"",(X24&lt;100),((TODAY()-R24)/MAX(V24-R24,1)*100)-X24&gt;15),"Behind — progress lag",IF(AND(V24-TODAY()&lt;=30,V24-TODAY()&gt;=0,OR(X24="",X24&lt;90)),"At risk — close to off track","On track"))))))))</t>
        </is>
      </c>
      <c r="AF24" s="38" t="inlineStr">
        <is>
          <t>IF(OR(E24="",AA24="Completed / Handover",AA24="Cancelled"),"",IF(L24="Remaining",IF(S24&lt;&gt;"",S24-TODAY(),IF(V24="","",V24-TODAY())),IF(V24="","",V24-TODAY())))</t>
        </is>
      </c>
      <c r="AG24" s="36" t="n"/>
      <c r="AH24" s="36" t="n"/>
      <c r="AI24" s="36" t="n"/>
      <c r="AJ24" s="36" t="n"/>
      <c r="AK24" s="36" t="n"/>
      <c r="AL24" s="36" t="n"/>
      <c r="AM24" s="36" t="n"/>
      <c r="AN24" s="36" t="n"/>
      <c r="AO24" s="36" t="n"/>
      <c r="AP24" s="36" t="n"/>
      <c r="AQ24" s="36" t="n"/>
      <c r="AR24" s="40" t="n"/>
      <c r="AS24" s="40" t="n"/>
      <c r="AT24" s="40" t="n"/>
      <c r="AU24" s="38" t="inlineStr">
        <is>
          <t>IF(OR(E24="",AH24=""),"",IF(COUNT(AG24:AG24)=0,"",AH24-LOOKUP(2,1/(AG24:AG24&lt;&gt;""),AG24:AG24)))</t>
        </is>
      </c>
      <c r="AV24" s="38" t="inlineStr">
        <is>
          <t>IF(OR(E24="",AI24=""),"",IF(COUNT(AG24:AH24)=0,"",AI24-LOOKUP(2,1/(AG24:AH24&lt;&gt;""),AG24:AH24)))</t>
        </is>
      </c>
      <c r="AW24" s="38" t="inlineStr">
        <is>
          <t>IF(OR(E24="",AJ24=""),"",IF(COUNT(AG24:AI24)=0,"",AJ24-LOOKUP(2,1/(AG24:AI24&lt;&gt;""),AG24:AI24)))</t>
        </is>
      </c>
      <c r="AX24" s="38" t="inlineStr">
        <is>
          <t>IF(OR(E24="",AK24=""),"",IF(COUNT(AG24:AJ24)=0,"",AK24-LOOKUP(2,1/(AG24:AJ24&lt;&gt;""),AG24:AJ24)))</t>
        </is>
      </c>
      <c r="AY24" s="38" t="inlineStr">
        <is>
          <t>IF(OR(E24="",AL24=""),"",IF(COUNT(AG24:AK24)=0,"",AL24-LOOKUP(2,1/(AG24:AK24&lt;&gt;""),AG24:AK24)))</t>
        </is>
      </c>
      <c r="AZ24" s="38" t="inlineStr">
        <is>
          <t>IF(OR(E24="",AM24=""),"",IF(COUNT(AG24:AL24)=0,"",AM24-LOOKUP(2,1/(AG24:AL24&lt;&gt;""),AG24:AL24)))</t>
        </is>
      </c>
      <c r="BA24" s="38" t="inlineStr">
        <is>
          <t>IF(OR(E24="",AN24=""),"",IF(COUNT(AG24:AM24)=0,"",AN24-LOOKUP(2,1/(AG24:AM24&lt;&gt;""),AG24:AM24)))</t>
        </is>
      </c>
      <c r="BB24" s="38" t="inlineStr">
        <is>
          <t>IF(OR(E24="",AO24=""),"",IF(COUNT(AG24:AN24)=0,"",AO24-LOOKUP(2,1/(AG24:AN24&lt;&gt;""),AG24:AN24)))</t>
        </is>
      </c>
      <c r="BC24" s="38" t="inlineStr">
        <is>
          <t>IF(OR(E24="",AP24=""),"",IF(COUNT(AG24:AO24)=0,"",AP24-LOOKUP(2,1/(AG24:AO24&lt;&gt;""),AG24:AO24)))</t>
        </is>
      </c>
      <c r="BD24" s="38" t="inlineStr">
        <is>
          <t>IF(OR(E24="",AQ24=""),"",IF(COUNT(AG24:AP24)=0,"",AQ24-LOOKUP(2,1/(AG24:AP24&lt;&gt;""),AG24:AP24)))</t>
        </is>
      </c>
      <c r="BE24" s="38" t="inlineStr">
        <is>
          <t>IF(OR(E24="",AR24=""),"",IF(COUNT(AG24:AQ24)=0,"",AR24-LOOKUP(2,1/(AG24:AQ24&lt;&gt;""),AG24:AQ24)))</t>
        </is>
      </c>
      <c r="BF24" s="38" t="inlineStr">
        <is>
          <t>IF(OR(E24="",AS24=""),"",IF(COUNT(AG24:AR24)=0,"",AS24-LOOKUP(2,1/(AG24:AR24&lt;&gt;""),AG24:AR24)))</t>
        </is>
      </c>
      <c r="BG24" s="38" t="inlineStr">
        <is>
          <t>IF(OR(E24="",AT24=""),"",IF(COUNT(AG24:AS24)=0,"",AT24-LOOKUP(2,1/(AG24:AS24&lt;&gt;""),AG24:AS24)))</t>
        </is>
      </c>
      <c r="BH24" s="41" t="inlineStr">
        <is>
          <t>IF(G24="","All_Provinces",IFERROR(VLOOKUP(G24,'07_Lookups'!$A$4:$B$20,2,FALSE),"All_Provinces"))</t>
        </is>
      </c>
      <c r="BI24" s="41" t="inlineStr">
        <is>
          <t>IF(H24="","All_Districts",IFERROR(VLOOKUP(H24,'07_Lookups'!$E$4:$F$42,2,FALSE),"All_Districts"))</t>
        </is>
      </c>
    </row>
    <row r="25" ht="18" customHeight="1">
      <c r="A25" s="32" t="inlineStr">
        <is>
          <t>IF(E25="","",ROW()-3)</t>
        </is>
      </c>
      <c r="B25" s="42" t="n"/>
      <c r="C25" s="42" t="n"/>
      <c r="D25" s="42" t="n"/>
      <c r="E25" s="42" t="n"/>
      <c r="F25" s="42" t="n"/>
      <c r="G25" s="42" t="n"/>
      <c r="H25" s="42" t="n"/>
      <c r="I25" s="42" t="n"/>
      <c r="J25" s="42" t="n"/>
      <c r="K25" s="42" t="n"/>
      <c r="L25" s="42" t="n"/>
      <c r="M25" s="42" t="n"/>
      <c r="N25" s="42" t="n"/>
      <c r="O25" s="42" t="n"/>
      <c r="P25" s="42" t="n"/>
      <c r="Q25" s="43" t="n"/>
      <c r="R25" s="35" t="inlineStr">
        <is>
          <t>IF(AO25="","",AO25)</t>
        </is>
      </c>
      <c r="S25" s="44" t="n"/>
      <c r="T25" s="45" t="n"/>
      <c r="U25" s="44" t="n"/>
      <c r="V25" s="35" t="inlineStr">
        <is>
          <t>IF(U25&lt;&gt;"",U25,IF(OR(R25="",T25=""),"",EDATE(R25,T25)))</t>
        </is>
      </c>
      <c r="W25" s="44" t="n"/>
      <c r="X25" s="45" t="n"/>
      <c r="Y25" s="42" t="n"/>
      <c r="Z25" s="42" t="n"/>
      <c r="AA25" s="32" t="inlineStr">
        <is>
          <t>IF(E25="","",IF(COUNT(AG25:AT25)=0,IF(Y25="","Not started",Y25),SUBSTITUTE(LOOKUP(2,1/(AG25:AT25&lt;&gt;""),$AG$3:$AT$3),"Date: ","")))</t>
        </is>
      </c>
      <c r="AB25" s="38" t="inlineStr">
        <is>
          <t>IF(OR(E25="",COUNT(AG25:AT25)=0),"",TODAY()-LOOKUP(2,1/(AG25:AT25&lt;&gt;""),AG25:AT25))</t>
        </is>
      </c>
      <c r="AC25" s="38" t="inlineStr">
        <is>
          <t>IF(OR(E25="",COUNT(AG25:AT25)&lt;2),"",LOOKUP(2,1/(AG25:AT25&lt;&gt;""),AG25:AT25)-MIN(AG25:AT25))</t>
        </is>
      </c>
      <c r="AD25" s="38" t="inlineStr">
        <is>
          <t>IF(OR(AB25="",AA25="Not started",AA25=""),"",IFERROR(AB25-IF(VLOOKUP(AA25,'04_Status_Pipeline'!$B$3:$E$20,4,FALSE)="",0,VLOOKUP(AA25,'04_Status_Pipeline'!$B$3:$E$20,4,FALSE)),""))</t>
        </is>
      </c>
      <c r="AE25" s="32" t="inlineStr">
        <is>
          <t>IF(E25="","",IF(OR(Y25="Cancelled",AA25="Cancelled"),"Cancelled",IF(OR(AA25="Completed / Handover",W25&lt;&gt;"",X25&gt;=100),"Completed — on track",IF(L25="Remaining",IF(S25="",IF(V25="","No planned date",IF(TODAY()&gt;V25,"Behind — past planned date",IF(V25-TODAY()&lt;=30,"At risk — close to off track","On track"))),IF(TODAY()&gt;S25,"Behind — award date passed",IF(S25-TODAY()&lt;=30,"At risk — close to off track","On track"))),IF(V25="","No planned date",IF(AND(TODAY()&gt;V25,OR(X25="",X25&lt;100)),"Behind — past end date",IF(AND(R25&lt;&gt;"",V25&lt;&gt;"",X25&lt;&gt;"",(X25&lt;100),((TODAY()-R25)/MAX(V25-R25,1)*100)-X25&gt;15),"Behind — progress lag",IF(AND(V25-TODAY()&lt;=30,V25-TODAY()&gt;=0,OR(X25="",X25&lt;90)),"At risk — close to off track","On track"))))))))</t>
        </is>
      </c>
      <c r="AF25" s="38" t="inlineStr">
        <is>
          <t>IF(OR(E25="",AA25="Completed / Handover",AA25="Cancelled"),"",IF(L25="Remaining",IF(S25&lt;&gt;"",S25-TODAY(),IF(V25="","",V25-TODAY())),IF(V25="","",V25-TODAY())))</t>
        </is>
      </c>
      <c r="AG25" s="44" t="n"/>
      <c r="AH25" s="44" t="n"/>
      <c r="AI25" s="44" t="n"/>
      <c r="AJ25" s="44" t="n"/>
      <c r="AK25" s="44" t="n"/>
      <c r="AL25" s="44" t="n"/>
      <c r="AM25" s="44" t="n"/>
      <c r="AN25" s="44" t="n"/>
      <c r="AO25" s="44" t="n"/>
      <c r="AP25" s="44" t="n"/>
      <c r="AQ25" s="44" t="n"/>
      <c r="AR25" s="40" t="n"/>
      <c r="AS25" s="40" t="n"/>
      <c r="AT25" s="40" t="n"/>
      <c r="AU25" s="38" t="inlineStr">
        <is>
          <t>IF(OR(E25="",AH25=""),"",IF(COUNT(AG25:AG25)=0,"",AH25-LOOKUP(2,1/(AG25:AG25&lt;&gt;""),AG25:AG25)))</t>
        </is>
      </c>
      <c r="AV25" s="38" t="inlineStr">
        <is>
          <t>IF(OR(E25="",AI25=""),"",IF(COUNT(AG25:AH25)=0,"",AI25-LOOKUP(2,1/(AG25:AH25&lt;&gt;""),AG25:AH25)))</t>
        </is>
      </c>
      <c r="AW25" s="38" t="inlineStr">
        <is>
          <t>IF(OR(E25="",AJ25=""),"",IF(COUNT(AG25:AI25)=0,"",AJ25-LOOKUP(2,1/(AG25:AI25&lt;&gt;""),AG25:AI25)))</t>
        </is>
      </c>
      <c r="AX25" s="38" t="inlineStr">
        <is>
          <t>IF(OR(E25="",AK25=""),"",IF(COUNT(AG25:AJ25)=0,"",AK25-LOOKUP(2,1/(AG25:AJ25&lt;&gt;""),AG25:AJ25)))</t>
        </is>
      </c>
      <c r="AY25" s="38" t="inlineStr">
        <is>
          <t>IF(OR(E25="",AL25=""),"",IF(COUNT(AG25:AK25)=0,"",AL25-LOOKUP(2,1/(AG25:AK25&lt;&gt;""),AG25:AK25)))</t>
        </is>
      </c>
      <c r="AZ25" s="38" t="inlineStr">
        <is>
          <t>IF(OR(E25="",AM25=""),"",IF(COUNT(AG25:AL25)=0,"",AM25-LOOKUP(2,1/(AG25:AL25&lt;&gt;""),AG25:AL25)))</t>
        </is>
      </c>
      <c r="BA25" s="38" t="inlineStr">
        <is>
          <t>IF(OR(E25="",AN25=""),"",IF(COUNT(AG25:AM25)=0,"",AN25-LOOKUP(2,1/(AG25:AM25&lt;&gt;""),AG25:AM25)))</t>
        </is>
      </c>
      <c r="BB25" s="38" t="inlineStr">
        <is>
          <t>IF(OR(E25="",AO25=""),"",IF(COUNT(AG25:AN25)=0,"",AO25-LOOKUP(2,1/(AG25:AN25&lt;&gt;""),AG25:AN25)))</t>
        </is>
      </c>
      <c r="BC25" s="38" t="inlineStr">
        <is>
          <t>IF(OR(E25="",AP25=""),"",IF(COUNT(AG25:AO25)=0,"",AP25-LOOKUP(2,1/(AG25:AO25&lt;&gt;""),AG25:AO25)))</t>
        </is>
      </c>
      <c r="BD25" s="38" t="inlineStr">
        <is>
          <t>IF(OR(E25="",AQ25=""),"",IF(COUNT(AG25:AP25)=0,"",AQ25-LOOKUP(2,1/(AG25:AP25&lt;&gt;""),AG25:AP25)))</t>
        </is>
      </c>
      <c r="BE25" s="38" t="inlineStr">
        <is>
          <t>IF(OR(E25="",AR25=""),"",IF(COUNT(AG25:AQ25)=0,"",AR25-LOOKUP(2,1/(AG25:AQ25&lt;&gt;""),AG25:AQ25)))</t>
        </is>
      </c>
      <c r="BF25" s="38" t="inlineStr">
        <is>
          <t>IF(OR(E25="",AS25=""),"",IF(COUNT(AG25:AR25)=0,"",AS25-LOOKUP(2,1/(AG25:AR25&lt;&gt;""),AG25:AR25)))</t>
        </is>
      </c>
      <c r="BG25" s="38" t="inlineStr">
        <is>
          <t>IF(OR(E25="",AT25=""),"",IF(COUNT(AG25:AS25)=0,"",AT25-LOOKUP(2,1/(AG25:AS25&lt;&gt;""),AG25:AS25)))</t>
        </is>
      </c>
      <c r="BH25" s="41" t="inlineStr">
        <is>
          <t>IF(G25="","All_Provinces",IFERROR(VLOOKUP(G25,'07_Lookups'!$A$4:$B$20,2,FALSE),"All_Provinces"))</t>
        </is>
      </c>
      <c r="BI25" s="41" t="inlineStr">
        <is>
          <t>IF(H25="","All_Districts",IFERROR(VLOOKUP(H25,'07_Lookups'!$E$4:$F$42,2,FALSE),"All_Districts"))</t>
        </is>
      </c>
    </row>
    <row r="26" ht="18" customHeight="1">
      <c r="A26" s="32" t="inlineStr">
        <is>
          <t>IF(E26="","",ROW()-3)</t>
        </is>
      </c>
      <c r="B26" s="33" t="n"/>
      <c r="C26" s="33" t="n"/>
      <c r="D26" s="33" t="n"/>
      <c r="E26" s="33" t="n"/>
      <c r="F26" s="33" t="n"/>
      <c r="G26" s="33" t="n"/>
      <c r="H26" s="33" t="n"/>
      <c r="I26" s="33" t="n"/>
      <c r="J26" s="33" t="n"/>
      <c r="K26" s="33" t="n"/>
      <c r="L26" s="33" t="n"/>
      <c r="M26" s="33" t="n"/>
      <c r="N26" s="33" t="n"/>
      <c r="O26" s="33" t="n"/>
      <c r="P26" s="33" t="n"/>
      <c r="Q26" s="34" t="n"/>
      <c r="R26" s="35" t="inlineStr">
        <is>
          <t>IF(AO26="","",AO26)</t>
        </is>
      </c>
      <c r="S26" s="36" t="n"/>
      <c r="T26" s="37" t="n"/>
      <c r="U26" s="36" t="n"/>
      <c r="V26" s="35" t="inlineStr">
        <is>
          <t>IF(U26&lt;&gt;"",U26,IF(OR(R26="",T26=""),"",EDATE(R26,T26)))</t>
        </is>
      </c>
      <c r="W26" s="36" t="n"/>
      <c r="X26" s="37" t="n"/>
      <c r="Y26" s="33" t="n"/>
      <c r="Z26" s="33" t="n"/>
      <c r="AA26" s="32" t="inlineStr">
        <is>
          <t>IF(E26="","",IF(COUNT(AG26:AT26)=0,IF(Y26="","Not started",Y26),SUBSTITUTE(LOOKUP(2,1/(AG26:AT26&lt;&gt;""),$AG$3:$AT$3),"Date: ","")))</t>
        </is>
      </c>
      <c r="AB26" s="38" t="inlineStr">
        <is>
          <t>IF(OR(E26="",COUNT(AG26:AT26)=0),"",TODAY()-LOOKUP(2,1/(AG26:AT26&lt;&gt;""),AG26:AT26))</t>
        </is>
      </c>
      <c r="AC26" s="38" t="inlineStr">
        <is>
          <t>IF(OR(E26="",COUNT(AG26:AT26)&lt;2),"",LOOKUP(2,1/(AG26:AT26&lt;&gt;""),AG26:AT26)-MIN(AG26:AT26))</t>
        </is>
      </c>
      <c r="AD26" s="38" t="inlineStr">
        <is>
          <t>IF(OR(AB26="",AA26="Not started",AA26=""),"",IFERROR(AB26-IF(VLOOKUP(AA26,'04_Status_Pipeline'!$B$3:$E$20,4,FALSE)="",0,VLOOKUP(AA26,'04_Status_Pipeline'!$B$3:$E$20,4,FALSE)),""))</t>
        </is>
      </c>
      <c r="AE26" s="32" t="inlineStr">
        <is>
          <t>IF(E26="","",IF(OR(Y26="Cancelled",AA26="Cancelled"),"Cancelled",IF(OR(AA26="Completed / Handover",W26&lt;&gt;"",X26&gt;=100),"Completed — on track",IF(L26="Remaining",IF(S26="",IF(V26="","No planned date",IF(TODAY()&gt;V26,"Behind — past planned date",IF(V26-TODAY()&lt;=30,"At risk — close to off track","On track"))),IF(TODAY()&gt;S26,"Behind — award date passed",IF(S26-TODAY()&lt;=30,"At risk — close to off track","On track"))),IF(V26="","No planned date",IF(AND(TODAY()&gt;V26,OR(X26="",X26&lt;100)),"Behind — past end date",IF(AND(R26&lt;&gt;"",V26&lt;&gt;"",X26&lt;&gt;"",(X26&lt;100),((TODAY()-R26)/MAX(V26-R26,1)*100)-X26&gt;15),"Behind — progress lag",IF(AND(V26-TODAY()&lt;=30,V26-TODAY()&gt;=0,OR(X26="",X26&lt;90)),"At risk — close to off track","On track"))))))))</t>
        </is>
      </c>
      <c r="AF26" s="38" t="inlineStr">
        <is>
          <t>IF(OR(E26="",AA26="Completed / Handover",AA26="Cancelled"),"",IF(L26="Remaining",IF(S26&lt;&gt;"",S26-TODAY(),IF(V26="","",V26-TODAY())),IF(V26="","",V26-TODAY())))</t>
        </is>
      </c>
      <c r="AG26" s="36" t="n"/>
      <c r="AH26" s="36" t="n"/>
      <c r="AI26" s="36" t="n"/>
      <c r="AJ26" s="36" t="n"/>
      <c r="AK26" s="36" t="n"/>
      <c r="AL26" s="36" t="n"/>
      <c r="AM26" s="36" t="n"/>
      <c r="AN26" s="36" t="n"/>
      <c r="AO26" s="36" t="n"/>
      <c r="AP26" s="36" t="n"/>
      <c r="AQ26" s="36" t="n"/>
      <c r="AR26" s="40" t="n"/>
      <c r="AS26" s="40" t="n"/>
      <c r="AT26" s="40" t="n"/>
      <c r="AU26" s="38" t="inlineStr">
        <is>
          <t>IF(OR(E26="",AH26=""),"",IF(COUNT(AG26:AG26)=0,"",AH26-LOOKUP(2,1/(AG26:AG26&lt;&gt;""),AG26:AG26)))</t>
        </is>
      </c>
      <c r="AV26" s="38" t="inlineStr">
        <is>
          <t>IF(OR(E26="",AI26=""),"",IF(COUNT(AG26:AH26)=0,"",AI26-LOOKUP(2,1/(AG26:AH26&lt;&gt;""),AG26:AH26)))</t>
        </is>
      </c>
      <c r="AW26" s="38" t="inlineStr">
        <is>
          <t>IF(OR(E26="",AJ26=""),"",IF(COUNT(AG26:AI26)=0,"",AJ26-LOOKUP(2,1/(AG26:AI26&lt;&gt;""),AG26:AI26)))</t>
        </is>
      </c>
      <c r="AX26" s="38" t="inlineStr">
        <is>
          <t>IF(OR(E26="",AK26=""),"",IF(COUNT(AG26:AJ26)=0,"",AK26-LOOKUP(2,1/(AG26:AJ26&lt;&gt;""),AG26:AJ26)))</t>
        </is>
      </c>
      <c r="AY26" s="38" t="inlineStr">
        <is>
          <t>IF(OR(E26="",AL26=""),"",IF(COUNT(AG26:AK26)=0,"",AL26-LOOKUP(2,1/(AG26:AK26&lt;&gt;""),AG26:AK26)))</t>
        </is>
      </c>
      <c r="AZ26" s="38" t="inlineStr">
        <is>
          <t>IF(OR(E26="",AM26=""),"",IF(COUNT(AG26:AL26)=0,"",AM26-LOOKUP(2,1/(AG26:AL26&lt;&gt;""),AG26:AL26)))</t>
        </is>
      </c>
      <c r="BA26" s="38" t="inlineStr">
        <is>
          <t>IF(OR(E26="",AN26=""),"",IF(COUNT(AG26:AM26)=0,"",AN26-LOOKUP(2,1/(AG26:AM26&lt;&gt;""),AG26:AM26)))</t>
        </is>
      </c>
      <c r="BB26" s="38" t="inlineStr">
        <is>
          <t>IF(OR(E26="",AO26=""),"",IF(COUNT(AG26:AN26)=0,"",AO26-LOOKUP(2,1/(AG26:AN26&lt;&gt;""),AG26:AN26)))</t>
        </is>
      </c>
      <c r="BC26" s="38" t="inlineStr">
        <is>
          <t>IF(OR(E26="",AP26=""),"",IF(COUNT(AG26:AO26)=0,"",AP26-LOOKUP(2,1/(AG26:AO26&lt;&gt;""),AG26:AO26)))</t>
        </is>
      </c>
      <c r="BD26" s="38" t="inlineStr">
        <is>
          <t>IF(OR(E26="",AQ26=""),"",IF(COUNT(AG26:AP26)=0,"",AQ26-LOOKUP(2,1/(AG26:AP26&lt;&gt;""),AG26:AP26)))</t>
        </is>
      </c>
      <c r="BE26" s="38" t="inlineStr">
        <is>
          <t>IF(OR(E26="",AR26=""),"",IF(COUNT(AG26:AQ26)=0,"",AR26-LOOKUP(2,1/(AG26:AQ26&lt;&gt;""),AG26:AQ26)))</t>
        </is>
      </c>
      <c r="BF26" s="38" t="inlineStr">
        <is>
          <t>IF(OR(E26="",AS26=""),"",IF(COUNT(AG26:AR26)=0,"",AS26-LOOKUP(2,1/(AG26:AR26&lt;&gt;""),AG26:AR26)))</t>
        </is>
      </c>
      <c r="BG26" s="38" t="inlineStr">
        <is>
          <t>IF(OR(E26="",AT26=""),"",IF(COUNT(AG26:AS26)=0,"",AT26-LOOKUP(2,1/(AG26:AS26&lt;&gt;""),AG26:AS26)))</t>
        </is>
      </c>
      <c r="BH26" s="41" t="inlineStr">
        <is>
          <t>IF(G26="","All_Provinces",IFERROR(VLOOKUP(G26,'07_Lookups'!$A$4:$B$20,2,FALSE),"All_Provinces"))</t>
        </is>
      </c>
      <c r="BI26" s="41" t="inlineStr">
        <is>
          <t>IF(H26="","All_Districts",IFERROR(VLOOKUP(H26,'07_Lookups'!$E$4:$F$42,2,FALSE),"All_Districts"))</t>
        </is>
      </c>
    </row>
    <row r="27" ht="18" customHeight="1">
      <c r="A27" s="32" t="inlineStr">
        <is>
          <t>IF(E27="","",ROW()-3)</t>
        </is>
      </c>
      <c r="B27" s="42" t="n"/>
      <c r="C27" s="42" t="n"/>
      <c r="D27" s="42" t="n"/>
      <c r="E27" s="42" t="n"/>
      <c r="F27" s="42" t="n"/>
      <c r="G27" s="42" t="n"/>
      <c r="H27" s="42" t="n"/>
      <c r="I27" s="42" t="n"/>
      <c r="J27" s="42" t="n"/>
      <c r="K27" s="42" t="n"/>
      <c r="L27" s="42" t="n"/>
      <c r="M27" s="42" t="n"/>
      <c r="N27" s="42" t="n"/>
      <c r="O27" s="42" t="n"/>
      <c r="P27" s="42" t="n"/>
      <c r="Q27" s="43" t="n"/>
      <c r="R27" s="35" t="inlineStr">
        <is>
          <t>IF(AO27="","",AO27)</t>
        </is>
      </c>
      <c r="S27" s="44" t="n"/>
      <c r="T27" s="45" t="n"/>
      <c r="U27" s="44" t="n"/>
      <c r="V27" s="35" t="inlineStr">
        <is>
          <t>IF(U27&lt;&gt;"",U27,IF(OR(R27="",T27=""),"",EDATE(R27,T27)))</t>
        </is>
      </c>
      <c r="W27" s="44" t="n"/>
      <c r="X27" s="45" t="n"/>
      <c r="Y27" s="42" t="n"/>
      <c r="Z27" s="42" t="n"/>
      <c r="AA27" s="32" t="inlineStr">
        <is>
          <t>IF(E27="","",IF(COUNT(AG27:AT27)=0,IF(Y27="","Not started",Y27),SUBSTITUTE(LOOKUP(2,1/(AG27:AT27&lt;&gt;""),$AG$3:$AT$3),"Date: ","")))</t>
        </is>
      </c>
      <c r="AB27" s="38" t="inlineStr">
        <is>
          <t>IF(OR(E27="",COUNT(AG27:AT27)=0),"",TODAY()-LOOKUP(2,1/(AG27:AT27&lt;&gt;""),AG27:AT27))</t>
        </is>
      </c>
      <c r="AC27" s="38" t="inlineStr">
        <is>
          <t>IF(OR(E27="",COUNT(AG27:AT27)&lt;2),"",LOOKUP(2,1/(AG27:AT27&lt;&gt;""),AG27:AT27)-MIN(AG27:AT27))</t>
        </is>
      </c>
      <c r="AD27" s="38" t="inlineStr">
        <is>
          <t>IF(OR(AB27="",AA27="Not started",AA27=""),"",IFERROR(AB27-IF(VLOOKUP(AA27,'04_Status_Pipeline'!$B$3:$E$20,4,FALSE)="",0,VLOOKUP(AA27,'04_Status_Pipeline'!$B$3:$E$20,4,FALSE)),""))</t>
        </is>
      </c>
      <c r="AE27" s="32" t="inlineStr">
        <is>
          <t>IF(E27="","",IF(OR(Y27="Cancelled",AA27="Cancelled"),"Cancelled",IF(OR(AA27="Completed / Handover",W27&lt;&gt;"",X27&gt;=100),"Completed — on track",IF(L27="Remaining",IF(S27="",IF(V27="","No planned date",IF(TODAY()&gt;V27,"Behind — past planned date",IF(V27-TODAY()&lt;=30,"At risk — close to off track","On track"))),IF(TODAY()&gt;S27,"Behind — award date passed",IF(S27-TODAY()&lt;=30,"At risk — close to off track","On track"))),IF(V27="","No planned date",IF(AND(TODAY()&gt;V27,OR(X27="",X27&lt;100)),"Behind — past end date",IF(AND(R27&lt;&gt;"",V27&lt;&gt;"",X27&lt;&gt;"",(X27&lt;100),((TODAY()-R27)/MAX(V27-R27,1)*100)-X27&gt;15),"Behind — progress lag",IF(AND(V27-TODAY()&lt;=30,V27-TODAY()&gt;=0,OR(X27="",X27&lt;90)),"At risk — close to off track","On track"))))))))</t>
        </is>
      </c>
      <c r="AF27" s="38" t="inlineStr">
        <is>
          <t>IF(OR(E27="",AA27="Completed / Handover",AA27="Cancelled"),"",IF(L27="Remaining",IF(S27&lt;&gt;"",S27-TODAY(),IF(V27="","",V27-TODAY())),IF(V27="","",V27-TODAY())))</t>
        </is>
      </c>
      <c r="AG27" s="44" t="n"/>
      <c r="AH27" s="44" t="n"/>
      <c r="AI27" s="44" t="n"/>
      <c r="AJ27" s="44" t="n"/>
      <c r="AK27" s="44" t="n"/>
      <c r="AL27" s="44" t="n"/>
      <c r="AM27" s="44" t="n"/>
      <c r="AN27" s="44" t="n"/>
      <c r="AO27" s="44" t="n"/>
      <c r="AP27" s="44" t="n"/>
      <c r="AQ27" s="44" t="n"/>
      <c r="AR27" s="40" t="n"/>
      <c r="AS27" s="40" t="n"/>
      <c r="AT27" s="40" t="n"/>
      <c r="AU27" s="38" t="inlineStr">
        <is>
          <t>IF(OR(E27="",AH27=""),"",IF(COUNT(AG27:AG27)=0,"",AH27-LOOKUP(2,1/(AG27:AG27&lt;&gt;""),AG27:AG27)))</t>
        </is>
      </c>
      <c r="AV27" s="38" t="inlineStr">
        <is>
          <t>IF(OR(E27="",AI27=""),"",IF(COUNT(AG27:AH27)=0,"",AI27-LOOKUP(2,1/(AG27:AH27&lt;&gt;""),AG27:AH27)))</t>
        </is>
      </c>
      <c r="AW27" s="38" t="inlineStr">
        <is>
          <t>IF(OR(E27="",AJ27=""),"",IF(COUNT(AG27:AI27)=0,"",AJ27-LOOKUP(2,1/(AG27:AI27&lt;&gt;""),AG27:AI27)))</t>
        </is>
      </c>
      <c r="AX27" s="38" t="inlineStr">
        <is>
          <t>IF(OR(E27="",AK27=""),"",IF(COUNT(AG27:AJ27)=0,"",AK27-LOOKUP(2,1/(AG27:AJ27&lt;&gt;""),AG27:AJ27)))</t>
        </is>
      </c>
      <c r="AY27" s="38" t="inlineStr">
        <is>
          <t>IF(OR(E27="",AL27=""),"",IF(COUNT(AG27:AK27)=0,"",AL27-LOOKUP(2,1/(AG27:AK27&lt;&gt;""),AG27:AK27)))</t>
        </is>
      </c>
      <c r="AZ27" s="38" t="inlineStr">
        <is>
          <t>IF(OR(E27="",AM27=""),"",IF(COUNT(AG27:AL27)=0,"",AM27-LOOKUP(2,1/(AG27:AL27&lt;&gt;""),AG27:AL27)))</t>
        </is>
      </c>
      <c r="BA27" s="38" t="inlineStr">
        <is>
          <t>IF(OR(E27="",AN27=""),"",IF(COUNT(AG27:AM27)=0,"",AN27-LOOKUP(2,1/(AG27:AM27&lt;&gt;""),AG27:AM27)))</t>
        </is>
      </c>
      <c r="BB27" s="38" t="inlineStr">
        <is>
          <t>IF(OR(E27="",AO27=""),"",IF(COUNT(AG27:AN27)=0,"",AO27-LOOKUP(2,1/(AG27:AN27&lt;&gt;""),AG27:AN27)))</t>
        </is>
      </c>
      <c r="BC27" s="38" t="inlineStr">
        <is>
          <t>IF(OR(E27="",AP27=""),"",IF(COUNT(AG27:AO27)=0,"",AP27-LOOKUP(2,1/(AG27:AO27&lt;&gt;""),AG27:AO27)))</t>
        </is>
      </c>
      <c r="BD27" s="38" t="inlineStr">
        <is>
          <t>IF(OR(E27="",AQ27=""),"",IF(COUNT(AG27:AP27)=0,"",AQ27-LOOKUP(2,1/(AG27:AP27&lt;&gt;""),AG27:AP27)))</t>
        </is>
      </c>
      <c r="BE27" s="38" t="inlineStr">
        <is>
          <t>IF(OR(E27="",AR27=""),"",IF(COUNT(AG27:AQ27)=0,"",AR27-LOOKUP(2,1/(AG27:AQ27&lt;&gt;""),AG27:AQ27)))</t>
        </is>
      </c>
      <c r="BF27" s="38" t="inlineStr">
        <is>
          <t>IF(OR(E27="",AS27=""),"",IF(COUNT(AG27:AR27)=0,"",AS27-LOOKUP(2,1/(AG27:AR27&lt;&gt;""),AG27:AR27)))</t>
        </is>
      </c>
      <c r="BG27" s="38" t="inlineStr">
        <is>
          <t>IF(OR(E27="",AT27=""),"",IF(COUNT(AG27:AS27)=0,"",AT27-LOOKUP(2,1/(AG27:AS27&lt;&gt;""),AG27:AS27)))</t>
        </is>
      </c>
      <c r="BH27" s="41" t="inlineStr">
        <is>
          <t>IF(G27="","All_Provinces",IFERROR(VLOOKUP(G27,'07_Lookups'!$A$4:$B$20,2,FALSE),"All_Provinces"))</t>
        </is>
      </c>
      <c r="BI27" s="41" t="inlineStr">
        <is>
          <t>IF(H27="","All_Districts",IFERROR(VLOOKUP(H27,'07_Lookups'!$E$4:$F$42,2,FALSE),"All_Districts"))</t>
        </is>
      </c>
    </row>
    <row r="28" ht="18" customHeight="1">
      <c r="A28" s="32" t="inlineStr">
        <is>
          <t>IF(E28="","",ROW()-3)</t>
        </is>
      </c>
      <c r="B28" s="33" t="n"/>
      <c r="C28" s="33" t="n"/>
      <c r="D28" s="33" t="n"/>
      <c r="E28" s="33" t="n"/>
      <c r="F28" s="33" t="n"/>
      <c r="G28" s="33" t="n"/>
      <c r="H28" s="33" t="n"/>
      <c r="I28" s="33" t="n"/>
      <c r="J28" s="33" t="n"/>
      <c r="K28" s="33" t="n"/>
      <c r="L28" s="33" t="n"/>
      <c r="M28" s="33" t="n"/>
      <c r="N28" s="33" t="n"/>
      <c r="O28" s="33" t="n"/>
      <c r="P28" s="33" t="n"/>
      <c r="Q28" s="34" t="n"/>
      <c r="R28" s="35" t="inlineStr">
        <is>
          <t>IF(AO28="","",AO28)</t>
        </is>
      </c>
      <c r="S28" s="36" t="n"/>
      <c r="T28" s="37" t="n"/>
      <c r="U28" s="36" t="n"/>
      <c r="V28" s="35" t="inlineStr">
        <is>
          <t>IF(U28&lt;&gt;"",U28,IF(OR(R28="",T28=""),"",EDATE(R28,T28)))</t>
        </is>
      </c>
      <c r="W28" s="36" t="n"/>
      <c r="X28" s="37" t="n"/>
      <c r="Y28" s="33" t="n"/>
      <c r="Z28" s="33" t="n"/>
      <c r="AA28" s="32" t="inlineStr">
        <is>
          <t>IF(E28="","",IF(COUNT(AG28:AT28)=0,IF(Y28="","Not started",Y28),SUBSTITUTE(LOOKUP(2,1/(AG28:AT28&lt;&gt;""),$AG$3:$AT$3),"Date: ","")))</t>
        </is>
      </c>
      <c r="AB28" s="38" t="inlineStr">
        <is>
          <t>IF(OR(E28="",COUNT(AG28:AT28)=0),"",TODAY()-LOOKUP(2,1/(AG28:AT28&lt;&gt;""),AG28:AT28))</t>
        </is>
      </c>
      <c r="AC28" s="38" t="inlineStr">
        <is>
          <t>IF(OR(E28="",COUNT(AG28:AT28)&lt;2),"",LOOKUP(2,1/(AG28:AT28&lt;&gt;""),AG28:AT28)-MIN(AG28:AT28))</t>
        </is>
      </c>
      <c r="AD28" s="38" t="inlineStr">
        <is>
          <t>IF(OR(AB28="",AA28="Not started",AA28=""),"",IFERROR(AB28-IF(VLOOKUP(AA28,'04_Status_Pipeline'!$B$3:$E$20,4,FALSE)="",0,VLOOKUP(AA28,'04_Status_Pipeline'!$B$3:$E$20,4,FALSE)),""))</t>
        </is>
      </c>
      <c r="AE28" s="32" t="inlineStr">
        <is>
          <t>IF(E28="","",IF(OR(Y28="Cancelled",AA28="Cancelled"),"Cancelled",IF(OR(AA28="Completed / Handover",W28&lt;&gt;"",X28&gt;=100),"Completed — on track",IF(L28="Remaining",IF(S28="",IF(V28="","No planned date",IF(TODAY()&gt;V28,"Behind — past planned date",IF(V28-TODAY()&lt;=30,"At risk — close to off track","On track"))),IF(TODAY()&gt;S28,"Behind — award date passed",IF(S28-TODAY()&lt;=30,"At risk — close to off track","On track"))),IF(V28="","No planned date",IF(AND(TODAY()&gt;V28,OR(X28="",X28&lt;100)),"Behind — past end date",IF(AND(R28&lt;&gt;"",V28&lt;&gt;"",X28&lt;&gt;"",(X28&lt;100),((TODAY()-R28)/MAX(V28-R28,1)*100)-X28&gt;15),"Behind — progress lag",IF(AND(V28-TODAY()&lt;=30,V28-TODAY()&gt;=0,OR(X28="",X28&lt;90)),"At risk — close to off track","On track"))))))))</t>
        </is>
      </c>
      <c r="AF28" s="38" t="inlineStr">
        <is>
          <t>IF(OR(E28="",AA28="Completed / Handover",AA28="Cancelled"),"",IF(L28="Remaining",IF(S28&lt;&gt;"",S28-TODAY(),IF(V28="","",V28-TODAY())),IF(V28="","",V28-TODAY())))</t>
        </is>
      </c>
      <c r="AG28" s="36" t="n"/>
      <c r="AH28" s="36" t="n"/>
      <c r="AI28" s="36" t="n"/>
      <c r="AJ28" s="36" t="n"/>
      <c r="AK28" s="36" t="n"/>
      <c r="AL28" s="36" t="n"/>
      <c r="AM28" s="36" t="n"/>
      <c r="AN28" s="36" t="n"/>
      <c r="AO28" s="36" t="n"/>
      <c r="AP28" s="36" t="n"/>
      <c r="AQ28" s="36" t="n"/>
      <c r="AR28" s="40" t="n"/>
      <c r="AS28" s="40" t="n"/>
      <c r="AT28" s="40" t="n"/>
      <c r="AU28" s="38" t="inlineStr">
        <is>
          <t>IF(OR(E28="",AH28=""),"",IF(COUNT(AG28:AG28)=0,"",AH28-LOOKUP(2,1/(AG28:AG28&lt;&gt;""),AG28:AG28)))</t>
        </is>
      </c>
      <c r="AV28" s="38" t="inlineStr">
        <is>
          <t>IF(OR(E28="",AI28=""),"",IF(COUNT(AG28:AH28)=0,"",AI28-LOOKUP(2,1/(AG28:AH28&lt;&gt;""),AG28:AH28)))</t>
        </is>
      </c>
      <c r="AW28" s="38" t="inlineStr">
        <is>
          <t>IF(OR(E28="",AJ28=""),"",IF(COUNT(AG28:AI28)=0,"",AJ28-LOOKUP(2,1/(AG28:AI28&lt;&gt;""),AG28:AI28)))</t>
        </is>
      </c>
      <c r="AX28" s="38" t="inlineStr">
        <is>
          <t>IF(OR(E28="",AK28=""),"",IF(COUNT(AG28:AJ28)=0,"",AK28-LOOKUP(2,1/(AG28:AJ28&lt;&gt;""),AG28:AJ28)))</t>
        </is>
      </c>
      <c r="AY28" s="38" t="inlineStr">
        <is>
          <t>IF(OR(E28="",AL28=""),"",IF(COUNT(AG28:AK28)=0,"",AL28-LOOKUP(2,1/(AG28:AK28&lt;&gt;""),AG28:AK28)))</t>
        </is>
      </c>
      <c r="AZ28" s="38" t="inlineStr">
        <is>
          <t>IF(OR(E28="",AM28=""),"",IF(COUNT(AG28:AL28)=0,"",AM28-LOOKUP(2,1/(AG28:AL28&lt;&gt;""),AG28:AL28)))</t>
        </is>
      </c>
      <c r="BA28" s="38" t="inlineStr">
        <is>
          <t>IF(OR(E28="",AN28=""),"",IF(COUNT(AG28:AM28)=0,"",AN28-LOOKUP(2,1/(AG28:AM28&lt;&gt;""),AG28:AM28)))</t>
        </is>
      </c>
      <c r="BB28" s="38" t="inlineStr">
        <is>
          <t>IF(OR(E28="",AO28=""),"",IF(COUNT(AG28:AN28)=0,"",AO28-LOOKUP(2,1/(AG28:AN28&lt;&gt;""),AG28:AN28)))</t>
        </is>
      </c>
      <c r="BC28" s="38" t="inlineStr">
        <is>
          <t>IF(OR(E28="",AP28=""),"",IF(COUNT(AG28:AO28)=0,"",AP28-LOOKUP(2,1/(AG28:AO28&lt;&gt;""),AG28:AO28)))</t>
        </is>
      </c>
      <c r="BD28" s="38" t="inlineStr">
        <is>
          <t>IF(OR(E28="",AQ28=""),"",IF(COUNT(AG28:AP28)=0,"",AQ28-LOOKUP(2,1/(AG28:AP28&lt;&gt;""),AG28:AP28)))</t>
        </is>
      </c>
      <c r="BE28" s="38" t="inlineStr">
        <is>
          <t>IF(OR(E28="",AR28=""),"",IF(COUNT(AG28:AQ28)=0,"",AR28-LOOKUP(2,1/(AG28:AQ28&lt;&gt;""),AG28:AQ28)))</t>
        </is>
      </c>
      <c r="BF28" s="38" t="inlineStr">
        <is>
          <t>IF(OR(E28="",AS28=""),"",IF(COUNT(AG28:AR28)=0,"",AS28-LOOKUP(2,1/(AG28:AR28&lt;&gt;""),AG28:AR28)))</t>
        </is>
      </c>
      <c r="BG28" s="38" t="inlineStr">
        <is>
          <t>IF(OR(E28="",AT28=""),"",IF(COUNT(AG28:AS28)=0,"",AT28-LOOKUP(2,1/(AG28:AS28&lt;&gt;""),AG28:AS28)))</t>
        </is>
      </c>
      <c r="BH28" s="41" t="inlineStr">
        <is>
          <t>IF(G28="","All_Provinces",IFERROR(VLOOKUP(G28,'07_Lookups'!$A$4:$B$20,2,FALSE),"All_Provinces"))</t>
        </is>
      </c>
      <c r="BI28" s="41" t="inlineStr">
        <is>
          <t>IF(H28="","All_Districts",IFERROR(VLOOKUP(H28,'07_Lookups'!$E$4:$F$42,2,FALSE),"All_Districts"))</t>
        </is>
      </c>
    </row>
    <row r="29" ht="18" customHeight="1">
      <c r="A29" s="32" t="inlineStr">
        <is>
          <t>IF(E29="","",ROW()-3)</t>
        </is>
      </c>
      <c r="B29" s="42" t="n"/>
      <c r="C29" s="42" t="n"/>
      <c r="D29" s="42" t="n"/>
      <c r="E29" s="42" t="n"/>
      <c r="F29" s="42" t="n"/>
      <c r="G29" s="42" t="n"/>
      <c r="H29" s="42" t="n"/>
      <c r="I29" s="42" t="n"/>
      <c r="J29" s="42" t="n"/>
      <c r="K29" s="42" t="n"/>
      <c r="L29" s="42" t="n"/>
      <c r="M29" s="42" t="n"/>
      <c r="N29" s="42" t="n"/>
      <c r="O29" s="42" t="n"/>
      <c r="P29" s="42" t="n"/>
      <c r="Q29" s="43" t="n"/>
      <c r="R29" s="35" t="inlineStr">
        <is>
          <t>IF(AO29="","",AO29)</t>
        </is>
      </c>
      <c r="S29" s="44" t="n"/>
      <c r="T29" s="45" t="n"/>
      <c r="U29" s="44" t="n"/>
      <c r="V29" s="35" t="inlineStr">
        <is>
          <t>IF(U29&lt;&gt;"",U29,IF(OR(R29="",T29=""),"",EDATE(R29,T29)))</t>
        </is>
      </c>
      <c r="W29" s="44" t="n"/>
      <c r="X29" s="45" t="n"/>
      <c r="Y29" s="42" t="n"/>
      <c r="Z29" s="42" t="n"/>
      <c r="AA29" s="32" t="inlineStr">
        <is>
          <t>IF(E29="","",IF(COUNT(AG29:AT29)=0,IF(Y29="","Not started",Y29),SUBSTITUTE(LOOKUP(2,1/(AG29:AT29&lt;&gt;""),$AG$3:$AT$3),"Date: ","")))</t>
        </is>
      </c>
      <c r="AB29" s="38" t="inlineStr">
        <is>
          <t>IF(OR(E29="",COUNT(AG29:AT29)=0),"",TODAY()-LOOKUP(2,1/(AG29:AT29&lt;&gt;""),AG29:AT29))</t>
        </is>
      </c>
      <c r="AC29" s="38" t="inlineStr">
        <is>
          <t>IF(OR(E29="",COUNT(AG29:AT29)&lt;2),"",LOOKUP(2,1/(AG29:AT29&lt;&gt;""),AG29:AT29)-MIN(AG29:AT29))</t>
        </is>
      </c>
      <c r="AD29" s="38" t="inlineStr">
        <is>
          <t>IF(OR(AB29="",AA29="Not started",AA29=""),"",IFERROR(AB29-IF(VLOOKUP(AA29,'04_Status_Pipeline'!$B$3:$E$20,4,FALSE)="",0,VLOOKUP(AA29,'04_Status_Pipeline'!$B$3:$E$20,4,FALSE)),""))</t>
        </is>
      </c>
      <c r="AE29" s="32" t="inlineStr">
        <is>
          <t>IF(E29="","",IF(OR(Y29="Cancelled",AA29="Cancelled"),"Cancelled",IF(OR(AA29="Completed / Handover",W29&lt;&gt;"",X29&gt;=100),"Completed — on track",IF(L29="Remaining",IF(S29="",IF(V29="","No planned date",IF(TODAY()&gt;V29,"Behind — past planned date",IF(V29-TODAY()&lt;=30,"At risk — close to off track","On track"))),IF(TODAY()&gt;S29,"Behind — award date passed",IF(S29-TODAY()&lt;=30,"At risk — close to off track","On track"))),IF(V29="","No planned date",IF(AND(TODAY()&gt;V29,OR(X29="",X29&lt;100)),"Behind — past end date",IF(AND(R29&lt;&gt;"",V29&lt;&gt;"",X29&lt;&gt;"",(X29&lt;100),((TODAY()-R29)/MAX(V29-R29,1)*100)-X29&gt;15),"Behind — progress lag",IF(AND(V29-TODAY()&lt;=30,V29-TODAY()&gt;=0,OR(X29="",X29&lt;90)),"At risk — close to off track","On track"))))))))</t>
        </is>
      </c>
      <c r="AF29" s="38" t="inlineStr">
        <is>
          <t>IF(OR(E29="",AA29="Completed / Handover",AA29="Cancelled"),"",IF(L29="Remaining",IF(S29&lt;&gt;"",S29-TODAY(),IF(V29="","",V29-TODAY())),IF(V29="","",V29-TODAY())))</t>
        </is>
      </c>
      <c r="AG29" s="44" t="n"/>
      <c r="AH29" s="44" t="n"/>
      <c r="AI29" s="44" t="n"/>
      <c r="AJ29" s="44" t="n"/>
      <c r="AK29" s="44" t="n"/>
      <c r="AL29" s="44" t="n"/>
      <c r="AM29" s="44" t="n"/>
      <c r="AN29" s="44" t="n"/>
      <c r="AO29" s="44" t="n"/>
      <c r="AP29" s="44" t="n"/>
      <c r="AQ29" s="44" t="n"/>
      <c r="AR29" s="40" t="n"/>
      <c r="AS29" s="40" t="n"/>
      <c r="AT29" s="40" t="n"/>
      <c r="AU29" s="38" t="inlineStr">
        <is>
          <t>IF(OR(E29="",AH29=""),"",IF(COUNT(AG29:AG29)=0,"",AH29-LOOKUP(2,1/(AG29:AG29&lt;&gt;""),AG29:AG29)))</t>
        </is>
      </c>
      <c r="AV29" s="38" t="inlineStr">
        <is>
          <t>IF(OR(E29="",AI29=""),"",IF(COUNT(AG29:AH29)=0,"",AI29-LOOKUP(2,1/(AG29:AH29&lt;&gt;""),AG29:AH29)))</t>
        </is>
      </c>
      <c r="AW29" s="38" t="inlineStr">
        <is>
          <t>IF(OR(E29="",AJ29=""),"",IF(COUNT(AG29:AI29)=0,"",AJ29-LOOKUP(2,1/(AG29:AI29&lt;&gt;""),AG29:AI29)))</t>
        </is>
      </c>
      <c r="AX29" s="38" t="inlineStr">
        <is>
          <t>IF(OR(E29="",AK29=""),"",IF(COUNT(AG29:AJ29)=0,"",AK29-LOOKUP(2,1/(AG29:AJ29&lt;&gt;""),AG29:AJ29)))</t>
        </is>
      </c>
      <c r="AY29" s="38" t="inlineStr">
        <is>
          <t>IF(OR(E29="",AL29=""),"",IF(COUNT(AG29:AK29)=0,"",AL29-LOOKUP(2,1/(AG29:AK29&lt;&gt;""),AG29:AK29)))</t>
        </is>
      </c>
      <c r="AZ29" s="38" t="inlineStr">
        <is>
          <t>IF(OR(E29="",AM29=""),"",IF(COUNT(AG29:AL29)=0,"",AM29-LOOKUP(2,1/(AG29:AL29&lt;&gt;""),AG29:AL29)))</t>
        </is>
      </c>
      <c r="BA29" s="38" t="inlineStr">
        <is>
          <t>IF(OR(E29="",AN29=""),"",IF(COUNT(AG29:AM29)=0,"",AN29-LOOKUP(2,1/(AG29:AM29&lt;&gt;""),AG29:AM29)))</t>
        </is>
      </c>
      <c r="BB29" s="38" t="inlineStr">
        <is>
          <t>IF(OR(E29="",AO29=""),"",IF(COUNT(AG29:AN29)=0,"",AO29-LOOKUP(2,1/(AG29:AN29&lt;&gt;""),AG29:AN29)))</t>
        </is>
      </c>
      <c r="BC29" s="38" t="inlineStr">
        <is>
          <t>IF(OR(E29="",AP29=""),"",IF(COUNT(AG29:AO29)=0,"",AP29-LOOKUP(2,1/(AG29:AO29&lt;&gt;""),AG29:AO29)))</t>
        </is>
      </c>
      <c r="BD29" s="38" t="inlineStr">
        <is>
          <t>IF(OR(E29="",AQ29=""),"",IF(COUNT(AG29:AP29)=0,"",AQ29-LOOKUP(2,1/(AG29:AP29&lt;&gt;""),AG29:AP29)))</t>
        </is>
      </c>
      <c r="BE29" s="38" t="inlineStr">
        <is>
          <t>IF(OR(E29="",AR29=""),"",IF(COUNT(AG29:AQ29)=0,"",AR29-LOOKUP(2,1/(AG29:AQ29&lt;&gt;""),AG29:AQ29)))</t>
        </is>
      </c>
      <c r="BF29" s="38" t="inlineStr">
        <is>
          <t>IF(OR(E29="",AS29=""),"",IF(COUNT(AG29:AR29)=0,"",AS29-LOOKUP(2,1/(AG29:AR29&lt;&gt;""),AG29:AR29)))</t>
        </is>
      </c>
      <c r="BG29" s="38" t="inlineStr">
        <is>
          <t>IF(OR(E29="",AT29=""),"",IF(COUNT(AG29:AS29)=0,"",AT29-LOOKUP(2,1/(AG29:AS29&lt;&gt;""),AG29:AS29)))</t>
        </is>
      </c>
      <c r="BH29" s="41" t="inlineStr">
        <is>
          <t>IF(G29="","All_Provinces",IFERROR(VLOOKUP(G29,'07_Lookups'!$A$4:$B$20,2,FALSE),"All_Provinces"))</t>
        </is>
      </c>
      <c r="BI29" s="41" t="inlineStr">
        <is>
          <t>IF(H29="","All_Districts",IFERROR(VLOOKUP(H29,'07_Lookups'!$E$4:$F$42,2,FALSE),"All_Districts"))</t>
        </is>
      </c>
    </row>
    <row r="30" ht="18" customHeight="1">
      <c r="A30" s="32" t="inlineStr">
        <is>
          <t>IF(E30="","",ROW()-3)</t>
        </is>
      </c>
      <c r="B30" s="33" t="n"/>
      <c r="C30" s="33" t="n"/>
      <c r="D30" s="33" t="n"/>
      <c r="E30" s="33" t="n"/>
      <c r="F30" s="33" t="n"/>
      <c r="G30" s="33" t="n"/>
      <c r="H30" s="33" t="n"/>
      <c r="I30" s="33" t="n"/>
      <c r="J30" s="33" t="n"/>
      <c r="K30" s="33" t="n"/>
      <c r="L30" s="33" t="n"/>
      <c r="M30" s="33" t="n"/>
      <c r="N30" s="33" t="n"/>
      <c r="O30" s="33" t="n"/>
      <c r="P30" s="33" t="n"/>
      <c r="Q30" s="34" t="n"/>
      <c r="R30" s="35" t="inlineStr">
        <is>
          <t>IF(AO30="","",AO30)</t>
        </is>
      </c>
      <c r="S30" s="36" t="n"/>
      <c r="T30" s="37" t="n"/>
      <c r="U30" s="36" t="n"/>
      <c r="V30" s="35" t="inlineStr">
        <is>
          <t>IF(U30&lt;&gt;"",U30,IF(OR(R30="",T30=""),"",EDATE(R30,T30)))</t>
        </is>
      </c>
      <c r="W30" s="36" t="n"/>
      <c r="X30" s="37" t="n"/>
      <c r="Y30" s="33" t="n"/>
      <c r="Z30" s="33" t="n"/>
      <c r="AA30" s="32" t="inlineStr">
        <is>
          <t>IF(E30="","",IF(COUNT(AG30:AT30)=0,IF(Y30="","Not started",Y30),SUBSTITUTE(LOOKUP(2,1/(AG30:AT30&lt;&gt;""),$AG$3:$AT$3),"Date: ","")))</t>
        </is>
      </c>
      <c r="AB30" s="38" t="inlineStr">
        <is>
          <t>IF(OR(E30="",COUNT(AG30:AT30)=0),"",TODAY()-LOOKUP(2,1/(AG30:AT30&lt;&gt;""),AG30:AT30))</t>
        </is>
      </c>
      <c r="AC30" s="38" t="inlineStr">
        <is>
          <t>IF(OR(E30="",COUNT(AG30:AT30)&lt;2),"",LOOKUP(2,1/(AG30:AT30&lt;&gt;""),AG30:AT30)-MIN(AG30:AT30))</t>
        </is>
      </c>
      <c r="AD30" s="38" t="inlineStr">
        <is>
          <t>IF(OR(AB30="",AA30="Not started",AA30=""),"",IFERROR(AB30-IF(VLOOKUP(AA30,'04_Status_Pipeline'!$B$3:$E$20,4,FALSE)="",0,VLOOKUP(AA30,'04_Status_Pipeline'!$B$3:$E$20,4,FALSE)),""))</t>
        </is>
      </c>
      <c r="AE30" s="32" t="inlineStr">
        <is>
          <t>IF(E30="","",IF(OR(Y30="Cancelled",AA30="Cancelled"),"Cancelled",IF(OR(AA30="Completed / Handover",W30&lt;&gt;"",X30&gt;=100),"Completed — on track",IF(L30="Remaining",IF(S30="",IF(V30="","No planned date",IF(TODAY()&gt;V30,"Behind — past planned date",IF(V30-TODAY()&lt;=30,"At risk — close to off track","On track"))),IF(TODAY()&gt;S30,"Behind — award date passed",IF(S30-TODAY()&lt;=30,"At risk — close to off track","On track"))),IF(V30="","No planned date",IF(AND(TODAY()&gt;V30,OR(X30="",X30&lt;100)),"Behind — past end date",IF(AND(R30&lt;&gt;"",V30&lt;&gt;"",X30&lt;&gt;"",(X30&lt;100),((TODAY()-R30)/MAX(V30-R30,1)*100)-X30&gt;15),"Behind — progress lag",IF(AND(V30-TODAY()&lt;=30,V30-TODAY()&gt;=0,OR(X30="",X30&lt;90)),"At risk — close to off track","On track"))))))))</t>
        </is>
      </c>
      <c r="AF30" s="38" t="inlineStr">
        <is>
          <t>IF(OR(E30="",AA30="Completed / Handover",AA30="Cancelled"),"",IF(L30="Remaining",IF(S30&lt;&gt;"",S30-TODAY(),IF(V30="","",V30-TODAY())),IF(V30="","",V30-TODAY())))</t>
        </is>
      </c>
      <c r="AG30" s="36" t="n"/>
      <c r="AH30" s="36" t="n"/>
      <c r="AI30" s="36" t="n"/>
      <c r="AJ30" s="36" t="n"/>
      <c r="AK30" s="36" t="n"/>
      <c r="AL30" s="36" t="n"/>
      <c r="AM30" s="36" t="n"/>
      <c r="AN30" s="36" t="n"/>
      <c r="AO30" s="36" t="n"/>
      <c r="AP30" s="36" t="n"/>
      <c r="AQ30" s="36" t="n"/>
      <c r="AR30" s="40" t="n"/>
      <c r="AS30" s="40" t="n"/>
      <c r="AT30" s="40" t="n"/>
      <c r="AU30" s="38" t="inlineStr">
        <is>
          <t>IF(OR(E30="",AH30=""),"",IF(COUNT(AG30:AG30)=0,"",AH30-LOOKUP(2,1/(AG30:AG30&lt;&gt;""),AG30:AG30)))</t>
        </is>
      </c>
      <c r="AV30" s="38" t="inlineStr">
        <is>
          <t>IF(OR(E30="",AI30=""),"",IF(COUNT(AG30:AH30)=0,"",AI30-LOOKUP(2,1/(AG30:AH30&lt;&gt;""),AG30:AH30)))</t>
        </is>
      </c>
      <c r="AW30" s="38" t="inlineStr">
        <is>
          <t>IF(OR(E30="",AJ30=""),"",IF(COUNT(AG30:AI30)=0,"",AJ30-LOOKUP(2,1/(AG30:AI30&lt;&gt;""),AG30:AI30)))</t>
        </is>
      </c>
      <c r="AX30" s="38" t="inlineStr">
        <is>
          <t>IF(OR(E30="",AK30=""),"",IF(COUNT(AG30:AJ30)=0,"",AK30-LOOKUP(2,1/(AG30:AJ30&lt;&gt;""),AG30:AJ30)))</t>
        </is>
      </c>
      <c r="AY30" s="38" t="inlineStr">
        <is>
          <t>IF(OR(E30="",AL30=""),"",IF(COUNT(AG30:AK30)=0,"",AL30-LOOKUP(2,1/(AG30:AK30&lt;&gt;""),AG30:AK30)))</t>
        </is>
      </c>
      <c r="AZ30" s="38" t="inlineStr">
        <is>
          <t>IF(OR(E30="",AM30=""),"",IF(COUNT(AG30:AL30)=0,"",AM30-LOOKUP(2,1/(AG30:AL30&lt;&gt;""),AG30:AL30)))</t>
        </is>
      </c>
      <c r="BA30" s="38" t="inlineStr">
        <is>
          <t>IF(OR(E30="",AN30=""),"",IF(COUNT(AG30:AM30)=0,"",AN30-LOOKUP(2,1/(AG30:AM30&lt;&gt;""),AG30:AM30)))</t>
        </is>
      </c>
      <c r="BB30" s="38" t="inlineStr">
        <is>
          <t>IF(OR(E30="",AO30=""),"",IF(COUNT(AG30:AN30)=0,"",AO30-LOOKUP(2,1/(AG30:AN30&lt;&gt;""),AG30:AN30)))</t>
        </is>
      </c>
      <c r="BC30" s="38" t="inlineStr">
        <is>
          <t>IF(OR(E30="",AP30=""),"",IF(COUNT(AG30:AO30)=0,"",AP30-LOOKUP(2,1/(AG30:AO30&lt;&gt;""),AG30:AO30)))</t>
        </is>
      </c>
      <c r="BD30" s="38" t="inlineStr">
        <is>
          <t>IF(OR(E30="",AQ30=""),"",IF(COUNT(AG30:AP30)=0,"",AQ30-LOOKUP(2,1/(AG30:AP30&lt;&gt;""),AG30:AP30)))</t>
        </is>
      </c>
      <c r="BE30" s="38" t="inlineStr">
        <is>
          <t>IF(OR(E30="",AR30=""),"",IF(COUNT(AG30:AQ30)=0,"",AR30-LOOKUP(2,1/(AG30:AQ30&lt;&gt;""),AG30:AQ30)))</t>
        </is>
      </c>
      <c r="BF30" s="38" t="inlineStr">
        <is>
          <t>IF(OR(E30="",AS30=""),"",IF(COUNT(AG30:AR30)=0,"",AS30-LOOKUP(2,1/(AG30:AR30&lt;&gt;""),AG30:AR30)))</t>
        </is>
      </c>
      <c r="BG30" s="38" t="inlineStr">
        <is>
          <t>IF(OR(E30="",AT30=""),"",IF(COUNT(AG30:AS30)=0,"",AT30-LOOKUP(2,1/(AG30:AS30&lt;&gt;""),AG30:AS30)))</t>
        </is>
      </c>
      <c r="BH30" s="41" t="inlineStr">
        <is>
          <t>IF(G30="","All_Provinces",IFERROR(VLOOKUP(G30,'07_Lookups'!$A$4:$B$20,2,FALSE),"All_Provinces"))</t>
        </is>
      </c>
      <c r="BI30" s="41" t="inlineStr">
        <is>
          <t>IF(H30="","All_Districts",IFERROR(VLOOKUP(H30,'07_Lookups'!$E$4:$F$42,2,FALSE),"All_Districts"))</t>
        </is>
      </c>
    </row>
    <row r="31" ht="18" customHeight="1">
      <c r="A31" s="32" t="inlineStr">
        <is>
          <t>IF(E31="","",ROW()-3)</t>
        </is>
      </c>
      <c r="B31" s="42" t="n"/>
      <c r="C31" s="42" t="n"/>
      <c r="D31" s="42" t="n"/>
      <c r="E31" s="42" t="n"/>
      <c r="F31" s="42" t="n"/>
      <c r="G31" s="42" t="n"/>
      <c r="H31" s="42" t="n"/>
      <c r="I31" s="42" t="n"/>
      <c r="J31" s="42" t="n"/>
      <c r="K31" s="42" t="n"/>
      <c r="L31" s="42" t="n"/>
      <c r="M31" s="42" t="n"/>
      <c r="N31" s="42" t="n"/>
      <c r="O31" s="42" t="n"/>
      <c r="P31" s="42" t="n"/>
      <c r="Q31" s="43" t="n"/>
      <c r="R31" s="35" t="inlineStr">
        <is>
          <t>IF(AO31="","",AO31)</t>
        </is>
      </c>
      <c r="S31" s="44" t="n"/>
      <c r="T31" s="45" t="n"/>
      <c r="U31" s="44" t="n"/>
      <c r="V31" s="35" t="inlineStr">
        <is>
          <t>IF(U31&lt;&gt;"",U31,IF(OR(R31="",T31=""),"",EDATE(R31,T31)))</t>
        </is>
      </c>
      <c r="W31" s="44" t="n"/>
      <c r="X31" s="45" t="n"/>
      <c r="Y31" s="42" t="n"/>
      <c r="Z31" s="42" t="n"/>
      <c r="AA31" s="32" t="inlineStr">
        <is>
          <t>IF(E31="","",IF(COUNT(AG31:AT31)=0,IF(Y31="","Not started",Y31),SUBSTITUTE(LOOKUP(2,1/(AG31:AT31&lt;&gt;""),$AG$3:$AT$3),"Date: ","")))</t>
        </is>
      </c>
      <c r="AB31" s="38" t="inlineStr">
        <is>
          <t>IF(OR(E31="",COUNT(AG31:AT31)=0),"",TODAY()-LOOKUP(2,1/(AG31:AT31&lt;&gt;""),AG31:AT31))</t>
        </is>
      </c>
      <c r="AC31" s="38" t="inlineStr">
        <is>
          <t>IF(OR(E31="",COUNT(AG31:AT31)&lt;2),"",LOOKUP(2,1/(AG31:AT31&lt;&gt;""),AG31:AT31)-MIN(AG31:AT31))</t>
        </is>
      </c>
      <c r="AD31" s="38" t="inlineStr">
        <is>
          <t>IF(OR(AB31="",AA31="Not started",AA31=""),"",IFERROR(AB31-IF(VLOOKUP(AA31,'04_Status_Pipeline'!$B$3:$E$20,4,FALSE)="",0,VLOOKUP(AA31,'04_Status_Pipeline'!$B$3:$E$20,4,FALSE)),""))</t>
        </is>
      </c>
      <c r="AE31" s="32" t="inlineStr">
        <is>
          <t>IF(E31="","",IF(OR(Y31="Cancelled",AA31="Cancelled"),"Cancelled",IF(OR(AA31="Completed / Handover",W31&lt;&gt;"",X31&gt;=100),"Completed — on track",IF(L31="Remaining",IF(S31="",IF(V31="","No planned date",IF(TODAY()&gt;V31,"Behind — past planned date",IF(V31-TODAY()&lt;=30,"At risk — close to off track","On track"))),IF(TODAY()&gt;S31,"Behind — award date passed",IF(S31-TODAY()&lt;=30,"At risk — close to off track","On track"))),IF(V31="","No planned date",IF(AND(TODAY()&gt;V31,OR(X31="",X31&lt;100)),"Behind — past end date",IF(AND(R31&lt;&gt;"",V31&lt;&gt;"",X31&lt;&gt;"",(X31&lt;100),((TODAY()-R31)/MAX(V31-R31,1)*100)-X31&gt;15),"Behind — progress lag",IF(AND(V31-TODAY()&lt;=30,V31-TODAY()&gt;=0,OR(X31="",X31&lt;90)),"At risk — close to off track","On track"))))))))</t>
        </is>
      </c>
      <c r="AF31" s="38" t="inlineStr">
        <is>
          <t>IF(OR(E31="",AA31="Completed / Handover",AA31="Cancelled"),"",IF(L31="Remaining",IF(S31&lt;&gt;"",S31-TODAY(),IF(V31="","",V31-TODAY())),IF(V31="","",V31-TODAY())))</t>
        </is>
      </c>
      <c r="AG31" s="44" t="n"/>
      <c r="AH31" s="44" t="n"/>
      <c r="AI31" s="44" t="n"/>
      <c r="AJ31" s="44" t="n"/>
      <c r="AK31" s="44" t="n"/>
      <c r="AL31" s="44" t="n"/>
      <c r="AM31" s="44" t="n"/>
      <c r="AN31" s="44" t="n"/>
      <c r="AO31" s="44" t="n"/>
      <c r="AP31" s="44" t="n"/>
      <c r="AQ31" s="44" t="n"/>
      <c r="AR31" s="40" t="n"/>
      <c r="AS31" s="40" t="n"/>
      <c r="AT31" s="40" t="n"/>
      <c r="AU31" s="38" t="inlineStr">
        <is>
          <t>IF(OR(E31="",AH31=""),"",IF(COUNT(AG31:AG31)=0,"",AH31-LOOKUP(2,1/(AG31:AG31&lt;&gt;""),AG31:AG31)))</t>
        </is>
      </c>
      <c r="AV31" s="38" t="inlineStr">
        <is>
          <t>IF(OR(E31="",AI31=""),"",IF(COUNT(AG31:AH31)=0,"",AI31-LOOKUP(2,1/(AG31:AH31&lt;&gt;""),AG31:AH31)))</t>
        </is>
      </c>
      <c r="AW31" s="38" t="inlineStr">
        <is>
          <t>IF(OR(E31="",AJ31=""),"",IF(COUNT(AG31:AI31)=0,"",AJ31-LOOKUP(2,1/(AG31:AI31&lt;&gt;""),AG31:AI31)))</t>
        </is>
      </c>
      <c r="AX31" s="38" t="inlineStr">
        <is>
          <t>IF(OR(E31="",AK31=""),"",IF(COUNT(AG31:AJ31)=0,"",AK31-LOOKUP(2,1/(AG31:AJ31&lt;&gt;""),AG31:AJ31)))</t>
        </is>
      </c>
      <c r="AY31" s="38" t="inlineStr">
        <is>
          <t>IF(OR(E31="",AL31=""),"",IF(COUNT(AG31:AK31)=0,"",AL31-LOOKUP(2,1/(AG31:AK31&lt;&gt;""),AG31:AK31)))</t>
        </is>
      </c>
      <c r="AZ31" s="38" t="inlineStr">
        <is>
          <t>IF(OR(E31="",AM31=""),"",IF(COUNT(AG31:AL31)=0,"",AM31-LOOKUP(2,1/(AG31:AL31&lt;&gt;""),AG31:AL31)))</t>
        </is>
      </c>
      <c r="BA31" s="38" t="inlineStr">
        <is>
          <t>IF(OR(E31="",AN31=""),"",IF(COUNT(AG31:AM31)=0,"",AN31-LOOKUP(2,1/(AG31:AM31&lt;&gt;""),AG31:AM31)))</t>
        </is>
      </c>
      <c r="BB31" s="38" t="inlineStr">
        <is>
          <t>IF(OR(E31="",AO31=""),"",IF(COUNT(AG31:AN31)=0,"",AO31-LOOKUP(2,1/(AG31:AN31&lt;&gt;""),AG31:AN31)))</t>
        </is>
      </c>
      <c r="BC31" s="38" t="inlineStr">
        <is>
          <t>IF(OR(E31="",AP31=""),"",IF(COUNT(AG31:AO31)=0,"",AP31-LOOKUP(2,1/(AG31:AO31&lt;&gt;""),AG31:AO31)))</t>
        </is>
      </c>
      <c r="BD31" s="38" t="inlineStr">
        <is>
          <t>IF(OR(E31="",AQ31=""),"",IF(COUNT(AG31:AP31)=0,"",AQ31-LOOKUP(2,1/(AG31:AP31&lt;&gt;""),AG31:AP31)))</t>
        </is>
      </c>
      <c r="BE31" s="38" t="inlineStr">
        <is>
          <t>IF(OR(E31="",AR31=""),"",IF(COUNT(AG31:AQ31)=0,"",AR31-LOOKUP(2,1/(AG31:AQ31&lt;&gt;""),AG31:AQ31)))</t>
        </is>
      </c>
      <c r="BF31" s="38" t="inlineStr">
        <is>
          <t>IF(OR(E31="",AS31=""),"",IF(COUNT(AG31:AR31)=0,"",AS31-LOOKUP(2,1/(AG31:AR31&lt;&gt;""),AG31:AR31)))</t>
        </is>
      </c>
      <c r="BG31" s="38" t="inlineStr">
        <is>
          <t>IF(OR(E31="",AT31=""),"",IF(COUNT(AG31:AS31)=0,"",AT31-LOOKUP(2,1/(AG31:AS31&lt;&gt;""),AG31:AS31)))</t>
        </is>
      </c>
      <c r="BH31" s="41" t="inlineStr">
        <is>
          <t>IF(G31="","All_Provinces",IFERROR(VLOOKUP(G31,'07_Lookups'!$A$4:$B$20,2,FALSE),"All_Provinces"))</t>
        </is>
      </c>
      <c r="BI31" s="41" t="inlineStr">
        <is>
          <t>IF(H31="","All_Districts",IFERROR(VLOOKUP(H31,'07_Lookups'!$E$4:$F$42,2,FALSE),"All_Districts"))</t>
        </is>
      </c>
    </row>
    <row r="32" ht="18" customHeight="1">
      <c r="A32" s="32" t="inlineStr">
        <is>
          <t>IF(E32="","",ROW()-3)</t>
        </is>
      </c>
      <c r="B32" s="33" t="n"/>
      <c r="C32" s="33" t="n"/>
      <c r="D32" s="33" t="n"/>
      <c r="E32" s="33" t="n"/>
      <c r="F32" s="33" t="n"/>
      <c r="G32" s="33" t="n"/>
      <c r="H32" s="33" t="n"/>
      <c r="I32" s="33" t="n"/>
      <c r="J32" s="33" t="n"/>
      <c r="K32" s="33" t="n"/>
      <c r="L32" s="33" t="n"/>
      <c r="M32" s="33" t="n"/>
      <c r="N32" s="33" t="n"/>
      <c r="O32" s="33" t="n"/>
      <c r="P32" s="33" t="n"/>
      <c r="Q32" s="34" t="n"/>
      <c r="R32" s="35" t="inlineStr">
        <is>
          <t>IF(AO32="","",AO32)</t>
        </is>
      </c>
      <c r="S32" s="36" t="n"/>
      <c r="T32" s="37" t="n"/>
      <c r="U32" s="36" t="n"/>
      <c r="V32" s="35" t="inlineStr">
        <is>
          <t>IF(U32&lt;&gt;"",U32,IF(OR(R32="",T32=""),"",EDATE(R32,T32)))</t>
        </is>
      </c>
      <c r="W32" s="36" t="n"/>
      <c r="X32" s="37" t="n"/>
      <c r="Y32" s="33" t="n"/>
      <c r="Z32" s="33" t="n"/>
      <c r="AA32" s="32" t="inlineStr">
        <is>
          <t>IF(E32="","",IF(COUNT(AG32:AT32)=0,IF(Y32="","Not started",Y32),SUBSTITUTE(LOOKUP(2,1/(AG32:AT32&lt;&gt;""),$AG$3:$AT$3),"Date: ","")))</t>
        </is>
      </c>
      <c r="AB32" s="38" t="inlineStr">
        <is>
          <t>IF(OR(E32="",COUNT(AG32:AT32)=0),"",TODAY()-LOOKUP(2,1/(AG32:AT32&lt;&gt;""),AG32:AT32))</t>
        </is>
      </c>
      <c r="AC32" s="38" t="inlineStr">
        <is>
          <t>IF(OR(E32="",COUNT(AG32:AT32)&lt;2),"",LOOKUP(2,1/(AG32:AT32&lt;&gt;""),AG32:AT32)-MIN(AG32:AT32))</t>
        </is>
      </c>
      <c r="AD32" s="38" t="inlineStr">
        <is>
          <t>IF(OR(AB32="",AA32="Not started",AA32=""),"",IFERROR(AB32-IF(VLOOKUP(AA32,'04_Status_Pipeline'!$B$3:$E$20,4,FALSE)="",0,VLOOKUP(AA32,'04_Status_Pipeline'!$B$3:$E$20,4,FALSE)),""))</t>
        </is>
      </c>
      <c r="AE32" s="32" t="inlineStr">
        <is>
          <t>IF(E32="","",IF(OR(Y32="Cancelled",AA32="Cancelled"),"Cancelled",IF(OR(AA32="Completed / Handover",W32&lt;&gt;"",X32&gt;=100),"Completed — on track",IF(L32="Remaining",IF(S32="",IF(V32="","No planned date",IF(TODAY()&gt;V32,"Behind — past planned date",IF(V32-TODAY()&lt;=30,"At risk — close to off track","On track"))),IF(TODAY()&gt;S32,"Behind — award date passed",IF(S32-TODAY()&lt;=30,"At risk — close to off track","On track"))),IF(V32="","No planned date",IF(AND(TODAY()&gt;V32,OR(X32="",X32&lt;100)),"Behind — past end date",IF(AND(R32&lt;&gt;"",V32&lt;&gt;"",X32&lt;&gt;"",(X32&lt;100),((TODAY()-R32)/MAX(V32-R32,1)*100)-X32&gt;15),"Behind — progress lag",IF(AND(V32-TODAY()&lt;=30,V32-TODAY()&gt;=0,OR(X32="",X32&lt;90)),"At risk — close to off track","On track"))))))))</t>
        </is>
      </c>
      <c r="AF32" s="38" t="inlineStr">
        <is>
          <t>IF(OR(E32="",AA32="Completed / Handover",AA32="Cancelled"),"",IF(L32="Remaining",IF(S32&lt;&gt;"",S32-TODAY(),IF(V32="","",V32-TODAY())),IF(V32="","",V32-TODAY())))</t>
        </is>
      </c>
      <c r="AG32" s="36" t="n"/>
      <c r="AH32" s="36" t="n"/>
      <c r="AI32" s="36" t="n"/>
      <c r="AJ32" s="36" t="n"/>
      <c r="AK32" s="36" t="n"/>
      <c r="AL32" s="36" t="n"/>
      <c r="AM32" s="36" t="n"/>
      <c r="AN32" s="36" t="n"/>
      <c r="AO32" s="36" t="n"/>
      <c r="AP32" s="36" t="n"/>
      <c r="AQ32" s="36" t="n"/>
      <c r="AR32" s="40" t="n"/>
      <c r="AS32" s="40" t="n"/>
      <c r="AT32" s="40" t="n"/>
      <c r="AU32" s="38" t="inlineStr">
        <is>
          <t>IF(OR(E32="",AH32=""),"",IF(COUNT(AG32:AG32)=0,"",AH32-LOOKUP(2,1/(AG32:AG32&lt;&gt;""),AG32:AG32)))</t>
        </is>
      </c>
      <c r="AV32" s="38" t="inlineStr">
        <is>
          <t>IF(OR(E32="",AI32=""),"",IF(COUNT(AG32:AH32)=0,"",AI32-LOOKUP(2,1/(AG32:AH32&lt;&gt;""),AG32:AH32)))</t>
        </is>
      </c>
      <c r="AW32" s="38" t="inlineStr">
        <is>
          <t>IF(OR(E32="",AJ32=""),"",IF(COUNT(AG32:AI32)=0,"",AJ32-LOOKUP(2,1/(AG32:AI32&lt;&gt;""),AG32:AI32)))</t>
        </is>
      </c>
      <c r="AX32" s="38" t="inlineStr">
        <is>
          <t>IF(OR(E32="",AK32=""),"",IF(COUNT(AG32:AJ32)=0,"",AK32-LOOKUP(2,1/(AG32:AJ32&lt;&gt;""),AG32:AJ32)))</t>
        </is>
      </c>
      <c r="AY32" s="38" t="inlineStr">
        <is>
          <t>IF(OR(E32="",AL32=""),"",IF(COUNT(AG32:AK32)=0,"",AL32-LOOKUP(2,1/(AG32:AK32&lt;&gt;""),AG32:AK32)))</t>
        </is>
      </c>
      <c r="AZ32" s="38" t="inlineStr">
        <is>
          <t>IF(OR(E32="",AM32=""),"",IF(COUNT(AG32:AL32)=0,"",AM32-LOOKUP(2,1/(AG32:AL32&lt;&gt;""),AG32:AL32)))</t>
        </is>
      </c>
      <c r="BA32" s="38" t="inlineStr">
        <is>
          <t>IF(OR(E32="",AN32=""),"",IF(COUNT(AG32:AM32)=0,"",AN32-LOOKUP(2,1/(AG32:AM32&lt;&gt;""),AG32:AM32)))</t>
        </is>
      </c>
      <c r="BB32" s="38" t="inlineStr">
        <is>
          <t>IF(OR(E32="",AO32=""),"",IF(COUNT(AG32:AN32)=0,"",AO32-LOOKUP(2,1/(AG32:AN32&lt;&gt;""),AG32:AN32)))</t>
        </is>
      </c>
      <c r="BC32" s="38" t="inlineStr">
        <is>
          <t>IF(OR(E32="",AP32=""),"",IF(COUNT(AG32:AO32)=0,"",AP32-LOOKUP(2,1/(AG32:AO32&lt;&gt;""),AG32:AO32)))</t>
        </is>
      </c>
      <c r="BD32" s="38" t="inlineStr">
        <is>
          <t>IF(OR(E32="",AQ32=""),"",IF(COUNT(AG32:AP32)=0,"",AQ32-LOOKUP(2,1/(AG32:AP32&lt;&gt;""),AG32:AP32)))</t>
        </is>
      </c>
      <c r="BE32" s="38" t="inlineStr">
        <is>
          <t>IF(OR(E32="",AR32=""),"",IF(COUNT(AG32:AQ32)=0,"",AR32-LOOKUP(2,1/(AG32:AQ32&lt;&gt;""),AG32:AQ32)))</t>
        </is>
      </c>
      <c r="BF32" s="38" t="inlineStr">
        <is>
          <t>IF(OR(E32="",AS32=""),"",IF(COUNT(AG32:AR32)=0,"",AS32-LOOKUP(2,1/(AG32:AR32&lt;&gt;""),AG32:AR32)))</t>
        </is>
      </c>
      <c r="BG32" s="38" t="inlineStr">
        <is>
          <t>IF(OR(E32="",AT32=""),"",IF(COUNT(AG32:AS32)=0,"",AT32-LOOKUP(2,1/(AG32:AS32&lt;&gt;""),AG32:AS32)))</t>
        </is>
      </c>
      <c r="BH32" s="41" t="inlineStr">
        <is>
          <t>IF(G32="","All_Provinces",IFERROR(VLOOKUP(G32,'07_Lookups'!$A$4:$B$20,2,FALSE),"All_Provinces"))</t>
        </is>
      </c>
      <c r="BI32" s="41" t="inlineStr">
        <is>
          <t>IF(H32="","All_Districts",IFERROR(VLOOKUP(H32,'07_Lookups'!$E$4:$F$42,2,FALSE),"All_Districts"))</t>
        </is>
      </c>
    </row>
    <row r="33" ht="18" customHeight="1">
      <c r="A33" s="32" t="inlineStr">
        <is>
          <t>IF(E33="","",ROW()-3)</t>
        </is>
      </c>
      <c r="B33" s="42" t="n"/>
      <c r="C33" s="42" t="n"/>
      <c r="D33" s="42" t="n"/>
      <c r="E33" s="42" t="n"/>
      <c r="F33" s="42" t="n"/>
      <c r="G33" s="42" t="n"/>
      <c r="H33" s="42" t="n"/>
      <c r="I33" s="42" t="n"/>
      <c r="J33" s="42" t="n"/>
      <c r="K33" s="42" t="n"/>
      <c r="L33" s="42" t="n"/>
      <c r="M33" s="42" t="n"/>
      <c r="N33" s="42" t="n"/>
      <c r="O33" s="42" t="n"/>
      <c r="P33" s="42" t="n"/>
      <c r="Q33" s="43" t="n"/>
      <c r="R33" s="35" t="inlineStr">
        <is>
          <t>IF(AO33="","",AO33)</t>
        </is>
      </c>
      <c r="S33" s="44" t="n"/>
      <c r="T33" s="45" t="n"/>
      <c r="U33" s="44" t="n"/>
      <c r="V33" s="35" t="inlineStr">
        <is>
          <t>IF(U33&lt;&gt;"",U33,IF(OR(R33="",T33=""),"",EDATE(R33,T33)))</t>
        </is>
      </c>
      <c r="W33" s="44" t="n"/>
      <c r="X33" s="45" t="n"/>
      <c r="Y33" s="42" t="n"/>
      <c r="Z33" s="42" t="n"/>
      <c r="AA33" s="32" t="inlineStr">
        <is>
          <t>IF(E33="","",IF(COUNT(AG33:AT33)=0,IF(Y33="","Not started",Y33),SUBSTITUTE(LOOKUP(2,1/(AG33:AT33&lt;&gt;""),$AG$3:$AT$3),"Date: ","")))</t>
        </is>
      </c>
      <c r="AB33" s="38" t="inlineStr">
        <is>
          <t>IF(OR(E33="",COUNT(AG33:AT33)=0),"",TODAY()-LOOKUP(2,1/(AG33:AT33&lt;&gt;""),AG33:AT33))</t>
        </is>
      </c>
      <c r="AC33" s="38" t="inlineStr">
        <is>
          <t>IF(OR(E33="",COUNT(AG33:AT33)&lt;2),"",LOOKUP(2,1/(AG33:AT33&lt;&gt;""),AG33:AT33)-MIN(AG33:AT33))</t>
        </is>
      </c>
      <c r="AD33" s="38" t="inlineStr">
        <is>
          <t>IF(OR(AB33="",AA33="Not started",AA33=""),"",IFERROR(AB33-IF(VLOOKUP(AA33,'04_Status_Pipeline'!$B$3:$E$20,4,FALSE)="",0,VLOOKUP(AA33,'04_Status_Pipeline'!$B$3:$E$20,4,FALSE)),""))</t>
        </is>
      </c>
      <c r="AE33" s="32" t="inlineStr">
        <is>
          <t>IF(E33="","",IF(OR(Y33="Cancelled",AA33="Cancelled"),"Cancelled",IF(OR(AA33="Completed / Handover",W33&lt;&gt;"",X33&gt;=100),"Completed — on track",IF(L33="Remaining",IF(S33="",IF(V33="","No planned date",IF(TODAY()&gt;V33,"Behind — past planned date",IF(V33-TODAY()&lt;=30,"At risk — close to off track","On track"))),IF(TODAY()&gt;S33,"Behind — award date passed",IF(S33-TODAY()&lt;=30,"At risk — close to off track","On track"))),IF(V33="","No planned date",IF(AND(TODAY()&gt;V33,OR(X33="",X33&lt;100)),"Behind — past end date",IF(AND(R33&lt;&gt;"",V33&lt;&gt;"",X33&lt;&gt;"",(X33&lt;100),((TODAY()-R33)/MAX(V33-R33,1)*100)-X33&gt;15),"Behind — progress lag",IF(AND(V33-TODAY()&lt;=30,V33-TODAY()&gt;=0,OR(X33="",X33&lt;90)),"At risk — close to off track","On track"))))))))</t>
        </is>
      </c>
      <c r="AF33" s="38" t="inlineStr">
        <is>
          <t>IF(OR(E33="",AA33="Completed / Handover",AA33="Cancelled"),"",IF(L33="Remaining",IF(S33&lt;&gt;"",S33-TODAY(),IF(V33="","",V33-TODAY())),IF(V33="","",V33-TODAY())))</t>
        </is>
      </c>
      <c r="AG33" s="44" t="n"/>
      <c r="AH33" s="44" t="n"/>
      <c r="AI33" s="44" t="n"/>
      <c r="AJ33" s="44" t="n"/>
      <c r="AK33" s="44" t="n"/>
      <c r="AL33" s="44" t="n"/>
      <c r="AM33" s="44" t="n"/>
      <c r="AN33" s="44" t="n"/>
      <c r="AO33" s="44" t="n"/>
      <c r="AP33" s="44" t="n"/>
      <c r="AQ33" s="44" t="n"/>
      <c r="AR33" s="40" t="n"/>
      <c r="AS33" s="40" t="n"/>
      <c r="AT33" s="40" t="n"/>
      <c r="AU33" s="38" t="inlineStr">
        <is>
          <t>IF(OR(E33="",AH33=""),"",IF(COUNT(AG33:AG33)=0,"",AH33-LOOKUP(2,1/(AG33:AG33&lt;&gt;""),AG33:AG33)))</t>
        </is>
      </c>
      <c r="AV33" s="38" t="inlineStr">
        <is>
          <t>IF(OR(E33="",AI33=""),"",IF(COUNT(AG33:AH33)=0,"",AI33-LOOKUP(2,1/(AG33:AH33&lt;&gt;""),AG33:AH33)))</t>
        </is>
      </c>
      <c r="AW33" s="38" t="inlineStr">
        <is>
          <t>IF(OR(E33="",AJ33=""),"",IF(COUNT(AG33:AI33)=0,"",AJ33-LOOKUP(2,1/(AG33:AI33&lt;&gt;""),AG33:AI33)))</t>
        </is>
      </c>
      <c r="AX33" s="38" t="inlineStr">
        <is>
          <t>IF(OR(E33="",AK33=""),"",IF(COUNT(AG33:AJ33)=0,"",AK33-LOOKUP(2,1/(AG33:AJ33&lt;&gt;""),AG33:AJ33)))</t>
        </is>
      </c>
      <c r="AY33" s="38" t="inlineStr">
        <is>
          <t>IF(OR(E33="",AL33=""),"",IF(COUNT(AG33:AK33)=0,"",AL33-LOOKUP(2,1/(AG33:AK33&lt;&gt;""),AG33:AK33)))</t>
        </is>
      </c>
      <c r="AZ33" s="38" t="inlineStr">
        <is>
          <t>IF(OR(E33="",AM33=""),"",IF(COUNT(AG33:AL33)=0,"",AM33-LOOKUP(2,1/(AG33:AL33&lt;&gt;""),AG33:AL33)))</t>
        </is>
      </c>
      <c r="BA33" s="38" t="inlineStr">
        <is>
          <t>IF(OR(E33="",AN33=""),"",IF(COUNT(AG33:AM33)=0,"",AN33-LOOKUP(2,1/(AG33:AM33&lt;&gt;""),AG33:AM33)))</t>
        </is>
      </c>
      <c r="BB33" s="38" t="inlineStr">
        <is>
          <t>IF(OR(E33="",AO33=""),"",IF(COUNT(AG33:AN33)=0,"",AO33-LOOKUP(2,1/(AG33:AN33&lt;&gt;""),AG33:AN33)))</t>
        </is>
      </c>
      <c r="BC33" s="38" t="inlineStr">
        <is>
          <t>IF(OR(E33="",AP33=""),"",IF(COUNT(AG33:AO33)=0,"",AP33-LOOKUP(2,1/(AG33:AO33&lt;&gt;""),AG33:AO33)))</t>
        </is>
      </c>
      <c r="BD33" s="38" t="inlineStr">
        <is>
          <t>IF(OR(E33="",AQ33=""),"",IF(COUNT(AG33:AP33)=0,"",AQ33-LOOKUP(2,1/(AG33:AP33&lt;&gt;""),AG33:AP33)))</t>
        </is>
      </c>
      <c r="BE33" s="38" t="inlineStr">
        <is>
          <t>IF(OR(E33="",AR33=""),"",IF(COUNT(AG33:AQ33)=0,"",AR33-LOOKUP(2,1/(AG33:AQ33&lt;&gt;""),AG33:AQ33)))</t>
        </is>
      </c>
      <c r="BF33" s="38" t="inlineStr">
        <is>
          <t>IF(OR(E33="",AS33=""),"",IF(COUNT(AG33:AR33)=0,"",AS33-LOOKUP(2,1/(AG33:AR33&lt;&gt;""),AG33:AR33)))</t>
        </is>
      </c>
      <c r="BG33" s="38" t="inlineStr">
        <is>
          <t>IF(OR(E33="",AT33=""),"",IF(COUNT(AG33:AS33)=0,"",AT33-LOOKUP(2,1/(AG33:AS33&lt;&gt;""),AG33:AS33)))</t>
        </is>
      </c>
      <c r="BH33" s="41" t="inlineStr">
        <is>
          <t>IF(G33="","All_Provinces",IFERROR(VLOOKUP(G33,'07_Lookups'!$A$4:$B$20,2,FALSE),"All_Provinces"))</t>
        </is>
      </c>
      <c r="BI33" s="41" t="inlineStr">
        <is>
          <t>IF(H33="","All_Districts",IFERROR(VLOOKUP(H33,'07_Lookups'!$E$4:$F$42,2,FALSE),"All_Districts"))</t>
        </is>
      </c>
    </row>
    <row r="34" ht="18" customHeight="1">
      <c r="A34" s="32" t="inlineStr">
        <is>
          <t>IF(E34="","",ROW()-3)</t>
        </is>
      </c>
      <c r="B34" s="33" t="n"/>
      <c r="C34" s="33" t="n"/>
      <c r="D34" s="33" t="n"/>
      <c r="E34" s="33" t="n"/>
      <c r="F34" s="33" t="n"/>
      <c r="G34" s="33" t="n"/>
      <c r="H34" s="33" t="n"/>
      <c r="I34" s="33" t="n"/>
      <c r="J34" s="33" t="n"/>
      <c r="K34" s="33" t="n"/>
      <c r="L34" s="33" t="n"/>
      <c r="M34" s="33" t="n"/>
      <c r="N34" s="33" t="n"/>
      <c r="O34" s="33" t="n"/>
      <c r="P34" s="33" t="n"/>
      <c r="Q34" s="34" t="n"/>
      <c r="R34" s="35" t="inlineStr">
        <is>
          <t>IF(AO34="","",AO34)</t>
        </is>
      </c>
      <c r="S34" s="36" t="n"/>
      <c r="T34" s="37" t="n"/>
      <c r="U34" s="36" t="n"/>
      <c r="V34" s="35" t="inlineStr">
        <is>
          <t>IF(U34&lt;&gt;"",U34,IF(OR(R34="",T34=""),"",EDATE(R34,T34)))</t>
        </is>
      </c>
      <c r="W34" s="36" t="n"/>
      <c r="X34" s="37" t="n"/>
      <c r="Y34" s="33" t="n"/>
      <c r="Z34" s="33" t="n"/>
      <c r="AA34" s="32" t="inlineStr">
        <is>
          <t>IF(E34="","",IF(COUNT(AG34:AT34)=0,IF(Y34="","Not started",Y34),SUBSTITUTE(LOOKUP(2,1/(AG34:AT34&lt;&gt;""),$AG$3:$AT$3),"Date: ","")))</t>
        </is>
      </c>
      <c r="AB34" s="38" t="inlineStr">
        <is>
          <t>IF(OR(E34="",COUNT(AG34:AT34)=0),"",TODAY()-LOOKUP(2,1/(AG34:AT34&lt;&gt;""),AG34:AT34))</t>
        </is>
      </c>
      <c r="AC34" s="38" t="inlineStr">
        <is>
          <t>IF(OR(E34="",COUNT(AG34:AT34)&lt;2),"",LOOKUP(2,1/(AG34:AT34&lt;&gt;""),AG34:AT34)-MIN(AG34:AT34))</t>
        </is>
      </c>
      <c r="AD34" s="38" t="inlineStr">
        <is>
          <t>IF(OR(AB34="",AA34="Not started",AA34=""),"",IFERROR(AB34-IF(VLOOKUP(AA34,'04_Status_Pipeline'!$B$3:$E$20,4,FALSE)="",0,VLOOKUP(AA34,'04_Status_Pipeline'!$B$3:$E$20,4,FALSE)),""))</t>
        </is>
      </c>
      <c r="AE34" s="32" t="inlineStr">
        <is>
          <t>IF(E34="","",IF(OR(Y34="Cancelled",AA34="Cancelled"),"Cancelled",IF(OR(AA34="Completed / Handover",W34&lt;&gt;"",X34&gt;=100),"Completed — on track",IF(L34="Remaining",IF(S34="",IF(V34="","No planned date",IF(TODAY()&gt;V34,"Behind — past planned date",IF(V34-TODAY()&lt;=30,"At risk — close to off track","On track"))),IF(TODAY()&gt;S34,"Behind — award date passed",IF(S34-TODAY()&lt;=30,"At risk — close to off track","On track"))),IF(V34="","No planned date",IF(AND(TODAY()&gt;V34,OR(X34="",X34&lt;100)),"Behind — past end date",IF(AND(R34&lt;&gt;"",V34&lt;&gt;"",X34&lt;&gt;"",(X34&lt;100),((TODAY()-R34)/MAX(V34-R34,1)*100)-X34&gt;15),"Behind — progress lag",IF(AND(V34-TODAY()&lt;=30,V34-TODAY()&gt;=0,OR(X34="",X34&lt;90)),"At risk — close to off track","On track"))))))))</t>
        </is>
      </c>
      <c r="AF34" s="38" t="inlineStr">
        <is>
          <t>IF(OR(E34="",AA34="Completed / Handover",AA34="Cancelled"),"",IF(L34="Remaining",IF(S34&lt;&gt;"",S34-TODAY(),IF(V34="","",V34-TODAY())),IF(V34="","",V34-TODAY())))</t>
        </is>
      </c>
      <c r="AG34" s="36" t="n"/>
      <c r="AH34" s="36" t="n"/>
      <c r="AI34" s="36" t="n"/>
      <c r="AJ34" s="36" t="n"/>
      <c r="AK34" s="36" t="n"/>
      <c r="AL34" s="36" t="n"/>
      <c r="AM34" s="36" t="n"/>
      <c r="AN34" s="36" t="n"/>
      <c r="AO34" s="36" t="n"/>
      <c r="AP34" s="36" t="n"/>
      <c r="AQ34" s="36" t="n"/>
      <c r="AR34" s="40" t="n"/>
      <c r="AS34" s="40" t="n"/>
      <c r="AT34" s="40" t="n"/>
      <c r="AU34" s="38" t="inlineStr">
        <is>
          <t>IF(OR(E34="",AH34=""),"",IF(COUNT(AG34:AG34)=0,"",AH34-LOOKUP(2,1/(AG34:AG34&lt;&gt;""),AG34:AG34)))</t>
        </is>
      </c>
      <c r="AV34" s="38" t="inlineStr">
        <is>
          <t>IF(OR(E34="",AI34=""),"",IF(COUNT(AG34:AH34)=0,"",AI34-LOOKUP(2,1/(AG34:AH34&lt;&gt;""),AG34:AH34)))</t>
        </is>
      </c>
      <c r="AW34" s="38" t="inlineStr">
        <is>
          <t>IF(OR(E34="",AJ34=""),"",IF(COUNT(AG34:AI34)=0,"",AJ34-LOOKUP(2,1/(AG34:AI34&lt;&gt;""),AG34:AI34)))</t>
        </is>
      </c>
      <c r="AX34" s="38" t="inlineStr">
        <is>
          <t>IF(OR(E34="",AK34=""),"",IF(COUNT(AG34:AJ34)=0,"",AK34-LOOKUP(2,1/(AG34:AJ34&lt;&gt;""),AG34:AJ34)))</t>
        </is>
      </c>
      <c r="AY34" s="38" t="inlineStr">
        <is>
          <t>IF(OR(E34="",AL34=""),"",IF(COUNT(AG34:AK34)=0,"",AL34-LOOKUP(2,1/(AG34:AK34&lt;&gt;""),AG34:AK34)))</t>
        </is>
      </c>
      <c r="AZ34" s="38" t="inlineStr">
        <is>
          <t>IF(OR(E34="",AM34=""),"",IF(COUNT(AG34:AL34)=0,"",AM34-LOOKUP(2,1/(AG34:AL34&lt;&gt;""),AG34:AL34)))</t>
        </is>
      </c>
      <c r="BA34" s="38" t="inlineStr">
        <is>
          <t>IF(OR(E34="",AN34=""),"",IF(COUNT(AG34:AM34)=0,"",AN34-LOOKUP(2,1/(AG34:AM34&lt;&gt;""),AG34:AM34)))</t>
        </is>
      </c>
      <c r="BB34" s="38" t="inlineStr">
        <is>
          <t>IF(OR(E34="",AO34=""),"",IF(COUNT(AG34:AN34)=0,"",AO34-LOOKUP(2,1/(AG34:AN34&lt;&gt;""),AG34:AN34)))</t>
        </is>
      </c>
      <c r="BC34" s="38" t="inlineStr">
        <is>
          <t>IF(OR(E34="",AP34=""),"",IF(COUNT(AG34:AO34)=0,"",AP34-LOOKUP(2,1/(AG34:AO34&lt;&gt;""),AG34:AO34)))</t>
        </is>
      </c>
      <c r="BD34" s="38" t="inlineStr">
        <is>
          <t>IF(OR(E34="",AQ34=""),"",IF(COUNT(AG34:AP34)=0,"",AQ34-LOOKUP(2,1/(AG34:AP34&lt;&gt;""),AG34:AP34)))</t>
        </is>
      </c>
      <c r="BE34" s="38" t="inlineStr">
        <is>
          <t>IF(OR(E34="",AR34=""),"",IF(COUNT(AG34:AQ34)=0,"",AR34-LOOKUP(2,1/(AG34:AQ34&lt;&gt;""),AG34:AQ34)))</t>
        </is>
      </c>
      <c r="BF34" s="38" t="inlineStr">
        <is>
          <t>IF(OR(E34="",AS34=""),"",IF(COUNT(AG34:AR34)=0,"",AS34-LOOKUP(2,1/(AG34:AR34&lt;&gt;""),AG34:AR34)))</t>
        </is>
      </c>
      <c r="BG34" s="38" t="inlineStr">
        <is>
          <t>IF(OR(E34="",AT34=""),"",IF(COUNT(AG34:AS34)=0,"",AT34-LOOKUP(2,1/(AG34:AS34&lt;&gt;""),AG34:AS34)))</t>
        </is>
      </c>
      <c r="BH34" s="41" t="inlineStr">
        <is>
          <t>IF(G34="","All_Provinces",IFERROR(VLOOKUP(G34,'07_Lookups'!$A$4:$B$20,2,FALSE),"All_Provinces"))</t>
        </is>
      </c>
      <c r="BI34" s="41" t="inlineStr">
        <is>
          <t>IF(H34="","All_Districts",IFERROR(VLOOKUP(H34,'07_Lookups'!$E$4:$F$42,2,FALSE),"All_Districts"))</t>
        </is>
      </c>
    </row>
    <row r="35" ht="18" customHeight="1">
      <c r="A35" s="32" t="inlineStr">
        <is>
          <t>IF(E35="","",ROW()-3)</t>
        </is>
      </c>
      <c r="B35" s="42" t="n"/>
      <c r="C35" s="42" t="n"/>
      <c r="D35" s="42" t="n"/>
      <c r="E35" s="42" t="n"/>
      <c r="F35" s="42" t="n"/>
      <c r="G35" s="42" t="n"/>
      <c r="H35" s="42" t="n"/>
      <c r="I35" s="42" t="n"/>
      <c r="J35" s="42" t="n"/>
      <c r="K35" s="42" t="n"/>
      <c r="L35" s="42" t="n"/>
      <c r="M35" s="42" t="n"/>
      <c r="N35" s="42" t="n"/>
      <c r="O35" s="42" t="n"/>
      <c r="P35" s="42" t="n"/>
      <c r="Q35" s="43" t="n"/>
      <c r="R35" s="35" t="inlineStr">
        <is>
          <t>IF(AO35="","",AO35)</t>
        </is>
      </c>
      <c r="S35" s="44" t="n"/>
      <c r="T35" s="45" t="n"/>
      <c r="U35" s="44" t="n"/>
      <c r="V35" s="35" t="inlineStr">
        <is>
          <t>IF(U35&lt;&gt;"",U35,IF(OR(R35="",T35=""),"",EDATE(R35,T35)))</t>
        </is>
      </c>
      <c r="W35" s="44" t="n"/>
      <c r="X35" s="45" t="n"/>
      <c r="Y35" s="42" t="n"/>
      <c r="Z35" s="42" t="n"/>
      <c r="AA35" s="32" t="inlineStr">
        <is>
          <t>IF(E35="","",IF(COUNT(AG35:AT35)=0,IF(Y35="","Not started",Y35),SUBSTITUTE(LOOKUP(2,1/(AG35:AT35&lt;&gt;""),$AG$3:$AT$3),"Date: ","")))</t>
        </is>
      </c>
      <c r="AB35" s="38" t="inlineStr">
        <is>
          <t>IF(OR(E35="",COUNT(AG35:AT35)=0),"",TODAY()-LOOKUP(2,1/(AG35:AT35&lt;&gt;""),AG35:AT35))</t>
        </is>
      </c>
      <c r="AC35" s="38" t="inlineStr">
        <is>
          <t>IF(OR(E35="",COUNT(AG35:AT35)&lt;2),"",LOOKUP(2,1/(AG35:AT35&lt;&gt;""),AG35:AT35)-MIN(AG35:AT35))</t>
        </is>
      </c>
      <c r="AD35" s="38" t="inlineStr">
        <is>
          <t>IF(OR(AB35="",AA35="Not started",AA35=""),"",IFERROR(AB35-IF(VLOOKUP(AA35,'04_Status_Pipeline'!$B$3:$E$20,4,FALSE)="",0,VLOOKUP(AA35,'04_Status_Pipeline'!$B$3:$E$20,4,FALSE)),""))</t>
        </is>
      </c>
      <c r="AE35" s="32" t="inlineStr">
        <is>
          <t>IF(E35="","",IF(OR(Y35="Cancelled",AA35="Cancelled"),"Cancelled",IF(OR(AA35="Completed / Handover",W35&lt;&gt;"",X35&gt;=100),"Completed — on track",IF(L35="Remaining",IF(S35="",IF(V35="","No planned date",IF(TODAY()&gt;V35,"Behind — past planned date",IF(V35-TODAY()&lt;=30,"At risk — close to off track","On track"))),IF(TODAY()&gt;S35,"Behind — award date passed",IF(S35-TODAY()&lt;=30,"At risk — close to off track","On track"))),IF(V35="","No planned date",IF(AND(TODAY()&gt;V35,OR(X35="",X35&lt;100)),"Behind — past end date",IF(AND(R35&lt;&gt;"",V35&lt;&gt;"",X35&lt;&gt;"",(X35&lt;100),((TODAY()-R35)/MAX(V35-R35,1)*100)-X35&gt;15),"Behind — progress lag",IF(AND(V35-TODAY()&lt;=30,V35-TODAY()&gt;=0,OR(X35="",X35&lt;90)),"At risk — close to off track","On track"))))))))</t>
        </is>
      </c>
      <c r="AF35" s="38" t="inlineStr">
        <is>
          <t>IF(OR(E35="",AA35="Completed / Handover",AA35="Cancelled"),"",IF(L35="Remaining",IF(S35&lt;&gt;"",S35-TODAY(),IF(V35="","",V35-TODAY())),IF(V35="","",V35-TODAY())))</t>
        </is>
      </c>
      <c r="AG35" s="44" t="n"/>
      <c r="AH35" s="44" t="n"/>
      <c r="AI35" s="44" t="n"/>
      <c r="AJ35" s="44" t="n"/>
      <c r="AK35" s="44" t="n"/>
      <c r="AL35" s="44" t="n"/>
      <c r="AM35" s="44" t="n"/>
      <c r="AN35" s="44" t="n"/>
      <c r="AO35" s="44" t="n"/>
      <c r="AP35" s="44" t="n"/>
      <c r="AQ35" s="44" t="n"/>
      <c r="AR35" s="40" t="n"/>
      <c r="AS35" s="40" t="n"/>
      <c r="AT35" s="40" t="n"/>
      <c r="AU35" s="38" t="inlineStr">
        <is>
          <t>IF(OR(E35="",AH35=""),"",IF(COUNT(AG35:AG35)=0,"",AH35-LOOKUP(2,1/(AG35:AG35&lt;&gt;""),AG35:AG35)))</t>
        </is>
      </c>
      <c r="AV35" s="38" t="inlineStr">
        <is>
          <t>IF(OR(E35="",AI35=""),"",IF(COUNT(AG35:AH35)=0,"",AI35-LOOKUP(2,1/(AG35:AH35&lt;&gt;""),AG35:AH35)))</t>
        </is>
      </c>
      <c r="AW35" s="38" t="inlineStr">
        <is>
          <t>IF(OR(E35="",AJ35=""),"",IF(COUNT(AG35:AI35)=0,"",AJ35-LOOKUP(2,1/(AG35:AI35&lt;&gt;""),AG35:AI35)))</t>
        </is>
      </c>
      <c r="AX35" s="38" t="inlineStr">
        <is>
          <t>IF(OR(E35="",AK35=""),"",IF(COUNT(AG35:AJ35)=0,"",AK35-LOOKUP(2,1/(AG35:AJ35&lt;&gt;""),AG35:AJ35)))</t>
        </is>
      </c>
      <c r="AY35" s="38" t="inlineStr">
        <is>
          <t>IF(OR(E35="",AL35=""),"",IF(COUNT(AG35:AK35)=0,"",AL35-LOOKUP(2,1/(AG35:AK35&lt;&gt;""),AG35:AK35)))</t>
        </is>
      </c>
      <c r="AZ35" s="38" t="inlineStr">
        <is>
          <t>IF(OR(E35="",AM35=""),"",IF(COUNT(AG35:AL35)=0,"",AM35-LOOKUP(2,1/(AG35:AL35&lt;&gt;""),AG35:AL35)))</t>
        </is>
      </c>
      <c r="BA35" s="38" t="inlineStr">
        <is>
          <t>IF(OR(E35="",AN35=""),"",IF(COUNT(AG35:AM35)=0,"",AN35-LOOKUP(2,1/(AG35:AM35&lt;&gt;""),AG35:AM35)))</t>
        </is>
      </c>
      <c r="BB35" s="38" t="inlineStr">
        <is>
          <t>IF(OR(E35="",AO35=""),"",IF(COUNT(AG35:AN35)=0,"",AO35-LOOKUP(2,1/(AG35:AN35&lt;&gt;""),AG35:AN35)))</t>
        </is>
      </c>
      <c r="BC35" s="38" t="inlineStr">
        <is>
          <t>IF(OR(E35="",AP35=""),"",IF(COUNT(AG35:AO35)=0,"",AP35-LOOKUP(2,1/(AG35:AO35&lt;&gt;""),AG35:AO35)))</t>
        </is>
      </c>
      <c r="BD35" s="38" t="inlineStr">
        <is>
          <t>IF(OR(E35="",AQ35=""),"",IF(COUNT(AG35:AP35)=0,"",AQ35-LOOKUP(2,1/(AG35:AP35&lt;&gt;""),AG35:AP35)))</t>
        </is>
      </c>
      <c r="BE35" s="38" t="inlineStr">
        <is>
          <t>IF(OR(E35="",AR35=""),"",IF(COUNT(AG35:AQ35)=0,"",AR35-LOOKUP(2,1/(AG35:AQ35&lt;&gt;""),AG35:AQ35)))</t>
        </is>
      </c>
      <c r="BF35" s="38" t="inlineStr">
        <is>
          <t>IF(OR(E35="",AS35=""),"",IF(COUNT(AG35:AR35)=0,"",AS35-LOOKUP(2,1/(AG35:AR35&lt;&gt;""),AG35:AR35)))</t>
        </is>
      </c>
      <c r="BG35" s="38" t="inlineStr">
        <is>
          <t>IF(OR(E35="",AT35=""),"",IF(COUNT(AG35:AS35)=0,"",AT35-LOOKUP(2,1/(AG35:AS35&lt;&gt;""),AG35:AS35)))</t>
        </is>
      </c>
      <c r="BH35" s="41" t="inlineStr">
        <is>
          <t>IF(G35="","All_Provinces",IFERROR(VLOOKUP(G35,'07_Lookups'!$A$4:$B$20,2,FALSE),"All_Provinces"))</t>
        </is>
      </c>
      <c r="BI35" s="41" t="inlineStr">
        <is>
          <t>IF(H35="","All_Districts",IFERROR(VLOOKUP(H35,'07_Lookups'!$E$4:$F$42,2,FALSE),"All_Districts"))</t>
        </is>
      </c>
    </row>
    <row r="36" ht="18" customHeight="1">
      <c r="A36" s="32" t="inlineStr">
        <is>
          <t>IF(E36="","",ROW()-3)</t>
        </is>
      </c>
      <c r="B36" s="33" t="n"/>
      <c r="C36" s="33" t="n"/>
      <c r="D36" s="33" t="n"/>
      <c r="E36" s="33" t="n"/>
      <c r="F36" s="33" t="n"/>
      <c r="G36" s="33" t="n"/>
      <c r="H36" s="33" t="n"/>
      <c r="I36" s="33" t="n"/>
      <c r="J36" s="33" t="n"/>
      <c r="K36" s="33" t="n"/>
      <c r="L36" s="33" t="n"/>
      <c r="M36" s="33" t="n"/>
      <c r="N36" s="33" t="n"/>
      <c r="O36" s="33" t="n"/>
      <c r="P36" s="33" t="n"/>
      <c r="Q36" s="34" t="n"/>
      <c r="R36" s="35" t="inlineStr">
        <is>
          <t>IF(AO36="","",AO36)</t>
        </is>
      </c>
      <c r="S36" s="36" t="n"/>
      <c r="T36" s="37" t="n"/>
      <c r="U36" s="36" t="n"/>
      <c r="V36" s="35" t="inlineStr">
        <is>
          <t>IF(U36&lt;&gt;"",U36,IF(OR(R36="",T36=""),"",EDATE(R36,T36)))</t>
        </is>
      </c>
      <c r="W36" s="36" t="n"/>
      <c r="X36" s="37" t="n"/>
      <c r="Y36" s="33" t="n"/>
      <c r="Z36" s="33" t="n"/>
      <c r="AA36" s="32" t="inlineStr">
        <is>
          <t>IF(E36="","",IF(COUNT(AG36:AT36)=0,IF(Y36="","Not started",Y36),SUBSTITUTE(LOOKUP(2,1/(AG36:AT36&lt;&gt;""),$AG$3:$AT$3),"Date: ","")))</t>
        </is>
      </c>
      <c r="AB36" s="38" t="inlineStr">
        <is>
          <t>IF(OR(E36="",COUNT(AG36:AT36)=0),"",TODAY()-LOOKUP(2,1/(AG36:AT36&lt;&gt;""),AG36:AT36))</t>
        </is>
      </c>
      <c r="AC36" s="38" t="inlineStr">
        <is>
          <t>IF(OR(E36="",COUNT(AG36:AT36)&lt;2),"",LOOKUP(2,1/(AG36:AT36&lt;&gt;""),AG36:AT36)-MIN(AG36:AT36))</t>
        </is>
      </c>
      <c r="AD36" s="38" t="inlineStr">
        <is>
          <t>IF(OR(AB36="",AA36="Not started",AA36=""),"",IFERROR(AB36-IF(VLOOKUP(AA36,'04_Status_Pipeline'!$B$3:$E$20,4,FALSE)="",0,VLOOKUP(AA36,'04_Status_Pipeline'!$B$3:$E$20,4,FALSE)),""))</t>
        </is>
      </c>
      <c r="AE36" s="32" t="inlineStr">
        <is>
          <t>IF(E36="","",IF(OR(Y36="Cancelled",AA36="Cancelled"),"Cancelled",IF(OR(AA36="Completed / Handover",W36&lt;&gt;"",X36&gt;=100),"Completed — on track",IF(L36="Remaining",IF(S36="",IF(V36="","No planned date",IF(TODAY()&gt;V36,"Behind — past planned date",IF(V36-TODAY()&lt;=30,"At risk — close to off track","On track"))),IF(TODAY()&gt;S36,"Behind — award date passed",IF(S36-TODAY()&lt;=30,"At risk — close to off track","On track"))),IF(V36="","No planned date",IF(AND(TODAY()&gt;V36,OR(X36="",X36&lt;100)),"Behind — past end date",IF(AND(R36&lt;&gt;"",V36&lt;&gt;"",X36&lt;&gt;"",(X36&lt;100),((TODAY()-R36)/MAX(V36-R36,1)*100)-X36&gt;15),"Behind — progress lag",IF(AND(V36-TODAY()&lt;=30,V36-TODAY()&gt;=0,OR(X36="",X36&lt;90)),"At risk — close to off track","On track"))))))))</t>
        </is>
      </c>
      <c r="AF36" s="38" t="inlineStr">
        <is>
          <t>IF(OR(E36="",AA36="Completed / Handover",AA36="Cancelled"),"",IF(L36="Remaining",IF(S36&lt;&gt;"",S36-TODAY(),IF(V36="","",V36-TODAY())),IF(V36="","",V36-TODAY())))</t>
        </is>
      </c>
      <c r="AG36" s="36" t="n"/>
      <c r="AH36" s="36" t="n"/>
      <c r="AI36" s="36" t="n"/>
      <c r="AJ36" s="36" t="n"/>
      <c r="AK36" s="36" t="n"/>
      <c r="AL36" s="36" t="n"/>
      <c r="AM36" s="36" t="n"/>
      <c r="AN36" s="36" t="n"/>
      <c r="AO36" s="36" t="n"/>
      <c r="AP36" s="36" t="n"/>
      <c r="AQ36" s="36" t="n"/>
      <c r="AR36" s="40" t="n"/>
      <c r="AS36" s="40" t="n"/>
      <c r="AT36" s="40" t="n"/>
      <c r="AU36" s="38" t="inlineStr">
        <is>
          <t>IF(OR(E36="",AH36=""),"",IF(COUNT(AG36:AG36)=0,"",AH36-LOOKUP(2,1/(AG36:AG36&lt;&gt;""),AG36:AG36)))</t>
        </is>
      </c>
      <c r="AV36" s="38" t="inlineStr">
        <is>
          <t>IF(OR(E36="",AI36=""),"",IF(COUNT(AG36:AH36)=0,"",AI36-LOOKUP(2,1/(AG36:AH36&lt;&gt;""),AG36:AH36)))</t>
        </is>
      </c>
      <c r="AW36" s="38" t="inlineStr">
        <is>
          <t>IF(OR(E36="",AJ36=""),"",IF(COUNT(AG36:AI36)=0,"",AJ36-LOOKUP(2,1/(AG36:AI36&lt;&gt;""),AG36:AI36)))</t>
        </is>
      </c>
      <c r="AX36" s="38" t="inlineStr">
        <is>
          <t>IF(OR(E36="",AK36=""),"",IF(COUNT(AG36:AJ36)=0,"",AK36-LOOKUP(2,1/(AG36:AJ36&lt;&gt;""),AG36:AJ36)))</t>
        </is>
      </c>
      <c r="AY36" s="38" t="inlineStr">
        <is>
          <t>IF(OR(E36="",AL36=""),"",IF(COUNT(AG36:AK36)=0,"",AL36-LOOKUP(2,1/(AG36:AK36&lt;&gt;""),AG36:AK36)))</t>
        </is>
      </c>
      <c r="AZ36" s="38" t="inlineStr">
        <is>
          <t>IF(OR(E36="",AM36=""),"",IF(COUNT(AG36:AL36)=0,"",AM36-LOOKUP(2,1/(AG36:AL36&lt;&gt;""),AG36:AL36)))</t>
        </is>
      </c>
      <c r="BA36" s="38" t="inlineStr">
        <is>
          <t>IF(OR(E36="",AN36=""),"",IF(COUNT(AG36:AM36)=0,"",AN36-LOOKUP(2,1/(AG36:AM36&lt;&gt;""),AG36:AM36)))</t>
        </is>
      </c>
      <c r="BB36" s="38" t="inlineStr">
        <is>
          <t>IF(OR(E36="",AO36=""),"",IF(COUNT(AG36:AN36)=0,"",AO36-LOOKUP(2,1/(AG36:AN36&lt;&gt;""),AG36:AN36)))</t>
        </is>
      </c>
      <c r="BC36" s="38" t="inlineStr">
        <is>
          <t>IF(OR(E36="",AP36=""),"",IF(COUNT(AG36:AO36)=0,"",AP36-LOOKUP(2,1/(AG36:AO36&lt;&gt;""),AG36:AO36)))</t>
        </is>
      </c>
      <c r="BD36" s="38" t="inlineStr">
        <is>
          <t>IF(OR(E36="",AQ36=""),"",IF(COUNT(AG36:AP36)=0,"",AQ36-LOOKUP(2,1/(AG36:AP36&lt;&gt;""),AG36:AP36)))</t>
        </is>
      </c>
      <c r="BE36" s="38" t="inlineStr">
        <is>
          <t>IF(OR(E36="",AR36=""),"",IF(COUNT(AG36:AQ36)=0,"",AR36-LOOKUP(2,1/(AG36:AQ36&lt;&gt;""),AG36:AQ36)))</t>
        </is>
      </c>
      <c r="BF36" s="38" t="inlineStr">
        <is>
          <t>IF(OR(E36="",AS36=""),"",IF(COUNT(AG36:AR36)=0,"",AS36-LOOKUP(2,1/(AG36:AR36&lt;&gt;""),AG36:AR36)))</t>
        </is>
      </c>
      <c r="BG36" s="38" t="inlineStr">
        <is>
          <t>IF(OR(E36="",AT36=""),"",IF(COUNT(AG36:AS36)=0,"",AT36-LOOKUP(2,1/(AG36:AS36&lt;&gt;""),AG36:AS36)))</t>
        </is>
      </c>
      <c r="BH36" s="41" t="inlineStr">
        <is>
          <t>IF(G36="","All_Provinces",IFERROR(VLOOKUP(G36,'07_Lookups'!$A$4:$B$20,2,FALSE),"All_Provinces"))</t>
        </is>
      </c>
      <c r="BI36" s="41" t="inlineStr">
        <is>
          <t>IF(H36="","All_Districts",IFERROR(VLOOKUP(H36,'07_Lookups'!$E$4:$F$42,2,FALSE),"All_Districts"))</t>
        </is>
      </c>
    </row>
    <row r="37" ht="18" customHeight="1">
      <c r="A37" s="32" t="inlineStr">
        <is>
          <t>IF(E37="","",ROW()-3)</t>
        </is>
      </c>
      <c r="B37" s="42" t="n"/>
      <c r="C37" s="42" t="n"/>
      <c r="D37" s="42" t="n"/>
      <c r="E37" s="42" t="n"/>
      <c r="F37" s="42" t="n"/>
      <c r="G37" s="42" t="n"/>
      <c r="H37" s="42" t="n"/>
      <c r="I37" s="42" t="n"/>
      <c r="J37" s="42" t="n"/>
      <c r="K37" s="42" t="n"/>
      <c r="L37" s="42" t="n"/>
      <c r="M37" s="42" t="n"/>
      <c r="N37" s="42" t="n"/>
      <c r="O37" s="42" t="n"/>
      <c r="P37" s="42" t="n"/>
      <c r="Q37" s="43" t="n"/>
      <c r="R37" s="35" t="inlineStr">
        <is>
          <t>IF(AO37="","",AO37)</t>
        </is>
      </c>
      <c r="S37" s="44" t="n"/>
      <c r="T37" s="45" t="n"/>
      <c r="U37" s="44" t="n"/>
      <c r="V37" s="35" t="inlineStr">
        <is>
          <t>IF(U37&lt;&gt;"",U37,IF(OR(R37="",T37=""),"",EDATE(R37,T37)))</t>
        </is>
      </c>
      <c r="W37" s="44" t="n"/>
      <c r="X37" s="45" t="n"/>
      <c r="Y37" s="42" t="n"/>
      <c r="Z37" s="42" t="n"/>
      <c r="AA37" s="32" t="inlineStr">
        <is>
          <t>IF(E37="","",IF(COUNT(AG37:AT37)=0,IF(Y37="","Not started",Y37),SUBSTITUTE(LOOKUP(2,1/(AG37:AT37&lt;&gt;""),$AG$3:$AT$3),"Date: ","")))</t>
        </is>
      </c>
      <c r="AB37" s="38" t="inlineStr">
        <is>
          <t>IF(OR(E37="",COUNT(AG37:AT37)=0),"",TODAY()-LOOKUP(2,1/(AG37:AT37&lt;&gt;""),AG37:AT37))</t>
        </is>
      </c>
      <c r="AC37" s="38" t="inlineStr">
        <is>
          <t>IF(OR(E37="",COUNT(AG37:AT37)&lt;2),"",LOOKUP(2,1/(AG37:AT37&lt;&gt;""),AG37:AT37)-MIN(AG37:AT37))</t>
        </is>
      </c>
      <c r="AD37" s="38" t="inlineStr">
        <is>
          <t>IF(OR(AB37="",AA37="Not started",AA37=""),"",IFERROR(AB37-IF(VLOOKUP(AA37,'04_Status_Pipeline'!$B$3:$E$20,4,FALSE)="",0,VLOOKUP(AA37,'04_Status_Pipeline'!$B$3:$E$20,4,FALSE)),""))</t>
        </is>
      </c>
      <c r="AE37" s="32" t="inlineStr">
        <is>
          <t>IF(E37="","",IF(OR(Y37="Cancelled",AA37="Cancelled"),"Cancelled",IF(OR(AA37="Completed / Handover",W37&lt;&gt;"",X37&gt;=100),"Completed — on track",IF(L37="Remaining",IF(S37="",IF(V37="","No planned date",IF(TODAY()&gt;V37,"Behind — past planned date",IF(V37-TODAY()&lt;=30,"At risk — close to off track","On track"))),IF(TODAY()&gt;S37,"Behind — award date passed",IF(S37-TODAY()&lt;=30,"At risk — close to off track","On track"))),IF(V37="","No planned date",IF(AND(TODAY()&gt;V37,OR(X37="",X37&lt;100)),"Behind — past end date",IF(AND(R37&lt;&gt;"",V37&lt;&gt;"",X37&lt;&gt;"",(X37&lt;100),((TODAY()-R37)/MAX(V37-R37,1)*100)-X37&gt;15),"Behind — progress lag",IF(AND(V37-TODAY()&lt;=30,V37-TODAY()&gt;=0,OR(X37="",X37&lt;90)),"At risk — close to off track","On track"))))))))</t>
        </is>
      </c>
      <c r="AF37" s="38" t="inlineStr">
        <is>
          <t>IF(OR(E37="",AA37="Completed / Handover",AA37="Cancelled"),"",IF(L37="Remaining",IF(S37&lt;&gt;"",S37-TODAY(),IF(V37="","",V37-TODAY())),IF(V37="","",V37-TODAY())))</t>
        </is>
      </c>
      <c r="AG37" s="44" t="n"/>
      <c r="AH37" s="44" t="n"/>
      <c r="AI37" s="44" t="n"/>
      <c r="AJ37" s="44" t="n"/>
      <c r="AK37" s="44" t="n"/>
      <c r="AL37" s="44" t="n"/>
      <c r="AM37" s="44" t="n"/>
      <c r="AN37" s="44" t="n"/>
      <c r="AO37" s="44" t="n"/>
      <c r="AP37" s="44" t="n"/>
      <c r="AQ37" s="44" t="n"/>
      <c r="AR37" s="40" t="n"/>
      <c r="AS37" s="40" t="n"/>
      <c r="AT37" s="40" t="n"/>
      <c r="AU37" s="38" t="inlineStr">
        <is>
          <t>IF(OR(E37="",AH37=""),"",IF(COUNT(AG37:AG37)=0,"",AH37-LOOKUP(2,1/(AG37:AG37&lt;&gt;""),AG37:AG37)))</t>
        </is>
      </c>
      <c r="AV37" s="38" t="inlineStr">
        <is>
          <t>IF(OR(E37="",AI37=""),"",IF(COUNT(AG37:AH37)=0,"",AI37-LOOKUP(2,1/(AG37:AH37&lt;&gt;""),AG37:AH37)))</t>
        </is>
      </c>
      <c r="AW37" s="38" t="inlineStr">
        <is>
          <t>IF(OR(E37="",AJ37=""),"",IF(COUNT(AG37:AI37)=0,"",AJ37-LOOKUP(2,1/(AG37:AI37&lt;&gt;""),AG37:AI37)))</t>
        </is>
      </c>
      <c r="AX37" s="38" t="inlineStr">
        <is>
          <t>IF(OR(E37="",AK37=""),"",IF(COUNT(AG37:AJ37)=0,"",AK37-LOOKUP(2,1/(AG37:AJ37&lt;&gt;""),AG37:AJ37)))</t>
        </is>
      </c>
      <c r="AY37" s="38" t="inlineStr">
        <is>
          <t>IF(OR(E37="",AL37=""),"",IF(COUNT(AG37:AK37)=0,"",AL37-LOOKUP(2,1/(AG37:AK37&lt;&gt;""),AG37:AK37)))</t>
        </is>
      </c>
      <c r="AZ37" s="38" t="inlineStr">
        <is>
          <t>IF(OR(E37="",AM37=""),"",IF(COUNT(AG37:AL37)=0,"",AM37-LOOKUP(2,1/(AG37:AL37&lt;&gt;""),AG37:AL37)))</t>
        </is>
      </c>
      <c r="BA37" s="38" t="inlineStr">
        <is>
          <t>IF(OR(E37="",AN37=""),"",IF(COUNT(AG37:AM37)=0,"",AN37-LOOKUP(2,1/(AG37:AM37&lt;&gt;""),AG37:AM37)))</t>
        </is>
      </c>
      <c r="BB37" s="38" t="inlineStr">
        <is>
          <t>IF(OR(E37="",AO37=""),"",IF(COUNT(AG37:AN37)=0,"",AO37-LOOKUP(2,1/(AG37:AN37&lt;&gt;""),AG37:AN37)))</t>
        </is>
      </c>
      <c r="BC37" s="38" t="inlineStr">
        <is>
          <t>IF(OR(E37="",AP37=""),"",IF(COUNT(AG37:AO37)=0,"",AP37-LOOKUP(2,1/(AG37:AO37&lt;&gt;""),AG37:AO37)))</t>
        </is>
      </c>
      <c r="BD37" s="38" t="inlineStr">
        <is>
          <t>IF(OR(E37="",AQ37=""),"",IF(COUNT(AG37:AP37)=0,"",AQ37-LOOKUP(2,1/(AG37:AP37&lt;&gt;""),AG37:AP37)))</t>
        </is>
      </c>
      <c r="BE37" s="38" t="inlineStr">
        <is>
          <t>IF(OR(E37="",AR37=""),"",IF(COUNT(AG37:AQ37)=0,"",AR37-LOOKUP(2,1/(AG37:AQ37&lt;&gt;""),AG37:AQ37)))</t>
        </is>
      </c>
      <c r="BF37" s="38" t="inlineStr">
        <is>
          <t>IF(OR(E37="",AS37=""),"",IF(COUNT(AG37:AR37)=0,"",AS37-LOOKUP(2,1/(AG37:AR37&lt;&gt;""),AG37:AR37)))</t>
        </is>
      </c>
      <c r="BG37" s="38" t="inlineStr">
        <is>
          <t>IF(OR(E37="",AT37=""),"",IF(COUNT(AG37:AS37)=0,"",AT37-LOOKUP(2,1/(AG37:AS37&lt;&gt;""),AG37:AS37)))</t>
        </is>
      </c>
      <c r="BH37" s="41" t="inlineStr">
        <is>
          <t>IF(G37="","All_Provinces",IFERROR(VLOOKUP(G37,'07_Lookups'!$A$4:$B$20,2,FALSE),"All_Provinces"))</t>
        </is>
      </c>
      <c r="BI37" s="41" t="inlineStr">
        <is>
          <t>IF(H37="","All_Districts",IFERROR(VLOOKUP(H37,'07_Lookups'!$E$4:$F$42,2,FALSE),"All_Districts"))</t>
        </is>
      </c>
    </row>
    <row r="38" ht="18" customHeight="1">
      <c r="A38" s="32" t="inlineStr">
        <is>
          <t>IF(E38="","",ROW()-3)</t>
        </is>
      </c>
      <c r="B38" s="33" t="n"/>
      <c r="C38" s="33" t="n"/>
      <c r="D38" s="33" t="n"/>
      <c r="E38" s="33" t="n"/>
      <c r="F38" s="33" t="n"/>
      <c r="G38" s="33" t="n"/>
      <c r="H38" s="33" t="n"/>
      <c r="I38" s="33" t="n"/>
      <c r="J38" s="33" t="n"/>
      <c r="K38" s="33" t="n"/>
      <c r="L38" s="33" t="n"/>
      <c r="M38" s="33" t="n"/>
      <c r="N38" s="33" t="n"/>
      <c r="O38" s="33" t="n"/>
      <c r="P38" s="33" t="n"/>
      <c r="Q38" s="34" t="n"/>
      <c r="R38" s="35" t="inlineStr">
        <is>
          <t>IF(AO38="","",AO38)</t>
        </is>
      </c>
      <c r="S38" s="36" t="n"/>
      <c r="T38" s="37" t="n"/>
      <c r="U38" s="36" t="n"/>
      <c r="V38" s="35" t="inlineStr">
        <is>
          <t>IF(U38&lt;&gt;"",U38,IF(OR(R38="",T38=""),"",EDATE(R38,T38)))</t>
        </is>
      </c>
      <c r="W38" s="36" t="n"/>
      <c r="X38" s="37" t="n"/>
      <c r="Y38" s="33" t="n"/>
      <c r="Z38" s="33" t="n"/>
      <c r="AA38" s="32" t="inlineStr">
        <is>
          <t>IF(E38="","",IF(COUNT(AG38:AT38)=0,IF(Y38="","Not started",Y38),SUBSTITUTE(LOOKUP(2,1/(AG38:AT38&lt;&gt;""),$AG$3:$AT$3),"Date: ","")))</t>
        </is>
      </c>
      <c r="AB38" s="38" t="inlineStr">
        <is>
          <t>IF(OR(E38="",COUNT(AG38:AT38)=0),"",TODAY()-LOOKUP(2,1/(AG38:AT38&lt;&gt;""),AG38:AT38))</t>
        </is>
      </c>
      <c r="AC38" s="38" t="inlineStr">
        <is>
          <t>IF(OR(E38="",COUNT(AG38:AT38)&lt;2),"",LOOKUP(2,1/(AG38:AT38&lt;&gt;""),AG38:AT38)-MIN(AG38:AT38))</t>
        </is>
      </c>
      <c r="AD38" s="38" t="inlineStr">
        <is>
          <t>IF(OR(AB38="",AA38="Not started",AA38=""),"",IFERROR(AB38-IF(VLOOKUP(AA38,'04_Status_Pipeline'!$B$3:$E$20,4,FALSE)="",0,VLOOKUP(AA38,'04_Status_Pipeline'!$B$3:$E$20,4,FALSE)),""))</t>
        </is>
      </c>
      <c r="AE38" s="32" t="inlineStr">
        <is>
          <t>IF(E38="","",IF(OR(Y38="Cancelled",AA38="Cancelled"),"Cancelled",IF(OR(AA38="Completed / Handover",W38&lt;&gt;"",X38&gt;=100),"Completed — on track",IF(L38="Remaining",IF(S38="",IF(V38="","No planned date",IF(TODAY()&gt;V38,"Behind — past planned date",IF(V38-TODAY()&lt;=30,"At risk — close to off track","On track"))),IF(TODAY()&gt;S38,"Behind — award date passed",IF(S38-TODAY()&lt;=30,"At risk — close to off track","On track"))),IF(V38="","No planned date",IF(AND(TODAY()&gt;V38,OR(X38="",X38&lt;100)),"Behind — past end date",IF(AND(R38&lt;&gt;"",V38&lt;&gt;"",X38&lt;&gt;"",(X38&lt;100),((TODAY()-R38)/MAX(V38-R38,1)*100)-X38&gt;15),"Behind — progress lag",IF(AND(V38-TODAY()&lt;=30,V38-TODAY()&gt;=0,OR(X38="",X38&lt;90)),"At risk — close to off track","On track"))))))))</t>
        </is>
      </c>
      <c r="AF38" s="38" t="inlineStr">
        <is>
          <t>IF(OR(E38="",AA38="Completed / Handover",AA38="Cancelled"),"",IF(L38="Remaining",IF(S38&lt;&gt;"",S38-TODAY(),IF(V38="","",V38-TODAY())),IF(V38="","",V38-TODAY())))</t>
        </is>
      </c>
      <c r="AG38" s="36" t="n"/>
      <c r="AH38" s="36" t="n"/>
      <c r="AI38" s="36" t="n"/>
      <c r="AJ38" s="36" t="n"/>
      <c r="AK38" s="36" t="n"/>
      <c r="AL38" s="36" t="n"/>
      <c r="AM38" s="36" t="n"/>
      <c r="AN38" s="36" t="n"/>
      <c r="AO38" s="36" t="n"/>
      <c r="AP38" s="36" t="n"/>
      <c r="AQ38" s="36" t="n"/>
      <c r="AR38" s="40" t="n"/>
      <c r="AS38" s="40" t="n"/>
      <c r="AT38" s="40" t="n"/>
      <c r="AU38" s="38" t="inlineStr">
        <is>
          <t>IF(OR(E38="",AH38=""),"",IF(COUNT(AG38:AG38)=0,"",AH38-LOOKUP(2,1/(AG38:AG38&lt;&gt;""),AG38:AG38)))</t>
        </is>
      </c>
      <c r="AV38" s="38" t="inlineStr">
        <is>
          <t>IF(OR(E38="",AI38=""),"",IF(COUNT(AG38:AH38)=0,"",AI38-LOOKUP(2,1/(AG38:AH38&lt;&gt;""),AG38:AH38)))</t>
        </is>
      </c>
      <c r="AW38" s="38" t="inlineStr">
        <is>
          <t>IF(OR(E38="",AJ38=""),"",IF(COUNT(AG38:AI38)=0,"",AJ38-LOOKUP(2,1/(AG38:AI38&lt;&gt;""),AG38:AI38)))</t>
        </is>
      </c>
      <c r="AX38" s="38" t="inlineStr">
        <is>
          <t>IF(OR(E38="",AK38=""),"",IF(COUNT(AG38:AJ38)=0,"",AK38-LOOKUP(2,1/(AG38:AJ38&lt;&gt;""),AG38:AJ38)))</t>
        </is>
      </c>
      <c r="AY38" s="38" t="inlineStr">
        <is>
          <t>IF(OR(E38="",AL38=""),"",IF(COUNT(AG38:AK38)=0,"",AL38-LOOKUP(2,1/(AG38:AK38&lt;&gt;""),AG38:AK38)))</t>
        </is>
      </c>
      <c r="AZ38" s="38" t="inlineStr">
        <is>
          <t>IF(OR(E38="",AM38=""),"",IF(COUNT(AG38:AL38)=0,"",AM38-LOOKUP(2,1/(AG38:AL38&lt;&gt;""),AG38:AL38)))</t>
        </is>
      </c>
      <c r="BA38" s="38" t="inlineStr">
        <is>
          <t>IF(OR(E38="",AN38=""),"",IF(COUNT(AG38:AM38)=0,"",AN38-LOOKUP(2,1/(AG38:AM38&lt;&gt;""),AG38:AM38)))</t>
        </is>
      </c>
      <c r="BB38" s="38" t="inlineStr">
        <is>
          <t>IF(OR(E38="",AO38=""),"",IF(COUNT(AG38:AN38)=0,"",AO38-LOOKUP(2,1/(AG38:AN38&lt;&gt;""),AG38:AN38)))</t>
        </is>
      </c>
      <c r="BC38" s="38" t="inlineStr">
        <is>
          <t>IF(OR(E38="",AP38=""),"",IF(COUNT(AG38:AO38)=0,"",AP38-LOOKUP(2,1/(AG38:AO38&lt;&gt;""),AG38:AO38)))</t>
        </is>
      </c>
      <c r="BD38" s="38" t="inlineStr">
        <is>
          <t>IF(OR(E38="",AQ38=""),"",IF(COUNT(AG38:AP38)=0,"",AQ38-LOOKUP(2,1/(AG38:AP38&lt;&gt;""),AG38:AP38)))</t>
        </is>
      </c>
      <c r="BE38" s="38" t="inlineStr">
        <is>
          <t>IF(OR(E38="",AR38=""),"",IF(COUNT(AG38:AQ38)=0,"",AR38-LOOKUP(2,1/(AG38:AQ38&lt;&gt;""),AG38:AQ38)))</t>
        </is>
      </c>
      <c r="BF38" s="38" t="inlineStr">
        <is>
          <t>IF(OR(E38="",AS38=""),"",IF(COUNT(AG38:AR38)=0,"",AS38-LOOKUP(2,1/(AG38:AR38&lt;&gt;""),AG38:AR38)))</t>
        </is>
      </c>
      <c r="BG38" s="38" t="inlineStr">
        <is>
          <t>IF(OR(E38="",AT38=""),"",IF(COUNT(AG38:AS38)=0,"",AT38-LOOKUP(2,1/(AG38:AS38&lt;&gt;""),AG38:AS38)))</t>
        </is>
      </c>
      <c r="BH38" s="41" t="inlineStr">
        <is>
          <t>IF(G38="","All_Provinces",IFERROR(VLOOKUP(G38,'07_Lookups'!$A$4:$B$20,2,FALSE),"All_Provinces"))</t>
        </is>
      </c>
      <c r="BI38" s="41" t="inlineStr">
        <is>
          <t>IF(H38="","All_Districts",IFERROR(VLOOKUP(H38,'07_Lookups'!$E$4:$F$42,2,FALSE),"All_Districts"))</t>
        </is>
      </c>
    </row>
    <row r="39" ht="18" customHeight="1">
      <c r="A39" s="32" t="inlineStr">
        <is>
          <t>IF(E39="","",ROW()-3)</t>
        </is>
      </c>
      <c r="B39" s="42" t="n"/>
      <c r="C39" s="42" t="n"/>
      <c r="D39" s="42" t="n"/>
      <c r="E39" s="42" t="n"/>
      <c r="F39" s="42" t="n"/>
      <c r="G39" s="42" t="n"/>
      <c r="H39" s="42" t="n"/>
      <c r="I39" s="42" t="n"/>
      <c r="J39" s="42" t="n"/>
      <c r="K39" s="42" t="n"/>
      <c r="L39" s="42" t="n"/>
      <c r="M39" s="42" t="n"/>
      <c r="N39" s="42" t="n"/>
      <c r="O39" s="42" t="n"/>
      <c r="P39" s="42" t="n"/>
      <c r="Q39" s="43" t="n"/>
      <c r="R39" s="35" t="inlineStr">
        <is>
          <t>IF(AO39="","",AO39)</t>
        </is>
      </c>
      <c r="S39" s="44" t="n"/>
      <c r="T39" s="45" t="n"/>
      <c r="U39" s="44" t="n"/>
      <c r="V39" s="35" t="inlineStr">
        <is>
          <t>IF(U39&lt;&gt;"",U39,IF(OR(R39="",T39=""),"",EDATE(R39,T39)))</t>
        </is>
      </c>
      <c r="W39" s="44" t="n"/>
      <c r="X39" s="45" t="n"/>
      <c r="Y39" s="42" t="n"/>
      <c r="Z39" s="42" t="n"/>
      <c r="AA39" s="32" t="inlineStr">
        <is>
          <t>IF(E39="","",IF(COUNT(AG39:AT39)=0,IF(Y39="","Not started",Y39),SUBSTITUTE(LOOKUP(2,1/(AG39:AT39&lt;&gt;""),$AG$3:$AT$3),"Date: ","")))</t>
        </is>
      </c>
      <c r="AB39" s="38" t="inlineStr">
        <is>
          <t>IF(OR(E39="",COUNT(AG39:AT39)=0),"",TODAY()-LOOKUP(2,1/(AG39:AT39&lt;&gt;""),AG39:AT39))</t>
        </is>
      </c>
      <c r="AC39" s="38" t="inlineStr">
        <is>
          <t>IF(OR(E39="",COUNT(AG39:AT39)&lt;2),"",LOOKUP(2,1/(AG39:AT39&lt;&gt;""),AG39:AT39)-MIN(AG39:AT39))</t>
        </is>
      </c>
      <c r="AD39" s="38" t="inlineStr">
        <is>
          <t>IF(OR(AB39="",AA39="Not started",AA39=""),"",IFERROR(AB39-IF(VLOOKUP(AA39,'04_Status_Pipeline'!$B$3:$E$20,4,FALSE)="",0,VLOOKUP(AA39,'04_Status_Pipeline'!$B$3:$E$20,4,FALSE)),""))</t>
        </is>
      </c>
      <c r="AE39" s="32" t="inlineStr">
        <is>
          <t>IF(E39="","",IF(OR(Y39="Cancelled",AA39="Cancelled"),"Cancelled",IF(OR(AA39="Completed / Handover",W39&lt;&gt;"",X39&gt;=100),"Completed — on track",IF(L39="Remaining",IF(S39="",IF(V39="","No planned date",IF(TODAY()&gt;V39,"Behind — past planned date",IF(V39-TODAY()&lt;=30,"At risk — close to off track","On track"))),IF(TODAY()&gt;S39,"Behind — award date passed",IF(S39-TODAY()&lt;=30,"At risk — close to off track","On track"))),IF(V39="","No planned date",IF(AND(TODAY()&gt;V39,OR(X39="",X39&lt;100)),"Behind — past end date",IF(AND(R39&lt;&gt;"",V39&lt;&gt;"",X39&lt;&gt;"",(X39&lt;100),((TODAY()-R39)/MAX(V39-R39,1)*100)-X39&gt;15),"Behind — progress lag",IF(AND(V39-TODAY()&lt;=30,V39-TODAY()&gt;=0,OR(X39="",X39&lt;90)),"At risk — close to off track","On track"))))))))</t>
        </is>
      </c>
      <c r="AF39" s="38" t="inlineStr">
        <is>
          <t>IF(OR(E39="",AA39="Completed / Handover",AA39="Cancelled"),"",IF(L39="Remaining",IF(S39&lt;&gt;"",S39-TODAY(),IF(V39="","",V39-TODAY())),IF(V39="","",V39-TODAY())))</t>
        </is>
      </c>
      <c r="AG39" s="44" t="n"/>
      <c r="AH39" s="44" t="n"/>
      <c r="AI39" s="44" t="n"/>
      <c r="AJ39" s="44" t="n"/>
      <c r="AK39" s="44" t="n"/>
      <c r="AL39" s="44" t="n"/>
      <c r="AM39" s="44" t="n"/>
      <c r="AN39" s="44" t="n"/>
      <c r="AO39" s="44" t="n"/>
      <c r="AP39" s="44" t="n"/>
      <c r="AQ39" s="44" t="n"/>
      <c r="AR39" s="40" t="n"/>
      <c r="AS39" s="40" t="n"/>
      <c r="AT39" s="40" t="n"/>
      <c r="AU39" s="38" t="inlineStr">
        <is>
          <t>IF(OR(E39="",AH39=""),"",IF(COUNT(AG39:AG39)=0,"",AH39-LOOKUP(2,1/(AG39:AG39&lt;&gt;""),AG39:AG39)))</t>
        </is>
      </c>
      <c r="AV39" s="38" t="inlineStr">
        <is>
          <t>IF(OR(E39="",AI39=""),"",IF(COUNT(AG39:AH39)=0,"",AI39-LOOKUP(2,1/(AG39:AH39&lt;&gt;""),AG39:AH39)))</t>
        </is>
      </c>
      <c r="AW39" s="38" t="inlineStr">
        <is>
          <t>IF(OR(E39="",AJ39=""),"",IF(COUNT(AG39:AI39)=0,"",AJ39-LOOKUP(2,1/(AG39:AI39&lt;&gt;""),AG39:AI39)))</t>
        </is>
      </c>
      <c r="AX39" s="38" t="inlineStr">
        <is>
          <t>IF(OR(E39="",AK39=""),"",IF(COUNT(AG39:AJ39)=0,"",AK39-LOOKUP(2,1/(AG39:AJ39&lt;&gt;""),AG39:AJ39)))</t>
        </is>
      </c>
      <c r="AY39" s="38" t="inlineStr">
        <is>
          <t>IF(OR(E39="",AL39=""),"",IF(COUNT(AG39:AK39)=0,"",AL39-LOOKUP(2,1/(AG39:AK39&lt;&gt;""),AG39:AK39)))</t>
        </is>
      </c>
      <c r="AZ39" s="38" t="inlineStr">
        <is>
          <t>IF(OR(E39="",AM39=""),"",IF(COUNT(AG39:AL39)=0,"",AM39-LOOKUP(2,1/(AG39:AL39&lt;&gt;""),AG39:AL39)))</t>
        </is>
      </c>
      <c r="BA39" s="38" t="inlineStr">
        <is>
          <t>IF(OR(E39="",AN39=""),"",IF(COUNT(AG39:AM39)=0,"",AN39-LOOKUP(2,1/(AG39:AM39&lt;&gt;""),AG39:AM39)))</t>
        </is>
      </c>
      <c r="BB39" s="38" t="inlineStr">
        <is>
          <t>IF(OR(E39="",AO39=""),"",IF(COUNT(AG39:AN39)=0,"",AO39-LOOKUP(2,1/(AG39:AN39&lt;&gt;""),AG39:AN39)))</t>
        </is>
      </c>
      <c r="BC39" s="38" t="inlineStr">
        <is>
          <t>IF(OR(E39="",AP39=""),"",IF(COUNT(AG39:AO39)=0,"",AP39-LOOKUP(2,1/(AG39:AO39&lt;&gt;""),AG39:AO39)))</t>
        </is>
      </c>
      <c r="BD39" s="38" t="inlineStr">
        <is>
          <t>IF(OR(E39="",AQ39=""),"",IF(COUNT(AG39:AP39)=0,"",AQ39-LOOKUP(2,1/(AG39:AP39&lt;&gt;""),AG39:AP39)))</t>
        </is>
      </c>
      <c r="BE39" s="38" t="inlineStr">
        <is>
          <t>IF(OR(E39="",AR39=""),"",IF(COUNT(AG39:AQ39)=0,"",AR39-LOOKUP(2,1/(AG39:AQ39&lt;&gt;""),AG39:AQ39)))</t>
        </is>
      </c>
      <c r="BF39" s="38" t="inlineStr">
        <is>
          <t>IF(OR(E39="",AS39=""),"",IF(COUNT(AG39:AR39)=0,"",AS39-LOOKUP(2,1/(AG39:AR39&lt;&gt;""),AG39:AR39)))</t>
        </is>
      </c>
      <c r="BG39" s="38" t="inlineStr">
        <is>
          <t>IF(OR(E39="",AT39=""),"",IF(COUNT(AG39:AS39)=0,"",AT39-LOOKUP(2,1/(AG39:AS39&lt;&gt;""),AG39:AS39)))</t>
        </is>
      </c>
      <c r="BH39" s="41" t="inlineStr">
        <is>
          <t>IF(G39="","All_Provinces",IFERROR(VLOOKUP(G39,'07_Lookups'!$A$4:$B$20,2,FALSE),"All_Provinces"))</t>
        </is>
      </c>
      <c r="BI39" s="41" t="inlineStr">
        <is>
          <t>IF(H39="","All_Districts",IFERROR(VLOOKUP(H39,'07_Lookups'!$E$4:$F$42,2,FALSE),"All_Districts"))</t>
        </is>
      </c>
    </row>
    <row r="40" ht="18" customHeight="1">
      <c r="A40" s="32" t="inlineStr">
        <is>
          <t>IF(E40="","",ROW()-3)</t>
        </is>
      </c>
      <c r="B40" s="33" t="n"/>
      <c r="C40" s="33" t="n"/>
      <c r="D40" s="33" t="n"/>
      <c r="E40" s="33" t="n"/>
      <c r="F40" s="33" t="n"/>
      <c r="G40" s="33" t="n"/>
      <c r="H40" s="33" t="n"/>
      <c r="I40" s="33" t="n"/>
      <c r="J40" s="33" t="n"/>
      <c r="K40" s="33" t="n"/>
      <c r="L40" s="33" t="n"/>
      <c r="M40" s="33" t="n"/>
      <c r="N40" s="33" t="n"/>
      <c r="O40" s="33" t="n"/>
      <c r="P40" s="33" t="n"/>
      <c r="Q40" s="34" t="n"/>
      <c r="R40" s="35" t="inlineStr">
        <is>
          <t>IF(AO40="","",AO40)</t>
        </is>
      </c>
      <c r="S40" s="36" t="n"/>
      <c r="T40" s="37" t="n"/>
      <c r="U40" s="36" t="n"/>
      <c r="V40" s="35" t="inlineStr">
        <is>
          <t>IF(U40&lt;&gt;"",U40,IF(OR(R40="",T40=""),"",EDATE(R40,T40)))</t>
        </is>
      </c>
      <c r="W40" s="36" t="n"/>
      <c r="X40" s="37" t="n"/>
      <c r="Y40" s="33" t="n"/>
      <c r="Z40" s="33" t="n"/>
      <c r="AA40" s="32" t="inlineStr">
        <is>
          <t>IF(E40="","",IF(COUNT(AG40:AT40)=0,IF(Y40="","Not started",Y40),SUBSTITUTE(LOOKUP(2,1/(AG40:AT40&lt;&gt;""),$AG$3:$AT$3),"Date: ","")))</t>
        </is>
      </c>
      <c r="AB40" s="38" t="inlineStr">
        <is>
          <t>IF(OR(E40="",COUNT(AG40:AT40)=0),"",TODAY()-LOOKUP(2,1/(AG40:AT40&lt;&gt;""),AG40:AT40))</t>
        </is>
      </c>
      <c r="AC40" s="38" t="inlineStr">
        <is>
          <t>IF(OR(E40="",COUNT(AG40:AT40)&lt;2),"",LOOKUP(2,1/(AG40:AT40&lt;&gt;""),AG40:AT40)-MIN(AG40:AT40))</t>
        </is>
      </c>
      <c r="AD40" s="38" t="inlineStr">
        <is>
          <t>IF(OR(AB40="",AA40="Not started",AA40=""),"",IFERROR(AB40-IF(VLOOKUP(AA40,'04_Status_Pipeline'!$B$3:$E$20,4,FALSE)="",0,VLOOKUP(AA40,'04_Status_Pipeline'!$B$3:$E$20,4,FALSE)),""))</t>
        </is>
      </c>
      <c r="AE40" s="32" t="inlineStr">
        <is>
          <t>IF(E40="","",IF(OR(Y40="Cancelled",AA40="Cancelled"),"Cancelled",IF(OR(AA40="Completed / Handover",W40&lt;&gt;"",X40&gt;=100),"Completed — on track",IF(L40="Remaining",IF(S40="",IF(V40="","No planned date",IF(TODAY()&gt;V40,"Behind — past planned date",IF(V40-TODAY()&lt;=30,"At risk — close to off track","On track"))),IF(TODAY()&gt;S40,"Behind — award date passed",IF(S40-TODAY()&lt;=30,"At risk — close to off track","On track"))),IF(V40="","No planned date",IF(AND(TODAY()&gt;V40,OR(X40="",X40&lt;100)),"Behind — past end date",IF(AND(R40&lt;&gt;"",V40&lt;&gt;"",X40&lt;&gt;"",(X40&lt;100),((TODAY()-R40)/MAX(V40-R40,1)*100)-X40&gt;15),"Behind — progress lag",IF(AND(V40-TODAY()&lt;=30,V40-TODAY()&gt;=0,OR(X40="",X40&lt;90)),"At risk — close to off track","On track"))))))))</t>
        </is>
      </c>
      <c r="AF40" s="38" t="inlineStr">
        <is>
          <t>IF(OR(E40="",AA40="Completed / Handover",AA40="Cancelled"),"",IF(L40="Remaining",IF(S40&lt;&gt;"",S40-TODAY(),IF(V40="","",V40-TODAY())),IF(V40="","",V40-TODAY())))</t>
        </is>
      </c>
      <c r="AG40" s="36" t="n"/>
      <c r="AH40" s="36" t="n"/>
      <c r="AI40" s="36" t="n"/>
      <c r="AJ40" s="36" t="n"/>
      <c r="AK40" s="36" t="n"/>
      <c r="AL40" s="36" t="n"/>
      <c r="AM40" s="36" t="n"/>
      <c r="AN40" s="36" t="n"/>
      <c r="AO40" s="36" t="n"/>
      <c r="AP40" s="36" t="n"/>
      <c r="AQ40" s="36" t="n"/>
      <c r="AR40" s="40" t="n"/>
      <c r="AS40" s="40" t="n"/>
      <c r="AT40" s="40" t="n"/>
      <c r="AU40" s="38" t="inlineStr">
        <is>
          <t>IF(OR(E40="",AH40=""),"",IF(COUNT(AG40:AG40)=0,"",AH40-LOOKUP(2,1/(AG40:AG40&lt;&gt;""),AG40:AG40)))</t>
        </is>
      </c>
      <c r="AV40" s="38" t="inlineStr">
        <is>
          <t>IF(OR(E40="",AI40=""),"",IF(COUNT(AG40:AH40)=0,"",AI40-LOOKUP(2,1/(AG40:AH40&lt;&gt;""),AG40:AH40)))</t>
        </is>
      </c>
      <c r="AW40" s="38" t="inlineStr">
        <is>
          <t>IF(OR(E40="",AJ40=""),"",IF(COUNT(AG40:AI40)=0,"",AJ40-LOOKUP(2,1/(AG40:AI40&lt;&gt;""),AG40:AI40)))</t>
        </is>
      </c>
      <c r="AX40" s="38" t="inlineStr">
        <is>
          <t>IF(OR(E40="",AK40=""),"",IF(COUNT(AG40:AJ40)=0,"",AK40-LOOKUP(2,1/(AG40:AJ40&lt;&gt;""),AG40:AJ40)))</t>
        </is>
      </c>
      <c r="AY40" s="38" t="inlineStr">
        <is>
          <t>IF(OR(E40="",AL40=""),"",IF(COUNT(AG40:AK40)=0,"",AL40-LOOKUP(2,1/(AG40:AK40&lt;&gt;""),AG40:AK40)))</t>
        </is>
      </c>
      <c r="AZ40" s="38" t="inlineStr">
        <is>
          <t>IF(OR(E40="",AM40=""),"",IF(COUNT(AG40:AL40)=0,"",AM40-LOOKUP(2,1/(AG40:AL40&lt;&gt;""),AG40:AL40)))</t>
        </is>
      </c>
      <c r="BA40" s="38" t="inlineStr">
        <is>
          <t>IF(OR(E40="",AN40=""),"",IF(COUNT(AG40:AM40)=0,"",AN40-LOOKUP(2,1/(AG40:AM40&lt;&gt;""),AG40:AM40)))</t>
        </is>
      </c>
      <c r="BB40" s="38" t="inlineStr">
        <is>
          <t>IF(OR(E40="",AO40=""),"",IF(COUNT(AG40:AN40)=0,"",AO40-LOOKUP(2,1/(AG40:AN40&lt;&gt;""),AG40:AN40)))</t>
        </is>
      </c>
      <c r="BC40" s="38" t="inlineStr">
        <is>
          <t>IF(OR(E40="",AP40=""),"",IF(COUNT(AG40:AO40)=0,"",AP40-LOOKUP(2,1/(AG40:AO40&lt;&gt;""),AG40:AO40)))</t>
        </is>
      </c>
      <c r="BD40" s="38" t="inlineStr">
        <is>
          <t>IF(OR(E40="",AQ40=""),"",IF(COUNT(AG40:AP40)=0,"",AQ40-LOOKUP(2,1/(AG40:AP40&lt;&gt;""),AG40:AP40)))</t>
        </is>
      </c>
      <c r="BE40" s="38" t="inlineStr">
        <is>
          <t>IF(OR(E40="",AR40=""),"",IF(COUNT(AG40:AQ40)=0,"",AR40-LOOKUP(2,1/(AG40:AQ40&lt;&gt;""),AG40:AQ40)))</t>
        </is>
      </c>
      <c r="BF40" s="38" t="inlineStr">
        <is>
          <t>IF(OR(E40="",AS40=""),"",IF(COUNT(AG40:AR40)=0,"",AS40-LOOKUP(2,1/(AG40:AR40&lt;&gt;""),AG40:AR40)))</t>
        </is>
      </c>
      <c r="BG40" s="38" t="inlineStr">
        <is>
          <t>IF(OR(E40="",AT40=""),"",IF(COUNT(AG40:AS40)=0,"",AT40-LOOKUP(2,1/(AG40:AS40&lt;&gt;""),AG40:AS40)))</t>
        </is>
      </c>
      <c r="BH40" s="41" t="inlineStr">
        <is>
          <t>IF(G40="","All_Provinces",IFERROR(VLOOKUP(G40,'07_Lookups'!$A$4:$B$20,2,FALSE),"All_Provinces"))</t>
        </is>
      </c>
      <c r="BI40" s="41" t="inlineStr">
        <is>
          <t>IF(H40="","All_Districts",IFERROR(VLOOKUP(H40,'07_Lookups'!$E$4:$F$42,2,FALSE),"All_Districts"))</t>
        </is>
      </c>
    </row>
    <row r="41" ht="18" customHeight="1">
      <c r="A41" s="32" t="inlineStr">
        <is>
          <t>IF(E41="","",ROW()-3)</t>
        </is>
      </c>
      <c r="B41" s="42" t="n"/>
      <c r="C41" s="42" t="n"/>
      <c r="D41" s="42" t="n"/>
      <c r="E41" s="42" t="n"/>
      <c r="F41" s="42" t="n"/>
      <c r="G41" s="42" t="n"/>
      <c r="H41" s="42" t="n"/>
      <c r="I41" s="42" t="n"/>
      <c r="J41" s="42" t="n"/>
      <c r="K41" s="42" t="n"/>
      <c r="L41" s="42" t="n"/>
      <c r="M41" s="42" t="n"/>
      <c r="N41" s="42" t="n"/>
      <c r="O41" s="42" t="n"/>
      <c r="P41" s="42" t="n"/>
      <c r="Q41" s="43" t="n"/>
      <c r="R41" s="35" t="inlineStr">
        <is>
          <t>IF(AO41="","",AO41)</t>
        </is>
      </c>
      <c r="S41" s="44" t="n"/>
      <c r="T41" s="45" t="n"/>
      <c r="U41" s="44" t="n"/>
      <c r="V41" s="35" t="inlineStr">
        <is>
          <t>IF(U41&lt;&gt;"",U41,IF(OR(R41="",T41=""),"",EDATE(R41,T41)))</t>
        </is>
      </c>
      <c r="W41" s="44" t="n"/>
      <c r="X41" s="45" t="n"/>
      <c r="Y41" s="42" t="n"/>
      <c r="Z41" s="42" t="n"/>
      <c r="AA41" s="32" t="inlineStr">
        <is>
          <t>IF(E41="","",IF(COUNT(AG41:AT41)=0,IF(Y41="","Not started",Y41),SUBSTITUTE(LOOKUP(2,1/(AG41:AT41&lt;&gt;""),$AG$3:$AT$3),"Date: ","")))</t>
        </is>
      </c>
      <c r="AB41" s="38" t="inlineStr">
        <is>
          <t>IF(OR(E41="",COUNT(AG41:AT41)=0),"",TODAY()-LOOKUP(2,1/(AG41:AT41&lt;&gt;""),AG41:AT41))</t>
        </is>
      </c>
      <c r="AC41" s="38" t="inlineStr">
        <is>
          <t>IF(OR(E41="",COUNT(AG41:AT41)&lt;2),"",LOOKUP(2,1/(AG41:AT41&lt;&gt;""),AG41:AT41)-MIN(AG41:AT41))</t>
        </is>
      </c>
      <c r="AD41" s="38" t="inlineStr">
        <is>
          <t>IF(OR(AB41="",AA41="Not started",AA41=""),"",IFERROR(AB41-IF(VLOOKUP(AA41,'04_Status_Pipeline'!$B$3:$E$20,4,FALSE)="",0,VLOOKUP(AA41,'04_Status_Pipeline'!$B$3:$E$20,4,FALSE)),""))</t>
        </is>
      </c>
      <c r="AE41" s="32" t="inlineStr">
        <is>
          <t>IF(E41="","",IF(OR(Y41="Cancelled",AA41="Cancelled"),"Cancelled",IF(OR(AA41="Completed / Handover",W41&lt;&gt;"",X41&gt;=100),"Completed — on track",IF(L41="Remaining",IF(S41="",IF(V41="","No planned date",IF(TODAY()&gt;V41,"Behind — past planned date",IF(V41-TODAY()&lt;=30,"At risk — close to off track","On track"))),IF(TODAY()&gt;S41,"Behind — award date passed",IF(S41-TODAY()&lt;=30,"At risk — close to off track","On track"))),IF(V41="","No planned date",IF(AND(TODAY()&gt;V41,OR(X41="",X41&lt;100)),"Behind — past end date",IF(AND(R41&lt;&gt;"",V41&lt;&gt;"",X41&lt;&gt;"",(X41&lt;100),((TODAY()-R41)/MAX(V41-R41,1)*100)-X41&gt;15),"Behind — progress lag",IF(AND(V41-TODAY()&lt;=30,V41-TODAY()&gt;=0,OR(X41="",X41&lt;90)),"At risk — close to off track","On track"))))))))</t>
        </is>
      </c>
      <c r="AF41" s="38" t="inlineStr">
        <is>
          <t>IF(OR(E41="",AA41="Completed / Handover",AA41="Cancelled"),"",IF(L41="Remaining",IF(S41&lt;&gt;"",S41-TODAY(),IF(V41="","",V41-TODAY())),IF(V41="","",V41-TODAY())))</t>
        </is>
      </c>
      <c r="AG41" s="44" t="n"/>
      <c r="AH41" s="44" t="n"/>
      <c r="AI41" s="44" t="n"/>
      <c r="AJ41" s="44" t="n"/>
      <c r="AK41" s="44" t="n"/>
      <c r="AL41" s="44" t="n"/>
      <c r="AM41" s="44" t="n"/>
      <c r="AN41" s="44" t="n"/>
      <c r="AO41" s="44" t="n"/>
      <c r="AP41" s="44" t="n"/>
      <c r="AQ41" s="44" t="n"/>
      <c r="AR41" s="40" t="n"/>
      <c r="AS41" s="40" t="n"/>
      <c r="AT41" s="40" t="n"/>
      <c r="AU41" s="38" t="inlineStr">
        <is>
          <t>IF(OR(E41="",AH41=""),"",IF(COUNT(AG41:AG41)=0,"",AH41-LOOKUP(2,1/(AG41:AG41&lt;&gt;""),AG41:AG41)))</t>
        </is>
      </c>
      <c r="AV41" s="38" t="inlineStr">
        <is>
          <t>IF(OR(E41="",AI41=""),"",IF(COUNT(AG41:AH41)=0,"",AI41-LOOKUP(2,1/(AG41:AH41&lt;&gt;""),AG41:AH41)))</t>
        </is>
      </c>
      <c r="AW41" s="38" t="inlineStr">
        <is>
          <t>IF(OR(E41="",AJ41=""),"",IF(COUNT(AG41:AI41)=0,"",AJ41-LOOKUP(2,1/(AG41:AI41&lt;&gt;""),AG41:AI41)))</t>
        </is>
      </c>
      <c r="AX41" s="38" t="inlineStr">
        <is>
          <t>IF(OR(E41="",AK41=""),"",IF(COUNT(AG41:AJ41)=0,"",AK41-LOOKUP(2,1/(AG41:AJ41&lt;&gt;""),AG41:AJ41)))</t>
        </is>
      </c>
      <c r="AY41" s="38" t="inlineStr">
        <is>
          <t>IF(OR(E41="",AL41=""),"",IF(COUNT(AG41:AK41)=0,"",AL41-LOOKUP(2,1/(AG41:AK41&lt;&gt;""),AG41:AK41)))</t>
        </is>
      </c>
      <c r="AZ41" s="38" t="inlineStr">
        <is>
          <t>IF(OR(E41="",AM41=""),"",IF(COUNT(AG41:AL41)=0,"",AM41-LOOKUP(2,1/(AG41:AL41&lt;&gt;""),AG41:AL41)))</t>
        </is>
      </c>
      <c r="BA41" s="38" t="inlineStr">
        <is>
          <t>IF(OR(E41="",AN41=""),"",IF(COUNT(AG41:AM41)=0,"",AN41-LOOKUP(2,1/(AG41:AM41&lt;&gt;""),AG41:AM41)))</t>
        </is>
      </c>
      <c r="BB41" s="38" t="inlineStr">
        <is>
          <t>IF(OR(E41="",AO41=""),"",IF(COUNT(AG41:AN41)=0,"",AO41-LOOKUP(2,1/(AG41:AN41&lt;&gt;""),AG41:AN41)))</t>
        </is>
      </c>
      <c r="BC41" s="38" t="inlineStr">
        <is>
          <t>IF(OR(E41="",AP41=""),"",IF(COUNT(AG41:AO41)=0,"",AP41-LOOKUP(2,1/(AG41:AO41&lt;&gt;""),AG41:AO41)))</t>
        </is>
      </c>
      <c r="BD41" s="38" t="inlineStr">
        <is>
          <t>IF(OR(E41="",AQ41=""),"",IF(COUNT(AG41:AP41)=0,"",AQ41-LOOKUP(2,1/(AG41:AP41&lt;&gt;""),AG41:AP41)))</t>
        </is>
      </c>
      <c r="BE41" s="38" t="inlineStr">
        <is>
          <t>IF(OR(E41="",AR41=""),"",IF(COUNT(AG41:AQ41)=0,"",AR41-LOOKUP(2,1/(AG41:AQ41&lt;&gt;""),AG41:AQ41)))</t>
        </is>
      </c>
      <c r="BF41" s="38" t="inlineStr">
        <is>
          <t>IF(OR(E41="",AS41=""),"",IF(COUNT(AG41:AR41)=0,"",AS41-LOOKUP(2,1/(AG41:AR41&lt;&gt;""),AG41:AR41)))</t>
        </is>
      </c>
      <c r="BG41" s="38" t="inlineStr">
        <is>
          <t>IF(OR(E41="",AT41=""),"",IF(COUNT(AG41:AS41)=0,"",AT41-LOOKUP(2,1/(AG41:AS41&lt;&gt;""),AG41:AS41)))</t>
        </is>
      </c>
      <c r="BH41" s="41" t="inlineStr">
        <is>
          <t>IF(G41="","All_Provinces",IFERROR(VLOOKUP(G41,'07_Lookups'!$A$4:$B$20,2,FALSE),"All_Provinces"))</t>
        </is>
      </c>
      <c r="BI41" s="41" t="inlineStr">
        <is>
          <t>IF(H41="","All_Districts",IFERROR(VLOOKUP(H41,'07_Lookups'!$E$4:$F$42,2,FALSE),"All_Districts"))</t>
        </is>
      </c>
    </row>
    <row r="42" ht="18" customHeight="1">
      <c r="A42" s="32" t="inlineStr">
        <is>
          <t>IF(E42="","",ROW()-3)</t>
        </is>
      </c>
      <c r="B42" s="33" t="n"/>
      <c r="C42" s="33" t="n"/>
      <c r="D42" s="33" t="n"/>
      <c r="E42" s="33" t="n"/>
      <c r="F42" s="33" t="n"/>
      <c r="G42" s="33" t="n"/>
      <c r="H42" s="33" t="n"/>
      <c r="I42" s="33" t="n"/>
      <c r="J42" s="33" t="n"/>
      <c r="K42" s="33" t="n"/>
      <c r="L42" s="33" t="n"/>
      <c r="M42" s="33" t="n"/>
      <c r="N42" s="33" t="n"/>
      <c r="O42" s="33" t="n"/>
      <c r="P42" s="33" t="n"/>
      <c r="Q42" s="34" t="n"/>
      <c r="R42" s="35" t="inlineStr">
        <is>
          <t>IF(AO42="","",AO42)</t>
        </is>
      </c>
      <c r="S42" s="36" t="n"/>
      <c r="T42" s="37" t="n"/>
      <c r="U42" s="36" t="n"/>
      <c r="V42" s="35" t="inlineStr">
        <is>
          <t>IF(U42&lt;&gt;"",U42,IF(OR(R42="",T42=""),"",EDATE(R42,T42)))</t>
        </is>
      </c>
      <c r="W42" s="36" t="n"/>
      <c r="X42" s="37" t="n"/>
      <c r="Y42" s="33" t="n"/>
      <c r="Z42" s="33" t="n"/>
      <c r="AA42" s="32" t="inlineStr">
        <is>
          <t>IF(E42="","",IF(COUNT(AG42:AT42)=0,IF(Y42="","Not started",Y42),SUBSTITUTE(LOOKUP(2,1/(AG42:AT42&lt;&gt;""),$AG$3:$AT$3),"Date: ","")))</t>
        </is>
      </c>
      <c r="AB42" s="38" t="inlineStr">
        <is>
          <t>IF(OR(E42="",COUNT(AG42:AT42)=0),"",TODAY()-LOOKUP(2,1/(AG42:AT42&lt;&gt;""),AG42:AT42))</t>
        </is>
      </c>
      <c r="AC42" s="38" t="inlineStr">
        <is>
          <t>IF(OR(E42="",COUNT(AG42:AT42)&lt;2),"",LOOKUP(2,1/(AG42:AT42&lt;&gt;""),AG42:AT42)-MIN(AG42:AT42))</t>
        </is>
      </c>
      <c r="AD42" s="38" t="inlineStr">
        <is>
          <t>IF(OR(AB42="",AA42="Not started",AA42=""),"",IFERROR(AB42-IF(VLOOKUP(AA42,'04_Status_Pipeline'!$B$3:$E$20,4,FALSE)="",0,VLOOKUP(AA42,'04_Status_Pipeline'!$B$3:$E$20,4,FALSE)),""))</t>
        </is>
      </c>
      <c r="AE42" s="32" t="inlineStr">
        <is>
          <t>IF(E42="","",IF(OR(Y42="Cancelled",AA42="Cancelled"),"Cancelled",IF(OR(AA42="Completed / Handover",W42&lt;&gt;"",X42&gt;=100),"Completed — on track",IF(L42="Remaining",IF(S42="",IF(V42="","No planned date",IF(TODAY()&gt;V42,"Behind — past planned date",IF(V42-TODAY()&lt;=30,"At risk — close to off track","On track"))),IF(TODAY()&gt;S42,"Behind — award date passed",IF(S42-TODAY()&lt;=30,"At risk — close to off track","On track"))),IF(V42="","No planned date",IF(AND(TODAY()&gt;V42,OR(X42="",X42&lt;100)),"Behind — past end date",IF(AND(R42&lt;&gt;"",V42&lt;&gt;"",X42&lt;&gt;"",(X42&lt;100),((TODAY()-R42)/MAX(V42-R42,1)*100)-X42&gt;15),"Behind — progress lag",IF(AND(V42-TODAY()&lt;=30,V42-TODAY()&gt;=0,OR(X42="",X42&lt;90)),"At risk — close to off track","On track"))))))))</t>
        </is>
      </c>
      <c r="AF42" s="38" t="inlineStr">
        <is>
          <t>IF(OR(E42="",AA42="Completed / Handover",AA42="Cancelled"),"",IF(L42="Remaining",IF(S42&lt;&gt;"",S42-TODAY(),IF(V42="","",V42-TODAY())),IF(V42="","",V42-TODAY())))</t>
        </is>
      </c>
      <c r="AG42" s="36" t="n"/>
      <c r="AH42" s="36" t="n"/>
      <c r="AI42" s="36" t="n"/>
      <c r="AJ42" s="36" t="n"/>
      <c r="AK42" s="36" t="n"/>
      <c r="AL42" s="36" t="n"/>
      <c r="AM42" s="36" t="n"/>
      <c r="AN42" s="36" t="n"/>
      <c r="AO42" s="36" t="n"/>
      <c r="AP42" s="36" t="n"/>
      <c r="AQ42" s="36" t="n"/>
      <c r="AR42" s="40" t="n"/>
      <c r="AS42" s="40" t="n"/>
      <c r="AT42" s="40" t="n"/>
      <c r="AU42" s="38" t="inlineStr">
        <is>
          <t>IF(OR(E42="",AH42=""),"",IF(COUNT(AG42:AG42)=0,"",AH42-LOOKUP(2,1/(AG42:AG42&lt;&gt;""),AG42:AG42)))</t>
        </is>
      </c>
      <c r="AV42" s="38" t="inlineStr">
        <is>
          <t>IF(OR(E42="",AI42=""),"",IF(COUNT(AG42:AH42)=0,"",AI42-LOOKUP(2,1/(AG42:AH42&lt;&gt;""),AG42:AH42)))</t>
        </is>
      </c>
      <c r="AW42" s="38" t="inlineStr">
        <is>
          <t>IF(OR(E42="",AJ42=""),"",IF(COUNT(AG42:AI42)=0,"",AJ42-LOOKUP(2,1/(AG42:AI42&lt;&gt;""),AG42:AI42)))</t>
        </is>
      </c>
      <c r="AX42" s="38" t="inlineStr">
        <is>
          <t>IF(OR(E42="",AK42=""),"",IF(COUNT(AG42:AJ42)=0,"",AK42-LOOKUP(2,1/(AG42:AJ42&lt;&gt;""),AG42:AJ42)))</t>
        </is>
      </c>
      <c r="AY42" s="38" t="inlineStr">
        <is>
          <t>IF(OR(E42="",AL42=""),"",IF(COUNT(AG42:AK42)=0,"",AL42-LOOKUP(2,1/(AG42:AK42&lt;&gt;""),AG42:AK42)))</t>
        </is>
      </c>
      <c r="AZ42" s="38" t="inlineStr">
        <is>
          <t>IF(OR(E42="",AM42=""),"",IF(COUNT(AG42:AL42)=0,"",AM42-LOOKUP(2,1/(AG42:AL42&lt;&gt;""),AG42:AL42)))</t>
        </is>
      </c>
      <c r="BA42" s="38" t="inlineStr">
        <is>
          <t>IF(OR(E42="",AN42=""),"",IF(COUNT(AG42:AM42)=0,"",AN42-LOOKUP(2,1/(AG42:AM42&lt;&gt;""),AG42:AM42)))</t>
        </is>
      </c>
      <c r="BB42" s="38" t="inlineStr">
        <is>
          <t>IF(OR(E42="",AO42=""),"",IF(COUNT(AG42:AN42)=0,"",AO42-LOOKUP(2,1/(AG42:AN42&lt;&gt;""),AG42:AN42)))</t>
        </is>
      </c>
      <c r="BC42" s="38" t="inlineStr">
        <is>
          <t>IF(OR(E42="",AP42=""),"",IF(COUNT(AG42:AO42)=0,"",AP42-LOOKUP(2,1/(AG42:AO42&lt;&gt;""),AG42:AO42)))</t>
        </is>
      </c>
      <c r="BD42" s="38" t="inlineStr">
        <is>
          <t>IF(OR(E42="",AQ42=""),"",IF(COUNT(AG42:AP42)=0,"",AQ42-LOOKUP(2,1/(AG42:AP42&lt;&gt;""),AG42:AP42)))</t>
        </is>
      </c>
      <c r="BE42" s="38" t="inlineStr">
        <is>
          <t>IF(OR(E42="",AR42=""),"",IF(COUNT(AG42:AQ42)=0,"",AR42-LOOKUP(2,1/(AG42:AQ42&lt;&gt;""),AG42:AQ42)))</t>
        </is>
      </c>
      <c r="BF42" s="38" t="inlineStr">
        <is>
          <t>IF(OR(E42="",AS42=""),"",IF(COUNT(AG42:AR42)=0,"",AS42-LOOKUP(2,1/(AG42:AR42&lt;&gt;""),AG42:AR42)))</t>
        </is>
      </c>
      <c r="BG42" s="38" t="inlineStr">
        <is>
          <t>IF(OR(E42="",AT42=""),"",IF(COUNT(AG42:AS42)=0,"",AT42-LOOKUP(2,1/(AG42:AS42&lt;&gt;""),AG42:AS42)))</t>
        </is>
      </c>
      <c r="BH42" s="41" t="inlineStr">
        <is>
          <t>IF(G42="","All_Provinces",IFERROR(VLOOKUP(G42,'07_Lookups'!$A$4:$B$20,2,FALSE),"All_Provinces"))</t>
        </is>
      </c>
      <c r="BI42" s="41" t="inlineStr">
        <is>
          <t>IF(H42="","All_Districts",IFERROR(VLOOKUP(H42,'07_Lookups'!$E$4:$F$42,2,FALSE),"All_Districts"))</t>
        </is>
      </c>
    </row>
    <row r="43" ht="18" customHeight="1">
      <c r="A43" s="32" t="inlineStr">
        <is>
          <t>IF(E43="","",ROW()-3)</t>
        </is>
      </c>
      <c r="B43" s="42" t="n"/>
      <c r="C43" s="42" t="n"/>
      <c r="D43" s="42" t="n"/>
      <c r="E43" s="42" t="n"/>
      <c r="F43" s="42" t="n"/>
      <c r="G43" s="42" t="n"/>
      <c r="H43" s="42" t="n"/>
      <c r="I43" s="42" t="n"/>
      <c r="J43" s="42" t="n"/>
      <c r="K43" s="42" t="n"/>
      <c r="L43" s="42" t="n"/>
      <c r="M43" s="42" t="n"/>
      <c r="N43" s="42" t="n"/>
      <c r="O43" s="42" t="n"/>
      <c r="P43" s="42" t="n"/>
      <c r="Q43" s="43" t="n"/>
      <c r="R43" s="35" t="inlineStr">
        <is>
          <t>IF(AO43="","",AO43)</t>
        </is>
      </c>
      <c r="S43" s="44" t="n"/>
      <c r="T43" s="45" t="n"/>
      <c r="U43" s="44" t="n"/>
      <c r="V43" s="35" t="inlineStr">
        <is>
          <t>IF(U43&lt;&gt;"",U43,IF(OR(R43="",T43=""),"",EDATE(R43,T43)))</t>
        </is>
      </c>
      <c r="W43" s="44" t="n"/>
      <c r="X43" s="45" t="n"/>
      <c r="Y43" s="42" t="n"/>
      <c r="Z43" s="42" t="n"/>
      <c r="AA43" s="32" t="inlineStr">
        <is>
          <t>IF(E43="","",IF(COUNT(AG43:AT43)=0,IF(Y43="","Not started",Y43),SUBSTITUTE(LOOKUP(2,1/(AG43:AT43&lt;&gt;""),$AG$3:$AT$3),"Date: ","")))</t>
        </is>
      </c>
      <c r="AB43" s="38" t="inlineStr">
        <is>
          <t>IF(OR(E43="",COUNT(AG43:AT43)=0),"",TODAY()-LOOKUP(2,1/(AG43:AT43&lt;&gt;""),AG43:AT43))</t>
        </is>
      </c>
      <c r="AC43" s="38" t="inlineStr">
        <is>
          <t>IF(OR(E43="",COUNT(AG43:AT43)&lt;2),"",LOOKUP(2,1/(AG43:AT43&lt;&gt;""),AG43:AT43)-MIN(AG43:AT43))</t>
        </is>
      </c>
      <c r="AD43" s="38" t="inlineStr">
        <is>
          <t>IF(OR(AB43="",AA43="Not started",AA43=""),"",IFERROR(AB43-IF(VLOOKUP(AA43,'04_Status_Pipeline'!$B$3:$E$20,4,FALSE)="",0,VLOOKUP(AA43,'04_Status_Pipeline'!$B$3:$E$20,4,FALSE)),""))</t>
        </is>
      </c>
      <c r="AE43" s="32" t="inlineStr">
        <is>
          <t>IF(E43="","",IF(OR(Y43="Cancelled",AA43="Cancelled"),"Cancelled",IF(OR(AA43="Completed / Handover",W43&lt;&gt;"",X43&gt;=100),"Completed — on track",IF(L43="Remaining",IF(S43="",IF(V43="","No planned date",IF(TODAY()&gt;V43,"Behind — past planned date",IF(V43-TODAY()&lt;=30,"At risk — close to off track","On track"))),IF(TODAY()&gt;S43,"Behind — award date passed",IF(S43-TODAY()&lt;=30,"At risk — close to off track","On track"))),IF(V43="","No planned date",IF(AND(TODAY()&gt;V43,OR(X43="",X43&lt;100)),"Behind — past end date",IF(AND(R43&lt;&gt;"",V43&lt;&gt;"",X43&lt;&gt;"",(X43&lt;100),((TODAY()-R43)/MAX(V43-R43,1)*100)-X43&gt;15),"Behind — progress lag",IF(AND(V43-TODAY()&lt;=30,V43-TODAY()&gt;=0,OR(X43="",X43&lt;90)),"At risk — close to off track","On track"))))))))</t>
        </is>
      </c>
      <c r="AF43" s="38" t="inlineStr">
        <is>
          <t>IF(OR(E43="",AA43="Completed / Handover",AA43="Cancelled"),"",IF(L43="Remaining",IF(S43&lt;&gt;"",S43-TODAY(),IF(V43="","",V43-TODAY())),IF(V43="","",V43-TODAY())))</t>
        </is>
      </c>
      <c r="AG43" s="44" t="n"/>
      <c r="AH43" s="44" t="n"/>
      <c r="AI43" s="44" t="n"/>
      <c r="AJ43" s="44" t="n"/>
      <c r="AK43" s="44" t="n"/>
      <c r="AL43" s="44" t="n"/>
      <c r="AM43" s="44" t="n"/>
      <c r="AN43" s="44" t="n"/>
      <c r="AO43" s="44" t="n"/>
      <c r="AP43" s="44" t="n"/>
      <c r="AQ43" s="44" t="n"/>
      <c r="AR43" s="40" t="n"/>
      <c r="AS43" s="40" t="n"/>
      <c r="AT43" s="40" t="n"/>
      <c r="AU43" s="38" t="inlineStr">
        <is>
          <t>IF(OR(E43="",AH43=""),"",IF(COUNT(AG43:AG43)=0,"",AH43-LOOKUP(2,1/(AG43:AG43&lt;&gt;""),AG43:AG43)))</t>
        </is>
      </c>
      <c r="AV43" s="38" t="inlineStr">
        <is>
          <t>IF(OR(E43="",AI43=""),"",IF(COUNT(AG43:AH43)=0,"",AI43-LOOKUP(2,1/(AG43:AH43&lt;&gt;""),AG43:AH43)))</t>
        </is>
      </c>
      <c r="AW43" s="38" t="inlineStr">
        <is>
          <t>IF(OR(E43="",AJ43=""),"",IF(COUNT(AG43:AI43)=0,"",AJ43-LOOKUP(2,1/(AG43:AI43&lt;&gt;""),AG43:AI43)))</t>
        </is>
      </c>
      <c r="AX43" s="38" t="inlineStr">
        <is>
          <t>IF(OR(E43="",AK43=""),"",IF(COUNT(AG43:AJ43)=0,"",AK43-LOOKUP(2,1/(AG43:AJ43&lt;&gt;""),AG43:AJ43)))</t>
        </is>
      </c>
      <c r="AY43" s="38" t="inlineStr">
        <is>
          <t>IF(OR(E43="",AL43=""),"",IF(COUNT(AG43:AK43)=0,"",AL43-LOOKUP(2,1/(AG43:AK43&lt;&gt;""),AG43:AK43)))</t>
        </is>
      </c>
      <c r="AZ43" s="38" t="inlineStr">
        <is>
          <t>IF(OR(E43="",AM43=""),"",IF(COUNT(AG43:AL43)=0,"",AM43-LOOKUP(2,1/(AG43:AL43&lt;&gt;""),AG43:AL43)))</t>
        </is>
      </c>
      <c r="BA43" s="38" t="inlineStr">
        <is>
          <t>IF(OR(E43="",AN43=""),"",IF(COUNT(AG43:AM43)=0,"",AN43-LOOKUP(2,1/(AG43:AM43&lt;&gt;""),AG43:AM43)))</t>
        </is>
      </c>
      <c r="BB43" s="38" t="inlineStr">
        <is>
          <t>IF(OR(E43="",AO43=""),"",IF(COUNT(AG43:AN43)=0,"",AO43-LOOKUP(2,1/(AG43:AN43&lt;&gt;""),AG43:AN43)))</t>
        </is>
      </c>
      <c r="BC43" s="38" t="inlineStr">
        <is>
          <t>IF(OR(E43="",AP43=""),"",IF(COUNT(AG43:AO43)=0,"",AP43-LOOKUP(2,1/(AG43:AO43&lt;&gt;""),AG43:AO43)))</t>
        </is>
      </c>
      <c r="BD43" s="38" t="inlineStr">
        <is>
          <t>IF(OR(E43="",AQ43=""),"",IF(COUNT(AG43:AP43)=0,"",AQ43-LOOKUP(2,1/(AG43:AP43&lt;&gt;""),AG43:AP43)))</t>
        </is>
      </c>
      <c r="BE43" s="38" t="inlineStr">
        <is>
          <t>IF(OR(E43="",AR43=""),"",IF(COUNT(AG43:AQ43)=0,"",AR43-LOOKUP(2,1/(AG43:AQ43&lt;&gt;""),AG43:AQ43)))</t>
        </is>
      </c>
      <c r="BF43" s="38" t="inlineStr">
        <is>
          <t>IF(OR(E43="",AS43=""),"",IF(COUNT(AG43:AR43)=0,"",AS43-LOOKUP(2,1/(AG43:AR43&lt;&gt;""),AG43:AR43)))</t>
        </is>
      </c>
      <c r="BG43" s="38" t="inlineStr">
        <is>
          <t>IF(OR(E43="",AT43=""),"",IF(COUNT(AG43:AS43)=0,"",AT43-LOOKUP(2,1/(AG43:AS43&lt;&gt;""),AG43:AS43)))</t>
        </is>
      </c>
      <c r="BH43" s="41" t="inlineStr">
        <is>
          <t>IF(G43="","All_Provinces",IFERROR(VLOOKUP(G43,'07_Lookups'!$A$4:$B$20,2,FALSE),"All_Provinces"))</t>
        </is>
      </c>
      <c r="BI43" s="41" t="inlineStr">
        <is>
          <t>IF(H43="","All_Districts",IFERROR(VLOOKUP(H43,'07_Lookups'!$E$4:$F$42,2,FALSE),"All_Districts"))</t>
        </is>
      </c>
    </row>
    <row r="44" ht="18" customHeight="1">
      <c r="A44" s="32" t="inlineStr">
        <is>
          <t>IF(E44="","",ROW()-3)</t>
        </is>
      </c>
      <c r="B44" s="33" t="n"/>
      <c r="C44" s="33" t="n"/>
      <c r="D44" s="33" t="n"/>
      <c r="E44" s="33" t="n"/>
      <c r="F44" s="33" t="n"/>
      <c r="G44" s="33" t="n"/>
      <c r="H44" s="33" t="n"/>
      <c r="I44" s="33" t="n"/>
      <c r="J44" s="33" t="n"/>
      <c r="K44" s="33" t="n"/>
      <c r="L44" s="33" t="n"/>
      <c r="M44" s="33" t="n"/>
      <c r="N44" s="33" t="n"/>
      <c r="O44" s="33" t="n"/>
      <c r="P44" s="33" t="n"/>
      <c r="Q44" s="34" t="n"/>
      <c r="R44" s="35" t="inlineStr">
        <is>
          <t>IF(AO44="","",AO44)</t>
        </is>
      </c>
      <c r="S44" s="36" t="n"/>
      <c r="T44" s="37" t="n"/>
      <c r="U44" s="36" t="n"/>
      <c r="V44" s="35" t="inlineStr">
        <is>
          <t>IF(U44&lt;&gt;"",U44,IF(OR(R44="",T44=""),"",EDATE(R44,T44)))</t>
        </is>
      </c>
      <c r="W44" s="36" t="n"/>
      <c r="X44" s="37" t="n"/>
      <c r="Y44" s="33" t="n"/>
      <c r="Z44" s="33" t="n"/>
      <c r="AA44" s="32" t="inlineStr">
        <is>
          <t>IF(E44="","",IF(COUNT(AG44:AT44)=0,IF(Y44="","Not started",Y44),SUBSTITUTE(LOOKUP(2,1/(AG44:AT44&lt;&gt;""),$AG$3:$AT$3),"Date: ","")))</t>
        </is>
      </c>
      <c r="AB44" s="38" t="inlineStr">
        <is>
          <t>IF(OR(E44="",COUNT(AG44:AT44)=0),"",TODAY()-LOOKUP(2,1/(AG44:AT44&lt;&gt;""),AG44:AT44))</t>
        </is>
      </c>
      <c r="AC44" s="38" t="inlineStr">
        <is>
          <t>IF(OR(E44="",COUNT(AG44:AT44)&lt;2),"",LOOKUP(2,1/(AG44:AT44&lt;&gt;""),AG44:AT44)-MIN(AG44:AT44))</t>
        </is>
      </c>
      <c r="AD44" s="38" t="inlineStr">
        <is>
          <t>IF(OR(AB44="",AA44="Not started",AA44=""),"",IFERROR(AB44-IF(VLOOKUP(AA44,'04_Status_Pipeline'!$B$3:$E$20,4,FALSE)="",0,VLOOKUP(AA44,'04_Status_Pipeline'!$B$3:$E$20,4,FALSE)),""))</t>
        </is>
      </c>
      <c r="AE44" s="32" t="inlineStr">
        <is>
          <t>IF(E44="","",IF(OR(Y44="Cancelled",AA44="Cancelled"),"Cancelled",IF(OR(AA44="Completed / Handover",W44&lt;&gt;"",X44&gt;=100),"Completed — on track",IF(L44="Remaining",IF(S44="",IF(V44="","No planned date",IF(TODAY()&gt;V44,"Behind — past planned date",IF(V44-TODAY()&lt;=30,"At risk — close to off track","On track"))),IF(TODAY()&gt;S44,"Behind — award date passed",IF(S44-TODAY()&lt;=30,"At risk — close to off track","On track"))),IF(V44="","No planned date",IF(AND(TODAY()&gt;V44,OR(X44="",X44&lt;100)),"Behind — past end date",IF(AND(R44&lt;&gt;"",V44&lt;&gt;"",X44&lt;&gt;"",(X44&lt;100),((TODAY()-R44)/MAX(V44-R44,1)*100)-X44&gt;15),"Behind — progress lag",IF(AND(V44-TODAY()&lt;=30,V44-TODAY()&gt;=0,OR(X44="",X44&lt;90)),"At risk — close to off track","On track"))))))))</t>
        </is>
      </c>
      <c r="AF44" s="38" t="inlineStr">
        <is>
          <t>IF(OR(E44="",AA44="Completed / Handover",AA44="Cancelled"),"",IF(L44="Remaining",IF(S44&lt;&gt;"",S44-TODAY(),IF(V44="","",V44-TODAY())),IF(V44="","",V44-TODAY())))</t>
        </is>
      </c>
      <c r="AG44" s="36" t="n"/>
      <c r="AH44" s="36" t="n"/>
      <c r="AI44" s="36" t="n"/>
      <c r="AJ44" s="36" t="n"/>
      <c r="AK44" s="36" t="n"/>
      <c r="AL44" s="36" t="n"/>
      <c r="AM44" s="36" t="n"/>
      <c r="AN44" s="36" t="n"/>
      <c r="AO44" s="36" t="n"/>
      <c r="AP44" s="36" t="n"/>
      <c r="AQ44" s="36" t="n"/>
      <c r="AR44" s="40" t="n"/>
      <c r="AS44" s="40" t="n"/>
      <c r="AT44" s="40" t="n"/>
      <c r="AU44" s="38" t="inlineStr">
        <is>
          <t>IF(OR(E44="",AH44=""),"",IF(COUNT(AG44:AG44)=0,"",AH44-LOOKUP(2,1/(AG44:AG44&lt;&gt;""),AG44:AG44)))</t>
        </is>
      </c>
      <c r="AV44" s="38" t="inlineStr">
        <is>
          <t>IF(OR(E44="",AI44=""),"",IF(COUNT(AG44:AH44)=0,"",AI44-LOOKUP(2,1/(AG44:AH44&lt;&gt;""),AG44:AH44)))</t>
        </is>
      </c>
      <c r="AW44" s="38" t="inlineStr">
        <is>
          <t>IF(OR(E44="",AJ44=""),"",IF(COUNT(AG44:AI44)=0,"",AJ44-LOOKUP(2,1/(AG44:AI44&lt;&gt;""),AG44:AI44)))</t>
        </is>
      </c>
      <c r="AX44" s="38" t="inlineStr">
        <is>
          <t>IF(OR(E44="",AK44=""),"",IF(COUNT(AG44:AJ44)=0,"",AK44-LOOKUP(2,1/(AG44:AJ44&lt;&gt;""),AG44:AJ44)))</t>
        </is>
      </c>
      <c r="AY44" s="38" t="inlineStr">
        <is>
          <t>IF(OR(E44="",AL44=""),"",IF(COUNT(AG44:AK44)=0,"",AL44-LOOKUP(2,1/(AG44:AK44&lt;&gt;""),AG44:AK44)))</t>
        </is>
      </c>
      <c r="AZ44" s="38" t="inlineStr">
        <is>
          <t>IF(OR(E44="",AM44=""),"",IF(COUNT(AG44:AL44)=0,"",AM44-LOOKUP(2,1/(AG44:AL44&lt;&gt;""),AG44:AL44)))</t>
        </is>
      </c>
      <c r="BA44" s="38" t="inlineStr">
        <is>
          <t>IF(OR(E44="",AN44=""),"",IF(COUNT(AG44:AM44)=0,"",AN44-LOOKUP(2,1/(AG44:AM44&lt;&gt;""),AG44:AM44)))</t>
        </is>
      </c>
      <c r="BB44" s="38" t="inlineStr">
        <is>
          <t>IF(OR(E44="",AO44=""),"",IF(COUNT(AG44:AN44)=0,"",AO44-LOOKUP(2,1/(AG44:AN44&lt;&gt;""),AG44:AN44)))</t>
        </is>
      </c>
      <c r="BC44" s="38" t="inlineStr">
        <is>
          <t>IF(OR(E44="",AP44=""),"",IF(COUNT(AG44:AO44)=0,"",AP44-LOOKUP(2,1/(AG44:AO44&lt;&gt;""),AG44:AO44)))</t>
        </is>
      </c>
      <c r="BD44" s="38" t="inlineStr">
        <is>
          <t>IF(OR(E44="",AQ44=""),"",IF(COUNT(AG44:AP44)=0,"",AQ44-LOOKUP(2,1/(AG44:AP44&lt;&gt;""),AG44:AP44)))</t>
        </is>
      </c>
      <c r="BE44" s="38" t="inlineStr">
        <is>
          <t>IF(OR(E44="",AR44=""),"",IF(COUNT(AG44:AQ44)=0,"",AR44-LOOKUP(2,1/(AG44:AQ44&lt;&gt;""),AG44:AQ44)))</t>
        </is>
      </c>
      <c r="BF44" s="38" t="inlineStr">
        <is>
          <t>IF(OR(E44="",AS44=""),"",IF(COUNT(AG44:AR44)=0,"",AS44-LOOKUP(2,1/(AG44:AR44&lt;&gt;""),AG44:AR44)))</t>
        </is>
      </c>
      <c r="BG44" s="38" t="inlineStr">
        <is>
          <t>IF(OR(E44="",AT44=""),"",IF(COUNT(AG44:AS44)=0,"",AT44-LOOKUP(2,1/(AG44:AS44&lt;&gt;""),AG44:AS44)))</t>
        </is>
      </c>
      <c r="BH44" s="41" t="inlineStr">
        <is>
          <t>IF(G44="","All_Provinces",IFERROR(VLOOKUP(G44,'07_Lookups'!$A$4:$B$20,2,FALSE),"All_Provinces"))</t>
        </is>
      </c>
      <c r="BI44" s="41" t="inlineStr">
        <is>
          <t>IF(H44="","All_Districts",IFERROR(VLOOKUP(H44,'07_Lookups'!$E$4:$F$42,2,FALSE),"All_Districts"))</t>
        </is>
      </c>
    </row>
    <row r="45" ht="18" customHeight="1">
      <c r="A45" s="32" t="inlineStr">
        <is>
          <t>IF(E45="","",ROW()-3)</t>
        </is>
      </c>
      <c r="B45" s="42" t="n"/>
      <c r="C45" s="42" t="n"/>
      <c r="D45" s="42" t="n"/>
      <c r="E45" s="42" t="n"/>
      <c r="F45" s="42" t="n"/>
      <c r="G45" s="42" t="n"/>
      <c r="H45" s="42" t="n"/>
      <c r="I45" s="42" t="n"/>
      <c r="J45" s="42" t="n"/>
      <c r="K45" s="42" t="n"/>
      <c r="L45" s="42" t="n"/>
      <c r="M45" s="42" t="n"/>
      <c r="N45" s="42" t="n"/>
      <c r="O45" s="42" t="n"/>
      <c r="P45" s="42" t="n"/>
      <c r="Q45" s="43" t="n"/>
      <c r="R45" s="35" t="inlineStr">
        <is>
          <t>IF(AO45="","",AO45)</t>
        </is>
      </c>
      <c r="S45" s="44" t="n"/>
      <c r="T45" s="45" t="n"/>
      <c r="U45" s="44" t="n"/>
      <c r="V45" s="35" t="inlineStr">
        <is>
          <t>IF(U45&lt;&gt;"",U45,IF(OR(R45="",T45=""),"",EDATE(R45,T45)))</t>
        </is>
      </c>
      <c r="W45" s="44" t="n"/>
      <c r="X45" s="45" t="n"/>
      <c r="Y45" s="42" t="n"/>
      <c r="Z45" s="42" t="n"/>
      <c r="AA45" s="32" t="inlineStr">
        <is>
          <t>IF(E45="","",IF(COUNT(AG45:AT45)=0,IF(Y45="","Not started",Y45),SUBSTITUTE(LOOKUP(2,1/(AG45:AT45&lt;&gt;""),$AG$3:$AT$3),"Date: ","")))</t>
        </is>
      </c>
      <c r="AB45" s="38" t="inlineStr">
        <is>
          <t>IF(OR(E45="",COUNT(AG45:AT45)=0),"",TODAY()-LOOKUP(2,1/(AG45:AT45&lt;&gt;""),AG45:AT45))</t>
        </is>
      </c>
      <c r="AC45" s="38" t="inlineStr">
        <is>
          <t>IF(OR(E45="",COUNT(AG45:AT45)&lt;2),"",LOOKUP(2,1/(AG45:AT45&lt;&gt;""),AG45:AT45)-MIN(AG45:AT45))</t>
        </is>
      </c>
      <c r="AD45" s="38" t="inlineStr">
        <is>
          <t>IF(OR(AB45="",AA45="Not started",AA45=""),"",IFERROR(AB45-IF(VLOOKUP(AA45,'04_Status_Pipeline'!$B$3:$E$20,4,FALSE)="",0,VLOOKUP(AA45,'04_Status_Pipeline'!$B$3:$E$20,4,FALSE)),""))</t>
        </is>
      </c>
      <c r="AE45" s="32" t="inlineStr">
        <is>
          <t>IF(E45="","",IF(OR(Y45="Cancelled",AA45="Cancelled"),"Cancelled",IF(OR(AA45="Completed / Handover",W45&lt;&gt;"",X45&gt;=100),"Completed — on track",IF(L45="Remaining",IF(S45="",IF(V45="","No planned date",IF(TODAY()&gt;V45,"Behind — past planned date",IF(V45-TODAY()&lt;=30,"At risk — close to off track","On track"))),IF(TODAY()&gt;S45,"Behind — award date passed",IF(S45-TODAY()&lt;=30,"At risk — close to off track","On track"))),IF(V45="","No planned date",IF(AND(TODAY()&gt;V45,OR(X45="",X45&lt;100)),"Behind — past end date",IF(AND(R45&lt;&gt;"",V45&lt;&gt;"",X45&lt;&gt;"",(X45&lt;100),((TODAY()-R45)/MAX(V45-R45,1)*100)-X45&gt;15),"Behind — progress lag",IF(AND(V45-TODAY()&lt;=30,V45-TODAY()&gt;=0,OR(X45="",X45&lt;90)),"At risk — close to off track","On track"))))))))</t>
        </is>
      </c>
      <c r="AF45" s="38" t="inlineStr">
        <is>
          <t>IF(OR(E45="",AA45="Completed / Handover",AA45="Cancelled"),"",IF(L45="Remaining",IF(S45&lt;&gt;"",S45-TODAY(),IF(V45="","",V45-TODAY())),IF(V45="","",V45-TODAY())))</t>
        </is>
      </c>
      <c r="AG45" s="44" t="n"/>
      <c r="AH45" s="44" t="n"/>
      <c r="AI45" s="44" t="n"/>
      <c r="AJ45" s="44" t="n"/>
      <c r="AK45" s="44" t="n"/>
      <c r="AL45" s="44" t="n"/>
      <c r="AM45" s="44" t="n"/>
      <c r="AN45" s="44" t="n"/>
      <c r="AO45" s="44" t="n"/>
      <c r="AP45" s="44" t="n"/>
      <c r="AQ45" s="44" t="n"/>
      <c r="AR45" s="40" t="n"/>
      <c r="AS45" s="40" t="n"/>
      <c r="AT45" s="40" t="n"/>
      <c r="AU45" s="38" t="inlineStr">
        <is>
          <t>IF(OR(E45="",AH45=""),"",IF(COUNT(AG45:AG45)=0,"",AH45-LOOKUP(2,1/(AG45:AG45&lt;&gt;""),AG45:AG45)))</t>
        </is>
      </c>
      <c r="AV45" s="38" t="inlineStr">
        <is>
          <t>IF(OR(E45="",AI45=""),"",IF(COUNT(AG45:AH45)=0,"",AI45-LOOKUP(2,1/(AG45:AH45&lt;&gt;""),AG45:AH45)))</t>
        </is>
      </c>
      <c r="AW45" s="38" t="inlineStr">
        <is>
          <t>IF(OR(E45="",AJ45=""),"",IF(COUNT(AG45:AI45)=0,"",AJ45-LOOKUP(2,1/(AG45:AI45&lt;&gt;""),AG45:AI45)))</t>
        </is>
      </c>
      <c r="AX45" s="38" t="inlineStr">
        <is>
          <t>IF(OR(E45="",AK45=""),"",IF(COUNT(AG45:AJ45)=0,"",AK45-LOOKUP(2,1/(AG45:AJ45&lt;&gt;""),AG45:AJ45)))</t>
        </is>
      </c>
      <c r="AY45" s="38" t="inlineStr">
        <is>
          <t>IF(OR(E45="",AL45=""),"",IF(COUNT(AG45:AK45)=0,"",AL45-LOOKUP(2,1/(AG45:AK45&lt;&gt;""),AG45:AK45)))</t>
        </is>
      </c>
      <c r="AZ45" s="38" t="inlineStr">
        <is>
          <t>IF(OR(E45="",AM45=""),"",IF(COUNT(AG45:AL45)=0,"",AM45-LOOKUP(2,1/(AG45:AL45&lt;&gt;""),AG45:AL45)))</t>
        </is>
      </c>
      <c r="BA45" s="38" t="inlineStr">
        <is>
          <t>IF(OR(E45="",AN45=""),"",IF(COUNT(AG45:AM45)=0,"",AN45-LOOKUP(2,1/(AG45:AM45&lt;&gt;""),AG45:AM45)))</t>
        </is>
      </c>
      <c r="BB45" s="38" t="inlineStr">
        <is>
          <t>IF(OR(E45="",AO45=""),"",IF(COUNT(AG45:AN45)=0,"",AO45-LOOKUP(2,1/(AG45:AN45&lt;&gt;""),AG45:AN45)))</t>
        </is>
      </c>
      <c r="BC45" s="38" t="inlineStr">
        <is>
          <t>IF(OR(E45="",AP45=""),"",IF(COUNT(AG45:AO45)=0,"",AP45-LOOKUP(2,1/(AG45:AO45&lt;&gt;""),AG45:AO45)))</t>
        </is>
      </c>
      <c r="BD45" s="38" t="inlineStr">
        <is>
          <t>IF(OR(E45="",AQ45=""),"",IF(COUNT(AG45:AP45)=0,"",AQ45-LOOKUP(2,1/(AG45:AP45&lt;&gt;""),AG45:AP45)))</t>
        </is>
      </c>
      <c r="BE45" s="38" t="inlineStr">
        <is>
          <t>IF(OR(E45="",AR45=""),"",IF(COUNT(AG45:AQ45)=0,"",AR45-LOOKUP(2,1/(AG45:AQ45&lt;&gt;""),AG45:AQ45)))</t>
        </is>
      </c>
      <c r="BF45" s="38" t="inlineStr">
        <is>
          <t>IF(OR(E45="",AS45=""),"",IF(COUNT(AG45:AR45)=0,"",AS45-LOOKUP(2,1/(AG45:AR45&lt;&gt;""),AG45:AR45)))</t>
        </is>
      </c>
      <c r="BG45" s="38" t="inlineStr">
        <is>
          <t>IF(OR(E45="",AT45=""),"",IF(COUNT(AG45:AS45)=0,"",AT45-LOOKUP(2,1/(AG45:AS45&lt;&gt;""),AG45:AS45)))</t>
        </is>
      </c>
      <c r="BH45" s="41" t="inlineStr">
        <is>
          <t>IF(G45="","All_Provinces",IFERROR(VLOOKUP(G45,'07_Lookups'!$A$4:$B$20,2,FALSE),"All_Provinces"))</t>
        </is>
      </c>
      <c r="BI45" s="41" t="inlineStr">
        <is>
          <t>IF(H45="","All_Districts",IFERROR(VLOOKUP(H45,'07_Lookups'!$E$4:$F$42,2,FALSE),"All_Districts"))</t>
        </is>
      </c>
    </row>
    <row r="46" ht="18" customHeight="1">
      <c r="A46" s="32" t="inlineStr">
        <is>
          <t>IF(E46="","",ROW()-3)</t>
        </is>
      </c>
      <c r="B46" s="33" t="n"/>
      <c r="C46" s="33" t="n"/>
      <c r="D46" s="33" t="n"/>
      <c r="E46" s="33" t="n"/>
      <c r="F46" s="33" t="n"/>
      <c r="G46" s="33" t="n"/>
      <c r="H46" s="33" t="n"/>
      <c r="I46" s="33" t="n"/>
      <c r="J46" s="33" t="n"/>
      <c r="K46" s="33" t="n"/>
      <c r="L46" s="33" t="n"/>
      <c r="M46" s="33" t="n"/>
      <c r="N46" s="33" t="n"/>
      <c r="O46" s="33" t="n"/>
      <c r="P46" s="33" t="n"/>
      <c r="Q46" s="34" t="n"/>
      <c r="R46" s="35" t="inlineStr">
        <is>
          <t>IF(AO46="","",AO46)</t>
        </is>
      </c>
      <c r="S46" s="36" t="n"/>
      <c r="T46" s="37" t="n"/>
      <c r="U46" s="36" t="n"/>
      <c r="V46" s="35" t="inlineStr">
        <is>
          <t>IF(U46&lt;&gt;"",U46,IF(OR(R46="",T46=""),"",EDATE(R46,T46)))</t>
        </is>
      </c>
      <c r="W46" s="36" t="n"/>
      <c r="X46" s="37" t="n"/>
      <c r="Y46" s="33" t="n"/>
      <c r="Z46" s="33" t="n"/>
      <c r="AA46" s="32" t="inlineStr">
        <is>
          <t>IF(E46="","",IF(COUNT(AG46:AT46)=0,IF(Y46="","Not started",Y46),SUBSTITUTE(LOOKUP(2,1/(AG46:AT46&lt;&gt;""),$AG$3:$AT$3),"Date: ","")))</t>
        </is>
      </c>
      <c r="AB46" s="38" t="inlineStr">
        <is>
          <t>IF(OR(E46="",COUNT(AG46:AT46)=0),"",TODAY()-LOOKUP(2,1/(AG46:AT46&lt;&gt;""),AG46:AT46))</t>
        </is>
      </c>
      <c r="AC46" s="38" t="inlineStr">
        <is>
          <t>IF(OR(E46="",COUNT(AG46:AT46)&lt;2),"",LOOKUP(2,1/(AG46:AT46&lt;&gt;""),AG46:AT46)-MIN(AG46:AT46))</t>
        </is>
      </c>
      <c r="AD46" s="38" t="inlineStr">
        <is>
          <t>IF(OR(AB46="",AA46="Not started",AA46=""),"",IFERROR(AB46-IF(VLOOKUP(AA46,'04_Status_Pipeline'!$B$3:$E$20,4,FALSE)="",0,VLOOKUP(AA46,'04_Status_Pipeline'!$B$3:$E$20,4,FALSE)),""))</t>
        </is>
      </c>
      <c r="AE46" s="32" t="inlineStr">
        <is>
          <t>IF(E46="","",IF(OR(Y46="Cancelled",AA46="Cancelled"),"Cancelled",IF(OR(AA46="Completed / Handover",W46&lt;&gt;"",X46&gt;=100),"Completed — on track",IF(L46="Remaining",IF(S46="",IF(V46="","No planned date",IF(TODAY()&gt;V46,"Behind — past planned date",IF(V46-TODAY()&lt;=30,"At risk — close to off track","On track"))),IF(TODAY()&gt;S46,"Behind — award date passed",IF(S46-TODAY()&lt;=30,"At risk — close to off track","On track"))),IF(V46="","No planned date",IF(AND(TODAY()&gt;V46,OR(X46="",X46&lt;100)),"Behind — past end date",IF(AND(R46&lt;&gt;"",V46&lt;&gt;"",X46&lt;&gt;"",(X46&lt;100),((TODAY()-R46)/MAX(V46-R46,1)*100)-X46&gt;15),"Behind — progress lag",IF(AND(V46-TODAY()&lt;=30,V46-TODAY()&gt;=0,OR(X46="",X46&lt;90)),"At risk — close to off track","On track"))))))))</t>
        </is>
      </c>
      <c r="AF46" s="38" t="inlineStr">
        <is>
          <t>IF(OR(E46="",AA46="Completed / Handover",AA46="Cancelled"),"",IF(L46="Remaining",IF(S46&lt;&gt;"",S46-TODAY(),IF(V46="","",V46-TODAY())),IF(V46="","",V46-TODAY())))</t>
        </is>
      </c>
      <c r="AG46" s="36" t="n"/>
      <c r="AH46" s="36" t="n"/>
      <c r="AI46" s="36" t="n"/>
      <c r="AJ46" s="36" t="n"/>
      <c r="AK46" s="36" t="n"/>
      <c r="AL46" s="36" t="n"/>
      <c r="AM46" s="36" t="n"/>
      <c r="AN46" s="36" t="n"/>
      <c r="AO46" s="36" t="n"/>
      <c r="AP46" s="36" t="n"/>
      <c r="AQ46" s="36" t="n"/>
      <c r="AR46" s="40" t="n"/>
      <c r="AS46" s="40" t="n"/>
      <c r="AT46" s="40" t="n"/>
      <c r="AU46" s="38" t="inlineStr">
        <is>
          <t>IF(OR(E46="",AH46=""),"",IF(COUNT(AG46:AG46)=0,"",AH46-LOOKUP(2,1/(AG46:AG46&lt;&gt;""),AG46:AG46)))</t>
        </is>
      </c>
      <c r="AV46" s="38" t="inlineStr">
        <is>
          <t>IF(OR(E46="",AI46=""),"",IF(COUNT(AG46:AH46)=0,"",AI46-LOOKUP(2,1/(AG46:AH46&lt;&gt;""),AG46:AH46)))</t>
        </is>
      </c>
      <c r="AW46" s="38" t="inlineStr">
        <is>
          <t>IF(OR(E46="",AJ46=""),"",IF(COUNT(AG46:AI46)=0,"",AJ46-LOOKUP(2,1/(AG46:AI46&lt;&gt;""),AG46:AI46)))</t>
        </is>
      </c>
      <c r="AX46" s="38" t="inlineStr">
        <is>
          <t>IF(OR(E46="",AK46=""),"",IF(COUNT(AG46:AJ46)=0,"",AK46-LOOKUP(2,1/(AG46:AJ46&lt;&gt;""),AG46:AJ46)))</t>
        </is>
      </c>
      <c r="AY46" s="38" t="inlineStr">
        <is>
          <t>IF(OR(E46="",AL46=""),"",IF(COUNT(AG46:AK46)=0,"",AL46-LOOKUP(2,1/(AG46:AK46&lt;&gt;""),AG46:AK46)))</t>
        </is>
      </c>
      <c r="AZ46" s="38" t="inlineStr">
        <is>
          <t>IF(OR(E46="",AM46=""),"",IF(COUNT(AG46:AL46)=0,"",AM46-LOOKUP(2,1/(AG46:AL46&lt;&gt;""),AG46:AL46)))</t>
        </is>
      </c>
      <c r="BA46" s="38" t="inlineStr">
        <is>
          <t>IF(OR(E46="",AN46=""),"",IF(COUNT(AG46:AM46)=0,"",AN46-LOOKUP(2,1/(AG46:AM46&lt;&gt;""),AG46:AM46)))</t>
        </is>
      </c>
      <c r="BB46" s="38" t="inlineStr">
        <is>
          <t>IF(OR(E46="",AO46=""),"",IF(COUNT(AG46:AN46)=0,"",AO46-LOOKUP(2,1/(AG46:AN46&lt;&gt;""),AG46:AN46)))</t>
        </is>
      </c>
      <c r="BC46" s="38" t="inlineStr">
        <is>
          <t>IF(OR(E46="",AP46=""),"",IF(COUNT(AG46:AO46)=0,"",AP46-LOOKUP(2,1/(AG46:AO46&lt;&gt;""),AG46:AO46)))</t>
        </is>
      </c>
      <c r="BD46" s="38" t="inlineStr">
        <is>
          <t>IF(OR(E46="",AQ46=""),"",IF(COUNT(AG46:AP46)=0,"",AQ46-LOOKUP(2,1/(AG46:AP46&lt;&gt;""),AG46:AP46)))</t>
        </is>
      </c>
      <c r="BE46" s="38" t="inlineStr">
        <is>
          <t>IF(OR(E46="",AR46=""),"",IF(COUNT(AG46:AQ46)=0,"",AR46-LOOKUP(2,1/(AG46:AQ46&lt;&gt;""),AG46:AQ46)))</t>
        </is>
      </c>
      <c r="BF46" s="38" t="inlineStr">
        <is>
          <t>IF(OR(E46="",AS46=""),"",IF(COUNT(AG46:AR46)=0,"",AS46-LOOKUP(2,1/(AG46:AR46&lt;&gt;""),AG46:AR46)))</t>
        </is>
      </c>
      <c r="BG46" s="38" t="inlineStr">
        <is>
          <t>IF(OR(E46="",AT46=""),"",IF(COUNT(AG46:AS46)=0,"",AT46-LOOKUP(2,1/(AG46:AS46&lt;&gt;""),AG46:AS46)))</t>
        </is>
      </c>
      <c r="BH46" s="41" t="inlineStr">
        <is>
          <t>IF(G46="","All_Provinces",IFERROR(VLOOKUP(G46,'07_Lookups'!$A$4:$B$20,2,FALSE),"All_Provinces"))</t>
        </is>
      </c>
      <c r="BI46" s="41" t="inlineStr">
        <is>
          <t>IF(H46="","All_Districts",IFERROR(VLOOKUP(H46,'07_Lookups'!$E$4:$F$42,2,FALSE),"All_Districts"))</t>
        </is>
      </c>
    </row>
    <row r="47" ht="18" customHeight="1">
      <c r="A47" s="32" t="inlineStr">
        <is>
          <t>IF(E47="","",ROW()-3)</t>
        </is>
      </c>
      <c r="B47" s="42" t="n"/>
      <c r="C47" s="42" t="n"/>
      <c r="D47" s="42" t="n"/>
      <c r="E47" s="42" t="n"/>
      <c r="F47" s="42" t="n"/>
      <c r="G47" s="42" t="n"/>
      <c r="H47" s="42" t="n"/>
      <c r="I47" s="42" t="n"/>
      <c r="J47" s="42" t="n"/>
      <c r="K47" s="42" t="n"/>
      <c r="L47" s="42" t="n"/>
      <c r="M47" s="42" t="n"/>
      <c r="N47" s="42" t="n"/>
      <c r="O47" s="42" t="n"/>
      <c r="P47" s="42" t="n"/>
      <c r="Q47" s="43" t="n"/>
      <c r="R47" s="35" t="inlineStr">
        <is>
          <t>IF(AO47="","",AO47)</t>
        </is>
      </c>
      <c r="S47" s="44" t="n"/>
      <c r="T47" s="45" t="n"/>
      <c r="U47" s="44" t="n"/>
      <c r="V47" s="35" t="inlineStr">
        <is>
          <t>IF(U47&lt;&gt;"",U47,IF(OR(R47="",T47=""),"",EDATE(R47,T47)))</t>
        </is>
      </c>
      <c r="W47" s="44" t="n"/>
      <c r="X47" s="45" t="n"/>
      <c r="Y47" s="42" t="n"/>
      <c r="Z47" s="42" t="n"/>
      <c r="AA47" s="32" t="inlineStr">
        <is>
          <t>IF(E47="","",IF(COUNT(AG47:AT47)=0,IF(Y47="","Not started",Y47),SUBSTITUTE(LOOKUP(2,1/(AG47:AT47&lt;&gt;""),$AG$3:$AT$3),"Date: ","")))</t>
        </is>
      </c>
      <c r="AB47" s="38" t="inlineStr">
        <is>
          <t>IF(OR(E47="",COUNT(AG47:AT47)=0),"",TODAY()-LOOKUP(2,1/(AG47:AT47&lt;&gt;""),AG47:AT47))</t>
        </is>
      </c>
      <c r="AC47" s="38" t="inlineStr">
        <is>
          <t>IF(OR(E47="",COUNT(AG47:AT47)&lt;2),"",LOOKUP(2,1/(AG47:AT47&lt;&gt;""),AG47:AT47)-MIN(AG47:AT47))</t>
        </is>
      </c>
      <c r="AD47" s="38" t="inlineStr">
        <is>
          <t>IF(OR(AB47="",AA47="Not started",AA47=""),"",IFERROR(AB47-IF(VLOOKUP(AA47,'04_Status_Pipeline'!$B$3:$E$20,4,FALSE)="",0,VLOOKUP(AA47,'04_Status_Pipeline'!$B$3:$E$20,4,FALSE)),""))</t>
        </is>
      </c>
      <c r="AE47" s="32" t="inlineStr">
        <is>
          <t>IF(E47="","",IF(OR(Y47="Cancelled",AA47="Cancelled"),"Cancelled",IF(OR(AA47="Completed / Handover",W47&lt;&gt;"",X47&gt;=100),"Completed — on track",IF(L47="Remaining",IF(S47="",IF(V47="","No planned date",IF(TODAY()&gt;V47,"Behind — past planned date",IF(V47-TODAY()&lt;=30,"At risk — close to off track","On track"))),IF(TODAY()&gt;S47,"Behind — award date passed",IF(S47-TODAY()&lt;=30,"At risk — close to off track","On track"))),IF(V47="","No planned date",IF(AND(TODAY()&gt;V47,OR(X47="",X47&lt;100)),"Behind — past end date",IF(AND(R47&lt;&gt;"",V47&lt;&gt;"",X47&lt;&gt;"",(X47&lt;100),((TODAY()-R47)/MAX(V47-R47,1)*100)-X47&gt;15),"Behind — progress lag",IF(AND(V47-TODAY()&lt;=30,V47-TODAY()&gt;=0,OR(X47="",X47&lt;90)),"At risk — close to off track","On track"))))))))</t>
        </is>
      </c>
      <c r="AF47" s="38" t="inlineStr">
        <is>
          <t>IF(OR(E47="",AA47="Completed / Handover",AA47="Cancelled"),"",IF(L47="Remaining",IF(S47&lt;&gt;"",S47-TODAY(),IF(V47="","",V47-TODAY())),IF(V47="","",V47-TODAY())))</t>
        </is>
      </c>
      <c r="AG47" s="44" t="n"/>
      <c r="AH47" s="44" t="n"/>
      <c r="AI47" s="44" t="n"/>
      <c r="AJ47" s="44" t="n"/>
      <c r="AK47" s="44" t="n"/>
      <c r="AL47" s="44" t="n"/>
      <c r="AM47" s="44" t="n"/>
      <c r="AN47" s="44" t="n"/>
      <c r="AO47" s="44" t="n"/>
      <c r="AP47" s="44" t="n"/>
      <c r="AQ47" s="44" t="n"/>
      <c r="AR47" s="40" t="n"/>
      <c r="AS47" s="40" t="n"/>
      <c r="AT47" s="40" t="n"/>
      <c r="AU47" s="38" t="inlineStr">
        <is>
          <t>IF(OR(E47="",AH47=""),"",IF(COUNT(AG47:AG47)=0,"",AH47-LOOKUP(2,1/(AG47:AG47&lt;&gt;""),AG47:AG47)))</t>
        </is>
      </c>
      <c r="AV47" s="38" t="inlineStr">
        <is>
          <t>IF(OR(E47="",AI47=""),"",IF(COUNT(AG47:AH47)=0,"",AI47-LOOKUP(2,1/(AG47:AH47&lt;&gt;""),AG47:AH47)))</t>
        </is>
      </c>
      <c r="AW47" s="38" t="inlineStr">
        <is>
          <t>IF(OR(E47="",AJ47=""),"",IF(COUNT(AG47:AI47)=0,"",AJ47-LOOKUP(2,1/(AG47:AI47&lt;&gt;""),AG47:AI47)))</t>
        </is>
      </c>
      <c r="AX47" s="38" t="inlineStr">
        <is>
          <t>IF(OR(E47="",AK47=""),"",IF(COUNT(AG47:AJ47)=0,"",AK47-LOOKUP(2,1/(AG47:AJ47&lt;&gt;""),AG47:AJ47)))</t>
        </is>
      </c>
      <c r="AY47" s="38" t="inlineStr">
        <is>
          <t>IF(OR(E47="",AL47=""),"",IF(COUNT(AG47:AK47)=0,"",AL47-LOOKUP(2,1/(AG47:AK47&lt;&gt;""),AG47:AK47)))</t>
        </is>
      </c>
      <c r="AZ47" s="38" t="inlineStr">
        <is>
          <t>IF(OR(E47="",AM47=""),"",IF(COUNT(AG47:AL47)=0,"",AM47-LOOKUP(2,1/(AG47:AL47&lt;&gt;""),AG47:AL47)))</t>
        </is>
      </c>
      <c r="BA47" s="38" t="inlineStr">
        <is>
          <t>IF(OR(E47="",AN47=""),"",IF(COUNT(AG47:AM47)=0,"",AN47-LOOKUP(2,1/(AG47:AM47&lt;&gt;""),AG47:AM47)))</t>
        </is>
      </c>
      <c r="BB47" s="38" t="inlineStr">
        <is>
          <t>IF(OR(E47="",AO47=""),"",IF(COUNT(AG47:AN47)=0,"",AO47-LOOKUP(2,1/(AG47:AN47&lt;&gt;""),AG47:AN47)))</t>
        </is>
      </c>
      <c r="BC47" s="38" t="inlineStr">
        <is>
          <t>IF(OR(E47="",AP47=""),"",IF(COUNT(AG47:AO47)=0,"",AP47-LOOKUP(2,1/(AG47:AO47&lt;&gt;""),AG47:AO47)))</t>
        </is>
      </c>
      <c r="BD47" s="38" t="inlineStr">
        <is>
          <t>IF(OR(E47="",AQ47=""),"",IF(COUNT(AG47:AP47)=0,"",AQ47-LOOKUP(2,1/(AG47:AP47&lt;&gt;""),AG47:AP47)))</t>
        </is>
      </c>
      <c r="BE47" s="38" t="inlineStr">
        <is>
          <t>IF(OR(E47="",AR47=""),"",IF(COUNT(AG47:AQ47)=0,"",AR47-LOOKUP(2,1/(AG47:AQ47&lt;&gt;""),AG47:AQ47)))</t>
        </is>
      </c>
      <c r="BF47" s="38" t="inlineStr">
        <is>
          <t>IF(OR(E47="",AS47=""),"",IF(COUNT(AG47:AR47)=0,"",AS47-LOOKUP(2,1/(AG47:AR47&lt;&gt;""),AG47:AR47)))</t>
        </is>
      </c>
      <c r="BG47" s="38" t="inlineStr">
        <is>
          <t>IF(OR(E47="",AT47=""),"",IF(COUNT(AG47:AS47)=0,"",AT47-LOOKUP(2,1/(AG47:AS47&lt;&gt;""),AG47:AS47)))</t>
        </is>
      </c>
      <c r="BH47" s="41" t="inlineStr">
        <is>
          <t>IF(G47="","All_Provinces",IFERROR(VLOOKUP(G47,'07_Lookups'!$A$4:$B$20,2,FALSE),"All_Provinces"))</t>
        </is>
      </c>
      <c r="BI47" s="41" t="inlineStr">
        <is>
          <t>IF(H47="","All_Districts",IFERROR(VLOOKUP(H47,'07_Lookups'!$E$4:$F$42,2,FALSE),"All_Districts"))</t>
        </is>
      </c>
    </row>
    <row r="48" ht="18" customHeight="1">
      <c r="A48" s="32" t="inlineStr">
        <is>
          <t>IF(E48="","",ROW()-3)</t>
        </is>
      </c>
      <c r="B48" s="33" t="n"/>
      <c r="C48" s="33" t="n"/>
      <c r="D48" s="33" t="n"/>
      <c r="E48" s="33" t="n"/>
      <c r="F48" s="33" t="n"/>
      <c r="G48" s="33" t="n"/>
      <c r="H48" s="33" t="n"/>
      <c r="I48" s="33" t="n"/>
      <c r="J48" s="33" t="n"/>
      <c r="K48" s="33" t="n"/>
      <c r="L48" s="33" t="n"/>
      <c r="M48" s="33" t="n"/>
      <c r="N48" s="33" t="n"/>
      <c r="O48" s="33" t="n"/>
      <c r="P48" s="33" t="n"/>
      <c r="Q48" s="34" t="n"/>
      <c r="R48" s="35" t="inlineStr">
        <is>
          <t>IF(AO48="","",AO48)</t>
        </is>
      </c>
      <c r="S48" s="36" t="n"/>
      <c r="T48" s="37" t="n"/>
      <c r="U48" s="36" t="n"/>
      <c r="V48" s="35" t="inlineStr">
        <is>
          <t>IF(U48&lt;&gt;"",U48,IF(OR(R48="",T48=""),"",EDATE(R48,T48)))</t>
        </is>
      </c>
      <c r="W48" s="36" t="n"/>
      <c r="X48" s="37" t="n"/>
      <c r="Y48" s="33" t="n"/>
      <c r="Z48" s="33" t="n"/>
      <c r="AA48" s="32" t="inlineStr">
        <is>
          <t>IF(E48="","",IF(COUNT(AG48:AT48)=0,IF(Y48="","Not started",Y48),SUBSTITUTE(LOOKUP(2,1/(AG48:AT48&lt;&gt;""),$AG$3:$AT$3),"Date: ","")))</t>
        </is>
      </c>
      <c r="AB48" s="38" t="inlineStr">
        <is>
          <t>IF(OR(E48="",COUNT(AG48:AT48)=0),"",TODAY()-LOOKUP(2,1/(AG48:AT48&lt;&gt;""),AG48:AT48))</t>
        </is>
      </c>
      <c r="AC48" s="38" t="inlineStr">
        <is>
          <t>IF(OR(E48="",COUNT(AG48:AT48)&lt;2),"",LOOKUP(2,1/(AG48:AT48&lt;&gt;""),AG48:AT48)-MIN(AG48:AT48))</t>
        </is>
      </c>
      <c r="AD48" s="38" t="inlineStr">
        <is>
          <t>IF(OR(AB48="",AA48="Not started",AA48=""),"",IFERROR(AB48-IF(VLOOKUP(AA48,'04_Status_Pipeline'!$B$3:$E$20,4,FALSE)="",0,VLOOKUP(AA48,'04_Status_Pipeline'!$B$3:$E$20,4,FALSE)),""))</t>
        </is>
      </c>
      <c r="AE48" s="32" t="inlineStr">
        <is>
          <t>IF(E48="","",IF(OR(Y48="Cancelled",AA48="Cancelled"),"Cancelled",IF(OR(AA48="Completed / Handover",W48&lt;&gt;"",X48&gt;=100),"Completed — on track",IF(L48="Remaining",IF(S48="",IF(V48="","No planned date",IF(TODAY()&gt;V48,"Behind — past planned date",IF(V48-TODAY()&lt;=30,"At risk — close to off track","On track"))),IF(TODAY()&gt;S48,"Behind — award date passed",IF(S48-TODAY()&lt;=30,"At risk — close to off track","On track"))),IF(V48="","No planned date",IF(AND(TODAY()&gt;V48,OR(X48="",X48&lt;100)),"Behind — past end date",IF(AND(R48&lt;&gt;"",V48&lt;&gt;"",X48&lt;&gt;"",(X48&lt;100),((TODAY()-R48)/MAX(V48-R48,1)*100)-X48&gt;15),"Behind — progress lag",IF(AND(V48-TODAY()&lt;=30,V48-TODAY()&gt;=0,OR(X48="",X48&lt;90)),"At risk — close to off track","On track"))))))))</t>
        </is>
      </c>
      <c r="AF48" s="38" t="inlineStr">
        <is>
          <t>IF(OR(E48="",AA48="Completed / Handover",AA48="Cancelled"),"",IF(L48="Remaining",IF(S48&lt;&gt;"",S48-TODAY(),IF(V48="","",V48-TODAY())),IF(V48="","",V48-TODAY())))</t>
        </is>
      </c>
      <c r="AG48" s="36" t="n"/>
      <c r="AH48" s="36" t="n"/>
      <c r="AI48" s="36" t="n"/>
      <c r="AJ48" s="36" t="n"/>
      <c r="AK48" s="36" t="n"/>
      <c r="AL48" s="36" t="n"/>
      <c r="AM48" s="36" t="n"/>
      <c r="AN48" s="36" t="n"/>
      <c r="AO48" s="36" t="n"/>
      <c r="AP48" s="36" t="n"/>
      <c r="AQ48" s="36" t="n"/>
      <c r="AR48" s="40" t="n"/>
      <c r="AS48" s="40" t="n"/>
      <c r="AT48" s="40" t="n"/>
      <c r="AU48" s="38" t="inlineStr">
        <is>
          <t>IF(OR(E48="",AH48=""),"",IF(COUNT(AG48:AG48)=0,"",AH48-LOOKUP(2,1/(AG48:AG48&lt;&gt;""),AG48:AG48)))</t>
        </is>
      </c>
      <c r="AV48" s="38" t="inlineStr">
        <is>
          <t>IF(OR(E48="",AI48=""),"",IF(COUNT(AG48:AH48)=0,"",AI48-LOOKUP(2,1/(AG48:AH48&lt;&gt;""),AG48:AH48)))</t>
        </is>
      </c>
      <c r="AW48" s="38" t="inlineStr">
        <is>
          <t>IF(OR(E48="",AJ48=""),"",IF(COUNT(AG48:AI48)=0,"",AJ48-LOOKUP(2,1/(AG48:AI48&lt;&gt;""),AG48:AI48)))</t>
        </is>
      </c>
      <c r="AX48" s="38" t="inlineStr">
        <is>
          <t>IF(OR(E48="",AK48=""),"",IF(COUNT(AG48:AJ48)=0,"",AK48-LOOKUP(2,1/(AG48:AJ48&lt;&gt;""),AG48:AJ48)))</t>
        </is>
      </c>
      <c r="AY48" s="38" t="inlineStr">
        <is>
          <t>IF(OR(E48="",AL48=""),"",IF(COUNT(AG48:AK48)=0,"",AL48-LOOKUP(2,1/(AG48:AK48&lt;&gt;""),AG48:AK48)))</t>
        </is>
      </c>
      <c r="AZ48" s="38" t="inlineStr">
        <is>
          <t>IF(OR(E48="",AM48=""),"",IF(COUNT(AG48:AL48)=0,"",AM48-LOOKUP(2,1/(AG48:AL48&lt;&gt;""),AG48:AL48)))</t>
        </is>
      </c>
      <c r="BA48" s="38" t="inlineStr">
        <is>
          <t>IF(OR(E48="",AN48=""),"",IF(COUNT(AG48:AM48)=0,"",AN48-LOOKUP(2,1/(AG48:AM48&lt;&gt;""),AG48:AM48)))</t>
        </is>
      </c>
      <c r="BB48" s="38" t="inlineStr">
        <is>
          <t>IF(OR(E48="",AO48=""),"",IF(COUNT(AG48:AN48)=0,"",AO48-LOOKUP(2,1/(AG48:AN48&lt;&gt;""),AG48:AN48)))</t>
        </is>
      </c>
      <c r="BC48" s="38" t="inlineStr">
        <is>
          <t>IF(OR(E48="",AP48=""),"",IF(COUNT(AG48:AO48)=0,"",AP48-LOOKUP(2,1/(AG48:AO48&lt;&gt;""),AG48:AO48)))</t>
        </is>
      </c>
      <c r="BD48" s="38" t="inlineStr">
        <is>
          <t>IF(OR(E48="",AQ48=""),"",IF(COUNT(AG48:AP48)=0,"",AQ48-LOOKUP(2,1/(AG48:AP48&lt;&gt;""),AG48:AP48)))</t>
        </is>
      </c>
      <c r="BE48" s="38" t="inlineStr">
        <is>
          <t>IF(OR(E48="",AR48=""),"",IF(COUNT(AG48:AQ48)=0,"",AR48-LOOKUP(2,1/(AG48:AQ48&lt;&gt;""),AG48:AQ48)))</t>
        </is>
      </c>
      <c r="BF48" s="38" t="inlineStr">
        <is>
          <t>IF(OR(E48="",AS48=""),"",IF(COUNT(AG48:AR48)=0,"",AS48-LOOKUP(2,1/(AG48:AR48&lt;&gt;""),AG48:AR48)))</t>
        </is>
      </c>
      <c r="BG48" s="38" t="inlineStr">
        <is>
          <t>IF(OR(E48="",AT48=""),"",IF(COUNT(AG48:AS48)=0,"",AT48-LOOKUP(2,1/(AG48:AS48&lt;&gt;""),AG48:AS48)))</t>
        </is>
      </c>
      <c r="BH48" s="41" t="inlineStr">
        <is>
          <t>IF(G48="","All_Provinces",IFERROR(VLOOKUP(G48,'07_Lookups'!$A$4:$B$20,2,FALSE),"All_Provinces"))</t>
        </is>
      </c>
      <c r="BI48" s="41" t="inlineStr">
        <is>
          <t>IF(H48="","All_Districts",IFERROR(VLOOKUP(H48,'07_Lookups'!$E$4:$F$42,2,FALSE),"All_Districts"))</t>
        </is>
      </c>
    </row>
    <row r="49" ht="18" customHeight="1">
      <c r="A49" s="32" t="inlineStr">
        <is>
          <t>IF(E49="","",ROW()-3)</t>
        </is>
      </c>
      <c r="B49" s="42" t="n"/>
      <c r="C49" s="42" t="n"/>
      <c r="D49" s="42" t="n"/>
      <c r="E49" s="42" t="n"/>
      <c r="F49" s="42" t="n"/>
      <c r="G49" s="42" t="n"/>
      <c r="H49" s="42" t="n"/>
      <c r="I49" s="42" t="n"/>
      <c r="J49" s="42" t="n"/>
      <c r="K49" s="42" t="n"/>
      <c r="L49" s="42" t="n"/>
      <c r="M49" s="42" t="n"/>
      <c r="N49" s="42" t="n"/>
      <c r="O49" s="42" t="n"/>
      <c r="P49" s="42" t="n"/>
      <c r="Q49" s="43" t="n"/>
      <c r="R49" s="35" t="inlineStr">
        <is>
          <t>IF(AO49="","",AO49)</t>
        </is>
      </c>
      <c r="S49" s="44" t="n"/>
      <c r="T49" s="45" t="n"/>
      <c r="U49" s="44" t="n"/>
      <c r="V49" s="35" t="inlineStr">
        <is>
          <t>IF(U49&lt;&gt;"",U49,IF(OR(R49="",T49=""),"",EDATE(R49,T49)))</t>
        </is>
      </c>
      <c r="W49" s="44" t="n"/>
      <c r="X49" s="45" t="n"/>
      <c r="Y49" s="42" t="n"/>
      <c r="Z49" s="42" t="n"/>
      <c r="AA49" s="32" t="inlineStr">
        <is>
          <t>IF(E49="","",IF(COUNT(AG49:AT49)=0,IF(Y49="","Not started",Y49),SUBSTITUTE(LOOKUP(2,1/(AG49:AT49&lt;&gt;""),$AG$3:$AT$3),"Date: ","")))</t>
        </is>
      </c>
      <c r="AB49" s="38" t="inlineStr">
        <is>
          <t>IF(OR(E49="",COUNT(AG49:AT49)=0),"",TODAY()-LOOKUP(2,1/(AG49:AT49&lt;&gt;""),AG49:AT49))</t>
        </is>
      </c>
      <c r="AC49" s="38" t="inlineStr">
        <is>
          <t>IF(OR(E49="",COUNT(AG49:AT49)&lt;2),"",LOOKUP(2,1/(AG49:AT49&lt;&gt;""),AG49:AT49)-MIN(AG49:AT49))</t>
        </is>
      </c>
      <c r="AD49" s="38" t="inlineStr">
        <is>
          <t>IF(OR(AB49="",AA49="Not started",AA49=""),"",IFERROR(AB49-IF(VLOOKUP(AA49,'04_Status_Pipeline'!$B$3:$E$20,4,FALSE)="",0,VLOOKUP(AA49,'04_Status_Pipeline'!$B$3:$E$20,4,FALSE)),""))</t>
        </is>
      </c>
      <c r="AE49" s="32" t="inlineStr">
        <is>
          <t>IF(E49="","",IF(OR(Y49="Cancelled",AA49="Cancelled"),"Cancelled",IF(OR(AA49="Completed / Handover",W49&lt;&gt;"",X49&gt;=100),"Completed — on track",IF(L49="Remaining",IF(S49="",IF(V49="","No planned date",IF(TODAY()&gt;V49,"Behind — past planned date",IF(V49-TODAY()&lt;=30,"At risk — close to off track","On track"))),IF(TODAY()&gt;S49,"Behind — award date passed",IF(S49-TODAY()&lt;=30,"At risk — close to off track","On track"))),IF(V49="","No planned date",IF(AND(TODAY()&gt;V49,OR(X49="",X49&lt;100)),"Behind — past end date",IF(AND(R49&lt;&gt;"",V49&lt;&gt;"",X49&lt;&gt;"",(X49&lt;100),((TODAY()-R49)/MAX(V49-R49,1)*100)-X49&gt;15),"Behind — progress lag",IF(AND(V49-TODAY()&lt;=30,V49-TODAY()&gt;=0,OR(X49="",X49&lt;90)),"At risk — close to off track","On track"))))))))</t>
        </is>
      </c>
      <c r="AF49" s="38" t="inlineStr">
        <is>
          <t>IF(OR(E49="",AA49="Completed / Handover",AA49="Cancelled"),"",IF(L49="Remaining",IF(S49&lt;&gt;"",S49-TODAY(),IF(V49="","",V49-TODAY())),IF(V49="","",V49-TODAY())))</t>
        </is>
      </c>
      <c r="AG49" s="44" t="n"/>
      <c r="AH49" s="44" t="n"/>
      <c r="AI49" s="44" t="n"/>
      <c r="AJ49" s="44" t="n"/>
      <c r="AK49" s="44" t="n"/>
      <c r="AL49" s="44" t="n"/>
      <c r="AM49" s="44" t="n"/>
      <c r="AN49" s="44" t="n"/>
      <c r="AO49" s="44" t="n"/>
      <c r="AP49" s="44" t="n"/>
      <c r="AQ49" s="44" t="n"/>
      <c r="AR49" s="40" t="n"/>
      <c r="AS49" s="40" t="n"/>
      <c r="AT49" s="40" t="n"/>
      <c r="AU49" s="38" t="inlineStr">
        <is>
          <t>IF(OR(E49="",AH49=""),"",IF(COUNT(AG49:AG49)=0,"",AH49-LOOKUP(2,1/(AG49:AG49&lt;&gt;""),AG49:AG49)))</t>
        </is>
      </c>
      <c r="AV49" s="38" t="inlineStr">
        <is>
          <t>IF(OR(E49="",AI49=""),"",IF(COUNT(AG49:AH49)=0,"",AI49-LOOKUP(2,1/(AG49:AH49&lt;&gt;""),AG49:AH49)))</t>
        </is>
      </c>
      <c r="AW49" s="38" t="inlineStr">
        <is>
          <t>IF(OR(E49="",AJ49=""),"",IF(COUNT(AG49:AI49)=0,"",AJ49-LOOKUP(2,1/(AG49:AI49&lt;&gt;""),AG49:AI49)))</t>
        </is>
      </c>
      <c r="AX49" s="38" t="inlineStr">
        <is>
          <t>IF(OR(E49="",AK49=""),"",IF(COUNT(AG49:AJ49)=0,"",AK49-LOOKUP(2,1/(AG49:AJ49&lt;&gt;""),AG49:AJ49)))</t>
        </is>
      </c>
      <c r="AY49" s="38" t="inlineStr">
        <is>
          <t>IF(OR(E49="",AL49=""),"",IF(COUNT(AG49:AK49)=0,"",AL49-LOOKUP(2,1/(AG49:AK49&lt;&gt;""),AG49:AK49)))</t>
        </is>
      </c>
      <c r="AZ49" s="38" t="inlineStr">
        <is>
          <t>IF(OR(E49="",AM49=""),"",IF(COUNT(AG49:AL49)=0,"",AM49-LOOKUP(2,1/(AG49:AL49&lt;&gt;""),AG49:AL49)))</t>
        </is>
      </c>
      <c r="BA49" s="38" t="inlineStr">
        <is>
          <t>IF(OR(E49="",AN49=""),"",IF(COUNT(AG49:AM49)=0,"",AN49-LOOKUP(2,1/(AG49:AM49&lt;&gt;""),AG49:AM49)))</t>
        </is>
      </c>
      <c r="BB49" s="38" t="inlineStr">
        <is>
          <t>IF(OR(E49="",AO49=""),"",IF(COUNT(AG49:AN49)=0,"",AO49-LOOKUP(2,1/(AG49:AN49&lt;&gt;""),AG49:AN49)))</t>
        </is>
      </c>
      <c r="BC49" s="38" t="inlineStr">
        <is>
          <t>IF(OR(E49="",AP49=""),"",IF(COUNT(AG49:AO49)=0,"",AP49-LOOKUP(2,1/(AG49:AO49&lt;&gt;""),AG49:AO49)))</t>
        </is>
      </c>
      <c r="BD49" s="38" t="inlineStr">
        <is>
          <t>IF(OR(E49="",AQ49=""),"",IF(COUNT(AG49:AP49)=0,"",AQ49-LOOKUP(2,1/(AG49:AP49&lt;&gt;""),AG49:AP49)))</t>
        </is>
      </c>
      <c r="BE49" s="38" t="inlineStr">
        <is>
          <t>IF(OR(E49="",AR49=""),"",IF(COUNT(AG49:AQ49)=0,"",AR49-LOOKUP(2,1/(AG49:AQ49&lt;&gt;""),AG49:AQ49)))</t>
        </is>
      </c>
      <c r="BF49" s="38" t="inlineStr">
        <is>
          <t>IF(OR(E49="",AS49=""),"",IF(COUNT(AG49:AR49)=0,"",AS49-LOOKUP(2,1/(AG49:AR49&lt;&gt;""),AG49:AR49)))</t>
        </is>
      </c>
      <c r="BG49" s="38" t="inlineStr">
        <is>
          <t>IF(OR(E49="",AT49=""),"",IF(COUNT(AG49:AS49)=0,"",AT49-LOOKUP(2,1/(AG49:AS49&lt;&gt;""),AG49:AS49)))</t>
        </is>
      </c>
      <c r="BH49" s="41" t="inlineStr">
        <is>
          <t>IF(G49="","All_Provinces",IFERROR(VLOOKUP(G49,'07_Lookups'!$A$4:$B$20,2,FALSE),"All_Provinces"))</t>
        </is>
      </c>
      <c r="BI49" s="41" t="inlineStr">
        <is>
          <t>IF(H49="","All_Districts",IFERROR(VLOOKUP(H49,'07_Lookups'!$E$4:$F$42,2,FALSE),"All_Districts"))</t>
        </is>
      </c>
    </row>
    <row r="50" ht="18" customHeight="1">
      <c r="A50" s="32" t="inlineStr">
        <is>
          <t>IF(E50="","",ROW()-3)</t>
        </is>
      </c>
      <c r="B50" s="33" t="n"/>
      <c r="C50" s="33" t="n"/>
      <c r="D50" s="33" t="n"/>
      <c r="E50" s="33" t="n"/>
      <c r="F50" s="33" t="n"/>
      <c r="G50" s="33" t="n"/>
      <c r="H50" s="33" t="n"/>
      <c r="I50" s="33" t="n"/>
      <c r="J50" s="33" t="n"/>
      <c r="K50" s="33" t="n"/>
      <c r="L50" s="33" t="n"/>
      <c r="M50" s="33" t="n"/>
      <c r="N50" s="33" t="n"/>
      <c r="O50" s="33" t="n"/>
      <c r="P50" s="33" t="n"/>
      <c r="Q50" s="34" t="n"/>
      <c r="R50" s="35" t="inlineStr">
        <is>
          <t>IF(AO50="","",AO50)</t>
        </is>
      </c>
      <c r="S50" s="36" t="n"/>
      <c r="T50" s="37" t="n"/>
      <c r="U50" s="36" t="n"/>
      <c r="V50" s="35" t="inlineStr">
        <is>
          <t>IF(U50&lt;&gt;"",U50,IF(OR(R50="",T50=""),"",EDATE(R50,T50)))</t>
        </is>
      </c>
      <c r="W50" s="36" t="n"/>
      <c r="X50" s="37" t="n"/>
      <c r="Y50" s="33" t="n"/>
      <c r="Z50" s="33" t="n"/>
      <c r="AA50" s="32" t="inlineStr">
        <is>
          <t>IF(E50="","",IF(COUNT(AG50:AT50)=0,IF(Y50="","Not started",Y50),SUBSTITUTE(LOOKUP(2,1/(AG50:AT50&lt;&gt;""),$AG$3:$AT$3),"Date: ","")))</t>
        </is>
      </c>
      <c r="AB50" s="38" t="inlineStr">
        <is>
          <t>IF(OR(E50="",COUNT(AG50:AT50)=0),"",TODAY()-LOOKUP(2,1/(AG50:AT50&lt;&gt;""),AG50:AT50))</t>
        </is>
      </c>
      <c r="AC50" s="38" t="inlineStr">
        <is>
          <t>IF(OR(E50="",COUNT(AG50:AT50)&lt;2),"",LOOKUP(2,1/(AG50:AT50&lt;&gt;""),AG50:AT50)-MIN(AG50:AT50))</t>
        </is>
      </c>
      <c r="AD50" s="38" t="inlineStr">
        <is>
          <t>IF(OR(AB50="",AA50="Not started",AA50=""),"",IFERROR(AB50-IF(VLOOKUP(AA50,'04_Status_Pipeline'!$B$3:$E$20,4,FALSE)="",0,VLOOKUP(AA50,'04_Status_Pipeline'!$B$3:$E$20,4,FALSE)),""))</t>
        </is>
      </c>
      <c r="AE50" s="32" t="inlineStr">
        <is>
          <t>IF(E50="","",IF(OR(Y50="Cancelled",AA50="Cancelled"),"Cancelled",IF(OR(AA50="Completed / Handover",W50&lt;&gt;"",X50&gt;=100),"Completed — on track",IF(L50="Remaining",IF(S50="",IF(V50="","No planned date",IF(TODAY()&gt;V50,"Behind — past planned date",IF(V50-TODAY()&lt;=30,"At risk — close to off track","On track"))),IF(TODAY()&gt;S50,"Behind — award date passed",IF(S50-TODAY()&lt;=30,"At risk — close to off track","On track"))),IF(V50="","No planned date",IF(AND(TODAY()&gt;V50,OR(X50="",X50&lt;100)),"Behind — past end date",IF(AND(R50&lt;&gt;"",V50&lt;&gt;"",X50&lt;&gt;"",(X50&lt;100),((TODAY()-R50)/MAX(V50-R50,1)*100)-X50&gt;15),"Behind — progress lag",IF(AND(V50-TODAY()&lt;=30,V50-TODAY()&gt;=0,OR(X50="",X50&lt;90)),"At risk — close to off track","On track"))))))))</t>
        </is>
      </c>
      <c r="AF50" s="38" t="inlineStr">
        <is>
          <t>IF(OR(E50="",AA50="Completed / Handover",AA50="Cancelled"),"",IF(L50="Remaining",IF(S50&lt;&gt;"",S50-TODAY(),IF(V50="","",V50-TODAY())),IF(V50="","",V50-TODAY())))</t>
        </is>
      </c>
      <c r="AG50" s="36" t="n"/>
      <c r="AH50" s="36" t="n"/>
      <c r="AI50" s="36" t="n"/>
      <c r="AJ50" s="36" t="n"/>
      <c r="AK50" s="36" t="n"/>
      <c r="AL50" s="36" t="n"/>
      <c r="AM50" s="36" t="n"/>
      <c r="AN50" s="36" t="n"/>
      <c r="AO50" s="36" t="n"/>
      <c r="AP50" s="36" t="n"/>
      <c r="AQ50" s="36" t="n"/>
      <c r="AR50" s="40" t="n"/>
      <c r="AS50" s="40" t="n"/>
      <c r="AT50" s="40" t="n"/>
      <c r="AU50" s="38" t="inlineStr">
        <is>
          <t>IF(OR(E50="",AH50=""),"",IF(COUNT(AG50:AG50)=0,"",AH50-LOOKUP(2,1/(AG50:AG50&lt;&gt;""),AG50:AG50)))</t>
        </is>
      </c>
      <c r="AV50" s="38" t="inlineStr">
        <is>
          <t>IF(OR(E50="",AI50=""),"",IF(COUNT(AG50:AH50)=0,"",AI50-LOOKUP(2,1/(AG50:AH50&lt;&gt;""),AG50:AH50)))</t>
        </is>
      </c>
      <c r="AW50" s="38" t="inlineStr">
        <is>
          <t>IF(OR(E50="",AJ50=""),"",IF(COUNT(AG50:AI50)=0,"",AJ50-LOOKUP(2,1/(AG50:AI50&lt;&gt;""),AG50:AI50)))</t>
        </is>
      </c>
      <c r="AX50" s="38" t="inlineStr">
        <is>
          <t>IF(OR(E50="",AK50=""),"",IF(COUNT(AG50:AJ50)=0,"",AK50-LOOKUP(2,1/(AG50:AJ50&lt;&gt;""),AG50:AJ50)))</t>
        </is>
      </c>
      <c r="AY50" s="38" t="inlineStr">
        <is>
          <t>IF(OR(E50="",AL50=""),"",IF(COUNT(AG50:AK50)=0,"",AL50-LOOKUP(2,1/(AG50:AK50&lt;&gt;""),AG50:AK50)))</t>
        </is>
      </c>
      <c r="AZ50" s="38" t="inlineStr">
        <is>
          <t>IF(OR(E50="",AM50=""),"",IF(COUNT(AG50:AL50)=0,"",AM50-LOOKUP(2,1/(AG50:AL50&lt;&gt;""),AG50:AL50)))</t>
        </is>
      </c>
      <c r="BA50" s="38" t="inlineStr">
        <is>
          <t>IF(OR(E50="",AN50=""),"",IF(COUNT(AG50:AM50)=0,"",AN50-LOOKUP(2,1/(AG50:AM50&lt;&gt;""),AG50:AM50)))</t>
        </is>
      </c>
      <c r="BB50" s="38" t="inlineStr">
        <is>
          <t>IF(OR(E50="",AO50=""),"",IF(COUNT(AG50:AN50)=0,"",AO50-LOOKUP(2,1/(AG50:AN50&lt;&gt;""),AG50:AN50)))</t>
        </is>
      </c>
      <c r="BC50" s="38" t="inlineStr">
        <is>
          <t>IF(OR(E50="",AP50=""),"",IF(COUNT(AG50:AO50)=0,"",AP50-LOOKUP(2,1/(AG50:AO50&lt;&gt;""),AG50:AO50)))</t>
        </is>
      </c>
      <c r="BD50" s="38" t="inlineStr">
        <is>
          <t>IF(OR(E50="",AQ50=""),"",IF(COUNT(AG50:AP50)=0,"",AQ50-LOOKUP(2,1/(AG50:AP50&lt;&gt;""),AG50:AP50)))</t>
        </is>
      </c>
      <c r="BE50" s="38" t="inlineStr">
        <is>
          <t>IF(OR(E50="",AR50=""),"",IF(COUNT(AG50:AQ50)=0,"",AR50-LOOKUP(2,1/(AG50:AQ50&lt;&gt;""),AG50:AQ50)))</t>
        </is>
      </c>
      <c r="BF50" s="38" t="inlineStr">
        <is>
          <t>IF(OR(E50="",AS50=""),"",IF(COUNT(AG50:AR50)=0,"",AS50-LOOKUP(2,1/(AG50:AR50&lt;&gt;""),AG50:AR50)))</t>
        </is>
      </c>
      <c r="BG50" s="38" t="inlineStr">
        <is>
          <t>IF(OR(E50="",AT50=""),"",IF(COUNT(AG50:AS50)=0,"",AT50-LOOKUP(2,1/(AG50:AS50&lt;&gt;""),AG50:AS50)))</t>
        </is>
      </c>
      <c r="BH50" s="41" t="inlineStr">
        <is>
          <t>IF(G50="","All_Provinces",IFERROR(VLOOKUP(G50,'07_Lookups'!$A$4:$B$20,2,FALSE),"All_Provinces"))</t>
        </is>
      </c>
      <c r="BI50" s="41" t="inlineStr">
        <is>
          <t>IF(H50="","All_Districts",IFERROR(VLOOKUP(H50,'07_Lookups'!$E$4:$F$42,2,FALSE),"All_Districts"))</t>
        </is>
      </c>
    </row>
    <row r="51" ht="18" customHeight="1">
      <c r="A51" s="32" t="inlineStr">
        <is>
          <t>IF(E51="","",ROW()-3)</t>
        </is>
      </c>
      <c r="B51" s="42" t="n"/>
      <c r="C51" s="42" t="n"/>
      <c r="D51" s="42" t="n"/>
      <c r="E51" s="42" t="n"/>
      <c r="F51" s="42" t="n"/>
      <c r="G51" s="42" t="n"/>
      <c r="H51" s="42" t="n"/>
      <c r="I51" s="42" t="n"/>
      <c r="J51" s="42" t="n"/>
      <c r="K51" s="42" t="n"/>
      <c r="L51" s="42" t="n"/>
      <c r="M51" s="42" t="n"/>
      <c r="N51" s="42" t="n"/>
      <c r="O51" s="42" t="n"/>
      <c r="P51" s="42" t="n"/>
      <c r="Q51" s="43" t="n"/>
      <c r="R51" s="35" t="inlineStr">
        <is>
          <t>IF(AO51="","",AO51)</t>
        </is>
      </c>
      <c r="S51" s="44" t="n"/>
      <c r="T51" s="45" t="n"/>
      <c r="U51" s="44" t="n"/>
      <c r="V51" s="35" t="inlineStr">
        <is>
          <t>IF(U51&lt;&gt;"",U51,IF(OR(R51="",T51=""),"",EDATE(R51,T51)))</t>
        </is>
      </c>
      <c r="W51" s="44" t="n"/>
      <c r="X51" s="45" t="n"/>
      <c r="Y51" s="42" t="n"/>
      <c r="Z51" s="42" t="n"/>
      <c r="AA51" s="32" t="inlineStr">
        <is>
          <t>IF(E51="","",IF(COUNT(AG51:AT51)=0,IF(Y51="","Not started",Y51),SUBSTITUTE(LOOKUP(2,1/(AG51:AT51&lt;&gt;""),$AG$3:$AT$3),"Date: ","")))</t>
        </is>
      </c>
      <c r="AB51" s="38" t="inlineStr">
        <is>
          <t>IF(OR(E51="",COUNT(AG51:AT51)=0),"",TODAY()-LOOKUP(2,1/(AG51:AT51&lt;&gt;""),AG51:AT51))</t>
        </is>
      </c>
      <c r="AC51" s="38" t="inlineStr">
        <is>
          <t>IF(OR(E51="",COUNT(AG51:AT51)&lt;2),"",LOOKUP(2,1/(AG51:AT51&lt;&gt;""),AG51:AT51)-MIN(AG51:AT51))</t>
        </is>
      </c>
      <c r="AD51" s="38" t="inlineStr">
        <is>
          <t>IF(OR(AB51="",AA51="Not started",AA51=""),"",IFERROR(AB51-IF(VLOOKUP(AA51,'04_Status_Pipeline'!$B$3:$E$20,4,FALSE)="",0,VLOOKUP(AA51,'04_Status_Pipeline'!$B$3:$E$20,4,FALSE)),""))</t>
        </is>
      </c>
      <c r="AE51" s="32" t="inlineStr">
        <is>
          <t>IF(E51="","",IF(OR(Y51="Cancelled",AA51="Cancelled"),"Cancelled",IF(OR(AA51="Completed / Handover",W51&lt;&gt;"",X51&gt;=100),"Completed — on track",IF(L51="Remaining",IF(S51="",IF(V51="","No planned date",IF(TODAY()&gt;V51,"Behind — past planned date",IF(V51-TODAY()&lt;=30,"At risk — close to off track","On track"))),IF(TODAY()&gt;S51,"Behind — award date passed",IF(S51-TODAY()&lt;=30,"At risk — close to off track","On track"))),IF(V51="","No planned date",IF(AND(TODAY()&gt;V51,OR(X51="",X51&lt;100)),"Behind — past end date",IF(AND(R51&lt;&gt;"",V51&lt;&gt;"",X51&lt;&gt;"",(X51&lt;100),((TODAY()-R51)/MAX(V51-R51,1)*100)-X51&gt;15),"Behind — progress lag",IF(AND(V51-TODAY()&lt;=30,V51-TODAY()&gt;=0,OR(X51="",X51&lt;90)),"At risk — close to off track","On track"))))))))</t>
        </is>
      </c>
      <c r="AF51" s="38" t="inlineStr">
        <is>
          <t>IF(OR(E51="",AA51="Completed / Handover",AA51="Cancelled"),"",IF(L51="Remaining",IF(S51&lt;&gt;"",S51-TODAY(),IF(V51="","",V51-TODAY())),IF(V51="","",V51-TODAY())))</t>
        </is>
      </c>
      <c r="AG51" s="44" t="n"/>
      <c r="AH51" s="44" t="n"/>
      <c r="AI51" s="44" t="n"/>
      <c r="AJ51" s="44" t="n"/>
      <c r="AK51" s="44" t="n"/>
      <c r="AL51" s="44" t="n"/>
      <c r="AM51" s="44" t="n"/>
      <c r="AN51" s="44" t="n"/>
      <c r="AO51" s="44" t="n"/>
      <c r="AP51" s="44" t="n"/>
      <c r="AQ51" s="44" t="n"/>
      <c r="AR51" s="40" t="n"/>
      <c r="AS51" s="40" t="n"/>
      <c r="AT51" s="40" t="n"/>
      <c r="AU51" s="38" t="inlineStr">
        <is>
          <t>IF(OR(E51="",AH51=""),"",IF(COUNT(AG51:AG51)=0,"",AH51-LOOKUP(2,1/(AG51:AG51&lt;&gt;""),AG51:AG51)))</t>
        </is>
      </c>
      <c r="AV51" s="38" t="inlineStr">
        <is>
          <t>IF(OR(E51="",AI51=""),"",IF(COUNT(AG51:AH51)=0,"",AI51-LOOKUP(2,1/(AG51:AH51&lt;&gt;""),AG51:AH51)))</t>
        </is>
      </c>
      <c r="AW51" s="38" t="inlineStr">
        <is>
          <t>IF(OR(E51="",AJ51=""),"",IF(COUNT(AG51:AI51)=0,"",AJ51-LOOKUP(2,1/(AG51:AI51&lt;&gt;""),AG51:AI51)))</t>
        </is>
      </c>
      <c r="AX51" s="38" t="inlineStr">
        <is>
          <t>IF(OR(E51="",AK51=""),"",IF(COUNT(AG51:AJ51)=0,"",AK51-LOOKUP(2,1/(AG51:AJ51&lt;&gt;""),AG51:AJ51)))</t>
        </is>
      </c>
      <c r="AY51" s="38" t="inlineStr">
        <is>
          <t>IF(OR(E51="",AL51=""),"",IF(COUNT(AG51:AK51)=0,"",AL51-LOOKUP(2,1/(AG51:AK51&lt;&gt;""),AG51:AK51)))</t>
        </is>
      </c>
      <c r="AZ51" s="38" t="inlineStr">
        <is>
          <t>IF(OR(E51="",AM51=""),"",IF(COUNT(AG51:AL51)=0,"",AM51-LOOKUP(2,1/(AG51:AL51&lt;&gt;""),AG51:AL51)))</t>
        </is>
      </c>
      <c r="BA51" s="38" t="inlineStr">
        <is>
          <t>IF(OR(E51="",AN51=""),"",IF(COUNT(AG51:AM51)=0,"",AN51-LOOKUP(2,1/(AG51:AM51&lt;&gt;""),AG51:AM51)))</t>
        </is>
      </c>
      <c r="BB51" s="38" t="inlineStr">
        <is>
          <t>IF(OR(E51="",AO51=""),"",IF(COUNT(AG51:AN51)=0,"",AO51-LOOKUP(2,1/(AG51:AN51&lt;&gt;""),AG51:AN51)))</t>
        </is>
      </c>
      <c r="BC51" s="38" t="inlineStr">
        <is>
          <t>IF(OR(E51="",AP51=""),"",IF(COUNT(AG51:AO51)=0,"",AP51-LOOKUP(2,1/(AG51:AO51&lt;&gt;""),AG51:AO51)))</t>
        </is>
      </c>
      <c r="BD51" s="38" t="inlineStr">
        <is>
          <t>IF(OR(E51="",AQ51=""),"",IF(COUNT(AG51:AP51)=0,"",AQ51-LOOKUP(2,1/(AG51:AP51&lt;&gt;""),AG51:AP51)))</t>
        </is>
      </c>
      <c r="BE51" s="38" t="inlineStr">
        <is>
          <t>IF(OR(E51="",AR51=""),"",IF(COUNT(AG51:AQ51)=0,"",AR51-LOOKUP(2,1/(AG51:AQ51&lt;&gt;""),AG51:AQ51)))</t>
        </is>
      </c>
      <c r="BF51" s="38" t="inlineStr">
        <is>
          <t>IF(OR(E51="",AS51=""),"",IF(COUNT(AG51:AR51)=0,"",AS51-LOOKUP(2,1/(AG51:AR51&lt;&gt;""),AG51:AR51)))</t>
        </is>
      </c>
      <c r="BG51" s="38" t="inlineStr">
        <is>
          <t>IF(OR(E51="",AT51=""),"",IF(COUNT(AG51:AS51)=0,"",AT51-LOOKUP(2,1/(AG51:AS51&lt;&gt;""),AG51:AS51)))</t>
        </is>
      </c>
      <c r="BH51" s="41" t="inlineStr">
        <is>
          <t>IF(G51="","All_Provinces",IFERROR(VLOOKUP(G51,'07_Lookups'!$A$4:$B$20,2,FALSE),"All_Provinces"))</t>
        </is>
      </c>
      <c r="BI51" s="41" t="inlineStr">
        <is>
          <t>IF(H51="","All_Districts",IFERROR(VLOOKUP(H51,'07_Lookups'!$E$4:$F$42,2,FALSE),"All_Districts"))</t>
        </is>
      </c>
    </row>
    <row r="52" ht="18" customHeight="1">
      <c r="A52" s="32" t="inlineStr">
        <is>
          <t>IF(E52="","",ROW()-3)</t>
        </is>
      </c>
      <c r="B52" s="33" t="n"/>
      <c r="C52" s="33" t="n"/>
      <c r="D52" s="33" t="n"/>
      <c r="E52" s="33" t="n"/>
      <c r="F52" s="33" t="n"/>
      <c r="G52" s="33" t="n"/>
      <c r="H52" s="33" t="n"/>
      <c r="I52" s="33" t="n"/>
      <c r="J52" s="33" t="n"/>
      <c r="K52" s="33" t="n"/>
      <c r="L52" s="33" t="n"/>
      <c r="M52" s="33" t="n"/>
      <c r="N52" s="33" t="n"/>
      <c r="O52" s="33" t="n"/>
      <c r="P52" s="33" t="n"/>
      <c r="Q52" s="34" t="n"/>
      <c r="R52" s="35" t="inlineStr">
        <is>
          <t>IF(AO52="","",AO52)</t>
        </is>
      </c>
      <c r="S52" s="36" t="n"/>
      <c r="T52" s="37" t="n"/>
      <c r="U52" s="36" t="n"/>
      <c r="V52" s="35" t="inlineStr">
        <is>
          <t>IF(U52&lt;&gt;"",U52,IF(OR(R52="",T52=""),"",EDATE(R52,T52)))</t>
        </is>
      </c>
      <c r="W52" s="36" t="n"/>
      <c r="X52" s="37" t="n"/>
      <c r="Y52" s="33" t="n"/>
      <c r="Z52" s="33" t="n"/>
      <c r="AA52" s="32" t="inlineStr">
        <is>
          <t>IF(E52="","",IF(COUNT(AG52:AT52)=0,IF(Y52="","Not started",Y52),SUBSTITUTE(LOOKUP(2,1/(AG52:AT52&lt;&gt;""),$AG$3:$AT$3),"Date: ","")))</t>
        </is>
      </c>
      <c r="AB52" s="38" t="inlineStr">
        <is>
          <t>IF(OR(E52="",COUNT(AG52:AT52)=0),"",TODAY()-LOOKUP(2,1/(AG52:AT52&lt;&gt;""),AG52:AT52))</t>
        </is>
      </c>
      <c r="AC52" s="38" t="inlineStr">
        <is>
          <t>IF(OR(E52="",COUNT(AG52:AT52)&lt;2),"",LOOKUP(2,1/(AG52:AT52&lt;&gt;""),AG52:AT52)-MIN(AG52:AT52))</t>
        </is>
      </c>
      <c r="AD52" s="38" t="inlineStr">
        <is>
          <t>IF(OR(AB52="",AA52="Not started",AA52=""),"",IFERROR(AB52-IF(VLOOKUP(AA52,'04_Status_Pipeline'!$B$3:$E$20,4,FALSE)="",0,VLOOKUP(AA52,'04_Status_Pipeline'!$B$3:$E$20,4,FALSE)),""))</t>
        </is>
      </c>
      <c r="AE52" s="32" t="inlineStr">
        <is>
          <t>IF(E52="","",IF(OR(Y52="Cancelled",AA52="Cancelled"),"Cancelled",IF(OR(AA52="Completed / Handover",W52&lt;&gt;"",X52&gt;=100),"Completed — on track",IF(L52="Remaining",IF(S52="",IF(V52="","No planned date",IF(TODAY()&gt;V52,"Behind — past planned date",IF(V52-TODAY()&lt;=30,"At risk — close to off track","On track"))),IF(TODAY()&gt;S52,"Behind — award date passed",IF(S52-TODAY()&lt;=30,"At risk — close to off track","On track"))),IF(V52="","No planned date",IF(AND(TODAY()&gt;V52,OR(X52="",X52&lt;100)),"Behind — past end date",IF(AND(R52&lt;&gt;"",V52&lt;&gt;"",X52&lt;&gt;"",(X52&lt;100),((TODAY()-R52)/MAX(V52-R52,1)*100)-X52&gt;15),"Behind — progress lag",IF(AND(V52-TODAY()&lt;=30,V52-TODAY()&gt;=0,OR(X52="",X52&lt;90)),"At risk — close to off track","On track"))))))))</t>
        </is>
      </c>
      <c r="AF52" s="38" t="inlineStr">
        <is>
          <t>IF(OR(E52="",AA52="Completed / Handover",AA52="Cancelled"),"",IF(L52="Remaining",IF(S52&lt;&gt;"",S52-TODAY(),IF(V52="","",V52-TODAY())),IF(V52="","",V52-TODAY())))</t>
        </is>
      </c>
      <c r="AG52" s="36" t="n"/>
      <c r="AH52" s="36" t="n"/>
      <c r="AI52" s="36" t="n"/>
      <c r="AJ52" s="36" t="n"/>
      <c r="AK52" s="36" t="n"/>
      <c r="AL52" s="36" t="n"/>
      <c r="AM52" s="36" t="n"/>
      <c r="AN52" s="36" t="n"/>
      <c r="AO52" s="36" t="n"/>
      <c r="AP52" s="36" t="n"/>
      <c r="AQ52" s="36" t="n"/>
      <c r="AR52" s="40" t="n"/>
      <c r="AS52" s="40" t="n"/>
      <c r="AT52" s="40" t="n"/>
      <c r="AU52" s="38" t="inlineStr">
        <is>
          <t>IF(OR(E52="",AH52=""),"",IF(COUNT(AG52:AG52)=0,"",AH52-LOOKUP(2,1/(AG52:AG52&lt;&gt;""),AG52:AG52)))</t>
        </is>
      </c>
      <c r="AV52" s="38" t="inlineStr">
        <is>
          <t>IF(OR(E52="",AI52=""),"",IF(COUNT(AG52:AH52)=0,"",AI52-LOOKUP(2,1/(AG52:AH52&lt;&gt;""),AG52:AH52)))</t>
        </is>
      </c>
      <c r="AW52" s="38" t="inlineStr">
        <is>
          <t>IF(OR(E52="",AJ52=""),"",IF(COUNT(AG52:AI52)=0,"",AJ52-LOOKUP(2,1/(AG52:AI52&lt;&gt;""),AG52:AI52)))</t>
        </is>
      </c>
      <c r="AX52" s="38" t="inlineStr">
        <is>
          <t>IF(OR(E52="",AK52=""),"",IF(COUNT(AG52:AJ52)=0,"",AK52-LOOKUP(2,1/(AG52:AJ52&lt;&gt;""),AG52:AJ52)))</t>
        </is>
      </c>
      <c r="AY52" s="38" t="inlineStr">
        <is>
          <t>IF(OR(E52="",AL52=""),"",IF(COUNT(AG52:AK52)=0,"",AL52-LOOKUP(2,1/(AG52:AK52&lt;&gt;""),AG52:AK52)))</t>
        </is>
      </c>
      <c r="AZ52" s="38" t="inlineStr">
        <is>
          <t>IF(OR(E52="",AM52=""),"",IF(COUNT(AG52:AL52)=0,"",AM52-LOOKUP(2,1/(AG52:AL52&lt;&gt;""),AG52:AL52)))</t>
        </is>
      </c>
      <c r="BA52" s="38" t="inlineStr">
        <is>
          <t>IF(OR(E52="",AN52=""),"",IF(COUNT(AG52:AM52)=0,"",AN52-LOOKUP(2,1/(AG52:AM52&lt;&gt;""),AG52:AM52)))</t>
        </is>
      </c>
      <c r="BB52" s="38" t="inlineStr">
        <is>
          <t>IF(OR(E52="",AO52=""),"",IF(COUNT(AG52:AN52)=0,"",AO52-LOOKUP(2,1/(AG52:AN52&lt;&gt;""),AG52:AN52)))</t>
        </is>
      </c>
      <c r="BC52" s="38" t="inlineStr">
        <is>
          <t>IF(OR(E52="",AP52=""),"",IF(COUNT(AG52:AO52)=0,"",AP52-LOOKUP(2,1/(AG52:AO52&lt;&gt;""),AG52:AO52)))</t>
        </is>
      </c>
      <c r="BD52" s="38" t="inlineStr">
        <is>
          <t>IF(OR(E52="",AQ52=""),"",IF(COUNT(AG52:AP52)=0,"",AQ52-LOOKUP(2,1/(AG52:AP52&lt;&gt;""),AG52:AP52)))</t>
        </is>
      </c>
      <c r="BE52" s="38" t="inlineStr">
        <is>
          <t>IF(OR(E52="",AR52=""),"",IF(COUNT(AG52:AQ52)=0,"",AR52-LOOKUP(2,1/(AG52:AQ52&lt;&gt;""),AG52:AQ52)))</t>
        </is>
      </c>
      <c r="BF52" s="38" t="inlineStr">
        <is>
          <t>IF(OR(E52="",AS52=""),"",IF(COUNT(AG52:AR52)=0,"",AS52-LOOKUP(2,1/(AG52:AR52&lt;&gt;""),AG52:AR52)))</t>
        </is>
      </c>
      <c r="BG52" s="38" t="inlineStr">
        <is>
          <t>IF(OR(E52="",AT52=""),"",IF(COUNT(AG52:AS52)=0,"",AT52-LOOKUP(2,1/(AG52:AS52&lt;&gt;""),AG52:AS52)))</t>
        </is>
      </c>
      <c r="BH52" s="41" t="inlineStr">
        <is>
          <t>IF(G52="","All_Provinces",IFERROR(VLOOKUP(G52,'07_Lookups'!$A$4:$B$20,2,FALSE),"All_Provinces"))</t>
        </is>
      </c>
      <c r="BI52" s="41" t="inlineStr">
        <is>
          <t>IF(H52="","All_Districts",IFERROR(VLOOKUP(H52,'07_Lookups'!$E$4:$F$42,2,FALSE),"All_Districts"))</t>
        </is>
      </c>
    </row>
    <row r="53" ht="18" customHeight="1">
      <c r="A53" s="32" t="inlineStr">
        <is>
          <t>IF(E53="","",ROW()-3)</t>
        </is>
      </c>
      <c r="B53" s="42" t="n"/>
      <c r="C53" s="42" t="n"/>
      <c r="D53" s="42" t="n"/>
      <c r="E53" s="42" t="n"/>
      <c r="F53" s="42" t="n"/>
      <c r="G53" s="42" t="n"/>
      <c r="H53" s="42" t="n"/>
      <c r="I53" s="42" t="n"/>
      <c r="J53" s="42" t="n"/>
      <c r="K53" s="42" t="n"/>
      <c r="L53" s="42" t="n"/>
      <c r="M53" s="42" t="n"/>
      <c r="N53" s="42" t="n"/>
      <c r="O53" s="42" t="n"/>
      <c r="P53" s="42" t="n"/>
      <c r="Q53" s="43" t="n"/>
      <c r="R53" s="35" t="inlineStr">
        <is>
          <t>IF(AO53="","",AO53)</t>
        </is>
      </c>
      <c r="S53" s="44" t="n"/>
      <c r="T53" s="45" t="n"/>
      <c r="U53" s="44" t="n"/>
      <c r="V53" s="35" t="inlineStr">
        <is>
          <t>IF(U53&lt;&gt;"",U53,IF(OR(R53="",T53=""),"",EDATE(R53,T53)))</t>
        </is>
      </c>
      <c r="W53" s="44" t="n"/>
      <c r="X53" s="45" t="n"/>
      <c r="Y53" s="42" t="n"/>
      <c r="Z53" s="42" t="n"/>
      <c r="AA53" s="32" t="inlineStr">
        <is>
          <t>IF(E53="","",IF(COUNT(AG53:AT53)=0,IF(Y53="","Not started",Y53),SUBSTITUTE(LOOKUP(2,1/(AG53:AT53&lt;&gt;""),$AG$3:$AT$3),"Date: ","")))</t>
        </is>
      </c>
      <c r="AB53" s="38" t="inlineStr">
        <is>
          <t>IF(OR(E53="",COUNT(AG53:AT53)=0),"",TODAY()-LOOKUP(2,1/(AG53:AT53&lt;&gt;""),AG53:AT53))</t>
        </is>
      </c>
      <c r="AC53" s="38" t="inlineStr">
        <is>
          <t>IF(OR(E53="",COUNT(AG53:AT53)&lt;2),"",LOOKUP(2,1/(AG53:AT53&lt;&gt;""),AG53:AT53)-MIN(AG53:AT53))</t>
        </is>
      </c>
      <c r="AD53" s="38" t="inlineStr">
        <is>
          <t>IF(OR(AB53="",AA53="Not started",AA53=""),"",IFERROR(AB53-IF(VLOOKUP(AA53,'04_Status_Pipeline'!$B$3:$E$20,4,FALSE)="",0,VLOOKUP(AA53,'04_Status_Pipeline'!$B$3:$E$20,4,FALSE)),""))</t>
        </is>
      </c>
      <c r="AE53" s="32" t="inlineStr">
        <is>
          <t>IF(E53="","",IF(OR(Y53="Cancelled",AA53="Cancelled"),"Cancelled",IF(OR(AA53="Completed / Handover",W53&lt;&gt;"",X53&gt;=100),"Completed — on track",IF(L53="Remaining",IF(S53="",IF(V53="","No planned date",IF(TODAY()&gt;V53,"Behind — past planned date",IF(V53-TODAY()&lt;=30,"At risk — close to off track","On track"))),IF(TODAY()&gt;S53,"Behind — award date passed",IF(S53-TODAY()&lt;=30,"At risk — close to off track","On track"))),IF(V53="","No planned date",IF(AND(TODAY()&gt;V53,OR(X53="",X53&lt;100)),"Behind — past end date",IF(AND(R53&lt;&gt;"",V53&lt;&gt;"",X53&lt;&gt;"",(X53&lt;100),((TODAY()-R53)/MAX(V53-R53,1)*100)-X53&gt;15),"Behind — progress lag",IF(AND(V53-TODAY()&lt;=30,V53-TODAY()&gt;=0,OR(X53="",X53&lt;90)),"At risk — close to off track","On track"))))))))</t>
        </is>
      </c>
      <c r="AF53" s="38" t="inlineStr">
        <is>
          <t>IF(OR(E53="",AA53="Completed / Handover",AA53="Cancelled"),"",IF(L53="Remaining",IF(S53&lt;&gt;"",S53-TODAY(),IF(V53="","",V53-TODAY())),IF(V53="","",V53-TODAY())))</t>
        </is>
      </c>
      <c r="AG53" s="44" t="n"/>
      <c r="AH53" s="44" t="n"/>
      <c r="AI53" s="44" t="n"/>
      <c r="AJ53" s="44" t="n"/>
      <c r="AK53" s="44" t="n"/>
      <c r="AL53" s="44" t="n"/>
      <c r="AM53" s="44" t="n"/>
      <c r="AN53" s="44" t="n"/>
      <c r="AO53" s="44" t="n"/>
      <c r="AP53" s="44" t="n"/>
      <c r="AQ53" s="44" t="n"/>
      <c r="AR53" s="40" t="n"/>
      <c r="AS53" s="40" t="n"/>
      <c r="AT53" s="40" t="n"/>
      <c r="AU53" s="38" t="inlineStr">
        <is>
          <t>IF(OR(E53="",AH53=""),"",IF(COUNT(AG53:AG53)=0,"",AH53-LOOKUP(2,1/(AG53:AG53&lt;&gt;""),AG53:AG53)))</t>
        </is>
      </c>
      <c r="AV53" s="38" t="inlineStr">
        <is>
          <t>IF(OR(E53="",AI53=""),"",IF(COUNT(AG53:AH53)=0,"",AI53-LOOKUP(2,1/(AG53:AH53&lt;&gt;""),AG53:AH53)))</t>
        </is>
      </c>
      <c r="AW53" s="38" t="inlineStr">
        <is>
          <t>IF(OR(E53="",AJ53=""),"",IF(COUNT(AG53:AI53)=0,"",AJ53-LOOKUP(2,1/(AG53:AI53&lt;&gt;""),AG53:AI53)))</t>
        </is>
      </c>
      <c r="AX53" s="38" t="inlineStr">
        <is>
          <t>IF(OR(E53="",AK53=""),"",IF(COUNT(AG53:AJ53)=0,"",AK53-LOOKUP(2,1/(AG53:AJ53&lt;&gt;""),AG53:AJ53)))</t>
        </is>
      </c>
      <c r="AY53" s="38" t="inlineStr">
        <is>
          <t>IF(OR(E53="",AL53=""),"",IF(COUNT(AG53:AK53)=0,"",AL53-LOOKUP(2,1/(AG53:AK53&lt;&gt;""),AG53:AK53)))</t>
        </is>
      </c>
      <c r="AZ53" s="38" t="inlineStr">
        <is>
          <t>IF(OR(E53="",AM53=""),"",IF(COUNT(AG53:AL53)=0,"",AM53-LOOKUP(2,1/(AG53:AL53&lt;&gt;""),AG53:AL53)))</t>
        </is>
      </c>
      <c r="BA53" s="38" t="inlineStr">
        <is>
          <t>IF(OR(E53="",AN53=""),"",IF(COUNT(AG53:AM53)=0,"",AN53-LOOKUP(2,1/(AG53:AM53&lt;&gt;""),AG53:AM53)))</t>
        </is>
      </c>
      <c r="BB53" s="38" t="inlineStr">
        <is>
          <t>IF(OR(E53="",AO53=""),"",IF(COUNT(AG53:AN53)=0,"",AO53-LOOKUP(2,1/(AG53:AN53&lt;&gt;""),AG53:AN53)))</t>
        </is>
      </c>
      <c r="BC53" s="38" t="inlineStr">
        <is>
          <t>IF(OR(E53="",AP53=""),"",IF(COUNT(AG53:AO53)=0,"",AP53-LOOKUP(2,1/(AG53:AO53&lt;&gt;""),AG53:AO53)))</t>
        </is>
      </c>
      <c r="BD53" s="38" t="inlineStr">
        <is>
          <t>IF(OR(E53="",AQ53=""),"",IF(COUNT(AG53:AP53)=0,"",AQ53-LOOKUP(2,1/(AG53:AP53&lt;&gt;""),AG53:AP53)))</t>
        </is>
      </c>
      <c r="BE53" s="38" t="inlineStr">
        <is>
          <t>IF(OR(E53="",AR53=""),"",IF(COUNT(AG53:AQ53)=0,"",AR53-LOOKUP(2,1/(AG53:AQ53&lt;&gt;""),AG53:AQ53)))</t>
        </is>
      </c>
      <c r="BF53" s="38" t="inlineStr">
        <is>
          <t>IF(OR(E53="",AS53=""),"",IF(COUNT(AG53:AR53)=0,"",AS53-LOOKUP(2,1/(AG53:AR53&lt;&gt;""),AG53:AR53)))</t>
        </is>
      </c>
      <c r="BG53" s="38" t="inlineStr">
        <is>
          <t>IF(OR(E53="",AT53=""),"",IF(COUNT(AG53:AS53)=0,"",AT53-LOOKUP(2,1/(AG53:AS53&lt;&gt;""),AG53:AS53)))</t>
        </is>
      </c>
      <c r="BH53" s="41" t="inlineStr">
        <is>
          <t>IF(G53="","All_Provinces",IFERROR(VLOOKUP(G53,'07_Lookups'!$A$4:$B$20,2,FALSE),"All_Provinces"))</t>
        </is>
      </c>
      <c r="BI53" s="41" t="inlineStr">
        <is>
          <t>IF(H53="","All_Districts",IFERROR(VLOOKUP(H53,'07_Lookups'!$E$4:$F$42,2,FALSE),"All_Districts"))</t>
        </is>
      </c>
    </row>
    <row r="54" ht="18" customHeight="1">
      <c r="A54" s="32" t="inlineStr">
        <is>
          <t>IF(E54="","",ROW()-3)</t>
        </is>
      </c>
      <c r="B54" s="33" t="n"/>
      <c r="C54" s="33" t="n"/>
      <c r="D54" s="33" t="n"/>
      <c r="E54" s="33" t="n"/>
      <c r="F54" s="33" t="n"/>
      <c r="G54" s="33" t="n"/>
      <c r="H54" s="33" t="n"/>
      <c r="I54" s="33" t="n"/>
      <c r="J54" s="33" t="n"/>
      <c r="K54" s="33" t="n"/>
      <c r="L54" s="33" t="n"/>
      <c r="M54" s="33" t="n"/>
      <c r="N54" s="33" t="n"/>
      <c r="O54" s="33" t="n"/>
      <c r="P54" s="33" t="n"/>
      <c r="Q54" s="34" t="n"/>
      <c r="R54" s="35" t="inlineStr">
        <is>
          <t>IF(AO54="","",AO54)</t>
        </is>
      </c>
      <c r="S54" s="36" t="n"/>
      <c r="T54" s="37" t="n"/>
      <c r="U54" s="36" t="n"/>
      <c r="V54" s="35" t="inlineStr">
        <is>
          <t>IF(U54&lt;&gt;"",U54,IF(OR(R54="",T54=""),"",EDATE(R54,T54)))</t>
        </is>
      </c>
      <c r="W54" s="36" t="n"/>
      <c r="X54" s="37" t="n"/>
      <c r="Y54" s="33" t="n"/>
      <c r="Z54" s="33" t="n"/>
      <c r="AA54" s="32" t="inlineStr">
        <is>
          <t>IF(E54="","",IF(COUNT(AG54:AT54)=0,IF(Y54="","Not started",Y54),SUBSTITUTE(LOOKUP(2,1/(AG54:AT54&lt;&gt;""),$AG$3:$AT$3),"Date: ","")))</t>
        </is>
      </c>
      <c r="AB54" s="38" t="inlineStr">
        <is>
          <t>IF(OR(E54="",COUNT(AG54:AT54)=0),"",TODAY()-LOOKUP(2,1/(AG54:AT54&lt;&gt;""),AG54:AT54))</t>
        </is>
      </c>
      <c r="AC54" s="38" t="inlineStr">
        <is>
          <t>IF(OR(E54="",COUNT(AG54:AT54)&lt;2),"",LOOKUP(2,1/(AG54:AT54&lt;&gt;""),AG54:AT54)-MIN(AG54:AT54))</t>
        </is>
      </c>
      <c r="AD54" s="38" t="inlineStr">
        <is>
          <t>IF(OR(AB54="",AA54="Not started",AA54=""),"",IFERROR(AB54-IF(VLOOKUP(AA54,'04_Status_Pipeline'!$B$3:$E$20,4,FALSE)="",0,VLOOKUP(AA54,'04_Status_Pipeline'!$B$3:$E$20,4,FALSE)),""))</t>
        </is>
      </c>
      <c r="AE54" s="32" t="inlineStr">
        <is>
          <t>IF(E54="","",IF(OR(Y54="Cancelled",AA54="Cancelled"),"Cancelled",IF(OR(AA54="Completed / Handover",W54&lt;&gt;"",X54&gt;=100),"Completed — on track",IF(L54="Remaining",IF(S54="",IF(V54="","No planned date",IF(TODAY()&gt;V54,"Behind — past planned date",IF(V54-TODAY()&lt;=30,"At risk — close to off track","On track"))),IF(TODAY()&gt;S54,"Behind — award date passed",IF(S54-TODAY()&lt;=30,"At risk — close to off track","On track"))),IF(V54="","No planned date",IF(AND(TODAY()&gt;V54,OR(X54="",X54&lt;100)),"Behind — past end date",IF(AND(R54&lt;&gt;"",V54&lt;&gt;"",X54&lt;&gt;"",(X54&lt;100),((TODAY()-R54)/MAX(V54-R54,1)*100)-X54&gt;15),"Behind — progress lag",IF(AND(V54-TODAY()&lt;=30,V54-TODAY()&gt;=0,OR(X54="",X54&lt;90)),"At risk — close to off track","On track"))))))))</t>
        </is>
      </c>
      <c r="AF54" s="38" t="inlineStr">
        <is>
          <t>IF(OR(E54="",AA54="Completed / Handover",AA54="Cancelled"),"",IF(L54="Remaining",IF(S54&lt;&gt;"",S54-TODAY(),IF(V54="","",V54-TODAY())),IF(V54="","",V54-TODAY())))</t>
        </is>
      </c>
      <c r="AG54" s="36" t="n"/>
      <c r="AH54" s="36" t="n"/>
      <c r="AI54" s="36" t="n"/>
      <c r="AJ54" s="36" t="n"/>
      <c r="AK54" s="36" t="n"/>
      <c r="AL54" s="36" t="n"/>
      <c r="AM54" s="36" t="n"/>
      <c r="AN54" s="36" t="n"/>
      <c r="AO54" s="36" t="n"/>
      <c r="AP54" s="36" t="n"/>
      <c r="AQ54" s="36" t="n"/>
      <c r="AR54" s="40" t="n"/>
      <c r="AS54" s="40" t="n"/>
      <c r="AT54" s="40" t="n"/>
      <c r="AU54" s="38" t="inlineStr">
        <is>
          <t>IF(OR(E54="",AH54=""),"",IF(COUNT(AG54:AG54)=0,"",AH54-LOOKUP(2,1/(AG54:AG54&lt;&gt;""),AG54:AG54)))</t>
        </is>
      </c>
      <c r="AV54" s="38" t="inlineStr">
        <is>
          <t>IF(OR(E54="",AI54=""),"",IF(COUNT(AG54:AH54)=0,"",AI54-LOOKUP(2,1/(AG54:AH54&lt;&gt;""),AG54:AH54)))</t>
        </is>
      </c>
      <c r="AW54" s="38" t="inlineStr">
        <is>
          <t>IF(OR(E54="",AJ54=""),"",IF(COUNT(AG54:AI54)=0,"",AJ54-LOOKUP(2,1/(AG54:AI54&lt;&gt;""),AG54:AI54)))</t>
        </is>
      </c>
      <c r="AX54" s="38" t="inlineStr">
        <is>
          <t>IF(OR(E54="",AK54=""),"",IF(COUNT(AG54:AJ54)=0,"",AK54-LOOKUP(2,1/(AG54:AJ54&lt;&gt;""),AG54:AJ54)))</t>
        </is>
      </c>
      <c r="AY54" s="38" t="inlineStr">
        <is>
          <t>IF(OR(E54="",AL54=""),"",IF(COUNT(AG54:AK54)=0,"",AL54-LOOKUP(2,1/(AG54:AK54&lt;&gt;""),AG54:AK54)))</t>
        </is>
      </c>
      <c r="AZ54" s="38" t="inlineStr">
        <is>
          <t>IF(OR(E54="",AM54=""),"",IF(COUNT(AG54:AL54)=0,"",AM54-LOOKUP(2,1/(AG54:AL54&lt;&gt;""),AG54:AL54)))</t>
        </is>
      </c>
      <c r="BA54" s="38" t="inlineStr">
        <is>
          <t>IF(OR(E54="",AN54=""),"",IF(COUNT(AG54:AM54)=0,"",AN54-LOOKUP(2,1/(AG54:AM54&lt;&gt;""),AG54:AM54)))</t>
        </is>
      </c>
      <c r="BB54" s="38" t="inlineStr">
        <is>
          <t>IF(OR(E54="",AO54=""),"",IF(COUNT(AG54:AN54)=0,"",AO54-LOOKUP(2,1/(AG54:AN54&lt;&gt;""),AG54:AN54)))</t>
        </is>
      </c>
      <c r="BC54" s="38" t="inlineStr">
        <is>
          <t>IF(OR(E54="",AP54=""),"",IF(COUNT(AG54:AO54)=0,"",AP54-LOOKUP(2,1/(AG54:AO54&lt;&gt;""),AG54:AO54)))</t>
        </is>
      </c>
      <c r="BD54" s="38" t="inlineStr">
        <is>
          <t>IF(OR(E54="",AQ54=""),"",IF(COUNT(AG54:AP54)=0,"",AQ54-LOOKUP(2,1/(AG54:AP54&lt;&gt;""),AG54:AP54)))</t>
        </is>
      </c>
      <c r="BE54" s="38" t="inlineStr">
        <is>
          <t>IF(OR(E54="",AR54=""),"",IF(COUNT(AG54:AQ54)=0,"",AR54-LOOKUP(2,1/(AG54:AQ54&lt;&gt;""),AG54:AQ54)))</t>
        </is>
      </c>
      <c r="BF54" s="38" t="inlineStr">
        <is>
          <t>IF(OR(E54="",AS54=""),"",IF(COUNT(AG54:AR54)=0,"",AS54-LOOKUP(2,1/(AG54:AR54&lt;&gt;""),AG54:AR54)))</t>
        </is>
      </c>
      <c r="BG54" s="38" t="inlineStr">
        <is>
          <t>IF(OR(E54="",AT54=""),"",IF(COUNT(AG54:AS54)=0,"",AT54-LOOKUP(2,1/(AG54:AS54&lt;&gt;""),AG54:AS54)))</t>
        </is>
      </c>
      <c r="BH54" s="41" t="inlineStr">
        <is>
          <t>IF(G54="","All_Provinces",IFERROR(VLOOKUP(G54,'07_Lookups'!$A$4:$B$20,2,FALSE),"All_Provinces"))</t>
        </is>
      </c>
      <c r="BI54" s="41" t="inlineStr">
        <is>
          <t>IF(H54="","All_Districts",IFERROR(VLOOKUP(H54,'07_Lookups'!$E$4:$F$42,2,FALSE),"All_Districts"))</t>
        </is>
      </c>
    </row>
    <row r="55" ht="18" customHeight="1">
      <c r="A55" s="32" t="inlineStr">
        <is>
          <t>IF(E55="","",ROW()-3)</t>
        </is>
      </c>
      <c r="B55" s="42" t="n"/>
      <c r="C55" s="42" t="n"/>
      <c r="D55" s="42" t="n"/>
      <c r="E55" s="42" t="n"/>
      <c r="F55" s="42" t="n"/>
      <c r="G55" s="42" t="n"/>
      <c r="H55" s="42" t="n"/>
      <c r="I55" s="42" t="n"/>
      <c r="J55" s="42" t="n"/>
      <c r="K55" s="42" t="n"/>
      <c r="L55" s="42" t="n"/>
      <c r="M55" s="42" t="n"/>
      <c r="N55" s="42" t="n"/>
      <c r="O55" s="42" t="n"/>
      <c r="P55" s="42" t="n"/>
      <c r="Q55" s="43" t="n"/>
      <c r="R55" s="35" t="inlineStr">
        <is>
          <t>IF(AO55="","",AO55)</t>
        </is>
      </c>
      <c r="S55" s="44" t="n"/>
      <c r="T55" s="45" t="n"/>
      <c r="U55" s="44" t="n"/>
      <c r="V55" s="35" t="inlineStr">
        <is>
          <t>IF(U55&lt;&gt;"",U55,IF(OR(R55="",T55=""),"",EDATE(R55,T55)))</t>
        </is>
      </c>
      <c r="W55" s="44" t="n"/>
      <c r="X55" s="45" t="n"/>
      <c r="Y55" s="42" t="n"/>
      <c r="Z55" s="42" t="n"/>
      <c r="AA55" s="32" t="inlineStr">
        <is>
          <t>IF(E55="","",IF(COUNT(AG55:AT55)=0,IF(Y55="","Not started",Y55),SUBSTITUTE(LOOKUP(2,1/(AG55:AT55&lt;&gt;""),$AG$3:$AT$3),"Date: ","")))</t>
        </is>
      </c>
      <c r="AB55" s="38" t="inlineStr">
        <is>
          <t>IF(OR(E55="",COUNT(AG55:AT55)=0),"",TODAY()-LOOKUP(2,1/(AG55:AT55&lt;&gt;""),AG55:AT55))</t>
        </is>
      </c>
      <c r="AC55" s="38" t="inlineStr">
        <is>
          <t>IF(OR(E55="",COUNT(AG55:AT55)&lt;2),"",LOOKUP(2,1/(AG55:AT55&lt;&gt;""),AG55:AT55)-MIN(AG55:AT55))</t>
        </is>
      </c>
      <c r="AD55" s="38" t="inlineStr">
        <is>
          <t>IF(OR(AB55="",AA55="Not started",AA55=""),"",IFERROR(AB55-IF(VLOOKUP(AA55,'04_Status_Pipeline'!$B$3:$E$20,4,FALSE)="",0,VLOOKUP(AA55,'04_Status_Pipeline'!$B$3:$E$20,4,FALSE)),""))</t>
        </is>
      </c>
      <c r="AE55" s="32" t="inlineStr">
        <is>
          <t>IF(E55="","",IF(OR(Y55="Cancelled",AA55="Cancelled"),"Cancelled",IF(OR(AA55="Completed / Handover",W55&lt;&gt;"",X55&gt;=100),"Completed — on track",IF(L55="Remaining",IF(S55="",IF(V55="","No planned date",IF(TODAY()&gt;V55,"Behind — past planned date",IF(V55-TODAY()&lt;=30,"At risk — close to off track","On track"))),IF(TODAY()&gt;S55,"Behind — award date passed",IF(S55-TODAY()&lt;=30,"At risk — close to off track","On track"))),IF(V55="","No planned date",IF(AND(TODAY()&gt;V55,OR(X55="",X55&lt;100)),"Behind — past end date",IF(AND(R55&lt;&gt;"",V55&lt;&gt;"",X55&lt;&gt;"",(X55&lt;100),((TODAY()-R55)/MAX(V55-R55,1)*100)-X55&gt;15),"Behind — progress lag",IF(AND(V55-TODAY()&lt;=30,V55-TODAY()&gt;=0,OR(X55="",X55&lt;90)),"At risk — close to off track","On track"))))))))</t>
        </is>
      </c>
      <c r="AF55" s="38" t="inlineStr">
        <is>
          <t>IF(OR(E55="",AA55="Completed / Handover",AA55="Cancelled"),"",IF(L55="Remaining",IF(S55&lt;&gt;"",S55-TODAY(),IF(V55="","",V55-TODAY())),IF(V55="","",V55-TODAY())))</t>
        </is>
      </c>
      <c r="AG55" s="44" t="n"/>
      <c r="AH55" s="44" t="n"/>
      <c r="AI55" s="44" t="n"/>
      <c r="AJ55" s="44" t="n"/>
      <c r="AK55" s="44" t="n"/>
      <c r="AL55" s="44" t="n"/>
      <c r="AM55" s="44" t="n"/>
      <c r="AN55" s="44" t="n"/>
      <c r="AO55" s="44" t="n"/>
      <c r="AP55" s="44" t="n"/>
      <c r="AQ55" s="44" t="n"/>
      <c r="AR55" s="40" t="n"/>
      <c r="AS55" s="40" t="n"/>
      <c r="AT55" s="40" t="n"/>
      <c r="AU55" s="38" t="inlineStr">
        <is>
          <t>IF(OR(E55="",AH55=""),"",IF(COUNT(AG55:AG55)=0,"",AH55-LOOKUP(2,1/(AG55:AG55&lt;&gt;""),AG55:AG55)))</t>
        </is>
      </c>
      <c r="AV55" s="38" t="inlineStr">
        <is>
          <t>IF(OR(E55="",AI55=""),"",IF(COUNT(AG55:AH55)=0,"",AI55-LOOKUP(2,1/(AG55:AH55&lt;&gt;""),AG55:AH55)))</t>
        </is>
      </c>
      <c r="AW55" s="38" t="inlineStr">
        <is>
          <t>IF(OR(E55="",AJ55=""),"",IF(COUNT(AG55:AI55)=0,"",AJ55-LOOKUP(2,1/(AG55:AI55&lt;&gt;""),AG55:AI55)))</t>
        </is>
      </c>
      <c r="AX55" s="38" t="inlineStr">
        <is>
          <t>IF(OR(E55="",AK55=""),"",IF(COUNT(AG55:AJ55)=0,"",AK55-LOOKUP(2,1/(AG55:AJ55&lt;&gt;""),AG55:AJ55)))</t>
        </is>
      </c>
      <c r="AY55" s="38" t="inlineStr">
        <is>
          <t>IF(OR(E55="",AL55=""),"",IF(COUNT(AG55:AK55)=0,"",AL55-LOOKUP(2,1/(AG55:AK55&lt;&gt;""),AG55:AK55)))</t>
        </is>
      </c>
      <c r="AZ55" s="38" t="inlineStr">
        <is>
          <t>IF(OR(E55="",AM55=""),"",IF(COUNT(AG55:AL55)=0,"",AM55-LOOKUP(2,1/(AG55:AL55&lt;&gt;""),AG55:AL55)))</t>
        </is>
      </c>
      <c r="BA55" s="38" t="inlineStr">
        <is>
          <t>IF(OR(E55="",AN55=""),"",IF(COUNT(AG55:AM55)=0,"",AN55-LOOKUP(2,1/(AG55:AM55&lt;&gt;""),AG55:AM55)))</t>
        </is>
      </c>
      <c r="BB55" s="38" t="inlineStr">
        <is>
          <t>IF(OR(E55="",AO55=""),"",IF(COUNT(AG55:AN55)=0,"",AO55-LOOKUP(2,1/(AG55:AN55&lt;&gt;""),AG55:AN55)))</t>
        </is>
      </c>
      <c r="BC55" s="38" t="inlineStr">
        <is>
          <t>IF(OR(E55="",AP55=""),"",IF(COUNT(AG55:AO55)=0,"",AP55-LOOKUP(2,1/(AG55:AO55&lt;&gt;""),AG55:AO55)))</t>
        </is>
      </c>
      <c r="BD55" s="38" t="inlineStr">
        <is>
          <t>IF(OR(E55="",AQ55=""),"",IF(COUNT(AG55:AP55)=0,"",AQ55-LOOKUP(2,1/(AG55:AP55&lt;&gt;""),AG55:AP55)))</t>
        </is>
      </c>
      <c r="BE55" s="38" t="inlineStr">
        <is>
          <t>IF(OR(E55="",AR55=""),"",IF(COUNT(AG55:AQ55)=0,"",AR55-LOOKUP(2,1/(AG55:AQ55&lt;&gt;""),AG55:AQ55)))</t>
        </is>
      </c>
      <c r="BF55" s="38" t="inlineStr">
        <is>
          <t>IF(OR(E55="",AS55=""),"",IF(COUNT(AG55:AR55)=0,"",AS55-LOOKUP(2,1/(AG55:AR55&lt;&gt;""),AG55:AR55)))</t>
        </is>
      </c>
      <c r="BG55" s="38" t="inlineStr">
        <is>
          <t>IF(OR(E55="",AT55=""),"",IF(COUNT(AG55:AS55)=0,"",AT55-LOOKUP(2,1/(AG55:AS55&lt;&gt;""),AG55:AS55)))</t>
        </is>
      </c>
      <c r="BH55" s="41" t="inlineStr">
        <is>
          <t>IF(G55="","All_Provinces",IFERROR(VLOOKUP(G55,'07_Lookups'!$A$4:$B$20,2,FALSE),"All_Provinces"))</t>
        </is>
      </c>
      <c r="BI55" s="41" t="inlineStr">
        <is>
          <t>IF(H55="","All_Districts",IFERROR(VLOOKUP(H55,'07_Lookups'!$E$4:$F$42,2,FALSE),"All_Districts"))</t>
        </is>
      </c>
    </row>
    <row r="56" ht="18" customHeight="1">
      <c r="A56" s="32" t="inlineStr">
        <is>
          <t>IF(E56="","",ROW()-3)</t>
        </is>
      </c>
      <c r="B56" s="33" t="n"/>
      <c r="C56" s="33" t="n"/>
      <c r="D56" s="33" t="n"/>
      <c r="E56" s="33" t="n"/>
      <c r="F56" s="33" t="n"/>
      <c r="G56" s="33" t="n"/>
      <c r="H56" s="33" t="n"/>
      <c r="I56" s="33" t="n"/>
      <c r="J56" s="33" t="n"/>
      <c r="K56" s="33" t="n"/>
      <c r="L56" s="33" t="n"/>
      <c r="M56" s="33" t="n"/>
      <c r="N56" s="33" t="n"/>
      <c r="O56" s="33" t="n"/>
      <c r="P56" s="33" t="n"/>
      <c r="Q56" s="34" t="n"/>
      <c r="R56" s="35" t="inlineStr">
        <is>
          <t>IF(AO56="","",AO56)</t>
        </is>
      </c>
      <c r="S56" s="36" t="n"/>
      <c r="T56" s="37" t="n"/>
      <c r="U56" s="36" t="n"/>
      <c r="V56" s="35" t="inlineStr">
        <is>
          <t>IF(U56&lt;&gt;"",U56,IF(OR(R56="",T56=""),"",EDATE(R56,T56)))</t>
        </is>
      </c>
      <c r="W56" s="36" t="n"/>
      <c r="X56" s="37" t="n"/>
      <c r="Y56" s="33" t="n"/>
      <c r="Z56" s="33" t="n"/>
      <c r="AA56" s="32" t="inlineStr">
        <is>
          <t>IF(E56="","",IF(COUNT(AG56:AT56)=0,IF(Y56="","Not started",Y56),SUBSTITUTE(LOOKUP(2,1/(AG56:AT56&lt;&gt;""),$AG$3:$AT$3),"Date: ","")))</t>
        </is>
      </c>
      <c r="AB56" s="38" t="inlineStr">
        <is>
          <t>IF(OR(E56="",COUNT(AG56:AT56)=0),"",TODAY()-LOOKUP(2,1/(AG56:AT56&lt;&gt;""),AG56:AT56))</t>
        </is>
      </c>
      <c r="AC56" s="38" t="inlineStr">
        <is>
          <t>IF(OR(E56="",COUNT(AG56:AT56)&lt;2),"",LOOKUP(2,1/(AG56:AT56&lt;&gt;""),AG56:AT56)-MIN(AG56:AT56))</t>
        </is>
      </c>
      <c r="AD56" s="38" t="inlineStr">
        <is>
          <t>IF(OR(AB56="",AA56="Not started",AA56=""),"",IFERROR(AB56-IF(VLOOKUP(AA56,'04_Status_Pipeline'!$B$3:$E$20,4,FALSE)="",0,VLOOKUP(AA56,'04_Status_Pipeline'!$B$3:$E$20,4,FALSE)),""))</t>
        </is>
      </c>
      <c r="AE56" s="32" t="inlineStr">
        <is>
          <t>IF(E56="","",IF(OR(Y56="Cancelled",AA56="Cancelled"),"Cancelled",IF(OR(AA56="Completed / Handover",W56&lt;&gt;"",X56&gt;=100),"Completed — on track",IF(L56="Remaining",IF(S56="",IF(V56="","No planned date",IF(TODAY()&gt;V56,"Behind — past planned date",IF(V56-TODAY()&lt;=30,"At risk — close to off track","On track"))),IF(TODAY()&gt;S56,"Behind — award date passed",IF(S56-TODAY()&lt;=30,"At risk — close to off track","On track"))),IF(V56="","No planned date",IF(AND(TODAY()&gt;V56,OR(X56="",X56&lt;100)),"Behind — past end date",IF(AND(R56&lt;&gt;"",V56&lt;&gt;"",X56&lt;&gt;"",(X56&lt;100),((TODAY()-R56)/MAX(V56-R56,1)*100)-X56&gt;15),"Behind — progress lag",IF(AND(V56-TODAY()&lt;=30,V56-TODAY()&gt;=0,OR(X56="",X56&lt;90)),"At risk — close to off track","On track"))))))))</t>
        </is>
      </c>
      <c r="AF56" s="38" t="inlineStr">
        <is>
          <t>IF(OR(E56="",AA56="Completed / Handover",AA56="Cancelled"),"",IF(L56="Remaining",IF(S56&lt;&gt;"",S56-TODAY(),IF(V56="","",V56-TODAY())),IF(V56="","",V56-TODAY())))</t>
        </is>
      </c>
      <c r="AG56" s="36" t="n"/>
      <c r="AH56" s="36" t="n"/>
      <c r="AI56" s="36" t="n"/>
      <c r="AJ56" s="36" t="n"/>
      <c r="AK56" s="36" t="n"/>
      <c r="AL56" s="36" t="n"/>
      <c r="AM56" s="36" t="n"/>
      <c r="AN56" s="36" t="n"/>
      <c r="AO56" s="36" t="n"/>
      <c r="AP56" s="36" t="n"/>
      <c r="AQ56" s="36" t="n"/>
      <c r="AR56" s="40" t="n"/>
      <c r="AS56" s="40" t="n"/>
      <c r="AT56" s="40" t="n"/>
      <c r="AU56" s="38" t="inlineStr">
        <is>
          <t>IF(OR(E56="",AH56=""),"",IF(COUNT(AG56:AG56)=0,"",AH56-LOOKUP(2,1/(AG56:AG56&lt;&gt;""),AG56:AG56)))</t>
        </is>
      </c>
      <c r="AV56" s="38" t="inlineStr">
        <is>
          <t>IF(OR(E56="",AI56=""),"",IF(COUNT(AG56:AH56)=0,"",AI56-LOOKUP(2,1/(AG56:AH56&lt;&gt;""),AG56:AH56)))</t>
        </is>
      </c>
      <c r="AW56" s="38" t="inlineStr">
        <is>
          <t>IF(OR(E56="",AJ56=""),"",IF(COUNT(AG56:AI56)=0,"",AJ56-LOOKUP(2,1/(AG56:AI56&lt;&gt;""),AG56:AI56)))</t>
        </is>
      </c>
      <c r="AX56" s="38" t="inlineStr">
        <is>
          <t>IF(OR(E56="",AK56=""),"",IF(COUNT(AG56:AJ56)=0,"",AK56-LOOKUP(2,1/(AG56:AJ56&lt;&gt;""),AG56:AJ56)))</t>
        </is>
      </c>
      <c r="AY56" s="38" t="inlineStr">
        <is>
          <t>IF(OR(E56="",AL56=""),"",IF(COUNT(AG56:AK56)=0,"",AL56-LOOKUP(2,1/(AG56:AK56&lt;&gt;""),AG56:AK56)))</t>
        </is>
      </c>
      <c r="AZ56" s="38" t="inlineStr">
        <is>
          <t>IF(OR(E56="",AM56=""),"",IF(COUNT(AG56:AL56)=0,"",AM56-LOOKUP(2,1/(AG56:AL56&lt;&gt;""),AG56:AL56)))</t>
        </is>
      </c>
      <c r="BA56" s="38" t="inlineStr">
        <is>
          <t>IF(OR(E56="",AN56=""),"",IF(COUNT(AG56:AM56)=0,"",AN56-LOOKUP(2,1/(AG56:AM56&lt;&gt;""),AG56:AM56)))</t>
        </is>
      </c>
      <c r="BB56" s="38" t="inlineStr">
        <is>
          <t>IF(OR(E56="",AO56=""),"",IF(COUNT(AG56:AN56)=0,"",AO56-LOOKUP(2,1/(AG56:AN56&lt;&gt;""),AG56:AN56)))</t>
        </is>
      </c>
      <c r="BC56" s="38" t="inlineStr">
        <is>
          <t>IF(OR(E56="",AP56=""),"",IF(COUNT(AG56:AO56)=0,"",AP56-LOOKUP(2,1/(AG56:AO56&lt;&gt;""),AG56:AO56)))</t>
        </is>
      </c>
      <c r="BD56" s="38" t="inlineStr">
        <is>
          <t>IF(OR(E56="",AQ56=""),"",IF(COUNT(AG56:AP56)=0,"",AQ56-LOOKUP(2,1/(AG56:AP56&lt;&gt;""),AG56:AP56)))</t>
        </is>
      </c>
      <c r="BE56" s="38" t="inlineStr">
        <is>
          <t>IF(OR(E56="",AR56=""),"",IF(COUNT(AG56:AQ56)=0,"",AR56-LOOKUP(2,1/(AG56:AQ56&lt;&gt;""),AG56:AQ56)))</t>
        </is>
      </c>
      <c r="BF56" s="38" t="inlineStr">
        <is>
          <t>IF(OR(E56="",AS56=""),"",IF(COUNT(AG56:AR56)=0,"",AS56-LOOKUP(2,1/(AG56:AR56&lt;&gt;""),AG56:AR56)))</t>
        </is>
      </c>
      <c r="BG56" s="38" t="inlineStr">
        <is>
          <t>IF(OR(E56="",AT56=""),"",IF(COUNT(AG56:AS56)=0,"",AT56-LOOKUP(2,1/(AG56:AS56&lt;&gt;""),AG56:AS56)))</t>
        </is>
      </c>
      <c r="BH56" s="41" t="inlineStr">
        <is>
          <t>IF(G56="","All_Provinces",IFERROR(VLOOKUP(G56,'07_Lookups'!$A$4:$B$20,2,FALSE),"All_Provinces"))</t>
        </is>
      </c>
      <c r="BI56" s="41" t="inlineStr">
        <is>
          <t>IF(H56="","All_Districts",IFERROR(VLOOKUP(H56,'07_Lookups'!$E$4:$F$42,2,FALSE),"All_Districts"))</t>
        </is>
      </c>
    </row>
    <row r="57" ht="18" customHeight="1">
      <c r="A57" s="32" t="inlineStr">
        <is>
          <t>IF(E57="","",ROW()-3)</t>
        </is>
      </c>
      <c r="B57" s="42" t="n"/>
      <c r="C57" s="42" t="n"/>
      <c r="D57" s="42" t="n"/>
      <c r="E57" s="42" t="n"/>
      <c r="F57" s="42" t="n"/>
      <c r="G57" s="42" t="n"/>
      <c r="H57" s="42" t="n"/>
      <c r="I57" s="42" t="n"/>
      <c r="J57" s="42" t="n"/>
      <c r="K57" s="42" t="n"/>
      <c r="L57" s="42" t="n"/>
      <c r="M57" s="42" t="n"/>
      <c r="N57" s="42" t="n"/>
      <c r="O57" s="42" t="n"/>
      <c r="P57" s="42" t="n"/>
      <c r="Q57" s="43" t="n"/>
      <c r="R57" s="35" t="inlineStr">
        <is>
          <t>IF(AO57="","",AO57)</t>
        </is>
      </c>
      <c r="S57" s="44" t="n"/>
      <c r="T57" s="45" t="n"/>
      <c r="U57" s="44" t="n"/>
      <c r="V57" s="35" t="inlineStr">
        <is>
          <t>IF(U57&lt;&gt;"",U57,IF(OR(R57="",T57=""),"",EDATE(R57,T57)))</t>
        </is>
      </c>
      <c r="W57" s="44" t="n"/>
      <c r="X57" s="45" t="n"/>
      <c r="Y57" s="42" t="n"/>
      <c r="Z57" s="42" t="n"/>
      <c r="AA57" s="32" t="inlineStr">
        <is>
          <t>IF(E57="","",IF(COUNT(AG57:AT57)=0,IF(Y57="","Not started",Y57),SUBSTITUTE(LOOKUP(2,1/(AG57:AT57&lt;&gt;""),$AG$3:$AT$3),"Date: ","")))</t>
        </is>
      </c>
      <c r="AB57" s="38" t="inlineStr">
        <is>
          <t>IF(OR(E57="",COUNT(AG57:AT57)=0),"",TODAY()-LOOKUP(2,1/(AG57:AT57&lt;&gt;""),AG57:AT57))</t>
        </is>
      </c>
      <c r="AC57" s="38" t="inlineStr">
        <is>
          <t>IF(OR(E57="",COUNT(AG57:AT57)&lt;2),"",LOOKUP(2,1/(AG57:AT57&lt;&gt;""),AG57:AT57)-MIN(AG57:AT57))</t>
        </is>
      </c>
      <c r="AD57" s="38" t="inlineStr">
        <is>
          <t>IF(OR(AB57="",AA57="Not started",AA57=""),"",IFERROR(AB57-IF(VLOOKUP(AA57,'04_Status_Pipeline'!$B$3:$E$20,4,FALSE)="",0,VLOOKUP(AA57,'04_Status_Pipeline'!$B$3:$E$20,4,FALSE)),""))</t>
        </is>
      </c>
      <c r="AE57" s="32" t="inlineStr">
        <is>
          <t>IF(E57="","",IF(OR(Y57="Cancelled",AA57="Cancelled"),"Cancelled",IF(OR(AA57="Completed / Handover",W57&lt;&gt;"",X57&gt;=100),"Completed — on track",IF(L57="Remaining",IF(S57="",IF(V57="","No planned date",IF(TODAY()&gt;V57,"Behind — past planned date",IF(V57-TODAY()&lt;=30,"At risk — close to off track","On track"))),IF(TODAY()&gt;S57,"Behind — award date passed",IF(S57-TODAY()&lt;=30,"At risk — close to off track","On track"))),IF(V57="","No planned date",IF(AND(TODAY()&gt;V57,OR(X57="",X57&lt;100)),"Behind — past end date",IF(AND(R57&lt;&gt;"",V57&lt;&gt;"",X57&lt;&gt;"",(X57&lt;100),((TODAY()-R57)/MAX(V57-R57,1)*100)-X57&gt;15),"Behind — progress lag",IF(AND(V57-TODAY()&lt;=30,V57-TODAY()&gt;=0,OR(X57="",X57&lt;90)),"At risk — close to off track","On track"))))))))</t>
        </is>
      </c>
      <c r="AF57" s="38" t="inlineStr">
        <is>
          <t>IF(OR(E57="",AA57="Completed / Handover",AA57="Cancelled"),"",IF(L57="Remaining",IF(S57&lt;&gt;"",S57-TODAY(),IF(V57="","",V57-TODAY())),IF(V57="","",V57-TODAY())))</t>
        </is>
      </c>
      <c r="AG57" s="44" t="n"/>
      <c r="AH57" s="44" t="n"/>
      <c r="AI57" s="44" t="n"/>
      <c r="AJ57" s="44" t="n"/>
      <c r="AK57" s="44" t="n"/>
      <c r="AL57" s="44" t="n"/>
      <c r="AM57" s="44" t="n"/>
      <c r="AN57" s="44" t="n"/>
      <c r="AO57" s="44" t="n"/>
      <c r="AP57" s="44" t="n"/>
      <c r="AQ57" s="44" t="n"/>
      <c r="AR57" s="40" t="n"/>
      <c r="AS57" s="40" t="n"/>
      <c r="AT57" s="40" t="n"/>
      <c r="AU57" s="38" t="inlineStr">
        <is>
          <t>IF(OR(E57="",AH57=""),"",IF(COUNT(AG57:AG57)=0,"",AH57-LOOKUP(2,1/(AG57:AG57&lt;&gt;""),AG57:AG57)))</t>
        </is>
      </c>
      <c r="AV57" s="38" t="inlineStr">
        <is>
          <t>IF(OR(E57="",AI57=""),"",IF(COUNT(AG57:AH57)=0,"",AI57-LOOKUP(2,1/(AG57:AH57&lt;&gt;""),AG57:AH57)))</t>
        </is>
      </c>
      <c r="AW57" s="38" t="inlineStr">
        <is>
          <t>IF(OR(E57="",AJ57=""),"",IF(COUNT(AG57:AI57)=0,"",AJ57-LOOKUP(2,1/(AG57:AI57&lt;&gt;""),AG57:AI57)))</t>
        </is>
      </c>
      <c r="AX57" s="38" t="inlineStr">
        <is>
          <t>IF(OR(E57="",AK57=""),"",IF(COUNT(AG57:AJ57)=0,"",AK57-LOOKUP(2,1/(AG57:AJ57&lt;&gt;""),AG57:AJ57)))</t>
        </is>
      </c>
      <c r="AY57" s="38" t="inlineStr">
        <is>
          <t>IF(OR(E57="",AL57=""),"",IF(COUNT(AG57:AK57)=0,"",AL57-LOOKUP(2,1/(AG57:AK57&lt;&gt;""),AG57:AK57)))</t>
        </is>
      </c>
      <c r="AZ57" s="38" t="inlineStr">
        <is>
          <t>IF(OR(E57="",AM57=""),"",IF(COUNT(AG57:AL57)=0,"",AM57-LOOKUP(2,1/(AG57:AL57&lt;&gt;""),AG57:AL57)))</t>
        </is>
      </c>
      <c r="BA57" s="38" t="inlineStr">
        <is>
          <t>IF(OR(E57="",AN57=""),"",IF(COUNT(AG57:AM57)=0,"",AN57-LOOKUP(2,1/(AG57:AM57&lt;&gt;""),AG57:AM57)))</t>
        </is>
      </c>
      <c r="BB57" s="38" t="inlineStr">
        <is>
          <t>IF(OR(E57="",AO57=""),"",IF(COUNT(AG57:AN57)=0,"",AO57-LOOKUP(2,1/(AG57:AN57&lt;&gt;""),AG57:AN57)))</t>
        </is>
      </c>
      <c r="BC57" s="38" t="inlineStr">
        <is>
          <t>IF(OR(E57="",AP57=""),"",IF(COUNT(AG57:AO57)=0,"",AP57-LOOKUP(2,1/(AG57:AO57&lt;&gt;""),AG57:AO57)))</t>
        </is>
      </c>
      <c r="BD57" s="38" t="inlineStr">
        <is>
          <t>IF(OR(E57="",AQ57=""),"",IF(COUNT(AG57:AP57)=0,"",AQ57-LOOKUP(2,1/(AG57:AP57&lt;&gt;""),AG57:AP57)))</t>
        </is>
      </c>
      <c r="BE57" s="38" t="inlineStr">
        <is>
          <t>IF(OR(E57="",AR57=""),"",IF(COUNT(AG57:AQ57)=0,"",AR57-LOOKUP(2,1/(AG57:AQ57&lt;&gt;""),AG57:AQ57)))</t>
        </is>
      </c>
      <c r="BF57" s="38" t="inlineStr">
        <is>
          <t>IF(OR(E57="",AS57=""),"",IF(COUNT(AG57:AR57)=0,"",AS57-LOOKUP(2,1/(AG57:AR57&lt;&gt;""),AG57:AR57)))</t>
        </is>
      </c>
      <c r="BG57" s="38" t="inlineStr">
        <is>
          <t>IF(OR(E57="",AT57=""),"",IF(COUNT(AG57:AS57)=0,"",AT57-LOOKUP(2,1/(AG57:AS57&lt;&gt;""),AG57:AS57)))</t>
        </is>
      </c>
      <c r="BH57" s="41" t="inlineStr">
        <is>
          <t>IF(G57="","All_Provinces",IFERROR(VLOOKUP(G57,'07_Lookups'!$A$4:$B$20,2,FALSE),"All_Provinces"))</t>
        </is>
      </c>
      <c r="BI57" s="41" t="inlineStr">
        <is>
          <t>IF(H57="","All_Districts",IFERROR(VLOOKUP(H57,'07_Lookups'!$E$4:$F$42,2,FALSE),"All_Districts"))</t>
        </is>
      </c>
    </row>
    <row r="58" ht="18" customHeight="1">
      <c r="A58" s="32" t="inlineStr">
        <is>
          <t>IF(E58="","",ROW()-3)</t>
        </is>
      </c>
      <c r="B58" s="33" t="n"/>
      <c r="C58" s="33" t="n"/>
      <c r="D58" s="33" t="n"/>
      <c r="E58" s="33" t="n"/>
      <c r="F58" s="33" t="n"/>
      <c r="G58" s="33" t="n"/>
      <c r="H58" s="33" t="n"/>
      <c r="I58" s="33" t="n"/>
      <c r="J58" s="33" t="n"/>
      <c r="K58" s="33" t="n"/>
      <c r="L58" s="33" t="n"/>
      <c r="M58" s="33" t="n"/>
      <c r="N58" s="33" t="n"/>
      <c r="O58" s="33" t="n"/>
      <c r="P58" s="33" t="n"/>
      <c r="Q58" s="34" t="n"/>
      <c r="R58" s="35" t="inlineStr">
        <is>
          <t>IF(AO58="","",AO58)</t>
        </is>
      </c>
      <c r="S58" s="36" t="n"/>
      <c r="T58" s="37" t="n"/>
      <c r="U58" s="36" t="n"/>
      <c r="V58" s="35" t="inlineStr">
        <is>
          <t>IF(U58&lt;&gt;"",U58,IF(OR(R58="",T58=""),"",EDATE(R58,T58)))</t>
        </is>
      </c>
      <c r="W58" s="36" t="n"/>
      <c r="X58" s="37" t="n"/>
      <c r="Y58" s="33" t="n"/>
      <c r="Z58" s="33" t="n"/>
      <c r="AA58" s="32" t="inlineStr">
        <is>
          <t>IF(E58="","",IF(COUNT(AG58:AT58)=0,IF(Y58="","Not started",Y58),SUBSTITUTE(LOOKUP(2,1/(AG58:AT58&lt;&gt;""),$AG$3:$AT$3),"Date: ","")))</t>
        </is>
      </c>
      <c r="AB58" s="38" t="inlineStr">
        <is>
          <t>IF(OR(E58="",COUNT(AG58:AT58)=0),"",TODAY()-LOOKUP(2,1/(AG58:AT58&lt;&gt;""),AG58:AT58))</t>
        </is>
      </c>
      <c r="AC58" s="38" t="inlineStr">
        <is>
          <t>IF(OR(E58="",COUNT(AG58:AT58)&lt;2),"",LOOKUP(2,1/(AG58:AT58&lt;&gt;""),AG58:AT58)-MIN(AG58:AT58))</t>
        </is>
      </c>
      <c r="AD58" s="38" t="inlineStr">
        <is>
          <t>IF(OR(AB58="",AA58="Not started",AA58=""),"",IFERROR(AB58-IF(VLOOKUP(AA58,'04_Status_Pipeline'!$B$3:$E$20,4,FALSE)="",0,VLOOKUP(AA58,'04_Status_Pipeline'!$B$3:$E$20,4,FALSE)),""))</t>
        </is>
      </c>
      <c r="AE58" s="32" t="inlineStr">
        <is>
          <t>IF(E58="","",IF(OR(Y58="Cancelled",AA58="Cancelled"),"Cancelled",IF(OR(AA58="Completed / Handover",W58&lt;&gt;"",X58&gt;=100),"Completed — on track",IF(L58="Remaining",IF(S58="",IF(V58="","No planned date",IF(TODAY()&gt;V58,"Behind — past planned date",IF(V58-TODAY()&lt;=30,"At risk — close to off track","On track"))),IF(TODAY()&gt;S58,"Behind — award date passed",IF(S58-TODAY()&lt;=30,"At risk — close to off track","On track"))),IF(V58="","No planned date",IF(AND(TODAY()&gt;V58,OR(X58="",X58&lt;100)),"Behind — past end date",IF(AND(R58&lt;&gt;"",V58&lt;&gt;"",X58&lt;&gt;"",(X58&lt;100),((TODAY()-R58)/MAX(V58-R58,1)*100)-X58&gt;15),"Behind — progress lag",IF(AND(V58-TODAY()&lt;=30,V58-TODAY()&gt;=0,OR(X58="",X58&lt;90)),"At risk — close to off track","On track"))))))))</t>
        </is>
      </c>
      <c r="AF58" s="38" t="inlineStr">
        <is>
          <t>IF(OR(E58="",AA58="Completed / Handover",AA58="Cancelled"),"",IF(L58="Remaining",IF(S58&lt;&gt;"",S58-TODAY(),IF(V58="","",V58-TODAY())),IF(V58="","",V58-TODAY())))</t>
        </is>
      </c>
      <c r="AG58" s="36" t="n"/>
      <c r="AH58" s="36" t="n"/>
      <c r="AI58" s="36" t="n"/>
      <c r="AJ58" s="36" t="n"/>
      <c r="AK58" s="36" t="n"/>
      <c r="AL58" s="36" t="n"/>
      <c r="AM58" s="36" t="n"/>
      <c r="AN58" s="36" t="n"/>
      <c r="AO58" s="36" t="n"/>
      <c r="AP58" s="36" t="n"/>
      <c r="AQ58" s="36" t="n"/>
      <c r="AR58" s="40" t="n"/>
      <c r="AS58" s="40" t="n"/>
      <c r="AT58" s="40" t="n"/>
      <c r="AU58" s="38" t="inlineStr">
        <is>
          <t>IF(OR(E58="",AH58=""),"",IF(COUNT(AG58:AG58)=0,"",AH58-LOOKUP(2,1/(AG58:AG58&lt;&gt;""),AG58:AG58)))</t>
        </is>
      </c>
      <c r="AV58" s="38" t="inlineStr">
        <is>
          <t>IF(OR(E58="",AI58=""),"",IF(COUNT(AG58:AH58)=0,"",AI58-LOOKUP(2,1/(AG58:AH58&lt;&gt;""),AG58:AH58)))</t>
        </is>
      </c>
      <c r="AW58" s="38" t="inlineStr">
        <is>
          <t>IF(OR(E58="",AJ58=""),"",IF(COUNT(AG58:AI58)=0,"",AJ58-LOOKUP(2,1/(AG58:AI58&lt;&gt;""),AG58:AI58)))</t>
        </is>
      </c>
      <c r="AX58" s="38" t="inlineStr">
        <is>
          <t>IF(OR(E58="",AK58=""),"",IF(COUNT(AG58:AJ58)=0,"",AK58-LOOKUP(2,1/(AG58:AJ58&lt;&gt;""),AG58:AJ58)))</t>
        </is>
      </c>
      <c r="AY58" s="38" t="inlineStr">
        <is>
          <t>IF(OR(E58="",AL58=""),"",IF(COUNT(AG58:AK58)=0,"",AL58-LOOKUP(2,1/(AG58:AK58&lt;&gt;""),AG58:AK58)))</t>
        </is>
      </c>
      <c r="AZ58" s="38" t="inlineStr">
        <is>
          <t>IF(OR(E58="",AM58=""),"",IF(COUNT(AG58:AL58)=0,"",AM58-LOOKUP(2,1/(AG58:AL58&lt;&gt;""),AG58:AL58)))</t>
        </is>
      </c>
      <c r="BA58" s="38" t="inlineStr">
        <is>
          <t>IF(OR(E58="",AN58=""),"",IF(COUNT(AG58:AM58)=0,"",AN58-LOOKUP(2,1/(AG58:AM58&lt;&gt;""),AG58:AM58)))</t>
        </is>
      </c>
      <c r="BB58" s="38" t="inlineStr">
        <is>
          <t>IF(OR(E58="",AO58=""),"",IF(COUNT(AG58:AN58)=0,"",AO58-LOOKUP(2,1/(AG58:AN58&lt;&gt;""),AG58:AN58)))</t>
        </is>
      </c>
      <c r="BC58" s="38" t="inlineStr">
        <is>
          <t>IF(OR(E58="",AP58=""),"",IF(COUNT(AG58:AO58)=0,"",AP58-LOOKUP(2,1/(AG58:AO58&lt;&gt;""),AG58:AO58)))</t>
        </is>
      </c>
      <c r="BD58" s="38" t="inlineStr">
        <is>
          <t>IF(OR(E58="",AQ58=""),"",IF(COUNT(AG58:AP58)=0,"",AQ58-LOOKUP(2,1/(AG58:AP58&lt;&gt;""),AG58:AP58)))</t>
        </is>
      </c>
      <c r="BE58" s="38" t="inlineStr">
        <is>
          <t>IF(OR(E58="",AR58=""),"",IF(COUNT(AG58:AQ58)=0,"",AR58-LOOKUP(2,1/(AG58:AQ58&lt;&gt;""),AG58:AQ58)))</t>
        </is>
      </c>
      <c r="BF58" s="38" t="inlineStr">
        <is>
          <t>IF(OR(E58="",AS58=""),"",IF(COUNT(AG58:AR58)=0,"",AS58-LOOKUP(2,1/(AG58:AR58&lt;&gt;""),AG58:AR58)))</t>
        </is>
      </c>
      <c r="BG58" s="38" t="inlineStr">
        <is>
          <t>IF(OR(E58="",AT58=""),"",IF(COUNT(AG58:AS58)=0,"",AT58-LOOKUP(2,1/(AG58:AS58&lt;&gt;""),AG58:AS58)))</t>
        </is>
      </c>
      <c r="BH58" s="41" t="inlineStr">
        <is>
          <t>IF(G58="","All_Provinces",IFERROR(VLOOKUP(G58,'07_Lookups'!$A$4:$B$20,2,FALSE),"All_Provinces"))</t>
        </is>
      </c>
      <c r="BI58" s="41" t="inlineStr">
        <is>
          <t>IF(H58="","All_Districts",IFERROR(VLOOKUP(H58,'07_Lookups'!$E$4:$F$42,2,FALSE),"All_Districts"))</t>
        </is>
      </c>
    </row>
    <row r="59" ht="18" customHeight="1">
      <c r="A59" s="32" t="inlineStr">
        <is>
          <t>IF(E59="","",ROW()-3)</t>
        </is>
      </c>
      <c r="B59" s="42" t="n"/>
      <c r="C59" s="42" t="n"/>
      <c r="D59" s="42" t="n"/>
      <c r="E59" s="42" t="n"/>
      <c r="F59" s="42" t="n"/>
      <c r="G59" s="42" t="n"/>
      <c r="H59" s="42" t="n"/>
      <c r="I59" s="42" t="n"/>
      <c r="J59" s="42" t="n"/>
      <c r="K59" s="42" t="n"/>
      <c r="L59" s="42" t="n"/>
      <c r="M59" s="42" t="n"/>
      <c r="N59" s="42" t="n"/>
      <c r="O59" s="42" t="n"/>
      <c r="P59" s="42" t="n"/>
      <c r="Q59" s="43" t="n"/>
      <c r="R59" s="35" t="inlineStr">
        <is>
          <t>IF(AO59="","",AO59)</t>
        </is>
      </c>
      <c r="S59" s="44" t="n"/>
      <c r="T59" s="45" t="n"/>
      <c r="U59" s="44" t="n"/>
      <c r="V59" s="35" t="inlineStr">
        <is>
          <t>IF(U59&lt;&gt;"",U59,IF(OR(R59="",T59=""),"",EDATE(R59,T59)))</t>
        </is>
      </c>
      <c r="W59" s="44" t="n"/>
      <c r="X59" s="45" t="n"/>
      <c r="Y59" s="42" t="n"/>
      <c r="Z59" s="42" t="n"/>
      <c r="AA59" s="32" t="inlineStr">
        <is>
          <t>IF(E59="","",IF(COUNT(AG59:AT59)=0,IF(Y59="","Not started",Y59),SUBSTITUTE(LOOKUP(2,1/(AG59:AT59&lt;&gt;""),$AG$3:$AT$3),"Date: ","")))</t>
        </is>
      </c>
      <c r="AB59" s="38" t="inlineStr">
        <is>
          <t>IF(OR(E59="",COUNT(AG59:AT59)=0),"",TODAY()-LOOKUP(2,1/(AG59:AT59&lt;&gt;""),AG59:AT59))</t>
        </is>
      </c>
      <c r="AC59" s="38" t="inlineStr">
        <is>
          <t>IF(OR(E59="",COUNT(AG59:AT59)&lt;2),"",LOOKUP(2,1/(AG59:AT59&lt;&gt;""),AG59:AT59)-MIN(AG59:AT59))</t>
        </is>
      </c>
      <c r="AD59" s="38" t="inlineStr">
        <is>
          <t>IF(OR(AB59="",AA59="Not started",AA59=""),"",IFERROR(AB59-IF(VLOOKUP(AA59,'04_Status_Pipeline'!$B$3:$E$20,4,FALSE)="",0,VLOOKUP(AA59,'04_Status_Pipeline'!$B$3:$E$20,4,FALSE)),""))</t>
        </is>
      </c>
      <c r="AE59" s="32" t="inlineStr">
        <is>
          <t>IF(E59="","",IF(OR(Y59="Cancelled",AA59="Cancelled"),"Cancelled",IF(OR(AA59="Completed / Handover",W59&lt;&gt;"",X59&gt;=100),"Completed — on track",IF(L59="Remaining",IF(S59="",IF(V59="","No planned date",IF(TODAY()&gt;V59,"Behind — past planned date",IF(V59-TODAY()&lt;=30,"At risk — close to off track","On track"))),IF(TODAY()&gt;S59,"Behind — award date passed",IF(S59-TODAY()&lt;=30,"At risk — close to off track","On track"))),IF(V59="","No planned date",IF(AND(TODAY()&gt;V59,OR(X59="",X59&lt;100)),"Behind — past end date",IF(AND(R59&lt;&gt;"",V59&lt;&gt;"",X59&lt;&gt;"",(X59&lt;100),((TODAY()-R59)/MAX(V59-R59,1)*100)-X59&gt;15),"Behind — progress lag",IF(AND(V59-TODAY()&lt;=30,V59-TODAY()&gt;=0,OR(X59="",X59&lt;90)),"At risk — close to off track","On track"))))))))</t>
        </is>
      </c>
      <c r="AF59" s="38" t="inlineStr">
        <is>
          <t>IF(OR(E59="",AA59="Completed / Handover",AA59="Cancelled"),"",IF(L59="Remaining",IF(S59&lt;&gt;"",S59-TODAY(),IF(V59="","",V59-TODAY())),IF(V59="","",V59-TODAY())))</t>
        </is>
      </c>
      <c r="AG59" s="44" t="n"/>
      <c r="AH59" s="44" t="n"/>
      <c r="AI59" s="44" t="n"/>
      <c r="AJ59" s="44" t="n"/>
      <c r="AK59" s="44" t="n"/>
      <c r="AL59" s="44" t="n"/>
      <c r="AM59" s="44" t="n"/>
      <c r="AN59" s="44" t="n"/>
      <c r="AO59" s="44" t="n"/>
      <c r="AP59" s="44" t="n"/>
      <c r="AQ59" s="44" t="n"/>
      <c r="AR59" s="40" t="n"/>
      <c r="AS59" s="40" t="n"/>
      <c r="AT59" s="40" t="n"/>
      <c r="AU59" s="38" t="inlineStr">
        <is>
          <t>IF(OR(E59="",AH59=""),"",IF(COUNT(AG59:AG59)=0,"",AH59-LOOKUP(2,1/(AG59:AG59&lt;&gt;""),AG59:AG59)))</t>
        </is>
      </c>
      <c r="AV59" s="38" t="inlineStr">
        <is>
          <t>IF(OR(E59="",AI59=""),"",IF(COUNT(AG59:AH59)=0,"",AI59-LOOKUP(2,1/(AG59:AH59&lt;&gt;""),AG59:AH59)))</t>
        </is>
      </c>
      <c r="AW59" s="38" t="inlineStr">
        <is>
          <t>IF(OR(E59="",AJ59=""),"",IF(COUNT(AG59:AI59)=0,"",AJ59-LOOKUP(2,1/(AG59:AI59&lt;&gt;""),AG59:AI59)))</t>
        </is>
      </c>
      <c r="AX59" s="38" t="inlineStr">
        <is>
          <t>IF(OR(E59="",AK59=""),"",IF(COUNT(AG59:AJ59)=0,"",AK59-LOOKUP(2,1/(AG59:AJ59&lt;&gt;""),AG59:AJ59)))</t>
        </is>
      </c>
      <c r="AY59" s="38" t="inlineStr">
        <is>
          <t>IF(OR(E59="",AL59=""),"",IF(COUNT(AG59:AK59)=0,"",AL59-LOOKUP(2,1/(AG59:AK59&lt;&gt;""),AG59:AK59)))</t>
        </is>
      </c>
      <c r="AZ59" s="38" t="inlineStr">
        <is>
          <t>IF(OR(E59="",AM59=""),"",IF(COUNT(AG59:AL59)=0,"",AM59-LOOKUP(2,1/(AG59:AL59&lt;&gt;""),AG59:AL59)))</t>
        </is>
      </c>
      <c r="BA59" s="38" t="inlineStr">
        <is>
          <t>IF(OR(E59="",AN59=""),"",IF(COUNT(AG59:AM59)=0,"",AN59-LOOKUP(2,1/(AG59:AM59&lt;&gt;""),AG59:AM59)))</t>
        </is>
      </c>
      <c r="BB59" s="38" t="inlineStr">
        <is>
          <t>IF(OR(E59="",AO59=""),"",IF(COUNT(AG59:AN59)=0,"",AO59-LOOKUP(2,1/(AG59:AN59&lt;&gt;""),AG59:AN59)))</t>
        </is>
      </c>
      <c r="BC59" s="38" t="inlineStr">
        <is>
          <t>IF(OR(E59="",AP59=""),"",IF(COUNT(AG59:AO59)=0,"",AP59-LOOKUP(2,1/(AG59:AO59&lt;&gt;""),AG59:AO59)))</t>
        </is>
      </c>
      <c r="BD59" s="38" t="inlineStr">
        <is>
          <t>IF(OR(E59="",AQ59=""),"",IF(COUNT(AG59:AP59)=0,"",AQ59-LOOKUP(2,1/(AG59:AP59&lt;&gt;""),AG59:AP59)))</t>
        </is>
      </c>
      <c r="BE59" s="38" t="inlineStr">
        <is>
          <t>IF(OR(E59="",AR59=""),"",IF(COUNT(AG59:AQ59)=0,"",AR59-LOOKUP(2,1/(AG59:AQ59&lt;&gt;""),AG59:AQ59)))</t>
        </is>
      </c>
      <c r="BF59" s="38" t="inlineStr">
        <is>
          <t>IF(OR(E59="",AS59=""),"",IF(COUNT(AG59:AR59)=0,"",AS59-LOOKUP(2,1/(AG59:AR59&lt;&gt;""),AG59:AR59)))</t>
        </is>
      </c>
      <c r="BG59" s="38" t="inlineStr">
        <is>
          <t>IF(OR(E59="",AT59=""),"",IF(COUNT(AG59:AS59)=0,"",AT59-LOOKUP(2,1/(AG59:AS59&lt;&gt;""),AG59:AS59)))</t>
        </is>
      </c>
      <c r="BH59" s="41" t="inlineStr">
        <is>
          <t>IF(G59="","All_Provinces",IFERROR(VLOOKUP(G59,'07_Lookups'!$A$4:$B$20,2,FALSE),"All_Provinces"))</t>
        </is>
      </c>
      <c r="BI59" s="41" t="inlineStr">
        <is>
          <t>IF(H59="","All_Districts",IFERROR(VLOOKUP(H59,'07_Lookups'!$E$4:$F$42,2,FALSE),"All_Districts"))</t>
        </is>
      </c>
    </row>
    <row r="60" ht="18" customHeight="1">
      <c r="A60" s="32" t="inlineStr">
        <is>
          <t>IF(E60="","",ROW()-3)</t>
        </is>
      </c>
      <c r="B60" s="33" t="n"/>
      <c r="C60" s="33" t="n"/>
      <c r="D60" s="33" t="n"/>
      <c r="E60" s="33" t="n"/>
      <c r="F60" s="33" t="n"/>
      <c r="G60" s="33" t="n"/>
      <c r="H60" s="33" t="n"/>
      <c r="I60" s="33" t="n"/>
      <c r="J60" s="33" t="n"/>
      <c r="K60" s="33" t="n"/>
      <c r="L60" s="33" t="n"/>
      <c r="M60" s="33" t="n"/>
      <c r="N60" s="33" t="n"/>
      <c r="O60" s="33" t="n"/>
      <c r="P60" s="33" t="n"/>
      <c r="Q60" s="34" t="n"/>
      <c r="R60" s="35" t="inlineStr">
        <is>
          <t>IF(AO60="","",AO60)</t>
        </is>
      </c>
      <c r="S60" s="36" t="n"/>
      <c r="T60" s="37" t="n"/>
      <c r="U60" s="36" t="n"/>
      <c r="V60" s="35" t="inlineStr">
        <is>
          <t>IF(U60&lt;&gt;"",U60,IF(OR(R60="",T60=""),"",EDATE(R60,T60)))</t>
        </is>
      </c>
      <c r="W60" s="36" t="n"/>
      <c r="X60" s="37" t="n"/>
      <c r="Y60" s="33" t="n"/>
      <c r="Z60" s="33" t="n"/>
      <c r="AA60" s="32" t="inlineStr">
        <is>
          <t>IF(E60="","",IF(COUNT(AG60:AT60)=0,IF(Y60="","Not started",Y60),SUBSTITUTE(LOOKUP(2,1/(AG60:AT60&lt;&gt;""),$AG$3:$AT$3),"Date: ","")))</t>
        </is>
      </c>
      <c r="AB60" s="38" t="inlineStr">
        <is>
          <t>IF(OR(E60="",COUNT(AG60:AT60)=0),"",TODAY()-LOOKUP(2,1/(AG60:AT60&lt;&gt;""),AG60:AT60))</t>
        </is>
      </c>
      <c r="AC60" s="38" t="inlineStr">
        <is>
          <t>IF(OR(E60="",COUNT(AG60:AT60)&lt;2),"",LOOKUP(2,1/(AG60:AT60&lt;&gt;""),AG60:AT60)-MIN(AG60:AT60))</t>
        </is>
      </c>
      <c r="AD60" s="38" t="inlineStr">
        <is>
          <t>IF(OR(AB60="",AA60="Not started",AA60=""),"",IFERROR(AB60-IF(VLOOKUP(AA60,'04_Status_Pipeline'!$B$3:$E$20,4,FALSE)="",0,VLOOKUP(AA60,'04_Status_Pipeline'!$B$3:$E$20,4,FALSE)),""))</t>
        </is>
      </c>
      <c r="AE60" s="32" t="inlineStr">
        <is>
          <t>IF(E60="","",IF(OR(Y60="Cancelled",AA60="Cancelled"),"Cancelled",IF(OR(AA60="Completed / Handover",W60&lt;&gt;"",X60&gt;=100),"Completed — on track",IF(L60="Remaining",IF(S60="",IF(V60="","No planned date",IF(TODAY()&gt;V60,"Behind — past planned date",IF(V60-TODAY()&lt;=30,"At risk — close to off track","On track"))),IF(TODAY()&gt;S60,"Behind — award date passed",IF(S60-TODAY()&lt;=30,"At risk — close to off track","On track"))),IF(V60="","No planned date",IF(AND(TODAY()&gt;V60,OR(X60="",X60&lt;100)),"Behind — past end date",IF(AND(R60&lt;&gt;"",V60&lt;&gt;"",X60&lt;&gt;"",(X60&lt;100),((TODAY()-R60)/MAX(V60-R60,1)*100)-X60&gt;15),"Behind — progress lag",IF(AND(V60-TODAY()&lt;=30,V60-TODAY()&gt;=0,OR(X60="",X60&lt;90)),"At risk — close to off track","On track"))))))))</t>
        </is>
      </c>
      <c r="AF60" s="38" t="inlineStr">
        <is>
          <t>IF(OR(E60="",AA60="Completed / Handover",AA60="Cancelled"),"",IF(L60="Remaining",IF(S60&lt;&gt;"",S60-TODAY(),IF(V60="","",V60-TODAY())),IF(V60="","",V60-TODAY())))</t>
        </is>
      </c>
      <c r="AG60" s="36" t="n"/>
      <c r="AH60" s="36" t="n"/>
      <c r="AI60" s="36" t="n"/>
      <c r="AJ60" s="36" t="n"/>
      <c r="AK60" s="36" t="n"/>
      <c r="AL60" s="36" t="n"/>
      <c r="AM60" s="36" t="n"/>
      <c r="AN60" s="36" t="n"/>
      <c r="AO60" s="36" t="n"/>
      <c r="AP60" s="36" t="n"/>
      <c r="AQ60" s="36" t="n"/>
      <c r="AR60" s="40" t="n"/>
      <c r="AS60" s="40" t="n"/>
      <c r="AT60" s="40" t="n"/>
      <c r="AU60" s="38" t="inlineStr">
        <is>
          <t>IF(OR(E60="",AH60=""),"",IF(COUNT(AG60:AG60)=0,"",AH60-LOOKUP(2,1/(AG60:AG60&lt;&gt;""),AG60:AG60)))</t>
        </is>
      </c>
      <c r="AV60" s="38" t="inlineStr">
        <is>
          <t>IF(OR(E60="",AI60=""),"",IF(COUNT(AG60:AH60)=0,"",AI60-LOOKUP(2,1/(AG60:AH60&lt;&gt;""),AG60:AH60)))</t>
        </is>
      </c>
      <c r="AW60" s="38" t="inlineStr">
        <is>
          <t>IF(OR(E60="",AJ60=""),"",IF(COUNT(AG60:AI60)=0,"",AJ60-LOOKUP(2,1/(AG60:AI60&lt;&gt;""),AG60:AI60)))</t>
        </is>
      </c>
      <c r="AX60" s="38" t="inlineStr">
        <is>
          <t>IF(OR(E60="",AK60=""),"",IF(COUNT(AG60:AJ60)=0,"",AK60-LOOKUP(2,1/(AG60:AJ60&lt;&gt;""),AG60:AJ60)))</t>
        </is>
      </c>
      <c r="AY60" s="38" t="inlineStr">
        <is>
          <t>IF(OR(E60="",AL60=""),"",IF(COUNT(AG60:AK60)=0,"",AL60-LOOKUP(2,1/(AG60:AK60&lt;&gt;""),AG60:AK60)))</t>
        </is>
      </c>
      <c r="AZ60" s="38" t="inlineStr">
        <is>
          <t>IF(OR(E60="",AM60=""),"",IF(COUNT(AG60:AL60)=0,"",AM60-LOOKUP(2,1/(AG60:AL60&lt;&gt;""),AG60:AL60)))</t>
        </is>
      </c>
      <c r="BA60" s="38" t="inlineStr">
        <is>
          <t>IF(OR(E60="",AN60=""),"",IF(COUNT(AG60:AM60)=0,"",AN60-LOOKUP(2,1/(AG60:AM60&lt;&gt;""),AG60:AM60)))</t>
        </is>
      </c>
      <c r="BB60" s="38" t="inlineStr">
        <is>
          <t>IF(OR(E60="",AO60=""),"",IF(COUNT(AG60:AN60)=0,"",AO60-LOOKUP(2,1/(AG60:AN60&lt;&gt;""),AG60:AN60)))</t>
        </is>
      </c>
      <c r="BC60" s="38" t="inlineStr">
        <is>
          <t>IF(OR(E60="",AP60=""),"",IF(COUNT(AG60:AO60)=0,"",AP60-LOOKUP(2,1/(AG60:AO60&lt;&gt;""),AG60:AO60)))</t>
        </is>
      </c>
      <c r="BD60" s="38" t="inlineStr">
        <is>
          <t>IF(OR(E60="",AQ60=""),"",IF(COUNT(AG60:AP60)=0,"",AQ60-LOOKUP(2,1/(AG60:AP60&lt;&gt;""),AG60:AP60)))</t>
        </is>
      </c>
      <c r="BE60" s="38" t="inlineStr">
        <is>
          <t>IF(OR(E60="",AR60=""),"",IF(COUNT(AG60:AQ60)=0,"",AR60-LOOKUP(2,1/(AG60:AQ60&lt;&gt;""),AG60:AQ60)))</t>
        </is>
      </c>
      <c r="BF60" s="38" t="inlineStr">
        <is>
          <t>IF(OR(E60="",AS60=""),"",IF(COUNT(AG60:AR60)=0,"",AS60-LOOKUP(2,1/(AG60:AR60&lt;&gt;""),AG60:AR60)))</t>
        </is>
      </c>
      <c r="BG60" s="38" t="inlineStr">
        <is>
          <t>IF(OR(E60="",AT60=""),"",IF(COUNT(AG60:AS60)=0,"",AT60-LOOKUP(2,1/(AG60:AS60&lt;&gt;""),AG60:AS60)))</t>
        </is>
      </c>
      <c r="BH60" s="41" t="inlineStr">
        <is>
          <t>IF(G60="","All_Provinces",IFERROR(VLOOKUP(G60,'07_Lookups'!$A$4:$B$20,2,FALSE),"All_Provinces"))</t>
        </is>
      </c>
      <c r="BI60" s="41" t="inlineStr">
        <is>
          <t>IF(H60="","All_Districts",IFERROR(VLOOKUP(H60,'07_Lookups'!$E$4:$F$42,2,FALSE),"All_Districts"))</t>
        </is>
      </c>
    </row>
    <row r="61" ht="18" customHeight="1">
      <c r="A61" s="32" t="inlineStr">
        <is>
          <t>IF(E61="","",ROW()-3)</t>
        </is>
      </c>
      <c r="B61" s="42" t="n"/>
      <c r="C61" s="42" t="n"/>
      <c r="D61" s="42" t="n"/>
      <c r="E61" s="42" t="n"/>
      <c r="F61" s="42" t="n"/>
      <c r="G61" s="42" t="n"/>
      <c r="H61" s="42" t="n"/>
      <c r="I61" s="42" t="n"/>
      <c r="J61" s="42" t="n"/>
      <c r="K61" s="42" t="n"/>
      <c r="L61" s="42" t="n"/>
      <c r="M61" s="42" t="n"/>
      <c r="N61" s="42" t="n"/>
      <c r="O61" s="42" t="n"/>
      <c r="P61" s="42" t="n"/>
      <c r="Q61" s="43" t="n"/>
      <c r="R61" s="35" t="inlineStr">
        <is>
          <t>IF(AO61="","",AO61)</t>
        </is>
      </c>
      <c r="S61" s="44" t="n"/>
      <c r="T61" s="45" t="n"/>
      <c r="U61" s="44" t="n"/>
      <c r="V61" s="35" t="inlineStr">
        <is>
          <t>IF(U61&lt;&gt;"",U61,IF(OR(R61="",T61=""),"",EDATE(R61,T61)))</t>
        </is>
      </c>
      <c r="W61" s="44" t="n"/>
      <c r="X61" s="45" t="n"/>
      <c r="Y61" s="42" t="n"/>
      <c r="Z61" s="42" t="n"/>
      <c r="AA61" s="32" t="inlineStr">
        <is>
          <t>IF(E61="","",IF(COUNT(AG61:AT61)=0,IF(Y61="","Not started",Y61),SUBSTITUTE(LOOKUP(2,1/(AG61:AT61&lt;&gt;""),$AG$3:$AT$3),"Date: ","")))</t>
        </is>
      </c>
      <c r="AB61" s="38" t="inlineStr">
        <is>
          <t>IF(OR(E61="",COUNT(AG61:AT61)=0),"",TODAY()-LOOKUP(2,1/(AG61:AT61&lt;&gt;""),AG61:AT61))</t>
        </is>
      </c>
      <c r="AC61" s="38" t="inlineStr">
        <is>
          <t>IF(OR(E61="",COUNT(AG61:AT61)&lt;2),"",LOOKUP(2,1/(AG61:AT61&lt;&gt;""),AG61:AT61)-MIN(AG61:AT61))</t>
        </is>
      </c>
      <c r="AD61" s="38" t="inlineStr">
        <is>
          <t>IF(OR(AB61="",AA61="Not started",AA61=""),"",IFERROR(AB61-IF(VLOOKUP(AA61,'04_Status_Pipeline'!$B$3:$E$20,4,FALSE)="",0,VLOOKUP(AA61,'04_Status_Pipeline'!$B$3:$E$20,4,FALSE)),""))</t>
        </is>
      </c>
      <c r="AE61" s="32" t="inlineStr">
        <is>
          <t>IF(E61="","",IF(OR(Y61="Cancelled",AA61="Cancelled"),"Cancelled",IF(OR(AA61="Completed / Handover",W61&lt;&gt;"",X61&gt;=100),"Completed — on track",IF(L61="Remaining",IF(S61="",IF(V61="","No planned date",IF(TODAY()&gt;V61,"Behind — past planned date",IF(V61-TODAY()&lt;=30,"At risk — close to off track","On track"))),IF(TODAY()&gt;S61,"Behind — award date passed",IF(S61-TODAY()&lt;=30,"At risk — close to off track","On track"))),IF(V61="","No planned date",IF(AND(TODAY()&gt;V61,OR(X61="",X61&lt;100)),"Behind — past end date",IF(AND(R61&lt;&gt;"",V61&lt;&gt;"",X61&lt;&gt;"",(X61&lt;100),((TODAY()-R61)/MAX(V61-R61,1)*100)-X61&gt;15),"Behind — progress lag",IF(AND(V61-TODAY()&lt;=30,V61-TODAY()&gt;=0,OR(X61="",X61&lt;90)),"At risk — close to off track","On track"))))))))</t>
        </is>
      </c>
      <c r="AF61" s="38" t="inlineStr">
        <is>
          <t>IF(OR(E61="",AA61="Completed / Handover",AA61="Cancelled"),"",IF(L61="Remaining",IF(S61&lt;&gt;"",S61-TODAY(),IF(V61="","",V61-TODAY())),IF(V61="","",V61-TODAY())))</t>
        </is>
      </c>
      <c r="AG61" s="44" t="n"/>
      <c r="AH61" s="44" t="n"/>
      <c r="AI61" s="44" t="n"/>
      <c r="AJ61" s="44" t="n"/>
      <c r="AK61" s="44" t="n"/>
      <c r="AL61" s="44" t="n"/>
      <c r="AM61" s="44" t="n"/>
      <c r="AN61" s="44" t="n"/>
      <c r="AO61" s="44" t="n"/>
      <c r="AP61" s="44" t="n"/>
      <c r="AQ61" s="44" t="n"/>
      <c r="AR61" s="40" t="n"/>
      <c r="AS61" s="40" t="n"/>
      <c r="AT61" s="40" t="n"/>
      <c r="AU61" s="38" t="inlineStr">
        <is>
          <t>IF(OR(E61="",AH61=""),"",IF(COUNT(AG61:AG61)=0,"",AH61-LOOKUP(2,1/(AG61:AG61&lt;&gt;""),AG61:AG61)))</t>
        </is>
      </c>
      <c r="AV61" s="38" t="inlineStr">
        <is>
          <t>IF(OR(E61="",AI61=""),"",IF(COUNT(AG61:AH61)=0,"",AI61-LOOKUP(2,1/(AG61:AH61&lt;&gt;""),AG61:AH61)))</t>
        </is>
      </c>
      <c r="AW61" s="38" t="inlineStr">
        <is>
          <t>IF(OR(E61="",AJ61=""),"",IF(COUNT(AG61:AI61)=0,"",AJ61-LOOKUP(2,1/(AG61:AI61&lt;&gt;""),AG61:AI61)))</t>
        </is>
      </c>
      <c r="AX61" s="38" t="inlineStr">
        <is>
          <t>IF(OR(E61="",AK61=""),"",IF(COUNT(AG61:AJ61)=0,"",AK61-LOOKUP(2,1/(AG61:AJ61&lt;&gt;""),AG61:AJ61)))</t>
        </is>
      </c>
      <c r="AY61" s="38" t="inlineStr">
        <is>
          <t>IF(OR(E61="",AL61=""),"",IF(COUNT(AG61:AK61)=0,"",AL61-LOOKUP(2,1/(AG61:AK61&lt;&gt;""),AG61:AK61)))</t>
        </is>
      </c>
      <c r="AZ61" s="38" t="inlineStr">
        <is>
          <t>IF(OR(E61="",AM61=""),"",IF(COUNT(AG61:AL61)=0,"",AM61-LOOKUP(2,1/(AG61:AL61&lt;&gt;""),AG61:AL61)))</t>
        </is>
      </c>
      <c r="BA61" s="38" t="inlineStr">
        <is>
          <t>IF(OR(E61="",AN61=""),"",IF(COUNT(AG61:AM61)=0,"",AN61-LOOKUP(2,1/(AG61:AM61&lt;&gt;""),AG61:AM61)))</t>
        </is>
      </c>
      <c r="BB61" s="38" t="inlineStr">
        <is>
          <t>IF(OR(E61="",AO61=""),"",IF(COUNT(AG61:AN61)=0,"",AO61-LOOKUP(2,1/(AG61:AN61&lt;&gt;""),AG61:AN61)))</t>
        </is>
      </c>
      <c r="BC61" s="38" t="inlineStr">
        <is>
          <t>IF(OR(E61="",AP61=""),"",IF(COUNT(AG61:AO61)=0,"",AP61-LOOKUP(2,1/(AG61:AO61&lt;&gt;""),AG61:AO61)))</t>
        </is>
      </c>
      <c r="BD61" s="38" t="inlineStr">
        <is>
          <t>IF(OR(E61="",AQ61=""),"",IF(COUNT(AG61:AP61)=0,"",AQ61-LOOKUP(2,1/(AG61:AP61&lt;&gt;""),AG61:AP61)))</t>
        </is>
      </c>
      <c r="BE61" s="38" t="inlineStr">
        <is>
          <t>IF(OR(E61="",AR61=""),"",IF(COUNT(AG61:AQ61)=0,"",AR61-LOOKUP(2,1/(AG61:AQ61&lt;&gt;""),AG61:AQ61)))</t>
        </is>
      </c>
      <c r="BF61" s="38" t="inlineStr">
        <is>
          <t>IF(OR(E61="",AS61=""),"",IF(COUNT(AG61:AR61)=0,"",AS61-LOOKUP(2,1/(AG61:AR61&lt;&gt;""),AG61:AR61)))</t>
        </is>
      </c>
      <c r="BG61" s="38" t="inlineStr">
        <is>
          <t>IF(OR(E61="",AT61=""),"",IF(COUNT(AG61:AS61)=0,"",AT61-LOOKUP(2,1/(AG61:AS61&lt;&gt;""),AG61:AS61)))</t>
        </is>
      </c>
      <c r="BH61" s="41" t="inlineStr">
        <is>
          <t>IF(G61="","All_Provinces",IFERROR(VLOOKUP(G61,'07_Lookups'!$A$4:$B$20,2,FALSE),"All_Provinces"))</t>
        </is>
      </c>
      <c r="BI61" s="41" t="inlineStr">
        <is>
          <t>IF(H61="","All_Districts",IFERROR(VLOOKUP(H61,'07_Lookups'!$E$4:$F$42,2,FALSE),"All_Districts"))</t>
        </is>
      </c>
    </row>
    <row r="62" ht="18" customHeight="1">
      <c r="A62" s="32" t="inlineStr">
        <is>
          <t>IF(E62="","",ROW()-3)</t>
        </is>
      </c>
      <c r="B62" s="33" t="n"/>
      <c r="C62" s="33" t="n"/>
      <c r="D62" s="33" t="n"/>
      <c r="E62" s="33" t="n"/>
      <c r="F62" s="33" t="n"/>
      <c r="G62" s="33" t="n"/>
      <c r="H62" s="33" t="n"/>
      <c r="I62" s="33" t="n"/>
      <c r="J62" s="33" t="n"/>
      <c r="K62" s="33" t="n"/>
      <c r="L62" s="33" t="n"/>
      <c r="M62" s="33" t="n"/>
      <c r="N62" s="33" t="n"/>
      <c r="O62" s="33" t="n"/>
      <c r="P62" s="33" t="n"/>
      <c r="Q62" s="34" t="n"/>
      <c r="R62" s="35" t="inlineStr">
        <is>
          <t>IF(AO62="","",AO62)</t>
        </is>
      </c>
      <c r="S62" s="36" t="n"/>
      <c r="T62" s="37" t="n"/>
      <c r="U62" s="36" t="n"/>
      <c r="V62" s="35" t="inlineStr">
        <is>
          <t>IF(U62&lt;&gt;"",U62,IF(OR(R62="",T62=""),"",EDATE(R62,T62)))</t>
        </is>
      </c>
      <c r="W62" s="36" t="n"/>
      <c r="X62" s="37" t="n"/>
      <c r="Y62" s="33" t="n"/>
      <c r="Z62" s="33" t="n"/>
      <c r="AA62" s="32" t="inlineStr">
        <is>
          <t>IF(E62="","",IF(COUNT(AG62:AT62)=0,IF(Y62="","Not started",Y62),SUBSTITUTE(LOOKUP(2,1/(AG62:AT62&lt;&gt;""),$AG$3:$AT$3),"Date: ","")))</t>
        </is>
      </c>
      <c r="AB62" s="38" t="inlineStr">
        <is>
          <t>IF(OR(E62="",COUNT(AG62:AT62)=0),"",TODAY()-LOOKUP(2,1/(AG62:AT62&lt;&gt;""),AG62:AT62))</t>
        </is>
      </c>
      <c r="AC62" s="38" t="inlineStr">
        <is>
          <t>IF(OR(E62="",COUNT(AG62:AT62)&lt;2),"",LOOKUP(2,1/(AG62:AT62&lt;&gt;""),AG62:AT62)-MIN(AG62:AT62))</t>
        </is>
      </c>
      <c r="AD62" s="38" t="inlineStr">
        <is>
          <t>IF(OR(AB62="",AA62="Not started",AA62=""),"",IFERROR(AB62-IF(VLOOKUP(AA62,'04_Status_Pipeline'!$B$3:$E$20,4,FALSE)="",0,VLOOKUP(AA62,'04_Status_Pipeline'!$B$3:$E$20,4,FALSE)),""))</t>
        </is>
      </c>
      <c r="AE62" s="32" t="inlineStr">
        <is>
          <t>IF(E62="","",IF(OR(Y62="Cancelled",AA62="Cancelled"),"Cancelled",IF(OR(AA62="Completed / Handover",W62&lt;&gt;"",X62&gt;=100),"Completed — on track",IF(L62="Remaining",IF(S62="",IF(V62="","No planned date",IF(TODAY()&gt;V62,"Behind — past planned date",IF(V62-TODAY()&lt;=30,"At risk — close to off track","On track"))),IF(TODAY()&gt;S62,"Behind — award date passed",IF(S62-TODAY()&lt;=30,"At risk — close to off track","On track"))),IF(V62="","No planned date",IF(AND(TODAY()&gt;V62,OR(X62="",X62&lt;100)),"Behind — past end date",IF(AND(R62&lt;&gt;"",V62&lt;&gt;"",X62&lt;&gt;"",(X62&lt;100),((TODAY()-R62)/MAX(V62-R62,1)*100)-X62&gt;15),"Behind — progress lag",IF(AND(V62-TODAY()&lt;=30,V62-TODAY()&gt;=0,OR(X62="",X62&lt;90)),"At risk — close to off track","On track"))))))))</t>
        </is>
      </c>
      <c r="AF62" s="38" t="inlineStr">
        <is>
          <t>IF(OR(E62="",AA62="Completed / Handover",AA62="Cancelled"),"",IF(L62="Remaining",IF(S62&lt;&gt;"",S62-TODAY(),IF(V62="","",V62-TODAY())),IF(V62="","",V62-TODAY())))</t>
        </is>
      </c>
      <c r="AG62" s="36" t="n"/>
      <c r="AH62" s="36" t="n"/>
      <c r="AI62" s="36" t="n"/>
      <c r="AJ62" s="36" t="n"/>
      <c r="AK62" s="36" t="n"/>
      <c r="AL62" s="36" t="n"/>
      <c r="AM62" s="36" t="n"/>
      <c r="AN62" s="36" t="n"/>
      <c r="AO62" s="36" t="n"/>
      <c r="AP62" s="36" t="n"/>
      <c r="AQ62" s="36" t="n"/>
      <c r="AR62" s="40" t="n"/>
      <c r="AS62" s="40" t="n"/>
      <c r="AT62" s="40" t="n"/>
      <c r="AU62" s="38" t="inlineStr">
        <is>
          <t>IF(OR(E62="",AH62=""),"",IF(COUNT(AG62:AG62)=0,"",AH62-LOOKUP(2,1/(AG62:AG62&lt;&gt;""),AG62:AG62)))</t>
        </is>
      </c>
      <c r="AV62" s="38" t="inlineStr">
        <is>
          <t>IF(OR(E62="",AI62=""),"",IF(COUNT(AG62:AH62)=0,"",AI62-LOOKUP(2,1/(AG62:AH62&lt;&gt;""),AG62:AH62)))</t>
        </is>
      </c>
      <c r="AW62" s="38" t="inlineStr">
        <is>
          <t>IF(OR(E62="",AJ62=""),"",IF(COUNT(AG62:AI62)=0,"",AJ62-LOOKUP(2,1/(AG62:AI62&lt;&gt;""),AG62:AI62)))</t>
        </is>
      </c>
      <c r="AX62" s="38" t="inlineStr">
        <is>
          <t>IF(OR(E62="",AK62=""),"",IF(COUNT(AG62:AJ62)=0,"",AK62-LOOKUP(2,1/(AG62:AJ62&lt;&gt;""),AG62:AJ62)))</t>
        </is>
      </c>
      <c r="AY62" s="38" t="inlineStr">
        <is>
          <t>IF(OR(E62="",AL62=""),"",IF(COUNT(AG62:AK62)=0,"",AL62-LOOKUP(2,1/(AG62:AK62&lt;&gt;""),AG62:AK62)))</t>
        </is>
      </c>
      <c r="AZ62" s="38" t="inlineStr">
        <is>
          <t>IF(OR(E62="",AM62=""),"",IF(COUNT(AG62:AL62)=0,"",AM62-LOOKUP(2,1/(AG62:AL62&lt;&gt;""),AG62:AL62)))</t>
        </is>
      </c>
      <c r="BA62" s="38" t="inlineStr">
        <is>
          <t>IF(OR(E62="",AN62=""),"",IF(COUNT(AG62:AM62)=0,"",AN62-LOOKUP(2,1/(AG62:AM62&lt;&gt;""),AG62:AM62)))</t>
        </is>
      </c>
      <c r="BB62" s="38" t="inlineStr">
        <is>
          <t>IF(OR(E62="",AO62=""),"",IF(COUNT(AG62:AN62)=0,"",AO62-LOOKUP(2,1/(AG62:AN62&lt;&gt;""),AG62:AN62)))</t>
        </is>
      </c>
      <c r="BC62" s="38" t="inlineStr">
        <is>
          <t>IF(OR(E62="",AP62=""),"",IF(COUNT(AG62:AO62)=0,"",AP62-LOOKUP(2,1/(AG62:AO62&lt;&gt;""),AG62:AO62)))</t>
        </is>
      </c>
      <c r="BD62" s="38" t="inlineStr">
        <is>
          <t>IF(OR(E62="",AQ62=""),"",IF(COUNT(AG62:AP62)=0,"",AQ62-LOOKUP(2,1/(AG62:AP62&lt;&gt;""),AG62:AP62)))</t>
        </is>
      </c>
      <c r="BE62" s="38" t="inlineStr">
        <is>
          <t>IF(OR(E62="",AR62=""),"",IF(COUNT(AG62:AQ62)=0,"",AR62-LOOKUP(2,1/(AG62:AQ62&lt;&gt;""),AG62:AQ62)))</t>
        </is>
      </c>
      <c r="BF62" s="38" t="inlineStr">
        <is>
          <t>IF(OR(E62="",AS62=""),"",IF(COUNT(AG62:AR62)=0,"",AS62-LOOKUP(2,1/(AG62:AR62&lt;&gt;""),AG62:AR62)))</t>
        </is>
      </c>
      <c r="BG62" s="38" t="inlineStr">
        <is>
          <t>IF(OR(E62="",AT62=""),"",IF(COUNT(AG62:AS62)=0,"",AT62-LOOKUP(2,1/(AG62:AS62&lt;&gt;""),AG62:AS62)))</t>
        </is>
      </c>
      <c r="BH62" s="41" t="inlineStr">
        <is>
          <t>IF(G62="","All_Provinces",IFERROR(VLOOKUP(G62,'07_Lookups'!$A$4:$B$20,2,FALSE),"All_Provinces"))</t>
        </is>
      </c>
      <c r="BI62" s="41" t="inlineStr">
        <is>
          <t>IF(H62="","All_Districts",IFERROR(VLOOKUP(H62,'07_Lookups'!$E$4:$F$42,2,FALSE),"All_Districts"))</t>
        </is>
      </c>
    </row>
    <row r="63" ht="18" customHeight="1">
      <c r="A63" s="32" t="inlineStr">
        <is>
          <t>IF(E63="","",ROW()-3)</t>
        </is>
      </c>
      <c r="B63" s="42" t="n"/>
      <c r="C63" s="42" t="n"/>
      <c r="D63" s="42" t="n"/>
      <c r="E63" s="42" t="n"/>
      <c r="F63" s="42" t="n"/>
      <c r="G63" s="42" t="n"/>
      <c r="H63" s="42" t="n"/>
      <c r="I63" s="42" t="n"/>
      <c r="J63" s="42" t="n"/>
      <c r="K63" s="42" t="n"/>
      <c r="L63" s="42" t="n"/>
      <c r="M63" s="42" t="n"/>
      <c r="N63" s="42" t="n"/>
      <c r="O63" s="42" t="n"/>
      <c r="P63" s="42" t="n"/>
      <c r="Q63" s="43" t="n"/>
      <c r="R63" s="35" t="inlineStr">
        <is>
          <t>IF(AO63="","",AO63)</t>
        </is>
      </c>
      <c r="S63" s="44" t="n"/>
      <c r="T63" s="45" t="n"/>
      <c r="U63" s="44" t="n"/>
      <c r="V63" s="35" t="inlineStr">
        <is>
          <t>IF(U63&lt;&gt;"",U63,IF(OR(R63="",T63=""),"",EDATE(R63,T63)))</t>
        </is>
      </c>
      <c r="W63" s="44" t="n"/>
      <c r="X63" s="45" t="n"/>
      <c r="Y63" s="42" t="n"/>
      <c r="Z63" s="42" t="n"/>
      <c r="AA63" s="32" t="inlineStr">
        <is>
          <t>IF(E63="","",IF(COUNT(AG63:AT63)=0,IF(Y63="","Not started",Y63),SUBSTITUTE(LOOKUP(2,1/(AG63:AT63&lt;&gt;""),$AG$3:$AT$3),"Date: ","")))</t>
        </is>
      </c>
      <c r="AB63" s="38" t="inlineStr">
        <is>
          <t>IF(OR(E63="",COUNT(AG63:AT63)=0),"",TODAY()-LOOKUP(2,1/(AG63:AT63&lt;&gt;""),AG63:AT63))</t>
        </is>
      </c>
      <c r="AC63" s="38" t="inlineStr">
        <is>
          <t>IF(OR(E63="",COUNT(AG63:AT63)&lt;2),"",LOOKUP(2,1/(AG63:AT63&lt;&gt;""),AG63:AT63)-MIN(AG63:AT63))</t>
        </is>
      </c>
      <c r="AD63" s="38" t="inlineStr">
        <is>
          <t>IF(OR(AB63="",AA63="Not started",AA63=""),"",IFERROR(AB63-IF(VLOOKUP(AA63,'04_Status_Pipeline'!$B$3:$E$20,4,FALSE)="",0,VLOOKUP(AA63,'04_Status_Pipeline'!$B$3:$E$20,4,FALSE)),""))</t>
        </is>
      </c>
      <c r="AE63" s="32" t="inlineStr">
        <is>
          <t>IF(E63="","",IF(OR(Y63="Cancelled",AA63="Cancelled"),"Cancelled",IF(OR(AA63="Completed / Handover",W63&lt;&gt;"",X63&gt;=100),"Completed — on track",IF(L63="Remaining",IF(S63="",IF(V63="","No planned date",IF(TODAY()&gt;V63,"Behind — past planned date",IF(V63-TODAY()&lt;=30,"At risk — close to off track","On track"))),IF(TODAY()&gt;S63,"Behind — award date passed",IF(S63-TODAY()&lt;=30,"At risk — close to off track","On track"))),IF(V63="","No planned date",IF(AND(TODAY()&gt;V63,OR(X63="",X63&lt;100)),"Behind — past end date",IF(AND(R63&lt;&gt;"",V63&lt;&gt;"",X63&lt;&gt;"",(X63&lt;100),((TODAY()-R63)/MAX(V63-R63,1)*100)-X63&gt;15),"Behind — progress lag",IF(AND(V63-TODAY()&lt;=30,V63-TODAY()&gt;=0,OR(X63="",X63&lt;90)),"At risk — close to off track","On track"))))))))</t>
        </is>
      </c>
      <c r="AF63" s="38" t="inlineStr">
        <is>
          <t>IF(OR(E63="",AA63="Completed / Handover",AA63="Cancelled"),"",IF(L63="Remaining",IF(S63&lt;&gt;"",S63-TODAY(),IF(V63="","",V63-TODAY())),IF(V63="","",V63-TODAY())))</t>
        </is>
      </c>
      <c r="AG63" s="44" t="n"/>
      <c r="AH63" s="44" t="n"/>
      <c r="AI63" s="44" t="n"/>
      <c r="AJ63" s="44" t="n"/>
      <c r="AK63" s="44" t="n"/>
      <c r="AL63" s="44" t="n"/>
      <c r="AM63" s="44" t="n"/>
      <c r="AN63" s="44" t="n"/>
      <c r="AO63" s="44" t="n"/>
      <c r="AP63" s="44" t="n"/>
      <c r="AQ63" s="44" t="n"/>
      <c r="AR63" s="40" t="n"/>
      <c r="AS63" s="40" t="n"/>
      <c r="AT63" s="40" t="n"/>
      <c r="AU63" s="38" t="inlineStr">
        <is>
          <t>IF(OR(E63="",AH63=""),"",IF(COUNT(AG63:AG63)=0,"",AH63-LOOKUP(2,1/(AG63:AG63&lt;&gt;""),AG63:AG63)))</t>
        </is>
      </c>
      <c r="AV63" s="38" t="inlineStr">
        <is>
          <t>IF(OR(E63="",AI63=""),"",IF(COUNT(AG63:AH63)=0,"",AI63-LOOKUP(2,1/(AG63:AH63&lt;&gt;""),AG63:AH63)))</t>
        </is>
      </c>
      <c r="AW63" s="38" t="inlineStr">
        <is>
          <t>IF(OR(E63="",AJ63=""),"",IF(COUNT(AG63:AI63)=0,"",AJ63-LOOKUP(2,1/(AG63:AI63&lt;&gt;""),AG63:AI63)))</t>
        </is>
      </c>
      <c r="AX63" s="38" t="inlineStr">
        <is>
          <t>IF(OR(E63="",AK63=""),"",IF(COUNT(AG63:AJ63)=0,"",AK63-LOOKUP(2,1/(AG63:AJ63&lt;&gt;""),AG63:AJ63)))</t>
        </is>
      </c>
      <c r="AY63" s="38" t="inlineStr">
        <is>
          <t>IF(OR(E63="",AL63=""),"",IF(COUNT(AG63:AK63)=0,"",AL63-LOOKUP(2,1/(AG63:AK63&lt;&gt;""),AG63:AK63)))</t>
        </is>
      </c>
      <c r="AZ63" s="38" t="inlineStr">
        <is>
          <t>IF(OR(E63="",AM63=""),"",IF(COUNT(AG63:AL63)=0,"",AM63-LOOKUP(2,1/(AG63:AL63&lt;&gt;""),AG63:AL63)))</t>
        </is>
      </c>
      <c r="BA63" s="38" t="inlineStr">
        <is>
          <t>IF(OR(E63="",AN63=""),"",IF(COUNT(AG63:AM63)=0,"",AN63-LOOKUP(2,1/(AG63:AM63&lt;&gt;""),AG63:AM63)))</t>
        </is>
      </c>
      <c r="BB63" s="38" t="inlineStr">
        <is>
          <t>IF(OR(E63="",AO63=""),"",IF(COUNT(AG63:AN63)=0,"",AO63-LOOKUP(2,1/(AG63:AN63&lt;&gt;""),AG63:AN63)))</t>
        </is>
      </c>
      <c r="BC63" s="38" t="inlineStr">
        <is>
          <t>IF(OR(E63="",AP63=""),"",IF(COUNT(AG63:AO63)=0,"",AP63-LOOKUP(2,1/(AG63:AO63&lt;&gt;""),AG63:AO63)))</t>
        </is>
      </c>
      <c r="BD63" s="38" t="inlineStr">
        <is>
          <t>IF(OR(E63="",AQ63=""),"",IF(COUNT(AG63:AP63)=0,"",AQ63-LOOKUP(2,1/(AG63:AP63&lt;&gt;""),AG63:AP63)))</t>
        </is>
      </c>
      <c r="BE63" s="38" t="inlineStr">
        <is>
          <t>IF(OR(E63="",AR63=""),"",IF(COUNT(AG63:AQ63)=0,"",AR63-LOOKUP(2,1/(AG63:AQ63&lt;&gt;""),AG63:AQ63)))</t>
        </is>
      </c>
      <c r="BF63" s="38" t="inlineStr">
        <is>
          <t>IF(OR(E63="",AS63=""),"",IF(COUNT(AG63:AR63)=0,"",AS63-LOOKUP(2,1/(AG63:AR63&lt;&gt;""),AG63:AR63)))</t>
        </is>
      </c>
      <c r="BG63" s="38" t="inlineStr">
        <is>
          <t>IF(OR(E63="",AT63=""),"",IF(COUNT(AG63:AS63)=0,"",AT63-LOOKUP(2,1/(AG63:AS63&lt;&gt;""),AG63:AS63)))</t>
        </is>
      </c>
      <c r="BH63" s="41" t="inlineStr">
        <is>
          <t>IF(G63="","All_Provinces",IFERROR(VLOOKUP(G63,'07_Lookups'!$A$4:$B$20,2,FALSE),"All_Provinces"))</t>
        </is>
      </c>
      <c r="BI63" s="41" t="inlineStr">
        <is>
          <t>IF(H63="","All_Districts",IFERROR(VLOOKUP(H63,'07_Lookups'!$E$4:$F$42,2,FALSE),"All_Districts"))</t>
        </is>
      </c>
    </row>
    <row r="64" ht="18" customHeight="1">
      <c r="A64" s="32" t="inlineStr">
        <is>
          <t>IF(E64="","",ROW()-3)</t>
        </is>
      </c>
      <c r="B64" s="33" t="n"/>
      <c r="C64" s="33" t="n"/>
      <c r="D64" s="33" t="n"/>
      <c r="E64" s="33" t="n"/>
      <c r="F64" s="33" t="n"/>
      <c r="G64" s="33" t="n"/>
      <c r="H64" s="33" t="n"/>
      <c r="I64" s="33" t="n"/>
      <c r="J64" s="33" t="n"/>
      <c r="K64" s="33" t="n"/>
      <c r="L64" s="33" t="n"/>
      <c r="M64" s="33" t="n"/>
      <c r="N64" s="33" t="n"/>
      <c r="O64" s="33" t="n"/>
      <c r="P64" s="33" t="n"/>
      <c r="Q64" s="34" t="n"/>
      <c r="R64" s="35" t="inlineStr">
        <is>
          <t>IF(AO64="","",AO64)</t>
        </is>
      </c>
      <c r="S64" s="36" t="n"/>
      <c r="T64" s="37" t="n"/>
      <c r="U64" s="36" t="n"/>
      <c r="V64" s="35" t="inlineStr">
        <is>
          <t>IF(U64&lt;&gt;"",U64,IF(OR(R64="",T64=""),"",EDATE(R64,T64)))</t>
        </is>
      </c>
      <c r="W64" s="36" t="n"/>
      <c r="X64" s="37" t="n"/>
      <c r="Y64" s="33" t="n"/>
      <c r="Z64" s="33" t="n"/>
      <c r="AA64" s="32" t="inlineStr">
        <is>
          <t>IF(E64="","",IF(COUNT(AG64:AT64)=0,IF(Y64="","Not started",Y64),SUBSTITUTE(LOOKUP(2,1/(AG64:AT64&lt;&gt;""),$AG$3:$AT$3),"Date: ","")))</t>
        </is>
      </c>
      <c r="AB64" s="38" t="inlineStr">
        <is>
          <t>IF(OR(E64="",COUNT(AG64:AT64)=0),"",TODAY()-LOOKUP(2,1/(AG64:AT64&lt;&gt;""),AG64:AT64))</t>
        </is>
      </c>
      <c r="AC64" s="38" t="inlineStr">
        <is>
          <t>IF(OR(E64="",COUNT(AG64:AT64)&lt;2),"",LOOKUP(2,1/(AG64:AT64&lt;&gt;""),AG64:AT64)-MIN(AG64:AT64))</t>
        </is>
      </c>
      <c r="AD64" s="38" t="inlineStr">
        <is>
          <t>IF(OR(AB64="",AA64="Not started",AA64=""),"",IFERROR(AB64-IF(VLOOKUP(AA64,'04_Status_Pipeline'!$B$3:$E$20,4,FALSE)="",0,VLOOKUP(AA64,'04_Status_Pipeline'!$B$3:$E$20,4,FALSE)),""))</t>
        </is>
      </c>
      <c r="AE64" s="32" t="inlineStr">
        <is>
          <t>IF(E64="","",IF(OR(Y64="Cancelled",AA64="Cancelled"),"Cancelled",IF(OR(AA64="Completed / Handover",W64&lt;&gt;"",X64&gt;=100),"Completed — on track",IF(L64="Remaining",IF(S64="",IF(V64="","No planned date",IF(TODAY()&gt;V64,"Behind — past planned date",IF(V64-TODAY()&lt;=30,"At risk — close to off track","On track"))),IF(TODAY()&gt;S64,"Behind — award date passed",IF(S64-TODAY()&lt;=30,"At risk — close to off track","On track"))),IF(V64="","No planned date",IF(AND(TODAY()&gt;V64,OR(X64="",X64&lt;100)),"Behind — past end date",IF(AND(R64&lt;&gt;"",V64&lt;&gt;"",X64&lt;&gt;"",(X64&lt;100),((TODAY()-R64)/MAX(V64-R64,1)*100)-X64&gt;15),"Behind — progress lag",IF(AND(V64-TODAY()&lt;=30,V64-TODAY()&gt;=0,OR(X64="",X64&lt;90)),"At risk — close to off track","On track"))))))))</t>
        </is>
      </c>
      <c r="AF64" s="38" t="inlineStr">
        <is>
          <t>IF(OR(E64="",AA64="Completed / Handover",AA64="Cancelled"),"",IF(L64="Remaining",IF(S64&lt;&gt;"",S64-TODAY(),IF(V64="","",V64-TODAY())),IF(V64="","",V64-TODAY())))</t>
        </is>
      </c>
      <c r="AG64" s="36" t="n"/>
      <c r="AH64" s="36" t="n"/>
      <c r="AI64" s="36" t="n"/>
      <c r="AJ64" s="36" t="n"/>
      <c r="AK64" s="36" t="n"/>
      <c r="AL64" s="36" t="n"/>
      <c r="AM64" s="36" t="n"/>
      <c r="AN64" s="36" t="n"/>
      <c r="AO64" s="36" t="n"/>
      <c r="AP64" s="36" t="n"/>
      <c r="AQ64" s="36" t="n"/>
      <c r="AR64" s="40" t="n"/>
      <c r="AS64" s="40" t="n"/>
      <c r="AT64" s="40" t="n"/>
      <c r="AU64" s="38" t="inlineStr">
        <is>
          <t>IF(OR(E64="",AH64=""),"",IF(COUNT(AG64:AG64)=0,"",AH64-LOOKUP(2,1/(AG64:AG64&lt;&gt;""),AG64:AG64)))</t>
        </is>
      </c>
      <c r="AV64" s="38" t="inlineStr">
        <is>
          <t>IF(OR(E64="",AI64=""),"",IF(COUNT(AG64:AH64)=0,"",AI64-LOOKUP(2,1/(AG64:AH64&lt;&gt;""),AG64:AH64)))</t>
        </is>
      </c>
      <c r="AW64" s="38" t="inlineStr">
        <is>
          <t>IF(OR(E64="",AJ64=""),"",IF(COUNT(AG64:AI64)=0,"",AJ64-LOOKUP(2,1/(AG64:AI64&lt;&gt;""),AG64:AI64)))</t>
        </is>
      </c>
      <c r="AX64" s="38" t="inlineStr">
        <is>
          <t>IF(OR(E64="",AK64=""),"",IF(COUNT(AG64:AJ64)=0,"",AK64-LOOKUP(2,1/(AG64:AJ64&lt;&gt;""),AG64:AJ64)))</t>
        </is>
      </c>
      <c r="AY64" s="38" t="inlineStr">
        <is>
          <t>IF(OR(E64="",AL64=""),"",IF(COUNT(AG64:AK64)=0,"",AL64-LOOKUP(2,1/(AG64:AK64&lt;&gt;""),AG64:AK64)))</t>
        </is>
      </c>
      <c r="AZ64" s="38" t="inlineStr">
        <is>
          <t>IF(OR(E64="",AM64=""),"",IF(COUNT(AG64:AL64)=0,"",AM64-LOOKUP(2,1/(AG64:AL64&lt;&gt;""),AG64:AL64)))</t>
        </is>
      </c>
      <c r="BA64" s="38" t="inlineStr">
        <is>
          <t>IF(OR(E64="",AN64=""),"",IF(COUNT(AG64:AM64)=0,"",AN64-LOOKUP(2,1/(AG64:AM64&lt;&gt;""),AG64:AM64)))</t>
        </is>
      </c>
      <c r="BB64" s="38" t="inlineStr">
        <is>
          <t>IF(OR(E64="",AO64=""),"",IF(COUNT(AG64:AN64)=0,"",AO64-LOOKUP(2,1/(AG64:AN64&lt;&gt;""),AG64:AN64)))</t>
        </is>
      </c>
      <c r="BC64" s="38" t="inlineStr">
        <is>
          <t>IF(OR(E64="",AP64=""),"",IF(COUNT(AG64:AO64)=0,"",AP64-LOOKUP(2,1/(AG64:AO64&lt;&gt;""),AG64:AO64)))</t>
        </is>
      </c>
      <c r="BD64" s="38" t="inlineStr">
        <is>
          <t>IF(OR(E64="",AQ64=""),"",IF(COUNT(AG64:AP64)=0,"",AQ64-LOOKUP(2,1/(AG64:AP64&lt;&gt;""),AG64:AP64)))</t>
        </is>
      </c>
      <c r="BE64" s="38" t="inlineStr">
        <is>
          <t>IF(OR(E64="",AR64=""),"",IF(COUNT(AG64:AQ64)=0,"",AR64-LOOKUP(2,1/(AG64:AQ64&lt;&gt;""),AG64:AQ64)))</t>
        </is>
      </c>
      <c r="BF64" s="38" t="inlineStr">
        <is>
          <t>IF(OR(E64="",AS64=""),"",IF(COUNT(AG64:AR64)=0,"",AS64-LOOKUP(2,1/(AG64:AR64&lt;&gt;""),AG64:AR64)))</t>
        </is>
      </c>
      <c r="BG64" s="38" t="inlineStr">
        <is>
          <t>IF(OR(E64="",AT64=""),"",IF(COUNT(AG64:AS64)=0,"",AT64-LOOKUP(2,1/(AG64:AS64&lt;&gt;""),AG64:AS64)))</t>
        </is>
      </c>
      <c r="BH64" s="41" t="inlineStr">
        <is>
          <t>IF(G64="","All_Provinces",IFERROR(VLOOKUP(G64,'07_Lookups'!$A$4:$B$20,2,FALSE),"All_Provinces"))</t>
        </is>
      </c>
      <c r="BI64" s="41" t="inlineStr">
        <is>
          <t>IF(H64="","All_Districts",IFERROR(VLOOKUP(H64,'07_Lookups'!$E$4:$F$42,2,FALSE),"All_Districts"))</t>
        </is>
      </c>
    </row>
    <row r="65" ht="18" customHeight="1">
      <c r="A65" s="32" t="inlineStr">
        <is>
          <t>IF(E65="","",ROW()-3)</t>
        </is>
      </c>
      <c r="B65" s="42" t="n"/>
      <c r="C65" s="42" t="n"/>
      <c r="D65" s="42" t="n"/>
      <c r="E65" s="42" t="n"/>
      <c r="F65" s="42" t="n"/>
      <c r="G65" s="42" t="n"/>
      <c r="H65" s="42" t="n"/>
      <c r="I65" s="42" t="n"/>
      <c r="J65" s="42" t="n"/>
      <c r="K65" s="42" t="n"/>
      <c r="L65" s="42" t="n"/>
      <c r="M65" s="42" t="n"/>
      <c r="N65" s="42" t="n"/>
      <c r="O65" s="42" t="n"/>
      <c r="P65" s="42" t="n"/>
      <c r="Q65" s="43" t="n"/>
      <c r="R65" s="35" t="inlineStr">
        <is>
          <t>IF(AO65="","",AO65)</t>
        </is>
      </c>
      <c r="S65" s="44" t="n"/>
      <c r="T65" s="45" t="n"/>
      <c r="U65" s="44" t="n"/>
      <c r="V65" s="35" t="inlineStr">
        <is>
          <t>IF(U65&lt;&gt;"",U65,IF(OR(R65="",T65=""),"",EDATE(R65,T65)))</t>
        </is>
      </c>
      <c r="W65" s="44" t="n"/>
      <c r="X65" s="45" t="n"/>
      <c r="Y65" s="42" t="n"/>
      <c r="Z65" s="42" t="n"/>
      <c r="AA65" s="32" t="inlineStr">
        <is>
          <t>IF(E65="","",IF(COUNT(AG65:AT65)=0,IF(Y65="","Not started",Y65),SUBSTITUTE(LOOKUP(2,1/(AG65:AT65&lt;&gt;""),$AG$3:$AT$3),"Date: ","")))</t>
        </is>
      </c>
      <c r="AB65" s="38" t="inlineStr">
        <is>
          <t>IF(OR(E65="",COUNT(AG65:AT65)=0),"",TODAY()-LOOKUP(2,1/(AG65:AT65&lt;&gt;""),AG65:AT65))</t>
        </is>
      </c>
      <c r="AC65" s="38" t="inlineStr">
        <is>
          <t>IF(OR(E65="",COUNT(AG65:AT65)&lt;2),"",LOOKUP(2,1/(AG65:AT65&lt;&gt;""),AG65:AT65)-MIN(AG65:AT65))</t>
        </is>
      </c>
      <c r="AD65" s="38" t="inlineStr">
        <is>
          <t>IF(OR(AB65="",AA65="Not started",AA65=""),"",IFERROR(AB65-IF(VLOOKUP(AA65,'04_Status_Pipeline'!$B$3:$E$20,4,FALSE)="",0,VLOOKUP(AA65,'04_Status_Pipeline'!$B$3:$E$20,4,FALSE)),""))</t>
        </is>
      </c>
      <c r="AE65" s="32" t="inlineStr">
        <is>
          <t>IF(E65="","",IF(OR(Y65="Cancelled",AA65="Cancelled"),"Cancelled",IF(OR(AA65="Completed / Handover",W65&lt;&gt;"",X65&gt;=100),"Completed — on track",IF(L65="Remaining",IF(S65="",IF(V65="","No planned date",IF(TODAY()&gt;V65,"Behind — past planned date",IF(V65-TODAY()&lt;=30,"At risk — close to off track","On track"))),IF(TODAY()&gt;S65,"Behind — award date passed",IF(S65-TODAY()&lt;=30,"At risk — close to off track","On track"))),IF(V65="","No planned date",IF(AND(TODAY()&gt;V65,OR(X65="",X65&lt;100)),"Behind — past end date",IF(AND(R65&lt;&gt;"",V65&lt;&gt;"",X65&lt;&gt;"",(X65&lt;100),((TODAY()-R65)/MAX(V65-R65,1)*100)-X65&gt;15),"Behind — progress lag",IF(AND(V65-TODAY()&lt;=30,V65-TODAY()&gt;=0,OR(X65="",X65&lt;90)),"At risk — close to off track","On track"))))))))</t>
        </is>
      </c>
      <c r="AF65" s="38" t="inlineStr">
        <is>
          <t>IF(OR(E65="",AA65="Completed / Handover",AA65="Cancelled"),"",IF(L65="Remaining",IF(S65&lt;&gt;"",S65-TODAY(),IF(V65="","",V65-TODAY())),IF(V65="","",V65-TODAY())))</t>
        </is>
      </c>
      <c r="AG65" s="44" t="n"/>
      <c r="AH65" s="44" t="n"/>
      <c r="AI65" s="44" t="n"/>
      <c r="AJ65" s="44" t="n"/>
      <c r="AK65" s="44" t="n"/>
      <c r="AL65" s="44" t="n"/>
      <c r="AM65" s="44" t="n"/>
      <c r="AN65" s="44" t="n"/>
      <c r="AO65" s="44" t="n"/>
      <c r="AP65" s="44" t="n"/>
      <c r="AQ65" s="44" t="n"/>
      <c r="AR65" s="40" t="n"/>
      <c r="AS65" s="40" t="n"/>
      <c r="AT65" s="40" t="n"/>
      <c r="AU65" s="38" t="inlineStr">
        <is>
          <t>IF(OR(E65="",AH65=""),"",IF(COUNT(AG65:AG65)=0,"",AH65-LOOKUP(2,1/(AG65:AG65&lt;&gt;""),AG65:AG65)))</t>
        </is>
      </c>
      <c r="AV65" s="38" t="inlineStr">
        <is>
          <t>IF(OR(E65="",AI65=""),"",IF(COUNT(AG65:AH65)=0,"",AI65-LOOKUP(2,1/(AG65:AH65&lt;&gt;""),AG65:AH65)))</t>
        </is>
      </c>
      <c r="AW65" s="38" t="inlineStr">
        <is>
          <t>IF(OR(E65="",AJ65=""),"",IF(COUNT(AG65:AI65)=0,"",AJ65-LOOKUP(2,1/(AG65:AI65&lt;&gt;""),AG65:AI65)))</t>
        </is>
      </c>
      <c r="AX65" s="38" t="inlineStr">
        <is>
          <t>IF(OR(E65="",AK65=""),"",IF(COUNT(AG65:AJ65)=0,"",AK65-LOOKUP(2,1/(AG65:AJ65&lt;&gt;""),AG65:AJ65)))</t>
        </is>
      </c>
      <c r="AY65" s="38" t="inlineStr">
        <is>
          <t>IF(OR(E65="",AL65=""),"",IF(COUNT(AG65:AK65)=0,"",AL65-LOOKUP(2,1/(AG65:AK65&lt;&gt;""),AG65:AK65)))</t>
        </is>
      </c>
      <c r="AZ65" s="38" t="inlineStr">
        <is>
          <t>IF(OR(E65="",AM65=""),"",IF(COUNT(AG65:AL65)=0,"",AM65-LOOKUP(2,1/(AG65:AL65&lt;&gt;""),AG65:AL65)))</t>
        </is>
      </c>
      <c r="BA65" s="38" t="inlineStr">
        <is>
          <t>IF(OR(E65="",AN65=""),"",IF(COUNT(AG65:AM65)=0,"",AN65-LOOKUP(2,1/(AG65:AM65&lt;&gt;""),AG65:AM65)))</t>
        </is>
      </c>
      <c r="BB65" s="38" t="inlineStr">
        <is>
          <t>IF(OR(E65="",AO65=""),"",IF(COUNT(AG65:AN65)=0,"",AO65-LOOKUP(2,1/(AG65:AN65&lt;&gt;""),AG65:AN65)))</t>
        </is>
      </c>
      <c r="BC65" s="38" t="inlineStr">
        <is>
          <t>IF(OR(E65="",AP65=""),"",IF(COUNT(AG65:AO65)=0,"",AP65-LOOKUP(2,1/(AG65:AO65&lt;&gt;""),AG65:AO65)))</t>
        </is>
      </c>
      <c r="BD65" s="38" t="inlineStr">
        <is>
          <t>IF(OR(E65="",AQ65=""),"",IF(COUNT(AG65:AP65)=0,"",AQ65-LOOKUP(2,1/(AG65:AP65&lt;&gt;""),AG65:AP65)))</t>
        </is>
      </c>
      <c r="BE65" s="38" t="inlineStr">
        <is>
          <t>IF(OR(E65="",AR65=""),"",IF(COUNT(AG65:AQ65)=0,"",AR65-LOOKUP(2,1/(AG65:AQ65&lt;&gt;""),AG65:AQ65)))</t>
        </is>
      </c>
      <c r="BF65" s="38" t="inlineStr">
        <is>
          <t>IF(OR(E65="",AS65=""),"",IF(COUNT(AG65:AR65)=0,"",AS65-LOOKUP(2,1/(AG65:AR65&lt;&gt;""),AG65:AR65)))</t>
        </is>
      </c>
      <c r="BG65" s="38" t="inlineStr">
        <is>
          <t>IF(OR(E65="",AT65=""),"",IF(COUNT(AG65:AS65)=0,"",AT65-LOOKUP(2,1/(AG65:AS65&lt;&gt;""),AG65:AS65)))</t>
        </is>
      </c>
      <c r="BH65" s="41" t="inlineStr">
        <is>
          <t>IF(G65="","All_Provinces",IFERROR(VLOOKUP(G65,'07_Lookups'!$A$4:$B$20,2,FALSE),"All_Provinces"))</t>
        </is>
      </c>
      <c r="BI65" s="41" t="inlineStr">
        <is>
          <t>IF(H65="","All_Districts",IFERROR(VLOOKUP(H65,'07_Lookups'!$E$4:$F$42,2,FALSE),"All_Districts"))</t>
        </is>
      </c>
    </row>
    <row r="66" ht="18" customHeight="1">
      <c r="A66" s="32" t="inlineStr">
        <is>
          <t>IF(E66="","",ROW()-3)</t>
        </is>
      </c>
      <c r="B66" s="33" t="n"/>
      <c r="C66" s="33" t="n"/>
      <c r="D66" s="33" t="n"/>
      <c r="E66" s="33" t="n"/>
      <c r="F66" s="33" t="n"/>
      <c r="G66" s="33" t="n"/>
      <c r="H66" s="33" t="n"/>
      <c r="I66" s="33" t="n"/>
      <c r="J66" s="33" t="n"/>
      <c r="K66" s="33" t="n"/>
      <c r="L66" s="33" t="n"/>
      <c r="M66" s="33" t="n"/>
      <c r="N66" s="33" t="n"/>
      <c r="O66" s="33" t="n"/>
      <c r="P66" s="33" t="n"/>
      <c r="Q66" s="34" t="n"/>
      <c r="R66" s="35" t="inlineStr">
        <is>
          <t>IF(AO66="","",AO66)</t>
        </is>
      </c>
      <c r="S66" s="36" t="n"/>
      <c r="T66" s="37" t="n"/>
      <c r="U66" s="36" t="n"/>
      <c r="V66" s="35" t="inlineStr">
        <is>
          <t>IF(U66&lt;&gt;"",U66,IF(OR(R66="",T66=""),"",EDATE(R66,T66)))</t>
        </is>
      </c>
      <c r="W66" s="36" t="n"/>
      <c r="X66" s="37" t="n"/>
      <c r="Y66" s="33" t="n"/>
      <c r="Z66" s="33" t="n"/>
      <c r="AA66" s="32" t="inlineStr">
        <is>
          <t>IF(E66="","",IF(COUNT(AG66:AT66)=0,IF(Y66="","Not started",Y66),SUBSTITUTE(LOOKUP(2,1/(AG66:AT66&lt;&gt;""),$AG$3:$AT$3),"Date: ","")))</t>
        </is>
      </c>
      <c r="AB66" s="38" t="inlineStr">
        <is>
          <t>IF(OR(E66="",COUNT(AG66:AT66)=0),"",TODAY()-LOOKUP(2,1/(AG66:AT66&lt;&gt;""),AG66:AT66))</t>
        </is>
      </c>
      <c r="AC66" s="38" t="inlineStr">
        <is>
          <t>IF(OR(E66="",COUNT(AG66:AT66)&lt;2),"",LOOKUP(2,1/(AG66:AT66&lt;&gt;""),AG66:AT66)-MIN(AG66:AT66))</t>
        </is>
      </c>
      <c r="AD66" s="38" t="inlineStr">
        <is>
          <t>IF(OR(AB66="",AA66="Not started",AA66=""),"",IFERROR(AB66-IF(VLOOKUP(AA66,'04_Status_Pipeline'!$B$3:$E$20,4,FALSE)="",0,VLOOKUP(AA66,'04_Status_Pipeline'!$B$3:$E$20,4,FALSE)),""))</t>
        </is>
      </c>
      <c r="AE66" s="32" t="inlineStr">
        <is>
          <t>IF(E66="","",IF(OR(Y66="Cancelled",AA66="Cancelled"),"Cancelled",IF(OR(AA66="Completed / Handover",W66&lt;&gt;"",X66&gt;=100),"Completed — on track",IF(L66="Remaining",IF(S66="",IF(V66="","No planned date",IF(TODAY()&gt;V66,"Behind — past planned date",IF(V66-TODAY()&lt;=30,"At risk — close to off track","On track"))),IF(TODAY()&gt;S66,"Behind — award date passed",IF(S66-TODAY()&lt;=30,"At risk — close to off track","On track"))),IF(V66="","No planned date",IF(AND(TODAY()&gt;V66,OR(X66="",X66&lt;100)),"Behind — past end date",IF(AND(R66&lt;&gt;"",V66&lt;&gt;"",X66&lt;&gt;"",(X66&lt;100),((TODAY()-R66)/MAX(V66-R66,1)*100)-X66&gt;15),"Behind — progress lag",IF(AND(V66-TODAY()&lt;=30,V66-TODAY()&gt;=0,OR(X66="",X66&lt;90)),"At risk — close to off track","On track"))))))))</t>
        </is>
      </c>
      <c r="AF66" s="38" t="inlineStr">
        <is>
          <t>IF(OR(E66="",AA66="Completed / Handover",AA66="Cancelled"),"",IF(L66="Remaining",IF(S66&lt;&gt;"",S66-TODAY(),IF(V66="","",V66-TODAY())),IF(V66="","",V66-TODAY())))</t>
        </is>
      </c>
      <c r="AG66" s="36" t="n"/>
      <c r="AH66" s="36" t="n"/>
      <c r="AI66" s="36" t="n"/>
      <c r="AJ66" s="36" t="n"/>
      <c r="AK66" s="36" t="n"/>
      <c r="AL66" s="36" t="n"/>
      <c r="AM66" s="36" t="n"/>
      <c r="AN66" s="36" t="n"/>
      <c r="AO66" s="36" t="n"/>
      <c r="AP66" s="36" t="n"/>
      <c r="AQ66" s="36" t="n"/>
      <c r="AR66" s="40" t="n"/>
      <c r="AS66" s="40" t="n"/>
      <c r="AT66" s="40" t="n"/>
      <c r="AU66" s="38" t="inlineStr">
        <is>
          <t>IF(OR(E66="",AH66=""),"",IF(COUNT(AG66:AG66)=0,"",AH66-LOOKUP(2,1/(AG66:AG66&lt;&gt;""),AG66:AG66)))</t>
        </is>
      </c>
      <c r="AV66" s="38" t="inlineStr">
        <is>
          <t>IF(OR(E66="",AI66=""),"",IF(COUNT(AG66:AH66)=0,"",AI66-LOOKUP(2,1/(AG66:AH66&lt;&gt;""),AG66:AH66)))</t>
        </is>
      </c>
      <c r="AW66" s="38" t="inlineStr">
        <is>
          <t>IF(OR(E66="",AJ66=""),"",IF(COUNT(AG66:AI66)=0,"",AJ66-LOOKUP(2,1/(AG66:AI66&lt;&gt;""),AG66:AI66)))</t>
        </is>
      </c>
      <c r="AX66" s="38" t="inlineStr">
        <is>
          <t>IF(OR(E66="",AK66=""),"",IF(COUNT(AG66:AJ66)=0,"",AK66-LOOKUP(2,1/(AG66:AJ66&lt;&gt;""),AG66:AJ66)))</t>
        </is>
      </c>
      <c r="AY66" s="38" t="inlineStr">
        <is>
          <t>IF(OR(E66="",AL66=""),"",IF(COUNT(AG66:AK66)=0,"",AL66-LOOKUP(2,1/(AG66:AK66&lt;&gt;""),AG66:AK66)))</t>
        </is>
      </c>
      <c r="AZ66" s="38" t="inlineStr">
        <is>
          <t>IF(OR(E66="",AM66=""),"",IF(COUNT(AG66:AL66)=0,"",AM66-LOOKUP(2,1/(AG66:AL66&lt;&gt;""),AG66:AL66)))</t>
        </is>
      </c>
      <c r="BA66" s="38" t="inlineStr">
        <is>
          <t>IF(OR(E66="",AN66=""),"",IF(COUNT(AG66:AM66)=0,"",AN66-LOOKUP(2,1/(AG66:AM66&lt;&gt;""),AG66:AM66)))</t>
        </is>
      </c>
      <c r="BB66" s="38" t="inlineStr">
        <is>
          <t>IF(OR(E66="",AO66=""),"",IF(COUNT(AG66:AN66)=0,"",AO66-LOOKUP(2,1/(AG66:AN66&lt;&gt;""),AG66:AN66)))</t>
        </is>
      </c>
      <c r="BC66" s="38" t="inlineStr">
        <is>
          <t>IF(OR(E66="",AP66=""),"",IF(COUNT(AG66:AO66)=0,"",AP66-LOOKUP(2,1/(AG66:AO66&lt;&gt;""),AG66:AO66)))</t>
        </is>
      </c>
      <c r="BD66" s="38" t="inlineStr">
        <is>
          <t>IF(OR(E66="",AQ66=""),"",IF(COUNT(AG66:AP66)=0,"",AQ66-LOOKUP(2,1/(AG66:AP66&lt;&gt;""),AG66:AP66)))</t>
        </is>
      </c>
      <c r="BE66" s="38" t="inlineStr">
        <is>
          <t>IF(OR(E66="",AR66=""),"",IF(COUNT(AG66:AQ66)=0,"",AR66-LOOKUP(2,1/(AG66:AQ66&lt;&gt;""),AG66:AQ66)))</t>
        </is>
      </c>
      <c r="BF66" s="38" t="inlineStr">
        <is>
          <t>IF(OR(E66="",AS66=""),"",IF(COUNT(AG66:AR66)=0,"",AS66-LOOKUP(2,1/(AG66:AR66&lt;&gt;""),AG66:AR66)))</t>
        </is>
      </c>
      <c r="BG66" s="38" t="inlineStr">
        <is>
          <t>IF(OR(E66="",AT66=""),"",IF(COUNT(AG66:AS66)=0,"",AT66-LOOKUP(2,1/(AG66:AS66&lt;&gt;""),AG66:AS66)))</t>
        </is>
      </c>
      <c r="BH66" s="41" t="inlineStr">
        <is>
          <t>IF(G66="","All_Provinces",IFERROR(VLOOKUP(G66,'07_Lookups'!$A$4:$B$20,2,FALSE),"All_Provinces"))</t>
        </is>
      </c>
      <c r="BI66" s="41" t="inlineStr">
        <is>
          <t>IF(H66="","All_Districts",IFERROR(VLOOKUP(H66,'07_Lookups'!$E$4:$F$42,2,FALSE),"All_Districts"))</t>
        </is>
      </c>
    </row>
    <row r="67" ht="18" customHeight="1">
      <c r="A67" s="32" t="inlineStr">
        <is>
          <t>IF(E67="","",ROW()-3)</t>
        </is>
      </c>
      <c r="B67" s="42" t="n"/>
      <c r="C67" s="42" t="n"/>
      <c r="D67" s="42" t="n"/>
      <c r="E67" s="42" t="n"/>
      <c r="F67" s="42" t="n"/>
      <c r="G67" s="42" t="n"/>
      <c r="H67" s="42" t="n"/>
      <c r="I67" s="42" t="n"/>
      <c r="J67" s="42" t="n"/>
      <c r="K67" s="42" t="n"/>
      <c r="L67" s="42" t="n"/>
      <c r="M67" s="42" t="n"/>
      <c r="N67" s="42" t="n"/>
      <c r="O67" s="42" t="n"/>
      <c r="P67" s="42" t="n"/>
      <c r="Q67" s="43" t="n"/>
      <c r="R67" s="35" t="inlineStr">
        <is>
          <t>IF(AO67="","",AO67)</t>
        </is>
      </c>
      <c r="S67" s="44" t="n"/>
      <c r="T67" s="45" t="n"/>
      <c r="U67" s="44" t="n"/>
      <c r="V67" s="35" t="inlineStr">
        <is>
          <t>IF(U67&lt;&gt;"",U67,IF(OR(R67="",T67=""),"",EDATE(R67,T67)))</t>
        </is>
      </c>
      <c r="W67" s="44" t="n"/>
      <c r="X67" s="45" t="n"/>
      <c r="Y67" s="42" t="n"/>
      <c r="Z67" s="42" t="n"/>
      <c r="AA67" s="32" t="inlineStr">
        <is>
          <t>IF(E67="","",IF(COUNT(AG67:AT67)=0,IF(Y67="","Not started",Y67),SUBSTITUTE(LOOKUP(2,1/(AG67:AT67&lt;&gt;""),$AG$3:$AT$3),"Date: ","")))</t>
        </is>
      </c>
      <c r="AB67" s="38" t="inlineStr">
        <is>
          <t>IF(OR(E67="",COUNT(AG67:AT67)=0),"",TODAY()-LOOKUP(2,1/(AG67:AT67&lt;&gt;""),AG67:AT67))</t>
        </is>
      </c>
      <c r="AC67" s="38" t="inlineStr">
        <is>
          <t>IF(OR(E67="",COUNT(AG67:AT67)&lt;2),"",LOOKUP(2,1/(AG67:AT67&lt;&gt;""),AG67:AT67)-MIN(AG67:AT67))</t>
        </is>
      </c>
      <c r="AD67" s="38" t="inlineStr">
        <is>
          <t>IF(OR(AB67="",AA67="Not started",AA67=""),"",IFERROR(AB67-IF(VLOOKUP(AA67,'04_Status_Pipeline'!$B$3:$E$20,4,FALSE)="",0,VLOOKUP(AA67,'04_Status_Pipeline'!$B$3:$E$20,4,FALSE)),""))</t>
        </is>
      </c>
      <c r="AE67" s="32" t="inlineStr">
        <is>
          <t>IF(E67="","",IF(OR(Y67="Cancelled",AA67="Cancelled"),"Cancelled",IF(OR(AA67="Completed / Handover",W67&lt;&gt;"",X67&gt;=100),"Completed — on track",IF(L67="Remaining",IF(S67="",IF(V67="","No planned date",IF(TODAY()&gt;V67,"Behind — past planned date",IF(V67-TODAY()&lt;=30,"At risk — close to off track","On track"))),IF(TODAY()&gt;S67,"Behind — award date passed",IF(S67-TODAY()&lt;=30,"At risk — close to off track","On track"))),IF(V67="","No planned date",IF(AND(TODAY()&gt;V67,OR(X67="",X67&lt;100)),"Behind — past end date",IF(AND(R67&lt;&gt;"",V67&lt;&gt;"",X67&lt;&gt;"",(X67&lt;100),((TODAY()-R67)/MAX(V67-R67,1)*100)-X67&gt;15),"Behind — progress lag",IF(AND(V67-TODAY()&lt;=30,V67-TODAY()&gt;=0,OR(X67="",X67&lt;90)),"At risk — close to off track","On track"))))))))</t>
        </is>
      </c>
      <c r="AF67" s="38" t="inlineStr">
        <is>
          <t>IF(OR(E67="",AA67="Completed / Handover",AA67="Cancelled"),"",IF(L67="Remaining",IF(S67&lt;&gt;"",S67-TODAY(),IF(V67="","",V67-TODAY())),IF(V67="","",V67-TODAY())))</t>
        </is>
      </c>
      <c r="AG67" s="44" t="n"/>
      <c r="AH67" s="44" t="n"/>
      <c r="AI67" s="44" t="n"/>
      <c r="AJ67" s="44" t="n"/>
      <c r="AK67" s="44" t="n"/>
      <c r="AL67" s="44" t="n"/>
      <c r="AM67" s="44" t="n"/>
      <c r="AN67" s="44" t="n"/>
      <c r="AO67" s="44" t="n"/>
      <c r="AP67" s="44" t="n"/>
      <c r="AQ67" s="44" t="n"/>
      <c r="AR67" s="40" t="n"/>
      <c r="AS67" s="40" t="n"/>
      <c r="AT67" s="40" t="n"/>
      <c r="AU67" s="38" t="inlineStr">
        <is>
          <t>IF(OR(E67="",AH67=""),"",IF(COUNT(AG67:AG67)=0,"",AH67-LOOKUP(2,1/(AG67:AG67&lt;&gt;""),AG67:AG67)))</t>
        </is>
      </c>
      <c r="AV67" s="38" t="inlineStr">
        <is>
          <t>IF(OR(E67="",AI67=""),"",IF(COUNT(AG67:AH67)=0,"",AI67-LOOKUP(2,1/(AG67:AH67&lt;&gt;""),AG67:AH67)))</t>
        </is>
      </c>
      <c r="AW67" s="38" t="inlineStr">
        <is>
          <t>IF(OR(E67="",AJ67=""),"",IF(COUNT(AG67:AI67)=0,"",AJ67-LOOKUP(2,1/(AG67:AI67&lt;&gt;""),AG67:AI67)))</t>
        </is>
      </c>
      <c r="AX67" s="38" t="inlineStr">
        <is>
          <t>IF(OR(E67="",AK67=""),"",IF(COUNT(AG67:AJ67)=0,"",AK67-LOOKUP(2,1/(AG67:AJ67&lt;&gt;""),AG67:AJ67)))</t>
        </is>
      </c>
      <c r="AY67" s="38" t="inlineStr">
        <is>
          <t>IF(OR(E67="",AL67=""),"",IF(COUNT(AG67:AK67)=0,"",AL67-LOOKUP(2,1/(AG67:AK67&lt;&gt;""),AG67:AK67)))</t>
        </is>
      </c>
      <c r="AZ67" s="38" t="inlineStr">
        <is>
          <t>IF(OR(E67="",AM67=""),"",IF(COUNT(AG67:AL67)=0,"",AM67-LOOKUP(2,1/(AG67:AL67&lt;&gt;""),AG67:AL67)))</t>
        </is>
      </c>
      <c r="BA67" s="38" t="inlineStr">
        <is>
          <t>IF(OR(E67="",AN67=""),"",IF(COUNT(AG67:AM67)=0,"",AN67-LOOKUP(2,1/(AG67:AM67&lt;&gt;""),AG67:AM67)))</t>
        </is>
      </c>
      <c r="BB67" s="38" t="inlineStr">
        <is>
          <t>IF(OR(E67="",AO67=""),"",IF(COUNT(AG67:AN67)=0,"",AO67-LOOKUP(2,1/(AG67:AN67&lt;&gt;""),AG67:AN67)))</t>
        </is>
      </c>
      <c r="BC67" s="38" t="inlineStr">
        <is>
          <t>IF(OR(E67="",AP67=""),"",IF(COUNT(AG67:AO67)=0,"",AP67-LOOKUP(2,1/(AG67:AO67&lt;&gt;""),AG67:AO67)))</t>
        </is>
      </c>
      <c r="BD67" s="38" t="inlineStr">
        <is>
          <t>IF(OR(E67="",AQ67=""),"",IF(COUNT(AG67:AP67)=0,"",AQ67-LOOKUP(2,1/(AG67:AP67&lt;&gt;""),AG67:AP67)))</t>
        </is>
      </c>
      <c r="BE67" s="38" t="inlineStr">
        <is>
          <t>IF(OR(E67="",AR67=""),"",IF(COUNT(AG67:AQ67)=0,"",AR67-LOOKUP(2,1/(AG67:AQ67&lt;&gt;""),AG67:AQ67)))</t>
        </is>
      </c>
      <c r="BF67" s="38" t="inlineStr">
        <is>
          <t>IF(OR(E67="",AS67=""),"",IF(COUNT(AG67:AR67)=0,"",AS67-LOOKUP(2,1/(AG67:AR67&lt;&gt;""),AG67:AR67)))</t>
        </is>
      </c>
      <c r="BG67" s="38" t="inlineStr">
        <is>
          <t>IF(OR(E67="",AT67=""),"",IF(COUNT(AG67:AS67)=0,"",AT67-LOOKUP(2,1/(AG67:AS67&lt;&gt;""),AG67:AS67)))</t>
        </is>
      </c>
      <c r="BH67" s="41" t="inlineStr">
        <is>
          <t>IF(G67="","All_Provinces",IFERROR(VLOOKUP(G67,'07_Lookups'!$A$4:$B$20,2,FALSE),"All_Provinces"))</t>
        </is>
      </c>
      <c r="BI67" s="41" t="inlineStr">
        <is>
          <t>IF(H67="","All_Districts",IFERROR(VLOOKUP(H67,'07_Lookups'!$E$4:$F$42,2,FALSE),"All_Districts"))</t>
        </is>
      </c>
    </row>
    <row r="68" ht="18" customHeight="1">
      <c r="A68" s="32" t="inlineStr">
        <is>
          <t>IF(E68="","",ROW()-3)</t>
        </is>
      </c>
      <c r="B68" s="33" t="n"/>
      <c r="C68" s="33" t="n"/>
      <c r="D68" s="33" t="n"/>
      <c r="E68" s="33" t="n"/>
      <c r="F68" s="33" t="n"/>
      <c r="G68" s="33" t="n"/>
      <c r="H68" s="33" t="n"/>
      <c r="I68" s="33" t="n"/>
      <c r="J68" s="33" t="n"/>
      <c r="K68" s="33" t="n"/>
      <c r="L68" s="33" t="n"/>
      <c r="M68" s="33" t="n"/>
      <c r="N68" s="33" t="n"/>
      <c r="O68" s="33" t="n"/>
      <c r="P68" s="33" t="n"/>
      <c r="Q68" s="34" t="n"/>
      <c r="R68" s="35" t="inlineStr">
        <is>
          <t>IF(AO68="","",AO68)</t>
        </is>
      </c>
      <c r="S68" s="36" t="n"/>
      <c r="T68" s="37" t="n"/>
      <c r="U68" s="36" t="n"/>
      <c r="V68" s="35" t="inlineStr">
        <is>
          <t>IF(U68&lt;&gt;"",U68,IF(OR(R68="",T68=""),"",EDATE(R68,T68)))</t>
        </is>
      </c>
      <c r="W68" s="36" t="n"/>
      <c r="X68" s="37" t="n"/>
      <c r="Y68" s="33" t="n"/>
      <c r="Z68" s="33" t="n"/>
      <c r="AA68" s="32" t="inlineStr">
        <is>
          <t>IF(E68="","",IF(COUNT(AG68:AT68)=0,IF(Y68="","Not started",Y68),SUBSTITUTE(LOOKUP(2,1/(AG68:AT68&lt;&gt;""),$AG$3:$AT$3),"Date: ","")))</t>
        </is>
      </c>
      <c r="AB68" s="38" t="inlineStr">
        <is>
          <t>IF(OR(E68="",COUNT(AG68:AT68)=0),"",TODAY()-LOOKUP(2,1/(AG68:AT68&lt;&gt;""),AG68:AT68))</t>
        </is>
      </c>
      <c r="AC68" s="38" t="inlineStr">
        <is>
          <t>IF(OR(E68="",COUNT(AG68:AT68)&lt;2),"",LOOKUP(2,1/(AG68:AT68&lt;&gt;""),AG68:AT68)-MIN(AG68:AT68))</t>
        </is>
      </c>
      <c r="AD68" s="38" t="inlineStr">
        <is>
          <t>IF(OR(AB68="",AA68="Not started",AA68=""),"",IFERROR(AB68-IF(VLOOKUP(AA68,'04_Status_Pipeline'!$B$3:$E$20,4,FALSE)="",0,VLOOKUP(AA68,'04_Status_Pipeline'!$B$3:$E$20,4,FALSE)),""))</t>
        </is>
      </c>
      <c r="AE68" s="32" t="inlineStr">
        <is>
          <t>IF(E68="","",IF(OR(Y68="Cancelled",AA68="Cancelled"),"Cancelled",IF(OR(AA68="Completed / Handover",W68&lt;&gt;"",X68&gt;=100),"Completed — on track",IF(L68="Remaining",IF(S68="",IF(V68="","No planned date",IF(TODAY()&gt;V68,"Behind — past planned date",IF(V68-TODAY()&lt;=30,"At risk — close to off track","On track"))),IF(TODAY()&gt;S68,"Behind — award date passed",IF(S68-TODAY()&lt;=30,"At risk — close to off track","On track"))),IF(V68="","No planned date",IF(AND(TODAY()&gt;V68,OR(X68="",X68&lt;100)),"Behind — past end date",IF(AND(R68&lt;&gt;"",V68&lt;&gt;"",X68&lt;&gt;"",(X68&lt;100),((TODAY()-R68)/MAX(V68-R68,1)*100)-X68&gt;15),"Behind — progress lag",IF(AND(V68-TODAY()&lt;=30,V68-TODAY()&gt;=0,OR(X68="",X68&lt;90)),"At risk — close to off track","On track"))))))))</t>
        </is>
      </c>
      <c r="AF68" s="38" t="inlineStr">
        <is>
          <t>IF(OR(E68="",AA68="Completed / Handover",AA68="Cancelled"),"",IF(L68="Remaining",IF(S68&lt;&gt;"",S68-TODAY(),IF(V68="","",V68-TODAY())),IF(V68="","",V68-TODAY())))</t>
        </is>
      </c>
      <c r="AG68" s="36" t="n"/>
      <c r="AH68" s="36" t="n"/>
      <c r="AI68" s="36" t="n"/>
      <c r="AJ68" s="36" t="n"/>
      <c r="AK68" s="36" t="n"/>
      <c r="AL68" s="36" t="n"/>
      <c r="AM68" s="36" t="n"/>
      <c r="AN68" s="36" t="n"/>
      <c r="AO68" s="36" t="n"/>
      <c r="AP68" s="36" t="n"/>
      <c r="AQ68" s="36" t="n"/>
      <c r="AR68" s="40" t="n"/>
      <c r="AS68" s="40" t="n"/>
      <c r="AT68" s="40" t="n"/>
      <c r="AU68" s="38" t="inlineStr">
        <is>
          <t>IF(OR(E68="",AH68=""),"",IF(COUNT(AG68:AG68)=0,"",AH68-LOOKUP(2,1/(AG68:AG68&lt;&gt;""),AG68:AG68)))</t>
        </is>
      </c>
      <c r="AV68" s="38" t="inlineStr">
        <is>
          <t>IF(OR(E68="",AI68=""),"",IF(COUNT(AG68:AH68)=0,"",AI68-LOOKUP(2,1/(AG68:AH68&lt;&gt;""),AG68:AH68)))</t>
        </is>
      </c>
      <c r="AW68" s="38" t="inlineStr">
        <is>
          <t>IF(OR(E68="",AJ68=""),"",IF(COUNT(AG68:AI68)=0,"",AJ68-LOOKUP(2,1/(AG68:AI68&lt;&gt;""),AG68:AI68)))</t>
        </is>
      </c>
      <c r="AX68" s="38" t="inlineStr">
        <is>
          <t>IF(OR(E68="",AK68=""),"",IF(COUNT(AG68:AJ68)=0,"",AK68-LOOKUP(2,1/(AG68:AJ68&lt;&gt;""),AG68:AJ68)))</t>
        </is>
      </c>
      <c r="AY68" s="38" t="inlineStr">
        <is>
          <t>IF(OR(E68="",AL68=""),"",IF(COUNT(AG68:AK68)=0,"",AL68-LOOKUP(2,1/(AG68:AK68&lt;&gt;""),AG68:AK68)))</t>
        </is>
      </c>
      <c r="AZ68" s="38" t="inlineStr">
        <is>
          <t>IF(OR(E68="",AM68=""),"",IF(COUNT(AG68:AL68)=0,"",AM68-LOOKUP(2,1/(AG68:AL68&lt;&gt;""),AG68:AL68)))</t>
        </is>
      </c>
      <c r="BA68" s="38" t="inlineStr">
        <is>
          <t>IF(OR(E68="",AN68=""),"",IF(COUNT(AG68:AM68)=0,"",AN68-LOOKUP(2,1/(AG68:AM68&lt;&gt;""),AG68:AM68)))</t>
        </is>
      </c>
      <c r="BB68" s="38" t="inlineStr">
        <is>
          <t>IF(OR(E68="",AO68=""),"",IF(COUNT(AG68:AN68)=0,"",AO68-LOOKUP(2,1/(AG68:AN68&lt;&gt;""),AG68:AN68)))</t>
        </is>
      </c>
      <c r="BC68" s="38" t="inlineStr">
        <is>
          <t>IF(OR(E68="",AP68=""),"",IF(COUNT(AG68:AO68)=0,"",AP68-LOOKUP(2,1/(AG68:AO68&lt;&gt;""),AG68:AO68)))</t>
        </is>
      </c>
      <c r="BD68" s="38" t="inlineStr">
        <is>
          <t>IF(OR(E68="",AQ68=""),"",IF(COUNT(AG68:AP68)=0,"",AQ68-LOOKUP(2,1/(AG68:AP68&lt;&gt;""),AG68:AP68)))</t>
        </is>
      </c>
      <c r="BE68" s="38" t="inlineStr">
        <is>
          <t>IF(OR(E68="",AR68=""),"",IF(COUNT(AG68:AQ68)=0,"",AR68-LOOKUP(2,1/(AG68:AQ68&lt;&gt;""),AG68:AQ68)))</t>
        </is>
      </c>
      <c r="BF68" s="38" t="inlineStr">
        <is>
          <t>IF(OR(E68="",AS68=""),"",IF(COUNT(AG68:AR68)=0,"",AS68-LOOKUP(2,1/(AG68:AR68&lt;&gt;""),AG68:AR68)))</t>
        </is>
      </c>
      <c r="BG68" s="38" t="inlineStr">
        <is>
          <t>IF(OR(E68="",AT68=""),"",IF(COUNT(AG68:AS68)=0,"",AT68-LOOKUP(2,1/(AG68:AS68&lt;&gt;""),AG68:AS68)))</t>
        </is>
      </c>
      <c r="BH68" s="41" t="inlineStr">
        <is>
          <t>IF(G68="","All_Provinces",IFERROR(VLOOKUP(G68,'07_Lookups'!$A$4:$B$20,2,FALSE),"All_Provinces"))</t>
        </is>
      </c>
      <c r="BI68" s="41" t="inlineStr">
        <is>
          <t>IF(H68="","All_Districts",IFERROR(VLOOKUP(H68,'07_Lookups'!$E$4:$F$42,2,FALSE),"All_Districts"))</t>
        </is>
      </c>
    </row>
    <row r="69" ht="18" customHeight="1">
      <c r="A69" s="32" t="inlineStr">
        <is>
          <t>IF(E69="","",ROW()-3)</t>
        </is>
      </c>
      <c r="B69" s="42" t="n"/>
      <c r="C69" s="42" t="n"/>
      <c r="D69" s="42" t="n"/>
      <c r="E69" s="42" t="n"/>
      <c r="F69" s="42" t="n"/>
      <c r="G69" s="42" t="n"/>
      <c r="H69" s="42" t="n"/>
      <c r="I69" s="42" t="n"/>
      <c r="J69" s="42" t="n"/>
      <c r="K69" s="42" t="n"/>
      <c r="L69" s="42" t="n"/>
      <c r="M69" s="42" t="n"/>
      <c r="N69" s="42" t="n"/>
      <c r="O69" s="42" t="n"/>
      <c r="P69" s="42" t="n"/>
      <c r="Q69" s="43" t="n"/>
      <c r="R69" s="35" t="inlineStr">
        <is>
          <t>IF(AO69="","",AO69)</t>
        </is>
      </c>
      <c r="S69" s="44" t="n"/>
      <c r="T69" s="45" t="n"/>
      <c r="U69" s="44" t="n"/>
      <c r="V69" s="35" t="inlineStr">
        <is>
          <t>IF(U69&lt;&gt;"",U69,IF(OR(R69="",T69=""),"",EDATE(R69,T69)))</t>
        </is>
      </c>
      <c r="W69" s="44" t="n"/>
      <c r="X69" s="45" t="n"/>
      <c r="Y69" s="42" t="n"/>
      <c r="Z69" s="42" t="n"/>
      <c r="AA69" s="32" t="inlineStr">
        <is>
          <t>IF(E69="","",IF(COUNT(AG69:AT69)=0,IF(Y69="","Not started",Y69),SUBSTITUTE(LOOKUP(2,1/(AG69:AT69&lt;&gt;""),$AG$3:$AT$3),"Date: ","")))</t>
        </is>
      </c>
      <c r="AB69" s="38" t="inlineStr">
        <is>
          <t>IF(OR(E69="",COUNT(AG69:AT69)=0),"",TODAY()-LOOKUP(2,1/(AG69:AT69&lt;&gt;""),AG69:AT69))</t>
        </is>
      </c>
      <c r="AC69" s="38" t="inlineStr">
        <is>
          <t>IF(OR(E69="",COUNT(AG69:AT69)&lt;2),"",LOOKUP(2,1/(AG69:AT69&lt;&gt;""),AG69:AT69)-MIN(AG69:AT69))</t>
        </is>
      </c>
      <c r="AD69" s="38" t="inlineStr">
        <is>
          <t>IF(OR(AB69="",AA69="Not started",AA69=""),"",IFERROR(AB69-IF(VLOOKUP(AA69,'04_Status_Pipeline'!$B$3:$E$20,4,FALSE)="",0,VLOOKUP(AA69,'04_Status_Pipeline'!$B$3:$E$20,4,FALSE)),""))</t>
        </is>
      </c>
      <c r="AE69" s="32" t="inlineStr">
        <is>
          <t>IF(E69="","",IF(OR(Y69="Cancelled",AA69="Cancelled"),"Cancelled",IF(OR(AA69="Completed / Handover",W69&lt;&gt;"",X69&gt;=100),"Completed — on track",IF(L69="Remaining",IF(S69="",IF(V69="","No planned date",IF(TODAY()&gt;V69,"Behind — past planned date",IF(V69-TODAY()&lt;=30,"At risk — close to off track","On track"))),IF(TODAY()&gt;S69,"Behind — award date passed",IF(S69-TODAY()&lt;=30,"At risk — close to off track","On track"))),IF(V69="","No planned date",IF(AND(TODAY()&gt;V69,OR(X69="",X69&lt;100)),"Behind — past end date",IF(AND(R69&lt;&gt;"",V69&lt;&gt;"",X69&lt;&gt;"",(X69&lt;100),((TODAY()-R69)/MAX(V69-R69,1)*100)-X69&gt;15),"Behind — progress lag",IF(AND(V69-TODAY()&lt;=30,V69-TODAY()&gt;=0,OR(X69="",X69&lt;90)),"At risk — close to off track","On track"))))))))</t>
        </is>
      </c>
      <c r="AF69" s="38" t="inlineStr">
        <is>
          <t>IF(OR(E69="",AA69="Completed / Handover",AA69="Cancelled"),"",IF(L69="Remaining",IF(S69&lt;&gt;"",S69-TODAY(),IF(V69="","",V69-TODAY())),IF(V69="","",V69-TODAY())))</t>
        </is>
      </c>
      <c r="AG69" s="44" t="n"/>
      <c r="AH69" s="44" t="n"/>
      <c r="AI69" s="44" t="n"/>
      <c r="AJ69" s="44" t="n"/>
      <c r="AK69" s="44" t="n"/>
      <c r="AL69" s="44" t="n"/>
      <c r="AM69" s="44" t="n"/>
      <c r="AN69" s="44" t="n"/>
      <c r="AO69" s="44" t="n"/>
      <c r="AP69" s="44" t="n"/>
      <c r="AQ69" s="44" t="n"/>
      <c r="AR69" s="40" t="n"/>
      <c r="AS69" s="40" t="n"/>
      <c r="AT69" s="40" t="n"/>
      <c r="AU69" s="38" t="inlineStr">
        <is>
          <t>IF(OR(E69="",AH69=""),"",IF(COUNT(AG69:AG69)=0,"",AH69-LOOKUP(2,1/(AG69:AG69&lt;&gt;""),AG69:AG69)))</t>
        </is>
      </c>
      <c r="AV69" s="38" t="inlineStr">
        <is>
          <t>IF(OR(E69="",AI69=""),"",IF(COUNT(AG69:AH69)=0,"",AI69-LOOKUP(2,1/(AG69:AH69&lt;&gt;""),AG69:AH69)))</t>
        </is>
      </c>
      <c r="AW69" s="38" t="inlineStr">
        <is>
          <t>IF(OR(E69="",AJ69=""),"",IF(COUNT(AG69:AI69)=0,"",AJ69-LOOKUP(2,1/(AG69:AI69&lt;&gt;""),AG69:AI69)))</t>
        </is>
      </c>
      <c r="AX69" s="38" t="inlineStr">
        <is>
          <t>IF(OR(E69="",AK69=""),"",IF(COUNT(AG69:AJ69)=0,"",AK69-LOOKUP(2,1/(AG69:AJ69&lt;&gt;""),AG69:AJ69)))</t>
        </is>
      </c>
      <c r="AY69" s="38" t="inlineStr">
        <is>
          <t>IF(OR(E69="",AL69=""),"",IF(COUNT(AG69:AK69)=0,"",AL69-LOOKUP(2,1/(AG69:AK69&lt;&gt;""),AG69:AK69)))</t>
        </is>
      </c>
      <c r="AZ69" s="38" t="inlineStr">
        <is>
          <t>IF(OR(E69="",AM69=""),"",IF(COUNT(AG69:AL69)=0,"",AM69-LOOKUP(2,1/(AG69:AL69&lt;&gt;""),AG69:AL69)))</t>
        </is>
      </c>
      <c r="BA69" s="38" t="inlineStr">
        <is>
          <t>IF(OR(E69="",AN69=""),"",IF(COUNT(AG69:AM69)=0,"",AN69-LOOKUP(2,1/(AG69:AM69&lt;&gt;""),AG69:AM69)))</t>
        </is>
      </c>
      <c r="BB69" s="38" t="inlineStr">
        <is>
          <t>IF(OR(E69="",AO69=""),"",IF(COUNT(AG69:AN69)=0,"",AO69-LOOKUP(2,1/(AG69:AN69&lt;&gt;""),AG69:AN69)))</t>
        </is>
      </c>
      <c r="BC69" s="38" t="inlineStr">
        <is>
          <t>IF(OR(E69="",AP69=""),"",IF(COUNT(AG69:AO69)=0,"",AP69-LOOKUP(2,1/(AG69:AO69&lt;&gt;""),AG69:AO69)))</t>
        </is>
      </c>
      <c r="BD69" s="38" t="inlineStr">
        <is>
          <t>IF(OR(E69="",AQ69=""),"",IF(COUNT(AG69:AP69)=0,"",AQ69-LOOKUP(2,1/(AG69:AP69&lt;&gt;""),AG69:AP69)))</t>
        </is>
      </c>
      <c r="BE69" s="38" t="inlineStr">
        <is>
          <t>IF(OR(E69="",AR69=""),"",IF(COUNT(AG69:AQ69)=0,"",AR69-LOOKUP(2,1/(AG69:AQ69&lt;&gt;""),AG69:AQ69)))</t>
        </is>
      </c>
      <c r="BF69" s="38" t="inlineStr">
        <is>
          <t>IF(OR(E69="",AS69=""),"",IF(COUNT(AG69:AR69)=0,"",AS69-LOOKUP(2,1/(AG69:AR69&lt;&gt;""),AG69:AR69)))</t>
        </is>
      </c>
      <c r="BG69" s="38" t="inlineStr">
        <is>
          <t>IF(OR(E69="",AT69=""),"",IF(COUNT(AG69:AS69)=0,"",AT69-LOOKUP(2,1/(AG69:AS69&lt;&gt;""),AG69:AS69)))</t>
        </is>
      </c>
      <c r="BH69" s="41" t="inlineStr">
        <is>
          <t>IF(G69="","All_Provinces",IFERROR(VLOOKUP(G69,'07_Lookups'!$A$4:$B$20,2,FALSE),"All_Provinces"))</t>
        </is>
      </c>
      <c r="BI69" s="41" t="inlineStr">
        <is>
          <t>IF(H69="","All_Districts",IFERROR(VLOOKUP(H69,'07_Lookups'!$E$4:$F$42,2,FALSE),"All_Districts"))</t>
        </is>
      </c>
    </row>
    <row r="70" ht="18" customHeight="1">
      <c r="A70" s="32" t="inlineStr">
        <is>
          <t>IF(E70="","",ROW()-3)</t>
        </is>
      </c>
      <c r="B70" s="33" t="n"/>
      <c r="C70" s="33" t="n"/>
      <c r="D70" s="33" t="n"/>
      <c r="E70" s="33" t="n"/>
      <c r="F70" s="33" t="n"/>
      <c r="G70" s="33" t="n"/>
      <c r="H70" s="33" t="n"/>
      <c r="I70" s="33" t="n"/>
      <c r="J70" s="33" t="n"/>
      <c r="K70" s="33" t="n"/>
      <c r="L70" s="33" t="n"/>
      <c r="M70" s="33" t="n"/>
      <c r="N70" s="33" t="n"/>
      <c r="O70" s="33" t="n"/>
      <c r="P70" s="33" t="n"/>
      <c r="Q70" s="34" t="n"/>
      <c r="R70" s="35" t="inlineStr">
        <is>
          <t>IF(AO70="","",AO70)</t>
        </is>
      </c>
      <c r="S70" s="36" t="n"/>
      <c r="T70" s="37" t="n"/>
      <c r="U70" s="36" t="n"/>
      <c r="V70" s="35" t="inlineStr">
        <is>
          <t>IF(U70&lt;&gt;"",U70,IF(OR(R70="",T70=""),"",EDATE(R70,T70)))</t>
        </is>
      </c>
      <c r="W70" s="36" t="n"/>
      <c r="X70" s="37" t="n"/>
      <c r="Y70" s="33" t="n"/>
      <c r="Z70" s="33" t="n"/>
      <c r="AA70" s="32" t="inlineStr">
        <is>
          <t>IF(E70="","",IF(COUNT(AG70:AT70)=0,IF(Y70="","Not started",Y70),SUBSTITUTE(LOOKUP(2,1/(AG70:AT70&lt;&gt;""),$AG$3:$AT$3),"Date: ","")))</t>
        </is>
      </c>
      <c r="AB70" s="38" t="inlineStr">
        <is>
          <t>IF(OR(E70="",COUNT(AG70:AT70)=0),"",TODAY()-LOOKUP(2,1/(AG70:AT70&lt;&gt;""),AG70:AT70))</t>
        </is>
      </c>
      <c r="AC70" s="38" t="inlineStr">
        <is>
          <t>IF(OR(E70="",COUNT(AG70:AT70)&lt;2),"",LOOKUP(2,1/(AG70:AT70&lt;&gt;""),AG70:AT70)-MIN(AG70:AT70))</t>
        </is>
      </c>
      <c r="AD70" s="38" t="inlineStr">
        <is>
          <t>IF(OR(AB70="",AA70="Not started",AA70=""),"",IFERROR(AB70-IF(VLOOKUP(AA70,'04_Status_Pipeline'!$B$3:$E$20,4,FALSE)="",0,VLOOKUP(AA70,'04_Status_Pipeline'!$B$3:$E$20,4,FALSE)),""))</t>
        </is>
      </c>
      <c r="AE70" s="32" t="inlineStr">
        <is>
          <t>IF(E70="","",IF(OR(Y70="Cancelled",AA70="Cancelled"),"Cancelled",IF(OR(AA70="Completed / Handover",W70&lt;&gt;"",X70&gt;=100),"Completed — on track",IF(L70="Remaining",IF(S70="",IF(V70="","No planned date",IF(TODAY()&gt;V70,"Behind — past planned date",IF(V70-TODAY()&lt;=30,"At risk — close to off track","On track"))),IF(TODAY()&gt;S70,"Behind — award date passed",IF(S70-TODAY()&lt;=30,"At risk — close to off track","On track"))),IF(V70="","No planned date",IF(AND(TODAY()&gt;V70,OR(X70="",X70&lt;100)),"Behind — past end date",IF(AND(R70&lt;&gt;"",V70&lt;&gt;"",X70&lt;&gt;"",(X70&lt;100),((TODAY()-R70)/MAX(V70-R70,1)*100)-X70&gt;15),"Behind — progress lag",IF(AND(V70-TODAY()&lt;=30,V70-TODAY()&gt;=0,OR(X70="",X70&lt;90)),"At risk — close to off track","On track"))))))))</t>
        </is>
      </c>
      <c r="AF70" s="38" t="inlineStr">
        <is>
          <t>IF(OR(E70="",AA70="Completed / Handover",AA70="Cancelled"),"",IF(L70="Remaining",IF(S70&lt;&gt;"",S70-TODAY(),IF(V70="","",V70-TODAY())),IF(V70="","",V70-TODAY())))</t>
        </is>
      </c>
      <c r="AG70" s="36" t="n"/>
      <c r="AH70" s="36" t="n"/>
      <c r="AI70" s="36" t="n"/>
      <c r="AJ70" s="36" t="n"/>
      <c r="AK70" s="36" t="n"/>
      <c r="AL70" s="36" t="n"/>
      <c r="AM70" s="36" t="n"/>
      <c r="AN70" s="36" t="n"/>
      <c r="AO70" s="36" t="n"/>
      <c r="AP70" s="36" t="n"/>
      <c r="AQ70" s="36" t="n"/>
      <c r="AR70" s="40" t="n"/>
      <c r="AS70" s="40" t="n"/>
      <c r="AT70" s="40" t="n"/>
      <c r="AU70" s="38" t="inlineStr">
        <is>
          <t>IF(OR(E70="",AH70=""),"",IF(COUNT(AG70:AG70)=0,"",AH70-LOOKUP(2,1/(AG70:AG70&lt;&gt;""),AG70:AG70)))</t>
        </is>
      </c>
      <c r="AV70" s="38" t="inlineStr">
        <is>
          <t>IF(OR(E70="",AI70=""),"",IF(COUNT(AG70:AH70)=0,"",AI70-LOOKUP(2,1/(AG70:AH70&lt;&gt;""),AG70:AH70)))</t>
        </is>
      </c>
      <c r="AW70" s="38" t="inlineStr">
        <is>
          <t>IF(OR(E70="",AJ70=""),"",IF(COUNT(AG70:AI70)=0,"",AJ70-LOOKUP(2,1/(AG70:AI70&lt;&gt;""),AG70:AI70)))</t>
        </is>
      </c>
      <c r="AX70" s="38" t="inlineStr">
        <is>
          <t>IF(OR(E70="",AK70=""),"",IF(COUNT(AG70:AJ70)=0,"",AK70-LOOKUP(2,1/(AG70:AJ70&lt;&gt;""),AG70:AJ70)))</t>
        </is>
      </c>
      <c r="AY70" s="38" t="inlineStr">
        <is>
          <t>IF(OR(E70="",AL70=""),"",IF(COUNT(AG70:AK70)=0,"",AL70-LOOKUP(2,1/(AG70:AK70&lt;&gt;""),AG70:AK70)))</t>
        </is>
      </c>
      <c r="AZ70" s="38" t="inlineStr">
        <is>
          <t>IF(OR(E70="",AM70=""),"",IF(COUNT(AG70:AL70)=0,"",AM70-LOOKUP(2,1/(AG70:AL70&lt;&gt;""),AG70:AL70)))</t>
        </is>
      </c>
      <c r="BA70" s="38" t="inlineStr">
        <is>
          <t>IF(OR(E70="",AN70=""),"",IF(COUNT(AG70:AM70)=0,"",AN70-LOOKUP(2,1/(AG70:AM70&lt;&gt;""),AG70:AM70)))</t>
        </is>
      </c>
      <c r="BB70" s="38" t="inlineStr">
        <is>
          <t>IF(OR(E70="",AO70=""),"",IF(COUNT(AG70:AN70)=0,"",AO70-LOOKUP(2,1/(AG70:AN70&lt;&gt;""),AG70:AN70)))</t>
        </is>
      </c>
      <c r="BC70" s="38" t="inlineStr">
        <is>
          <t>IF(OR(E70="",AP70=""),"",IF(COUNT(AG70:AO70)=0,"",AP70-LOOKUP(2,1/(AG70:AO70&lt;&gt;""),AG70:AO70)))</t>
        </is>
      </c>
      <c r="BD70" s="38" t="inlineStr">
        <is>
          <t>IF(OR(E70="",AQ70=""),"",IF(COUNT(AG70:AP70)=0,"",AQ70-LOOKUP(2,1/(AG70:AP70&lt;&gt;""),AG70:AP70)))</t>
        </is>
      </c>
      <c r="BE70" s="38" t="inlineStr">
        <is>
          <t>IF(OR(E70="",AR70=""),"",IF(COUNT(AG70:AQ70)=0,"",AR70-LOOKUP(2,1/(AG70:AQ70&lt;&gt;""),AG70:AQ70)))</t>
        </is>
      </c>
      <c r="BF70" s="38" t="inlineStr">
        <is>
          <t>IF(OR(E70="",AS70=""),"",IF(COUNT(AG70:AR70)=0,"",AS70-LOOKUP(2,1/(AG70:AR70&lt;&gt;""),AG70:AR70)))</t>
        </is>
      </c>
      <c r="BG70" s="38" t="inlineStr">
        <is>
          <t>IF(OR(E70="",AT70=""),"",IF(COUNT(AG70:AS70)=0,"",AT70-LOOKUP(2,1/(AG70:AS70&lt;&gt;""),AG70:AS70)))</t>
        </is>
      </c>
      <c r="BH70" s="41" t="inlineStr">
        <is>
          <t>IF(G70="","All_Provinces",IFERROR(VLOOKUP(G70,'07_Lookups'!$A$4:$B$20,2,FALSE),"All_Provinces"))</t>
        </is>
      </c>
      <c r="BI70" s="41" t="inlineStr">
        <is>
          <t>IF(H70="","All_Districts",IFERROR(VLOOKUP(H70,'07_Lookups'!$E$4:$F$42,2,FALSE),"All_Districts"))</t>
        </is>
      </c>
    </row>
    <row r="71" ht="18" customHeight="1">
      <c r="A71" s="32" t="inlineStr">
        <is>
          <t>IF(E71="","",ROW()-3)</t>
        </is>
      </c>
      <c r="B71" s="42" t="n"/>
      <c r="C71" s="42" t="n"/>
      <c r="D71" s="42" t="n"/>
      <c r="E71" s="42" t="n"/>
      <c r="F71" s="42" t="n"/>
      <c r="G71" s="42" t="n"/>
      <c r="H71" s="42" t="n"/>
      <c r="I71" s="42" t="n"/>
      <c r="J71" s="42" t="n"/>
      <c r="K71" s="42" t="n"/>
      <c r="L71" s="42" t="n"/>
      <c r="M71" s="42" t="n"/>
      <c r="N71" s="42" t="n"/>
      <c r="O71" s="42" t="n"/>
      <c r="P71" s="42" t="n"/>
      <c r="Q71" s="43" t="n"/>
      <c r="R71" s="35" t="inlineStr">
        <is>
          <t>IF(AO71="","",AO71)</t>
        </is>
      </c>
      <c r="S71" s="44" t="n"/>
      <c r="T71" s="45" t="n"/>
      <c r="U71" s="44" t="n"/>
      <c r="V71" s="35" t="inlineStr">
        <is>
          <t>IF(U71&lt;&gt;"",U71,IF(OR(R71="",T71=""),"",EDATE(R71,T71)))</t>
        </is>
      </c>
      <c r="W71" s="44" t="n"/>
      <c r="X71" s="45" t="n"/>
      <c r="Y71" s="42" t="n"/>
      <c r="Z71" s="42" t="n"/>
      <c r="AA71" s="32" t="inlineStr">
        <is>
          <t>IF(E71="","",IF(COUNT(AG71:AT71)=0,IF(Y71="","Not started",Y71),SUBSTITUTE(LOOKUP(2,1/(AG71:AT71&lt;&gt;""),$AG$3:$AT$3),"Date: ","")))</t>
        </is>
      </c>
      <c r="AB71" s="38" t="inlineStr">
        <is>
          <t>IF(OR(E71="",COUNT(AG71:AT71)=0),"",TODAY()-LOOKUP(2,1/(AG71:AT71&lt;&gt;""),AG71:AT71))</t>
        </is>
      </c>
      <c r="AC71" s="38" t="inlineStr">
        <is>
          <t>IF(OR(E71="",COUNT(AG71:AT71)&lt;2),"",LOOKUP(2,1/(AG71:AT71&lt;&gt;""),AG71:AT71)-MIN(AG71:AT71))</t>
        </is>
      </c>
      <c r="AD71" s="38" t="inlineStr">
        <is>
          <t>IF(OR(AB71="",AA71="Not started",AA71=""),"",IFERROR(AB71-IF(VLOOKUP(AA71,'04_Status_Pipeline'!$B$3:$E$20,4,FALSE)="",0,VLOOKUP(AA71,'04_Status_Pipeline'!$B$3:$E$20,4,FALSE)),""))</t>
        </is>
      </c>
      <c r="AE71" s="32" t="inlineStr">
        <is>
          <t>IF(E71="","",IF(OR(Y71="Cancelled",AA71="Cancelled"),"Cancelled",IF(OR(AA71="Completed / Handover",W71&lt;&gt;"",X71&gt;=100),"Completed — on track",IF(L71="Remaining",IF(S71="",IF(V71="","No planned date",IF(TODAY()&gt;V71,"Behind — past planned date",IF(V71-TODAY()&lt;=30,"At risk — close to off track","On track"))),IF(TODAY()&gt;S71,"Behind — award date passed",IF(S71-TODAY()&lt;=30,"At risk — close to off track","On track"))),IF(V71="","No planned date",IF(AND(TODAY()&gt;V71,OR(X71="",X71&lt;100)),"Behind — past end date",IF(AND(R71&lt;&gt;"",V71&lt;&gt;"",X71&lt;&gt;"",(X71&lt;100),((TODAY()-R71)/MAX(V71-R71,1)*100)-X71&gt;15),"Behind — progress lag",IF(AND(V71-TODAY()&lt;=30,V71-TODAY()&gt;=0,OR(X71="",X71&lt;90)),"At risk — close to off track","On track"))))))))</t>
        </is>
      </c>
      <c r="AF71" s="38" t="inlineStr">
        <is>
          <t>IF(OR(E71="",AA71="Completed / Handover",AA71="Cancelled"),"",IF(L71="Remaining",IF(S71&lt;&gt;"",S71-TODAY(),IF(V71="","",V71-TODAY())),IF(V71="","",V71-TODAY())))</t>
        </is>
      </c>
      <c r="AG71" s="44" t="n"/>
      <c r="AH71" s="44" t="n"/>
      <c r="AI71" s="44" t="n"/>
      <c r="AJ71" s="44" t="n"/>
      <c r="AK71" s="44" t="n"/>
      <c r="AL71" s="44" t="n"/>
      <c r="AM71" s="44" t="n"/>
      <c r="AN71" s="44" t="n"/>
      <c r="AO71" s="44" t="n"/>
      <c r="AP71" s="44" t="n"/>
      <c r="AQ71" s="44" t="n"/>
      <c r="AR71" s="40" t="n"/>
      <c r="AS71" s="40" t="n"/>
      <c r="AT71" s="40" t="n"/>
      <c r="AU71" s="38" t="inlineStr">
        <is>
          <t>IF(OR(E71="",AH71=""),"",IF(COUNT(AG71:AG71)=0,"",AH71-LOOKUP(2,1/(AG71:AG71&lt;&gt;""),AG71:AG71)))</t>
        </is>
      </c>
      <c r="AV71" s="38" t="inlineStr">
        <is>
          <t>IF(OR(E71="",AI71=""),"",IF(COUNT(AG71:AH71)=0,"",AI71-LOOKUP(2,1/(AG71:AH71&lt;&gt;""),AG71:AH71)))</t>
        </is>
      </c>
      <c r="AW71" s="38" t="inlineStr">
        <is>
          <t>IF(OR(E71="",AJ71=""),"",IF(COUNT(AG71:AI71)=0,"",AJ71-LOOKUP(2,1/(AG71:AI71&lt;&gt;""),AG71:AI71)))</t>
        </is>
      </c>
      <c r="AX71" s="38" t="inlineStr">
        <is>
          <t>IF(OR(E71="",AK71=""),"",IF(COUNT(AG71:AJ71)=0,"",AK71-LOOKUP(2,1/(AG71:AJ71&lt;&gt;""),AG71:AJ71)))</t>
        </is>
      </c>
      <c r="AY71" s="38" t="inlineStr">
        <is>
          <t>IF(OR(E71="",AL71=""),"",IF(COUNT(AG71:AK71)=0,"",AL71-LOOKUP(2,1/(AG71:AK71&lt;&gt;""),AG71:AK71)))</t>
        </is>
      </c>
      <c r="AZ71" s="38" t="inlineStr">
        <is>
          <t>IF(OR(E71="",AM71=""),"",IF(COUNT(AG71:AL71)=0,"",AM71-LOOKUP(2,1/(AG71:AL71&lt;&gt;""),AG71:AL71)))</t>
        </is>
      </c>
      <c r="BA71" s="38" t="inlineStr">
        <is>
          <t>IF(OR(E71="",AN71=""),"",IF(COUNT(AG71:AM71)=0,"",AN71-LOOKUP(2,1/(AG71:AM71&lt;&gt;""),AG71:AM71)))</t>
        </is>
      </c>
      <c r="BB71" s="38" t="inlineStr">
        <is>
          <t>IF(OR(E71="",AO71=""),"",IF(COUNT(AG71:AN71)=0,"",AO71-LOOKUP(2,1/(AG71:AN71&lt;&gt;""),AG71:AN71)))</t>
        </is>
      </c>
      <c r="BC71" s="38" t="inlineStr">
        <is>
          <t>IF(OR(E71="",AP71=""),"",IF(COUNT(AG71:AO71)=0,"",AP71-LOOKUP(2,1/(AG71:AO71&lt;&gt;""),AG71:AO71)))</t>
        </is>
      </c>
      <c r="BD71" s="38" t="inlineStr">
        <is>
          <t>IF(OR(E71="",AQ71=""),"",IF(COUNT(AG71:AP71)=0,"",AQ71-LOOKUP(2,1/(AG71:AP71&lt;&gt;""),AG71:AP71)))</t>
        </is>
      </c>
      <c r="BE71" s="38" t="inlineStr">
        <is>
          <t>IF(OR(E71="",AR71=""),"",IF(COUNT(AG71:AQ71)=0,"",AR71-LOOKUP(2,1/(AG71:AQ71&lt;&gt;""),AG71:AQ71)))</t>
        </is>
      </c>
      <c r="BF71" s="38" t="inlineStr">
        <is>
          <t>IF(OR(E71="",AS71=""),"",IF(COUNT(AG71:AR71)=0,"",AS71-LOOKUP(2,1/(AG71:AR71&lt;&gt;""),AG71:AR71)))</t>
        </is>
      </c>
      <c r="BG71" s="38" t="inlineStr">
        <is>
          <t>IF(OR(E71="",AT71=""),"",IF(COUNT(AG71:AS71)=0,"",AT71-LOOKUP(2,1/(AG71:AS71&lt;&gt;""),AG71:AS71)))</t>
        </is>
      </c>
      <c r="BH71" s="41" t="inlineStr">
        <is>
          <t>IF(G71="","All_Provinces",IFERROR(VLOOKUP(G71,'07_Lookups'!$A$4:$B$20,2,FALSE),"All_Provinces"))</t>
        </is>
      </c>
      <c r="BI71" s="41" t="inlineStr">
        <is>
          <t>IF(H71="","All_Districts",IFERROR(VLOOKUP(H71,'07_Lookups'!$E$4:$F$42,2,FALSE),"All_Districts"))</t>
        </is>
      </c>
    </row>
    <row r="72" ht="18" customHeight="1">
      <c r="A72" s="32" t="inlineStr">
        <is>
          <t>IF(E72="","",ROW()-3)</t>
        </is>
      </c>
      <c r="B72" s="33" t="n"/>
      <c r="C72" s="33" t="n"/>
      <c r="D72" s="33" t="n"/>
      <c r="E72" s="33" t="n"/>
      <c r="F72" s="33" t="n"/>
      <c r="G72" s="33" t="n"/>
      <c r="H72" s="33" t="n"/>
      <c r="I72" s="33" t="n"/>
      <c r="J72" s="33" t="n"/>
      <c r="K72" s="33" t="n"/>
      <c r="L72" s="33" t="n"/>
      <c r="M72" s="33" t="n"/>
      <c r="N72" s="33" t="n"/>
      <c r="O72" s="33" t="n"/>
      <c r="P72" s="33" t="n"/>
      <c r="Q72" s="34" t="n"/>
      <c r="R72" s="35" t="inlineStr">
        <is>
          <t>IF(AO72="","",AO72)</t>
        </is>
      </c>
      <c r="S72" s="36" t="n"/>
      <c r="T72" s="37" t="n"/>
      <c r="U72" s="36" t="n"/>
      <c r="V72" s="35" t="inlineStr">
        <is>
          <t>IF(U72&lt;&gt;"",U72,IF(OR(R72="",T72=""),"",EDATE(R72,T72)))</t>
        </is>
      </c>
      <c r="W72" s="36" t="n"/>
      <c r="X72" s="37" t="n"/>
      <c r="Y72" s="33" t="n"/>
      <c r="Z72" s="33" t="n"/>
      <c r="AA72" s="32" t="inlineStr">
        <is>
          <t>IF(E72="","",IF(COUNT(AG72:AT72)=0,IF(Y72="","Not started",Y72),SUBSTITUTE(LOOKUP(2,1/(AG72:AT72&lt;&gt;""),$AG$3:$AT$3),"Date: ","")))</t>
        </is>
      </c>
      <c r="AB72" s="38" t="inlineStr">
        <is>
          <t>IF(OR(E72="",COUNT(AG72:AT72)=0),"",TODAY()-LOOKUP(2,1/(AG72:AT72&lt;&gt;""),AG72:AT72))</t>
        </is>
      </c>
      <c r="AC72" s="38" t="inlineStr">
        <is>
          <t>IF(OR(E72="",COUNT(AG72:AT72)&lt;2),"",LOOKUP(2,1/(AG72:AT72&lt;&gt;""),AG72:AT72)-MIN(AG72:AT72))</t>
        </is>
      </c>
      <c r="AD72" s="38" t="inlineStr">
        <is>
          <t>IF(OR(AB72="",AA72="Not started",AA72=""),"",IFERROR(AB72-IF(VLOOKUP(AA72,'04_Status_Pipeline'!$B$3:$E$20,4,FALSE)="",0,VLOOKUP(AA72,'04_Status_Pipeline'!$B$3:$E$20,4,FALSE)),""))</t>
        </is>
      </c>
      <c r="AE72" s="32" t="inlineStr">
        <is>
          <t>IF(E72="","",IF(OR(Y72="Cancelled",AA72="Cancelled"),"Cancelled",IF(OR(AA72="Completed / Handover",W72&lt;&gt;"",X72&gt;=100),"Completed — on track",IF(L72="Remaining",IF(S72="",IF(V72="","No planned date",IF(TODAY()&gt;V72,"Behind — past planned date",IF(V72-TODAY()&lt;=30,"At risk — close to off track","On track"))),IF(TODAY()&gt;S72,"Behind — award date passed",IF(S72-TODAY()&lt;=30,"At risk — close to off track","On track"))),IF(V72="","No planned date",IF(AND(TODAY()&gt;V72,OR(X72="",X72&lt;100)),"Behind — past end date",IF(AND(R72&lt;&gt;"",V72&lt;&gt;"",X72&lt;&gt;"",(X72&lt;100),((TODAY()-R72)/MAX(V72-R72,1)*100)-X72&gt;15),"Behind — progress lag",IF(AND(V72-TODAY()&lt;=30,V72-TODAY()&gt;=0,OR(X72="",X72&lt;90)),"At risk — close to off track","On track"))))))))</t>
        </is>
      </c>
      <c r="AF72" s="38" t="inlineStr">
        <is>
          <t>IF(OR(E72="",AA72="Completed / Handover",AA72="Cancelled"),"",IF(L72="Remaining",IF(S72&lt;&gt;"",S72-TODAY(),IF(V72="","",V72-TODAY())),IF(V72="","",V72-TODAY())))</t>
        </is>
      </c>
      <c r="AG72" s="36" t="n"/>
      <c r="AH72" s="36" t="n"/>
      <c r="AI72" s="36" t="n"/>
      <c r="AJ72" s="36" t="n"/>
      <c r="AK72" s="36" t="n"/>
      <c r="AL72" s="36" t="n"/>
      <c r="AM72" s="36" t="n"/>
      <c r="AN72" s="36" t="n"/>
      <c r="AO72" s="36" t="n"/>
      <c r="AP72" s="36" t="n"/>
      <c r="AQ72" s="36" t="n"/>
      <c r="AR72" s="40" t="n"/>
      <c r="AS72" s="40" t="n"/>
      <c r="AT72" s="40" t="n"/>
      <c r="AU72" s="38" t="inlineStr">
        <is>
          <t>IF(OR(E72="",AH72=""),"",IF(COUNT(AG72:AG72)=0,"",AH72-LOOKUP(2,1/(AG72:AG72&lt;&gt;""),AG72:AG72)))</t>
        </is>
      </c>
      <c r="AV72" s="38" t="inlineStr">
        <is>
          <t>IF(OR(E72="",AI72=""),"",IF(COUNT(AG72:AH72)=0,"",AI72-LOOKUP(2,1/(AG72:AH72&lt;&gt;""),AG72:AH72)))</t>
        </is>
      </c>
      <c r="AW72" s="38" t="inlineStr">
        <is>
          <t>IF(OR(E72="",AJ72=""),"",IF(COUNT(AG72:AI72)=0,"",AJ72-LOOKUP(2,1/(AG72:AI72&lt;&gt;""),AG72:AI72)))</t>
        </is>
      </c>
      <c r="AX72" s="38" t="inlineStr">
        <is>
          <t>IF(OR(E72="",AK72=""),"",IF(COUNT(AG72:AJ72)=0,"",AK72-LOOKUP(2,1/(AG72:AJ72&lt;&gt;""),AG72:AJ72)))</t>
        </is>
      </c>
      <c r="AY72" s="38" t="inlineStr">
        <is>
          <t>IF(OR(E72="",AL72=""),"",IF(COUNT(AG72:AK72)=0,"",AL72-LOOKUP(2,1/(AG72:AK72&lt;&gt;""),AG72:AK72)))</t>
        </is>
      </c>
      <c r="AZ72" s="38" t="inlineStr">
        <is>
          <t>IF(OR(E72="",AM72=""),"",IF(COUNT(AG72:AL72)=0,"",AM72-LOOKUP(2,1/(AG72:AL72&lt;&gt;""),AG72:AL72)))</t>
        </is>
      </c>
      <c r="BA72" s="38" t="inlineStr">
        <is>
          <t>IF(OR(E72="",AN72=""),"",IF(COUNT(AG72:AM72)=0,"",AN72-LOOKUP(2,1/(AG72:AM72&lt;&gt;""),AG72:AM72)))</t>
        </is>
      </c>
      <c r="BB72" s="38" t="inlineStr">
        <is>
          <t>IF(OR(E72="",AO72=""),"",IF(COUNT(AG72:AN72)=0,"",AO72-LOOKUP(2,1/(AG72:AN72&lt;&gt;""),AG72:AN72)))</t>
        </is>
      </c>
      <c r="BC72" s="38" t="inlineStr">
        <is>
          <t>IF(OR(E72="",AP72=""),"",IF(COUNT(AG72:AO72)=0,"",AP72-LOOKUP(2,1/(AG72:AO72&lt;&gt;""),AG72:AO72)))</t>
        </is>
      </c>
      <c r="BD72" s="38" t="inlineStr">
        <is>
          <t>IF(OR(E72="",AQ72=""),"",IF(COUNT(AG72:AP72)=0,"",AQ72-LOOKUP(2,1/(AG72:AP72&lt;&gt;""),AG72:AP72)))</t>
        </is>
      </c>
      <c r="BE72" s="38" t="inlineStr">
        <is>
          <t>IF(OR(E72="",AR72=""),"",IF(COUNT(AG72:AQ72)=0,"",AR72-LOOKUP(2,1/(AG72:AQ72&lt;&gt;""),AG72:AQ72)))</t>
        </is>
      </c>
      <c r="BF72" s="38" t="inlineStr">
        <is>
          <t>IF(OR(E72="",AS72=""),"",IF(COUNT(AG72:AR72)=0,"",AS72-LOOKUP(2,1/(AG72:AR72&lt;&gt;""),AG72:AR72)))</t>
        </is>
      </c>
      <c r="BG72" s="38" t="inlineStr">
        <is>
          <t>IF(OR(E72="",AT72=""),"",IF(COUNT(AG72:AS72)=0,"",AT72-LOOKUP(2,1/(AG72:AS72&lt;&gt;""),AG72:AS72)))</t>
        </is>
      </c>
      <c r="BH72" s="41" t="inlineStr">
        <is>
          <t>IF(G72="","All_Provinces",IFERROR(VLOOKUP(G72,'07_Lookups'!$A$4:$B$20,2,FALSE),"All_Provinces"))</t>
        </is>
      </c>
      <c r="BI72" s="41" t="inlineStr">
        <is>
          <t>IF(H72="","All_Districts",IFERROR(VLOOKUP(H72,'07_Lookups'!$E$4:$F$42,2,FALSE),"All_Districts"))</t>
        </is>
      </c>
    </row>
    <row r="73" ht="18" customHeight="1">
      <c r="A73" s="32" t="inlineStr">
        <is>
          <t>IF(E73="","",ROW()-3)</t>
        </is>
      </c>
      <c r="B73" s="42" t="n"/>
      <c r="C73" s="42" t="n"/>
      <c r="D73" s="42" t="n"/>
      <c r="E73" s="42" t="n"/>
      <c r="F73" s="42" t="n"/>
      <c r="G73" s="42" t="n"/>
      <c r="H73" s="42" t="n"/>
      <c r="I73" s="42" t="n"/>
      <c r="J73" s="42" t="n"/>
      <c r="K73" s="42" t="n"/>
      <c r="L73" s="42" t="n"/>
      <c r="M73" s="42" t="n"/>
      <c r="N73" s="42" t="n"/>
      <c r="O73" s="42" t="n"/>
      <c r="P73" s="42" t="n"/>
      <c r="Q73" s="43" t="n"/>
      <c r="R73" s="35" t="inlineStr">
        <is>
          <t>IF(AO73="","",AO73)</t>
        </is>
      </c>
      <c r="S73" s="44" t="n"/>
      <c r="T73" s="45" t="n"/>
      <c r="U73" s="44" t="n"/>
      <c r="V73" s="35" t="inlineStr">
        <is>
          <t>IF(U73&lt;&gt;"",U73,IF(OR(R73="",T73=""),"",EDATE(R73,T73)))</t>
        </is>
      </c>
      <c r="W73" s="44" t="n"/>
      <c r="X73" s="45" t="n"/>
      <c r="Y73" s="42" t="n"/>
      <c r="Z73" s="42" t="n"/>
      <c r="AA73" s="32" t="inlineStr">
        <is>
          <t>IF(E73="","",IF(COUNT(AG73:AT73)=0,IF(Y73="","Not started",Y73),SUBSTITUTE(LOOKUP(2,1/(AG73:AT73&lt;&gt;""),$AG$3:$AT$3),"Date: ","")))</t>
        </is>
      </c>
      <c r="AB73" s="38" t="inlineStr">
        <is>
          <t>IF(OR(E73="",COUNT(AG73:AT73)=0),"",TODAY()-LOOKUP(2,1/(AG73:AT73&lt;&gt;""),AG73:AT73))</t>
        </is>
      </c>
      <c r="AC73" s="38" t="inlineStr">
        <is>
          <t>IF(OR(E73="",COUNT(AG73:AT73)&lt;2),"",LOOKUP(2,1/(AG73:AT73&lt;&gt;""),AG73:AT73)-MIN(AG73:AT73))</t>
        </is>
      </c>
      <c r="AD73" s="38" t="inlineStr">
        <is>
          <t>IF(OR(AB73="",AA73="Not started",AA73=""),"",IFERROR(AB73-IF(VLOOKUP(AA73,'04_Status_Pipeline'!$B$3:$E$20,4,FALSE)="",0,VLOOKUP(AA73,'04_Status_Pipeline'!$B$3:$E$20,4,FALSE)),""))</t>
        </is>
      </c>
      <c r="AE73" s="32" t="inlineStr">
        <is>
          <t>IF(E73="","",IF(OR(Y73="Cancelled",AA73="Cancelled"),"Cancelled",IF(OR(AA73="Completed / Handover",W73&lt;&gt;"",X73&gt;=100),"Completed — on track",IF(L73="Remaining",IF(S73="",IF(V73="","No planned date",IF(TODAY()&gt;V73,"Behind — past planned date",IF(V73-TODAY()&lt;=30,"At risk — close to off track","On track"))),IF(TODAY()&gt;S73,"Behind — award date passed",IF(S73-TODAY()&lt;=30,"At risk — close to off track","On track"))),IF(V73="","No planned date",IF(AND(TODAY()&gt;V73,OR(X73="",X73&lt;100)),"Behind — past end date",IF(AND(R73&lt;&gt;"",V73&lt;&gt;"",X73&lt;&gt;"",(X73&lt;100),((TODAY()-R73)/MAX(V73-R73,1)*100)-X73&gt;15),"Behind — progress lag",IF(AND(V73-TODAY()&lt;=30,V73-TODAY()&gt;=0,OR(X73="",X73&lt;90)),"At risk — close to off track","On track"))))))))</t>
        </is>
      </c>
      <c r="AF73" s="38" t="inlineStr">
        <is>
          <t>IF(OR(E73="",AA73="Completed / Handover",AA73="Cancelled"),"",IF(L73="Remaining",IF(S73&lt;&gt;"",S73-TODAY(),IF(V73="","",V73-TODAY())),IF(V73="","",V73-TODAY())))</t>
        </is>
      </c>
      <c r="AG73" s="44" t="n"/>
      <c r="AH73" s="44" t="n"/>
      <c r="AI73" s="44" t="n"/>
      <c r="AJ73" s="44" t="n"/>
      <c r="AK73" s="44" t="n"/>
      <c r="AL73" s="44" t="n"/>
      <c r="AM73" s="44" t="n"/>
      <c r="AN73" s="44" t="n"/>
      <c r="AO73" s="44" t="n"/>
      <c r="AP73" s="44" t="n"/>
      <c r="AQ73" s="44" t="n"/>
      <c r="AR73" s="40" t="n"/>
      <c r="AS73" s="40" t="n"/>
      <c r="AT73" s="40" t="n"/>
      <c r="AU73" s="38" t="inlineStr">
        <is>
          <t>IF(OR(E73="",AH73=""),"",IF(COUNT(AG73:AG73)=0,"",AH73-LOOKUP(2,1/(AG73:AG73&lt;&gt;""),AG73:AG73)))</t>
        </is>
      </c>
      <c r="AV73" s="38" t="inlineStr">
        <is>
          <t>IF(OR(E73="",AI73=""),"",IF(COUNT(AG73:AH73)=0,"",AI73-LOOKUP(2,1/(AG73:AH73&lt;&gt;""),AG73:AH73)))</t>
        </is>
      </c>
      <c r="AW73" s="38" t="inlineStr">
        <is>
          <t>IF(OR(E73="",AJ73=""),"",IF(COUNT(AG73:AI73)=0,"",AJ73-LOOKUP(2,1/(AG73:AI73&lt;&gt;""),AG73:AI73)))</t>
        </is>
      </c>
      <c r="AX73" s="38" t="inlineStr">
        <is>
          <t>IF(OR(E73="",AK73=""),"",IF(COUNT(AG73:AJ73)=0,"",AK73-LOOKUP(2,1/(AG73:AJ73&lt;&gt;""),AG73:AJ73)))</t>
        </is>
      </c>
      <c r="AY73" s="38" t="inlineStr">
        <is>
          <t>IF(OR(E73="",AL73=""),"",IF(COUNT(AG73:AK73)=0,"",AL73-LOOKUP(2,1/(AG73:AK73&lt;&gt;""),AG73:AK73)))</t>
        </is>
      </c>
      <c r="AZ73" s="38" t="inlineStr">
        <is>
          <t>IF(OR(E73="",AM73=""),"",IF(COUNT(AG73:AL73)=0,"",AM73-LOOKUP(2,1/(AG73:AL73&lt;&gt;""),AG73:AL73)))</t>
        </is>
      </c>
      <c r="BA73" s="38" t="inlineStr">
        <is>
          <t>IF(OR(E73="",AN73=""),"",IF(COUNT(AG73:AM73)=0,"",AN73-LOOKUP(2,1/(AG73:AM73&lt;&gt;""),AG73:AM73)))</t>
        </is>
      </c>
      <c r="BB73" s="38" t="inlineStr">
        <is>
          <t>IF(OR(E73="",AO73=""),"",IF(COUNT(AG73:AN73)=0,"",AO73-LOOKUP(2,1/(AG73:AN73&lt;&gt;""),AG73:AN73)))</t>
        </is>
      </c>
      <c r="BC73" s="38" t="inlineStr">
        <is>
          <t>IF(OR(E73="",AP73=""),"",IF(COUNT(AG73:AO73)=0,"",AP73-LOOKUP(2,1/(AG73:AO73&lt;&gt;""),AG73:AO73)))</t>
        </is>
      </c>
      <c r="BD73" s="38" t="inlineStr">
        <is>
          <t>IF(OR(E73="",AQ73=""),"",IF(COUNT(AG73:AP73)=0,"",AQ73-LOOKUP(2,1/(AG73:AP73&lt;&gt;""),AG73:AP73)))</t>
        </is>
      </c>
      <c r="BE73" s="38" t="inlineStr">
        <is>
          <t>IF(OR(E73="",AR73=""),"",IF(COUNT(AG73:AQ73)=0,"",AR73-LOOKUP(2,1/(AG73:AQ73&lt;&gt;""),AG73:AQ73)))</t>
        </is>
      </c>
      <c r="BF73" s="38" t="inlineStr">
        <is>
          <t>IF(OR(E73="",AS73=""),"",IF(COUNT(AG73:AR73)=0,"",AS73-LOOKUP(2,1/(AG73:AR73&lt;&gt;""),AG73:AR73)))</t>
        </is>
      </c>
      <c r="BG73" s="38" t="inlineStr">
        <is>
          <t>IF(OR(E73="",AT73=""),"",IF(COUNT(AG73:AS73)=0,"",AT73-LOOKUP(2,1/(AG73:AS73&lt;&gt;""),AG73:AS73)))</t>
        </is>
      </c>
      <c r="BH73" s="41" t="inlineStr">
        <is>
          <t>IF(G73="","All_Provinces",IFERROR(VLOOKUP(G73,'07_Lookups'!$A$4:$B$20,2,FALSE),"All_Provinces"))</t>
        </is>
      </c>
      <c r="BI73" s="41" t="inlineStr">
        <is>
          <t>IF(H73="","All_Districts",IFERROR(VLOOKUP(H73,'07_Lookups'!$E$4:$F$42,2,FALSE),"All_Districts"))</t>
        </is>
      </c>
    </row>
    <row r="74" ht="18" customHeight="1">
      <c r="A74" s="32" t="inlineStr">
        <is>
          <t>IF(E74="","",ROW()-3)</t>
        </is>
      </c>
      <c r="B74" s="33" t="n"/>
      <c r="C74" s="33" t="n"/>
      <c r="D74" s="33" t="n"/>
      <c r="E74" s="33" t="n"/>
      <c r="F74" s="33" t="n"/>
      <c r="G74" s="33" t="n"/>
      <c r="H74" s="33" t="n"/>
      <c r="I74" s="33" t="n"/>
      <c r="J74" s="33" t="n"/>
      <c r="K74" s="33" t="n"/>
      <c r="L74" s="33" t="n"/>
      <c r="M74" s="33" t="n"/>
      <c r="N74" s="33" t="n"/>
      <c r="O74" s="33" t="n"/>
      <c r="P74" s="33" t="n"/>
      <c r="Q74" s="34" t="n"/>
      <c r="R74" s="35" t="inlineStr">
        <is>
          <t>IF(AO74="","",AO74)</t>
        </is>
      </c>
      <c r="S74" s="36" t="n"/>
      <c r="T74" s="37" t="n"/>
      <c r="U74" s="36" t="n"/>
      <c r="V74" s="35" t="inlineStr">
        <is>
          <t>IF(U74&lt;&gt;"",U74,IF(OR(R74="",T74=""),"",EDATE(R74,T74)))</t>
        </is>
      </c>
      <c r="W74" s="36" t="n"/>
      <c r="X74" s="37" t="n"/>
      <c r="Y74" s="33" t="n"/>
      <c r="Z74" s="33" t="n"/>
      <c r="AA74" s="32" t="inlineStr">
        <is>
          <t>IF(E74="","",IF(COUNT(AG74:AT74)=0,IF(Y74="","Not started",Y74),SUBSTITUTE(LOOKUP(2,1/(AG74:AT74&lt;&gt;""),$AG$3:$AT$3),"Date: ","")))</t>
        </is>
      </c>
      <c r="AB74" s="38" t="inlineStr">
        <is>
          <t>IF(OR(E74="",COUNT(AG74:AT74)=0),"",TODAY()-LOOKUP(2,1/(AG74:AT74&lt;&gt;""),AG74:AT74))</t>
        </is>
      </c>
      <c r="AC74" s="38" t="inlineStr">
        <is>
          <t>IF(OR(E74="",COUNT(AG74:AT74)&lt;2),"",LOOKUP(2,1/(AG74:AT74&lt;&gt;""),AG74:AT74)-MIN(AG74:AT74))</t>
        </is>
      </c>
      <c r="AD74" s="38" t="inlineStr">
        <is>
          <t>IF(OR(AB74="",AA74="Not started",AA74=""),"",IFERROR(AB74-IF(VLOOKUP(AA74,'04_Status_Pipeline'!$B$3:$E$20,4,FALSE)="",0,VLOOKUP(AA74,'04_Status_Pipeline'!$B$3:$E$20,4,FALSE)),""))</t>
        </is>
      </c>
      <c r="AE74" s="32" t="inlineStr">
        <is>
          <t>IF(E74="","",IF(OR(Y74="Cancelled",AA74="Cancelled"),"Cancelled",IF(OR(AA74="Completed / Handover",W74&lt;&gt;"",X74&gt;=100),"Completed — on track",IF(L74="Remaining",IF(S74="",IF(V74="","No planned date",IF(TODAY()&gt;V74,"Behind — past planned date",IF(V74-TODAY()&lt;=30,"At risk — close to off track","On track"))),IF(TODAY()&gt;S74,"Behind — award date passed",IF(S74-TODAY()&lt;=30,"At risk — close to off track","On track"))),IF(V74="","No planned date",IF(AND(TODAY()&gt;V74,OR(X74="",X74&lt;100)),"Behind — past end date",IF(AND(R74&lt;&gt;"",V74&lt;&gt;"",X74&lt;&gt;"",(X74&lt;100),((TODAY()-R74)/MAX(V74-R74,1)*100)-X74&gt;15),"Behind — progress lag",IF(AND(V74-TODAY()&lt;=30,V74-TODAY()&gt;=0,OR(X74="",X74&lt;90)),"At risk — close to off track","On track"))))))))</t>
        </is>
      </c>
      <c r="AF74" s="38" t="inlineStr">
        <is>
          <t>IF(OR(E74="",AA74="Completed / Handover",AA74="Cancelled"),"",IF(L74="Remaining",IF(S74&lt;&gt;"",S74-TODAY(),IF(V74="","",V74-TODAY())),IF(V74="","",V74-TODAY())))</t>
        </is>
      </c>
      <c r="AG74" s="36" t="n"/>
      <c r="AH74" s="36" t="n"/>
      <c r="AI74" s="36" t="n"/>
      <c r="AJ74" s="36" t="n"/>
      <c r="AK74" s="36" t="n"/>
      <c r="AL74" s="36" t="n"/>
      <c r="AM74" s="36" t="n"/>
      <c r="AN74" s="36" t="n"/>
      <c r="AO74" s="36" t="n"/>
      <c r="AP74" s="36" t="n"/>
      <c r="AQ74" s="36" t="n"/>
      <c r="AR74" s="40" t="n"/>
      <c r="AS74" s="40" t="n"/>
      <c r="AT74" s="40" t="n"/>
      <c r="AU74" s="38" t="inlineStr">
        <is>
          <t>IF(OR(E74="",AH74=""),"",IF(COUNT(AG74:AG74)=0,"",AH74-LOOKUP(2,1/(AG74:AG74&lt;&gt;""),AG74:AG74)))</t>
        </is>
      </c>
      <c r="AV74" s="38" t="inlineStr">
        <is>
          <t>IF(OR(E74="",AI74=""),"",IF(COUNT(AG74:AH74)=0,"",AI74-LOOKUP(2,1/(AG74:AH74&lt;&gt;""),AG74:AH74)))</t>
        </is>
      </c>
      <c r="AW74" s="38" t="inlineStr">
        <is>
          <t>IF(OR(E74="",AJ74=""),"",IF(COUNT(AG74:AI74)=0,"",AJ74-LOOKUP(2,1/(AG74:AI74&lt;&gt;""),AG74:AI74)))</t>
        </is>
      </c>
      <c r="AX74" s="38" t="inlineStr">
        <is>
          <t>IF(OR(E74="",AK74=""),"",IF(COUNT(AG74:AJ74)=0,"",AK74-LOOKUP(2,1/(AG74:AJ74&lt;&gt;""),AG74:AJ74)))</t>
        </is>
      </c>
      <c r="AY74" s="38" t="inlineStr">
        <is>
          <t>IF(OR(E74="",AL74=""),"",IF(COUNT(AG74:AK74)=0,"",AL74-LOOKUP(2,1/(AG74:AK74&lt;&gt;""),AG74:AK74)))</t>
        </is>
      </c>
      <c r="AZ74" s="38" t="inlineStr">
        <is>
          <t>IF(OR(E74="",AM74=""),"",IF(COUNT(AG74:AL74)=0,"",AM74-LOOKUP(2,1/(AG74:AL74&lt;&gt;""),AG74:AL74)))</t>
        </is>
      </c>
      <c r="BA74" s="38" t="inlineStr">
        <is>
          <t>IF(OR(E74="",AN74=""),"",IF(COUNT(AG74:AM74)=0,"",AN74-LOOKUP(2,1/(AG74:AM74&lt;&gt;""),AG74:AM74)))</t>
        </is>
      </c>
      <c r="BB74" s="38" t="inlineStr">
        <is>
          <t>IF(OR(E74="",AO74=""),"",IF(COUNT(AG74:AN74)=0,"",AO74-LOOKUP(2,1/(AG74:AN74&lt;&gt;""),AG74:AN74)))</t>
        </is>
      </c>
      <c r="BC74" s="38" t="inlineStr">
        <is>
          <t>IF(OR(E74="",AP74=""),"",IF(COUNT(AG74:AO74)=0,"",AP74-LOOKUP(2,1/(AG74:AO74&lt;&gt;""),AG74:AO74)))</t>
        </is>
      </c>
      <c r="BD74" s="38" t="inlineStr">
        <is>
          <t>IF(OR(E74="",AQ74=""),"",IF(COUNT(AG74:AP74)=0,"",AQ74-LOOKUP(2,1/(AG74:AP74&lt;&gt;""),AG74:AP74)))</t>
        </is>
      </c>
      <c r="BE74" s="38" t="inlineStr">
        <is>
          <t>IF(OR(E74="",AR74=""),"",IF(COUNT(AG74:AQ74)=0,"",AR74-LOOKUP(2,1/(AG74:AQ74&lt;&gt;""),AG74:AQ74)))</t>
        </is>
      </c>
      <c r="BF74" s="38" t="inlineStr">
        <is>
          <t>IF(OR(E74="",AS74=""),"",IF(COUNT(AG74:AR74)=0,"",AS74-LOOKUP(2,1/(AG74:AR74&lt;&gt;""),AG74:AR74)))</t>
        </is>
      </c>
      <c r="BG74" s="38" t="inlineStr">
        <is>
          <t>IF(OR(E74="",AT74=""),"",IF(COUNT(AG74:AS74)=0,"",AT74-LOOKUP(2,1/(AG74:AS74&lt;&gt;""),AG74:AS74)))</t>
        </is>
      </c>
      <c r="BH74" s="41" t="inlineStr">
        <is>
          <t>IF(G74="","All_Provinces",IFERROR(VLOOKUP(G74,'07_Lookups'!$A$4:$B$20,2,FALSE),"All_Provinces"))</t>
        </is>
      </c>
      <c r="BI74" s="41" t="inlineStr">
        <is>
          <t>IF(H74="","All_Districts",IFERROR(VLOOKUP(H74,'07_Lookups'!$E$4:$F$42,2,FALSE),"All_Districts"))</t>
        </is>
      </c>
    </row>
    <row r="75" ht="18" customHeight="1">
      <c r="A75" s="32" t="inlineStr">
        <is>
          <t>IF(E75="","",ROW()-3)</t>
        </is>
      </c>
      <c r="B75" s="42" t="n"/>
      <c r="C75" s="42" t="n"/>
      <c r="D75" s="42" t="n"/>
      <c r="E75" s="42" t="n"/>
      <c r="F75" s="42" t="n"/>
      <c r="G75" s="42" t="n"/>
      <c r="H75" s="42" t="n"/>
      <c r="I75" s="42" t="n"/>
      <c r="J75" s="42" t="n"/>
      <c r="K75" s="42" t="n"/>
      <c r="L75" s="42" t="n"/>
      <c r="M75" s="42" t="n"/>
      <c r="N75" s="42" t="n"/>
      <c r="O75" s="42" t="n"/>
      <c r="P75" s="42" t="n"/>
      <c r="Q75" s="43" t="n"/>
      <c r="R75" s="35" t="inlineStr">
        <is>
          <t>IF(AO75="","",AO75)</t>
        </is>
      </c>
      <c r="S75" s="44" t="n"/>
      <c r="T75" s="45" t="n"/>
      <c r="U75" s="44" t="n"/>
      <c r="V75" s="35" t="inlineStr">
        <is>
          <t>IF(U75&lt;&gt;"",U75,IF(OR(R75="",T75=""),"",EDATE(R75,T75)))</t>
        </is>
      </c>
      <c r="W75" s="44" t="n"/>
      <c r="X75" s="45" t="n"/>
      <c r="Y75" s="42" t="n"/>
      <c r="Z75" s="42" t="n"/>
      <c r="AA75" s="32" t="inlineStr">
        <is>
          <t>IF(E75="","",IF(COUNT(AG75:AT75)=0,IF(Y75="","Not started",Y75),SUBSTITUTE(LOOKUP(2,1/(AG75:AT75&lt;&gt;""),$AG$3:$AT$3),"Date: ","")))</t>
        </is>
      </c>
      <c r="AB75" s="38" t="inlineStr">
        <is>
          <t>IF(OR(E75="",COUNT(AG75:AT75)=0),"",TODAY()-LOOKUP(2,1/(AG75:AT75&lt;&gt;""),AG75:AT75))</t>
        </is>
      </c>
      <c r="AC75" s="38" t="inlineStr">
        <is>
          <t>IF(OR(E75="",COUNT(AG75:AT75)&lt;2),"",LOOKUP(2,1/(AG75:AT75&lt;&gt;""),AG75:AT75)-MIN(AG75:AT75))</t>
        </is>
      </c>
      <c r="AD75" s="38" t="inlineStr">
        <is>
          <t>IF(OR(AB75="",AA75="Not started",AA75=""),"",IFERROR(AB75-IF(VLOOKUP(AA75,'04_Status_Pipeline'!$B$3:$E$20,4,FALSE)="",0,VLOOKUP(AA75,'04_Status_Pipeline'!$B$3:$E$20,4,FALSE)),""))</t>
        </is>
      </c>
      <c r="AE75" s="32" t="inlineStr">
        <is>
          <t>IF(E75="","",IF(OR(Y75="Cancelled",AA75="Cancelled"),"Cancelled",IF(OR(AA75="Completed / Handover",W75&lt;&gt;"",X75&gt;=100),"Completed — on track",IF(L75="Remaining",IF(S75="",IF(V75="","No planned date",IF(TODAY()&gt;V75,"Behind — past planned date",IF(V75-TODAY()&lt;=30,"At risk — close to off track","On track"))),IF(TODAY()&gt;S75,"Behind — award date passed",IF(S75-TODAY()&lt;=30,"At risk — close to off track","On track"))),IF(V75="","No planned date",IF(AND(TODAY()&gt;V75,OR(X75="",X75&lt;100)),"Behind — past end date",IF(AND(R75&lt;&gt;"",V75&lt;&gt;"",X75&lt;&gt;"",(X75&lt;100),((TODAY()-R75)/MAX(V75-R75,1)*100)-X75&gt;15),"Behind — progress lag",IF(AND(V75-TODAY()&lt;=30,V75-TODAY()&gt;=0,OR(X75="",X75&lt;90)),"At risk — close to off track","On track"))))))))</t>
        </is>
      </c>
      <c r="AF75" s="38" t="inlineStr">
        <is>
          <t>IF(OR(E75="",AA75="Completed / Handover",AA75="Cancelled"),"",IF(L75="Remaining",IF(S75&lt;&gt;"",S75-TODAY(),IF(V75="","",V75-TODAY())),IF(V75="","",V75-TODAY())))</t>
        </is>
      </c>
      <c r="AG75" s="44" t="n"/>
      <c r="AH75" s="44" t="n"/>
      <c r="AI75" s="44" t="n"/>
      <c r="AJ75" s="44" t="n"/>
      <c r="AK75" s="44" t="n"/>
      <c r="AL75" s="44" t="n"/>
      <c r="AM75" s="44" t="n"/>
      <c r="AN75" s="44" t="n"/>
      <c r="AO75" s="44" t="n"/>
      <c r="AP75" s="44" t="n"/>
      <c r="AQ75" s="44" t="n"/>
      <c r="AR75" s="40" t="n"/>
      <c r="AS75" s="40" t="n"/>
      <c r="AT75" s="40" t="n"/>
      <c r="AU75" s="38" t="inlineStr">
        <is>
          <t>IF(OR(E75="",AH75=""),"",IF(COUNT(AG75:AG75)=0,"",AH75-LOOKUP(2,1/(AG75:AG75&lt;&gt;""),AG75:AG75)))</t>
        </is>
      </c>
      <c r="AV75" s="38" t="inlineStr">
        <is>
          <t>IF(OR(E75="",AI75=""),"",IF(COUNT(AG75:AH75)=0,"",AI75-LOOKUP(2,1/(AG75:AH75&lt;&gt;""),AG75:AH75)))</t>
        </is>
      </c>
      <c r="AW75" s="38" t="inlineStr">
        <is>
          <t>IF(OR(E75="",AJ75=""),"",IF(COUNT(AG75:AI75)=0,"",AJ75-LOOKUP(2,1/(AG75:AI75&lt;&gt;""),AG75:AI75)))</t>
        </is>
      </c>
      <c r="AX75" s="38" t="inlineStr">
        <is>
          <t>IF(OR(E75="",AK75=""),"",IF(COUNT(AG75:AJ75)=0,"",AK75-LOOKUP(2,1/(AG75:AJ75&lt;&gt;""),AG75:AJ75)))</t>
        </is>
      </c>
      <c r="AY75" s="38" t="inlineStr">
        <is>
          <t>IF(OR(E75="",AL75=""),"",IF(COUNT(AG75:AK75)=0,"",AL75-LOOKUP(2,1/(AG75:AK75&lt;&gt;""),AG75:AK75)))</t>
        </is>
      </c>
      <c r="AZ75" s="38" t="inlineStr">
        <is>
          <t>IF(OR(E75="",AM75=""),"",IF(COUNT(AG75:AL75)=0,"",AM75-LOOKUP(2,1/(AG75:AL75&lt;&gt;""),AG75:AL75)))</t>
        </is>
      </c>
      <c r="BA75" s="38" t="inlineStr">
        <is>
          <t>IF(OR(E75="",AN75=""),"",IF(COUNT(AG75:AM75)=0,"",AN75-LOOKUP(2,1/(AG75:AM75&lt;&gt;""),AG75:AM75)))</t>
        </is>
      </c>
      <c r="BB75" s="38" t="inlineStr">
        <is>
          <t>IF(OR(E75="",AO75=""),"",IF(COUNT(AG75:AN75)=0,"",AO75-LOOKUP(2,1/(AG75:AN75&lt;&gt;""),AG75:AN75)))</t>
        </is>
      </c>
      <c r="BC75" s="38" t="inlineStr">
        <is>
          <t>IF(OR(E75="",AP75=""),"",IF(COUNT(AG75:AO75)=0,"",AP75-LOOKUP(2,1/(AG75:AO75&lt;&gt;""),AG75:AO75)))</t>
        </is>
      </c>
      <c r="BD75" s="38" t="inlineStr">
        <is>
          <t>IF(OR(E75="",AQ75=""),"",IF(COUNT(AG75:AP75)=0,"",AQ75-LOOKUP(2,1/(AG75:AP75&lt;&gt;""),AG75:AP75)))</t>
        </is>
      </c>
      <c r="BE75" s="38" t="inlineStr">
        <is>
          <t>IF(OR(E75="",AR75=""),"",IF(COUNT(AG75:AQ75)=0,"",AR75-LOOKUP(2,1/(AG75:AQ75&lt;&gt;""),AG75:AQ75)))</t>
        </is>
      </c>
      <c r="BF75" s="38" t="inlineStr">
        <is>
          <t>IF(OR(E75="",AS75=""),"",IF(COUNT(AG75:AR75)=0,"",AS75-LOOKUP(2,1/(AG75:AR75&lt;&gt;""),AG75:AR75)))</t>
        </is>
      </c>
      <c r="BG75" s="38" t="inlineStr">
        <is>
          <t>IF(OR(E75="",AT75=""),"",IF(COUNT(AG75:AS75)=0,"",AT75-LOOKUP(2,1/(AG75:AS75&lt;&gt;""),AG75:AS75)))</t>
        </is>
      </c>
      <c r="BH75" s="41" t="inlineStr">
        <is>
          <t>IF(G75="","All_Provinces",IFERROR(VLOOKUP(G75,'07_Lookups'!$A$4:$B$20,2,FALSE),"All_Provinces"))</t>
        </is>
      </c>
      <c r="BI75" s="41" t="inlineStr">
        <is>
          <t>IF(H75="","All_Districts",IFERROR(VLOOKUP(H75,'07_Lookups'!$E$4:$F$42,2,FALSE),"All_Districts"))</t>
        </is>
      </c>
    </row>
    <row r="76" ht="18" customHeight="1">
      <c r="A76" s="32" t="inlineStr">
        <is>
          <t>IF(E76="","",ROW()-3)</t>
        </is>
      </c>
      <c r="B76" s="33" t="n"/>
      <c r="C76" s="33" t="n"/>
      <c r="D76" s="33" t="n"/>
      <c r="E76" s="33" t="n"/>
      <c r="F76" s="33" t="n"/>
      <c r="G76" s="33" t="n"/>
      <c r="H76" s="33" t="n"/>
      <c r="I76" s="33" t="n"/>
      <c r="J76" s="33" t="n"/>
      <c r="K76" s="33" t="n"/>
      <c r="L76" s="33" t="n"/>
      <c r="M76" s="33" t="n"/>
      <c r="N76" s="33" t="n"/>
      <c r="O76" s="33" t="n"/>
      <c r="P76" s="33" t="n"/>
      <c r="Q76" s="34" t="n"/>
      <c r="R76" s="35" t="inlineStr">
        <is>
          <t>IF(AO76="","",AO76)</t>
        </is>
      </c>
      <c r="S76" s="36" t="n"/>
      <c r="T76" s="37" t="n"/>
      <c r="U76" s="36" t="n"/>
      <c r="V76" s="35" t="inlineStr">
        <is>
          <t>IF(U76&lt;&gt;"",U76,IF(OR(R76="",T76=""),"",EDATE(R76,T76)))</t>
        </is>
      </c>
      <c r="W76" s="36" t="n"/>
      <c r="X76" s="37" t="n"/>
      <c r="Y76" s="33" t="n"/>
      <c r="Z76" s="33" t="n"/>
      <c r="AA76" s="32" t="inlineStr">
        <is>
          <t>IF(E76="","",IF(COUNT(AG76:AT76)=0,IF(Y76="","Not started",Y76),SUBSTITUTE(LOOKUP(2,1/(AG76:AT76&lt;&gt;""),$AG$3:$AT$3),"Date: ","")))</t>
        </is>
      </c>
      <c r="AB76" s="38" t="inlineStr">
        <is>
          <t>IF(OR(E76="",COUNT(AG76:AT76)=0),"",TODAY()-LOOKUP(2,1/(AG76:AT76&lt;&gt;""),AG76:AT76))</t>
        </is>
      </c>
      <c r="AC76" s="38" t="inlineStr">
        <is>
          <t>IF(OR(E76="",COUNT(AG76:AT76)&lt;2),"",LOOKUP(2,1/(AG76:AT76&lt;&gt;""),AG76:AT76)-MIN(AG76:AT76))</t>
        </is>
      </c>
      <c r="AD76" s="38" t="inlineStr">
        <is>
          <t>IF(OR(AB76="",AA76="Not started",AA76=""),"",IFERROR(AB76-IF(VLOOKUP(AA76,'04_Status_Pipeline'!$B$3:$E$20,4,FALSE)="",0,VLOOKUP(AA76,'04_Status_Pipeline'!$B$3:$E$20,4,FALSE)),""))</t>
        </is>
      </c>
      <c r="AE76" s="32" t="inlineStr">
        <is>
          <t>IF(E76="","",IF(OR(Y76="Cancelled",AA76="Cancelled"),"Cancelled",IF(OR(AA76="Completed / Handover",W76&lt;&gt;"",X76&gt;=100),"Completed — on track",IF(L76="Remaining",IF(S76="",IF(V76="","No planned date",IF(TODAY()&gt;V76,"Behind — past planned date",IF(V76-TODAY()&lt;=30,"At risk — close to off track","On track"))),IF(TODAY()&gt;S76,"Behind — award date passed",IF(S76-TODAY()&lt;=30,"At risk — close to off track","On track"))),IF(V76="","No planned date",IF(AND(TODAY()&gt;V76,OR(X76="",X76&lt;100)),"Behind — past end date",IF(AND(R76&lt;&gt;"",V76&lt;&gt;"",X76&lt;&gt;"",(X76&lt;100),((TODAY()-R76)/MAX(V76-R76,1)*100)-X76&gt;15),"Behind — progress lag",IF(AND(V76-TODAY()&lt;=30,V76-TODAY()&gt;=0,OR(X76="",X76&lt;90)),"At risk — close to off track","On track"))))))))</t>
        </is>
      </c>
      <c r="AF76" s="38" t="inlineStr">
        <is>
          <t>IF(OR(E76="",AA76="Completed / Handover",AA76="Cancelled"),"",IF(L76="Remaining",IF(S76&lt;&gt;"",S76-TODAY(),IF(V76="","",V76-TODAY())),IF(V76="","",V76-TODAY())))</t>
        </is>
      </c>
      <c r="AG76" s="36" t="n"/>
      <c r="AH76" s="36" t="n"/>
      <c r="AI76" s="36" t="n"/>
      <c r="AJ76" s="36" t="n"/>
      <c r="AK76" s="36" t="n"/>
      <c r="AL76" s="36" t="n"/>
      <c r="AM76" s="36" t="n"/>
      <c r="AN76" s="36" t="n"/>
      <c r="AO76" s="36" t="n"/>
      <c r="AP76" s="36" t="n"/>
      <c r="AQ76" s="36" t="n"/>
      <c r="AR76" s="40" t="n"/>
      <c r="AS76" s="40" t="n"/>
      <c r="AT76" s="40" t="n"/>
      <c r="AU76" s="38" t="inlineStr">
        <is>
          <t>IF(OR(E76="",AH76=""),"",IF(COUNT(AG76:AG76)=0,"",AH76-LOOKUP(2,1/(AG76:AG76&lt;&gt;""),AG76:AG76)))</t>
        </is>
      </c>
      <c r="AV76" s="38" t="inlineStr">
        <is>
          <t>IF(OR(E76="",AI76=""),"",IF(COUNT(AG76:AH76)=0,"",AI76-LOOKUP(2,1/(AG76:AH76&lt;&gt;""),AG76:AH76)))</t>
        </is>
      </c>
      <c r="AW76" s="38" t="inlineStr">
        <is>
          <t>IF(OR(E76="",AJ76=""),"",IF(COUNT(AG76:AI76)=0,"",AJ76-LOOKUP(2,1/(AG76:AI76&lt;&gt;""),AG76:AI76)))</t>
        </is>
      </c>
      <c r="AX76" s="38" t="inlineStr">
        <is>
          <t>IF(OR(E76="",AK76=""),"",IF(COUNT(AG76:AJ76)=0,"",AK76-LOOKUP(2,1/(AG76:AJ76&lt;&gt;""),AG76:AJ76)))</t>
        </is>
      </c>
      <c r="AY76" s="38" t="inlineStr">
        <is>
          <t>IF(OR(E76="",AL76=""),"",IF(COUNT(AG76:AK76)=0,"",AL76-LOOKUP(2,1/(AG76:AK76&lt;&gt;""),AG76:AK76)))</t>
        </is>
      </c>
      <c r="AZ76" s="38" t="inlineStr">
        <is>
          <t>IF(OR(E76="",AM76=""),"",IF(COUNT(AG76:AL76)=0,"",AM76-LOOKUP(2,1/(AG76:AL76&lt;&gt;""),AG76:AL76)))</t>
        </is>
      </c>
      <c r="BA76" s="38" t="inlineStr">
        <is>
          <t>IF(OR(E76="",AN76=""),"",IF(COUNT(AG76:AM76)=0,"",AN76-LOOKUP(2,1/(AG76:AM76&lt;&gt;""),AG76:AM76)))</t>
        </is>
      </c>
      <c r="BB76" s="38" t="inlineStr">
        <is>
          <t>IF(OR(E76="",AO76=""),"",IF(COUNT(AG76:AN76)=0,"",AO76-LOOKUP(2,1/(AG76:AN76&lt;&gt;""),AG76:AN76)))</t>
        </is>
      </c>
      <c r="BC76" s="38" t="inlineStr">
        <is>
          <t>IF(OR(E76="",AP76=""),"",IF(COUNT(AG76:AO76)=0,"",AP76-LOOKUP(2,1/(AG76:AO76&lt;&gt;""),AG76:AO76)))</t>
        </is>
      </c>
      <c r="BD76" s="38" t="inlineStr">
        <is>
          <t>IF(OR(E76="",AQ76=""),"",IF(COUNT(AG76:AP76)=0,"",AQ76-LOOKUP(2,1/(AG76:AP76&lt;&gt;""),AG76:AP76)))</t>
        </is>
      </c>
      <c r="BE76" s="38" t="inlineStr">
        <is>
          <t>IF(OR(E76="",AR76=""),"",IF(COUNT(AG76:AQ76)=0,"",AR76-LOOKUP(2,1/(AG76:AQ76&lt;&gt;""),AG76:AQ76)))</t>
        </is>
      </c>
      <c r="BF76" s="38" t="inlineStr">
        <is>
          <t>IF(OR(E76="",AS76=""),"",IF(COUNT(AG76:AR76)=0,"",AS76-LOOKUP(2,1/(AG76:AR76&lt;&gt;""),AG76:AR76)))</t>
        </is>
      </c>
      <c r="BG76" s="38" t="inlineStr">
        <is>
          <t>IF(OR(E76="",AT76=""),"",IF(COUNT(AG76:AS76)=0,"",AT76-LOOKUP(2,1/(AG76:AS76&lt;&gt;""),AG76:AS76)))</t>
        </is>
      </c>
      <c r="BH76" s="41" t="inlineStr">
        <is>
          <t>IF(G76="","All_Provinces",IFERROR(VLOOKUP(G76,'07_Lookups'!$A$4:$B$20,2,FALSE),"All_Provinces"))</t>
        </is>
      </c>
      <c r="BI76" s="41" t="inlineStr">
        <is>
          <t>IF(H76="","All_Districts",IFERROR(VLOOKUP(H76,'07_Lookups'!$E$4:$F$42,2,FALSE),"All_Districts"))</t>
        </is>
      </c>
    </row>
    <row r="77" ht="18" customHeight="1">
      <c r="A77" s="32" t="inlineStr">
        <is>
          <t>IF(E77="","",ROW()-3)</t>
        </is>
      </c>
      <c r="B77" s="42" t="n"/>
      <c r="C77" s="42" t="n"/>
      <c r="D77" s="42" t="n"/>
      <c r="E77" s="42" t="n"/>
      <c r="F77" s="42" t="n"/>
      <c r="G77" s="42" t="n"/>
      <c r="H77" s="42" t="n"/>
      <c r="I77" s="42" t="n"/>
      <c r="J77" s="42" t="n"/>
      <c r="K77" s="42" t="n"/>
      <c r="L77" s="42" t="n"/>
      <c r="M77" s="42" t="n"/>
      <c r="N77" s="42" t="n"/>
      <c r="O77" s="42" t="n"/>
      <c r="P77" s="42" t="n"/>
      <c r="Q77" s="43" t="n"/>
      <c r="R77" s="35" t="inlineStr">
        <is>
          <t>IF(AO77="","",AO77)</t>
        </is>
      </c>
      <c r="S77" s="44" t="n"/>
      <c r="T77" s="45" t="n"/>
      <c r="U77" s="44" t="n"/>
      <c r="V77" s="35" t="inlineStr">
        <is>
          <t>IF(U77&lt;&gt;"",U77,IF(OR(R77="",T77=""),"",EDATE(R77,T77)))</t>
        </is>
      </c>
      <c r="W77" s="44" t="n"/>
      <c r="X77" s="45" t="n"/>
      <c r="Y77" s="42" t="n"/>
      <c r="Z77" s="42" t="n"/>
      <c r="AA77" s="32" t="inlineStr">
        <is>
          <t>IF(E77="","",IF(COUNT(AG77:AT77)=0,IF(Y77="","Not started",Y77),SUBSTITUTE(LOOKUP(2,1/(AG77:AT77&lt;&gt;""),$AG$3:$AT$3),"Date: ","")))</t>
        </is>
      </c>
      <c r="AB77" s="38" t="inlineStr">
        <is>
          <t>IF(OR(E77="",COUNT(AG77:AT77)=0),"",TODAY()-LOOKUP(2,1/(AG77:AT77&lt;&gt;""),AG77:AT77))</t>
        </is>
      </c>
      <c r="AC77" s="38" t="inlineStr">
        <is>
          <t>IF(OR(E77="",COUNT(AG77:AT77)&lt;2),"",LOOKUP(2,1/(AG77:AT77&lt;&gt;""),AG77:AT77)-MIN(AG77:AT77))</t>
        </is>
      </c>
      <c r="AD77" s="38" t="inlineStr">
        <is>
          <t>IF(OR(AB77="",AA77="Not started",AA77=""),"",IFERROR(AB77-IF(VLOOKUP(AA77,'04_Status_Pipeline'!$B$3:$E$20,4,FALSE)="",0,VLOOKUP(AA77,'04_Status_Pipeline'!$B$3:$E$20,4,FALSE)),""))</t>
        </is>
      </c>
      <c r="AE77" s="32" t="inlineStr">
        <is>
          <t>IF(E77="","",IF(OR(Y77="Cancelled",AA77="Cancelled"),"Cancelled",IF(OR(AA77="Completed / Handover",W77&lt;&gt;"",X77&gt;=100),"Completed — on track",IF(L77="Remaining",IF(S77="",IF(V77="","No planned date",IF(TODAY()&gt;V77,"Behind — past planned date",IF(V77-TODAY()&lt;=30,"At risk — close to off track","On track"))),IF(TODAY()&gt;S77,"Behind — award date passed",IF(S77-TODAY()&lt;=30,"At risk — close to off track","On track"))),IF(V77="","No planned date",IF(AND(TODAY()&gt;V77,OR(X77="",X77&lt;100)),"Behind — past end date",IF(AND(R77&lt;&gt;"",V77&lt;&gt;"",X77&lt;&gt;"",(X77&lt;100),((TODAY()-R77)/MAX(V77-R77,1)*100)-X77&gt;15),"Behind — progress lag",IF(AND(V77-TODAY()&lt;=30,V77-TODAY()&gt;=0,OR(X77="",X77&lt;90)),"At risk — close to off track","On track"))))))))</t>
        </is>
      </c>
      <c r="AF77" s="38" t="inlineStr">
        <is>
          <t>IF(OR(E77="",AA77="Completed / Handover",AA77="Cancelled"),"",IF(L77="Remaining",IF(S77&lt;&gt;"",S77-TODAY(),IF(V77="","",V77-TODAY())),IF(V77="","",V77-TODAY())))</t>
        </is>
      </c>
      <c r="AG77" s="44" t="n"/>
      <c r="AH77" s="44" t="n"/>
      <c r="AI77" s="44" t="n"/>
      <c r="AJ77" s="44" t="n"/>
      <c r="AK77" s="44" t="n"/>
      <c r="AL77" s="44" t="n"/>
      <c r="AM77" s="44" t="n"/>
      <c r="AN77" s="44" t="n"/>
      <c r="AO77" s="44" t="n"/>
      <c r="AP77" s="44" t="n"/>
      <c r="AQ77" s="44" t="n"/>
      <c r="AR77" s="40" t="n"/>
      <c r="AS77" s="40" t="n"/>
      <c r="AT77" s="40" t="n"/>
      <c r="AU77" s="38" t="inlineStr">
        <is>
          <t>IF(OR(E77="",AH77=""),"",IF(COUNT(AG77:AG77)=0,"",AH77-LOOKUP(2,1/(AG77:AG77&lt;&gt;""),AG77:AG77)))</t>
        </is>
      </c>
      <c r="AV77" s="38" t="inlineStr">
        <is>
          <t>IF(OR(E77="",AI77=""),"",IF(COUNT(AG77:AH77)=0,"",AI77-LOOKUP(2,1/(AG77:AH77&lt;&gt;""),AG77:AH77)))</t>
        </is>
      </c>
      <c r="AW77" s="38" t="inlineStr">
        <is>
          <t>IF(OR(E77="",AJ77=""),"",IF(COUNT(AG77:AI77)=0,"",AJ77-LOOKUP(2,1/(AG77:AI77&lt;&gt;""),AG77:AI77)))</t>
        </is>
      </c>
      <c r="AX77" s="38" t="inlineStr">
        <is>
          <t>IF(OR(E77="",AK77=""),"",IF(COUNT(AG77:AJ77)=0,"",AK77-LOOKUP(2,1/(AG77:AJ77&lt;&gt;""),AG77:AJ77)))</t>
        </is>
      </c>
      <c r="AY77" s="38" t="inlineStr">
        <is>
          <t>IF(OR(E77="",AL77=""),"",IF(COUNT(AG77:AK77)=0,"",AL77-LOOKUP(2,1/(AG77:AK77&lt;&gt;""),AG77:AK77)))</t>
        </is>
      </c>
      <c r="AZ77" s="38" t="inlineStr">
        <is>
          <t>IF(OR(E77="",AM77=""),"",IF(COUNT(AG77:AL77)=0,"",AM77-LOOKUP(2,1/(AG77:AL77&lt;&gt;""),AG77:AL77)))</t>
        </is>
      </c>
      <c r="BA77" s="38" t="inlineStr">
        <is>
          <t>IF(OR(E77="",AN77=""),"",IF(COUNT(AG77:AM77)=0,"",AN77-LOOKUP(2,1/(AG77:AM77&lt;&gt;""),AG77:AM77)))</t>
        </is>
      </c>
      <c r="BB77" s="38" t="inlineStr">
        <is>
          <t>IF(OR(E77="",AO77=""),"",IF(COUNT(AG77:AN77)=0,"",AO77-LOOKUP(2,1/(AG77:AN77&lt;&gt;""),AG77:AN77)))</t>
        </is>
      </c>
      <c r="BC77" s="38" t="inlineStr">
        <is>
          <t>IF(OR(E77="",AP77=""),"",IF(COUNT(AG77:AO77)=0,"",AP77-LOOKUP(2,1/(AG77:AO77&lt;&gt;""),AG77:AO77)))</t>
        </is>
      </c>
      <c r="BD77" s="38" t="inlineStr">
        <is>
          <t>IF(OR(E77="",AQ77=""),"",IF(COUNT(AG77:AP77)=0,"",AQ77-LOOKUP(2,1/(AG77:AP77&lt;&gt;""),AG77:AP77)))</t>
        </is>
      </c>
      <c r="BE77" s="38" t="inlineStr">
        <is>
          <t>IF(OR(E77="",AR77=""),"",IF(COUNT(AG77:AQ77)=0,"",AR77-LOOKUP(2,1/(AG77:AQ77&lt;&gt;""),AG77:AQ77)))</t>
        </is>
      </c>
      <c r="BF77" s="38" t="inlineStr">
        <is>
          <t>IF(OR(E77="",AS77=""),"",IF(COUNT(AG77:AR77)=0,"",AS77-LOOKUP(2,1/(AG77:AR77&lt;&gt;""),AG77:AR77)))</t>
        </is>
      </c>
      <c r="BG77" s="38" t="inlineStr">
        <is>
          <t>IF(OR(E77="",AT77=""),"",IF(COUNT(AG77:AS77)=0,"",AT77-LOOKUP(2,1/(AG77:AS77&lt;&gt;""),AG77:AS77)))</t>
        </is>
      </c>
      <c r="BH77" s="41" t="inlineStr">
        <is>
          <t>IF(G77="","All_Provinces",IFERROR(VLOOKUP(G77,'07_Lookups'!$A$4:$B$20,2,FALSE),"All_Provinces"))</t>
        </is>
      </c>
      <c r="BI77" s="41" t="inlineStr">
        <is>
          <t>IF(H77="","All_Districts",IFERROR(VLOOKUP(H77,'07_Lookups'!$E$4:$F$42,2,FALSE),"All_Districts"))</t>
        </is>
      </c>
    </row>
    <row r="78" ht="18" customHeight="1">
      <c r="A78" s="32" t="inlineStr">
        <is>
          <t>IF(E78="","",ROW()-3)</t>
        </is>
      </c>
      <c r="B78" s="33" t="n"/>
      <c r="C78" s="33" t="n"/>
      <c r="D78" s="33" t="n"/>
      <c r="E78" s="33" t="n"/>
      <c r="F78" s="33" t="n"/>
      <c r="G78" s="33" t="n"/>
      <c r="H78" s="33" t="n"/>
      <c r="I78" s="33" t="n"/>
      <c r="J78" s="33" t="n"/>
      <c r="K78" s="33" t="n"/>
      <c r="L78" s="33" t="n"/>
      <c r="M78" s="33" t="n"/>
      <c r="N78" s="33" t="n"/>
      <c r="O78" s="33" t="n"/>
      <c r="P78" s="33" t="n"/>
      <c r="Q78" s="34" t="n"/>
      <c r="R78" s="35" t="inlineStr">
        <is>
          <t>IF(AO78="","",AO78)</t>
        </is>
      </c>
      <c r="S78" s="36" t="n"/>
      <c r="T78" s="37" t="n"/>
      <c r="U78" s="36" t="n"/>
      <c r="V78" s="35" t="inlineStr">
        <is>
          <t>IF(U78&lt;&gt;"",U78,IF(OR(R78="",T78=""),"",EDATE(R78,T78)))</t>
        </is>
      </c>
      <c r="W78" s="36" t="n"/>
      <c r="X78" s="37" t="n"/>
      <c r="Y78" s="33" t="n"/>
      <c r="Z78" s="33" t="n"/>
      <c r="AA78" s="32" t="inlineStr">
        <is>
          <t>IF(E78="","",IF(COUNT(AG78:AT78)=0,IF(Y78="","Not started",Y78),SUBSTITUTE(LOOKUP(2,1/(AG78:AT78&lt;&gt;""),$AG$3:$AT$3),"Date: ","")))</t>
        </is>
      </c>
      <c r="AB78" s="38" t="inlineStr">
        <is>
          <t>IF(OR(E78="",COUNT(AG78:AT78)=0),"",TODAY()-LOOKUP(2,1/(AG78:AT78&lt;&gt;""),AG78:AT78))</t>
        </is>
      </c>
      <c r="AC78" s="38" t="inlineStr">
        <is>
          <t>IF(OR(E78="",COUNT(AG78:AT78)&lt;2),"",LOOKUP(2,1/(AG78:AT78&lt;&gt;""),AG78:AT78)-MIN(AG78:AT78))</t>
        </is>
      </c>
      <c r="AD78" s="38" t="inlineStr">
        <is>
          <t>IF(OR(AB78="",AA78="Not started",AA78=""),"",IFERROR(AB78-IF(VLOOKUP(AA78,'04_Status_Pipeline'!$B$3:$E$20,4,FALSE)="",0,VLOOKUP(AA78,'04_Status_Pipeline'!$B$3:$E$20,4,FALSE)),""))</t>
        </is>
      </c>
      <c r="AE78" s="32" t="inlineStr">
        <is>
          <t>IF(E78="","",IF(OR(Y78="Cancelled",AA78="Cancelled"),"Cancelled",IF(OR(AA78="Completed / Handover",W78&lt;&gt;"",X78&gt;=100),"Completed — on track",IF(L78="Remaining",IF(S78="",IF(V78="","No planned date",IF(TODAY()&gt;V78,"Behind — past planned date",IF(V78-TODAY()&lt;=30,"At risk — close to off track","On track"))),IF(TODAY()&gt;S78,"Behind — award date passed",IF(S78-TODAY()&lt;=30,"At risk — close to off track","On track"))),IF(V78="","No planned date",IF(AND(TODAY()&gt;V78,OR(X78="",X78&lt;100)),"Behind — past end date",IF(AND(R78&lt;&gt;"",V78&lt;&gt;"",X78&lt;&gt;"",(X78&lt;100),((TODAY()-R78)/MAX(V78-R78,1)*100)-X78&gt;15),"Behind — progress lag",IF(AND(V78-TODAY()&lt;=30,V78-TODAY()&gt;=0,OR(X78="",X78&lt;90)),"At risk — close to off track","On track"))))))))</t>
        </is>
      </c>
      <c r="AF78" s="38" t="inlineStr">
        <is>
          <t>IF(OR(E78="",AA78="Completed / Handover",AA78="Cancelled"),"",IF(L78="Remaining",IF(S78&lt;&gt;"",S78-TODAY(),IF(V78="","",V78-TODAY())),IF(V78="","",V78-TODAY())))</t>
        </is>
      </c>
      <c r="AG78" s="36" t="n"/>
      <c r="AH78" s="36" t="n"/>
      <c r="AI78" s="36" t="n"/>
      <c r="AJ78" s="36" t="n"/>
      <c r="AK78" s="36" t="n"/>
      <c r="AL78" s="36" t="n"/>
      <c r="AM78" s="36" t="n"/>
      <c r="AN78" s="36" t="n"/>
      <c r="AO78" s="36" t="n"/>
      <c r="AP78" s="36" t="n"/>
      <c r="AQ78" s="36" t="n"/>
      <c r="AR78" s="40" t="n"/>
      <c r="AS78" s="40" t="n"/>
      <c r="AT78" s="40" t="n"/>
      <c r="AU78" s="38" t="inlineStr">
        <is>
          <t>IF(OR(E78="",AH78=""),"",IF(COUNT(AG78:AG78)=0,"",AH78-LOOKUP(2,1/(AG78:AG78&lt;&gt;""),AG78:AG78)))</t>
        </is>
      </c>
      <c r="AV78" s="38" t="inlineStr">
        <is>
          <t>IF(OR(E78="",AI78=""),"",IF(COUNT(AG78:AH78)=0,"",AI78-LOOKUP(2,1/(AG78:AH78&lt;&gt;""),AG78:AH78)))</t>
        </is>
      </c>
      <c r="AW78" s="38" t="inlineStr">
        <is>
          <t>IF(OR(E78="",AJ78=""),"",IF(COUNT(AG78:AI78)=0,"",AJ78-LOOKUP(2,1/(AG78:AI78&lt;&gt;""),AG78:AI78)))</t>
        </is>
      </c>
      <c r="AX78" s="38" t="inlineStr">
        <is>
          <t>IF(OR(E78="",AK78=""),"",IF(COUNT(AG78:AJ78)=0,"",AK78-LOOKUP(2,1/(AG78:AJ78&lt;&gt;""),AG78:AJ78)))</t>
        </is>
      </c>
      <c r="AY78" s="38" t="inlineStr">
        <is>
          <t>IF(OR(E78="",AL78=""),"",IF(COUNT(AG78:AK78)=0,"",AL78-LOOKUP(2,1/(AG78:AK78&lt;&gt;""),AG78:AK78)))</t>
        </is>
      </c>
      <c r="AZ78" s="38" t="inlineStr">
        <is>
          <t>IF(OR(E78="",AM78=""),"",IF(COUNT(AG78:AL78)=0,"",AM78-LOOKUP(2,1/(AG78:AL78&lt;&gt;""),AG78:AL78)))</t>
        </is>
      </c>
      <c r="BA78" s="38" t="inlineStr">
        <is>
          <t>IF(OR(E78="",AN78=""),"",IF(COUNT(AG78:AM78)=0,"",AN78-LOOKUP(2,1/(AG78:AM78&lt;&gt;""),AG78:AM78)))</t>
        </is>
      </c>
      <c r="BB78" s="38" t="inlineStr">
        <is>
          <t>IF(OR(E78="",AO78=""),"",IF(COUNT(AG78:AN78)=0,"",AO78-LOOKUP(2,1/(AG78:AN78&lt;&gt;""),AG78:AN78)))</t>
        </is>
      </c>
      <c r="BC78" s="38" t="inlineStr">
        <is>
          <t>IF(OR(E78="",AP78=""),"",IF(COUNT(AG78:AO78)=0,"",AP78-LOOKUP(2,1/(AG78:AO78&lt;&gt;""),AG78:AO78)))</t>
        </is>
      </c>
      <c r="BD78" s="38" t="inlineStr">
        <is>
          <t>IF(OR(E78="",AQ78=""),"",IF(COUNT(AG78:AP78)=0,"",AQ78-LOOKUP(2,1/(AG78:AP78&lt;&gt;""),AG78:AP78)))</t>
        </is>
      </c>
      <c r="BE78" s="38" t="inlineStr">
        <is>
          <t>IF(OR(E78="",AR78=""),"",IF(COUNT(AG78:AQ78)=0,"",AR78-LOOKUP(2,1/(AG78:AQ78&lt;&gt;""),AG78:AQ78)))</t>
        </is>
      </c>
      <c r="BF78" s="38" t="inlineStr">
        <is>
          <t>IF(OR(E78="",AS78=""),"",IF(COUNT(AG78:AR78)=0,"",AS78-LOOKUP(2,1/(AG78:AR78&lt;&gt;""),AG78:AR78)))</t>
        </is>
      </c>
      <c r="BG78" s="38" t="inlineStr">
        <is>
          <t>IF(OR(E78="",AT78=""),"",IF(COUNT(AG78:AS78)=0,"",AT78-LOOKUP(2,1/(AG78:AS78&lt;&gt;""),AG78:AS78)))</t>
        </is>
      </c>
      <c r="BH78" s="41" t="inlineStr">
        <is>
          <t>IF(G78="","All_Provinces",IFERROR(VLOOKUP(G78,'07_Lookups'!$A$4:$B$20,2,FALSE),"All_Provinces"))</t>
        </is>
      </c>
      <c r="BI78" s="41" t="inlineStr">
        <is>
          <t>IF(H78="","All_Districts",IFERROR(VLOOKUP(H78,'07_Lookups'!$E$4:$F$42,2,FALSE),"All_Districts"))</t>
        </is>
      </c>
    </row>
    <row r="79" ht="18" customHeight="1">
      <c r="A79" s="32" t="inlineStr">
        <is>
          <t>IF(E79="","",ROW()-3)</t>
        </is>
      </c>
      <c r="B79" s="42" t="n"/>
      <c r="C79" s="42" t="n"/>
      <c r="D79" s="42" t="n"/>
      <c r="E79" s="42" t="n"/>
      <c r="F79" s="42" t="n"/>
      <c r="G79" s="42" t="n"/>
      <c r="H79" s="42" t="n"/>
      <c r="I79" s="42" t="n"/>
      <c r="J79" s="42" t="n"/>
      <c r="K79" s="42" t="n"/>
      <c r="L79" s="42" t="n"/>
      <c r="M79" s="42" t="n"/>
      <c r="N79" s="42" t="n"/>
      <c r="O79" s="42" t="n"/>
      <c r="P79" s="42" t="n"/>
      <c r="Q79" s="43" t="n"/>
      <c r="R79" s="35" t="inlineStr">
        <is>
          <t>IF(AO79="","",AO79)</t>
        </is>
      </c>
      <c r="S79" s="44" t="n"/>
      <c r="T79" s="45" t="n"/>
      <c r="U79" s="44" t="n"/>
      <c r="V79" s="35" t="inlineStr">
        <is>
          <t>IF(U79&lt;&gt;"",U79,IF(OR(R79="",T79=""),"",EDATE(R79,T79)))</t>
        </is>
      </c>
      <c r="W79" s="44" t="n"/>
      <c r="X79" s="45" t="n"/>
      <c r="Y79" s="42" t="n"/>
      <c r="Z79" s="42" t="n"/>
      <c r="AA79" s="32" t="inlineStr">
        <is>
          <t>IF(E79="","",IF(COUNT(AG79:AT79)=0,IF(Y79="","Not started",Y79),SUBSTITUTE(LOOKUP(2,1/(AG79:AT79&lt;&gt;""),$AG$3:$AT$3),"Date: ","")))</t>
        </is>
      </c>
      <c r="AB79" s="38" t="inlineStr">
        <is>
          <t>IF(OR(E79="",COUNT(AG79:AT79)=0),"",TODAY()-LOOKUP(2,1/(AG79:AT79&lt;&gt;""),AG79:AT79))</t>
        </is>
      </c>
      <c r="AC79" s="38" t="inlineStr">
        <is>
          <t>IF(OR(E79="",COUNT(AG79:AT79)&lt;2),"",LOOKUP(2,1/(AG79:AT79&lt;&gt;""),AG79:AT79)-MIN(AG79:AT79))</t>
        </is>
      </c>
      <c r="AD79" s="38" t="inlineStr">
        <is>
          <t>IF(OR(AB79="",AA79="Not started",AA79=""),"",IFERROR(AB79-IF(VLOOKUP(AA79,'04_Status_Pipeline'!$B$3:$E$20,4,FALSE)="",0,VLOOKUP(AA79,'04_Status_Pipeline'!$B$3:$E$20,4,FALSE)),""))</t>
        </is>
      </c>
      <c r="AE79" s="32" t="inlineStr">
        <is>
          <t>IF(E79="","",IF(OR(Y79="Cancelled",AA79="Cancelled"),"Cancelled",IF(OR(AA79="Completed / Handover",W79&lt;&gt;"",X79&gt;=100),"Completed — on track",IF(L79="Remaining",IF(S79="",IF(V79="","No planned date",IF(TODAY()&gt;V79,"Behind — past planned date",IF(V79-TODAY()&lt;=30,"At risk — close to off track","On track"))),IF(TODAY()&gt;S79,"Behind — award date passed",IF(S79-TODAY()&lt;=30,"At risk — close to off track","On track"))),IF(V79="","No planned date",IF(AND(TODAY()&gt;V79,OR(X79="",X79&lt;100)),"Behind — past end date",IF(AND(R79&lt;&gt;"",V79&lt;&gt;"",X79&lt;&gt;"",(X79&lt;100),((TODAY()-R79)/MAX(V79-R79,1)*100)-X79&gt;15),"Behind — progress lag",IF(AND(V79-TODAY()&lt;=30,V79-TODAY()&gt;=0,OR(X79="",X79&lt;90)),"At risk — close to off track","On track"))))))))</t>
        </is>
      </c>
      <c r="AF79" s="38" t="inlineStr">
        <is>
          <t>IF(OR(E79="",AA79="Completed / Handover",AA79="Cancelled"),"",IF(L79="Remaining",IF(S79&lt;&gt;"",S79-TODAY(),IF(V79="","",V79-TODAY())),IF(V79="","",V79-TODAY())))</t>
        </is>
      </c>
      <c r="AG79" s="44" t="n"/>
      <c r="AH79" s="44" t="n"/>
      <c r="AI79" s="44" t="n"/>
      <c r="AJ79" s="44" t="n"/>
      <c r="AK79" s="44" t="n"/>
      <c r="AL79" s="44" t="n"/>
      <c r="AM79" s="44" t="n"/>
      <c r="AN79" s="44" t="n"/>
      <c r="AO79" s="44" t="n"/>
      <c r="AP79" s="44" t="n"/>
      <c r="AQ79" s="44" t="n"/>
      <c r="AR79" s="40" t="n"/>
      <c r="AS79" s="40" t="n"/>
      <c r="AT79" s="40" t="n"/>
      <c r="AU79" s="38" t="inlineStr">
        <is>
          <t>IF(OR(E79="",AH79=""),"",IF(COUNT(AG79:AG79)=0,"",AH79-LOOKUP(2,1/(AG79:AG79&lt;&gt;""),AG79:AG79)))</t>
        </is>
      </c>
      <c r="AV79" s="38" t="inlineStr">
        <is>
          <t>IF(OR(E79="",AI79=""),"",IF(COUNT(AG79:AH79)=0,"",AI79-LOOKUP(2,1/(AG79:AH79&lt;&gt;""),AG79:AH79)))</t>
        </is>
      </c>
      <c r="AW79" s="38" t="inlineStr">
        <is>
          <t>IF(OR(E79="",AJ79=""),"",IF(COUNT(AG79:AI79)=0,"",AJ79-LOOKUP(2,1/(AG79:AI79&lt;&gt;""),AG79:AI79)))</t>
        </is>
      </c>
      <c r="AX79" s="38" t="inlineStr">
        <is>
          <t>IF(OR(E79="",AK79=""),"",IF(COUNT(AG79:AJ79)=0,"",AK79-LOOKUP(2,1/(AG79:AJ79&lt;&gt;""),AG79:AJ79)))</t>
        </is>
      </c>
      <c r="AY79" s="38" t="inlineStr">
        <is>
          <t>IF(OR(E79="",AL79=""),"",IF(COUNT(AG79:AK79)=0,"",AL79-LOOKUP(2,1/(AG79:AK79&lt;&gt;""),AG79:AK79)))</t>
        </is>
      </c>
      <c r="AZ79" s="38" t="inlineStr">
        <is>
          <t>IF(OR(E79="",AM79=""),"",IF(COUNT(AG79:AL79)=0,"",AM79-LOOKUP(2,1/(AG79:AL79&lt;&gt;""),AG79:AL79)))</t>
        </is>
      </c>
      <c r="BA79" s="38" t="inlineStr">
        <is>
          <t>IF(OR(E79="",AN79=""),"",IF(COUNT(AG79:AM79)=0,"",AN79-LOOKUP(2,1/(AG79:AM79&lt;&gt;""),AG79:AM79)))</t>
        </is>
      </c>
      <c r="BB79" s="38" t="inlineStr">
        <is>
          <t>IF(OR(E79="",AO79=""),"",IF(COUNT(AG79:AN79)=0,"",AO79-LOOKUP(2,1/(AG79:AN79&lt;&gt;""),AG79:AN79)))</t>
        </is>
      </c>
      <c r="BC79" s="38" t="inlineStr">
        <is>
          <t>IF(OR(E79="",AP79=""),"",IF(COUNT(AG79:AO79)=0,"",AP79-LOOKUP(2,1/(AG79:AO79&lt;&gt;""),AG79:AO79)))</t>
        </is>
      </c>
      <c r="BD79" s="38" t="inlineStr">
        <is>
          <t>IF(OR(E79="",AQ79=""),"",IF(COUNT(AG79:AP79)=0,"",AQ79-LOOKUP(2,1/(AG79:AP79&lt;&gt;""),AG79:AP79)))</t>
        </is>
      </c>
      <c r="BE79" s="38" t="inlineStr">
        <is>
          <t>IF(OR(E79="",AR79=""),"",IF(COUNT(AG79:AQ79)=0,"",AR79-LOOKUP(2,1/(AG79:AQ79&lt;&gt;""),AG79:AQ79)))</t>
        </is>
      </c>
      <c r="BF79" s="38" t="inlineStr">
        <is>
          <t>IF(OR(E79="",AS79=""),"",IF(COUNT(AG79:AR79)=0,"",AS79-LOOKUP(2,1/(AG79:AR79&lt;&gt;""),AG79:AR79)))</t>
        </is>
      </c>
      <c r="BG79" s="38" t="inlineStr">
        <is>
          <t>IF(OR(E79="",AT79=""),"",IF(COUNT(AG79:AS79)=0,"",AT79-LOOKUP(2,1/(AG79:AS79&lt;&gt;""),AG79:AS79)))</t>
        </is>
      </c>
      <c r="BH79" s="41" t="inlineStr">
        <is>
          <t>IF(G79="","All_Provinces",IFERROR(VLOOKUP(G79,'07_Lookups'!$A$4:$B$20,2,FALSE),"All_Provinces"))</t>
        </is>
      </c>
      <c r="BI79" s="41" t="inlineStr">
        <is>
          <t>IF(H79="","All_Districts",IFERROR(VLOOKUP(H79,'07_Lookups'!$E$4:$F$42,2,FALSE),"All_Districts"))</t>
        </is>
      </c>
    </row>
    <row r="80" ht="18" customHeight="1">
      <c r="A80" s="32" t="inlineStr">
        <is>
          <t>IF(E80="","",ROW()-3)</t>
        </is>
      </c>
      <c r="B80" s="33" t="n"/>
      <c r="C80" s="33" t="n"/>
      <c r="D80" s="33" t="n"/>
      <c r="E80" s="33" t="n"/>
      <c r="F80" s="33" t="n"/>
      <c r="G80" s="33" t="n"/>
      <c r="H80" s="33" t="n"/>
      <c r="I80" s="33" t="n"/>
      <c r="J80" s="33" t="n"/>
      <c r="K80" s="33" t="n"/>
      <c r="L80" s="33" t="n"/>
      <c r="M80" s="33" t="n"/>
      <c r="N80" s="33" t="n"/>
      <c r="O80" s="33" t="n"/>
      <c r="P80" s="33" t="n"/>
      <c r="Q80" s="34" t="n"/>
      <c r="R80" s="35" t="inlineStr">
        <is>
          <t>IF(AO80="","",AO80)</t>
        </is>
      </c>
      <c r="S80" s="36" t="n"/>
      <c r="T80" s="37" t="n"/>
      <c r="U80" s="36" t="n"/>
      <c r="V80" s="35" t="inlineStr">
        <is>
          <t>IF(U80&lt;&gt;"",U80,IF(OR(R80="",T80=""),"",EDATE(R80,T80)))</t>
        </is>
      </c>
      <c r="W80" s="36" t="n"/>
      <c r="X80" s="37" t="n"/>
      <c r="Y80" s="33" t="n"/>
      <c r="Z80" s="33" t="n"/>
      <c r="AA80" s="32" t="inlineStr">
        <is>
          <t>IF(E80="","",IF(COUNT(AG80:AT80)=0,IF(Y80="","Not started",Y80),SUBSTITUTE(LOOKUP(2,1/(AG80:AT80&lt;&gt;""),$AG$3:$AT$3),"Date: ","")))</t>
        </is>
      </c>
      <c r="AB80" s="38" t="inlineStr">
        <is>
          <t>IF(OR(E80="",COUNT(AG80:AT80)=0),"",TODAY()-LOOKUP(2,1/(AG80:AT80&lt;&gt;""),AG80:AT80))</t>
        </is>
      </c>
      <c r="AC80" s="38" t="inlineStr">
        <is>
          <t>IF(OR(E80="",COUNT(AG80:AT80)&lt;2),"",LOOKUP(2,1/(AG80:AT80&lt;&gt;""),AG80:AT80)-MIN(AG80:AT80))</t>
        </is>
      </c>
      <c r="AD80" s="38" t="inlineStr">
        <is>
          <t>IF(OR(AB80="",AA80="Not started",AA80=""),"",IFERROR(AB80-IF(VLOOKUP(AA80,'04_Status_Pipeline'!$B$3:$E$20,4,FALSE)="",0,VLOOKUP(AA80,'04_Status_Pipeline'!$B$3:$E$20,4,FALSE)),""))</t>
        </is>
      </c>
      <c r="AE80" s="32" t="inlineStr">
        <is>
          <t>IF(E80="","",IF(OR(Y80="Cancelled",AA80="Cancelled"),"Cancelled",IF(OR(AA80="Completed / Handover",W80&lt;&gt;"",X80&gt;=100),"Completed — on track",IF(L80="Remaining",IF(S80="",IF(V80="","No planned date",IF(TODAY()&gt;V80,"Behind — past planned date",IF(V80-TODAY()&lt;=30,"At risk — close to off track","On track"))),IF(TODAY()&gt;S80,"Behind — award date passed",IF(S80-TODAY()&lt;=30,"At risk — close to off track","On track"))),IF(V80="","No planned date",IF(AND(TODAY()&gt;V80,OR(X80="",X80&lt;100)),"Behind — past end date",IF(AND(R80&lt;&gt;"",V80&lt;&gt;"",X80&lt;&gt;"",(X80&lt;100),((TODAY()-R80)/MAX(V80-R80,1)*100)-X80&gt;15),"Behind — progress lag",IF(AND(V80-TODAY()&lt;=30,V80-TODAY()&gt;=0,OR(X80="",X80&lt;90)),"At risk — close to off track","On track"))))))))</t>
        </is>
      </c>
      <c r="AF80" s="38" t="inlineStr">
        <is>
          <t>IF(OR(E80="",AA80="Completed / Handover",AA80="Cancelled"),"",IF(L80="Remaining",IF(S80&lt;&gt;"",S80-TODAY(),IF(V80="","",V80-TODAY())),IF(V80="","",V80-TODAY())))</t>
        </is>
      </c>
      <c r="AG80" s="36" t="n"/>
      <c r="AH80" s="36" t="n"/>
      <c r="AI80" s="36" t="n"/>
      <c r="AJ80" s="36" t="n"/>
      <c r="AK80" s="36" t="n"/>
      <c r="AL80" s="36" t="n"/>
      <c r="AM80" s="36" t="n"/>
      <c r="AN80" s="36" t="n"/>
      <c r="AO80" s="36" t="n"/>
      <c r="AP80" s="36" t="n"/>
      <c r="AQ80" s="36" t="n"/>
      <c r="AR80" s="40" t="n"/>
      <c r="AS80" s="40" t="n"/>
      <c r="AT80" s="40" t="n"/>
      <c r="AU80" s="38" t="inlineStr">
        <is>
          <t>IF(OR(E80="",AH80=""),"",IF(COUNT(AG80:AG80)=0,"",AH80-LOOKUP(2,1/(AG80:AG80&lt;&gt;""),AG80:AG80)))</t>
        </is>
      </c>
      <c r="AV80" s="38" t="inlineStr">
        <is>
          <t>IF(OR(E80="",AI80=""),"",IF(COUNT(AG80:AH80)=0,"",AI80-LOOKUP(2,1/(AG80:AH80&lt;&gt;""),AG80:AH80)))</t>
        </is>
      </c>
      <c r="AW80" s="38" t="inlineStr">
        <is>
          <t>IF(OR(E80="",AJ80=""),"",IF(COUNT(AG80:AI80)=0,"",AJ80-LOOKUP(2,1/(AG80:AI80&lt;&gt;""),AG80:AI80)))</t>
        </is>
      </c>
      <c r="AX80" s="38" t="inlineStr">
        <is>
          <t>IF(OR(E80="",AK80=""),"",IF(COUNT(AG80:AJ80)=0,"",AK80-LOOKUP(2,1/(AG80:AJ80&lt;&gt;""),AG80:AJ80)))</t>
        </is>
      </c>
      <c r="AY80" s="38" t="inlineStr">
        <is>
          <t>IF(OR(E80="",AL80=""),"",IF(COUNT(AG80:AK80)=0,"",AL80-LOOKUP(2,1/(AG80:AK80&lt;&gt;""),AG80:AK80)))</t>
        </is>
      </c>
      <c r="AZ80" s="38" t="inlineStr">
        <is>
          <t>IF(OR(E80="",AM80=""),"",IF(COUNT(AG80:AL80)=0,"",AM80-LOOKUP(2,1/(AG80:AL80&lt;&gt;""),AG80:AL80)))</t>
        </is>
      </c>
      <c r="BA80" s="38" t="inlineStr">
        <is>
          <t>IF(OR(E80="",AN80=""),"",IF(COUNT(AG80:AM80)=0,"",AN80-LOOKUP(2,1/(AG80:AM80&lt;&gt;""),AG80:AM80)))</t>
        </is>
      </c>
      <c r="BB80" s="38" t="inlineStr">
        <is>
          <t>IF(OR(E80="",AO80=""),"",IF(COUNT(AG80:AN80)=0,"",AO80-LOOKUP(2,1/(AG80:AN80&lt;&gt;""),AG80:AN80)))</t>
        </is>
      </c>
      <c r="BC80" s="38" t="inlineStr">
        <is>
          <t>IF(OR(E80="",AP80=""),"",IF(COUNT(AG80:AO80)=0,"",AP80-LOOKUP(2,1/(AG80:AO80&lt;&gt;""),AG80:AO80)))</t>
        </is>
      </c>
      <c r="BD80" s="38" t="inlineStr">
        <is>
          <t>IF(OR(E80="",AQ80=""),"",IF(COUNT(AG80:AP80)=0,"",AQ80-LOOKUP(2,1/(AG80:AP80&lt;&gt;""),AG80:AP80)))</t>
        </is>
      </c>
      <c r="BE80" s="38" t="inlineStr">
        <is>
          <t>IF(OR(E80="",AR80=""),"",IF(COUNT(AG80:AQ80)=0,"",AR80-LOOKUP(2,1/(AG80:AQ80&lt;&gt;""),AG80:AQ80)))</t>
        </is>
      </c>
      <c r="BF80" s="38" t="inlineStr">
        <is>
          <t>IF(OR(E80="",AS80=""),"",IF(COUNT(AG80:AR80)=0,"",AS80-LOOKUP(2,1/(AG80:AR80&lt;&gt;""),AG80:AR80)))</t>
        </is>
      </c>
      <c r="BG80" s="38" t="inlineStr">
        <is>
          <t>IF(OR(E80="",AT80=""),"",IF(COUNT(AG80:AS80)=0,"",AT80-LOOKUP(2,1/(AG80:AS80&lt;&gt;""),AG80:AS80)))</t>
        </is>
      </c>
      <c r="BH80" s="41" t="inlineStr">
        <is>
          <t>IF(G80="","All_Provinces",IFERROR(VLOOKUP(G80,'07_Lookups'!$A$4:$B$20,2,FALSE),"All_Provinces"))</t>
        </is>
      </c>
      <c r="BI80" s="41" t="inlineStr">
        <is>
          <t>IF(H80="","All_Districts",IFERROR(VLOOKUP(H80,'07_Lookups'!$E$4:$F$42,2,FALSE),"All_Districts"))</t>
        </is>
      </c>
    </row>
    <row r="81" ht="18" customHeight="1">
      <c r="A81" s="32" t="inlineStr">
        <is>
          <t>IF(E81="","",ROW()-3)</t>
        </is>
      </c>
      <c r="B81" s="42" t="n"/>
      <c r="C81" s="42" t="n"/>
      <c r="D81" s="42" t="n"/>
      <c r="E81" s="42" t="n"/>
      <c r="F81" s="42" t="n"/>
      <c r="G81" s="42" t="n"/>
      <c r="H81" s="42" t="n"/>
      <c r="I81" s="42" t="n"/>
      <c r="J81" s="42" t="n"/>
      <c r="K81" s="42" t="n"/>
      <c r="L81" s="42" t="n"/>
      <c r="M81" s="42" t="n"/>
      <c r="N81" s="42" t="n"/>
      <c r="O81" s="42" t="n"/>
      <c r="P81" s="42" t="n"/>
      <c r="Q81" s="43" t="n"/>
      <c r="R81" s="35" t="inlineStr">
        <is>
          <t>IF(AO81="","",AO81)</t>
        </is>
      </c>
      <c r="S81" s="44" t="n"/>
      <c r="T81" s="45" t="n"/>
      <c r="U81" s="44" t="n"/>
      <c r="V81" s="35" t="inlineStr">
        <is>
          <t>IF(U81&lt;&gt;"",U81,IF(OR(R81="",T81=""),"",EDATE(R81,T81)))</t>
        </is>
      </c>
      <c r="W81" s="44" t="n"/>
      <c r="X81" s="45" t="n"/>
      <c r="Y81" s="42" t="n"/>
      <c r="Z81" s="42" t="n"/>
      <c r="AA81" s="32" t="inlineStr">
        <is>
          <t>IF(E81="","",IF(COUNT(AG81:AT81)=0,IF(Y81="","Not started",Y81),SUBSTITUTE(LOOKUP(2,1/(AG81:AT81&lt;&gt;""),$AG$3:$AT$3),"Date: ","")))</t>
        </is>
      </c>
      <c r="AB81" s="38" t="inlineStr">
        <is>
          <t>IF(OR(E81="",COUNT(AG81:AT81)=0),"",TODAY()-LOOKUP(2,1/(AG81:AT81&lt;&gt;""),AG81:AT81))</t>
        </is>
      </c>
      <c r="AC81" s="38" t="inlineStr">
        <is>
          <t>IF(OR(E81="",COUNT(AG81:AT81)&lt;2),"",LOOKUP(2,1/(AG81:AT81&lt;&gt;""),AG81:AT81)-MIN(AG81:AT81))</t>
        </is>
      </c>
      <c r="AD81" s="38" t="inlineStr">
        <is>
          <t>IF(OR(AB81="",AA81="Not started",AA81=""),"",IFERROR(AB81-IF(VLOOKUP(AA81,'04_Status_Pipeline'!$B$3:$E$20,4,FALSE)="",0,VLOOKUP(AA81,'04_Status_Pipeline'!$B$3:$E$20,4,FALSE)),""))</t>
        </is>
      </c>
      <c r="AE81" s="32" t="inlineStr">
        <is>
          <t>IF(E81="","",IF(OR(Y81="Cancelled",AA81="Cancelled"),"Cancelled",IF(OR(AA81="Completed / Handover",W81&lt;&gt;"",X81&gt;=100),"Completed — on track",IF(L81="Remaining",IF(S81="",IF(V81="","No planned date",IF(TODAY()&gt;V81,"Behind — past planned date",IF(V81-TODAY()&lt;=30,"At risk — close to off track","On track"))),IF(TODAY()&gt;S81,"Behind — award date passed",IF(S81-TODAY()&lt;=30,"At risk — close to off track","On track"))),IF(V81="","No planned date",IF(AND(TODAY()&gt;V81,OR(X81="",X81&lt;100)),"Behind — past end date",IF(AND(R81&lt;&gt;"",V81&lt;&gt;"",X81&lt;&gt;"",(X81&lt;100),((TODAY()-R81)/MAX(V81-R81,1)*100)-X81&gt;15),"Behind — progress lag",IF(AND(V81-TODAY()&lt;=30,V81-TODAY()&gt;=0,OR(X81="",X81&lt;90)),"At risk — close to off track","On track"))))))))</t>
        </is>
      </c>
      <c r="AF81" s="38" t="inlineStr">
        <is>
          <t>IF(OR(E81="",AA81="Completed / Handover",AA81="Cancelled"),"",IF(L81="Remaining",IF(S81&lt;&gt;"",S81-TODAY(),IF(V81="","",V81-TODAY())),IF(V81="","",V81-TODAY())))</t>
        </is>
      </c>
      <c r="AG81" s="44" t="n"/>
      <c r="AH81" s="44" t="n"/>
      <c r="AI81" s="44" t="n"/>
      <c r="AJ81" s="44" t="n"/>
      <c r="AK81" s="44" t="n"/>
      <c r="AL81" s="44" t="n"/>
      <c r="AM81" s="44" t="n"/>
      <c r="AN81" s="44" t="n"/>
      <c r="AO81" s="44" t="n"/>
      <c r="AP81" s="44" t="n"/>
      <c r="AQ81" s="44" t="n"/>
      <c r="AR81" s="40" t="n"/>
      <c r="AS81" s="40" t="n"/>
      <c r="AT81" s="40" t="n"/>
      <c r="AU81" s="38" t="inlineStr">
        <is>
          <t>IF(OR(E81="",AH81=""),"",IF(COUNT(AG81:AG81)=0,"",AH81-LOOKUP(2,1/(AG81:AG81&lt;&gt;""),AG81:AG81)))</t>
        </is>
      </c>
      <c r="AV81" s="38" t="inlineStr">
        <is>
          <t>IF(OR(E81="",AI81=""),"",IF(COUNT(AG81:AH81)=0,"",AI81-LOOKUP(2,1/(AG81:AH81&lt;&gt;""),AG81:AH81)))</t>
        </is>
      </c>
      <c r="AW81" s="38" t="inlineStr">
        <is>
          <t>IF(OR(E81="",AJ81=""),"",IF(COUNT(AG81:AI81)=0,"",AJ81-LOOKUP(2,1/(AG81:AI81&lt;&gt;""),AG81:AI81)))</t>
        </is>
      </c>
      <c r="AX81" s="38" t="inlineStr">
        <is>
          <t>IF(OR(E81="",AK81=""),"",IF(COUNT(AG81:AJ81)=0,"",AK81-LOOKUP(2,1/(AG81:AJ81&lt;&gt;""),AG81:AJ81)))</t>
        </is>
      </c>
      <c r="AY81" s="38" t="inlineStr">
        <is>
          <t>IF(OR(E81="",AL81=""),"",IF(COUNT(AG81:AK81)=0,"",AL81-LOOKUP(2,1/(AG81:AK81&lt;&gt;""),AG81:AK81)))</t>
        </is>
      </c>
      <c r="AZ81" s="38" t="inlineStr">
        <is>
          <t>IF(OR(E81="",AM81=""),"",IF(COUNT(AG81:AL81)=0,"",AM81-LOOKUP(2,1/(AG81:AL81&lt;&gt;""),AG81:AL81)))</t>
        </is>
      </c>
      <c r="BA81" s="38" t="inlineStr">
        <is>
          <t>IF(OR(E81="",AN81=""),"",IF(COUNT(AG81:AM81)=0,"",AN81-LOOKUP(2,1/(AG81:AM81&lt;&gt;""),AG81:AM81)))</t>
        </is>
      </c>
      <c r="BB81" s="38" t="inlineStr">
        <is>
          <t>IF(OR(E81="",AO81=""),"",IF(COUNT(AG81:AN81)=0,"",AO81-LOOKUP(2,1/(AG81:AN81&lt;&gt;""),AG81:AN81)))</t>
        </is>
      </c>
      <c r="BC81" s="38" t="inlineStr">
        <is>
          <t>IF(OR(E81="",AP81=""),"",IF(COUNT(AG81:AO81)=0,"",AP81-LOOKUP(2,1/(AG81:AO81&lt;&gt;""),AG81:AO81)))</t>
        </is>
      </c>
      <c r="BD81" s="38" t="inlineStr">
        <is>
          <t>IF(OR(E81="",AQ81=""),"",IF(COUNT(AG81:AP81)=0,"",AQ81-LOOKUP(2,1/(AG81:AP81&lt;&gt;""),AG81:AP81)))</t>
        </is>
      </c>
      <c r="BE81" s="38" t="inlineStr">
        <is>
          <t>IF(OR(E81="",AR81=""),"",IF(COUNT(AG81:AQ81)=0,"",AR81-LOOKUP(2,1/(AG81:AQ81&lt;&gt;""),AG81:AQ81)))</t>
        </is>
      </c>
      <c r="BF81" s="38" t="inlineStr">
        <is>
          <t>IF(OR(E81="",AS81=""),"",IF(COUNT(AG81:AR81)=0,"",AS81-LOOKUP(2,1/(AG81:AR81&lt;&gt;""),AG81:AR81)))</t>
        </is>
      </c>
      <c r="BG81" s="38" t="inlineStr">
        <is>
          <t>IF(OR(E81="",AT81=""),"",IF(COUNT(AG81:AS81)=0,"",AT81-LOOKUP(2,1/(AG81:AS81&lt;&gt;""),AG81:AS81)))</t>
        </is>
      </c>
      <c r="BH81" s="41" t="inlineStr">
        <is>
          <t>IF(G81="","All_Provinces",IFERROR(VLOOKUP(G81,'07_Lookups'!$A$4:$B$20,2,FALSE),"All_Provinces"))</t>
        </is>
      </c>
      <c r="BI81" s="41" t="inlineStr">
        <is>
          <t>IF(H81="","All_Districts",IFERROR(VLOOKUP(H81,'07_Lookups'!$E$4:$F$42,2,FALSE),"All_Districts"))</t>
        </is>
      </c>
    </row>
    <row r="82" ht="18" customHeight="1">
      <c r="A82" s="32" t="inlineStr">
        <is>
          <t>IF(E82="","",ROW()-3)</t>
        </is>
      </c>
      <c r="B82" s="33" t="n"/>
      <c r="C82" s="33" t="n"/>
      <c r="D82" s="33" t="n"/>
      <c r="E82" s="33" t="n"/>
      <c r="F82" s="33" t="n"/>
      <c r="G82" s="33" t="n"/>
      <c r="H82" s="33" t="n"/>
      <c r="I82" s="33" t="n"/>
      <c r="J82" s="33" t="n"/>
      <c r="K82" s="33" t="n"/>
      <c r="L82" s="33" t="n"/>
      <c r="M82" s="33" t="n"/>
      <c r="N82" s="33" t="n"/>
      <c r="O82" s="33" t="n"/>
      <c r="P82" s="33" t="n"/>
      <c r="Q82" s="34" t="n"/>
      <c r="R82" s="35" t="inlineStr">
        <is>
          <t>IF(AO82="","",AO82)</t>
        </is>
      </c>
      <c r="S82" s="36" t="n"/>
      <c r="T82" s="37" t="n"/>
      <c r="U82" s="36" t="n"/>
      <c r="V82" s="35" t="inlineStr">
        <is>
          <t>IF(U82&lt;&gt;"",U82,IF(OR(R82="",T82=""),"",EDATE(R82,T82)))</t>
        </is>
      </c>
      <c r="W82" s="36" t="n"/>
      <c r="X82" s="37" t="n"/>
      <c r="Y82" s="33" t="n"/>
      <c r="Z82" s="33" t="n"/>
      <c r="AA82" s="32" t="inlineStr">
        <is>
          <t>IF(E82="","",IF(COUNT(AG82:AT82)=0,IF(Y82="","Not started",Y82),SUBSTITUTE(LOOKUP(2,1/(AG82:AT82&lt;&gt;""),$AG$3:$AT$3),"Date: ","")))</t>
        </is>
      </c>
      <c r="AB82" s="38" t="inlineStr">
        <is>
          <t>IF(OR(E82="",COUNT(AG82:AT82)=0),"",TODAY()-LOOKUP(2,1/(AG82:AT82&lt;&gt;""),AG82:AT82))</t>
        </is>
      </c>
      <c r="AC82" s="38" t="inlineStr">
        <is>
          <t>IF(OR(E82="",COUNT(AG82:AT82)&lt;2),"",LOOKUP(2,1/(AG82:AT82&lt;&gt;""),AG82:AT82)-MIN(AG82:AT82))</t>
        </is>
      </c>
      <c r="AD82" s="38" t="inlineStr">
        <is>
          <t>IF(OR(AB82="",AA82="Not started",AA82=""),"",IFERROR(AB82-IF(VLOOKUP(AA82,'04_Status_Pipeline'!$B$3:$E$20,4,FALSE)="",0,VLOOKUP(AA82,'04_Status_Pipeline'!$B$3:$E$20,4,FALSE)),""))</t>
        </is>
      </c>
      <c r="AE82" s="32" t="inlineStr">
        <is>
          <t>IF(E82="","",IF(OR(Y82="Cancelled",AA82="Cancelled"),"Cancelled",IF(OR(AA82="Completed / Handover",W82&lt;&gt;"",X82&gt;=100),"Completed — on track",IF(L82="Remaining",IF(S82="",IF(V82="","No planned date",IF(TODAY()&gt;V82,"Behind — past planned date",IF(V82-TODAY()&lt;=30,"At risk — close to off track","On track"))),IF(TODAY()&gt;S82,"Behind — award date passed",IF(S82-TODAY()&lt;=30,"At risk — close to off track","On track"))),IF(V82="","No planned date",IF(AND(TODAY()&gt;V82,OR(X82="",X82&lt;100)),"Behind — past end date",IF(AND(R82&lt;&gt;"",V82&lt;&gt;"",X82&lt;&gt;"",(X82&lt;100),((TODAY()-R82)/MAX(V82-R82,1)*100)-X82&gt;15),"Behind — progress lag",IF(AND(V82-TODAY()&lt;=30,V82-TODAY()&gt;=0,OR(X82="",X82&lt;90)),"At risk — close to off track","On track"))))))))</t>
        </is>
      </c>
      <c r="AF82" s="38" t="inlineStr">
        <is>
          <t>IF(OR(E82="",AA82="Completed / Handover",AA82="Cancelled"),"",IF(L82="Remaining",IF(S82&lt;&gt;"",S82-TODAY(),IF(V82="","",V82-TODAY())),IF(V82="","",V82-TODAY())))</t>
        </is>
      </c>
      <c r="AG82" s="36" t="n"/>
      <c r="AH82" s="36" t="n"/>
      <c r="AI82" s="36" t="n"/>
      <c r="AJ82" s="36" t="n"/>
      <c r="AK82" s="36" t="n"/>
      <c r="AL82" s="36" t="n"/>
      <c r="AM82" s="36" t="n"/>
      <c r="AN82" s="36" t="n"/>
      <c r="AO82" s="36" t="n"/>
      <c r="AP82" s="36" t="n"/>
      <c r="AQ82" s="36" t="n"/>
      <c r="AR82" s="40" t="n"/>
      <c r="AS82" s="40" t="n"/>
      <c r="AT82" s="40" t="n"/>
      <c r="AU82" s="38" t="inlineStr">
        <is>
          <t>IF(OR(E82="",AH82=""),"",IF(COUNT(AG82:AG82)=0,"",AH82-LOOKUP(2,1/(AG82:AG82&lt;&gt;""),AG82:AG82)))</t>
        </is>
      </c>
      <c r="AV82" s="38" t="inlineStr">
        <is>
          <t>IF(OR(E82="",AI82=""),"",IF(COUNT(AG82:AH82)=0,"",AI82-LOOKUP(2,1/(AG82:AH82&lt;&gt;""),AG82:AH82)))</t>
        </is>
      </c>
      <c r="AW82" s="38" t="inlineStr">
        <is>
          <t>IF(OR(E82="",AJ82=""),"",IF(COUNT(AG82:AI82)=0,"",AJ82-LOOKUP(2,1/(AG82:AI82&lt;&gt;""),AG82:AI82)))</t>
        </is>
      </c>
      <c r="AX82" s="38" t="inlineStr">
        <is>
          <t>IF(OR(E82="",AK82=""),"",IF(COUNT(AG82:AJ82)=0,"",AK82-LOOKUP(2,1/(AG82:AJ82&lt;&gt;""),AG82:AJ82)))</t>
        </is>
      </c>
      <c r="AY82" s="38" t="inlineStr">
        <is>
          <t>IF(OR(E82="",AL82=""),"",IF(COUNT(AG82:AK82)=0,"",AL82-LOOKUP(2,1/(AG82:AK82&lt;&gt;""),AG82:AK82)))</t>
        </is>
      </c>
      <c r="AZ82" s="38" t="inlineStr">
        <is>
          <t>IF(OR(E82="",AM82=""),"",IF(COUNT(AG82:AL82)=0,"",AM82-LOOKUP(2,1/(AG82:AL82&lt;&gt;""),AG82:AL82)))</t>
        </is>
      </c>
      <c r="BA82" s="38" t="inlineStr">
        <is>
          <t>IF(OR(E82="",AN82=""),"",IF(COUNT(AG82:AM82)=0,"",AN82-LOOKUP(2,1/(AG82:AM82&lt;&gt;""),AG82:AM82)))</t>
        </is>
      </c>
      <c r="BB82" s="38" t="inlineStr">
        <is>
          <t>IF(OR(E82="",AO82=""),"",IF(COUNT(AG82:AN82)=0,"",AO82-LOOKUP(2,1/(AG82:AN82&lt;&gt;""),AG82:AN82)))</t>
        </is>
      </c>
      <c r="BC82" s="38" t="inlineStr">
        <is>
          <t>IF(OR(E82="",AP82=""),"",IF(COUNT(AG82:AO82)=0,"",AP82-LOOKUP(2,1/(AG82:AO82&lt;&gt;""),AG82:AO82)))</t>
        </is>
      </c>
      <c r="BD82" s="38" t="inlineStr">
        <is>
          <t>IF(OR(E82="",AQ82=""),"",IF(COUNT(AG82:AP82)=0,"",AQ82-LOOKUP(2,1/(AG82:AP82&lt;&gt;""),AG82:AP82)))</t>
        </is>
      </c>
      <c r="BE82" s="38" t="inlineStr">
        <is>
          <t>IF(OR(E82="",AR82=""),"",IF(COUNT(AG82:AQ82)=0,"",AR82-LOOKUP(2,1/(AG82:AQ82&lt;&gt;""),AG82:AQ82)))</t>
        </is>
      </c>
      <c r="BF82" s="38" t="inlineStr">
        <is>
          <t>IF(OR(E82="",AS82=""),"",IF(COUNT(AG82:AR82)=0,"",AS82-LOOKUP(2,1/(AG82:AR82&lt;&gt;""),AG82:AR82)))</t>
        </is>
      </c>
      <c r="BG82" s="38" t="inlineStr">
        <is>
          <t>IF(OR(E82="",AT82=""),"",IF(COUNT(AG82:AS82)=0,"",AT82-LOOKUP(2,1/(AG82:AS82&lt;&gt;""),AG82:AS82)))</t>
        </is>
      </c>
      <c r="BH82" s="41" t="inlineStr">
        <is>
          <t>IF(G82="","All_Provinces",IFERROR(VLOOKUP(G82,'07_Lookups'!$A$4:$B$20,2,FALSE),"All_Provinces"))</t>
        </is>
      </c>
      <c r="BI82" s="41" t="inlineStr">
        <is>
          <t>IF(H82="","All_Districts",IFERROR(VLOOKUP(H82,'07_Lookups'!$E$4:$F$42,2,FALSE),"All_Districts"))</t>
        </is>
      </c>
    </row>
    <row r="83" ht="18" customHeight="1">
      <c r="A83" s="32" t="inlineStr">
        <is>
          <t>IF(E83="","",ROW()-3)</t>
        </is>
      </c>
      <c r="B83" s="42" t="n"/>
      <c r="C83" s="42" t="n"/>
      <c r="D83" s="42" t="n"/>
      <c r="E83" s="42" t="n"/>
      <c r="F83" s="42" t="n"/>
      <c r="G83" s="42" t="n"/>
      <c r="H83" s="42" t="n"/>
      <c r="I83" s="42" t="n"/>
      <c r="J83" s="42" t="n"/>
      <c r="K83" s="42" t="n"/>
      <c r="L83" s="42" t="n"/>
      <c r="M83" s="42" t="n"/>
      <c r="N83" s="42" t="n"/>
      <c r="O83" s="42" t="n"/>
      <c r="P83" s="42" t="n"/>
      <c r="Q83" s="43" t="n"/>
      <c r="R83" s="35" t="inlineStr">
        <is>
          <t>IF(AO83="","",AO83)</t>
        </is>
      </c>
      <c r="S83" s="44" t="n"/>
      <c r="T83" s="45" t="n"/>
      <c r="U83" s="44" t="n"/>
      <c r="V83" s="35" t="inlineStr">
        <is>
          <t>IF(U83&lt;&gt;"",U83,IF(OR(R83="",T83=""),"",EDATE(R83,T83)))</t>
        </is>
      </c>
      <c r="W83" s="44" t="n"/>
      <c r="X83" s="45" t="n"/>
      <c r="Y83" s="42" t="n"/>
      <c r="Z83" s="42" t="n"/>
      <c r="AA83" s="32" t="inlineStr">
        <is>
          <t>IF(E83="","",IF(COUNT(AG83:AT83)=0,IF(Y83="","Not started",Y83),SUBSTITUTE(LOOKUP(2,1/(AG83:AT83&lt;&gt;""),$AG$3:$AT$3),"Date: ","")))</t>
        </is>
      </c>
      <c r="AB83" s="38" t="inlineStr">
        <is>
          <t>IF(OR(E83="",COUNT(AG83:AT83)=0),"",TODAY()-LOOKUP(2,1/(AG83:AT83&lt;&gt;""),AG83:AT83))</t>
        </is>
      </c>
      <c r="AC83" s="38" t="inlineStr">
        <is>
          <t>IF(OR(E83="",COUNT(AG83:AT83)&lt;2),"",LOOKUP(2,1/(AG83:AT83&lt;&gt;""),AG83:AT83)-MIN(AG83:AT83))</t>
        </is>
      </c>
      <c r="AD83" s="38" t="inlineStr">
        <is>
          <t>IF(OR(AB83="",AA83="Not started",AA83=""),"",IFERROR(AB83-IF(VLOOKUP(AA83,'04_Status_Pipeline'!$B$3:$E$20,4,FALSE)="",0,VLOOKUP(AA83,'04_Status_Pipeline'!$B$3:$E$20,4,FALSE)),""))</t>
        </is>
      </c>
      <c r="AE83" s="32" t="inlineStr">
        <is>
          <t>IF(E83="","",IF(OR(Y83="Cancelled",AA83="Cancelled"),"Cancelled",IF(OR(AA83="Completed / Handover",W83&lt;&gt;"",X83&gt;=100),"Completed — on track",IF(L83="Remaining",IF(S83="",IF(V83="","No planned date",IF(TODAY()&gt;V83,"Behind — past planned date",IF(V83-TODAY()&lt;=30,"At risk — close to off track","On track"))),IF(TODAY()&gt;S83,"Behind — award date passed",IF(S83-TODAY()&lt;=30,"At risk — close to off track","On track"))),IF(V83="","No planned date",IF(AND(TODAY()&gt;V83,OR(X83="",X83&lt;100)),"Behind — past end date",IF(AND(R83&lt;&gt;"",V83&lt;&gt;"",X83&lt;&gt;"",(X83&lt;100),((TODAY()-R83)/MAX(V83-R83,1)*100)-X83&gt;15),"Behind — progress lag",IF(AND(V83-TODAY()&lt;=30,V83-TODAY()&gt;=0,OR(X83="",X83&lt;90)),"At risk — close to off track","On track"))))))))</t>
        </is>
      </c>
      <c r="AF83" s="38" t="inlineStr">
        <is>
          <t>IF(OR(E83="",AA83="Completed / Handover",AA83="Cancelled"),"",IF(L83="Remaining",IF(S83&lt;&gt;"",S83-TODAY(),IF(V83="","",V83-TODAY())),IF(V83="","",V83-TODAY())))</t>
        </is>
      </c>
      <c r="AG83" s="44" t="n"/>
      <c r="AH83" s="44" t="n"/>
      <c r="AI83" s="44" t="n"/>
      <c r="AJ83" s="44" t="n"/>
      <c r="AK83" s="44" t="n"/>
      <c r="AL83" s="44" t="n"/>
      <c r="AM83" s="44" t="n"/>
      <c r="AN83" s="44" t="n"/>
      <c r="AO83" s="44" t="n"/>
      <c r="AP83" s="44" t="n"/>
      <c r="AQ83" s="44" t="n"/>
      <c r="AR83" s="40" t="n"/>
      <c r="AS83" s="40" t="n"/>
      <c r="AT83" s="40" t="n"/>
      <c r="AU83" s="38" t="inlineStr">
        <is>
          <t>IF(OR(E83="",AH83=""),"",IF(COUNT(AG83:AG83)=0,"",AH83-LOOKUP(2,1/(AG83:AG83&lt;&gt;""),AG83:AG83)))</t>
        </is>
      </c>
      <c r="AV83" s="38" t="inlineStr">
        <is>
          <t>IF(OR(E83="",AI83=""),"",IF(COUNT(AG83:AH83)=0,"",AI83-LOOKUP(2,1/(AG83:AH83&lt;&gt;""),AG83:AH83)))</t>
        </is>
      </c>
      <c r="AW83" s="38" t="inlineStr">
        <is>
          <t>IF(OR(E83="",AJ83=""),"",IF(COUNT(AG83:AI83)=0,"",AJ83-LOOKUP(2,1/(AG83:AI83&lt;&gt;""),AG83:AI83)))</t>
        </is>
      </c>
      <c r="AX83" s="38" t="inlineStr">
        <is>
          <t>IF(OR(E83="",AK83=""),"",IF(COUNT(AG83:AJ83)=0,"",AK83-LOOKUP(2,1/(AG83:AJ83&lt;&gt;""),AG83:AJ83)))</t>
        </is>
      </c>
      <c r="AY83" s="38" t="inlineStr">
        <is>
          <t>IF(OR(E83="",AL83=""),"",IF(COUNT(AG83:AK83)=0,"",AL83-LOOKUP(2,1/(AG83:AK83&lt;&gt;""),AG83:AK83)))</t>
        </is>
      </c>
      <c r="AZ83" s="38" t="inlineStr">
        <is>
          <t>IF(OR(E83="",AM83=""),"",IF(COUNT(AG83:AL83)=0,"",AM83-LOOKUP(2,1/(AG83:AL83&lt;&gt;""),AG83:AL83)))</t>
        </is>
      </c>
      <c r="BA83" s="38" t="inlineStr">
        <is>
          <t>IF(OR(E83="",AN83=""),"",IF(COUNT(AG83:AM83)=0,"",AN83-LOOKUP(2,1/(AG83:AM83&lt;&gt;""),AG83:AM83)))</t>
        </is>
      </c>
      <c r="BB83" s="38" t="inlineStr">
        <is>
          <t>IF(OR(E83="",AO83=""),"",IF(COUNT(AG83:AN83)=0,"",AO83-LOOKUP(2,1/(AG83:AN83&lt;&gt;""),AG83:AN83)))</t>
        </is>
      </c>
      <c r="BC83" s="38" t="inlineStr">
        <is>
          <t>IF(OR(E83="",AP83=""),"",IF(COUNT(AG83:AO83)=0,"",AP83-LOOKUP(2,1/(AG83:AO83&lt;&gt;""),AG83:AO83)))</t>
        </is>
      </c>
      <c r="BD83" s="38" t="inlineStr">
        <is>
          <t>IF(OR(E83="",AQ83=""),"",IF(COUNT(AG83:AP83)=0,"",AQ83-LOOKUP(2,1/(AG83:AP83&lt;&gt;""),AG83:AP83)))</t>
        </is>
      </c>
      <c r="BE83" s="38" t="inlineStr">
        <is>
          <t>IF(OR(E83="",AR83=""),"",IF(COUNT(AG83:AQ83)=0,"",AR83-LOOKUP(2,1/(AG83:AQ83&lt;&gt;""),AG83:AQ83)))</t>
        </is>
      </c>
      <c r="BF83" s="38" t="inlineStr">
        <is>
          <t>IF(OR(E83="",AS83=""),"",IF(COUNT(AG83:AR83)=0,"",AS83-LOOKUP(2,1/(AG83:AR83&lt;&gt;""),AG83:AR83)))</t>
        </is>
      </c>
      <c r="BG83" s="38" t="inlineStr">
        <is>
          <t>IF(OR(E83="",AT83=""),"",IF(COUNT(AG83:AS83)=0,"",AT83-LOOKUP(2,1/(AG83:AS83&lt;&gt;""),AG83:AS83)))</t>
        </is>
      </c>
      <c r="BH83" s="41" t="inlineStr">
        <is>
          <t>IF(G83="","All_Provinces",IFERROR(VLOOKUP(G83,'07_Lookups'!$A$4:$B$20,2,FALSE),"All_Provinces"))</t>
        </is>
      </c>
      <c r="BI83" s="41" t="inlineStr">
        <is>
          <t>IF(H83="","All_Districts",IFERROR(VLOOKUP(H83,'07_Lookups'!$E$4:$F$42,2,FALSE),"All_Districts"))</t>
        </is>
      </c>
    </row>
    <row r="84" ht="18" customHeight="1">
      <c r="A84" s="32" t="inlineStr">
        <is>
          <t>IF(E84="","",ROW()-3)</t>
        </is>
      </c>
      <c r="B84" s="33" t="n"/>
      <c r="C84" s="33" t="n"/>
      <c r="D84" s="33" t="n"/>
      <c r="E84" s="33" t="n"/>
      <c r="F84" s="33" t="n"/>
      <c r="G84" s="33" t="n"/>
      <c r="H84" s="33" t="n"/>
      <c r="I84" s="33" t="n"/>
      <c r="J84" s="33" t="n"/>
      <c r="K84" s="33" t="n"/>
      <c r="L84" s="33" t="n"/>
      <c r="M84" s="33" t="n"/>
      <c r="N84" s="33" t="n"/>
      <c r="O84" s="33" t="n"/>
      <c r="P84" s="33" t="n"/>
      <c r="Q84" s="34" t="n"/>
      <c r="R84" s="35" t="inlineStr">
        <is>
          <t>IF(AO84="","",AO84)</t>
        </is>
      </c>
      <c r="S84" s="36" t="n"/>
      <c r="T84" s="37" t="n"/>
      <c r="U84" s="36" t="n"/>
      <c r="V84" s="35" t="inlineStr">
        <is>
          <t>IF(U84&lt;&gt;"",U84,IF(OR(R84="",T84=""),"",EDATE(R84,T84)))</t>
        </is>
      </c>
      <c r="W84" s="36" t="n"/>
      <c r="X84" s="37" t="n"/>
      <c r="Y84" s="33" t="n"/>
      <c r="Z84" s="33" t="n"/>
      <c r="AA84" s="32" t="inlineStr">
        <is>
          <t>IF(E84="","",IF(COUNT(AG84:AT84)=0,IF(Y84="","Not started",Y84),SUBSTITUTE(LOOKUP(2,1/(AG84:AT84&lt;&gt;""),$AG$3:$AT$3),"Date: ","")))</t>
        </is>
      </c>
      <c r="AB84" s="38" t="inlineStr">
        <is>
          <t>IF(OR(E84="",COUNT(AG84:AT84)=0),"",TODAY()-LOOKUP(2,1/(AG84:AT84&lt;&gt;""),AG84:AT84))</t>
        </is>
      </c>
      <c r="AC84" s="38" t="inlineStr">
        <is>
          <t>IF(OR(E84="",COUNT(AG84:AT84)&lt;2),"",LOOKUP(2,1/(AG84:AT84&lt;&gt;""),AG84:AT84)-MIN(AG84:AT84))</t>
        </is>
      </c>
      <c r="AD84" s="38" t="inlineStr">
        <is>
          <t>IF(OR(AB84="",AA84="Not started",AA84=""),"",IFERROR(AB84-IF(VLOOKUP(AA84,'04_Status_Pipeline'!$B$3:$E$20,4,FALSE)="",0,VLOOKUP(AA84,'04_Status_Pipeline'!$B$3:$E$20,4,FALSE)),""))</t>
        </is>
      </c>
      <c r="AE84" s="32" t="inlineStr">
        <is>
          <t>IF(E84="","",IF(OR(Y84="Cancelled",AA84="Cancelled"),"Cancelled",IF(OR(AA84="Completed / Handover",W84&lt;&gt;"",X84&gt;=100),"Completed — on track",IF(L84="Remaining",IF(S84="",IF(V84="","No planned date",IF(TODAY()&gt;V84,"Behind — past planned date",IF(V84-TODAY()&lt;=30,"At risk — close to off track","On track"))),IF(TODAY()&gt;S84,"Behind — award date passed",IF(S84-TODAY()&lt;=30,"At risk — close to off track","On track"))),IF(V84="","No planned date",IF(AND(TODAY()&gt;V84,OR(X84="",X84&lt;100)),"Behind — past end date",IF(AND(R84&lt;&gt;"",V84&lt;&gt;"",X84&lt;&gt;"",(X84&lt;100),((TODAY()-R84)/MAX(V84-R84,1)*100)-X84&gt;15),"Behind — progress lag",IF(AND(V84-TODAY()&lt;=30,V84-TODAY()&gt;=0,OR(X84="",X84&lt;90)),"At risk — close to off track","On track"))))))))</t>
        </is>
      </c>
      <c r="AF84" s="38" t="inlineStr">
        <is>
          <t>IF(OR(E84="",AA84="Completed / Handover",AA84="Cancelled"),"",IF(L84="Remaining",IF(S84&lt;&gt;"",S84-TODAY(),IF(V84="","",V84-TODAY())),IF(V84="","",V84-TODAY())))</t>
        </is>
      </c>
      <c r="AG84" s="36" t="n"/>
      <c r="AH84" s="36" t="n"/>
      <c r="AI84" s="36" t="n"/>
      <c r="AJ84" s="36" t="n"/>
      <c r="AK84" s="36" t="n"/>
      <c r="AL84" s="36" t="n"/>
      <c r="AM84" s="36" t="n"/>
      <c r="AN84" s="36" t="n"/>
      <c r="AO84" s="36" t="n"/>
      <c r="AP84" s="36" t="n"/>
      <c r="AQ84" s="36" t="n"/>
      <c r="AR84" s="40" t="n"/>
      <c r="AS84" s="40" t="n"/>
      <c r="AT84" s="40" t="n"/>
      <c r="AU84" s="38" t="inlineStr">
        <is>
          <t>IF(OR(E84="",AH84=""),"",IF(COUNT(AG84:AG84)=0,"",AH84-LOOKUP(2,1/(AG84:AG84&lt;&gt;""),AG84:AG84)))</t>
        </is>
      </c>
      <c r="AV84" s="38" t="inlineStr">
        <is>
          <t>IF(OR(E84="",AI84=""),"",IF(COUNT(AG84:AH84)=0,"",AI84-LOOKUP(2,1/(AG84:AH84&lt;&gt;""),AG84:AH84)))</t>
        </is>
      </c>
      <c r="AW84" s="38" t="inlineStr">
        <is>
          <t>IF(OR(E84="",AJ84=""),"",IF(COUNT(AG84:AI84)=0,"",AJ84-LOOKUP(2,1/(AG84:AI84&lt;&gt;""),AG84:AI84)))</t>
        </is>
      </c>
      <c r="AX84" s="38" t="inlineStr">
        <is>
          <t>IF(OR(E84="",AK84=""),"",IF(COUNT(AG84:AJ84)=0,"",AK84-LOOKUP(2,1/(AG84:AJ84&lt;&gt;""),AG84:AJ84)))</t>
        </is>
      </c>
      <c r="AY84" s="38" t="inlineStr">
        <is>
          <t>IF(OR(E84="",AL84=""),"",IF(COUNT(AG84:AK84)=0,"",AL84-LOOKUP(2,1/(AG84:AK84&lt;&gt;""),AG84:AK84)))</t>
        </is>
      </c>
      <c r="AZ84" s="38" t="inlineStr">
        <is>
          <t>IF(OR(E84="",AM84=""),"",IF(COUNT(AG84:AL84)=0,"",AM84-LOOKUP(2,1/(AG84:AL84&lt;&gt;""),AG84:AL84)))</t>
        </is>
      </c>
      <c r="BA84" s="38" t="inlineStr">
        <is>
          <t>IF(OR(E84="",AN84=""),"",IF(COUNT(AG84:AM84)=0,"",AN84-LOOKUP(2,1/(AG84:AM84&lt;&gt;""),AG84:AM84)))</t>
        </is>
      </c>
      <c r="BB84" s="38" t="inlineStr">
        <is>
          <t>IF(OR(E84="",AO84=""),"",IF(COUNT(AG84:AN84)=0,"",AO84-LOOKUP(2,1/(AG84:AN84&lt;&gt;""),AG84:AN84)))</t>
        </is>
      </c>
      <c r="BC84" s="38" t="inlineStr">
        <is>
          <t>IF(OR(E84="",AP84=""),"",IF(COUNT(AG84:AO84)=0,"",AP84-LOOKUP(2,1/(AG84:AO84&lt;&gt;""),AG84:AO84)))</t>
        </is>
      </c>
      <c r="BD84" s="38" t="inlineStr">
        <is>
          <t>IF(OR(E84="",AQ84=""),"",IF(COUNT(AG84:AP84)=0,"",AQ84-LOOKUP(2,1/(AG84:AP84&lt;&gt;""),AG84:AP84)))</t>
        </is>
      </c>
      <c r="BE84" s="38" t="inlineStr">
        <is>
          <t>IF(OR(E84="",AR84=""),"",IF(COUNT(AG84:AQ84)=0,"",AR84-LOOKUP(2,1/(AG84:AQ84&lt;&gt;""),AG84:AQ84)))</t>
        </is>
      </c>
      <c r="BF84" s="38" t="inlineStr">
        <is>
          <t>IF(OR(E84="",AS84=""),"",IF(COUNT(AG84:AR84)=0,"",AS84-LOOKUP(2,1/(AG84:AR84&lt;&gt;""),AG84:AR84)))</t>
        </is>
      </c>
      <c r="BG84" s="38" t="inlineStr">
        <is>
          <t>IF(OR(E84="",AT84=""),"",IF(COUNT(AG84:AS84)=0,"",AT84-LOOKUP(2,1/(AG84:AS84&lt;&gt;""),AG84:AS84)))</t>
        </is>
      </c>
      <c r="BH84" s="41" t="inlineStr">
        <is>
          <t>IF(G84="","All_Provinces",IFERROR(VLOOKUP(G84,'07_Lookups'!$A$4:$B$20,2,FALSE),"All_Provinces"))</t>
        </is>
      </c>
      <c r="BI84" s="41" t="inlineStr">
        <is>
          <t>IF(H84="","All_Districts",IFERROR(VLOOKUP(H84,'07_Lookups'!$E$4:$F$42,2,FALSE),"All_Districts"))</t>
        </is>
      </c>
    </row>
    <row r="85" ht="18" customHeight="1">
      <c r="A85" s="32" t="inlineStr">
        <is>
          <t>IF(E85="","",ROW()-3)</t>
        </is>
      </c>
      <c r="B85" s="42" t="n"/>
      <c r="C85" s="42" t="n"/>
      <c r="D85" s="42" t="n"/>
      <c r="E85" s="42" t="n"/>
      <c r="F85" s="42" t="n"/>
      <c r="G85" s="42" t="n"/>
      <c r="H85" s="42" t="n"/>
      <c r="I85" s="42" t="n"/>
      <c r="J85" s="42" t="n"/>
      <c r="K85" s="42" t="n"/>
      <c r="L85" s="42" t="n"/>
      <c r="M85" s="42" t="n"/>
      <c r="N85" s="42" t="n"/>
      <c r="O85" s="42" t="n"/>
      <c r="P85" s="42" t="n"/>
      <c r="Q85" s="43" t="n"/>
      <c r="R85" s="35" t="inlineStr">
        <is>
          <t>IF(AO85="","",AO85)</t>
        </is>
      </c>
      <c r="S85" s="44" t="n"/>
      <c r="T85" s="45" t="n"/>
      <c r="U85" s="44" t="n"/>
      <c r="V85" s="35" t="inlineStr">
        <is>
          <t>IF(U85&lt;&gt;"",U85,IF(OR(R85="",T85=""),"",EDATE(R85,T85)))</t>
        </is>
      </c>
      <c r="W85" s="44" t="n"/>
      <c r="X85" s="45" t="n"/>
      <c r="Y85" s="42" t="n"/>
      <c r="Z85" s="42" t="n"/>
      <c r="AA85" s="32" t="inlineStr">
        <is>
          <t>IF(E85="","",IF(COUNT(AG85:AT85)=0,IF(Y85="","Not started",Y85),SUBSTITUTE(LOOKUP(2,1/(AG85:AT85&lt;&gt;""),$AG$3:$AT$3),"Date: ","")))</t>
        </is>
      </c>
      <c r="AB85" s="38" t="inlineStr">
        <is>
          <t>IF(OR(E85="",COUNT(AG85:AT85)=0),"",TODAY()-LOOKUP(2,1/(AG85:AT85&lt;&gt;""),AG85:AT85))</t>
        </is>
      </c>
      <c r="AC85" s="38" t="inlineStr">
        <is>
          <t>IF(OR(E85="",COUNT(AG85:AT85)&lt;2),"",LOOKUP(2,1/(AG85:AT85&lt;&gt;""),AG85:AT85)-MIN(AG85:AT85))</t>
        </is>
      </c>
      <c r="AD85" s="38" t="inlineStr">
        <is>
          <t>IF(OR(AB85="",AA85="Not started",AA85=""),"",IFERROR(AB85-IF(VLOOKUP(AA85,'04_Status_Pipeline'!$B$3:$E$20,4,FALSE)="",0,VLOOKUP(AA85,'04_Status_Pipeline'!$B$3:$E$20,4,FALSE)),""))</t>
        </is>
      </c>
      <c r="AE85" s="32" t="inlineStr">
        <is>
          <t>IF(E85="","",IF(OR(Y85="Cancelled",AA85="Cancelled"),"Cancelled",IF(OR(AA85="Completed / Handover",W85&lt;&gt;"",X85&gt;=100),"Completed — on track",IF(L85="Remaining",IF(S85="",IF(V85="","No planned date",IF(TODAY()&gt;V85,"Behind — past planned date",IF(V85-TODAY()&lt;=30,"At risk — close to off track","On track"))),IF(TODAY()&gt;S85,"Behind — award date passed",IF(S85-TODAY()&lt;=30,"At risk — close to off track","On track"))),IF(V85="","No planned date",IF(AND(TODAY()&gt;V85,OR(X85="",X85&lt;100)),"Behind — past end date",IF(AND(R85&lt;&gt;"",V85&lt;&gt;"",X85&lt;&gt;"",(X85&lt;100),((TODAY()-R85)/MAX(V85-R85,1)*100)-X85&gt;15),"Behind — progress lag",IF(AND(V85-TODAY()&lt;=30,V85-TODAY()&gt;=0,OR(X85="",X85&lt;90)),"At risk — close to off track","On track"))))))))</t>
        </is>
      </c>
      <c r="AF85" s="38" t="inlineStr">
        <is>
          <t>IF(OR(E85="",AA85="Completed / Handover",AA85="Cancelled"),"",IF(L85="Remaining",IF(S85&lt;&gt;"",S85-TODAY(),IF(V85="","",V85-TODAY())),IF(V85="","",V85-TODAY())))</t>
        </is>
      </c>
      <c r="AG85" s="44" t="n"/>
      <c r="AH85" s="44" t="n"/>
      <c r="AI85" s="44" t="n"/>
      <c r="AJ85" s="44" t="n"/>
      <c r="AK85" s="44" t="n"/>
      <c r="AL85" s="44" t="n"/>
      <c r="AM85" s="44" t="n"/>
      <c r="AN85" s="44" t="n"/>
      <c r="AO85" s="44" t="n"/>
      <c r="AP85" s="44" t="n"/>
      <c r="AQ85" s="44" t="n"/>
      <c r="AR85" s="40" t="n"/>
      <c r="AS85" s="40" t="n"/>
      <c r="AT85" s="40" t="n"/>
      <c r="AU85" s="38" t="inlineStr">
        <is>
          <t>IF(OR(E85="",AH85=""),"",IF(COUNT(AG85:AG85)=0,"",AH85-LOOKUP(2,1/(AG85:AG85&lt;&gt;""),AG85:AG85)))</t>
        </is>
      </c>
      <c r="AV85" s="38" t="inlineStr">
        <is>
          <t>IF(OR(E85="",AI85=""),"",IF(COUNT(AG85:AH85)=0,"",AI85-LOOKUP(2,1/(AG85:AH85&lt;&gt;""),AG85:AH85)))</t>
        </is>
      </c>
      <c r="AW85" s="38" t="inlineStr">
        <is>
          <t>IF(OR(E85="",AJ85=""),"",IF(COUNT(AG85:AI85)=0,"",AJ85-LOOKUP(2,1/(AG85:AI85&lt;&gt;""),AG85:AI85)))</t>
        </is>
      </c>
      <c r="AX85" s="38" t="inlineStr">
        <is>
          <t>IF(OR(E85="",AK85=""),"",IF(COUNT(AG85:AJ85)=0,"",AK85-LOOKUP(2,1/(AG85:AJ85&lt;&gt;""),AG85:AJ85)))</t>
        </is>
      </c>
      <c r="AY85" s="38" t="inlineStr">
        <is>
          <t>IF(OR(E85="",AL85=""),"",IF(COUNT(AG85:AK85)=0,"",AL85-LOOKUP(2,1/(AG85:AK85&lt;&gt;""),AG85:AK85)))</t>
        </is>
      </c>
      <c r="AZ85" s="38" t="inlineStr">
        <is>
          <t>IF(OR(E85="",AM85=""),"",IF(COUNT(AG85:AL85)=0,"",AM85-LOOKUP(2,1/(AG85:AL85&lt;&gt;""),AG85:AL85)))</t>
        </is>
      </c>
      <c r="BA85" s="38" t="inlineStr">
        <is>
          <t>IF(OR(E85="",AN85=""),"",IF(COUNT(AG85:AM85)=0,"",AN85-LOOKUP(2,1/(AG85:AM85&lt;&gt;""),AG85:AM85)))</t>
        </is>
      </c>
      <c r="BB85" s="38" t="inlineStr">
        <is>
          <t>IF(OR(E85="",AO85=""),"",IF(COUNT(AG85:AN85)=0,"",AO85-LOOKUP(2,1/(AG85:AN85&lt;&gt;""),AG85:AN85)))</t>
        </is>
      </c>
      <c r="BC85" s="38" t="inlineStr">
        <is>
          <t>IF(OR(E85="",AP85=""),"",IF(COUNT(AG85:AO85)=0,"",AP85-LOOKUP(2,1/(AG85:AO85&lt;&gt;""),AG85:AO85)))</t>
        </is>
      </c>
      <c r="BD85" s="38" t="inlineStr">
        <is>
          <t>IF(OR(E85="",AQ85=""),"",IF(COUNT(AG85:AP85)=0,"",AQ85-LOOKUP(2,1/(AG85:AP85&lt;&gt;""),AG85:AP85)))</t>
        </is>
      </c>
      <c r="BE85" s="38" t="inlineStr">
        <is>
          <t>IF(OR(E85="",AR85=""),"",IF(COUNT(AG85:AQ85)=0,"",AR85-LOOKUP(2,1/(AG85:AQ85&lt;&gt;""),AG85:AQ85)))</t>
        </is>
      </c>
      <c r="BF85" s="38" t="inlineStr">
        <is>
          <t>IF(OR(E85="",AS85=""),"",IF(COUNT(AG85:AR85)=0,"",AS85-LOOKUP(2,1/(AG85:AR85&lt;&gt;""),AG85:AR85)))</t>
        </is>
      </c>
      <c r="BG85" s="38" t="inlineStr">
        <is>
          <t>IF(OR(E85="",AT85=""),"",IF(COUNT(AG85:AS85)=0,"",AT85-LOOKUP(2,1/(AG85:AS85&lt;&gt;""),AG85:AS85)))</t>
        </is>
      </c>
      <c r="BH85" s="41" t="inlineStr">
        <is>
          <t>IF(G85="","All_Provinces",IFERROR(VLOOKUP(G85,'07_Lookups'!$A$4:$B$20,2,FALSE),"All_Provinces"))</t>
        </is>
      </c>
      <c r="BI85" s="41" t="inlineStr">
        <is>
          <t>IF(H85="","All_Districts",IFERROR(VLOOKUP(H85,'07_Lookups'!$E$4:$F$42,2,FALSE),"All_Districts"))</t>
        </is>
      </c>
    </row>
    <row r="86" ht="18" customHeight="1">
      <c r="A86" s="32" t="inlineStr">
        <is>
          <t>IF(E86="","",ROW()-3)</t>
        </is>
      </c>
      <c r="B86" s="33" t="n"/>
      <c r="C86" s="33" t="n"/>
      <c r="D86" s="33" t="n"/>
      <c r="E86" s="33" t="n"/>
      <c r="F86" s="33" t="n"/>
      <c r="G86" s="33" t="n"/>
      <c r="H86" s="33" t="n"/>
      <c r="I86" s="33" t="n"/>
      <c r="J86" s="33" t="n"/>
      <c r="K86" s="33" t="n"/>
      <c r="L86" s="33" t="n"/>
      <c r="M86" s="33" t="n"/>
      <c r="N86" s="33" t="n"/>
      <c r="O86" s="33" t="n"/>
      <c r="P86" s="33" t="n"/>
      <c r="Q86" s="34" t="n"/>
      <c r="R86" s="35" t="inlineStr">
        <is>
          <t>IF(AO86="","",AO86)</t>
        </is>
      </c>
      <c r="S86" s="36" t="n"/>
      <c r="T86" s="37" t="n"/>
      <c r="U86" s="36" t="n"/>
      <c r="V86" s="35" t="inlineStr">
        <is>
          <t>IF(U86&lt;&gt;"",U86,IF(OR(R86="",T86=""),"",EDATE(R86,T86)))</t>
        </is>
      </c>
      <c r="W86" s="36" t="n"/>
      <c r="X86" s="37" t="n"/>
      <c r="Y86" s="33" t="n"/>
      <c r="Z86" s="33" t="n"/>
      <c r="AA86" s="32" t="inlineStr">
        <is>
          <t>IF(E86="","",IF(COUNT(AG86:AT86)=0,IF(Y86="","Not started",Y86),SUBSTITUTE(LOOKUP(2,1/(AG86:AT86&lt;&gt;""),$AG$3:$AT$3),"Date: ","")))</t>
        </is>
      </c>
      <c r="AB86" s="38" t="inlineStr">
        <is>
          <t>IF(OR(E86="",COUNT(AG86:AT86)=0),"",TODAY()-LOOKUP(2,1/(AG86:AT86&lt;&gt;""),AG86:AT86))</t>
        </is>
      </c>
      <c r="AC86" s="38" t="inlineStr">
        <is>
          <t>IF(OR(E86="",COUNT(AG86:AT86)&lt;2),"",LOOKUP(2,1/(AG86:AT86&lt;&gt;""),AG86:AT86)-MIN(AG86:AT86))</t>
        </is>
      </c>
      <c r="AD86" s="38" t="inlineStr">
        <is>
          <t>IF(OR(AB86="",AA86="Not started",AA86=""),"",IFERROR(AB86-IF(VLOOKUP(AA86,'04_Status_Pipeline'!$B$3:$E$20,4,FALSE)="",0,VLOOKUP(AA86,'04_Status_Pipeline'!$B$3:$E$20,4,FALSE)),""))</t>
        </is>
      </c>
      <c r="AE86" s="32" t="inlineStr">
        <is>
          <t>IF(E86="","",IF(OR(Y86="Cancelled",AA86="Cancelled"),"Cancelled",IF(OR(AA86="Completed / Handover",W86&lt;&gt;"",X86&gt;=100),"Completed — on track",IF(L86="Remaining",IF(S86="",IF(V86="","No planned date",IF(TODAY()&gt;V86,"Behind — past planned date",IF(V86-TODAY()&lt;=30,"At risk — close to off track","On track"))),IF(TODAY()&gt;S86,"Behind — award date passed",IF(S86-TODAY()&lt;=30,"At risk — close to off track","On track"))),IF(V86="","No planned date",IF(AND(TODAY()&gt;V86,OR(X86="",X86&lt;100)),"Behind — past end date",IF(AND(R86&lt;&gt;"",V86&lt;&gt;"",X86&lt;&gt;"",(X86&lt;100),((TODAY()-R86)/MAX(V86-R86,1)*100)-X86&gt;15),"Behind — progress lag",IF(AND(V86-TODAY()&lt;=30,V86-TODAY()&gt;=0,OR(X86="",X86&lt;90)),"At risk — close to off track","On track"))))))))</t>
        </is>
      </c>
      <c r="AF86" s="38" t="inlineStr">
        <is>
          <t>IF(OR(E86="",AA86="Completed / Handover",AA86="Cancelled"),"",IF(L86="Remaining",IF(S86&lt;&gt;"",S86-TODAY(),IF(V86="","",V86-TODAY())),IF(V86="","",V86-TODAY())))</t>
        </is>
      </c>
      <c r="AG86" s="36" t="n"/>
      <c r="AH86" s="36" t="n"/>
      <c r="AI86" s="36" t="n"/>
      <c r="AJ86" s="36" t="n"/>
      <c r="AK86" s="36" t="n"/>
      <c r="AL86" s="36" t="n"/>
      <c r="AM86" s="36" t="n"/>
      <c r="AN86" s="36" t="n"/>
      <c r="AO86" s="36" t="n"/>
      <c r="AP86" s="36" t="n"/>
      <c r="AQ86" s="36" t="n"/>
      <c r="AR86" s="40" t="n"/>
      <c r="AS86" s="40" t="n"/>
      <c r="AT86" s="40" t="n"/>
      <c r="AU86" s="38" t="inlineStr">
        <is>
          <t>IF(OR(E86="",AH86=""),"",IF(COUNT(AG86:AG86)=0,"",AH86-LOOKUP(2,1/(AG86:AG86&lt;&gt;""),AG86:AG86)))</t>
        </is>
      </c>
      <c r="AV86" s="38" t="inlineStr">
        <is>
          <t>IF(OR(E86="",AI86=""),"",IF(COUNT(AG86:AH86)=0,"",AI86-LOOKUP(2,1/(AG86:AH86&lt;&gt;""),AG86:AH86)))</t>
        </is>
      </c>
      <c r="AW86" s="38" t="inlineStr">
        <is>
          <t>IF(OR(E86="",AJ86=""),"",IF(COUNT(AG86:AI86)=0,"",AJ86-LOOKUP(2,1/(AG86:AI86&lt;&gt;""),AG86:AI86)))</t>
        </is>
      </c>
      <c r="AX86" s="38" t="inlineStr">
        <is>
          <t>IF(OR(E86="",AK86=""),"",IF(COUNT(AG86:AJ86)=0,"",AK86-LOOKUP(2,1/(AG86:AJ86&lt;&gt;""),AG86:AJ86)))</t>
        </is>
      </c>
      <c r="AY86" s="38" t="inlineStr">
        <is>
          <t>IF(OR(E86="",AL86=""),"",IF(COUNT(AG86:AK86)=0,"",AL86-LOOKUP(2,1/(AG86:AK86&lt;&gt;""),AG86:AK86)))</t>
        </is>
      </c>
      <c r="AZ86" s="38" t="inlineStr">
        <is>
          <t>IF(OR(E86="",AM86=""),"",IF(COUNT(AG86:AL86)=0,"",AM86-LOOKUP(2,1/(AG86:AL86&lt;&gt;""),AG86:AL86)))</t>
        </is>
      </c>
      <c r="BA86" s="38" t="inlineStr">
        <is>
          <t>IF(OR(E86="",AN86=""),"",IF(COUNT(AG86:AM86)=0,"",AN86-LOOKUP(2,1/(AG86:AM86&lt;&gt;""),AG86:AM86)))</t>
        </is>
      </c>
      <c r="BB86" s="38" t="inlineStr">
        <is>
          <t>IF(OR(E86="",AO86=""),"",IF(COUNT(AG86:AN86)=0,"",AO86-LOOKUP(2,1/(AG86:AN86&lt;&gt;""),AG86:AN86)))</t>
        </is>
      </c>
      <c r="BC86" s="38" t="inlineStr">
        <is>
          <t>IF(OR(E86="",AP86=""),"",IF(COUNT(AG86:AO86)=0,"",AP86-LOOKUP(2,1/(AG86:AO86&lt;&gt;""),AG86:AO86)))</t>
        </is>
      </c>
      <c r="BD86" s="38" t="inlineStr">
        <is>
          <t>IF(OR(E86="",AQ86=""),"",IF(COUNT(AG86:AP86)=0,"",AQ86-LOOKUP(2,1/(AG86:AP86&lt;&gt;""),AG86:AP86)))</t>
        </is>
      </c>
      <c r="BE86" s="38" t="inlineStr">
        <is>
          <t>IF(OR(E86="",AR86=""),"",IF(COUNT(AG86:AQ86)=0,"",AR86-LOOKUP(2,1/(AG86:AQ86&lt;&gt;""),AG86:AQ86)))</t>
        </is>
      </c>
      <c r="BF86" s="38" t="inlineStr">
        <is>
          <t>IF(OR(E86="",AS86=""),"",IF(COUNT(AG86:AR86)=0,"",AS86-LOOKUP(2,1/(AG86:AR86&lt;&gt;""),AG86:AR86)))</t>
        </is>
      </c>
      <c r="BG86" s="38" t="inlineStr">
        <is>
          <t>IF(OR(E86="",AT86=""),"",IF(COUNT(AG86:AS86)=0,"",AT86-LOOKUP(2,1/(AG86:AS86&lt;&gt;""),AG86:AS86)))</t>
        </is>
      </c>
      <c r="BH86" s="41" t="inlineStr">
        <is>
          <t>IF(G86="","All_Provinces",IFERROR(VLOOKUP(G86,'07_Lookups'!$A$4:$B$20,2,FALSE),"All_Provinces"))</t>
        </is>
      </c>
      <c r="BI86" s="41" t="inlineStr">
        <is>
          <t>IF(H86="","All_Districts",IFERROR(VLOOKUP(H86,'07_Lookups'!$E$4:$F$42,2,FALSE),"All_Districts"))</t>
        </is>
      </c>
    </row>
    <row r="87" ht="18" customHeight="1">
      <c r="A87" s="32" t="inlineStr">
        <is>
          <t>IF(E87="","",ROW()-3)</t>
        </is>
      </c>
      <c r="B87" s="42" t="n"/>
      <c r="C87" s="42" t="n"/>
      <c r="D87" s="42" t="n"/>
      <c r="E87" s="42" t="n"/>
      <c r="F87" s="42" t="n"/>
      <c r="G87" s="42" t="n"/>
      <c r="H87" s="42" t="n"/>
      <c r="I87" s="42" t="n"/>
      <c r="J87" s="42" t="n"/>
      <c r="K87" s="42" t="n"/>
      <c r="L87" s="42" t="n"/>
      <c r="M87" s="42" t="n"/>
      <c r="N87" s="42" t="n"/>
      <c r="O87" s="42" t="n"/>
      <c r="P87" s="42" t="n"/>
      <c r="Q87" s="43" t="n"/>
      <c r="R87" s="35" t="inlineStr">
        <is>
          <t>IF(AO87="","",AO87)</t>
        </is>
      </c>
      <c r="S87" s="44" t="n"/>
      <c r="T87" s="45" t="n"/>
      <c r="U87" s="44" t="n"/>
      <c r="V87" s="35" t="inlineStr">
        <is>
          <t>IF(U87&lt;&gt;"",U87,IF(OR(R87="",T87=""),"",EDATE(R87,T87)))</t>
        </is>
      </c>
      <c r="W87" s="44" t="n"/>
      <c r="X87" s="45" t="n"/>
      <c r="Y87" s="42" t="n"/>
      <c r="Z87" s="42" t="n"/>
      <c r="AA87" s="32" t="inlineStr">
        <is>
          <t>IF(E87="","",IF(COUNT(AG87:AT87)=0,IF(Y87="","Not started",Y87),SUBSTITUTE(LOOKUP(2,1/(AG87:AT87&lt;&gt;""),$AG$3:$AT$3),"Date: ","")))</t>
        </is>
      </c>
      <c r="AB87" s="38" t="inlineStr">
        <is>
          <t>IF(OR(E87="",COUNT(AG87:AT87)=0),"",TODAY()-LOOKUP(2,1/(AG87:AT87&lt;&gt;""),AG87:AT87))</t>
        </is>
      </c>
      <c r="AC87" s="38" t="inlineStr">
        <is>
          <t>IF(OR(E87="",COUNT(AG87:AT87)&lt;2),"",LOOKUP(2,1/(AG87:AT87&lt;&gt;""),AG87:AT87)-MIN(AG87:AT87))</t>
        </is>
      </c>
      <c r="AD87" s="38" t="inlineStr">
        <is>
          <t>IF(OR(AB87="",AA87="Not started",AA87=""),"",IFERROR(AB87-IF(VLOOKUP(AA87,'04_Status_Pipeline'!$B$3:$E$20,4,FALSE)="",0,VLOOKUP(AA87,'04_Status_Pipeline'!$B$3:$E$20,4,FALSE)),""))</t>
        </is>
      </c>
      <c r="AE87" s="32" t="inlineStr">
        <is>
          <t>IF(E87="","",IF(OR(Y87="Cancelled",AA87="Cancelled"),"Cancelled",IF(OR(AA87="Completed / Handover",W87&lt;&gt;"",X87&gt;=100),"Completed — on track",IF(L87="Remaining",IF(S87="",IF(V87="","No planned date",IF(TODAY()&gt;V87,"Behind — past planned date",IF(V87-TODAY()&lt;=30,"At risk — close to off track","On track"))),IF(TODAY()&gt;S87,"Behind — award date passed",IF(S87-TODAY()&lt;=30,"At risk — close to off track","On track"))),IF(V87="","No planned date",IF(AND(TODAY()&gt;V87,OR(X87="",X87&lt;100)),"Behind — past end date",IF(AND(R87&lt;&gt;"",V87&lt;&gt;"",X87&lt;&gt;"",(X87&lt;100),((TODAY()-R87)/MAX(V87-R87,1)*100)-X87&gt;15),"Behind — progress lag",IF(AND(V87-TODAY()&lt;=30,V87-TODAY()&gt;=0,OR(X87="",X87&lt;90)),"At risk — close to off track","On track"))))))))</t>
        </is>
      </c>
      <c r="AF87" s="38" t="inlineStr">
        <is>
          <t>IF(OR(E87="",AA87="Completed / Handover",AA87="Cancelled"),"",IF(L87="Remaining",IF(S87&lt;&gt;"",S87-TODAY(),IF(V87="","",V87-TODAY())),IF(V87="","",V87-TODAY())))</t>
        </is>
      </c>
      <c r="AG87" s="44" t="n"/>
      <c r="AH87" s="44" t="n"/>
      <c r="AI87" s="44" t="n"/>
      <c r="AJ87" s="44" t="n"/>
      <c r="AK87" s="44" t="n"/>
      <c r="AL87" s="44" t="n"/>
      <c r="AM87" s="44" t="n"/>
      <c r="AN87" s="44" t="n"/>
      <c r="AO87" s="44" t="n"/>
      <c r="AP87" s="44" t="n"/>
      <c r="AQ87" s="44" t="n"/>
      <c r="AR87" s="40" t="n"/>
      <c r="AS87" s="40" t="n"/>
      <c r="AT87" s="40" t="n"/>
      <c r="AU87" s="38" t="inlineStr">
        <is>
          <t>IF(OR(E87="",AH87=""),"",IF(COUNT(AG87:AG87)=0,"",AH87-LOOKUP(2,1/(AG87:AG87&lt;&gt;""),AG87:AG87)))</t>
        </is>
      </c>
      <c r="AV87" s="38" t="inlineStr">
        <is>
          <t>IF(OR(E87="",AI87=""),"",IF(COUNT(AG87:AH87)=0,"",AI87-LOOKUP(2,1/(AG87:AH87&lt;&gt;""),AG87:AH87)))</t>
        </is>
      </c>
      <c r="AW87" s="38" t="inlineStr">
        <is>
          <t>IF(OR(E87="",AJ87=""),"",IF(COUNT(AG87:AI87)=0,"",AJ87-LOOKUP(2,1/(AG87:AI87&lt;&gt;""),AG87:AI87)))</t>
        </is>
      </c>
      <c r="AX87" s="38" t="inlineStr">
        <is>
          <t>IF(OR(E87="",AK87=""),"",IF(COUNT(AG87:AJ87)=0,"",AK87-LOOKUP(2,1/(AG87:AJ87&lt;&gt;""),AG87:AJ87)))</t>
        </is>
      </c>
      <c r="AY87" s="38" t="inlineStr">
        <is>
          <t>IF(OR(E87="",AL87=""),"",IF(COUNT(AG87:AK87)=0,"",AL87-LOOKUP(2,1/(AG87:AK87&lt;&gt;""),AG87:AK87)))</t>
        </is>
      </c>
      <c r="AZ87" s="38" t="inlineStr">
        <is>
          <t>IF(OR(E87="",AM87=""),"",IF(COUNT(AG87:AL87)=0,"",AM87-LOOKUP(2,1/(AG87:AL87&lt;&gt;""),AG87:AL87)))</t>
        </is>
      </c>
      <c r="BA87" s="38" t="inlineStr">
        <is>
          <t>IF(OR(E87="",AN87=""),"",IF(COUNT(AG87:AM87)=0,"",AN87-LOOKUP(2,1/(AG87:AM87&lt;&gt;""),AG87:AM87)))</t>
        </is>
      </c>
      <c r="BB87" s="38" t="inlineStr">
        <is>
          <t>IF(OR(E87="",AO87=""),"",IF(COUNT(AG87:AN87)=0,"",AO87-LOOKUP(2,1/(AG87:AN87&lt;&gt;""),AG87:AN87)))</t>
        </is>
      </c>
      <c r="BC87" s="38" t="inlineStr">
        <is>
          <t>IF(OR(E87="",AP87=""),"",IF(COUNT(AG87:AO87)=0,"",AP87-LOOKUP(2,1/(AG87:AO87&lt;&gt;""),AG87:AO87)))</t>
        </is>
      </c>
      <c r="BD87" s="38" t="inlineStr">
        <is>
          <t>IF(OR(E87="",AQ87=""),"",IF(COUNT(AG87:AP87)=0,"",AQ87-LOOKUP(2,1/(AG87:AP87&lt;&gt;""),AG87:AP87)))</t>
        </is>
      </c>
      <c r="BE87" s="38" t="inlineStr">
        <is>
          <t>IF(OR(E87="",AR87=""),"",IF(COUNT(AG87:AQ87)=0,"",AR87-LOOKUP(2,1/(AG87:AQ87&lt;&gt;""),AG87:AQ87)))</t>
        </is>
      </c>
      <c r="BF87" s="38" t="inlineStr">
        <is>
          <t>IF(OR(E87="",AS87=""),"",IF(COUNT(AG87:AR87)=0,"",AS87-LOOKUP(2,1/(AG87:AR87&lt;&gt;""),AG87:AR87)))</t>
        </is>
      </c>
      <c r="BG87" s="38" t="inlineStr">
        <is>
          <t>IF(OR(E87="",AT87=""),"",IF(COUNT(AG87:AS87)=0,"",AT87-LOOKUP(2,1/(AG87:AS87&lt;&gt;""),AG87:AS87)))</t>
        </is>
      </c>
      <c r="BH87" s="41" t="inlineStr">
        <is>
          <t>IF(G87="","All_Provinces",IFERROR(VLOOKUP(G87,'07_Lookups'!$A$4:$B$20,2,FALSE),"All_Provinces"))</t>
        </is>
      </c>
      <c r="BI87" s="41" t="inlineStr">
        <is>
          <t>IF(H87="","All_Districts",IFERROR(VLOOKUP(H87,'07_Lookups'!$E$4:$F$42,2,FALSE),"All_Districts"))</t>
        </is>
      </c>
    </row>
    <row r="88" ht="18" customHeight="1">
      <c r="A88" s="32" t="inlineStr">
        <is>
          <t>IF(E88="","",ROW()-3)</t>
        </is>
      </c>
      <c r="B88" s="33" t="n"/>
      <c r="C88" s="33" t="n"/>
      <c r="D88" s="33" t="n"/>
      <c r="E88" s="33" t="n"/>
      <c r="F88" s="33" t="n"/>
      <c r="G88" s="33" t="n"/>
      <c r="H88" s="33" t="n"/>
      <c r="I88" s="33" t="n"/>
      <c r="J88" s="33" t="n"/>
      <c r="K88" s="33" t="n"/>
      <c r="L88" s="33" t="n"/>
      <c r="M88" s="33" t="n"/>
      <c r="N88" s="33" t="n"/>
      <c r="O88" s="33" t="n"/>
      <c r="P88" s="33" t="n"/>
      <c r="Q88" s="34" t="n"/>
      <c r="R88" s="35" t="inlineStr">
        <is>
          <t>IF(AO88="","",AO88)</t>
        </is>
      </c>
      <c r="S88" s="36" t="n"/>
      <c r="T88" s="37" t="n"/>
      <c r="U88" s="36" t="n"/>
      <c r="V88" s="35" t="inlineStr">
        <is>
          <t>IF(U88&lt;&gt;"",U88,IF(OR(R88="",T88=""),"",EDATE(R88,T88)))</t>
        </is>
      </c>
      <c r="W88" s="36" t="n"/>
      <c r="X88" s="37" t="n"/>
      <c r="Y88" s="33" t="n"/>
      <c r="Z88" s="33" t="n"/>
      <c r="AA88" s="32" t="inlineStr">
        <is>
          <t>IF(E88="","",IF(COUNT(AG88:AT88)=0,IF(Y88="","Not started",Y88),SUBSTITUTE(LOOKUP(2,1/(AG88:AT88&lt;&gt;""),$AG$3:$AT$3),"Date: ","")))</t>
        </is>
      </c>
      <c r="AB88" s="38" t="inlineStr">
        <is>
          <t>IF(OR(E88="",COUNT(AG88:AT88)=0),"",TODAY()-LOOKUP(2,1/(AG88:AT88&lt;&gt;""),AG88:AT88))</t>
        </is>
      </c>
      <c r="AC88" s="38" t="inlineStr">
        <is>
          <t>IF(OR(E88="",COUNT(AG88:AT88)&lt;2),"",LOOKUP(2,1/(AG88:AT88&lt;&gt;""),AG88:AT88)-MIN(AG88:AT88))</t>
        </is>
      </c>
      <c r="AD88" s="38" t="inlineStr">
        <is>
          <t>IF(OR(AB88="",AA88="Not started",AA88=""),"",IFERROR(AB88-IF(VLOOKUP(AA88,'04_Status_Pipeline'!$B$3:$E$20,4,FALSE)="",0,VLOOKUP(AA88,'04_Status_Pipeline'!$B$3:$E$20,4,FALSE)),""))</t>
        </is>
      </c>
      <c r="AE88" s="32" t="inlineStr">
        <is>
          <t>IF(E88="","",IF(OR(Y88="Cancelled",AA88="Cancelled"),"Cancelled",IF(OR(AA88="Completed / Handover",W88&lt;&gt;"",X88&gt;=100),"Completed — on track",IF(L88="Remaining",IF(S88="",IF(V88="","No planned date",IF(TODAY()&gt;V88,"Behind — past planned date",IF(V88-TODAY()&lt;=30,"At risk — close to off track","On track"))),IF(TODAY()&gt;S88,"Behind — award date passed",IF(S88-TODAY()&lt;=30,"At risk — close to off track","On track"))),IF(V88="","No planned date",IF(AND(TODAY()&gt;V88,OR(X88="",X88&lt;100)),"Behind — past end date",IF(AND(R88&lt;&gt;"",V88&lt;&gt;"",X88&lt;&gt;"",(X88&lt;100),((TODAY()-R88)/MAX(V88-R88,1)*100)-X88&gt;15),"Behind — progress lag",IF(AND(V88-TODAY()&lt;=30,V88-TODAY()&gt;=0,OR(X88="",X88&lt;90)),"At risk — close to off track","On track"))))))))</t>
        </is>
      </c>
      <c r="AF88" s="38" t="inlineStr">
        <is>
          <t>IF(OR(E88="",AA88="Completed / Handover",AA88="Cancelled"),"",IF(L88="Remaining",IF(S88&lt;&gt;"",S88-TODAY(),IF(V88="","",V88-TODAY())),IF(V88="","",V88-TODAY())))</t>
        </is>
      </c>
      <c r="AG88" s="36" t="n"/>
      <c r="AH88" s="36" t="n"/>
      <c r="AI88" s="36" t="n"/>
      <c r="AJ88" s="36" t="n"/>
      <c r="AK88" s="36" t="n"/>
      <c r="AL88" s="36" t="n"/>
      <c r="AM88" s="36" t="n"/>
      <c r="AN88" s="36" t="n"/>
      <c r="AO88" s="36" t="n"/>
      <c r="AP88" s="36" t="n"/>
      <c r="AQ88" s="36" t="n"/>
      <c r="AR88" s="40" t="n"/>
      <c r="AS88" s="40" t="n"/>
      <c r="AT88" s="40" t="n"/>
      <c r="AU88" s="38" t="inlineStr">
        <is>
          <t>IF(OR(E88="",AH88=""),"",IF(COUNT(AG88:AG88)=0,"",AH88-LOOKUP(2,1/(AG88:AG88&lt;&gt;""),AG88:AG88)))</t>
        </is>
      </c>
      <c r="AV88" s="38" t="inlineStr">
        <is>
          <t>IF(OR(E88="",AI88=""),"",IF(COUNT(AG88:AH88)=0,"",AI88-LOOKUP(2,1/(AG88:AH88&lt;&gt;""),AG88:AH88)))</t>
        </is>
      </c>
      <c r="AW88" s="38" t="inlineStr">
        <is>
          <t>IF(OR(E88="",AJ88=""),"",IF(COUNT(AG88:AI88)=0,"",AJ88-LOOKUP(2,1/(AG88:AI88&lt;&gt;""),AG88:AI88)))</t>
        </is>
      </c>
      <c r="AX88" s="38" t="inlineStr">
        <is>
          <t>IF(OR(E88="",AK88=""),"",IF(COUNT(AG88:AJ88)=0,"",AK88-LOOKUP(2,1/(AG88:AJ88&lt;&gt;""),AG88:AJ88)))</t>
        </is>
      </c>
      <c r="AY88" s="38" t="inlineStr">
        <is>
          <t>IF(OR(E88="",AL88=""),"",IF(COUNT(AG88:AK88)=0,"",AL88-LOOKUP(2,1/(AG88:AK88&lt;&gt;""),AG88:AK88)))</t>
        </is>
      </c>
      <c r="AZ88" s="38" t="inlineStr">
        <is>
          <t>IF(OR(E88="",AM88=""),"",IF(COUNT(AG88:AL88)=0,"",AM88-LOOKUP(2,1/(AG88:AL88&lt;&gt;""),AG88:AL88)))</t>
        </is>
      </c>
      <c r="BA88" s="38" t="inlineStr">
        <is>
          <t>IF(OR(E88="",AN88=""),"",IF(COUNT(AG88:AM88)=0,"",AN88-LOOKUP(2,1/(AG88:AM88&lt;&gt;""),AG88:AM88)))</t>
        </is>
      </c>
      <c r="BB88" s="38" t="inlineStr">
        <is>
          <t>IF(OR(E88="",AO88=""),"",IF(COUNT(AG88:AN88)=0,"",AO88-LOOKUP(2,1/(AG88:AN88&lt;&gt;""),AG88:AN88)))</t>
        </is>
      </c>
      <c r="BC88" s="38" t="inlineStr">
        <is>
          <t>IF(OR(E88="",AP88=""),"",IF(COUNT(AG88:AO88)=0,"",AP88-LOOKUP(2,1/(AG88:AO88&lt;&gt;""),AG88:AO88)))</t>
        </is>
      </c>
      <c r="BD88" s="38" t="inlineStr">
        <is>
          <t>IF(OR(E88="",AQ88=""),"",IF(COUNT(AG88:AP88)=0,"",AQ88-LOOKUP(2,1/(AG88:AP88&lt;&gt;""),AG88:AP88)))</t>
        </is>
      </c>
      <c r="BE88" s="38" t="inlineStr">
        <is>
          <t>IF(OR(E88="",AR88=""),"",IF(COUNT(AG88:AQ88)=0,"",AR88-LOOKUP(2,1/(AG88:AQ88&lt;&gt;""),AG88:AQ88)))</t>
        </is>
      </c>
      <c r="BF88" s="38" t="inlineStr">
        <is>
          <t>IF(OR(E88="",AS88=""),"",IF(COUNT(AG88:AR88)=0,"",AS88-LOOKUP(2,1/(AG88:AR88&lt;&gt;""),AG88:AR88)))</t>
        </is>
      </c>
      <c r="BG88" s="38" t="inlineStr">
        <is>
          <t>IF(OR(E88="",AT88=""),"",IF(COUNT(AG88:AS88)=0,"",AT88-LOOKUP(2,1/(AG88:AS88&lt;&gt;""),AG88:AS88)))</t>
        </is>
      </c>
      <c r="BH88" s="41" t="inlineStr">
        <is>
          <t>IF(G88="","All_Provinces",IFERROR(VLOOKUP(G88,'07_Lookups'!$A$4:$B$20,2,FALSE),"All_Provinces"))</t>
        </is>
      </c>
      <c r="BI88" s="41" t="inlineStr">
        <is>
          <t>IF(H88="","All_Districts",IFERROR(VLOOKUP(H88,'07_Lookups'!$E$4:$F$42,2,FALSE),"All_Districts"))</t>
        </is>
      </c>
    </row>
    <row r="89" ht="18" customHeight="1">
      <c r="A89" s="32" t="inlineStr">
        <is>
          <t>IF(E89="","",ROW()-3)</t>
        </is>
      </c>
      <c r="B89" s="42" t="n"/>
      <c r="C89" s="42" t="n"/>
      <c r="D89" s="42" t="n"/>
      <c r="E89" s="42" t="n"/>
      <c r="F89" s="42" t="n"/>
      <c r="G89" s="42" t="n"/>
      <c r="H89" s="42" t="n"/>
      <c r="I89" s="42" t="n"/>
      <c r="J89" s="42" t="n"/>
      <c r="K89" s="42" t="n"/>
      <c r="L89" s="42" t="n"/>
      <c r="M89" s="42" t="n"/>
      <c r="N89" s="42" t="n"/>
      <c r="O89" s="42" t="n"/>
      <c r="P89" s="42" t="n"/>
      <c r="Q89" s="43" t="n"/>
      <c r="R89" s="35" t="inlineStr">
        <is>
          <t>IF(AO89="","",AO89)</t>
        </is>
      </c>
      <c r="S89" s="44" t="n"/>
      <c r="T89" s="45" t="n"/>
      <c r="U89" s="44" t="n"/>
      <c r="V89" s="35" t="inlineStr">
        <is>
          <t>IF(U89&lt;&gt;"",U89,IF(OR(R89="",T89=""),"",EDATE(R89,T89)))</t>
        </is>
      </c>
      <c r="W89" s="44" t="n"/>
      <c r="X89" s="45" t="n"/>
      <c r="Y89" s="42" t="n"/>
      <c r="Z89" s="42" t="n"/>
      <c r="AA89" s="32" t="inlineStr">
        <is>
          <t>IF(E89="","",IF(COUNT(AG89:AT89)=0,IF(Y89="","Not started",Y89),SUBSTITUTE(LOOKUP(2,1/(AG89:AT89&lt;&gt;""),$AG$3:$AT$3),"Date: ","")))</t>
        </is>
      </c>
      <c r="AB89" s="38" t="inlineStr">
        <is>
          <t>IF(OR(E89="",COUNT(AG89:AT89)=0),"",TODAY()-LOOKUP(2,1/(AG89:AT89&lt;&gt;""),AG89:AT89))</t>
        </is>
      </c>
      <c r="AC89" s="38" t="inlineStr">
        <is>
          <t>IF(OR(E89="",COUNT(AG89:AT89)&lt;2),"",LOOKUP(2,1/(AG89:AT89&lt;&gt;""),AG89:AT89)-MIN(AG89:AT89))</t>
        </is>
      </c>
      <c r="AD89" s="38" t="inlineStr">
        <is>
          <t>IF(OR(AB89="",AA89="Not started",AA89=""),"",IFERROR(AB89-IF(VLOOKUP(AA89,'04_Status_Pipeline'!$B$3:$E$20,4,FALSE)="",0,VLOOKUP(AA89,'04_Status_Pipeline'!$B$3:$E$20,4,FALSE)),""))</t>
        </is>
      </c>
      <c r="AE89" s="32" t="inlineStr">
        <is>
          <t>IF(E89="","",IF(OR(Y89="Cancelled",AA89="Cancelled"),"Cancelled",IF(OR(AA89="Completed / Handover",W89&lt;&gt;"",X89&gt;=100),"Completed — on track",IF(L89="Remaining",IF(S89="",IF(V89="","No planned date",IF(TODAY()&gt;V89,"Behind — past planned date",IF(V89-TODAY()&lt;=30,"At risk — close to off track","On track"))),IF(TODAY()&gt;S89,"Behind — award date passed",IF(S89-TODAY()&lt;=30,"At risk — close to off track","On track"))),IF(V89="","No planned date",IF(AND(TODAY()&gt;V89,OR(X89="",X89&lt;100)),"Behind — past end date",IF(AND(R89&lt;&gt;"",V89&lt;&gt;"",X89&lt;&gt;"",(X89&lt;100),((TODAY()-R89)/MAX(V89-R89,1)*100)-X89&gt;15),"Behind — progress lag",IF(AND(V89-TODAY()&lt;=30,V89-TODAY()&gt;=0,OR(X89="",X89&lt;90)),"At risk — close to off track","On track"))))))))</t>
        </is>
      </c>
      <c r="AF89" s="38" t="inlineStr">
        <is>
          <t>IF(OR(E89="",AA89="Completed / Handover",AA89="Cancelled"),"",IF(L89="Remaining",IF(S89&lt;&gt;"",S89-TODAY(),IF(V89="","",V89-TODAY())),IF(V89="","",V89-TODAY())))</t>
        </is>
      </c>
      <c r="AG89" s="44" t="n"/>
      <c r="AH89" s="44" t="n"/>
      <c r="AI89" s="44" t="n"/>
      <c r="AJ89" s="44" t="n"/>
      <c r="AK89" s="44" t="n"/>
      <c r="AL89" s="44" t="n"/>
      <c r="AM89" s="44" t="n"/>
      <c r="AN89" s="44" t="n"/>
      <c r="AO89" s="44" t="n"/>
      <c r="AP89" s="44" t="n"/>
      <c r="AQ89" s="44" t="n"/>
      <c r="AR89" s="40" t="n"/>
      <c r="AS89" s="40" t="n"/>
      <c r="AT89" s="40" t="n"/>
      <c r="AU89" s="38" t="inlineStr">
        <is>
          <t>IF(OR(E89="",AH89=""),"",IF(COUNT(AG89:AG89)=0,"",AH89-LOOKUP(2,1/(AG89:AG89&lt;&gt;""),AG89:AG89)))</t>
        </is>
      </c>
      <c r="AV89" s="38" t="inlineStr">
        <is>
          <t>IF(OR(E89="",AI89=""),"",IF(COUNT(AG89:AH89)=0,"",AI89-LOOKUP(2,1/(AG89:AH89&lt;&gt;""),AG89:AH89)))</t>
        </is>
      </c>
      <c r="AW89" s="38" t="inlineStr">
        <is>
          <t>IF(OR(E89="",AJ89=""),"",IF(COUNT(AG89:AI89)=0,"",AJ89-LOOKUP(2,1/(AG89:AI89&lt;&gt;""),AG89:AI89)))</t>
        </is>
      </c>
      <c r="AX89" s="38" t="inlineStr">
        <is>
          <t>IF(OR(E89="",AK89=""),"",IF(COUNT(AG89:AJ89)=0,"",AK89-LOOKUP(2,1/(AG89:AJ89&lt;&gt;""),AG89:AJ89)))</t>
        </is>
      </c>
      <c r="AY89" s="38" t="inlineStr">
        <is>
          <t>IF(OR(E89="",AL89=""),"",IF(COUNT(AG89:AK89)=0,"",AL89-LOOKUP(2,1/(AG89:AK89&lt;&gt;""),AG89:AK89)))</t>
        </is>
      </c>
      <c r="AZ89" s="38" t="inlineStr">
        <is>
          <t>IF(OR(E89="",AM89=""),"",IF(COUNT(AG89:AL89)=0,"",AM89-LOOKUP(2,1/(AG89:AL89&lt;&gt;""),AG89:AL89)))</t>
        </is>
      </c>
      <c r="BA89" s="38" t="inlineStr">
        <is>
          <t>IF(OR(E89="",AN89=""),"",IF(COUNT(AG89:AM89)=0,"",AN89-LOOKUP(2,1/(AG89:AM89&lt;&gt;""),AG89:AM89)))</t>
        </is>
      </c>
      <c r="BB89" s="38" t="inlineStr">
        <is>
          <t>IF(OR(E89="",AO89=""),"",IF(COUNT(AG89:AN89)=0,"",AO89-LOOKUP(2,1/(AG89:AN89&lt;&gt;""),AG89:AN89)))</t>
        </is>
      </c>
      <c r="BC89" s="38" t="inlineStr">
        <is>
          <t>IF(OR(E89="",AP89=""),"",IF(COUNT(AG89:AO89)=0,"",AP89-LOOKUP(2,1/(AG89:AO89&lt;&gt;""),AG89:AO89)))</t>
        </is>
      </c>
      <c r="BD89" s="38" t="inlineStr">
        <is>
          <t>IF(OR(E89="",AQ89=""),"",IF(COUNT(AG89:AP89)=0,"",AQ89-LOOKUP(2,1/(AG89:AP89&lt;&gt;""),AG89:AP89)))</t>
        </is>
      </c>
      <c r="BE89" s="38" t="inlineStr">
        <is>
          <t>IF(OR(E89="",AR89=""),"",IF(COUNT(AG89:AQ89)=0,"",AR89-LOOKUP(2,1/(AG89:AQ89&lt;&gt;""),AG89:AQ89)))</t>
        </is>
      </c>
      <c r="BF89" s="38" t="inlineStr">
        <is>
          <t>IF(OR(E89="",AS89=""),"",IF(COUNT(AG89:AR89)=0,"",AS89-LOOKUP(2,1/(AG89:AR89&lt;&gt;""),AG89:AR89)))</t>
        </is>
      </c>
      <c r="BG89" s="38" t="inlineStr">
        <is>
          <t>IF(OR(E89="",AT89=""),"",IF(COUNT(AG89:AS89)=0,"",AT89-LOOKUP(2,1/(AG89:AS89&lt;&gt;""),AG89:AS89)))</t>
        </is>
      </c>
      <c r="BH89" s="41" t="inlineStr">
        <is>
          <t>IF(G89="","All_Provinces",IFERROR(VLOOKUP(G89,'07_Lookups'!$A$4:$B$20,2,FALSE),"All_Provinces"))</t>
        </is>
      </c>
      <c r="BI89" s="41" t="inlineStr">
        <is>
          <t>IF(H89="","All_Districts",IFERROR(VLOOKUP(H89,'07_Lookups'!$E$4:$F$42,2,FALSE),"All_Districts"))</t>
        </is>
      </c>
    </row>
    <row r="90" ht="18" customHeight="1">
      <c r="A90" s="32" t="inlineStr">
        <is>
          <t>IF(E90="","",ROW()-3)</t>
        </is>
      </c>
      <c r="B90" s="33" t="n"/>
      <c r="C90" s="33" t="n"/>
      <c r="D90" s="33" t="n"/>
      <c r="E90" s="33" t="n"/>
      <c r="F90" s="33" t="n"/>
      <c r="G90" s="33" t="n"/>
      <c r="H90" s="33" t="n"/>
      <c r="I90" s="33" t="n"/>
      <c r="J90" s="33" t="n"/>
      <c r="K90" s="33" t="n"/>
      <c r="L90" s="33" t="n"/>
      <c r="M90" s="33" t="n"/>
      <c r="N90" s="33" t="n"/>
      <c r="O90" s="33" t="n"/>
      <c r="P90" s="33" t="n"/>
      <c r="Q90" s="34" t="n"/>
      <c r="R90" s="35" t="inlineStr">
        <is>
          <t>IF(AO90="","",AO90)</t>
        </is>
      </c>
      <c r="S90" s="36" t="n"/>
      <c r="T90" s="37" t="n"/>
      <c r="U90" s="36" t="n"/>
      <c r="V90" s="35" t="inlineStr">
        <is>
          <t>IF(U90&lt;&gt;"",U90,IF(OR(R90="",T90=""),"",EDATE(R90,T90)))</t>
        </is>
      </c>
      <c r="W90" s="36" t="n"/>
      <c r="X90" s="37" t="n"/>
      <c r="Y90" s="33" t="n"/>
      <c r="Z90" s="33" t="n"/>
      <c r="AA90" s="32" t="inlineStr">
        <is>
          <t>IF(E90="","",IF(COUNT(AG90:AT90)=0,IF(Y90="","Not started",Y90),SUBSTITUTE(LOOKUP(2,1/(AG90:AT90&lt;&gt;""),$AG$3:$AT$3),"Date: ","")))</t>
        </is>
      </c>
      <c r="AB90" s="38" t="inlineStr">
        <is>
          <t>IF(OR(E90="",COUNT(AG90:AT90)=0),"",TODAY()-LOOKUP(2,1/(AG90:AT90&lt;&gt;""),AG90:AT90))</t>
        </is>
      </c>
      <c r="AC90" s="38" t="inlineStr">
        <is>
          <t>IF(OR(E90="",COUNT(AG90:AT90)&lt;2),"",LOOKUP(2,1/(AG90:AT90&lt;&gt;""),AG90:AT90)-MIN(AG90:AT90))</t>
        </is>
      </c>
      <c r="AD90" s="38" t="inlineStr">
        <is>
          <t>IF(OR(AB90="",AA90="Not started",AA90=""),"",IFERROR(AB90-IF(VLOOKUP(AA90,'04_Status_Pipeline'!$B$3:$E$20,4,FALSE)="",0,VLOOKUP(AA90,'04_Status_Pipeline'!$B$3:$E$20,4,FALSE)),""))</t>
        </is>
      </c>
      <c r="AE90" s="32" t="inlineStr">
        <is>
          <t>IF(E90="","",IF(OR(Y90="Cancelled",AA90="Cancelled"),"Cancelled",IF(OR(AA90="Completed / Handover",W90&lt;&gt;"",X90&gt;=100),"Completed — on track",IF(L90="Remaining",IF(S90="",IF(V90="","No planned date",IF(TODAY()&gt;V90,"Behind — past planned date",IF(V90-TODAY()&lt;=30,"At risk — close to off track","On track"))),IF(TODAY()&gt;S90,"Behind — award date passed",IF(S90-TODAY()&lt;=30,"At risk — close to off track","On track"))),IF(V90="","No planned date",IF(AND(TODAY()&gt;V90,OR(X90="",X90&lt;100)),"Behind — past end date",IF(AND(R90&lt;&gt;"",V90&lt;&gt;"",X90&lt;&gt;"",(X90&lt;100),((TODAY()-R90)/MAX(V90-R90,1)*100)-X90&gt;15),"Behind — progress lag",IF(AND(V90-TODAY()&lt;=30,V90-TODAY()&gt;=0,OR(X90="",X90&lt;90)),"At risk — close to off track","On track"))))))))</t>
        </is>
      </c>
      <c r="AF90" s="38" t="inlineStr">
        <is>
          <t>IF(OR(E90="",AA90="Completed / Handover",AA90="Cancelled"),"",IF(L90="Remaining",IF(S90&lt;&gt;"",S90-TODAY(),IF(V90="","",V90-TODAY())),IF(V90="","",V90-TODAY())))</t>
        </is>
      </c>
      <c r="AG90" s="36" t="n"/>
      <c r="AH90" s="36" t="n"/>
      <c r="AI90" s="36" t="n"/>
      <c r="AJ90" s="36" t="n"/>
      <c r="AK90" s="36" t="n"/>
      <c r="AL90" s="36" t="n"/>
      <c r="AM90" s="36" t="n"/>
      <c r="AN90" s="36" t="n"/>
      <c r="AO90" s="36" t="n"/>
      <c r="AP90" s="36" t="n"/>
      <c r="AQ90" s="36" t="n"/>
      <c r="AR90" s="40" t="n"/>
      <c r="AS90" s="40" t="n"/>
      <c r="AT90" s="40" t="n"/>
      <c r="AU90" s="38" t="inlineStr">
        <is>
          <t>IF(OR(E90="",AH90=""),"",IF(COUNT(AG90:AG90)=0,"",AH90-LOOKUP(2,1/(AG90:AG90&lt;&gt;""),AG90:AG90)))</t>
        </is>
      </c>
      <c r="AV90" s="38" t="inlineStr">
        <is>
          <t>IF(OR(E90="",AI90=""),"",IF(COUNT(AG90:AH90)=0,"",AI90-LOOKUP(2,1/(AG90:AH90&lt;&gt;""),AG90:AH90)))</t>
        </is>
      </c>
      <c r="AW90" s="38" t="inlineStr">
        <is>
          <t>IF(OR(E90="",AJ90=""),"",IF(COUNT(AG90:AI90)=0,"",AJ90-LOOKUP(2,1/(AG90:AI90&lt;&gt;""),AG90:AI90)))</t>
        </is>
      </c>
      <c r="AX90" s="38" t="inlineStr">
        <is>
          <t>IF(OR(E90="",AK90=""),"",IF(COUNT(AG90:AJ90)=0,"",AK90-LOOKUP(2,1/(AG90:AJ90&lt;&gt;""),AG90:AJ90)))</t>
        </is>
      </c>
      <c r="AY90" s="38" t="inlineStr">
        <is>
          <t>IF(OR(E90="",AL90=""),"",IF(COUNT(AG90:AK90)=0,"",AL90-LOOKUP(2,1/(AG90:AK90&lt;&gt;""),AG90:AK90)))</t>
        </is>
      </c>
      <c r="AZ90" s="38" t="inlineStr">
        <is>
          <t>IF(OR(E90="",AM90=""),"",IF(COUNT(AG90:AL90)=0,"",AM90-LOOKUP(2,1/(AG90:AL90&lt;&gt;""),AG90:AL90)))</t>
        </is>
      </c>
      <c r="BA90" s="38" t="inlineStr">
        <is>
          <t>IF(OR(E90="",AN90=""),"",IF(COUNT(AG90:AM90)=0,"",AN90-LOOKUP(2,1/(AG90:AM90&lt;&gt;""),AG90:AM90)))</t>
        </is>
      </c>
      <c r="BB90" s="38" t="inlineStr">
        <is>
          <t>IF(OR(E90="",AO90=""),"",IF(COUNT(AG90:AN90)=0,"",AO90-LOOKUP(2,1/(AG90:AN90&lt;&gt;""),AG90:AN90)))</t>
        </is>
      </c>
      <c r="BC90" s="38" t="inlineStr">
        <is>
          <t>IF(OR(E90="",AP90=""),"",IF(COUNT(AG90:AO90)=0,"",AP90-LOOKUP(2,1/(AG90:AO90&lt;&gt;""),AG90:AO90)))</t>
        </is>
      </c>
      <c r="BD90" s="38" t="inlineStr">
        <is>
          <t>IF(OR(E90="",AQ90=""),"",IF(COUNT(AG90:AP90)=0,"",AQ90-LOOKUP(2,1/(AG90:AP90&lt;&gt;""),AG90:AP90)))</t>
        </is>
      </c>
      <c r="BE90" s="38" t="inlineStr">
        <is>
          <t>IF(OR(E90="",AR90=""),"",IF(COUNT(AG90:AQ90)=0,"",AR90-LOOKUP(2,1/(AG90:AQ90&lt;&gt;""),AG90:AQ90)))</t>
        </is>
      </c>
      <c r="BF90" s="38" t="inlineStr">
        <is>
          <t>IF(OR(E90="",AS90=""),"",IF(COUNT(AG90:AR90)=0,"",AS90-LOOKUP(2,1/(AG90:AR90&lt;&gt;""),AG90:AR90)))</t>
        </is>
      </c>
      <c r="BG90" s="38" t="inlineStr">
        <is>
          <t>IF(OR(E90="",AT90=""),"",IF(COUNT(AG90:AS90)=0,"",AT90-LOOKUP(2,1/(AG90:AS90&lt;&gt;""),AG90:AS90)))</t>
        </is>
      </c>
      <c r="BH90" s="41" t="inlineStr">
        <is>
          <t>IF(G90="","All_Provinces",IFERROR(VLOOKUP(G90,'07_Lookups'!$A$4:$B$20,2,FALSE),"All_Provinces"))</t>
        </is>
      </c>
      <c r="BI90" s="41" t="inlineStr">
        <is>
          <t>IF(H90="","All_Districts",IFERROR(VLOOKUP(H90,'07_Lookups'!$E$4:$F$42,2,FALSE),"All_Districts"))</t>
        </is>
      </c>
    </row>
    <row r="91" ht="18" customHeight="1">
      <c r="A91" s="32" t="inlineStr">
        <is>
          <t>IF(E91="","",ROW()-3)</t>
        </is>
      </c>
      <c r="B91" s="42" t="n"/>
      <c r="C91" s="42" t="n"/>
      <c r="D91" s="42" t="n"/>
      <c r="E91" s="42" t="n"/>
      <c r="F91" s="42" t="n"/>
      <c r="G91" s="42" t="n"/>
      <c r="H91" s="42" t="n"/>
      <c r="I91" s="42" t="n"/>
      <c r="J91" s="42" t="n"/>
      <c r="K91" s="42" t="n"/>
      <c r="L91" s="42" t="n"/>
      <c r="M91" s="42" t="n"/>
      <c r="N91" s="42" t="n"/>
      <c r="O91" s="42" t="n"/>
      <c r="P91" s="42" t="n"/>
      <c r="Q91" s="43" t="n"/>
      <c r="R91" s="35" t="inlineStr">
        <is>
          <t>IF(AO91="","",AO91)</t>
        </is>
      </c>
      <c r="S91" s="44" t="n"/>
      <c r="T91" s="45" t="n"/>
      <c r="U91" s="44" t="n"/>
      <c r="V91" s="35" t="inlineStr">
        <is>
          <t>IF(U91&lt;&gt;"",U91,IF(OR(R91="",T91=""),"",EDATE(R91,T91)))</t>
        </is>
      </c>
      <c r="W91" s="44" t="n"/>
      <c r="X91" s="45" t="n"/>
      <c r="Y91" s="42" t="n"/>
      <c r="Z91" s="42" t="n"/>
      <c r="AA91" s="32" t="inlineStr">
        <is>
          <t>IF(E91="","",IF(COUNT(AG91:AT91)=0,IF(Y91="","Not started",Y91),SUBSTITUTE(LOOKUP(2,1/(AG91:AT91&lt;&gt;""),$AG$3:$AT$3),"Date: ","")))</t>
        </is>
      </c>
      <c r="AB91" s="38" t="inlineStr">
        <is>
          <t>IF(OR(E91="",COUNT(AG91:AT91)=0),"",TODAY()-LOOKUP(2,1/(AG91:AT91&lt;&gt;""),AG91:AT91))</t>
        </is>
      </c>
      <c r="AC91" s="38" t="inlineStr">
        <is>
          <t>IF(OR(E91="",COUNT(AG91:AT91)&lt;2),"",LOOKUP(2,1/(AG91:AT91&lt;&gt;""),AG91:AT91)-MIN(AG91:AT91))</t>
        </is>
      </c>
      <c r="AD91" s="38" t="inlineStr">
        <is>
          <t>IF(OR(AB91="",AA91="Not started",AA91=""),"",IFERROR(AB91-IF(VLOOKUP(AA91,'04_Status_Pipeline'!$B$3:$E$20,4,FALSE)="",0,VLOOKUP(AA91,'04_Status_Pipeline'!$B$3:$E$20,4,FALSE)),""))</t>
        </is>
      </c>
      <c r="AE91" s="32" t="inlineStr">
        <is>
          <t>IF(E91="","",IF(OR(Y91="Cancelled",AA91="Cancelled"),"Cancelled",IF(OR(AA91="Completed / Handover",W91&lt;&gt;"",X91&gt;=100),"Completed — on track",IF(L91="Remaining",IF(S91="",IF(V91="","No planned date",IF(TODAY()&gt;V91,"Behind — past planned date",IF(V91-TODAY()&lt;=30,"At risk — close to off track","On track"))),IF(TODAY()&gt;S91,"Behind — award date passed",IF(S91-TODAY()&lt;=30,"At risk — close to off track","On track"))),IF(V91="","No planned date",IF(AND(TODAY()&gt;V91,OR(X91="",X91&lt;100)),"Behind — past end date",IF(AND(R91&lt;&gt;"",V91&lt;&gt;"",X91&lt;&gt;"",(X91&lt;100),((TODAY()-R91)/MAX(V91-R91,1)*100)-X91&gt;15),"Behind — progress lag",IF(AND(V91-TODAY()&lt;=30,V91-TODAY()&gt;=0,OR(X91="",X91&lt;90)),"At risk — close to off track","On track"))))))))</t>
        </is>
      </c>
      <c r="AF91" s="38" t="inlineStr">
        <is>
          <t>IF(OR(E91="",AA91="Completed / Handover",AA91="Cancelled"),"",IF(L91="Remaining",IF(S91&lt;&gt;"",S91-TODAY(),IF(V91="","",V91-TODAY())),IF(V91="","",V91-TODAY())))</t>
        </is>
      </c>
      <c r="AG91" s="44" t="n"/>
      <c r="AH91" s="44" t="n"/>
      <c r="AI91" s="44" t="n"/>
      <c r="AJ91" s="44" t="n"/>
      <c r="AK91" s="44" t="n"/>
      <c r="AL91" s="44" t="n"/>
      <c r="AM91" s="44" t="n"/>
      <c r="AN91" s="44" t="n"/>
      <c r="AO91" s="44" t="n"/>
      <c r="AP91" s="44" t="n"/>
      <c r="AQ91" s="44" t="n"/>
      <c r="AR91" s="40" t="n"/>
      <c r="AS91" s="40" t="n"/>
      <c r="AT91" s="40" t="n"/>
      <c r="AU91" s="38" t="inlineStr">
        <is>
          <t>IF(OR(E91="",AH91=""),"",IF(COUNT(AG91:AG91)=0,"",AH91-LOOKUP(2,1/(AG91:AG91&lt;&gt;""),AG91:AG91)))</t>
        </is>
      </c>
      <c r="AV91" s="38" t="inlineStr">
        <is>
          <t>IF(OR(E91="",AI91=""),"",IF(COUNT(AG91:AH91)=0,"",AI91-LOOKUP(2,1/(AG91:AH91&lt;&gt;""),AG91:AH91)))</t>
        </is>
      </c>
      <c r="AW91" s="38" t="inlineStr">
        <is>
          <t>IF(OR(E91="",AJ91=""),"",IF(COUNT(AG91:AI91)=0,"",AJ91-LOOKUP(2,1/(AG91:AI91&lt;&gt;""),AG91:AI91)))</t>
        </is>
      </c>
      <c r="AX91" s="38" t="inlineStr">
        <is>
          <t>IF(OR(E91="",AK91=""),"",IF(COUNT(AG91:AJ91)=0,"",AK91-LOOKUP(2,1/(AG91:AJ91&lt;&gt;""),AG91:AJ91)))</t>
        </is>
      </c>
      <c r="AY91" s="38" t="inlineStr">
        <is>
          <t>IF(OR(E91="",AL91=""),"",IF(COUNT(AG91:AK91)=0,"",AL91-LOOKUP(2,1/(AG91:AK91&lt;&gt;""),AG91:AK91)))</t>
        </is>
      </c>
      <c r="AZ91" s="38" t="inlineStr">
        <is>
          <t>IF(OR(E91="",AM91=""),"",IF(COUNT(AG91:AL91)=0,"",AM91-LOOKUP(2,1/(AG91:AL91&lt;&gt;""),AG91:AL91)))</t>
        </is>
      </c>
      <c r="BA91" s="38" t="inlineStr">
        <is>
          <t>IF(OR(E91="",AN91=""),"",IF(COUNT(AG91:AM91)=0,"",AN91-LOOKUP(2,1/(AG91:AM91&lt;&gt;""),AG91:AM91)))</t>
        </is>
      </c>
      <c r="BB91" s="38" t="inlineStr">
        <is>
          <t>IF(OR(E91="",AO91=""),"",IF(COUNT(AG91:AN91)=0,"",AO91-LOOKUP(2,1/(AG91:AN91&lt;&gt;""),AG91:AN91)))</t>
        </is>
      </c>
      <c r="BC91" s="38" t="inlineStr">
        <is>
          <t>IF(OR(E91="",AP91=""),"",IF(COUNT(AG91:AO91)=0,"",AP91-LOOKUP(2,1/(AG91:AO91&lt;&gt;""),AG91:AO91)))</t>
        </is>
      </c>
      <c r="BD91" s="38" t="inlineStr">
        <is>
          <t>IF(OR(E91="",AQ91=""),"",IF(COUNT(AG91:AP91)=0,"",AQ91-LOOKUP(2,1/(AG91:AP91&lt;&gt;""),AG91:AP91)))</t>
        </is>
      </c>
      <c r="BE91" s="38" t="inlineStr">
        <is>
          <t>IF(OR(E91="",AR91=""),"",IF(COUNT(AG91:AQ91)=0,"",AR91-LOOKUP(2,1/(AG91:AQ91&lt;&gt;""),AG91:AQ91)))</t>
        </is>
      </c>
      <c r="BF91" s="38" t="inlineStr">
        <is>
          <t>IF(OR(E91="",AS91=""),"",IF(COUNT(AG91:AR91)=0,"",AS91-LOOKUP(2,1/(AG91:AR91&lt;&gt;""),AG91:AR91)))</t>
        </is>
      </c>
      <c r="BG91" s="38" t="inlineStr">
        <is>
          <t>IF(OR(E91="",AT91=""),"",IF(COUNT(AG91:AS91)=0,"",AT91-LOOKUP(2,1/(AG91:AS91&lt;&gt;""),AG91:AS91)))</t>
        </is>
      </c>
      <c r="BH91" s="41" t="inlineStr">
        <is>
          <t>IF(G91="","All_Provinces",IFERROR(VLOOKUP(G91,'07_Lookups'!$A$4:$B$20,2,FALSE),"All_Provinces"))</t>
        </is>
      </c>
      <c r="BI91" s="41" t="inlineStr">
        <is>
          <t>IF(H91="","All_Districts",IFERROR(VLOOKUP(H91,'07_Lookups'!$E$4:$F$42,2,FALSE),"All_Districts"))</t>
        </is>
      </c>
    </row>
    <row r="92" ht="18" customHeight="1">
      <c r="A92" s="32" t="inlineStr">
        <is>
          <t>IF(E92="","",ROW()-3)</t>
        </is>
      </c>
      <c r="B92" s="33" t="n"/>
      <c r="C92" s="33" t="n"/>
      <c r="D92" s="33" t="n"/>
      <c r="E92" s="33" t="n"/>
      <c r="F92" s="33" t="n"/>
      <c r="G92" s="33" t="n"/>
      <c r="H92" s="33" t="n"/>
      <c r="I92" s="33" t="n"/>
      <c r="J92" s="33" t="n"/>
      <c r="K92" s="33" t="n"/>
      <c r="L92" s="33" t="n"/>
      <c r="M92" s="33" t="n"/>
      <c r="N92" s="33" t="n"/>
      <c r="O92" s="33" t="n"/>
      <c r="P92" s="33" t="n"/>
      <c r="Q92" s="34" t="n"/>
      <c r="R92" s="35" t="inlineStr">
        <is>
          <t>IF(AO92="","",AO92)</t>
        </is>
      </c>
      <c r="S92" s="36" t="n"/>
      <c r="T92" s="37" t="n"/>
      <c r="U92" s="36" t="n"/>
      <c r="V92" s="35" t="inlineStr">
        <is>
          <t>IF(U92&lt;&gt;"",U92,IF(OR(R92="",T92=""),"",EDATE(R92,T92)))</t>
        </is>
      </c>
      <c r="W92" s="36" t="n"/>
      <c r="X92" s="37" t="n"/>
      <c r="Y92" s="33" t="n"/>
      <c r="Z92" s="33" t="n"/>
      <c r="AA92" s="32" t="inlineStr">
        <is>
          <t>IF(E92="","",IF(COUNT(AG92:AT92)=0,IF(Y92="","Not started",Y92),SUBSTITUTE(LOOKUP(2,1/(AG92:AT92&lt;&gt;""),$AG$3:$AT$3),"Date: ","")))</t>
        </is>
      </c>
      <c r="AB92" s="38" t="inlineStr">
        <is>
          <t>IF(OR(E92="",COUNT(AG92:AT92)=0),"",TODAY()-LOOKUP(2,1/(AG92:AT92&lt;&gt;""),AG92:AT92))</t>
        </is>
      </c>
      <c r="AC92" s="38" t="inlineStr">
        <is>
          <t>IF(OR(E92="",COUNT(AG92:AT92)&lt;2),"",LOOKUP(2,1/(AG92:AT92&lt;&gt;""),AG92:AT92)-MIN(AG92:AT92))</t>
        </is>
      </c>
      <c r="AD92" s="38" t="inlineStr">
        <is>
          <t>IF(OR(AB92="",AA92="Not started",AA92=""),"",IFERROR(AB92-IF(VLOOKUP(AA92,'04_Status_Pipeline'!$B$3:$E$20,4,FALSE)="",0,VLOOKUP(AA92,'04_Status_Pipeline'!$B$3:$E$20,4,FALSE)),""))</t>
        </is>
      </c>
      <c r="AE92" s="32" t="inlineStr">
        <is>
          <t>IF(E92="","",IF(OR(Y92="Cancelled",AA92="Cancelled"),"Cancelled",IF(OR(AA92="Completed / Handover",W92&lt;&gt;"",X92&gt;=100),"Completed — on track",IF(L92="Remaining",IF(S92="",IF(V92="","No planned date",IF(TODAY()&gt;V92,"Behind — past planned date",IF(V92-TODAY()&lt;=30,"At risk — close to off track","On track"))),IF(TODAY()&gt;S92,"Behind — award date passed",IF(S92-TODAY()&lt;=30,"At risk — close to off track","On track"))),IF(V92="","No planned date",IF(AND(TODAY()&gt;V92,OR(X92="",X92&lt;100)),"Behind — past end date",IF(AND(R92&lt;&gt;"",V92&lt;&gt;"",X92&lt;&gt;"",(X92&lt;100),((TODAY()-R92)/MAX(V92-R92,1)*100)-X92&gt;15),"Behind — progress lag",IF(AND(V92-TODAY()&lt;=30,V92-TODAY()&gt;=0,OR(X92="",X92&lt;90)),"At risk — close to off track","On track"))))))))</t>
        </is>
      </c>
      <c r="AF92" s="38" t="inlineStr">
        <is>
          <t>IF(OR(E92="",AA92="Completed / Handover",AA92="Cancelled"),"",IF(L92="Remaining",IF(S92&lt;&gt;"",S92-TODAY(),IF(V92="","",V92-TODAY())),IF(V92="","",V92-TODAY())))</t>
        </is>
      </c>
      <c r="AG92" s="36" t="n"/>
      <c r="AH92" s="36" t="n"/>
      <c r="AI92" s="36" t="n"/>
      <c r="AJ92" s="36" t="n"/>
      <c r="AK92" s="36" t="n"/>
      <c r="AL92" s="36" t="n"/>
      <c r="AM92" s="36" t="n"/>
      <c r="AN92" s="36" t="n"/>
      <c r="AO92" s="36" t="n"/>
      <c r="AP92" s="36" t="n"/>
      <c r="AQ92" s="36" t="n"/>
      <c r="AR92" s="40" t="n"/>
      <c r="AS92" s="40" t="n"/>
      <c r="AT92" s="40" t="n"/>
      <c r="AU92" s="38" t="inlineStr">
        <is>
          <t>IF(OR(E92="",AH92=""),"",IF(COUNT(AG92:AG92)=0,"",AH92-LOOKUP(2,1/(AG92:AG92&lt;&gt;""),AG92:AG92)))</t>
        </is>
      </c>
      <c r="AV92" s="38" t="inlineStr">
        <is>
          <t>IF(OR(E92="",AI92=""),"",IF(COUNT(AG92:AH92)=0,"",AI92-LOOKUP(2,1/(AG92:AH92&lt;&gt;""),AG92:AH92)))</t>
        </is>
      </c>
      <c r="AW92" s="38" t="inlineStr">
        <is>
          <t>IF(OR(E92="",AJ92=""),"",IF(COUNT(AG92:AI92)=0,"",AJ92-LOOKUP(2,1/(AG92:AI92&lt;&gt;""),AG92:AI92)))</t>
        </is>
      </c>
      <c r="AX92" s="38" t="inlineStr">
        <is>
          <t>IF(OR(E92="",AK92=""),"",IF(COUNT(AG92:AJ92)=0,"",AK92-LOOKUP(2,1/(AG92:AJ92&lt;&gt;""),AG92:AJ92)))</t>
        </is>
      </c>
      <c r="AY92" s="38" t="inlineStr">
        <is>
          <t>IF(OR(E92="",AL92=""),"",IF(COUNT(AG92:AK92)=0,"",AL92-LOOKUP(2,1/(AG92:AK92&lt;&gt;""),AG92:AK92)))</t>
        </is>
      </c>
      <c r="AZ92" s="38" t="inlineStr">
        <is>
          <t>IF(OR(E92="",AM92=""),"",IF(COUNT(AG92:AL92)=0,"",AM92-LOOKUP(2,1/(AG92:AL92&lt;&gt;""),AG92:AL92)))</t>
        </is>
      </c>
      <c r="BA92" s="38" t="inlineStr">
        <is>
          <t>IF(OR(E92="",AN92=""),"",IF(COUNT(AG92:AM92)=0,"",AN92-LOOKUP(2,1/(AG92:AM92&lt;&gt;""),AG92:AM92)))</t>
        </is>
      </c>
      <c r="BB92" s="38" t="inlineStr">
        <is>
          <t>IF(OR(E92="",AO92=""),"",IF(COUNT(AG92:AN92)=0,"",AO92-LOOKUP(2,1/(AG92:AN92&lt;&gt;""),AG92:AN92)))</t>
        </is>
      </c>
      <c r="BC92" s="38" t="inlineStr">
        <is>
          <t>IF(OR(E92="",AP92=""),"",IF(COUNT(AG92:AO92)=0,"",AP92-LOOKUP(2,1/(AG92:AO92&lt;&gt;""),AG92:AO92)))</t>
        </is>
      </c>
      <c r="BD92" s="38" t="inlineStr">
        <is>
          <t>IF(OR(E92="",AQ92=""),"",IF(COUNT(AG92:AP92)=0,"",AQ92-LOOKUP(2,1/(AG92:AP92&lt;&gt;""),AG92:AP92)))</t>
        </is>
      </c>
      <c r="BE92" s="38" t="inlineStr">
        <is>
          <t>IF(OR(E92="",AR92=""),"",IF(COUNT(AG92:AQ92)=0,"",AR92-LOOKUP(2,1/(AG92:AQ92&lt;&gt;""),AG92:AQ92)))</t>
        </is>
      </c>
      <c r="BF92" s="38" t="inlineStr">
        <is>
          <t>IF(OR(E92="",AS92=""),"",IF(COUNT(AG92:AR92)=0,"",AS92-LOOKUP(2,1/(AG92:AR92&lt;&gt;""),AG92:AR92)))</t>
        </is>
      </c>
      <c r="BG92" s="38" t="inlineStr">
        <is>
          <t>IF(OR(E92="",AT92=""),"",IF(COUNT(AG92:AS92)=0,"",AT92-LOOKUP(2,1/(AG92:AS92&lt;&gt;""),AG92:AS92)))</t>
        </is>
      </c>
      <c r="BH92" s="41" t="inlineStr">
        <is>
          <t>IF(G92="","All_Provinces",IFERROR(VLOOKUP(G92,'07_Lookups'!$A$4:$B$20,2,FALSE),"All_Provinces"))</t>
        </is>
      </c>
      <c r="BI92" s="41" t="inlineStr">
        <is>
          <t>IF(H92="","All_Districts",IFERROR(VLOOKUP(H92,'07_Lookups'!$E$4:$F$42,2,FALSE),"All_Districts"))</t>
        </is>
      </c>
    </row>
    <row r="93" ht="18" customHeight="1">
      <c r="A93" s="32" t="inlineStr">
        <is>
          <t>IF(E93="","",ROW()-3)</t>
        </is>
      </c>
      <c r="B93" s="42" t="n"/>
      <c r="C93" s="42" t="n"/>
      <c r="D93" s="42" t="n"/>
      <c r="E93" s="42" t="n"/>
      <c r="F93" s="42" t="n"/>
      <c r="G93" s="42" t="n"/>
      <c r="H93" s="42" t="n"/>
      <c r="I93" s="42" t="n"/>
      <c r="J93" s="42" t="n"/>
      <c r="K93" s="42" t="n"/>
      <c r="L93" s="42" t="n"/>
      <c r="M93" s="42" t="n"/>
      <c r="N93" s="42" t="n"/>
      <c r="O93" s="42" t="n"/>
      <c r="P93" s="42" t="n"/>
      <c r="Q93" s="43" t="n"/>
      <c r="R93" s="35" t="inlineStr">
        <is>
          <t>IF(AO93="","",AO93)</t>
        </is>
      </c>
      <c r="S93" s="44" t="n"/>
      <c r="T93" s="45" t="n"/>
      <c r="U93" s="44" t="n"/>
      <c r="V93" s="35" t="inlineStr">
        <is>
          <t>IF(U93&lt;&gt;"",U93,IF(OR(R93="",T93=""),"",EDATE(R93,T93)))</t>
        </is>
      </c>
      <c r="W93" s="44" t="n"/>
      <c r="X93" s="45" t="n"/>
      <c r="Y93" s="42" t="n"/>
      <c r="Z93" s="42" t="n"/>
      <c r="AA93" s="32" t="inlineStr">
        <is>
          <t>IF(E93="","",IF(COUNT(AG93:AT93)=0,IF(Y93="","Not started",Y93),SUBSTITUTE(LOOKUP(2,1/(AG93:AT93&lt;&gt;""),$AG$3:$AT$3),"Date: ","")))</t>
        </is>
      </c>
      <c r="AB93" s="38" t="inlineStr">
        <is>
          <t>IF(OR(E93="",COUNT(AG93:AT93)=0),"",TODAY()-LOOKUP(2,1/(AG93:AT93&lt;&gt;""),AG93:AT93))</t>
        </is>
      </c>
      <c r="AC93" s="38" t="inlineStr">
        <is>
          <t>IF(OR(E93="",COUNT(AG93:AT93)&lt;2),"",LOOKUP(2,1/(AG93:AT93&lt;&gt;""),AG93:AT93)-MIN(AG93:AT93))</t>
        </is>
      </c>
      <c r="AD93" s="38" t="inlineStr">
        <is>
          <t>IF(OR(AB93="",AA93="Not started",AA93=""),"",IFERROR(AB93-IF(VLOOKUP(AA93,'04_Status_Pipeline'!$B$3:$E$20,4,FALSE)="",0,VLOOKUP(AA93,'04_Status_Pipeline'!$B$3:$E$20,4,FALSE)),""))</t>
        </is>
      </c>
      <c r="AE93" s="32" t="inlineStr">
        <is>
          <t>IF(E93="","",IF(OR(Y93="Cancelled",AA93="Cancelled"),"Cancelled",IF(OR(AA93="Completed / Handover",W93&lt;&gt;"",X93&gt;=100),"Completed — on track",IF(L93="Remaining",IF(S93="",IF(V93="","No planned date",IF(TODAY()&gt;V93,"Behind — past planned date",IF(V93-TODAY()&lt;=30,"At risk — close to off track","On track"))),IF(TODAY()&gt;S93,"Behind — award date passed",IF(S93-TODAY()&lt;=30,"At risk — close to off track","On track"))),IF(V93="","No planned date",IF(AND(TODAY()&gt;V93,OR(X93="",X93&lt;100)),"Behind — past end date",IF(AND(R93&lt;&gt;"",V93&lt;&gt;"",X93&lt;&gt;"",(X93&lt;100),((TODAY()-R93)/MAX(V93-R93,1)*100)-X93&gt;15),"Behind — progress lag",IF(AND(V93-TODAY()&lt;=30,V93-TODAY()&gt;=0,OR(X93="",X93&lt;90)),"At risk — close to off track","On track"))))))))</t>
        </is>
      </c>
      <c r="AF93" s="38" t="inlineStr">
        <is>
          <t>IF(OR(E93="",AA93="Completed / Handover",AA93="Cancelled"),"",IF(L93="Remaining",IF(S93&lt;&gt;"",S93-TODAY(),IF(V93="","",V93-TODAY())),IF(V93="","",V93-TODAY())))</t>
        </is>
      </c>
      <c r="AG93" s="44" t="n"/>
      <c r="AH93" s="44" t="n"/>
      <c r="AI93" s="44" t="n"/>
      <c r="AJ93" s="44" t="n"/>
      <c r="AK93" s="44" t="n"/>
      <c r="AL93" s="44" t="n"/>
      <c r="AM93" s="44" t="n"/>
      <c r="AN93" s="44" t="n"/>
      <c r="AO93" s="44" t="n"/>
      <c r="AP93" s="44" t="n"/>
      <c r="AQ93" s="44" t="n"/>
      <c r="AR93" s="40" t="n"/>
      <c r="AS93" s="40" t="n"/>
      <c r="AT93" s="40" t="n"/>
      <c r="AU93" s="38" t="inlineStr">
        <is>
          <t>IF(OR(E93="",AH93=""),"",IF(COUNT(AG93:AG93)=0,"",AH93-LOOKUP(2,1/(AG93:AG93&lt;&gt;""),AG93:AG93)))</t>
        </is>
      </c>
      <c r="AV93" s="38" t="inlineStr">
        <is>
          <t>IF(OR(E93="",AI93=""),"",IF(COUNT(AG93:AH93)=0,"",AI93-LOOKUP(2,1/(AG93:AH93&lt;&gt;""),AG93:AH93)))</t>
        </is>
      </c>
      <c r="AW93" s="38" t="inlineStr">
        <is>
          <t>IF(OR(E93="",AJ93=""),"",IF(COUNT(AG93:AI93)=0,"",AJ93-LOOKUP(2,1/(AG93:AI93&lt;&gt;""),AG93:AI93)))</t>
        </is>
      </c>
      <c r="AX93" s="38" t="inlineStr">
        <is>
          <t>IF(OR(E93="",AK93=""),"",IF(COUNT(AG93:AJ93)=0,"",AK93-LOOKUP(2,1/(AG93:AJ93&lt;&gt;""),AG93:AJ93)))</t>
        </is>
      </c>
      <c r="AY93" s="38" t="inlineStr">
        <is>
          <t>IF(OR(E93="",AL93=""),"",IF(COUNT(AG93:AK93)=0,"",AL93-LOOKUP(2,1/(AG93:AK93&lt;&gt;""),AG93:AK93)))</t>
        </is>
      </c>
      <c r="AZ93" s="38" t="inlineStr">
        <is>
          <t>IF(OR(E93="",AM93=""),"",IF(COUNT(AG93:AL93)=0,"",AM93-LOOKUP(2,1/(AG93:AL93&lt;&gt;""),AG93:AL93)))</t>
        </is>
      </c>
      <c r="BA93" s="38" t="inlineStr">
        <is>
          <t>IF(OR(E93="",AN93=""),"",IF(COUNT(AG93:AM93)=0,"",AN93-LOOKUP(2,1/(AG93:AM93&lt;&gt;""),AG93:AM93)))</t>
        </is>
      </c>
      <c r="BB93" s="38" t="inlineStr">
        <is>
          <t>IF(OR(E93="",AO93=""),"",IF(COUNT(AG93:AN93)=0,"",AO93-LOOKUP(2,1/(AG93:AN93&lt;&gt;""),AG93:AN93)))</t>
        </is>
      </c>
      <c r="BC93" s="38" t="inlineStr">
        <is>
          <t>IF(OR(E93="",AP93=""),"",IF(COUNT(AG93:AO93)=0,"",AP93-LOOKUP(2,1/(AG93:AO93&lt;&gt;""),AG93:AO93)))</t>
        </is>
      </c>
      <c r="BD93" s="38" t="inlineStr">
        <is>
          <t>IF(OR(E93="",AQ93=""),"",IF(COUNT(AG93:AP93)=0,"",AQ93-LOOKUP(2,1/(AG93:AP93&lt;&gt;""),AG93:AP93)))</t>
        </is>
      </c>
      <c r="BE93" s="38" t="inlineStr">
        <is>
          <t>IF(OR(E93="",AR93=""),"",IF(COUNT(AG93:AQ93)=0,"",AR93-LOOKUP(2,1/(AG93:AQ93&lt;&gt;""),AG93:AQ93)))</t>
        </is>
      </c>
      <c r="BF93" s="38" t="inlineStr">
        <is>
          <t>IF(OR(E93="",AS93=""),"",IF(COUNT(AG93:AR93)=0,"",AS93-LOOKUP(2,1/(AG93:AR93&lt;&gt;""),AG93:AR93)))</t>
        </is>
      </c>
      <c r="BG93" s="38" t="inlineStr">
        <is>
          <t>IF(OR(E93="",AT93=""),"",IF(COUNT(AG93:AS93)=0,"",AT93-LOOKUP(2,1/(AG93:AS93&lt;&gt;""),AG93:AS93)))</t>
        </is>
      </c>
      <c r="BH93" s="41" t="inlineStr">
        <is>
          <t>IF(G93="","All_Provinces",IFERROR(VLOOKUP(G93,'07_Lookups'!$A$4:$B$20,2,FALSE),"All_Provinces"))</t>
        </is>
      </c>
      <c r="BI93" s="41" t="inlineStr">
        <is>
          <t>IF(H93="","All_Districts",IFERROR(VLOOKUP(H93,'07_Lookups'!$E$4:$F$42,2,FALSE),"All_Districts"))</t>
        </is>
      </c>
    </row>
    <row r="94" ht="18" customHeight="1">
      <c r="A94" s="32" t="inlineStr">
        <is>
          <t>IF(E94="","",ROW()-3)</t>
        </is>
      </c>
      <c r="B94" s="33" t="n"/>
      <c r="C94" s="33" t="n"/>
      <c r="D94" s="33" t="n"/>
      <c r="E94" s="33" t="n"/>
      <c r="F94" s="33" t="n"/>
      <c r="G94" s="33" t="n"/>
      <c r="H94" s="33" t="n"/>
      <c r="I94" s="33" t="n"/>
      <c r="J94" s="33" t="n"/>
      <c r="K94" s="33" t="n"/>
      <c r="L94" s="33" t="n"/>
      <c r="M94" s="33" t="n"/>
      <c r="N94" s="33" t="n"/>
      <c r="O94" s="33" t="n"/>
      <c r="P94" s="33" t="n"/>
      <c r="Q94" s="34" t="n"/>
      <c r="R94" s="35" t="inlineStr">
        <is>
          <t>IF(AO94="","",AO94)</t>
        </is>
      </c>
      <c r="S94" s="36" t="n"/>
      <c r="T94" s="37" t="n"/>
      <c r="U94" s="36" t="n"/>
      <c r="V94" s="35" t="inlineStr">
        <is>
          <t>IF(U94&lt;&gt;"",U94,IF(OR(R94="",T94=""),"",EDATE(R94,T94)))</t>
        </is>
      </c>
      <c r="W94" s="36" t="n"/>
      <c r="X94" s="37" t="n"/>
      <c r="Y94" s="33" t="n"/>
      <c r="Z94" s="33" t="n"/>
      <c r="AA94" s="32" t="inlineStr">
        <is>
          <t>IF(E94="","",IF(COUNT(AG94:AT94)=0,IF(Y94="","Not started",Y94),SUBSTITUTE(LOOKUP(2,1/(AG94:AT94&lt;&gt;""),$AG$3:$AT$3),"Date: ","")))</t>
        </is>
      </c>
      <c r="AB94" s="38" t="inlineStr">
        <is>
          <t>IF(OR(E94="",COUNT(AG94:AT94)=0),"",TODAY()-LOOKUP(2,1/(AG94:AT94&lt;&gt;""),AG94:AT94))</t>
        </is>
      </c>
      <c r="AC94" s="38" t="inlineStr">
        <is>
          <t>IF(OR(E94="",COUNT(AG94:AT94)&lt;2),"",LOOKUP(2,1/(AG94:AT94&lt;&gt;""),AG94:AT94)-MIN(AG94:AT94))</t>
        </is>
      </c>
      <c r="AD94" s="38" t="inlineStr">
        <is>
          <t>IF(OR(AB94="",AA94="Not started",AA94=""),"",IFERROR(AB94-IF(VLOOKUP(AA94,'04_Status_Pipeline'!$B$3:$E$20,4,FALSE)="",0,VLOOKUP(AA94,'04_Status_Pipeline'!$B$3:$E$20,4,FALSE)),""))</t>
        </is>
      </c>
      <c r="AE94" s="32" t="inlineStr">
        <is>
          <t>IF(E94="","",IF(OR(Y94="Cancelled",AA94="Cancelled"),"Cancelled",IF(OR(AA94="Completed / Handover",W94&lt;&gt;"",X94&gt;=100),"Completed — on track",IF(L94="Remaining",IF(S94="",IF(V94="","No planned date",IF(TODAY()&gt;V94,"Behind — past planned date",IF(V94-TODAY()&lt;=30,"At risk — close to off track","On track"))),IF(TODAY()&gt;S94,"Behind — award date passed",IF(S94-TODAY()&lt;=30,"At risk — close to off track","On track"))),IF(V94="","No planned date",IF(AND(TODAY()&gt;V94,OR(X94="",X94&lt;100)),"Behind — past end date",IF(AND(R94&lt;&gt;"",V94&lt;&gt;"",X94&lt;&gt;"",(X94&lt;100),((TODAY()-R94)/MAX(V94-R94,1)*100)-X94&gt;15),"Behind — progress lag",IF(AND(V94-TODAY()&lt;=30,V94-TODAY()&gt;=0,OR(X94="",X94&lt;90)),"At risk — close to off track","On track"))))))))</t>
        </is>
      </c>
      <c r="AF94" s="38" t="inlineStr">
        <is>
          <t>IF(OR(E94="",AA94="Completed / Handover",AA94="Cancelled"),"",IF(L94="Remaining",IF(S94&lt;&gt;"",S94-TODAY(),IF(V94="","",V94-TODAY())),IF(V94="","",V94-TODAY())))</t>
        </is>
      </c>
      <c r="AG94" s="36" t="n"/>
      <c r="AH94" s="36" t="n"/>
      <c r="AI94" s="36" t="n"/>
      <c r="AJ94" s="36" t="n"/>
      <c r="AK94" s="36" t="n"/>
      <c r="AL94" s="36" t="n"/>
      <c r="AM94" s="36" t="n"/>
      <c r="AN94" s="36" t="n"/>
      <c r="AO94" s="36" t="n"/>
      <c r="AP94" s="36" t="n"/>
      <c r="AQ94" s="36" t="n"/>
      <c r="AR94" s="40" t="n"/>
      <c r="AS94" s="40" t="n"/>
      <c r="AT94" s="40" t="n"/>
      <c r="AU94" s="38" t="inlineStr">
        <is>
          <t>IF(OR(E94="",AH94=""),"",IF(COUNT(AG94:AG94)=0,"",AH94-LOOKUP(2,1/(AG94:AG94&lt;&gt;""),AG94:AG94)))</t>
        </is>
      </c>
      <c r="AV94" s="38" t="inlineStr">
        <is>
          <t>IF(OR(E94="",AI94=""),"",IF(COUNT(AG94:AH94)=0,"",AI94-LOOKUP(2,1/(AG94:AH94&lt;&gt;""),AG94:AH94)))</t>
        </is>
      </c>
      <c r="AW94" s="38" t="inlineStr">
        <is>
          <t>IF(OR(E94="",AJ94=""),"",IF(COUNT(AG94:AI94)=0,"",AJ94-LOOKUP(2,1/(AG94:AI94&lt;&gt;""),AG94:AI94)))</t>
        </is>
      </c>
      <c r="AX94" s="38" t="inlineStr">
        <is>
          <t>IF(OR(E94="",AK94=""),"",IF(COUNT(AG94:AJ94)=0,"",AK94-LOOKUP(2,1/(AG94:AJ94&lt;&gt;""),AG94:AJ94)))</t>
        </is>
      </c>
      <c r="AY94" s="38" t="inlineStr">
        <is>
          <t>IF(OR(E94="",AL94=""),"",IF(COUNT(AG94:AK94)=0,"",AL94-LOOKUP(2,1/(AG94:AK94&lt;&gt;""),AG94:AK94)))</t>
        </is>
      </c>
      <c r="AZ94" s="38" t="inlineStr">
        <is>
          <t>IF(OR(E94="",AM94=""),"",IF(COUNT(AG94:AL94)=0,"",AM94-LOOKUP(2,1/(AG94:AL94&lt;&gt;""),AG94:AL94)))</t>
        </is>
      </c>
      <c r="BA94" s="38" t="inlineStr">
        <is>
          <t>IF(OR(E94="",AN94=""),"",IF(COUNT(AG94:AM94)=0,"",AN94-LOOKUP(2,1/(AG94:AM94&lt;&gt;""),AG94:AM94)))</t>
        </is>
      </c>
      <c r="BB94" s="38" t="inlineStr">
        <is>
          <t>IF(OR(E94="",AO94=""),"",IF(COUNT(AG94:AN94)=0,"",AO94-LOOKUP(2,1/(AG94:AN94&lt;&gt;""),AG94:AN94)))</t>
        </is>
      </c>
      <c r="BC94" s="38" t="inlineStr">
        <is>
          <t>IF(OR(E94="",AP94=""),"",IF(COUNT(AG94:AO94)=0,"",AP94-LOOKUP(2,1/(AG94:AO94&lt;&gt;""),AG94:AO94)))</t>
        </is>
      </c>
      <c r="BD94" s="38" t="inlineStr">
        <is>
          <t>IF(OR(E94="",AQ94=""),"",IF(COUNT(AG94:AP94)=0,"",AQ94-LOOKUP(2,1/(AG94:AP94&lt;&gt;""),AG94:AP94)))</t>
        </is>
      </c>
      <c r="BE94" s="38" t="inlineStr">
        <is>
          <t>IF(OR(E94="",AR94=""),"",IF(COUNT(AG94:AQ94)=0,"",AR94-LOOKUP(2,1/(AG94:AQ94&lt;&gt;""),AG94:AQ94)))</t>
        </is>
      </c>
      <c r="BF94" s="38" t="inlineStr">
        <is>
          <t>IF(OR(E94="",AS94=""),"",IF(COUNT(AG94:AR94)=0,"",AS94-LOOKUP(2,1/(AG94:AR94&lt;&gt;""),AG94:AR94)))</t>
        </is>
      </c>
      <c r="BG94" s="38" t="inlineStr">
        <is>
          <t>IF(OR(E94="",AT94=""),"",IF(COUNT(AG94:AS94)=0,"",AT94-LOOKUP(2,1/(AG94:AS94&lt;&gt;""),AG94:AS94)))</t>
        </is>
      </c>
      <c r="BH94" s="41" t="inlineStr">
        <is>
          <t>IF(G94="","All_Provinces",IFERROR(VLOOKUP(G94,'07_Lookups'!$A$4:$B$20,2,FALSE),"All_Provinces"))</t>
        </is>
      </c>
      <c r="BI94" s="41" t="inlineStr">
        <is>
          <t>IF(H94="","All_Districts",IFERROR(VLOOKUP(H94,'07_Lookups'!$E$4:$F$42,2,FALSE),"All_Districts"))</t>
        </is>
      </c>
    </row>
    <row r="95" ht="18" customHeight="1">
      <c r="A95" s="32" t="inlineStr">
        <is>
          <t>IF(E95="","",ROW()-3)</t>
        </is>
      </c>
      <c r="B95" s="42" t="n"/>
      <c r="C95" s="42" t="n"/>
      <c r="D95" s="42" t="n"/>
      <c r="E95" s="42" t="n"/>
      <c r="F95" s="42" t="n"/>
      <c r="G95" s="42" t="n"/>
      <c r="H95" s="42" t="n"/>
      <c r="I95" s="42" t="n"/>
      <c r="J95" s="42" t="n"/>
      <c r="K95" s="42" t="n"/>
      <c r="L95" s="42" t="n"/>
      <c r="M95" s="42" t="n"/>
      <c r="N95" s="42" t="n"/>
      <c r="O95" s="42" t="n"/>
      <c r="P95" s="42" t="n"/>
      <c r="Q95" s="43" t="n"/>
      <c r="R95" s="35" t="inlineStr">
        <is>
          <t>IF(AO95="","",AO95)</t>
        </is>
      </c>
      <c r="S95" s="44" t="n"/>
      <c r="T95" s="45" t="n"/>
      <c r="U95" s="44" t="n"/>
      <c r="V95" s="35" t="inlineStr">
        <is>
          <t>IF(U95&lt;&gt;"",U95,IF(OR(R95="",T95=""),"",EDATE(R95,T95)))</t>
        </is>
      </c>
      <c r="W95" s="44" t="n"/>
      <c r="X95" s="45" t="n"/>
      <c r="Y95" s="42" t="n"/>
      <c r="Z95" s="42" t="n"/>
      <c r="AA95" s="32" t="inlineStr">
        <is>
          <t>IF(E95="","",IF(COUNT(AG95:AT95)=0,IF(Y95="","Not started",Y95),SUBSTITUTE(LOOKUP(2,1/(AG95:AT95&lt;&gt;""),$AG$3:$AT$3),"Date: ","")))</t>
        </is>
      </c>
      <c r="AB95" s="38" t="inlineStr">
        <is>
          <t>IF(OR(E95="",COUNT(AG95:AT95)=0),"",TODAY()-LOOKUP(2,1/(AG95:AT95&lt;&gt;""),AG95:AT95))</t>
        </is>
      </c>
      <c r="AC95" s="38" t="inlineStr">
        <is>
          <t>IF(OR(E95="",COUNT(AG95:AT95)&lt;2),"",LOOKUP(2,1/(AG95:AT95&lt;&gt;""),AG95:AT95)-MIN(AG95:AT95))</t>
        </is>
      </c>
      <c r="AD95" s="38" t="inlineStr">
        <is>
          <t>IF(OR(AB95="",AA95="Not started",AA95=""),"",IFERROR(AB95-IF(VLOOKUP(AA95,'04_Status_Pipeline'!$B$3:$E$20,4,FALSE)="",0,VLOOKUP(AA95,'04_Status_Pipeline'!$B$3:$E$20,4,FALSE)),""))</t>
        </is>
      </c>
      <c r="AE95" s="32" t="inlineStr">
        <is>
          <t>IF(E95="","",IF(OR(Y95="Cancelled",AA95="Cancelled"),"Cancelled",IF(OR(AA95="Completed / Handover",W95&lt;&gt;"",X95&gt;=100),"Completed — on track",IF(L95="Remaining",IF(S95="",IF(V95="","No planned date",IF(TODAY()&gt;V95,"Behind — past planned date",IF(V95-TODAY()&lt;=30,"At risk — close to off track","On track"))),IF(TODAY()&gt;S95,"Behind — award date passed",IF(S95-TODAY()&lt;=30,"At risk — close to off track","On track"))),IF(V95="","No planned date",IF(AND(TODAY()&gt;V95,OR(X95="",X95&lt;100)),"Behind — past end date",IF(AND(R95&lt;&gt;"",V95&lt;&gt;"",X95&lt;&gt;"",(X95&lt;100),((TODAY()-R95)/MAX(V95-R95,1)*100)-X95&gt;15),"Behind — progress lag",IF(AND(V95-TODAY()&lt;=30,V95-TODAY()&gt;=0,OR(X95="",X95&lt;90)),"At risk — close to off track","On track"))))))))</t>
        </is>
      </c>
      <c r="AF95" s="38" t="inlineStr">
        <is>
          <t>IF(OR(E95="",AA95="Completed / Handover",AA95="Cancelled"),"",IF(L95="Remaining",IF(S95&lt;&gt;"",S95-TODAY(),IF(V95="","",V95-TODAY())),IF(V95="","",V95-TODAY())))</t>
        </is>
      </c>
      <c r="AG95" s="44" t="n"/>
      <c r="AH95" s="44" t="n"/>
      <c r="AI95" s="44" t="n"/>
      <c r="AJ95" s="44" t="n"/>
      <c r="AK95" s="44" t="n"/>
      <c r="AL95" s="44" t="n"/>
      <c r="AM95" s="44" t="n"/>
      <c r="AN95" s="44" t="n"/>
      <c r="AO95" s="44" t="n"/>
      <c r="AP95" s="44" t="n"/>
      <c r="AQ95" s="44" t="n"/>
      <c r="AR95" s="40" t="n"/>
      <c r="AS95" s="40" t="n"/>
      <c r="AT95" s="40" t="n"/>
      <c r="AU95" s="38" t="inlineStr">
        <is>
          <t>IF(OR(E95="",AH95=""),"",IF(COUNT(AG95:AG95)=0,"",AH95-LOOKUP(2,1/(AG95:AG95&lt;&gt;""),AG95:AG95)))</t>
        </is>
      </c>
      <c r="AV95" s="38" t="inlineStr">
        <is>
          <t>IF(OR(E95="",AI95=""),"",IF(COUNT(AG95:AH95)=0,"",AI95-LOOKUP(2,1/(AG95:AH95&lt;&gt;""),AG95:AH95)))</t>
        </is>
      </c>
      <c r="AW95" s="38" t="inlineStr">
        <is>
          <t>IF(OR(E95="",AJ95=""),"",IF(COUNT(AG95:AI95)=0,"",AJ95-LOOKUP(2,1/(AG95:AI95&lt;&gt;""),AG95:AI95)))</t>
        </is>
      </c>
      <c r="AX95" s="38" t="inlineStr">
        <is>
          <t>IF(OR(E95="",AK95=""),"",IF(COUNT(AG95:AJ95)=0,"",AK95-LOOKUP(2,1/(AG95:AJ95&lt;&gt;""),AG95:AJ95)))</t>
        </is>
      </c>
      <c r="AY95" s="38" t="inlineStr">
        <is>
          <t>IF(OR(E95="",AL95=""),"",IF(COUNT(AG95:AK95)=0,"",AL95-LOOKUP(2,1/(AG95:AK95&lt;&gt;""),AG95:AK95)))</t>
        </is>
      </c>
      <c r="AZ95" s="38" t="inlineStr">
        <is>
          <t>IF(OR(E95="",AM95=""),"",IF(COUNT(AG95:AL95)=0,"",AM95-LOOKUP(2,1/(AG95:AL95&lt;&gt;""),AG95:AL95)))</t>
        </is>
      </c>
      <c r="BA95" s="38" t="inlineStr">
        <is>
          <t>IF(OR(E95="",AN95=""),"",IF(COUNT(AG95:AM95)=0,"",AN95-LOOKUP(2,1/(AG95:AM95&lt;&gt;""),AG95:AM95)))</t>
        </is>
      </c>
      <c r="BB95" s="38" t="inlineStr">
        <is>
          <t>IF(OR(E95="",AO95=""),"",IF(COUNT(AG95:AN95)=0,"",AO95-LOOKUP(2,1/(AG95:AN95&lt;&gt;""),AG95:AN95)))</t>
        </is>
      </c>
      <c r="BC95" s="38" t="inlineStr">
        <is>
          <t>IF(OR(E95="",AP95=""),"",IF(COUNT(AG95:AO95)=0,"",AP95-LOOKUP(2,1/(AG95:AO95&lt;&gt;""),AG95:AO95)))</t>
        </is>
      </c>
      <c r="BD95" s="38" t="inlineStr">
        <is>
          <t>IF(OR(E95="",AQ95=""),"",IF(COUNT(AG95:AP95)=0,"",AQ95-LOOKUP(2,1/(AG95:AP95&lt;&gt;""),AG95:AP95)))</t>
        </is>
      </c>
      <c r="BE95" s="38" t="inlineStr">
        <is>
          <t>IF(OR(E95="",AR95=""),"",IF(COUNT(AG95:AQ95)=0,"",AR95-LOOKUP(2,1/(AG95:AQ95&lt;&gt;""),AG95:AQ95)))</t>
        </is>
      </c>
      <c r="BF95" s="38" t="inlineStr">
        <is>
          <t>IF(OR(E95="",AS95=""),"",IF(COUNT(AG95:AR95)=0,"",AS95-LOOKUP(2,1/(AG95:AR95&lt;&gt;""),AG95:AR95)))</t>
        </is>
      </c>
      <c r="BG95" s="38" t="inlineStr">
        <is>
          <t>IF(OR(E95="",AT95=""),"",IF(COUNT(AG95:AS95)=0,"",AT95-LOOKUP(2,1/(AG95:AS95&lt;&gt;""),AG95:AS95)))</t>
        </is>
      </c>
      <c r="BH95" s="41" t="inlineStr">
        <is>
          <t>IF(G95="","All_Provinces",IFERROR(VLOOKUP(G95,'07_Lookups'!$A$4:$B$20,2,FALSE),"All_Provinces"))</t>
        </is>
      </c>
      <c r="BI95" s="41" t="inlineStr">
        <is>
          <t>IF(H95="","All_Districts",IFERROR(VLOOKUP(H95,'07_Lookups'!$E$4:$F$42,2,FALSE),"All_Districts"))</t>
        </is>
      </c>
    </row>
    <row r="96" ht="18" customHeight="1">
      <c r="A96" s="32" t="inlineStr">
        <is>
          <t>IF(E96="","",ROW()-3)</t>
        </is>
      </c>
      <c r="B96" s="33" t="n"/>
      <c r="C96" s="33" t="n"/>
      <c r="D96" s="33" t="n"/>
      <c r="E96" s="33" t="n"/>
      <c r="F96" s="33" t="n"/>
      <c r="G96" s="33" t="n"/>
      <c r="H96" s="33" t="n"/>
      <c r="I96" s="33" t="n"/>
      <c r="J96" s="33" t="n"/>
      <c r="K96" s="33" t="n"/>
      <c r="L96" s="33" t="n"/>
      <c r="M96" s="33" t="n"/>
      <c r="N96" s="33" t="n"/>
      <c r="O96" s="33" t="n"/>
      <c r="P96" s="33" t="n"/>
      <c r="Q96" s="34" t="n"/>
      <c r="R96" s="35" t="inlineStr">
        <is>
          <t>IF(AO96="","",AO96)</t>
        </is>
      </c>
      <c r="S96" s="36" t="n"/>
      <c r="T96" s="37" t="n"/>
      <c r="U96" s="36" t="n"/>
      <c r="V96" s="35" t="inlineStr">
        <is>
          <t>IF(U96&lt;&gt;"",U96,IF(OR(R96="",T96=""),"",EDATE(R96,T96)))</t>
        </is>
      </c>
      <c r="W96" s="36" t="n"/>
      <c r="X96" s="37" t="n"/>
      <c r="Y96" s="33" t="n"/>
      <c r="Z96" s="33" t="n"/>
      <c r="AA96" s="32" t="inlineStr">
        <is>
          <t>IF(E96="","",IF(COUNT(AG96:AT96)=0,IF(Y96="","Not started",Y96),SUBSTITUTE(LOOKUP(2,1/(AG96:AT96&lt;&gt;""),$AG$3:$AT$3),"Date: ","")))</t>
        </is>
      </c>
      <c r="AB96" s="38" t="inlineStr">
        <is>
          <t>IF(OR(E96="",COUNT(AG96:AT96)=0),"",TODAY()-LOOKUP(2,1/(AG96:AT96&lt;&gt;""),AG96:AT96))</t>
        </is>
      </c>
      <c r="AC96" s="38" t="inlineStr">
        <is>
          <t>IF(OR(E96="",COUNT(AG96:AT96)&lt;2),"",LOOKUP(2,1/(AG96:AT96&lt;&gt;""),AG96:AT96)-MIN(AG96:AT96))</t>
        </is>
      </c>
      <c r="AD96" s="38" t="inlineStr">
        <is>
          <t>IF(OR(AB96="",AA96="Not started",AA96=""),"",IFERROR(AB96-IF(VLOOKUP(AA96,'04_Status_Pipeline'!$B$3:$E$20,4,FALSE)="",0,VLOOKUP(AA96,'04_Status_Pipeline'!$B$3:$E$20,4,FALSE)),""))</t>
        </is>
      </c>
      <c r="AE96" s="32" t="inlineStr">
        <is>
          <t>IF(E96="","",IF(OR(Y96="Cancelled",AA96="Cancelled"),"Cancelled",IF(OR(AA96="Completed / Handover",W96&lt;&gt;"",X96&gt;=100),"Completed — on track",IF(L96="Remaining",IF(S96="",IF(V96="","No planned date",IF(TODAY()&gt;V96,"Behind — past planned date",IF(V96-TODAY()&lt;=30,"At risk — close to off track","On track"))),IF(TODAY()&gt;S96,"Behind — award date passed",IF(S96-TODAY()&lt;=30,"At risk — close to off track","On track"))),IF(V96="","No planned date",IF(AND(TODAY()&gt;V96,OR(X96="",X96&lt;100)),"Behind — past end date",IF(AND(R96&lt;&gt;"",V96&lt;&gt;"",X96&lt;&gt;"",(X96&lt;100),((TODAY()-R96)/MAX(V96-R96,1)*100)-X96&gt;15),"Behind — progress lag",IF(AND(V96-TODAY()&lt;=30,V96-TODAY()&gt;=0,OR(X96="",X96&lt;90)),"At risk — close to off track","On track"))))))))</t>
        </is>
      </c>
      <c r="AF96" s="38" t="inlineStr">
        <is>
          <t>IF(OR(E96="",AA96="Completed / Handover",AA96="Cancelled"),"",IF(L96="Remaining",IF(S96&lt;&gt;"",S96-TODAY(),IF(V96="","",V96-TODAY())),IF(V96="","",V96-TODAY())))</t>
        </is>
      </c>
      <c r="AG96" s="36" t="n"/>
      <c r="AH96" s="36" t="n"/>
      <c r="AI96" s="36" t="n"/>
      <c r="AJ96" s="36" t="n"/>
      <c r="AK96" s="36" t="n"/>
      <c r="AL96" s="36" t="n"/>
      <c r="AM96" s="36" t="n"/>
      <c r="AN96" s="36" t="n"/>
      <c r="AO96" s="36" t="n"/>
      <c r="AP96" s="36" t="n"/>
      <c r="AQ96" s="36" t="n"/>
      <c r="AR96" s="40" t="n"/>
      <c r="AS96" s="40" t="n"/>
      <c r="AT96" s="40" t="n"/>
      <c r="AU96" s="38" t="inlineStr">
        <is>
          <t>IF(OR(E96="",AH96=""),"",IF(COUNT(AG96:AG96)=0,"",AH96-LOOKUP(2,1/(AG96:AG96&lt;&gt;""),AG96:AG96)))</t>
        </is>
      </c>
      <c r="AV96" s="38" t="inlineStr">
        <is>
          <t>IF(OR(E96="",AI96=""),"",IF(COUNT(AG96:AH96)=0,"",AI96-LOOKUP(2,1/(AG96:AH96&lt;&gt;""),AG96:AH96)))</t>
        </is>
      </c>
      <c r="AW96" s="38" t="inlineStr">
        <is>
          <t>IF(OR(E96="",AJ96=""),"",IF(COUNT(AG96:AI96)=0,"",AJ96-LOOKUP(2,1/(AG96:AI96&lt;&gt;""),AG96:AI96)))</t>
        </is>
      </c>
      <c r="AX96" s="38" t="inlineStr">
        <is>
          <t>IF(OR(E96="",AK96=""),"",IF(COUNT(AG96:AJ96)=0,"",AK96-LOOKUP(2,1/(AG96:AJ96&lt;&gt;""),AG96:AJ96)))</t>
        </is>
      </c>
      <c r="AY96" s="38" t="inlineStr">
        <is>
          <t>IF(OR(E96="",AL96=""),"",IF(COUNT(AG96:AK96)=0,"",AL96-LOOKUP(2,1/(AG96:AK96&lt;&gt;""),AG96:AK96)))</t>
        </is>
      </c>
      <c r="AZ96" s="38" t="inlineStr">
        <is>
          <t>IF(OR(E96="",AM96=""),"",IF(COUNT(AG96:AL96)=0,"",AM96-LOOKUP(2,1/(AG96:AL96&lt;&gt;""),AG96:AL96)))</t>
        </is>
      </c>
      <c r="BA96" s="38" t="inlineStr">
        <is>
          <t>IF(OR(E96="",AN96=""),"",IF(COUNT(AG96:AM96)=0,"",AN96-LOOKUP(2,1/(AG96:AM96&lt;&gt;""),AG96:AM96)))</t>
        </is>
      </c>
      <c r="BB96" s="38" t="inlineStr">
        <is>
          <t>IF(OR(E96="",AO96=""),"",IF(COUNT(AG96:AN96)=0,"",AO96-LOOKUP(2,1/(AG96:AN96&lt;&gt;""),AG96:AN96)))</t>
        </is>
      </c>
      <c r="BC96" s="38" t="inlineStr">
        <is>
          <t>IF(OR(E96="",AP96=""),"",IF(COUNT(AG96:AO96)=0,"",AP96-LOOKUP(2,1/(AG96:AO96&lt;&gt;""),AG96:AO96)))</t>
        </is>
      </c>
      <c r="BD96" s="38" t="inlineStr">
        <is>
          <t>IF(OR(E96="",AQ96=""),"",IF(COUNT(AG96:AP96)=0,"",AQ96-LOOKUP(2,1/(AG96:AP96&lt;&gt;""),AG96:AP96)))</t>
        </is>
      </c>
      <c r="BE96" s="38" t="inlineStr">
        <is>
          <t>IF(OR(E96="",AR96=""),"",IF(COUNT(AG96:AQ96)=0,"",AR96-LOOKUP(2,1/(AG96:AQ96&lt;&gt;""),AG96:AQ96)))</t>
        </is>
      </c>
      <c r="BF96" s="38" t="inlineStr">
        <is>
          <t>IF(OR(E96="",AS96=""),"",IF(COUNT(AG96:AR96)=0,"",AS96-LOOKUP(2,1/(AG96:AR96&lt;&gt;""),AG96:AR96)))</t>
        </is>
      </c>
      <c r="BG96" s="38" t="inlineStr">
        <is>
          <t>IF(OR(E96="",AT96=""),"",IF(COUNT(AG96:AS96)=0,"",AT96-LOOKUP(2,1/(AG96:AS96&lt;&gt;""),AG96:AS96)))</t>
        </is>
      </c>
      <c r="BH96" s="41" t="inlineStr">
        <is>
          <t>IF(G96="","All_Provinces",IFERROR(VLOOKUP(G96,'07_Lookups'!$A$4:$B$20,2,FALSE),"All_Provinces"))</t>
        </is>
      </c>
      <c r="BI96" s="41" t="inlineStr">
        <is>
          <t>IF(H96="","All_Districts",IFERROR(VLOOKUP(H96,'07_Lookups'!$E$4:$F$42,2,FALSE),"All_Districts"))</t>
        </is>
      </c>
    </row>
    <row r="97" ht="18" customHeight="1">
      <c r="A97" s="32" t="inlineStr">
        <is>
          <t>IF(E97="","",ROW()-3)</t>
        </is>
      </c>
      <c r="B97" s="42" t="n"/>
      <c r="C97" s="42" t="n"/>
      <c r="D97" s="42" t="n"/>
      <c r="E97" s="42" t="n"/>
      <c r="F97" s="42" t="n"/>
      <c r="G97" s="42" t="n"/>
      <c r="H97" s="42" t="n"/>
      <c r="I97" s="42" t="n"/>
      <c r="J97" s="42" t="n"/>
      <c r="K97" s="42" t="n"/>
      <c r="L97" s="42" t="n"/>
      <c r="M97" s="42" t="n"/>
      <c r="N97" s="42" t="n"/>
      <c r="O97" s="42" t="n"/>
      <c r="P97" s="42" t="n"/>
      <c r="Q97" s="43" t="n"/>
      <c r="R97" s="35" t="inlineStr">
        <is>
          <t>IF(AO97="","",AO97)</t>
        </is>
      </c>
      <c r="S97" s="44" t="n"/>
      <c r="T97" s="45" t="n"/>
      <c r="U97" s="44" t="n"/>
      <c r="V97" s="35" t="inlineStr">
        <is>
          <t>IF(U97&lt;&gt;"",U97,IF(OR(R97="",T97=""),"",EDATE(R97,T97)))</t>
        </is>
      </c>
      <c r="W97" s="44" t="n"/>
      <c r="X97" s="45" t="n"/>
      <c r="Y97" s="42" t="n"/>
      <c r="Z97" s="42" t="n"/>
      <c r="AA97" s="32" t="inlineStr">
        <is>
          <t>IF(E97="","",IF(COUNT(AG97:AT97)=0,IF(Y97="","Not started",Y97),SUBSTITUTE(LOOKUP(2,1/(AG97:AT97&lt;&gt;""),$AG$3:$AT$3),"Date: ","")))</t>
        </is>
      </c>
      <c r="AB97" s="38" t="inlineStr">
        <is>
          <t>IF(OR(E97="",COUNT(AG97:AT97)=0),"",TODAY()-LOOKUP(2,1/(AG97:AT97&lt;&gt;""),AG97:AT97))</t>
        </is>
      </c>
      <c r="AC97" s="38" t="inlineStr">
        <is>
          <t>IF(OR(E97="",COUNT(AG97:AT97)&lt;2),"",LOOKUP(2,1/(AG97:AT97&lt;&gt;""),AG97:AT97)-MIN(AG97:AT97))</t>
        </is>
      </c>
      <c r="AD97" s="38" t="inlineStr">
        <is>
          <t>IF(OR(AB97="",AA97="Not started",AA97=""),"",IFERROR(AB97-IF(VLOOKUP(AA97,'04_Status_Pipeline'!$B$3:$E$20,4,FALSE)="",0,VLOOKUP(AA97,'04_Status_Pipeline'!$B$3:$E$20,4,FALSE)),""))</t>
        </is>
      </c>
      <c r="AE97" s="32" t="inlineStr">
        <is>
          <t>IF(E97="","",IF(OR(Y97="Cancelled",AA97="Cancelled"),"Cancelled",IF(OR(AA97="Completed / Handover",W97&lt;&gt;"",X97&gt;=100),"Completed — on track",IF(L97="Remaining",IF(S97="",IF(V97="","No planned date",IF(TODAY()&gt;V97,"Behind — past planned date",IF(V97-TODAY()&lt;=30,"At risk — close to off track","On track"))),IF(TODAY()&gt;S97,"Behind — award date passed",IF(S97-TODAY()&lt;=30,"At risk — close to off track","On track"))),IF(V97="","No planned date",IF(AND(TODAY()&gt;V97,OR(X97="",X97&lt;100)),"Behind — past end date",IF(AND(R97&lt;&gt;"",V97&lt;&gt;"",X97&lt;&gt;"",(X97&lt;100),((TODAY()-R97)/MAX(V97-R97,1)*100)-X97&gt;15),"Behind — progress lag",IF(AND(V97-TODAY()&lt;=30,V97-TODAY()&gt;=0,OR(X97="",X97&lt;90)),"At risk — close to off track","On track"))))))))</t>
        </is>
      </c>
      <c r="AF97" s="38" t="inlineStr">
        <is>
          <t>IF(OR(E97="",AA97="Completed / Handover",AA97="Cancelled"),"",IF(L97="Remaining",IF(S97&lt;&gt;"",S97-TODAY(),IF(V97="","",V97-TODAY())),IF(V97="","",V97-TODAY())))</t>
        </is>
      </c>
      <c r="AG97" s="44" t="n"/>
      <c r="AH97" s="44" t="n"/>
      <c r="AI97" s="44" t="n"/>
      <c r="AJ97" s="44" t="n"/>
      <c r="AK97" s="44" t="n"/>
      <c r="AL97" s="44" t="n"/>
      <c r="AM97" s="44" t="n"/>
      <c r="AN97" s="44" t="n"/>
      <c r="AO97" s="44" t="n"/>
      <c r="AP97" s="44" t="n"/>
      <c r="AQ97" s="44" t="n"/>
      <c r="AR97" s="40" t="n"/>
      <c r="AS97" s="40" t="n"/>
      <c r="AT97" s="40" t="n"/>
      <c r="AU97" s="38" t="inlineStr">
        <is>
          <t>IF(OR(E97="",AH97=""),"",IF(COUNT(AG97:AG97)=0,"",AH97-LOOKUP(2,1/(AG97:AG97&lt;&gt;""),AG97:AG97)))</t>
        </is>
      </c>
      <c r="AV97" s="38" t="inlineStr">
        <is>
          <t>IF(OR(E97="",AI97=""),"",IF(COUNT(AG97:AH97)=0,"",AI97-LOOKUP(2,1/(AG97:AH97&lt;&gt;""),AG97:AH97)))</t>
        </is>
      </c>
      <c r="AW97" s="38" t="inlineStr">
        <is>
          <t>IF(OR(E97="",AJ97=""),"",IF(COUNT(AG97:AI97)=0,"",AJ97-LOOKUP(2,1/(AG97:AI97&lt;&gt;""),AG97:AI97)))</t>
        </is>
      </c>
      <c r="AX97" s="38" t="inlineStr">
        <is>
          <t>IF(OR(E97="",AK97=""),"",IF(COUNT(AG97:AJ97)=0,"",AK97-LOOKUP(2,1/(AG97:AJ97&lt;&gt;""),AG97:AJ97)))</t>
        </is>
      </c>
      <c r="AY97" s="38" t="inlineStr">
        <is>
          <t>IF(OR(E97="",AL97=""),"",IF(COUNT(AG97:AK97)=0,"",AL97-LOOKUP(2,1/(AG97:AK97&lt;&gt;""),AG97:AK97)))</t>
        </is>
      </c>
      <c r="AZ97" s="38" t="inlineStr">
        <is>
          <t>IF(OR(E97="",AM97=""),"",IF(COUNT(AG97:AL97)=0,"",AM97-LOOKUP(2,1/(AG97:AL97&lt;&gt;""),AG97:AL97)))</t>
        </is>
      </c>
      <c r="BA97" s="38" t="inlineStr">
        <is>
          <t>IF(OR(E97="",AN97=""),"",IF(COUNT(AG97:AM97)=0,"",AN97-LOOKUP(2,1/(AG97:AM97&lt;&gt;""),AG97:AM97)))</t>
        </is>
      </c>
      <c r="BB97" s="38" t="inlineStr">
        <is>
          <t>IF(OR(E97="",AO97=""),"",IF(COUNT(AG97:AN97)=0,"",AO97-LOOKUP(2,1/(AG97:AN97&lt;&gt;""),AG97:AN97)))</t>
        </is>
      </c>
      <c r="BC97" s="38" t="inlineStr">
        <is>
          <t>IF(OR(E97="",AP97=""),"",IF(COUNT(AG97:AO97)=0,"",AP97-LOOKUP(2,1/(AG97:AO97&lt;&gt;""),AG97:AO97)))</t>
        </is>
      </c>
      <c r="BD97" s="38" t="inlineStr">
        <is>
          <t>IF(OR(E97="",AQ97=""),"",IF(COUNT(AG97:AP97)=0,"",AQ97-LOOKUP(2,1/(AG97:AP97&lt;&gt;""),AG97:AP97)))</t>
        </is>
      </c>
      <c r="BE97" s="38" t="inlineStr">
        <is>
          <t>IF(OR(E97="",AR97=""),"",IF(COUNT(AG97:AQ97)=0,"",AR97-LOOKUP(2,1/(AG97:AQ97&lt;&gt;""),AG97:AQ97)))</t>
        </is>
      </c>
      <c r="BF97" s="38" t="inlineStr">
        <is>
          <t>IF(OR(E97="",AS97=""),"",IF(COUNT(AG97:AR97)=0,"",AS97-LOOKUP(2,1/(AG97:AR97&lt;&gt;""),AG97:AR97)))</t>
        </is>
      </c>
      <c r="BG97" s="38" t="inlineStr">
        <is>
          <t>IF(OR(E97="",AT97=""),"",IF(COUNT(AG97:AS97)=0,"",AT97-LOOKUP(2,1/(AG97:AS97&lt;&gt;""),AG97:AS97)))</t>
        </is>
      </c>
      <c r="BH97" s="41" t="inlineStr">
        <is>
          <t>IF(G97="","All_Provinces",IFERROR(VLOOKUP(G97,'07_Lookups'!$A$4:$B$20,2,FALSE),"All_Provinces"))</t>
        </is>
      </c>
      <c r="BI97" s="41" t="inlineStr">
        <is>
          <t>IF(H97="","All_Districts",IFERROR(VLOOKUP(H97,'07_Lookups'!$E$4:$F$42,2,FALSE),"All_Districts"))</t>
        </is>
      </c>
    </row>
    <row r="98" ht="18" customHeight="1">
      <c r="A98" s="32" t="inlineStr">
        <is>
          <t>IF(E98="","",ROW()-3)</t>
        </is>
      </c>
      <c r="B98" s="33" t="n"/>
      <c r="C98" s="33" t="n"/>
      <c r="D98" s="33" t="n"/>
      <c r="E98" s="33" t="n"/>
      <c r="F98" s="33" t="n"/>
      <c r="G98" s="33" t="n"/>
      <c r="H98" s="33" t="n"/>
      <c r="I98" s="33" t="n"/>
      <c r="J98" s="33" t="n"/>
      <c r="K98" s="33" t="n"/>
      <c r="L98" s="33" t="n"/>
      <c r="M98" s="33" t="n"/>
      <c r="N98" s="33" t="n"/>
      <c r="O98" s="33" t="n"/>
      <c r="P98" s="33" t="n"/>
      <c r="Q98" s="34" t="n"/>
      <c r="R98" s="35" t="inlineStr">
        <is>
          <t>IF(AO98="","",AO98)</t>
        </is>
      </c>
      <c r="S98" s="36" t="n"/>
      <c r="T98" s="37" t="n"/>
      <c r="U98" s="36" t="n"/>
      <c r="V98" s="35" t="inlineStr">
        <is>
          <t>IF(U98&lt;&gt;"",U98,IF(OR(R98="",T98=""),"",EDATE(R98,T98)))</t>
        </is>
      </c>
      <c r="W98" s="36" t="n"/>
      <c r="X98" s="37" t="n"/>
      <c r="Y98" s="33" t="n"/>
      <c r="Z98" s="33" t="n"/>
      <c r="AA98" s="32" t="inlineStr">
        <is>
          <t>IF(E98="","",IF(COUNT(AG98:AT98)=0,IF(Y98="","Not started",Y98),SUBSTITUTE(LOOKUP(2,1/(AG98:AT98&lt;&gt;""),$AG$3:$AT$3),"Date: ","")))</t>
        </is>
      </c>
      <c r="AB98" s="38" t="inlineStr">
        <is>
          <t>IF(OR(E98="",COUNT(AG98:AT98)=0),"",TODAY()-LOOKUP(2,1/(AG98:AT98&lt;&gt;""),AG98:AT98))</t>
        </is>
      </c>
      <c r="AC98" s="38" t="inlineStr">
        <is>
          <t>IF(OR(E98="",COUNT(AG98:AT98)&lt;2),"",LOOKUP(2,1/(AG98:AT98&lt;&gt;""),AG98:AT98)-MIN(AG98:AT98))</t>
        </is>
      </c>
      <c r="AD98" s="38" t="inlineStr">
        <is>
          <t>IF(OR(AB98="",AA98="Not started",AA98=""),"",IFERROR(AB98-IF(VLOOKUP(AA98,'04_Status_Pipeline'!$B$3:$E$20,4,FALSE)="",0,VLOOKUP(AA98,'04_Status_Pipeline'!$B$3:$E$20,4,FALSE)),""))</t>
        </is>
      </c>
      <c r="AE98" s="32" t="inlineStr">
        <is>
          <t>IF(E98="","",IF(OR(Y98="Cancelled",AA98="Cancelled"),"Cancelled",IF(OR(AA98="Completed / Handover",W98&lt;&gt;"",X98&gt;=100),"Completed — on track",IF(L98="Remaining",IF(S98="",IF(V98="","No planned date",IF(TODAY()&gt;V98,"Behind — past planned date",IF(V98-TODAY()&lt;=30,"At risk — close to off track","On track"))),IF(TODAY()&gt;S98,"Behind — award date passed",IF(S98-TODAY()&lt;=30,"At risk — close to off track","On track"))),IF(V98="","No planned date",IF(AND(TODAY()&gt;V98,OR(X98="",X98&lt;100)),"Behind — past end date",IF(AND(R98&lt;&gt;"",V98&lt;&gt;"",X98&lt;&gt;"",(X98&lt;100),((TODAY()-R98)/MAX(V98-R98,1)*100)-X98&gt;15),"Behind — progress lag",IF(AND(V98-TODAY()&lt;=30,V98-TODAY()&gt;=0,OR(X98="",X98&lt;90)),"At risk — close to off track","On track"))))))))</t>
        </is>
      </c>
      <c r="AF98" s="38" t="inlineStr">
        <is>
          <t>IF(OR(E98="",AA98="Completed / Handover",AA98="Cancelled"),"",IF(L98="Remaining",IF(S98&lt;&gt;"",S98-TODAY(),IF(V98="","",V98-TODAY())),IF(V98="","",V98-TODAY())))</t>
        </is>
      </c>
      <c r="AG98" s="36" t="n"/>
      <c r="AH98" s="36" t="n"/>
      <c r="AI98" s="36" t="n"/>
      <c r="AJ98" s="36" t="n"/>
      <c r="AK98" s="36" t="n"/>
      <c r="AL98" s="36" t="n"/>
      <c r="AM98" s="36" t="n"/>
      <c r="AN98" s="36" t="n"/>
      <c r="AO98" s="36" t="n"/>
      <c r="AP98" s="36" t="n"/>
      <c r="AQ98" s="36" t="n"/>
      <c r="AR98" s="40" t="n"/>
      <c r="AS98" s="40" t="n"/>
      <c r="AT98" s="40" t="n"/>
      <c r="AU98" s="38" t="inlineStr">
        <is>
          <t>IF(OR(E98="",AH98=""),"",IF(COUNT(AG98:AG98)=0,"",AH98-LOOKUP(2,1/(AG98:AG98&lt;&gt;""),AG98:AG98)))</t>
        </is>
      </c>
      <c r="AV98" s="38" t="inlineStr">
        <is>
          <t>IF(OR(E98="",AI98=""),"",IF(COUNT(AG98:AH98)=0,"",AI98-LOOKUP(2,1/(AG98:AH98&lt;&gt;""),AG98:AH98)))</t>
        </is>
      </c>
      <c r="AW98" s="38" t="inlineStr">
        <is>
          <t>IF(OR(E98="",AJ98=""),"",IF(COUNT(AG98:AI98)=0,"",AJ98-LOOKUP(2,1/(AG98:AI98&lt;&gt;""),AG98:AI98)))</t>
        </is>
      </c>
      <c r="AX98" s="38" t="inlineStr">
        <is>
          <t>IF(OR(E98="",AK98=""),"",IF(COUNT(AG98:AJ98)=0,"",AK98-LOOKUP(2,1/(AG98:AJ98&lt;&gt;""),AG98:AJ98)))</t>
        </is>
      </c>
      <c r="AY98" s="38" t="inlineStr">
        <is>
          <t>IF(OR(E98="",AL98=""),"",IF(COUNT(AG98:AK98)=0,"",AL98-LOOKUP(2,1/(AG98:AK98&lt;&gt;""),AG98:AK98)))</t>
        </is>
      </c>
      <c r="AZ98" s="38" t="inlineStr">
        <is>
          <t>IF(OR(E98="",AM98=""),"",IF(COUNT(AG98:AL98)=0,"",AM98-LOOKUP(2,1/(AG98:AL98&lt;&gt;""),AG98:AL98)))</t>
        </is>
      </c>
      <c r="BA98" s="38" t="inlineStr">
        <is>
          <t>IF(OR(E98="",AN98=""),"",IF(COUNT(AG98:AM98)=0,"",AN98-LOOKUP(2,1/(AG98:AM98&lt;&gt;""),AG98:AM98)))</t>
        </is>
      </c>
      <c r="BB98" s="38" t="inlineStr">
        <is>
          <t>IF(OR(E98="",AO98=""),"",IF(COUNT(AG98:AN98)=0,"",AO98-LOOKUP(2,1/(AG98:AN98&lt;&gt;""),AG98:AN98)))</t>
        </is>
      </c>
      <c r="BC98" s="38" t="inlineStr">
        <is>
          <t>IF(OR(E98="",AP98=""),"",IF(COUNT(AG98:AO98)=0,"",AP98-LOOKUP(2,1/(AG98:AO98&lt;&gt;""),AG98:AO98)))</t>
        </is>
      </c>
      <c r="BD98" s="38" t="inlineStr">
        <is>
          <t>IF(OR(E98="",AQ98=""),"",IF(COUNT(AG98:AP98)=0,"",AQ98-LOOKUP(2,1/(AG98:AP98&lt;&gt;""),AG98:AP98)))</t>
        </is>
      </c>
      <c r="BE98" s="38" t="inlineStr">
        <is>
          <t>IF(OR(E98="",AR98=""),"",IF(COUNT(AG98:AQ98)=0,"",AR98-LOOKUP(2,1/(AG98:AQ98&lt;&gt;""),AG98:AQ98)))</t>
        </is>
      </c>
      <c r="BF98" s="38" t="inlineStr">
        <is>
          <t>IF(OR(E98="",AS98=""),"",IF(COUNT(AG98:AR98)=0,"",AS98-LOOKUP(2,1/(AG98:AR98&lt;&gt;""),AG98:AR98)))</t>
        </is>
      </c>
      <c r="BG98" s="38" t="inlineStr">
        <is>
          <t>IF(OR(E98="",AT98=""),"",IF(COUNT(AG98:AS98)=0,"",AT98-LOOKUP(2,1/(AG98:AS98&lt;&gt;""),AG98:AS98)))</t>
        </is>
      </c>
      <c r="BH98" s="41" t="inlineStr">
        <is>
          <t>IF(G98="","All_Provinces",IFERROR(VLOOKUP(G98,'07_Lookups'!$A$4:$B$20,2,FALSE),"All_Provinces"))</t>
        </is>
      </c>
      <c r="BI98" s="41" t="inlineStr">
        <is>
          <t>IF(H98="","All_Districts",IFERROR(VLOOKUP(H98,'07_Lookups'!$E$4:$F$42,2,FALSE),"All_Districts"))</t>
        </is>
      </c>
    </row>
    <row r="99" ht="18" customHeight="1">
      <c r="A99" s="32" t="inlineStr">
        <is>
          <t>IF(E99="","",ROW()-3)</t>
        </is>
      </c>
      <c r="B99" s="42" t="n"/>
      <c r="C99" s="42" t="n"/>
      <c r="D99" s="42" t="n"/>
      <c r="E99" s="42" t="n"/>
      <c r="F99" s="42" t="n"/>
      <c r="G99" s="42" t="n"/>
      <c r="H99" s="42" t="n"/>
      <c r="I99" s="42" t="n"/>
      <c r="J99" s="42" t="n"/>
      <c r="K99" s="42" t="n"/>
      <c r="L99" s="42" t="n"/>
      <c r="M99" s="42" t="n"/>
      <c r="N99" s="42" t="n"/>
      <c r="O99" s="42" t="n"/>
      <c r="P99" s="42" t="n"/>
      <c r="Q99" s="43" t="n"/>
      <c r="R99" s="35" t="inlineStr">
        <is>
          <t>IF(AO99="","",AO99)</t>
        </is>
      </c>
      <c r="S99" s="44" t="n"/>
      <c r="T99" s="45" t="n"/>
      <c r="U99" s="44" t="n"/>
      <c r="V99" s="35" t="inlineStr">
        <is>
          <t>IF(U99&lt;&gt;"",U99,IF(OR(R99="",T99=""),"",EDATE(R99,T99)))</t>
        </is>
      </c>
      <c r="W99" s="44" t="n"/>
      <c r="X99" s="45" t="n"/>
      <c r="Y99" s="42" t="n"/>
      <c r="Z99" s="42" t="n"/>
      <c r="AA99" s="32" t="inlineStr">
        <is>
          <t>IF(E99="","",IF(COUNT(AG99:AT99)=0,IF(Y99="","Not started",Y99),SUBSTITUTE(LOOKUP(2,1/(AG99:AT99&lt;&gt;""),$AG$3:$AT$3),"Date: ","")))</t>
        </is>
      </c>
      <c r="AB99" s="38" t="inlineStr">
        <is>
          <t>IF(OR(E99="",COUNT(AG99:AT99)=0),"",TODAY()-LOOKUP(2,1/(AG99:AT99&lt;&gt;""),AG99:AT99))</t>
        </is>
      </c>
      <c r="AC99" s="38" t="inlineStr">
        <is>
          <t>IF(OR(E99="",COUNT(AG99:AT99)&lt;2),"",LOOKUP(2,1/(AG99:AT99&lt;&gt;""),AG99:AT99)-MIN(AG99:AT99))</t>
        </is>
      </c>
      <c r="AD99" s="38" t="inlineStr">
        <is>
          <t>IF(OR(AB99="",AA99="Not started",AA99=""),"",IFERROR(AB99-IF(VLOOKUP(AA99,'04_Status_Pipeline'!$B$3:$E$20,4,FALSE)="",0,VLOOKUP(AA99,'04_Status_Pipeline'!$B$3:$E$20,4,FALSE)),""))</t>
        </is>
      </c>
      <c r="AE99" s="32" t="inlineStr">
        <is>
          <t>IF(E99="","",IF(OR(Y99="Cancelled",AA99="Cancelled"),"Cancelled",IF(OR(AA99="Completed / Handover",W99&lt;&gt;"",X99&gt;=100),"Completed — on track",IF(L99="Remaining",IF(S99="",IF(V99="","No planned date",IF(TODAY()&gt;V99,"Behind — past planned date",IF(V99-TODAY()&lt;=30,"At risk — close to off track","On track"))),IF(TODAY()&gt;S99,"Behind — award date passed",IF(S99-TODAY()&lt;=30,"At risk — close to off track","On track"))),IF(V99="","No planned date",IF(AND(TODAY()&gt;V99,OR(X99="",X99&lt;100)),"Behind — past end date",IF(AND(R99&lt;&gt;"",V99&lt;&gt;"",X99&lt;&gt;"",(X99&lt;100),((TODAY()-R99)/MAX(V99-R99,1)*100)-X99&gt;15),"Behind — progress lag",IF(AND(V99-TODAY()&lt;=30,V99-TODAY()&gt;=0,OR(X99="",X99&lt;90)),"At risk — close to off track","On track"))))))))</t>
        </is>
      </c>
      <c r="AF99" s="38" t="inlineStr">
        <is>
          <t>IF(OR(E99="",AA99="Completed / Handover",AA99="Cancelled"),"",IF(L99="Remaining",IF(S99&lt;&gt;"",S99-TODAY(),IF(V99="","",V99-TODAY())),IF(V99="","",V99-TODAY())))</t>
        </is>
      </c>
      <c r="AG99" s="44" t="n"/>
      <c r="AH99" s="44" t="n"/>
      <c r="AI99" s="44" t="n"/>
      <c r="AJ99" s="44" t="n"/>
      <c r="AK99" s="44" t="n"/>
      <c r="AL99" s="44" t="n"/>
      <c r="AM99" s="44" t="n"/>
      <c r="AN99" s="44" t="n"/>
      <c r="AO99" s="44" t="n"/>
      <c r="AP99" s="44" t="n"/>
      <c r="AQ99" s="44" t="n"/>
      <c r="AR99" s="40" t="n"/>
      <c r="AS99" s="40" t="n"/>
      <c r="AT99" s="40" t="n"/>
      <c r="AU99" s="38" t="inlineStr">
        <is>
          <t>IF(OR(E99="",AH99=""),"",IF(COUNT(AG99:AG99)=0,"",AH99-LOOKUP(2,1/(AG99:AG99&lt;&gt;""),AG99:AG99)))</t>
        </is>
      </c>
      <c r="AV99" s="38" t="inlineStr">
        <is>
          <t>IF(OR(E99="",AI99=""),"",IF(COUNT(AG99:AH99)=0,"",AI99-LOOKUP(2,1/(AG99:AH99&lt;&gt;""),AG99:AH99)))</t>
        </is>
      </c>
      <c r="AW99" s="38" t="inlineStr">
        <is>
          <t>IF(OR(E99="",AJ99=""),"",IF(COUNT(AG99:AI99)=0,"",AJ99-LOOKUP(2,1/(AG99:AI99&lt;&gt;""),AG99:AI99)))</t>
        </is>
      </c>
      <c r="AX99" s="38" t="inlineStr">
        <is>
          <t>IF(OR(E99="",AK99=""),"",IF(COUNT(AG99:AJ99)=0,"",AK99-LOOKUP(2,1/(AG99:AJ99&lt;&gt;""),AG99:AJ99)))</t>
        </is>
      </c>
      <c r="AY99" s="38" t="inlineStr">
        <is>
          <t>IF(OR(E99="",AL99=""),"",IF(COUNT(AG99:AK99)=0,"",AL99-LOOKUP(2,1/(AG99:AK99&lt;&gt;""),AG99:AK99)))</t>
        </is>
      </c>
      <c r="AZ99" s="38" t="inlineStr">
        <is>
          <t>IF(OR(E99="",AM99=""),"",IF(COUNT(AG99:AL99)=0,"",AM99-LOOKUP(2,1/(AG99:AL99&lt;&gt;""),AG99:AL99)))</t>
        </is>
      </c>
      <c r="BA99" s="38" t="inlineStr">
        <is>
          <t>IF(OR(E99="",AN99=""),"",IF(COUNT(AG99:AM99)=0,"",AN99-LOOKUP(2,1/(AG99:AM99&lt;&gt;""),AG99:AM99)))</t>
        </is>
      </c>
      <c r="BB99" s="38" t="inlineStr">
        <is>
          <t>IF(OR(E99="",AO99=""),"",IF(COUNT(AG99:AN99)=0,"",AO99-LOOKUP(2,1/(AG99:AN99&lt;&gt;""),AG99:AN99)))</t>
        </is>
      </c>
      <c r="BC99" s="38" t="inlineStr">
        <is>
          <t>IF(OR(E99="",AP99=""),"",IF(COUNT(AG99:AO99)=0,"",AP99-LOOKUP(2,1/(AG99:AO99&lt;&gt;""),AG99:AO99)))</t>
        </is>
      </c>
      <c r="BD99" s="38" t="inlineStr">
        <is>
          <t>IF(OR(E99="",AQ99=""),"",IF(COUNT(AG99:AP99)=0,"",AQ99-LOOKUP(2,1/(AG99:AP99&lt;&gt;""),AG99:AP99)))</t>
        </is>
      </c>
      <c r="BE99" s="38" t="inlineStr">
        <is>
          <t>IF(OR(E99="",AR99=""),"",IF(COUNT(AG99:AQ99)=0,"",AR99-LOOKUP(2,1/(AG99:AQ99&lt;&gt;""),AG99:AQ99)))</t>
        </is>
      </c>
      <c r="BF99" s="38" t="inlineStr">
        <is>
          <t>IF(OR(E99="",AS99=""),"",IF(COUNT(AG99:AR99)=0,"",AS99-LOOKUP(2,1/(AG99:AR99&lt;&gt;""),AG99:AR99)))</t>
        </is>
      </c>
      <c r="BG99" s="38" t="inlineStr">
        <is>
          <t>IF(OR(E99="",AT99=""),"",IF(COUNT(AG99:AS99)=0,"",AT99-LOOKUP(2,1/(AG99:AS99&lt;&gt;""),AG99:AS99)))</t>
        </is>
      </c>
      <c r="BH99" s="41" t="inlineStr">
        <is>
          <t>IF(G99="","All_Provinces",IFERROR(VLOOKUP(G99,'07_Lookups'!$A$4:$B$20,2,FALSE),"All_Provinces"))</t>
        </is>
      </c>
      <c r="BI99" s="41" t="inlineStr">
        <is>
          <t>IF(H99="","All_Districts",IFERROR(VLOOKUP(H99,'07_Lookups'!$E$4:$F$42,2,FALSE),"All_Districts"))</t>
        </is>
      </c>
    </row>
    <row r="100" ht="18" customHeight="1">
      <c r="A100" s="32" t="inlineStr">
        <is>
          <t>IF(E100="","",ROW()-3)</t>
        </is>
      </c>
      <c r="B100" s="33" t="n"/>
      <c r="C100" s="33" t="n"/>
      <c r="D100" s="33" t="n"/>
      <c r="E100" s="33" t="n"/>
      <c r="F100" s="33" t="n"/>
      <c r="G100" s="33" t="n"/>
      <c r="H100" s="33" t="n"/>
      <c r="I100" s="33" t="n"/>
      <c r="J100" s="33" t="n"/>
      <c r="K100" s="33" t="n"/>
      <c r="L100" s="33" t="n"/>
      <c r="M100" s="33" t="n"/>
      <c r="N100" s="33" t="n"/>
      <c r="O100" s="33" t="n"/>
      <c r="P100" s="33" t="n"/>
      <c r="Q100" s="34" t="n"/>
      <c r="R100" s="35" t="inlineStr">
        <is>
          <t>IF(AO100="","",AO100)</t>
        </is>
      </c>
      <c r="S100" s="36" t="n"/>
      <c r="T100" s="37" t="n"/>
      <c r="U100" s="36" t="n"/>
      <c r="V100" s="35" t="inlineStr">
        <is>
          <t>IF(U100&lt;&gt;"",U100,IF(OR(R100="",T100=""),"",EDATE(R100,T100)))</t>
        </is>
      </c>
      <c r="W100" s="36" t="n"/>
      <c r="X100" s="37" t="n"/>
      <c r="Y100" s="33" t="n"/>
      <c r="Z100" s="33" t="n"/>
      <c r="AA100" s="32" t="inlineStr">
        <is>
          <t>IF(E100="","",IF(COUNT(AG100:AT100)=0,IF(Y100="","Not started",Y100),SUBSTITUTE(LOOKUP(2,1/(AG100:AT100&lt;&gt;""),$AG$3:$AT$3),"Date: ","")))</t>
        </is>
      </c>
      <c r="AB100" s="38" t="inlineStr">
        <is>
          <t>IF(OR(E100="",COUNT(AG100:AT100)=0),"",TODAY()-LOOKUP(2,1/(AG100:AT100&lt;&gt;""),AG100:AT100))</t>
        </is>
      </c>
      <c r="AC100" s="38" t="inlineStr">
        <is>
          <t>IF(OR(E100="",COUNT(AG100:AT100)&lt;2),"",LOOKUP(2,1/(AG100:AT100&lt;&gt;""),AG100:AT100)-MIN(AG100:AT100))</t>
        </is>
      </c>
      <c r="AD100" s="38" t="inlineStr">
        <is>
          <t>IF(OR(AB100="",AA100="Not started",AA100=""),"",IFERROR(AB100-IF(VLOOKUP(AA100,'04_Status_Pipeline'!$B$3:$E$20,4,FALSE)="",0,VLOOKUP(AA100,'04_Status_Pipeline'!$B$3:$E$20,4,FALSE)),""))</t>
        </is>
      </c>
      <c r="AE100" s="32" t="inlineStr">
        <is>
          <t>IF(E100="","",IF(OR(Y100="Cancelled",AA100="Cancelled"),"Cancelled",IF(OR(AA100="Completed / Handover",W100&lt;&gt;"",X100&gt;=100),"Completed — on track",IF(L100="Remaining",IF(S100="",IF(V100="","No planned date",IF(TODAY()&gt;V100,"Behind — past planned date",IF(V100-TODAY()&lt;=30,"At risk — close to off track","On track"))),IF(TODAY()&gt;S100,"Behind — award date passed",IF(S100-TODAY()&lt;=30,"At risk — close to off track","On track"))),IF(V100="","No planned date",IF(AND(TODAY()&gt;V100,OR(X100="",X100&lt;100)),"Behind — past end date",IF(AND(R100&lt;&gt;"",V100&lt;&gt;"",X100&lt;&gt;"",(X100&lt;100),((TODAY()-R100)/MAX(V100-R100,1)*100)-X100&gt;15),"Behind — progress lag",IF(AND(V100-TODAY()&lt;=30,V100-TODAY()&gt;=0,OR(X100="",X100&lt;90)),"At risk — close to off track","On track"))))))))</t>
        </is>
      </c>
      <c r="AF100" s="38" t="inlineStr">
        <is>
          <t>IF(OR(E100="",AA100="Completed / Handover",AA100="Cancelled"),"",IF(L100="Remaining",IF(S100&lt;&gt;"",S100-TODAY(),IF(V100="","",V100-TODAY())),IF(V100="","",V100-TODAY())))</t>
        </is>
      </c>
      <c r="AG100" s="36" t="n"/>
      <c r="AH100" s="36" t="n"/>
      <c r="AI100" s="36" t="n"/>
      <c r="AJ100" s="36" t="n"/>
      <c r="AK100" s="36" t="n"/>
      <c r="AL100" s="36" t="n"/>
      <c r="AM100" s="36" t="n"/>
      <c r="AN100" s="36" t="n"/>
      <c r="AO100" s="36" t="n"/>
      <c r="AP100" s="36" t="n"/>
      <c r="AQ100" s="36" t="n"/>
      <c r="AR100" s="40" t="n"/>
      <c r="AS100" s="40" t="n"/>
      <c r="AT100" s="40" t="n"/>
      <c r="AU100" s="38" t="inlineStr">
        <is>
          <t>IF(OR(E100="",AH100=""),"",IF(COUNT(AG100:AG100)=0,"",AH100-LOOKUP(2,1/(AG100:AG100&lt;&gt;""),AG100:AG100)))</t>
        </is>
      </c>
      <c r="AV100" s="38" t="inlineStr">
        <is>
          <t>IF(OR(E100="",AI100=""),"",IF(COUNT(AG100:AH100)=0,"",AI100-LOOKUP(2,1/(AG100:AH100&lt;&gt;""),AG100:AH100)))</t>
        </is>
      </c>
      <c r="AW100" s="38" t="inlineStr">
        <is>
          <t>IF(OR(E100="",AJ100=""),"",IF(COUNT(AG100:AI100)=0,"",AJ100-LOOKUP(2,1/(AG100:AI100&lt;&gt;""),AG100:AI100)))</t>
        </is>
      </c>
      <c r="AX100" s="38" t="inlineStr">
        <is>
          <t>IF(OR(E100="",AK100=""),"",IF(COUNT(AG100:AJ100)=0,"",AK100-LOOKUP(2,1/(AG100:AJ100&lt;&gt;""),AG100:AJ100)))</t>
        </is>
      </c>
      <c r="AY100" s="38" t="inlineStr">
        <is>
          <t>IF(OR(E100="",AL100=""),"",IF(COUNT(AG100:AK100)=0,"",AL100-LOOKUP(2,1/(AG100:AK100&lt;&gt;""),AG100:AK100)))</t>
        </is>
      </c>
      <c r="AZ100" s="38" t="inlineStr">
        <is>
          <t>IF(OR(E100="",AM100=""),"",IF(COUNT(AG100:AL100)=0,"",AM100-LOOKUP(2,1/(AG100:AL100&lt;&gt;""),AG100:AL100)))</t>
        </is>
      </c>
      <c r="BA100" s="38" t="inlineStr">
        <is>
          <t>IF(OR(E100="",AN100=""),"",IF(COUNT(AG100:AM100)=0,"",AN100-LOOKUP(2,1/(AG100:AM100&lt;&gt;""),AG100:AM100)))</t>
        </is>
      </c>
      <c r="BB100" s="38" t="inlineStr">
        <is>
          <t>IF(OR(E100="",AO100=""),"",IF(COUNT(AG100:AN100)=0,"",AO100-LOOKUP(2,1/(AG100:AN100&lt;&gt;""),AG100:AN100)))</t>
        </is>
      </c>
      <c r="BC100" s="38" t="inlineStr">
        <is>
          <t>IF(OR(E100="",AP100=""),"",IF(COUNT(AG100:AO100)=0,"",AP100-LOOKUP(2,1/(AG100:AO100&lt;&gt;""),AG100:AO100)))</t>
        </is>
      </c>
      <c r="BD100" s="38" t="inlineStr">
        <is>
          <t>IF(OR(E100="",AQ100=""),"",IF(COUNT(AG100:AP100)=0,"",AQ100-LOOKUP(2,1/(AG100:AP100&lt;&gt;""),AG100:AP100)))</t>
        </is>
      </c>
      <c r="BE100" s="38" t="inlineStr">
        <is>
          <t>IF(OR(E100="",AR100=""),"",IF(COUNT(AG100:AQ100)=0,"",AR100-LOOKUP(2,1/(AG100:AQ100&lt;&gt;""),AG100:AQ100)))</t>
        </is>
      </c>
      <c r="BF100" s="38" t="inlineStr">
        <is>
          <t>IF(OR(E100="",AS100=""),"",IF(COUNT(AG100:AR100)=0,"",AS100-LOOKUP(2,1/(AG100:AR100&lt;&gt;""),AG100:AR100)))</t>
        </is>
      </c>
      <c r="BG100" s="38" t="inlineStr">
        <is>
          <t>IF(OR(E100="",AT100=""),"",IF(COUNT(AG100:AS100)=0,"",AT100-LOOKUP(2,1/(AG100:AS100&lt;&gt;""),AG100:AS100)))</t>
        </is>
      </c>
      <c r="BH100" s="41" t="inlineStr">
        <is>
          <t>IF(G100="","All_Provinces",IFERROR(VLOOKUP(G100,'07_Lookups'!$A$4:$B$20,2,FALSE),"All_Provinces"))</t>
        </is>
      </c>
      <c r="BI100" s="41" t="inlineStr">
        <is>
          <t>IF(H100="","All_Districts",IFERROR(VLOOKUP(H100,'07_Lookups'!$E$4:$F$42,2,FALSE),"All_Districts"))</t>
        </is>
      </c>
    </row>
    <row r="101" ht="18" customHeight="1">
      <c r="A101" s="32" t="inlineStr">
        <is>
          <t>IF(E101="","",ROW()-3)</t>
        </is>
      </c>
      <c r="B101" s="42" t="n"/>
      <c r="C101" s="42" t="n"/>
      <c r="D101" s="42" t="n"/>
      <c r="E101" s="42" t="n"/>
      <c r="F101" s="42" t="n"/>
      <c r="G101" s="42" t="n"/>
      <c r="H101" s="42" t="n"/>
      <c r="I101" s="42" t="n"/>
      <c r="J101" s="42" t="n"/>
      <c r="K101" s="42" t="n"/>
      <c r="L101" s="42" t="n"/>
      <c r="M101" s="42" t="n"/>
      <c r="N101" s="42" t="n"/>
      <c r="O101" s="42" t="n"/>
      <c r="P101" s="42" t="n"/>
      <c r="Q101" s="43" t="n"/>
      <c r="R101" s="35" t="inlineStr">
        <is>
          <t>IF(AO101="","",AO101)</t>
        </is>
      </c>
      <c r="S101" s="44" t="n"/>
      <c r="T101" s="45" t="n"/>
      <c r="U101" s="44" t="n"/>
      <c r="V101" s="35" t="inlineStr">
        <is>
          <t>IF(U101&lt;&gt;"",U101,IF(OR(R101="",T101=""),"",EDATE(R101,T101)))</t>
        </is>
      </c>
      <c r="W101" s="44" t="n"/>
      <c r="X101" s="45" t="n"/>
      <c r="Y101" s="42" t="n"/>
      <c r="Z101" s="42" t="n"/>
      <c r="AA101" s="32" t="inlineStr">
        <is>
          <t>IF(E101="","",IF(COUNT(AG101:AT101)=0,IF(Y101="","Not started",Y101),SUBSTITUTE(LOOKUP(2,1/(AG101:AT101&lt;&gt;""),$AG$3:$AT$3),"Date: ","")))</t>
        </is>
      </c>
      <c r="AB101" s="38" t="inlineStr">
        <is>
          <t>IF(OR(E101="",COUNT(AG101:AT101)=0),"",TODAY()-LOOKUP(2,1/(AG101:AT101&lt;&gt;""),AG101:AT101))</t>
        </is>
      </c>
      <c r="AC101" s="38" t="inlineStr">
        <is>
          <t>IF(OR(E101="",COUNT(AG101:AT101)&lt;2),"",LOOKUP(2,1/(AG101:AT101&lt;&gt;""),AG101:AT101)-MIN(AG101:AT101))</t>
        </is>
      </c>
      <c r="AD101" s="38" t="inlineStr">
        <is>
          <t>IF(OR(AB101="",AA101="Not started",AA101=""),"",IFERROR(AB101-IF(VLOOKUP(AA101,'04_Status_Pipeline'!$B$3:$E$20,4,FALSE)="",0,VLOOKUP(AA101,'04_Status_Pipeline'!$B$3:$E$20,4,FALSE)),""))</t>
        </is>
      </c>
      <c r="AE101" s="32" t="inlineStr">
        <is>
          <t>IF(E101="","",IF(OR(Y101="Cancelled",AA101="Cancelled"),"Cancelled",IF(OR(AA101="Completed / Handover",W101&lt;&gt;"",X101&gt;=100),"Completed — on track",IF(L101="Remaining",IF(S101="",IF(V101="","No planned date",IF(TODAY()&gt;V101,"Behind — past planned date",IF(V101-TODAY()&lt;=30,"At risk — close to off track","On track"))),IF(TODAY()&gt;S101,"Behind — award date passed",IF(S101-TODAY()&lt;=30,"At risk — close to off track","On track"))),IF(V101="","No planned date",IF(AND(TODAY()&gt;V101,OR(X101="",X101&lt;100)),"Behind — past end date",IF(AND(R101&lt;&gt;"",V101&lt;&gt;"",X101&lt;&gt;"",(X101&lt;100),((TODAY()-R101)/MAX(V101-R101,1)*100)-X101&gt;15),"Behind — progress lag",IF(AND(V101-TODAY()&lt;=30,V101-TODAY()&gt;=0,OR(X101="",X101&lt;90)),"At risk — close to off track","On track"))))))))</t>
        </is>
      </c>
      <c r="AF101" s="38" t="inlineStr">
        <is>
          <t>IF(OR(E101="",AA101="Completed / Handover",AA101="Cancelled"),"",IF(L101="Remaining",IF(S101&lt;&gt;"",S101-TODAY(),IF(V101="","",V101-TODAY())),IF(V101="","",V101-TODAY())))</t>
        </is>
      </c>
      <c r="AG101" s="44" t="n"/>
      <c r="AH101" s="44" t="n"/>
      <c r="AI101" s="44" t="n"/>
      <c r="AJ101" s="44" t="n"/>
      <c r="AK101" s="44" t="n"/>
      <c r="AL101" s="44" t="n"/>
      <c r="AM101" s="44" t="n"/>
      <c r="AN101" s="44" t="n"/>
      <c r="AO101" s="44" t="n"/>
      <c r="AP101" s="44" t="n"/>
      <c r="AQ101" s="44" t="n"/>
      <c r="AR101" s="40" t="n"/>
      <c r="AS101" s="40" t="n"/>
      <c r="AT101" s="40" t="n"/>
      <c r="AU101" s="38" t="inlineStr">
        <is>
          <t>IF(OR(E101="",AH101=""),"",IF(COUNT(AG101:AG101)=0,"",AH101-LOOKUP(2,1/(AG101:AG101&lt;&gt;""),AG101:AG101)))</t>
        </is>
      </c>
      <c r="AV101" s="38" t="inlineStr">
        <is>
          <t>IF(OR(E101="",AI101=""),"",IF(COUNT(AG101:AH101)=0,"",AI101-LOOKUP(2,1/(AG101:AH101&lt;&gt;""),AG101:AH101)))</t>
        </is>
      </c>
      <c r="AW101" s="38" t="inlineStr">
        <is>
          <t>IF(OR(E101="",AJ101=""),"",IF(COUNT(AG101:AI101)=0,"",AJ101-LOOKUP(2,1/(AG101:AI101&lt;&gt;""),AG101:AI101)))</t>
        </is>
      </c>
      <c r="AX101" s="38" t="inlineStr">
        <is>
          <t>IF(OR(E101="",AK101=""),"",IF(COUNT(AG101:AJ101)=0,"",AK101-LOOKUP(2,1/(AG101:AJ101&lt;&gt;""),AG101:AJ101)))</t>
        </is>
      </c>
      <c r="AY101" s="38" t="inlineStr">
        <is>
          <t>IF(OR(E101="",AL101=""),"",IF(COUNT(AG101:AK101)=0,"",AL101-LOOKUP(2,1/(AG101:AK101&lt;&gt;""),AG101:AK101)))</t>
        </is>
      </c>
      <c r="AZ101" s="38" t="inlineStr">
        <is>
          <t>IF(OR(E101="",AM101=""),"",IF(COUNT(AG101:AL101)=0,"",AM101-LOOKUP(2,1/(AG101:AL101&lt;&gt;""),AG101:AL101)))</t>
        </is>
      </c>
      <c r="BA101" s="38" t="inlineStr">
        <is>
          <t>IF(OR(E101="",AN101=""),"",IF(COUNT(AG101:AM101)=0,"",AN101-LOOKUP(2,1/(AG101:AM101&lt;&gt;""),AG101:AM101)))</t>
        </is>
      </c>
      <c r="BB101" s="38" t="inlineStr">
        <is>
          <t>IF(OR(E101="",AO101=""),"",IF(COUNT(AG101:AN101)=0,"",AO101-LOOKUP(2,1/(AG101:AN101&lt;&gt;""),AG101:AN101)))</t>
        </is>
      </c>
      <c r="BC101" s="38" t="inlineStr">
        <is>
          <t>IF(OR(E101="",AP101=""),"",IF(COUNT(AG101:AO101)=0,"",AP101-LOOKUP(2,1/(AG101:AO101&lt;&gt;""),AG101:AO101)))</t>
        </is>
      </c>
      <c r="BD101" s="38" t="inlineStr">
        <is>
          <t>IF(OR(E101="",AQ101=""),"",IF(COUNT(AG101:AP101)=0,"",AQ101-LOOKUP(2,1/(AG101:AP101&lt;&gt;""),AG101:AP101)))</t>
        </is>
      </c>
      <c r="BE101" s="38" t="inlineStr">
        <is>
          <t>IF(OR(E101="",AR101=""),"",IF(COUNT(AG101:AQ101)=0,"",AR101-LOOKUP(2,1/(AG101:AQ101&lt;&gt;""),AG101:AQ101)))</t>
        </is>
      </c>
      <c r="BF101" s="38" t="inlineStr">
        <is>
          <t>IF(OR(E101="",AS101=""),"",IF(COUNT(AG101:AR101)=0,"",AS101-LOOKUP(2,1/(AG101:AR101&lt;&gt;""),AG101:AR101)))</t>
        </is>
      </c>
      <c r="BG101" s="38" t="inlineStr">
        <is>
          <t>IF(OR(E101="",AT101=""),"",IF(COUNT(AG101:AS101)=0,"",AT101-LOOKUP(2,1/(AG101:AS101&lt;&gt;""),AG101:AS101)))</t>
        </is>
      </c>
      <c r="BH101" s="41" t="inlineStr">
        <is>
          <t>IF(G101="","All_Provinces",IFERROR(VLOOKUP(G101,'07_Lookups'!$A$4:$B$20,2,FALSE),"All_Provinces"))</t>
        </is>
      </c>
      <c r="BI101" s="41" t="inlineStr">
        <is>
          <t>IF(H101="","All_Districts",IFERROR(VLOOKUP(H101,'07_Lookups'!$E$4:$F$42,2,FALSE),"All_Districts"))</t>
        </is>
      </c>
    </row>
    <row r="102" ht="18" customHeight="1">
      <c r="A102" s="32" t="inlineStr">
        <is>
          <t>IF(E102="","",ROW()-3)</t>
        </is>
      </c>
      <c r="B102" s="33" t="n"/>
      <c r="C102" s="33" t="n"/>
      <c r="D102" s="33" t="n"/>
      <c r="E102" s="33" t="n"/>
      <c r="F102" s="33" t="n"/>
      <c r="G102" s="33" t="n"/>
      <c r="H102" s="33" t="n"/>
      <c r="I102" s="33" t="n"/>
      <c r="J102" s="33" t="n"/>
      <c r="K102" s="33" t="n"/>
      <c r="L102" s="33" t="n"/>
      <c r="M102" s="33" t="n"/>
      <c r="N102" s="33" t="n"/>
      <c r="O102" s="33" t="n"/>
      <c r="P102" s="33" t="n"/>
      <c r="Q102" s="34" t="n"/>
      <c r="R102" s="35" t="inlineStr">
        <is>
          <t>IF(AO102="","",AO102)</t>
        </is>
      </c>
      <c r="S102" s="36" t="n"/>
      <c r="T102" s="37" t="n"/>
      <c r="U102" s="36" t="n"/>
      <c r="V102" s="35" t="inlineStr">
        <is>
          <t>IF(U102&lt;&gt;"",U102,IF(OR(R102="",T102=""),"",EDATE(R102,T102)))</t>
        </is>
      </c>
      <c r="W102" s="36" t="n"/>
      <c r="X102" s="37" t="n"/>
      <c r="Y102" s="33" t="n"/>
      <c r="Z102" s="33" t="n"/>
      <c r="AA102" s="32" t="inlineStr">
        <is>
          <t>IF(E102="","",IF(COUNT(AG102:AT102)=0,IF(Y102="","Not started",Y102),SUBSTITUTE(LOOKUP(2,1/(AG102:AT102&lt;&gt;""),$AG$3:$AT$3),"Date: ","")))</t>
        </is>
      </c>
      <c r="AB102" s="38" t="inlineStr">
        <is>
          <t>IF(OR(E102="",COUNT(AG102:AT102)=0),"",TODAY()-LOOKUP(2,1/(AG102:AT102&lt;&gt;""),AG102:AT102))</t>
        </is>
      </c>
      <c r="AC102" s="38" t="inlineStr">
        <is>
          <t>IF(OR(E102="",COUNT(AG102:AT102)&lt;2),"",LOOKUP(2,1/(AG102:AT102&lt;&gt;""),AG102:AT102)-MIN(AG102:AT102))</t>
        </is>
      </c>
      <c r="AD102" s="38" t="inlineStr">
        <is>
          <t>IF(OR(AB102="",AA102="Not started",AA102=""),"",IFERROR(AB102-IF(VLOOKUP(AA102,'04_Status_Pipeline'!$B$3:$E$20,4,FALSE)="",0,VLOOKUP(AA102,'04_Status_Pipeline'!$B$3:$E$20,4,FALSE)),""))</t>
        </is>
      </c>
      <c r="AE102" s="32" t="inlineStr">
        <is>
          <t>IF(E102="","",IF(OR(Y102="Cancelled",AA102="Cancelled"),"Cancelled",IF(OR(AA102="Completed / Handover",W102&lt;&gt;"",X102&gt;=100),"Completed — on track",IF(L102="Remaining",IF(S102="",IF(V102="","No planned date",IF(TODAY()&gt;V102,"Behind — past planned date",IF(V102-TODAY()&lt;=30,"At risk — close to off track","On track"))),IF(TODAY()&gt;S102,"Behind — award date passed",IF(S102-TODAY()&lt;=30,"At risk — close to off track","On track"))),IF(V102="","No planned date",IF(AND(TODAY()&gt;V102,OR(X102="",X102&lt;100)),"Behind — past end date",IF(AND(R102&lt;&gt;"",V102&lt;&gt;"",X102&lt;&gt;"",(X102&lt;100),((TODAY()-R102)/MAX(V102-R102,1)*100)-X102&gt;15),"Behind — progress lag",IF(AND(V102-TODAY()&lt;=30,V102-TODAY()&gt;=0,OR(X102="",X102&lt;90)),"At risk — close to off track","On track"))))))))</t>
        </is>
      </c>
      <c r="AF102" s="38" t="inlineStr">
        <is>
          <t>IF(OR(E102="",AA102="Completed / Handover",AA102="Cancelled"),"",IF(L102="Remaining",IF(S102&lt;&gt;"",S102-TODAY(),IF(V102="","",V102-TODAY())),IF(V102="","",V102-TODAY())))</t>
        </is>
      </c>
      <c r="AG102" s="36" t="n"/>
      <c r="AH102" s="36" t="n"/>
      <c r="AI102" s="36" t="n"/>
      <c r="AJ102" s="36" t="n"/>
      <c r="AK102" s="36" t="n"/>
      <c r="AL102" s="36" t="n"/>
      <c r="AM102" s="36" t="n"/>
      <c r="AN102" s="36" t="n"/>
      <c r="AO102" s="36" t="n"/>
      <c r="AP102" s="36" t="n"/>
      <c r="AQ102" s="36" t="n"/>
      <c r="AR102" s="40" t="n"/>
      <c r="AS102" s="40" t="n"/>
      <c r="AT102" s="40" t="n"/>
      <c r="AU102" s="38" t="inlineStr">
        <is>
          <t>IF(OR(E102="",AH102=""),"",IF(COUNT(AG102:AG102)=0,"",AH102-LOOKUP(2,1/(AG102:AG102&lt;&gt;""),AG102:AG102)))</t>
        </is>
      </c>
      <c r="AV102" s="38" t="inlineStr">
        <is>
          <t>IF(OR(E102="",AI102=""),"",IF(COUNT(AG102:AH102)=0,"",AI102-LOOKUP(2,1/(AG102:AH102&lt;&gt;""),AG102:AH102)))</t>
        </is>
      </c>
      <c r="AW102" s="38" t="inlineStr">
        <is>
          <t>IF(OR(E102="",AJ102=""),"",IF(COUNT(AG102:AI102)=0,"",AJ102-LOOKUP(2,1/(AG102:AI102&lt;&gt;""),AG102:AI102)))</t>
        </is>
      </c>
      <c r="AX102" s="38" t="inlineStr">
        <is>
          <t>IF(OR(E102="",AK102=""),"",IF(COUNT(AG102:AJ102)=0,"",AK102-LOOKUP(2,1/(AG102:AJ102&lt;&gt;""),AG102:AJ102)))</t>
        </is>
      </c>
      <c r="AY102" s="38" t="inlineStr">
        <is>
          <t>IF(OR(E102="",AL102=""),"",IF(COUNT(AG102:AK102)=0,"",AL102-LOOKUP(2,1/(AG102:AK102&lt;&gt;""),AG102:AK102)))</t>
        </is>
      </c>
      <c r="AZ102" s="38" t="inlineStr">
        <is>
          <t>IF(OR(E102="",AM102=""),"",IF(COUNT(AG102:AL102)=0,"",AM102-LOOKUP(2,1/(AG102:AL102&lt;&gt;""),AG102:AL102)))</t>
        </is>
      </c>
      <c r="BA102" s="38" t="inlineStr">
        <is>
          <t>IF(OR(E102="",AN102=""),"",IF(COUNT(AG102:AM102)=0,"",AN102-LOOKUP(2,1/(AG102:AM102&lt;&gt;""),AG102:AM102)))</t>
        </is>
      </c>
      <c r="BB102" s="38" t="inlineStr">
        <is>
          <t>IF(OR(E102="",AO102=""),"",IF(COUNT(AG102:AN102)=0,"",AO102-LOOKUP(2,1/(AG102:AN102&lt;&gt;""),AG102:AN102)))</t>
        </is>
      </c>
      <c r="BC102" s="38" t="inlineStr">
        <is>
          <t>IF(OR(E102="",AP102=""),"",IF(COUNT(AG102:AO102)=0,"",AP102-LOOKUP(2,1/(AG102:AO102&lt;&gt;""),AG102:AO102)))</t>
        </is>
      </c>
      <c r="BD102" s="38" t="inlineStr">
        <is>
          <t>IF(OR(E102="",AQ102=""),"",IF(COUNT(AG102:AP102)=0,"",AQ102-LOOKUP(2,1/(AG102:AP102&lt;&gt;""),AG102:AP102)))</t>
        </is>
      </c>
      <c r="BE102" s="38" t="inlineStr">
        <is>
          <t>IF(OR(E102="",AR102=""),"",IF(COUNT(AG102:AQ102)=0,"",AR102-LOOKUP(2,1/(AG102:AQ102&lt;&gt;""),AG102:AQ102)))</t>
        </is>
      </c>
      <c r="BF102" s="38" t="inlineStr">
        <is>
          <t>IF(OR(E102="",AS102=""),"",IF(COUNT(AG102:AR102)=0,"",AS102-LOOKUP(2,1/(AG102:AR102&lt;&gt;""),AG102:AR102)))</t>
        </is>
      </c>
      <c r="BG102" s="38" t="inlineStr">
        <is>
          <t>IF(OR(E102="",AT102=""),"",IF(COUNT(AG102:AS102)=0,"",AT102-LOOKUP(2,1/(AG102:AS102&lt;&gt;""),AG102:AS102)))</t>
        </is>
      </c>
      <c r="BH102" s="41" t="inlineStr">
        <is>
          <t>IF(G102="","All_Provinces",IFERROR(VLOOKUP(G102,'07_Lookups'!$A$4:$B$20,2,FALSE),"All_Provinces"))</t>
        </is>
      </c>
      <c r="BI102" s="41" t="inlineStr">
        <is>
          <t>IF(H102="","All_Districts",IFERROR(VLOOKUP(H102,'07_Lookups'!$E$4:$F$42,2,FALSE),"All_Districts"))</t>
        </is>
      </c>
    </row>
    <row r="103" ht="18" customHeight="1">
      <c r="A103" s="32" t="inlineStr">
        <is>
          <t>IF(E103="","",ROW()-3)</t>
        </is>
      </c>
      <c r="B103" s="42" t="n"/>
      <c r="C103" s="42" t="n"/>
      <c r="D103" s="42" t="n"/>
      <c r="E103" s="42" t="n"/>
      <c r="F103" s="42" t="n"/>
      <c r="G103" s="42" t="n"/>
      <c r="H103" s="42" t="n"/>
      <c r="I103" s="42" t="n"/>
      <c r="J103" s="42" t="n"/>
      <c r="K103" s="42" t="n"/>
      <c r="L103" s="42" t="n"/>
      <c r="M103" s="42" t="n"/>
      <c r="N103" s="42" t="n"/>
      <c r="O103" s="42" t="n"/>
      <c r="P103" s="42" t="n"/>
      <c r="Q103" s="43" t="n"/>
      <c r="R103" s="35" t="inlineStr">
        <is>
          <t>IF(AO103="","",AO103)</t>
        </is>
      </c>
      <c r="S103" s="44" t="n"/>
      <c r="T103" s="45" t="n"/>
      <c r="U103" s="44" t="n"/>
      <c r="V103" s="35" t="inlineStr">
        <is>
          <t>IF(U103&lt;&gt;"",U103,IF(OR(R103="",T103=""),"",EDATE(R103,T103)))</t>
        </is>
      </c>
      <c r="W103" s="44" t="n"/>
      <c r="X103" s="45" t="n"/>
      <c r="Y103" s="42" t="n"/>
      <c r="Z103" s="42" t="n"/>
      <c r="AA103" s="32" t="inlineStr">
        <is>
          <t>IF(E103="","",IF(COUNT(AG103:AT103)=0,IF(Y103="","Not started",Y103),SUBSTITUTE(LOOKUP(2,1/(AG103:AT103&lt;&gt;""),$AG$3:$AT$3),"Date: ","")))</t>
        </is>
      </c>
      <c r="AB103" s="38" t="inlineStr">
        <is>
          <t>IF(OR(E103="",COUNT(AG103:AT103)=0),"",TODAY()-LOOKUP(2,1/(AG103:AT103&lt;&gt;""),AG103:AT103))</t>
        </is>
      </c>
      <c r="AC103" s="38" t="inlineStr">
        <is>
          <t>IF(OR(E103="",COUNT(AG103:AT103)&lt;2),"",LOOKUP(2,1/(AG103:AT103&lt;&gt;""),AG103:AT103)-MIN(AG103:AT103))</t>
        </is>
      </c>
      <c r="AD103" s="38" t="inlineStr">
        <is>
          <t>IF(OR(AB103="",AA103="Not started",AA103=""),"",IFERROR(AB103-IF(VLOOKUP(AA103,'04_Status_Pipeline'!$B$3:$E$20,4,FALSE)="",0,VLOOKUP(AA103,'04_Status_Pipeline'!$B$3:$E$20,4,FALSE)),""))</t>
        </is>
      </c>
      <c r="AE103" s="32" t="inlineStr">
        <is>
          <t>IF(E103="","",IF(OR(Y103="Cancelled",AA103="Cancelled"),"Cancelled",IF(OR(AA103="Completed / Handover",W103&lt;&gt;"",X103&gt;=100),"Completed — on track",IF(L103="Remaining",IF(S103="",IF(V103="","No planned date",IF(TODAY()&gt;V103,"Behind — past planned date",IF(V103-TODAY()&lt;=30,"At risk — close to off track","On track"))),IF(TODAY()&gt;S103,"Behind — award date passed",IF(S103-TODAY()&lt;=30,"At risk — close to off track","On track"))),IF(V103="","No planned date",IF(AND(TODAY()&gt;V103,OR(X103="",X103&lt;100)),"Behind — past end date",IF(AND(R103&lt;&gt;"",V103&lt;&gt;"",X103&lt;&gt;"",(X103&lt;100),((TODAY()-R103)/MAX(V103-R103,1)*100)-X103&gt;15),"Behind — progress lag",IF(AND(V103-TODAY()&lt;=30,V103-TODAY()&gt;=0,OR(X103="",X103&lt;90)),"At risk — close to off track","On track"))))))))</t>
        </is>
      </c>
      <c r="AF103" s="38" t="inlineStr">
        <is>
          <t>IF(OR(E103="",AA103="Completed / Handover",AA103="Cancelled"),"",IF(L103="Remaining",IF(S103&lt;&gt;"",S103-TODAY(),IF(V103="","",V103-TODAY())),IF(V103="","",V103-TODAY())))</t>
        </is>
      </c>
      <c r="AG103" s="44" t="n"/>
      <c r="AH103" s="44" t="n"/>
      <c r="AI103" s="44" t="n"/>
      <c r="AJ103" s="44" t="n"/>
      <c r="AK103" s="44" t="n"/>
      <c r="AL103" s="44" t="n"/>
      <c r="AM103" s="44" t="n"/>
      <c r="AN103" s="44" t="n"/>
      <c r="AO103" s="44" t="n"/>
      <c r="AP103" s="44" t="n"/>
      <c r="AQ103" s="44" t="n"/>
      <c r="AR103" s="40" t="n"/>
      <c r="AS103" s="40" t="n"/>
      <c r="AT103" s="40" t="n"/>
      <c r="AU103" s="38" t="inlineStr">
        <is>
          <t>IF(OR(E103="",AH103=""),"",IF(COUNT(AG103:AG103)=0,"",AH103-LOOKUP(2,1/(AG103:AG103&lt;&gt;""),AG103:AG103)))</t>
        </is>
      </c>
      <c r="AV103" s="38" t="inlineStr">
        <is>
          <t>IF(OR(E103="",AI103=""),"",IF(COUNT(AG103:AH103)=0,"",AI103-LOOKUP(2,1/(AG103:AH103&lt;&gt;""),AG103:AH103)))</t>
        </is>
      </c>
      <c r="AW103" s="38" t="inlineStr">
        <is>
          <t>IF(OR(E103="",AJ103=""),"",IF(COUNT(AG103:AI103)=0,"",AJ103-LOOKUP(2,1/(AG103:AI103&lt;&gt;""),AG103:AI103)))</t>
        </is>
      </c>
      <c r="AX103" s="38" t="inlineStr">
        <is>
          <t>IF(OR(E103="",AK103=""),"",IF(COUNT(AG103:AJ103)=0,"",AK103-LOOKUP(2,1/(AG103:AJ103&lt;&gt;""),AG103:AJ103)))</t>
        </is>
      </c>
      <c r="AY103" s="38" t="inlineStr">
        <is>
          <t>IF(OR(E103="",AL103=""),"",IF(COUNT(AG103:AK103)=0,"",AL103-LOOKUP(2,1/(AG103:AK103&lt;&gt;""),AG103:AK103)))</t>
        </is>
      </c>
      <c r="AZ103" s="38" t="inlineStr">
        <is>
          <t>IF(OR(E103="",AM103=""),"",IF(COUNT(AG103:AL103)=0,"",AM103-LOOKUP(2,1/(AG103:AL103&lt;&gt;""),AG103:AL103)))</t>
        </is>
      </c>
      <c r="BA103" s="38" t="inlineStr">
        <is>
          <t>IF(OR(E103="",AN103=""),"",IF(COUNT(AG103:AM103)=0,"",AN103-LOOKUP(2,1/(AG103:AM103&lt;&gt;""),AG103:AM103)))</t>
        </is>
      </c>
      <c r="BB103" s="38" t="inlineStr">
        <is>
          <t>IF(OR(E103="",AO103=""),"",IF(COUNT(AG103:AN103)=0,"",AO103-LOOKUP(2,1/(AG103:AN103&lt;&gt;""),AG103:AN103)))</t>
        </is>
      </c>
      <c r="BC103" s="38" t="inlineStr">
        <is>
          <t>IF(OR(E103="",AP103=""),"",IF(COUNT(AG103:AO103)=0,"",AP103-LOOKUP(2,1/(AG103:AO103&lt;&gt;""),AG103:AO103)))</t>
        </is>
      </c>
      <c r="BD103" s="38" t="inlineStr">
        <is>
          <t>IF(OR(E103="",AQ103=""),"",IF(COUNT(AG103:AP103)=0,"",AQ103-LOOKUP(2,1/(AG103:AP103&lt;&gt;""),AG103:AP103)))</t>
        </is>
      </c>
      <c r="BE103" s="38" t="inlineStr">
        <is>
          <t>IF(OR(E103="",AR103=""),"",IF(COUNT(AG103:AQ103)=0,"",AR103-LOOKUP(2,1/(AG103:AQ103&lt;&gt;""),AG103:AQ103)))</t>
        </is>
      </c>
      <c r="BF103" s="38" t="inlineStr">
        <is>
          <t>IF(OR(E103="",AS103=""),"",IF(COUNT(AG103:AR103)=0,"",AS103-LOOKUP(2,1/(AG103:AR103&lt;&gt;""),AG103:AR103)))</t>
        </is>
      </c>
      <c r="BG103" s="38" t="inlineStr">
        <is>
          <t>IF(OR(E103="",AT103=""),"",IF(COUNT(AG103:AS103)=0,"",AT103-LOOKUP(2,1/(AG103:AS103&lt;&gt;""),AG103:AS103)))</t>
        </is>
      </c>
      <c r="BH103" s="41" t="inlineStr">
        <is>
          <t>IF(G103="","All_Provinces",IFERROR(VLOOKUP(G103,'07_Lookups'!$A$4:$B$20,2,FALSE),"All_Provinces"))</t>
        </is>
      </c>
      <c r="BI103" s="41" t="inlineStr">
        <is>
          <t>IF(H103="","All_Districts",IFERROR(VLOOKUP(H103,'07_Lookups'!$E$4:$F$42,2,FALSE),"All_Districts"))</t>
        </is>
      </c>
    </row>
    <row r="104" ht="18" customHeight="1">
      <c r="A104" s="32" t="inlineStr">
        <is>
          <t>IF(E104="","",ROW()-3)</t>
        </is>
      </c>
      <c r="B104" s="33" t="n"/>
      <c r="C104" s="33" t="n"/>
      <c r="D104" s="33" t="n"/>
      <c r="E104" s="33" t="n"/>
      <c r="F104" s="33" t="n"/>
      <c r="G104" s="33" t="n"/>
      <c r="H104" s="33" t="n"/>
      <c r="I104" s="33" t="n"/>
      <c r="J104" s="33" t="n"/>
      <c r="K104" s="33" t="n"/>
      <c r="L104" s="33" t="n"/>
      <c r="M104" s="33" t="n"/>
      <c r="N104" s="33" t="n"/>
      <c r="O104" s="33" t="n"/>
      <c r="P104" s="33" t="n"/>
      <c r="Q104" s="34" t="n"/>
      <c r="R104" s="35" t="inlineStr">
        <is>
          <t>IF(AO104="","",AO104)</t>
        </is>
      </c>
      <c r="S104" s="36" t="n"/>
      <c r="T104" s="37" t="n"/>
      <c r="U104" s="36" t="n"/>
      <c r="V104" s="35" t="inlineStr">
        <is>
          <t>IF(U104&lt;&gt;"",U104,IF(OR(R104="",T104=""),"",EDATE(R104,T104)))</t>
        </is>
      </c>
      <c r="W104" s="36" t="n"/>
      <c r="X104" s="37" t="n"/>
      <c r="Y104" s="33" t="n"/>
      <c r="Z104" s="33" t="n"/>
      <c r="AA104" s="32" t="inlineStr">
        <is>
          <t>IF(E104="","",IF(COUNT(AG104:AT104)=0,IF(Y104="","Not started",Y104),SUBSTITUTE(LOOKUP(2,1/(AG104:AT104&lt;&gt;""),$AG$3:$AT$3),"Date: ","")))</t>
        </is>
      </c>
      <c r="AB104" s="38" t="inlineStr">
        <is>
          <t>IF(OR(E104="",COUNT(AG104:AT104)=0),"",TODAY()-LOOKUP(2,1/(AG104:AT104&lt;&gt;""),AG104:AT104))</t>
        </is>
      </c>
      <c r="AC104" s="38" t="inlineStr">
        <is>
          <t>IF(OR(E104="",COUNT(AG104:AT104)&lt;2),"",LOOKUP(2,1/(AG104:AT104&lt;&gt;""),AG104:AT104)-MIN(AG104:AT104))</t>
        </is>
      </c>
      <c r="AD104" s="38" t="inlineStr">
        <is>
          <t>IF(OR(AB104="",AA104="Not started",AA104=""),"",IFERROR(AB104-IF(VLOOKUP(AA104,'04_Status_Pipeline'!$B$3:$E$20,4,FALSE)="",0,VLOOKUP(AA104,'04_Status_Pipeline'!$B$3:$E$20,4,FALSE)),""))</t>
        </is>
      </c>
      <c r="AE104" s="32" t="inlineStr">
        <is>
          <t>IF(E104="","",IF(OR(Y104="Cancelled",AA104="Cancelled"),"Cancelled",IF(OR(AA104="Completed / Handover",W104&lt;&gt;"",X104&gt;=100),"Completed — on track",IF(L104="Remaining",IF(S104="",IF(V104="","No planned date",IF(TODAY()&gt;V104,"Behind — past planned date",IF(V104-TODAY()&lt;=30,"At risk — close to off track","On track"))),IF(TODAY()&gt;S104,"Behind — award date passed",IF(S104-TODAY()&lt;=30,"At risk — close to off track","On track"))),IF(V104="","No planned date",IF(AND(TODAY()&gt;V104,OR(X104="",X104&lt;100)),"Behind — past end date",IF(AND(R104&lt;&gt;"",V104&lt;&gt;"",X104&lt;&gt;"",(X104&lt;100),((TODAY()-R104)/MAX(V104-R104,1)*100)-X104&gt;15),"Behind — progress lag",IF(AND(V104-TODAY()&lt;=30,V104-TODAY()&gt;=0,OR(X104="",X104&lt;90)),"At risk — close to off track","On track"))))))))</t>
        </is>
      </c>
      <c r="AF104" s="38" t="inlineStr">
        <is>
          <t>IF(OR(E104="",AA104="Completed / Handover",AA104="Cancelled"),"",IF(L104="Remaining",IF(S104&lt;&gt;"",S104-TODAY(),IF(V104="","",V104-TODAY())),IF(V104="","",V104-TODAY())))</t>
        </is>
      </c>
      <c r="AG104" s="36" t="n"/>
      <c r="AH104" s="36" t="n"/>
      <c r="AI104" s="36" t="n"/>
      <c r="AJ104" s="36" t="n"/>
      <c r="AK104" s="36" t="n"/>
      <c r="AL104" s="36" t="n"/>
      <c r="AM104" s="36" t="n"/>
      <c r="AN104" s="36" t="n"/>
      <c r="AO104" s="36" t="n"/>
      <c r="AP104" s="36" t="n"/>
      <c r="AQ104" s="36" t="n"/>
      <c r="AR104" s="40" t="n"/>
      <c r="AS104" s="40" t="n"/>
      <c r="AT104" s="40" t="n"/>
      <c r="AU104" s="38" t="inlineStr">
        <is>
          <t>IF(OR(E104="",AH104=""),"",IF(COUNT(AG104:AG104)=0,"",AH104-LOOKUP(2,1/(AG104:AG104&lt;&gt;""),AG104:AG104)))</t>
        </is>
      </c>
      <c r="AV104" s="38" t="inlineStr">
        <is>
          <t>IF(OR(E104="",AI104=""),"",IF(COUNT(AG104:AH104)=0,"",AI104-LOOKUP(2,1/(AG104:AH104&lt;&gt;""),AG104:AH104)))</t>
        </is>
      </c>
      <c r="AW104" s="38" t="inlineStr">
        <is>
          <t>IF(OR(E104="",AJ104=""),"",IF(COUNT(AG104:AI104)=0,"",AJ104-LOOKUP(2,1/(AG104:AI104&lt;&gt;""),AG104:AI104)))</t>
        </is>
      </c>
      <c r="AX104" s="38" t="inlineStr">
        <is>
          <t>IF(OR(E104="",AK104=""),"",IF(COUNT(AG104:AJ104)=0,"",AK104-LOOKUP(2,1/(AG104:AJ104&lt;&gt;""),AG104:AJ104)))</t>
        </is>
      </c>
      <c r="AY104" s="38" t="inlineStr">
        <is>
          <t>IF(OR(E104="",AL104=""),"",IF(COUNT(AG104:AK104)=0,"",AL104-LOOKUP(2,1/(AG104:AK104&lt;&gt;""),AG104:AK104)))</t>
        </is>
      </c>
      <c r="AZ104" s="38" t="inlineStr">
        <is>
          <t>IF(OR(E104="",AM104=""),"",IF(COUNT(AG104:AL104)=0,"",AM104-LOOKUP(2,1/(AG104:AL104&lt;&gt;""),AG104:AL104)))</t>
        </is>
      </c>
      <c r="BA104" s="38" t="inlineStr">
        <is>
          <t>IF(OR(E104="",AN104=""),"",IF(COUNT(AG104:AM104)=0,"",AN104-LOOKUP(2,1/(AG104:AM104&lt;&gt;""),AG104:AM104)))</t>
        </is>
      </c>
      <c r="BB104" s="38" t="inlineStr">
        <is>
          <t>IF(OR(E104="",AO104=""),"",IF(COUNT(AG104:AN104)=0,"",AO104-LOOKUP(2,1/(AG104:AN104&lt;&gt;""),AG104:AN104)))</t>
        </is>
      </c>
      <c r="BC104" s="38" t="inlineStr">
        <is>
          <t>IF(OR(E104="",AP104=""),"",IF(COUNT(AG104:AO104)=0,"",AP104-LOOKUP(2,1/(AG104:AO104&lt;&gt;""),AG104:AO104)))</t>
        </is>
      </c>
      <c r="BD104" s="38" t="inlineStr">
        <is>
          <t>IF(OR(E104="",AQ104=""),"",IF(COUNT(AG104:AP104)=0,"",AQ104-LOOKUP(2,1/(AG104:AP104&lt;&gt;""),AG104:AP104)))</t>
        </is>
      </c>
      <c r="BE104" s="38" t="inlineStr">
        <is>
          <t>IF(OR(E104="",AR104=""),"",IF(COUNT(AG104:AQ104)=0,"",AR104-LOOKUP(2,1/(AG104:AQ104&lt;&gt;""),AG104:AQ104)))</t>
        </is>
      </c>
      <c r="BF104" s="38" t="inlineStr">
        <is>
          <t>IF(OR(E104="",AS104=""),"",IF(COUNT(AG104:AR104)=0,"",AS104-LOOKUP(2,1/(AG104:AR104&lt;&gt;""),AG104:AR104)))</t>
        </is>
      </c>
      <c r="BG104" s="38" t="inlineStr">
        <is>
          <t>IF(OR(E104="",AT104=""),"",IF(COUNT(AG104:AS104)=0,"",AT104-LOOKUP(2,1/(AG104:AS104&lt;&gt;""),AG104:AS104)))</t>
        </is>
      </c>
      <c r="BH104" s="41" t="inlineStr">
        <is>
          <t>IF(G104="","All_Provinces",IFERROR(VLOOKUP(G104,'07_Lookups'!$A$4:$B$20,2,FALSE),"All_Provinces"))</t>
        </is>
      </c>
      <c r="BI104" s="41" t="inlineStr">
        <is>
          <t>IF(H104="","All_Districts",IFERROR(VLOOKUP(H104,'07_Lookups'!$E$4:$F$42,2,FALSE),"All_Districts"))</t>
        </is>
      </c>
    </row>
    <row r="105" ht="18" customHeight="1">
      <c r="A105" s="32" t="inlineStr">
        <is>
          <t>IF(E105="","",ROW()-3)</t>
        </is>
      </c>
      <c r="B105" s="42" t="n"/>
      <c r="C105" s="42" t="n"/>
      <c r="D105" s="42" t="n"/>
      <c r="E105" s="42" t="n"/>
      <c r="F105" s="42" t="n"/>
      <c r="G105" s="42" t="n"/>
      <c r="H105" s="42" t="n"/>
      <c r="I105" s="42" t="n"/>
      <c r="J105" s="42" t="n"/>
      <c r="K105" s="42" t="n"/>
      <c r="L105" s="42" t="n"/>
      <c r="M105" s="42" t="n"/>
      <c r="N105" s="42" t="n"/>
      <c r="O105" s="42" t="n"/>
      <c r="P105" s="42" t="n"/>
      <c r="Q105" s="43" t="n"/>
      <c r="R105" s="35" t="inlineStr">
        <is>
          <t>IF(AO105="","",AO105)</t>
        </is>
      </c>
      <c r="S105" s="44" t="n"/>
      <c r="T105" s="45" t="n"/>
      <c r="U105" s="44" t="n"/>
      <c r="V105" s="35" t="inlineStr">
        <is>
          <t>IF(U105&lt;&gt;"",U105,IF(OR(R105="",T105=""),"",EDATE(R105,T105)))</t>
        </is>
      </c>
      <c r="W105" s="44" t="n"/>
      <c r="X105" s="45" t="n"/>
      <c r="Y105" s="42" t="n"/>
      <c r="Z105" s="42" t="n"/>
      <c r="AA105" s="32" t="inlineStr">
        <is>
          <t>IF(E105="","",IF(COUNT(AG105:AT105)=0,IF(Y105="","Not started",Y105),SUBSTITUTE(LOOKUP(2,1/(AG105:AT105&lt;&gt;""),$AG$3:$AT$3),"Date: ","")))</t>
        </is>
      </c>
      <c r="AB105" s="38" t="inlineStr">
        <is>
          <t>IF(OR(E105="",COUNT(AG105:AT105)=0),"",TODAY()-LOOKUP(2,1/(AG105:AT105&lt;&gt;""),AG105:AT105))</t>
        </is>
      </c>
      <c r="AC105" s="38" t="inlineStr">
        <is>
          <t>IF(OR(E105="",COUNT(AG105:AT105)&lt;2),"",LOOKUP(2,1/(AG105:AT105&lt;&gt;""),AG105:AT105)-MIN(AG105:AT105))</t>
        </is>
      </c>
      <c r="AD105" s="38" t="inlineStr">
        <is>
          <t>IF(OR(AB105="",AA105="Not started",AA105=""),"",IFERROR(AB105-IF(VLOOKUP(AA105,'04_Status_Pipeline'!$B$3:$E$20,4,FALSE)="",0,VLOOKUP(AA105,'04_Status_Pipeline'!$B$3:$E$20,4,FALSE)),""))</t>
        </is>
      </c>
      <c r="AE105" s="32" t="inlineStr">
        <is>
          <t>IF(E105="","",IF(OR(Y105="Cancelled",AA105="Cancelled"),"Cancelled",IF(OR(AA105="Completed / Handover",W105&lt;&gt;"",X105&gt;=100),"Completed — on track",IF(L105="Remaining",IF(S105="",IF(V105="","No planned date",IF(TODAY()&gt;V105,"Behind — past planned date",IF(V105-TODAY()&lt;=30,"At risk — close to off track","On track"))),IF(TODAY()&gt;S105,"Behind — award date passed",IF(S105-TODAY()&lt;=30,"At risk — close to off track","On track"))),IF(V105="","No planned date",IF(AND(TODAY()&gt;V105,OR(X105="",X105&lt;100)),"Behind — past end date",IF(AND(R105&lt;&gt;"",V105&lt;&gt;"",X105&lt;&gt;"",(X105&lt;100),((TODAY()-R105)/MAX(V105-R105,1)*100)-X105&gt;15),"Behind — progress lag",IF(AND(V105-TODAY()&lt;=30,V105-TODAY()&gt;=0,OR(X105="",X105&lt;90)),"At risk — close to off track","On track"))))))))</t>
        </is>
      </c>
      <c r="AF105" s="38" t="inlineStr">
        <is>
          <t>IF(OR(E105="",AA105="Completed / Handover",AA105="Cancelled"),"",IF(L105="Remaining",IF(S105&lt;&gt;"",S105-TODAY(),IF(V105="","",V105-TODAY())),IF(V105="","",V105-TODAY())))</t>
        </is>
      </c>
      <c r="AG105" s="44" t="n"/>
      <c r="AH105" s="44" t="n"/>
      <c r="AI105" s="44" t="n"/>
      <c r="AJ105" s="44" t="n"/>
      <c r="AK105" s="44" t="n"/>
      <c r="AL105" s="44" t="n"/>
      <c r="AM105" s="44" t="n"/>
      <c r="AN105" s="44" t="n"/>
      <c r="AO105" s="44" t="n"/>
      <c r="AP105" s="44" t="n"/>
      <c r="AQ105" s="44" t="n"/>
      <c r="AR105" s="40" t="n"/>
      <c r="AS105" s="40" t="n"/>
      <c r="AT105" s="40" t="n"/>
      <c r="AU105" s="38" t="inlineStr">
        <is>
          <t>IF(OR(E105="",AH105=""),"",IF(COUNT(AG105:AG105)=0,"",AH105-LOOKUP(2,1/(AG105:AG105&lt;&gt;""),AG105:AG105)))</t>
        </is>
      </c>
      <c r="AV105" s="38" t="inlineStr">
        <is>
          <t>IF(OR(E105="",AI105=""),"",IF(COUNT(AG105:AH105)=0,"",AI105-LOOKUP(2,1/(AG105:AH105&lt;&gt;""),AG105:AH105)))</t>
        </is>
      </c>
      <c r="AW105" s="38" t="inlineStr">
        <is>
          <t>IF(OR(E105="",AJ105=""),"",IF(COUNT(AG105:AI105)=0,"",AJ105-LOOKUP(2,1/(AG105:AI105&lt;&gt;""),AG105:AI105)))</t>
        </is>
      </c>
      <c r="AX105" s="38" t="inlineStr">
        <is>
          <t>IF(OR(E105="",AK105=""),"",IF(COUNT(AG105:AJ105)=0,"",AK105-LOOKUP(2,1/(AG105:AJ105&lt;&gt;""),AG105:AJ105)))</t>
        </is>
      </c>
      <c r="AY105" s="38" t="inlineStr">
        <is>
          <t>IF(OR(E105="",AL105=""),"",IF(COUNT(AG105:AK105)=0,"",AL105-LOOKUP(2,1/(AG105:AK105&lt;&gt;""),AG105:AK105)))</t>
        </is>
      </c>
      <c r="AZ105" s="38" t="inlineStr">
        <is>
          <t>IF(OR(E105="",AM105=""),"",IF(COUNT(AG105:AL105)=0,"",AM105-LOOKUP(2,1/(AG105:AL105&lt;&gt;""),AG105:AL105)))</t>
        </is>
      </c>
      <c r="BA105" s="38" t="inlineStr">
        <is>
          <t>IF(OR(E105="",AN105=""),"",IF(COUNT(AG105:AM105)=0,"",AN105-LOOKUP(2,1/(AG105:AM105&lt;&gt;""),AG105:AM105)))</t>
        </is>
      </c>
      <c r="BB105" s="38" t="inlineStr">
        <is>
          <t>IF(OR(E105="",AO105=""),"",IF(COUNT(AG105:AN105)=0,"",AO105-LOOKUP(2,1/(AG105:AN105&lt;&gt;""),AG105:AN105)))</t>
        </is>
      </c>
      <c r="BC105" s="38" t="inlineStr">
        <is>
          <t>IF(OR(E105="",AP105=""),"",IF(COUNT(AG105:AO105)=0,"",AP105-LOOKUP(2,1/(AG105:AO105&lt;&gt;""),AG105:AO105)))</t>
        </is>
      </c>
      <c r="BD105" s="38" t="inlineStr">
        <is>
          <t>IF(OR(E105="",AQ105=""),"",IF(COUNT(AG105:AP105)=0,"",AQ105-LOOKUP(2,1/(AG105:AP105&lt;&gt;""),AG105:AP105)))</t>
        </is>
      </c>
      <c r="BE105" s="38" t="inlineStr">
        <is>
          <t>IF(OR(E105="",AR105=""),"",IF(COUNT(AG105:AQ105)=0,"",AR105-LOOKUP(2,1/(AG105:AQ105&lt;&gt;""),AG105:AQ105)))</t>
        </is>
      </c>
      <c r="BF105" s="38" t="inlineStr">
        <is>
          <t>IF(OR(E105="",AS105=""),"",IF(COUNT(AG105:AR105)=0,"",AS105-LOOKUP(2,1/(AG105:AR105&lt;&gt;""),AG105:AR105)))</t>
        </is>
      </c>
      <c r="BG105" s="38" t="inlineStr">
        <is>
          <t>IF(OR(E105="",AT105=""),"",IF(COUNT(AG105:AS105)=0,"",AT105-LOOKUP(2,1/(AG105:AS105&lt;&gt;""),AG105:AS105)))</t>
        </is>
      </c>
      <c r="BH105" s="41" t="inlineStr">
        <is>
          <t>IF(G105="","All_Provinces",IFERROR(VLOOKUP(G105,'07_Lookups'!$A$4:$B$20,2,FALSE),"All_Provinces"))</t>
        </is>
      </c>
      <c r="BI105" s="41" t="inlineStr">
        <is>
          <t>IF(H105="","All_Districts",IFERROR(VLOOKUP(H105,'07_Lookups'!$E$4:$F$42,2,FALSE),"All_Districts"))</t>
        </is>
      </c>
    </row>
    <row r="106" ht="18" customHeight="1">
      <c r="A106" s="32" t="inlineStr">
        <is>
          <t>IF(E106="","",ROW()-3)</t>
        </is>
      </c>
      <c r="B106" s="33" t="n"/>
      <c r="C106" s="33" t="n"/>
      <c r="D106" s="33" t="n"/>
      <c r="E106" s="33" t="n"/>
      <c r="F106" s="33" t="n"/>
      <c r="G106" s="33" t="n"/>
      <c r="H106" s="33" t="n"/>
      <c r="I106" s="33" t="n"/>
      <c r="J106" s="33" t="n"/>
      <c r="K106" s="33" t="n"/>
      <c r="L106" s="33" t="n"/>
      <c r="M106" s="33" t="n"/>
      <c r="N106" s="33" t="n"/>
      <c r="O106" s="33" t="n"/>
      <c r="P106" s="33" t="n"/>
      <c r="Q106" s="34" t="n"/>
      <c r="R106" s="35" t="inlineStr">
        <is>
          <t>IF(AO106="","",AO106)</t>
        </is>
      </c>
      <c r="S106" s="36" t="n"/>
      <c r="T106" s="37" t="n"/>
      <c r="U106" s="36" t="n"/>
      <c r="V106" s="35" t="inlineStr">
        <is>
          <t>IF(U106&lt;&gt;"",U106,IF(OR(R106="",T106=""),"",EDATE(R106,T106)))</t>
        </is>
      </c>
      <c r="W106" s="36" t="n"/>
      <c r="X106" s="37" t="n"/>
      <c r="Y106" s="33" t="n"/>
      <c r="Z106" s="33" t="n"/>
      <c r="AA106" s="32" t="inlineStr">
        <is>
          <t>IF(E106="","",IF(COUNT(AG106:AT106)=0,IF(Y106="","Not started",Y106),SUBSTITUTE(LOOKUP(2,1/(AG106:AT106&lt;&gt;""),$AG$3:$AT$3),"Date: ","")))</t>
        </is>
      </c>
      <c r="AB106" s="38" t="inlineStr">
        <is>
          <t>IF(OR(E106="",COUNT(AG106:AT106)=0),"",TODAY()-LOOKUP(2,1/(AG106:AT106&lt;&gt;""),AG106:AT106))</t>
        </is>
      </c>
      <c r="AC106" s="38" t="inlineStr">
        <is>
          <t>IF(OR(E106="",COUNT(AG106:AT106)&lt;2),"",LOOKUP(2,1/(AG106:AT106&lt;&gt;""),AG106:AT106)-MIN(AG106:AT106))</t>
        </is>
      </c>
      <c r="AD106" s="38" t="inlineStr">
        <is>
          <t>IF(OR(AB106="",AA106="Not started",AA106=""),"",IFERROR(AB106-IF(VLOOKUP(AA106,'04_Status_Pipeline'!$B$3:$E$20,4,FALSE)="",0,VLOOKUP(AA106,'04_Status_Pipeline'!$B$3:$E$20,4,FALSE)),""))</t>
        </is>
      </c>
      <c r="AE106" s="32" t="inlineStr">
        <is>
          <t>IF(E106="","",IF(OR(Y106="Cancelled",AA106="Cancelled"),"Cancelled",IF(OR(AA106="Completed / Handover",W106&lt;&gt;"",X106&gt;=100),"Completed — on track",IF(L106="Remaining",IF(S106="",IF(V106="","No planned date",IF(TODAY()&gt;V106,"Behind — past planned date",IF(V106-TODAY()&lt;=30,"At risk — close to off track","On track"))),IF(TODAY()&gt;S106,"Behind — award date passed",IF(S106-TODAY()&lt;=30,"At risk — close to off track","On track"))),IF(V106="","No planned date",IF(AND(TODAY()&gt;V106,OR(X106="",X106&lt;100)),"Behind — past end date",IF(AND(R106&lt;&gt;"",V106&lt;&gt;"",X106&lt;&gt;"",(X106&lt;100),((TODAY()-R106)/MAX(V106-R106,1)*100)-X106&gt;15),"Behind — progress lag",IF(AND(V106-TODAY()&lt;=30,V106-TODAY()&gt;=0,OR(X106="",X106&lt;90)),"At risk — close to off track","On track"))))))))</t>
        </is>
      </c>
      <c r="AF106" s="38" t="inlineStr">
        <is>
          <t>IF(OR(E106="",AA106="Completed / Handover",AA106="Cancelled"),"",IF(L106="Remaining",IF(S106&lt;&gt;"",S106-TODAY(),IF(V106="","",V106-TODAY())),IF(V106="","",V106-TODAY())))</t>
        </is>
      </c>
      <c r="AG106" s="36" t="n"/>
      <c r="AH106" s="36" t="n"/>
      <c r="AI106" s="36" t="n"/>
      <c r="AJ106" s="36" t="n"/>
      <c r="AK106" s="36" t="n"/>
      <c r="AL106" s="36" t="n"/>
      <c r="AM106" s="36" t="n"/>
      <c r="AN106" s="36" t="n"/>
      <c r="AO106" s="36" t="n"/>
      <c r="AP106" s="36" t="n"/>
      <c r="AQ106" s="36" t="n"/>
      <c r="AR106" s="40" t="n"/>
      <c r="AS106" s="40" t="n"/>
      <c r="AT106" s="40" t="n"/>
      <c r="AU106" s="38" t="inlineStr">
        <is>
          <t>IF(OR(E106="",AH106=""),"",IF(COUNT(AG106:AG106)=0,"",AH106-LOOKUP(2,1/(AG106:AG106&lt;&gt;""),AG106:AG106)))</t>
        </is>
      </c>
      <c r="AV106" s="38" t="inlineStr">
        <is>
          <t>IF(OR(E106="",AI106=""),"",IF(COUNT(AG106:AH106)=0,"",AI106-LOOKUP(2,1/(AG106:AH106&lt;&gt;""),AG106:AH106)))</t>
        </is>
      </c>
      <c r="AW106" s="38" t="inlineStr">
        <is>
          <t>IF(OR(E106="",AJ106=""),"",IF(COUNT(AG106:AI106)=0,"",AJ106-LOOKUP(2,1/(AG106:AI106&lt;&gt;""),AG106:AI106)))</t>
        </is>
      </c>
      <c r="AX106" s="38" t="inlineStr">
        <is>
          <t>IF(OR(E106="",AK106=""),"",IF(COUNT(AG106:AJ106)=0,"",AK106-LOOKUP(2,1/(AG106:AJ106&lt;&gt;""),AG106:AJ106)))</t>
        </is>
      </c>
      <c r="AY106" s="38" t="inlineStr">
        <is>
          <t>IF(OR(E106="",AL106=""),"",IF(COUNT(AG106:AK106)=0,"",AL106-LOOKUP(2,1/(AG106:AK106&lt;&gt;""),AG106:AK106)))</t>
        </is>
      </c>
      <c r="AZ106" s="38" t="inlineStr">
        <is>
          <t>IF(OR(E106="",AM106=""),"",IF(COUNT(AG106:AL106)=0,"",AM106-LOOKUP(2,1/(AG106:AL106&lt;&gt;""),AG106:AL106)))</t>
        </is>
      </c>
      <c r="BA106" s="38" t="inlineStr">
        <is>
          <t>IF(OR(E106="",AN106=""),"",IF(COUNT(AG106:AM106)=0,"",AN106-LOOKUP(2,1/(AG106:AM106&lt;&gt;""),AG106:AM106)))</t>
        </is>
      </c>
      <c r="BB106" s="38" t="inlineStr">
        <is>
          <t>IF(OR(E106="",AO106=""),"",IF(COUNT(AG106:AN106)=0,"",AO106-LOOKUP(2,1/(AG106:AN106&lt;&gt;""),AG106:AN106)))</t>
        </is>
      </c>
      <c r="BC106" s="38" t="inlineStr">
        <is>
          <t>IF(OR(E106="",AP106=""),"",IF(COUNT(AG106:AO106)=0,"",AP106-LOOKUP(2,1/(AG106:AO106&lt;&gt;""),AG106:AO106)))</t>
        </is>
      </c>
      <c r="BD106" s="38" t="inlineStr">
        <is>
          <t>IF(OR(E106="",AQ106=""),"",IF(COUNT(AG106:AP106)=0,"",AQ106-LOOKUP(2,1/(AG106:AP106&lt;&gt;""),AG106:AP106)))</t>
        </is>
      </c>
      <c r="BE106" s="38" t="inlineStr">
        <is>
          <t>IF(OR(E106="",AR106=""),"",IF(COUNT(AG106:AQ106)=0,"",AR106-LOOKUP(2,1/(AG106:AQ106&lt;&gt;""),AG106:AQ106)))</t>
        </is>
      </c>
      <c r="BF106" s="38" t="inlineStr">
        <is>
          <t>IF(OR(E106="",AS106=""),"",IF(COUNT(AG106:AR106)=0,"",AS106-LOOKUP(2,1/(AG106:AR106&lt;&gt;""),AG106:AR106)))</t>
        </is>
      </c>
      <c r="BG106" s="38" t="inlineStr">
        <is>
          <t>IF(OR(E106="",AT106=""),"",IF(COUNT(AG106:AS106)=0,"",AT106-LOOKUP(2,1/(AG106:AS106&lt;&gt;""),AG106:AS106)))</t>
        </is>
      </c>
      <c r="BH106" s="41" t="inlineStr">
        <is>
          <t>IF(G106="","All_Provinces",IFERROR(VLOOKUP(G106,'07_Lookups'!$A$4:$B$20,2,FALSE),"All_Provinces"))</t>
        </is>
      </c>
      <c r="BI106" s="41" t="inlineStr">
        <is>
          <t>IF(H106="","All_Districts",IFERROR(VLOOKUP(H106,'07_Lookups'!$E$4:$F$42,2,FALSE),"All_Districts"))</t>
        </is>
      </c>
    </row>
    <row r="107" ht="18" customHeight="1">
      <c r="A107" s="32" t="inlineStr">
        <is>
          <t>IF(E107="","",ROW()-3)</t>
        </is>
      </c>
      <c r="B107" s="42" t="n"/>
      <c r="C107" s="42" t="n"/>
      <c r="D107" s="42" t="n"/>
      <c r="E107" s="42" t="n"/>
      <c r="F107" s="42" t="n"/>
      <c r="G107" s="42" t="n"/>
      <c r="H107" s="42" t="n"/>
      <c r="I107" s="42" t="n"/>
      <c r="J107" s="42" t="n"/>
      <c r="K107" s="42" t="n"/>
      <c r="L107" s="42" t="n"/>
      <c r="M107" s="42" t="n"/>
      <c r="N107" s="42" t="n"/>
      <c r="O107" s="42" t="n"/>
      <c r="P107" s="42" t="n"/>
      <c r="Q107" s="43" t="n"/>
      <c r="R107" s="35" t="inlineStr">
        <is>
          <t>IF(AO107="","",AO107)</t>
        </is>
      </c>
      <c r="S107" s="44" t="n"/>
      <c r="T107" s="45" t="n"/>
      <c r="U107" s="44" t="n"/>
      <c r="V107" s="35" t="inlineStr">
        <is>
          <t>IF(U107&lt;&gt;"",U107,IF(OR(R107="",T107=""),"",EDATE(R107,T107)))</t>
        </is>
      </c>
      <c r="W107" s="44" t="n"/>
      <c r="X107" s="45" t="n"/>
      <c r="Y107" s="42" t="n"/>
      <c r="Z107" s="42" t="n"/>
      <c r="AA107" s="32" t="inlineStr">
        <is>
          <t>IF(E107="","",IF(COUNT(AG107:AT107)=0,IF(Y107="","Not started",Y107),SUBSTITUTE(LOOKUP(2,1/(AG107:AT107&lt;&gt;""),$AG$3:$AT$3),"Date: ","")))</t>
        </is>
      </c>
      <c r="AB107" s="38" t="inlineStr">
        <is>
          <t>IF(OR(E107="",COUNT(AG107:AT107)=0),"",TODAY()-LOOKUP(2,1/(AG107:AT107&lt;&gt;""),AG107:AT107))</t>
        </is>
      </c>
      <c r="AC107" s="38" t="inlineStr">
        <is>
          <t>IF(OR(E107="",COUNT(AG107:AT107)&lt;2),"",LOOKUP(2,1/(AG107:AT107&lt;&gt;""),AG107:AT107)-MIN(AG107:AT107))</t>
        </is>
      </c>
      <c r="AD107" s="38" t="inlineStr">
        <is>
          <t>IF(OR(AB107="",AA107="Not started",AA107=""),"",IFERROR(AB107-IF(VLOOKUP(AA107,'04_Status_Pipeline'!$B$3:$E$20,4,FALSE)="",0,VLOOKUP(AA107,'04_Status_Pipeline'!$B$3:$E$20,4,FALSE)),""))</t>
        </is>
      </c>
      <c r="AE107" s="32" t="inlineStr">
        <is>
          <t>IF(E107="","",IF(OR(Y107="Cancelled",AA107="Cancelled"),"Cancelled",IF(OR(AA107="Completed / Handover",W107&lt;&gt;"",X107&gt;=100),"Completed — on track",IF(L107="Remaining",IF(S107="",IF(V107="","No planned date",IF(TODAY()&gt;V107,"Behind — past planned date",IF(V107-TODAY()&lt;=30,"At risk — close to off track","On track"))),IF(TODAY()&gt;S107,"Behind — award date passed",IF(S107-TODAY()&lt;=30,"At risk — close to off track","On track"))),IF(V107="","No planned date",IF(AND(TODAY()&gt;V107,OR(X107="",X107&lt;100)),"Behind — past end date",IF(AND(R107&lt;&gt;"",V107&lt;&gt;"",X107&lt;&gt;"",(X107&lt;100),((TODAY()-R107)/MAX(V107-R107,1)*100)-X107&gt;15),"Behind — progress lag",IF(AND(V107-TODAY()&lt;=30,V107-TODAY()&gt;=0,OR(X107="",X107&lt;90)),"At risk — close to off track","On track"))))))))</t>
        </is>
      </c>
      <c r="AF107" s="38" t="inlineStr">
        <is>
          <t>IF(OR(E107="",AA107="Completed / Handover",AA107="Cancelled"),"",IF(L107="Remaining",IF(S107&lt;&gt;"",S107-TODAY(),IF(V107="","",V107-TODAY())),IF(V107="","",V107-TODAY())))</t>
        </is>
      </c>
      <c r="AG107" s="44" t="n"/>
      <c r="AH107" s="44" t="n"/>
      <c r="AI107" s="44" t="n"/>
      <c r="AJ107" s="44" t="n"/>
      <c r="AK107" s="44" t="n"/>
      <c r="AL107" s="44" t="n"/>
      <c r="AM107" s="44" t="n"/>
      <c r="AN107" s="44" t="n"/>
      <c r="AO107" s="44" t="n"/>
      <c r="AP107" s="44" t="n"/>
      <c r="AQ107" s="44" t="n"/>
      <c r="AR107" s="40" t="n"/>
      <c r="AS107" s="40" t="n"/>
      <c r="AT107" s="40" t="n"/>
      <c r="AU107" s="38" t="inlineStr">
        <is>
          <t>IF(OR(E107="",AH107=""),"",IF(COUNT(AG107:AG107)=0,"",AH107-LOOKUP(2,1/(AG107:AG107&lt;&gt;""),AG107:AG107)))</t>
        </is>
      </c>
      <c r="AV107" s="38" t="inlineStr">
        <is>
          <t>IF(OR(E107="",AI107=""),"",IF(COUNT(AG107:AH107)=0,"",AI107-LOOKUP(2,1/(AG107:AH107&lt;&gt;""),AG107:AH107)))</t>
        </is>
      </c>
      <c r="AW107" s="38" t="inlineStr">
        <is>
          <t>IF(OR(E107="",AJ107=""),"",IF(COUNT(AG107:AI107)=0,"",AJ107-LOOKUP(2,1/(AG107:AI107&lt;&gt;""),AG107:AI107)))</t>
        </is>
      </c>
      <c r="AX107" s="38" t="inlineStr">
        <is>
          <t>IF(OR(E107="",AK107=""),"",IF(COUNT(AG107:AJ107)=0,"",AK107-LOOKUP(2,1/(AG107:AJ107&lt;&gt;""),AG107:AJ107)))</t>
        </is>
      </c>
      <c r="AY107" s="38" t="inlineStr">
        <is>
          <t>IF(OR(E107="",AL107=""),"",IF(COUNT(AG107:AK107)=0,"",AL107-LOOKUP(2,1/(AG107:AK107&lt;&gt;""),AG107:AK107)))</t>
        </is>
      </c>
      <c r="AZ107" s="38" t="inlineStr">
        <is>
          <t>IF(OR(E107="",AM107=""),"",IF(COUNT(AG107:AL107)=0,"",AM107-LOOKUP(2,1/(AG107:AL107&lt;&gt;""),AG107:AL107)))</t>
        </is>
      </c>
      <c r="BA107" s="38" t="inlineStr">
        <is>
          <t>IF(OR(E107="",AN107=""),"",IF(COUNT(AG107:AM107)=0,"",AN107-LOOKUP(2,1/(AG107:AM107&lt;&gt;""),AG107:AM107)))</t>
        </is>
      </c>
      <c r="BB107" s="38" t="inlineStr">
        <is>
          <t>IF(OR(E107="",AO107=""),"",IF(COUNT(AG107:AN107)=0,"",AO107-LOOKUP(2,1/(AG107:AN107&lt;&gt;""),AG107:AN107)))</t>
        </is>
      </c>
      <c r="BC107" s="38" t="inlineStr">
        <is>
          <t>IF(OR(E107="",AP107=""),"",IF(COUNT(AG107:AO107)=0,"",AP107-LOOKUP(2,1/(AG107:AO107&lt;&gt;""),AG107:AO107)))</t>
        </is>
      </c>
      <c r="BD107" s="38" t="inlineStr">
        <is>
          <t>IF(OR(E107="",AQ107=""),"",IF(COUNT(AG107:AP107)=0,"",AQ107-LOOKUP(2,1/(AG107:AP107&lt;&gt;""),AG107:AP107)))</t>
        </is>
      </c>
      <c r="BE107" s="38" t="inlineStr">
        <is>
          <t>IF(OR(E107="",AR107=""),"",IF(COUNT(AG107:AQ107)=0,"",AR107-LOOKUP(2,1/(AG107:AQ107&lt;&gt;""),AG107:AQ107)))</t>
        </is>
      </c>
      <c r="BF107" s="38" t="inlineStr">
        <is>
          <t>IF(OR(E107="",AS107=""),"",IF(COUNT(AG107:AR107)=0,"",AS107-LOOKUP(2,1/(AG107:AR107&lt;&gt;""),AG107:AR107)))</t>
        </is>
      </c>
      <c r="BG107" s="38" t="inlineStr">
        <is>
          <t>IF(OR(E107="",AT107=""),"",IF(COUNT(AG107:AS107)=0,"",AT107-LOOKUP(2,1/(AG107:AS107&lt;&gt;""),AG107:AS107)))</t>
        </is>
      </c>
      <c r="BH107" s="41" t="inlineStr">
        <is>
          <t>IF(G107="","All_Provinces",IFERROR(VLOOKUP(G107,'07_Lookups'!$A$4:$B$20,2,FALSE),"All_Provinces"))</t>
        </is>
      </c>
      <c r="BI107" s="41" t="inlineStr">
        <is>
          <t>IF(H107="","All_Districts",IFERROR(VLOOKUP(H107,'07_Lookups'!$E$4:$F$42,2,FALSE),"All_Districts"))</t>
        </is>
      </c>
    </row>
    <row r="108" ht="18" customHeight="1">
      <c r="A108" s="32" t="inlineStr">
        <is>
          <t>IF(E108="","",ROW()-3)</t>
        </is>
      </c>
      <c r="B108" s="33" t="n"/>
      <c r="C108" s="33" t="n"/>
      <c r="D108" s="33" t="n"/>
      <c r="E108" s="33" t="n"/>
      <c r="F108" s="33" t="n"/>
      <c r="G108" s="33" t="n"/>
      <c r="H108" s="33" t="n"/>
      <c r="I108" s="33" t="n"/>
      <c r="J108" s="33" t="n"/>
      <c r="K108" s="33" t="n"/>
      <c r="L108" s="33" t="n"/>
      <c r="M108" s="33" t="n"/>
      <c r="N108" s="33" t="n"/>
      <c r="O108" s="33" t="n"/>
      <c r="P108" s="33" t="n"/>
      <c r="Q108" s="34" t="n"/>
      <c r="R108" s="35" t="inlineStr">
        <is>
          <t>IF(AO108="","",AO108)</t>
        </is>
      </c>
      <c r="S108" s="36" t="n"/>
      <c r="T108" s="37" t="n"/>
      <c r="U108" s="36" t="n"/>
      <c r="V108" s="35" t="inlineStr">
        <is>
          <t>IF(U108&lt;&gt;"",U108,IF(OR(R108="",T108=""),"",EDATE(R108,T108)))</t>
        </is>
      </c>
      <c r="W108" s="36" t="n"/>
      <c r="X108" s="37" t="n"/>
      <c r="Y108" s="33" t="n"/>
      <c r="Z108" s="33" t="n"/>
      <c r="AA108" s="32" t="inlineStr">
        <is>
          <t>IF(E108="","",IF(COUNT(AG108:AT108)=0,IF(Y108="","Not started",Y108),SUBSTITUTE(LOOKUP(2,1/(AG108:AT108&lt;&gt;""),$AG$3:$AT$3),"Date: ","")))</t>
        </is>
      </c>
      <c r="AB108" s="38" t="inlineStr">
        <is>
          <t>IF(OR(E108="",COUNT(AG108:AT108)=0),"",TODAY()-LOOKUP(2,1/(AG108:AT108&lt;&gt;""),AG108:AT108))</t>
        </is>
      </c>
      <c r="AC108" s="38" t="inlineStr">
        <is>
          <t>IF(OR(E108="",COUNT(AG108:AT108)&lt;2),"",LOOKUP(2,1/(AG108:AT108&lt;&gt;""),AG108:AT108)-MIN(AG108:AT108))</t>
        </is>
      </c>
      <c r="AD108" s="38" t="inlineStr">
        <is>
          <t>IF(OR(AB108="",AA108="Not started",AA108=""),"",IFERROR(AB108-IF(VLOOKUP(AA108,'04_Status_Pipeline'!$B$3:$E$20,4,FALSE)="",0,VLOOKUP(AA108,'04_Status_Pipeline'!$B$3:$E$20,4,FALSE)),""))</t>
        </is>
      </c>
      <c r="AE108" s="32" t="inlineStr">
        <is>
          <t>IF(E108="","",IF(OR(Y108="Cancelled",AA108="Cancelled"),"Cancelled",IF(OR(AA108="Completed / Handover",W108&lt;&gt;"",X108&gt;=100),"Completed — on track",IF(L108="Remaining",IF(S108="",IF(V108="","No planned date",IF(TODAY()&gt;V108,"Behind — past planned date",IF(V108-TODAY()&lt;=30,"At risk — close to off track","On track"))),IF(TODAY()&gt;S108,"Behind — award date passed",IF(S108-TODAY()&lt;=30,"At risk — close to off track","On track"))),IF(V108="","No planned date",IF(AND(TODAY()&gt;V108,OR(X108="",X108&lt;100)),"Behind — past end date",IF(AND(R108&lt;&gt;"",V108&lt;&gt;"",X108&lt;&gt;"",(X108&lt;100),((TODAY()-R108)/MAX(V108-R108,1)*100)-X108&gt;15),"Behind — progress lag",IF(AND(V108-TODAY()&lt;=30,V108-TODAY()&gt;=0,OR(X108="",X108&lt;90)),"At risk — close to off track","On track"))))))))</t>
        </is>
      </c>
      <c r="AF108" s="38" t="inlineStr">
        <is>
          <t>IF(OR(E108="",AA108="Completed / Handover",AA108="Cancelled"),"",IF(L108="Remaining",IF(S108&lt;&gt;"",S108-TODAY(),IF(V108="","",V108-TODAY())),IF(V108="","",V108-TODAY())))</t>
        </is>
      </c>
      <c r="AG108" s="36" t="n"/>
      <c r="AH108" s="36" t="n"/>
      <c r="AI108" s="36" t="n"/>
      <c r="AJ108" s="36" t="n"/>
      <c r="AK108" s="36" t="n"/>
      <c r="AL108" s="36" t="n"/>
      <c r="AM108" s="36" t="n"/>
      <c r="AN108" s="36" t="n"/>
      <c r="AO108" s="36" t="n"/>
      <c r="AP108" s="36" t="n"/>
      <c r="AQ108" s="36" t="n"/>
      <c r="AR108" s="40" t="n"/>
      <c r="AS108" s="40" t="n"/>
      <c r="AT108" s="40" t="n"/>
      <c r="AU108" s="38" t="inlineStr">
        <is>
          <t>IF(OR(E108="",AH108=""),"",IF(COUNT(AG108:AG108)=0,"",AH108-LOOKUP(2,1/(AG108:AG108&lt;&gt;""),AG108:AG108)))</t>
        </is>
      </c>
      <c r="AV108" s="38" t="inlineStr">
        <is>
          <t>IF(OR(E108="",AI108=""),"",IF(COUNT(AG108:AH108)=0,"",AI108-LOOKUP(2,1/(AG108:AH108&lt;&gt;""),AG108:AH108)))</t>
        </is>
      </c>
      <c r="AW108" s="38" t="inlineStr">
        <is>
          <t>IF(OR(E108="",AJ108=""),"",IF(COUNT(AG108:AI108)=0,"",AJ108-LOOKUP(2,1/(AG108:AI108&lt;&gt;""),AG108:AI108)))</t>
        </is>
      </c>
      <c r="AX108" s="38" t="inlineStr">
        <is>
          <t>IF(OR(E108="",AK108=""),"",IF(COUNT(AG108:AJ108)=0,"",AK108-LOOKUP(2,1/(AG108:AJ108&lt;&gt;""),AG108:AJ108)))</t>
        </is>
      </c>
      <c r="AY108" s="38" t="inlineStr">
        <is>
          <t>IF(OR(E108="",AL108=""),"",IF(COUNT(AG108:AK108)=0,"",AL108-LOOKUP(2,1/(AG108:AK108&lt;&gt;""),AG108:AK108)))</t>
        </is>
      </c>
      <c r="AZ108" s="38" t="inlineStr">
        <is>
          <t>IF(OR(E108="",AM108=""),"",IF(COUNT(AG108:AL108)=0,"",AM108-LOOKUP(2,1/(AG108:AL108&lt;&gt;""),AG108:AL108)))</t>
        </is>
      </c>
      <c r="BA108" s="38" t="inlineStr">
        <is>
          <t>IF(OR(E108="",AN108=""),"",IF(COUNT(AG108:AM108)=0,"",AN108-LOOKUP(2,1/(AG108:AM108&lt;&gt;""),AG108:AM108)))</t>
        </is>
      </c>
      <c r="BB108" s="38" t="inlineStr">
        <is>
          <t>IF(OR(E108="",AO108=""),"",IF(COUNT(AG108:AN108)=0,"",AO108-LOOKUP(2,1/(AG108:AN108&lt;&gt;""),AG108:AN108)))</t>
        </is>
      </c>
      <c r="BC108" s="38" t="inlineStr">
        <is>
          <t>IF(OR(E108="",AP108=""),"",IF(COUNT(AG108:AO108)=0,"",AP108-LOOKUP(2,1/(AG108:AO108&lt;&gt;""),AG108:AO108)))</t>
        </is>
      </c>
      <c r="BD108" s="38" t="inlineStr">
        <is>
          <t>IF(OR(E108="",AQ108=""),"",IF(COUNT(AG108:AP108)=0,"",AQ108-LOOKUP(2,1/(AG108:AP108&lt;&gt;""),AG108:AP108)))</t>
        </is>
      </c>
      <c r="BE108" s="38" t="inlineStr">
        <is>
          <t>IF(OR(E108="",AR108=""),"",IF(COUNT(AG108:AQ108)=0,"",AR108-LOOKUP(2,1/(AG108:AQ108&lt;&gt;""),AG108:AQ108)))</t>
        </is>
      </c>
      <c r="BF108" s="38" t="inlineStr">
        <is>
          <t>IF(OR(E108="",AS108=""),"",IF(COUNT(AG108:AR108)=0,"",AS108-LOOKUP(2,1/(AG108:AR108&lt;&gt;""),AG108:AR108)))</t>
        </is>
      </c>
      <c r="BG108" s="38" t="inlineStr">
        <is>
          <t>IF(OR(E108="",AT108=""),"",IF(COUNT(AG108:AS108)=0,"",AT108-LOOKUP(2,1/(AG108:AS108&lt;&gt;""),AG108:AS108)))</t>
        </is>
      </c>
      <c r="BH108" s="41" t="inlineStr">
        <is>
          <t>IF(G108="","All_Provinces",IFERROR(VLOOKUP(G108,'07_Lookups'!$A$4:$B$20,2,FALSE),"All_Provinces"))</t>
        </is>
      </c>
      <c r="BI108" s="41" t="inlineStr">
        <is>
          <t>IF(H108="","All_Districts",IFERROR(VLOOKUP(H108,'07_Lookups'!$E$4:$F$42,2,FALSE),"All_Districts"))</t>
        </is>
      </c>
    </row>
    <row r="109" ht="18" customHeight="1">
      <c r="A109" s="32" t="inlineStr">
        <is>
          <t>IF(E109="","",ROW()-3)</t>
        </is>
      </c>
      <c r="B109" s="42" t="n"/>
      <c r="C109" s="42" t="n"/>
      <c r="D109" s="42" t="n"/>
      <c r="E109" s="42" t="n"/>
      <c r="F109" s="42" t="n"/>
      <c r="G109" s="42" t="n"/>
      <c r="H109" s="42" t="n"/>
      <c r="I109" s="42" t="n"/>
      <c r="J109" s="42" t="n"/>
      <c r="K109" s="42" t="n"/>
      <c r="L109" s="42" t="n"/>
      <c r="M109" s="42" t="n"/>
      <c r="N109" s="42" t="n"/>
      <c r="O109" s="42" t="n"/>
      <c r="P109" s="42" t="n"/>
      <c r="Q109" s="43" t="n"/>
      <c r="R109" s="35" t="inlineStr">
        <is>
          <t>IF(AO109="","",AO109)</t>
        </is>
      </c>
      <c r="S109" s="44" t="n"/>
      <c r="T109" s="45" t="n"/>
      <c r="U109" s="44" t="n"/>
      <c r="V109" s="35" t="inlineStr">
        <is>
          <t>IF(U109&lt;&gt;"",U109,IF(OR(R109="",T109=""),"",EDATE(R109,T109)))</t>
        </is>
      </c>
      <c r="W109" s="44" t="n"/>
      <c r="X109" s="45" t="n"/>
      <c r="Y109" s="42" t="n"/>
      <c r="Z109" s="42" t="n"/>
      <c r="AA109" s="32" t="inlineStr">
        <is>
          <t>IF(E109="","",IF(COUNT(AG109:AT109)=0,IF(Y109="","Not started",Y109),SUBSTITUTE(LOOKUP(2,1/(AG109:AT109&lt;&gt;""),$AG$3:$AT$3),"Date: ","")))</t>
        </is>
      </c>
      <c r="AB109" s="38" t="inlineStr">
        <is>
          <t>IF(OR(E109="",COUNT(AG109:AT109)=0),"",TODAY()-LOOKUP(2,1/(AG109:AT109&lt;&gt;""),AG109:AT109))</t>
        </is>
      </c>
      <c r="AC109" s="38" t="inlineStr">
        <is>
          <t>IF(OR(E109="",COUNT(AG109:AT109)&lt;2),"",LOOKUP(2,1/(AG109:AT109&lt;&gt;""),AG109:AT109)-MIN(AG109:AT109))</t>
        </is>
      </c>
      <c r="AD109" s="38" t="inlineStr">
        <is>
          <t>IF(OR(AB109="",AA109="Not started",AA109=""),"",IFERROR(AB109-IF(VLOOKUP(AA109,'04_Status_Pipeline'!$B$3:$E$20,4,FALSE)="",0,VLOOKUP(AA109,'04_Status_Pipeline'!$B$3:$E$20,4,FALSE)),""))</t>
        </is>
      </c>
      <c r="AE109" s="32" t="inlineStr">
        <is>
          <t>IF(E109="","",IF(OR(Y109="Cancelled",AA109="Cancelled"),"Cancelled",IF(OR(AA109="Completed / Handover",W109&lt;&gt;"",X109&gt;=100),"Completed — on track",IF(L109="Remaining",IF(S109="",IF(V109="","No planned date",IF(TODAY()&gt;V109,"Behind — past planned date",IF(V109-TODAY()&lt;=30,"At risk — close to off track","On track"))),IF(TODAY()&gt;S109,"Behind — award date passed",IF(S109-TODAY()&lt;=30,"At risk — close to off track","On track"))),IF(V109="","No planned date",IF(AND(TODAY()&gt;V109,OR(X109="",X109&lt;100)),"Behind — past end date",IF(AND(R109&lt;&gt;"",V109&lt;&gt;"",X109&lt;&gt;"",(X109&lt;100),((TODAY()-R109)/MAX(V109-R109,1)*100)-X109&gt;15),"Behind — progress lag",IF(AND(V109-TODAY()&lt;=30,V109-TODAY()&gt;=0,OR(X109="",X109&lt;90)),"At risk — close to off track","On track"))))))))</t>
        </is>
      </c>
      <c r="AF109" s="38" t="inlineStr">
        <is>
          <t>IF(OR(E109="",AA109="Completed / Handover",AA109="Cancelled"),"",IF(L109="Remaining",IF(S109&lt;&gt;"",S109-TODAY(),IF(V109="","",V109-TODAY())),IF(V109="","",V109-TODAY())))</t>
        </is>
      </c>
      <c r="AG109" s="44" t="n"/>
      <c r="AH109" s="44" t="n"/>
      <c r="AI109" s="44" t="n"/>
      <c r="AJ109" s="44" t="n"/>
      <c r="AK109" s="44" t="n"/>
      <c r="AL109" s="44" t="n"/>
      <c r="AM109" s="44" t="n"/>
      <c r="AN109" s="44" t="n"/>
      <c r="AO109" s="44" t="n"/>
      <c r="AP109" s="44" t="n"/>
      <c r="AQ109" s="44" t="n"/>
      <c r="AR109" s="40" t="n"/>
      <c r="AS109" s="40" t="n"/>
      <c r="AT109" s="40" t="n"/>
      <c r="AU109" s="38" t="inlineStr">
        <is>
          <t>IF(OR(E109="",AH109=""),"",IF(COUNT(AG109:AG109)=0,"",AH109-LOOKUP(2,1/(AG109:AG109&lt;&gt;""),AG109:AG109)))</t>
        </is>
      </c>
      <c r="AV109" s="38" t="inlineStr">
        <is>
          <t>IF(OR(E109="",AI109=""),"",IF(COUNT(AG109:AH109)=0,"",AI109-LOOKUP(2,1/(AG109:AH109&lt;&gt;""),AG109:AH109)))</t>
        </is>
      </c>
      <c r="AW109" s="38" t="inlineStr">
        <is>
          <t>IF(OR(E109="",AJ109=""),"",IF(COUNT(AG109:AI109)=0,"",AJ109-LOOKUP(2,1/(AG109:AI109&lt;&gt;""),AG109:AI109)))</t>
        </is>
      </c>
      <c r="AX109" s="38" t="inlineStr">
        <is>
          <t>IF(OR(E109="",AK109=""),"",IF(COUNT(AG109:AJ109)=0,"",AK109-LOOKUP(2,1/(AG109:AJ109&lt;&gt;""),AG109:AJ109)))</t>
        </is>
      </c>
      <c r="AY109" s="38" t="inlineStr">
        <is>
          <t>IF(OR(E109="",AL109=""),"",IF(COUNT(AG109:AK109)=0,"",AL109-LOOKUP(2,1/(AG109:AK109&lt;&gt;""),AG109:AK109)))</t>
        </is>
      </c>
      <c r="AZ109" s="38" t="inlineStr">
        <is>
          <t>IF(OR(E109="",AM109=""),"",IF(COUNT(AG109:AL109)=0,"",AM109-LOOKUP(2,1/(AG109:AL109&lt;&gt;""),AG109:AL109)))</t>
        </is>
      </c>
      <c r="BA109" s="38" t="inlineStr">
        <is>
          <t>IF(OR(E109="",AN109=""),"",IF(COUNT(AG109:AM109)=0,"",AN109-LOOKUP(2,1/(AG109:AM109&lt;&gt;""),AG109:AM109)))</t>
        </is>
      </c>
      <c r="BB109" s="38" t="inlineStr">
        <is>
          <t>IF(OR(E109="",AO109=""),"",IF(COUNT(AG109:AN109)=0,"",AO109-LOOKUP(2,1/(AG109:AN109&lt;&gt;""),AG109:AN109)))</t>
        </is>
      </c>
      <c r="BC109" s="38" t="inlineStr">
        <is>
          <t>IF(OR(E109="",AP109=""),"",IF(COUNT(AG109:AO109)=0,"",AP109-LOOKUP(2,1/(AG109:AO109&lt;&gt;""),AG109:AO109)))</t>
        </is>
      </c>
      <c r="BD109" s="38" t="inlineStr">
        <is>
          <t>IF(OR(E109="",AQ109=""),"",IF(COUNT(AG109:AP109)=0,"",AQ109-LOOKUP(2,1/(AG109:AP109&lt;&gt;""),AG109:AP109)))</t>
        </is>
      </c>
      <c r="BE109" s="38" t="inlineStr">
        <is>
          <t>IF(OR(E109="",AR109=""),"",IF(COUNT(AG109:AQ109)=0,"",AR109-LOOKUP(2,1/(AG109:AQ109&lt;&gt;""),AG109:AQ109)))</t>
        </is>
      </c>
      <c r="BF109" s="38" t="inlineStr">
        <is>
          <t>IF(OR(E109="",AS109=""),"",IF(COUNT(AG109:AR109)=0,"",AS109-LOOKUP(2,1/(AG109:AR109&lt;&gt;""),AG109:AR109)))</t>
        </is>
      </c>
      <c r="BG109" s="38" t="inlineStr">
        <is>
          <t>IF(OR(E109="",AT109=""),"",IF(COUNT(AG109:AS109)=0,"",AT109-LOOKUP(2,1/(AG109:AS109&lt;&gt;""),AG109:AS109)))</t>
        </is>
      </c>
      <c r="BH109" s="41" t="inlineStr">
        <is>
          <t>IF(G109="","All_Provinces",IFERROR(VLOOKUP(G109,'07_Lookups'!$A$4:$B$20,2,FALSE),"All_Provinces"))</t>
        </is>
      </c>
      <c r="BI109" s="41" t="inlineStr">
        <is>
          <t>IF(H109="","All_Districts",IFERROR(VLOOKUP(H109,'07_Lookups'!$E$4:$F$42,2,FALSE),"All_Districts"))</t>
        </is>
      </c>
    </row>
    <row r="110" ht="18" customHeight="1">
      <c r="A110" s="32" t="inlineStr">
        <is>
          <t>IF(E110="","",ROW()-3)</t>
        </is>
      </c>
      <c r="B110" s="33" t="n"/>
      <c r="C110" s="33" t="n"/>
      <c r="D110" s="33" t="n"/>
      <c r="E110" s="33" t="n"/>
      <c r="F110" s="33" t="n"/>
      <c r="G110" s="33" t="n"/>
      <c r="H110" s="33" t="n"/>
      <c r="I110" s="33" t="n"/>
      <c r="J110" s="33" t="n"/>
      <c r="K110" s="33" t="n"/>
      <c r="L110" s="33" t="n"/>
      <c r="M110" s="33" t="n"/>
      <c r="N110" s="33" t="n"/>
      <c r="O110" s="33" t="n"/>
      <c r="P110" s="33" t="n"/>
      <c r="Q110" s="34" t="n"/>
      <c r="R110" s="35" t="inlineStr">
        <is>
          <t>IF(AO110="","",AO110)</t>
        </is>
      </c>
      <c r="S110" s="36" t="n"/>
      <c r="T110" s="37" t="n"/>
      <c r="U110" s="36" t="n"/>
      <c r="V110" s="35" t="inlineStr">
        <is>
          <t>IF(U110&lt;&gt;"",U110,IF(OR(R110="",T110=""),"",EDATE(R110,T110)))</t>
        </is>
      </c>
      <c r="W110" s="36" t="n"/>
      <c r="X110" s="37" t="n"/>
      <c r="Y110" s="33" t="n"/>
      <c r="Z110" s="33" t="n"/>
      <c r="AA110" s="32" t="inlineStr">
        <is>
          <t>IF(E110="","",IF(COUNT(AG110:AT110)=0,IF(Y110="","Not started",Y110),SUBSTITUTE(LOOKUP(2,1/(AG110:AT110&lt;&gt;""),$AG$3:$AT$3),"Date: ","")))</t>
        </is>
      </c>
      <c r="AB110" s="38" t="inlineStr">
        <is>
          <t>IF(OR(E110="",COUNT(AG110:AT110)=0),"",TODAY()-LOOKUP(2,1/(AG110:AT110&lt;&gt;""),AG110:AT110))</t>
        </is>
      </c>
      <c r="AC110" s="38" t="inlineStr">
        <is>
          <t>IF(OR(E110="",COUNT(AG110:AT110)&lt;2),"",LOOKUP(2,1/(AG110:AT110&lt;&gt;""),AG110:AT110)-MIN(AG110:AT110))</t>
        </is>
      </c>
      <c r="AD110" s="38" t="inlineStr">
        <is>
          <t>IF(OR(AB110="",AA110="Not started",AA110=""),"",IFERROR(AB110-IF(VLOOKUP(AA110,'04_Status_Pipeline'!$B$3:$E$20,4,FALSE)="",0,VLOOKUP(AA110,'04_Status_Pipeline'!$B$3:$E$20,4,FALSE)),""))</t>
        </is>
      </c>
      <c r="AE110" s="32" t="inlineStr">
        <is>
          <t>IF(E110="","",IF(OR(Y110="Cancelled",AA110="Cancelled"),"Cancelled",IF(OR(AA110="Completed / Handover",W110&lt;&gt;"",X110&gt;=100),"Completed — on track",IF(L110="Remaining",IF(S110="",IF(V110="","No planned date",IF(TODAY()&gt;V110,"Behind — past planned date",IF(V110-TODAY()&lt;=30,"At risk — close to off track","On track"))),IF(TODAY()&gt;S110,"Behind — award date passed",IF(S110-TODAY()&lt;=30,"At risk — close to off track","On track"))),IF(V110="","No planned date",IF(AND(TODAY()&gt;V110,OR(X110="",X110&lt;100)),"Behind — past end date",IF(AND(R110&lt;&gt;"",V110&lt;&gt;"",X110&lt;&gt;"",(X110&lt;100),((TODAY()-R110)/MAX(V110-R110,1)*100)-X110&gt;15),"Behind — progress lag",IF(AND(V110-TODAY()&lt;=30,V110-TODAY()&gt;=0,OR(X110="",X110&lt;90)),"At risk — close to off track","On track"))))))))</t>
        </is>
      </c>
      <c r="AF110" s="38" t="inlineStr">
        <is>
          <t>IF(OR(E110="",AA110="Completed / Handover",AA110="Cancelled"),"",IF(L110="Remaining",IF(S110&lt;&gt;"",S110-TODAY(),IF(V110="","",V110-TODAY())),IF(V110="","",V110-TODAY())))</t>
        </is>
      </c>
      <c r="AG110" s="36" t="n"/>
      <c r="AH110" s="36" t="n"/>
      <c r="AI110" s="36" t="n"/>
      <c r="AJ110" s="36" t="n"/>
      <c r="AK110" s="36" t="n"/>
      <c r="AL110" s="36" t="n"/>
      <c r="AM110" s="36" t="n"/>
      <c r="AN110" s="36" t="n"/>
      <c r="AO110" s="36" t="n"/>
      <c r="AP110" s="36" t="n"/>
      <c r="AQ110" s="36" t="n"/>
      <c r="AR110" s="40" t="n"/>
      <c r="AS110" s="40" t="n"/>
      <c r="AT110" s="40" t="n"/>
      <c r="AU110" s="38" t="inlineStr">
        <is>
          <t>IF(OR(E110="",AH110=""),"",IF(COUNT(AG110:AG110)=0,"",AH110-LOOKUP(2,1/(AG110:AG110&lt;&gt;""),AG110:AG110)))</t>
        </is>
      </c>
      <c r="AV110" s="38" t="inlineStr">
        <is>
          <t>IF(OR(E110="",AI110=""),"",IF(COUNT(AG110:AH110)=0,"",AI110-LOOKUP(2,1/(AG110:AH110&lt;&gt;""),AG110:AH110)))</t>
        </is>
      </c>
      <c r="AW110" s="38" t="inlineStr">
        <is>
          <t>IF(OR(E110="",AJ110=""),"",IF(COUNT(AG110:AI110)=0,"",AJ110-LOOKUP(2,1/(AG110:AI110&lt;&gt;""),AG110:AI110)))</t>
        </is>
      </c>
      <c r="AX110" s="38" t="inlineStr">
        <is>
          <t>IF(OR(E110="",AK110=""),"",IF(COUNT(AG110:AJ110)=0,"",AK110-LOOKUP(2,1/(AG110:AJ110&lt;&gt;""),AG110:AJ110)))</t>
        </is>
      </c>
      <c r="AY110" s="38" t="inlineStr">
        <is>
          <t>IF(OR(E110="",AL110=""),"",IF(COUNT(AG110:AK110)=0,"",AL110-LOOKUP(2,1/(AG110:AK110&lt;&gt;""),AG110:AK110)))</t>
        </is>
      </c>
      <c r="AZ110" s="38" t="inlineStr">
        <is>
          <t>IF(OR(E110="",AM110=""),"",IF(COUNT(AG110:AL110)=0,"",AM110-LOOKUP(2,1/(AG110:AL110&lt;&gt;""),AG110:AL110)))</t>
        </is>
      </c>
      <c r="BA110" s="38" t="inlineStr">
        <is>
          <t>IF(OR(E110="",AN110=""),"",IF(COUNT(AG110:AM110)=0,"",AN110-LOOKUP(2,1/(AG110:AM110&lt;&gt;""),AG110:AM110)))</t>
        </is>
      </c>
      <c r="BB110" s="38" t="inlineStr">
        <is>
          <t>IF(OR(E110="",AO110=""),"",IF(COUNT(AG110:AN110)=0,"",AO110-LOOKUP(2,1/(AG110:AN110&lt;&gt;""),AG110:AN110)))</t>
        </is>
      </c>
      <c r="BC110" s="38" t="inlineStr">
        <is>
          <t>IF(OR(E110="",AP110=""),"",IF(COUNT(AG110:AO110)=0,"",AP110-LOOKUP(2,1/(AG110:AO110&lt;&gt;""),AG110:AO110)))</t>
        </is>
      </c>
      <c r="BD110" s="38" t="inlineStr">
        <is>
          <t>IF(OR(E110="",AQ110=""),"",IF(COUNT(AG110:AP110)=0,"",AQ110-LOOKUP(2,1/(AG110:AP110&lt;&gt;""),AG110:AP110)))</t>
        </is>
      </c>
      <c r="BE110" s="38" t="inlineStr">
        <is>
          <t>IF(OR(E110="",AR110=""),"",IF(COUNT(AG110:AQ110)=0,"",AR110-LOOKUP(2,1/(AG110:AQ110&lt;&gt;""),AG110:AQ110)))</t>
        </is>
      </c>
      <c r="BF110" s="38" t="inlineStr">
        <is>
          <t>IF(OR(E110="",AS110=""),"",IF(COUNT(AG110:AR110)=0,"",AS110-LOOKUP(2,1/(AG110:AR110&lt;&gt;""),AG110:AR110)))</t>
        </is>
      </c>
      <c r="BG110" s="38" t="inlineStr">
        <is>
          <t>IF(OR(E110="",AT110=""),"",IF(COUNT(AG110:AS110)=0,"",AT110-LOOKUP(2,1/(AG110:AS110&lt;&gt;""),AG110:AS110)))</t>
        </is>
      </c>
      <c r="BH110" s="41" t="inlineStr">
        <is>
          <t>IF(G110="","All_Provinces",IFERROR(VLOOKUP(G110,'07_Lookups'!$A$4:$B$20,2,FALSE),"All_Provinces"))</t>
        </is>
      </c>
      <c r="BI110" s="41" t="inlineStr">
        <is>
          <t>IF(H110="","All_Districts",IFERROR(VLOOKUP(H110,'07_Lookups'!$E$4:$F$42,2,FALSE),"All_Districts"))</t>
        </is>
      </c>
    </row>
    <row r="111" ht="18" customHeight="1">
      <c r="A111" s="32" t="inlineStr">
        <is>
          <t>IF(E111="","",ROW()-3)</t>
        </is>
      </c>
      <c r="B111" s="42" t="n"/>
      <c r="C111" s="42" t="n"/>
      <c r="D111" s="42" t="n"/>
      <c r="E111" s="42" t="n"/>
      <c r="F111" s="42" t="n"/>
      <c r="G111" s="42" t="n"/>
      <c r="H111" s="42" t="n"/>
      <c r="I111" s="42" t="n"/>
      <c r="J111" s="42" t="n"/>
      <c r="K111" s="42" t="n"/>
      <c r="L111" s="42" t="n"/>
      <c r="M111" s="42" t="n"/>
      <c r="N111" s="42" t="n"/>
      <c r="O111" s="42" t="n"/>
      <c r="P111" s="42" t="n"/>
      <c r="Q111" s="43" t="n"/>
      <c r="R111" s="35" t="inlineStr">
        <is>
          <t>IF(AO111="","",AO111)</t>
        </is>
      </c>
      <c r="S111" s="44" t="n"/>
      <c r="T111" s="45" t="n"/>
      <c r="U111" s="44" t="n"/>
      <c r="V111" s="35" t="inlineStr">
        <is>
          <t>IF(U111&lt;&gt;"",U111,IF(OR(R111="",T111=""),"",EDATE(R111,T111)))</t>
        </is>
      </c>
      <c r="W111" s="44" t="n"/>
      <c r="X111" s="45" t="n"/>
      <c r="Y111" s="42" t="n"/>
      <c r="Z111" s="42" t="n"/>
      <c r="AA111" s="32" t="inlineStr">
        <is>
          <t>IF(E111="","",IF(COUNT(AG111:AT111)=0,IF(Y111="","Not started",Y111),SUBSTITUTE(LOOKUP(2,1/(AG111:AT111&lt;&gt;""),$AG$3:$AT$3),"Date: ","")))</t>
        </is>
      </c>
      <c r="AB111" s="38" t="inlineStr">
        <is>
          <t>IF(OR(E111="",COUNT(AG111:AT111)=0),"",TODAY()-LOOKUP(2,1/(AG111:AT111&lt;&gt;""),AG111:AT111))</t>
        </is>
      </c>
      <c r="AC111" s="38" t="inlineStr">
        <is>
          <t>IF(OR(E111="",COUNT(AG111:AT111)&lt;2),"",LOOKUP(2,1/(AG111:AT111&lt;&gt;""),AG111:AT111)-MIN(AG111:AT111))</t>
        </is>
      </c>
      <c r="AD111" s="38" t="inlineStr">
        <is>
          <t>IF(OR(AB111="",AA111="Not started",AA111=""),"",IFERROR(AB111-IF(VLOOKUP(AA111,'04_Status_Pipeline'!$B$3:$E$20,4,FALSE)="",0,VLOOKUP(AA111,'04_Status_Pipeline'!$B$3:$E$20,4,FALSE)),""))</t>
        </is>
      </c>
      <c r="AE111" s="32" t="inlineStr">
        <is>
          <t>IF(E111="","",IF(OR(Y111="Cancelled",AA111="Cancelled"),"Cancelled",IF(OR(AA111="Completed / Handover",W111&lt;&gt;"",X111&gt;=100),"Completed — on track",IF(L111="Remaining",IF(S111="",IF(V111="","No planned date",IF(TODAY()&gt;V111,"Behind — past planned date",IF(V111-TODAY()&lt;=30,"At risk — close to off track","On track"))),IF(TODAY()&gt;S111,"Behind — award date passed",IF(S111-TODAY()&lt;=30,"At risk — close to off track","On track"))),IF(V111="","No planned date",IF(AND(TODAY()&gt;V111,OR(X111="",X111&lt;100)),"Behind — past end date",IF(AND(R111&lt;&gt;"",V111&lt;&gt;"",X111&lt;&gt;"",(X111&lt;100),((TODAY()-R111)/MAX(V111-R111,1)*100)-X111&gt;15),"Behind — progress lag",IF(AND(V111-TODAY()&lt;=30,V111-TODAY()&gt;=0,OR(X111="",X111&lt;90)),"At risk — close to off track","On track"))))))))</t>
        </is>
      </c>
      <c r="AF111" s="38" t="inlineStr">
        <is>
          <t>IF(OR(E111="",AA111="Completed / Handover",AA111="Cancelled"),"",IF(L111="Remaining",IF(S111&lt;&gt;"",S111-TODAY(),IF(V111="","",V111-TODAY())),IF(V111="","",V111-TODAY())))</t>
        </is>
      </c>
      <c r="AG111" s="44" t="n"/>
      <c r="AH111" s="44" t="n"/>
      <c r="AI111" s="44" t="n"/>
      <c r="AJ111" s="44" t="n"/>
      <c r="AK111" s="44" t="n"/>
      <c r="AL111" s="44" t="n"/>
      <c r="AM111" s="44" t="n"/>
      <c r="AN111" s="44" t="n"/>
      <c r="AO111" s="44" t="n"/>
      <c r="AP111" s="44" t="n"/>
      <c r="AQ111" s="44" t="n"/>
      <c r="AR111" s="40" t="n"/>
      <c r="AS111" s="40" t="n"/>
      <c r="AT111" s="40" t="n"/>
      <c r="AU111" s="38" t="inlineStr">
        <is>
          <t>IF(OR(E111="",AH111=""),"",IF(COUNT(AG111:AG111)=0,"",AH111-LOOKUP(2,1/(AG111:AG111&lt;&gt;""),AG111:AG111)))</t>
        </is>
      </c>
      <c r="AV111" s="38" t="inlineStr">
        <is>
          <t>IF(OR(E111="",AI111=""),"",IF(COUNT(AG111:AH111)=0,"",AI111-LOOKUP(2,1/(AG111:AH111&lt;&gt;""),AG111:AH111)))</t>
        </is>
      </c>
      <c r="AW111" s="38" t="inlineStr">
        <is>
          <t>IF(OR(E111="",AJ111=""),"",IF(COUNT(AG111:AI111)=0,"",AJ111-LOOKUP(2,1/(AG111:AI111&lt;&gt;""),AG111:AI111)))</t>
        </is>
      </c>
      <c r="AX111" s="38" t="inlineStr">
        <is>
          <t>IF(OR(E111="",AK111=""),"",IF(COUNT(AG111:AJ111)=0,"",AK111-LOOKUP(2,1/(AG111:AJ111&lt;&gt;""),AG111:AJ111)))</t>
        </is>
      </c>
      <c r="AY111" s="38" t="inlineStr">
        <is>
          <t>IF(OR(E111="",AL111=""),"",IF(COUNT(AG111:AK111)=0,"",AL111-LOOKUP(2,1/(AG111:AK111&lt;&gt;""),AG111:AK111)))</t>
        </is>
      </c>
      <c r="AZ111" s="38" t="inlineStr">
        <is>
          <t>IF(OR(E111="",AM111=""),"",IF(COUNT(AG111:AL111)=0,"",AM111-LOOKUP(2,1/(AG111:AL111&lt;&gt;""),AG111:AL111)))</t>
        </is>
      </c>
      <c r="BA111" s="38" t="inlineStr">
        <is>
          <t>IF(OR(E111="",AN111=""),"",IF(COUNT(AG111:AM111)=0,"",AN111-LOOKUP(2,1/(AG111:AM111&lt;&gt;""),AG111:AM111)))</t>
        </is>
      </c>
      <c r="BB111" s="38" t="inlineStr">
        <is>
          <t>IF(OR(E111="",AO111=""),"",IF(COUNT(AG111:AN111)=0,"",AO111-LOOKUP(2,1/(AG111:AN111&lt;&gt;""),AG111:AN111)))</t>
        </is>
      </c>
      <c r="BC111" s="38" t="inlineStr">
        <is>
          <t>IF(OR(E111="",AP111=""),"",IF(COUNT(AG111:AO111)=0,"",AP111-LOOKUP(2,1/(AG111:AO111&lt;&gt;""),AG111:AO111)))</t>
        </is>
      </c>
      <c r="BD111" s="38" t="inlineStr">
        <is>
          <t>IF(OR(E111="",AQ111=""),"",IF(COUNT(AG111:AP111)=0,"",AQ111-LOOKUP(2,1/(AG111:AP111&lt;&gt;""),AG111:AP111)))</t>
        </is>
      </c>
      <c r="BE111" s="38" t="inlineStr">
        <is>
          <t>IF(OR(E111="",AR111=""),"",IF(COUNT(AG111:AQ111)=0,"",AR111-LOOKUP(2,1/(AG111:AQ111&lt;&gt;""),AG111:AQ111)))</t>
        </is>
      </c>
      <c r="BF111" s="38" t="inlineStr">
        <is>
          <t>IF(OR(E111="",AS111=""),"",IF(COUNT(AG111:AR111)=0,"",AS111-LOOKUP(2,1/(AG111:AR111&lt;&gt;""),AG111:AR111)))</t>
        </is>
      </c>
      <c r="BG111" s="38" t="inlineStr">
        <is>
          <t>IF(OR(E111="",AT111=""),"",IF(COUNT(AG111:AS111)=0,"",AT111-LOOKUP(2,1/(AG111:AS111&lt;&gt;""),AG111:AS111)))</t>
        </is>
      </c>
      <c r="BH111" s="41" t="inlineStr">
        <is>
          <t>IF(G111="","All_Provinces",IFERROR(VLOOKUP(G111,'07_Lookups'!$A$4:$B$20,2,FALSE),"All_Provinces"))</t>
        </is>
      </c>
      <c r="BI111" s="41" t="inlineStr">
        <is>
          <t>IF(H111="","All_Districts",IFERROR(VLOOKUP(H111,'07_Lookups'!$E$4:$F$42,2,FALSE),"All_Districts"))</t>
        </is>
      </c>
    </row>
    <row r="112" ht="18" customHeight="1">
      <c r="A112" s="32" t="inlineStr">
        <is>
          <t>IF(E112="","",ROW()-3)</t>
        </is>
      </c>
      <c r="B112" s="33" t="n"/>
      <c r="C112" s="33" t="n"/>
      <c r="D112" s="33" t="n"/>
      <c r="E112" s="33" t="n"/>
      <c r="F112" s="33" t="n"/>
      <c r="G112" s="33" t="n"/>
      <c r="H112" s="33" t="n"/>
      <c r="I112" s="33" t="n"/>
      <c r="J112" s="33" t="n"/>
      <c r="K112" s="33" t="n"/>
      <c r="L112" s="33" t="n"/>
      <c r="M112" s="33" t="n"/>
      <c r="N112" s="33" t="n"/>
      <c r="O112" s="33" t="n"/>
      <c r="P112" s="33" t="n"/>
      <c r="Q112" s="34" t="n"/>
      <c r="R112" s="35" t="inlineStr">
        <is>
          <t>IF(AO112="","",AO112)</t>
        </is>
      </c>
      <c r="S112" s="36" t="n"/>
      <c r="T112" s="37" t="n"/>
      <c r="U112" s="36" t="n"/>
      <c r="V112" s="35" t="inlineStr">
        <is>
          <t>IF(U112&lt;&gt;"",U112,IF(OR(R112="",T112=""),"",EDATE(R112,T112)))</t>
        </is>
      </c>
      <c r="W112" s="36" t="n"/>
      <c r="X112" s="37" t="n"/>
      <c r="Y112" s="33" t="n"/>
      <c r="Z112" s="33" t="n"/>
      <c r="AA112" s="32" t="inlineStr">
        <is>
          <t>IF(E112="","",IF(COUNT(AG112:AT112)=0,IF(Y112="","Not started",Y112),SUBSTITUTE(LOOKUP(2,1/(AG112:AT112&lt;&gt;""),$AG$3:$AT$3),"Date: ","")))</t>
        </is>
      </c>
      <c r="AB112" s="38" t="inlineStr">
        <is>
          <t>IF(OR(E112="",COUNT(AG112:AT112)=0),"",TODAY()-LOOKUP(2,1/(AG112:AT112&lt;&gt;""),AG112:AT112))</t>
        </is>
      </c>
      <c r="AC112" s="38" t="inlineStr">
        <is>
          <t>IF(OR(E112="",COUNT(AG112:AT112)&lt;2),"",LOOKUP(2,1/(AG112:AT112&lt;&gt;""),AG112:AT112)-MIN(AG112:AT112))</t>
        </is>
      </c>
      <c r="AD112" s="38" t="inlineStr">
        <is>
          <t>IF(OR(AB112="",AA112="Not started",AA112=""),"",IFERROR(AB112-IF(VLOOKUP(AA112,'04_Status_Pipeline'!$B$3:$E$20,4,FALSE)="",0,VLOOKUP(AA112,'04_Status_Pipeline'!$B$3:$E$20,4,FALSE)),""))</t>
        </is>
      </c>
      <c r="AE112" s="32" t="inlineStr">
        <is>
          <t>IF(E112="","",IF(OR(Y112="Cancelled",AA112="Cancelled"),"Cancelled",IF(OR(AA112="Completed / Handover",W112&lt;&gt;"",X112&gt;=100),"Completed — on track",IF(L112="Remaining",IF(S112="",IF(V112="","No planned date",IF(TODAY()&gt;V112,"Behind — past planned date",IF(V112-TODAY()&lt;=30,"At risk — close to off track","On track"))),IF(TODAY()&gt;S112,"Behind — award date passed",IF(S112-TODAY()&lt;=30,"At risk — close to off track","On track"))),IF(V112="","No planned date",IF(AND(TODAY()&gt;V112,OR(X112="",X112&lt;100)),"Behind — past end date",IF(AND(R112&lt;&gt;"",V112&lt;&gt;"",X112&lt;&gt;"",(X112&lt;100),((TODAY()-R112)/MAX(V112-R112,1)*100)-X112&gt;15),"Behind — progress lag",IF(AND(V112-TODAY()&lt;=30,V112-TODAY()&gt;=0,OR(X112="",X112&lt;90)),"At risk — close to off track","On track"))))))))</t>
        </is>
      </c>
      <c r="AF112" s="38" t="inlineStr">
        <is>
          <t>IF(OR(E112="",AA112="Completed / Handover",AA112="Cancelled"),"",IF(L112="Remaining",IF(S112&lt;&gt;"",S112-TODAY(),IF(V112="","",V112-TODAY())),IF(V112="","",V112-TODAY())))</t>
        </is>
      </c>
      <c r="AG112" s="36" t="n"/>
      <c r="AH112" s="36" t="n"/>
      <c r="AI112" s="36" t="n"/>
      <c r="AJ112" s="36" t="n"/>
      <c r="AK112" s="36" t="n"/>
      <c r="AL112" s="36" t="n"/>
      <c r="AM112" s="36" t="n"/>
      <c r="AN112" s="36" t="n"/>
      <c r="AO112" s="36" t="n"/>
      <c r="AP112" s="36" t="n"/>
      <c r="AQ112" s="36" t="n"/>
      <c r="AR112" s="40" t="n"/>
      <c r="AS112" s="40" t="n"/>
      <c r="AT112" s="40" t="n"/>
      <c r="AU112" s="38" t="inlineStr">
        <is>
          <t>IF(OR(E112="",AH112=""),"",IF(COUNT(AG112:AG112)=0,"",AH112-LOOKUP(2,1/(AG112:AG112&lt;&gt;""),AG112:AG112)))</t>
        </is>
      </c>
      <c r="AV112" s="38" t="inlineStr">
        <is>
          <t>IF(OR(E112="",AI112=""),"",IF(COUNT(AG112:AH112)=0,"",AI112-LOOKUP(2,1/(AG112:AH112&lt;&gt;""),AG112:AH112)))</t>
        </is>
      </c>
      <c r="AW112" s="38" t="inlineStr">
        <is>
          <t>IF(OR(E112="",AJ112=""),"",IF(COUNT(AG112:AI112)=0,"",AJ112-LOOKUP(2,1/(AG112:AI112&lt;&gt;""),AG112:AI112)))</t>
        </is>
      </c>
      <c r="AX112" s="38" t="inlineStr">
        <is>
          <t>IF(OR(E112="",AK112=""),"",IF(COUNT(AG112:AJ112)=0,"",AK112-LOOKUP(2,1/(AG112:AJ112&lt;&gt;""),AG112:AJ112)))</t>
        </is>
      </c>
      <c r="AY112" s="38" t="inlineStr">
        <is>
          <t>IF(OR(E112="",AL112=""),"",IF(COUNT(AG112:AK112)=0,"",AL112-LOOKUP(2,1/(AG112:AK112&lt;&gt;""),AG112:AK112)))</t>
        </is>
      </c>
      <c r="AZ112" s="38" t="inlineStr">
        <is>
          <t>IF(OR(E112="",AM112=""),"",IF(COUNT(AG112:AL112)=0,"",AM112-LOOKUP(2,1/(AG112:AL112&lt;&gt;""),AG112:AL112)))</t>
        </is>
      </c>
      <c r="BA112" s="38" t="inlineStr">
        <is>
          <t>IF(OR(E112="",AN112=""),"",IF(COUNT(AG112:AM112)=0,"",AN112-LOOKUP(2,1/(AG112:AM112&lt;&gt;""),AG112:AM112)))</t>
        </is>
      </c>
      <c r="BB112" s="38" t="inlineStr">
        <is>
          <t>IF(OR(E112="",AO112=""),"",IF(COUNT(AG112:AN112)=0,"",AO112-LOOKUP(2,1/(AG112:AN112&lt;&gt;""),AG112:AN112)))</t>
        </is>
      </c>
      <c r="BC112" s="38" t="inlineStr">
        <is>
          <t>IF(OR(E112="",AP112=""),"",IF(COUNT(AG112:AO112)=0,"",AP112-LOOKUP(2,1/(AG112:AO112&lt;&gt;""),AG112:AO112)))</t>
        </is>
      </c>
      <c r="BD112" s="38" t="inlineStr">
        <is>
          <t>IF(OR(E112="",AQ112=""),"",IF(COUNT(AG112:AP112)=0,"",AQ112-LOOKUP(2,1/(AG112:AP112&lt;&gt;""),AG112:AP112)))</t>
        </is>
      </c>
      <c r="BE112" s="38" t="inlineStr">
        <is>
          <t>IF(OR(E112="",AR112=""),"",IF(COUNT(AG112:AQ112)=0,"",AR112-LOOKUP(2,1/(AG112:AQ112&lt;&gt;""),AG112:AQ112)))</t>
        </is>
      </c>
      <c r="BF112" s="38" t="inlineStr">
        <is>
          <t>IF(OR(E112="",AS112=""),"",IF(COUNT(AG112:AR112)=0,"",AS112-LOOKUP(2,1/(AG112:AR112&lt;&gt;""),AG112:AR112)))</t>
        </is>
      </c>
      <c r="BG112" s="38" t="inlineStr">
        <is>
          <t>IF(OR(E112="",AT112=""),"",IF(COUNT(AG112:AS112)=0,"",AT112-LOOKUP(2,1/(AG112:AS112&lt;&gt;""),AG112:AS112)))</t>
        </is>
      </c>
      <c r="BH112" s="41" t="inlineStr">
        <is>
          <t>IF(G112="","All_Provinces",IFERROR(VLOOKUP(G112,'07_Lookups'!$A$4:$B$20,2,FALSE),"All_Provinces"))</t>
        </is>
      </c>
      <c r="BI112" s="41" t="inlineStr">
        <is>
          <t>IF(H112="","All_Districts",IFERROR(VLOOKUP(H112,'07_Lookups'!$E$4:$F$42,2,FALSE),"All_Districts"))</t>
        </is>
      </c>
    </row>
    <row r="113" ht="18" customHeight="1">
      <c r="A113" s="32" t="inlineStr">
        <is>
          <t>IF(E113="","",ROW()-3)</t>
        </is>
      </c>
      <c r="B113" s="42" t="n"/>
      <c r="C113" s="42" t="n"/>
      <c r="D113" s="42" t="n"/>
      <c r="E113" s="42" t="n"/>
      <c r="F113" s="42" t="n"/>
      <c r="G113" s="42" t="n"/>
      <c r="H113" s="42" t="n"/>
      <c r="I113" s="42" t="n"/>
      <c r="J113" s="42" t="n"/>
      <c r="K113" s="42" t="n"/>
      <c r="L113" s="42" t="n"/>
      <c r="M113" s="42" t="n"/>
      <c r="N113" s="42" t="n"/>
      <c r="O113" s="42" t="n"/>
      <c r="P113" s="42" t="n"/>
      <c r="Q113" s="43" t="n"/>
      <c r="R113" s="35" t="inlineStr">
        <is>
          <t>IF(AO113="","",AO113)</t>
        </is>
      </c>
      <c r="S113" s="44" t="n"/>
      <c r="T113" s="45" t="n"/>
      <c r="U113" s="44" t="n"/>
      <c r="V113" s="35" t="inlineStr">
        <is>
          <t>IF(U113&lt;&gt;"",U113,IF(OR(R113="",T113=""),"",EDATE(R113,T113)))</t>
        </is>
      </c>
      <c r="W113" s="44" t="n"/>
      <c r="X113" s="45" t="n"/>
      <c r="Y113" s="42" t="n"/>
      <c r="Z113" s="42" t="n"/>
      <c r="AA113" s="32" t="inlineStr">
        <is>
          <t>IF(E113="","",IF(COUNT(AG113:AT113)=0,IF(Y113="","Not started",Y113),SUBSTITUTE(LOOKUP(2,1/(AG113:AT113&lt;&gt;""),$AG$3:$AT$3),"Date: ","")))</t>
        </is>
      </c>
      <c r="AB113" s="38" t="inlineStr">
        <is>
          <t>IF(OR(E113="",COUNT(AG113:AT113)=0),"",TODAY()-LOOKUP(2,1/(AG113:AT113&lt;&gt;""),AG113:AT113))</t>
        </is>
      </c>
      <c r="AC113" s="38" t="inlineStr">
        <is>
          <t>IF(OR(E113="",COUNT(AG113:AT113)&lt;2),"",LOOKUP(2,1/(AG113:AT113&lt;&gt;""),AG113:AT113)-MIN(AG113:AT113))</t>
        </is>
      </c>
      <c r="AD113" s="38" t="inlineStr">
        <is>
          <t>IF(OR(AB113="",AA113="Not started",AA113=""),"",IFERROR(AB113-IF(VLOOKUP(AA113,'04_Status_Pipeline'!$B$3:$E$20,4,FALSE)="",0,VLOOKUP(AA113,'04_Status_Pipeline'!$B$3:$E$20,4,FALSE)),""))</t>
        </is>
      </c>
      <c r="AE113" s="32" t="inlineStr">
        <is>
          <t>IF(E113="","",IF(OR(Y113="Cancelled",AA113="Cancelled"),"Cancelled",IF(OR(AA113="Completed / Handover",W113&lt;&gt;"",X113&gt;=100),"Completed — on track",IF(L113="Remaining",IF(S113="",IF(V113="","No planned date",IF(TODAY()&gt;V113,"Behind — past planned date",IF(V113-TODAY()&lt;=30,"At risk — close to off track","On track"))),IF(TODAY()&gt;S113,"Behind — award date passed",IF(S113-TODAY()&lt;=30,"At risk — close to off track","On track"))),IF(V113="","No planned date",IF(AND(TODAY()&gt;V113,OR(X113="",X113&lt;100)),"Behind — past end date",IF(AND(R113&lt;&gt;"",V113&lt;&gt;"",X113&lt;&gt;"",(X113&lt;100),((TODAY()-R113)/MAX(V113-R113,1)*100)-X113&gt;15),"Behind — progress lag",IF(AND(V113-TODAY()&lt;=30,V113-TODAY()&gt;=0,OR(X113="",X113&lt;90)),"At risk — close to off track","On track"))))))))</t>
        </is>
      </c>
      <c r="AF113" s="38" t="inlineStr">
        <is>
          <t>IF(OR(E113="",AA113="Completed / Handover",AA113="Cancelled"),"",IF(L113="Remaining",IF(S113&lt;&gt;"",S113-TODAY(),IF(V113="","",V113-TODAY())),IF(V113="","",V113-TODAY())))</t>
        </is>
      </c>
      <c r="AG113" s="44" t="n"/>
      <c r="AH113" s="44" t="n"/>
      <c r="AI113" s="44" t="n"/>
      <c r="AJ113" s="44" t="n"/>
      <c r="AK113" s="44" t="n"/>
      <c r="AL113" s="44" t="n"/>
      <c r="AM113" s="44" t="n"/>
      <c r="AN113" s="44" t="n"/>
      <c r="AO113" s="44" t="n"/>
      <c r="AP113" s="44" t="n"/>
      <c r="AQ113" s="44" t="n"/>
      <c r="AR113" s="40" t="n"/>
      <c r="AS113" s="40" t="n"/>
      <c r="AT113" s="40" t="n"/>
      <c r="AU113" s="38" t="inlineStr">
        <is>
          <t>IF(OR(E113="",AH113=""),"",IF(COUNT(AG113:AG113)=0,"",AH113-LOOKUP(2,1/(AG113:AG113&lt;&gt;""),AG113:AG113)))</t>
        </is>
      </c>
      <c r="AV113" s="38" t="inlineStr">
        <is>
          <t>IF(OR(E113="",AI113=""),"",IF(COUNT(AG113:AH113)=0,"",AI113-LOOKUP(2,1/(AG113:AH113&lt;&gt;""),AG113:AH113)))</t>
        </is>
      </c>
      <c r="AW113" s="38" t="inlineStr">
        <is>
          <t>IF(OR(E113="",AJ113=""),"",IF(COUNT(AG113:AI113)=0,"",AJ113-LOOKUP(2,1/(AG113:AI113&lt;&gt;""),AG113:AI113)))</t>
        </is>
      </c>
      <c r="AX113" s="38" t="inlineStr">
        <is>
          <t>IF(OR(E113="",AK113=""),"",IF(COUNT(AG113:AJ113)=0,"",AK113-LOOKUP(2,1/(AG113:AJ113&lt;&gt;""),AG113:AJ113)))</t>
        </is>
      </c>
      <c r="AY113" s="38" t="inlineStr">
        <is>
          <t>IF(OR(E113="",AL113=""),"",IF(COUNT(AG113:AK113)=0,"",AL113-LOOKUP(2,1/(AG113:AK113&lt;&gt;""),AG113:AK113)))</t>
        </is>
      </c>
      <c r="AZ113" s="38" t="inlineStr">
        <is>
          <t>IF(OR(E113="",AM113=""),"",IF(COUNT(AG113:AL113)=0,"",AM113-LOOKUP(2,1/(AG113:AL113&lt;&gt;""),AG113:AL113)))</t>
        </is>
      </c>
      <c r="BA113" s="38" t="inlineStr">
        <is>
          <t>IF(OR(E113="",AN113=""),"",IF(COUNT(AG113:AM113)=0,"",AN113-LOOKUP(2,1/(AG113:AM113&lt;&gt;""),AG113:AM113)))</t>
        </is>
      </c>
      <c r="BB113" s="38" t="inlineStr">
        <is>
          <t>IF(OR(E113="",AO113=""),"",IF(COUNT(AG113:AN113)=0,"",AO113-LOOKUP(2,1/(AG113:AN113&lt;&gt;""),AG113:AN113)))</t>
        </is>
      </c>
      <c r="BC113" s="38" t="inlineStr">
        <is>
          <t>IF(OR(E113="",AP113=""),"",IF(COUNT(AG113:AO113)=0,"",AP113-LOOKUP(2,1/(AG113:AO113&lt;&gt;""),AG113:AO113)))</t>
        </is>
      </c>
      <c r="BD113" s="38" t="inlineStr">
        <is>
          <t>IF(OR(E113="",AQ113=""),"",IF(COUNT(AG113:AP113)=0,"",AQ113-LOOKUP(2,1/(AG113:AP113&lt;&gt;""),AG113:AP113)))</t>
        </is>
      </c>
      <c r="BE113" s="38" t="inlineStr">
        <is>
          <t>IF(OR(E113="",AR113=""),"",IF(COUNT(AG113:AQ113)=0,"",AR113-LOOKUP(2,1/(AG113:AQ113&lt;&gt;""),AG113:AQ113)))</t>
        </is>
      </c>
      <c r="BF113" s="38" t="inlineStr">
        <is>
          <t>IF(OR(E113="",AS113=""),"",IF(COUNT(AG113:AR113)=0,"",AS113-LOOKUP(2,1/(AG113:AR113&lt;&gt;""),AG113:AR113)))</t>
        </is>
      </c>
      <c r="BG113" s="38" t="inlineStr">
        <is>
          <t>IF(OR(E113="",AT113=""),"",IF(COUNT(AG113:AS113)=0,"",AT113-LOOKUP(2,1/(AG113:AS113&lt;&gt;""),AG113:AS113)))</t>
        </is>
      </c>
      <c r="BH113" s="41" t="inlineStr">
        <is>
          <t>IF(G113="","All_Provinces",IFERROR(VLOOKUP(G113,'07_Lookups'!$A$4:$B$20,2,FALSE),"All_Provinces"))</t>
        </is>
      </c>
      <c r="BI113" s="41" t="inlineStr">
        <is>
          <t>IF(H113="","All_Districts",IFERROR(VLOOKUP(H113,'07_Lookups'!$E$4:$F$42,2,FALSE),"All_Districts"))</t>
        </is>
      </c>
    </row>
    <row r="114" ht="18" customHeight="1">
      <c r="A114" s="32" t="inlineStr">
        <is>
          <t>IF(E114="","",ROW()-3)</t>
        </is>
      </c>
      <c r="B114" s="33" t="n"/>
      <c r="C114" s="33" t="n"/>
      <c r="D114" s="33" t="n"/>
      <c r="E114" s="33" t="n"/>
      <c r="F114" s="33" t="n"/>
      <c r="G114" s="33" t="n"/>
      <c r="H114" s="33" t="n"/>
      <c r="I114" s="33" t="n"/>
      <c r="J114" s="33" t="n"/>
      <c r="K114" s="33" t="n"/>
      <c r="L114" s="33" t="n"/>
      <c r="M114" s="33" t="n"/>
      <c r="N114" s="33" t="n"/>
      <c r="O114" s="33" t="n"/>
      <c r="P114" s="33" t="n"/>
      <c r="Q114" s="34" t="n"/>
      <c r="R114" s="35" t="inlineStr">
        <is>
          <t>IF(AO114="","",AO114)</t>
        </is>
      </c>
      <c r="S114" s="36" t="n"/>
      <c r="T114" s="37" t="n"/>
      <c r="U114" s="36" t="n"/>
      <c r="V114" s="35" t="inlineStr">
        <is>
          <t>IF(U114&lt;&gt;"",U114,IF(OR(R114="",T114=""),"",EDATE(R114,T114)))</t>
        </is>
      </c>
      <c r="W114" s="36" t="n"/>
      <c r="X114" s="37" t="n"/>
      <c r="Y114" s="33" t="n"/>
      <c r="Z114" s="33" t="n"/>
      <c r="AA114" s="32" t="inlineStr">
        <is>
          <t>IF(E114="","",IF(COUNT(AG114:AT114)=0,IF(Y114="","Not started",Y114),SUBSTITUTE(LOOKUP(2,1/(AG114:AT114&lt;&gt;""),$AG$3:$AT$3),"Date: ","")))</t>
        </is>
      </c>
      <c r="AB114" s="38" t="inlineStr">
        <is>
          <t>IF(OR(E114="",COUNT(AG114:AT114)=0),"",TODAY()-LOOKUP(2,1/(AG114:AT114&lt;&gt;""),AG114:AT114))</t>
        </is>
      </c>
      <c r="AC114" s="38" t="inlineStr">
        <is>
          <t>IF(OR(E114="",COUNT(AG114:AT114)&lt;2),"",LOOKUP(2,1/(AG114:AT114&lt;&gt;""),AG114:AT114)-MIN(AG114:AT114))</t>
        </is>
      </c>
      <c r="AD114" s="38" t="inlineStr">
        <is>
          <t>IF(OR(AB114="",AA114="Not started",AA114=""),"",IFERROR(AB114-IF(VLOOKUP(AA114,'04_Status_Pipeline'!$B$3:$E$20,4,FALSE)="",0,VLOOKUP(AA114,'04_Status_Pipeline'!$B$3:$E$20,4,FALSE)),""))</t>
        </is>
      </c>
      <c r="AE114" s="32" t="inlineStr">
        <is>
          <t>IF(E114="","",IF(OR(Y114="Cancelled",AA114="Cancelled"),"Cancelled",IF(OR(AA114="Completed / Handover",W114&lt;&gt;"",X114&gt;=100),"Completed — on track",IF(L114="Remaining",IF(S114="",IF(V114="","No planned date",IF(TODAY()&gt;V114,"Behind — past planned date",IF(V114-TODAY()&lt;=30,"At risk — close to off track","On track"))),IF(TODAY()&gt;S114,"Behind — award date passed",IF(S114-TODAY()&lt;=30,"At risk — close to off track","On track"))),IF(V114="","No planned date",IF(AND(TODAY()&gt;V114,OR(X114="",X114&lt;100)),"Behind — past end date",IF(AND(R114&lt;&gt;"",V114&lt;&gt;"",X114&lt;&gt;"",(X114&lt;100),((TODAY()-R114)/MAX(V114-R114,1)*100)-X114&gt;15),"Behind — progress lag",IF(AND(V114-TODAY()&lt;=30,V114-TODAY()&gt;=0,OR(X114="",X114&lt;90)),"At risk — close to off track","On track"))))))))</t>
        </is>
      </c>
      <c r="AF114" s="38" t="inlineStr">
        <is>
          <t>IF(OR(E114="",AA114="Completed / Handover",AA114="Cancelled"),"",IF(L114="Remaining",IF(S114&lt;&gt;"",S114-TODAY(),IF(V114="","",V114-TODAY())),IF(V114="","",V114-TODAY())))</t>
        </is>
      </c>
      <c r="AG114" s="36" t="n"/>
      <c r="AH114" s="36" t="n"/>
      <c r="AI114" s="36" t="n"/>
      <c r="AJ114" s="36" t="n"/>
      <c r="AK114" s="36" t="n"/>
      <c r="AL114" s="36" t="n"/>
      <c r="AM114" s="36" t="n"/>
      <c r="AN114" s="36" t="n"/>
      <c r="AO114" s="36" t="n"/>
      <c r="AP114" s="36" t="n"/>
      <c r="AQ114" s="36" t="n"/>
      <c r="AR114" s="40" t="n"/>
      <c r="AS114" s="40" t="n"/>
      <c r="AT114" s="40" t="n"/>
      <c r="AU114" s="38" t="inlineStr">
        <is>
          <t>IF(OR(E114="",AH114=""),"",IF(COUNT(AG114:AG114)=0,"",AH114-LOOKUP(2,1/(AG114:AG114&lt;&gt;""),AG114:AG114)))</t>
        </is>
      </c>
      <c r="AV114" s="38" t="inlineStr">
        <is>
          <t>IF(OR(E114="",AI114=""),"",IF(COUNT(AG114:AH114)=0,"",AI114-LOOKUP(2,1/(AG114:AH114&lt;&gt;""),AG114:AH114)))</t>
        </is>
      </c>
      <c r="AW114" s="38" t="inlineStr">
        <is>
          <t>IF(OR(E114="",AJ114=""),"",IF(COUNT(AG114:AI114)=0,"",AJ114-LOOKUP(2,1/(AG114:AI114&lt;&gt;""),AG114:AI114)))</t>
        </is>
      </c>
      <c r="AX114" s="38" t="inlineStr">
        <is>
          <t>IF(OR(E114="",AK114=""),"",IF(COUNT(AG114:AJ114)=0,"",AK114-LOOKUP(2,1/(AG114:AJ114&lt;&gt;""),AG114:AJ114)))</t>
        </is>
      </c>
      <c r="AY114" s="38" t="inlineStr">
        <is>
          <t>IF(OR(E114="",AL114=""),"",IF(COUNT(AG114:AK114)=0,"",AL114-LOOKUP(2,1/(AG114:AK114&lt;&gt;""),AG114:AK114)))</t>
        </is>
      </c>
      <c r="AZ114" s="38" t="inlineStr">
        <is>
          <t>IF(OR(E114="",AM114=""),"",IF(COUNT(AG114:AL114)=0,"",AM114-LOOKUP(2,1/(AG114:AL114&lt;&gt;""),AG114:AL114)))</t>
        </is>
      </c>
      <c r="BA114" s="38" t="inlineStr">
        <is>
          <t>IF(OR(E114="",AN114=""),"",IF(COUNT(AG114:AM114)=0,"",AN114-LOOKUP(2,1/(AG114:AM114&lt;&gt;""),AG114:AM114)))</t>
        </is>
      </c>
      <c r="BB114" s="38" t="inlineStr">
        <is>
          <t>IF(OR(E114="",AO114=""),"",IF(COUNT(AG114:AN114)=0,"",AO114-LOOKUP(2,1/(AG114:AN114&lt;&gt;""),AG114:AN114)))</t>
        </is>
      </c>
      <c r="BC114" s="38" t="inlineStr">
        <is>
          <t>IF(OR(E114="",AP114=""),"",IF(COUNT(AG114:AO114)=0,"",AP114-LOOKUP(2,1/(AG114:AO114&lt;&gt;""),AG114:AO114)))</t>
        </is>
      </c>
      <c r="BD114" s="38" t="inlineStr">
        <is>
          <t>IF(OR(E114="",AQ114=""),"",IF(COUNT(AG114:AP114)=0,"",AQ114-LOOKUP(2,1/(AG114:AP114&lt;&gt;""),AG114:AP114)))</t>
        </is>
      </c>
      <c r="BE114" s="38" t="inlineStr">
        <is>
          <t>IF(OR(E114="",AR114=""),"",IF(COUNT(AG114:AQ114)=0,"",AR114-LOOKUP(2,1/(AG114:AQ114&lt;&gt;""),AG114:AQ114)))</t>
        </is>
      </c>
      <c r="BF114" s="38" t="inlineStr">
        <is>
          <t>IF(OR(E114="",AS114=""),"",IF(COUNT(AG114:AR114)=0,"",AS114-LOOKUP(2,1/(AG114:AR114&lt;&gt;""),AG114:AR114)))</t>
        </is>
      </c>
      <c r="BG114" s="38" t="inlineStr">
        <is>
          <t>IF(OR(E114="",AT114=""),"",IF(COUNT(AG114:AS114)=0,"",AT114-LOOKUP(2,1/(AG114:AS114&lt;&gt;""),AG114:AS114)))</t>
        </is>
      </c>
      <c r="BH114" s="41" t="inlineStr">
        <is>
          <t>IF(G114="","All_Provinces",IFERROR(VLOOKUP(G114,'07_Lookups'!$A$4:$B$20,2,FALSE),"All_Provinces"))</t>
        </is>
      </c>
      <c r="BI114" s="41" t="inlineStr">
        <is>
          <t>IF(H114="","All_Districts",IFERROR(VLOOKUP(H114,'07_Lookups'!$E$4:$F$42,2,FALSE),"All_Districts"))</t>
        </is>
      </c>
    </row>
    <row r="115" ht="18" customHeight="1">
      <c r="A115" s="32" t="inlineStr">
        <is>
          <t>IF(E115="","",ROW()-3)</t>
        </is>
      </c>
      <c r="B115" s="42" t="n"/>
      <c r="C115" s="42" t="n"/>
      <c r="D115" s="42" t="n"/>
      <c r="E115" s="42" t="n"/>
      <c r="F115" s="42" t="n"/>
      <c r="G115" s="42" t="n"/>
      <c r="H115" s="42" t="n"/>
      <c r="I115" s="42" t="n"/>
      <c r="J115" s="42" t="n"/>
      <c r="K115" s="42" t="n"/>
      <c r="L115" s="42" t="n"/>
      <c r="M115" s="42" t="n"/>
      <c r="N115" s="42" t="n"/>
      <c r="O115" s="42" t="n"/>
      <c r="P115" s="42" t="n"/>
      <c r="Q115" s="43" t="n"/>
      <c r="R115" s="35" t="inlineStr">
        <is>
          <t>IF(AO115="","",AO115)</t>
        </is>
      </c>
      <c r="S115" s="44" t="n"/>
      <c r="T115" s="45" t="n"/>
      <c r="U115" s="44" t="n"/>
      <c r="V115" s="35" t="inlineStr">
        <is>
          <t>IF(U115&lt;&gt;"",U115,IF(OR(R115="",T115=""),"",EDATE(R115,T115)))</t>
        </is>
      </c>
      <c r="W115" s="44" t="n"/>
      <c r="X115" s="45" t="n"/>
      <c r="Y115" s="42" t="n"/>
      <c r="Z115" s="42" t="n"/>
      <c r="AA115" s="32" t="inlineStr">
        <is>
          <t>IF(E115="","",IF(COUNT(AG115:AT115)=0,IF(Y115="","Not started",Y115),SUBSTITUTE(LOOKUP(2,1/(AG115:AT115&lt;&gt;""),$AG$3:$AT$3),"Date: ","")))</t>
        </is>
      </c>
      <c r="AB115" s="38" t="inlineStr">
        <is>
          <t>IF(OR(E115="",COUNT(AG115:AT115)=0),"",TODAY()-LOOKUP(2,1/(AG115:AT115&lt;&gt;""),AG115:AT115))</t>
        </is>
      </c>
      <c r="AC115" s="38" t="inlineStr">
        <is>
          <t>IF(OR(E115="",COUNT(AG115:AT115)&lt;2),"",LOOKUP(2,1/(AG115:AT115&lt;&gt;""),AG115:AT115)-MIN(AG115:AT115))</t>
        </is>
      </c>
      <c r="AD115" s="38" t="inlineStr">
        <is>
          <t>IF(OR(AB115="",AA115="Not started",AA115=""),"",IFERROR(AB115-IF(VLOOKUP(AA115,'04_Status_Pipeline'!$B$3:$E$20,4,FALSE)="",0,VLOOKUP(AA115,'04_Status_Pipeline'!$B$3:$E$20,4,FALSE)),""))</t>
        </is>
      </c>
      <c r="AE115" s="32" t="inlineStr">
        <is>
          <t>IF(E115="","",IF(OR(Y115="Cancelled",AA115="Cancelled"),"Cancelled",IF(OR(AA115="Completed / Handover",W115&lt;&gt;"",X115&gt;=100),"Completed — on track",IF(L115="Remaining",IF(S115="",IF(V115="","No planned date",IF(TODAY()&gt;V115,"Behind — past planned date",IF(V115-TODAY()&lt;=30,"At risk — close to off track","On track"))),IF(TODAY()&gt;S115,"Behind — award date passed",IF(S115-TODAY()&lt;=30,"At risk — close to off track","On track"))),IF(V115="","No planned date",IF(AND(TODAY()&gt;V115,OR(X115="",X115&lt;100)),"Behind — past end date",IF(AND(R115&lt;&gt;"",V115&lt;&gt;"",X115&lt;&gt;"",(X115&lt;100),((TODAY()-R115)/MAX(V115-R115,1)*100)-X115&gt;15),"Behind — progress lag",IF(AND(V115-TODAY()&lt;=30,V115-TODAY()&gt;=0,OR(X115="",X115&lt;90)),"At risk — close to off track","On track"))))))))</t>
        </is>
      </c>
      <c r="AF115" s="38" t="inlineStr">
        <is>
          <t>IF(OR(E115="",AA115="Completed / Handover",AA115="Cancelled"),"",IF(L115="Remaining",IF(S115&lt;&gt;"",S115-TODAY(),IF(V115="","",V115-TODAY())),IF(V115="","",V115-TODAY())))</t>
        </is>
      </c>
      <c r="AG115" s="44" t="n"/>
      <c r="AH115" s="44" t="n"/>
      <c r="AI115" s="44" t="n"/>
      <c r="AJ115" s="44" t="n"/>
      <c r="AK115" s="44" t="n"/>
      <c r="AL115" s="44" t="n"/>
      <c r="AM115" s="44" t="n"/>
      <c r="AN115" s="44" t="n"/>
      <c r="AO115" s="44" t="n"/>
      <c r="AP115" s="44" t="n"/>
      <c r="AQ115" s="44" t="n"/>
      <c r="AR115" s="40" t="n"/>
      <c r="AS115" s="40" t="n"/>
      <c r="AT115" s="40" t="n"/>
      <c r="AU115" s="38" t="inlineStr">
        <is>
          <t>IF(OR(E115="",AH115=""),"",IF(COUNT(AG115:AG115)=0,"",AH115-LOOKUP(2,1/(AG115:AG115&lt;&gt;""),AG115:AG115)))</t>
        </is>
      </c>
      <c r="AV115" s="38" t="inlineStr">
        <is>
          <t>IF(OR(E115="",AI115=""),"",IF(COUNT(AG115:AH115)=0,"",AI115-LOOKUP(2,1/(AG115:AH115&lt;&gt;""),AG115:AH115)))</t>
        </is>
      </c>
      <c r="AW115" s="38" t="inlineStr">
        <is>
          <t>IF(OR(E115="",AJ115=""),"",IF(COUNT(AG115:AI115)=0,"",AJ115-LOOKUP(2,1/(AG115:AI115&lt;&gt;""),AG115:AI115)))</t>
        </is>
      </c>
      <c r="AX115" s="38" t="inlineStr">
        <is>
          <t>IF(OR(E115="",AK115=""),"",IF(COUNT(AG115:AJ115)=0,"",AK115-LOOKUP(2,1/(AG115:AJ115&lt;&gt;""),AG115:AJ115)))</t>
        </is>
      </c>
      <c r="AY115" s="38" t="inlineStr">
        <is>
          <t>IF(OR(E115="",AL115=""),"",IF(COUNT(AG115:AK115)=0,"",AL115-LOOKUP(2,1/(AG115:AK115&lt;&gt;""),AG115:AK115)))</t>
        </is>
      </c>
      <c r="AZ115" s="38" t="inlineStr">
        <is>
          <t>IF(OR(E115="",AM115=""),"",IF(COUNT(AG115:AL115)=0,"",AM115-LOOKUP(2,1/(AG115:AL115&lt;&gt;""),AG115:AL115)))</t>
        </is>
      </c>
      <c r="BA115" s="38" t="inlineStr">
        <is>
          <t>IF(OR(E115="",AN115=""),"",IF(COUNT(AG115:AM115)=0,"",AN115-LOOKUP(2,1/(AG115:AM115&lt;&gt;""),AG115:AM115)))</t>
        </is>
      </c>
      <c r="BB115" s="38" t="inlineStr">
        <is>
          <t>IF(OR(E115="",AO115=""),"",IF(COUNT(AG115:AN115)=0,"",AO115-LOOKUP(2,1/(AG115:AN115&lt;&gt;""),AG115:AN115)))</t>
        </is>
      </c>
      <c r="BC115" s="38" t="inlineStr">
        <is>
          <t>IF(OR(E115="",AP115=""),"",IF(COUNT(AG115:AO115)=0,"",AP115-LOOKUP(2,1/(AG115:AO115&lt;&gt;""),AG115:AO115)))</t>
        </is>
      </c>
      <c r="BD115" s="38" t="inlineStr">
        <is>
          <t>IF(OR(E115="",AQ115=""),"",IF(COUNT(AG115:AP115)=0,"",AQ115-LOOKUP(2,1/(AG115:AP115&lt;&gt;""),AG115:AP115)))</t>
        </is>
      </c>
      <c r="BE115" s="38" t="inlineStr">
        <is>
          <t>IF(OR(E115="",AR115=""),"",IF(COUNT(AG115:AQ115)=0,"",AR115-LOOKUP(2,1/(AG115:AQ115&lt;&gt;""),AG115:AQ115)))</t>
        </is>
      </c>
      <c r="BF115" s="38" t="inlineStr">
        <is>
          <t>IF(OR(E115="",AS115=""),"",IF(COUNT(AG115:AR115)=0,"",AS115-LOOKUP(2,1/(AG115:AR115&lt;&gt;""),AG115:AR115)))</t>
        </is>
      </c>
      <c r="BG115" s="38" t="inlineStr">
        <is>
          <t>IF(OR(E115="",AT115=""),"",IF(COUNT(AG115:AS115)=0,"",AT115-LOOKUP(2,1/(AG115:AS115&lt;&gt;""),AG115:AS115)))</t>
        </is>
      </c>
      <c r="BH115" s="41" t="inlineStr">
        <is>
          <t>IF(G115="","All_Provinces",IFERROR(VLOOKUP(G115,'07_Lookups'!$A$4:$B$20,2,FALSE),"All_Provinces"))</t>
        </is>
      </c>
      <c r="BI115" s="41" t="inlineStr">
        <is>
          <t>IF(H115="","All_Districts",IFERROR(VLOOKUP(H115,'07_Lookups'!$E$4:$F$42,2,FALSE),"All_Districts"))</t>
        </is>
      </c>
    </row>
    <row r="116" ht="18" customHeight="1">
      <c r="A116" s="32" t="inlineStr">
        <is>
          <t>IF(E116="","",ROW()-3)</t>
        </is>
      </c>
      <c r="B116" s="33" t="n"/>
      <c r="C116" s="33" t="n"/>
      <c r="D116" s="33" t="n"/>
      <c r="E116" s="33" t="n"/>
      <c r="F116" s="33" t="n"/>
      <c r="G116" s="33" t="n"/>
      <c r="H116" s="33" t="n"/>
      <c r="I116" s="33" t="n"/>
      <c r="J116" s="33" t="n"/>
      <c r="K116" s="33" t="n"/>
      <c r="L116" s="33" t="n"/>
      <c r="M116" s="33" t="n"/>
      <c r="N116" s="33" t="n"/>
      <c r="O116" s="33" t="n"/>
      <c r="P116" s="33" t="n"/>
      <c r="Q116" s="34" t="n"/>
      <c r="R116" s="35" t="inlineStr">
        <is>
          <t>IF(AO116="","",AO116)</t>
        </is>
      </c>
      <c r="S116" s="36" t="n"/>
      <c r="T116" s="37" t="n"/>
      <c r="U116" s="36" t="n"/>
      <c r="V116" s="35" t="inlineStr">
        <is>
          <t>IF(U116&lt;&gt;"",U116,IF(OR(R116="",T116=""),"",EDATE(R116,T116)))</t>
        </is>
      </c>
      <c r="W116" s="36" t="n"/>
      <c r="X116" s="37" t="n"/>
      <c r="Y116" s="33" t="n"/>
      <c r="Z116" s="33" t="n"/>
      <c r="AA116" s="32" t="inlineStr">
        <is>
          <t>IF(E116="","",IF(COUNT(AG116:AT116)=0,IF(Y116="","Not started",Y116),SUBSTITUTE(LOOKUP(2,1/(AG116:AT116&lt;&gt;""),$AG$3:$AT$3),"Date: ","")))</t>
        </is>
      </c>
      <c r="AB116" s="38" t="inlineStr">
        <is>
          <t>IF(OR(E116="",COUNT(AG116:AT116)=0),"",TODAY()-LOOKUP(2,1/(AG116:AT116&lt;&gt;""),AG116:AT116))</t>
        </is>
      </c>
      <c r="AC116" s="38" t="inlineStr">
        <is>
          <t>IF(OR(E116="",COUNT(AG116:AT116)&lt;2),"",LOOKUP(2,1/(AG116:AT116&lt;&gt;""),AG116:AT116)-MIN(AG116:AT116))</t>
        </is>
      </c>
      <c r="AD116" s="38" t="inlineStr">
        <is>
          <t>IF(OR(AB116="",AA116="Not started",AA116=""),"",IFERROR(AB116-IF(VLOOKUP(AA116,'04_Status_Pipeline'!$B$3:$E$20,4,FALSE)="",0,VLOOKUP(AA116,'04_Status_Pipeline'!$B$3:$E$20,4,FALSE)),""))</t>
        </is>
      </c>
      <c r="AE116" s="32" t="inlineStr">
        <is>
          <t>IF(E116="","",IF(OR(Y116="Cancelled",AA116="Cancelled"),"Cancelled",IF(OR(AA116="Completed / Handover",W116&lt;&gt;"",X116&gt;=100),"Completed — on track",IF(L116="Remaining",IF(S116="",IF(V116="","No planned date",IF(TODAY()&gt;V116,"Behind — past planned date",IF(V116-TODAY()&lt;=30,"At risk — close to off track","On track"))),IF(TODAY()&gt;S116,"Behind — award date passed",IF(S116-TODAY()&lt;=30,"At risk — close to off track","On track"))),IF(V116="","No planned date",IF(AND(TODAY()&gt;V116,OR(X116="",X116&lt;100)),"Behind — past end date",IF(AND(R116&lt;&gt;"",V116&lt;&gt;"",X116&lt;&gt;"",(X116&lt;100),((TODAY()-R116)/MAX(V116-R116,1)*100)-X116&gt;15),"Behind — progress lag",IF(AND(V116-TODAY()&lt;=30,V116-TODAY()&gt;=0,OR(X116="",X116&lt;90)),"At risk — close to off track","On track"))))))))</t>
        </is>
      </c>
      <c r="AF116" s="38" t="inlineStr">
        <is>
          <t>IF(OR(E116="",AA116="Completed / Handover",AA116="Cancelled"),"",IF(L116="Remaining",IF(S116&lt;&gt;"",S116-TODAY(),IF(V116="","",V116-TODAY())),IF(V116="","",V116-TODAY())))</t>
        </is>
      </c>
      <c r="AG116" s="36" t="n"/>
      <c r="AH116" s="36" t="n"/>
      <c r="AI116" s="36" t="n"/>
      <c r="AJ116" s="36" t="n"/>
      <c r="AK116" s="36" t="n"/>
      <c r="AL116" s="36" t="n"/>
      <c r="AM116" s="36" t="n"/>
      <c r="AN116" s="36" t="n"/>
      <c r="AO116" s="36" t="n"/>
      <c r="AP116" s="36" t="n"/>
      <c r="AQ116" s="36" t="n"/>
      <c r="AR116" s="40" t="n"/>
      <c r="AS116" s="40" t="n"/>
      <c r="AT116" s="40" t="n"/>
      <c r="AU116" s="38" t="inlineStr">
        <is>
          <t>IF(OR(E116="",AH116=""),"",IF(COUNT(AG116:AG116)=0,"",AH116-LOOKUP(2,1/(AG116:AG116&lt;&gt;""),AG116:AG116)))</t>
        </is>
      </c>
      <c r="AV116" s="38" t="inlineStr">
        <is>
          <t>IF(OR(E116="",AI116=""),"",IF(COUNT(AG116:AH116)=0,"",AI116-LOOKUP(2,1/(AG116:AH116&lt;&gt;""),AG116:AH116)))</t>
        </is>
      </c>
      <c r="AW116" s="38" t="inlineStr">
        <is>
          <t>IF(OR(E116="",AJ116=""),"",IF(COUNT(AG116:AI116)=0,"",AJ116-LOOKUP(2,1/(AG116:AI116&lt;&gt;""),AG116:AI116)))</t>
        </is>
      </c>
      <c r="AX116" s="38" t="inlineStr">
        <is>
          <t>IF(OR(E116="",AK116=""),"",IF(COUNT(AG116:AJ116)=0,"",AK116-LOOKUP(2,1/(AG116:AJ116&lt;&gt;""),AG116:AJ116)))</t>
        </is>
      </c>
      <c r="AY116" s="38" t="inlineStr">
        <is>
          <t>IF(OR(E116="",AL116=""),"",IF(COUNT(AG116:AK116)=0,"",AL116-LOOKUP(2,1/(AG116:AK116&lt;&gt;""),AG116:AK116)))</t>
        </is>
      </c>
      <c r="AZ116" s="38" t="inlineStr">
        <is>
          <t>IF(OR(E116="",AM116=""),"",IF(COUNT(AG116:AL116)=0,"",AM116-LOOKUP(2,1/(AG116:AL116&lt;&gt;""),AG116:AL116)))</t>
        </is>
      </c>
      <c r="BA116" s="38" t="inlineStr">
        <is>
          <t>IF(OR(E116="",AN116=""),"",IF(COUNT(AG116:AM116)=0,"",AN116-LOOKUP(2,1/(AG116:AM116&lt;&gt;""),AG116:AM116)))</t>
        </is>
      </c>
      <c r="BB116" s="38" t="inlineStr">
        <is>
          <t>IF(OR(E116="",AO116=""),"",IF(COUNT(AG116:AN116)=0,"",AO116-LOOKUP(2,1/(AG116:AN116&lt;&gt;""),AG116:AN116)))</t>
        </is>
      </c>
      <c r="BC116" s="38" t="inlineStr">
        <is>
          <t>IF(OR(E116="",AP116=""),"",IF(COUNT(AG116:AO116)=0,"",AP116-LOOKUP(2,1/(AG116:AO116&lt;&gt;""),AG116:AO116)))</t>
        </is>
      </c>
      <c r="BD116" s="38" t="inlineStr">
        <is>
          <t>IF(OR(E116="",AQ116=""),"",IF(COUNT(AG116:AP116)=0,"",AQ116-LOOKUP(2,1/(AG116:AP116&lt;&gt;""),AG116:AP116)))</t>
        </is>
      </c>
      <c r="BE116" s="38" t="inlineStr">
        <is>
          <t>IF(OR(E116="",AR116=""),"",IF(COUNT(AG116:AQ116)=0,"",AR116-LOOKUP(2,1/(AG116:AQ116&lt;&gt;""),AG116:AQ116)))</t>
        </is>
      </c>
      <c r="BF116" s="38" t="inlineStr">
        <is>
          <t>IF(OR(E116="",AS116=""),"",IF(COUNT(AG116:AR116)=0,"",AS116-LOOKUP(2,1/(AG116:AR116&lt;&gt;""),AG116:AR116)))</t>
        </is>
      </c>
      <c r="BG116" s="38" t="inlineStr">
        <is>
          <t>IF(OR(E116="",AT116=""),"",IF(COUNT(AG116:AS116)=0,"",AT116-LOOKUP(2,1/(AG116:AS116&lt;&gt;""),AG116:AS116)))</t>
        </is>
      </c>
      <c r="BH116" s="41" t="inlineStr">
        <is>
          <t>IF(G116="","All_Provinces",IFERROR(VLOOKUP(G116,'07_Lookups'!$A$4:$B$20,2,FALSE),"All_Provinces"))</t>
        </is>
      </c>
      <c r="BI116" s="41" t="inlineStr">
        <is>
          <t>IF(H116="","All_Districts",IFERROR(VLOOKUP(H116,'07_Lookups'!$E$4:$F$42,2,FALSE),"All_Districts"))</t>
        </is>
      </c>
    </row>
    <row r="117" ht="18" customHeight="1">
      <c r="A117" s="32" t="inlineStr">
        <is>
          <t>IF(E117="","",ROW()-3)</t>
        </is>
      </c>
      <c r="B117" s="42" t="n"/>
      <c r="C117" s="42" t="n"/>
      <c r="D117" s="42" t="n"/>
      <c r="E117" s="42" t="n"/>
      <c r="F117" s="42" t="n"/>
      <c r="G117" s="42" t="n"/>
      <c r="H117" s="42" t="n"/>
      <c r="I117" s="42" t="n"/>
      <c r="J117" s="42" t="n"/>
      <c r="K117" s="42" t="n"/>
      <c r="L117" s="42" t="n"/>
      <c r="M117" s="42" t="n"/>
      <c r="N117" s="42" t="n"/>
      <c r="O117" s="42" t="n"/>
      <c r="P117" s="42" t="n"/>
      <c r="Q117" s="43" t="n"/>
      <c r="R117" s="35" t="inlineStr">
        <is>
          <t>IF(AO117="","",AO117)</t>
        </is>
      </c>
      <c r="S117" s="44" t="n"/>
      <c r="T117" s="45" t="n"/>
      <c r="U117" s="44" t="n"/>
      <c r="V117" s="35" t="inlineStr">
        <is>
          <t>IF(U117&lt;&gt;"",U117,IF(OR(R117="",T117=""),"",EDATE(R117,T117)))</t>
        </is>
      </c>
      <c r="W117" s="44" t="n"/>
      <c r="X117" s="45" t="n"/>
      <c r="Y117" s="42" t="n"/>
      <c r="Z117" s="42" t="n"/>
      <c r="AA117" s="32" t="inlineStr">
        <is>
          <t>IF(E117="","",IF(COUNT(AG117:AT117)=0,IF(Y117="","Not started",Y117),SUBSTITUTE(LOOKUP(2,1/(AG117:AT117&lt;&gt;""),$AG$3:$AT$3),"Date: ","")))</t>
        </is>
      </c>
      <c r="AB117" s="38" t="inlineStr">
        <is>
          <t>IF(OR(E117="",COUNT(AG117:AT117)=0),"",TODAY()-LOOKUP(2,1/(AG117:AT117&lt;&gt;""),AG117:AT117))</t>
        </is>
      </c>
      <c r="AC117" s="38" t="inlineStr">
        <is>
          <t>IF(OR(E117="",COUNT(AG117:AT117)&lt;2),"",LOOKUP(2,1/(AG117:AT117&lt;&gt;""),AG117:AT117)-MIN(AG117:AT117))</t>
        </is>
      </c>
      <c r="AD117" s="38" t="inlineStr">
        <is>
          <t>IF(OR(AB117="",AA117="Not started",AA117=""),"",IFERROR(AB117-IF(VLOOKUP(AA117,'04_Status_Pipeline'!$B$3:$E$20,4,FALSE)="",0,VLOOKUP(AA117,'04_Status_Pipeline'!$B$3:$E$20,4,FALSE)),""))</t>
        </is>
      </c>
      <c r="AE117" s="32" t="inlineStr">
        <is>
          <t>IF(E117="","",IF(OR(Y117="Cancelled",AA117="Cancelled"),"Cancelled",IF(OR(AA117="Completed / Handover",W117&lt;&gt;"",X117&gt;=100),"Completed — on track",IF(L117="Remaining",IF(S117="",IF(V117="","No planned date",IF(TODAY()&gt;V117,"Behind — past planned date",IF(V117-TODAY()&lt;=30,"At risk — close to off track","On track"))),IF(TODAY()&gt;S117,"Behind — award date passed",IF(S117-TODAY()&lt;=30,"At risk — close to off track","On track"))),IF(V117="","No planned date",IF(AND(TODAY()&gt;V117,OR(X117="",X117&lt;100)),"Behind — past end date",IF(AND(R117&lt;&gt;"",V117&lt;&gt;"",X117&lt;&gt;"",(X117&lt;100),((TODAY()-R117)/MAX(V117-R117,1)*100)-X117&gt;15),"Behind — progress lag",IF(AND(V117-TODAY()&lt;=30,V117-TODAY()&gt;=0,OR(X117="",X117&lt;90)),"At risk — close to off track","On track"))))))))</t>
        </is>
      </c>
      <c r="AF117" s="38" t="inlineStr">
        <is>
          <t>IF(OR(E117="",AA117="Completed / Handover",AA117="Cancelled"),"",IF(L117="Remaining",IF(S117&lt;&gt;"",S117-TODAY(),IF(V117="","",V117-TODAY())),IF(V117="","",V117-TODAY())))</t>
        </is>
      </c>
      <c r="AG117" s="44" t="n"/>
      <c r="AH117" s="44" t="n"/>
      <c r="AI117" s="44" t="n"/>
      <c r="AJ117" s="44" t="n"/>
      <c r="AK117" s="44" t="n"/>
      <c r="AL117" s="44" t="n"/>
      <c r="AM117" s="44" t="n"/>
      <c r="AN117" s="44" t="n"/>
      <c r="AO117" s="44" t="n"/>
      <c r="AP117" s="44" t="n"/>
      <c r="AQ117" s="44" t="n"/>
      <c r="AR117" s="40" t="n"/>
      <c r="AS117" s="40" t="n"/>
      <c r="AT117" s="40" t="n"/>
      <c r="AU117" s="38" t="inlineStr">
        <is>
          <t>IF(OR(E117="",AH117=""),"",IF(COUNT(AG117:AG117)=0,"",AH117-LOOKUP(2,1/(AG117:AG117&lt;&gt;""),AG117:AG117)))</t>
        </is>
      </c>
      <c r="AV117" s="38" t="inlineStr">
        <is>
          <t>IF(OR(E117="",AI117=""),"",IF(COUNT(AG117:AH117)=0,"",AI117-LOOKUP(2,1/(AG117:AH117&lt;&gt;""),AG117:AH117)))</t>
        </is>
      </c>
      <c r="AW117" s="38" t="inlineStr">
        <is>
          <t>IF(OR(E117="",AJ117=""),"",IF(COUNT(AG117:AI117)=0,"",AJ117-LOOKUP(2,1/(AG117:AI117&lt;&gt;""),AG117:AI117)))</t>
        </is>
      </c>
      <c r="AX117" s="38" t="inlineStr">
        <is>
          <t>IF(OR(E117="",AK117=""),"",IF(COUNT(AG117:AJ117)=0,"",AK117-LOOKUP(2,1/(AG117:AJ117&lt;&gt;""),AG117:AJ117)))</t>
        </is>
      </c>
      <c r="AY117" s="38" t="inlineStr">
        <is>
          <t>IF(OR(E117="",AL117=""),"",IF(COUNT(AG117:AK117)=0,"",AL117-LOOKUP(2,1/(AG117:AK117&lt;&gt;""),AG117:AK117)))</t>
        </is>
      </c>
      <c r="AZ117" s="38" t="inlineStr">
        <is>
          <t>IF(OR(E117="",AM117=""),"",IF(COUNT(AG117:AL117)=0,"",AM117-LOOKUP(2,1/(AG117:AL117&lt;&gt;""),AG117:AL117)))</t>
        </is>
      </c>
      <c r="BA117" s="38" t="inlineStr">
        <is>
          <t>IF(OR(E117="",AN117=""),"",IF(COUNT(AG117:AM117)=0,"",AN117-LOOKUP(2,1/(AG117:AM117&lt;&gt;""),AG117:AM117)))</t>
        </is>
      </c>
      <c r="BB117" s="38" t="inlineStr">
        <is>
          <t>IF(OR(E117="",AO117=""),"",IF(COUNT(AG117:AN117)=0,"",AO117-LOOKUP(2,1/(AG117:AN117&lt;&gt;""),AG117:AN117)))</t>
        </is>
      </c>
      <c r="BC117" s="38" t="inlineStr">
        <is>
          <t>IF(OR(E117="",AP117=""),"",IF(COUNT(AG117:AO117)=0,"",AP117-LOOKUP(2,1/(AG117:AO117&lt;&gt;""),AG117:AO117)))</t>
        </is>
      </c>
      <c r="BD117" s="38" t="inlineStr">
        <is>
          <t>IF(OR(E117="",AQ117=""),"",IF(COUNT(AG117:AP117)=0,"",AQ117-LOOKUP(2,1/(AG117:AP117&lt;&gt;""),AG117:AP117)))</t>
        </is>
      </c>
      <c r="BE117" s="38" t="inlineStr">
        <is>
          <t>IF(OR(E117="",AR117=""),"",IF(COUNT(AG117:AQ117)=0,"",AR117-LOOKUP(2,1/(AG117:AQ117&lt;&gt;""),AG117:AQ117)))</t>
        </is>
      </c>
      <c r="BF117" s="38" t="inlineStr">
        <is>
          <t>IF(OR(E117="",AS117=""),"",IF(COUNT(AG117:AR117)=0,"",AS117-LOOKUP(2,1/(AG117:AR117&lt;&gt;""),AG117:AR117)))</t>
        </is>
      </c>
      <c r="BG117" s="38" t="inlineStr">
        <is>
          <t>IF(OR(E117="",AT117=""),"",IF(COUNT(AG117:AS117)=0,"",AT117-LOOKUP(2,1/(AG117:AS117&lt;&gt;""),AG117:AS117)))</t>
        </is>
      </c>
      <c r="BH117" s="41" t="inlineStr">
        <is>
          <t>IF(G117="","All_Provinces",IFERROR(VLOOKUP(G117,'07_Lookups'!$A$4:$B$20,2,FALSE),"All_Provinces"))</t>
        </is>
      </c>
      <c r="BI117" s="41" t="inlineStr">
        <is>
          <t>IF(H117="","All_Districts",IFERROR(VLOOKUP(H117,'07_Lookups'!$E$4:$F$42,2,FALSE),"All_Districts"))</t>
        </is>
      </c>
    </row>
    <row r="118" ht="18" customHeight="1">
      <c r="A118" s="32" t="inlineStr">
        <is>
          <t>IF(E118="","",ROW()-3)</t>
        </is>
      </c>
      <c r="B118" s="33" t="n"/>
      <c r="C118" s="33" t="n"/>
      <c r="D118" s="33" t="n"/>
      <c r="E118" s="33" t="n"/>
      <c r="F118" s="33" t="n"/>
      <c r="G118" s="33" t="n"/>
      <c r="H118" s="33" t="n"/>
      <c r="I118" s="33" t="n"/>
      <c r="J118" s="33" t="n"/>
      <c r="K118" s="33" t="n"/>
      <c r="L118" s="33" t="n"/>
      <c r="M118" s="33" t="n"/>
      <c r="N118" s="33" t="n"/>
      <c r="O118" s="33" t="n"/>
      <c r="P118" s="33" t="n"/>
      <c r="Q118" s="34" t="n"/>
      <c r="R118" s="35" t="inlineStr">
        <is>
          <t>IF(AO118="","",AO118)</t>
        </is>
      </c>
      <c r="S118" s="36" t="n"/>
      <c r="T118" s="37" t="n"/>
      <c r="U118" s="36" t="n"/>
      <c r="V118" s="35" t="inlineStr">
        <is>
          <t>IF(U118&lt;&gt;"",U118,IF(OR(R118="",T118=""),"",EDATE(R118,T118)))</t>
        </is>
      </c>
      <c r="W118" s="36" t="n"/>
      <c r="X118" s="37" t="n"/>
      <c r="Y118" s="33" t="n"/>
      <c r="Z118" s="33" t="n"/>
      <c r="AA118" s="32" t="inlineStr">
        <is>
          <t>IF(E118="","",IF(COUNT(AG118:AT118)=0,IF(Y118="","Not started",Y118),SUBSTITUTE(LOOKUP(2,1/(AG118:AT118&lt;&gt;""),$AG$3:$AT$3),"Date: ","")))</t>
        </is>
      </c>
      <c r="AB118" s="38" t="inlineStr">
        <is>
          <t>IF(OR(E118="",COUNT(AG118:AT118)=0),"",TODAY()-LOOKUP(2,1/(AG118:AT118&lt;&gt;""),AG118:AT118))</t>
        </is>
      </c>
      <c r="AC118" s="38" t="inlineStr">
        <is>
          <t>IF(OR(E118="",COUNT(AG118:AT118)&lt;2),"",LOOKUP(2,1/(AG118:AT118&lt;&gt;""),AG118:AT118)-MIN(AG118:AT118))</t>
        </is>
      </c>
      <c r="AD118" s="38" t="inlineStr">
        <is>
          <t>IF(OR(AB118="",AA118="Not started",AA118=""),"",IFERROR(AB118-IF(VLOOKUP(AA118,'04_Status_Pipeline'!$B$3:$E$20,4,FALSE)="",0,VLOOKUP(AA118,'04_Status_Pipeline'!$B$3:$E$20,4,FALSE)),""))</t>
        </is>
      </c>
      <c r="AE118" s="32" t="inlineStr">
        <is>
          <t>IF(E118="","",IF(OR(Y118="Cancelled",AA118="Cancelled"),"Cancelled",IF(OR(AA118="Completed / Handover",W118&lt;&gt;"",X118&gt;=100),"Completed — on track",IF(L118="Remaining",IF(S118="",IF(V118="","No planned date",IF(TODAY()&gt;V118,"Behind — past planned date",IF(V118-TODAY()&lt;=30,"At risk — close to off track","On track"))),IF(TODAY()&gt;S118,"Behind — award date passed",IF(S118-TODAY()&lt;=30,"At risk — close to off track","On track"))),IF(V118="","No planned date",IF(AND(TODAY()&gt;V118,OR(X118="",X118&lt;100)),"Behind — past end date",IF(AND(R118&lt;&gt;"",V118&lt;&gt;"",X118&lt;&gt;"",(X118&lt;100),((TODAY()-R118)/MAX(V118-R118,1)*100)-X118&gt;15),"Behind — progress lag",IF(AND(V118-TODAY()&lt;=30,V118-TODAY()&gt;=0,OR(X118="",X118&lt;90)),"At risk — close to off track","On track"))))))))</t>
        </is>
      </c>
      <c r="AF118" s="38" t="inlineStr">
        <is>
          <t>IF(OR(E118="",AA118="Completed / Handover",AA118="Cancelled"),"",IF(L118="Remaining",IF(S118&lt;&gt;"",S118-TODAY(),IF(V118="","",V118-TODAY())),IF(V118="","",V118-TODAY())))</t>
        </is>
      </c>
      <c r="AG118" s="36" t="n"/>
      <c r="AH118" s="36" t="n"/>
      <c r="AI118" s="36" t="n"/>
      <c r="AJ118" s="36" t="n"/>
      <c r="AK118" s="36" t="n"/>
      <c r="AL118" s="36" t="n"/>
      <c r="AM118" s="36" t="n"/>
      <c r="AN118" s="36" t="n"/>
      <c r="AO118" s="36" t="n"/>
      <c r="AP118" s="36" t="n"/>
      <c r="AQ118" s="36" t="n"/>
      <c r="AR118" s="40" t="n"/>
      <c r="AS118" s="40" t="n"/>
      <c r="AT118" s="40" t="n"/>
      <c r="AU118" s="38" t="inlineStr">
        <is>
          <t>IF(OR(E118="",AH118=""),"",IF(COUNT(AG118:AG118)=0,"",AH118-LOOKUP(2,1/(AG118:AG118&lt;&gt;""),AG118:AG118)))</t>
        </is>
      </c>
      <c r="AV118" s="38" t="inlineStr">
        <is>
          <t>IF(OR(E118="",AI118=""),"",IF(COUNT(AG118:AH118)=0,"",AI118-LOOKUP(2,1/(AG118:AH118&lt;&gt;""),AG118:AH118)))</t>
        </is>
      </c>
      <c r="AW118" s="38" t="inlineStr">
        <is>
          <t>IF(OR(E118="",AJ118=""),"",IF(COUNT(AG118:AI118)=0,"",AJ118-LOOKUP(2,1/(AG118:AI118&lt;&gt;""),AG118:AI118)))</t>
        </is>
      </c>
      <c r="AX118" s="38" t="inlineStr">
        <is>
          <t>IF(OR(E118="",AK118=""),"",IF(COUNT(AG118:AJ118)=0,"",AK118-LOOKUP(2,1/(AG118:AJ118&lt;&gt;""),AG118:AJ118)))</t>
        </is>
      </c>
      <c r="AY118" s="38" t="inlineStr">
        <is>
          <t>IF(OR(E118="",AL118=""),"",IF(COUNT(AG118:AK118)=0,"",AL118-LOOKUP(2,1/(AG118:AK118&lt;&gt;""),AG118:AK118)))</t>
        </is>
      </c>
      <c r="AZ118" s="38" t="inlineStr">
        <is>
          <t>IF(OR(E118="",AM118=""),"",IF(COUNT(AG118:AL118)=0,"",AM118-LOOKUP(2,1/(AG118:AL118&lt;&gt;""),AG118:AL118)))</t>
        </is>
      </c>
      <c r="BA118" s="38" t="inlineStr">
        <is>
          <t>IF(OR(E118="",AN118=""),"",IF(COUNT(AG118:AM118)=0,"",AN118-LOOKUP(2,1/(AG118:AM118&lt;&gt;""),AG118:AM118)))</t>
        </is>
      </c>
      <c r="BB118" s="38" t="inlineStr">
        <is>
          <t>IF(OR(E118="",AO118=""),"",IF(COUNT(AG118:AN118)=0,"",AO118-LOOKUP(2,1/(AG118:AN118&lt;&gt;""),AG118:AN118)))</t>
        </is>
      </c>
      <c r="BC118" s="38" t="inlineStr">
        <is>
          <t>IF(OR(E118="",AP118=""),"",IF(COUNT(AG118:AO118)=0,"",AP118-LOOKUP(2,1/(AG118:AO118&lt;&gt;""),AG118:AO118)))</t>
        </is>
      </c>
      <c r="BD118" s="38" t="inlineStr">
        <is>
          <t>IF(OR(E118="",AQ118=""),"",IF(COUNT(AG118:AP118)=0,"",AQ118-LOOKUP(2,1/(AG118:AP118&lt;&gt;""),AG118:AP118)))</t>
        </is>
      </c>
      <c r="BE118" s="38" t="inlineStr">
        <is>
          <t>IF(OR(E118="",AR118=""),"",IF(COUNT(AG118:AQ118)=0,"",AR118-LOOKUP(2,1/(AG118:AQ118&lt;&gt;""),AG118:AQ118)))</t>
        </is>
      </c>
      <c r="BF118" s="38" t="inlineStr">
        <is>
          <t>IF(OR(E118="",AS118=""),"",IF(COUNT(AG118:AR118)=0,"",AS118-LOOKUP(2,1/(AG118:AR118&lt;&gt;""),AG118:AR118)))</t>
        </is>
      </c>
      <c r="BG118" s="38" t="inlineStr">
        <is>
          <t>IF(OR(E118="",AT118=""),"",IF(COUNT(AG118:AS118)=0,"",AT118-LOOKUP(2,1/(AG118:AS118&lt;&gt;""),AG118:AS118)))</t>
        </is>
      </c>
      <c r="BH118" s="41" t="inlineStr">
        <is>
          <t>IF(G118="","All_Provinces",IFERROR(VLOOKUP(G118,'07_Lookups'!$A$4:$B$20,2,FALSE),"All_Provinces"))</t>
        </is>
      </c>
      <c r="BI118" s="41" t="inlineStr">
        <is>
          <t>IF(H118="","All_Districts",IFERROR(VLOOKUP(H118,'07_Lookups'!$E$4:$F$42,2,FALSE),"All_Districts"))</t>
        </is>
      </c>
    </row>
    <row r="119" ht="18" customHeight="1">
      <c r="A119" s="32" t="inlineStr">
        <is>
          <t>IF(E119="","",ROW()-3)</t>
        </is>
      </c>
      <c r="B119" s="42" t="n"/>
      <c r="C119" s="42" t="n"/>
      <c r="D119" s="42" t="n"/>
      <c r="E119" s="42" t="n"/>
      <c r="F119" s="42" t="n"/>
      <c r="G119" s="42" t="n"/>
      <c r="H119" s="42" t="n"/>
      <c r="I119" s="42" t="n"/>
      <c r="J119" s="42" t="n"/>
      <c r="K119" s="42" t="n"/>
      <c r="L119" s="42" t="n"/>
      <c r="M119" s="42" t="n"/>
      <c r="N119" s="42" t="n"/>
      <c r="O119" s="42" t="n"/>
      <c r="P119" s="42" t="n"/>
      <c r="Q119" s="43" t="n"/>
      <c r="R119" s="35" t="inlineStr">
        <is>
          <t>IF(AO119="","",AO119)</t>
        </is>
      </c>
      <c r="S119" s="44" t="n"/>
      <c r="T119" s="45" t="n"/>
      <c r="U119" s="44" t="n"/>
      <c r="V119" s="35" t="inlineStr">
        <is>
          <t>IF(U119&lt;&gt;"",U119,IF(OR(R119="",T119=""),"",EDATE(R119,T119)))</t>
        </is>
      </c>
      <c r="W119" s="44" t="n"/>
      <c r="X119" s="45" t="n"/>
      <c r="Y119" s="42" t="n"/>
      <c r="Z119" s="42" t="n"/>
      <c r="AA119" s="32" t="inlineStr">
        <is>
          <t>IF(E119="","",IF(COUNT(AG119:AT119)=0,IF(Y119="","Not started",Y119),SUBSTITUTE(LOOKUP(2,1/(AG119:AT119&lt;&gt;""),$AG$3:$AT$3),"Date: ","")))</t>
        </is>
      </c>
      <c r="AB119" s="38" t="inlineStr">
        <is>
          <t>IF(OR(E119="",COUNT(AG119:AT119)=0),"",TODAY()-LOOKUP(2,1/(AG119:AT119&lt;&gt;""),AG119:AT119))</t>
        </is>
      </c>
      <c r="AC119" s="38" t="inlineStr">
        <is>
          <t>IF(OR(E119="",COUNT(AG119:AT119)&lt;2),"",LOOKUP(2,1/(AG119:AT119&lt;&gt;""),AG119:AT119)-MIN(AG119:AT119))</t>
        </is>
      </c>
      <c r="AD119" s="38" t="inlineStr">
        <is>
          <t>IF(OR(AB119="",AA119="Not started",AA119=""),"",IFERROR(AB119-IF(VLOOKUP(AA119,'04_Status_Pipeline'!$B$3:$E$20,4,FALSE)="",0,VLOOKUP(AA119,'04_Status_Pipeline'!$B$3:$E$20,4,FALSE)),""))</t>
        </is>
      </c>
      <c r="AE119" s="32" t="inlineStr">
        <is>
          <t>IF(E119="","",IF(OR(Y119="Cancelled",AA119="Cancelled"),"Cancelled",IF(OR(AA119="Completed / Handover",W119&lt;&gt;"",X119&gt;=100),"Completed — on track",IF(L119="Remaining",IF(S119="",IF(V119="","No planned date",IF(TODAY()&gt;V119,"Behind — past planned date",IF(V119-TODAY()&lt;=30,"At risk — close to off track","On track"))),IF(TODAY()&gt;S119,"Behind — award date passed",IF(S119-TODAY()&lt;=30,"At risk — close to off track","On track"))),IF(V119="","No planned date",IF(AND(TODAY()&gt;V119,OR(X119="",X119&lt;100)),"Behind — past end date",IF(AND(R119&lt;&gt;"",V119&lt;&gt;"",X119&lt;&gt;"",(X119&lt;100),((TODAY()-R119)/MAX(V119-R119,1)*100)-X119&gt;15),"Behind — progress lag",IF(AND(V119-TODAY()&lt;=30,V119-TODAY()&gt;=0,OR(X119="",X119&lt;90)),"At risk — close to off track","On track"))))))))</t>
        </is>
      </c>
      <c r="AF119" s="38" t="inlineStr">
        <is>
          <t>IF(OR(E119="",AA119="Completed / Handover",AA119="Cancelled"),"",IF(L119="Remaining",IF(S119&lt;&gt;"",S119-TODAY(),IF(V119="","",V119-TODAY())),IF(V119="","",V119-TODAY())))</t>
        </is>
      </c>
      <c r="AG119" s="44" t="n"/>
      <c r="AH119" s="44" t="n"/>
      <c r="AI119" s="44" t="n"/>
      <c r="AJ119" s="44" t="n"/>
      <c r="AK119" s="44" t="n"/>
      <c r="AL119" s="44" t="n"/>
      <c r="AM119" s="44" t="n"/>
      <c r="AN119" s="44" t="n"/>
      <c r="AO119" s="44" t="n"/>
      <c r="AP119" s="44" t="n"/>
      <c r="AQ119" s="44" t="n"/>
      <c r="AR119" s="40" t="n"/>
      <c r="AS119" s="40" t="n"/>
      <c r="AT119" s="40" t="n"/>
      <c r="AU119" s="38" t="inlineStr">
        <is>
          <t>IF(OR(E119="",AH119=""),"",IF(COUNT(AG119:AG119)=0,"",AH119-LOOKUP(2,1/(AG119:AG119&lt;&gt;""),AG119:AG119)))</t>
        </is>
      </c>
      <c r="AV119" s="38" t="inlineStr">
        <is>
          <t>IF(OR(E119="",AI119=""),"",IF(COUNT(AG119:AH119)=0,"",AI119-LOOKUP(2,1/(AG119:AH119&lt;&gt;""),AG119:AH119)))</t>
        </is>
      </c>
      <c r="AW119" s="38" t="inlineStr">
        <is>
          <t>IF(OR(E119="",AJ119=""),"",IF(COUNT(AG119:AI119)=0,"",AJ119-LOOKUP(2,1/(AG119:AI119&lt;&gt;""),AG119:AI119)))</t>
        </is>
      </c>
      <c r="AX119" s="38" t="inlineStr">
        <is>
          <t>IF(OR(E119="",AK119=""),"",IF(COUNT(AG119:AJ119)=0,"",AK119-LOOKUP(2,1/(AG119:AJ119&lt;&gt;""),AG119:AJ119)))</t>
        </is>
      </c>
      <c r="AY119" s="38" t="inlineStr">
        <is>
          <t>IF(OR(E119="",AL119=""),"",IF(COUNT(AG119:AK119)=0,"",AL119-LOOKUP(2,1/(AG119:AK119&lt;&gt;""),AG119:AK119)))</t>
        </is>
      </c>
      <c r="AZ119" s="38" t="inlineStr">
        <is>
          <t>IF(OR(E119="",AM119=""),"",IF(COUNT(AG119:AL119)=0,"",AM119-LOOKUP(2,1/(AG119:AL119&lt;&gt;""),AG119:AL119)))</t>
        </is>
      </c>
      <c r="BA119" s="38" t="inlineStr">
        <is>
          <t>IF(OR(E119="",AN119=""),"",IF(COUNT(AG119:AM119)=0,"",AN119-LOOKUP(2,1/(AG119:AM119&lt;&gt;""),AG119:AM119)))</t>
        </is>
      </c>
      <c r="BB119" s="38" t="inlineStr">
        <is>
          <t>IF(OR(E119="",AO119=""),"",IF(COUNT(AG119:AN119)=0,"",AO119-LOOKUP(2,1/(AG119:AN119&lt;&gt;""),AG119:AN119)))</t>
        </is>
      </c>
      <c r="BC119" s="38" t="inlineStr">
        <is>
          <t>IF(OR(E119="",AP119=""),"",IF(COUNT(AG119:AO119)=0,"",AP119-LOOKUP(2,1/(AG119:AO119&lt;&gt;""),AG119:AO119)))</t>
        </is>
      </c>
      <c r="BD119" s="38" t="inlineStr">
        <is>
          <t>IF(OR(E119="",AQ119=""),"",IF(COUNT(AG119:AP119)=0,"",AQ119-LOOKUP(2,1/(AG119:AP119&lt;&gt;""),AG119:AP119)))</t>
        </is>
      </c>
      <c r="BE119" s="38" t="inlineStr">
        <is>
          <t>IF(OR(E119="",AR119=""),"",IF(COUNT(AG119:AQ119)=0,"",AR119-LOOKUP(2,1/(AG119:AQ119&lt;&gt;""),AG119:AQ119)))</t>
        </is>
      </c>
      <c r="BF119" s="38" t="inlineStr">
        <is>
          <t>IF(OR(E119="",AS119=""),"",IF(COUNT(AG119:AR119)=0,"",AS119-LOOKUP(2,1/(AG119:AR119&lt;&gt;""),AG119:AR119)))</t>
        </is>
      </c>
      <c r="BG119" s="38" t="inlineStr">
        <is>
          <t>IF(OR(E119="",AT119=""),"",IF(COUNT(AG119:AS119)=0,"",AT119-LOOKUP(2,1/(AG119:AS119&lt;&gt;""),AG119:AS119)))</t>
        </is>
      </c>
      <c r="BH119" s="41" t="inlineStr">
        <is>
          <t>IF(G119="","All_Provinces",IFERROR(VLOOKUP(G119,'07_Lookups'!$A$4:$B$20,2,FALSE),"All_Provinces"))</t>
        </is>
      </c>
      <c r="BI119" s="41" t="inlineStr">
        <is>
          <t>IF(H119="","All_Districts",IFERROR(VLOOKUP(H119,'07_Lookups'!$E$4:$F$42,2,FALSE),"All_Districts"))</t>
        </is>
      </c>
    </row>
    <row r="120" ht="18" customHeight="1">
      <c r="A120" s="32" t="inlineStr">
        <is>
          <t>IF(E120="","",ROW()-3)</t>
        </is>
      </c>
      <c r="B120" s="33" t="n"/>
      <c r="C120" s="33" t="n"/>
      <c r="D120" s="33" t="n"/>
      <c r="E120" s="33" t="n"/>
      <c r="F120" s="33" t="n"/>
      <c r="G120" s="33" t="n"/>
      <c r="H120" s="33" t="n"/>
      <c r="I120" s="33" t="n"/>
      <c r="J120" s="33" t="n"/>
      <c r="K120" s="33" t="n"/>
      <c r="L120" s="33" t="n"/>
      <c r="M120" s="33" t="n"/>
      <c r="N120" s="33" t="n"/>
      <c r="O120" s="33" t="n"/>
      <c r="P120" s="33" t="n"/>
      <c r="Q120" s="34" t="n"/>
      <c r="R120" s="35" t="inlineStr">
        <is>
          <t>IF(AO120="","",AO120)</t>
        </is>
      </c>
      <c r="S120" s="36" t="n"/>
      <c r="T120" s="37" t="n"/>
      <c r="U120" s="36" t="n"/>
      <c r="V120" s="35" t="inlineStr">
        <is>
          <t>IF(U120&lt;&gt;"",U120,IF(OR(R120="",T120=""),"",EDATE(R120,T120)))</t>
        </is>
      </c>
      <c r="W120" s="36" t="n"/>
      <c r="X120" s="37" t="n"/>
      <c r="Y120" s="33" t="n"/>
      <c r="Z120" s="33" t="n"/>
      <c r="AA120" s="32" t="inlineStr">
        <is>
          <t>IF(E120="","",IF(COUNT(AG120:AT120)=0,IF(Y120="","Not started",Y120),SUBSTITUTE(LOOKUP(2,1/(AG120:AT120&lt;&gt;""),$AG$3:$AT$3),"Date: ","")))</t>
        </is>
      </c>
      <c r="AB120" s="38" t="inlineStr">
        <is>
          <t>IF(OR(E120="",COUNT(AG120:AT120)=0),"",TODAY()-LOOKUP(2,1/(AG120:AT120&lt;&gt;""),AG120:AT120))</t>
        </is>
      </c>
      <c r="AC120" s="38" t="inlineStr">
        <is>
          <t>IF(OR(E120="",COUNT(AG120:AT120)&lt;2),"",LOOKUP(2,1/(AG120:AT120&lt;&gt;""),AG120:AT120)-MIN(AG120:AT120))</t>
        </is>
      </c>
      <c r="AD120" s="38" t="inlineStr">
        <is>
          <t>IF(OR(AB120="",AA120="Not started",AA120=""),"",IFERROR(AB120-IF(VLOOKUP(AA120,'04_Status_Pipeline'!$B$3:$E$20,4,FALSE)="",0,VLOOKUP(AA120,'04_Status_Pipeline'!$B$3:$E$20,4,FALSE)),""))</t>
        </is>
      </c>
      <c r="AE120" s="32" t="inlineStr">
        <is>
          <t>IF(E120="","",IF(OR(Y120="Cancelled",AA120="Cancelled"),"Cancelled",IF(OR(AA120="Completed / Handover",W120&lt;&gt;"",X120&gt;=100),"Completed — on track",IF(L120="Remaining",IF(S120="",IF(V120="","No planned date",IF(TODAY()&gt;V120,"Behind — past planned date",IF(V120-TODAY()&lt;=30,"At risk — close to off track","On track"))),IF(TODAY()&gt;S120,"Behind — award date passed",IF(S120-TODAY()&lt;=30,"At risk — close to off track","On track"))),IF(V120="","No planned date",IF(AND(TODAY()&gt;V120,OR(X120="",X120&lt;100)),"Behind — past end date",IF(AND(R120&lt;&gt;"",V120&lt;&gt;"",X120&lt;&gt;"",(X120&lt;100),((TODAY()-R120)/MAX(V120-R120,1)*100)-X120&gt;15),"Behind — progress lag",IF(AND(V120-TODAY()&lt;=30,V120-TODAY()&gt;=0,OR(X120="",X120&lt;90)),"At risk — close to off track","On track"))))))))</t>
        </is>
      </c>
      <c r="AF120" s="38" t="inlineStr">
        <is>
          <t>IF(OR(E120="",AA120="Completed / Handover",AA120="Cancelled"),"",IF(L120="Remaining",IF(S120&lt;&gt;"",S120-TODAY(),IF(V120="","",V120-TODAY())),IF(V120="","",V120-TODAY())))</t>
        </is>
      </c>
      <c r="AG120" s="36" t="n"/>
      <c r="AH120" s="36" t="n"/>
      <c r="AI120" s="36" t="n"/>
      <c r="AJ120" s="36" t="n"/>
      <c r="AK120" s="36" t="n"/>
      <c r="AL120" s="36" t="n"/>
      <c r="AM120" s="36" t="n"/>
      <c r="AN120" s="36" t="n"/>
      <c r="AO120" s="36" t="n"/>
      <c r="AP120" s="36" t="n"/>
      <c r="AQ120" s="36" t="n"/>
      <c r="AR120" s="40" t="n"/>
      <c r="AS120" s="40" t="n"/>
      <c r="AT120" s="40" t="n"/>
      <c r="AU120" s="38" t="inlineStr">
        <is>
          <t>IF(OR(E120="",AH120=""),"",IF(COUNT(AG120:AG120)=0,"",AH120-LOOKUP(2,1/(AG120:AG120&lt;&gt;""),AG120:AG120)))</t>
        </is>
      </c>
      <c r="AV120" s="38" t="inlineStr">
        <is>
          <t>IF(OR(E120="",AI120=""),"",IF(COUNT(AG120:AH120)=0,"",AI120-LOOKUP(2,1/(AG120:AH120&lt;&gt;""),AG120:AH120)))</t>
        </is>
      </c>
      <c r="AW120" s="38" t="inlineStr">
        <is>
          <t>IF(OR(E120="",AJ120=""),"",IF(COUNT(AG120:AI120)=0,"",AJ120-LOOKUP(2,1/(AG120:AI120&lt;&gt;""),AG120:AI120)))</t>
        </is>
      </c>
      <c r="AX120" s="38" t="inlineStr">
        <is>
          <t>IF(OR(E120="",AK120=""),"",IF(COUNT(AG120:AJ120)=0,"",AK120-LOOKUP(2,1/(AG120:AJ120&lt;&gt;""),AG120:AJ120)))</t>
        </is>
      </c>
      <c r="AY120" s="38" t="inlineStr">
        <is>
          <t>IF(OR(E120="",AL120=""),"",IF(COUNT(AG120:AK120)=0,"",AL120-LOOKUP(2,1/(AG120:AK120&lt;&gt;""),AG120:AK120)))</t>
        </is>
      </c>
      <c r="AZ120" s="38" t="inlineStr">
        <is>
          <t>IF(OR(E120="",AM120=""),"",IF(COUNT(AG120:AL120)=0,"",AM120-LOOKUP(2,1/(AG120:AL120&lt;&gt;""),AG120:AL120)))</t>
        </is>
      </c>
      <c r="BA120" s="38" t="inlineStr">
        <is>
          <t>IF(OR(E120="",AN120=""),"",IF(COUNT(AG120:AM120)=0,"",AN120-LOOKUP(2,1/(AG120:AM120&lt;&gt;""),AG120:AM120)))</t>
        </is>
      </c>
      <c r="BB120" s="38" t="inlineStr">
        <is>
          <t>IF(OR(E120="",AO120=""),"",IF(COUNT(AG120:AN120)=0,"",AO120-LOOKUP(2,1/(AG120:AN120&lt;&gt;""),AG120:AN120)))</t>
        </is>
      </c>
      <c r="BC120" s="38" t="inlineStr">
        <is>
          <t>IF(OR(E120="",AP120=""),"",IF(COUNT(AG120:AO120)=0,"",AP120-LOOKUP(2,1/(AG120:AO120&lt;&gt;""),AG120:AO120)))</t>
        </is>
      </c>
      <c r="BD120" s="38" t="inlineStr">
        <is>
          <t>IF(OR(E120="",AQ120=""),"",IF(COUNT(AG120:AP120)=0,"",AQ120-LOOKUP(2,1/(AG120:AP120&lt;&gt;""),AG120:AP120)))</t>
        </is>
      </c>
      <c r="BE120" s="38" t="inlineStr">
        <is>
          <t>IF(OR(E120="",AR120=""),"",IF(COUNT(AG120:AQ120)=0,"",AR120-LOOKUP(2,1/(AG120:AQ120&lt;&gt;""),AG120:AQ120)))</t>
        </is>
      </c>
      <c r="BF120" s="38" t="inlineStr">
        <is>
          <t>IF(OR(E120="",AS120=""),"",IF(COUNT(AG120:AR120)=0,"",AS120-LOOKUP(2,1/(AG120:AR120&lt;&gt;""),AG120:AR120)))</t>
        </is>
      </c>
      <c r="BG120" s="38" t="inlineStr">
        <is>
          <t>IF(OR(E120="",AT120=""),"",IF(COUNT(AG120:AS120)=0,"",AT120-LOOKUP(2,1/(AG120:AS120&lt;&gt;""),AG120:AS120)))</t>
        </is>
      </c>
      <c r="BH120" s="41" t="inlineStr">
        <is>
          <t>IF(G120="","All_Provinces",IFERROR(VLOOKUP(G120,'07_Lookups'!$A$4:$B$20,2,FALSE),"All_Provinces"))</t>
        </is>
      </c>
      <c r="BI120" s="41" t="inlineStr">
        <is>
          <t>IF(H120="","All_Districts",IFERROR(VLOOKUP(H120,'07_Lookups'!$E$4:$F$42,2,FALSE),"All_Districts"))</t>
        </is>
      </c>
    </row>
    <row r="121" ht="18" customHeight="1">
      <c r="A121" s="32" t="inlineStr">
        <is>
          <t>IF(E121="","",ROW()-3)</t>
        </is>
      </c>
      <c r="B121" s="42" t="n"/>
      <c r="C121" s="42" t="n"/>
      <c r="D121" s="42" t="n"/>
      <c r="E121" s="42" t="n"/>
      <c r="F121" s="42" t="n"/>
      <c r="G121" s="42" t="n"/>
      <c r="H121" s="42" t="n"/>
      <c r="I121" s="42" t="n"/>
      <c r="J121" s="42" t="n"/>
      <c r="K121" s="42" t="n"/>
      <c r="L121" s="42" t="n"/>
      <c r="M121" s="42" t="n"/>
      <c r="N121" s="42" t="n"/>
      <c r="O121" s="42" t="n"/>
      <c r="P121" s="42" t="n"/>
      <c r="Q121" s="43" t="n"/>
      <c r="R121" s="35" t="inlineStr">
        <is>
          <t>IF(AO121="","",AO121)</t>
        </is>
      </c>
      <c r="S121" s="44" t="n"/>
      <c r="T121" s="45" t="n"/>
      <c r="U121" s="44" t="n"/>
      <c r="V121" s="35" t="inlineStr">
        <is>
          <t>IF(U121&lt;&gt;"",U121,IF(OR(R121="",T121=""),"",EDATE(R121,T121)))</t>
        </is>
      </c>
      <c r="W121" s="44" t="n"/>
      <c r="X121" s="45" t="n"/>
      <c r="Y121" s="42" t="n"/>
      <c r="Z121" s="42" t="n"/>
      <c r="AA121" s="32" t="inlineStr">
        <is>
          <t>IF(E121="","",IF(COUNT(AG121:AT121)=0,IF(Y121="","Not started",Y121),SUBSTITUTE(LOOKUP(2,1/(AG121:AT121&lt;&gt;""),$AG$3:$AT$3),"Date: ","")))</t>
        </is>
      </c>
      <c r="AB121" s="38" t="inlineStr">
        <is>
          <t>IF(OR(E121="",COUNT(AG121:AT121)=0),"",TODAY()-LOOKUP(2,1/(AG121:AT121&lt;&gt;""),AG121:AT121))</t>
        </is>
      </c>
      <c r="AC121" s="38" t="inlineStr">
        <is>
          <t>IF(OR(E121="",COUNT(AG121:AT121)&lt;2),"",LOOKUP(2,1/(AG121:AT121&lt;&gt;""),AG121:AT121)-MIN(AG121:AT121))</t>
        </is>
      </c>
      <c r="AD121" s="38" t="inlineStr">
        <is>
          <t>IF(OR(AB121="",AA121="Not started",AA121=""),"",IFERROR(AB121-IF(VLOOKUP(AA121,'04_Status_Pipeline'!$B$3:$E$20,4,FALSE)="",0,VLOOKUP(AA121,'04_Status_Pipeline'!$B$3:$E$20,4,FALSE)),""))</t>
        </is>
      </c>
      <c r="AE121" s="32" t="inlineStr">
        <is>
          <t>IF(E121="","",IF(OR(Y121="Cancelled",AA121="Cancelled"),"Cancelled",IF(OR(AA121="Completed / Handover",W121&lt;&gt;"",X121&gt;=100),"Completed — on track",IF(L121="Remaining",IF(S121="",IF(V121="","No planned date",IF(TODAY()&gt;V121,"Behind — past planned date",IF(V121-TODAY()&lt;=30,"At risk — close to off track","On track"))),IF(TODAY()&gt;S121,"Behind — award date passed",IF(S121-TODAY()&lt;=30,"At risk — close to off track","On track"))),IF(V121="","No planned date",IF(AND(TODAY()&gt;V121,OR(X121="",X121&lt;100)),"Behind — past end date",IF(AND(R121&lt;&gt;"",V121&lt;&gt;"",X121&lt;&gt;"",(X121&lt;100),((TODAY()-R121)/MAX(V121-R121,1)*100)-X121&gt;15),"Behind — progress lag",IF(AND(V121-TODAY()&lt;=30,V121-TODAY()&gt;=0,OR(X121="",X121&lt;90)),"At risk — close to off track","On track"))))))))</t>
        </is>
      </c>
      <c r="AF121" s="38" t="inlineStr">
        <is>
          <t>IF(OR(E121="",AA121="Completed / Handover",AA121="Cancelled"),"",IF(L121="Remaining",IF(S121&lt;&gt;"",S121-TODAY(),IF(V121="","",V121-TODAY())),IF(V121="","",V121-TODAY())))</t>
        </is>
      </c>
      <c r="AG121" s="44" t="n"/>
      <c r="AH121" s="44" t="n"/>
      <c r="AI121" s="44" t="n"/>
      <c r="AJ121" s="44" t="n"/>
      <c r="AK121" s="44" t="n"/>
      <c r="AL121" s="44" t="n"/>
      <c r="AM121" s="44" t="n"/>
      <c r="AN121" s="44" t="n"/>
      <c r="AO121" s="44" t="n"/>
      <c r="AP121" s="44" t="n"/>
      <c r="AQ121" s="44" t="n"/>
      <c r="AR121" s="40" t="n"/>
      <c r="AS121" s="40" t="n"/>
      <c r="AT121" s="40" t="n"/>
      <c r="AU121" s="38" t="inlineStr">
        <is>
          <t>IF(OR(E121="",AH121=""),"",IF(COUNT(AG121:AG121)=0,"",AH121-LOOKUP(2,1/(AG121:AG121&lt;&gt;""),AG121:AG121)))</t>
        </is>
      </c>
      <c r="AV121" s="38" t="inlineStr">
        <is>
          <t>IF(OR(E121="",AI121=""),"",IF(COUNT(AG121:AH121)=0,"",AI121-LOOKUP(2,1/(AG121:AH121&lt;&gt;""),AG121:AH121)))</t>
        </is>
      </c>
      <c r="AW121" s="38" t="inlineStr">
        <is>
          <t>IF(OR(E121="",AJ121=""),"",IF(COUNT(AG121:AI121)=0,"",AJ121-LOOKUP(2,1/(AG121:AI121&lt;&gt;""),AG121:AI121)))</t>
        </is>
      </c>
      <c r="AX121" s="38" t="inlineStr">
        <is>
          <t>IF(OR(E121="",AK121=""),"",IF(COUNT(AG121:AJ121)=0,"",AK121-LOOKUP(2,1/(AG121:AJ121&lt;&gt;""),AG121:AJ121)))</t>
        </is>
      </c>
      <c r="AY121" s="38" t="inlineStr">
        <is>
          <t>IF(OR(E121="",AL121=""),"",IF(COUNT(AG121:AK121)=0,"",AL121-LOOKUP(2,1/(AG121:AK121&lt;&gt;""),AG121:AK121)))</t>
        </is>
      </c>
      <c r="AZ121" s="38" t="inlineStr">
        <is>
          <t>IF(OR(E121="",AM121=""),"",IF(COUNT(AG121:AL121)=0,"",AM121-LOOKUP(2,1/(AG121:AL121&lt;&gt;""),AG121:AL121)))</t>
        </is>
      </c>
      <c r="BA121" s="38" t="inlineStr">
        <is>
          <t>IF(OR(E121="",AN121=""),"",IF(COUNT(AG121:AM121)=0,"",AN121-LOOKUP(2,1/(AG121:AM121&lt;&gt;""),AG121:AM121)))</t>
        </is>
      </c>
      <c r="BB121" s="38" t="inlineStr">
        <is>
          <t>IF(OR(E121="",AO121=""),"",IF(COUNT(AG121:AN121)=0,"",AO121-LOOKUP(2,1/(AG121:AN121&lt;&gt;""),AG121:AN121)))</t>
        </is>
      </c>
      <c r="BC121" s="38" t="inlineStr">
        <is>
          <t>IF(OR(E121="",AP121=""),"",IF(COUNT(AG121:AO121)=0,"",AP121-LOOKUP(2,1/(AG121:AO121&lt;&gt;""),AG121:AO121)))</t>
        </is>
      </c>
      <c r="BD121" s="38" t="inlineStr">
        <is>
          <t>IF(OR(E121="",AQ121=""),"",IF(COUNT(AG121:AP121)=0,"",AQ121-LOOKUP(2,1/(AG121:AP121&lt;&gt;""),AG121:AP121)))</t>
        </is>
      </c>
      <c r="BE121" s="38" t="inlineStr">
        <is>
          <t>IF(OR(E121="",AR121=""),"",IF(COUNT(AG121:AQ121)=0,"",AR121-LOOKUP(2,1/(AG121:AQ121&lt;&gt;""),AG121:AQ121)))</t>
        </is>
      </c>
      <c r="BF121" s="38" t="inlineStr">
        <is>
          <t>IF(OR(E121="",AS121=""),"",IF(COUNT(AG121:AR121)=0,"",AS121-LOOKUP(2,1/(AG121:AR121&lt;&gt;""),AG121:AR121)))</t>
        </is>
      </c>
      <c r="BG121" s="38" t="inlineStr">
        <is>
          <t>IF(OR(E121="",AT121=""),"",IF(COUNT(AG121:AS121)=0,"",AT121-LOOKUP(2,1/(AG121:AS121&lt;&gt;""),AG121:AS121)))</t>
        </is>
      </c>
      <c r="BH121" s="41" t="inlineStr">
        <is>
          <t>IF(G121="","All_Provinces",IFERROR(VLOOKUP(G121,'07_Lookups'!$A$4:$B$20,2,FALSE),"All_Provinces"))</t>
        </is>
      </c>
      <c r="BI121" s="41" t="inlineStr">
        <is>
          <t>IF(H121="","All_Districts",IFERROR(VLOOKUP(H121,'07_Lookups'!$E$4:$F$42,2,FALSE),"All_Districts"))</t>
        </is>
      </c>
    </row>
    <row r="122" ht="18" customHeight="1">
      <c r="A122" s="32" t="inlineStr">
        <is>
          <t>IF(E122="","",ROW()-3)</t>
        </is>
      </c>
      <c r="B122" s="33" t="n"/>
      <c r="C122" s="33" t="n"/>
      <c r="D122" s="33" t="n"/>
      <c r="E122" s="33" t="n"/>
      <c r="F122" s="33" t="n"/>
      <c r="G122" s="33" t="n"/>
      <c r="H122" s="33" t="n"/>
      <c r="I122" s="33" t="n"/>
      <c r="J122" s="33" t="n"/>
      <c r="K122" s="33" t="n"/>
      <c r="L122" s="33" t="n"/>
      <c r="M122" s="33" t="n"/>
      <c r="N122" s="33" t="n"/>
      <c r="O122" s="33" t="n"/>
      <c r="P122" s="33" t="n"/>
      <c r="Q122" s="34" t="n"/>
      <c r="R122" s="35" t="inlineStr">
        <is>
          <t>IF(AO122="","",AO122)</t>
        </is>
      </c>
      <c r="S122" s="36" t="n"/>
      <c r="T122" s="37" t="n"/>
      <c r="U122" s="36" t="n"/>
      <c r="V122" s="35" t="inlineStr">
        <is>
          <t>IF(U122&lt;&gt;"",U122,IF(OR(R122="",T122=""),"",EDATE(R122,T122)))</t>
        </is>
      </c>
      <c r="W122" s="36" t="n"/>
      <c r="X122" s="37" t="n"/>
      <c r="Y122" s="33" t="n"/>
      <c r="Z122" s="33" t="n"/>
      <c r="AA122" s="32" t="inlineStr">
        <is>
          <t>IF(E122="","",IF(COUNT(AG122:AT122)=0,IF(Y122="","Not started",Y122),SUBSTITUTE(LOOKUP(2,1/(AG122:AT122&lt;&gt;""),$AG$3:$AT$3),"Date: ","")))</t>
        </is>
      </c>
      <c r="AB122" s="38" t="inlineStr">
        <is>
          <t>IF(OR(E122="",COUNT(AG122:AT122)=0),"",TODAY()-LOOKUP(2,1/(AG122:AT122&lt;&gt;""),AG122:AT122))</t>
        </is>
      </c>
      <c r="AC122" s="38" t="inlineStr">
        <is>
          <t>IF(OR(E122="",COUNT(AG122:AT122)&lt;2),"",LOOKUP(2,1/(AG122:AT122&lt;&gt;""),AG122:AT122)-MIN(AG122:AT122))</t>
        </is>
      </c>
      <c r="AD122" s="38" t="inlineStr">
        <is>
          <t>IF(OR(AB122="",AA122="Not started",AA122=""),"",IFERROR(AB122-IF(VLOOKUP(AA122,'04_Status_Pipeline'!$B$3:$E$20,4,FALSE)="",0,VLOOKUP(AA122,'04_Status_Pipeline'!$B$3:$E$20,4,FALSE)),""))</t>
        </is>
      </c>
      <c r="AE122" s="32" t="inlineStr">
        <is>
          <t>IF(E122="","",IF(OR(Y122="Cancelled",AA122="Cancelled"),"Cancelled",IF(OR(AA122="Completed / Handover",W122&lt;&gt;"",X122&gt;=100),"Completed — on track",IF(L122="Remaining",IF(S122="",IF(V122="","No planned date",IF(TODAY()&gt;V122,"Behind — past planned date",IF(V122-TODAY()&lt;=30,"At risk — close to off track","On track"))),IF(TODAY()&gt;S122,"Behind — award date passed",IF(S122-TODAY()&lt;=30,"At risk — close to off track","On track"))),IF(V122="","No planned date",IF(AND(TODAY()&gt;V122,OR(X122="",X122&lt;100)),"Behind — past end date",IF(AND(R122&lt;&gt;"",V122&lt;&gt;"",X122&lt;&gt;"",(X122&lt;100),((TODAY()-R122)/MAX(V122-R122,1)*100)-X122&gt;15),"Behind — progress lag",IF(AND(V122-TODAY()&lt;=30,V122-TODAY()&gt;=0,OR(X122="",X122&lt;90)),"At risk — close to off track","On track"))))))))</t>
        </is>
      </c>
      <c r="AF122" s="38" t="inlineStr">
        <is>
          <t>IF(OR(E122="",AA122="Completed / Handover",AA122="Cancelled"),"",IF(L122="Remaining",IF(S122&lt;&gt;"",S122-TODAY(),IF(V122="","",V122-TODAY())),IF(V122="","",V122-TODAY())))</t>
        </is>
      </c>
      <c r="AG122" s="36" t="n"/>
      <c r="AH122" s="36" t="n"/>
      <c r="AI122" s="36" t="n"/>
      <c r="AJ122" s="36" t="n"/>
      <c r="AK122" s="36" t="n"/>
      <c r="AL122" s="36" t="n"/>
      <c r="AM122" s="36" t="n"/>
      <c r="AN122" s="36" t="n"/>
      <c r="AO122" s="36" t="n"/>
      <c r="AP122" s="36" t="n"/>
      <c r="AQ122" s="36" t="n"/>
      <c r="AR122" s="40" t="n"/>
      <c r="AS122" s="40" t="n"/>
      <c r="AT122" s="40" t="n"/>
      <c r="AU122" s="38" t="inlineStr">
        <is>
          <t>IF(OR(E122="",AH122=""),"",IF(COUNT(AG122:AG122)=0,"",AH122-LOOKUP(2,1/(AG122:AG122&lt;&gt;""),AG122:AG122)))</t>
        </is>
      </c>
      <c r="AV122" s="38" t="inlineStr">
        <is>
          <t>IF(OR(E122="",AI122=""),"",IF(COUNT(AG122:AH122)=0,"",AI122-LOOKUP(2,1/(AG122:AH122&lt;&gt;""),AG122:AH122)))</t>
        </is>
      </c>
      <c r="AW122" s="38" t="inlineStr">
        <is>
          <t>IF(OR(E122="",AJ122=""),"",IF(COUNT(AG122:AI122)=0,"",AJ122-LOOKUP(2,1/(AG122:AI122&lt;&gt;""),AG122:AI122)))</t>
        </is>
      </c>
      <c r="AX122" s="38" t="inlineStr">
        <is>
          <t>IF(OR(E122="",AK122=""),"",IF(COUNT(AG122:AJ122)=0,"",AK122-LOOKUP(2,1/(AG122:AJ122&lt;&gt;""),AG122:AJ122)))</t>
        </is>
      </c>
      <c r="AY122" s="38" t="inlineStr">
        <is>
          <t>IF(OR(E122="",AL122=""),"",IF(COUNT(AG122:AK122)=0,"",AL122-LOOKUP(2,1/(AG122:AK122&lt;&gt;""),AG122:AK122)))</t>
        </is>
      </c>
      <c r="AZ122" s="38" t="inlineStr">
        <is>
          <t>IF(OR(E122="",AM122=""),"",IF(COUNT(AG122:AL122)=0,"",AM122-LOOKUP(2,1/(AG122:AL122&lt;&gt;""),AG122:AL122)))</t>
        </is>
      </c>
      <c r="BA122" s="38" t="inlineStr">
        <is>
          <t>IF(OR(E122="",AN122=""),"",IF(COUNT(AG122:AM122)=0,"",AN122-LOOKUP(2,1/(AG122:AM122&lt;&gt;""),AG122:AM122)))</t>
        </is>
      </c>
      <c r="BB122" s="38" t="inlineStr">
        <is>
          <t>IF(OR(E122="",AO122=""),"",IF(COUNT(AG122:AN122)=0,"",AO122-LOOKUP(2,1/(AG122:AN122&lt;&gt;""),AG122:AN122)))</t>
        </is>
      </c>
      <c r="BC122" s="38" t="inlineStr">
        <is>
          <t>IF(OR(E122="",AP122=""),"",IF(COUNT(AG122:AO122)=0,"",AP122-LOOKUP(2,1/(AG122:AO122&lt;&gt;""),AG122:AO122)))</t>
        </is>
      </c>
      <c r="BD122" s="38" t="inlineStr">
        <is>
          <t>IF(OR(E122="",AQ122=""),"",IF(COUNT(AG122:AP122)=0,"",AQ122-LOOKUP(2,1/(AG122:AP122&lt;&gt;""),AG122:AP122)))</t>
        </is>
      </c>
      <c r="BE122" s="38" t="inlineStr">
        <is>
          <t>IF(OR(E122="",AR122=""),"",IF(COUNT(AG122:AQ122)=0,"",AR122-LOOKUP(2,1/(AG122:AQ122&lt;&gt;""),AG122:AQ122)))</t>
        </is>
      </c>
      <c r="BF122" s="38" t="inlineStr">
        <is>
          <t>IF(OR(E122="",AS122=""),"",IF(COUNT(AG122:AR122)=0,"",AS122-LOOKUP(2,1/(AG122:AR122&lt;&gt;""),AG122:AR122)))</t>
        </is>
      </c>
      <c r="BG122" s="38" t="inlineStr">
        <is>
          <t>IF(OR(E122="",AT122=""),"",IF(COUNT(AG122:AS122)=0,"",AT122-LOOKUP(2,1/(AG122:AS122&lt;&gt;""),AG122:AS122)))</t>
        </is>
      </c>
      <c r="BH122" s="41" t="inlineStr">
        <is>
          <t>IF(G122="","All_Provinces",IFERROR(VLOOKUP(G122,'07_Lookups'!$A$4:$B$20,2,FALSE),"All_Provinces"))</t>
        </is>
      </c>
      <c r="BI122" s="41" t="inlineStr">
        <is>
          <t>IF(H122="","All_Districts",IFERROR(VLOOKUP(H122,'07_Lookups'!$E$4:$F$42,2,FALSE),"All_Districts"))</t>
        </is>
      </c>
    </row>
    <row r="123" ht="18" customHeight="1">
      <c r="A123" s="32" t="inlineStr">
        <is>
          <t>IF(E123="","",ROW()-3)</t>
        </is>
      </c>
      <c r="B123" s="42" t="n"/>
      <c r="C123" s="42" t="n"/>
      <c r="D123" s="42" t="n"/>
      <c r="E123" s="42" t="n"/>
      <c r="F123" s="42" t="n"/>
      <c r="G123" s="42" t="n"/>
      <c r="H123" s="42" t="n"/>
      <c r="I123" s="42" t="n"/>
      <c r="J123" s="42" t="n"/>
      <c r="K123" s="42" t="n"/>
      <c r="L123" s="42" t="n"/>
      <c r="M123" s="42" t="n"/>
      <c r="N123" s="42" t="n"/>
      <c r="O123" s="42" t="n"/>
      <c r="P123" s="42" t="n"/>
      <c r="Q123" s="43" t="n"/>
      <c r="R123" s="35" t="inlineStr">
        <is>
          <t>IF(AO123="","",AO123)</t>
        </is>
      </c>
      <c r="S123" s="44" t="n"/>
      <c r="T123" s="45" t="n"/>
      <c r="U123" s="44" t="n"/>
      <c r="V123" s="35" t="inlineStr">
        <is>
          <t>IF(U123&lt;&gt;"",U123,IF(OR(R123="",T123=""),"",EDATE(R123,T123)))</t>
        </is>
      </c>
      <c r="W123" s="44" t="n"/>
      <c r="X123" s="45" t="n"/>
      <c r="Y123" s="42" t="n"/>
      <c r="Z123" s="42" t="n"/>
      <c r="AA123" s="32" t="inlineStr">
        <is>
          <t>IF(E123="","",IF(COUNT(AG123:AT123)=0,IF(Y123="","Not started",Y123),SUBSTITUTE(LOOKUP(2,1/(AG123:AT123&lt;&gt;""),$AG$3:$AT$3),"Date: ","")))</t>
        </is>
      </c>
      <c r="AB123" s="38" t="inlineStr">
        <is>
          <t>IF(OR(E123="",COUNT(AG123:AT123)=0),"",TODAY()-LOOKUP(2,1/(AG123:AT123&lt;&gt;""),AG123:AT123))</t>
        </is>
      </c>
      <c r="AC123" s="38" t="inlineStr">
        <is>
          <t>IF(OR(E123="",COUNT(AG123:AT123)&lt;2),"",LOOKUP(2,1/(AG123:AT123&lt;&gt;""),AG123:AT123)-MIN(AG123:AT123))</t>
        </is>
      </c>
      <c r="AD123" s="38" t="inlineStr">
        <is>
          <t>IF(OR(AB123="",AA123="Not started",AA123=""),"",IFERROR(AB123-IF(VLOOKUP(AA123,'04_Status_Pipeline'!$B$3:$E$20,4,FALSE)="",0,VLOOKUP(AA123,'04_Status_Pipeline'!$B$3:$E$20,4,FALSE)),""))</t>
        </is>
      </c>
      <c r="AE123" s="32" t="inlineStr">
        <is>
          <t>IF(E123="","",IF(OR(Y123="Cancelled",AA123="Cancelled"),"Cancelled",IF(OR(AA123="Completed / Handover",W123&lt;&gt;"",X123&gt;=100),"Completed — on track",IF(L123="Remaining",IF(S123="",IF(V123="","No planned date",IF(TODAY()&gt;V123,"Behind — past planned date",IF(V123-TODAY()&lt;=30,"At risk — close to off track","On track"))),IF(TODAY()&gt;S123,"Behind — award date passed",IF(S123-TODAY()&lt;=30,"At risk — close to off track","On track"))),IF(V123="","No planned date",IF(AND(TODAY()&gt;V123,OR(X123="",X123&lt;100)),"Behind — past end date",IF(AND(R123&lt;&gt;"",V123&lt;&gt;"",X123&lt;&gt;"",(X123&lt;100),((TODAY()-R123)/MAX(V123-R123,1)*100)-X123&gt;15),"Behind — progress lag",IF(AND(V123-TODAY()&lt;=30,V123-TODAY()&gt;=0,OR(X123="",X123&lt;90)),"At risk — close to off track","On track"))))))))</t>
        </is>
      </c>
      <c r="AF123" s="38" t="inlineStr">
        <is>
          <t>IF(OR(E123="",AA123="Completed / Handover",AA123="Cancelled"),"",IF(L123="Remaining",IF(S123&lt;&gt;"",S123-TODAY(),IF(V123="","",V123-TODAY())),IF(V123="","",V123-TODAY())))</t>
        </is>
      </c>
      <c r="AG123" s="44" t="n"/>
      <c r="AH123" s="44" t="n"/>
      <c r="AI123" s="44" t="n"/>
      <c r="AJ123" s="44" t="n"/>
      <c r="AK123" s="44" t="n"/>
      <c r="AL123" s="44" t="n"/>
      <c r="AM123" s="44" t="n"/>
      <c r="AN123" s="44" t="n"/>
      <c r="AO123" s="44" t="n"/>
      <c r="AP123" s="44" t="n"/>
      <c r="AQ123" s="44" t="n"/>
      <c r="AR123" s="40" t="n"/>
      <c r="AS123" s="40" t="n"/>
      <c r="AT123" s="40" t="n"/>
      <c r="AU123" s="38" t="inlineStr">
        <is>
          <t>IF(OR(E123="",AH123=""),"",IF(COUNT(AG123:AG123)=0,"",AH123-LOOKUP(2,1/(AG123:AG123&lt;&gt;""),AG123:AG123)))</t>
        </is>
      </c>
      <c r="AV123" s="38" t="inlineStr">
        <is>
          <t>IF(OR(E123="",AI123=""),"",IF(COUNT(AG123:AH123)=0,"",AI123-LOOKUP(2,1/(AG123:AH123&lt;&gt;""),AG123:AH123)))</t>
        </is>
      </c>
      <c r="AW123" s="38" t="inlineStr">
        <is>
          <t>IF(OR(E123="",AJ123=""),"",IF(COUNT(AG123:AI123)=0,"",AJ123-LOOKUP(2,1/(AG123:AI123&lt;&gt;""),AG123:AI123)))</t>
        </is>
      </c>
      <c r="AX123" s="38" t="inlineStr">
        <is>
          <t>IF(OR(E123="",AK123=""),"",IF(COUNT(AG123:AJ123)=0,"",AK123-LOOKUP(2,1/(AG123:AJ123&lt;&gt;""),AG123:AJ123)))</t>
        </is>
      </c>
      <c r="AY123" s="38" t="inlineStr">
        <is>
          <t>IF(OR(E123="",AL123=""),"",IF(COUNT(AG123:AK123)=0,"",AL123-LOOKUP(2,1/(AG123:AK123&lt;&gt;""),AG123:AK123)))</t>
        </is>
      </c>
      <c r="AZ123" s="38" t="inlineStr">
        <is>
          <t>IF(OR(E123="",AM123=""),"",IF(COUNT(AG123:AL123)=0,"",AM123-LOOKUP(2,1/(AG123:AL123&lt;&gt;""),AG123:AL123)))</t>
        </is>
      </c>
      <c r="BA123" s="38" t="inlineStr">
        <is>
          <t>IF(OR(E123="",AN123=""),"",IF(COUNT(AG123:AM123)=0,"",AN123-LOOKUP(2,1/(AG123:AM123&lt;&gt;""),AG123:AM123)))</t>
        </is>
      </c>
      <c r="BB123" s="38" t="inlineStr">
        <is>
          <t>IF(OR(E123="",AO123=""),"",IF(COUNT(AG123:AN123)=0,"",AO123-LOOKUP(2,1/(AG123:AN123&lt;&gt;""),AG123:AN123)))</t>
        </is>
      </c>
      <c r="BC123" s="38" t="inlineStr">
        <is>
          <t>IF(OR(E123="",AP123=""),"",IF(COUNT(AG123:AO123)=0,"",AP123-LOOKUP(2,1/(AG123:AO123&lt;&gt;""),AG123:AO123)))</t>
        </is>
      </c>
      <c r="BD123" s="38" t="inlineStr">
        <is>
          <t>IF(OR(E123="",AQ123=""),"",IF(COUNT(AG123:AP123)=0,"",AQ123-LOOKUP(2,1/(AG123:AP123&lt;&gt;""),AG123:AP123)))</t>
        </is>
      </c>
      <c r="BE123" s="38" t="inlineStr">
        <is>
          <t>IF(OR(E123="",AR123=""),"",IF(COUNT(AG123:AQ123)=0,"",AR123-LOOKUP(2,1/(AG123:AQ123&lt;&gt;""),AG123:AQ123)))</t>
        </is>
      </c>
      <c r="BF123" s="38" t="inlineStr">
        <is>
          <t>IF(OR(E123="",AS123=""),"",IF(COUNT(AG123:AR123)=0,"",AS123-LOOKUP(2,1/(AG123:AR123&lt;&gt;""),AG123:AR123)))</t>
        </is>
      </c>
      <c r="BG123" s="38" t="inlineStr">
        <is>
          <t>IF(OR(E123="",AT123=""),"",IF(COUNT(AG123:AS123)=0,"",AT123-LOOKUP(2,1/(AG123:AS123&lt;&gt;""),AG123:AS123)))</t>
        </is>
      </c>
      <c r="BH123" s="41" t="inlineStr">
        <is>
          <t>IF(G123="","All_Provinces",IFERROR(VLOOKUP(G123,'07_Lookups'!$A$4:$B$20,2,FALSE),"All_Provinces"))</t>
        </is>
      </c>
      <c r="BI123" s="41" t="inlineStr">
        <is>
          <t>IF(H123="","All_Districts",IFERROR(VLOOKUP(H123,'07_Lookups'!$E$4:$F$42,2,FALSE),"All_Districts"))</t>
        </is>
      </c>
    </row>
    <row r="124" ht="18" customHeight="1">
      <c r="A124" s="32" t="inlineStr">
        <is>
          <t>IF(E124="","",ROW()-3)</t>
        </is>
      </c>
      <c r="B124" s="33" t="n"/>
      <c r="C124" s="33" t="n"/>
      <c r="D124" s="33" t="n"/>
      <c r="E124" s="33" t="n"/>
      <c r="F124" s="33" t="n"/>
      <c r="G124" s="33" t="n"/>
      <c r="H124" s="33" t="n"/>
      <c r="I124" s="33" t="n"/>
      <c r="J124" s="33" t="n"/>
      <c r="K124" s="33" t="n"/>
      <c r="L124" s="33" t="n"/>
      <c r="M124" s="33" t="n"/>
      <c r="N124" s="33" t="n"/>
      <c r="O124" s="33" t="n"/>
      <c r="P124" s="33" t="n"/>
      <c r="Q124" s="34" t="n"/>
      <c r="R124" s="35" t="inlineStr">
        <is>
          <t>IF(AO124="","",AO124)</t>
        </is>
      </c>
      <c r="S124" s="36" t="n"/>
      <c r="T124" s="37" t="n"/>
      <c r="U124" s="36" t="n"/>
      <c r="V124" s="35" t="inlineStr">
        <is>
          <t>IF(U124&lt;&gt;"",U124,IF(OR(R124="",T124=""),"",EDATE(R124,T124)))</t>
        </is>
      </c>
      <c r="W124" s="36" t="n"/>
      <c r="X124" s="37" t="n"/>
      <c r="Y124" s="33" t="n"/>
      <c r="Z124" s="33" t="n"/>
      <c r="AA124" s="32" t="inlineStr">
        <is>
          <t>IF(E124="","",IF(COUNT(AG124:AT124)=0,IF(Y124="","Not started",Y124),SUBSTITUTE(LOOKUP(2,1/(AG124:AT124&lt;&gt;""),$AG$3:$AT$3),"Date: ","")))</t>
        </is>
      </c>
      <c r="AB124" s="38" t="inlineStr">
        <is>
          <t>IF(OR(E124="",COUNT(AG124:AT124)=0),"",TODAY()-LOOKUP(2,1/(AG124:AT124&lt;&gt;""),AG124:AT124))</t>
        </is>
      </c>
      <c r="AC124" s="38" t="inlineStr">
        <is>
          <t>IF(OR(E124="",COUNT(AG124:AT124)&lt;2),"",LOOKUP(2,1/(AG124:AT124&lt;&gt;""),AG124:AT124)-MIN(AG124:AT124))</t>
        </is>
      </c>
      <c r="AD124" s="38" t="inlineStr">
        <is>
          <t>IF(OR(AB124="",AA124="Not started",AA124=""),"",IFERROR(AB124-IF(VLOOKUP(AA124,'04_Status_Pipeline'!$B$3:$E$20,4,FALSE)="",0,VLOOKUP(AA124,'04_Status_Pipeline'!$B$3:$E$20,4,FALSE)),""))</t>
        </is>
      </c>
      <c r="AE124" s="32" t="inlineStr">
        <is>
          <t>IF(E124="","",IF(OR(Y124="Cancelled",AA124="Cancelled"),"Cancelled",IF(OR(AA124="Completed / Handover",W124&lt;&gt;"",X124&gt;=100),"Completed — on track",IF(L124="Remaining",IF(S124="",IF(V124="","No planned date",IF(TODAY()&gt;V124,"Behind — past planned date",IF(V124-TODAY()&lt;=30,"At risk — close to off track","On track"))),IF(TODAY()&gt;S124,"Behind — award date passed",IF(S124-TODAY()&lt;=30,"At risk — close to off track","On track"))),IF(V124="","No planned date",IF(AND(TODAY()&gt;V124,OR(X124="",X124&lt;100)),"Behind — past end date",IF(AND(R124&lt;&gt;"",V124&lt;&gt;"",X124&lt;&gt;"",(X124&lt;100),((TODAY()-R124)/MAX(V124-R124,1)*100)-X124&gt;15),"Behind — progress lag",IF(AND(V124-TODAY()&lt;=30,V124-TODAY()&gt;=0,OR(X124="",X124&lt;90)),"At risk — close to off track","On track"))))))))</t>
        </is>
      </c>
      <c r="AF124" s="38" t="inlineStr">
        <is>
          <t>IF(OR(E124="",AA124="Completed / Handover",AA124="Cancelled"),"",IF(L124="Remaining",IF(S124&lt;&gt;"",S124-TODAY(),IF(V124="","",V124-TODAY())),IF(V124="","",V124-TODAY())))</t>
        </is>
      </c>
      <c r="AG124" s="36" t="n"/>
      <c r="AH124" s="36" t="n"/>
      <c r="AI124" s="36" t="n"/>
      <c r="AJ124" s="36" t="n"/>
      <c r="AK124" s="36" t="n"/>
      <c r="AL124" s="36" t="n"/>
      <c r="AM124" s="36" t="n"/>
      <c r="AN124" s="36" t="n"/>
      <c r="AO124" s="36" t="n"/>
      <c r="AP124" s="36" t="n"/>
      <c r="AQ124" s="36" t="n"/>
      <c r="AR124" s="40" t="n"/>
      <c r="AS124" s="40" t="n"/>
      <c r="AT124" s="40" t="n"/>
      <c r="AU124" s="38" t="inlineStr">
        <is>
          <t>IF(OR(E124="",AH124=""),"",IF(COUNT(AG124:AG124)=0,"",AH124-LOOKUP(2,1/(AG124:AG124&lt;&gt;""),AG124:AG124)))</t>
        </is>
      </c>
      <c r="AV124" s="38" t="inlineStr">
        <is>
          <t>IF(OR(E124="",AI124=""),"",IF(COUNT(AG124:AH124)=0,"",AI124-LOOKUP(2,1/(AG124:AH124&lt;&gt;""),AG124:AH124)))</t>
        </is>
      </c>
      <c r="AW124" s="38" t="inlineStr">
        <is>
          <t>IF(OR(E124="",AJ124=""),"",IF(COUNT(AG124:AI124)=0,"",AJ124-LOOKUP(2,1/(AG124:AI124&lt;&gt;""),AG124:AI124)))</t>
        </is>
      </c>
      <c r="AX124" s="38" t="inlineStr">
        <is>
          <t>IF(OR(E124="",AK124=""),"",IF(COUNT(AG124:AJ124)=0,"",AK124-LOOKUP(2,1/(AG124:AJ124&lt;&gt;""),AG124:AJ124)))</t>
        </is>
      </c>
      <c r="AY124" s="38" t="inlineStr">
        <is>
          <t>IF(OR(E124="",AL124=""),"",IF(COUNT(AG124:AK124)=0,"",AL124-LOOKUP(2,1/(AG124:AK124&lt;&gt;""),AG124:AK124)))</t>
        </is>
      </c>
      <c r="AZ124" s="38" t="inlineStr">
        <is>
          <t>IF(OR(E124="",AM124=""),"",IF(COUNT(AG124:AL124)=0,"",AM124-LOOKUP(2,1/(AG124:AL124&lt;&gt;""),AG124:AL124)))</t>
        </is>
      </c>
      <c r="BA124" s="38" t="inlineStr">
        <is>
          <t>IF(OR(E124="",AN124=""),"",IF(COUNT(AG124:AM124)=0,"",AN124-LOOKUP(2,1/(AG124:AM124&lt;&gt;""),AG124:AM124)))</t>
        </is>
      </c>
      <c r="BB124" s="38" t="inlineStr">
        <is>
          <t>IF(OR(E124="",AO124=""),"",IF(COUNT(AG124:AN124)=0,"",AO124-LOOKUP(2,1/(AG124:AN124&lt;&gt;""),AG124:AN124)))</t>
        </is>
      </c>
      <c r="BC124" s="38" t="inlineStr">
        <is>
          <t>IF(OR(E124="",AP124=""),"",IF(COUNT(AG124:AO124)=0,"",AP124-LOOKUP(2,1/(AG124:AO124&lt;&gt;""),AG124:AO124)))</t>
        </is>
      </c>
      <c r="BD124" s="38" t="inlineStr">
        <is>
          <t>IF(OR(E124="",AQ124=""),"",IF(COUNT(AG124:AP124)=0,"",AQ124-LOOKUP(2,1/(AG124:AP124&lt;&gt;""),AG124:AP124)))</t>
        </is>
      </c>
      <c r="BE124" s="38" t="inlineStr">
        <is>
          <t>IF(OR(E124="",AR124=""),"",IF(COUNT(AG124:AQ124)=0,"",AR124-LOOKUP(2,1/(AG124:AQ124&lt;&gt;""),AG124:AQ124)))</t>
        </is>
      </c>
      <c r="BF124" s="38" t="inlineStr">
        <is>
          <t>IF(OR(E124="",AS124=""),"",IF(COUNT(AG124:AR124)=0,"",AS124-LOOKUP(2,1/(AG124:AR124&lt;&gt;""),AG124:AR124)))</t>
        </is>
      </c>
      <c r="BG124" s="38" t="inlineStr">
        <is>
          <t>IF(OR(E124="",AT124=""),"",IF(COUNT(AG124:AS124)=0,"",AT124-LOOKUP(2,1/(AG124:AS124&lt;&gt;""),AG124:AS124)))</t>
        </is>
      </c>
      <c r="BH124" s="41" t="inlineStr">
        <is>
          <t>IF(G124="","All_Provinces",IFERROR(VLOOKUP(G124,'07_Lookups'!$A$4:$B$20,2,FALSE),"All_Provinces"))</t>
        </is>
      </c>
      <c r="BI124" s="41" t="inlineStr">
        <is>
          <t>IF(H124="","All_Districts",IFERROR(VLOOKUP(H124,'07_Lookups'!$E$4:$F$42,2,FALSE),"All_Districts"))</t>
        </is>
      </c>
    </row>
    <row r="125" ht="18" customHeight="1">
      <c r="A125" s="32" t="inlineStr">
        <is>
          <t>IF(E125="","",ROW()-3)</t>
        </is>
      </c>
      <c r="B125" s="42" t="n"/>
      <c r="C125" s="42" t="n"/>
      <c r="D125" s="42" t="n"/>
      <c r="E125" s="42" t="n"/>
      <c r="F125" s="42" t="n"/>
      <c r="G125" s="42" t="n"/>
      <c r="H125" s="42" t="n"/>
      <c r="I125" s="42" t="n"/>
      <c r="J125" s="42" t="n"/>
      <c r="K125" s="42" t="n"/>
      <c r="L125" s="42" t="n"/>
      <c r="M125" s="42" t="n"/>
      <c r="N125" s="42" t="n"/>
      <c r="O125" s="42" t="n"/>
      <c r="P125" s="42" t="n"/>
      <c r="Q125" s="43" t="n"/>
      <c r="R125" s="35" t="inlineStr">
        <is>
          <t>IF(AO125="","",AO125)</t>
        </is>
      </c>
      <c r="S125" s="44" t="n"/>
      <c r="T125" s="45" t="n"/>
      <c r="U125" s="44" t="n"/>
      <c r="V125" s="35" t="inlineStr">
        <is>
          <t>IF(U125&lt;&gt;"",U125,IF(OR(R125="",T125=""),"",EDATE(R125,T125)))</t>
        </is>
      </c>
      <c r="W125" s="44" t="n"/>
      <c r="X125" s="45" t="n"/>
      <c r="Y125" s="42" t="n"/>
      <c r="Z125" s="42" t="n"/>
      <c r="AA125" s="32" t="inlineStr">
        <is>
          <t>IF(E125="","",IF(COUNT(AG125:AT125)=0,IF(Y125="","Not started",Y125),SUBSTITUTE(LOOKUP(2,1/(AG125:AT125&lt;&gt;""),$AG$3:$AT$3),"Date: ","")))</t>
        </is>
      </c>
      <c r="AB125" s="38" t="inlineStr">
        <is>
          <t>IF(OR(E125="",COUNT(AG125:AT125)=0),"",TODAY()-LOOKUP(2,1/(AG125:AT125&lt;&gt;""),AG125:AT125))</t>
        </is>
      </c>
      <c r="AC125" s="38" t="inlineStr">
        <is>
          <t>IF(OR(E125="",COUNT(AG125:AT125)&lt;2),"",LOOKUP(2,1/(AG125:AT125&lt;&gt;""),AG125:AT125)-MIN(AG125:AT125))</t>
        </is>
      </c>
      <c r="AD125" s="38" t="inlineStr">
        <is>
          <t>IF(OR(AB125="",AA125="Not started",AA125=""),"",IFERROR(AB125-IF(VLOOKUP(AA125,'04_Status_Pipeline'!$B$3:$E$20,4,FALSE)="",0,VLOOKUP(AA125,'04_Status_Pipeline'!$B$3:$E$20,4,FALSE)),""))</t>
        </is>
      </c>
      <c r="AE125" s="32" t="inlineStr">
        <is>
          <t>IF(E125="","",IF(OR(Y125="Cancelled",AA125="Cancelled"),"Cancelled",IF(OR(AA125="Completed / Handover",W125&lt;&gt;"",X125&gt;=100),"Completed — on track",IF(L125="Remaining",IF(S125="",IF(V125="","No planned date",IF(TODAY()&gt;V125,"Behind — past planned date",IF(V125-TODAY()&lt;=30,"At risk — close to off track","On track"))),IF(TODAY()&gt;S125,"Behind — award date passed",IF(S125-TODAY()&lt;=30,"At risk — close to off track","On track"))),IF(V125="","No planned date",IF(AND(TODAY()&gt;V125,OR(X125="",X125&lt;100)),"Behind — past end date",IF(AND(R125&lt;&gt;"",V125&lt;&gt;"",X125&lt;&gt;"",(X125&lt;100),((TODAY()-R125)/MAX(V125-R125,1)*100)-X125&gt;15),"Behind — progress lag",IF(AND(V125-TODAY()&lt;=30,V125-TODAY()&gt;=0,OR(X125="",X125&lt;90)),"At risk — close to off track","On track"))))))))</t>
        </is>
      </c>
      <c r="AF125" s="38" t="inlineStr">
        <is>
          <t>IF(OR(E125="",AA125="Completed / Handover",AA125="Cancelled"),"",IF(L125="Remaining",IF(S125&lt;&gt;"",S125-TODAY(),IF(V125="","",V125-TODAY())),IF(V125="","",V125-TODAY())))</t>
        </is>
      </c>
      <c r="AG125" s="44" t="n"/>
      <c r="AH125" s="44" t="n"/>
      <c r="AI125" s="44" t="n"/>
      <c r="AJ125" s="44" t="n"/>
      <c r="AK125" s="44" t="n"/>
      <c r="AL125" s="44" t="n"/>
      <c r="AM125" s="44" t="n"/>
      <c r="AN125" s="44" t="n"/>
      <c r="AO125" s="44" t="n"/>
      <c r="AP125" s="44" t="n"/>
      <c r="AQ125" s="44" t="n"/>
      <c r="AR125" s="40" t="n"/>
      <c r="AS125" s="40" t="n"/>
      <c r="AT125" s="40" t="n"/>
      <c r="AU125" s="38" t="inlineStr">
        <is>
          <t>IF(OR(E125="",AH125=""),"",IF(COUNT(AG125:AG125)=0,"",AH125-LOOKUP(2,1/(AG125:AG125&lt;&gt;""),AG125:AG125)))</t>
        </is>
      </c>
      <c r="AV125" s="38" t="inlineStr">
        <is>
          <t>IF(OR(E125="",AI125=""),"",IF(COUNT(AG125:AH125)=0,"",AI125-LOOKUP(2,1/(AG125:AH125&lt;&gt;""),AG125:AH125)))</t>
        </is>
      </c>
      <c r="AW125" s="38" t="inlineStr">
        <is>
          <t>IF(OR(E125="",AJ125=""),"",IF(COUNT(AG125:AI125)=0,"",AJ125-LOOKUP(2,1/(AG125:AI125&lt;&gt;""),AG125:AI125)))</t>
        </is>
      </c>
      <c r="AX125" s="38" t="inlineStr">
        <is>
          <t>IF(OR(E125="",AK125=""),"",IF(COUNT(AG125:AJ125)=0,"",AK125-LOOKUP(2,1/(AG125:AJ125&lt;&gt;""),AG125:AJ125)))</t>
        </is>
      </c>
      <c r="AY125" s="38" t="inlineStr">
        <is>
          <t>IF(OR(E125="",AL125=""),"",IF(COUNT(AG125:AK125)=0,"",AL125-LOOKUP(2,1/(AG125:AK125&lt;&gt;""),AG125:AK125)))</t>
        </is>
      </c>
      <c r="AZ125" s="38" t="inlineStr">
        <is>
          <t>IF(OR(E125="",AM125=""),"",IF(COUNT(AG125:AL125)=0,"",AM125-LOOKUP(2,1/(AG125:AL125&lt;&gt;""),AG125:AL125)))</t>
        </is>
      </c>
      <c r="BA125" s="38" t="inlineStr">
        <is>
          <t>IF(OR(E125="",AN125=""),"",IF(COUNT(AG125:AM125)=0,"",AN125-LOOKUP(2,1/(AG125:AM125&lt;&gt;""),AG125:AM125)))</t>
        </is>
      </c>
      <c r="BB125" s="38" t="inlineStr">
        <is>
          <t>IF(OR(E125="",AO125=""),"",IF(COUNT(AG125:AN125)=0,"",AO125-LOOKUP(2,1/(AG125:AN125&lt;&gt;""),AG125:AN125)))</t>
        </is>
      </c>
      <c r="BC125" s="38" t="inlineStr">
        <is>
          <t>IF(OR(E125="",AP125=""),"",IF(COUNT(AG125:AO125)=0,"",AP125-LOOKUP(2,1/(AG125:AO125&lt;&gt;""),AG125:AO125)))</t>
        </is>
      </c>
      <c r="BD125" s="38" t="inlineStr">
        <is>
          <t>IF(OR(E125="",AQ125=""),"",IF(COUNT(AG125:AP125)=0,"",AQ125-LOOKUP(2,1/(AG125:AP125&lt;&gt;""),AG125:AP125)))</t>
        </is>
      </c>
      <c r="BE125" s="38" t="inlineStr">
        <is>
          <t>IF(OR(E125="",AR125=""),"",IF(COUNT(AG125:AQ125)=0,"",AR125-LOOKUP(2,1/(AG125:AQ125&lt;&gt;""),AG125:AQ125)))</t>
        </is>
      </c>
      <c r="BF125" s="38" t="inlineStr">
        <is>
          <t>IF(OR(E125="",AS125=""),"",IF(COUNT(AG125:AR125)=0,"",AS125-LOOKUP(2,1/(AG125:AR125&lt;&gt;""),AG125:AR125)))</t>
        </is>
      </c>
      <c r="BG125" s="38" t="inlineStr">
        <is>
          <t>IF(OR(E125="",AT125=""),"",IF(COUNT(AG125:AS125)=0,"",AT125-LOOKUP(2,1/(AG125:AS125&lt;&gt;""),AG125:AS125)))</t>
        </is>
      </c>
      <c r="BH125" s="41" t="inlineStr">
        <is>
          <t>IF(G125="","All_Provinces",IFERROR(VLOOKUP(G125,'07_Lookups'!$A$4:$B$20,2,FALSE),"All_Provinces"))</t>
        </is>
      </c>
      <c r="BI125" s="41" t="inlineStr">
        <is>
          <t>IF(H125="","All_Districts",IFERROR(VLOOKUP(H125,'07_Lookups'!$E$4:$F$42,2,FALSE),"All_Districts"))</t>
        </is>
      </c>
    </row>
    <row r="126" ht="18" customHeight="1">
      <c r="A126" s="32" t="inlineStr">
        <is>
          <t>IF(E126="","",ROW()-3)</t>
        </is>
      </c>
      <c r="B126" s="33" t="n"/>
      <c r="C126" s="33" t="n"/>
      <c r="D126" s="33" t="n"/>
      <c r="E126" s="33" t="n"/>
      <c r="F126" s="33" t="n"/>
      <c r="G126" s="33" t="n"/>
      <c r="H126" s="33" t="n"/>
      <c r="I126" s="33" t="n"/>
      <c r="J126" s="33" t="n"/>
      <c r="K126" s="33" t="n"/>
      <c r="L126" s="33" t="n"/>
      <c r="M126" s="33" t="n"/>
      <c r="N126" s="33" t="n"/>
      <c r="O126" s="33" t="n"/>
      <c r="P126" s="33" t="n"/>
      <c r="Q126" s="34" t="n"/>
      <c r="R126" s="35" t="inlineStr">
        <is>
          <t>IF(AO126="","",AO126)</t>
        </is>
      </c>
      <c r="S126" s="36" t="n"/>
      <c r="T126" s="37" t="n"/>
      <c r="U126" s="36" t="n"/>
      <c r="V126" s="35" t="inlineStr">
        <is>
          <t>IF(U126&lt;&gt;"",U126,IF(OR(R126="",T126=""),"",EDATE(R126,T126)))</t>
        </is>
      </c>
      <c r="W126" s="36" t="n"/>
      <c r="X126" s="37" t="n"/>
      <c r="Y126" s="33" t="n"/>
      <c r="Z126" s="33" t="n"/>
      <c r="AA126" s="32" t="inlineStr">
        <is>
          <t>IF(E126="","",IF(COUNT(AG126:AT126)=0,IF(Y126="","Not started",Y126),SUBSTITUTE(LOOKUP(2,1/(AG126:AT126&lt;&gt;""),$AG$3:$AT$3),"Date: ","")))</t>
        </is>
      </c>
      <c r="AB126" s="38" t="inlineStr">
        <is>
          <t>IF(OR(E126="",COUNT(AG126:AT126)=0),"",TODAY()-LOOKUP(2,1/(AG126:AT126&lt;&gt;""),AG126:AT126))</t>
        </is>
      </c>
      <c r="AC126" s="38" t="inlineStr">
        <is>
          <t>IF(OR(E126="",COUNT(AG126:AT126)&lt;2),"",LOOKUP(2,1/(AG126:AT126&lt;&gt;""),AG126:AT126)-MIN(AG126:AT126))</t>
        </is>
      </c>
      <c r="AD126" s="38" t="inlineStr">
        <is>
          <t>IF(OR(AB126="",AA126="Not started",AA126=""),"",IFERROR(AB126-IF(VLOOKUP(AA126,'04_Status_Pipeline'!$B$3:$E$20,4,FALSE)="",0,VLOOKUP(AA126,'04_Status_Pipeline'!$B$3:$E$20,4,FALSE)),""))</t>
        </is>
      </c>
      <c r="AE126" s="32" t="inlineStr">
        <is>
          <t>IF(E126="","",IF(OR(Y126="Cancelled",AA126="Cancelled"),"Cancelled",IF(OR(AA126="Completed / Handover",W126&lt;&gt;"",X126&gt;=100),"Completed — on track",IF(L126="Remaining",IF(S126="",IF(V126="","No planned date",IF(TODAY()&gt;V126,"Behind — past planned date",IF(V126-TODAY()&lt;=30,"At risk — close to off track","On track"))),IF(TODAY()&gt;S126,"Behind — award date passed",IF(S126-TODAY()&lt;=30,"At risk — close to off track","On track"))),IF(V126="","No planned date",IF(AND(TODAY()&gt;V126,OR(X126="",X126&lt;100)),"Behind — past end date",IF(AND(R126&lt;&gt;"",V126&lt;&gt;"",X126&lt;&gt;"",(X126&lt;100),((TODAY()-R126)/MAX(V126-R126,1)*100)-X126&gt;15),"Behind — progress lag",IF(AND(V126-TODAY()&lt;=30,V126-TODAY()&gt;=0,OR(X126="",X126&lt;90)),"At risk — close to off track","On track"))))))))</t>
        </is>
      </c>
      <c r="AF126" s="38" t="inlineStr">
        <is>
          <t>IF(OR(E126="",AA126="Completed / Handover",AA126="Cancelled"),"",IF(L126="Remaining",IF(S126&lt;&gt;"",S126-TODAY(),IF(V126="","",V126-TODAY())),IF(V126="","",V126-TODAY())))</t>
        </is>
      </c>
      <c r="AG126" s="36" t="n"/>
      <c r="AH126" s="36" t="n"/>
      <c r="AI126" s="36" t="n"/>
      <c r="AJ126" s="36" t="n"/>
      <c r="AK126" s="36" t="n"/>
      <c r="AL126" s="36" t="n"/>
      <c r="AM126" s="36" t="n"/>
      <c r="AN126" s="36" t="n"/>
      <c r="AO126" s="36" t="n"/>
      <c r="AP126" s="36" t="n"/>
      <c r="AQ126" s="36" t="n"/>
      <c r="AR126" s="40" t="n"/>
      <c r="AS126" s="40" t="n"/>
      <c r="AT126" s="40" t="n"/>
      <c r="AU126" s="38" t="inlineStr">
        <is>
          <t>IF(OR(E126="",AH126=""),"",IF(COUNT(AG126:AG126)=0,"",AH126-LOOKUP(2,1/(AG126:AG126&lt;&gt;""),AG126:AG126)))</t>
        </is>
      </c>
      <c r="AV126" s="38" t="inlineStr">
        <is>
          <t>IF(OR(E126="",AI126=""),"",IF(COUNT(AG126:AH126)=0,"",AI126-LOOKUP(2,1/(AG126:AH126&lt;&gt;""),AG126:AH126)))</t>
        </is>
      </c>
      <c r="AW126" s="38" t="inlineStr">
        <is>
          <t>IF(OR(E126="",AJ126=""),"",IF(COUNT(AG126:AI126)=0,"",AJ126-LOOKUP(2,1/(AG126:AI126&lt;&gt;""),AG126:AI126)))</t>
        </is>
      </c>
      <c r="AX126" s="38" t="inlineStr">
        <is>
          <t>IF(OR(E126="",AK126=""),"",IF(COUNT(AG126:AJ126)=0,"",AK126-LOOKUP(2,1/(AG126:AJ126&lt;&gt;""),AG126:AJ126)))</t>
        </is>
      </c>
      <c r="AY126" s="38" t="inlineStr">
        <is>
          <t>IF(OR(E126="",AL126=""),"",IF(COUNT(AG126:AK126)=0,"",AL126-LOOKUP(2,1/(AG126:AK126&lt;&gt;""),AG126:AK126)))</t>
        </is>
      </c>
      <c r="AZ126" s="38" t="inlineStr">
        <is>
          <t>IF(OR(E126="",AM126=""),"",IF(COUNT(AG126:AL126)=0,"",AM126-LOOKUP(2,1/(AG126:AL126&lt;&gt;""),AG126:AL126)))</t>
        </is>
      </c>
      <c r="BA126" s="38" t="inlineStr">
        <is>
          <t>IF(OR(E126="",AN126=""),"",IF(COUNT(AG126:AM126)=0,"",AN126-LOOKUP(2,1/(AG126:AM126&lt;&gt;""),AG126:AM126)))</t>
        </is>
      </c>
      <c r="BB126" s="38" t="inlineStr">
        <is>
          <t>IF(OR(E126="",AO126=""),"",IF(COUNT(AG126:AN126)=0,"",AO126-LOOKUP(2,1/(AG126:AN126&lt;&gt;""),AG126:AN126)))</t>
        </is>
      </c>
      <c r="BC126" s="38" t="inlineStr">
        <is>
          <t>IF(OR(E126="",AP126=""),"",IF(COUNT(AG126:AO126)=0,"",AP126-LOOKUP(2,1/(AG126:AO126&lt;&gt;""),AG126:AO126)))</t>
        </is>
      </c>
      <c r="BD126" s="38" t="inlineStr">
        <is>
          <t>IF(OR(E126="",AQ126=""),"",IF(COUNT(AG126:AP126)=0,"",AQ126-LOOKUP(2,1/(AG126:AP126&lt;&gt;""),AG126:AP126)))</t>
        </is>
      </c>
      <c r="BE126" s="38" t="inlineStr">
        <is>
          <t>IF(OR(E126="",AR126=""),"",IF(COUNT(AG126:AQ126)=0,"",AR126-LOOKUP(2,1/(AG126:AQ126&lt;&gt;""),AG126:AQ126)))</t>
        </is>
      </c>
      <c r="BF126" s="38" t="inlineStr">
        <is>
          <t>IF(OR(E126="",AS126=""),"",IF(COUNT(AG126:AR126)=0,"",AS126-LOOKUP(2,1/(AG126:AR126&lt;&gt;""),AG126:AR126)))</t>
        </is>
      </c>
      <c r="BG126" s="38" t="inlineStr">
        <is>
          <t>IF(OR(E126="",AT126=""),"",IF(COUNT(AG126:AS126)=0,"",AT126-LOOKUP(2,1/(AG126:AS126&lt;&gt;""),AG126:AS126)))</t>
        </is>
      </c>
      <c r="BH126" s="41" t="inlineStr">
        <is>
          <t>IF(G126="","All_Provinces",IFERROR(VLOOKUP(G126,'07_Lookups'!$A$4:$B$20,2,FALSE),"All_Provinces"))</t>
        </is>
      </c>
      <c r="BI126" s="41" t="inlineStr">
        <is>
          <t>IF(H126="","All_Districts",IFERROR(VLOOKUP(H126,'07_Lookups'!$E$4:$F$42,2,FALSE),"All_Districts"))</t>
        </is>
      </c>
    </row>
    <row r="127" ht="18" customHeight="1">
      <c r="A127" s="32" t="inlineStr">
        <is>
          <t>IF(E127="","",ROW()-3)</t>
        </is>
      </c>
      <c r="B127" s="42" t="n"/>
      <c r="C127" s="42" t="n"/>
      <c r="D127" s="42" t="n"/>
      <c r="E127" s="42" t="n"/>
      <c r="F127" s="42" t="n"/>
      <c r="G127" s="42" t="n"/>
      <c r="H127" s="42" t="n"/>
      <c r="I127" s="42" t="n"/>
      <c r="J127" s="42" t="n"/>
      <c r="K127" s="42" t="n"/>
      <c r="L127" s="42" t="n"/>
      <c r="M127" s="42" t="n"/>
      <c r="N127" s="42" t="n"/>
      <c r="O127" s="42" t="n"/>
      <c r="P127" s="42" t="n"/>
      <c r="Q127" s="43" t="n"/>
      <c r="R127" s="35" t="inlineStr">
        <is>
          <t>IF(AO127="","",AO127)</t>
        </is>
      </c>
      <c r="S127" s="44" t="n"/>
      <c r="T127" s="45" t="n"/>
      <c r="U127" s="44" t="n"/>
      <c r="V127" s="35" t="inlineStr">
        <is>
          <t>IF(U127&lt;&gt;"",U127,IF(OR(R127="",T127=""),"",EDATE(R127,T127)))</t>
        </is>
      </c>
      <c r="W127" s="44" t="n"/>
      <c r="X127" s="45" t="n"/>
      <c r="Y127" s="42" t="n"/>
      <c r="Z127" s="42" t="n"/>
      <c r="AA127" s="32" t="inlineStr">
        <is>
          <t>IF(E127="","",IF(COUNT(AG127:AT127)=0,IF(Y127="","Not started",Y127),SUBSTITUTE(LOOKUP(2,1/(AG127:AT127&lt;&gt;""),$AG$3:$AT$3),"Date: ","")))</t>
        </is>
      </c>
      <c r="AB127" s="38" t="inlineStr">
        <is>
          <t>IF(OR(E127="",COUNT(AG127:AT127)=0),"",TODAY()-LOOKUP(2,1/(AG127:AT127&lt;&gt;""),AG127:AT127))</t>
        </is>
      </c>
      <c r="AC127" s="38" t="inlineStr">
        <is>
          <t>IF(OR(E127="",COUNT(AG127:AT127)&lt;2),"",LOOKUP(2,1/(AG127:AT127&lt;&gt;""),AG127:AT127)-MIN(AG127:AT127))</t>
        </is>
      </c>
      <c r="AD127" s="38" t="inlineStr">
        <is>
          <t>IF(OR(AB127="",AA127="Not started",AA127=""),"",IFERROR(AB127-IF(VLOOKUP(AA127,'04_Status_Pipeline'!$B$3:$E$20,4,FALSE)="",0,VLOOKUP(AA127,'04_Status_Pipeline'!$B$3:$E$20,4,FALSE)),""))</t>
        </is>
      </c>
      <c r="AE127" s="32" t="inlineStr">
        <is>
          <t>IF(E127="","",IF(OR(Y127="Cancelled",AA127="Cancelled"),"Cancelled",IF(OR(AA127="Completed / Handover",W127&lt;&gt;"",X127&gt;=100),"Completed — on track",IF(L127="Remaining",IF(S127="",IF(V127="","No planned date",IF(TODAY()&gt;V127,"Behind — past planned date",IF(V127-TODAY()&lt;=30,"At risk — close to off track","On track"))),IF(TODAY()&gt;S127,"Behind — award date passed",IF(S127-TODAY()&lt;=30,"At risk — close to off track","On track"))),IF(V127="","No planned date",IF(AND(TODAY()&gt;V127,OR(X127="",X127&lt;100)),"Behind — past end date",IF(AND(R127&lt;&gt;"",V127&lt;&gt;"",X127&lt;&gt;"",(X127&lt;100),((TODAY()-R127)/MAX(V127-R127,1)*100)-X127&gt;15),"Behind — progress lag",IF(AND(V127-TODAY()&lt;=30,V127-TODAY()&gt;=0,OR(X127="",X127&lt;90)),"At risk — close to off track","On track"))))))))</t>
        </is>
      </c>
      <c r="AF127" s="38" t="inlineStr">
        <is>
          <t>IF(OR(E127="",AA127="Completed / Handover",AA127="Cancelled"),"",IF(L127="Remaining",IF(S127&lt;&gt;"",S127-TODAY(),IF(V127="","",V127-TODAY())),IF(V127="","",V127-TODAY())))</t>
        </is>
      </c>
      <c r="AG127" s="44" t="n"/>
      <c r="AH127" s="44" t="n"/>
      <c r="AI127" s="44" t="n"/>
      <c r="AJ127" s="44" t="n"/>
      <c r="AK127" s="44" t="n"/>
      <c r="AL127" s="44" t="n"/>
      <c r="AM127" s="44" t="n"/>
      <c r="AN127" s="44" t="n"/>
      <c r="AO127" s="44" t="n"/>
      <c r="AP127" s="44" t="n"/>
      <c r="AQ127" s="44" t="n"/>
      <c r="AR127" s="40" t="n"/>
      <c r="AS127" s="40" t="n"/>
      <c r="AT127" s="40" t="n"/>
      <c r="AU127" s="38" t="inlineStr">
        <is>
          <t>IF(OR(E127="",AH127=""),"",IF(COUNT(AG127:AG127)=0,"",AH127-LOOKUP(2,1/(AG127:AG127&lt;&gt;""),AG127:AG127)))</t>
        </is>
      </c>
      <c r="AV127" s="38" t="inlineStr">
        <is>
          <t>IF(OR(E127="",AI127=""),"",IF(COUNT(AG127:AH127)=0,"",AI127-LOOKUP(2,1/(AG127:AH127&lt;&gt;""),AG127:AH127)))</t>
        </is>
      </c>
      <c r="AW127" s="38" t="inlineStr">
        <is>
          <t>IF(OR(E127="",AJ127=""),"",IF(COUNT(AG127:AI127)=0,"",AJ127-LOOKUP(2,1/(AG127:AI127&lt;&gt;""),AG127:AI127)))</t>
        </is>
      </c>
      <c r="AX127" s="38" t="inlineStr">
        <is>
          <t>IF(OR(E127="",AK127=""),"",IF(COUNT(AG127:AJ127)=0,"",AK127-LOOKUP(2,1/(AG127:AJ127&lt;&gt;""),AG127:AJ127)))</t>
        </is>
      </c>
      <c r="AY127" s="38" t="inlineStr">
        <is>
          <t>IF(OR(E127="",AL127=""),"",IF(COUNT(AG127:AK127)=0,"",AL127-LOOKUP(2,1/(AG127:AK127&lt;&gt;""),AG127:AK127)))</t>
        </is>
      </c>
      <c r="AZ127" s="38" t="inlineStr">
        <is>
          <t>IF(OR(E127="",AM127=""),"",IF(COUNT(AG127:AL127)=0,"",AM127-LOOKUP(2,1/(AG127:AL127&lt;&gt;""),AG127:AL127)))</t>
        </is>
      </c>
      <c r="BA127" s="38" t="inlineStr">
        <is>
          <t>IF(OR(E127="",AN127=""),"",IF(COUNT(AG127:AM127)=0,"",AN127-LOOKUP(2,1/(AG127:AM127&lt;&gt;""),AG127:AM127)))</t>
        </is>
      </c>
      <c r="BB127" s="38" t="inlineStr">
        <is>
          <t>IF(OR(E127="",AO127=""),"",IF(COUNT(AG127:AN127)=0,"",AO127-LOOKUP(2,1/(AG127:AN127&lt;&gt;""),AG127:AN127)))</t>
        </is>
      </c>
      <c r="BC127" s="38" t="inlineStr">
        <is>
          <t>IF(OR(E127="",AP127=""),"",IF(COUNT(AG127:AO127)=0,"",AP127-LOOKUP(2,1/(AG127:AO127&lt;&gt;""),AG127:AO127)))</t>
        </is>
      </c>
      <c r="BD127" s="38" t="inlineStr">
        <is>
          <t>IF(OR(E127="",AQ127=""),"",IF(COUNT(AG127:AP127)=0,"",AQ127-LOOKUP(2,1/(AG127:AP127&lt;&gt;""),AG127:AP127)))</t>
        </is>
      </c>
      <c r="BE127" s="38" t="inlineStr">
        <is>
          <t>IF(OR(E127="",AR127=""),"",IF(COUNT(AG127:AQ127)=0,"",AR127-LOOKUP(2,1/(AG127:AQ127&lt;&gt;""),AG127:AQ127)))</t>
        </is>
      </c>
      <c r="BF127" s="38" t="inlineStr">
        <is>
          <t>IF(OR(E127="",AS127=""),"",IF(COUNT(AG127:AR127)=0,"",AS127-LOOKUP(2,1/(AG127:AR127&lt;&gt;""),AG127:AR127)))</t>
        </is>
      </c>
      <c r="BG127" s="38" t="inlineStr">
        <is>
          <t>IF(OR(E127="",AT127=""),"",IF(COUNT(AG127:AS127)=0,"",AT127-LOOKUP(2,1/(AG127:AS127&lt;&gt;""),AG127:AS127)))</t>
        </is>
      </c>
      <c r="BH127" s="41" t="inlineStr">
        <is>
          <t>IF(G127="","All_Provinces",IFERROR(VLOOKUP(G127,'07_Lookups'!$A$4:$B$20,2,FALSE),"All_Provinces"))</t>
        </is>
      </c>
      <c r="BI127" s="41" t="inlineStr">
        <is>
          <t>IF(H127="","All_Districts",IFERROR(VLOOKUP(H127,'07_Lookups'!$E$4:$F$42,2,FALSE),"All_Districts"))</t>
        </is>
      </c>
    </row>
    <row r="128" ht="18" customHeight="1">
      <c r="A128" s="32" t="inlineStr">
        <is>
          <t>IF(E128="","",ROW()-3)</t>
        </is>
      </c>
      <c r="B128" s="33" t="n"/>
      <c r="C128" s="33" t="n"/>
      <c r="D128" s="33" t="n"/>
      <c r="E128" s="33" t="n"/>
      <c r="F128" s="33" t="n"/>
      <c r="G128" s="33" t="n"/>
      <c r="H128" s="33" t="n"/>
      <c r="I128" s="33" t="n"/>
      <c r="J128" s="33" t="n"/>
      <c r="K128" s="33" t="n"/>
      <c r="L128" s="33" t="n"/>
      <c r="M128" s="33" t="n"/>
      <c r="N128" s="33" t="n"/>
      <c r="O128" s="33" t="n"/>
      <c r="P128" s="33" t="n"/>
      <c r="Q128" s="34" t="n"/>
      <c r="R128" s="35" t="inlineStr">
        <is>
          <t>IF(AO128="","",AO128)</t>
        </is>
      </c>
      <c r="S128" s="36" t="n"/>
      <c r="T128" s="37" t="n"/>
      <c r="U128" s="36" t="n"/>
      <c r="V128" s="35" t="inlineStr">
        <is>
          <t>IF(U128&lt;&gt;"",U128,IF(OR(R128="",T128=""),"",EDATE(R128,T128)))</t>
        </is>
      </c>
      <c r="W128" s="36" t="n"/>
      <c r="X128" s="37" t="n"/>
      <c r="Y128" s="33" t="n"/>
      <c r="Z128" s="33" t="n"/>
      <c r="AA128" s="32" t="inlineStr">
        <is>
          <t>IF(E128="","",IF(COUNT(AG128:AT128)=0,IF(Y128="","Not started",Y128),SUBSTITUTE(LOOKUP(2,1/(AG128:AT128&lt;&gt;""),$AG$3:$AT$3),"Date: ","")))</t>
        </is>
      </c>
      <c r="AB128" s="38" t="inlineStr">
        <is>
          <t>IF(OR(E128="",COUNT(AG128:AT128)=0),"",TODAY()-LOOKUP(2,1/(AG128:AT128&lt;&gt;""),AG128:AT128))</t>
        </is>
      </c>
      <c r="AC128" s="38" t="inlineStr">
        <is>
          <t>IF(OR(E128="",COUNT(AG128:AT128)&lt;2),"",LOOKUP(2,1/(AG128:AT128&lt;&gt;""),AG128:AT128)-MIN(AG128:AT128))</t>
        </is>
      </c>
      <c r="AD128" s="38" t="inlineStr">
        <is>
          <t>IF(OR(AB128="",AA128="Not started",AA128=""),"",IFERROR(AB128-IF(VLOOKUP(AA128,'04_Status_Pipeline'!$B$3:$E$20,4,FALSE)="",0,VLOOKUP(AA128,'04_Status_Pipeline'!$B$3:$E$20,4,FALSE)),""))</t>
        </is>
      </c>
      <c r="AE128" s="32" t="inlineStr">
        <is>
          <t>IF(E128="","",IF(OR(Y128="Cancelled",AA128="Cancelled"),"Cancelled",IF(OR(AA128="Completed / Handover",W128&lt;&gt;"",X128&gt;=100),"Completed — on track",IF(L128="Remaining",IF(S128="",IF(V128="","No planned date",IF(TODAY()&gt;V128,"Behind — past planned date",IF(V128-TODAY()&lt;=30,"At risk — close to off track","On track"))),IF(TODAY()&gt;S128,"Behind — award date passed",IF(S128-TODAY()&lt;=30,"At risk — close to off track","On track"))),IF(V128="","No planned date",IF(AND(TODAY()&gt;V128,OR(X128="",X128&lt;100)),"Behind — past end date",IF(AND(R128&lt;&gt;"",V128&lt;&gt;"",X128&lt;&gt;"",(X128&lt;100),((TODAY()-R128)/MAX(V128-R128,1)*100)-X128&gt;15),"Behind — progress lag",IF(AND(V128-TODAY()&lt;=30,V128-TODAY()&gt;=0,OR(X128="",X128&lt;90)),"At risk — close to off track","On track"))))))))</t>
        </is>
      </c>
      <c r="AF128" s="38" t="inlineStr">
        <is>
          <t>IF(OR(E128="",AA128="Completed / Handover",AA128="Cancelled"),"",IF(L128="Remaining",IF(S128&lt;&gt;"",S128-TODAY(),IF(V128="","",V128-TODAY())),IF(V128="","",V128-TODAY())))</t>
        </is>
      </c>
      <c r="AG128" s="36" t="n"/>
      <c r="AH128" s="36" t="n"/>
      <c r="AI128" s="36" t="n"/>
      <c r="AJ128" s="36" t="n"/>
      <c r="AK128" s="36" t="n"/>
      <c r="AL128" s="36" t="n"/>
      <c r="AM128" s="36" t="n"/>
      <c r="AN128" s="36" t="n"/>
      <c r="AO128" s="36" t="n"/>
      <c r="AP128" s="36" t="n"/>
      <c r="AQ128" s="36" t="n"/>
      <c r="AR128" s="40" t="n"/>
      <c r="AS128" s="40" t="n"/>
      <c r="AT128" s="40" t="n"/>
      <c r="AU128" s="38" t="inlineStr">
        <is>
          <t>IF(OR(E128="",AH128=""),"",IF(COUNT(AG128:AG128)=0,"",AH128-LOOKUP(2,1/(AG128:AG128&lt;&gt;""),AG128:AG128)))</t>
        </is>
      </c>
      <c r="AV128" s="38" t="inlineStr">
        <is>
          <t>IF(OR(E128="",AI128=""),"",IF(COUNT(AG128:AH128)=0,"",AI128-LOOKUP(2,1/(AG128:AH128&lt;&gt;""),AG128:AH128)))</t>
        </is>
      </c>
      <c r="AW128" s="38" t="inlineStr">
        <is>
          <t>IF(OR(E128="",AJ128=""),"",IF(COUNT(AG128:AI128)=0,"",AJ128-LOOKUP(2,1/(AG128:AI128&lt;&gt;""),AG128:AI128)))</t>
        </is>
      </c>
      <c r="AX128" s="38" t="inlineStr">
        <is>
          <t>IF(OR(E128="",AK128=""),"",IF(COUNT(AG128:AJ128)=0,"",AK128-LOOKUP(2,1/(AG128:AJ128&lt;&gt;""),AG128:AJ128)))</t>
        </is>
      </c>
      <c r="AY128" s="38" t="inlineStr">
        <is>
          <t>IF(OR(E128="",AL128=""),"",IF(COUNT(AG128:AK128)=0,"",AL128-LOOKUP(2,1/(AG128:AK128&lt;&gt;""),AG128:AK128)))</t>
        </is>
      </c>
      <c r="AZ128" s="38" t="inlineStr">
        <is>
          <t>IF(OR(E128="",AM128=""),"",IF(COUNT(AG128:AL128)=0,"",AM128-LOOKUP(2,1/(AG128:AL128&lt;&gt;""),AG128:AL128)))</t>
        </is>
      </c>
      <c r="BA128" s="38" t="inlineStr">
        <is>
          <t>IF(OR(E128="",AN128=""),"",IF(COUNT(AG128:AM128)=0,"",AN128-LOOKUP(2,1/(AG128:AM128&lt;&gt;""),AG128:AM128)))</t>
        </is>
      </c>
      <c r="BB128" s="38" t="inlineStr">
        <is>
          <t>IF(OR(E128="",AO128=""),"",IF(COUNT(AG128:AN128)=0,"",AO128-LOOKUP(2,1/(AG128:AN128&lt;&gt;""),AG128:AN128)))</t>
        </is>
      </c>
      <c r="BC128" s="38" t="inlineStr">
        <is>
          <t>IF(OR(E128="",AP128=""),"",IF(COUNT(AG128:AO128)=0,"",AP128-LOOKUP(2,1/(AG128:AO128&lt;&gt;""),AG128:AO128)))</t>
        </is>
      </c>
      <c r="BD128" s="38" t="inlineStr">
        <is>
          <t>IF(OR(E128="",AQ128=""),"",IF(COUNT(AG128:AP128)=0,"",AQ128-LOOKUP(2,1/(AG128:AP128&lt;&gt;""),AG128:AP128)))</t>
        </is>
      </c>
      <c r="BE128" s="38" t="inlineStr">
        <is>
          <t>IF(OR(E128="",AR128=""),"",IF(COUNT(AG128:AQ128)=0,"",AR128-LOOKUP(2,1/(AG128:AQ128&lt;&gt;""),AG128:AQ128)))</t>
        </is>
      </c>
      <c r="BF128" s="38" t="inlineStr">
        <is>
          <t>IF(OR(E128="",AS128=""),"",IF(COUNT(AG128:AR128)=0,"",AS128-LOOKUP(2,1/(AG128:AR128&lt;&gt;""),AG128:AR128)))</t>
        </is>
      </c>
      <c r="BG128" s="38" t="inlineStr">
        <is>
          <t>IF(OR(E128="",AT128=""),"",IF(COUNT(AG128:AS128)=0,"",AT128-LOOKUP(2,1/(AG128:AS128&lt;&gt;""),AG128:AS128)))</t>
        </is>
      </c>
      <c r="BH128" s="41" t="inlineStr">
        <is>
          <t>IF(G128="","All_Provinces",IFERROR(VLOOKUP(G128,'07_Lookups'!$A$4:$B$20,2,FALSE),"All_Provinces"))</t>
        </is>
      </c>
      <c r="BI128" s="41" t="inlineStr">
        <is>
          <t>IF(H128="","All_Districts",IFERROR(VLOOKUP(H128,'07_Lookups'!$E$4:$F$42,2,FALSE),"All_Districts"))</t>
        </is>
      </c>
    </row>
    <row r="129" ht="18" customHeight="1">
      <c r="A129" s="32" t="inlineStr">
        <is>
          <t>IF(E129="","",ROW()-3)</t>
        </is>
      </c>
      <c r="B129" s="42" t="n"/>
      <c r="C129" s="42" t="n"/>
      <c r="D129" s="42" t="n"/>
      <c r="E129" s="42" t="n"/>
      <c r="F129" s="42" t="n"/>
      <c r="G129" s="42" t="n"/>
      <c r="H129" s="42" t="n"/>
      <c r="I129" s="42" t="n"/>
      <c r="J129" s="42" t="n"/>
      <c r="K129" s="42" t="n"/>
      <c r="L129" s="42" t="n"/>
      <c r="M129" s="42" t="n"/>
      <c r="N129" s="42" t="n"/>
      <c r="O129" s="42" t="n"/>
      <c r="P129" s="42" t="n"/>
      <c r="Q129" s="43" t="n"/>
      <c r="R129" s="35" t="inlineStr">
        <is>
          <t>IF(AO129="","",AO129)</t>
        </is>
      </c>
      <c r="S129" s="44" t="n"/>
      <c r="T129" s="45" t="n"/>
      <c r="U129" s="44" t="n"/>
      <c r="V129" s="35" t="inlineStr">
        <is>
          <t>IF(U129&lt;&gt;"",U129,IF(OR(R129="",T129=""),"",EDATE(R129,T129)))</t>
        </is>
      </c>
      <c r="W129" s="44" t="n"/>
      <c r="X129" s="45" t="n"/>
      <c r="Y129" s="42" t="n"/>
      <c r="Z129" s="42" t="n"/>
      <c r="AA129" s="32" t="inlineStr">
        <is>
          <t>IF(E129="","",IF(COUNT(AG129:AT129)=0,IF(Y129="","Not started",Y129),SUBSTITUTE(LOOKUP(2,1/(AG129:AT129&lt;&gt;""),$AG$3:$AT$3),"Date: ","")))</t>
        </is>
      </c>
      <c r="AB129" s="38" t="inlineStr">
        <is>
          <t>IF(OR(E129="",COUNT(AG129:AT129)=0),"",TODAY()-LOOKUP(2,1/(AG129:AT129&lt;&gt;""),AG129:AT129))</t>
        </is>
      </c>
      <c r="AC129" s="38" t="inlineStr">
        <is>
          <t>IF(OR(E129="",COUNT(AG129:AT129)&lt;2),"",LOOKUP(2,1/(AG129:AT129&lt;&gt;""),AG129:AT129)-MIN(AG129:AT129))</t>
        </is>
      </c>
      <c r="AD129" s="38" t="inlineStr">
        <is>
          <t>IF(OR(AB129="",AA129="Not started",AA129=""),"",IFERROR(AB129-IF(VLOOKUP(AA129,'04_Status_Pipeline'!$B$3:$E$20,4,FALSE)="",0,VLOOKUP(AA129,'04_Status_Pipeline'!$B$3:$E$20,4,FALSE)),""))</t>
        </is>
      </c>
      <c r="AE129" s="32" t="inlineStr">
        <is>
          <t>IF(E129="","",IF(OR(Y129="Cancelled",AA129="Cancelled"),"Cancelled",IF(OR(AA129="Completed / Handover",W129&lt;&gt;"",X129&gt;=100),"Completed — on track",IF(L129="Remaining",IF(S129="",IF(V129="","No planned date",IF(TODAY()&gt;V129,"Behind — past planned date",IF(V129-TODAY()&lt;=30,"At risk — close to off track","On track"))),IF(TODAY()&gt;S129,"Behind — award date passed",IF(S129-TODAY()&lt;=30,"At risk — close to off track","On track"))),IF(V129="","No planned date",IF(AND(TODAY()&gt;V129,OR(X129="",X129&lt;100)),"Behind — past end date",IF(AND(R129&lt;&gt;"",V129&lt;&gt;"",X129&lt;&gt;"",(X129&lt;100),((TODAY()-R129)/MAX(V129-R129,1)*100)-X129&gt;15),"Behind — progress lag",IF(AND(V129-TODAY()&lt;=30,V129-TODAY()&gt;=0,OR(X129="",X129&lt;90)),"At risk — close to off track","On track"))))))))</t>
        </is>
      </c>
      <c r="AF129" s="38" t="inlineStr">
        <is>
          <t>IF(OR(E129="",AA129="Completed / Handover",AA129="Cancelled"),"",IF(L129="Remaining",IF(S129&lt;&gt;"",S129-TODAY(),IF(V129="","",V129-TODAY())),IF(V129="","",V129-TODAY())))</t>
        </is>
      </c>
      <c r="AG129" s="44" t="n"/>
      <c r="AH129" s="44" t="n"/>
      <c r="AI129" s="44" t="n"/>
      <c r="AJ129" s="44" t="n"/>
      <c r="AK129" s="44" t="n"/>
      <c r="AL129" s="44" t="n"/>
      <c r="AM129" s="44" t="n"/>
      <c r="AN129" s="44" t="n"/>
      <c r="AO129" s="44" t="n"/>
      <c r="AP129" s="44" t="n"/>
      <c r="AQ129" s="44" t="n"/>
      <c r="AR129" s="40" t="n"/>
      <c r="AS129" s="40" t="n"/>
      <c r="AT129" s="40" t="n"/>
      <c r="AU129" s="38" t="inlineStr">
        <is>
          <t>IF(OR(E129="",AH129=""),"",IF(COUNT(AG129:AG129)=0,"",AH129-LOOKUP(2,1/(AG129:AG129&lt;&gt;""),AG129:AG129)))</t>
        </is>
      </c>
      <c r="AV129" s="38" t="inlineStr">
        <is>
          <t>IF(OR(E129="",AI129=""),"",IF(COUNT(AG129:AH129)=0,"",AI129-LOOKUP(2,1/(AG129:AH129&lt;&gt;""),AG129:AH129)))</t>
        </is>
      </c>
      <c r="AW129" s="38" t="inlineStr">
        <is>
          <t>IF(OR(E129="",AJ129=""),"",IF(COUNT(AG129:AI129)=0,"",AJ129-LOOKUP(2,1/(AG129:AI129&lt;&gt;""),AG129:AI129)))</t>
        </is>
      </c>
      <c r="AX129" s="38" t="inlineStr">
        <is>
          <t>IF(OR(E129="",AK129=""),"",IF(COUNT(AG129:AJ129)=0,"",AK129-LOOKUP(2,1/(AG129:AJ129&lt;&gt;""),AG129:AJ129)))</t>
        </is>
      </c>
      <c r="AY129" s="38" t="inlineStr">
        <is>
          <t>IF(OR(E129="",AL129=""),"",IF(COUNT(AG129:AK129)=0,"",AL129-LOOKUP(2,1/(AG129:AK129&lt;&gt;""),AG129:AK129)))</t>
        </is>
      </c>
      <c r="AZ129" s="38" t="inlineStr">
        <is>
          <t>IF(OR(E129="",AM129=""),"",IF(COUNT(AG129:AL129)=0,"",AM129-LOOKUP(2,1/(AG129:AL129&lt;&gt;""),AG129:AL129)))</t>
        </is>
      </c>
      <c r="BA129" s="38" t="inlineStr">
        <is>
          <t>IF(OR(E129="",AN129=""),"",IF(COUNT(AG129:AM129)=0,"",AN129-LOOKUP(2,1/(AG129:AM129&lt;&gt;""),AG129:AM129)))</t>
        </is>
      </c>
      <c r="BB129" s="38" t="inlineStr">
        <is>
          <t>IF(OR(E129="",AO129=""),"",IF(COUNT(AG129:AN129)=0,"",AO129-LOOKUP(2,1/(AG129:AN129&lt;&gt;""),AG129:AN129)))</t>
        </is>
      </c>
      <c r="BC129" s="38" t="inlineStr">
        <is>
          <t>IF(OR(E129="",AP129=""),"",IF(COUNT(AG129:AO129)=0,"",AP129-LOOKUP(2,1/(AG129:AO129&lt;&gt;""),AG129:AO129)))</t>
        </is>
      </c>
      <c r="BD129" s="38" t="inlineStr">
        <is>
          <t>IF(OR(E129="",AQ129=""),"",IF(COUNT(AG129:AP129)=0,"",AQ129-LOOKUP(2,1/(AG129:AP129&lt;&gt;""),AG129:AP129)))</t>
        </is>
      </c>
      <c r="BE129" s="38" t="inlineStr">
        <is>
          <t>IF(OR(E129="",AR129=""),"",IF(COUNT(AG129:AQ129)=0,"",AR129-LOOKUP(2,1/(AG129:AQ129&lt;&gt;""),AG129:AQ129)))</t>
        </is>
      </c>
      <c r="BF129" s="38" t="inlineStr">
        <is>
          <t>IF(OR(E129="",AS129=""),"",IF(COUNT(AG129:AR129)=0,"",AS129-LOOKUP(2,1/(AG129:AR129&lt;&gt;""),AG129:AR129)))</t>
        </is>
      </c>
      <c r="BG129" s="38" t="inlineStr">
        <is>
          <t>IF(OR(E129="",AT129=""),"",IF(COUNT(AG129:AS129)=0,"",AT129-LOOKUP(2,1/(AG129:AS129&lt;&gt;""),AG129:AS129)))</t>
        </is>
      </c>
      <c r="BH129" s="41" t="inlineStr">
        <is>
          <t>IF(G129="","All_Provinces",IFERROR(VLOOKUP(G129,'07_Lookups'!$A$4:$B$20,2,FALSE),"All_Provinces"))</t>
        </is>
      </c>
      <c r="BI129" s="41" t="inlineStr">
        <is>
          <t>IF(H129="","All_Districts",IFERROR(VLOOKUP(H129,'07_Lookups'!$E$4:$F$42,2,FALSE),"All_Districts"))</t>
        </is>
      </c>
    </row>
    <row r="130" ht="18" customHeight="1">
      <c r="A130" s="32" t="inlineStr">
        <is>
          <t>IF(E130="","",ROW()-3)</t>
        </is>
      </c>
      <c r="B130" s="33" t="n"/>
      <c r="C130" s="33" t="n"/>
      <c r="D130" s="33" t="n"/>
      <c r="E130" s="33" t="n"/>
      <c r="F130" s="33" t="n"/>
      <c r="G130" s="33" t="n"/>
      <c r="H130" s="33" t="n"/>
      <c r="I130" s="33" t="n"/>
      <c r="J130" s="33" t="n"/>
      <c r="K130" s="33" t="n"/>
      <c r="L130" s="33" t="n"/>
      <c r="M130" s="33" t="n"/>
      <c r="N130" s="33" t="n"/>
      <c r="O130" s="33" t="n"/>
      <c r="P130" s="33" t="n"/>
      <c r="Q130" s="34" t="n"/>
      <c r="R130" s="35" t="inlineStr">
        <is>
          <t>IF(AO130="","",AO130)</t>
        </is>
      </c>
      <c r="S130" s="36" t="n"/>
      <c r="T130" s="37" t="n"/>
      <c r="U130" s="36" t="n"/>
      <c r="V130" s="35" t="inlineStr">
        <is>
          <t>IF(U130&lt;&gt;"",U130,IF(OR(R130="",T130=""),"",EDATE(R130,T130)))</t>
        </is>
      </c>
      <c r="W130" s="36" t="n"/>
      <c r="X130" s="37" t="n"/>
      <c r="Y130" s="33" t="n"/>
      <c r="Z130" s="33" t="n"/>
      <c r="AA130" s="32" t="inlineStr">
        <is>
          <t>IF(E130="","",IF(COUNT(AG130:AT130)=0,IF(Y130="","Not started",Y130),SUBSTITUTE(LOOKUP(2,1/(AG130:AT130&lt;&gt;""),$AG$3:$AT$3),"Date: ","")))</t>
        </is>
      </c>
      <c r="AB130" s="38" t="inlineStr">
        <is>
          <t>IF(OR(E130="",COUNT(AG130:AT130)=0),"",TODAY()-LOOKUP(2,1/(AG130:AT130&lt;&gt;""),AG130:AT130))</t>
        </is>
      </c>
      <c r="AC130" s="38" t="inlineStr">
        <is>
          <t>IF(OR(E130="",COUNT(AG130:AT130)&lt;2),"",LOOKUP(2,1/(AG130:AT130&lt;&gt;""),AG130:AT130)-MIN(AG130:AT130))</t>
        </is>
      </c>
      <c r="AD130" s="38" t="inlineStr">
        <is>
          <t>IF(OR(AB130="",AA130="Not started",AA130=""),"",IFERROR(AB130-IF(VLOOKUP(AA130,'04_Status_Pipeline'!$B$3:$E$20,4,FALSE)="",0,VLOOKUP(AA130,'04_Status_Pipeline'!$B$3:$E$20,4,FALSE)),""))</t>
        </is>
      </c>
      <c r="AE130" s="32" t="inlineStr">
        <is>
          <t>IF(E130="","",IF(OR(Y130="Cancelled",AA130="Cancelled"),"Cancelled",IF(OR(AA130="Completed / Handover",W130&lt;&gt;"",X130&gt;=100),"Completed — on track",IF(L130="Remaining",IF(S130="",IF(V130="","No planned date",IF(TODAY()&gt;V130,"Behind — past planned date",IF(V130-TODAY()&lt;=30,"At risk — close to off track","On track"))),IF(TODAY()&gt;S130,"Behind — award date passed",IF(S130-TODAY()&lt;=30,"At risk — close to off track","On track"))),IF(V130="","No planned date",IF(AND(TODAY()&gt;V130,OR(X130="",X130&lt;100)),"Behind — past end date",IF(AND(R130&lt;&gt;"",V130&lt;&gt;"",X130&lt;&gt;"",(X130&lt;100),((TODAY()-R130)/MAX(V130-R130,1)*100)-X130&gt;15),"Behind — progress lag",IF(AND(V130-TODAY()&lt;=30,V130-TODAY()&gt;=0,OR(X130="",X130&lt;90)),"At risk — close to off track","On track"))))))))</t>
        </is>
      </c>
      <c r="AF130" s="38" t="inlineStr">
        <is>
          <t>IF(OR(E130="",AA130="Completed / Handover",AA130="Cancelled"),"",IF(L130="Remaining",IF(S130&lt;&gt;"",S130-TODAY(),IF(V130="","",V130-TODAY())),IF(V130="","",V130-TODAY())))</t>
        </is>
      </c>
      <c r="AG130" s="36" t="n"/>
      <c r="AH130" s="36" t="n"/>
      <c r="AI130" s="36" t="n"/>
      <c r="AJ130" s="36" t="n"/>
      <c r="AK130" s="36" t="n"/>
      <c r="AL130" s="36" t="n"/>
      <c r="AM130" s="36" t="n"/>
      <c r="AN130" s="36" t="n"/>
      <c r="AO130" s="36" t="n"/>
      <c r="AP130" s="36" t="n"/>
      <c r="AQ130" s="36" t="n"/>
      <c r="AR130" s="40" t="n"/>
      <c r="AS130" s="40" t="n"/>
      <c r="AT130" s="40" t="n"/>
      <c r="AU130" s="38" t="inlineStr">
        <is>
          <t>IF(OR(E130="",AH130=""),"",IF(COUNT(AG130:AG130)=0,"",AH130-LOOKUP(2,1/(AG130:AG130&lt;&gt;""),AG130:AG130)))</t>
        </is>
      </c>
      <c r="AV130" s="38" t="inlineStr">
        <is>
          <t>IF(OR(E130="",AI130=""),"",IF(COUNT(AG130:AH130)=0,"",AI130-LOOKUP(2,1/(AG130:AH130&lt;&gt;""),AG130:AH130)))</t>
        </is>
      </c>
      <c r="AW130" s="38" t="inlineStr">
        <is>
          <t>IF(OR(E130="",AJ130=""),"",IF(COUNT(AG130:AI130)=0,"",AJ130-LOOKUP(2,1/(AG130:AI130&lt;&gt;""),AG130:AI130)))</t>
        </is>
      </c>
      <c r="AX130" s="38" t="inlineStr">
        <is>
          <t>IF(OR(E130="",AK130=""),"",IF(COUNT(AG130:AJ130)=0,"",AK130-LOOKUP(2,1/(AG130:AJ130&lt;&gt;""),AG130:AJ130)))</t>
        </is>
      </c>
      <c r="AY130" s="38" t="inlineStr">
        <is>
          <t>IF(OR(E130="",AL130=""),"",IF(COUNT(AG130:AK130)=0,"",AL130-LOOKUP(2,1/(AG130:AK130&lt;&gt;""),AG130:AK130)))</t>
        </is>
      </c>
      <c r="AZ130" s="38" t="inlineStr">
        <is>
          <t>IF(OR(E130="",AM130=""),"",IF(COUNT(AG130:AL130)=0,"",AM130-LOOKUP(2,1/(AG130:AL130&lt;&gt;""),AG130:AL130)))</t>
        </is>
      </c>
      <c r="BA130" s="38" t="inlineStr">
        <is>
          <t>IF(OR(E130="",AN130=""),"",IF(COUNT(AG130:AM130)=0,"",AN130-LOOKUP(2,1/(AG130:AM130&lt;&gt;""),AG130:AM130)))</t>
        </is>
      </c>
      <c r="BB130" s="38" t="inlineStr">
        <is>
          <t>IF(OR(E130="",AO130=""),"",IF(COUNT(AG130:AN130)=0,"",AO130-LOOKUP(2,1/(AG130:AN130&lt;&gt;""),AG130:AN130)))</t>
        </is>
      </c>
      <c r="BC130" s="38" t="inlineStr">
        <is>
          <t>IF(OR(E130="",AP130=""),"",IF(COUNT(AG130:AO130)=0,"",AP130-LOOKUP(2,1/(AG130:AO130&lt;&gt;""),AG130:AO130)))</t>
        </is>
      </c>
      <c r="BD130" s="38" t="inlineStr">
        <is>
          <t>IF(OR(E130="",AQ130=""),"",IF(COUNT(AG130:AP130)=0,"",AQ130-LOOKUP(2,1/(AG130:AP130&lt;&gt;""),AG130:AP130)))</t>
        </is>
      </c>
      <c r="BE130" s="38" t="inlineStr">
        <is>
          <t>IF(OR(E130="",AR130=""),"",IF(COUNT(AG130:AQ130)=0,"",AR130-LOOKUP(2,1/(AG130:AQ130&lt;&gt;""),AG130:AQ130)))</t>
        </is>
      </c>
      <c r="BF130" s="38" t="inlineStr">
        <is>
          <t>IF(OR(E130="",AS130=""),"",IF(COUNT(AG130:AR130)=0,"",AS130-LOOKUP(2,1/(AG130:AR130&lt;&gt;""),AG130:AR130)))</t>
        </is>
      </c>
      <c r="BG130" s="38" t="inlineStr">
        <is>
          <t>IF(OR(E130="",AT130=""),"",IF(COUNT(AG130:AS130)=0,"",AT130-LOOKUP(2,1/(AG130:AS130&lt;&gt;""),AG130:AS130)))</t>
        </is>
      </c>
      <c r="BH130" s="41" t="inlineStr">
        <is>
          <t>IF(G130="","All_Provinces",IFERROR(VLOOKUP(G130,'07_Lookups'!$A$4:$B$20,2,FALSE),"All_Provinces"))</t>
        </is>
      </c>
      <c r="BI130" s="41" t="inlineStr">
        <is>
          <t>IF(H130="","All_Districts",IFERROR(VLOOKUP(H130,'07_Lookups'!$E$4:$F$42,2,FALSE),"All_Districts"))</t>
        </is>
      </c>
    </row>
    <row r="131" ht="18" customHeight="1">
      <c r="A131" s="32" t="inlineStr">
        <is>
          <t>IF(E131="","",ROW()-3)</t>
        </is>
      </c>
      <c r="B131" s="42" t="n"/>
      <c r="C131" s="42" t="n"/>
      <c r="D131" s="42" t="n"/>
      <c r="E131" s="42" t="n"/>
      <c r="F131" s="42" t="n"/>
      <c r="G131" s="42" t="n"/>
      <c r="H131" s="42" t="n"/>
      <c r="I131" s="42" t="n"/>
      <c r="J131" s="42" t="n"/>
      <c r="K131" s="42" t="n"/>
      <c r="L131" s="42" t="n"/>
      <c r="M131" s="42" t="n"/>
      <c r="N131" s="42" t="n"/>
      <c r="O131" s="42" t="n"/>
      <c r="P131" s="42" t="n"/>
      <c r="Q131" s="43" t="n"/>
      <c r="R131" s="35" t="inlineStr">
        <is>
          <t>IF(AO131="","",AO131)</t>
        </is>
      </c>
      <c r="S131" s="44" t="n"/>
      <c r="T131" s="45" t="n"/>
      <c r="U131" s="44" t="n"/>
      <c r="V131" s="35" t="inlineStr">
        <is>
          <t>IF(U131&lt;&gt;"",U131,IF(OR(R131="",T131=""),"",EDATE(R131,T131)))</t>
        </is>
      </c>
      <c r="W131" s="44" t="n"/>
      <c r="X131" s="45" t="n"/>
      <c r="Y131" s="42" t="n"/>
      <c r="Z131" s="42" t="n"/>
      <c r="AA131" s="32" t="inlineStr">
        <is>
          <t>IF(E131="","",IF(COUNT(AG131:AT131)=0,IF(Y131="","Not started",Y131),SUBSTITUTE(LOOKUP(2,1/(AG131:AT131&lt;&gt;""),$AG$3:$AT$3),"Date: ","")))</t>
        </is>
      </c>
      <c r="AB131" s="38" t="inlineStr">
        <is>
          <t>IF(OR(E131="",COUNT(AG131:AT131)=0),"",TODAY()-LOOKUP(2,1/(AG131:AT131&lt;&gt;""),AG131:AT131))</t>
        </is>
      </c>
      <c r="AC131" s="38" t="inlineStr">
        <is>
          <t>IF(OR(E131="",COUNT(AG131:AT131)&lt;2),"",LOOKUP(2,1/(AG131:AT131&lt;&gt;""),AG131:AT131)-MIN(AG131:AT131))</t>
        </is>
      </c>
      <c r="AD131" s="38" t="inlineStr">
        <is>
          <t>IF(OR(AB131="",AA131="Not started",AA131=""),"",IFERROR(AB131-IF(VLOOKUP(AA131,'04_Status_Pipeline'!$B$3:$E$20,4,FALSE)="",0,VLOOKUP(AA131,'04_Status_Pipeline'!$B$3:$E$20,4,FALSE)),""))</t>
        </is>
      </c>
      <c r="AE131" s="32" t="inlineStr">
        <is>
          <t>IF(E131="","",IF(OR(Y131="Cancelled",AA131="Cancelled"),"Cancelled",IF(OR(AA131="Completed / Handover",W131&lt;&gt;"",X131&gt;=100),"Completed — on track",IF(L131="Remaining",IF(S131="",IF(V131="","No planned date",IF(TODAY()&gt;V131,"Behind — past planned date",IF(V131-TODAY()&lt;=30,"At risk — close to off track","On track"))),IF(TODAY()&gt;S131,"Behind — award date passed",IF(S131-TODAY()&lt;=30,"At risk — close to off track","On track"))),IF(V131="","No planned date",IF(AND(TODAY()&gt;V131,OR(X131="",X131&lt;100)),"Behind — past end date",IF(AND(R131&lt;&gt;"",V131&lt;&gt;"",X131&lt;&gt;"",(X131&lt;100),((TODAY()-R131)/MAX(V131-R131,1)*100)-X131&gt;15),"Behind — progress lag",IF(AND(V131-TODAY()&lt;=30,V131-TODAY()&gt;=0,OR(X131="",X131&lt;90)),"At risk — close to off track","On track"))))))))</t>
        </is>
      </c>
      <c r="AF131" s="38" t="inlineStr">
        <is>
          <t>IF(OR(E131="",AA131="Completed / Handover",AA131="Cancelled"),"",IF(L131="Remaining",IF(S131&lt;&gt;"",S131-TODAY(),IF(V131="","",V131-TODAY())),IF(V131="","",V131-TODAY())))</t>
        </is>
      </c>
      <c r="AG131" s="44" t="n"/>
      <c r="AH131" s="44" t="n"/>
      <c r="AI131" s="44" t="n"/>
      <c r="AJ131" s="44" t="n"/>
      <c r="AK131" s="44" t="n"/>
      <c r="AL131" s="44" t="n"/>
      <c r="AM131" s="44" t="n"/>
      <c r="AN131" s="44" t="n"/>
      <c r="AO131" s="44" t="n"/>
      <c r="AP131" s="44" t="n"/>
      <c r="AQ131" s="44" t="n"/>
      <c r="AR131" s="40" t="n"/>
      <c r="AS131" s="40" t="n"/>
      <c r="AT131" s="40" t="n"/>
      <c r="AU131" s="38" t="inlineStr">
        <is>
          <t>IF(OR(E131="",AH131=""),"",IF(COUNT(AG131:AG131)=0,"",AH131-LOOKUP(2,1/(AG131:AG131&lt;&gt;""),AG131:AG131)))</t>
        </is>
      </c>
      <c r="AV131" s="38" t="inlineStr">
        <is>
          <t>IF(OR(E131="",AI131=""),"",IF(COUNT(AG131:AH131)=0,"",AI131-LOOKUP(2,1/(AG131:AH131&lt;&gt;""),AG131:AH131)))</t>
        </is>
      </c>
      <c r="AW131" s="38" t="inlineStr">
        <is>
          <t>IF(OR(E131="",AJ131=""),"",IF(COUNT(AG131:AI131)=0,"",AJ131-LOOKUP(2,1/(AG131:AI131&lt;&gt;""),AG131:AI131)))</t>
        </is>
      </c>
      <c r="AX131" s="38" t="inlineStr">
        <is>
          <t>IF(OR(E131="",AK131=""),"",IF(COUNT(AG131:AJ131)=0,"",AK131-LOOKUP(2,1/(AG131:AJ131&lt;&gt;""),AG131:AJ131)))</t>
        </is>
      </c>
      <c r="AY131" s="38" t="inlineStr">
        <is>
          <t>IF(OR(E131="",AL131=""),"",IF(COUNT(AG131:AK131)=0,"",AL131-LOOKUP(2,1/(AG131:AK131&lt;&gt;""),AG131:AK131)))</t>
        </is>
      </c>
      <c r="AZ131" s="38" t="inlineStr">
        <is>
          <t>IF(OR(E131="",AM131=""),"",IF(COUNT(AG131:AL131)=0,"",AM131-LOOKUP(2,1/(AG131:AL131&lt;&gt;""),AG131:AL131)))</t>
        </is>
      </c>
      <c r="BA131" s="38" t="inlineStr">
        <is>
          <t>IF(OR(E131="",AN131=""),"",IF(COUNT(AG131:AM131)=0,"",AN131-LOOKUP(2,1/(AG131:AM131&lt;&gt;""),AG131:AM131)))</t>
        </is>
      </c>
      <c r="BB131" s="38" t="inlineStr">
        <is>
          <t>IF(OR(E131="",AO131=""),"",IF(COUNT(AG131:AN131)=0,"",AO131-LOOKUP(2,1/(AG131:AN131&lt;&gt;""),AG131:AN131)))</t>
        </is>
      </c>
      <c r="BC131" s="38" t="inlineStr">
        <is>
          <t>IF(OR(E131="",AP131=""),"",IF(COUNT(AG131:AO131)=0,"",AP131-LOOKUP(2,1/(AG131:AO131&lt;&gt;""),AG131:AO131)))</t>
        </is>
      </c>
      <c r="BD131" s="38" t="inlineStr">
        <is>
          <t>IF(OR(E131="",AQ131=""),"",IF(COUNT(AG131:AP131)=0,"",AQ131-LOOKUP(2,1/(AG131:AP131&lt;&gt;""),AG131:AP131)))</t>
        </is>
      </c>
      <c r="BE131" s="38" t="inlineStr">
        <is>
          <t>IF(OR(E131="",AR131=""),"",IF(COUNT(AG131:AQ131)=0,"",AR131-LOOKUP(2,1/(AG131:AQ131&lt;&gt;""),AG131:AQ131)))</t>
        </is>
      </c>
      <c r="BF131" s="38" t="inlineStr">
        <is>
          <t>IF(OR(E131="",AS131=""),"",IF(COUNT(AG131:AR131)=0,"",AS131-LOOKUP(2,1/(AG131:AR131&lt;&gt;""),AG131:AR131)))</t>
        </is>
      </c>
      <c r="BG131" s="38" t="inlineStr">
        <is>
          <t>IF(OR(E131="",AT131=""),"",IF(COUNT(AG131:AS131)=0,"",AT131-LOOKUP(2,1/(AG131:AS131&lt;&gt;""),AG131:AS131)))</t>
        </is>
      </c>
      <c r="BH131" s="41" t="inlineStr">
        <is>
          <t>IF(G131="","All_Provinces",IFERROR(VLOOKUP(G131,'07_Lookups'!$A$4:$B$20,2,FALSE),"All_Provinces"))</t>
        </is>
      </c>
      <c r="BI131" s="41" t="inlineStr">
        <is>
          <t>IF(H131="","All_Districts",IFERROR(VLOOKUP(H131,'07_Lookups'!$E$4:$F$42,2,FALSE),"All_Districts"))</t>
        </is>
      </c>
    </row>
    <row r="132" ht="18" customHeight="1">
      <c r="A132" s="32" t="inlineStr">
        <is>
          <t>IF(E132="","",ROW()-3)</t>
        </is>
      </c>
      <c r="B132" s="33" t="n"/>
      <c r="C132" s="33" t="n"/>
      <c r="D132" s="33" t="n"/>
      <c r="E132" s="33" t="n"/>
      <c r="F132" s="33" t="n"/>
      <c r="G132" s="33" t="n"/>
      <c r="H132" s="33" t="n"/>
      <c r="I132" s="33" t="n"/>
      <c r="J132" s="33" t="n"/>
      <c r="K132" s="33" t="n"/>
      <c r="L132" s="33" t="n"/>
      <c r="M132" s="33" t="n"/>
      <c r="N132" s="33" t="n"/>
      <c r="O132" s="33" t="n"/>
      <c r="P132" s="33" t="n"/>
      <c r="Q132" s="34" t="n"/>
      <c r="R132" s="35" t="inlineStr">
        <is>
          <t>IF(AO132="","",AO132)</t>
        </is>
      </c>
      <c r="S132" s="36" t="n"/>
      <c r="T132" s="37" t="n"/>
      <c r="U132" s="36" t="n"/>
      <c r="V132" s="35" t="inlineStr">
        <is>
          <t>IF(U132&lt;&gt;"",U132,IF(OR(R132="",T132=""),"",EDATE(R132,T132)))</t>
        </is>
      </c>
      <c r="W132" s="36" t="n"/>
      <c r="X132" s="37" t="n"/>
      <c r="Y132" s="33" t="n"/>
      <c r="Z132" s="33" t="n"/>
      <c r="AA132" s="32" t="inlineStr">
        <is>
          <t>IF(E132="","",IF(COUNT(AG132:AT132)=0,IF(Y132="","Not started",Y132),SUBSTITUTE(LOOKUP(2,1/(AG132:AT132&lt;&gt;""),$AG$3:$AT$3),"Date: ","")))</t>
        </is>
      </c>
      <c r="AB132" s="38" t="inlineStr">
        <is>
          <t>IF(OR(E132="",COUNT(AG132:AT132)=0),"",TODAY()-LOOKUP(2,1/(AG132:AT132&lt;&gt;""),AG132:AT132))</t>
        </is>
      </c>
      <c r="AC132" s="38" t="inlineStr">
        <is>
          <t>IF(OR(E132="",COUNT(AG132:AT132)&lt;2),"",LOOKUP(2,1/(AG132:AT132&lt;&gt;""),AG132:AT132)-MIN(AG132:AT132))</t>
        </is>
      </c>
      <c r="AD132" s="38" t="inlineStr">
        <is>
          <t>IF(OR(AB132="",AA132="Not started",AA132=""),"",IFERROR(AB132-IF(VLOOKUP(AA132,'04_Status_Pipeline'!$B$3:$E$20,4,FALSE)="",0,VLOOKUP(AA132,'04_Status_Pipeline'!$B$3:$E$20,4,FALSE)),""))</t>
        </is>
      </c>
      <c r="AE132" s="32" t="inlineStr">
        <is>
          <t>IF(E132="","",IF(OR(Y132="Cancelled",AA132="Cancelled"),"Cancelled",IF(OR(AA132="Completed / Handover",W132&lt;&gt;"",X132&gt;=100),"Completed — on track",IF(L132="Remaining",IF(S132="",IF(V132="","No planned date",IF(TODAY()&gt;V132,"Behind — past planned date",IF(V132-TODAY()&lt;=30,"At risk — close to off track","On track"))),IF(TODAY()&gt;S132,"Behind — award date passed",IF(S132-TODAY()&lt;=30,"At risk — close to off track","On track"))),IF(V132="","No planned date",IF(AND(TODAY()&gt;V132,OR(X132="",X132&lt;100)),"Behind — past end date",IF(AND(R132&lt;&gt;"",V132&lt;&gt;"",X132&lt;&gt;"",(X132&lt;100),((TODAY()-R132)/MAX(V132-R132,1)*100)-X132&gt;15),"Behind — progress lag",IF(AND(V132-TODAY()&lt;=30,V132-TODAY()&gt;=0,OR(X132="",X132&lt;90)),"At risk — close to off track","On track"))))))))</t>
        </is>
      </c>
      <c r="AF132" s="38" t="inlineStr">
        <is>
          <t>IF(OR(E132="",AA132="Completed / Handover",AA132="Cancelled"),"",IF(L132="Remaining",IF(S132&lt;&gt;"",S132-TODAY(),IF(V132="","",V132-TODAY())),IF(V132="","",V132-TODAY())))</t>
        </is>
      </c>
      <c r="AG132" s="36" t="n"/>
      <c r="AH132" s="36" t="n"/>
      <c r="AI132" s="36" t="n"/>
      <c r="AJ132" s="36" t="n"/>
      <c r="AK132" s="36" t="n"/>
      <c r="AL132" s="36" t="n"/>
      <c r="AM132" s="36" t="n"/>
      <c r="AN132" s="36" t="n"/>
      <c r="AO132" s="36" t="n"/>
      <c r="AP132" s="36" t="n"/>
      <c r="AQ132" s="36" t="n"/>
      <c r="AR132" s="40" t="n"/>
      <c r="AS132" s="40" t="n"/>
      <c r="AT132" s="40" t="n"/>
      <c r="AU132" s="38" t="inlineStr">
        <is>
          <t>IF(OR(E132="",AH132=""),"",IF(COUNT(AG132:AG132)=0,"",AH132-LOOKUP(2,1/(AG132:AG132&lt;&gt;""),AG132:AG132)))</t>
        </is>
      </c>
      <c r="AV132" s="38" t="inlineStr">
        <is>
          <t>IF(OR(E132="",AI132=""),"",IF(COUNT(AG132:AH132)=0,"",AI132-LOOKUP(2,1/(AG132:AH132&lt;&gt;""),AG132:AH132)))</t>
        </is>
      </c>
      <c r="AW132" s="38" t="inlineStr">
        <is>
          <t>IF(OR(E132="",AJ132=""),"",IF(COUNT(AG132:AI132)=0,"",AJ132-LOOKUP(2,1/(AG132:AI132&lt;&gt;""),AG132:AI132)))</t>
        </is>
      </c>
      <c r="AX132" s="38" t="inlineStr">
        <is>
          <t>IF(OR(E132="",AK132=""),"",IF(COUNT(AG132:AJ132)=0,"",AK132-LOOKUP(2,1/(AG132:AJ132&lt;&gt;""),AG132:AJ132)))</t>
        </is>
      </c>
      <c r="AY132" s="38" t="inlineStr">
        <is>
          <t>IF(OR(E132="",AL132=""),"",IF(COUNT(AG132:AK132)=0,"",AL132-LOOKUP(2,1/(AG132:AK132&lt;&gt;""),AG132:AK132)))</t>
        </is>
      </c>
      <c r="AZ132" s="38" t="inlineStr">
        <is>
          <t>IF(OR(E132="",AM132=""),"",IF(COUNT(AG132:AL132)=0,"",AM132-LOOKUP(2,1/(AG132:AL132&lt;&gt;""),AG132:AL132)))</t>
        </is>
      </c>
      <c r="BA132" s="38" t="inlineStr">
        <is>
          <t>IF(OR(E132="",AN132=""),"",IF(COUNT(AG132:AM132)=0,"",AN132-LOOKUP(2,1/(AG132:AM132&lt;&gt;""),AG132:AM132)))</t>
        </is>
      </c>
      <c r="BB132" s="38" t="inlineStr">
        <is>
          <t>IF(OR(E132="",AO132=""),"",IF(COUNT(AG132:AN132)=0,"",AO132-LOOKUP(2,1/(AG132:AN132&lt;&gt;""),AG132:AN132)))</t>
        </is>
      </c>
      <c r="BC132" s="38" t="inlineStr">
        <is>
          <t>IF(OR(E132="",AP132=""),"",IF(COUNT(AG132:AO132)=0,"",AP132-LOOKUP(2,1/(AG132:AO132&lt;&gt;""),AG132:AO132)))</t>
        </is>
      </c>
      <c r="BD132" s="38" t="inlineStr">
        <is>
          <t>IF(OR(E132="",AQ132=""),"",IF(COUNT(AG132:AP132)=0,"",AQ132-LOOKUP(2,1/(AG132:AP132&lt;&gt;""),AG132:AP132)))</t>
        </is>
      </c>
      <c r="BE132" s="38" t="inlineStr">
        <is>
          <t>IF(OR(E132="",AR132=""),"",IF(COUNT(AG132:AQ132)=0,"",AR132-LOOKUP(2,1/(AG132:AQ132&lt;&gt;""),AG132:AQ132)))</t>
        </is>
      </c>
      <c r="BF132" s="38" t="inlineStr">
        <is>
          <t>IF(OR(E132="",AS132=""),"",IF(COUNT(AG132:AR132)=0,"",AS132-LOOKUP(2,1/(AG132:AR132&lt;&gt;""),AG132:AR132)))</t>
        </is>
      </c>
      <c r="BG132" s="38" t="inlineStr">
        <is>
          <t>IF(OR(E132="",AT132=""),"",IF(COUNT(AG132:AS132)=0,"",AT132-LOOKUP(2,1/(AG132:AS132&lt;&gt;""),AG132:AS132)))</t>
        </is>
      </c>
      <c r="BH132" s="41" t="inlineStr">
        <is>
          <t>IF(G132="","All_Provinces",IFERROR(VLOOKUP(G132,'07_Lookups'!$A$4:$B$20,2,FALSE),"All_Provinces"))</t>
        </is>
      </c>
      <c r="BI132" s="41" t="inlineStr">
        <is>
          <t>IF(H132="","All_Districts",IFERROR(VLOOKUP(H132,'07_Lookups'!$E$4:$F$42,2,FALSE),"All_Districts"))</t>
        </is>
      </c>
    </row>
    <row r="133" ht="18" customHeight="1">
      <c r="A133" s="32" t="inlineStr">
        <is>
          <t>IF(E133="","",ROW()-3)</t>
        </is>
      </c>
      <c r="B133" s="42" t="n"/>
      <c r="C133" s="42" t="n"/>
      <c r="D133" s="42" t="n"/>
      <c r="E133" s="42" t="n"/>
      <c r="F133" s="42" t="n"/>
      <c r="G133" s="42" t="n"/>
      <c r="H133" s="42" t="n"/>
      <c r="I133" s="42" t="n"/>
      <c r="J133" s="42" t="n"/>
      <c r="K133" s="42" t="n"/>
      <c r="L133" s="42" t="n"/>
      <c r="M133" s="42" t="n"/>
      <c r="N133" s="42" t="n"/>
      <c r="O133" s="42" t="n"/>
      <c r="P133" s="42" t="n"/>
      <c r="Q133" s="43" t="n"/>
      <c r="R133" s="35" t="inlineStr">
        <is>
          <t>IF(AO133="","",AO133)</t>
        </is>
      </c>
      <c r="S133" s="44" t="n"/>
      <c r="T133" s="45" t="n"/>
      <c r="U133" s="44" t="n"/>
      <c r="V133" s="35" t="inlineStr">
        <is>
          <t>IF(U133&lt;&gt;"",U133,IF(OR(R133="",T133=""),"",EDATE(R133,T133)))</t>
        </is>
      </c>
      <c r="W133" s="44" t="n"/>
      <c r="X133" s="45" t="n"/>
      <c r="Y133" s="42" t="n"/>
      <c r="Z133" s="42" t="n"/>
      <c r="AA133" s="32" t="inlineStr">
        <is>
          <t>IF(E133="","",IF(COUNT(AG133:AT133)=0,IF(Y133="","Not started",Y133),SUBSTITUTE(LOOKUP(2,1/(AG133:AT133&lt;&gt;""),$AG$3:$AT$3),"Date: ","")))</t>
        </is>
      </c>
      <c r="AB133" s="38" t="inlineStr">
        <is>
          <t>IF(OR(E133="",COUNT(AG133:AT133)=0),"",TODAY()-LOOKUP(2,1/(AG133:AT133&lt;&gt;""),AG133:AT133))</t>
        </is>
      </c>
      <c r="AC133" s="38" t="inlineStr">
        <is>
          <t>IF(OR(E133="",COUNT(AG133:AT133)&lt;2),"",LOOKUP(2,1/(AG133:AT133&lt;&gt;""),AG133:AT133)-MIN(AG133:AT133))</t>
        </is>
      </c>
      <c r="AD133" s="38" t="inlineStr">
        <is>
          <t>IF(OR(AB133="",AA133="Not started",AA133=""),"",IFERROR(AB133-IF(VLOOKUP(AA133,'04_Status_Pipeline'!$B$3:$E$20,4,FALSE)="",0,VLOOKUP(AA133,'04_Status_Pipeline'!$B$3:$E$20,4,FALSE)),""))</t>
        </is>
      </c>
      <c r="AE133" s="32" t="inlineStr">
        <is>
          <t>IF(E133="","",IF(OR(Y133="Cancelled",AA133="Cancelled"),"Cancelled",IF(OR(AA133="Completed / Handover",W133&lt;&gt;"",X133&gt;=100),"Completed — on track",IF(L133="Remaining",IF(S133="",IF(V133="","No planned date",IF(TODAY()&gt;V133,"Behind — past planned date",IF(V133-TODAY()&lt;=30,"At risk — close to off track","On track"))),IF(TODAY()&gt;S133,"Behind — award date passed",IF(S133-TODAY()&lt;=30,"At risk — close to off track","On track"))),IF(V133="","No planned date",IF(AND(TODAY()&gt;V133,OR(X133="",X133&lt;100)),"Behind — past end date",IF(AND(R133&lt;&gt;"",V133&lt;&gt;"",X133&lt;&gt;"",(X133&lt;100),((TODAY()-R133)/MAX(V133-R133,1)*100)-X133&gt;15),"Behind — progress lag",IF(AND(V133-TODAY()&lt;=30,V133-TODAY()&gt;=0,OR(X133="",X133&lt;90)),"At risk — close to off track","On track"))))))))</t>
        </is>
      </c>
      <c r="AF133" s="38" t="inlineStr">
        <is>
          <t>IF(OR(E133="",AA133="Completed / Handover",AA133="Cancelled"),"",IF(L133="Remaining",IF(S133&lt;&gt;"",S133-TODAY(),IF(V133="","",V133-TODAY())),IF(V133="","",V133-TODAY())))</t>
        </is>
      </c>
      <c r="AG133" s="44" t="n"/>
      <c r="AH133" s="44" t="n"/>
      <c r="AI133" s="44" t="n"/>
      <c r="AJ133" s="44" t="n"/>
      <c r="AK133" s="44" t="n"/>
      <c r="AL133" s="44" t="n"/>
      <c r="AM133" s="44" t="n"/>
      <c r="AN133" s="44" t="n"/>
      <c r="AO133" s="44" t="n"/>
      <c r="AP133" s="44" t="n"/>
      <c r="AQ133" s="44" t="n"/>
      <c r="AR133" s="40" t="n"/>
      <c r="AS133" s="40" t="n"/>
      <c r="AT133" s="40" t="n"/>
      <c r="AU133" s="38" t="inlineStr">
        <is>
          <t>IF(OR(E133="",AH133=""),"",IF(COUNT(AG133:AG133)=0,"",AH133-LOOKUP(2,1/(AG133:AG133&lt;&gt;""),AG133:AG133)))</t>
        </is>
      </c>
      <c r="AV133" s="38" t="inlineStr">
        <is>
          <t>IF(OR(E133="",AI133=""),"",IF(COUNT(AG133:AH133)=0,"",AI133-LOOKUP(2,1/(AG133:AH133&lt;&gt;""),AG133:AH133)))</t>
        </is>
      </c>
      <c r="AW133" s="38" t="inlineStr">
        <is>
          <t>IF(OR(E133="",AJ133=""),"",IF(COUNT(AG133:AI133)=0,"",AJ133-LOOKUP(2,1/(AG133:AI133&lt;&gt;""),AG133:AI133)))</t>
        </is>
      </c>
      <c r="AX133" s="38" t="inlineStr">
        <is>
          <t>IF(OR(E133="",AK133=""),"",IF(COUNT(AG133:AJ133)=0,"",AK133-LOOKUP(2,1/(AG133:AJ133&lt;&gt;""),AG133:AJ133)))</t>
        </is>
      </c>
      <c r="AY133" s="38" t="inlineStr">
        <is>
          <t>IF(OR(E133="",AL133=""),"",IF(COUNT(AG133:AK133)=0,"",AL133-LOOKUP(2,1/(AG133:AK133&lt;&gt;""),AG133:AK133)))</t>
        </is>
      </c>
      <c r="AZ133" s="38" t="inlineStr">
        <is>
          <t>IF(OR(E133="",AM133=""),"",IF(COUNT(AG133:AL133)=0,"",AM133-LOOKUP(2,1/(AG133:AL133&lt;&gt;""),AG133:AL133)))</t>
        </is>
      </c>
      <c r="BA133" s="38" t="inlineStr">
        <is>
          <t>IF(OR(E133="",AN133=""),"",IF(COUNT(AG133:AM133)=0,"",AN133-LOOKUP(2,1/(AG133:AM133&lt;&gt;""),AG133:AM133)))</t>
        </is>
      </c>
      <c r="BB133" s="38" t="inlineStr">
        <is>
          <t>IF(OR(E133="",AO133=""),"",IF(COUNT(AG133:AN133)=0,"",AO133-LOOKUP(2,1/(AG133:AN133&lt;&gt;""),AG133:AN133)))</t>
        </is>
      </c>
      <c r="BC133" s="38" t="inlineStr">
        <is>
          <t>IF(OR(E133="",AP133=""),"",IF(COUNT(AG133:AO133)=0,"",AP133-LOOKUP(2,1/(AG133:AO133&lt;&gt;""),AG133:AO133)))</t>
        </is>
      </c>
      <c r="BD133" s="38" t="inlineStr">
        <is>
          <t>IF(OR(E133="",AQ133=""),"",IF(COUNT(AG133:AP133)=0,"",AQ133-LOOKUP(2,1/(AG133:AP133&lt;&gt;""),AG133:AP133)))</t>
        </is>
      </c>
      <c r="BE133" s="38" t="inlineStr">
        <is>
          <t>IF(OR(E133="",AR133=""),"",IF(COUNT(AG133:AQ133)=0,"",AR133-LOOKUP(2,1/(AG133:AQ133&lt;&gt;""),AG133:AQ133)))</t>
        </is>
      </c>
      <c r="BF133" s="38" t="inlineStr">
        <is>
          <t>IF(OR(E133="",AS133=""),"",IF(COUNT(AG133:AR133)=0,"",AS133-LOOKUP(2,1/(AG133:AR133&lt;&gt;""),AG133:AR133)))</t>
        </is>
      </c>
      <c r="BG133" s="38" t="inlineStr">
        <is>
          <t>IF(OR(E133="",AT133=""),"",IF(COUNT(AG133:AS133)=0,"",AT133-LOOKUP(2,1/(AG133:AS133&lt;&gt;""),AG133:AS133)))</t>
        </is>
      </c>
      <c r="BH133" s="41" t="inlineStr">
        <is>
          <t>IF(G133="","All_Provinces",IFERROR(VLOOKUP(G133,'07_Lookups'!$A$4:$B$20,2,FALSE),"All_Provinces"))</t>
        </is>
      </c>
      <c r="BI133" s="41" t="inlineStr">
        <is>
          <t>IF(H133="","All_Districts",IFERROR(VLOOKUP(H133,'07_Lookups'!$E$4:$F$42,2,FALSE),"All_Districts"))</t>
        </is>
      </c>
    </row>
    <row r="134" ht="18" customHeight="1">
      <c r="A134" s="32" t="inlineStr">
        <is>
          <t>IF(E134="","",ROW()-3)</t>
        </is>
      </c>
      <c r="B134" s="33" t="n"/>
      <c r="C134" s="33" t="n"/>
      <c r="D134" s="33" t="n"/>
      <c r="E134" s="33" t="n"/>
      <c r="F134" s="33" t="n"/>
      <c r="G134" s="33" t="n"/>
      <c r="H134" s="33" t="n"/>
      <c r="I134" s="33" t="n"/>
      <c r="J134" s="33" t="n"/>
      <c r="K134" s="33" t="n"/>
      <c r="L134" s="33" t="n"/>
      <c r="M134" s="33" t="n"/>
      <c r="N134" s="33" t="n"/>
      <c r="O134" s="33" t="n"/>
      <c r="P134" s="33" t="n"/>
      <c r="Q134" s="34" t="n"/>
      <c r="R134" s="35" t="inlineStr">
        <is>
          <t>IF(AO134="","",AO134)</t>
        </is>
      </c>
      <c r="S134" s="36" t="n"/>
      <c r="T134" s="37" t="n"/>
      <c r="U134" s="36" t="n"/>
      <c r="V134" s="35" t="inlineStr">
        <is>
          <t>IF(U134&lt;&gt;"",U134,IF(OR(R134="",T134=""),"",EDATE(R134,T134)))</t>
        </is>
      </c>
      <c r="W134" s="36" t="n"/>
      <c r="X134" s="37" t="n"/>
      <c r="Y134" s="33" t="n"/>
      <c r="Z134" s="33" t="n"/>
      <c r="AA134" s="32" t="inlineStr">
        <is>
          <t>IF(E134="","",IF(COUNT(AG134:AT134)=0,IF(Y134="","Not started",Y134),SUBSTITUTE(LOOKUP(2,1/(AG134:AT134&lt;&gt;""),$AG$3:$AT$3),"Date: ","")))</t>
        </is>
      </c>
      <c r="AB134" s="38" t="inlineStr">
        <is>
          <t>IF(OR(E134="",COUNT(AG134:AT134)=0),"",TODAY()-LOOKUP(2,1/(AG134:AT134&lt;&gt;""),AG134:AT134))</t>
        </is>
      </c>
      <c r="AC134" s="38" t="inlineStr">
        <is>
          <t>IF(OR(E134="",COUNT(AG134:AT134)&lt;2),"",LOOKUP(2,1/(AG134:AT134&lt;&gt;""),AG134:AT134)-MIN(AG134:AT134))</t>
        </is>
      </c>
      <c r="AD134" s="38" t="inlineStr">
        <is>
          <t>IF(OR(AB134="",AA134="Not started",AA134=""),"",IFERROR(AB134-IF(VLOOKUP(AA134,'04_Status_Pipeline'!$B$3:$E$20,4,FALSE)="",0,VLOOKUP(AA134,'04_Status_Pipeline'!$B$3:$E$20,4,FALSE)),""))</t>
        </is>
      </c>
      <c r="AE134" s="32" t="inlineStr">
        <is>
          <t>IF(E134="","",IF(OR(Y134="Cancelled",AA134="Cancelled"),"Cancelled",IF(OR(AA134="Completed / Handover",W134&lt;&gt;"",X134&gt;=100),"Completed — on track",IF(L134="Remaining",IF(S134="",IF(V134="","No planned date",IF(TODAY()&gt;V134,"Behind — past planned date",IF(V134-TODAY()&lt;=30,"At risk — close to off track","On track"))),IF(TODAY()&gt;S134,"Behind — award date passed",IF(S134-TODAY()&lt;=30,"At risk — close to off track","On track"))),IF(V134="","No planned date",IF(AND(TODAY()&gt;V134,OR(X134="",X134&lt;100)),"Behind — past end date",IF(AND(R134&lt;&gt;"",V134&lt;&gt;"",X134&lt;&gt;"",(X134&lt;100),((TODAY()-R134)/MAX(V134-R134,1)*100)-X134&gt;15),"Behind — progress lag",IF(AND(V134-TODAY()&lt;=30,V134-TODAY()&gt;=0,OR(X134="",X134&lt;90)),"At risk — close to off track","On track"))))))))</t>
        </is>
      </c>
      <c r="AF134" s="38" t="inlineStr">
        <is>
          <t>IF(OR(E134="",AA134="Completed / Handover",AA134="Cancelled"),"",IF(L134="Remaining",IF(S134&lt;&gt;"",S134-TODAY(),IF(V134="","",V134-TODAY())),IF(V134="","",V134-TODAY())))</t>
        </is>
      </c>
      <c r="AG134" s="36" t="n"/>
      <c r="AH134" s="36" t="n"/>
      <c r="AI134" s="36" t="n"/>
      <c r="AJ134" s="36" t="n"/>
      <c r="AK134" s="36" t="n"/>
      <c r="AL134" s="36" t="n"/>
      <c r="AM134" s="36" t="n"/>
      <c r="AN134" s="36" t="n"/>
      <c r="AO134" s="36" t="n"/>
      <c r="AP134" s="36" t="n"/>
      <c r="AQ134" s="36" t="n"/>
      <c r="AR134" s="40" t="n"/>
      <c r="AS134" s="40" t="n"/>
      <c r="AT134" s="40" t="n"/>
      <c r="AU134" s="38" t="inlineStr">
        <is>
          <t>IF(OR(E134="",AH134=""),"",IF(COUNT(AG134:AG134)=0,"",AH134-LOOKUP(2,1/(AG134:AG134&lt;&gt;""),AG134:AG134)))</t>
        </is>
      </c>
      <c r="AV134" s="38" t="inlineStr">
        <is>
          <t>IF(OR(E134="",AI134=""),"",IF(COUNT(AG134:AH134)=0,"",AI134-LOOKUP(2,1/(AG134:AH134&lt;&gt;""),AG134:AH134)))</t>
        </is>
      </c>
      <c r="AW134" s="38" t="inlineStr">
        <is>
          <t>IF(OR(E134="",AJ134=""),"",IF(COUNT(AG134:AI134)=0,"",AJ134-LOOKUP(2,1/(AG134:AI134&lt;&gt;""),AG134:AI134)))</t>
        </is>
      </c>
      <c r="AX134" s="38" t="inlineStr">
        <is>
          <t>IF(OR(E134="",AK134=""),"",IF(COUNT(AG134:AJ134)=0,"",AK134-LOOKUP(2,1/(AG134:AJ134&lt;&gt;""),AG134:AJ134)))</t>
        </is>
      </c>
      <c r="AY134" s="38" t="inlineStr">
        <is>
          <t>IF(OR(E134="",AL134=""),"",IF(COUNT(AG134:AK134)=0,"",AL134-LOOKUP(2,1/(AG134:AK134&lt;&gt;""),AG134:AK134)))</t>
        </is>
      </c>
      <c r="AZ134" s="38" t="inlineStr">
        <is>
          <t>IF(OR(E134="",AM134=""),"",IF(COUNT(AG134:AL134)=0,"",AM134-LOOKUP(2,1/(AG134:AL134&lt;&gt;""),AG134:AL134)))</t>
        </is>
      </c>
      <c r="BA134" s="38" t="inlineStr">
        <is>
          <t>IF(OR(E134="",AN134=""),"",IF(COUNT(AG134:AM134)=0,"",AN134-LOOKUP(2,1/(AG134:AM134&lt;&gt;""),AG134:AM134)))</t>
        </is>
      </c>
      <c r="BB134" s="38" t="inlineStr">
        <is>
          <t>IF(OR(E134="",AO134=""),"",IF(COUNT(AG134:AN134)=0,"",AO134-LOOKUP(2,1/(AG134:AN134&lt;&gt;""),AG134:AN134)))</t>
        </is>
      </c>
      <c r="BC134" s="38" t="inlineStr">
        <is>
          <t>IF(OR(E134="",AP134=""),"",IF(COUNT(AG134:AO134)=0,"",AP134-LOOKUP(2,1/(AG134:AO134&lt;&gt;""),AG134:AO134)))</t>
        </is>
      </c>
      <c r="BD134" s="38" t="inlineStr">
        <is>
          <t>IF(OR(E134="",AQ134=""),"",IF(COUNT(AG134:AP134)=0,"",AQ134-LOOKUP(2,1/(AG134:AP134&lt;&gt;""),AG134:AP134)))</t>
        </is>
      </c>
      <c r="BE134" s="38" t="inlineStr">
        <is>
          <t>IF(OR(E134="",AR134=""),"",IF(COUNT(AG134:AQ134)=0,"",AR134-LOOKUP(2,1/(AG134:AQ134&lt;&gt;""),AG134:AQ134)))</t>
        </is>
      </c>
      <c r="BF134" s="38" t="inlineStr">
        <is>
          <t>IF(OR(E134="",AS134=""),"",IF(COUNT(AG134:AR134)=0,"",AS134-LOOKUP(2,1/(AG134:AR134&lt;&gt;""),AG134:AR134)))</t>
        </is>
      </c>
      <c r="BG134" s="38" t="inlineStr">
        <is>
          <t>IF(OR(E134="",AT134=""),"",IF(COUNT(AG134:AS134)=0,"",AT134-LOOKUP(2,1/(AG134:AS134&lt;&gt;""),AG134:AS134)))</t>
        </is>
      </c>
      <c r="BH134" s="41" t="inlineStr">
        <is>
          <t>IF(G134="","All_Provinces",IFERROR(VLOOKUP(G134,'07_Lookups'!$A$4:$B$20,2,FALSE),"All_Provinces"))</t>
        </is>
      </c>
      <c r="BI134" s="41" t="inlineStr">
        <is>
          <t>IF(H134="","All_Districts",IFERROR(VLOOKUP(H134,'07_Lookups'!$E$4:$F$42,2,FALSE),"All_Districts"))</t>
        </is>
      </c>
    </row>
    <row r="135" ht="18" customHeight="1">
      <c r="A135" s="32" t="inlineStr">
        <is>
          <t>IF(E135="","",ROW()-3)</t>
        </is>
      </c>
      <c r="B135" s="42" t="n"/>
      <c r="C135" s="42" t="n"/>
      <c r="D135" s="42" t="n"/>
      <c r="E135" s="42" t="n"/>
      <c r="F135" s="42" t="n"/>
      <c r="G135" s="42" t="n"/>
      <c r="H135" s="42" t="n"/>
      <c r="I135" s="42" t="n"/>
      <c r="J135" s="42" t="n"/>
      <c r="K135" s="42" t="n"/>
      <c r="L135" s="42" t="n"/>
      <c r="M135" s="42" t="n"/>
      <c r="N135" s="42" t="n"/>
      <c r="O135" s="42" t="n"/>
      <c r="P135" s="42" t="n"/>
      <c r="Q135" s="43" t="n"/>
      <c r="R135" s="35" t="inlineStr">
        <is>
          <t>IF(AO135="","",AO135)</t>
        </is>
      </c>
      <c r="S135" s="44" t="n"/>
      <c r="T135" s="45" t="n"/>
      <c r="U135" s="44" t="n"/>
      <c r="V135" s="35" t="inlineStr">
        <is>
          <t>IF(U135&lt;&gt;"",U135,IF(OR(R135="",T135=""),"",EDATE(R135,T135)))</t>
        </is>
      </c>
      <c r="W135" s="44" t="n"/>
      <c r="X135" s="45" t="n"/>
      <c r="Y135" s="42" t="n"/>
      <c r="Z135" s="42" t="n"/>
      <c r="AA135" s="32" t="inlineStr">
        <is>
          <t>IF(E135="","",IF(COUNT(AG135:AT135)=0,IF(Y135="","Not started",Y135),SUBSTITUTE(LOOKUP(2,1/(AG135:AT135&lt;&gt;""),$AG$3:$AT$3),"Date: ","")))</t>
        </is>
      </c>
      <c r="AB135" s="38" t="inlineStr">
        <is>
          <t>IF(OR(E135="",COUNT(AG135:AT135)=0),"",TODAY()-LOOKUP(2,1/(AG135:AT135&lt;&gt;""),AG135:AT135))</t>
        </is>
      </c>
      <c r="AC135" s="38" t="inlineStr">
        <is>
          <t>IF(OR(E135="",COUNT(AG135:AT135)&lt;2),"",LOOKUP(2,1/(AG135:AT135&lt;&gt;""),AG135:AT135)-MIN(AG135:AT135))</t>
        </is>
      </c>
      <c r="AD135" s="38" t="inlineStr">
        <is>
          <t>IF(OR(AB135="",AA135="Not started",AA135=""),"",IFERROR(AB135-IF(VLOOKUP(AA135,'04_Status_Pipeline'!$B$3:$E$20,4,FALSE)="",0,VLOOKUP(AA135,'04_Status_Pipeline'!$B$3:$E$20,4,FALSE)),""))</t>
        </is>
      </c>
      <c r="AE135" s="32" t="inlineStr">
        <is>
          <t>IF(E135="","",IF(OR(Y135="Cancelled",AA135="Cancelled"),"Cancelled",IF(OR(AA135="Completed / Handover",W135&lt;&gt;"",X135&gt;=100),"Completed — on track",IF(L135="Remaining",IF(S135="",IF(V135="","No planned date",IF(TODAY()&gt;V135,"Behind — past planned date",IF(V135-TODAY()&lt;=30,"At risk — close to off track","On track"))),IF(TODAY()&gt;S135,"Behind — award date passed",IF(S135-TODAY()&lt;=30,"At risk — close to off track","On track"))),IF(V135="","No planned date",IF(AND(TODAY()&gt;V135,OR(X135="",X135&lt;100)),"Behind — past end date",IF(AND(R135&lt;&gt;"",V135&lt;&gt;"",X135&lt;&gt;"",(X135&lt;100),((TODAY()-R135)/MAX(V135-R135,1)*100)-X135&gt;15),"Behind — progress lag",IF(AND(V135-TODAY()&lt;=30,V135-TODAY()&gt;=0,OR(X135="",X135&lt;90)),"At risk — close to off track","On track"))))))))</t>
        </is>
      </c>
      <c r="AF135" s="38" t="inlineStr">
        <is>
          <t>IF(OR(E135="",AA135="Completed / Handover",AA135="Cancelled"),"",IF(L135="Remaining",IF(S135&lt;&gt;"",S135-TODAY(),IF(V135="","",V135-TODAY())),IF(V135="","",V135-TODAY())))</t>
        </is>
      </c>
      <c r="AG135" s="44" t="n"/>
      <c r="AH135" s="44" t="n"/>
      <c r="AI135" s="44" t="n"/>
      <c r="AJ135" s="44" t="n"/>
      <c r="AK135" s="44" t="n"/>
      <c r="AL135" s="44" t="n"/>
      <c r="AM135" s="44" t="n"/>
      <c r="AN135" s="44" t="n"/>
      <c r="AO135" s="44" t="n"/>
      <c r="AP135" s="44" t="n"/>
      <c r="AQ135" s="44" t="n"/>
      <c r="AR135" s="40" t="n"/>
      <c r="AS135" s="40" t="n"/>
      <c r="AT135" s="40" t="n"/>
      <c r="AU135" s="38" t="inlineStr">
        <is>
          <t>IF(OR(E135="",AH135=""),"",IF(COUNT(AG135:AG135)=0,"",AH135-LOOKUP(2,1/(AG135:AG135&lt;&gt;""),AG135:AG135)))</t>
        </is>
      </c>
      <c r="AV135" s="38" t="inlineStr">
        <is>
          <t>IF(OR(E135="",AI135=""),"",IF(COUNT(AG135:AH135)=0,"",AI135-LOOKUP(2,1/(AG135:AH135&lt;&gt;""),AG135:AH135)))</t>
        </is>
      </c>
      <c r="AW135" s="38" t="inlineStr">
        <is>
          <t>IF(OR(E135="",AJ135=""),"",IF(COUNT(AG135:AI135)=0,"",AJ135-LOOKUP(2,1/(AG135:AI135&lt;&gt;""),AG135:AI135)))</t>
        </is>
      </c>
      <c r="AX135" s="38" t="inlineStr">
        <is>
          <t>IF(OR(E135="",AK135=""),"",IF(COUNT(AG135:AJ135)=0,"",AK135-LOOKUP(2,1/(AG135:AJ135&lt;&gt;""),AG135:AJ135)))</t>
        </is>
      </c>
      <c r="AY135" s="38" t="inlineStr">
        <is>
          <t>IF(OR(E135="",AL135=""),"",IF(COUNT(AG135:AK135)=0,"",AL135-LOOKUP(2,1/(AG135:AK135&lt;&gt;""),AG135:AK135)))</t>
        </is>
      </c>
      <c r="AZ135" s="38" t="inlineStr">
        <is>
          <t>IF(OR(E135="",AM135=""),"",IF(COUNT(AG135:AL135)=0,"",AM135-LOOKUP(2,1/(AG135:AL135&lt;&gt;""),AG135:AL135)))</t>
        </is>
      </c>
      <c r="BA135" s="38" t="inlineStr">
        <is>
          <t>IF(OR(E135="",AN135=""),"",IF(COUNT(AG135:AM135)=0,"",AN135-LOOKUP(2,1/(AG135:AM135&lt;&gt;""),AG135:AM135)))</t>
        </is>
      </c>
      <c r="BB135" s="38" t="inlineStr">
        <is>
          <t>IF(OR(E135="",AO135=""),"",IF(COUNT(AG135:AN135)=0,"",AO135-LOOKUP(2,1/(AG135:AN135&lt;&gt;""),AG135:AN135)))</t>
        </is>
      </c>
      <c r="BC135" s="38" t="inlineStr">
        <is>
          <t>IF(OR(E135="",AP135=""),"",IF(COUNT(AG135:AO135)=0,"",AP135-LOOKUP(2,1/(AG135:AO135&lt;&gt;""),AG135:AO135)))</t>
        </is>
      </c>
      <c r="BD135" s="38" t="inlineStr">
        <is>
          <t>IF(OR(E135="",AQ135=""),"",IF(COUNT(AG135:AP135)=0,"",AQ135-LOOKUP(2,1/(AG135:AP135&lt;&gt;""),AG135:AP135)))</t>
        </is>
      </c>
      <c r="BE135" s="38" t="inlineStr">
        <is>
          <t>IF(OR(E135="",AR135=""),"",IF(COUNT(AG135:AQ135)=0,"",AR135-LOOKUP(2,1/(AG135:AQ135&lt;&gt;""),AG135:AQ135)))</t>
        </is>
      </c>
      <c r="BF135" s="38" t="inlineStr">
        <is>
          <t>IF(OR(E135="",AS135=""),"",IF(COUNT(AG135:AR135)=0,"",AS135-LOOKUP(2,1/(AG135:AR135&lt;&gt;""),AG135:AR135)))</t>
        </is>
      </c>
      <c r="BG135" s="38" t="inlineStr">
        <is>
          <t>IF(OR(E135="",AT135=""),"",IF(COUNT(AG135:AS135)=0,"",AT135-LOOKUP(2,1/(AG135:AS135&lt;&gt;""),AG135:AS135)))</t>
        </is>
      </c>
      <c r="BH135" s="41" t="inlineStr">
        <is>
          <t>IF(G135="","All_Provinces",IFERROR(VLOOKUP(G135,'07_Lookups'!$A$4:$B$20,2,FALSE),"All_Provinces"))</t>
        </is>
      </c>
      <c r="BI135" s="41" t="inlineStr">
        <is>
          <t>IF(H135="","All_Districts",IFERROR(VLOOKUP(H135,'07_Lookups'!$E$4:$F$42,2,FALSE),"All_Districts"))</t>
        </is>
      </c>
    </row>
    <row r="136" ht="18" customHeight="1">
      <c r="A136" s="32" t="inlineStr">
        <is>
          <t>IF(E136="","",ROW()-3)</t>
        </is>
      </c>
      <c r="B136" s="33" t="n"/>
      <c r="C136" s="33" t="n"/>
      <c r="D136" s="33" t="n"/>
      <c r="E136" s="33" t="n"/>
      <c r="F136" s="33" t="n"/>
      <c r="G136" s="33" t="n"/>
      <c r="H136" s="33" t="n"/>
      <c r="I136" s="33" t="n"/>
      <c r="J136" s="33" t="n"/>
      <c r="K136" s="33" t="n"/>
      <c r="L136" s="33" t="n"/>
      <c r="M136" s="33" t="n"/>
      <c r="N136" s="33" t="n"/>
      <c r="O136" s="33" t="n"/>
      <c r="P136" s="33" t="n"/>
      <c r="Q136" s="34" t="n"/>
      <c r="R136" s="35" t="inlineStr">
        <is>
          <t>IF(AO136="","",AO136)</t>
        </is>
      </c>
      <c r="S136" s="36" t="n"/>
      <c r="T136" s="37" t="n"/>
      <c r="U136" s="36" t="n"/>
      <c r="V136" s="35" t="inlineStr">
        <is>
          <t>IF(U136&lt;&gt;"",U136,IF(OR(R136="",T136=""),"",EDATE(R136,T136)))</t>
        </is>
      </c>
      <c r="W136" s="36" t="n"/>
      <c r="X136" s="37" t="n"/>
      <c r="Y136" s="33" t="n"/>
      <c r="Z136" s="33" t="n"/>
      <c r="AA136" s="32" t="inlineStr">
        <is>
          <t>IF(E136="","",IF(COUNT(AG136:AT136)=0,IF(Y136="","Not started",Y136),SUBSTITUTE(LOOKUP(2,1/(AG136:AT136&lt;&gt;""),$AG$3:$AT$3),"Date: ","")))</t>
        </is>
      </c>
      <c r="AB136" s="38" t="inlineStr">
        <is>
          <t>IF(OR(E136="",COUNT(AG136:AT136)=0),"",TODAY()-LOOKUP(2,1/(AG136:AT136&lt;&gt;""),AG136:AT136))</t>
        </is>
      </c>
      <c r="AC136" s="38" t="inlineStr">
        <is>
          <t>IF(OR(E136="",COUNT(AG136:AT136)&lt;2),"",LOOKUP(2,1/(AG136:AT136&lt;&gt;""),AG136:AT136)-MIN(AG136:AT136))</t>
        </is>
      </c>
      <c r="AD136" s="38" t="inlineStr">
        <is>
          <t>IF(OR(AB136="",AA136="Not started",AA136=""),"",IFERROR(AB136-IF(VLOOKUP(AA136,'04_Status_Pipeline'!$B$3:$E$20,4,FALSE)="",0,VLOOKUP(AA136,'04_Status_Pipeline'!$B$3:$E$20,4,FALSE)),""))</t>
        </is>
      </c>
      <c r="AE136" s="32" t="inlineStr">
        <is>
          <t>IF(E136="","",IF(OR(Y136="Cancelled",AA136="Cancelled"),"Cancelled",IF(OR(AA136="Completed / Handover",W136&lt;&gt;"",X136&gt;=100),"Completed — on track",IF(L136="Remaining",IF(S136="",IF(V136="","No planned date",IF(TODAY()&gt;V136,"Behind — past planned date",IF(V136-TODAY()&lt;=30,"At risk — close to off track","On track"))),IF(TODAY()&gt;S136,"Behind — award date passed",IF(S136-TODAY()&lt;=30,"At risk — close to off track","On track"))),IF(V136="","No planned date",IF(AND(TODAY()&gt;V136,OR(X136="",X136&lt;100)),"Behind — past end date",IF(AND(R136&lt;&gt;"",V136&lt;&gt;"",X136&lt;&gt;"",(X136&lt;100),((TODAY()-R136)/MAX(V136-R136,1)*100)-X136&gt;15),"Behind — progress lag",IF(AND(V136-TODAY()&lt;=30,V136-TODAY()&gt;=0,OR(X136="",X136&lt;90)),"At risk — close to off track","On track"))))))))</t>
        </is>
      </c>
      <c r="AF136" s="38" t="inlineStr">
        <is>
          <t>IF(OR(E136="",AA136="Completed / Handover",AA136="Cancelled"),"",IF(L136="Remaining",IF(S136&lt;&gt;"",S136-TODAY(),IF(V136="","",V136-TODAY())),IF(V136="","",V136-TODAY())))</t>
        </is>
      </c>
      <c r="AG136" s="36" t="n"/>
      <c r="AH136" s="36" t="n"/>
      <c r="AI136" s="36" t="n"/>
      <c r="AJ136" s="36" t="n"/>
      <c r="AK136" s="36" t="n"/>
      <c r="AL136" s="36" t="n"/>
      <c r="AM136" s="36" t="n"/>
      <c r="AN136" s="36" t="n"/>
      <c r="AO136" s="36" t="n"/>
      <c r="AP136" s="36" t="n"/>
      <c r="AQ136" s="36" t="n"/>
      <c r="AR136" s="40" t="n"/>
      <c r="AS136" s="40" t="n"/>
      <c r="AT136" s="40" t="n"/>
      <c r="AU136" s="38" t="inlineStr">
        <is>
          <t>IF(OR(E136="",AH136=""),"",IF(COUNT(AG136:AG136)=0,"",AH136-LOOKUP(2,1/(AG136:AG136&lt;&gt;""),AG136:AG136)))</t>
        </is>
      </c>
      <c r="AV136" s="38" t="inlineStr">
        <is>
          <t>IF(OR(E136="",AI136=""),"",IF(COUNT(AG136:AH136)=0,"",AI136-LOOKUP(2,1/(AG136:AH136&lt;&gt;""),AG136:AH136)))</t>
        </is>
      </c>
      <c r="AW136" s="38" t="inlineStr">
        <is>
          <t>IF(OR(E136="",AJ136=""),"",IF(COUNT(AG136:AI136)=0,"",AJ136-LOOKUP(2,1/(AG136:AI136&lt;&gt;""),AG136:AI136)))</t>
        </is>
      </c>
      <c r="AX136" s="38" t="inlineStr">
        <is>
          <t>IF(OR(E136="",AK136=""),"",IF(COUNT(AG136:AJ136)=0,"",AK136-LOOKUP(2,1/(AG136:AJ136&lt;&gt;""),AG136:AJ136)))</t>
        </is>
      </c>
      <c r="AY136" s="38" t="inlineStr">
        <is>
          <t>IF(OR(E136="",AL136=""),"",IF(COUNT(AG136:AK136)=0,"",AL136-LOOKUP(2,1/(AG136:AK136&lt;&gt;""),AG136:AK136)))</t>
        </is>
      </c>
      <c r="AZ136" s="38" t="inlineStr">
        <is>
          <t>IF(OR(E136="",AM136=""),"",IF(COUNT(AG136:AL136)=0,"",AM136-LOOKUP(2,1/(AG136:AL136&lt;&gt;""),AG136:AL136)))</t>
        </is>
      </c>
      <c r="BA136" s="38" t="inlineStr">
        <is>
          <t>IF(OR(E136="",AN136=""),"",IF(COUNT(AG136:AM136)=0,"",AN136-LOOKUP(2,1/(AG136:AM136&lt;&gt;""),AG136:AM136)))</t>
        </is>
      </c>
      <c r="BB136" s="38" t="inlineStr">
        <is>
          <t>IF(OR(E136="",AO136=""),"",IF(COUNT(AG136:AN136)=0,"",AO136-LOOKUP(2,1/(AG136:AN136&lt;&gt;""),AG136:AN136)))</t>
        </is>
      </c>
      <c r="BC136" s="38" t="inlineStr">
        <is>
          <t>IF(OR(E136="",AP136=""),"",IF(COUNT(AG136:AO136)=0,"",AP136-LOOKUP(2,1/(AG136:AO136&lt;&gt;""),AG136:AO136)))</t>
        </is>
      </c>
      <c r="BD136" s="38" t="inlineStr">
        <is>
          <t>IF(OR(E136="",AQ136=""),"",IF(COUNT(AG136:AP136)=0,"",AQ136-LOOKUP(2,1/(AG136:AP136&lt;&gt;""),AG136:AP136)))</t>
        </is>
      </c>
      <c r="BE136" s="38" t="inlineStr">
        <is>
          <t>IF(OR(E136="",AR136=""),"",IF(COUNT(AG136:AQ136)=0,"",AR136-LOOKUP(2,1/(AG136:AQ136&lt;&gt;""),AG136:AQ136)))</t>
        </is>
      </c>
      <c r="BF136" s="38" t="inlineStr">
        <is>
          <t>IF(OR(E136="",AS136=""),"",IF(COUNT(AG136:AR136)=0,"",AS136-LOOKUP(2,1/(AG136:AR136&lt;&gt;""),AG136:AR136)))</t>
        </is>
      </c>
      <c r="BG136" s="38" t="inlineStr">
        <is>
          <t>IF(OR(E136="",AT136=""),"",IF(COUNT(AG136:AS136)=0,"",AT136-LOOKUP(2,1/(AG136:AS136&lt;&gt;""),AG136:AS136)))</t>
        </is>
      </c>
      <c r="BH136" s="41" t="inlineStr">
        <is>
          <t>IF(G136="","All_Provinces",IFERROR(VLOOKUP(G136,'07_Lookups'!$A$4:$B$20,2,FALSE),"All_Provinces"))</t>
        </is>
      </c>
      <c r="BI136" s="41" t="inlineStr">
        <is>
          <t>IF(H136="","All_Districts",IFERROR(VLOOKUP(H136,'07_Lookups'!$E$4:$F$42,2,FALSE),"All_Districts"))</t>
        </is>
      </c>
    </row>
    <row r="137" ht="18" customHeight="1">
      <c r="A137" s="32" t="inlineStr">
        <is>
          <t>IF(E137="","",ROW()-3)</t>
        </is>
      </c>
      <c r="B137" s="42" t="n"/>
      <c r="C137" s="42" t="n"/>
      <c r="D137" s="42" t="n"/>
      <c r="E137" s="42" t="n"/>
      <c r="F137" s="42" t="n"/>
      <c r="G137" s="42" t="n"/>
      <c r="H137" s="42" t="n"/>
      <c r="I137" s="42" t="n"/>
      <c r="J137" s="42" t="n"/>
      <c r="K137" s="42" t="n"/>
      <c r="L137" s="42" t="n"/>
      <c r="M137" s="42" t="n"/>
      <c r="N137" s="42" t="n"/>
      <c r="O137" s="42" t="n"/>
      <c r="P137" s="42" t="n"/>
      <c r="Q137" s="43" t="n"/>
      <c r="R137" s="35" t="inlineStr">
        <is>
          <t>IF(AO137="","",AO137)</t>
        </is>
      </c>
      <c r="S137" s="44" t="n"/>
      <c r="T137" s="45" t="n"/>
      <c r="U137" s="44" t="n"/>
      <c r="V137" s="35" t="inlineStr">
        <is>
          <t>IF(U137&lt;&gt;"",U137,IF(OR(R137="",T137=""),"",EDATE(R137,T137)))</t>
        </is>
      </c>
      <c r="W137" s="44" t="n"/>
      <c r="X137" s="45" t="n"/>
      <c r="Y137" s="42" t="n"/>
      <c r="Z137" s="42" t="n"/>
      <c r="AA137" s="32" t="inlineStr">
        <is>
          <t>IF(E137="","",IF(COUNT(AG137:AT137)=0,IF(Y137="","Not started",Y137),SUBSTITUTE(LOOKUP(2,1/(AG137:AT137&lt;&gt;""),$AG$3:$AT$3),"Date: ","")))</t>
        </is>
      </c>
      <c r="AB137" s="38" t="inlineStr">
        <is>
          <t>IF(OR(E137="",COUNT(AG137:AT137)=0),"",TODAY()-LOOKUP(2,1/(AG137:AT137&lt;&gt;""),AG137:AT137))</t>
        </is>
      </c>
      <c r="AC137" s="38" t="inlineStr">
        <is>
          <t>IF(OR(E137="",COUNT(AG137:AT137)&lt;2),"",LOOKUP(2,1/(AG137:AT137&lt;&gt;""),AG137:AT137)-MIN(AG137:AT137))</t>
        </is>
      </c>
      <c r="AD137" s="38" t="inlineStr">
        <is>
          <t>IF(OR(AB137="",AA137="Not started",AA137=""),"",IFERROR(AB137-IF(VLOOKUP(AA137,'04_Status_Pipeline'!$B$3:$E$20,4,FALSE)="",0,VLOOKUP(AA137,'04_Status_Pipeline'!$B$3:$E$20,4,FALSE)),""))</t>
        </is>
      </c>
      <c r="AE137" s="32" t="inlineStr">
        <is>
          <t>IF(E137="","",IF(OR(Y137="Cancelled",AA137="Cancelled"),"Cancelled",IF(OR(AA137="Completed / Handover",W137&lt;&gt;"",X137&gt;=100),"Completed — on track",IF(L137="Remaining",IF(S137="",IF(V137="","No planned date",IF(TODAY()&gt;V137,"Behind — past planned date",IF(V137-TODAY()&lt;=30,"At risk — close to off track","On track"))),IF(TODAY()&gt;S137,"Behind — award date passed",IF(S137-TODAY()&lt;=30,"At risk — close to off track","On track"))),IF(V137="","No planned date",IF(AND(TODAY()&gt;V137,OR(X137="",X137&lt;100)),"Behind — past end date",IF(AND(R137&lt;&gt;"",V137&lt;&gt;"",X137&lt;&gt;"",(X137&lt;100),((TODAY()-R137)/MAX(V137-R137,1)*100)-X137&gt;15),"Behind — progress lag",IF(AND(V137-TODAY()&lt;=30,V137-TODAY()&gt;=0,OR(X137="",X137&lt;90)),"At risk — close to off track","On track"))))))))</t>
        </is>
      </c>
      <c r="AF137" s="38" t="inlineStr">
        <is>
          <t>IF(OR(E137="",AA137="Completed / Handover",AA137="Cancelled"),"",IF(L137="Remaining",IF(S137&lt;&gt;"",S137-TODAY(),IF(V137="","",V137-TODAY())),IF(V137="","",V137-TODAY())))</t>
        </is>
      </c>
      <c r="AG137" s="44" t="n"/>
      <c r="AH137" s="44" t="n"/>
      <c r="AI137" s="44" t="n"/>
      <c r="AJ137" s="44" t="n"/>
      <c r="AK137" s="44" t="n"/>
      <c r="AL137" s="44" t="n"/>
      <c r="AM137" s="44" t="n"/>
      <c r="AN137" s="44" t="n"/>
      <c r="AO137" s="44" t="n"/>
      <c r="AP137" s="44" t="n"/>
      <c r="AQ137" s="44" t="n"/>
      <c r="AR137" s="40" t="n"/>
      <c r="AS137" s="40" t="n"/>
      <c r="AT137" s="40" t="n"/>
      <c r="AU137" s="38" t="inlineStr">
        <is>
          <t>IF(OR(E137="",AH137=""),"",IF(COUNT(AG137:AG137)=0,"",AH137-LOOKUP(2,1/(AG137:AG137&lt;&gt;""),AG137:AG137)))</t>
        </is>
      </c>
      <c r="AV137" s="38" t="inlineStr">
        <is>
          <t>IF(OR(E137="",AI137=""),"",IF(COUNT(AG137:AH137)=0,"",AI137-LOOKUP(2,1/(AG137:AH137&lt;&gt;""),AG137:AH137)))</t>
        </is>
      </c>
      <c r="AW137" s="38" t="inlineStr">
        <is>
          <t>IF(OR(E137="",AJ137=""),"",IF(COUNT(AG137:AI137)=0,"",AJ137-LOOKUP(2,1/(AG137:AI137&lt;&gt;""),AG137:AI137)))</t>
        </is>
      </c>
      <c r="AX137" s="38" t="inlineStr">
        <is>
          <t>IF(OR(E137="",AK137=""),"",IF(COUNT(AG137:AJ137)=0,"",AK137-LOOKUP(2,1/(AG137:AJ137&lt;&gt;""),AG137:AJ137)))</t>
        </is>
      </c>
      <c r="AY137" s="38" t="inlineStr">
        <is>
          <t>IF(OR(E137="",AL137=""),"",IF(COUNT(AG137:AK137)=0,"",AL137-LOOKUP(2,1/(AG137:AK137&lt;&gt;""),AG137:AK137)))</t>
        </is>
      </c>
      <c r="AZ137" s="38" t="inlineStr">
        <is>
          <t>IF(OR(E137="",AM137=""),"",IF(COUNT(AG137:AL137)=0,"",AM137-LOOKUP(2,1/(AG137:AL137&lt;&gt;""),AG137:AL137)))</t>
        </is>
      </c>
      <c r="BA137" s="38" t="inlineStr">
        <is>
          <t>IF(OR(E137="",AN137=""),"",IF(COUNT(AG137:AM137)=0,"",AN137-LOOKUP(2,1/(AG137:AM137&lt;&gt;""),AG137:AM137)))</t>
        </is>
      </c>
      <c r="BB137" s="38" t="inlineStr">
        <is>
          <t>IF(OR(E137="",AO137=""),"",IF(COUNT(AG137:AN137)=0,"",AO137-LOOKUP(2,1/(AG137:AN137&lt;&gt;""),AG137:AN137)))</t>
        </is>
      </c>
      <c r="BC137" s="38" t="inlineStr">
        <is>
          <t>IF(OR(E137="",AP137=""),"",IF(COUNT(AG137:AO137)=0,"",AP137-LOOKUP(2,1/(AG137:AO137&lt;&gt;""),AG137:AO137)))</t>
        </is>
      </c>
      <c r="BD137" s="38" t="inlineStr">
        <is>
          <t>IF(OR(E137="",AQ137=""),"",IF(COUNT(AG137:AP137)=0,"",AQ137-LOOKUP(2,1/(AG137:AP137&lt;&gt;""),AG137:AP137)))</t>
        </is>
      </c>
      <c r="BE137" s="38" t="inlineStr">
        <is>
          <t>IF(OR(E137="",AR137=""),"",IF(COUNT(AG137:AQ137)=0,"",AR137-LOOKUP(2,1/(AG137:AQ137&lt;&gt;""),AG137:AQ137)))</t>
        </is>
      </c>
      <c r="BF137" s="38" t="inlineStr">
        <is>
          <t>IF(OR(E137="",AS137=""),"",IF(COUNT(AG137:AR137)=0,"",AS137-LOOKUP(2,1/(AG137:AR137&lt;&gt;""),AG137:AR137)))</t>
        </is>
      </c>
      <c r="BG137" s="38" t="inlineStr">
        <is>
          <t>IF(OR(E137="",AT137=""),"",IF(COUNT(AG137:AS137)=0,"",AT137-LOOKUP(2,1/(AG137:AS137&lt;&gt;""),AG137:AS137)))</t>
        </is>
      </c>
      <c r="BH137" s="41" t="inlineStr">
        <is>
          <t>IF(G137="","All_Provinces",IFERROR(VLOOKUP(G137,'07_Lookups'!$A$4:$B$20,2,FALSE),"All_Provinces"))</t>
        </is>
      </c>
      <c r="BI137" s="41" t="inlineStr">
        <is>
          <t>IF(H137="","All_Districts",IFERROR(VLOOKUP(H137,'07_Lookups'!$E$4:$F$42,2,FALSE),"All_Districts"))</t>
        </is>
      </c>
    </row>
    <row r="138" ht="18" customHeight="1">
      <c r="A138" s="32" t="inlineStr">
        <is>
          <t>IF(E138="","",ROW()-3)</t>
        </is>
      </c>
      <c r="B138" s="33" t="n"/>
      <c r="C138" s="33" t="n"/>
      <c r="D138" s="33" t="n"/>
      <c r="E138" s="33" t="n"/>
      <c r="F138" s="33" t="n"/>
      <c r="G138" s="33" t="n"/>
      <c r="H138" s="33" t="n"/>
      <c r="I138" s="33" t="n"/>
      <c r="J138" s="33" t="n"/>
      <c r="K138" s="33" t="n"/>
      <c r="L138" s="33" t="n"/>
      <c r="M138" s="33" t="n"/>
      <c r="N138" s="33" t="n"/>
      <c r="O138" s="33" t="n"/>
      <c r="P138" s="33" t="n"/>
      <c r="Q138" s="34" t="n"/>
      <c r="R138" s="35" t="inlineStr">
        <is>
          <t>IF(AO138="","",AO138)</t>
        </is>
      </c>
      <c r="S138" s="36" t="n"/>
      <c r="T138" s="37" t="n"/>
      <c r="U138" s="36" t="n"/>
      <c r="V138" s="35" t="inlineStr">
        <is>
          <t>IF(U138&lt;&gt;"",U138,IF(OR(R138="",T138=""),"",EDATE(R138,T138)))</t>
        </is>
      </c>
      <c r="W138" s="36" t="n"/>
      <c r="X138" s="37" t="n"/>
      <c r="Y138" s="33" t="n"/>
      <c r="Z138" s="33" t="n"/>
      <c r="AA138" s="32" t="inlineStr">
        <is>
          <t>IF(E138="","",IF(COUNT(AG138:AT138)=0,IF(Y138="","Not started",Y138),SUBSTITUTE(LOOKUP(2,1/(AG138:AT138&lt;&gt;""),$AG$3:$AT$3),"Date: ","")))</t>
        </is>
      </c>
      <c r="AB138" s="38" t="inlineStr">
        <is>
          <t>IF(OR(E138="",COUNT(AG138:AT138)=0),"",TODAY()-LOOKUP(2,1/(AG138:AT138&lt;&gt;""),AG138:AT138))</t>
        </is>
      </c>
      <c r="AC138" s="38" t="inlineStr">
        <is>
          <t>IF(OR(E138="",COUNT(AG138:AT138)&lt;2),"",LOOKUP(2,1/(AG138:AT138&lt;&gt;""),AG138:AT138)-MIN(AG138:AT138))</t>
        </is>
      </c>
      <c r="AD138" s="38" t="inlineStr">
        <is>
          <t>IF(OR(AB138="",AA138="Not started",AA138=""),"",IFERROR(AB138-IF(VLOOKUP(AA138,'04_Status_Pipeline'!$B$3:$E$20,4,FALSE)="",0,VLOOKUP(AA138,'04_Status_Pipeline'!$B$3:$E$20,4,FALSE)),""))</t>
        </is>
      </c>
      <c r="AE138" s="32" t="inlineStr">
        <is>
          <t>IF(E138="","",IF(OR(Y138="Cancelled",AA138="Cancelled"),"Cancelled",IF(OR(AA138="Completed / Handover",W138&lt;&gt;"",X138&gt;=100),"Completed — on track",IF(L138="Remaining",IF(S138="",IF(V138="","No planned date",IF(TODAY()&gt;V138,"Behind — past planned date",IF(V138-TODAY()&lt;=30,"At risk — close to off track","On track"))),IF(TODAY()&gt;S138,"Behind — award date passed",IF(S138-TODAY()&lt;=30,"At risk — close to off track","On track"))),IF(V138="","No planned date",IF(AND(TODAY()&gt;V138,OR(X138="",X138&lt;100)),"Behind — past end date",IF(AND(R138&lt;&gt;"",V138&lt;&gt;"",X138&lt;&gt;"",(X138&lt;100),((TODAY()-R138)/MAX(V138-R138,1)*100)-X138&gt;15),"Behind — progress lag",IF(AND(V138-TODAY()&lt;=30,V138-TODAY()&gt;=0,OR(X138="",X138&lt;90)),"At risk — close to off track","On track"))))))))</t>
        </is>
      </c>
      <c r="AF138" s="38" t="inlineStr">
        <is>
          <t>IF(OR(E138="",AA138="Completed / Handover",AA138="Cancelled"),"",IF(L138="Remaining",IF(S138&lt;&gt;"",S138-TODAY(),IF(V138="","",V138-TODAY())),IF(V138="","",V138-TODAY())))</t>
        </is>
      </c>
      <c r="AG138" s="36" t="n"/>
      <c r="AH138" s="36" t="n"/>
      <c r="AI138" s="36" t="n"/>
      <c r="AJ138" s="36" t="n"/>
      <c r="AK138" s="36" t="n"/>
      <c r="AL138" s="36" t="n"/>
      <c r="AM138" s="36" t="n"/>
      <c r="AN138" s="36" t="n"/>
      <c r="AO138" s="36" t="n"/>
      <c r="AP138" s="36" t="n"/>
      <c r="AQ138" s="36" t="n"/>
      <c r="AR138" s="40" t="n"/>
      <c r="AS138" s="40" t="n"/>
      <c r="AT138" s="40" t="n"/>
      <c r="AU138" s="38" t="inlineStr">
        <is>
          <t>IF(OR(E138="",AH138=""),"",IF(COUNT(AG138:AG138)=0,"",AH138-LOOKUP(2,1/(AG138:AG138&lt;&gt;""),AG138:AG138)))</t>
        </is>
      </c>
      <c r="AV138" s="38" t="inlineStr">
        <is>
          <t>IF(OR(E138="",AI138=""),"",IF(COUNT(AG138:AH138)=0,"",AI138-LOOKUP(2,1/(AG138:AH138&lt;&gt;""),AG138:AH138)))</t>
        </is>
      </c>
      <c r="AW138" s="38" t="inlineStr">
        <is>
          <t>IF(OR(E138="",AJ138=""),"",IF(COUNT(AG138:AI138)=0,"",AJ138-LOOKUP(2,1/(AG138:AI138&lt;&gt;""),AG138:AI138)))</t>
        </is>
      </c>
      <c r="AX138" s="38" t="inlineStr">
        <is>
          <t>IF(OR(E138="",AK138=""),"",IF(COUNT(AG138:AJ138)=0,"",AK138-LOOKUP(2,1/(AG138:AJ138&lt;&gt;""),AG138:AJ138)))</t>
        </is>
      </c>
      <c r="AY138" s="38" t="inlineStr">
        <is>
          <t>IF(OR(E138="",AL138=""),"",IF(COUNT(AG138:AK138)=0,"",AL138-LOOKUP(2,1/(AG138:AK138&lt;&gt;""),AG138:AK138)))</t>
        </is>
      </c>
      <c r="AZ138" s="38" t="inlineStr">
        <is>
          <t>IF(OR(E138="",AM138=""),"",IF(COUNT(AG138:AL138)=0,"",AM138-LOOKUP(2,1/(AG138:AL138&lt;&gt;""),AG138:AL138)))</t>
        </is>
      </c>
      <c r="BA138" s="38" t="inlineStr">
        <is>
          <t>IF(OR(E138="",AN138=""),"",IF(COUNT(AG138:AM138)=0,"",AN138-LOOKUP(2,1/(AG138:AM138&lt;&gt;""),AG138:AM138)))</t>
        </is>
      </c>
      <c r="BB138" s="38" t="inlineStr">
        <is>
          <t>IF(OR(E138="",AO138=""),"",IF(COUNT(AG138:AN138)=0,"",AO138-LOOKUP(2,1/(AG138:AN138&lt;&gt;""),AG138:AN138)))</t>
        </is>
      </c>
      <c r="BC138" s="38" t="inlineStr">
        <is>
          <t>IF(OR(E138="",AP138=""),"",IF(COUNT(AG138:AO138)=0,"",AP138-LOOKUP(2,1/(AG138:AO138&lt;&gt;""),AG138:AO138)))</t>
        </is>
      </c>
      <c r="BD138" s="38" t="inlineStr">
        <is>
          <t>IF(OR(E138="",AQ138=""),"",IF(COUNT(AG138:AP138)=0,"",AQ138-LOOKUP(2,1/(AG138:AP138&lt;&gt;""),AG138:AP138)))</t>
        </is>
      </c>
      <c r="BE138" s="38" t="inlineStr">
        <is>
          <t>IF(OR(E138="",AR138=""),"",IF(COUNT(AG138:AQ138)=0,"",AR138-LOOKUP(2,1/(AG138:AQ138&lt;&gt;""),AG138:AQ138)))</t>
        </is>
      </c>
      <c r="BF138" s="38" t="inlineStr">
        <is>
          <t>IF(OR(E138="",AS138=""),"",IF(COUNT(AG138:AR138)=0,"",AS138-LOOKUP(2,1/(AG138:AR138&lt;&gt;""),AG138:AR138)))</t>
        </is>
      </c>
      <c r="BG138" s="38" t="inlineStr">
        <is>
          <t>IF(OR(E138="",AT138=""),"",IF(COUNT(AG138:AS138)=0,"",AT138-LOOKUP(2,1/(AG138:AS138&lt;&gt;""),AG138:AS138)))</t>
        </is>
      </c>
      <c r="BH138" s="41" t="inlineStr">
        <is>
          <t>IF(G138="","All_Provinces",IFERROR(VLOOKUP(G138,'07_Lookups'!$A$4:$B$20,2,FALSE),"All_Provinces"))</t>
        </is>
      </c>
      <c r="BI138" s="41" t="inlineStr">
        <is>
          <t>IF(H138="","All_Districts",IFERROR(VLOOKUP(H138,'07_Lookups'!$E$4:$F$42,2,FALSE),"All_Districts"))</t>
        </is>
      </c>
    </row>
    <row r="139" ht="18" customHeight="1">
      <c r="A139" s="32" t="inlineStr">
        <is>
          <t>IF(E139="","",ROW()-3)</t>
        </is>
      </c>
      <c r="B139" s="42" t="n"/>
      <c r="C139" s="42" t="n"/>
      <c r="D139" s="42" t="n"/>
      <c r="E139" s="42" t="n"/>
      <c r="F139" s="42" t="n"/>
      <c r="G139" s="42" t="n"/>
      <c r="H139" s="42" t="n"/>
      <c r="I139" s="42" t="n"/>
      <c r="J139" s="42" t="n"/>
      <c r="K139" s="42" t="n"/>
      <c r="L139" s="42" t="n"/>
      <c r="M139" s="42" t="n"/>
      <c r="N139" s="42" t="n"/>
      <c r="O139" s="42" t="n"/>
      <c r="P139" s="42" t="n"/>
      <c r="Q139" s="43" t="n"/>
      <c r="R139" s="35" t="inlineStr">
        <is>
          <t>IF(AO139="","",AO139)</t>
        </is>
      </c>
      <c r="S139" s="44" t="n"/>
      <c r="T139" s="45" t="n"/>
      <c r="U139" s="44" t="n"/>
      <c r="V139" s="35" t="inlineStr">
        <is>
          <t>IF(U139&lt;&gt;"",U139,IF(OR(R139="",T139=""),"",EDATE(R139,T139)))</t>
        </is>
      </c>
      <c r="W139" s="44" t="n"/>
      <c r="X139" s="45" t="n"/>
      <c r="Y139" s="42" t="n"/>
      <c r="Z139" s="42" t="n"/>
      <c r="AA139" s="32" t="inlineStr">
        <is>
          <t>IF(E139="","",IF(COUNT(AG139:AT139)=0,IF(Y139="","Not started",Y139),SUBSTITUTE(LOOKUP(2,1/(AG139:AT139&lt;&gt;""),$AG$3:$AT$3),"Date: ","")))</t>
        </is>
      </c>
      <c r="AB139" s="38" t="inlineStr">
        <is>
          <t>IF(OR(E139="",COUNT(AG139:AT139)=0),"",TODAY()-LOOKUP(2,1/(AG139:AT139&lt;&gt;""),AG139:AT139))</t>
        </is>
      </c>
      <c r="AC139" s="38" t="inlineStr">
        <is>
          <t>IF(OR(E139="",COUNT(AG139:AT139)&lt;2),"",LOOKUP(2,1/(AG139:AT139&lt;&gt;""),AG139:AT139)-MIN(AG139:AT139))</t>
        </is>
      </c>
      <c r="AD139" s="38" t="inlineStr">
        <is>
          <t>IF(OR(AB139="",AA139="Not started",AA139=""),"",IFERROR(AB139-IF(VLOOKUP(AA139,'04_Status_Pipeline'!$B$3:$E$20,4,FALSE)="",0,VLOOKUP(AA139,'04_Status_Pipeline'!$B$3:$E$20,4,FALSE)),""))</t>
        </is>
      </c>
      <c r="AE139" s="32" t="inlineStr">
        <is>
          <t>IF(E139="","",IF(OR(Y139="Cancelled",AA139="Cancelled"),"Cancelled",IF(OR(AA139="Completed / Handover",W139&lt;&gt;"",X139&gt;=100),"Completed — on track",IF(L139="Remaining",IF(S139="",IF(V139="","No planned date",IF(TODAY()&gt;V139,"Behind — past planned date",IF(V139-TODAY()&lt;=30,"At risk — close to off track","On track"))),IF(TODAY()&gt;S139,"Behind — award date passed",IF(S139-TODAY()&lt;=30,"At risk — close to off track","On track"))),IF(V139="","No planned date",IF(AND(TODAY()&gt;V139,OR(X139="",X139&lt;100)),"Behind — past end date",IF(AND(R139&lt;&gt;"",V139&lt;&gt;"",X139&lt;&gt;"",(X139&lt;100),((TODAY()-R139)/MAX(V139-R139,1)*100)-X139&gt;15),"Behind — progress lag",IF(AND(V139-TODAY()&lt;=30,V139-TODAY()&gt;=0,OR(X139="",X139&lt;90)),"At risk — close to off track","On track"))))))))</t>
        </is>
      </c>
      <c r="AF139" s="38" t="inlineStr">
        <is>
          <t>IF(OR(E139="",AA139="Completed / Handover",AA139="Cancelled"),"",IF(L139="Remaining",IF(S139&lt;&gt;"",S139-TODAY(),IF(V139="","",V139-TODAY())),IF(V139="","",V139-TODAY())))</t>
        </is>
      </c>
      <c r="AG139" s="44" t="n"/>
      <c r="AH139" s="44" t="n"/>
      <c r="AI139" s="44" t="n"/>
      <c r="AJ139" s="44" t="n"/>
      <c r="AK139" s="44" t="n"/>
      <c r="AL139" s="44" t="n"/>
      <c r="AM139" s="44" t="n"/>
      <c r="AN139" s="44" t="n"/>
      <c r="AO139" s="44" t="n"/>
      <c r="AP139" s="44" t="n"/>
      <c r="AQ139" s="44" t="n"/>
      <c r="AR139" s="40" t="n"/>
      <c r="AS139" s="40" t="n"/>
      <c r="AT139" s="40" t="n"/>
      <c r="AU139" s="38" t="inlineStr">
        <is>
          <t>IF(OR(E139="",AH139=""),"",IF(COUNT(AG139:AG139)=0,"",AH139-LOOKUP(2,1/(AG139:AG139&lt;&gt;""),AG139:AG139)))</t>
        </is>
      </c>
      <c r="AV139" s="38" t="inlineStr">
        <is>
          <t>IF(OR(E139="",AI139=""),"",IF(COUNT(AG139:AH139)=0,"",AI139-LOOKUP(2,1/(AG139:AH139&lt;&gt;""),AG139:AH139)))</t>
        </is>
      </c>
      <c r="AW139" s="38" t="inlineStr">
        <is>
          <t>IF(OR(E139="",AJ139=""),"",IF(COUNT(AG139:AI139)=0,"",AJ139-LOOKUP(2,1/(AG139:AI139&lt;&gt;""),AG139:AI139)))</t>
        </is>
      </c>
      <c r="AX139" s="38" t="inlineStr">
        <is>
          <t>IF(OR(E139="",AK139=""),"",IF(COUNT(AG139:AJ139)=0,"",AK139-LOOKUP(2,1/(AG139:AJ139&lt;&gt;""),AG139:AJ139)))</t>
        </is>
      </c>
      <c r="AY139" s="38" t="inlineStr">
        <is>
          <t>IF(OR(E139="",AL139=""),"",IF(COUNT(AG139:AK139)=0,"",AL139-LOOKUP(2,1/(AG139:AK139&lt;&gt;""),AG139:AK139)))</t>
        </is>
      </c>
      <c r="AZ139" s="38" t="inlineStr">
        <is>
          <t>IF(OR(E139="",AM139=""),"",IF(COUNT(AG139:AL139)=0,"",AM139-LOOKUP(2,1/(AG139:AL139&lt;&gt;""),AG139:AL139)))</t>
        </is>
      </c>
      <c r="BA139" s="38" t="inlineStr">
        <is>
          <t>IF(OR(E139="",AN139=""),"",IF(COUNT(AG139:AM139)=0,"",AN139-LOOKUP(2,1/(AG139:AM139&lt;&gt;""),AG139:AM139)))</t>
        </is>
      </c>
      <c r="BB139" s="38" t="inlineStr">
        <is>
          <t>IF(OR(E139="",AO139=""),"",IF(COUNT(AG139:AN139)=0,"",AO139-LOOKUP(2,1/(AG139:AN139&lt;&gt;""),AG139:AN139)))</t>
        </is>
      </c>
      <c r="BC139" s="38" t="inlineStr">
        <is>
          <t>IF(OR(E139="",AP139=""),"",IF(COUNT(AG139:AO139)=0,"",AP139-LOOKUP(2,1/(AG139:AO139&lt;&gt;""),AG139:AO139)))</t>
        </is>
      </c>
      <c r="BD139" s="38" t="inlineStr">
        <is>
          <t>IF(OR(E139="",AQ139=""),"",IF(COUNT(AG139:AP139)=0,"",AQ139-LOOKUP(2,1/(AG139:AP139&lt;&gt;""),AG139:AP139)))</t>
        </is>
      </c>
      <c r="BE139" s="38" t="inlineStr">
        <is>
          <t>IF(OR(E139="",AR139=""),"",IF(COUNT(AG139:AQ139)=0,"",AR139-LOOKUP(2,1/(AG139:AQ139&lt;&gt;""),AG139:AQ139)))</t>
        </is>
      </c>
      <c r="BF139" s="38" t="inlineStr">
        <is>
          <t>IF(OR(E139="",AS139=""),"",IF(COUNT(AG139:AR139)=0,"",AS139-LOOKUP(2,1/(AG139:AR139&lt;&gt;""),AG139:AR139)))</t>
        </is>
      </c>
      <c r="BG139" s="38" t="inlineStr">
        <is>
          <t>IF(OR(E139="",AT139=""),"",IF(COUNT(AG139:AS139)=0,"",AT139-LOOKUP(2,1/(AG139:AS139&lt;&gt;""),AG139:AS139)))</t>
        </is>
      </c>
      <c r="BH139" s="41" t="inlineStr">
        <is>
          <t>IF(G139="","All_Provinces",IFERROR(VLOOKUP(G139,'07_Lookups'!$A$4:$B$20,2,FALSE),"All_Provinces"))</t>
        </is>
      </c>
      <c r="BI139" s="41" t="inlineStr">
        <is>
          <t>IF(H139="","All_Districts",IFERROR(VLOOKUP(H139,'07_Lookups'!$E$4:$F$42,2,FALSE),"All_Districts"))</t>
        </is>
      </c>
    </row>
    <row r="140" ht="18" customHeight="1">
      <c r="A140" s="32" t="inlineStr">
        <is>
          <t>IF(E140="","",ROW()-3)</t>
        </is>
      </c>
      <c r="B140" s="33" t="n"/>
      <c r="C140" s="33" t="n"/>
      <c r="D140" s="33" t="n"/>
      <c r="E140" s="33" t="n"/>
      <c r="F140" s="33" t="n"/>
      <c r="G140" s="33" t="n"/>
      <c r="H140" s="33" t="n"/>
      <c r="I140" s="33" t="n"/>
      <c r="J140" s="33" t="n"/>
      <c r="K140" s="33" t="n"/>
      <c r="L140" s="33" t="n"/>
      <c r="M140" s="33" t="n"/>
      <c r="N140" s="33" t="n"/>
      <c r="O140" s="33" t="n"/>
      <c r="P140" s="33" t="n"/>
      <c r="Q140" s="34" t="n"/>
      <c r="R140" s="35" t="inlineStr">
        <is>
          <t>IF(AO140="","",AO140)</t>
        </is>
      </c>
      <c r="S140" s="36" t="n"/>
      <c r="T140" s="37" t="n"/>
      <c r="U140" s="36" t="n"/>
      <c r="V140" s="35" t="inlineStr">
        <is>
          <t>IF(U140&lt;&gt;"",U140,IF(OR(R140="",T140=""),"",EDATE(R140,T140)))</t>
        </is>
      </c>
      <c r="W140" s="36" t="n"/>
      <c r="X140" s="37" t="n"/>
      <c r="Y140" s="33" t="n"/>
      <c r="Z140" s="33" t="n"/>
      <c r="AA140" s="32" t="inlineStr">
        <is>
          <t>IF(E140="","",IF(COUNT(AG140:AT140)=0,IF(Y140="","Not started",Y140),SUBSTITUTE(LOOKUP(2,1/(AG140:AT140&lt;&gt;""),$AG$3:$AT$3),"Date: ","")))</t>
        </is>
      </c>
      <c r="AB140" s="38" t="inlineStr">
        <is>
          <t>IF(OR(E140="",COUNT(AG140:AT140)=0),"",TODAY()-LOOKUP(2,1/(AG140:AT140&lt;&gt;""),AG140:AT140))</t>
        </is>
      </c>
      <c r="AC140" s="38" t="inlineStr">
        <is>
          <t>IF(OR(E140="",COUNT(AG140:AT140)&lt;2),"",LOOKUP(2,1/(AG140:AT140&lt;&gt;""),AG140:AT140)-MIN(AG140:AT140))</t>
        </is>
      </c>
      <c r="AD140" s="38" t="inlineStr">
        <is>
          <t>IF(OR(AB140="",AA140="Not started",AA140=""),"",IFERROR(AB140-IF(VLOOKUP(AA140,'04_Status_Pipeline'!$B$3:$E$20,4,FALSE)="",0,VLOOKUP(AA140,'04_Status_Pipeline'!$B$3:$E$20,4,FALSE)),""))</t>
        </is>
      </c>
      <c r="AE140" s="32" t="inlineStr">
        <is>
          <t>IF(E140="","",IF(OR(Y140="Cancelled",AA140="Cancelled"),"Cancelled",IF(OR(AA140="Completed / Handover",W140&lt;&gt;"",X140&gt;=100),"Completed — on track",IF(L140="Remaining",IF(S140="",IF(V140="","No planned date",IF(TODAY()&gt;V140,"Behind — past planned date",IF(V140-TODAY()&lt;=30,"At risk — close to off track","On track"))),IF(TODAY()&gt;S140,"Behind — award date passed",IF(S140-TODAY()&lt;=30,"At risk — close to off track","On track"))),IF(V140="","No planned date",IF(AND(TODAY()&gt;V140,OR(X140="",X140&lt;100)),"Behind — past end date",IF(AND(R140&lt;&gt;"",V140&lt;&gt;"",X140&lt;&gt;"",(X140&lt;100),((TODAY()-R140)/MAX(V140-R140,1)*100)-X140&gt;15),"Behind — progress lag",IF(AND(V140-TODAY()&lt;=30,V140-TODAY()&gt;=0,OR(X140="",X140&lt;90)),"At risk — close to off track","On track"))))))))</t>
        </is>
      </c>
      <c r="AF140" s="38" t="inlineStr">
        <is>
          <t>IF(OR(E140="",AA140="Completed / Handover",AA140="Cancelled"),"",IF(L140="Remaining",IF(S140&lt;&gt;"",S140-TODAY(),IF(V140="","",V140-TODAY())),IF(V140="","",V140-TODAY())))</t>
        </is>
      </c>
      <c r="AG140" s="36" t="n"/>
      <c r="AH140" s="36" t="n"/>
      <c r="AI140" s="36" t="n"/>
      <c r="AJ140" s="36" t="n"/>
      <c r="AK140" s="36" t="n"/>
      <c r="AL140" s="36" t="n"/>
      <c r="AM140" s="36" t="n"/>
      <c r="AN140" s="36" t="n"/>
      <c r="AO140" s="36" t="n"/>
      <c r="AP140" s="36" t="n"/>
      <c r="AQ140" s="36" t="n"/>
      <c r="AR140" s="40" t="n"/>
      <c r="AS140" s="40" t="n"/>
      <c r="AT140" s="40" t="n"/>
      <c r="AU140" s="38" t="inlineStr">
        <is>
          <t>IF(OR(E140="",AH140=""),"",IF(COUNT(AG140:AG140)=0,"",AH140-LOOKUP(2,1/(AG140:AG140&lt;&gt;""),AG140:AG140)))</t>
        </is>
      </c>
      <c r="AV140" s="38" t="inlineStr">
        <is>
          <t>IF(OR(E140="",AI140=""),"",IF(COUNT(AG140:AH140)=0,"",AI140-LOOKUP(2,1/(AG140:AH140&lt;&gt;""),AG140:AH140)))</t>
        </is>
      </c>
      <c r="AW140" s="38" t="inlineStr">
        <is>
          <t>IF(OR(E140="",AJ140=""),"",IF(COUNT(AG140:AI140)=0,"",AJ140-LOOKUP(2,1/(AG140:AI140&lt;&gt;""),AG140:AI140)))</t>
        </is>
      </c>
      <c r="AX140" s="38" t="inlineStr">
        <is>
          <t>IF(OR(E140="",AK140=""),"",IF(COUNT(AG140:AJ140)=0,"",AK140-LOOKUP(2,1/(AG140:AJ140&lt;&gt;""),AG140:AJ140)))</t>
        </is>
      </c>
      <c r="AY140" s="38" t="inlineStr">
        <is>
          <t>IF(OR(E140="",AL140=""),"",IF(COUNT(AG140:AK140)=0,"",AL140-LOOKUP(2,1/(AG140:AK140&lt;&gt;""),AG140:AK140)))</t>
        </is>
      </c>
      <c r="AZ140" s="38" t="inlineStr">
        <is>
          <t>IF(OR(E140="",AM140=""),"",IF(COUNT(AG140:AL140)=0,"",AM140-LOOKUP(2,1/(AG140:AL140&lt;&gt;""),AG140:AL140)))</t>
        </is>
      </c>
      <c r="BA140" s="38" t="inlineStr">
        <is>
          <t>IF(OR(E140="",AN140=""),"",IF(COUNT(AG140:AM140)=0,"",AN140-LOOKUP(2,1/(AG140:AM140&lt;&gt;""),AG140:AM140)))</t>
        </is>
      </c>
      <c r="BB140" s="38" t="inlineStr">
        <is>
          <t>IF(OR(E140="",AO140=""),"",IF(COUNT(AG140:AN140)=0,"",AO140-LOOKUP(2,1/(AG140:AN140&lt;&gt;""),AG140:AN140)))</t>
        </is>
      </c>
      <c r="BC140" s="38" t="inlineStr">
        <is>
          <t>IF(OR(E140="",AP140=""),"",IF(COUNT(AG140:AO140)=0,"",AP140-LOOKUP(2,1/(AG140:AO140&lt;&gt;""),AG140:AO140)))</t>
        </is>
      </c>
      <c r="BD140" s="38" t="inlineStr">
        <is>
          <t>IF(OR(E140="",AQ140=""),"",IF(COUNT(AG140:AP140)=0,"",AQ140-LOOKUP(2,1/(AG140:AP140&lt;&gt;""),AG140:AP140)))</t>
        </is>
      </c>
      <c r="BE140" s="38" t="inlineStr">
        <is>
          <t>IF(OR(E140="",AR140=""),"",IF(COUNT(AG140:AQ140)=0,"",AR140-LOOKUP(2,1/(AG140:AQ140&lt;&gt;""),AG140:AQ140)))</t>
        </is>
      </c>
      <c r="BF140" s="38" t="inlineStr">
        <is>
          <t>IF(OR(E140="",AS140=""),"",IF(COUNT(AG140:AR140)=0,"",AS140-LOOKUP(2,1/(AG140:AR140&lt;&gt;""),AG140:AR140)))</t>
        </is>
      </c>
      <c r="BG140" s="38" t="inlineStr">
        <is>
          <t>IF(OR(E140="",AT140=""),"",IF(COUNT(AG140:AS140)=0,"",AT140-LOOKUP(2,1/(AG140:AS140&lt;&gt;""),AG140:AS140)))</t>
        </is>
      </c>
      <c r="BH140" s="41" t="inlineStr">
        <is>
          <t>IF(G140="","All_Provinces",IFERROR(VLOOKUP(G140,'07_Lookups'!$A$4:$B$20,2,FALSE),"All_Provinces"))</t>
        </is>
      </c>
      <c r="BI140" s="41" t="inlineStr">
        <is>
          <t>IF(H140="","All_Districts",IFERROR(VLOOKUP(H140,'07_Lookups'!$E$4:$F$42,2,FALSE),"All_Districts"))</t>
        </is>
      </c>
    </row>
    <row r="141" ht="18" customHeight="1">
      <c r="A141" s="32" t="inlineStr">
        <is>
          <t>IF(E141="","",ROW()-3)</t>
        </is>
      </c>
      <c r="B141" s="42" t="n"/>
      <c r="C141" s="42" t="n"/>
      <c r="D141" s="42" t="n"/>
      <c r="E141" s="42" t="n"/>
      <c r="F141" s="42" t="n"/>
      <c r="G141" s="42" t="n"/>
      <c r="H141" s="42" t="n"/>
      <c r="I141" s="42" t="n"/>
      <c r="J141" s="42" t="n"/>
      <c r="K141" s="42" t="n"/>
      <c r="L141" s="42" t="n"/>
      <c r="M141" s="42" t="n"/>
      <c r="N141" s="42" t="n"/>
      <c r="O141" s="42" t="n"/>
      <c r="P141" s="42" t="n"/>
      <c r="Q141" s="43" t="n"/>
      <c r="R141" s="35" t="inlineStr">
        <is>
          <t>IF(AO141="","",AO141)</t>
        </is>
      </c>
      <c r="S141" s="44" t="n"/>
      <c r="T141" s="45" t="n"/>
      <c r="U141" s="44" t="n"/>
      <c r="V141" s="35" t="inlineStr">
        <is>
          <t>IF(U141&lt;&gt;"",U141,IF(OR(R141="",T141=""),"",EDATE(R141,T141)))</t>
        </is>
      </c>
      <c r="W141" s="44" t="n"/>
      <c r="X141" s="45" t="n"/>
      <c r="Y141" s="42" t="n"/>
      <c r="Z141" s="42" t="n"/>
      <c r="AA141" s="32" t="inlineStr">
        <is>
          <t>IF(E141="","",IF(COUNT(AG141:AT141)=0,IF(Y141="","Not started",Y141),SUBSTITUTE(LOOKUP(2,1/(AG141:AT141&lt;&gt;""),$AG$3:$AT$3),"Date: ","")))</t>
        </is>
      </c>
      <c r="AB141" s="38" t="inlineStr">
        <is>
          <t>IF(OR(E141="",COUNT(AG141:AT141)=0),"",TODAY()-LOOKUP(2,1/(AG141:AT141&lt;&gt;""),AG141:AT141))</t>
        </is>
      </c>
      <c r="AC141" s="38" t="inlineStr">
        <is>
          <t>IF(OR(E141="",COUNT(AG141:AT141)&lt;2),"",LOOKUP(2,1/(AG141:AT141&lt;&gt;""),AG141:AT141)-MIN(AG141:AT141))</t>
        </is>
      </c>
      <c r="AD141" s="38" t="inlineStr">
        <is>
          <t>IF(OR(AB141="",AA141="Not started",AA141=""),"",IFERROR(AB141-IF(VLOOKUP(AA141,'04_Status_Pipeline'!$B$3:$E$20,4,FALSE)="",0,VLOOKUP(AA141,'04_Status_Pipeline'!$B$3:$E$20,4,FALSE)),""))</t>
        </is>
      </c>
      <c r="AE141" s="32" t="inlineStr">
        <is>
          <t>IF(E141="","",IF(OR(Y141="Cancelled",AA141="Cancelled"),"Cancelled",IF(OR(AA141="Completed / Handover",W141&lt;&gt;"",X141&gt;=100),"Completed — on track",IF(L141="Remaining",IF(S141="",IF(V141="","No planned date",IF(TODAY()&gt;V141,"Behind — past planned date",IF(V141-TODAY()&lt;=30,"At risk — close to off track","On track"))),IF(TODAY()&gt;S141,"Behind — award date passed",IF(S141-TODAY()&lt;=30,"At risk — close to off track","On track"))),IF(V141="","No planned date",IF(AND(TODAY()&gt;V141,OR(X141="",X141&lt;100)),"Behind — past end date",IF(AND(R141&lt;&gt;"",V141&lt;&gt;"",X141&lt;&gt;"",(X141&lt;100),((TODAY()-R141)/MAX(V141-R141,1)*100)-X141&gt;15),"Behind — progress lag",IF(AND(V141-TODAY()&lt;=30,V141-TODAY()&gt;=0,OR(X141="",X141&lt;90)),"At risk — close to off track","On track"))))))))</t>
        </is>
      </c>
      <c r="AF141" s="38" t="inlineStr">
        <is>
          <t>IF(OR(E141="",AA141="Completed / Handover",AA141="Cancelled"),"",IF(L141="Remaining",IF(S141&lt;&gt;"",S141-TODAY(),IF(V141="","",V141-TODAY())),IF(V141="","",V141-TODAY())))</t>
        </is>
      </c>
      <c r="AG141" s="44" t="n"/>
      <c r="AH141" s="44" t="n"/>
      <c r="AI141" s="44" t="n"/>
      <c r="AJ141" s="44" t="n"/>
      <c r="AK141" s="44" t="n"/>
      <c r="AL141" s="44" t="n"/>
      <c r="AM141" s="44" t="n"/>
      <c r="AN141" s="44" t="n"/>
      <c r="AO141" s="44" t="n"/>
      <c r="AP141" s="44" t="n"/>
      <c r="AQ141" s="44" t="n"/>
      <c r="AR141" s="40" t="n"/>
      <c r="AS141" s="40" t="n"/>
      <c r="AT141" s="40" t="n"/>
      <c r="AU141" s="38" t="inlineStr">
        <is>
          <t>IF(OR(E141="",AH141=""),"",IF(COUNT(AG141:AG141)=0,"",AH141-LOOKUP(2,1/(AG141:AG141&lt;&gt;""),AG141:AG141)))</t>
        </is>
      </c>
      <c r="AV141" s="38" t="inlineStr">
        <is>
          <t>IF(OR(E141="",AI141=""),"",IF(COUNT(AG141:AH141)=0,"",AI141-LOOKUP(2,1/(AG141:AH141&lt;&gt;""),AG141:AH141)))</t>
        </is>
      </c>
      <c r="AW141" s="38" t="inlineStr">
        <is>
          <t>IF(OR(E141="",AJ141=""),"",IF(COUNT(AG141:AI141)=0,"",AJ141-LOOKUP(2,1/(AG141:AI141&lt;&gt;""),AG141:AI141)))</t>
        </is>
      </c>
      <c r="AX141" s="38" t="inlineStr">
        <is>
          <t>IF(OR(E141="",AK141=""),"",IF(COUNT(AG141:AJ141)=0,"",AK141-LOOKUP(2,1/(AG141:AJ141&lt;&gt;""),AG141:AJ141)))</t>
        </is>
      </c>
      <c r="AY141" s="38" t="inlineStr">
        <is>
          <t>IF(OR(E141="",AL141=""),"",IF(COUNT(AG141:AK141)=0,"",AL141-LOOKUP(2,1/(AG141:AK141&lt;&gt;""),AG141:AK141)))</t>
        </is>
      </c>
      <c r="AZ141" s="38" t="inlineStr">
        <is>
          <t>IF(OR(E141="",AM141=""),"",IF(COUNT(AG141:AL141)=0,"",AM141-LOOKUP(2,1/(AG141:AL141&lt;&gt;""),AG141:AL141)))</t>
        </is>
      </c>
      <c r="BA141" s="38" t="inlineStr">
        <is>
          <t>IF(OR(E141="",AN141=""),"",IF(COUNT(AG141:AM141)=0,"",AN141-LOOKUP(2,1/(AG141:AM141&lt;&gt;""),AG141:AM141)))</t>
        </is>
      </c>
      <c r="BB141" s="38" t="inlineStr">
        <is>
          <t>IF(OR(E141="",AO141=""),"",IF(COUNT(AG141:AN141)=0,"",AO141-LOOKUP(2,1/(AG141:AN141&lt;&gt;""),AG141:AN141)))</t>
        </is>
      </c>
      <c r="BC141" s="38" t="inlineStr">
        <is>
          <t>IF(OR(E141="",AP141=""),"",IF(COUNT(AG141:AO141)=0,"",AP141-LOOKUP(2,1/(AG141:AO141&lt;&gt;""),AG141:AO141)))</t>
        </is>
      </c>
      <c r="BD141" s="38" t="inlineStr">
        <is>
          <t>IF(OR(E141="",AQ141=""),"",IF(COUNT(AG141:AP141)=0,"",AQ141-LOOKUP(2,1/(AG141:AP141&lt;&gt;""),AG141:AP141)))</t>
        </is>
      </c>
      <c r="BE141" s="38" t="inlineStr">
        <is>
          <t>IF(OR(E141="",AR141=""),"",IF(COUNT(AG141:AQ141)=0,"",AR141-LOOKUP(2,1/(AG141:AQ141&lt;&gt;""),AG141:AQ141)))</t>
        </is>
      </c>
      <c r="BF141" s="38" t="inlineStr">
        <is>
          <t>IF(OR(E141="",AS141=""),"",IF(COUNT(AG141:AR141)=0,"",AS141-LOOKUP(2,1/(AG141:AR141&lt;&gt;""),AG141:AR141)))</t>
        </is>
      </c>
      <c r="BG141" s="38" t="inlineStr">
        <is>
          <t>IF(OR(E141="",AT141=""),"",IF(COUNT(AG141:AS141)=0,"",AT141-LOOKUP(2,1/(AG141:AS141&lt;&gt;""),AG141:AS141)))</t>
        </is>
      </c>
      <c r="BH141" s="41" t="inlineStr">
        <is>
          <t>IF(G141="","All_Provinces",IFERROR(VLOOKUP(G141,'07_Lookups'!$A$4:$B$20,2,FALSE),"All_Provinces"))</t>
        </is>
      </c>
      <c r="BI141" s="41" t="inlineStr">
        <is>
          <t>IF(H141="","All_Districts",IFERROR(VLOOKUP(H141,'07_Lookups'!$E$4:$F$42,2,FALSE),"All_Districts"))</t>
        </is>
      </c>
    </row>
    <row r="142" ht="18" customHeight="1">
      <c r="A142" s="32" t="inlineStr">
        <is>
          <t>IF(E142="","",ROW()-3)</t>
        </is>
      </c>
      <c r="B142" s="33" t="n"/>
      <c r="C142" s="33" t="n"/>
      <c r="D142" s="33" t="n"/>
      <c r="E142" s="33" t="n"/>
      <c r="F142" s="33" t="n"/>
      <c r="G142" s="33" t="n"/>
      <c r="H142" s="33" t="n"/>
      <c r="I142" s="33" t="n"/>
      <c r="J142" s="33" t="n"/>
      <c r="K142" s="33" t="n"/>
      <c r="L142" s="33" t="n"/>
      <c r="M142" s="33" t="n"/>
      <c r="N142" s="33" t="n"/>
      <c r="O142" s="33" t="n"/>
      <c r="P142" s="33" t="n"/>
      <c r="Q142" s="34" t="n"/>
      <c r="R142" s="35" t="inlineStr">
        <is>
          <t>IF(AO142="","",AO142)</t>
        </is>
      </c>
      <c r="S142" s="36" t="n"/>
      <c r="T142" s="37" t="n"/>
      <c r="U142" s="36" t="n"/>
      <c r="V142" s="35" t="inlineStr">
        <is>
          <t>IF(U142&lt;&gt;"",U142,IF(OR(R142="",T142=""),"",EDATE(R142,T142)))</t>
        </is>
      </c>
      <c r="W142" s="36" t="n"/>
      <c r="X142" s="37" t="n"/>
      <c r="Y142" s="33" t="n"/>
      <c r="Z142" s="33" t="n"/>
      <c r="AA142" s="32" t="inlineStr">
        <is>
          <t>IF(E142="","",IF(COUNT(AG142:AT142)=0,IF(Y142="","Not started",Y142),SUBSTITUTE(LOOKUP(2,1/(AG142:AT142&lt;&gt;""),$AG$3:$AT$3),"Date: ","")))</t>
        </is>
      </c>
      <c r="AB142" s="38" t="inlineStr">
        <is>
          <t>IF(OR(E142="",COUNT(AG142:AT142)=0),"",TODAY()-LOOKUP(2,1/(AG142:AT142&lt;&gt;""),AG142:AT142))</t>
        </is>
      </c>
      <c r="AC142" s="38" t="inlineStr">
        <is>
          <t>IF(OR(E142="",COUNT(AG142:AT142)&lt;2),"",LOOKUP(2,1/(AG142:AT142&lt;&gt;""),AG142:AT142)-MIN(AG142:AT142))</t>
        </is>
      </c>
      <c r="AD142" s="38" t="inlineStr">
        <is>
          <t>IF(OR(AB142="",AA142="Not started",AA142=""),"",IFERROR(AB142-IF(VLOOKUP(AA142,'04_Status_Pipeline'!$B$3:$E$20,4,FALSE)="",0,VLOOKUP(AA142,'04_Status_Pipeline'!$B$3:$E$20,4,FALSE)),""))</t>
        </is>
      </c>
      <c r="AE142" s="32" t="inlineStr">
        <is>
          <t>IF(E142="","",IF(OR(Y142="Cancelled",AA142="Cancelled"),"Cancelled",IF(OR(AA142="Completed / Handover",W142&lt;&gt;"",X142&gt;=100),"Completed — on track",IF(L142="Remaining",IF(S142="",IF(V142="","No planned date",IF(TODAY()&gt;V142,"Behind — past planned date",IF(V142-TODAY()&lt;=30,"At risk — close to off track","On track"))),IF(TODAY()&gt;S142,"Behind — award date passed",IF(S142-TODAY()&lt;=30,"At risk — close to off track","On track"))),IF(V142="","No planned date",IF(AND(TODAY()&gt;V142,OR(X142="",X142&lt;100)),"Behind — past end date",IF(AND(R142&lt;&gt;"",V142&lt;&gt;"",X142&lt;&gt;"",(X142&lt;100),((TODAY()-R142)/MAX(V142-R142,1)*100)-X142&gt;15),"Behind — progress lag",IF(AND(V142-TODAY()&lt;=30,V142-TODAY()&gt;=0,OR(X142="",X142&lt;90)),"At risk — close to off track","On track"))))))))</t>
        </is>
      </c>
      <c r="AF142" s="38" t="inlineStr">
        <is>
          <t>IF(OR(E142="",AA142="Completed / Handover",AA142="Cancelled"),"",IF(L142="Remaining",IF(S142&lt;&gt;"",S142-TODAY(),IF(V142="","",V142-TODAY())),IF(V142="","",V142-TODAY())))</t>
        </is>
      </c>
      <c r="AG142" s="36" t="n"/>
      <c r="AH142" s="36" t="n"/>
      <c r="AI142" s="36" t="n"/>
      <c r="AJ142" s="36" t="n"/>
      <c r="AK142" s="36" t="n"/>
      <c r="AL142" s="36" t="n"/>
      <c r="AM142" s="36" t="n"/>
      <c r="AN142" s="36" t="n"/>
      <c r="AO142" s="36" t="n"/>
      <c r="AP142" s="36" t="n"/>
      <c r="AQ142" s="36" t="n"/>
      <c r="AR142" s="40" t="n"/>
      <c r="AS142" s="40" t="n"/>
      <c r="AT142" s="40" t="n"/>
      <c r="AU142" s="38" t="inlineStr">
        <is>
          <t>IF(OR(E142="",AH142=""),"",IF(COUNT(AG142:AG142)=0,"",AH142-LOOKUP(2,1/(AG142:AG142&lt;&gt;""),AG142:AG142)))</t>
        </is>
      </c>
      <c r="AV142" s="38" t="inlineStr">
        <is>
          <t>IF(OR(E142="",AI142=""),"",IF(COUNT(AG142:AH142)=0,"",AI142-LOOKUP(2,1/(AG142:AH142&lt;&gt;""),AG142:AH142)))</t>
        </is>
      </c>
      <c r="AW142" s="38" t="inlineStr">
        <is>
          <t>IF(OR(E142="",AJ142=""),"",IF(COUNT(AG142:AI142)=0,"",AJ142-LOOKUP(2,1/(AG142:AI142&lt;&gt;""),AG142:AI142)))</t>
        </is>
      </c>
      <c r="AX142" s="38" t="inlineStr">
        <is>
          <t>IF(OR(E142="",AK142=""),"",IF(COUNT(AG142:AJ142)=0,"",AK142-LOOKUP(2,1/(AG142:AJ142&lt;&gt;""),AG142:AJ142)))</t>
        </is>
      </c>
      <c r="AY142" s="38" t="inlineStr">
        <is>
          <t>IF(OR(E142="",AL142=""),"",IF(COUNT(AG142:AK142)=0,"",AL142-LOOKUP(2,1/(AG142:AK142&lt;&gt;""),AG142:AK142)))</t>
        </is>
      </c>
      <c r="AZ142" s="38" t="inlineStr">
        <is>
          <t>IF(OR(E142="",AM142=""),"",IF(COUNT(AG142:AL142)=0,"",AM142-LOOKUP(2,1/(AG142:AL142&lt;&gt;""),AG142:AL142)))</t>
        </is>
      </c>
      <c r="BA142" s="38" t="inlineStr">
        <is>
          <t>IF(OR(E142="",AN142=""),"",IF(COUNT(AG142:AM142)=0,"",AN142-LOOKUP(2,1/(AG142:AM142&lt;&gt;""),AG142:AM142)))</t>
        </is>
      </c>
      <c r="BB142" s="38" t="inlineStr">
        <is>
          <t>IF(OR(E142="",AO142=""),"",IF(COUNT(AG142:AN142)=0,"",AO142-LOOKUP(2,1/(AG142:AN142&lt;&gt;""),AG142:AN142)))</t>
        </is>
      </c>
      <c r="BC142" s="38" t="inlineStr">
        <is>
          <t>IF(OR(E142="",AP142=""),"",IF(COUNT(AG142:AO142)=0,"",AP142-LOOKUP(2,1/(AG142:AO142&lt;&gt;""),AG142:AO142)))</t>
        </is>
      </c>
      <c r="BD142" s="38" t="inlineStr">
        <is>
          <t>IF(OR(E142="",AQ142=""),"",IF(COUNT(AG142:AP142)=0,"",AQ142-LOOKUP(2,1/(AG142:AP142&lt;&gt;""),AG142:AP142)))</t>
        </is>
      </c>
      <c r="BE142" s="38" t="inlineStr">
        <is>
          <t>IF(OR(E142="",AR142=""),"",IF(COUNT(AG142:AQ142)=0,"",AR142-LOOKUP(2,1/(AG142:AQ142&lt;&gt;""),AG142:AQ142)))</t>
        </is>
      </c>
      <c r="BF142" s="38" t="inlineStr">
        <is>
          <t>IF(OR(E142="",AS142=""),"",IF(COUNT(AG142:AR142)=0,"",AS142-LOOKUP(2,1/(AG142:AR142&lt;&gt;""),AG142:AR142)))</t>
        </is>
      </c>
      <c r="BG142" s="38" t="inlineStr">
        <is>
          <t>IF(OR(E142="",AT142=""),"",IF(COUNT(AG142:AS142)=0,"",AT142-LOOKUP(2,1/(AG142:AS142&lt;&gt;""),AG142:AS142)))</t>
        </is>
      </c>
      <c r="BH142" s="41" t="inlineStr">
        <is>
          <t>IF(G142="","All_Provinces",IFERROR(VLOOKUP(G142,'07_Lookups'!$A$4:$B$20,2,FALSE),"All_Provinces"))</t>
        </is>
      </c>
      <c r="BI142" s="41" t="inlineStr">
        <is>
          <t>IF(H142="","All_Districts",IFERROR(VLOOKUP(H142,'07_Lookups'!$E$4:$F$42,2,FALSE),"All_Districts"))</t>
        </is>
      </c>
    </row>
    <row r="143" ht="18" customHeight="1">
      <c r="A143" s="32" t="inlineStr">
        <is>
          <t>IF(E143="","",ROW()-3)</t>
        </is>
      </c>
      <c r="B143" s="42" t="n"/>
      <c r="C143" s="42" t="n"/>
      <c r="D143" s="42" t="n"/>
      <c r="E143" s="42" t="n"/>
      <c r="F143" s="42" t="n"/>
      <c r="G143" s="42" t="n"/>
      <c r="H143" s="42" t="n"/>
      <c r="I143" s="42" t="n"/>
      <c r="J143" s="42" t="n"/>
      <c r="K143" s="42" t="n"/>
      <c r="L143" s="42" t="n"/>
      <c r="M143" s="42" t="n"/>
      <c r="N143" s="42" t="n"/>
      <c r="O143" s="42" t="n"/>
      <c r="P143" s="42" t="n"/>
      <c r="Q143" s="43" t="n"/>
      <c r="R143" s="35" t="inlineStr">
        <is>
          <t>IF(AO143="","",AO143)</t>
        </is>
      </c>
      <c r="S143" s="44" t="n"/>
      <c r="T143" s="45" t="n"/>
      <c r="U143" s="44" t="n"/>
      <c r="V143" s="35" t="inlineStr">
        <is>
          <t>IF(U143&lt;&gt;"",U143,IF(OR(R143="",T143=""),"",EDATE(R143,T143)))</t>
        </is>
      </c>
      <c r="W143" s="44" t="n"/>
      <c r="X143" s="45" t="n"/>
      <c r="Y143" s="42" t="n"/>
      <c r="Z143" s="42" t="n"/>
      <c r="AA143" s="32" t="inlineStr">
        <is>
          <t>IF(E143="","",IF(COUNT(AG143:AT143)=0,IF(Y143="","Not started",Y143),SUBSTITUTE(LOOKUP(2,1/(AG143:AT143&lt;&gt;""),$AG$3:$AT$3),"Date: ","")))</t>
        </is>
      </c>
      <c r="AB143" s="38" t="inlineStr">
        <is>
          <t>IF(OR(E143="",COUNT(AG143:AT143)=0),"",TODAY()-LOOKUP(2,1/(AG143:AT143&lt;&gt;""),AG143:AT143))</t>
        </is>
      </c>
      <c r="AC143" s="38" t="inlineStr">
        <is>
          <t>IF(OR(E143="",COUNT(AG143:AT143)&lt;2),"",LOOKUP(2,1/(AG143:AT143&lt;&gt;""),AG143:AT143)-MIN(AG143:AT143))</t>
        </is>
      </c>
      <c r="AD143" s="38" t="inlineStr">
        <is>
          <t>IF(OR(AB143="",AA143="Not started",AA143=""),"",IFERROR(AB143-IF(VLOOKUP(AA143,'04_Status_Pipeline'!$B$3:$E$20,4,FALSE)="",0,VLOOKUP(AA143,'04_Status_Pipeline'!$B$3:$E$20,4,FALSE)),""))</t>
        </is>
      </c>
      <c r="AE143" s="32" t="inlineStr">
        <is>
          <t>IF(E143="","",IF(OR(Y143="Cancelled",AA143="Cancelled"),"Cancelled",IF(OR(AA143="Completed / Handover",W143&lt;&gt;"",X143&gt;=100),"Completed — on track",IF(L143="Remaining",IF(S143="",IF(V143="","No planned date",IF(TODAY()&gt;V143,"Behind — past planned date",IF(V143-TODAY()&lt;=30,"At risk — close to off track","On track"))),IF(TODAY()&gt;S143,"Behind — award date passed",IF(S143-TODAY()&lt;=30,"At risk — close to off track","On track"))),IF(V143="","No planned date",IF(AND(TODAY()&gt;V143,OR(X143="",X143&lt;100)),"Behind — past end date",IF(AND(R143&lt;&gt;"",V143&lt;&gt;"",X143&lt;&gt;"",(X143&lt;100),((TODAY()-R143)/MAX(V143-R143,1)*100)-X143&gt;15),"Behind — progress lag",IF(AND(V143-TODAY()&lt;=30,V143-TODAY()&gt;=0,OR(X143="",X143&lt;90)),"At risk — close to off track","On track"))))))))</t>
        </is>
      </c>
      <c r="AF143" s="38" t="inlineStr">
        <is>
          <t>IF(OR(E143="",AA143="Completed / Handover",AA143="Cancelled"),"",IF(L143="Remaining",IF(S143&lt;&gt;"",S143-TODAY(),IF(V143="","",V143-TODAY())),IF(V143="","",V143-TODAY())))</t>
        </is>
      </c>
      <c r="AG143" s="44" t="n"/>
      <c r="AH143" s="44" t="n"/>
      <c r="AI143" s="44" t="n"/>
      <c r="AJ143" s="44" t="n"/>
      <c r="AK143" s="44" t="n"/>
      <c r="AL143" s="44" t="n"/>
      <c r="AM143" s="44" t="n"/>
      <c r="AN143" s="44" t="n"/>
      <c r="AO143" s="44" t="n"/>
      <c r="AP143" s="44" t="n"/>
      <c r="AQ143" s="44" t="n"/>
      <c r="AR143" s="40" t="n"/>
      <c r="AS143" s="40" t="n"/>
      <c r="AT143" s="40" t="n"/>
      <c r="AU143" s="38" t="inlineStr">
        <is>
          <t>IF(OR(E143="",AH143=""),"",IF(COUNT(AG143:AG143)=0,"",AH143-LOOKUP(2,1/(AG143:AG143&lt;&gt;""),AG143:AG143)))</t>
        </is>
      </c>
      <c r="AV143" s="38" t="inlineStr">
        <is>
          <t>IF(OR(E143="",AI143=""),"",IF(COUNT(AG143:AH143)=0,"",AI143-LOOKUP(2,1/(AG143:AH143&lt;&gt;""),AG143:AH143)))</t>
        </is>
      </c>
      <c r="AW143" s="38" t="inlineStr">
        <is>
          <t>IF(OR(E143="",AJ143=""),"",IF(COUNT(AG143:AI143)=0,"",AJ143-LOOKUP(2,1/(AG143:AI143&lt;&gt;""),AG143:AI143)))</t>
        </is>
      </c>
      <c r="AX143" s="38" t="inlineStr">
        <is>
          <t>IF(OR(E143="",AK143=""),"",IF(COUNT(AG143:AJ143)=0,"",AK143-LOOKUP(2,1/(AG143:AJ143&lt;&gt;""),AG143:AJ143)))</t>
        </is>
      </c>
      <c r="AY143" s="38" t="inlineStr">
        <is>
          <t>IF(OR(E143="",AL143=""),"",IF(COUNT(AG143:AK143)=0,"",AL143-LOOKUP(2,1/(AG143:AK143&lt;&gt;""),AG143:AK143)))</t>
        </is>
      </c>
      <c r="AZ143" s="38" t="inlineStr">
        <is>
          <t>IF(OR(E143="",AM143=""),"",IF(COUNT(AG143:AL143)=0,"",AM143-LOOKUP(2,1/(AG143:AL143&lt;&gt;""),AG143:AL143)))</t>
        </is>
      </c>
      <c r="BA143" s="38" t="inlineStr">
        <is>
          <t>IF(OR(E143="",AN143=""),"",IF(COUNT(AG143:AM143)=0,"",AN143-LOOKUP(2,1/(AG143:AM143&lt;&gt;""),AG143:AM143)))</t>
        </is>
      </c>
      <c r="BB143" s="38" t="inlineStr">
        <is>
          <t>IF(OR(E143="",AO143=""),"",IF(COUNT(AG143:AN143)=0,"",AO143-LOOKUP(2,1/(AG143:AN143&lt;&gt;""),AG143:AN143)))</t>
        </is>
      </c>
      <c r="BC143" s="38" t="inlineStr">
        <is>
          <t>IF(OR(E143="",AP143=""),"",IF(COUNT(AG143:AO143)=0,"",AP143-LOOKUP(2,1/(AG143:AO143&lt;&gt;""),AG143:AO143)))</t>
        </is>
      </c>
      <c r="BD143" s="38" t="inlineStr">
        <is>
          <t>IF(OR(E143="",AQ143=""),"",IF(COUNT(AG143:AP143)=0,"",AQ143-LOOKUP(2,1/(AG143:AP143&lt;&gt;""),AG143:AP143)))</t>
        </is>
      </c>
      <c r="BE143" s="38" t="inlineStr">
        <is>
          <t>IF(OR(E143="",AR143=""),"",IF(COUNT(AG143:AQ143)=0,"",AR143-LOOKUP(2,1/(AG143:AQ143&lt;&gt;""),AG143:AQ143)))</t>
        </is>
      </c>
      <c r="BF143" s="38" t="inlineStr">
        <is>
          <t>IF(OR(E143="",AS143=""),"",IF(COUNT(AG143:AR143)=0,"",AS143-LOOKUP(2,1/(AG143:AR143&lt;&gt;""),AG143:AR143)))</t>
        </is>
      </c>
      <c r="BG143" s="38" t="inlineStr">
        <is>
          <t>IF(OR(E143="",AT143=""),"",IF(COUNT(AG143:AS143)=0,"",AT143-LOOKUP(2,1/(AG143:AS143&lt;&gt;""),AG143:AS143)))</t>
        </is>
      </c>
      <c r="BH143" s="41" t="inlineStr">
        <is>
          <t>IF(G143="","All_Provinces",IFERROR(VLOOKUP(G143,'07_Lookups'!$A$4:$B$20,2,FALSE),"All_Provinces"))</t>
        </is>
      </c>
      <c r="BI143" s="41" t="inlineStr">
        <is>
          <t>IF(H143="","All_Districts",IFERROR(VLOOKUP(H143,'07_Lookups'!$E$4:$F$42,2,FALSE),"All_Districts"))</t>
        </is>
      </c>
    </row>
    <row r="144" ht="18" customHeight="1">
      <c r="A144" s="32" t="inlineStr">
        <is>
          <t>IF(E144="","",ROW()-3)</t>
        </is>
      </c>
      <c r="B144" s="33" t="n"/>
      <c r="C144" s="33" t="n"/>
      <c r="D144" s="33" t="n"/>
      <c r="E144" s="33" t="n"/>
      <c r="F144" s="33" t="n"/>
      <c r="G144" s="33" t="n"/>
      <c r="H144" s="33" t="n"/>
      <c r="I144" s="33" t="n"/>
      <c r="J144" s="33" t="n"/>
      <c r="K144" s="33" t="n"/>
      <c r="L144" s="33" t="n"/>
      <c r="M144" s="33" t="n"/>
      <c r="N144" s="33" t="n"/>
      <c r="O144" s="33" t="n"/>
      <c r="P144" s="33" t="n"/>
      <c r="Q144" s="34" t="n"/>
      <c r="R144" s="35" t="inlineStr">
        <is>
          <t>IF(AO144="","",AO144)</t>
        </is>
      </c>
      <c r="S144" s="36" t="n"/>
      <c r="T144" s="37" t="n"/>
      <c r="U144" s="36" t="n"/>
      <c r="V144" s="35" t="inlineStr">
        <is>
          <t>IF(U144&lt;&gt;"",U144,IF(OR(R144="",T144=""),"",EDATE(R144,T144)))</t>
        </is>
      </c>
      <c r="W144" s="36" t="n"/>
      <c r="X144" s="37" t="n"/>
      <c r="Y144" s="33" t="n"/>
      <c r="Z144" s="33" t="n"/>
      <c r="AA144" s="32" t="inlineStr">
        <is>
          <t>IF(E144="","",IF(COUNT(AG144:AT144)=0,IF(Y144="","Not started",Y144),SUBSTITUTE(LOOKUP(2,1/(AG144:AT144&lt;&gt;""),$AG$3:$AT$3),"Date: ","")))</t>
        </is>
      </c>
      <c r="AB144" s="38" t="inlineStr">
        <is>
          <t>IF(OR(E144="",COUNT(AG144:AT144)=0),"",TODAY()-LOOKUP(2,1/(AG144:AT144&lt;&gt;""),AG144:AT144))</t>
        </is>
      </c>
      <c r="AC144" s="38" t="inlineStr">
        <is>
          <t>IF(OR(E144="",COUNT(AG144:AT144)&lt;2),"",LOOKUP(2,1/(AG144:AT144&lt;&gt;""),AG144:AT144)-MIN(AG144:AT144))</t>
        </is>
      </c>
      <c r="AD144" s="38" t="inlineStr">
        <is>
          <t>IF(OR(AB144="",AA144="Not started",AA144=""),"",IFERROR(AB144-IF(VLOOKUP(AA144,'04_Status_Pipeline'!$B$3:$E$20,4,FALSE)="",0,VLOOKUP(AA144,'04_Status_Pipeline'!$B$3:$E$20,4,FALSE)),""))</t>
        </is>
      </c>
      <c r="AE144" s="32" t="inlineStr">
        <is>
          <t>IF(E144="","",IF(OR(Y144="Cancelled",AA144="Cancelled"),"Cancelled",IF(OR(AA144="Completed / Handover",W144&lt;&gt;"",X144&gt;=100),"Completed — on track",IF(L144="Remaining",IF(S144="",IF(V144="","No planned date",IF(TODAY()&gt;V144,"Behind — past planned date",IF(V144-TODAY()&lt;=30,"At risk — close to off track","On track"))),IF(TODAY()&gt;S144,"Behind — award date passed",IF(S144-TODAY()&lt;=30,"At risk — close to off track","On track"))),IF(V144="","No planned date",IF(AND(TODAY()&gt;V144,OR(X144="",X144&lt;100)),"Behind — past end date",IF(AND(R144&lt;&gt;"",V144&lt;&gt;"",X144&lt;&gt;"",(X144&lt;100),((TODAY()-R144)/MAX(V144-R144,1)*100)-X144&gt;15),"Behind — progress lag",IF(AND(V144-TODAY()&lt;=30,V144-TODAY()&gt;=0,OR(X144="",X144&lt;90)),"At risk — close to off track","On track"))))))))</t>
        </is>
      </c>
      <c r="AF144" s="38" t="inlineStr">
        <is>
          <t>IF(OR(E144="",AA144="Completed / Handover",AA144="Cancelled"),"",IF(L144="Remaining",IF(S144&lt;&gt;"",S144-TODAY(),IF(V144="","",V144-TODAY())),IF(V144="","",V144-TODAY())))</t>
        </is>
      </c>
      <c r="AG144" s="36" t="n"/>
      <c r="AH144" s="36" t="n"/>
      <c r="AI144" s="36" t="n"/>
      <c r="AJ144" s="36" t="n"/>
      <c r="AK144" s="36" t="n"/>
      <c r="AL144" s="36" t="n"/>
      <c r="AM144" s="36" t="n"/>
      <c r="AN144" s="36" t="n"/>
      <c r="AO144" s="36" t="n"/>
      <c r="AP144" s="36" t="n"/>
      <c r="AQ144" s="36" t="n"/>
      <c r="AR144" s="40" t="n"/>
      <c r="AS144" s="40" t="n"/>
      <c r="AT144" s="40" t="n"/>
      <c r="AU144" s="38" t="inlineStr">
        <is>
          <t>IF(OR(E144="",AH144=""),"",IF(COUNT(AG144:AG144)=0,"",AH144-LOOKUP(2,1/(AG144:AG144&lt;&gt;""),AG144:AG144)))</t>
        </is>
      </c>
      <c r="AV144" s="38" t="inlineStr">
        <is>
          <t>IF(OR(E144="",AI144=""),"",IF(COUNT(AG144:AH144)=0,"",AI144-LOOKUP(2,1/(AG144:AH144&lt;&gt;""),AG144:AH144)))</t>
        </is>
      </c>
      <c r="AW144" s="38" t="inlineStr">
        <is>
          <t>IF(OR(E144="",AJ144=""),"",IF(COUNT(AG144:AI144)=0,"",AJ144-LOOKUP(2,1/(AG144:AI144&lt;&gt;""),AG144:AI144)))</t>
        </is>
      </c>
      <c r="AX144" s="38" t="inlineStr">
        <is>
          <t>IF(OR(E144="",AK144=""),"",IF(COUNT(AG144:AJ144)=0,"",AK144-LOOKUP(2,1/(AG144:AJ144&lt;&gt;""),AG144:AJ144)))</t>
        </is>
      </c>
      <c r="AY144" s="38" t="inlineStr">
        <is>
          <t>IF(OR(E144="",AL144=""),"",IF(COUNT(AG144:AK144)=0,"",AL144-LOOKUP(2,1/(AG144:AK144&lt;&gt;""),AG144:AK144)))</t>
        </is>
      </c>
      <c r="AZ144" s="38" t="inlineStr">
        <is>
          <t>IF(OR(E144="",AM144=""),"",IF(COUNT(AG144:AL144)=0,"",AM144-LOOKUP(2,1/(AG144:AL144&lt;&gt;""),AG144:AL144)))</t>
        </is>
      </c>
      <c r="BA144" s="38" t="inlineStr">
        <is>
          <t>IF(OR(E144="",AN144=""),"",IF(COUNT(AG144:AM144)=0,"",AN144-LOOKUP(2,1/(AG144:AM144&lt;&gt;""),AG144:AM144)))</t>
        </is>
      </c>
      <c r="BB144" s="38" t="inlineStr">
        <is>
          <t>IF(OR(E144="",AO144=""),"",IF(COUNT(AG144:AN144)=0,"",AO144-LOOKUP(2,1/(AG144:AN144&lt;&gt;""),AG144:AN144)))</t>
        </is>
      </c>
      <c r="BC144" s="38" t="inlineStr">
        <is>
          <t>IF(OR(E144="",AP144=""),"",IF(COUNT(AG144:AO144)=0,"",AP144-LOOKUP(2,1/(AG144:AO144&lt;&gt;""),AG144:AO144)))</t>
        </is>
      </c>
      <c r="BD144" s="38" t="inlineStr">
        <is>
          <t>IF(OR(E144="",AQ144=""),"",IF(COUNT(AG144:AP144)=0,"",AQ144-LOOKUP(2,1/(AG144:AP144&lt;&gt;""),AG144:AP144)))</t>
        </is>
      </c>
      <c r="BE144" s="38" t="inlineStr">
        <is>
          <t>IF(OR(E144="",AR144=""),"",IF(COUNT(AG144:AQ144)=0,"",AR144-LOOKUP(2,1/(AG144:AQ144&lt;&gt;""),AG144:AQ144)))</t>
        </is>
      </c>
      <c r="BF144" s="38" t="inlineStr">
        <is>
          <t>IF(OR(E144="",AS144=""),"",IF(COUNT(AG144:AR144)=0,"",AS144-LOOKUP(2,1/(AG144:AR144&lt;&gt;""),AG144:AR144)))</t>
        </is>
      </c>
      <c r="BG144" s="38" t="inlineStr">
        <is>
          <t>IF(OR(E144="",AT144=""),"",IF(COUNT(AG144:AS144)=0,"",AT144-LOOKUP(2,1/(AG144:AS144&lt;&gt;""),AG144:AS144)))</t>
        </is>
      </c>
      <c r="BH144" s="41" t="inlineStr">
        <is>
          <t>IF(G144="","All_Provinces",IFERROR(VLOOKUP(G144,'07_Lookups'!$A$4:$B$20,2,FALSE),"All_Provinces"))</t>
        </is>
      </c>
      <c r="BI144" s="41" t="inlineStr">
        <is>
          <t>IF(H144="","All_Districts",IFERROR(VLOOKUP(H144,'07_Lookups'!$E$4:$F$42,2,FALSE),"All_Districts"))</t>
        </is>
      </c>
    </row>
    <row r="145" ht="18" customHeight="1">
      <c r="A145" s="32" t="inlineStr">
        <is>
          <t>IF(E145="","",ROW()-3)</t>
        </is>
      </c>
      <c r="B145" s="42" t="n"/>
      <c r="C145" s="42" t="n"/>
      <c r="D145" s="42" t="n"/>
      <c r="E145" s="42" t="n"/>
      <c r="F145" s="42" t="n"/>
      <c r="G145" s="42" t="n"/>
      <c r="H145" s="42" t="n"/>
      <c r="I145" s="42" t="n"/>
      <c r="J145" s="42" t="n"/>
      <c r="K145" s="42" t="n"/>
      <c r="L145" s="42" t="n"/>
      <c r="M145" s="42" t="n"/>
      <c r="N145" s="42" t="n"/>
      <c r="O145" s="42" t="n"/>
      <c r="P145" s="42" t="n"/>
      <c r="Q145" s="43" t="n"/>
      <c r="R145" s="35" t="inlineStr">
        <is>
          <t>IF(AO145="","",AO145)</t>
        </is>
      </c>
      <c r="S145" s="44" t="n"/>
      <c r="T145" s="45" t="n"/>
      <c r="U145" s="44" t="n"/>
      <c r="V145" s="35" t="inlineStr">
        <is>
          <t>IF(U145&lt;&gt;"",U145,IF(OR(R145="",T145=""),"",EDATE(R145,T145)))</t>
        </is>
      </c>
      <c r="W145" s="44" t="n"/>
      <c r="X145" s="45" t="n"/>
      <c r="Y145" s="42" t="n"/>
      <c r="Z145" s="42" t="n"/>
      <c r="AA145" s="32" t="inlineStr">
        <is>
          <t>IF(E145="","",IF(COUNT(AG145:AT145)=0,IF(Y145="","Not started",Y145),SUBSTITUTE(LOOKUP(2,1/(AG145:AT145&lt;&gt;""),$AG$3:$AT$3),"Date: ","")))</t>
        </is>
      </c>
      <c r="AB145" s="38" t="inlineStr">
        <is>
          <t>IF(OR(E145="",COUNT(AG145:AT145)=0),"",TODAY()-LOOKUP(2,1/(AG145:AT145&lt;&gt;""),AG145:AT145))</t>
        </is>
      </c>
      <c r="AC145" s="38" t="inlineStr">
        <is>
          <t>IF(OR(E145="",COUNT(AG145:AT145)&lt;2),"",LOOKUP(2,1/(AG145:AT145&lt;&gt;""),AG145:AT145)-MIN(AG145:AT145))</t>
        </is>
      </c>
      <c r="AD145" s="38" t="inlineStr">
        <is>
          <t>IF(OR(AB145="",AA145="Not started",AA145=""),"",IFERROR(AB145-IF(VLOOKUP(AA145,'04_Status_Pipeline'!$B$3:$E$20,4,FALSE)="",0,VLOOKUP(AA145,'04_Status_Pipeline'!$B$3:$E$20,4,FALSE)),""))</t>
        </is>
      </c>
      <c r="AE145" s="32" t="inlineStr">
        <is>
          <t>IF(E145="","",IF(OR(Y145="Cancelled",AA145="Cancelled"),"Cancelled",IF(OR(AA145="Completed / Handover",W145&lt;&gt;"",X145&gt;=100),"Completed — on track",IF(L145="Remaining",IF(S145="",IF(V145="","No planned date",IF(TODAY()&gt;V145,"Behind — past planned date",IF(V145-TODAY()&lt;=30,"At risk — close to off track","On track"))),IF(TODAY()&gt;S145,"Behind — award date passed",IF(S145-TODAY()&lt;=30,"At risk — close to off track","On track"))),IF(V145="","No planned date",IF(AND(TODAY()&gt;V145,OR(X145="",X145&lt;100)),"Behind — past end date",IF(AND(R145&lt;&gt;"",V145&lt;&gt;"",X145&lt;&gt;"",(X145&lt;100),((TODAY()-R145)/MAX(V145-R145,1)*100)-X145&gt;15),"Behind — progress lag",IF(AND(V145-TODAY()&lt;=30,V145-TODAY()&gt;=0,OR(X145="",X145&lt;90)),"At risk — close to off track","On track"))))))))</t>
        </is>
      </c>
      <c r="AF145" s="38" t="inlineStr">
        <is>
          <t>IF(OR(E145="",AA145="Completed / Handover",AA145="Cancelled"),"",IF(L145="Remaining",IF(S145&lt;&gt;"",S145-TODAY(),IF(V145="","",V145-TODAY())),IF(V145="","",V145-TODAY())))</t>
        </is>
      </c>
      <c r="AG145" s="44" t="n"/>
      <c r="AH145" s="44" t="n"/>
      <c r="AI145" s="44" t="n"/>
      <c r="AJ145" s="44" t="n"/>
      <c r="AK145" s="44" t="n"/>
      <c r="AL145" s="44" t="n"/>
      <c r="AM145" s="44" t="n"/>
      <c r="AN145" s="44" t="n"/>
      <c r="AO145" s="44" t="n"/>
      <c r="AP145" s="44" t="n"/>
      <c r="AQ145" s="44" t="n"/>
      <c r="AR145" s="40" t="n"/>
      <c r="AS145" s="40" t="n"/>
      <c r="AT145" s="40" t="n"/>
      <c r="AU145" s="38" t="inlineStr">
        <is>
          <t>IF(OR(E145="",AH145=""),"",IF(COUNT(AG145:AG145)=0,"",AH145-LOOKUP(2,1/(AG145:AG145&lt;&gt;""),AG145:AG145)))</t>
        </is>
      </c>
      <c r="AV145" s="38" t="inlineStr">
        <is>
          <t>IF(OR(E145="",AI145=""),"",IF(COUNT(AG145:AH145)=0,"",AI145-LOOKUP(2,1/(AG145:AH145&lt;&gt;""),AG145:AH145)))</t>
        </is>
      </c>
      <c r="AW145" s="38" t="inlineStr">
        <is>
          <t>IF(OR(E145="",AJ145=""),"",IF(COUNT(AG145:AI145)=0,"",AJ145-LOOKUP(2,1/(AG145:AI145&lt;&gt;""),AG145:AI145)))</t>
        </is>
      </c>
      <c r="AX145" s="38" t="inlineStr">
        <is>
          <t>IF(OR(E145="",AK145=""),"",IF(COUNT(AG145:AJ145)=0,"",AK145-LOOKUP(2,1/(AG145:AJ145&lt;&gt;""),AG145:AJ145)))</t>
        </is>
      </c>
      <c r="AY145" s="38" t="inlineStr">
        <is>
          <t>IF(OR(E145="",AL145=""),"",IF(COUNT(AG145:AK145)=0,"",AL145-LOOKUP(2,1/(AG145:AK145&lt;&gt;""),AG145:AK145)))</t>
        </is>
      </c>
      <c r="AZ145" s="38" t="inlineStr">
        <is>
          <t>IF(OR(E145="",AM145=""),"",IF(COUNT(AG145:AL145)=0,"",AM145-LOOKUP(2,1/(AG145:AL145&lt;&gt;""),AG145:AL145)))</t>
        </is>
      </c>
      <c r="BA145" s="38" t="inlineStr">
        <is>
          <t>IF(OR(E145="",AN145=""),"",IF(COUNT(AG145:AM145)=0,"",AN145-LOOKUP(2,1/(AG145:AM145&lt;&gt;""),AG145:AM145)))</t>
        </is>
      </c>
      <c r="BB145" s="38" t="inlineStr">
        <is>
          <t>IF(OR(E145="",AO145=""),"",IF(COUNT(AG145:AN145)=0,"",AO145-LOOKUP(2,1/(AG145:AN145&lt;&gt;""),AG145:AN145)))</t>
        </is>
      </c>
      <c r="BC145" s="38" t="inlineStr">
        <is>
          <t>IF(OR(E145="",AP145=""),"",IF(COUNT(AG145:AO145)=0,"",AP145-LOOKUP(2,1/(AG145:AO145&lt;&gt;""),AG145:AO145)))</t>
        </is>
      </c>
      <c r="BD145" s="38" t="inlineStr">
        <is>
          <t>IF(OR(E145="",AQ145=""),"",IF(COUNT(AG145:AP145)=0,"",AQ145-LOOKUP(2,1/(AG145:AP145&lt;&gt;""),AG145:AP145)))</t>
        </is>
      </c>
      <c r="BE145" s="38" t="inlineStr">
        <is>
          <t>IF(OR(E145="",AR145=""),"",IF(COUNT(AG145:AQ145)=0,"",AR145-LOOKUP(2,1/(AG145:AQ145&lt;&gt;""),AG145:AQ145)))</t>
        </is>
      </c>
      <c r="BF145" s="38" t="inlineStr">
        <is>
          <t>IF(OR(E145="",AS145=""),"",IF(COUNT(AG145:AR145)=0,"",AS145-LOOKUP(2,1/(AG145:AR145&lt;&gt;""),AG145:AR145)))</t>
        </is>
      </c>
      <c r="BG145" s="38" t="inlineStr">
        <is>
          <t>IF(OR(E145="",AT145=""),"",IF(COUNT(AG145:AS145)=0,"",AT145-LOOKUP(2,1/(AG145:AS145&lt;&gt;""),AG145:AS145)))</t>
        </is>
      </c>
      <c r="BH145" s="41" t="inlineStr">
        <is>
          <t>IF(G145="","All_Provinces",IFERROR(VLOOKUP(G145,'07_Lookups'!$A$4:$B$20,2,FALSE),"All_Provinces"))</t>
        </is>
      </c>
      <c r="BI145" s="41" t="inlineStr">
        <is>
          <t>IF(H145="","All_Districts",IFERROR(VLOOKUP(H145,'07_Lookups'!$E$4:$F$42,2,FALSE),"All_Districts"))</t>
        </is>
      </c>
    </row>
    <row r="146" ht="18" customHeight="1">
      <c r="A146" s="32" t="inlineStr">
        <is>
          <t>IF(E146="","",ROW()-3)</t>
        </is>
      </c>
      <c r="B146" s="33" t="n"/>
      <c r="C146" s="33" t="n"/>
      <c r="D146" s="33" t="n"/>
      <c r="E146" s="33" t="n"/>
      <c r="F146" s="33" t="n"/>
      <c r="G146" s="33" t="n"/>
      <c r="H146" s="33" t="n"/>
      <c r="I146" s="33" t="n"/>
      <c r="J146" s="33" t="n"/>
      <c r="K146" s="33" t="n"/>
      <c r="L146" s="33" t="n"/>
      <c r="M146" s="33" t="n"/>
      <c r="N146" s="33" t="n"/>
      <c r="O146" s="33" t="n"/>
      <c r="P146" s="33" t="n"/>
      <c r="Q146" s="34" t="n"/>
      <c r="R146" s="35" t="inlineStr">
        <is>
          <t>IF(AO146="","",AO146)</t>
        </is>
      </c>
      <c r="S146" s="36" t="n"/>
      <c r="T146" s="37" t="n"/>
      <c r="U146" s="36" t="n"/>
      <c r="V146" s="35" t="inlineStr">
        <is>
          <t>IF(U146&lt;&gt;"",U146,IF(OR(R146="",T146=""),"",EDATE(R146,T146)))</t>
        </is>
      </c>
      <c r="W146" s="36" t="n"/>
      <c r="X146" s="37" t="n"/>
      <c r="Y146" s="33" t="n"/>
      <c r="Z146" s="33" t="n"/>
      <c r="AA146" s="32" t="inlineStr">
        <is>
          <t>IF(E146="","",IF(COUNT(AG146:AT146)=0,IF(Y146="","Not started",Y146),SUBSTITUTE(LOOKUP(2,1/(AG146:AT146&lt;&gt;""),$AG$3:$AT$3),"Date: ","")))</t>
        </is>
      </c>
      <c r="AB146" s="38" t="inlineStr">
        <is>
          <t>IF(OR(E146="",COUNT(AG146:AT146)=0),"",TODAY()-LOOKUP(2,1/(AG146:AT146&lt;&gt;""),AG146:AT146))</t>
        </is>
      </c>
      <c r="AC146" s="38" t="inlineStr">
        <is>
          <t>IF(OR(E146="",COUNT(AG146:AT146)&lt;2),"",LOOKUP(2,1/(AG146:AT146&lt;&gt;""),AG146:AT146)-MIN(AG146:AT146))</t>
        </is>
      </c>
      <c r="AD146" s="38" t="inlineStr">
        <is>
          <t>IF(OR(AB146="",AA146="Not started",AA146=""),"",IFERROR(AB146-IF(VLOOKUP(AA146,'04_Status_Pipeline'!$B$3:$E$20,4,FALSE)="",0,VLOOKUP(AA146,'04_Status_Pipeline'!$B$3:$E$20,4,FALSE)),""))</t>
        </is>
      </c>
      <c r="AE146" s="32" t="inlineStr">
        <is>
          <t>IF(E146="","",IF(OR(Y146="Cancelled",AA146="Cancelled"),"Cancelled",IF(OR(AA146="Completed / Handover",W146&lt;&gt;"",X146&gt;=100),"Completed — on track",IF(L146="Remaining",IF(S146="",IF(V146="","No planned date",IF(TODAY()&gt;V146,"Behind — past planned date",IF(V146-TODAY()&lt;=30,"At risk — close to off track","On track"))),IF(TODAY()&gt;S146,"Behind — award date passed",IF(S146-TODAY()&lt;=30,"At risk — close to off track","On track"))),IF(V146="","No planned date",IF(AND(TODAY()&gt;V146,OR(X146="",X146&lt;100)),"Behind — past end date",IF(AND(R146&lt;&gt;"",V146&lt;&gt;"",X146&lt;&gt;"",(X146&lt;100),((TODAY()-R146)/MAX(V146-R146,1)*100)-X146&gt;15),"Behind — progress lag",IF(AND(V146-TODAY()&lt;=30,V146-TODAY()&gt;=0,OR(X146="",X146&lt;90)),"At risk — close to off track","On track"))))))))</t>
        </is>
      </c>
      <c r="AF146" s="38" t="inlineStr">
        <is>
          <t>IF(OR(E146="",AA146="Completed / Handover",AA146="Cancelled"),"",IF(L146="Remaining",IF(S146&lt;&gt;"",S146-TODAY(),IF(V146="","",V146-TODAY())),IF(V146="","",V146-TODAY())))</t>
        </is>
      </c>
      <c r="AG146" s="36" t="n"/>
      <c r="AH146" s="36" t="n"/>
      <c r="AI146" s="36" t="n"/>
      <c r="AJ146" s="36" t="n"/>
      <c r="AK146" s="36" t="n"/>
      <c r="AL146" s="36" t="n"/>
      <c r="AM146" s="36" t="n"/>
      <c r="AN146" s="36" t="n"/>
      <c r="AO146" s="36" t="n"/>
      <c r="AP146" s="36" t="n"/>
      <c r="AQ146" s="36" t="n"/>
      <c r="AR146" s="40" t="n"/>
      <c r="AS146" s="40" t="n"/>
      <c r="AT146" s="40" t="n"/>
      <c r="AU146" s="38" t="inlineStr">
        <is>
          <t>IF(OR(E146="",AH146=""),"",IF(COUNT(AG146:AG146)=0,"",AH146-LOOKUP(2,1/(AG146:AG146&lt;&gt;""),AG146:AG146)))</t>
        </is>
      </c>
      <c r="AV146" s="38" t="inlineStr">
        <is>
          <t>IF(OR(E146="",AI146=""),"",IF(COUNT(AG146:AH146)=0,"",AI146-LOOKUP(2,1/(AG146:AH146&lt;&gt;""),AG146:AH146)))</t>
        </is>
      </c>
      <c r="AW146" s="38" t="inlineStr">
        <is>
          <t>IF(OR(E146="",AJ146=""),"",IF(COUNT(AG146:AI146)=0,"",AJ146-LOOKUP(2,1/(AG146:AI146&lt;&gt;""),AG146:AI146)))</t>
        </is>
      </c>
      <c r="AX146" s="38" t="inlineStr">
        <is>
          <t>IF(OR(E146="",AK146=""),"",IF(COUNT(AG146:AJ146)=0,"",AK146-LOOKUP(2,1/(AG146:AJ146&lt;&gt;""),AG146:AJ146)))</t>
        </is>
      </c>
      <c r="AY146" s="38" t="inlineStr">
        <is>
          <t>IF(OR(E146="",AL146=""),"",IF(COUNT(AG146:AK146)=0,"",AL146-LOOKUP(2,1/(AG146:AK146&lt;&gt;""),AG146:AK146)))</t>
        </is>
      </c>
      <c r="AZ146" s="38" t="inlineStr">
        <is>
          <t>IF(OR(E146="",AM146=""),"",IF(COUNT(AG146:AL146)=0,"",AM146-LOOKUP(2,1/(AG146:AL146&lt;&gt;""),AG146:AL146)))</t>
        </is>
      </c>
      <c r="BA146" s="38" t="inlineStr">
        <is>
          <t>IF(OR(E146="",AN146=""),"",IF(COUNT(AG146:AM146)=0,"",AN146-LOOKUP(2,1/(AG146:AM146&lt;&gt;""),AG146:AM146)))</t>
        </is>
      </c>
      <c r="BB146" s="38" t="inlineStr">
        <is>
          <t>IF(OR(E146="",AO146=""),"",IF(COUNT(AG146:AN146)=0,"",AO146-LOOKUP(2,1/(AG146:AN146&lt;&gt;""),AG146:AN146)))</t>
        </is>
      </c>
      <c r="BC146" s="38" t="inlineStr">
        <is>
          <t>IF(OR(E146="",AP146=""),"",IF(COUNT(AG146:AO146)=0,"",AP146-LOOKUP(2,1/(AG146:AO146&lt;&gt;""),AG146:AO146)))</t>
        </is>
      </c>
      <c r="BD146" s="38" t="inlineStr">
        <is>
          <t>IF(OR(E146="",AQ146=""),"",IF(COUNT(AG146:AP146)=0,"",AQ146-LOOKUP(2,1/(AG146:AP146&lt;&gt;""),AG146:AP146)))</t>
        </is>
      </c>
      <c r="BE146" s="38" t="inlineStr">
        <is>
          <t>IF(OR(E146="",AR146=""),"",IF(COUNT(AG146:AQ146)=0,"",AR146-LOOKUP(2,1/(AG146:AQ146&lt;&gt;""),AG146:AQ146)))</t>
        </is>
      </c>
      <c r="BF146" s="38" t="inlineStr">
        <is>
          <t>IF(OR(E146="",AS146=""),"",IF(COUNT(AG146:AR146)=0,"",AS146-LOOKUP(2,1/(AG146:AR146&lt;&gt;""),AG146:AR146)))</t>
        </is>
      </c>
      <c r="BG146" s="38" t="inlineStr">
        <is>
          <t>IF(OR(E146="",AT146=""),"",IF(COUNT(AG146:AS146)=0,"",AT146-LOOKUP(2,1/(AG146:AS146&lt;&gt;""),AG146:AS146)))</t>
        </is>
      </c>
      <c r="BH146" s="41" t="inlineStr">
        <is>
          <t>IF(G146="","All_Provinces",IFERROR(VLOOKUP(G146,'07_Lookups'!$A$4:$B$20,2,FALSE),"All_Provinces"))</t>
        </is>
      </c>
      <c r="BI146" s="41" t="inlineStr">
        <is>
          <t>IF(H146="","All_Districts",IFERROR(VLOOKUP(H146,'07_Lookups'!$E$4:$F$42,2,FALSE),"All_Districts"))</t>
        </is>
      </c>
    </row>
    <row r="147" ht="18" customHeight="1">
      <c r="A147" s="32" t="inlineStr">
        <is>
          <t>IF(E147="","",ROW()-3)</t>
        </is>
      </c>
      <c r="B147" s="42" t="n"/>
      <c r="C147" s="42" t="n"/>
      <c r="D147" s="42" t="n"/>
      <c r="E147" s="42" t="n"/>
      <c r="F147" s="42" t="n"/>
      <c r="G147" s="42" t="n"/>
      <c r="H147" s="42" t="n"/>
      <c r="I147" s="42" t="n"/>
      <c r="J147" s="42" t="n"/>
      <c r="K147" s="42" t="n"/>
      <c r="L147" s="42" t="n"/>
      <c r="M147" s="42" t="n"/>
      <c r="N147" s="42" t="n"/>
      <c r="O147" s="42" t="n"/>
      <c r="P147" s="42" t="n"/>
      <c r="Q147" s="43" t="n"/>
      <c r="R147" s="35" t="inlineStr">
        <is>
          <t>IF(AO147="","",AO147)</t>
        </is>
      </c>
      <c r="S147" s="44" t="n"/>
      <c r="T147" s="45" t="n"/>
      <c r="U147" s="44" t="n"/>
      <c r="V147" s="35" t="inlineStr">
        <is>
          <t>IF(U147&lt;&gt;"",U147,IF(OR(R147="",T147=""),"",EDATE(R147,T147)))</t>
        </is>
      </c>
      <c r="W147" s="44" t="n"/>
      <c r="X147" s="45" t="n"/>
      <c r="Y147" s="42" t="n"/>
      <c r="Z147" s="42" t="n"/>
      <c r="AA147" s="32" t="inlineStr">
        <is>
          <t>IF(E147="","",IF(COUNT(AG147:AT147)=0,IF(Y147="","Not started",Y147),SUBSTITUTE(LOOKUP(2,1/(AG147:AT147&lt;&gt;""),$AG$3:$AT$3),"Date: ","")))</t>
        </is>
      </c>
      <c r="AB147" s="38" t="inlineStr">
        <is>
          <t>IF(OR(E147="",COUNT(AG147:AT147)=0),"",TODAY()-LOOKUP(2,1/(AG147:AT147&lt;&gt;""),AG147:AT147))</t>
        </is>
      </c>
      <c r="AC147" s="38" t="inlineStr">
        <is>
          <t>IF(OR(E147="",COUNT(AG147:AT147)&lt;2),"",LOOKUP(2,1/(AG147:AT147&lt;&gt;""),AG147:AT147)-MIN(AG147:AT147))</t>
        </is>
      </c>
      <c r="AD147" s="38" t="inlineStr">
        <is>
          <t>IF(OR(AB147="",AA147="Not started",AA147=""),"",IFERROR(AB147-IF(VLOOKUP(AA147,'04_Status_Pipeline'!$B$3:$E$20,4,FALSE)="",0,VLOOKUP(AA147,'04_Status_Pipeline'!$B$3:$E$20,4,FALSE)),""))</t>
        </is>
      </c>
      <c r="AE147" s="32" t="inlineStr">
        <is>
          <t>IF(E147="","",IF(OR(Y147="Cancelled",AA147="Cancelled"),"Cancelled",IF(OR(AA147="Completed / Handover",W147&lt;&gt;"",X147&gt;=100),"Completed — on track",IF(L147="Remaining",IF(S147="",IF(V147="","No planned date",IF(TODAY()&gt;V147,"Behind — past planned date",IF(V147-TODAY()&lt;=30,"At risk — close to off track","On track"))),IF(TODAY()&gt;S147,"Behind — award date passed",IF(S147-TODAY()&lt;=30,"At risk — close to off track","On track"))),IF(V147="","No planned date",IF(AND(TODAY()&gt;V147,OR(X147="",X147&lt;100)),"Behind — past end date",IF(AND(R147&lt;&gt;"",V147&lt;&gt;"",X147&lt;&gt;"",(X147&lt;100),((TODAY()-R147)/MAX(V147-R147,1)*100)-X147&gt;15),"Behind — progress lag",IF(AND(V147-TODAY()&lt;=30,V147-TODAY()&gt;=0,OR(X147="",X147&lt;90)),"At risk — close to off track","On track"))))))))</t>
        </is>
      </c>
      <c r="AF147" s="38" t="inlineStr">
        <is>
          <t>IF(OR(E147="",AA147="Completed / Handover",AA147="Cancelled"),"",IF(L147="Remaining",IF(S147&lt;&gt;"",S147-TODAY(),IF(V147="","",V147-TODAY())),IF(V147="","",V147-TODAY())))</t>
        </is>
      </c>
      <c r="AG147" s="44" t="n"/>
      <c r="AH147" s="44" t="n"/>
      <c r="AI147" s="44" t="n"/>
      <c r="AJ147" s="44" t="n"/>
      <c r="AK147" s="44" t="n"/>
      <c r="AL147" s="44" t="n"/>
      <c r="AM147" s="44" t="n"/>
      <c r="AN147" s="44" t="n"/>
      <c r="AO147" s="44" t="n"/>
      <c r="AP147" s="44" t="n"/>
      <c r="AQ147" s="44" t="n"/>
      <c r="AR147" s="40" t="n"/>
      <c r="AS147" s="40" t="n"/>
      <c r="AT147" s="40" t="n"/>
      <c r="AU147" s="38" t="inlineStr">
        <is>
          <t>IF(OR(E147="",AH147=""),"",IF(COUNT(AG147:AG147)=0,"",AH147-LOOKUP(2,1/(AG147:AG147&lt;&gt;""),AG147:AG147)))</t>
        </is>
      </c>
      <c r="AV147" s="38" t="inlineStr">
        <is>
          <t>IF(OR(E147="",AI147=""),"",IF(COUNT(AG147:AH147)=0,"",AI147-LOOKUP(2,1/(AG147:AH147&lt;&gt;""),AG147:AH147)))</t>
        </is>
      </c>
      <c r="AW147" s="38" t="inlineStr">
        <is>
          <t>IF(OR(E147="",AJ147=""),"",IF(COUNT(AG147:AI147)=0,"",AJ147-LOOKUP(2,1/(AG147:AI147&lt;&gt;""),AG147:AI147)))</t>
        </is>
      </c>
      <c r="AX147" s="38" t="inlineStr">
        <is>
          <t>IF(OR(E147="",AK147=""),"",IF(COUNT(AG147:AJ147)=0,"",AK147-LOOKUP(2,1/(AG147:AJ147&lt;&gt;""),AG147:AJ147)))</t>
        </is>
      </c>
      <c r="AY147" s="38" t="inlineStr">
        <is>
          <t>IF(OR(E147="",AL147=""),"",IF(COUNT(AG147:AK147)=0,"",AL147-LOOKUP(2,1/(AG147:AK147&lt;&gt;""),AG147:AK147)))</t>
        </is>
      </c>
      <c r="AZ147" s="38" t="inlineStr">
        <is>
          <t>IF(OR(E147="",AM147=""),"",IF(COUNT(AG147:AL147)=0,"",AM147-LOOKUP(2,1/(AG147:AL147&lt;&gt;""),AG147:AL147)))</t>
        </is>
      </c>
      <c r="BA147" s="38" t="inlineStr">
        <is>
          <t>IF(OR(E147="",AN147=""),"",IF(COUNT(AG147:AM147)=0,"",AN147-LOOKUP(2,1/(AG147:AM147&lt;&gt;""),AG147:AM147)))</t>
        </is>
      </c>
      <c r="BB147" s="38" t="inlineStr">
        <is>
          <t>IF(OR(E147="",AO147=""),"",IF(COUNT(AG147:AN147)=0,"",AO147-LOOKUP(2,1/(AG147:AN147&lt;&gt;""),AG147:AN147)))</t>
        </is>
      </c>
      <c r="BC147" s="38" t="inlineStr">
        <is>
          <t>IF(OR(E147="",AP147=""),"",IF(COUNT(AG147:AO147)=0,"",AP147-LOOKUP(2,1/(AG147:AO147&lt;&gt;""),AG147:AO147)))</t>
        </is>
      </c>
      <c r="BD147" s="38" t="inlineStr">
        <is>
          <t>IF(OR(E147="",AQ147=""),"",IF(COUNT(AG147:AP147)=0,"",AQ147-LOOKUP(2,1/(AG147:AP147&lt;&gt;""),AG147:AP147)))</t>
        </is>
      </c>
      <c r="BE147" s="38" t="inlineStr">
        <is>
          <t>IF(OR(E147="",AR147=""),"",IF(COUNT(AG147:AQ147)=0,"",AR147-LOOKUP(2,1/(AG147:AQ147&lt;&gt;""),AG147:AQ147)))</t>
        </is>
      </c>
      <c r="BF147" s="38" t="inlineStr">
        <is>
          <t>IF(OR(E147="",AS147=""),"",IF(COUNT(AG147:AR147)=0,"",AS147-LOOKUP(2,1/(AG147:AR147&lt;&gt;""),AG147:AR147)))</t>
        </is>
      </c>
      <c r="BG147" s="38" t="inlineStr">
        <is>
          <t>IF(OR(E147="",AT147=""),"",IF(COUNT(AG147:AS147)=0,"",AT147-LOOKUP(2,1/(AG147:AS147&lt;&gt;""),AG147:AS147)))</t>
        </is>
      </c>
      <c r="BH147" s="41" t="inlineStr">
        <is>
          <t>IF(G147="","All_Provinces",IFERROR(VLOOKUP(G147,'07_Lookups'!$A$4:$B$20,2,FALSE),"All_Provinces"))</t>
        </is>
      </c>
      <c r="BI147" s="41" t="inlineStr">
        <is>
          <t>IF(H147="","All_Districts",IFERROR(VLOOKUP(H147,'07_Lookups'!$E$4:$F$42,2,FALSE),"All_Districts"))</t>
        </is>
      </c>
    </row>
    <row r="148" ht="18" customHeight="1">
      <c r="A148" s="32" t="inlineStr">
        <is>
          <t>IF(E148="","",ROW()-3)</t>
        </is>
      </c>
      <c r="B148" s="33" t="n"/>
      <c r="C148" s="33" t="n"/>
      <c r="D148" s="33" t="n"/>
      <c r="E148" s="33" t="n"/>
      <c r="F148" s="33" t="n"/>
      <c r="G148" s="33" t="n"/>
      <c r="H148" s="33" t="n"/>
      <c r="I148" s="33" t="n"/>
      <c r="J148" s="33" t="n"/>
      <c r="K148" s="33" t="n"/>
      <c r="L148" s="33" t="n"/>
      <c r="M148" s="33" t="n"/>
      <c r="N148" s="33" t="n"/>
      <c r="O148" s="33" t="n"/>
      <c r="P148" s="33" t="n"/>
      <c r="Q148" s="34" t="n"/>
      <c r="R148" s="35" t="inlineStr">
        <is>
          <t>IF(AO148="","",AO148)</t>
        </is>
      </c>
      <c r="S148" s="36" t="n"/>
      <c r="T148" s="37" t="n"/>
      <c r="U148" s="36" t="n"/>
      <c r="V148" s="35" t="inlineStr">
        <is>
          <t>IF(U148&lt;&gt;"",U148,IF(OR(R148="",T148=""),"",EDATE(R148,T148)))</t>
        </is>
      </c>
      <c r="W148" s="36" t="n"/>
      <c r="X148" s="37" t="n"/>
      <c r="Y148" s="33" t="n"/>
      <c r="Z148" s="33" t="n"/>
      <c r="AA148" s="32" t="inlineStr">
        <is>
          <t>IF(E148="","",IF(COUNT(AG148:AT148)=0,IF(Y148="","Not started",Y148),SUBSTITUTE(LOOKUP(2,1/(AG148:AT148&lt;&gt;""),$AG$3:$AT$3),"Date: ","")))</t>
        </is>
      </c>
      <c r="AB148" s="38" t="inlineStr">
        <is>
          <t>IF(OR(E148="",COUNT(AG148:AT148)=0),"",TODAY()-LOOKUP(2,1/(AG148:AT148&lt;&gt;""),AG148:AT148))</t>
        </is>
      </c>
      <c r="AC148" s="38" t="inlineStr">
        <is>
          <t>IF(OR(E148="",COUNT(AG148:AT148)&lt;2),"",LOOKUP(2,1/(AG148:AT148&lt;&gt;""),AG148:AT148)-MIN(AG148:AT148))</t>
        </is>
      </c>
      <c r="AD148" s="38" t="inlineStr">
        <is>
          <t>IF(OR(AB148="",AA148="Not started",AA148=""),"",IFERROR(AB148-IF(VLOOKUP(AA148,'04_Status_Pipeline'!$B$3:$E$20,4,FALSE)="",0,VLOOKUP(AA148,'04_Status_Pipeline'!$B$3:$E$20,4,FALSE)),""))</t>
        </is>
      </c>
      <c r="AE148" s="32" t="inlineStr">
        <is>
          <t>IF(E148="","",IF(OR(Y148="Cancelled",AA148="Cancelled"),"Cancelled",IF(OR(AA148="Completed / Handover",W148&lt;&gt;"",X148&gt;=100),"Completed — on track",IF(L148="Remaining",IF(S148="",IF(V148="","No planned date",IF(TODAY()&gt;V148,"Behind — past planned date",IF(V148-TODAY()&lt;=30,"At risk — close to off track","On track"))),IF(TODAY()&gt;S148,"Behind — award date passed",IF(S148-TODAY()&lt;=30,"At risk — close to off track","On track"))),IF(V148="","No planned date",IF(AND(TODAY()&gt;V148,OR(X148="",X148&lt;100)),"Behind — past end date",IF(AND(R148&lt;&gt;"",V148&lt;&gt;"",X148&lt;&gt;"",(X148&lt;100),((TODAY()-R148)/MAX(V148-R148,1)*100)-X148&gt;15),"Behind — progress lag",IF(AND(V148-TODAY()&lt;=30,V148-TODAY()&gt;=0,OR(X148="",X148&lt;90)),"At risk — close to off track","On track"))))))))</t>
        </is>
      </c>
      <c r="AF148" s="38" t="inlineStr">
        <is>
          <t>IF(OR(E148="",AA148="Completed / Handover",AA148="Cancelled"),"",IF(L148="Remaining",IF(S148&lt;&gt;"",S148-TODAY(),IF(V148="","",V148-TODAY())),IF(V148="","",V148-TODAY())))</t>
        </is>
      </c>
      <c r="AG148" s="36" t="n"/>
      <c r="AH148" s="36" t="n"/>
      <c r="AI148" s="36" t="n"/>
      <c r="AJ148" s="36" t="n"/>
      <c r="AK148" s="36" t="n"/>
      <c r="AL148" s="36" t="n"/>
      <c r="AM148" s="36" t="n"/>
      <c r="AN148" s="36" t="n"/>
      <c r="AO148" s="36" t="n"/>
      <c r="AP148" s="36" t="n"/>
      <c r="AQ148" s="36" t="n"/>
      <c r="AR148" s="40" t="n"/>
      <c r="AS148" s="40" t="n"/>
      <c r="AT148" s="40" t="n"/>
      <c r="AU148" s="38" t="inlineStr">
        <is>
          <t>IF(OR(E148="",AH148=""),"",IF(COUNT(AG148:AG148)=0,"",AH148-LOOKUP(2,1/(AG148:AG148&lt;&gt;""),AG148:AG148)))</t>
        </is>
      </c>
      <c r="AV148" s="38" t="inlineStr">
        <is>
          <t>IF(OR(E148="",AI148=""),"",IF(COUNT(AG148:AH148)=0,"",AI148-LOOKUP(2,1/(AG148:AH148&lt;&gt;""),AG148:AH148)))</t>
        </is>
      </c>
      <c r="AW148" s="38" t="inlineStr">
        <is>
          <t>IF(OR(E148="",AJ148=""),"",IF(COUNT(AG148:AI148)=0,"",AJ148-LOOKUP(2,1/(AG148:AI148&lt;&gt;""),AG148:AI148)))</t>
        </is>
      </c>
      <c r="AX148" s="38" t="inlineStr">
        <is>
          <t>IF(OR(E148="",AK148=""),"",IF(COUNT(AG148:AJ148)=0,"",AK148-LOOKUP(2,1/(AG148:AJ148&lt;&gt;""),AG148:AJ148)))</t>
        </is>
      </c>
      <c r="AY148" s="38" t="inlineStr">
        <is>
          <t>IF(OR(E148="",AL148=""),"",IF(COUNT(AG148:AK148)=0,"",AL148-LOOKUP(2,1/(AG148:AK148&lt;&gt;""),AG148:AK148)))</t>
        </is>
      </c>
      <c r="AZ148" s="38" t="inlineStr">
        <is>
          <t>IF(OR(E148="",AM148=""),"",IF(COUNT(AG148:AL148)=0,"",AM148-LOOKUP(2,1/(AG148:AL148&lt;&gt;""),AG148:AL148)))</t>
        </is>
      </c>
      <c r="BA148" s="38" t="inlineStr">
        <is>
          <t>IF(OR(E148="",AN148=""),"",IF(COUNT(AG148:AM148)=0,"",AN148-LOOKUP(2,1/(AG148:AM148&lt;&gt;""),AG148:AM148)))</t>
        </is>
      </c>
      <c r="BB148" s="38" t="inlineStr">
        <is>
          <t>IF(OR(E148="",AO148=""),"",IF(COUNT(AG148:AN148)=0,"",AO148-LOOKUP(2,1/(AG148:AN148&lt;&gt;""),AG148:AN148)))</t>
        </is>
      </c>
      <c r="BC148" s="38" t="inlineStr">
        <is>
          <t>IF(OR(E148="",AP148=""),"",IF(COUNT(AG148:AO148)=0,"",AP148-LOOKUP(2,1/(AG148:AO148&lt;&gt;""),AG148:AO148)))</t>
        </is>
      </c>
      <c r="BD148" s="38" t="inlineStr">
        <is>
          <t>IF(OR(E148="",AQ148=""),"",IF(COUNT(AG148:AP148)=0,"",AQ148-LOOKUP(2,1/(AG148:AP148&lt;&gt;""),AG148:AP148)))</t>
        </is>
      </c>
      <c r="BE148" s="38" t="inlineStr">
        <is>
          <t>IF(OR(E148="",AR148=""),"",IF(COUNT(AG148:AQ148)=0,"",AR148-LOOKUP(2,1/(AG148:AQ148&lt;&gt;""),AG148:AQ148)))</t>
        </is>
      </c>
      <c r="BF148" s="38" t="inlineStr">
        <is>
          <t>IF(OR(E148="",AS148=""),"",IF(COUNT(AG148:AR148)=0,"",AS148-LOOKUP(2,1/(AG148:AR148&lt;&gt;""),AG148:AR148)))</t>
        </is>
      </c>
      <c r="BG148" s="38" t="inlineStr">
        <is>
          <t>IF(OR(E148="",AT148=""),"",IF(COUNT(AG148:AS148)=0,"",AT148-LOOKUP(2,1/(AG148:AS148&lt;&gt;""),AG148:AS148)))</t>
        </is>
      </c>
      <c r="BH148" s="41" t="inlineStr">
        <is>
          <t>IF(G148="","All_Provinces",IFERROR(VLOOKUP(G148,'07_Lookups'!$A$4:$B$20,2,FALSE),"All_Provinces"))</t>
        </is>
      </c>
      <c r="BI148" s="41" t="inlineStr">
        <is>
          <t>IF(H148="","All_Districts",IFERROR(VLOOKUP(H148,'07_Lookups'!$E$4:$F$42,2,FALSE),"All_Districts"))</t>
        </is>
      </c>
    </row>
    <row r="149" ht="18" customHeight="1">
      <c r="A149" s="32" t="inlineStr">
        <is>
          <t>IF(E149="","",ROW()-3)</t>
        </is>
      </c>
      <c r="B149" s="42" t="n"/>
      <c r="C149" s="42" t="n"/>
      <c r="D149" s="42" t="n"/>
      <c r="E149" s="42" t="n"/>
      <c r="F149" s="42" t="n"/>
      <c r="G149" s="42" t="n"/>
      <c r="H149" s="42" t="n"/>
      <c r="I149" s="42" t="n"/>
      <c r="J149" s="42" t="n"/>
      <c r="K149" s="42" t="n"/>
      <c r="L149" s="42" t="n"/>
      <c r="M149" s="42" t="n"/>
      <c r="N149" s="42" t="n"/>
      <c r="O149" s="42" t="n"/>
      <c r="P149" s="42" t="n"/>
      <c r="Q149" s="43" t="n"/>
      <c r="R149" s="35" t="inlineStr">
        <is>
          <t>IF(AO149="","",AO149)</t>
        </is>
      </c>
      <c r="S149" s="44" t="n"/>
      <c r="T149" s="45" t="n"/>
      <c r="U149" s="44" t="n"/>
      <c r="V149" s="35" t="inlineStr">
        <is>
          <t>IF(U149&lt;&gt;"",U149,IF(OR(R149="",T149=""),"",EDATE(R149,T149)))</t>
        </is>
      </c>
      <c r="W149" s="44" t="n"/>
      <c r="X149" s="45" t="n"/>
      <c r="Y149" s="42" t="n"/>
      <c r="Z149" s="42" t="n"/>
      <c r="AA149" s="32" t="inlineStr">
        <is>
          <t>IF(E149="","",IF(COUNT(AG149:AT149)=0,IF(Y149="","Not started",Y149),SUBSTITUTE(LOOKUP(2,1/(AG149:AT149&lt;&gt;""),$AG$3:$AT$3),"Date: ","")))</t>
        </is>
      </c>
      <c r="AB149" s="38" t="inlineStr">
        <is>
          <t>IF(OR(E149="",COUNT(AG149:AT149)=0),"",TODAY()-LOOKUP(2,1/(AG149:AT149&lt;&gt;""),AG149:AT149))</t>
        </is>
      </c>
      <c r="AC149" s="38" t="inlineStr">
        <is>
          <t>IF(OR(E149="",COUNT(AG149:AT149)&lt;2),"",LOOKUP(2,1/(AG149:AT149&lt;&gt;""),AG149:AT149)-MIN(AG149:AT149))</t>
        </is>
      </c>
      <c r="AD149" s="38" t="inlineStr">
        <is>
          <t>IF(OR(AB149="",AA149="Not started",AA149=""),"",IFERROR(AB149-IF(VLOOKUP(AA149,'04_Status_Pipeline'!$B$3:$E$20,4,FALSE)="",0,VLOOKUP(AA149,'04_Status_Pipeline'!$B$3:$E$20,4,FALSE)),""))</t>
        </is>
      </c>
      <c r="AE149" s="32" t="inlineStr">
        <is>
          <t>IF(E149="","",IF(OR(Y149="Cancelled",AA149="Cancelled"),"Cancelled",IF(OR(AA149="Completed / Handover",W149&lt;&gt;"",X149&gt;=100),"Completed — on track",IF(L149="Remaining",IF(S149="",IF(V149="","No planned date",IF(TODAY()&gt;V149,"Behind — past planned date",IF(V149-TODAY()&lt;=30,"At risk — close to off track","On track"))),IF(TODAY()&gt;S149,"Behind — award date passed",IF(S149-TODAY()&lt;=30,"At risk — close to off track","On track"))),IF(V149="","No planned date",IF(AND(TODAY()&gt;V149,OR(X149="",X149&lt;100)),"Behind — past end date",IF(AND(R149&lt;&gt;"",V149&lt;&gt;"",X149&lt;&gt;"",(X149&lt;100),((TODAY()-R149)/MAX(V149-R149,1)*100)-X149&gt;15),"Behind — progress lag",IF(AND(V149-TODAY()&lt;=30,V149-TODAY()&gt;=0,OR(X149="",X149&lt;90)),"At risk — close to off track","On track"))))))))</t>
        </is>
      </c>
      <c r="AF149" s="38" t="inlineStr">
        <is>
          <t>IF(OR(E149="",AA149="Completed / Handover",AA149="Cancelled"),"",IF(L149="Remaining",IF(S149&lt;&gt;"",S149-TODAY(),IF(V149="","",V149-TODAY())),IF(V149="","",V149-TODAY())))</t>
        </is>
      </c>
      <c r="AG149" s="44" t="n"/>
      <c r="AH149" s="44" t="n"/>
      <c r="AI149" s="44" t="n"/>
      <c r="AJ149" s="44" t="n"/>
      <c r="AK149" s="44" t="n"/>
      <c r="AL149" s="44" t="n"/>
      <c r="AM149" s="44" t="n"/>
      <c r="AN149" s="44" t="n"/>
      <c r="AO149" s="44" t="n"/>
      <c r="AP149" s="44" t="n"/>
      <c r="AQ149" s="44" t="n"/>
      <c r="AR149" s="40" t="n"/>
      <c r="AS149" s="40" t="n"/>
      <c r="AT149" s="40" t="n"/>
      <c r="AU149" s="38" t="inlineStr">
        <is>
          <t>IF(OR(E149="",AH149=""),"",IF(COUNT(AG149:AG149)=0,"",AH149-LOOKUP(2,1/(AG149:AG149&lt;&gt;""),AG149:AG149)))</t>
        </is>
      </c>
      <c r="AV149" s="38" t="inlineStr">
        <is>
          <t>IF(OR(E149="",AI149=""),"",IF(COUNT(AG149:AH149)=0,"",AI149-LOOKUP(2,1/(AG149:AH149&lt;&gt;""),AG149:AH149)))</t>
        </is>
      </c>
      <c r="AW149" s="38" t="inlineStr">
        <is>
          <t>IF(OR(E149="",AJ149=""),"",IF(COUNT(AG149:AI149)=0,"",AJ149-LOOKUP(2,1/(AG149:AI149&lt;&gt;""),AG149:AI149)))</t>
        </is>
      </c>
      <c r="AX149" s="38" t="inlineStr">
        <is>
          <t>IF(OR(E149="",AK149=""),"",IF(COUNT(AG149:AJ149)=0,"",AK149-LOOKUP(2,1/(AG149:AJ149&lt;&gt;""),AG149:AJ149)))</t>
        </is>
      </c>
      <c r="AY149" s="38" t="inlineStr">
        <is>
          <t>IF(OR(E149="",AL149=""),"",IF(COUNT(AG149:AK149)=0,"",AL149-LOOKUP(2,1/(AG149:AK149&lt;&gt;""),AG149:AK149)))</t>
        </is>
      </c>
      <c r="AZ149" s="38" t="inlineStr">
        <is>
          <t>IF(OR(E149="",AM149=""),"",IF(COUNT(AG149:AL149)=0,"",AM149-LOOKUP(2,1/(AG149:AL149&lt;&gt;""),AG149:AL149)))</t>
        </is>
      </c>
      <c r="BA149" s="38" t="inlineStr">
        <is>
          <t>IF(OR(E149="",AN149=""),"",IF(COUNT(AG149:AM149)=0,"",AN149-LOOKUP(2,1/(AG149:AM149&lt;&gt;""),AG149:AM149)))</t>
        </is>
      </c>
      <c r="BB149" s="38" t="inlineStr">
        <is>
          <t>IF(OR(E149="",AO149=""),"",IF(COUNT(AG149:AN149)=0,"",AO149-LOOKUP(2,1/(AG149:AN149&lt;&gt;""),AG149:AN149)))</t>
        </is>
      </c>
      <c r="BC149" s="38" t="inlineStr">
        <is>
          <t>IF(OR(E149="",AP149=""),"",IF(COUNT(AG149:AO149)=0,"",AP149-LOOKUP(2,1/(AG149:AO149&lt;&gt;""),AG149:AO149)))</t>
        </is>
      </c>
      <c r="BD149" s="38" t="inlineStr">
        <is>
          <t>IF(OR(E149="",AQ149=""),"",IF(COUNT(AG149:AP149)=0,"",AQ149-LOOKUP(2,1/(AG149:AP149&lt;&gt;""),AG149:AP149)))</t>
        </is>
      </c>
      <c r="BE149" s="38" t="inlineStr">
        <is>
          <t>IF(OR(E149="",AR149=""),"",IF(COUNT(AG149:AQ149)=0,"",AR149-LOOKUP(2,1/(AG149:AQ149&lt;&gt;""),AG149:AQ149)))</t>
        </is>
      </c>
      <c r="BF149" s="38" t="inlineStr">
        <is>
          <t>IF(OR(E149="",AS149=""),"",IF(COUNT(AG149:AR149)=0,"",AS149-LOOKUP(2,1/(AG149:AR149&lt;&gt;""),AG149:AR149)))</t>
        </is>
      </c>
      <c r="BG149" s="38" t="inlineStr">
        <is>
          <t>IF(OR(E149="",AT149=""),"",IF(COUNT(AG149:AS149)=0,"",AT149-LOOKUP(2,1/(AG149:AS149&lt;&gt;""),AG149:AS149)))</t>
        </is>
      </c>
      <c r="BH149" s="41" t="inlineStr">
        <is>
          <t>IF(G149="","All_Provinces",IFERROR(VLOOKUP(G149,'07_Lookups'!$A$4:$B$20,2,FALSE),"All_Provinces"))</t>
        </is>
      </c>
      <c r="BI149" s="41" t="inlineStr">
        <is>
          <t>IF(H149="","All_Districts",IFERROR(VLOOKUP(H149,'07_Lookups'!$E$4:$F$42,2,FALSE),"All_Districts"))</t>
        </is>
      </c>
    </row>
    <row r="150" ht="18" customHeight="1">
      <c r="A150" s="32" t="inlineStr">
        <is>
          <t>IF(E150="","",ROW()-3)</t>
        </is>
      </c>
      <c r="B150" s="33" t="n"/>
      <c r="C150" s="33" t="n"/>
      <c r="D150" s="33" t="n"/>
      <c r="E150" s="33" t="n"/>
      <c r="F150" s="33" t="n"/>
      <c r="G150" s="33" t="n"/>
      <c r="H150" s="33" t="n"/>
      <c r="I150" s="33" t="n"/>
      <c r="J150" s="33" t="n"/>
      <c r="K150" s="33" t="n"/>
      <c r="L150" s="33" t="n"/>
      <c r="M150" s="33" t="n"/>
      <c r="N150" s="33" t="n"/>
      <c r="O150" s="33" t="n"/>
      <c r="P150" s="33" t="n"/>
      <c r="Q150" s="34" t="n"/>
      <c r="R150" s="35" t="inlineStr">
        <is>
          <t>IF(AO150="","",AO150)</t>
        </is>
      </c>
      <c r="S150" s="36" t="n"/>
      <c r="T150" s="37" t="n"/>
      <c r="U150" s="36" t="n"/>
      <c r="V150" s="35" t="inlineStr">
        <is>
          <t>IF(U150&lt;&gt;"",U150,IF(OR(R150="",T150=""),"",EDATE(R150,T150)))</t>
        </is>
      </c>
      <c r="W150" s="36" t="n"/>
      <c r="X150" s="37" t="n"/>
      <c r="Y150" s="33" t="n"/>
      <c r="Z150" s="33" t="n"/>
      <c r="AA150" s="32" t="inlineStr">
        <is>
          <t>IF(E150="","",IF(COUNT(AG150:AT150)=0,IF(Y150="","Not started",Y150),SUBSTITUTE(LOOKUP(2,1/(AG150:AT150&lt;&gt;""),$AG$3:$AT$3),"Date: ","")))</t>
        </is>
      </c>
      <c r="AB150" s="38" t="inlineStr">
        <is>
          <t>IF(OR(E150="",COUNT(AG150:AT150)=0),"",TODAY()-LOOKUP(2,1/(AG150:AT150&lt;&gt;""),AG150:AT150))</t>
        </is>
      </c>
      <c r="AC150" s="38" t="inlineStr">
        <is>
          <t>IF(OR(E150="",COUNT(AG150:AT150)&lt;2),"",LOOKUP(2,1/(AG150:AT150&lt;&gt;""),AG150:AT150)-MIN(AG150:AT150))</t>
        </is>
      </c>
      <c r="AD150" s="38" t="inlineStr">
        <is>
          <t>IF(OR(AB150="",AA150="Not started",AA150=""),"",IFERROR(AB150-IF(VLOOKUP(AA150,'04_Status_Pipeline'!$B$3:$E$20,4,FALSE)="",0,VLOOKUP(AA150,'04_Status_Pipeline'!$B$3:$E$20,4,FALSE)),""))</t>
        </is>
      </c>
      <c r="AE150" s="32" t="inlineStr">
        <is>
          <t>IF(E150="","",IF(OR(Y150="Cancelled",AA150="Cancelled"),"Cancelled",IF(OR(AA150="Completed / Handover",W150&lt;&gt;"",X150&gt;=100),"Completed — on track",IF(L150="Remaining",IF(S150="",IF(V150="","No planned date",IF(TODAY()&gt;V150,"Behind — past planned date",IF(V150-TODAY()&lt;=30,"At risk — close to off track","On track"))),IF(TODAY()&gt;S150,"Behind — award date passed",IF(S150-TODAY()&lt;=30,"At risk — close to off track","On track"))),IF(V150="","No planned date",IF(AND(TODAY()&gt;V150,OR(X150="",X150&lt;100)),"Behind — past end date",IF(AND(R150&lt;&gt;"",V150&lt;&gt;"",X150&lt;&gt;"",(X150&lt;100),((TODAY()-R150)/MAX(V150-R150,1)*100)-X150&gt;15),"Behind — progress lag",IF(AND(V150-TODAY()&lt;=30,V150-TODAY()&gt;=0,OR(X150="",X150&lt;90)),"At risk — close to off track","On track"))))))))</t>
        </is>
      </c>
      <c r="AF150" s="38" t="inlineStr">
        <is>
          <t>IF(OR(E150="",AA150="Completed / Handover",AA150="Cancelled"),"",IF(L150="Remaining",IF(S150&lt;&gt;"",S150-TODAY(),IF(V150="","",V150-TODAY())),IF(V150="","",V150-TODAY())))</t>
        </is>
      </c>
      <c r="AG150" s="36" t="n"/>
      <c r="AH150" s="36" t="n"/>
      <c r="AI150" s="36" t="n"/>
      <c r="AJ150" s="36" t="n"/>
      <c r="AK150" s="36" t="n"/>
      <c r="AL150" s="36" t="n"/>
      <c r="AM150" s="36" t="n"/>
      <c r="AN150" s="36" t="n"/>
      <c r="AO150" s="36" t="n"/>
      <c r="AP150" s="36" t="n"/>
      <c r="AQ150" s="36" t="n"/>
      <c r="AR150" s="40" t="n"/>
      <c r="AS150" s="40" t="n"/>
      <c r="AT150" s="40" t="n"/>
      <c r="AU150" s="38" t="inlineStr">
        <is>
          <t>IF(OR(E150="",AH150=""),"",IF(COUNT(AG150:AG150)=0,"",AH150-LOOKUP(2,1/(AG150:AG150&lt;&gt;""),AG150:AG150)))</t>
        </is>
      </c>
      <c r="AV150" s="38" t="inlineStr">
        <is>
          <t>IF(OR(E150="",AI150=""),"",IF(COUNT(AG150:AH150)=0,"",AI150-LOOKUP(2,1/(AG150:AH150&lt;&gt;""),AG150:AH150)))</t>
        </is>
      </c>
      <c r="AW150" s="38" t="inlineStr">
        <is>
          <t>IF(OR(E150="",AJ150=""),"",IF(COUNT(AG150:AI150)=0,"",AJ150-LOOKUP(2,1/(AG150:AI150&lt;&gt;""),AG150:AI150)))</t>
        </is>
      </c>
      <c r="AX150" s="38" t="inlineStr">
        <is>
          <t>IF(OR(E150="",AK150=""),"",IF(COUNT(AG150:AJ150)=0,"",AK150-LOOKUP(2,1/(AG150:AJ150&lt;&gt;""),AG150:AJ150)))</t>
        </is>
      </c>
      <c r="AY150" s="38" t="inlineStr">
        <is>
          <t>IF(OR(E150="",AL150=""),"",IF(COUNT(AG150:AK150)=0,"",AL150-LOOKUP(2,1/(AG150:AK150&lt;&gt;""),AG150:AK150)))</t>
        </is>
      </c>
      <c r="AZ150" s="38" t="inlineStr">
        <is>
          <t>IF(OR(E150="",AM150=""),"",IF(COUNT(AG150:AL150)=0,"",AM150-LOOKUP(2,1/(AG150:AL150&lt;&gt;""),AG150:AL150)))</t>
        </is>
      </c>
      <c r="BA150" s="38" t="inlineStr">
        <is>
          <t>IF(OR(E150="",AN150=""),"",IF(COUNT(AG150:AM150)=0,"",AN150-LOOKUP(2,1/(AG150:AM150&lt;&gt;""),AG150:AM150)))</t>
        </is>
      </c>
      <c r="BB150" s="38" t="inlineStr">
        <is>
          <t>IF(OR(E150="",AO150=""),"",IF(COUNT(AG150:AN150)=0,"",AO150-LOOKUP(2,1/(AG150:AN150&lt;&gt;""),AG150:AN150)))</t>
        </is>
      </c>
      <c r="BC150" s="38" t="inlineStr">
        <is>
          <t>IF(OR(E150="",AP150=""),"",IF(COUNT(AG150:AO150)=0,"",AP150-LOOKUP(2,1/(AG150:AO150&lt;&gt;""),AG150:AO150)))</t>
        </is>
      </c>
      <c r="BD150" s="38" t="inlineStr">
        <is>
          <t>IF(OR(E150="",AQ150=""),"",IF(COUNT(AG150:AP150)=0,"",AQ150-LOOKUP(2,1/(AG150:AP150&lt;&gt;""),AG150:AP150)))</t>
        </is>
      </c>
      <c r="BE150" s="38" t="inlineStr">
        <is>
          <t>IF(OR(E150="",AR150=""),"",IF(COUNT(AG150:AQ150)=0,"",AR150-LOOKUP(2,1/(AG150:AQ150&lt;&gt;""),AG150:AQ150)))</t>
        </is>
      </c>
      <c r="BF150" s="38" t="inlineStr">
        <is>
          <t>IF(OR(E150="",AS150=""),"",IF(COUNT(AG150:AR150)=0,"",AS150-LOOKUP(2,1/(AG150:AR150&lt;&gt;""),AG150:AR150)))</t>
        </is>
      </c>
      <c r="BG150" s="38" t="inlineStr">
        <is>
          <t>IF(OR(E150="",AT150=""),"",IF(COUNT(AG150:AS150)=0,"",AT150-LOOKUP(2,1/(AG150:AS150&lt;&gt;""),AG150:AS150)))</t>
        </is>
      </c>
      <c r="BH150" s="41" t="inlineStr">
        <is>
          <t>IF(G150="","All_Provinces",IFERROR(VLOOKUP(G150,'07_Lookups'!$A$4:$B$20,2,FALSE),"All_Provinces"))</t>
        </is>
      </c>
      <c r="BI150" s="41" t="inlineStr">
        <is>
          <t>IF(H150="","All_Districts",IFERROR(VLOOKUP(H150,'07_Lookups'!$E$4:$F$42,2,FALSE),"All_Districts"))</t>
        </is>
      </c>
    </row>
    <row r="151" ht="18" customHeight="1">
      <c r="A151" s="32" t="inlineStr">
        <is>
          <t>IF(E151="","",ROW()-3)</t>
        </is>
      </c>
      <c r="B151" s="42" t="n"/>
      <c r="C151" s="42" t="n"/>
      <c r="D151" s="42" t="n"/>
      <c r="E151" s="42" t="n"/>
      <c r="F151" s="42" t="n"/>
      <c r="G151" s="42" t="n"/>
      <c r="H151" s="42" t="n"/>
      <c r="I151" s="42" t="n"/>
      <c r="J151" s="42" t="n"/>
      <c r="K151" s="42" t="n"/>
      <c r="L151" s="42" t="n"/>
      <c r="M151" s="42" t="n"/>
      <c r="N151" s="42" t="n"/>
      <c r="O151" s="42" t="n"/>
      <c r="P151" s="42" t="n"/>
      <c r="Q151" s="43" t="n"/>
      <c r="R151" s="35" t="inlineStr">
        <is>
          <t>IF(AO151="","",AO151)</t>
        </is>
      </c>
      <c r="S151" s="44" t="n"/>
      <c r="T151" s="45" t="n"/>
      <c r="U151" s="44" t="n"/>
      <c r="V151" s="35" t="inlineStr">
        <is>
          <t>IF(U151&lt;&gt;"",U151,IF(OR(R151="",T151=""),"",EDATE(R151,T151)))</t>
        </is>
      </c>
      <c r="W151" s="44" t="n"/>
      <c r="X151" s="45" t="n"/>
      <c r="Y151" s="42" t="n"/>
      <c r="Z151" s="42" t="n"/>
      <c r="AA151" s="32" t="inlineStr">
        <is>
          <t>IF(E151="","",IF(COUNT(AG151:AT151)=0,IF(Y151="","Not started",Y151),SUBSTITUTE(LOOKUP(2,1/(AG151:AT151&lt;&gt;""),$AG$3:$AT$3),"Date: ","")))</t>
        </is>
      </c>
      <c r="AB151" s="38" t="inlineStr">
        <is>
          <t>IF(OR(E151="",COUNT(AG151:AT151)=0),"",TODAY()-LOOKUP(2,1/(AG151:AT151&lt;&gt;""),AG151:AT151))</t>
        </is>
      </c>
      <c r="AC151" s="38" t="inlineStr">
        <is>
          <t>IF(OR(E151="",COUNT(AG151:AT151)&lt;2),"",LOOKUP(2,1/(AG151:AT151&lt;&gt;""),AG151:AT151)-MIN(AG151:AT151))</t>
        </is>
      </c>
      <c r="AD151" s="38" t="inlineStr">
        <is>
          <t>IF(OR(AB151="",AA151="Not started",AA151=""),"",IFERROR(AB151-IF(VLOOKUP(AA151,'04_Status_Pipeline'!$B$3:$E$20,4,FALSE)="",0,VLOOKUP(AA151,'04_Status_Pipeline'!$B$3:$E$20,4,FALSE)),""))</t>
        </is>
      </c>
      <c r="AE151" s="32" t="inlineStr">
        <is>
          <t>IF(E151="","",IF(OR(Y151="Cancelled",AA151="Cancelled"),"Cancelled",IF(OR(AA151="Completed / Handover",W151&lt;&gt;"",X151&gt;=100),"Completed — on track",IF(L151="Remaining",IF(S151="",IF(V151="","No planned date",IF(TODAY()&gt;V151,"Behind — past planned date",IF(V151-TODAY()&lt;=30,"At risk — close to off track","On track"))),IF(TODAY()&gt;S151,"Behind — award date passed",IF(S151-TODAY()&lt;=30,"At risk — close to off track","On track"))),IF(V151="","No planned date",IF(AND(TODAY()&gt;V151,OR(X151="",X151&lt;100)),"Behind — past end date",IF(AND(R151&lt;&gt;"",V151&lt;&gt;"",X151&lt;&gt;"",(X151&lt;100),((TODAY()-R151)/MAX(V151-R151,1)*100)-X151&gt;15),"Behind — progress lag",IF(AND(V151-TODAY()&lt;=30,V151-TODAY()&gt;=0,OR(X151="",X151&lt;90)),"At risk — close to off track","On track"))))))))</t>
        </is>
      </c>
      <c r="AF151" s="38" t="inlineStr">
        <is>
          <t>IF(OR(E151="",AA151="Completed / Handover",AA151="Cancelled"),"",IF(L151="Remaining",IF(S151&lt;&gt;"",S151-TODAY(),IF(V151="","",V151-TODAY())),IF(V151="","",V151-TODAY())))</t>
        </is>
      </c>
      <c r="AG151" s="44" t="n"/>
      <c r="AH151" s="44" t="n"/>
      <c r="AI151" s="44" t="n"/>
      <c r="AJ151" s="44" t="n"/>
      <c r="AK151" s="44" t="n"/>
      <c r="AL151" s="44" t="n"/>
      <c r="AM151" s="44" t="n"/>
      <c r="AN151" s="44" t="n"/>
      <c r="AO151" s="44" t="n"/>
      <c r="AP151" s="44" t="n"/>
      <c r="AQ151" s="44" t="n"/>
      <c r="AR151" s="40" t="n"/>
      <c r="AS151" s="40" t="n"/>
      <c r="AT151" s="40" t="n"/>
      <c r="AU151" s="38" t="inlineStr">
        <is>
          <t>IF(OR(E151="",AH151=""),"",IF(COUNT(AG151:AG151)=0,"",AH151-LOOKUP(2,1/(AG151:AG151&lt;&gt;""),AG151:AG151)))</t>
        </is>
      </c>
      <c r="AV151" s="38" t="inlineStr">
        <is>
          <t>IF(OR(E151="",AI151=""),"",IF(COUNT(AG151:AH151)=0,"",AI151-LOOKUP(2,1/(AG151:AH151&lt;&gt;""),AG151:AH151)))</t>
        </is>
      </c>
      <c r="AW151" s="38" t="inlineStr">
        <is>
          <t>IF(OR(E151="",AJ151=""),"",IF(COUNT(AG151:AI151)=0,"",AJ151-LOOKUP(2,1/(AG151:AI151&lt;&gt;""),AG151:AI151)))</t>
        </is>
      </c>
      <c r="AX151" s="38" t="inlineStr">
        <is>
          <t>IF(OR(E151="",AK151=""),"",IF(COUNT(AG151:AJ151)=0,"",AK151-LOOKUP(2,1/(AG151:AJ151&lt;&gt;""),AG151:AJ151)))</t>
        </is>
      </c>
      <c r="AY151" s="38" t="inlineStr">
        <is>
          <t>IF(OR(E151="",AL151=""),"",IF(COUNT(AG151:AK151)=0,"",AL151-LOOKUP(2,1/(AG151:AK151&lt;&gt;""),AG151:AK151)))</t>
        </is>
      </c>
      <c r="AZ151" s="38" t="inlineStr">
        <is>
          <t>IF(OR(E151="",AM151=""),"",IF(COUNT(AG151:AL151)=0,"",AM151-LOOKUP(2,1/(AG151:AL151&lt;&gt;""),AG151:AL151)))</t>
        </is>
      </c>
      <c r="BA151" s="38" t="inlineStr">
        <is>
          <t>IF(OR(E151="",AN151=""),"",IF(COUNT(AG151:AM151)=0,"",AN151-LOOKUP(2,1/(AG151:AM151&lt;&gt;""),AG151:AM151)))</t>
        </is>
      </c>
      <c r="BB151" s="38" t="inlineStr">
        <is>
          <t>IF(OR(E151="",AO151=""),"",IF(COUNT(AG151:AN151)=0,"",AO151-LOOKUP(2,1/(AG151:AN151&lt;&gt;""),AG151:AN151)))</t>
        </is>
      </c>
      <c r="BC151" s="38" t="inlineStr">
        <is>
          <t>IF(OR(E151="",AP151=""),"",IF(COUNT(AG151:AO151)=0,"",AP151-LOOKUP(2,1/(AG151:AO151&lt;&gt;""),AG151:AO151)))</t>
        </is>
      </c>
      <c r="BD151" s="38" t="inlineStr">
        <is>
          <t>IF(OR(E151="",AQ151=""),"",IF(COUNT(AG151:AP151)=0,"",AQ151-LOOKUP(2,1/(AG151:AP151&lt;&gt;""),AG151:AP151)))</t>
        </is>
      </c>
      <c r="BE151" s="38" t="inlineStr">
        <is>
          <t>IF(OR(E151="",AR151=""),"",IF(COUNT(AG151:AQ151)=0,"",AR151-LOOKUP(2,1/(AG151:AQ151&lt;&gt;""),AG151:AQ151)))</t>
        </is>
      </c>
      <c r="BF151" s="38" t="inlineStr">
        <is>
          <t>IF(OR(E151="",AS151=""),"",IF(COUNT(AG151:AR151)=0,"",AS151-LOOKUP(2,1/(AG151:AR151&lt;&gt;""),AG151:AR151)))</t>
        </is>
      </c>
      <c r="BG151" s="38" t="inlineStr">
        <is>
          <t>IF(OR(E151="",AT151=""),"",IF(COUNT(AG151:AS151)=0,"",AT151-LOOKUP(2,1/(AG151:AS151&lt;&gt;""),AG151:AS151)))</t>
        </is>
      </c>
      <c r="BH151" s="41" t="inlineStr">
        <is>
          <t>IF(G151="","All_Provinces",IFERROR(VLOOKUP(G151,'07_Lookups'!$A$4:$B$20,2,FALSE),"All_Provinces"))</t>
        </is>
      </c>
      <c r="BI151" s="41" t="inlineStr">
        <is>
          <t>IF(H151="","All_Districts",IFERROR(VLOOKUP(H151,'07_Lookups'!$E$4:$F$42,2,FALSE),"All_Districts"))</t>
        </is>
      </c>
    </row>
    <row r="152" ht="18" customHeight="1">
      <c r="A152" s="32" t="inlineStr">
        <is>
          <t>IF(E152="","",ROW()-3)</t>
        </is>
      </c>
      <c r="B152" s="33" t="n"/>
      <c r="C152" s="33" t="n"/>
      <c r="D152" s="33" t="n"/>
      <c r="E152" s="33" t="n"/>
      <c r="F152" s="33" t="n"/>
      <c r="G152" s="33" t="n"/>
      <c r="H152" s="33" t="n"/>
      <c r="I152" s="33" t="n"/>
      <c r="J152" s="33" t="n"/>
      <c r="K152" s="33" t="n"/>
      <c r="L152" s="33" t="n"/>
      <c r="M152" s="33" t="n"/>
      <c r="N152" s="33" t="n"/>
      <c r="O152" s="33" t="n"/>
      <c r="P152" s="33" t="n"/>
      <c r="Q152" s="34" t="n"/>
      <c r="R152" s="35" t="inlineStr">
        <is>
          <t>IF(AO152="","",AO152)</t>
        </is>
      </c>
      <c r="S152" s="36" t="n"/>
      <c r="T152" s="37" t="n"/>
      <c r="U152" s="36" t="n"/>
      <c r="V152" s="35" t="inlineStr">
        <is>
          <t>IF(U152&lt;&gt;"",U152,IF(OR(R152="",T152=""),"",EDATE(R152,T152)))</t>
        </is>
      </c>
      <c r="W152" s="36" t="n"/>
      <c r="X152" s="37" t="n"/>
      <c r="Y152" s="33" t="n"/>
      <c r="Z152" s="33" t="n"/>
      <c r="AA152" s="32" t="inlineStr">
        <is>
          <t>IF(E152="","",IF(COUNT(AG152:AT152)=0,IF(Y152="","Not started",Y152),SUBSTITUTE(LOOKUP(2,1/(AG152:AT152&lt;&gt;""),$AG$3:$AT$3),"Date: ","")))</t>
        </is>
      </c>
      <c r="AB152" s="38" t="inlineStr">
        <is>
          <t>IF(OR(E152="",COUNT(AG152:AT152)=0),"",TODAY()-LOOKUP(2,1/(AG152:AT152&lt;&gt;""),AG152:AT152))</t>
        </is>
      </c>
      <c r="AC152" s="38" t="inlineStr">
        <is>
          <t>IF(OR(E152="",COUNT(AG152:AT152)&lt;2),"",LOOKUP(2,1/(AG152:AT152&lt;&gt;""),AG152:AT152)-MIN(AG152:AT152))</t>
        </is>
      </c>
      <c r="AD152" s="38" t="inlineStr">
        <is>
          <t>IF(OR(AB152="",AA152="Not started",AA152=""),"",IFERROR(AB152-IF(VLOOKUP(AA152,'04_Status_Pipeline'!$B$3:$E$20,4,FALSE)="",0,VLOOKUP(AA152,'04_Status_Pipeline'!$B$3:$E$20,4,FALSE)),""))</t>
        </is>
      </c>
      <c r="AE152" s="32" t="inlineStr">
        <is>
          <t>IF(E152="","",IF(OR(Y152="Cancelled",AA152="Cancelled"),"Cancelled",IF(OR(AA152="Completed / Handover",W152&lt;&gt;"",X152&gt;=100),"Completed — on track",IF(L152="Remaining",IF(S152="",IF(V152="","No planned date",IF(TODAY()&gt;V152,"Behind — past planned date",IF(V152-TODAY()&lt;=30,"At risk — close to off track","On track"))),IF(TODAY()&gt;S152,"Behind — award date passed",IF(S152-TODAY()&lt;=30,"At risk — close to off track","On track"))),IF(V152="","No planned date",IF(AND(TODAY()&gt;V152,OR(X152="",X152&lt;100)),"Behind — past end date",IF(AND(R152&lt;&gt;"",V152&lt;&gt;"",X152&lt;&gt;"",(X152&lt;100),((TODAY()-R152)/MAX(V152-R152,1)*100)-X152&gt;15),"Behind — progress lag",IF(AND(V152-TODAY()&lt;=30,V152-TODAY()&gt;=0,OR(X152="",X152&lt;90)),"At risk — close to off track","On track"))))))))</t>
        </is>
      </c>
      <c r="AF152" s="38" t="inlineStr">
        <is>
          <t>IF(OR(E152="",AA152="Completed / Handover",AA152="Cancelled"),"",IF(L152="Remaining",IF(S152&lt;&gt;"",S152-TODAY(),IF(V152="","",V152-TODAY())),IF(V152="","",V152-TODAY())))</t>
        </is>
      </c>
      <c r="AG152" s="36" t="n"/>
      <c r="AH152" s="36" t="n"/>
      <c r="AI152" s="36" t="n"/>
      <c r="AJ152" s="36" t="n"/>
      <c r="AK152" s="36" t="n"/>
      <c r="AL152" s="36" t="n"/>
      <c r="AM152" s="36" t="n"/>
      <c r="AN152" s="36" t="n"/>
      <c r="AO152" s="36" t="n"/>
      <c r="AP152" s="36" t="n"/>
      <c r="AQ152" s="36" t="n"/>
      <c r="AR152" s="40" t="n"/>
      <c r="AS152" s="40" t="n"/>
      <c r="AT152" s="40" t="n"/>
      <c r="AU152" s="38" t="inlineStr">
        <is>
          <t>IF(OR(E152="",AH152=""),"",IF(COUNT(AG152:AG152)=0,"",AH152-LOOKUP(2,1/(AG152:AG152&lt;&gt;""),AG152:AG152)))</t>
        </is>
      </c>
      <c r="AV152" s="38" t="inlineStr">
        <is>
          <t>IF(OR(E152="",AI152=""),"",IF(COUNT(AG152:AH152)=0,"",AI152-LOOKUP(2,1/(AG152:AH152&lt;&gt;""),AG152:AH152)))</t>
        </is>
      </c>
      <c r="AW152" s="38" t="inlineStr">
        <is>
          <t>IF(OR(E152="",AJ152=""),"",IF(COUNT(AG152:AI152)=0,"",AJ152-LOOKUP(2,1/(AG152:AI152&lt;&gt;""),AG152:AI152)))</t>
        </is>
      </c>
      <c r="AX152" s="38" t="inlineStr">
        <is>
          <t>IF(OR(E152="",AK152=""),"",IF(COUNT(AG152:AJ152)=0,"",AK152-LOOKUP(2,1/(AG152:AJ152&lt;&gt;""),AG152:AJ152)))</t>
        </is>
      </c>
      <c r="AY152" s="38" t="inlineStr">
        <is>
          <t>IF(OR(E152="",AL152=""),"",IF(COUNT(AG152:AK152)=0,"",AL152-LOOKUP(2,1/(AG152:AK152&lt;&gt;""),AG152:AK152)))</t>
        </is>
      </c>
      <c r="AZ152" s="38" t="inlineStr">
        <is>
          <t>IF(OR(E152="",AM152=""),"",IF(COUNT(AG152:AL152)=0,"",AM152-LOOKUP(2,1/(AG152:AL152&lt;&gt;""),AG152:AL152)))</t>
        </is>
      </c>
      <c r="BA152" s="38" t="inlineStr">
        <is>
          <t>IF(OR(E152="",AN152=""),"",IF(COUNT(AG152:AM152)=0,"",AN152-LOOKUP(2,1/(AG152:AM152&lt;&gt;""),AG152:AM152)))</t>
        </is>
      </c>
      <c r="BB152" s="38" t="inlineStr">
        <is>
          <t>IF(OR(E152="",AO152=""),"",IF(COUNT(AG152:AN152)=0,"",AO152-LOOKUP(2,1/(AG152:AN152&lt;&gt;""),AG152:AN152)))</t>
        </is>
      </c>
      <c r="BC152" s="38" t="inlineStr">
        <is>
          <t>IF(OR(E152="",AP152=""),"",IF(COUNT(AG152:AO152)=0,"",AP152-LOOKUP(2,1/(AG152:AO152&lt;&gt;""),AG152:AO152)))</t>
        </is>
      </c>
      <c r="BD152" s="38" t="inlineStr">
        <is>
          <t>IF(OR(E152="",AQ152=""),"",IF(COUNT(AG152:AP152)=0,"",AQ152-LOOKUP(2,1/(AG152:AP152&lt;&gt;""),AG152:AP152)))</t>
        </is>
      </c>
      <c r="BE152" s="38" t="inlineStr">
        <is>
          <t>IF(OR(E152="",AR152=""),"",IF(COUNT(AG152:AQ152)=0,"",AR152-LOOKUP(2,1/(AG152:AQ152&lt;&gt;""),AG152:AQ152)))</t>
        </is>
      </c>
      <c r="BF152" s="38" t="inlineStr">
        <is>
          <t>IF(OR(E152="",AS152=""),"",IF(COUNT(AG152:AR152)=0,"",AS152-LOOKUP(2,1/(AG152:AR152&lt;&gt;""),AG152:AR152)))</t>
        </is>
      </c>
      <c r="BG152" s="38" t="inlineStr">
        <is>
          <t>IF(OR(E152="",AT152=""),"",IF(COUNT(AG152:AS152)=0,"",AT152-LOOKUP(2,1/(AG152:AS152&lt;&gt;""),AG152:AS152)))</t>
        </is>
      </c>
      <c r="BH152" s="41" t="inlineStr">
        <is>
          <t>IF(G152="","All_Provinces",IFERROR(VLOOKUP(G152,'07_Lookups'!$A$4:$B$20,2,FALSE),"All_Provinces"))</t>
        </is>
      </c>
      <c r="BI152" s="41" t="inlineStr">
        <is>
          <t>IF(H152="","All_Districts",IFERROR(VLOOKUP(H152,'07_Lookups'!$E$4:$F$42,2,FALSE),"All_Districts"))</t>
        </is>
      </c>
    </row>
    <row r="153" ht="18" customHeight="1">
      <c r="A153" s="32" t="inlineStr">
        <is>
          <t>IF(E153="","",ROW()-3)</t>
        </is>
      </c>
      <c r="B153" s="42" t="n"/>
      <c r="C153" s="42" t="n"/>
      <c r="D153" s="42" t="n"/>
      <c r="E153" s="42" t="n"/>
      <c r="F153" s="42" t="n"/>
      <c r="G153" s="42" t="n"/>
      <c r="H153" s="42" t="n"/>
      <c r="I153" s="42" t="n"/>
      <c r="J153" s="42" t="n"/>
      <c r="K153" s="42" t="n"/>
      <c r="L153" s="42" t="n"/>
      <c r="M153" s="42" t="n"/>
      <c r="N153" s="42" t="n"/>
      <c r="O153" s="42" t="n"/>
      <c r="P153" s="42" t="n"/>
      <c r="Q153" s="43" t="n"/>
      <c r="R153" s="35" t="inlineStr">
        <is>
          <t>IF(AO153="","",AO153)</t>
        </is>
      </c>
      <c r="S153" s="44" t="n"/>
      <c r="T153" s="45" t="n"/>
      <c r="U153" s="44" t="n"/>
      <c r="V153" s="35" t="inlineStr">
        <is>
          <t>IF(U153&lt;&gt;"",U153,IF(OR(R153="",T153=""),"",EDATE(R153,T153)))</t>
        </is>
      </c>
      <c r="W153" s="44" t="n"/>
      <c r="X153" s="45" t="n"/>
      <c r="Y153" s="42" t="n"/>
      <c r="Z153" s="42" t="n"/>
      <c r="AA153" s="32" t="inlineStr">
        <is>
          <t>IF(E153="","",IF(COUNT(AG153:AT153)=0,IF(Y153="","Not started",Y153),SUBSTITUTE(LOOKUP(2,1/(AG153:AT153&lt;&gt;""),$AG$3:$AT$3),"Date: ","")))</t>
        </is>
      </c>
      <c r="AB153" s="38" t="inlineStr">
        <is>
          <t>IF(OR(E153="",COUNT(AG153:AT153)=0),"",TODAY()-LOOKUP(2,1/(AG153:AT153&lt;&gt;""),AG153:AT153))</t>
        </is>
      </c>
      <c r="AC153" s="38" t="inlineStr">
        <is>
          <t>IF(OR(E153="",COUNT(AG153:AT153)&lt;2),"",LOOKUP(2,1/(AG153:AT153&lt;&gt;""),AG153:AT153)-MIN(AG153:AT153))</t>
        </is>
      </c>
      <c r="AD153" s="38" t="inlineStr">
        <is>
          <t>IF(OR(AB153="",AA153="Not started",AA153=""),"",IFERROR(AB153-IF(VLOOKUP(AA153,'04_Status_Pipeline'!$B$3:$E$20,4,FALSE)="",0,VLOOKUP(AA153,'04_Status_Pipeline'!$B$3:$E$20,4,FALSE)),""))</t>
        </is>
      </c>
      <c r="AE153" s="32" t="inlineStr">
        <is>
          <t>IF(E153="","",IF(OR(Y153="Cancelled",AA153="Cancelled"),"Cancelled",IF(OR(AA153="Completed / Handover",W153&lt;&gt;"",X153&gt;=100),"Completed — on track",IF(L153="Remaining",IF(S153="",IF(V153="","No planned date",IF(TODAY()&gt;V153,"Behind — past planned date",IF(V153-TODAY()&lt;=30,"At risk — close to off track","On track"))),IF(TODAY()&gt;S153,"Behind — award date passed",IF(S153-TODAY()&lt;=30,"At risk — close to off track","On track"))),IF(V153="","No planned date",IF(AND(TODAY()&gt;V153,OR(X153="",X153&lt;100)),"Behind — past end date",IF(AND(R153&lt;&gt;"",V153&lt;&gt;"",X153&lt;&gt;"",(X153&lt;100),((TODAY()-R153)/MAX(V153-R153,1)*100)-X153&gt;15),"Behind — progress lag",IF(AND(V153-TODAY()&lt;=30,V153-TODAY()&gt;=0,OR(X153="",X153&lt;90)),"At risk — close to off track","On track"))))))))</t>
        </is>
      </c>
      <c r="AF153" s="38" t="inlineStr">
        <is>
          <t>IF(OR(E153="",AA153="Completed / Handover",AA153="Cancelled"),"",IF(L153="Remaining",IF(S153&lt;&gt;"",S153-TODAY(),IF(V153="","",V153-TODAY())),IF(V153="","",V153-TODAY())))</t>
        </is>
      </c>
      <c r="AG153" s="44" t="n"/>
      <c r="AH153" s="44" t="n"/>
      <c r="AI153" s="44" t="n"/>
      <c r="AJ153" s="44" t="n"/>
      <c r="AK153" s="44" t="n"/>
      <c r="AL153" s="44" t="n"/>
      <c r="AM153" s="44" t="n"/>
      <c r="AN153" s="44" t="n"/>
      <c r="AO153" s="44" t="n"/>
      <c r="AP153" s="44" t="n"/>
      <c r="AQ153" s="44" t="n"/>
      <c r="AR153" s="40" t="n"/>
      <c r="AS153" s="40" t="n"/>
      <c r="AT153" s="40" t="n"/>
      <c r="AU153" s="38" t="inlineStr">
        <is>
          <t>IF(OR(E153="",AH153=""),"",IF(COUNT(AG153:AG153)=0,"",AH153-LOOKUP(2,1/(AG153:AG153&lt;&gt;""),AG153:AG153)))</t>
        </is>
      </c>
      <c r="AV153" s="38" t="inlineStr">
        <is>
          <t>IF(OR(E153="",AI153=""),"",IF(COUNT(AG153:AH153)=0,"",AI153-LOOKUP(2,1/(AG153:AH153&lt;&gt;""),AG153:AH153)))</t>
        </is>
      </c>
      <c r="AW153" s="38" t="inlineStr">
        <is>
          <t>IF(OR(E153="",AJ153=""),"",IF(COUNT(AG153:AI153)=0,"",AJ153-LOOKUP(2,1/(AG153:AI153&lt;&gt;""),AG153:AI153)))</t>
        </is>
      </c>
      <c r="AX153" s="38" t="inlineStr">
        <is>
          <t>IF(OR(E153="",AK153=""),"",IF(COUNT(AG153:AJ153)=0,"",AK153-LOOKUP(2,1/(AG153:AJ153&lt;&gt;""),AG153:AJ153)))</t>
        </is>
      </c>
      <c r="AY153" s="38" t="inlineStr">
        <is>
          <t>IF(OR(E153="",AL153=""),"",IF(COUNT(AG153:AK153)=0,"",AL153-LOOKUP(2,1/(AG153:AK153&lt;&gt;""),AG153:AK153)))</t>
        </is>
      </c>
      <c r="AZ153" s="38" t="inlineStr">
        <is>
          <t>IF(OR(E153="",AM153=""),"",IF(COUNT(AG153:AL153)=0,"",AM153-LOOKUP(2,1/(AG153:AL153&lt;&gt;""),AG153:AL153)))</t>
        </is>
      </c>
      <c r="BA153" s="38" t="inlineStr">
        <is>
          <t>IF(OR(E153="",AN153=""),"",IF(COUNT(AG153:AM153)=0,"",AN153-LOOKUP(2,1/(AG153:AM153&lt;&gt;""),AG153:AM153)))</t>
        </is>
      </c>
      <c r="BB153" s="38" t="inlineStr">
        <is>
          <t>IF(OR(E153="",AO153=""),"",IF(COUNT(AG153:AN153)=0,"",AO153-LOOKUP(2,1/(AG153:AN153&lt;&gt;""),AG153:AN153)))</t>
        </is>
      </c>
      <c r="BC153" s="38" t="inlineStr">
        <is>
          <t>IF(OR(E153="",AP153=""),"",IF(COUNT(AG153:AO153)=0,"",AP153-LOOKUP(2,1/(AG153:AO153&lt;&gt;""),AG153:AO153)))</t>
        </is>
      </c>
      <c r="BD153" s="38" t="inlineStr">
        <is>
          <t>IF(OR(E153="",AQ153=""),"",IF(COUNT(AG153:AP153)=0,"",AQ153-LOOKUP(2,1/(AG153:AP153&lt;&gt;""),AG153:AP153)))</t>
        </is>
      </c>
      <c r="BE153" s="38" t="inlineStr">
        <is>
          <t>IF(OR(E153="",AR153=""),"",IF(COUNT(AG153:AQ153)=0,"",AR153-LOOKUP(2,1/(AG153:AQ153&lt;&gt;""),AG153:AQ153)))</t>
        </is>
      </c>
      <c r="BF153" s="38" t="inlineStr">
        <is>
          <t>IF(OR(E153="",AS153=""),"",IF(COUNT(AG153:AR153)=0,"",AS153-LOOKUP(2,1/(AG153:AR153&lt;&gt;""),AG153:AR153)))</t>
        </is>
      </c>
      <c r="BG153" s="38" t="inlineStr">
        <is>
          <t>IF(OR(E153="",AT153=""),"",IF(COUNT(AG153:AS153)=0,"",AT153-LOOKUP(2,1/(AG153:AS153&lt;&gt;""),AG153:AS153)))</t>
        </is>
      </c>
      <c r="BH153" s="41" t="inlineStr">
        <is>
          <t>IF(G153="","All_Provinces",IFERROR(VLOOKUP(G153,'07_Lookups'!$A$4:$B$20,2,FALSE),"All_Provinces"))</t>
        </is>
      </c>
      <c r="BI153" s="41" t="inlineStr">
        <is>
          <t>IF(H153="","All_Districts",IFERROR(VLOOKUP(H153,'07_Lookups'!$E$4:$F$42,2,FALSE),"All_Districts"))</t>
        </is>
      </c>
    </row>
    <row r="154" ht="18" customHeight="1">
      <c r="A154" s="32" t="inlineStr">
        <is>
          <t>IF(E154="","",ROW()-3)</t>
        </is>
      </c>
      <c r="B154" s="33" t="n"/>
      <c r="C154" s="33" t="n"/>
      <c r="D154" s="33" t="n"/>
      <c r="E154" s="33" t="n"/>
      <c r="F154" s="33" t="n"/>
      <c r="G154" s="33" t="n"/>
      <c r="H154" s="33" t="n"/>
      <c r="I154" s="33" t="n"/>
      <c r="J154" s="33" t="n"/>
      <c r="K154" s="33" t="n"/>
      <c r="L154" s="33" t="n"/>
      <c r="M154" s="33" t="n"/>
      <c r="N154" s="33" t="n"/>
      <c r="O154" s="33" t="n"/>
      <c r="P154" s="33" t="n"/>
      <c r="Q154" s="34" t="n"/>
      <c r="R154" s="35" t="inlineStr">
        <is>
          <t>IF(AO154="","",AO154)</t>
        </is>
      </c>
      <c r="S154" s="36" t="n"/>
      <c r="T154" s="37" t="n"/>
      <c r="U154" s="36" t="n"/>
      <c r="V154" s="35" t="inlineStr">
        <is>
          <t>IF(U154&lt;&gt;"",U154,IF(OR(R154="",T154=""),"",EDATE(R154,T154)))</t>
        </is>
      </c>
      <c r="W154" s="36" t="n"/>
      <c r="X154" s="37" t="n"/>
      <c r="Y154" s="33" t="n"/>
      <c r="Z154" s="33" t="n"/>
      <c r="AA154" s="32" t="inlineStr">
        <is>
          <t>IF(E154="","",IF(COUNT(AG154:AT154)=0,IF(Y154="","Not started",Y154),SUBSTITUTE(LOOKUP(2,1/(AG154:AT154&lt;&gt;""),$AG$3:$AT$3),"Date: ","")))</t>
        </is>
      </c>
      <c r="AB154" s="38" t="inlineStr">
        <is>
          <t>IF(OR(E154="",COUNT(AG154:AT154)=0),"",TODAY()-LOOKUP(2,1/(AG154:AT154&lt;&gt;""),AG154:AT154))</t>
        </is>
      </c>
      <c r="AC154" s="38" t="inlineStr">
        <is>
          <t>IF(OR(E154="",COUNT(AG154:AT154)&lt;2),"",LOOKUP(2,1/(AG154:AT154&lt;&gt;""),AG154:AT154)-MIN(AG154:AT154))</t>
        </is>
      </c>
      <c r="AD154" s="38" t="inlineStr">
        <is>
          <t>IF(OR(AB154="",AA154="Not started",AA154=""),"",IFERROR(AB154-IF(VLOOKUP(AA154,'04_Status_Pipeline'!$B$3:$E$20,4,FALSE)="",0,VLOOKUP(AA154,'04_Status_Pipeline'!$B$3:$E$20,4,FALSE)),""))</t>
        </is>
      </c>
      <c r="AE154" s="32" t="inlineStr">
        <is>
          <t>IF(E154="","",IF(OR(Y154="Cancelled",AA154="Cancelled"),"Cancelled",IF(OR(AA154="Completed / Handover",W154&lt;&gt;"",X154&gt;=100),"Completed — on track",IF(L154="Remaining",IF(S154="",IF(V154="","No planned date",IF(TODAY()&gt;V154,"Behind — past planned date",IF(V154-TODAY()&lt;=30,"At risk — close to off track","On track"))),IF(TODAY()&gt;S154,"Behind — award date passed",IF(S154-TODAY()&lt;=30,"At risk — close to off track","On track"))),IF(V154="","No planned date",IF(AND(TODAY()&gt;V154,OR(X154="",X154&lt;100)),"Behind — past end date",IF(AND(R154&lt;&gt;"",V154&lt;&gt;"",X154&lt;&gt;"",(X154&lt;100),((TODAY()-R154)/MAX(V154-R154,1)*100)-X154&gt;15),"Behind — progress lag",IF(AND(V154-TODAY()&lt;=30,V154-TODAY()&gt;=0,OR(X154="",X154&lt;90)),"At risk — close to off track","On track"))))))))</t>
        </is>
      </c>
      <c r="AF154" s="38" t="inlineStr">
        <is>
          <t>IF(OR(E154="",AA154="Completed / Handover",AA154="Cancelled"),"",IF(L154="Remaining",IF(S154&lt;&gt;"",S154-TODAY(),IF(V154="","",V154-TODAY())),IF(V154="","",V154-TODAY())))</t>
        </is>
      </c>
      <c r="AG154" s="36" t="n"/>
      <c r="AH154" s="36" t="n"/>
      <c r="AI154" s="36" t="n"/>
      <c r="AJ154" s="36" t="n"/>
      <c r="AK154" s="36" t="n"/>
      <c r="AL154" s="36" t="n"/>
      <c r="AM154" s="36" t="n"/>
      <c r="AN154" s="36" t="n"/>
      <c r="AO154" s="36" t="n"/>
      <c r="AP154" s="36" t="n"/>
      <c r="AQ154" s="36" t="n"/>
      <c r="AR154" s="40" t="n"/>
      <c r="AS154" s="40" t="n"/>
      <c r="AT154" s="40" t="n"/>
      <c r="AU154" s="38" t="inlineStr">
        <is>
          <t>IF(OR(E154="",AH154=""),"",IF(COUNT(AG154:AG154)=0,"",AH154-LOOKUP(2,1/(AG154:AG154&lt;&gt;""),AG154:AG154)))</t>
        </is>
      </c>
      <c r="AV154" s="38" t="inlineStr">
        <is>
          <t>IF(OR(E154="",AI154=""),"",IF(COUNT(AG154:AH154)=0,"",AI154-LOOKUP(2,1/(AG154:AH154&lt;&gt;""),AG154:AH154)))</t>
        </is>
      </c>
      <c r="AW154" s="38" t="inlineStr">
        <is>
          <t>IF(OR(E154="",AJ154=""),"",IF(COUNT(AG154:AI154)=0,"",AJ154-LOOKUP(2,1/(AG154:AI154&lt;&gt;""),AG154:AI154)))</t>
        </is>
      </c>
      <c r="AX154" s="38" t="inlineStr">
        <is>
          <t>IF(OR(E154="",AK154=""),"",IF(COUNT(AG154:AJ154)=0,"",AK154-LOOKUP(2,1/(AG154:AJ154&lt;&gt;""),AG154:AJ154)))</t>
        </is>
      </c>
      <c r="AY154" s="38" t="inlineStr">
        <is>
          <t>IF(OR(E154="",AL154=""),"",IF(COUNT(AG154:AK154)=0,"",AL154-LOOKUP(2,1/(AG154:AK154&lt;&gt;""),AG154:AK154)))</t>
        </is>
      </c>
      <c r="AZ154" s="38" t="inlineStr">
        <is>
          <t>IF(OR(E154="",AM154=""),"",IF(COUNT(AG154:AL154)=0,"",AM154-LOOKUP(2,1/(AG154:AL154&lt;&gt;""),AG154:AL154)))</t>
        </is>
      </c>
      <c r="BA154" s="38" t="inlineStr">
        <is>
          <t>IF(OR(E154="",AN154=""),"",IF(COUNT(AG154:AM154)=0,"",AN154-LOOKUP(2,1/(AG154:AM154&lt;&gt;""),AG154:AM154)))</t>
        </is>
      </c>
      <c r="BB154" s="38" t="inlineStr">
        <is>
          <t>IF(OR(E154="",AO154=""),"",IF(COUNT(AG154:AN154)=0,"",AO154-LOOKUP(2,1/(AG154:AN154&lt;&gt;""),AG154:AN154)))</t>
        </is>
      </c>
      <c r="BC154" s="38" t="inlineStr">
        <is>
          <t>IF(OR(E154="",AP154=""),"",IF(COUNT(AG154:AO154)=0,"",AP154-LOOKUP(2,1/(AG154:AO154&lt;&gt;""),AG154:AO154)))</t>
        </is>
      </c>
      <c r="BD154" s="38" t="inlineStr">
        <is>
          <t>IF(OR(E154="",AQ154=""),"",IF(COUNT(AG154:AP154)=0,"",AQ154-LOOKUP(2,1/(AG154:AP154&lt;&gt;""),AG154:AP154)))</t>
        </is>
      </c>
      <c r="BE154" s="38" t="inlineStr">
        <is>
          <t>IF(OR(E154="",AR154=""),"",IF(COUNT(AG154:AQ154)=0,"",AR154-LOOKUP(2,1/(AG154:AQ154&lt;&gt;""),AG154:AQ154)))</t>
        </is>
      </c>
      <c r="BF154" s="38" t="inlineStr">
        <is>
          <t>IF(OR(E154="",AS154=""),"",IF(COUNT(AG154:AR154)=0,"",AS154-LOOKUP(2,1/(AG154:AR154&lt;&gt;""),AG154:AR154)))</t>
        </is>
      </c>
      <c r="BG154" s="38" t="inlineStr">
        <is>
          <t>IF(OR(E154="",AT154=""),"",IF(COUNT(AG154:AS154)=0,"",AT154-LOOKUP(2,1/(AG154:AS154&lt;&gt;""),AG154:AS154)))</t>
        </is>
      </c>
      <c r="BH154" s="41" t="inlineStr">
        <is>
          <t>IF(G154="","All_Provinces",IFERROR(VLOOKUP(G154,'07_Lookups'!$A$4:$B$20,2,FALSE),"All_Provinces"))</t>
        </is>
      </c>
      <c r="BI154" s="41" t="inlineStr">
        <is>
          <t>IF(H154="","All_Districts",IFERROR(VLOOKUP(H154,'07_Lookups'!$E$4:$F$42,2,FALSE),"All_Districts"))</t>
        </is>
      </c>
    </row>
    <row r="155" ht="18" customHeight="1">
      <c r="A155" s="32" t="inlineStr">
        <is>
          <t>IF(E155="","",ROW()-3)</t>
        </is>
      </c>
      <c r="B155" s="42" t="n"/>
      <c r="C155" s="42" t="n"/>
      <c r="D155" s="42" t="n"/>
      <c r="E155" s="42" t="n"/>
      <c r="F155" s="42" t="n"/>
      <c r="G155" s="42" t="n"/>
      <c r="H155" s="42" t="n"/>
      <c r="I155" s="42" t="n"/>
      <c r="J155" s="42" t="n"/>
      <c r="K155" s="42" t="n"/>
      <c r="L155" s="42" t="n"/>
      <c r="M155" s="42" t="n"/>
      <c r="N155" s="42" t="n"/>
      <c r="O155" s="42" t="n"/>
      <c r="P155" s="42" t="n"/>
      <c r="Q155" s="43" t="n"/>
      <c r="R155" s="35" t="inlineStr">
        <is>
          <t>IF(AO155="","",AO155)</t>
        </is>
      </c>
      <c r="S155" s="44" t="n"/>
      <c r="T155" s="45" t="n"/>
      <c r="U155" s="44" t="n"/>
      <c r="V155" s="35" t="inlineStr">
        <is>
          <t>IF(U155&lt;&gt;"",U155,IF(OR(R155="",T155=""),"",EDATE(R155,T155)))</t>
        </is>
      </c>
      <c r="W155" s="44" t="n"/>
      <c r="X155" s="45" t="n"/>
      <c r="Y155" s="42" t="n"/>
      <c r="Z155" s="42" t="n"/>
      <c r="AA155" s="32" t="inlineStr">
        <is>
          <t>IF(E155="","",IF(COUNT(AG155:AT155)=0,IF(Y155="","Not started",Y155),SUBSTITUTE(LOOKUP(2,1/(AG155:AT155&lt;&gt;""),$AG$3:$AT$3),"Date: ","")))</t>
        </is>
      </c>
      <c r="AB155" s="38" t="inlineStr">
        <is>
          <t>IF(OR(E155="",COUNT(AG155:AT155)=0),"",TODAY()-LOOKUP(2,1/(AG155:AT155&lt;&gt;""),AG155:AT155))</t>
        </is>
      </c>
      <c r="AC155" s="38" t="inlineStr">
        <is>
          <t>IF(OR(E155="",COUNT(AG155:AT155)&lt;2),"",LOOKUP(2,1/(AG155:AT155&lt;&gt;""),AG155:AT155)-MIN(AG155:AT155))</t>
        </is>
      </c>
      <c r="AD155" s="38" t="inlineStr">
        <is>
          <t>IF(OR(AB155="",AA155="Not started",AA155=""),"",IFERROR(AB155-IF(VLOOKUP(AA155,'04_Status_Pipeline'!$B$3:$E$20,4,FALSE)="",0,VLOOKUP(AA155,'04_Status_Pipeline'!$B$3:$E$20,4,FALSE)),""))</t>
        </is>
      </c>
      <c r="AE155" s="32" t="inlineStr">
        <is>
          <t>IF(E155="","",IF(OR(Y155="Cancelled",AA155="Cancelled"),"Cancelled",IF(OR(AA155="Completed / Handover",W155&lt;&gt;"",X155&gt;=100),"Completed — on track",IF(L155="Remaining",IF(S155="",IF(V155="","No planned date",IF(TODAY()&gt;V155,"Behind — past planned date",IF(V155-TODAY()&lt;=30,"At risk — close to off track","On track"))),IF(TODAY()&gt;S155,"Behind — award date passed",IF(S155-TODAY()&lt;=30,"At risk — close to off track","On track"))),IF(V155="","No planned date",IF(AND(TODAY()&gt;V155,OR(X155="",X155&lt;100)),"Behind — past end date",IF(AND(R155&lt;&gt;"",V155&lt;&gt;"",X155&lt;&gt;"",(X155&lt;100),((TODAY()-R155)/MAX(V155-R155,1)*100)-X155&gt;15),"Behind — progress lag",IF(AND(V155-TODAY()&lt;=30,V155-TODAY()&gt;=0,OR(X155="",X155&lt;90)),"At risk — close to off track","On track"))))))))</t>
        </is>
      </c>
      <c r="AF155" s="38" t="inlineStr">
        <is>
          <t>IF(OR(E155="",AA155="Completed / Handover",AA155="Cancelled"),"",IF(L155="Remaining",IF(S155&lt;&gt;"",S155-TODAY(),IF(V155="","",V155-TODAY())),IF(V155="","",V155-TODAY())))</t>
        </is>
      </c>
      <c r="AG155" s="44" t="n"/>
      <c r="AH155" s="44" t="n"/>
      <c r="AI155" s="44" t="n"/>
      <c r="AJ155" s="44" t="n"/>
      <c r="AK155" s="44" t="n"/>
      <c r="AL155" s="44" t="n"/>
      <c r="AM155" s="44" t="n"/>
      <c r="AN155" s="44" t="n"/>
      <c r="AO155" s="44" t="n"/>
      <c r="AP155" s="44" t="n"/>
      <c r="AQ155" s="44" t="n"/>
      <c r="AR155" s="40" t="n"/>
      <c r="AS155" s="40" t="n"/>
      <c r="AT155" s="40" t="n"/>
      <c r="AU155" s="38" t="inlineStr">
        <is>
          <t>IF(OR(E155="",AH155=""),"",IF(COUNT(AG155:AG155)=0,"",AH155-LOOKUP(2,1/(AG155:AG155&lt;&gt;""),AG155:AG155)))</t>
        </is>
      </c>
      <c r="AV155" s="38" t="inlineStr">
        <is>
          <t>IF(OR(E155="",AI155=""),"",IF(COUNT(AG155:AH155)=0,"",AI155-LOOKUP(2,1/(AG155:AH155&lt;&gt;""),AG155:AH155)))</t>
        </is>
      </c>
      <c r="AW155" s="38" t="inlineStr">
        <is>
          <t>IF(OR(E155="",AJ155=""),"",IF(COUNT(AG155:AI155)=0,"",AJ155-LOOKUP(2,1/(AG155:AI155&lt;&gt;""),AG155:AI155)))</t>
        </is>
      </c>
      <c r="AX155" s="38" t="inlineStr">
        <is>
          <t>IF(OR(E155="",AK155=""),"",IF(COUNT(AG155:AJ155)=0,"",AK155-LOOKUP(2,1/(AG155:AJ155&lt;&gt;""),AG155:AJ155)))</t>
        </is>
      </c>
      <c r="AY155" s="38" t="inlineStr">
        <is>
          <t>IF(OR(E155="",AL155=""),"",IF(COUNT(AG155:AK155)=0,"",AL155-LOOKUP(2,1/(AG155:AK155&lt;&gt;""),AG155:AK155)))</t>
        </is>
      </c>
      <c r="AZ155" s="38" t="inlineStr">
        <is>
          <t>IF(OR(E155="",AM155=""),"",IF(COUNT(AG155:AL155)=0,"",AM155-LOOKUP(2,1/(AG155:AL155&lt;&gt;""),AG155:AL155)))</t>
        </is>
      </c>
      <c r="BA155" s="38" t="inlineStr">
        <is>
          <t>IF(OR(E155="",AN155=""),"",IF(COUNT(AG155:AM155)=0,"",AN155-LOOKUP(2,1/(AG155:AM155&lt;&gt;""),AG155:AM155)))</t>
        </is>
      </c>
      <c r="BB155" s="38" t="inlineStr">
        <is>
          <t>IF(OR(E155="",AO155=""),"",IF(COUNT(AG155:AN155)=0,"",AO155-LOOKUP(2,1/(AG155:AN155&lt;&gt;""),AG155:AN155)))</t>
        </is>
      </c>
      <c r="BC155" s="38" t="inlineStr">
        <is>
          <t>IF(OR(E155="",AP155=""),"",IF(COUNT(AG155:AO155)=0,"",AP155-LOOKUP(2,1/(AG155:AO155&lt;&gt;""),AG155:AO155)))</t>
        </is>
      </c>
      <c r="BD155" s="38" t="inlineStr">
        <is>
          <t>IF(OR(E155="",AQ155=""),"",IF(COUNT(AG155:AP155)=0,"",AQ155-LOOKUP(2,1/(AG155:AP155&lt;&gt;""),AG155:AP155)))</t>
        </is>
      </c>
      <c r="BE155" s="38" t="inlineStr">
        <is>
          <t>IF(OR(E155="",AR155=""),"",IF(COUNT(AG155:AQ155)=0,"",AR155-LOOKUP(2,1/(AG155:AQ155&lt;&gt;""),AG155:AQ155)))</t>
        </is>
      </c>
      <c r="BF155" s="38" t="inlineStr">
        <is>
          <t>IF(OR(E155="",AS155=""),"",IF(COUNT(AG155:AR155)=0,"",AS155-LOOKUP(2,1/(AG155:AR155&lt;&gt;""),AG155:AR155)))</t>
        </is>
      </c>
      <c r="BG155" s="38" t="inlineStr">
        <is>
          <t>IF(OR(E155="",AT155=""),"",IF(COUNT(AG155:AS155)=0,"",AT155-LOOKUP(2,1/(AG155:AS155&lt;&gt;""),AG155:AS155)))</t>
        </is>
      </c>
      <c r="BH155" s="41" t="inlineStr">
        <is>
          <t>IF(G155="","All_Provinces",IFERROR(VLOOKUP(G155,'07_Lookups'!$A$4:$B$20,2,FALSE),"All_Provinces"))</t>
        </is>
      </c>
      <c r="BI155" s="41" t="inlineStr">
        <is>
          <t>IF(H155="","All_Districts",IFERROR(VLOOKUP(H155,'07_Lookups'!$E$4:$F$42,2,FALSE),"All_Districts"))</t>
        </is>
      </c>
    </row>
    <row r="156" ht="18" customHeight="1">
      <c r="A156" s="32" t="inlineStr">
        <is>
          <t>IF(E156="","",ROW()-3)</t>
        </is>
      </c>
      <c r="B156" s="33" t="n"/>
      <c r="C156" s="33" t="n"/>
      <c r="D156" s="33" t="n"/>
      <c r="E156" s="33" t="n"/>
      <c r="F156" s="33" t="n"/>
      <c r="G156" s="33" t="n"/>
      <c r="H156" s="33" t="n"/>
      <c r="I156" s="33" t="n"/>
      <c r="J156" s="33" t="n"/>
      <c r="K156" s="33" t="n"/>
      <c r="L156" s="33" t="n"/>
      <c r="M156" s="33" t="n"/>
      <c r="N156" s="33" t="n"/>
      <c r="O156" s="33" t="n"/>
      <c r="P156" s="33" t="n"/>
      <c r="Q156" s="34" t="n"/>
      <c r="R156" s="35" t="inlineStr">
        <is>
          <t>IF(AO156="","",AO156)</t>
        </is>
      </c>
      <c r="S156" s="36" t="n"/>
      <c r="T156" s="37" t="n"/>
      <c r="U156" s="36" t="n"/>
      <c r="V156" s="35" t="inlineStr">
        <is>
          <t>IF(U156&lt;&gt;"",U156,IF(OR(R156="",T156=""),"",EDATE(R156,T156)))</t>
        </is>
      </c>
      <c r="W156" s="36" t="n"/>
      <c r="X156" s="37" t="n"/>
      <c r="Y156" s="33" t="n"/>
      <c r="Z156" s="33" t="n"/>
      <c r="AA156" s="32" t="inlineStr">
        <is>
          <t>IF(E156="","",IF(COUNT(AG156:AT156)=0,IF(Y156="","Not started",Y156),SUBSTITUTE(LOOKUP(2,1/(AG156:AT156&lt;&gt;""),$AG$3:$AT$3),"Date: ","")))</t>
        </is>
      </c>
      <c r="AB156" s="38" t="inlineStr">
        <is>
          <t>IF(OR(E156="",COUNT(AG156:AT156)=0),"",TODAY()-LOOKUP(2,1/(AG156:AT156&lt;&gt;""),AG156:AT156))</t>
        </is>
      </c>
      <c r="AC156" s="38" t="inlineStr">
        <is>
          <t>IF(OR(E156="",COUNT(AG156:AT156)&lt;2),"",LOOKUP(2,1/(AG156:AT156&lt;&gt;""),AG156:AT156)-MIN(AG156:AT156))</t>
        </is>
      </c>
      <c r="AD156" s="38" t="inlineStr">
        <is>
          <t>IF(OR(AB156="",AA156="Not started",AA156=""),"",IFERROR(AB156-IF(VLOOKUP(AA156,'04_Status_Pipeline'!$B$3:$E$20,4,FALSE)="",0,VLOOKUP(AA156,'04_Status_Pipeline'!$B$3:$E$20,4,FALSE)),""))</t>
        </is>
      </c>
      <c r="AE156" s="32" t="inlineStr">
        <is>
          <t>IF(E156="","",IF(OR(Y156="Cancelled",AA156="Cancelled"),"Cancelled",IF(OR(AA156="Completed / Handover",W156&lt;&gt;"",X156&gt;=100),"Completed — on track",IF(L156="Remaining",IF(S156="",IF(V156="","No planned date",IF(TODAY()&gt;V156,"Behind — past planned date",IF(V156-TODAY()&lt;=30,"At risk — close to off track","On track"))),IF(TODAY()&gt;S156,"Behind — award date passed",IF(S156-TODAY()&lt;=30,"At risk — close to off track","On track"))),IF(V156="","No planned date",IF(AND(TODAY()&gt;V156,OR(X156="",X156&lt;100)),"Behind — past end date",IF(AND(R156&lt;&gt;"",V156&lt;&gt;"",X156&lt;&gt;"",(X156&lt;100),((TODAY()-R156)/MAX(V156-R156,1)*100)-X156&gt;15),"Behind — progress lag",IF(AND(V156-TODAY()&lt;=30,V156-TODAY()&gt;=0,OR(X156="",X156&lt;90)),"At risk — close to off track","On track"))))))))</t>
        </is>
      </c>
      <c r="AF156" s="38" t="inlineStr">
        <is>
          <t>IF(OR(E156="",AA156="Completed / Handover",AA156="Cancelled"),"",IF(L156="Remaining",IF(S156&lt;&gt;"",S156-TODAY(),IF(V156="","",V156-TODAY())),IF(V156="","",V156-TODAY())))</t>
        </is>
      </c>
      <c r="AG156" s="36" t="n"/>
      <c r="AH156" s="36" t="n"/>
      <c r="AI156" s="36" t="n"/>
      <c r="AJ156" s="36" t="n"/>
      <c r="AK156" s="36" t="n"/>
      <c r="AL156" s="36" t="n"/>
      <c r="AM156" s="36" t="n"/>
      <c r="AN156" s="36" t="n"/>
      <c r="AO156" s="36" t="n"/>
      <c r="AP156" s="36" t="n"/>
      <c r="AQ156" s="36" t="n"/>
      <c r="AR156" s="40" t="n"/>
      <c r="AS156" s="40" t="n"/>
      <c r="AT156" s="40" t="n"/>
      <c r="AU156" s="38" t="inlineStr">
        <is>
          <t>IF(OR(E156="",AH156=""),"",IF(COUNT(AG156:AG156)=0,"",AH156-LOOKUP(2,1/(AG156:AG156&lt;&gt;""),AG156:AG156)))</t>
        </is>
      </c>
      <c r="AV156" s="38" t="inlineStr">
        <is>
          <t>IF(OR(E156="",AI156=""),"",IF(COUNT(AG156:AH156)=0,"",AI156-LOOKUP(2,1/(AG156:AH156&lt;&gt;""),AG156:AH156)))</t>
        </is>
      </c>
      <c r="AW156" s="38" t="inlineStr">
        <is>
          <t>IF(OR(E156="",AJ156=""),"",IF(COUNT(AG156:AI156)=0,"",AJ156-LOOKUP(2,1/(AG156:AI156&lt;&gt;""),AG156:AI156)))</t>
        </is>
      </c>
      <c r="AX156" s="38" t="inlineStr">
        <is>
          <t>IF(OR(E156="",AK156=""),"",IF(COUNT(AG156:AJ156)=0,"",AK156-LOOKUP(2,1/(AG156:AJ156&lt;&gt;""),AG156:AJ156)))</t>
        </is>
      </c>
      <c r="AY156" s="38" t="inlineStr">
        <is>
          <t>IF(OR(E156="",AL156=""),"",IF(COUNT(AG156:AK156)=0,"",AL156-LOOKUP(2,1/(AG156:AK156&lt;&gt;""),AG156:AK156)))</t>
        </is>
      </c>
      <c r="AZ156" s="38" t="inlineStr">
        <is>
          <t>IF(OR(E156="",AM156=""),"",IF(COUNT(AG156:AL156)=0,"",AM156-LOOKUP(2,1/(AG156:AL156&lt;&gt;""),AG156:AL156)))</t>
        </is>
      </c>
      <c r="BA156" s="38" t="inlineStr">
        <is>
          <t>IF(OR(E156="",AN156=""),"",IF(COUNT(AG156:AM156)=0,"",AN156-LOOKUP(2,1/(AG156:AM156&lt;&gt;""),AG156:AM156)))</t>
        </is>
      </c>
      <c r="BB156" s="38" t="inlineStr">
        <is>
          <t>IF(OR(E156="",AO156=""),"",IF(COUNT(AG156:AN156)=0,"",AO156-LOOKUP(2,1/(AG156:AN156&lt;&gt;""),AG156:AN156)))</t>
        </is>
      </c>
      <c r="BC156" s="38" t="inlineStr">
        <is>
          <t>IF(OR(E156="",AP156=""),"",IF(COUNT(AG156:AO156)=0,"",AP156-LOOKUP(2,1/(AG156:AO156&lt;&gt;""),AG156:AO156)))</t>
        </is>
      </c>
      <c r="BD156" s="38" t="inlineStr">
        <is>
          <t>IF(OR(E156="",AQ156=""),"",IF(COUNT(AG156:AP156)=0,"",AQ156-LOOKUP(2,1/(AG156:AP156&lt;&gt;""),AG156:AP156)))</t>
        </is>
      </c>
      <c r="BE156" s="38" t="inlineStr">
        <is>
          <t>IF(OR(E156="",AR156=""),"",IF(COUNT(AG156:AQ156)=0,"",AR156-LOOKUP(2,1/(AG156:AQ156&lt;&gt;""),AG156:AQ156)))</t>
        </is>
      </c>
      <c r="BF156" s="38" t="inlineStr">
        <is>
          <t>IF(OR(E156="",AS156=""),"",IF(COUNT(AG156:AR156)=0,"",AS156-LOOKUP(2,1/(AG156:AR156&lt;&gt;""),AG156:AR156)))</t>
        </is>
      </c>
      <c r="BG156" s="38" t="inlineStr">
        <is>
          <t>IF(OR(E156="",AT156=""),"",IF(COUNT(AG156:AS156)=0,"",AT156-LOOKUP(2,1/(AG156:AS156&lt;&gt;""),AG156:AS156)))</t>
        </is>
      </c>
      <c r="BH156" s="41" t="inlineStr">
        <is>
          <t>IF(G156="","All_Provinces",IFERROR(VLOOKUP(G156,'07_Lookups'!$A$4:$B$20,2,FALSE),"All_Provinces"))</t>
        </is>
      </c>
      <c r="BI156" s="41" t="inlineStr">
        <is>
          <t>IF(H156="","All_Districts",IFERROR(VLOOKUP(H156,'07_Lookups'!$E$4:$F$42,2,FALSE),"All_Districts"))</t>
        </is>
      </c>
    </row>
    <row r="157" ht="18" customHeight="1">
      <c r="A157" s="32" t="inlineStr">
        <is>
          <t>IF(E157="","",ROW()-3)</t>
        </is>
      </c>
      <c r="B157" s="42" t="n"/>
      <c r="C157" s="42" t="n"/>
      <c r="D157" s="42" t="n"/>
      <c r="E157" s="42" t="n"/>
      <c r="F157" s="42" t="n"/>
      <c r="G157" s="42" t="n"/>
      <c r="H157" s="42" t="n"/>
      <c r="I157" s="42" t="n"/>
      <c r="J157" s="42" t="n"/>
      <c r="K157" s="42" t="n"/>
      <c r="L157" s="42" t="n"/>
      <c r="M157" s="42" t="n"/>
      <c r="N157" s="42" t="n"/>
      <c r="O157" s="42" t="n"/>
      <c r="P157" s="42" t="n"/>
      <c r="Q157" s="43" t="n"/>
      <c r="R157" s="35" t="inlineStr">
        <is>
          <t>IF(AO157="","",AO157)</t>
        </is>
      </c>
      <c r="S157" s="44" t="n"/>
      <c r="T157" s="45" t="n"/>
      <c r="U157" s="44" t="n"/>
      <c r="V157" s="35" t="inlineStr">
        <is>
          <t>IF(U157&lt;&gt;"",U157,IF(OR(R157="",T157=""),"",EDATE(R157,T157)))</t>
        </is>
      </c>
      <c r="W157" s="44" t="n"/>
      <c r="X157" s="45" t="n"/>
      <c r="Y157" s="42" t="n"/>
      <c r="Z157" s="42" t="n"/>
      <c r="AA157" s="32" t="inlineStr">
        <is>
          <t>IF(E157="","",IF(COUNT(AG157:AT157)=0,IF(Y157="","Not started",Y157),SUBSTITUTE(LOOKUP(2,1/(AG157:AT157&lt;&gt;""),$AG$3:$AT$3),"Date: ","")))</t>
        </is>
      </c>
      <c r="AB157" s="38" t="inlineStr">
        <is>
          <t>IF(OR(E157="",COUNT(AG157:AT157)=0),"",TODAY()-LOOKUP(2,1/(AG157:AT157&lt;&gt;""),AG157:AT157))</t>
        </is>
      </c>
      <c r="AC157" s="38" t="inlineStr">
        <is>
          <t>IF(OR(E157="",COUNT(AG157:AT157)&lt;2),"",LOOKUP(2,1/(AG157:AT157&lt;&gt;""),AG157:AT157)-MIN(AG157:AT157))</t>
        </is>
      </c>
      <c r="AD157" s="38" t="inlineStr">
        <is>
          <t>IF(OR(AB157="",AA157="Not started",AA157=""),"",IFERROR(AB157-IF(VLOOKUP(AA157,'04_Status_Pipeline'!$B$3:$E$20,4,FALSE)="",0,VLOOKUP(AA157,'04_Status_Pipeline'!$B$3:$E$20,4,FALSE)),""))</t>
        </is>
      </c>
      <c r="AE157" s="32" t="inlineStr">
        <is>
          <t>IF(E157="","",IF(OR(Y157="Cancelled",AA157="Cancelled"),"Cancelled",IF(OR(AA157="Completed / Handover",W157&lt;&gt;"",X157&gt;=100),"Completed — on track",IF(L157="Remaining",IF(S157="",IF(V157="","No planned date",IF(TODAY()&gt;V157,"Behind — past planned date",IF(V157-TODAY()&lt;=30,"At risk — close to off track","On track"))),IF(TODAY()&gt;S157,"Behind — award date passed",IF(S157-TODAY()&lt;=30,"At risk — close to off track","On track"))),IF(V157="","No planned date",IF(AND(TODAY()&gt;V157,OR(X157="",X157&lt;100)),"Behind — past end date",IF(AND(R157&lt;&gt;"",V157&lt;&gt;"",X157&lt;&gt;"",(X157&lt;100),((TODAY()-R157)/MAX(V157-R157,1)*100)-X157&gt;15),"Behind — progress lag",IF(AND(V157-TODAY()&lt;=30,V157-TODAY()&gt;=0,OR(X157="",X157&lt;90)),"At risk — close to off track","On track"))))))))</t>
        </is>
      </c>
      <c r="AF157" s="38" t="inlineStr">
        <is>
          <t>IF(OR(E157="",AA157="Completed / Handover",AA157="Cancelled"),"",IF(L157="Remaining",IF(S157&lt;&gt;"",S157-TODAY(),IF(V157="","",V157-TODAY())),IF(V157="","",V157-TODAY())))</t>
        </is>
      </c>
      <c r="AG157" s="44" t="n"/>
      <c r="AH157" s="44" t="n"/>
      <c r="AI157" s="44" t="n"/>
      <c r="AJ157" s="44" t="n"/>
      <c r="AK157" s="44" t="n"/>
      <c r="AL157" s="44" t="n"/>
      <c r="AM157" s="44" t="n"/>
      <c r="AN157" s="44" t="n"/>
      <c r="AO157" s="44" t="n"/>
      <c r="AP157" s="44" t="n"/>
      <c r="AQ157" s="44" t="n"/>
      <c r="AR157" s="40" t="n"/>
      <c r="AS157" s="40" t="n"/>
      <c r="AT157" s="40" t="n"/>
      <c r="AU157" s="38" t="inlineStr">
        <is>
          <t>IF(OR(E157="",AH157=""),"",IF(COUNT(AG157:AG157)=0,"",AH157-LOOKUP(2,1/(AG157:AG157&lt;&gt;""),AG157:AG157)))</t>
        </is>
      </c>
      <c r="AV157" s="38" t="inlineStr">
        <is>
          <t>IF(OR(E157="",AI157=""),"",IF(COUNT(AG157:AH157)=0,"",AI157-LOOKUP(2,1/(AG157:AH157&lt;&gt;""),AG157:AH157)))</t>
        </is>
      </c>
      <c r="AW157" s="38" t="inlineStr">
        <is>
          <t>IF(OR(E157="",AJ157=""),"",IF(COUNT(AG157:AI157)=0,"",AJ157-LOOKUP(2,1/(AG157:AI157&lt;&gt;""),AG157:AI157)))</t>
        </is>
      </c>
      <c r="AX157" s="38" t="inlineStr">
        <is>
          <t>IF(OR(E157="",AK157=""),"",IF(COUNT(AG157:AJ157)=0,"",AK157-LOOKUP(2,1/(AG157:AJ157&lt;&gt;""),AG157:AJ157)))</t>
        </is>
      </c>
      <c r="AY157" s="38" t="inlineStr">
        <is>
          <t>IF(OR(E157="",AL157=""),"",IF(COUNT(AG157:AK157)=0,"",AL157-LOOKUP(2,1/(AG157:AK157&lt;&gt;""),AG157:AK157)))</t>
        </is>
      </c>
      <c r="AZ157" s="38" t="inlineStr">
        <is>
          <t>IF(OR(E157="",AM157=""),"",IF(COUNT(AG157:AL157)=0,"",AM157-LOOKUP(2,1/(AG157:AL157&lt;&gt;""),AG157:AL157)))</t>
        </is>
      </c>
      <c r="BA157" s="38" t="inlineStr">
        <is>
          <t>IF(OR(E157="",AN157=""),"",IF(COUNT(AG157:AM157)=0,"",AN157-LOOKUP(2,1/(AG157:AM157&lt;&gt;""),AG157:AM157)))</t>
        </is>
      </c>
      <c r="BB157" s="38" t="inlineStr">
        <is>
          <t>IF(OR(E157="",AO157=""),"",IF(COUNT(AG157:AN157)=0,"",AO157-LOOKUP(2,1/(AG157:AN157&lt;&gt;""),AG157:AN157)))</t>
        </is>
      </c>
      <c r="BC157" s="38" t="inlineStr">
        <is>
          <t>IF(OR(E157="",AP157=""),"",IF(COUNT(AG157:AO157)=0,"",AP157-LOOKUP(2,1/(AG157:AO157&lt;&gt;""),AG157:AO157)))</t>
        </is>
      </c>
      <c r="BD157" s="38" t="inlineStr">
        <is>
          <t>IF(OR(E157="",AQ157=""),"",IF(COUNT(AG157:AP157)=0,"",AQ157-LOOKUP(2,1/(AG157:AP157&lt;&gt;""),AG157:AP157)))</t>
        </is>
      </c>
      <c r="BE157" s="38" t="inlineStr">
        <is>
          <t>IF(OR(E157="",AR157=""),"",IF(COUNT(AG157:AQ157)=0,"",AR157-LOOKUP(2,1/(AG157:AQ157&lt;&gt;""),AG157:AQ157)))</t>
        </is>
      </c>
      <c r="BF157" s="38" t="inlineStr">
        <is>
          <t>IF(OR(E157="",AS157=""),"",IF(COUNT(AG157:AR157)=0,"",AS157-LOOKUP(2,1/(AG157:AR157&lt;&gt;""),AG157:AR157)))</t>
        </is>
      </c>
      <c r="BG157" s="38" t="inlineStr">
        <is>
          <t>IF(OR(E157="",AT157=""),"",IF(COUNT(AG157:AS157)=0,"",AT157-LOOKUP(2,1/(AG157:AS157&lt;&gt;""),AG157:AS157)))</t>
        </is>
      </c>
      <c r="BH157" s="41" t="inlineStr">
        <is>
          <t>IF(G157="","All_Provinces",IFERROR(VLOOKUP(G157,'07_Lookups'!$A$4:$B$20,2,FALSE),"All_Provinces"))</t>
        </is>
      </c>
      <c r="BI157" s="41" t="inlineStr">
        <is>
          <t>IF(H157="","All_Districts",IFERROR(VLOOKUP(H157,'07_Lookups'!$E$4:$F$42,2,FALSE),"All_Districts"))</t>
        </is>
      </c>
    </row>
    <row r="158" ht="18" customHeight="1">
      <c r="A158" s="32" t="inlineStr">
        <is>
          <t>IF(E158="","",ROW()-3)</t>
        </is>
      </c>
      <c r="B158" s="33" t="n"/>
      <c r="C158" s="33" t="n"/>
      <c r="D158" s="33" t="n"/>
      <c r="E158" s="33" t="n"/>
      <c r="F158" s="33" t="n"/>
      <c r="G158" s="33" t="n"/>
      <c r="H158" s="33" t="n"/>
      <c r="I158" s="33" t="n"/>
      <c r="J158" s="33" t="n"/>
      <c r="K158" s="33" t="n"/>
      <c r="L158" s="33" t="n"/>
      <c r="M158" s="33" t="n"/>
      <c r="N158" s="33" t="n"/>
      <c r="O158" s="33" t="n"/>
      <c r="P158" s="33" t="n"/>
      <c r="Q158" s="34" t="n"/>
      <c r="R158" s="35" t="inlineStr">
        <is>
          <t>IF(AO158="","",AO158)</t>
        </is>
      </c>
      <c r="S158" s="36" t="n"/>
      <c r="T158" s="37" t="n"/>
      <c r="U158" s="36" t="n"/>
      <c r="V158" s="35" t="inlineStr">
        <is>
          <t>IF(U158&lt;&gt;"",U158,IF(OR(R158="",T158=""),"",EDATE(R158,T158)))</t>
        </is>
      </c>
      <c r="W158" s="36" t="n"/>
      <c r="X158" s="37" t="n"/>
      <c r="Y158" s="33" t="n"/>
      <c r="Z158" s="33" t="n"/>
      <c r="AA158" s="32" t="inlineStr">
        <is>
          <t>IF(E158="","",IF(COUNT(AG158:AT158)=0,IF(Y158="","Not started",Y158),SUBSTITUTE(LOOKUP(2,1/(AG158:AT158&lt;&gt;""),$AG$3:$AT$3),"Date: ","")))</t>
        </is>
      </c>
      <c r="AB158" s="38" t="inlineStr">
        <is>
          <t>IF(OR(E158="",COUNT(AG158:AT158)=0),"",TODAY()-LOOKUP(2,1/(AG158:AT158&lt;&gt;""),AG158:AT158))</t>
        </is>
      </c>
      <c r="AC158" s="38" t="inlineStr">
        <is>
          <t>IF(OR(E158="",COUNT(AG158:AT158)&lt;2),"",LOOKUP(2,1/(AG158:AT158&lt;&gt;""),AG158:AT158)-MIN(AG158:AT158))</t>
        </is>
      </c>
      <c r="AD158" s="38" t="inlineStr">
        <is>
          <t>IF(OR(AB158="",AA158="Not started",AA158=""),"",IFERROR(AB158-IF(VLOOKUP(AA158,'04_Status_Pipeline'!$B$3:$E$20,4,FALSE)="",0,VLOOKUP(AA158,'04_Status_Pipeline'!$B$3:$E$20,4,FALSE)),""))</t>
        </is>
      </c>
      <c r="AE158" s="32" t="inlineStr">
        <is>
          <t>IF(E158="","",IF(OR(Y158="Cancelled",AA158="Cancelled"),"Cancelled",IF(OR(AA158="Completed / Handover",W158&lt;&gt;"",X158&gt;=100),"Completed — on track",IF(L158="Remaining",IF(S158="",IF(V158="","No planned date",IF(TODAY()&gt;V158,"Behind — past planned date",IF(V158-TODAY()&lt;=30,"At risk — close to off track","On track"))),IF(TODAY()&gt;S158,"Behind — award date passed",IF(S158-TODAY()&lt;=30,"At risk — close to off track","On track"))),IF(V158="","No planned date",IF(AND(TODAY()&gt;V158,OR(X158="",X158&lt;100)),"Behind — past end date",IF(AND(R158&lt;&gt;"",V158&lt;&gt;"",X158&lt;&gt;"",(X158&lt;100),((TODAY()-R158)/MAX(V158-R158,1)*100)-X158&gt;15),"Behind — progress lag",IF(AND(V158-TODAY()&lt;=30,V158-TODAY()&gt;=0,OR(X158="",X158&lt;90)),"At risk — close to off track","On track"))))))))</t>
        </is>
      </c>
      <c r="AF158" s="38" t="inlineStr">
        <is>
          <t>IF(OR(E158="",AA158="Completed / Handover",AA158="Cancelled"),"",IF(L158="Remaining",IF(S158&lt;&gt;"",S158-TODAY(),IF(V158="","",V158-TODAY())),IF(V158="","",V158-TODAY())))</t>
        </is>
      </c>
      <c r="AG158" s="36" t="n"/>
      <c r="AH158" s="36" t="n"/>
      <c r="AI158" s="36" t="n"/>
      <c r="AJ158" s="36" t="n"/>
      <c r="AK158" s="36" t="n"/>
      <c r="AL158" s="36" t="n"/>
      <c r="AM158" s="36" t="n"/>
      <c r="AN158" s="36" t="n"/>
      <c r="AO158" s="36" t="n"/>
      <c r="AP158" s="36" t="n"/>
      <c r="AQ158" s="36" t="n"/>
      <c r="AR158" s="40" t="n"/>
      <c r="AS158" s="40" t="n"/>
      <c r="AT158" s="40" t="n"/>
      <c r="AU158" s="38" t="inlineStr">
        <is>
          <t>IF(OR(E158="",AH158=""),"",IF(COUNT(AG158:AG158)=0,"",AH158-LOOKUP(2,1/(AG158:AG158&lt;&gt;""),AG158:AG158)))</t>
        </is>
      </c>
      <c r="AV158" s="38" t="inlineStr">
        <is>
          <t>IF(OR(E158="",AI158=""),"",IF(COUNT(AG158:AH158)=0,"",AI158-LOOKUP(2,1/(AG158:AH158&lt;&gt;""),AG158:AH158)))</t>
        </is>
      </c>
      <c r="AW158" s="38" t="inlineStr">
        <is>
          <t>IF(OR(E158="",AJ158=""),"",IF(COUNT(AG158:AI158)=0,"",AJ158-LOOKUP(2,1/(AG158:AI158&lt;&gt;""),AG158:AI158)))</t>
        </is>
      </c>
      <c r="AX158" s="38" t="inlineStr">
        <is>
          <t>IF(OR(E158="",AK158=""),"",IF(COUNT(AG158:AJ158)=0,"",AK158-LOOKUP(2,1/(AG158:AJ158&lt;&gt;""),AG158:AJ158)))</t>
        </is>
      </c>
      <c r="AY158" s="38" t="inlineStr">
        <is>
          <t>IF(OR(E158="",AL158=""),"",IF(COUNT(AG158:AK158)=0,"",AL158-LOOKUP(2,1/(AG158:AK158&lt;&gt;""),AG158:AK158)))</t>
        </is>
      </c>
      <c r="AZ158" s="38" t="inlineStr">
        <is>
          <t>IF(OR(E158="",AM158=""),"",IF(COUNT(AG158:AL158)=0,"",AM158-LOOKUP(2,1/(AG158:AL158&lt;&gt;""),AG158:AL158)))</t>
        </is>
      </c>
      <c r="BA158" s="38" t="inlineStr">
        <is>
          <t>IF(OR(E158="",AN158=""),"",IF(COUNT(AG158:AM158)=0,"",AN158-LOOKUP(2,1/(AG158:AM158&lt;&gt;""),AG158:AM158)))</t>
        </is>
      </c>
      <c r="BB158" s="38" t="inlineStr">
        <is>
          <t>IF(OR(E158="",AO158=""),"",IF(COUNT(AG158:AN158)=0,"",AO158-LOOKUP(2,1/(AG158:AN158&lt;&gt;""),AG158:AN158)))</t>
        </is>
      </c>
      <c r="BC158" s="38" t="inlineStr">
        <is>
          <t>IF(OR(E158="",AP158=""),"",IF(COUNT(AG158:AO158)=0,"",AP158-LOOKUP(2,1/(AG158:AO158&lt;&gt;""),AG158:AO158)))</t>
        </is>
      </c>
      <c r="BD158" s="38" t="inlineStr">
        <is>
          <t>IF(OR(E158="",AQ158=""),"",IF(COUNT(AG158:AP158)=0,"",AQ158-LOOKUP(2,1/(AG158:AP158&lt;&gt;""),AG158:AP158)))</t>
        </is>
      </c>
      <c r="BE158" s="38" t="inlineStr">
        <is>
          <t>IF(OR(E158="",AR158=""),"",IF(COUNT(AG158:AQ158)=0,"",AR158-LOOKUP(2,1/(AG158:AQ158&lt;&gt;""),AG158:AQ158)))</t>
        </is>
      </c>
      <c r="BF158" s="38" t="inlineStr">
        <is>
          <t>IF(OR(E158="",AS158=""),"",IF(COUNT(AG158:AR158)=0,"",AS158-LOOKUP(2,1/(AG158:AR158&lt;&gt;""),AG158:AR158)))</t>
        </is>
      </c>
      <c r="BG158" s="38" t="inlineStr">
        <is>
          <t>IF(OR(E158="",AT158=""),"",IF(COUNT(AG158:AS158)=0,"",AT158-LOOKUP(2,1/(AG158:AS158&lt;&gt;""),AG158:AS158)))</t>
        </is>
      </c>
      <c r="BH158" s="41" t="inlineStr">
        <is>
          <t>IF(G158="","All_Provinces",IFERROR(VLOOKUP(G158,'07_Lookups'!$A$4:$B$20,2,FALSE),"All_Provinces"))</t>
        </is>
      </c>
      <c r="BI158" s="41" t="inlineStr">
        <is>
          <t>IF(H158="","All_Districts",IFERROR(VLOOKUP(H158,'07_Lookups'!$E$4:$F$42,2,FALSE),"All_Districts"))</t>
        </is>
      </c>
    </row>
    <row r="159" ht="18" customHeight="1">
      <c r="A159" s="32" t="inlineStr">
        <is>
          <t>IF(E159="","",ROW()-3)</t>
        </is>
      </c>
      <c r="B159" s="42" t="n"/>
      <c r="C159" s="42" t="n"/>
      <c r="D159" s="42" t="n"/>
      <c r="E159" s="42" t="n"/>
      <c r="F159" s="42" t="n"/>
      <c r="G159" s="42" t="n"/>
      <c r="H159" s="42" t="n"/>
      <c r="I159" s="42" t="n"/>
      <c r="J159" s="42" t="n"/>
      <c r="K159" s="42" t="n"/>
      <c r="L159" s="42" t="n"/>
      <c r="M159" s="42" t="n"/>
      <c r="N159" s="42" t="n"/>
      <c r="O159" s="42" t="n"/>
      <c r="P159" s="42" t="n"/>
      <c r="Q159" s="43" t="n"/>
      <c r="R159" s="35" t="inlineStr">
        <is>
          <t>IF(AO159="","",AO159)</t>
        </is>
      </c>
      <c r="S159" s="44" t="n"/>
      <c r="T159" s="45" t="n"/>
      <c r="U159" s="44" t="n"/>
      <c r="V159" s="35" t="inlineStr">
        <is>
          <t>IF(U159&lt;&gt;"",U159,IF(OR(R159="",T159=""),"",EDATE(R159,T159)))</t>
        </is>
      </c>
      <c r="W159" s="44" t="n"/>
      <c r="X159" s="45" t="n"/>
      <c r="Y159" s="42" t="n"/>
      <c r="Z159" s="42" t="n"/>
      <c r="AA159" s="32" t="inlineStr">
        <is>
          <t>IF(E159="","",IF(COUNT(AG159:AT159)=0,IF(Y159="","Not started",Y159),SUBSTITUTE(LOOKUP(2,1/(AG159:AT159&lt;&gt;""),$AG$3:$AT$3),"Date: ","")))</t>
        </is>
      </c>
      <c r="AB159" s="38" t="inlineStr">
        <is>
          <t>IF(OR(E159="",COUNT(AG159:AT159)=0),"",TODAY()-LOOKUP(2,1/(AG159:AT159&lt;&gt;""),AG159:AT159))</t>
        </is>
      </c>
      <c r="AC159" s="38" t="inlineStr">
        <is>
          <t>IF(OR(E159="",COUNT(AG159:AT159)&lt;2),"",LOOKUP(2,1/(AG159:AT159&lt;&gt;""),AG159:AT159)-MIN(AG159:AT159))</t>
        </is>
      </c>
      <c r="AD159" s="38" t="inlineStr">
        <is>
          <t>IF(OR(AB159="",AA159="Not started",AA159=""),"",IFERROR(AB159-IF(VLOOKUP(AA159,'04_Status_Pipeline'!$B$3:$E$20,4,FALSE)="",0,VLOOKUP(AA159,'04_Status_Pipeline'!$B$3:$E$20,4,FALSE)),""))</t>
        </is>
      </c>
      <c r="AE159" s="32" t="inlineStr">
        <is>
          <t>IF(E159="","",IF(OR(Y159="Cancelled",AA159="Cancelled"),"Cancelled",IF(OR(AA159="Completed / Handover",W159&lt;&gt;"",X159&gt;=100),"Completed — on track",IF(L159="Remaining",IF(S159="",IF(V159="","No planned date",IF(TODAY()&gt;V159,"Behind — past planned date",IF(V159-TODAY()&lt;=30,"At risk — close to off track","On track"))),IF(TODAY()&gt;S159,"Behind — award date passed",IF(S159-TODAY()&lt;=30,"At risk — close to off track","On track"))),IF(V159="","No planned date",IF(AND(TODAY()&gt;V159,OR(X159="",X159&lt;100)),"Behind — past end date",IF(AND(R159&lt;&gt;"",V159&lt;&gt;"",X159&lt;&gt;"",(X159&lt;100),((TODAY()-R159)/MAX(V159-R159,1)*100)-X159&gt;15),"Behind — progress lag",IF(AND(V159-TODAY()&lt;=30,V159-TODAY()&gt;=0,OR(X159="",X159&lt;90)),"At risk — close to off track","On track"))))))))</t>
        </is>
      </c>
      <c r="AF159" s="38" t="inlineStr">
        <is>
          <t>IF(OR(E159="",AA159="Completed / Handover",AA159="Cancelled"),"",IF(L159="Remaining",IF(S159&lt;&gt;"",S159-TODAY(),IF(V159="","",V159-TODAY())),IF(V159="","",V159-TODAY())))</t>
        </is>
      </c>
      <c r="AG159" s="44" t="n"/>
      <c r="AH159" s="44" t="n"/>
      <c r="AI159" s="44" t="n"/>
      <c r="AJ159" s="44" t="n"/>
      <c r="AK159" s="44" t="n"/>
      <c r="AL159" s="44" t="n"/>
      <c r="AM159" s="44" t="n"/>
      <c r="AN159" s="44" t="n"/>
      <c r="AO159" s="44" t="n"/>
      <c r="AP159" s="44" t="n"/>
      <c r="AQ159" s="44" t="n"/>
      <c r="AR159" s="40" t="n"/>
      <c r="AS159" s="40" t="n"/>
      <c r="AT159" s="40" t="n"/>
      <c r="AU159" s="38" t="inlineStr">
        <is>
          <t>IF(OR(E159="",AH159=""),"",IF(COUNT(AG159:AG159)=0,"",AH159-LOOKUP(2,1/(AG159:AG159&lt;&gt;""),AG159:AG159)))</t>
        </is>
      </c>
      <c r="AV159" s="38" t="inlineStr">
        <is>
          <t>IF(OR(E159="",AI159=""),"",IF(COUNT(AG159:AH159)=0,"",AI159-LOOKUP(2,1/(AG159:AH159&lt;&gt;""),AG159:AH159)))</t>
        </is>
      </c>
      <c r="AW159" s="38" t="inlineStr">
        <is>
          <t>IF(OR(E159="",AJ159=""),"",IF(COUNT(AG159:AI159)=0,"",AJ159-LOOKUP(2,1/(AG159:AI159&lt;&gt;""),AG159:AI159)))</t>
        </is>
      </c>
      <c r="AX159" s="38" t="inlineStr">
        <is>
          <t>IF(OR(E159="",AK159=""),"",IF(COUNT(AG159:AJ159)=0,"",AK159-LOOKUP(2,1/(AG159:AJ159&lt;&gt;""),AG159:AJ159)))</t>
        </is>
      </c>
      <c r="AY159" s="38" t="inlineStr">
        <is>
          <t>IF(OR(E159="",AL159=""),"",IF(COUNT(AG159:AK159)=0,"",AL159-LOOKUP(2,1/(AG159:AK159&lt;&gt;""),AG159:AK159)))</t>
        </is>
      </c>
      <c r="AZ159" s="38" t="inlineStr">
        <is>
          <t>IF(OR(E159="",AM159=""),"",IF(COUNT(AG159:AL159)=0,"",AM159-LOOKUP(2,1/(AG159:AL159&lt;&gt;""),AG159:AL159)))</t>
        </is>
      </c>
      <c r="BA159" s="38" t="inlineStr">
        <is>
          <t>IF(OR(E159="",AN159=""),"",IF(COUNT(AG159:AM159)=0,"",AN159-LOOKUP(2,1/(AG159:AM159&lt;&gt;""),AG159:AM159)))</t>
        </is>
      </c>
      <c r="BB159" s="38" t="inlineStr">
        <is>
          <t>IF(OR(E159="",AO159=""),"",IF(COUNT(AG159:AN159)=0,"",AO159-LOOKUP(2,1/(AG159:AN159&lt;&gt;""),AG159:AN159)))</t>
        </is>
      </c>
      <c r="BC159" s="38" t="inlineStr">
        <is>
          <t>IF(OR(E159="",AP159=""),"",IF(COUNT(AG159:AO159)=0,"",AP159-LOOKUP(2,1/(AG159:AO159&lt;&gt;""),AG159:AO159)))</t>
        </is>
      </c>
      <c r="BD159" s="38" t="inlineStr">
        <is>
          <t>IF(OR(E159="",AQ159=""),"",IF(COUNT(AG159:AP159)=0,"",AQ159-LOOKUP(2,1/(AG159:AP159&lt;&gt;""),AG159:AP159)))</t>
        </is>
      </c>
      <c r="BE159" s="38" t="inlineStr">
        <is>
          <t>IF(OR(E159="",AR159=""),"",IF(COUNT(AG159:AQ159)=0,"",AR159-LOOKUP(2,1/(AG159:AQ159&lt;&gt;""),AG159:AQ159)))</t>
        </is>
      </c>
      <c r="BF159" s="38" t="inlineStr">
        <is>
          <t>IF(OR(E159="",AS159=""),"",IF(COUNT(AG159:AR159)=0,"",AS159-LOOKUP(2,1/(AG159:AR159&lt;&gt;""),AG159:AR159)))</t>
        </is>
      </c>
      <c r="BG159" s="38" t="inlineStr">
        <is>
          <t>IF(OR(E159="",AT159=""),"",IF(COUNT(AG159:AS159)=0,"",AT159-LOOKUP(2,1/(AG159:AS159&lt;&gt;""),AG159:AS159)))</t>
        </is>
      </c>
      <c r="BH159" s="41" t="inlineStr">
        <is>
          <t>IF(G159="","All_Provinces",IFERROR(VLOOKUP(G159,'07_Lookups'!$A$4:$B$20,2,FALSE),"All_Provinces"))</t>
        </is>
      </c>
      <c r="BI159" s="41" t="inlineStr">
        <is>
          <t>IF(H159="","All_Districts",IFERROR(VLOOKUP(H159,'07_Lookups'!$E$4:$F$42,2,FALSE),"All_Districts"))</t>
        </is>
      </c>
    </row>
    <row r="160" ht="18" customHeight="1">
      <c r="A160" s="32" t="inlineStr">
        <is>
          <t>IF(E160="","",ROW()-3)</t>
        </is>
      </c>
      <c r="B160" s="33" t="n"/>
      <c r="C160" s="33" t="n"/>
      <c r="D160" s="33" t="n"/>
      <c r="E160" s="33" t="n"/>
      <c r="F160" s="33" t="n"/>
      <c r="G160" s="33" t="n"/>
      <c r="H160" s="33" t="n"/>
      <c r="I160" s="33" t="n"/>
      <c r="J160" s="33" t="n"/>
      <c r="K160" s="33" t="n"/>
      <c r="L160" s="33" t="n"/>
      <c r="M160" s="33" t="n"/>
      <c r="N160" s="33" t="n"/>
      <c r="O160" s="33" t="n"/>
      <c r="P160" s="33" t="n"/>
      <c r="Q160" s="34" t="n"/>
      <c r="R160" s="35" t="inlineStr">
        <is>
          <t>IF(AO160="","",AO160)</t>
        </is>
      </c>
      <c r="S160" s="36" t="n"/>
      <c r="T160" s="37" t="n"/>
      <c r="U160" s="36" t="n"/>
      <c r="V160" s="35" t="inlineStr">
        <is>
          <t>IF(U160&lt;&gt;"",U160,IF(OR(R160="",T160=""),"",EDATE(R160,T160)))</t>
        </is>
      </c>
      <c r="W160" s="36" t="n"/>
      <c r="X160" s="37" t="n"/>
      <c r="Y160" s="33" t="n"/>
      <c r="Z160" s="33" t="n"/>
      <c r="AA160" s="32" t="inlineStr">
        <is>
          <t>IF(E160="","",IF(COUNT(AG160:AT160)=0,IF(Y160="","Not started",Y160),SUBSTITUTE(LOOKUP(2,1/(AG160:AT160&lt;&gt;""),$AG$3:$AT$3),"Date: ","")))</t>
        </is>
      </c>
      <c r="AB160" s="38" t="inlineStr">
        <is>
          <t>IF(OR(E160="",COUNT(AG160:AT160)=0),"",TODAY()-LOOKUP(2,1/(AG160:AT160&lt;&gt;""),AG160:AT160))</t>
        </is>
      </c>
      <c r="AC160" s="38" t="inlineStr">
        <is>
          <t>IF(OR(E160="",COUNT(AG160:AT160)&lt;2),"",LOOKUP(2,1/(AG160:AT160&lt;&gt;""),AG160:AT160)-MIN(AG160:AT160))</t>
        </is>
      </c>
      <c r="AD160" s="38" t="inlineStr">
        <is>
          <t>IF(OR(AB160="",AA160="Not started",AA160=""),"",IFERROR(AB160-IF(VLOOKUP(AA160,'04_Status_Pipeline'!$B$3:$E$20,4,FALSE)="",0,VLOOKUP(AA160,'04_Status_Pipeline'!$B$3:$E$20,4,FALSE)),""))</t>
        </is>
      </c>
      <c r="AE160" s="32" t="inlineStr">
        <is>
          <t>IF(E160="","",IF(OR(Y160="Cancelled",AA160="Cancelled"),"Cancelled",IF(OR(AA160="Completed / Handover",W160&lt;&gt;"",X160&gt;=100),"Completed — on track",IF(L160="Remaining",IF(S160="",IF(V160="","No planned date",IF(TODAY()&gt;V160,"Behind — past planned date",IF(V160-TODAY()&lt;=30,"At risk — close to off track","On track"))),IF(TODAY()&gt;S160,"Behind — award date passed",IF(S160-TODAY()&lt;=30,"At risk — close to off track","On track"))),IF(V160="","No planned date",IF(AND(TODAY()&gt;V160,OR(X160="",X160&lt;100)),"Behind — past end date",IF(AND(R160&lt;&gt;"",V160&lt;&gt;"",X160&lt;&gt;"",(X160&lt;100),((TODAY()-R160)/MAX(V160-R160,1)*100)-X160&gt;15),"Behind — progress lag",IF(AND(V160-TODAY()&lt;=30,V160-TODAY()&gt;=0,OR(X160="",X160&lt;90)),"At risk — close to off track","On track"))))))))</t>
        </is>
      </c>
      <c r="AF160" s="38" t="inlineStr">
        <is>
          <t>IF(OR(E160="",AA160="Completed / Handover",AA160="Cancelled"),"",IF(L160="Remaining",IF(S160&lt;&gt;"",S160-TODAY(),IF(V160="","",V160-TODAY())),IF(V160="","",V160-TODAY())))</t>
        </is>
      </c>
      <c r="AG160" s="36" t="n"/>
      <c r="AH160" s="36" t="n"/>
      <c r="AI160" s="36" t="n"/>
      <c r="AJ160" s="36" t="n"/>
      <c r="AK160" s="36" t="n"/>
      <c r="AL160" s="36" t="n"/>
      <c r="AM160" s="36" t="n"/>
      <c r="AN160" s="36" t="n"/>
      <c r="AO160" s="36" t="n"/>
      <c r="AP160" s="36" t="n"/>
      <c r="AQ160" s="36" t="n"/>
      <c r="AR160" s="40" t="n"/>
      <c r="AS160" s="40" t="n"/>
      <c r="AT160" s="40" t="n"/>
      <c r="AU160" s="38" t="inlineStr">
        <is>
          <t>IF(OR(E160="",AH160=""),"",IF(COUNT(AG160:AG160)=0,"",AH160-LOOKUP(2,1/(AG160:AG160&lt;&gt;""),AG160:AG160)))</t>
        </is>
      </c>
      <c r="AV160" s="38" t="inlineStr">
        <is>
          <t>IF(OR(E160="",AI160=""),"",IF(COUNT(AG160:AH160)=0,"",AI160-LOOKUP(2,1/(AG160:AH160&lt;&gt;""),AG160:AH160)))</t>
        </is>
      </c>
      <c r="AW160" s="38" t="inlineStr">
        <is>
          <t>IF(OR(E160="",AJ160=""),"",IF(COUNT(AG160:AI160)=0,"",AJ160-LOOKUP(2,1/(AG160:AI160&lt;&gt;""),AG160:AI160)))</t>
        </is>
      </c>
      <c r="AX160" s="38" t="inlineStr">
        <is>
          <t>IF(OR(E160="",AK160=""),"",IF(COUNT(AG160:AJ160)=0,"",AK160-LOOKUP(2,1/(AG160:AJ160&lt;&gt;""),AG160:AJ160)))</t>
        </is>
      </c>
      <c r="AY160" s="38" t="inlineStr">
        <is>
          <t>IF(OR(E160="",AL160=""),"",IF(COUNT(AG160:AK160)=0,"",AL160-LOOKUP(2,1/(AG160:AK160&lt;&gt;""),AG160:AK160)))</t>
        </is>
      </c>
      <c r="AZ160" s="38" t="inlineStr">
        <is>
          <t>IF(OR(E160="",AM160=""),"",IF(COUNT(AG160:AL160)=0,"",AM160-LOOKUP(2,1/(AG160:AL160&lt;&gt;""),AG160:AL160)))</t>
        </is>
      </c>
      <c r="BA160" s="38" t="inlineStr">
        <is>
          <t>IF(OR(E160="",AN160=""),"",IF(COUNT(AG160:AM160)=0,"",AN160-LOOKUP(2,1/(AG160:AM160&lt;&gt;""),AG160:AM160)))</t>
        </is>
      </c>
      <c r="BB160" s="38" t="inlineStr">
        <is>
          <t>IF(OR(E160="",AO160=""),"",IF(COUNT(AG160:AN160)=0,"",AO160-LOOKUP(2,1/(AG160:AN160&lt;&gt;""),AG160:AN160)))</t>
        </is>
      </c>
      <c r="BC160" s="38" t="inlineStr">
        <is>
          <t>IF(OR(E160="",AP160=""),"",IF(COUNT(AG160:AO160)=0,"",AP160-LOOKUP(2,1/(AG160:AO160&lt;&gt;""),AG160:AO160)))</t>
        </is>
      </c>
      <c r="BD160" s="38" t="inlineStr">
        <is>
          <t>IF(OR(E160="",AQ160=""),"",IF(COUNT(AG160:AP160)=0,"",AQ160-LOOKUP(2,1/(AG160:AP160&lt;&gt;""),AG160:AP160)))</t>
        </is>
      </c>
      <c r="BE160" s="38" t="inlineStr">
        <is>
          <t>IF(OR(E160="",AR160=""),"",IF(COUNT(AG160:AQ160)=0,"",AR160-LOOKUP(2,1/(AG160:AQ160&lt;&gt;""),AG160:AQ160)))</t>
        </is>
      </c>
      <c r="BF160" s="38" t="inlineStr">
        <is>
          <t>IF(OR(E160="",AS160=""),"",IF(COUNT(AG160:AR160)=0,"",AS160-LOOKUP(2,1/(AG160:AR160&lt;&gt;""),AG160:AR160)))</t>
        </is>
      </c>
      <c r="BG160" s="38" t="inlineStr">
        <is>
          <t>IF(OR(E160="",AT160=""),"",IF(COUNT(AG160:AS160)=0,"",AT160-LOOKUP(2,1/(AG160:AS160&lt;&gt;""),AG160:AS160)))</t>
        </is>
      </c>
      <c r="BH160" s="41" t="inlineStr">
        <is>
          <t>IF(G160="","All_Provinces",IFERROR(VLOOKUP(G160,'07_Lookups'!$A$4:$B$20,2,FALSE),"All_Provinces"))</t>
        </is>
      </c>
      <c r="BI160" s="41" t="inlineStr">
        <is>
          <t>IF(H160="","All_Districts",IFERROR(VLOOKUP(H160,'07_Lookups'!$E$4:$F$42,2,FALSE),"All_Districts"))</t>
        </is>
      </c>
    </row>
    <row r="161" ht="18" customHeight="1">
      <c r="A161" s="32" t="inlineStr">
        <is>
          <t>IF(E161="","",ROW()-3)</t>
        </is>
      </c>
      <c r="B161" s="42" t="n"/>
      <c r="C161" s="42" t="n"/>
      <c r="D161" s="42" t="n"/>
      <c r="E161" s="42" t="n"/>
      <c r="F161" s="42" t="n"/>
      <c r="G161" s="42" t="n"/>
      <c r="H161" s="42" t="n"/>
      <c r="I161" s="42" t="n"/>
      <c r="J161" s="42" t="n"/>
      <c r="K161" s="42" t="n"/>
      <c r="L161" s="42" t="n"/>
      <c r="M161" s="42" t="n"/>
      <c r="N161" s="42" t="n"/>
      <c r="O161" s="42" t="n"/>
      <c r="P161" s="42" t="n"/>
      <c r="Q161" s="43" t="n"/>
      <c r="R161" s="35" t="inlineStr">
        <is>
          <t>IF(AO161="","",AO161)</t>
        </is>
      </c>
      <c r="S161" s="44" t="n"/>
      <c r="T161" s="45" t="n"/>
      <c r="U161" s="44" t="n"/>
      <c r="V161" s="35" t="inlineStr">
        <is>
          <t>IF(U161&lt;&gt;"",U161,IF(OR(R161="",T161=""),"",EDATE(R161,T161)))</t>
        </is>
      </c>
      <c r="W161" s="44" t="n"/>
      <c r="X161" s="45" t="n"/>
      <c r="Y161" s="42" t="n"/>
      <c r="Z161" s="42" t="n"/>
      <c r="AA161" s="32" t="inlineStr">
        <is>
          <t>IF(E161="","",IF(COUNT(AG161:AT161)=0,IF(Y161="","Not started",Y161),SUBSTITUTE(LOOKUP(2,1/(AG161:AT161&lt;&gt;""),$AG$3:$AT$3),"Date: ","")))</t>
        </is>
      </c>
      <c r="AB161" s="38" t="inlineStr">
        <is>
          <t>IF(OR(E161="",COUNT(AG161:AT161)=0),"",TODAY()-LOOKUP(2,1/(AG161:AT161&lt;&gt;""),AG161:AT161))</t>
        </is>
      </c>
      <c r="AC161" s="38" t="inlineStr">
        <is>
          <t>IF(OR(E161="",COUNT(AG161:AT161)&lt;2),"",LOOKUP(2,1/(AG161:AT161&lt;&gt;""),AG161:AT161)-MIN(AG161:AT161))</t>
        </is>
      </c>
      <c r="AD161" s="38" t="inlineStr">
        <is>
          <t>IF(OR(AB161="",AA161="Not started",AA161=""),"",IFERROR(AB161-IF(VLOOKUP(AA161,'04_Status_Pipeline'!$B$3:$E$20,4,FALSE)="",0,VLOOKUP(AA161,'04_Status_Pipeline'!$B$3:$E$20,4,FALSE)),""))</t>
        </is>
      </c>
      <c r="AE161" s="32" t="inlineStr">
        <is>
          <t>IF(E161="","",IF(OR(Y161="Cancelled",AA161="Cancelled"),"Cancelled",IF(OR(AA161="Completed / Handover",W161&lt;&gt;"",X161&gt;=100),"Completed — on track",IF(L161="Remaining",IF(S161="",IF(V161="","No planned date",IF(TODAY()&gt;V161,"Behind — past planned date",IF(V161-TODAY()&lt;=30,"At risk — close to off track","On track"))),IF(TODAY()&gt;S161,"Behind — award date passed",IF(S161-TODAY()&lt;=30,"At risk — close to off track","On track"))),IF(V161="","No planned date",IF(AND(TODAY()&gt;V161,OR(X161="",X161&lt;100)),"Behind — past end date",IF(AND(R161&lt;&gt;"",V161&lt;&gt;"",X161&lt;&gt;"",(X161&lt;100),((TODAY()-R161)/MAX(V161-R161,1)*100)-X161&gt;15),"Behind — progress lag",IF(AND(V161-TODAY()&lt;=30,V161-TODAY()&gt;=0,OR(X161="",X161&lt;90)),"At risk — close to off track","On track"))))))))</t>
        </is>
      </c>
      <c r="AF161" s="38" t="inlineStr">
        <is>
          <t>IF(OR(E161="",AA161="Completed / Handover",AA161="Cancelled"),"",IF(L161="Remaining",IF(S161&lt;&gt;"",S161-TODAY(),IF(V161="","",V161-TODAY())),IF(V161="","",V161-TODAY())))</t>
        </is>
      </c>
      <c r="AG161" s="44" t="n"/>
      <c r="AH161" s="44" t="n"/>
      <c r="AI161" s="44" t="n"/>
      <c r="AJ161" s="44" t="n"/>
      <c r="AK161" s="44" t="n"/>
      <c r="AL161" s="44" t="n"/>
      <c r="AM161" s="44" t="n"/>
      <c r="AN161" s="44" t="n"/>
      <c r="AO161" s="44" t="n"/>
      <c r="AP161" s="44" t="n"/>
      <c r="AQ161" s="44" t="n"/>
      <c r="AR161" s="40" t="n"/>
      <c r="AS161" s="40" t="n"/>
      <c r="AT161" s="40" t="n"/>
      <c r="AU161" s="38" t="inlineStr">
        <is>
          <t>IF(OR(E161="",AH161=""),"",IF(COUNT(AG161:AG161)=0,"",AH161-LOOKUP(2,1/(AG161:AG161&lt;&gt;""),AG161:AG161)))</t>
        </is>
      </c>
      <c r="AV161" s="38" t="inlineStr">
        <is>
          <t>IF(OR(E161="",AI161=""),"",IF(COUNT(AG161:AH161)=0,"",AI161-LOOKUP(2,1/(AG161:AH161&lt;&gt;""),AG161:AH161)))</t>
        </is>
      </c>
      <c r="AW161" s="38" t="inlineStr">
        <is>
          <t>IF(OR(E161="",AJ161=""),"",IF(COUNT(AG161:AI161)=0,"",AJ161-LOOKUP(2,1/(AG161:AI161&lt;&gt;""),AG161:AI161)))</t>
        </is>
      </c>
      <c r="AX161" s="38" t="inlineStr">
        <is>
          <t>IF(OR(E161="",AK161=""),"",IF(COUNT(AG161:AJ161)=0,"",AK161-LOOKUP(2,1/(AG161:AJ161&lt;&gt;""),AG161:AJ161)))</t>
        </is>
      </c>
      <c r="AY161" s="38" t="inlineStr">
        <is>
          <t>IF(OR(E161="",AL161=""),"",IF(COUNT(AG161:AK161)=0,"",AL161-LOOKUP(2,1/(AG161:AK161&lt;&gt;""),AG161:AK161)))</t>
        </is>
      </c>
      <c r="AZ161" s="38" t="inlineStr">
        <is>
          <t>IF(OR(E161="",AM161=""),"",IF(COUNT(AG161:AL161)=0,"",AM161-LOOKUP(2,1/(AG161:AL161&lt;&gt;""),AG161:AL161)))</t>
        </is>
      </c>
      <c r="BA161" s="38" t="inlineStr">
        <is>
          <t>IF(OR(E161="",AN161=""),"",IF(COUNT(AG161:AM161)=0,"",AN161-LOOKUP(2,1/(AG161:AM161&lt;&gt;""),AG161:AM161)))</t>
        </is>
      </c>
      <c r="BB161" s="38" t="inlineStr">
        <is>
          <t>IF(OR(E161="",AO161=""),"",IF(COUNT(AG161:AN161)=0,"",AO161-LOOKUP(2,1/(AG161:AN161&lt;&gt;""),AG161:AN161)))</t>
        </is>
      </c>
      <c r="BC161" s="38" t="inlineStr">
        <is>
          <t>IF(OR(E161="",AP161=""),"",IF(COUNT(AG161:AO161)=0,"",AP161-LOOKUP(2,1/(AG161:AO161&lt;&gt;""),AG161:AO161)))</t>
        </is>
      </c>
      <c r="BD161" s="38" t="inlineStr">
        <is>
          <t>IF(OR(E161="",AQ161=""),"",IF(COUNT(AG161:AP161)=0,"",AQ161-LOOKUP(2,1/(AG161:AP161&lt;&gt;""),AG161:AP161)))</t>
        </is>
      </c>
      <c r="BE161" s="38" t="inlineStr">
        <is>
          <t>IF(OR(E161="",AR161=""),"",IF(COUNT(AG161:AQ161)=0,"",AR161-LOOKUP(2,1/(AG161:AQ161&lt;&gt;""),AG161:AQ161)))</t>
        </is>
      </c>
      <c r="BF161" s="38" t="inlineStr">
        <is>
          <t>IF(OR(E161="",AS161=""),"",IF(COUNT(AG161:AR161)=0,"",AS161-LOOKUP(2,1/(AG161:AR161&lt;&gt;""),AG161:AR161)))</t>
        </is>
      </c>
      <c r="BG161" s="38" t="inlineStr">
        <is>
          <t>IF(OR(E161="",AT161=""),"",IF(COUNT(AG161:AS161)=0,"",AT161-LOOKUP(2,1/(AG161:AS161&lt;&gt;""),AG161:AS161)))</t>
        </is>
      </c>
      <c r="BH161" s="41" t="inlineStr">
        <is>
          <t>IF(G161="","All_Provinces",IFERROR(VLOOKUP(G161,'07_Lookups'!$A$4:$B$20,2,FALSE),"All_Provinces"))</t>
        </is>
      </c>
      <c r="BI161" s="41" t="inlineStr">
        <is>
          <t>IF(H161="","All_Districts",IFERROR(VLOOKUP(H161,'07_Lookups'!$E$4:$F$42,2,FALSE),"All_Districts"))</t>
        </is>
      </c>
    </row>
    <row r="162" ht="18" customHeight="1">
      <c r="A162" s="32" t="inlineStr">
        <is>
          <t>IF(E162="","",ROW()-3)</t>
        </is>
      </c>
      <c r="B162" s="33" t="n"/>
      <c r="C162" s="33" t="n"/>
      <c r="D162" s="33" t="n"/>
      <c r="E162" s="33" t="n"/>
      <c r="F162" s="33" t="n"/>
      <c r="G162" s="33" t="n"/>
      <c r="H162" s="33" t="n"/>
      <c r="I162" s="33" t="n"/>
      <c r="J162" s="33" t="n"/>
      <c r="K162" s="33" t="n"/>
      <c r="L162" s="33" t="n"/>
      <c r="M162" s="33" t="n"/>
      <c r="N162" s="33" t="n"/>
      <c r="O162" s="33" t="n"/>
      <c r="P162" s="33" t="n"/>
      <c r="Q162" s="34" t="n"/>
      <c r="R162" s="35" t="inlineStr">
        <is>
          <t>IF(AO162="","",AO162)</t>
        </is>
      </c>
      <c r="S162" s="36" t="n"/>
      <c r="T162" s="37" t="n"/>
      <c r="U162" s="36" t="n"/>
      <c r="V162" s="35" t="inlineStr">
        <is>
          <t>IF(U162&lt;&gt;"",U162,IF(OR(R162="",T162=""),"",EDATE(R162,T162)))</t>
        </is>
      </c>
      <c r="W162" s="36" t="n"/>
      <c r="X162" s="37" t="n"/>
      <c r="Y162" s="33" t="n"/>
      <c r="Z162" s="33" t="n"/>
      <c r="AA162" s="32" t="inlineStr">
        <is>
          <t>IF(E162="","",IF(COUNT(AG162:AT162)=0,IF(Y162="","Not started",Y162),SUBSTITUTE(LOOKUP(2,1/(AG162:AT162&lt;&gt;""),$AG$3:$AT$3),"Date: ","")))</t>
        </is>
      </c>
      <c r="AB162" s="38" t="inlineStr">
        <is>
          <t>IF(OR(E162="",COUNT(AG162:AT162)=0),"",TODAY()-LOOKUP(2,1/(AG162:AT162&lt;&gt;""),AG162:AT162))</t>
        </is>
      </c>
      <c r="AC162" s="38" t="inlineStr">
        <is>
          <t>IF(OR(E162="",COUNT(AG162:AT162)&lt;2),"",LOOKUP(2,1/(AG162:AT162&lt;&gt;""),AG162:AT162)-MIN(AG162:AT162))</t>
        </is>
      </c>
      <c r="AD162" s="38" t="inlineStr">
        <is>
          <t>IF(OR(AB162="",AA162="Not started",AA162=""),"",IFERROR(AB162-IF(VLOOKUP(AA162,'04_Status_Pipeline'!$B$3:$E$20,4,FALSE)="",0,VLOOKUP(AA162,'04_Status_Pipeline'!$B$3:$E$20,4,FALSE)),""))</t>
        </is>
      </c>
      <c r="AE162" s="32" t="inlineStr">
        <is>
          <t>IF(E162="","",IF(OR(Y162="Cancelled",AA162="Cancelled"),"Cancelled",IF(OR(AA162="Completed / Handover",W162&lt;&gt;"",X162&gt;=100),"Completed — on track",IF(L162="Remaining",IF(S162="",IF(V162="","No planned date",IF(TODAY()&gt;V162,"Behind — past planned date",IF(V162-TODAY()&lt;=30,"At risk — close to off track","On track"))),IF(TODAY()&gt;S162,"Behind — award date passed",IF(S162-TODAY()&lt;=30,"At risk — close to off track","On track"))),IF(V162="","No planned date",IF(AND(TODAY()&gt;V162,OR(X162="",X162&lt;100)),"Behind — past end date",IF(AND(R162&lt;&gt;"",V162&lt;&gt;"",X162&lt;&gt;"",(X162&lt;100),((TODAY()-R162)/MAX(V162-R162,1)*100)-X162&gt;15),"Behind — progress lag",IF(AND(V162-TODAY()&lt;=30,V162-TODAY()&gt;=0,OR(X162="",X162&lt;90)),"At risk — close to off track","On track"))))))))</t>
        </is>
      </c>
      <c r="AF162" s="38" t="inlineStr">
        <is>
          <t>IF(OR(E162="",AA162="Completed / Handover",AA162="Cancelled"),"",IF(L162="Remaining",IF(S162&lt;&gt;"",S162-TODAY(),IF(V162="","",V162-TODAY())),IF(V162="","",V162-TODAY())))</t>
        </is>
      </c>
      <c r="AG162" s="36" t="n"/>
      <c r="AH162" s="36" t="n"/>
      <c r="AI162" s="36" t="n"/>
      <c r="AJ162" s="36" t="n"/>
      <c r="AK162" s="36" t="n"/>
      <c r="AL162" s="36" t="n"/>
      <c r="AM162" s="36" t="n"/>
      <c r="AN162" s="36" t="n"/>
      <c r="AO162" s="36" t="n"/>
      <c r="AP162" s="36" t="n"/>
      <c r="AQ162" s="36" t="n"/>
      <c r="AR162" s="40" t="n"/>
      <c r="AS162" s="40" t="n"/>
      <c r="AT162" s="40" t="n"/>
      <c r="AU162" s="38" t="inlineStr">
        <is>
          <t>IF(OR(E162="",AH162=""),"",IF(COUNT(AG162:AG162)=0,"",AH162-LOOKUP(2,1/(AG162:AG162&lt;&gt;""),AG162:AG162)))</t>
        </is>
      </c>
      <c r="AV162" s="38" t="inlineStr">
        <is>
          <t>IF(OR(E162="",AI162=""),"",IF(COUNT(AG162:AH162)=0,"",AI162-LOOKUP(2,1/(AG162:AH162&lt;&gt;""),AG162:AH162)))</t>
        </is>
      </c>
      <c r="AW162" s="38" t="inlineStr">
        <is>
          <t>IF(OR(E162="",AJ162=""),"",IF(COUNT(AG162:AI162)=0,"",AJ162-LOOKUP(2,1/(AG162:AI162&lt;&gt;""),AG162:AI162)))</t>
        </is>
      </c>
      <c r="AX162" s="38" t="inlineStr">
        <is>
          <t>IF(OR(E162="",AK162=""),"",IF(COUNT(AG162:AJ162)=0,"",AK162-LOOKUP(2,1/(AG162:AJ162&lt;&gt;""),AG162:AJ162)))</t>
        </is>
      </c>
      <c r="AY162" s="38" t="inlineStr">
        <is>
          <t>IF(OR(E162="",AL162=""),"",IF(COUNT(AG162:AK162)=0,"",AL162-LOOKUP(2,1/(AG162:AK162&lt;&gt;""),AG162:AK162)))</t>
        </is>
      </c>
      <c r="AZ162" s="38" t="inlineStr">
        <is>
          <t>IF(OR(E162="",AM162=""),"",IF(COUNT(AG162:AL162)=0,"",AM162-LOOKUP(2,1/(AG162:AL162&lt;&gt;""),AG162:AL162)))</t>
        </is>
      </c>
      <c r="BA162" s="38" t="inlineStr">
        <is>
          <t>IF(OR(E162="",AN162=""),"",IF(COUNT(AG162:AM162)=0,"",AN162-LOOKUP(2,1/(AG162:AM162&lt;&gt;""),AG162:AM162)))</t>
        </is>
      </c>
      <c r="BB162" s="38" t="inlineStr">
        <is>
          <t>IF(OR(E162="",AO162=""),"",IF(COUNT(AG162:AN162)=0,"",AO162-LOOKUP(2,1/(AG162:AN162&lt;&gt;""),AG162:AN162)))</t>
        </is>
      </c>
      <c r="BC162" s="38" t="inlineStr">
        <is>
          <t>IF(OR(E162="",AP162=""),"",IF(COUNT(AG162:AO162)=0,"",AP162-LOOKUP(2,1/(AG162:AO162&lt;&gt;""),AG162:AO162)))</t>
        </is>
      </c>
      <c r="BD162" s="38" t="inlineStr">
        <is>
          <t>IF(OR(E162="",AQ162=""),"",IF(COUNT(AG162:AP162)=0,"",AQ162-LOOKUP(2,1/(AG162:AP162&lt;&gt;""),AG162:AP162)))</t>
        </is>
      </c>
      <c r="BE162" s="38" t="inlineStr">
        <is>
          <t>IF(OR(E162="",AR162=""),"",IF(COUNT(AG162:AQ162)=0,"",AR162-LOOKUP(2,1/(AG162:AQ162&lt;&gt;""),AG162:AQ162)))</t>
        </is>
      </c>
      <c r="BF162" s="38" t="inlineStr">
        <is>
          <t>IF(OR(E162="",AS162=""),"",IF(COUNT(AG162:AR162)=0,"",AS162-LOOKUP(2,1/(AG162:AR162&lt;&gt;""),AG162:AR162)))</t>
        </is>
      </c>
      <c r="BG162" s="38" t="inlineStr">
        <is>
          <t>IF(OR(E162="",AT162=""),"",IF(COUNT(AG162:AS162)=0,"",AT162-LOOKUP(2,1/(AG162:AS162&lt;&gt;""),AG162:AS162)))</t>
        </is>
      </c>
      <c r="BH162" s="41" t="inlineStr">
        <is>
          <t>IF(G162="","All_Provinces",IFERROR(VLOOKUP(G162,'07_Lookups'!$A$4:$B$20,2,FALSE),"All_Provinces"))</t>
        </is>
      </c>
      <c r="BI162" s="41" t="inlineStr">
        <is>
          <t>IF(H162="","All_Districts",IFERROR(VLOOKUP(H162,'07_Lookups'!$E$4:$F$42,2,FALSE),"All_Districts"))</t>
        </is>
      </c>
    </row>
    <row r="163" ht="18" customHeight="1">
      <c r="A163" s="32" t="inlineStr">
        <is>
          <t>IF(E163="","",ROW()-3)</t>
        </is>
      </c>
      <c r="B163" s="42" t="n"/>
      <c r="C163" s="42" t="n"/>
      <c r="D163" s="42" t="n"/>
      <c r="E163" s="42" t="n"/>
      <c r="F163" s="42" t="n"/>
      <c r="G163" s="42" t="n"/>
      <c r="H163" s="42" t="n"/>
      <c r="I163" s="42" t="n"/>
      <c r="J163" s="42" t="n"/>
      <c r="K163" s="42" t="n"/>
      <c r="L163" s="42" t="n"/>
      <c r="M163" s="42" t="n"/>
      <c r="N163" s="42" t="n"/>
      <c r="O163" s="42" t="n"/>
      <c r="P163" s="42" t="n"/>
      <c r="Q163" s="43" t="n"/>
      <c r="R163" s="35" t="inlineStr">
        <is>
          <t>IF(AO163="","",AO163)</t>
        </is>
      </c>
      <c r="S163" s="44" t="n"/>
      <c r="T163" s="45" t="n"/>
      <c r="U163" s="44" t="n"/>
      <c r="V163" s="35" t="inlineStr">
        <is>
          <t>IF(U163&lt;&gt;"",U163,IF(OR(R163="",T163=""),"",EDATE(R163,T163)))</t>
        </is>
      </c>
      <c r="W163" s="44" t="n"/>
      <c r="X163" s="45" t="n"/>
      <c r="Y163" s="42" t="n"/>
      <c r="Z163" s="42" t="n"/>
      <c r="AA163" s="32" t="inlineStr">
        <is>
          <t>IF(E163="","",IF(COUNT(AG163:AT163)=0,IF(Y163="","Not started",Y163),SUBSTITUTE(LOOKUP(2,1/(AG163:AT163&lt;&gt;""),$AG$3:$AT$3),"Date: ","")))</t>
        </is>
      </c>
      <c r="AB163" s="38" t="inlineStr">
        <is>
          <t>IF(OR(E163="",COUNT(AG163:AT163)=0),"",TODAY()-LOOKUP(2,1/(AG163:AT163&lt;&gt;""),AG163:AT163))</t>
        </is>
      </c>
      <c r="AC163" s="38" t="inlineStr">
        <is>
          <t>IF(OR(E163="",COUNT(AG163:AT163)&lt;2),"",LOOKUP(2,1/(AG163:AT163&lt;&gt;""),AG163:AT163)-MIN(AG163:AT163))</t>
        </is>
      </c>
      <c r="AD163" s="38" t="inlineStr">
        <is>
          <t>IF(OR(AB163="",AA163="Not started",AA163=""),"",IFERROR(AB163-IF(VLOOKUP(AA163,'04_Status_Pipeline'!$B$3:$E$20,4,FALSE)="",0,VLOOKUP(AA163,'04_Status_Pipeline'!$B$3:$E$20,4,FALSE)),""))</t>
        </is>
      </c>
      <c r="AE163" s="32" t="inlineStr">
        <is>
          <t>IF(E163="","",IF(OR(Y163="Cancelled",AA163="Cancelled"),"Cancelled",IF(OR(AA163="Completed / Handover",W163&lt;&gt;"",X163&gt;=100),"Completed — on track",IF(L163="Remaining",IF(S163="",IF(V163="","No planned date",IF(TODAY()&gt;V163,"Behind — past planned date",IF(V163-TODAY()&lt;=30,"At risk — close to off track","On track"))),IF(TODAY()&gt;S163,"Behind — award date passed",IF(S163-TODAY()&lt;=30,"At risk — close to off track","On track"))),IF(V163="","No planned date",IF(AND(TODAY()&gt;V163,OR(X163="",X163&lt;100)),"Behind — past end date",IF(AND(R163&lt;&gt;"",V163&lt;&gt;"",X163&lt;&gt;"",(X163&lt;100),((TODAY()-R163)/MAX(V163-R163,1)*100)-X163&gt;15),"Behind — progress lag",IF(AND(V163-TODAY()&lt;=30,V163-TODAY()&gt;=0,OR(X163="",X163&lt;90)),"At risk — close to off track","On track"))))))))</t>
        </is>
      </c>
      <c r="AF163" s="38" t="inlineStr">
        <is>
          <t>IF(OR(E163="",AA163="Completed / Handover",AA163="Cancelled"),"",IF(L163="Remaining",IF(S163&lt;&gt;"",S163-TODAY(),IF(V163="","",V163-TODAY())),IF(V163="","",V163-TODAY())))</t>
        </is>
      </c>
      <c r="AG163" s="44" t="n"/>
      <c r="AH163" s="44" t="n"/>
      <c r="AI163" s="44" t="n"/>
      <c r="AJ163" s="44" t="n"/>
      <c r="AK163" s="44" t="n"/>
      <c r="AL163" s="44" t="n"/>
      <c r="AM163" s="44" t="n"/>
      <c r="AN163" s="44" t="n"/>
      <c r="AO163" s="44" t="n"/>
      <c r="AP163" s="44" t="n"/>
      <c r="AQ163" s="44" t="n"/>
      <c r="AR163" s="40" t="n"/>
      <c r="AS163" s="40" t="n"/>
      <c r="AT163" s="40" t="n"/>
      <c r="AU163" s="38" t="inlineStr">
        <is>
          <t>IF(OR(E163="",AH163=""),"",IF(COUNT(AG163:AG163)=0,"",AH163-LOOKUP(2,1/(AG163:AG163&lt;&gt;""),AG163:AG163)))</t>
        </is>
      </c>
      <c r="AV163" s="38" t="inlineStr">
        <is>
          <t>IF(OR(E163="",AI163=""),"",IF(COUNT(AG163:AH163)=0,"",AI163-LOOKUP(2,1/(AG163:AH163&lt;&gt;""),AG163:AH163)))</t>
        </is>
      </c>
      <c r="AW163" s="38" t="inlineStr">
        <is>
          <t>IF(OR(E163="",AJ163=""),"",IF(COUNT(AG163:AI163)=0,"",AJ163-LOOKUP(2,1/(AG163:AI163&lt;&gt;""),AG163:AI163)))</t>
        </is>
      </c>
      <c r="AX163" s="38" t="inlineStr">
        <is>
          <t>IF(OR(E163="",AK163=""),"",IF(COUNT(AG163:AJ163)=0,"",AK163-LOOKUP(2,1/(AG163:AJ163&lt;&gt;""),AG163:AJ163)))</t>
        </is>
      </c>
      <c r="AY163" s="38" t="inlineStr">
        <is>
          <t>IF(OR(E163="",AL163=""),"",IF(COUNT(AG163:AK163)=0,"",AL163-LOOKUP(2,1/(AG163:AK163&lt;&gt;""),AG163:AK163)))</t>
        </is>
      </c>
      <c r="AZ163" s="38" t="inlineStr">
        <is>
          <t>IF(OR(E163="",AM163=""),"",IF(COUNT(AG163:AL163)=0,"",AM163-LOOKUP(2,1/(AG163:AL163&lt;&gt;""),AG163:AL163)))</t>
        </is>
      </c>
      <c r="BA163" s="38" t="inlineStr">
        <is>
          <t>IF(OR(E163="",AN163=""),"",IF(COUNT(AG163:AM163)=0,"",AN163-LOOKUP(2,1/(AG163:AM163&lt;&gt;""),AG163:AM163)))</t>
        </is>
      </c>
      <c r="BB163" s="38" t="inlineStr">
        <is>
          <t>IF(OR(E163="",AO163=""),"",IF(COUNT(AG163:AN163)=0,"",AO163-LOOKUP(2,1/(AG163:AN163&lt;&gt;""),AG163:AN163)))</t>
        </is>
      </c>
      <c r="BC163" s="38" t="inlineStr">
        <is>
          <t>IF(OR(E163="",AP163=""),"",IF(COUNT(AG163:AO163)=0,"",AP163-LOOKUP(2,1/(AG163:AO163&lt;&gt;""),AG163:AO163)))</t>
        </is>
      </c>
      <c r="BD163" s="38" t="inlineStr">
        <is>
          <t>IF(OR(E163="",AQ163=""),"",IF(COUNT(AG163:AP163)=0,"",AQ163-LOOKUP(2,1/(AG163:AP163&lt;&gt;""),AG163:AP163)))</t>
        </is>
      </c>
      <c r="BE163" s="38" t="inlineStr">
        <is>
          <t>IF(OR(E163="",AR163=""),"",IF(COUNT(AG163:AQ163)=0,"",AR163-LOOKUP(2,1/(AG163:AQ163&lt;&gt;""),AG163:AQ163)))</t>
        </is>
      </c>
      <c r="BF163" s="38" t="inlineStr">
        <is>
          <t>IF(OR(E163="",AS163=""),"",IF(COUNT(AG163:AR163)=0,"",AS163-LOOKUP(2,1/(AG163:AR163&lt;&gt;""),AG163:AR163)))</t>
        </is>
      </c>
      <c r="BG163" s="38" t="inlineStr">
        <is>
          <t>IF(OR(E163="",AT163=""),"",IF(COUNT(AG163:AS163)=0,"",AT163-LOOKUP(2,1/(AG163:AS163&lt;&gt;""),AG163:AS163)))</t>
        </is>
      </c>
      <c r="BH163" s="41" t="inlineStr">
        <is>
          <t>IF(G163="","All_Provinces",IFERROR(VLOOKUP(G163,'07_Lookups'!$A$4:$B$20,2,FALSE),"All_Provinces"))</t>
        </is>
      </c>
      <c r="BI163" s="41" t="inlineStr">
        <is>
          <t>IF(H163="","All_Districts",IFERROR(VLOOKUP(H163,'07_Lookups'!$E$4:$F$42,2,FALSE),"All_Districts"))</t>
        </is>
      </c>
    </row>
    <row r="164" ht="18" customHeight="1">
      <c r="A164" s="32" t="inlineStr">
        <is>
          <t>IF(E164="","",ROW()-3)</t>
        </is>
      </c>
      <c r="B164" s="33" t="n"/>
      <c r="C164" s="33" t="n"/>
      <c r="D164" s="33" t="n"/>
      <c r="E164" s="33" t="n"/>
      <c r="F164" s="33" t="n"/>
      <c r="G164" s="33" t="n"/>
      <c r="H164" s="33" t="n"/>
      <c r="I164" s="33" t="n"/>
      <c r="J164" s="33" t="n"/>
      <c r="K164" s="33" t="n"/>
      <c r="L164" s="33" t="n"/>
      <c r="M164" s="33" t="n"/>
      <c r="N164" s="33" t="n"/>
      <c r="O164" s="33" t="n"/>
      <c r="P164" s="33" t="n"/>
      <c r="Q164" s="34" t="n"/>
      <c r="R164" s="35" t="inlineStr">
        <is>
          <t>IF(AO164="","",AO164)</t>
        </is>
      </c>
      <c r="S164" s="36" t="n"/>
      <c r="T164" s="37" t="n"/>
      <c r="U164" s="36" t="n"/>
      <c r="V164" s="35" t="inlineStr">
        <is>
          <t>IF(U164&lt;&gt;"",U164,IF(OR(R164="",T164=""),"",EDATE(R164,T164)))</t>
        </is>
      </c>
      <c r="W164" s="36" t="n"/>
      <c r="X164" s="37" t="n"/>
      <c r="Y164" s="33" t="n"/>
      <c r="Z164" s="33" t="n"/>
      <c r="AA164" s="32" t="inlineStr">
        <is>
          <t>IF(E164="","",IF(COUNT(AG164:AT164)=0,IF(Y164="","Not started",Y164),SUBSTITUTE(LOOKUP(2,1/(AG164:AT164&lt;&gt;""),$AG$3:$AT$3),"Date: ","")))</t>
        </is>
      </c>
      <c r="AB164" s="38" t="inlineStr">
        <is>
          <t>IF(OR(E164="",COUNT(AG164:AT164)=0),"",TODAY()-LOOKUP(2,1/(AG164:AT164&lt;&gt;""),AG164:AT164))</t>
        </is>
      </c>
      <c r="AC164" s="38" t="inlineStr">
        <is>
          <t>IF(OR(E164="",COUNT(AG164:AT164)&lt;2),"",LOOKUP(2,1/(AG164:AT164&lt;&gt;""),AG164:AT164)-MIN(AG164:AT164))</t>
        </is>
      </c>
      <c r="AD164" s="38" t="inlineStr">
        <is>
          <t>IF(OR(AB164="",AA164="Not started",AA164=""),"",IFERROR(AB164-IF(VLOOKUP(AA164,'04_Status_Pipeline'!$B$3:$E$20,4,FALSE)="",0,VLOOKUP(AA164,'04_Status_Pipeline'!$B$3:$E$20,4,FALSE)),""))</t>
        </is>
      </c>
      <c r="AE164" s="32" t="inlineStr">
        <is>
          <t>IF(E164="","",IF(OR(Y164="Cancelled",AA164="Cancelled"),"Cancelled",IF(OR(AA164="Completed / Handover",W164&lt;&gt;"",X164&gt;=100),"Completed — on track",IF(L164="Remaining",IF(S164="",IF(V164="","No planned date",IF(TODAY()&gt;V164,"Behind — past planned date",IF(V164-TODAY()&lt;=30,"At risk — close to off track","On track"))),IF(TODAY()&gt;S164,"Behind — award date passed",IF(S164-TODAY()&lt;=30,"At risk — close to off track","On track"))),IF(V164="","No planned date",IF(AND(TODAY()&gt;V164,OR(X164="",X164&lt;100)),"Behind — past end date",IF(AND(R164&lt;&gt;"",V164&lt;&gt;"",X164&lt;&gt;"",(X164&lt;100),((TODAY()-R164)/MAX(V164-R164,1)*100)-X164&gt;15),"Behind — progress lag",IF(AND(V164-TODAY()&lt;=30,V164-TODAY()&gt;=0,OR(X164="",X164&lt;90)),"At risk — close to off track","On track"))))))))</t>
        </is>
      </c>
      <c r="AF164" s="38" t="inlineStr">
        <is>
          <t>IF(OR(E164="",AA164="Completed / Handover",AA164="Cancelled"),"",IF(L164="Remaining",IF(S164&lt;&gt;"",S164-TODAY(),IF(V164="","",V164-TODAY())),IF(V164="","",V164-TODAY())))</t>
        </is>
      </c>
      <c r="AG164" s="36" t="n"/>
      <c r="AH164" s="36" t="n"/>
      <c r="AI164" s="36" t="n"/>
      <c r="AJ164" s="36" t="n"/>
      <c r="AK164" s="36" t="n"/>
      <c r="AL164" s="36" t="n"/>
      <c r="AM164" s="36" t="n"/>
      <c r="AN164" s="36" t="n"/>
      <c r="AO164" s="36" t="n"/>
      <c r="AP164" s="36" t="n"/>
      <c r="AQ164" s="36" t="n"/>
      <c r="AR164" s="40" t="n"/>
      <c r="AS164" s="40" t="n"/>
      <c r="AT164" s="40" t="n"/>
      <c r="AU164" s="38" t="inlineStr">
        <is>
          <t>IF(OR(E164="",AH164=""),"",IF(COUNT(AG164:AG164)=0,"",AH164-LOOKUP(2,1/(AG164:AG164&lt;&gt;""),AG164:AG164)))</t>
        </is>
      </c>
      <c r="AV164" s="38" t="inlineStr">
        <is>
          <t>IF(OR(E164="",AI164=""),"",IF(COUNT(AG164:AH164)=0,"",AI164-LOOKUP(2,1/(AG164:AH164&lt;&gt;""),AG164:AH164)))</t>
        </is>
      </c>
      <c r="AW164" s="38" t="inlineStr">
        <is>
          <t>IF(OR(E164="",AJ164=""),"",IF(COUNT(AG164:AI164)=0,"",AJ164-LOOKUP(2,1/(AG164:AI164&lt;&gt;""),AG164:AI164)))</t>
        </is>
      </c>
      <c r="AX164" s="38" t="inlineStr">
        <is>
          <t>IF(OR(E164="",AK164=""),"",IF(COUNT(AG164:AJ164)=0,"",AK164-LOOKUP(2,1/(AG164:AJ164&lt;&gt;""),AG164:AJ164)))</t>
        </is>
      </c>
      <c r="AY164" s="38" t="inlineStr">
        <is>
          <t>IF(OR(E164="",AL164=""),"",IF(COUNT(AG164:AK164)=0,"",AL164-LOOKUP(2,1/(AG164:AK164&lt;&gt;""),AG164:AK164)))</t>
        </is>
      </c>
      <c r="AZ164" s="38" t="inlineStr">
        <is>
          <t>IF(OR(E164="",AM164=""),"",IF(COUNT(AG164:AL164)=0,"",AM164-LOOKUP(2,1/(AG164:AL164&lt;&gt;""),AG164:AL164)))</t>
        </is>
      </c>
      <c r="BA164" s="38" t="inlineStr">
        <is>
          <t>IF(OR(E164="",AN164=""),"",IF(COUNT(AG164:AM164)=0,"",AN164-LOOKUP(2,1/(AG164:AM164&lt;&gt;""),AG164:AM164)))</t>
        </is>
      </c>
      <c r="BB164" s="38" t="inlineStr">
        <is>
          <t>IF(OR(E164="",AO164=""),"",IF(COUNT(AG164:AN164)=0,"",AO164-LOOKUP(2,1/(AG164:AN164&lt;&gt;""),AG164:AN164)))</t>
        </is>
      </c>
      <c r="BC164" s="38" t="inlineStr">
        <is>
          <t>IF(OR(E164="",AP164=""),"",IF(COUNT(AG164:AO164)=0,"",AP164-LOOKUP(2,1/(AG164:AO164&lt;&gt;""),AG164:AO164)))</t>
        </is>
      </c>
      <c r="BD164" s="38" t="inlineStr">
        <is>
          <t>IF(OR(E164="",AQ164=""),"",IF(COUNT(AG164:AP164)=0,"",AQ164-LOOKUP(2,1/(AG164:AP164&lt;&gt;""),AG164:AP164)))</t>
        </is>
      </c>
      <c r="BE164" s="38" t="inlineStr">
        <is>
          <t>IF(OR(E164="",AR164=""),"",IF(COUNT(AG164:AQ164)=0,"",AR164-LOOKUP(2,1/(AG164:AQ164&lt;&gt;""),AG164:AQ164)))</t>
        </is>
      </c>
      <c r="BF164" s="38" t="inlineStr">
        <is>
          <t>IF(OR(E164="",AS164=""),"",IF(COUNT(AG164:AR164)=0,"",AS164-LOOKUP(2,1/(AG164:AR164&lt;&gt;""),AG164:AR164)))</t>
        </is>
      </c>
      <c r="BG164" s="38" t="inlineStr">
        <is>
          <t>IF(OR(E164="",AT164=""),"",IF(COUNT(AG164:AS164)=0,"",AT164-LOOKUP(2,1/(AG164:AS164&lt;&gt;""),AG164:AS164)))</t>
        </is>
      </c>
      <c r="BH164" s="41" t="inlineStr">
        <is>
          <t>IF(G164="","All_Provinces",IFERROR(VLOOKUP(G164,'07_Lookups'!$A$4:$B$20,2,FALSE),"All_Provinces"))</t>
        </is>
      </c>
      <c r="BI164" s="41" t="inlineStr">
        <is>
          <t>IF(H164="","All_Districts",IFERROR(VLOOKUP(H164,'07_Lookups'!$E$4:$F$42,2,FALSE),"All_Districts"))</t>
        </is>
      </c>
    </row>
    <row r="165" ht="18" customHeight="1">
      <c r="A165" s="32" t="inlineStr">
        <is>
          <t>IF(E165="","",ROW()-3)</t>
        </is>
      </c>
      <c r="B165" s="42" t="n"/>
      <c r="C165" s="42" t="n"/>
      <c r="D165" s="42" t="n"/>
      <c r="E165" s="42" t="n"/>
      <c r="F165" s="42" t="n"/>
      <c r="G165" s="42" t="n"/>
      <c r="H165" s="42" t="n"/>
      <c r="I165" s="42" t="n"/>
      <c r="J165" s="42" t="n"/>
      <c r="K165" s="42" t="n"/>
      <c r="L165" s="42" t="n"/>
      <c r="M165" s="42" t="n"/>
      <c r="N165" s="42" t="n"/>
      <c r="O165" s="42" t="n"/>
      <c r="P165" s="42" t="n"/>
      <c r="Q165" s="43" t="n"/>
      <c r="R165" s="35" t="inlineStr">
        <is>
          <t>IF(AO165="","",AO165)</t>
        </is>
      </c>
      <c r="S165" s="44" t="n"/>
      <c r="T165" s="45" t="n"/>
      <c r="U165" s="44" t="n"/>
      <c r="V165" s="35" t="inlineStr">
        <is>
          <t>IF(U165&lt;&gt;"",U165,IF(OR(R165="",T165=""),"",EDATE(R165,T165)))</t>
        </is>
      </c>
      <c r="W165" s="44" t="n"/>
      <c r="X165" s="45" t="n"/>
      <c r="Y165" s="42" t="n"/>
      <c r="Z165" s="42" t="n"/>
      <c r="AA165" s="32" t="inlineStr">
        <is>
          <t>IF(E165="","",IF(COUNT(AG165:AT165)=0,IF(Y165="","Not started",Y165),SUBSTITUTE(LOOKUP(2,1/(AG165:AT165&lt;&gt;""),$AG$3:$AT$3),"Date: ","")))</t>
        </is>
      </c>
      <c r="AB165" s="38" t="inlineStr">
        <is>
          <t>IF(OR(E165="",COUNT(AG165:AT165)=0),"",TODAY()-LOOKUP(2,1/(AG165:AT165&lt;&gt;""),AG165:AT165))</t>
        </is>
      </c>
      <c r="AC165" s="38" t="inlineStr">
        <is>
          <t>IF(OR(E165="",COUNT(AG165:AT165)&lt;2),"",LOOKUP(2,1/(AG165:AT165&lt;&gt;""),AG165:AT165)-MIN(AG165:AT165))</t>
        </is>
      </c>
      <c r="AD165" s="38" t="inlineStr">
        <is>
          <t>IF(OR(AB165="",AA165="Not started",AA165=""),"",IFERROR(AB165-IF(VLOOKUP(AA165,'04_Status_Pipeline'!$B$3:$E$20,4,FALSE)="",0,VLOOKUP(AA165,'04_Status_Pipeline'!$B$3:$E$20,4,FALSE)),""))</t>
        </is>
      </c>
      <c r="AE165" s="32" t="inlineStr">
        <is>
          <t>IF(E165="","",IF(OR(Y165="Cancelled",AA165="Cancelled"),"Cancelled",IF(OR(AA165="Completed / Handover",W165&lt;&gt;"",X165&gt;=100),"Completed — on track",IF(L165="Remaining",IF(S165="",IF(V165="","No planned date",IF(TODAY()&gt;V165,"Behind — past planned date",IF(V165-TODAY()&lt;=30,"At risk — close to off track","On track"))),IF(TODAY()&gt;S165,"Behind — award date passed",IF(S165-TODAY()&lt;=30,"At risk — close to off track","On track"))),IF(V165="","No planned date",IF(AND(TODAY()&gt;V165,OR(X165="",X165&lt;100)),"Behind — past end date",IF(AND(R165&lt;&gt;"",V165&lt;&gt;"",X165&lt;&gt;"",(X165&lt;100),((TODAY()-R165)/MAX(V165-R165,1)*100)-X165&gt;15),"Behind — progress lag",IF(AND(V165-TODAY()&lt;=30,V165-TODAY()&gt;=0,OR(X165="",X165&lt;90)),"At risk — close to off track","On track"))))))))</t>
        </is>
      </c>
      <c r="AF165" s="38" t="inlineStr">
        <is>
          <t>IF(OR(E165="",AA165="Completed / Handover",AA165="Cancelled"),"",IF(L165="Remaining",IF(S165&lt;&gt;"",S165-TODAY(),IF(V165="","",V165-TODAY())),IF(V165="","",V165-TODAY())))</t>
        </is>
      </c>
      <c r="AG165" s="44" t="n"/>
      <c r="AH165" s="44" t="n"/>
      <c r="AI165" s="44" t="n"/>
      <c r="AJ165" s="44" t="n"/>
      <c r="AK165" s="44" t="n"/>
      <c r="AL165" s="44" t="n"/>
      <c r="AM165" s="44" t="n"/>
      <c r="AN165" s="44" t="n"/>
      <c r="AO165" s="44" t="n"/>
      <c r="AP165" s="44" t="n"/>
      <c r="AQ165" s="44" t="n"/>
      <c r="AR165" s="40" t="n"/>
      <c r="AS165" s="40" t="n"/>
      <c r="AT165" s="40" t="n"/>
      <c r="AU165" s="38" t="inlineStr">
        <is>
          <t>IF(OR(E165="",AH165=""),"",IF(COUNT(AG165:AG165)=0,"",AH165-LOOKUP(2,1/(AG165:AG165&lt;&gt;""),AG165:AG165)))</t>
        </is>
      </c>
      <c r="AV165" s="38" t="inlineStr">
        <is>
          <t>IF(OR(E165="",AI165=""),"",IF(COUNT(AG165:AH165)=0,"",AI165-LOOKUP(2,1/(AG165:AH165&lt;&gt;""),AG165:AH165)))</t>
        </is>
      </c>
      <c r="AW165" s="38" t="inlineStr">
        <is>
          <t>IF(OR(E165="",AJ165=""),"",IF(COUNT(AG165:AI165)=0,"",AJ165-LOOKUP(2,1/(AG165:AI165&lt;&gt;""),AG165:AI165)))</t>
        </is>
      </c>
      <c r="AX165" s="38" t="inlineStr">
        <is>
          <t>IF(OR(E165="",AK165=""),"",IF(COUNT(AG165:AJ165)=0,"",AK165-LOOKUP(2,1/(AG165:AJ165&lt;&gt;""),AG165:AJ165)))</t>
        </is>
      </c>
      <c r="AY165" s="38" t="inlineStr">
        <is>
          <t>IF(OR(E165="",AL165=""),"",IF(COUNT(AG165:AK165)=0,"",AL165-LOOKUP(2,1/(AG165:AK165&lt;&gt;""),AG165:AK165)))</t>
        </is>
      </c>
      <c r="AZ165" s="38" t="inlineStr">
        <is>
          <t>IF(OR(E165="",AM165=""),"",IF(COUNT(AG165:AL165)=0,"",AM165-LOOKUP(2,1/(AG165:AL165&lt;&gt;""),AG165:AL165)))</t>
        </is>
      </c>
      <c r="BA165" s="38" t="inlineStr">
        <is>
          <t>IF(OR(E165="",AN165=""),"",IF(COUNT(AG165:AM165)=0,"",AN165-LOOKUP(2,1/(AG165:AM165&lt;&gt;""),AG165:AM165)))</t>
        </is>
      </c>
      <c r="BB165" s="38" t="inlineStr">
        <is>
          <t>IF(OR(E165="",AO165=""),"",IF(COUNT(AG165:AN165)=0,"",AO165-LOOKUP(2,1/(AG165:AN165&lt;&gt;""),AG165:AN165)))</t>
        </is>
      </c>
      <c r="BC165" s="38" t="inlineStr">
        <is>
          <t>IF(OR(E165="",AP165=""),"",IF(COUNT(AG165:AO165)=0,"",AP165-LOOKUP(2,1/(AG165:AO165&lt;&gt;""),AG165:AO165)))</t>
        </is>
      </c>
      <c r="BD165" s="38" t="inlineStr">
        <is>
          <t>IF(OR(E165="",AQ165=""),"",IF(COUNT(AG165:AP165)=0,"",AQ165-LOOKUP(2,1/(AG165:AP165&lt;&gt;""),AG165:AP165)))</t>
        </is>
      </c>
      <c r="BE165" s="38" t="inlineStr">
        <is>
          <t>IF(OR(E165="",AR165=""),"",IF(COUNT(AG165:AQ165)=0,"",AR165-LOOKUP(2,1/(AG165:AQ165&lt;&gt;""),AG165:AQ165)))</t>
        </is>
      </c>
      <c r="BF165" s="38" t="inlineStr">
        <is>
          <t>IF(OR(E165="",AS165=""),"",IF(COUNT(AG165:AR165)=0,"",AS165-LOOKUP(2,1/(AG165:AR165&lt;&gt;""),AG165:AR165)))</t>
        </is>
      </c>
      <c r="BG165" s="38" t="inlineStr">
        <is>
          <t>IF(OR(E165="",AT165=""),"",IF(COUNT(AG165:AS165)=0,"",AT165-LOOKUP(2,1/(AG165:AS165&lt;&gt;""),AG165:AS165)))</t>
        </is>
      </c>
      <c r="BH165" s="41" t="inlineStr">
        <is>
          <t>IF(G165="","All_Provinces",IFERROR(VLOOKUP(G165,'07_Lookups'!$A$4:$B$20,2,FALSE),"All_Provinces"))</t>
        </is>
      </c>
      <c r="BI165" s="41" t="inlineStr">
        <is>
          <t>IF(H165="","All_Districts",IFERROR(VLOOKUP(H165,'07_Lookups'!$E$4:$F$42,2,FALSE),"All_Districts"))</t>
        </is>
      </c>
    </row>
    <row r="166" ht="18" customHeight="1">
      <c r="A166" s="32" t="inlineStr">
        <is>
          <t>IF(E166="","",ROW()-3)</t>
        </is>
      </c>
      <c r="B166" s="33" t="n"/>
      <c r="C166" s="33" t="n"/>
      <c r="D166" s="33" t="n"/>
      <c r="E166" s="33" t="n"/>
      <c r="F166" s="33" t="n"/>
      <c r="G166" s="33" t="n"/>
      <c r="H166" s="33" t="n"/>
      <c r="I166" s="33" t="n"/>
      <c r="J166" s="33" t="n"/>
      <c r="K166" s="33" t="n"/>
      <c r="L166" s="33" t="n"/>
      <c r="M166" s="33" t="n"/>
      <c r="N166" s="33" t="n"/>
      <c r="O166" s="33" t="n"/>
      <c r="P166" s="33" t="n"/>
      <c r="Q166" s="34" t="n"/>
      <c r="R166" s="35" t="inlineStr">
        <is>
          <t>IF(AO166="","",AO166)</t>
        </is>
      </c>
      <c r="S166" s="36" t="n"/>
      <c r="T166" s="37" t="n"/>
      <c r="U166" s="36" t="n"/>
      <c r="V166" s="35" t="inlineStr">
        <is>
          <t>IF(U166&lt;&gt;"",U166,IF(OR(R166="",T166=""),"",EDATE(R166,T166)))</t>
        </is>
      </c>
      <c r="W166" s="36" t="n"/>
      <c r="X166" s="37" t="n"/>
      <c r="Y166" s="33" t="n"/>
      <c r="Z166" s="33" t="n"/>
      <c r="AA166" s="32" t="inlineStr">
        <is>
          <t>IF(E166="","",IF(COUNT(AG166:AT166)=0,IF(Y166="","Not started",Y166),SUBSTITUTE(LOOKUP(2,1/(AG166:AT166&lt;&gt;""),$AG$3:$AT$3),"Date: ","")))</t>
        </is>
      </c>
      <c r="AB166" s="38" t="inlineStr">
        <is>
          <t>IF(OR(E166="",COUNT(AG166:AT166)=0),"",TODAY()-LOOKUP(2,1/(AG166:AT166&lt;&gt;""),AG166:AT166))</t>
        </is>
      </c>
      <c r="AC166" s="38" t="inlineStr">
        <is>
          <t>IF(OR(E166="",COUNT(AG166:AT166)&lt;2),"",LOOKUP(2,1/(AG166:AT166&lt;&gt;""),AG166:AT166)-MIN(AG166:AT166))</t>
        </is>
      </c>
      <c r="AD166" s="38" t="inlineStr">
        <is>
          <t>IF(OR(AB166="",AA166="Not started",AA166=""),"",IFERROR(AB166-IF(VLOOKUP(AA166,'04_Status_Pipeline'!$B$3:$E$20,4,FALSE)="",0,VLOOKUP(AA166,'04_Status_Pipeline'!$B$3:$E$20,4,FALSE)),""))</t>
        </is>
      </c>
      <c r="AE166" s="32" t="inlineStr">
        <is>
          <t>IF(E166="","",IF(OR(Y166="Cancelled",AA166="Cancelled"),"Cancelled",IF(OR(AA166="Completed / Handover",W166&lt;&gt;"",X166&gt;=100),"Completed — on track",IF(L166="Remaining",IF(S166="",IF(V166="","No planned date",IF(TODAY()&gt;V166,"Behind — past planned date",IF(V166-TODAY()&lt;=30,"At risk — close to off track","On track"))),IF(TODAY()&gt;S166,"Behind — award date passed",IF(S166-TODAY()&lt;=30,"At risk — close to off track","On track"))),IF(V166="","No planned date",IF(AND(TODAY()&gt;V166,OR(X166="",X166&lt;100)),"Behind — past end date",IF(AND(R166&lt;&gt;"",V166&lt;&gt;"",X166&lt;&gt;"",(X166&lt;100),((TODAY()-R166)/MAX(V166-R166,1)*100)-X166&gt;15),"Behind — progress lag",IF(AND(V166-TODAY()&lt;=30,V166-TODAY()&gt;=0,OR(X166="",X166&lt;90)),"At risk — close to off track","On track"))))))))</t>
        </is>
      </c>
      <c r="AF166" s="38" t="inlineStr">
        <is>
          <t>IF(OR(E166="",AA166="Completed / Handover",AA166="Cancelled"),"",IF(L166="Remaining",IF(S166&lt;&gt;"",S166-TODAY(),IF(V166="","",V166-TODAY())),IF(V166="","",V166-TODAY())))</t>
        </is>
      </c>
      <c r="AG166" s="36" t="n"/>
      <c r="AH166" s="36" t="n"/>
      <c r="AI166" s="36" t="n"/>
      <c r="AJ166" s="36" t="n"/>
      <c r="AK166" s="36" t="n"/>
      <c r="AL166" s="36" t="n"/>
      <c r="AM166" s="36" t="n"/>
      <c r="AN166" s="36" t="n"/>
      <c r="AO166" s="36" t="n"/>
      <c r="AP166" s="36" t="n"/>
      <c r="AQ166" s="36" t="n"/>
      <c r="AR166" s="40" t="n"/>
      <c r="AS166" s="40" t="n"/>
      <c r="AT166" s="40" t="n"/>
      <c r="AU166" s="38" t="inlineStr">
        <is>
          <t>IF(OR(E166="",AH166=""),"",IF(COUNT(AG166:AG166)=0,"",AH166-LOOKUP(2,1/(AG166:AG166&lt;&gt;""),AG166:AG166)))</t>
        </is>
      </c>
      <c r="AV166" s="38" t="inlineStr">
        <is>
          <t>IF(OR(E166="",AI166=""),"",IF(COUNT(AG166:AH166)=0,"",AI166-LOOKUP(2,1/(AG166:AH166&lt;&gt;""),AG166:AH166)))</t>
        </is>
      </c>
      <c r="AW166" s="38" t="inlineStr">
        <is>
          <t>IF(OR(E166="",AJ166=""),"",IF(COUNT(AG166:AI166)=0,"",AJ166-LOOKUP(2,1/(AG166:AI166&lt;&gt;""),AG166:AI166)))</t>
        </is>
      </c>
      <c r="AX166" s="38" t="inlineStr">
        <is>
          <t>IF(OR(E166="",AK166=""),"",IF(COUNT(AG166:AJ166)=0,"",AK166-LOOKUP(2,1/(AG166:AJ166&lt;&gt;""),AG166:AJ166)))</t>
        </is>
      </c>
      <c r="AY166" s="38" t="inlineStr">
        <is>
          <t>IF(OR(E166="",AL166=""),"",IF(COUNT(AG166:AK166)=0,"",AL166-LOOKUP(2,1/(AG166:AK166&lt;&gt;""),AG166:AK166)))</t>
        </is>
      </c>
      <c r="AZ166" s="38" t="inlineStr">
        <is>
          <t>IF(OR(E166="",AM166=""),"",IF(COUNT(AG166:AL166)=0,"",AM166-LOOKUP(2,1/(AG166:AL166&lt;&gt;""),AG166:AL166)))</t>
        </is>
      </c>
      <c r="BA166" s="38" t="inlineStr">
        <is>
          <t>IF(OR(E166="",AN166=""),"",IF(COUNT(AG166:AM166)=0,"",AN166-LOOKUP(2,1/(AG166:AM166&lt;&gt;""),AG166:AM166)))</t>
        </is>
      </c>
      <c r="BB166" s="38" t="inlineStr">
        <is>
          <t>IF(OR(E166="",AO166=""),"",IF(COUNT(AG166:AN166)=0,"",AO166-LOOKUP(2,1/(AG166:AN166&lt;&gt;""),AG166:AN166)))</t>
        </is>
      </c>
      <c r="BC166" s="38" t="inlineStr">
        <is>
          <t>IF(OR(E166="",AP166=""),"",IF(COUNT(AG166:AO166)=0,"",AP166-LOOKUP(2,1/(AG166:AO166&lt;&gt;""),AG166:AO166)))</t>
        </is>
      </c>
      <c r="BD166" s="38" t="inlineStr">
        <is>
          <t>IF(OR(E166="",AQ166=""),"",IF(COUNT(AG166:AP166)=0,"",AQ166-LOOKUP(2,1/(AG166:AP166&lt;&gt;""),AG166:AP166)))</t>
        </is>
      </c>
      <c r="BE166" s="38" t="inlineStr">
        <is>
          <t>IF(OR(E166="",AR166=""),"",IF(COUNT(AG166:AQ166)=0,"",AR166-LOOKUP(2,1/(AG166:AQ166&lt;&gt;""),AG166:AQ166)))</t>
        </is>
      </c>
      <c r="BF166" s="38" t="inlineStr">
        <is>
          <t>IF(OR(E166="",AS166=""),"",IF(COUNT(AG166:AR166)=0,"",AS166-LOOKUP(2,1/(AG166:AR166&lt;&gt;""),AG166:AR166)))</t>
        </is>
      </c>
      <c r="BG166" s="38" t="inlineStr">
        <is>
          <t>IF(OR(E166="",AT166=""),"",IF(COUNT(AG166:AS166)=0,"",AT166-LOOKUP(2,1/(AG166:AS166&lt;&gt;""),AG166:AS166)))</t>
        </is>
      </c>
      <c r="BH166" s="41" t="inlineStr">
        <is>
          <t>IF(G166="","All_Provinces",IFERROR(VLOOKUP(G166,'07_Lookups'!$A$4:$B$20,2,FALSE),"All_Provinces"))</t>
        </is>
      </c>
      <c r="BI166" s="41" t="inlineStr">
        <is>
          <t>IF(H166="","All_Districts",IFERROR(VLOOKUP(H166,'07_Lookups'!$E$4:$F$42,2,FALSE),"All_Districts"))</t>
        </is>
      </c>
    </row>
    <row r="167" ht="18" customHeight="1">
      <c r="A167" s="32" t="inlineStr">
        <is>
          <t>IF(E167="","",ROW()-3)</t>
        </is>
      </c>
      <c r="B167" s="42" t="n"/>
      <c r="C167" s="42" t="n"/>
      <c r="D167" s="42" t="n"/>
      <c r="E167" s="42" t="n"/>
      <c r="F167" s="42" t="n"/>
      <c r="G167" s="42" t="n"/>
      <c r="H167" s="42" t="n"/>
      <c r="I167" s="42" t="n"/>
      <c r="J167" s="42" t="n"/>
      <c r="K167" s="42" t="n"/>
      <c r="L167" s="42" t="n"/>
      <c r="M167" s="42" t="n"/>
      <c r="N167" s="42" t="n"/>
      <c r="O167" s="42" t="n"/>
      <c r="P167" s="42" t="n"/>
      <c r="Q167" s="43" t="n"/>
      <c r="R167" s="35" t="inlineStr">
        <is>
          <t>IF(AO167="","",AO167)</t>
        </is>
      </c>
      <c r="S167" s="44" t="n"/>
      <c r="T167" s="45" t="n"/>
      <c r="U167" s="44" t="n"/>
      <c r="V167" s="35" t="inlineStr">
        <is>
          <t>IF(U167&lt;&gt;"",U167,IF(OR(R167="",T167=""),"",EDATE(R167,T167)))</t>
        </is>
      </c>
      <c r="W167" s="44" t="n"/>
      <c r="X167" s="45" t="n"/>
      <c r="Y167" s="42" t="n"/>
      <c r="Z167" s="42" t="n"/>
      <c r="AA167" s="32" t="inlineStr">
        <is>
          <t>IF(E167="","",IF(COUNT(AG167:AT167)=0,IF(Y167="","Not started",Y167),SUBSTITUTE(LOOKUP(2,1/(AG167:AT167&lt;&gt;""),$AG$3:$AT$3),"Date: ","")))</t>
        </is>
      </c>
      <c r="AB167" s="38" t="inlineStr">
        <is>
          <t>IF(OR(E167="",COUNT(AG167:AT167)=0),"",TODAY()-LOOKUP(2,1/(AG167:AT167&lt;&gt;""),AG167:AT167))</t>
        </is>
      </c>
      <c r="AC167" s="38" t="inlineStr">
        <is>
          <t>IF(OR(E167="",COUNT(AG167:AT167)&lt;2),"",LOOKUP(2,1/(AG167:AT167&lt;&gt;""),AG167:AT167)-MIN(AG167:AT167))</t>
        </is>
      </c>
      <c r="AD167" s="38" t="inlineStr">
        <is>
          <t>IF(OR(AB167="",AA167="Not started",AA167=""),"",IFERROR(AB167-IF(VLOOKUP(AA167,'04_Status_Pipeline'!$B$3:$E$20,4,FALSE)="",0,VLOOKUP(AA167,'04_Status_Pipeline'!$B$3:$E$20,4,FALSE)),""))</t>
        </is>
      </c>
      <c r="AE167" s="32" t="inlineStr">
        <is>
          <t>IF(E167="","",IF(OR(Y167="Cancelled",AA167="Cancelled"),"Cancelled",IF(OR(AA167="Completed / Handover",W167&lt;&gt;"",X167&gt;=100),"Completed — on track",IF(L167="Remaining",IF(S167="",IF(V167="","No planned date",IF(TODAY()&gt;V167,"Behind — past planned date",IF(V167-TODAY()&lt;=30,"At risk — close to off track","On track"))),IF(TODAY()&gt;S167,"Behind — award date passed",IF(S167-TODAY()&lt;=30,"At risk — close to off track","On track"))),IF(V167="","No planned date",IF(AND(TODAY()&gt;V167,OR(X167="",X167&lt;100)),"Behind — past end date",IF(AND(R167&lt;&gt;"",V167&lt;&gt;"",X167&lt;&gt;"",(X167&lt;100),((TODAY()-R167)/MAX(V167-R167,1)*100)-X167&gt;15),"Behind — progress lag",IF(AND(V167-TODAY()&lt;=30,V167-TODAY()&gt;=0,OR(X167="",X167&lt;90)),"At risk — close to off track","On track"))))))))</t>
        </is>
      </c>
      <c r="AF167" s="38" t="inlineStr">
        <is>
          <t>IF(OR(E167="",AA167="Completed / Handover",AA167="Cancelled"),"",IF(L167="Remaining",IF(S167&lt;&gt;"",S167-TODAY(),IF(V167="","",V167-TODAY())),IF(V167="","",V167-TODAY())))</t>
        </is>
      </c>
      <c r="AG167" s="44" t="n"/>
      <c r="AH167" s="44" t="n"/>
      <c r="AI167" s="44" t="n"/>
      <c r="AJ167" s="44" t="n"/>
      <c r="AK167" s="44" t="n"/>
      <c r="AL167" s="44" t="n"/>
      <c r="AM167" s="44" t="n"/>
      <c r="AN167" s="44" t="n"/>
      <c r="AO167" s="44" t="n"/>
      <c r="AP167" s="44" t="n"/>
      <c r="AQ167" s="44" t="n"/>
      <c r="AR167" s="40" t="n"/>
      <c r="AS167" s="40" t="n"/>
      <c r="AT167" s="40" t="n"/>
      <c r="AU167" s="38" t="inlineStr">
        <is>
          <t>IF(OR(E167="",AH167=""),"",IF(COUNT(AG167:AG167)=0,"",AH167-LOOKUP(2,1/(AG167:AG167&lt;&gt;""),AG167:AG167)))</t>
        </is>
      </c>
      <c r="AV167" s="38" t="inlineStr">
        <is>
          <t>IF(OR(E167="",AI167=""),"",IF(COUNT(AG167:AH167)=0,"",AI167-LOOKUP(2,1/(AG167:AH167&lt;&gt;""),AG167:AH167)))</t>
        </is>
      </c>
      <c r="AW167" s="38" t="inlineStr">
        <is>
          <t>IF(OR(E167="",AJ167=""),"",IF(COUNT(AG167:AI167)=0,"",AJ167-LOOKUP(2,1/(AG167:AI167&lt;&gt;""),AG167:AI167)))</t>
        </is>
      </c>
      <c r="AX167" s="38" t="inlineStr">
        <is>
          <t>IF(OR(E167="",AK167=""),"",IF(COUNT(AG167:AJ167)=0,"",AK167-LOOKUP(2,1/(AG167:AJ167&lt;&gt;""),AG167:AJ167)))</t>
        </is>
      </c>
      <c r="AY167" s="38" t="inlineStr">
        <is>
          <t>IF(OR(E167="",AL167=""),"",IF(COUNT(AG167:AK167)=0,"",AL167-LOOKUP(2,1/(AG167:AK167&lt;&gt;""),AG167:AK167)))</t>
        </is>
      </c>
      <c r="AZ167" s="38" t="inlineStr">
        <is>
          <t>IF(OR(E167="",AM167=""),"",IF(COUNT(AG167:AL167)=0,"",AM167-LOOKUP(2,1/(AG167:AL167&lt;&gt;""),AG167:AL167)))</t>
        </is>
      </c>
      <c r="BA167" s="38" t="inlineStr">
        <is>
          <t>IF(OR(E167="",AN167=""),"",IF(COUNT(AG167:AM167)=0,"",AN167-LOOKUP(2,1/(AG167:AM167&lt;&gt;""),AG167:AM167)))</t>
        </is>
      </c>
      <c r="BB167" s="38" t="inlineStr">
        <is>
          <t>IF(OR(E167="",AO167=""),"",IF(COUNT(AG167:AN167)=0,"",AO167-LOOKUP(2,1/(AG167:AN167&lt;&gt;""),AG167:AN167)))</t>
        </is>
      </c>
      <c r="BC167" s="38" t="inlineStr">
        <is>
          <t>IF(OR(E167="",AP167=""),"",IF(COUNT(AG167:AO167)=0,"",AP167-LOOKUP(2,1/(AG167:AO167&lt;&gt;""),AG167:AO167)))</t>
        </is>
      </c>
      <c r="BD167" s="38" t="inlineStr">
        <is>
          <t>IF(OR(E167="",AQ167=""),"",IF(COUNT(AG167:AP167)=0,"",AQ167-LOOKUP(2,1/(AG167:AP167&lt;&gt;""),AG167:AP167)))</t>
        </is>
      </c>
      <c r="BE167" s="38" t="inlineStr">
        <is>
          <t>IF(OR(E167="",AR167=""),"",IF(COUNT(AG167:AQ167)=0,"",AR167-LOOKUP(2,1/(AG167:AQ167&lt;&gt;""),AG167:AQ167)))</t>
        </is>
      </c>
      <c r="BF167" s="38" t="inlineStr">
        <is>
          <t>IF(OR(E167="",AS167=""),"",IF(COUNT(AG167:AR167)=0,"",AS167-LOOKUP(2,1/(AG167:AR167&lt;&gt;""),AG167:AR167)))</t>
        </is>
      </c>
      <c r="BG167" s="38" t="inlineStr">
        <is>
          <t>IF(OR(E167="",AT167=""),"",IF(COUNT(AG167:AS167)=0,"",AT167-LOOKUP(2,1/(AG167:AS167&lt;&gt;""),AG167:AS167)))</t>
        </is>
      </c>
      <c r="BH167" s="41" t="inlineStr">
        <is>
          <t>IF(G167="","All_Provinces",IFERROR(VLOOKUP(G167,'07_Lookups'!$A$4:$B$20,2,FALSE),"All_Provinces"))</t>
        </is>
      </c>
      <c r="BI167" s="41" t="inlineStr">
        <is>
          <t>IF(H167="","All_Districts",IFERROR(VLOOKUP(H167,'07_Lookups'!$E$4:$F$42,2,FALSE),"All_Districts"))</t>
        </is>
      </c>
    </row>
    <row r="168" ht="18" customHeight="1">
      <c r="A168" s="32" t="inlineStr">
        <is>
          <t>IF(E168="","",ROW()-3)</t>
        </is>
      </c>
      <c r="B168" s="33" t="n"/>
      <c r="C168" s="33" t="n"/>
      <c r="D168" s="33" t="n"/>
      <c r="E168" s="33" t="n"/>
      <c r="F168" s="33" t="n"/>
      <c r="G168" s="33" t="n"/>
      <c r="H168" s="33" t="n"/>
      <c r="I168" s="33" t="n"/>
      <c r="J168" s="33" t="n"/>
      <c r="K168" s="33" t="n"/>
      <c r="L168" s="33" t="n"/>
      <c r="M168" s="33" t="n"/>
      <c r="N168" s="33" t="n"/>
      <c r="O168" s="33" t="n"/>
      <c r="P168" s="33" t="n"/>
      <c r="Q168" s="34" t="n"/>
      <c r="R168" s="35" t="inlineStr">
        <is>
          <t>IF(AO168="","",AO168)</t>
        </is>
      </c>
      <c r="S168" s="36" t="n"/>
      <c r="T168" s="37" t="n"/>
      <c r="U168" s="36" t="n"/>
      <c r="V168" s="35" t="inlineStr">
        <is>
          <t>IF(U168&lt;&gt;"",U168,IF(OR(R168="",T168=""),"",EDATE(R168,T168)))</t>
        </is>
      </c>
      <c r="W168" s="36" t="n"/>
      <c r="X168" s="37" t="n"/>
      <c r="Y168" s="33" t="n"/>
      <c r="Z168" s="33" t="n"/>
      <c r="AA168" s="32" t="inlineStr">
        <is>
          <t>IF(E168="","",IF(COUNT(AG168:AT168)=0,IF(Y168="","Not started",Y168),SUBSTITUTE(LOOKUP(2,1/(AG168:AT168&lt;&gt;""),$AG$3:$AT$3),"Date: ","")))</t>
        </is>
      </c>
      <c r="AB168" s="38" t="inlineStr">
        <is>
          <t>IF(OR(E168="",COUNT(AG168:AT168)=0),"",TODAY()-LOOKUP(2,1/(AG168:AT168&lt;&gt;""),AG168:AT168))</t>
        </is>
      </c>
      <c r="AC168" s="38" t="inlineStr">
        <is>
          <t>IF(OR(E168="",COUNT(AG168:AT168)&lt;2),"",LOOKUP(2,1/(AG168:AT168&lt;&gt;""),AG168:AT168)-MIN(AG168:AT168))</t>
        </is>
      </c>
      <c r="AD168" s="38" t="inlineStr">
        <is>
          <t>IF(OR(AB168="",AA168="Not started",AA168=""),"",IFERROR(AB168-IF(VLOOKUP(AA168,'04_Status_Pipeline'!$B$3:$E$20,4,FALSE)="",0,VLOOKUP(AA168,'04_Status_Pipeline'!$B$3:$E$20,4,FALSE)),""))</t>
        </is>
      </c>
      <c r="AE168" s="32" t="inlineStr">
        <is>
          <t>IF(E168="","",IF(OR(Y168="Cancelled",AA168="Cancelled"),"Cancelled",IF(OR(AA168="Completed / Handover",W168&lt;&gt;"",X168&gt;=100),"Completed — on track",IF(L168="Remaining",IF(S168="",IF(V168="","No planned date",IF(TODAY()&gt;V168,"Behind — past planned date",IF(V168-TODAY()&lt;=30,"At risk — close to off track","On track"))),IF(TODAY()&gt;S168,"Behind — award date passed",IF(S168-TODAY()&lt;=30,"At risk — close to off track","On track"))),IF(V168="","No planned date",IF(AND(TODAY()&gt;V168,OR(X168="",X168&lt;100)),"Behind — past end date",IF(AND(R168&lt;&gt;"",V168&lt;&gt;"",X168&lt;&gt;"",(X168&lt;100),((TODAY()-R168)/MAX(V168-R168,1)*100)-X168&gt;15),"Behind — progress lag",IF(AND(V168-TODAY()&lt;=30,V168-TODAY()&gt;=0,OR(X168="",X168&lt;90)),"At risk — close to off track","On track"))))))))</t>
        </is>
      </c>
      <c r="AF168" s="38" t="inlineStr">
        <is>
          <t>IF(OR(E168="",AA168="Completed / Handover",AA168="Cancelled"),"",IF(L168="Remaining",IF(S168&lt;&gt;"",S168-TODAY(),IF(V168="","",V168-TODAY())),IF(V168="","",V168-TODAY())))</t>
        </is>
      </c>
      <c r="AG168" s="36" t="n"/>
      <c r="AH168" s="36" t="n"/>
      <c r="AI168" s="36" t="n"/>
      <c r="AJ168" s="36" t="n"/>
      <c r="AK168" s="36" t="n"/>
      <c r="AL168" s="36" t="n"/>
      <c r="AM168" s="36" t="n"/>
      <c r="AN168" s="36" t="n"/>
      <c r="AO168" s="36" t="n"/>
      <c r="AP168" s="36" t="n"/>
      <c r="AQ168" s="36" t="n"/>
      <c r="AR168" s="40" t="n"/>
      <c r="AS168" s="40" t="n"/>
      <c r="AT168" s="40" t="n"/>
      <c r="AU168" s="38" t="inlineStr">
        <is>
          <t>IF(OR(E168="",AH168=""),"",IF(COUNT(AG168:AG168)=0,"",AH168-LOOKUP(2,1/(AG168:AG168&lt;&gt;""),AG168:AG168)))</t>
        </is>
      </c>
      <c r="AV168" s="38" t="inlineStr">
        <is>
          <t>IF(OR(E168="",AI168=""),"",IF(COUNT(AG168:AH168)=0,"",AI168-LOOKUP(2,1/(AG168:AH168&lt;&gt;""),AG168:AH168)))</t>
        </is>
      </c>
      <c r="AW168" s="38" t="inlineStr">
        <is>
          <t>IF(OR(E168="",AJ168=""),"",IF(COUNT(AG168:AI168)=0,"",AJ168-LOOKUP(2,1/(AG168:AI168&lt;&gt;""),AG168:AI168)))</t>
        </is>
      </c>
      <c r="AX168" s="38" t="inlineStr">
        <is>
          <t>IF(OR(E168="",AK168=""),"",IF(COUNT(AG168:AJ168)=0,"",AK168-LOOKUP(2,1/(AG168:AJ168&lt;&gt;""),AG168:AJ168)))</t>
        </is>
      </c>
      <c r="AY168" s="38" t="inlineStr">
        <is>
          <t>IF(OR(E168="",AL168=""),"",IF(COUNT(AG168:AK168)=0,"",AL168-LOOKUP(2,1/(AG168:AK168&lt;&gt;""),AG168:AK168)))</t>
        </is>
      </c>
      <c r="AZ168" s="38" t="inlineStr">
        <is>
          <t>IF(OR(E168="",AM168=""),"",IF(COUNT(AG168:AL168)=0,"",AM168-LOOKUP(2,1/(AG168:AL168&lt;&gt;""),AG168:AL168)))</t>
        </is>
      </c>
      <c r="BA168" s="38" t="inlineStr">
        <is>
          <t>IF(OR(E168="",AN168=""),"",IF(COUNT(AG168:AM168)=0,"",AN168-LOOKUP(2,1/(AG168:AM168&lt;&gt;""),AG168:AM168)))</t>
        </is>
      </c>
      <c r="BB168" s="38" t="inlineStr">
        <is>
          <t>IF(OR(E168="",AO168=""),"",IF(COUNT(AG168:AN168)=0,"",AO168-LOOKUP(2,1/(AG168:AN168&lt;&gt;""),AG168:AN168)))</t>
        </is>
      </c>
      <c r="BC168" s="38" t="inlineStr">
        <is>
          <t>IF(OR(E168="",AP168=""),"",IF(COUNT(AG168:AO168)=0,"",AP168-LOOKUP(2,1/(AG168:AO168&lt;&gt;""),AG168:AO168)))</t>
        </is>
      </c>
      <c r="BD168" s="38" t="inlineStr">
        <is>
          <t>IF(OR(E168="",AQ168=""),"",IF(COUNT(AG168:AP168)=0,"",AQ168-LOOKUP(2,1/(AG168:AP168&lt;&gt;""),AG168:AP168)))</t>
        </is>
      </c>
      <c r="BE168" s="38" t="inlineStr">
        <is>
          <t>IF(OR(E168="",AR168=""),"",IF(COUNT(AG168:AQ168)=0,"",AR168-LOOKUP(2,1/(AG168:AQ168&lt;&gt;""),AG168:AQ168)))</t>
        </is>
      </c>
      <c r="BF168" s="38" t="inlineStr">
        <is>
          <t>IF(OR(E168="",AS168=""),"",IF(COUNT(AG168:AR168)=0,"",AS168-LOOKUP(2,1/(AG168:AR168&lt;&gt;""),AG168:AR168)))</t>
        </is>
      </c>
      <c r="BG168" s="38" t="inlineStr">
        <is>
          <t>IF(OR(E168="",AT168=""),"",IF(COUNT(AG168:AS168)=0,"",AT168-LOOKUP(2,1/(AG168:AS168&lt;&gt;""),AG168:AS168)))</t>
        </is>
      </c>
      <c r="BH168" s="41" t="inlineStr">
        <is>
          <t>IF(G168="","All_Provinces",IFERROR(VLOOKUP(G168,'07_Lookups'!$A$4:$B$20,2,FALSE),"All_Provinces"))</t>
        </is>
      </c>
      <c r="BI168" s="41" t="inlineStr">
        <is>
          <t>IF(H168="","All_Districts",IFERROR(VLOOKUP(H168,'07_Lookups'!$E$4:$F$42,2,FALSE),"All_Districts"))</t>
        </is>
      </c>
    </row>
    <row r="169" ht="18" customHeight="1">
      <c r="A169" s="32" t="inlineStr">
        <is>
          <t>IF(E169="","",ROW()-3)</t>
        </is>
      </c>
      <c r="B169" s="42" t="n"/>
      <c r="C169" s="42" t="n"/>
      <c r="D169" s="42" t="n"/>
      <c r="E169" s="42" t="n"/>
      <c r="F169" s="42" t="n"/>
      <c r="G169" s="42" t="n"/>
      <c r="H169" s="42" t="n"/>
      <c r="I169" s="42" t="n"/>
      <c r="J169" s="42" t="n"/>
      <c r="K169" s="42" t="n"/>
      <c r="L169" s="42" t="n"/>
      <c r="M169" s="42" t="n"/>
      <c r="N169" s="42" t="n"/>
      <c r="O169" s="42" t="n"/>
      <c r="P169" s="42" t="n"/>
      <c r="Q169" s="43" t="n"/>
      <c r="R169" s="35" t="inlineStr">
        <is>
          <t>IF(AO169="","",AO169)</t>
        </is>
      </c>
      <c r="S169" s="44" t="n"/>
      <c r="T169" s="45" t="n"/>
      <c r="U169" s="44" t="n"/>
      <c r="V169" s="35" t="inlineStr">
        <is>
          <t>IF(U169&lt;&gt;"",U169,IF(OR(R169="",T169=""),"",EDATE(R169,T169)))</t>
        </is>
      </c>
      <c r="W169" s="44" t="n"/>
      <c r="X169" s="45" t="n"/>
      <c r="Y169" s="42" t="n"/>
      <c r="Z169" s="42" t="n"/>
      <c r="AA169" s="32" t="inlineStr">
        <is>
          <t>IF(E169="","",IF(COUNT(AG169:AT169)=0,IF(Y169="","Not started",Y169),SUBSTITUTE(LOOKUP(2,1/(AG169:AT169&lt;&gt;""),$AG$3:$AT$3),"Date: ","")))</t>
        </is>
      </c>
      <c r="AB169" s="38" t="inlineStr">
        <is>
          <t>IF(OR(E169="",COUNT(AG169:AT169)=0),"",TODAY()-LOOKUP(2,1/(AG169:AT169&lt;&gt;""),AG169:AT169))</t>
        </is>
      </c>
      <c r="AC169" s="38" t="inlineStr">
        <is>
          <t>IF(OR(E169="",COUNT(AG169:AT169)&lt;2),"",LOOKUP(2,1/(AG169:AT169&lt;&gt;""),AG169:AT169)-MIN(AG169:AT169))</t>
        </is>
      </c>
      <c r="AD169" s="38" t="inlineStr">
        <is>
          <t>IF(OR(AB169="",AA169="Not started",AA169=""),"",IFERROR(AB169-IF(VLOOKUP(AA169,'04_Status_Pipeline'!$B$3:$E$20,4,FALSE)="",0,VLOOKUP(AA169,'04_Status_Pipeline'!$B$3:$E$20,4,FALSE)),""))</t>
        </is>
      </c>
      <c r="AE169" s="32" t="inlineStr">
        <is>
          <t>IF(E169="","",IF(OR(Y169="Cancelled",AA169="Cancelled"),"Cancelled",IF(OR(AA169="Completed / Handover",W169&lt;&gt;"",X169&gt;=100),"Completed — on track",IF(L169="Remaining",IF(S169="",IF(V169="","No planned date",IF(TODAY()&gt;V169,"Behind — past planned date",IF(V169-TODAY()&lt;=30,"At risk — close to off track","On track"))),IF(TODAY()&gt;S169,"Behind — award date passed",IF(S169-TODAY()&lt;=30,"At risk — close to off track","On track"))),IF(V169="","No planned date",IF(AND(TODAY()&gt;V169,OR(X169="",X169&lt;100)),"Behind — past end date",IF(AND(R169&lt;&gt;"",V169&lt;&gt;"",X169&lt;&gt;"",(X169&lt;100),((TODAY()-R169)/MAX(V169-R169,1)*100)-X169&gt;15),"Behind — progress lag",IF(AND(V169-TODAY()&lt;=30,V169-TODAY()&gt;=0,OR(X169="",X169&lt;90)),"At risk — close to off track","On track"))))))))</t>
        </is>
      </c>
      <c r="AF169" s="38" t="inlineStr">
        <is>
          <t>IF(OR(E169="",AA169="Completed / Handover",AA169="Cancelled"),"",IF(L169="Remaining",IF(S169&lt;&gt;"",S169-TODAY(),IF(V169="","",V169-TODAY())),IF(V169="","",V169-TODAY())))</t>
        </is>
      </c>
      <c r="AG169" s="44" t="n"/>
      <c r="AH169" s="44" t="n"/>
      <c r="AI169" s="44" t="n"/>
      <c r="AJ169" s="44" t="n"/>
      <c r="AK169" s="44" t="n"/>
      <c r="AL169" s="44" t="n"/>
      <c r="AM169" s="44" t="n"/>
      <c r="AN169" s="44" t="n"/>
      <c r="AO169" s="44" t="n"/>
      <c r="AP169" s="44" t="n"/>
      <c r="AQ169" s="44" t="n"/>
      <c r="AR169" s="40" t="n"/>
      <c r="AS169" s="40" t="n"/>
      <c r="AT169" s="40" t="n"/>
      <c r="AU169" s="38" t="inlineStr">
        <is>
          <t>IF(OR(E169="",AH169=""),"",IF(COUNT(AG169:AG169)=0,"",AH169-LOOKUP(2,1/(AG169:AG169&lt;&gt;""),AG169:AG169)))</t>
        </is>
      </c>
      <c r="AV169" s="38" t="inlineStr">
        <is>
          <t>IF(OR(E169="",AI169=""),"",IF(COUNT(AG169:AH169)=0,"",AI169-LOOKUP(2,1/(AG169:AH169&lt;&gt;""),AG169:AH169)))</t>
        </is>
      </c>
      <c r="AW169" s="38" t="inlineStr">
        <is>
          <t>IF(OR(E169="",AJ169=""),"",IF(COUNT(AG169:AI169)=0,"",AJ169-LOOKUP(2,1/(AG169:AI169&lt;&gt;""),AG169:AI169)))</t>
        </is>
      </c>
      <c r="AX169" s="38" t="inlineStr">
        <is>
          <t>IF(OR(E169="",AK169=""),"",IF(COUNT(AG169:AJ169)=0,"",AK169-LOOKUP(2,1/(AG169:AJ169&lt;&gt;""),AG169:AJ169)))</t>
        </is>
      </c>
      <c r="AY169" s="38" t="inlineStr">
        <is>
          <t>IF(OR(E169="",AL169=""),"",IF(COUNT(AG169:AK169)=0,"",AL169-LOOKUP(2,1/(AG169:AK169&lt;&gt;""),AG169:AK169)))</t>
        </is>
      </c>
      <c r="AZ169" s="38" t="inlineStr">
        <is>
          <t>IF(OR(E169="",AM169=""),"",IF(COUNT(AG169:AL169)=0,"",AM169-LOOKUP(2,1/(AG169:AL169&lt;&gt;""),AG169:AL169)))</t>
        </is>
      </c>
      <c r="BA169" s="38" t="inlineStr">
        <is>
          <t>IF(OR(E169="",AN169=""),"",IF(COUNT(AG169:AM169)=0,"",AN169-LOOKUP(2,1/(AG169:AM169&lt;&gt;""),AG169:AM169)))</t>
        </is>
      </c>
      <c r="BB169" s="38" t="inlineStr">
        <is>
          <t>IF(OR(E169="",AO169=""),"",IF(COUNT(AG169:AN169)=0,"",AO169-LOOKUP(2,1/(AG169:AN169&lt;&gt;""),AG169:AN169)))</t>
        </is>
      </c>
      <c r="BC169" s="38" t="inlineStr">
        <is>
          <t>IF(OR(E169="",AP169=""),"",IF(COUNT(AG169:AO169)=0,"",AP169-LOOKUP(2,1/(AG169:AO169&lt;&gt;""),AG169:AO169)))</t>
        </is>
      </c>
      <c r="BD169" s="38" t="inlineStr">
        <is>
          <t>IF(OR(E169="",AQ169=""),"",IF(COUNT(AG169:AP169)=0,"",AQ169-LOOKUP(2,1/(AG169:AP169&lt;&gt;""),AG169:AP169)))</t>
        </is>
      </c>
      <c r="BE169" s="38" t="inlineStr">
        <is>
          <t>IF(OR(E169="",AR169=""),"",IF(COUNT(AG169:AQ169)=0,"",AR169-LOOKUP(2,1/(AG169:AQ169&lt;&gt;""),AG169:AQ169)))</t>
        </is>
      </c>
      <c r="BF169" s="38" t="inlineStr">
        <is>
          <t>IF(OR(E169="",AS169=""),"",IF(COUNT(AG169:AR169)=0,"",AS169-LOOKUP(2,1/(AG169:AR169&lt;&gt;""),AG169:AR169)))</t>
        </is>
      </c>
      <c r="BG169" s="38" t="inlineStr">
        <is>
          <t>IF(OR(E169="",AT169=""),"",IF(COUNT(AG169:AS169)=0,"",AT169-LOOKUP(2,1/(AG169:AS169&lt;&gt;""),AG169:AS169)))</t>
        </is>
      </c>
      <c r="BH169" s="41" t="inlineStr">
        <is>
          <t>IF(G169="","All_Provinces",IFERROR(VLOOKUP(G169,'07_Lookups'!$A$4:$B$20,2,FALSE),"All_Provinces"))</t>
        </is>
      </c>
      <c r="BI169" s="41" t="inlineStr">
        <is>
          <t>IF(H169="","All_Districts",IFERROR(VLOOKUP(H169,'07_Lookups'!$E$4:$F$42,2,FALSE),"All_Districts"))</t>
        </is>
      </c>
    </row>
    <row r="170" ht="18" customHeight="1">
      <c r="A170" s="32" t="inlineStr">
        <is>
          <t>IF(E170="","",ROW()-3)</t>
        </is>
      </c>
      <c r="B170" s="33" t="n"/>
      <c r="C170" s="33" t="n"/>
      <c r="D170" s="33" t="n"/>
      <c r="E170" s="33" t="n"/>
      <c r="F170" s="33" t="n"/>
      <c r="G170" s="33" t="n"/>
      <c r="H170" s="33" t="n"/>
      <c r="I170" s="33" t="n"/>
      <c r="J170" s="33" t="n"/>
      <c r="K170" s="33" t="n"/>
      <c r="L170" s="33" t="n"/>
      <c r="M170" s="33" t="n"/>
      <c r="N170" s="33" t="n"/>
      <c r="O170" s="33" t="n"/>
      <c r="P170" s="33" t="n"/>
      <c r="Q170" s="34" t="n"/>
      <c r="R170" s="35" t="inlineStr">
        <is>
          <t>IF(AO170="","",AO170)</t>
        </is>
      </c>
      <c r="S170" s="36" t="n"/>
      <c r="T170" s="37" t="n"/>
      <c r="U170" s="36" t="n"/>
      <c r="V170" s="35" t="inlineStr">
        <is>
          <t>IF(U170&lt;&gt;"",U170,IF(OR(R170="",T170=""),"",EDATE(R170,T170)))</t>
        </is>
      </c>
      <c r="W170" s="36" t="n"/>
      <c r="X170" s="37" t="n"/>
      <c r="Y170" s="33" t="n"/>
      <c r="Z170" s="33" t="n"/>
      <c r="AA170" s="32" t="inlineStr">
        <is>
          <t>IF(E170="","",IF(COUNT(AG170:AT170)=0,IF(Y170="","Not started",Y170),SUBSTITUTE(LOOKUP(2,1/(AG170:AT170&lt;&gt;""),$AG$3:$AT$3),"Date: ","")))</t>
        </is>
      </c>
      <c r="AB170" s="38" t="inlineStr">
        <is>
          <t>IF(OR(E170="",COUNT(AG170:AT170)=0),"",TODAY()-LOOKUP(2,1/(AG170:AT170&lt;&gt;""),AG170:AT170))</t>
        </is>
      </c>
      <c r="AC170" s="38" t="inlineStr">
        <is>
          <t>IF(OR(E170="",COUNT(AG170:AT170)&lt;2),"",LOOKUP(2,1/(AG170:AT170&lt;&gt;""),AG170:AT170)-MIN(AG170:AT170))</t>
        </is>
      </c>
      <c r="AD170" s="38" t="inlineStr">
        <is>
          <t>IF(OR(AB170="",AA170="Not started",AA170=""),"",IFERROR(AB170-IF(VLOOKUP(AA170,'04_Status_Pipeline'!$B$3:$E$20,4,FALSE)="",0,VLOOKUP(AA170,'04_Status_Pipeline'!$B$3:$E$20,4,FALSE)),""))</t>
        </is>
      </c>
      <c r="AE170" s="32" t="inlineStr">
        <is>
          <t>IF(E170="","",IF(OR(Y170="Cancelled",AA170="Cancelled"),"Cancelled",IF(OR(AA170="Completed / Handover",W170&lt;&gt;"",X170&gt;=100),"Completed — on track",IF(L170="Remaining",IF(S170="",IF(V170="","No planned date",IF(TODAY()&gt;V170,"Behind — past planned date",IF(V170-TODAY()&lt;=30,"At risk — close to off track","On track"))),IF(TODAY()&gt;S170,"Behind — award date passed",IF(S170-TODAY()&lt;=30,"At risk — close to off track","On track"))),IF(V170="","No planned date",IF(AND(TODAY()&gt;V170,OR(X170="",X170&lt;100)),"Behind — past end date",IF(AND(R170&lt;&gt;"",V170&lt;&gt;"",X170&lt;&gt;"",(X170&lt;100),((TODAY()-R170)/MAX(V170-R170,1)*100)-X170&gt;15),"Behind — progress lag",IF(AND(V170-TODAY()&lt;=30,V170-TODAY()&gt;=0,OR(X170="",X170&lt;90)),"At risk — close to off track","On track"))))))))</t>
        </is>
      </c>
      <c r="AF170" s="38" t="inlineStr">
        <is>
          <t>IF(OR(E170="",AA170="Completed / Handover",AA170="Cancelled"),"",IF(L170="Remaining",IF(S170&lt;&gt;"",S170-TODAY(),IF(V170="","",V170-TODAY())),IF(V170="","",V170-TODAY())))</t>
        </is>
      </c>
      <c r="AG170" s="36" t="n"/>
      <c r="AH170" s="36" t="n"/>
      <c r="AI170" s="36" t="n"/>
      <c r="AJ170" s="36" t="n"/>
      <c r="AK170" s="36" t="n"/>
      <c r="AL170" s="36" t="n"/>
      <c r="AM170" s="36" t="n"/>
      <c r="AN170" s="36" t="n"/>
      <c r="AO170" s="36" t="n"/>
      <c r="AP170" s="36" t="n"/>
      <c r="AQ170" s="36" t="n"/>
      <c r="AR170" s="40" t="n"/>
      <c r="AS170" s="40" t="n"/>
      <c r="AT170" s="40" t="n"/>
      <c r="AU170" s="38" t="inlineStr">
        <is>
          <t>IF(OR(E170="",AH170=""),"",IF(COUNT(AG170:AG170)=0,"",AH170-LOOKUP(2,1/(AG170:AG170&lt;&gt;""),AG170:AG170)))</t>
        </is>
      </c>
      <c r="AV170" s="38" t="inlineStr">
        <is>
          <t>IF(OR(E170="",AI170=""),"",IF(COUNT(AG170:AH170)=0,"",AI170-LOOKUP(2,1/(AG170:AH170&lt;&gt;""),AG170:AH170)))</t>
        </is>
      </c>
      <c r="AW170" s="38" t="inlineStr">
        <is>
          <t>IF(OR(E170="",AJ170=""),"",IF(COUNT(AG170:AI170)=0,"",AJ170-LOOKUP(2,1/(AG170:AI170&lt;&gt;""),AG170:AI170)))</t>
        </is>
      </c>
      <c r="AX170" s="38" t="inlineStr">
        <is>
          <t>IF(OR(E170="",AK170=""),"",IF(COUNT(AG170:AJ170)=0,"",AK170-LOOKUP(2,1/(AG170:AJ170&lt;&gt;""),AG170:AJ170)))</t>
        </is>
      </c>
      <c r="AY170" s="38" t="inlineStr">
        <is>
          <t>IF(OR(E170="",AL170=""),"",IF(COUNT(AG170:AK170)=0,"",AL170-LOOKUP(2,1/(AG170:AK170&lt;&gt;""),AG170:AK170)))</t>
        </is>
      </c>
      <c r="AZ170" s="38" t="inlineStr">
        <is>
          <t>IF(OR(E170="",AM170=""),"",IF(COUNT(AG170:AL170)=0,"",AM170-LOOKUP(2,1/(AG170:AL170&lt;&gt;""),AG170:AL170)))</t>
        </is>
      </c>
      <c r="BA170" s="38" t="inlineStr">
        <is>
          <t>IF(OR(E170="",AN170=""),"",IF(COUNT(AG170:AM170)=0,"",AN170-LOOKUP(2,1/(AG170:AM170&lt;&gt;""),AG170:AM170)))</t>
        </is>
      </c>
      <c r="BB170" s="38" t="inlineStr">
        <is>
          <t>IF(OR(E170="",AO170=""),"",IF(COUNT(AG170:AN170)=0,"",AO170-LOOKUP(2,1/(AG170:AN170&lt;&gt;""),AG170:AN170)))</t>
        </is>
      </c>
      <c r="BC170" s="38" t="inlineStr">
        <is>
          <t>IF(OR(E170="",AP170=""),"",IF(COUNT(AG170:AO170)=0,"",AP170-LOOKUP(2,1/(AG170:AO170&lt;&gt;""),AG170:AO170)))</t>
        </is>
      </c>
      <c r="BD170" s="38" t="inlineStr">
        <is>
          <t>IF(OR(E170="",AQ170=""),"",IF(COUNT(AG170:AP170)=0,"",AQ170-LOOKUP(2,1/(AG170:AP170&lt;&gt;""),AG170:AP170)))</t>
        </is>
      </c>
      <c r="BE170" s="38" t="inlineStr">
        <is>
          <t>IF(OR(E170="",AR170=""),"",IF(COUNT(AG170:AQ170)=0,"",AR170-LOOKUP(2,1/(AG170:AQ170&lt;&gt;""),AG170:AQ170)))</t>
        </is>
      </c>
      <c r="BF170" s="38" t="inlineStr">
        <is>
          <t>IF(OR(E170="",AS170=""),"",IF(COUNT(AG170:AR170)=0,"",AS170-LOOKUP(2,1/(AG170:AR170&lt;&gt;""),AG170:AR170)))</t>
        </is>
      </c>
      <c r="BG170" s="38" t="inlineStr">
        <is>
          <t>IF(OR(E170="",AT170=""),"",IF(COUNT(AG170:AS170)=0,"",AT170-LOOKUP(2,1/(AG170:AS170&lt;&gt;""),AG170:AS170)))</t>
        </is>
      </c>
      <c r="BH170" s="41" t="inlineStr">
        <is>
          <t>IF(G170="","All_Provinces",IFERROR(VLOOKUP(G170,'07_Lookups'!$A$4:$B$20,2,FALSE),"All_Provinces"))</t>
        </is>
      </c>
      <c r="BI170" s="41" t="inlineStr">
        <is>
          <t>IF(H170="","All_Districts",IFERROR(VLOOKUP(H170,'07_Lookups'!$E$4:$F$42,2,FALSE),"All_Districts"))</t>
        </is>
      </c>
    </row>
    <row r="171" ht="18" customHeight="1">
      <c r="A171" s="32" t="inlineStr">
        <is>
          <t>IF(E171="","",ROW()-3)</t>
        </is>
      </c>
      <c r="B171" s="42" t="n"/>
      <c r="C171" s="42" t="n"/>
      <c r="D171" s="42" t="n"/>
      <c r="E171" s="42" t="n"/>
      <c r="F171" s="42" t="n"/>
      <c r="G171" s="42" t="n"/>
      <c r="H171" s="42" t="n"/>
      <c r="I171" s="42" t="n"/>
      <c r="J171" s="42" t="n"/>
      <c r="K171" s="42" t="n"/>
      <c r="L171" s="42" t="n"/>
      <c r="M171" s="42" t="n"/>
      <c r="N171" s="42" t="n"/>
      <c r="O171" s="42" t="n"/>
      <c r="P171" s="42" t="n"/>
      <c r="Q171" s="43" t="n"/>
      <c r="R171" s="35" t="inlineStr">
        <is>
          <t>IF(AO171="","",AO171)</t>
        </is>
      </c>
      <c r="S171" s="44" t="n"/>
      <c r="T171" s="45" t="n"/>
      <c r="U171" s="44" t="n"/>
      <c r="V171" s="35" t="inlineStr">
        <is>
          <t>IF(U171&lt;&gt;"",U171,IF(OR(R171="",T171=""),"",EDATE(R171,T171)))</t>
        </is>
      </c>
      <c r="W171" s="44" t="n"/>
      <c r="X171" s="45" t="n"/>
      <c r="Y171" s="42" t="n"/>
      <c r="Z171" s="42" t="n"/>
      <c r="AA171" s="32" t="inlineStr">
        <is>
          <t>IF(E171="","",IF(COUNT(AG171:AT171)=0,IF(Y171="","Not started",Y171),SUBSTITUTE(LOOKUP(2,1/(AG171:AT171&lt;&gt;""),$AG$3:$AT$3),"Date: ","")))</t>
        </is>
      </c>
      <c r="AB171" s="38" t="inlineStr">
        <is>
          <t>IF(OR(E171="",COUNT(AG171:AT171)=0),"",TODAY()-LOOKUP(2,1/(AG171:AT171&lt;&gt;""),AG171:AT171))</t>
        </is>
      </c>
      <c r="AC171" s="38" t="inlineStr">
        <is>
          <t>IF(OR(E171="",COUNT(AG171:AT171)&lt;2),"",LOOKUP(2,1/(AG171:AT171&lt;&gt;""),AG171:AT171)-MIN(AG171:AT171))</t>
        </is>
      </c>
      <c r="AD171" s="38" t="inlineStr">
        <is>
          <t>IF(OR(AB171="",AA171="Not started",AA171=""),"",IFERROR(AB171-IF(VLOOKUP(AA171,'04_Status_Pipeline'!$B$3:$E$20,4,FALSE)="",0,VLOOKUP(AA171,'04_Status_Pipeline'!$B$3:$E$20,4,FALSE)),""))</t>
        </is>
      </c>
      <c r="AE171" s="32" t="inlineStr">
        <is>
          <t>IF(E171="","",IF(OR(Y171="Cancelled",AA171="Cancelled"),"Cancelled",IF(OR(AA171="Completed / Handover",W171&lt;&gt;"",X171&gt;=100),"Completed — on track",IF(L171="Remaining",IF(S171="",IF(V171="","No planned date",IF(TODAY()&gt;V171,"Behind — past planned date",IF(V171-TODAY()&lt;=30,"At risk — close to off track","On track"))),IF(TODAY()&gt;S171,"Behind — award date passed",IF(S171-TODAY()&lt;=30,"At risk — close to off track","On track"))),IF(V171="","No planned date",IF(AND(TODAY()&gt;V171,OR(X171="",X171&lt;100)),"Behind — past end date",IF(AND(R171&lt;&gt;"",V171&lt;&gt;"",X171&lt;&gt;"",(X171&lt;100),((TODAY()-R171)/MAX(V171-R171,1)*100)-X171&gt;15),"Behind — progress lag",IF(AND(V171-TODAY()&lt;=30,V171-TODAY()&gt;=0,OR(X171="",X171&lt;90)),"At risk — close to off track","On track"))))))))</t>
        </is>
      </c>
      <c r="AF171" s="38" t="inlineStr">
        <is>
          <t>IF(OR(E171="",AA171="Completed / Handover",AA171="Cancelled"),"",IF(L171="Remaining",IF(S171&lt;&gt;"",S171-TODAY(),IF(V171="","",V171-TODAY())),IF(V171="","",V171-TODAY())))</t>
        </is>
      </c>
      <c r="AG171" s="44" t="n"/>
      <c r="AH171" s="44" t="n"/>
      <c r="AI171" s="44" t="n"/>
      <c r="AJ171" s="44" t="n"/>
      <c r="AK171" s="44" t="n"/>
      <c r="AL171" s="44" t="n"/>
      <c r="AM171" s="44" t="n"/>
      <c r="AN171" s="44" t="n"/>
      <c r="AO171" s="44" t="n"/>
      <c r="AP171" s="44" t="n"/>
      <c r="AQ171" s="44" t="n"/>
      <c r="AR171" s="40" t="n"/>
      <c r="AS171" s="40" t="n"/>
      <c r="AT171" s="40" t="n"/>
      <c r="AU171" s="38" t="inlineStr">
        <is>
          <t>IF(OR(E171="",AH171=""),"",IF(COUNT(AG171:AG171)=0,"",AH171-LOOKUP(2,1/(AG171:AG171&lt;&gt;""),AG171:AG171)))</t>
        </is>
      </c>
      <c r="AV171" s="38" t="inlineStr">
        <is>
          <t>IF(OR(E171="",AI171=""),"",IF(COUNT(AG171:AH171)=0,"",AI171-LOOKUP(2,1/(AG171:AH171&lt;&gt;""),AG171:AH171)))</t>
        </is>
      </c>
      <c r="AW171" s="38" t="inlineStr">
        <is>
          <t>IF(OR(E171="",AJ171=""),"",IF(COUNT(AG171:AI171)=0,"",AJ171-LOOKUP(2,1/(AG171:AI171&lt;&gt;""),AG171:AI171)))</t>
        </is>
      </c>
      <c r="AX171" s="38" t="inlineStr">
        <is>
          <t>IF(OR(E171="",AK171=""),"",IF(COUNT(AG171:AJ171)=0,"",AK171-LOOKUP(2,1/(AG171:AJ171&lt;&gt;""),AG171:AJ171)))</t>
        </is>
      </c>
      <c r="AY171" s="38" t="inlineStr">
        <is>
          <t>IF(OR(E171="",AL171=""),"",IF(COUNT(AG171:AK171)=0,"",AL171-LOOKUP(2,1/(AG171:AK171&lt;&gt;""),AG171:AK171)))</t>
        </is>
      </c>
      <c r="AZ171" s="38" t="inlineStr">
        <is>
          <t>IF(OR(E171="",AM171=""),"",IF(COUNT(AG171:AL171)=0,"",AM171-LOOKUP(2,1/(AG171:AL171&lt;&gt;""),AG171:AL171)))</t>
        </is>
      </c>
      <c r="BA171" s="38" t="inlineStr">
        <is>
          <t>IF(OR(E171="",AN171=""),"",IF(COUNT(AG171:AM171)=0,"",AN171-LOOKUP(2,1/(AG171:AM171&lt;&gt;""),AG171:AM171)))</t>
        </is>
      </c>
      <c r="BB171" s="38" t="inlineStr">
        <is>
          <t>IF(OR(E171="",AO171=""),"",IF(COUNT(AG171:AN171)=0,"",AO171-LOOKUP(2,1/(AG171:AN171&lt;&gt;""),AG171:AN171)))</t>
        </is>
      </c>
      <c r="BC171" s="38" t="inlineStr">
        <is>
          <t>IF(OR(E171="",AP171=""),"",IF(COUNT(AG171:AO171)=0,"",AP171-LOOKUP(2,1/(AG171:AO171&lt;&gt;""),AG171:AO171)))</t>
        </is>
      </c>
      <c r="BD171" s="38" t="inlineStr">
        <is>
          <t>IF(OR(E171="",AQ171=""),"",IF(COUNT(AG171:AP171)=0,"",AQ171-LOOKUP(2,1/(AG171:AP171&lt;&gt;""),AG171:AP171)))</t>
        </is>
      </c>
      <c r="BE171" s="38" t="inlineStr">
        <is>
          <t>IF(OR(E171="",AR171=""),"",IF(COUNT(AG171:AQ171)=0,"",AR171-LOOKUP(2,1/(AG171:AQ171&lt;&gt;""),AG171:AQ171)))</t>
        </is>
      </c>
      <c r="BF171" s="38" t="inlineStr">
        <is>
          <t>IF(OR(E171="",AS171=""),"",IF(COUNT(AG171:AR171)=0,"",AS171-LOOKUP(2,1/(AG171:AR171&lt;&gt;""),AG171:AR171)))</t>
        </is>
      </c>
      <c r="BG171" s="38" t="inlineStr">
        <is>
          <t>IF(OR(E171="",AT171=""),"",IF(COUNT(AG171:AS171)=0,"",AT171-LOOKUP(2,1/(AG171:AS171&lt;&gt;""),AG171:AS171)))</t>
        </is>
      </c>
      <c r="BH171" s="41" t="inlineStr">
        <is>
          <t>IF(G171="","All_Provinces",IFERROR(VLOOKUP(G171,'07_Lookups'!$A$4:$B$20,2,FALSE),"All_Provinces"))</t>
        </is>
      </c>
      <c r="BI171" s="41" t="inlineStr">
        <is>
          <t>IF(H171="","All_Districts",IFERROR(VLOOKUP(H171,'07_Lookups'!$E$4:$F$42,2,FALSE),"All_Districts"))</t>
        </is>
      </c>
    </row>
    <row r="172" ht="18" customHeight="1">
      <c r="A172" s="32" t="inlineStr">
        <is>
          <t>IF(E172="","",ROW()-3)</t>
        </is>
      </c>
      <c r="B172" s="33" t="n"/>
      <c r="C172" s="33" t="n"/>
      <c r="D172" s="33" t="n"/>
      <c r="E172" s="33" t="n"/>
      <c r="F172" s="33" t="n"/>
      <c r="G172" s="33" t="n"/>
      <c r="H172" s="33" t="n"/>
      <c r="I172" s="33" t="n"/>
      <c r="J172" s="33" t="n"/>
      <c r="K172" s="33" t="n"/>
      <c r="L172" s="33" t="n"/>
      <c r="M172" s="33" t="n"/>
      <c r="N172" s="33" t="n"/>
      <c r="O172" s="33" t="n"/>
      <c r="P172" s="33" t="n"/>
      <c r="Q172" s="34" t="n"/>
      <c r="R172" s="35" t="inlineStr">
        <is>
          <t>IF(AO172="","",AO172)</t>
        </is>
      </c>
      <c r="S172" s="36" t="n"/>
      <c r="T172" s="37" t="n"/>
      <c r="U172" s="36" t="n"/>
      <c r="V172" s="35" t="inlineStr">
        <is>
          <t>IF(U172&lt;&gt;"",U172,IF(OR(R172="",T172=""),"",EDATE(R172,T172)))</t>
        </is>
      </c>
      <c r="W172" s="36" t="n"/>
      <c r="X172" s="37" t="n"/>
      <c r="Y172" s="33" t="n"/>
      <c r="Z172" s="33" t="n"/>
      <c r="AA172" s="32" t="inlineStr">
        <is>
          <t>IF(E172="","",IF(COUNT(AG172:AT172)=0,IF(Y172="","Not started",Y172),SUBSTITUTE(LOOKUP(2,1/(AG172:AT172&lt;&gt;""),$AG$3:$AT$3),"Date: ","")))</t>
        </is>
      </c>
      <c r="AB172" s="38" t="inlineStr">
        <is>
          <t>IF(OR(E172="",COUNT(AG172:AT172)=0),"",TODAY()-LOOKUP(2,1/(AG172:AT172&lt;&gt;""),AG172:AT172))</t>
        </is>
      </c>
      <c r="AC172" s="38" t="inlineStr">
        <is>
          <t>IF(OR(E172="",COUNT(AG172:AT172)&lt;2),"",LOOKUP(2,1/(AG172:AT172&lt;&gt;""),AG172:AT172)-MIN(AG172:AT172))</t>
        </is>
      </c>
      <c r="AD172" s="38" t="inlineStr">
        <is>
          <t>IF(OR(AB172="",AA172="Not started",AA172=""),"",IFERROR(AB172-IF(VLOOKUP(AA172,'04_Status_Pipeline'!$B$3:$E$20,4,FALSE)="",0,VLOOKUP(AA172,'04_Status_Pipeline'!$B$3:$E$20,4,FALSE)),""))</t>
        </is>
      </c>
      <c r="AE172" s="32" t="inlineStr">
        <is>
          <t>IF(E172="","",IF(OR(Y172="Cancelled",AA172="Cancelled"),"Cancelled",IF(OR(AA172="Completed / Handover",W172&lt;&gt;"",X172&gt;=100),"Completed — on track",IF(L172="Remaining",IF(S172="",IF(V172="","No planned date",IF(TODAY()&gt;V172,"Behind — past planned date",IF(V172-TODAY()&lt;=30,"At risk — close to off track","On track"))),IF(TODAY()&gt;S172,"Behind — award date passed",IF(S172-TODAY()&lt;=30,"At risk — close to off track","On track"))),IF(V172="","No planned date",IF(AND(TODAY()&gt;V172,OR(X172="",X172&lt;100)),"Behind — past end date",IF(AND(R172&lt;&gt;"",V172&lt;&gt;"",X172&lt;&gt;"",(X172&lt;100),((TODAY()-R172)/MAX(V172-R172,1)*100)-X172&gt;15),"Behind — progress lag",IF(AND(V172-TODAY()&lt;=30,V172-TODAY()&gt;=0,OR(X172="",X172&lt;90)),"At risk — close to off track","On track"))))))))</t>
        </is>
      </c>
      <c r="AF172" s="38" t="inlineStr">
        <is>
          <t>IF(OR(E172="",AA172="Completed / Handover",AA172="Cancelled"),"",IF(L172="Remaining",IF(S172&lt;&gt;"",S172-TODAY(),IF(V172="","",V172-TODAY())),IF(V172="","",V172-TODAY())))</t>
        </is>
      </c>
      <c r="AG172" s="36" t="n"/>
      <c r="AH172" s="36" t="n"/>
      <c r="AI172" s="36" t="n"/>
      <c r="AJ172" s="36" t="n"/>
      <c r="AK172" s="36" t="n"/>
      <c r="AL172" s="36" t="n"/>
      <c r="AM172" s="36" t="n"/>
      <c r="AN172" s="36" t="n"/>
      <c r="AO172" s="36" t="n"/>
      <c r="AP172" s="36" t="n"/>
      <c r="AQ172" s="36" t="n"/>
      <c r="AR172" s="40" t="n"/>
      <c r="AS172" s="40" t="n"/>
      <c r="AT172" s="40" t="n"/>
      <c r="AU172" s="38" t="inlineStr">
        <is>
          <t>IF(OR(E172="",AH172=""),"",IF(COUNT(AG172:AG172)=0,"",AH172-LOOKUP(2,1/(AG172:AG172&lt;&gt;""),AG172:AG172)))</t>
        </is>
      </c>
      <c r="AV172" s="38" t="inlineStr">
        <is>
          <t>IF(OR(E172="",AI172=""),"",IF(COUNT(AG172:AH172)=0,"",AI172-LOOKUP(2,1/(AG172:AH172&lt;&gt;""),AG172:AH172)))</t>
        </is>
      </c>
      <c r="AW172" s="38" t="inlineStr">
        <is>
          <t>IF(OR(E172="",AJ172=""),"",IF(COUNT(AG172:AI172)=0,"",AJ172-LOOKUP(2,1/(AG172:AI172&lt;&gt;""),AG172:AI172)))</t>
        </is>
      </c>
      <c r="AX172" s="38" t="inlineStr">
        <is>
          <t>IF(OR(E172="",AK172=""),"",IF(COUNT(AG172:AJ172)=0,"",AK172-LOOKUP(2,1/(AG172:AJ172&lt;&gt;""),AG172:AJ172)))</t>
        </is>
      </c>
      <c r="AY172" s="38" t="inlineStr">
        <is>
          <t>IF(OR(E172="",AL172=""),"",IF(COUNT(AG172:AK172)=0,"",AL172-LOOKUP(2,1/(AG172:AK172&lt;&gt;""),AG172:AK172)))</t>
        </is>
      </c>
      <c r="AZ172" s="38" t="inlineStr">
        <is>
          <t>IF(OR(E172="",AM172=""),"",IF(COUNT(AG172:AL172)=0,"",AM172-LOOKUP(2,1/(AG172:AL172&lt;&gt;""),AG172:AL172)))</t>
        </is>
      </c>
      <c r="BA172" s="38" t="inlineStr">
        <is>
          <t>IF(OR(E172="",AN172=""),"",IF(COUNT(AG172:AM172)=0,"",AN172-LOOKUP(2,1/(AG172:AM172&lt;&gt;""),AG172:AM172)))</t>
        </is>
      </c>
      <c r="BB172" s="38" t="inlineStr">
        <is>
          <t>IF(OR(E172="",AO172=""),"",IF(COUNT(AG172:AN172)=0,"",AO172-LOOKUP(2,1/(AG172:AN172&lt;&gt;""),AG172:AN172)))</t>
        </is>
      </c>
      <c r="BC172" s="38" t="inlineStr">
        <is>
          <t>IF(OR(E172="",AP172=""),"",IF(COUNT(AG172:AO172)=0,"",AP172-LOOKUP(2,1/(AG172:AO172&lt;&gt;""),AG172:AO172)))</t>
        </is>
      </c>
      <c r="BD172" s="38" t="inlineStr">
        <is>
          <t>IF(OR(E172="",AQ172=""),"",IF(COUNT(AG172:AP172)=0,"",AQ172-LOOKUP(2,1/(AG172:AP172&lt;&gt;""),AG172:AP172)))</t>
        </is>
      </c>
      <c r="BE172" s="38" t="inlineStr">
        <is>
          <t>IF(OR(E172="",AR172=""),"",IF(COUNT(AG172:AQ172)=0,"",AR172-LOOKUP(2,1/(AG172:AQ172&lt;&gt;""),AG172:AQ172)))</t>
        </is>
      </c>
      <c r="BF172" s="38" t="inlineStr">
        <is>
          <t>IF(OR(E172="",AS172=""),"",IF(COUNT(AG172:AR172)=0,"",AS172-LOOKUP(2,1/(AG172:AR172&lt;&gt;""),AG172:AR172)))</t>
        </is>
      </c>
      <c r="BG172" s="38" t="inlineStr">
        <is>
          <t>IF(OR(E172="",AT172=""),"",IF(COUNT(AG172:AS172)=0,"",AT172-LOOKUP(2,1/(AG172:AS172&lt;&gt;""),AG172:AS172)))</t>
        </is>
      </c>
      <c r="BH172" s="41" t="inlineStr">
        <is>
          <t>IF(G172="","All_Provinces",IFERROR(VLOOKUP(G172,'07_Lookups'!$A$4:$B$20,2,FALSE),"All_Provinces"))</t>
        </is>
      </c>
      <c r="BI172" s="41" t="inlineStr">
        <is>
          <t>IF(H172="","All_Districts",IFERROR(VLOOKUP(H172,'07_Lookups'!$E$4:$F$42,2,FALSE),"All_Districts"))</t>
        </is>
      </c>
    </row>
    <row r="173" ht="18" customHeight="1">
      <c r="A173" s="32" t="inlineStr">
        <is>
          <t>IF(E173="","",ROW()-3)</t>
        </is>
      </c>
      <c r="B173" s="42" t="n"/>
      <c r="C173" s="42" t="n"/>
      <c r="D173" s="42" t="n"/>
      <c r="E173" s="42" t="n"/>
      <c r="F173" s="42" t="n"/>
      <c r="G173" s="42" t="n"/>
      <c r="H173" s="42" t="n"/>
      <c r="I173" s="42" t="n"/>
      <c r="J173" s="42" t="n"/>
      <c r="K173" s="42" t="n"/>
      <c r="L173" s="42" t="n"/>
      <c r="M173" s="42" t="n"/>
      <c r="N173" s="42" t="n"/>
      <c r="O173" s="42" t="n"/>
      <c r="P173" s="42" t="n"/>
      <c r="Q173" s="43" t="n"/>
      <c r="R173" s="35" t="inlineStr">
        <is>
          <t>IF(AO173="","",AO173)</t>
        </is>
      </c>
      <c r="S173" s="44" t="n"/>
      <c r="T173" s="45" t="n"/>
      <c r="U173" s="44" t="n"/>
      <c r="V173" s="35" t="inlineStr">
        <is>
          <t>IF(U173&lt;&gt;"",U173,IF(OR(R173="",T173=""),"",EDATE(R173,T173)))</t>
        </is>
      </c>
      <c r="W173" s="44" t="n"/>
      <c r="X173" s="45" t="n"/>
      <c r="Y173" s="42" t="n"/>
      <c r="Z173" s="42" t="n"/>
      <c r="AA173" s="32" t="inlineStr">
        <is>
          <t>IF(E173="","",IF(COUNT(AG173:AT173)=0,IF(Y173="","Not started",Y173),SUBSTITUTE(LOOKUP(2,1/(AG173:AT173&lt;&gt;""),$AG$3:$AT$3),"Date: ","")))</t>
        </is>
      </c>
      <c r="AB173" s="38" t="inlineStr">
        <is>
          <t>IF(OR(E173="",COUNT(AG173:AT173)=0),"",TODAY()-LOOKUP(2,1/(AG173:AT173&lt;&gt;""),AG173:AT173))</t>
        </is>
      </c>
      <c r="AC173" s="38" t="inlineStr">
        <is>
          <t>IF(OR(E173="",COUNT(AG173:AT173)&lt;2),"",LOOKUP(2,1/(AG173:AT173&lt;&gt;""),AG173:AT173)-MIN(AG173:AT173))</t>
        </is>
      </c>
      <c r="AD173" s="38" t="inlineStr">
        <is>
          <t>IF(OR(AB173="",AA173="Not started",AA173=""),"",IFERROR(AB173-IF(VLOOKUP(AA173,'04_Status_Pipeline'!$B$3:$E$20,4,FALSE)="",0,VLOOKUP(AA173,'04_Status_Pipeline'!$B$3:$E$20,4,FALSE)),""))</t>
        </is>
      </c>
      <c r="AE173" s="32" t="inlineStr">
        <is>
          <t>IF(E173="","",IF(OR(Y173="Cancelled",AA173="Cancelled"),"Cancelled",IF(OR(AA173="Completed / Handover",W173&lt;&gt;"",X173&gt;=100),"Completed — on track",IF(L173="Remaining",IF(S173="",IF(V173="","No planned date",IF(TODAY()&gt;V173,"Behind — past planned date",IF(V173-TODAY()&lt;=30,"At risk — close to off track","On track"))),IF(TODAY()&gt;S173,"Behind — award date passed",IF(S173-TODAY()&lt;=30,"At risk — close to off track","On track"))),IF(V173="","No planned date",IF(AND(TODAY()&gt;V173,OR(X173="",X173&lt;100)),"Behind — past end date",IF(AND(R173&lt;&gt;"",V173&lt;&gt;"",X173&lt;&gt;"",(X173&lt;100),((TODAY()-R173)/MAX(V173-R173,1)*100)-X173&gt;15),"Behind — progress lag",IF(AND(V173-TODAY()&lt;=30,V173-TODAY()&gt;=0,OR(X173="",X173&lt;90)),"At risk — close to off track","On track"))))))))</t>
        </is>
      </c>
      <c r="AF173" s="38" t="inlineStr">
        <is>
          <t>IF(OR(E173="",AA173="Completed / Handover",AA173="Cancelled"),"",IF(L173="Remaining",IF(S173&lt;&gt;"",S173-TODAY(),IF(V173="","",V173-TODAY())),IF(V173="","",V173-TODAY())))</t>
        </is>
      </c>
      <c r="AG173" s="44" t="n"/>
      <c r="AH173" s="44" t="n"/>
      <c r="AI173" s="44" t="n"/>
      <c r="AJ173" s="44" t="n"/>
      <c r="AK173" s="44" t="n"/>
      <c r="AL173" s="44" t="n"/>
      <c r="AM173" s="44" t="n"/>
      <c r="AN173" s="44" t="n"/>
      <c r="AO173" s="44" t="n"/>
      <c r="AP173" s="44" t="n"/>
      <c r="AQ173" s="44" t="n"/>
      <c r="AR173" s="40" t="n"/>
      <c r="AS173" s="40" t="n"/>
      <c r="AT173" s="40" t="n"/>
      <c r="AU173" s="38" t="inlineStr">
        <is>
          <t>IF(OR(E173="",AH173=""),"",IF(COUNT(AG173:AG173)=0,"",AH173-LOOKUP(2,1/(AG173:AG173&lt;&gt;""),AG173:AG173)))</t>
        </is>
      </c>
      <c r="AV173" s="38" t="inlineStr">
        <is>
          <t>IF(OR(E173="",AI173=""),"",IF(COUNT(AG173:AH173)=0,"",AI173-LOOKUP(2,1/(AG173:AH173&lt;&gt;""),AG173:AH173)))</t>
        </is>
      </c>
      <c r="AW173" s="38" t="inlineStr">
        <is>
          <t>IF(OR(E173="",AJ173=""),"",IF(COUNT(AG173:AI173)=0,"",AJ173-LOOKUP(2,1/(AG173:AI173&lt;&gt;""),AG173:AI173)))</t>
        </is>
      </c>
      <c r="AX173" s="38" t="inlineStr">
        <is>
          <t>IF(OR(E173="",AK173=""),"",IF(COUNT(AG173:AJ173)=0,"",AK173-LOOKUP(2,1/(AG173:AJ173&lt;&gt;""),AG173:AJ173)))</t>
        </is>
      </c>
      <c r="AY173" s="38" t="inlineStr">
        <is>
          <t>IF(OR(E173="",AL173=""),"",IF(COUNT(AG173:AK173)=0,"",AL173-LOOKUP(2,1/(AG173:AK173&lt;&gt;""),AG173:AK173)))</t>
        </is>
      </c>
      <c r="AZ173" s="38" t="inlineStr">
        <is>
          <t>IF(OR(E173="",AM173=""),"",IF(COUNT(AG173:AL173)=0,"",AM173-LOOKUP(2,1/(AG173:AL173&lt;&gt;""),AG173:AL173)))</t>
        </is>
      </c>
      <c r="BA173" s="38" t="inlineStr">
        <is>
          <t>IF(OR(E173="",AN173=""),"",IF(COUNT(AG173:AM173)=0,"",AN173-LOOKUP(2,1/(AG173:AM173&lt;&gt;""),AG173:AM173)))</t>
        </is>
      </c>
      <c r="BB173" s="38" t="inlineStr">
        <is>
          <t>IF(OR(E173="",AO173=""),"",IF(COUNT(AG173:AN173)=0,"",AO173-LOOKUP(2,1/(AG173:AN173&lt;&gt;""),AG173:AN173)))</t>
        </is>
      </c>
      <c r="BC173" s="38" t="inlineStr">
        <is>
          <t>IF(OR(E173="",AP173=""),"",IF(COUNT(AG173:AO173)=0,"",AP173-LOOKUP(2,1/(AG173:AO173&lt;&gt;""),AG173:AO173)))</t>
        </is>
      </c>
      <c r="BD173" s="38" t="inlineStr">
        <is>
          <t>IF(OR(E173="",AQ173=""),"",IF(COUNT(AG173:AP173)=0,"",AQ173-LOOKUP(2,1/(AG173:AP173&lt;&gt;""),AG173:AP173)))</t>
        </is>
      </c>
      <c r="BE173" s="38" t="inlineStr">
        <is>
          <t>IF(OR(E173="",AR173=""),"",IF(COUNT(AG173:AQ173)=0,"",AR173-LOOKUP(2,1/(AG173:AQ173&lt;&gt;""),AG173:AQ173)))</t>
        </is>
      </c>
      <c r="BF173" s="38" t="inlineStr">
        <is>
          <t>IF(OR(E173="",AS173=""),"",IF(COUNT(AG173:AR173)=0,"",AS173-LOOKUP(2,1/(AG173:AR173&lt;&gt;""),AG173:AR173)))</t>
        </is>
      </c>
      <c r="BG173" s="38" t="inlineStr">
        <is>
          <t>IF(OR(E173="",AT173=""),"",IF(COUNT(AG173:AS173)=0,"",AT173-LOOKUP(2,1/(AG173:AS173&lt;&gt;""),AG173:AS173)))</t>
        </is>
      </c>
      <c r="BH173" s="41" t="inlineStr">
        <is>
          <t>IF(G173="","All_Provinces",IFERROR(VLOOKUP(G173,'07_Lookups'!$A$4:$B$20,2,FALSE),"All_Provinces"))</t>
        </is>
      </c>
      <c r="BI173" s="41" t="inlineStr">
        <is>
          <t>IF(H173="","All_Districts",IFERROR(VLOOKUP(H173,'07_Lookups'!$E$4:$F$42,2,FALSE),"All_Districts"))</t>
        </is>
      </c>
    </row>
    <row r="174" ht="18" customHeight="1">
      <c r="A174" s="32" t="inlineStr">
        <is>
          <t>IF(E174="","",ROW()-3)</t>
        </is>
      </c>
      <c r="B174" s="33" t="n"/>
      <c r="C174" s="33" t="n"/>
      <c r="D174" s="33" t="n"/>
      <c r="E174" s="33" t="n"/>
      <c r="F174" s="33" t="n"/>
      <c r="G174" s="33" t="n"/>
      <c r="H174" s="33" t="n"/>
      <c r="I174" s="33" t="n"/>
      <c r="J174" s="33" t="n"/>
      <c r="K174" s="33" t="n"/>
      <c r="L174" s="33" t="n"/>
      <c r="M174" s="33" t="n"/>
      <c r="N174" s="33" t="n"/>
      <c r="O174" s="33" t="n"/>
      <c r="P174" s="33" t="n"/>
      <c r="Q174" s="34" t="n"/>
      <c r="R174" s="35" t="inlineStr">
        <is>
          <t>IF(AO174="","",AO174)</t>
        </is>
      </c>
      <c r="S174" s="36" t="n"/>
      <c r="T174" s="37" t="n"/>
      <c r="U174" s="36" t="n"/>
      <c r="V174" s="35" t="inlineStr">
        <is>
          <t>IF(U174&lt;&gt;"",U174,IF(OR(R174="",T174=""),"",EDATE(R174,T174)))</t>
        </is>
      </c>
      <c r="W174" s="36" t="n"/>
      <c r="X174" s="37" t="n"/>
      <c r="Y174" s="33" t="n"/>
      <c r="Z174" s="33" t="n"/>
      <c r="AA174" s="32" t="inlineStr">
        <is>
          <t>IF(E174="","",IF(COUNT(AG174:AT174)=0,IF(Y174="","Not started",Y174),SUBSTITUTE(LOOKUP(2,1/(AG174:AT174&lt;&gt;""),$AG$3:$AT$3),"Date: ","")))</t>
        </is>
      </c>
      <c r="AB174" s="38" t="inlineStr">
        <is>
          <t>IF(OR(E174="",COUNT(AG174:AT174)=0),"",TODAY()-LOOKUP(2,1/(AG174:AT174&lt;&gt;""),AG174:AT174))</t>
        </is>
      </c>
      <c r="AC174" s="38" t="inlineStr">
        <is>
          <t>IF(OR(E174="",COUNT(AG174:AT174)&lt;2),"",LOOKUP(2,1/(AG174:AT174&lt;&gt;""),AG174:AT174)-MIN(AG174:AT174))</t>
        </is>
      </c>
      <c r="AD174" s="38" t="inlineStr">
        <is>
          <t>IF(OR(AB174="",AA174="Not started",AA174=""),"",IFERROR(AB174-IF(VLOOKUP(AA174,'04_Status_Pipeline'!$B$3:$E$20,4,FALSE)="",0,VLOOKUP(AA174,'04_Status_Pipeline'!$B$3:$E$20,4,FALSE)),""))</t>
        </is>
      </c>
      <c r="AE174" s="32" t="inlineStr">
        <is>
          <t>IF(E174="","",IF(OR(Y174="Cancelled",AA174="Cancelled"),"Cancelled",IF(OR(AA174="Completed / Handover",W174&lt;&gt;"",X174&gt;=100),"Completed — on track",IF(L174="Remaining",IF(S174="",IF(V174="","No planned date",IF(TODAY()&gt;V174,"Behind — past planned date",IF(V174-TODAY()&lt;=30,"At risk — close to off track","On track"))),IF(TODAY()&gt;S174,"Behind — award date passed",IF(S174-TODAY()&lt;=30,"At risk — close to off track","On track"))),IF(V174="","No planned date",IF(AND(TODAY()&gt;V174,OR(X174="",X174&lt;100)),"Behind — past end date",IF(AND(R174&lt;&gt;"",V174&lt;&gt;"",X174&lt;&gt;"",(X174&lt;100),((TODAY()-R174)/MAX(V174-R174,1)*100)-X174&gt;15),"Behind — progress lag",IF(AND(V174-TODAY()&lt;=30,V174-TODAY()&gt;=0,OR(X174="",X174&lt;90)),"At risk — close to off track","On track"))))))))</t>
        </is>
      </c>
      <c r="AF174" s="38" t="inlineStr">
        <is>
          <t>IF(OR(E174="",AA174="Completed / Handover",AA174="Cancelled"),"",IF(L174="Remaining",IF(S174&lt;&gt;"",S174-TODAY(),IF(V174="","",V174-TODAY())),IF(V174="","",V174-TODAY())))</t>
        </is>
      </c>
      <c r="AG174" s="36" t="n"/>
      <c r="AH174" s="36" t="n"/>
      <c r="AI174" s="36" t="n"/>
      <c r="AJ174" s="36" t="n"/>
      <c r="AK174" s="36" t="n"/>
      <c r="AL174" s="36" t="n"/>
      <c r="AM174" s="36" t="n"/>
      <c r="AN174" s="36" t="n"/>
      <c r="AO174" s="36" t="n"/>
      <c r="AP174" s="36" t="n"/>
      <c r="AQ174" s="36" t="n"/>
      <c r="AR174" s="40" t="n"/>
      <c r="AS174" s="40" t="n"/>
      <c r="AT174" s="40" t="n"/>
      <c r="AU174" s="38" t="inlineStr">
        <is>
          <t>IF(OR(E174="",AH174=""),"",IF(COUNT(AG174:AG174)=0,"",AH174-LOOKUP(2,1/(AG174:AG174&lt;&gt;""),AG174:AG174)))</t>
        </is>
      </c>
      <c r="AV174" s="38" t="inlineStr">
        <is>
          <t>IF(OR(E174="",AI174=""),"",IF(COUNT(AG174:AH174)=0,"",AI174-LOOKUP(2,1/(AG174:AH174&lt;&gt;""),AG174:AH174)))</t>
        </is>
      </c>
      <c r="AW174" s="38" t="inlineStr">
        <is>
          <t>IF(OR(E174="",AJ174=""),"",IF(COUNT(AG174:AI174)=0,"",AJ174-LOOKUP(2,1/(AG174:AI174&lt;&gt;""),AG174:AI174)))</t>
        </is>
      </c>
      <c r="AX174" s="38" t="inlineStr">
        <is>
          <t>IF(OR(E174="",AK174=""),"",IF(COUNT(AG174:AJ174)=0,"",AK174-LOOKUP(2,1/(AG174:AJ174&lt;&gt;""),AG174:AJ174)))</t>
        </is>
      </c>
      <c r="AY174" s="38" t="inlineStr">
        <is>
          <t>IF(OR(E174="",AL174=""),"",IF(COUNT(AG174:AK174)=0,"",AL174-LOOKUP(2,1/(AG174:AK174&lt;&gt;""),AG174:AK174)))</t>
        </is>
      </c>
      <c r="AZ174" s="38" t="inlineStr">
        <is>
          <t>IF(OR(E174="",AM174=""),"",IF(COUNT(AG174:AL174)=0,"",AM174-LOOKUP(2,1/(AG174:AL174&lt;&gt;""),AG174:AL174)))</t>
        </is>
      </c>
      <c r="BA174" s="38" t="inlineStr">
        <is>
          <t>IF(OR(E174="",AN174=""),"",IF(COUNT(AG174:AM174)=0,"",AN174-LOOKUP(2,1/(AG174:AM174&lt;&gt;""),AG174:AM174)))</t>
        </is>
      </c>
      <c r="BB174" s="38" t="inlineStr">
        <is>
          <t>IF(OR(E174="",AO174=""),"",IF(COUNT(AG174:AN174)=0,"",AO174-LOOKUP(2,1/(AG174:AN174&lt;&gt;""),AG174:AN174)))</t>
        </is>
      </c>
      <c r="BC174" s="38" t="inlineStr">
        <is>
          <t>IF(OR(E174="",AP174=""),"",IF(COUNT(AG174:AO174)=0,"",AP174-LOOKUP(2,1/(AG174:AO174&lt;&gt;""),AG174:AO174)))</t>
        </is>
      </c>
      <c r="BD174" s="38" t="inlineStr">
        <is>
          <t>IF(OR(E174="",AQ174=""),"",IF(COUNT(AG174:AP174)=0,"",AQ174-LOOKUP(2,1/(AG174:AP174&lt;&gt;""),AG174:AP174)))</t>
        </is>
      </c>
      <c r="BE174" s="38" t="inlineStr">
        <is>
          <t>IF(OR(E174="",AR174=""),"",IF(COUNT(AG174:AQ174)=0,"",AR174-LOOKUP(2,1/(AG174:AQ174&lt;&gt;""),AG174:AQ174)))</t>
        </is>
      </c>
      <c r="BF174" s="38" t="inlineStr">
        <is>
          <t>IF(OR(E174="",AS174=""),"",IF(COUNT(AG174:AR174)=0,"",AS174-LOOKUP(2,1/(AG174:AR174&lt;&gt;""),AG174:AR174)))</t>
        </is>
      </c>
      <c r="BG174" s="38" t="inlineStr">
        <is>
          <t>IF(OR(E174="",AT174=""),"",IF(COUNT(AG174:AS174)=0,"",AT174-LOOKUP(2,1/(AG174:AS174&lt;&gt;""),AG174:AS174)))</t>
        </is>
      </c>
      <c r="BH174" s="41" t="inlineStr">
        <is>
          <t>IF(G174="","All_Provinces",IFERROR(VLOOKUP(G174,'07_Lookups'!$A$4:$B$20,2,FALSE),"All_Provinces"))</t>
        </is>
      </c>
      <c r="BI174" s="41" t="inlineStr">
        <is>
          <t>IF(H174="","All_Districts",IFERROR(VLOOKUP(H174,'07_Lookups'!$E$4:$F$42,2,FALSE),"All_Districts"))</t>
        </is>
      </c>
    </row>
    <row r="175" ht="18" customHeight="1">
      <c r="A175" s="32" t="inlineStr">
        <is>
          <t>IF(E175="","",ROW()-3)</t>
        </is>
      </c>
      <c r="B175" s="42" t="n"/>
      <c r="C175" s="42" t="n"/>
      <c r="D175" s="42" t="n"/>
      <c r="E175" s="42" t="n"/>
      <c r="F175" s="42" t="n"/>
      <c r="G175" s="42" t="n"/>
      <c r="H175" s="42" t="n"/>
      <c r="I175" s="42" t="n"/>
      <c r="J175" s="42" t="n"/>
      <c r="K175" s="42" t="n"/>
      <c r="L175" s="42" t="n"/>
      <c r="M175" s="42" t="n"/>
      <c r="N175" s="42" t="n"/>
      <c r="O175" s="42" t="n"/>
      <c r="P175" s="42" t="n"/>
      <c r="Q175" s="43" t="n"/>
      <c r="R175" s="35" t="inlineStr">
        <is>
          <t>IF(AO175="","",AO175)</t>
        </is>
      </c>
      <c r="S175" s="44" t="n"/>
      <c r="T175" s="45" t="n"/>
      <c r="U175" s="44" t="n"/>
      <c r="V175" s="35" t="inlineStr">
        <is>
          <t>IF(U175&lt;&gt;"",U175,IF(OR(R175="",T175=""),"",EDATE(R175,T175)))</t>
        </is>
      </c>
      <c r="W175" s="44" t="n"/>
      <c r="X175" s="45" t="n"/>
      <c r="Y175" s="42" t="n"/>
      <c r="Z175" s="42" t="n"/>
      <c r="AA175" s="32" t="inlineStr">
        <is>
          <t>IF(E175="","",IF(COUNT(AG175:AT175)=0,IF(Y175="","Not started",Y175),SUBSTITUTE(LOOKUP(2,1/(AG175:AT175&lt;&gt;""),$AG$3:$AT$3),"Date: ","")))</t>
        </is>
      </c>
      <c r="AB175" s="38" t="inlineStr">
        <is>
          <t>IF(OR(E175="",COUNT(AG175:AT175)=0),"",TODAY()-LOOKUP(2,1/(AG175:AT175&lt;&gt;""),AG175:AT175))</t>
        </is>
      </c>
      <c r="AC175" s="38" t="inlineStr">
        <is>
          <t>IF(OR(E175="",COUNT(AG175:AT175)&lt;2),"",LOOKUP(2,1/(AG175:AT175&lt;&gt;""),AG175:AT175)-MIN(AG175:AT175))</t>
        </is>
      </c>
      <c r="AD175" s="38" t="inlineStr">
        <is>
          <t>IF(OR(AB175="",AA175="Not started",AA175=""),"",IFERROR(AB175-IF(VLOOKUP(AA175,'04_Status_Pipeline'!$B$3:$E$20,4,FALSE)="",0,VLOOKUP(AA175,'04_Status_Pipeline'!$B$3:$E$20,4,FALSE)),""))</t>
        </is>
      </c>
      <c r="AE175" s="32" t="inlineStr">
        <is>
          <t>IF(E175="","",IF(OR(Y175="Cancelled",AA175="Cancelled"),"Cancelled",IF(OR(AA175="Completed / Handover",W175&lt;&gt;"",X175&gt;=100),"Completed — on track",IF(L175="Remaining",IF(S175="",IF(V175="","No planned date",IF(TODAY()&gt;V175,"Behind — past planned date",IF(V175-TODAY()&lt;=30,"At risk — close to off track","On track"))),IF(TODAY()&gt;S175,"Behind — award date passed",IF(S175-TODAY()&lt;=30,"At risk — close to off track","On track"))),IF(V175="","No planned date",IF(AND(TODAY()&gt;V175,OR(X175="",X175&lt;100)),"Behind — past end date",IF(AND(R175&lt;&gt;"",V175&lt;&gt;"",X175&lt;&gt;"",(X175&lt;100),((TODAY()-R175)/MAX(V175-R175,1)*100)-X175&gt;15),"Behind — progress lag",IF(AND(V175-TODAY()&lt;=30,V175-TODAY()&gt;=0,OR(X175="",X175&lt;90)),"At risk — close to off track","On track"))))))))</t>
        </is>
      </c>
      <c r="AF175" s="38" t="inlineStr">
        <is>
          <t>IF(OR(E175="",AA175="Completed / Handover",AA175="Cancelled"),"",IF(L175="Remaining",IF(S175&lt;&gt;"",S175-TODAY(),IF(V175="","",V175-TODAY())),IF(V175="","",V175-TODAY())))</t>
        </is>
      </c>
      <c r="AG175" s="44" t="n"/>
      <c r="AH175" s="44" t="n"/>
      <c r="AI175" s="44" t="n"/>
      <c r="AJ175" s="44" t="n"/>
      <c r="AK175" s="44" t="n"/>
      <c r="AL175" s="44" t="n"/>
      <c r="AM175" s="44" t="n"/>
      <c r="AN175" s="44" t="n"/>
      <c r="AO175" s="44" t="n"/>
      <c r="AP175" s="44" t="n"/>
      <c r="AQ175" s="44" t="n"/>
      <c r="AR175" s="40" t="n"/>
      <c r="AS175" s="40" t="n"/>
      <c r="AT175" s="40" t="n"/>
      <c r="AU175" s="38" t="inlineStr">
        <is>
          <t>IF(OR(E175="",AH175=""),"",IF(COUNT(AG175:AG175)=0,"",AH175-LOOKUP(2,1/(AG175:AG175&lt;&gt;""),AG175:AG175)))</t>
        </is>
      </c>
      <c r="AV175" s="38" t="inlineStr">
        <is>
          <t>IF(OR(E175="",AI175=""),"",IF(COUNT(AG175:AH175)=0,"",AI175-LOOKUP(2,1/(AG175:AH175&lt;&gt;""),AG175:AH175)))</t>
        </is>
      </c>
      <c r="AW175" s="38" t="inlineStr">
        <is>
          <t>IF(OR(E175="",AJ175=""),"",IF(COUNT(AG175:AI175)=0,"",AJ175-LOOKUP(2,1/(AG175:AI175&lt;&gt;""),AG175:AI175)))</t>
        </is>
      </c>
      <c r="AX175" s="38" t="inlineStr">
        <is>
          <t>IF(OR(E175="",AK175=""),"",IF(COUNT(AG175:AJ175)=0,"",AK175-LOOKUP(2,1/(AG175:AJ175&lt;&gt;""),AG175:AJ175)))</t>
        </is>
      </c>
      <c r="AY175" s="38" t="inlineStr">
        <is>
          <t>IF(OR(E175="",AL175=""),"",IF(COUNT(AG175:AK175)=0,"",AL175-LOOKUP(2,1/(AG175:AK175&lt;&gt;""),AG175:AK175)))</t>
        </is>
      </c>
      <c r="AZ175" s="38" t="inlineStr">
        <is>
          <t>IF(OR(E175="",AM175=""),"",IF(COUNT(AG175:AL175)=0,"",AM175-LOOKUP(2,1/(AG175:AL175&lt;&gt;""),AG175:AL175)))</t>
        </is>
      </c>
      <c r="BA175" s="38" t="inlineStr">
        <is>
          <t>IF(OR(E175="",AN175=""),"",IF(COUNT(AG175:AM175)=0,"",AN175-LOOKUP(2,1/(AG175:AM175&lt;&gt;""),AG175:AM175)))</t>
        </is>
      </c>
      <c r="BB175" s="38" t="inlineStr">
        <is>
          <t>IF(OR(E175="",AO175=""),"",IF(COUNT(AG175:AN175)=0,"",AO175-LOOKUP(2,1/(AG175:AN175&lt;&gt;""),AG175:AN175)))</t>
        </is>
      </c>
      <c r="BC175" s="38" t="inlineStr">
        <is>
          <t>IF(OR(E175="",AP175=""),"",IF(COUNT(AG175:AO175)=0,"",AP175-LOOKUP(2,1/(AG175:AO175&lt;&gt;""),AG175:AO175)))</t>
        </is>
      </c>
      <c r="BD175" s="38" t="inlineStr">
        <is>
          <t>IF(OR(E175="",AQ175=""),"",IF(COUNT(AG175:AP175)=0,"",AQ175-LOOKUP(2,1/(AG175:AP175&lt;&gt;""),AG175:AP175)))</t>
        </is>
      </c>
      <c r="BE175" s="38" t="inlineStr">
        <is>
          <t>IF(OR(E175="",AR175=""),"",IF(COUNT(AG175:AQ175)=0,"",AR175-LOOKUP(2,1/(AG175:AQ175&lt;&gt;""),AG175:AQ175)))</t>
        </is>
      </c>
      <c r="BF175" s="38" t="inlineStr">
        <is>
          <t>IF(OR(E175="",AS175=""),"",IF(COUNT(AG175:AR175)=0,"",AS175-LOOKUP(2,1/(AG175:AR175&lt;&gt;""),AG175:AR175)))</t>
        </is>
      </c>
      <c r="BG175" s="38" t="inlineStr">
        <is>
          <t>IF(OR(E175="",AT175=""),"",IF(COUNT(AG175:AS175)=0,"",AT175-LOOKUP(2,1/(AG175:AS175&lt;&gt;""),AG175:AS175)))</t>
        </is>
      </c>
      <c r="BH175" s="41" t="inlineStr">
        <is>
          <t>IF(G175="","All_Provinces",IFERROR(VLOOKUP(G175,'07_Lookups'!$A$4:$B$20,2,FALSE),"All_Provinces"))</t>
        </is>
      </c>
      <c r="BI175" s="41" t="inlineStr">
        <is>
          <t>IF(H175="","All_Districts",IFERROR(VLOOKUP(H175,'07_Lookups'!$E$4:$F$42,2,FALSE),"All_Districts"))</t>
        </is>
      </c>
    </row>
    <row r="176" ht="18" customHeight="1">
      <c r="A176" s="32" t="inlineStr">
        <is>
          <t>IF(E176="","",ROW()-3)</t>
        </is>
      </c>
      <c r="B176" s="33" t="n"/>
      <c r="C176" s="33" t="n"/>
      <c r="D176" s="33" t="n"/>
      <c r="E176" s="33" t="n"/>
      <c r="F176" s="33" t="n"/>
      <c r="G176" s="33" t="n"/>
      <c r="H176" s="33" t="n"/>
      <c r="I176" s="33" t="n"/>
      <c r="J176" s="33" t="n"/>
      <c r="K176" s="33" t="n"/>
      <c r="L176" s="33" t="n"/>
      <c r="M176" s="33" t="n"/>
      <c r="N176" s="33" t="n"/>
      <c r="O176" s="33" t="n"/>
      <c r="P176" s="33" t="n"/>
      <c r="Q176" s="34" t="n"/>
      <c r="R176" s="35" t="inlineStr">
        <is>
          <t>IF(AO176="","",AO176)</t>
        </is>
      </c>
      <c r="S176" s="36" t="n"/>
      <c r="T176" s="37" t="n"/>
      <c r="U176" s="36" t="n"/>
      <c r="V176" s="35" t="inlineStr">
        <is>
          <t>IF(U176&lt;&gt;"",U176,IF(OR(R176="",T176=""),"",EDATE(R176,T176)))</t>
        </is>
      </c>
      <c r="W176" s="36" t="n"/>
      <c r="X176" s="37" t="n"/>
      <c r="Y176" s="33" t="n"/>
      <c r="Z176" s="33" t="n"/>
      <c r="AA176" s="32" t="inlineStr">
        <is>
          <t>IF(E176="","",IF(COUNT(AG176:AT176)=0,IF(Y176="","Not started",Y176),SUBSTITUTE(LOOKUP(2,1/(AG176:AT176&lt;&gt;""),$AG$3:$AT$3),"Date: ","")))</t>
        </is>
      </c>
      <c r="AB176" s="38" t="inlineStr">
        <is>
          <t>IF(OR(E176="",COUNT(AG176:AT176)=0),"",TODAY()-LOOKUP(2,1/(AG176:AT176&lt;&gt;""),AG176:AT176))</t>
        </is>
      </c>
      <c r="AC176" s="38" t="inlineStr">
        <is>
          <t>IF(OR(E176="",COUNT(AG176:AT176)&lt;2),"",LOOKUP(2,1/(AG176:AT176&lt;&gt;""),AG176:AT176)-MIN(AG176:AT176))</t>
        </is>
      </c>
      <c r="AD176" s="38" t="inlineStr">
        <is>
          <t>IF(OR(AB176="",AA176="Not started",AA176=""),"",IFERROR(AB176-IF(VLOOKUP(AA176,'04_Status_Pipeline'!$B$3:$E$20,4,FALSE)="",0,VLOOKUP(AA176,'04_Status_Pipeline'!$B$3:$E$20,4,FALSE)),""))</t>
        </is>
      </c>
      <c r="AE176" s="32" t="inlineStr">
        <is>
          <t>IF(E176="","",IF(OR(Y176="Cancelled",AA176="Cancelled"),"Cancelled",IF(OR(AA176="Completed / Handover",W176&lt;&gt;"",X176&gt;=100),"Completed — on track",IF(L176="Remaining",IF(S176="",IF(V176="","No planned date",IF(TODAY()&gt;V176,"Behind — past planned date",IF(V176-TODAY()&lt;=30,"At risk — close to off track","On track"))),IF(TODAY()&gt;S176,"Behind — award date passed",IF(S176-TODAY()&lt;=30,"At risk — close to off track","On track"))),IF(V176="","No planned date",IF(AND(TODAY()&gt;V176,OR(X176="",X176&lt;100)),"Behind — past end date",IF(AND(R176&lt;&gt;"",V176&lt;&gt;"",X176&lt;&gt;"",(X176&lt;100),((TODAY()-R176)/MAX(V176-R176,1)*100)-X176&gt;15),"Behind — progress lag",IF(AND(V176-TODAY()&lt;=30,V176-TODAY()&gt;=0,OR(X176="",X176&lt;90)),"At risk — close to off track","On track"))))))))</t>
        </is>
      </c>
      <c r="AF176" s="38" t="inlineStr">
        <is>
          <t>IF(OR(E176="",AA176="Completed / Handover",AA176="Cancelled"),"",IF(L176="Remaining",IF(S176&lt;&gt;"",S176-TODAY(),IF(V176="","",V176-TODAY())),IF(V176="","",V176-TODAY())))</t>
        </is>
      </c>
      <c r="AG176" s="36" t="n"/>
      <c r="AH176" s="36" t="n"/>
      <c r="AI176" s="36" t="n"/>
      <c r="AJ176" s="36" t="n"/>
      <c r="AK176" s="36" t="n"/>
      <c r="AL176" s="36" t="n"/>
      <c r="AM176" s="36" t="n"/>
      <c r="AN176" s="36" t="n"/>
      <c r="AO176" s="36" t="n"/>
      <c r="AP176" s="36" t="n"/>
      <c r="AQ176" s="36" t="n"/>
      <c r="AR176" s="40" t="n"/>
      <c r="AS176" s="40" t="n"/>
      <c r="AT176" s="40" t="n"/>
      <c r="AU176" s="38" t="inlineStr">
        <is>
          <t>IF(OR(E176="",AH176=""),"",IF(COUNT(AG176:AG176)=0,"",AH176-LOOKUP(2,1/(AG176:AG176&lt;&gt;""),AG176:AG176)))</t>
        </is>
      </c>
      <c r="AV176" s="38" t="inlineStr">
        <is>
          <t>IF(OR(E176="",AI176=""),"",IF(COUNT(AG176:AH176)=0,"",AI176-LOOKUP(2,1/(AG176:AH176&lt;&gt;""),AG176:AH176)))</t>
        </is>
      </c>
      <c r="AW176" s="38" t="inlineStr">
        <is>
          <t>IF(OR(E176="",AJ176=""),"",IF(COUNT(AG176:AI176)=0,"",AJ176-LOOKUP(2,1/(AG176:AI176&lt;&gt;""),AG176:AI176)))</t>
        </is>
      </c>
      <c r="AX176" s="38" t="inlineStr">
        <is>
          <t>IF(OR(E176="",AK176=""),"",IF(COUNT(AG176:AJ176)=0,"",AK176-LOOKUP(2,1/(AG176:AJ176&lt;&gt;""),AG176:AJ176)))</t>
        </is>
      </c>
      <c r="AY176" s="38" t="inlineStr">
        <is>
          <t>IF(OR(E176="",AL176=""),"",IF(COUNT(AG176:AK176)=0,"",AL176-LOOKUP(2,1/(AG176:AK176&lt;&gt;""),AG176:AK176)))</t>
        </is>
      </c>
      <c r="AZ176" s="38" t="inlineStr">
        <is>
          <t>IF(OR(E176="",AM176=""),"",IF(COUNT(AG176:AL176)=0,"",AM176-LOOKUP(2,1/(AG176:AL176&lt;&gt;""),AG176:AL176)))</t>
        </is>
      </c>
      <c r="BA176" s="38" t="inlineStr">
        <is>
          <t>IF(OR(E176="",AN176=""),"",IF(COUNT(AG176:AM176)=0,"",AN176-LOOKUP(2,1/(AG176:AM176&lt;&gt;""),AG176:AM176)))</t>
        </is>
      </c>
      <c r="BB176" s="38" t="inlineStr">
        <is>
          <t>IF(OR(E176="",AO176=""),"",IF(COUNT(AG176:AN176)=0,"",AO176-LOOKUP(2,1/(AG176:AN176&lt;&gt;""),AG176:AN176)))</t>
        </is>
      </c>
      <c r="BC176" s="38" t="inlineStr">
        <is>
          <t>IF(OR(E176="",AP176=""),"",IF(COUNT(AG176:AO176)=0,"",AP176-LOOKUP(2,1/(AG176:AO176&lt;&gt;""),AG176:AO176)))</t>
        </is>
      </c>
      <c r="BD176" s="38" t="inlineStr">
        <is>
          <t>IF(OR(E176="",AQ176=""),"",IF(COUNT(AG176:AP176)=0,"",AQ176-LOOKUP(2,1/(AG176:AP176&lt;&gt;""),AG176:AP176)))</t>
        </is>
      </c>
      <c r="BE176" s="38" t="inlineStr">
        <is>
          <t>IF(OR(E176="",AR176=""),"",IF(COUNT(AG176:AQ176)=0,"",AR176-LOOKUP(2,1/(AG176:AQ176&lt;&gt;""),AG176:AQ176)))</t>
        </is>
      </c>
      <c r="BF176" s="38" t="inlineStr">
        <is>
          <t>IF(OR(E176="",AS176=""),"",IF(COUNT(AG176:AR176)=0,"",AS176-LOOKUP(2,1/(AG176:AR176&lt;&gt;""),AG176:AR176)))</t>
        </is>
      </c>
      <c r="BG176" s="38" t="inlineStr">
        <is>
          <t>IF(OR(E176="",AT176=""),"",IF(COUNT(AG176:AS176)=0,"",AT176-LOOKUP(2,1/(AG176:AS176&lt;&gt;""),AG176:AS176)))</t>
        </is>
      </c>
      <c r="BH176" s="41" t="inlineStr">
        <is>
          <t>IF(G176="","All_Provinces",IFERROR(VLOOKUP(G176,'07_Lookups'!$A$4:$B$20,2,FALSE),"All_Provinces"))</t>
        </is>
      </c>
      <c r="BI176" s="41" t="inlineStr">
        <is>
          <t>IF(H176="","All_Districts",IFERROR(VLOOKUP(H176,'07_Lookups'!$E$4:$F$42,2,FALSE),"All_Districts"))</t>
        </is>
      </c>
    </row>
    <row r="177" ht="18" customHeight="1">
      <c r="A177" s="32" t="inlineStr">
        <is>
          <t>IF(E177="","",ROW()-3)</t>
        </is>
      </c>
      <c r="B177" s="42" t="n"/>
      <c r="C177" s="42" t="n"/>
      <c r="D177" s="42" t="n"/>
      <c r="E177" s="42" t="n"/>
      <c r="F177" s="42" t="n"/>
      <c r="G177" s="42" t="n"/>
      <c r="H177" s="42" t="n"/>
      <c r="I177" s="42" t="n"/>
      <c r="J177" s="42" t="n"/>
      <c r="K177" s="42" t="n"/>
      <c r="L177" s="42" t="n"/>
      <c r="M177" s="42" t="n"/>
      <c r="N177" s="42" t="n"/>
      <c r="O177" s="42" t="n"/>
      <c r="P177" s="42" t="n"/>
      <c r="Q177" s="43" t="n"/>
      <c r="R177" s="35" t="inlineStr">
        <is>
          <t>IF(AO177="","",AO177)</t>
        </is>
      </c>
      <c r="S177" s="44" t="n"/>
      <c r="T177" s="45" t="n"/>
      <c r="U177" s="44" t="n"/>
      <c r="V177" s="35" t="inlineStr">
        <is>
          <t>IF(U177&lt;&gt;"",U177,IF(OR(R177="",T177=""),"",EDATE(R177,T177)))</t>
        </is>
      </c>
      <c r="W177" s="44" t="n"/>
      <c r="X177" s="45" t="n"/>
      <c r="Y177" s="42" t="n"/>
      <c r="Z177" s="42" t="n"/>
      <c r="AA177" s="32" t="inlineStr">
        <is>
          <t>IF(E177="","",IF(COUNT(AG177:AT177)=0,IF(Y177="","Not started",Y177),SUBSTITUTE(LOOKUP(2,1/(AG177:AT177&lt;&gt;""),$AG$3:$AT$3),"Date: ","")))</t>
        </is>
      </c>
      <c r="AB177" s="38" t="inlineStr">
        <is>
          <t>IF(OR(E177="",COUNT(AG177:AT177)=0),"",TODAY()-LOOKUP(2,1/(AG177:AT177&lt;&gt;""),AG177:AT177))</t>
        </is>
      </c>
      <c r="AC177" s="38" t="inlineStr">
        <is>
          <t>IF(OR(E177="",COUNT(AG177:AT177)&lt;2),"",LOOKUP(2,1/(AG177:AT177&lt;&gt;""),AG177:AT177)-MIN(AG177:AT177))</t>
        </is>
      </c>
      <c r="AD177" s="38" t="inlineStr">
        <is>
          <t>IF(OR(AB177="",AA177="Not started",AA177=""),"",IFERROR(AB177-IF(VLOOKUP(AA177,'04_Status_Pipeline'!$B$3:$E$20,4,FALSE)="",0,VLOOKUP(AA177,'04_Status_Pipeline'!$B$3:$E$20,4,FALSE)),""))</t>
        </is>
      </c>
      <c r="AE177" s="32" t="inlineStr">
        <is>
          <t>IF(E177="","",IF(OR(Y177="Cancelled",AA177="Cancelled"),"Cancelled",IF(OR(AA177="Completed / Handover",W177&lt;&gt;"",X177&gt;=100),"Completed — on track",IF(L177="Remaining",IF(S177="",IF(V177="","No planned date",IF(TODAY()&gt;V177,"Behind — past planned date",IF(V177-TODAY()&lt;=30,"At risk — close to off track","On track"))),IF(TODAY()&gt;S177,"Behind — award date passed",IF(S177-TODAY()&lt;=30,"At risk — close to off track","On track"))),IF(V177="","No planned date",IF(AND(TODAY()&gt;V177,OR(X177="",X177&lt;100)),"Behind — past end date",IF(AND(R177&lt;&gt;"",V177&lt;&gt;"",X177&lt;&gt;"",(X177&lt;100),((TODAY()-R177)/MAX(V177-R177,1)*100)-X177&gt;15),"Behind — progress lag",IF(AND(V177-TODAY()&lt;=30,V177-TODAY()&gt;=0,OR(X177="",X177&lt;90)),"At risk — close to off track","On track"))))))))</t>
        </is>
      </c>
      <c r="AF177" s="38" t="inlineStr">
        <is>
          <t>IF(OR(E177="",AA177="Completed / Handover",AA177="Cancelled"),"",IF(L177="Remaining",IF(S177&lt;&gt;"",S177-TODAY(),IF(V177="","",V177-TODAY())),IF(V177="","",V177-TODAY())))</t>
        </is>
      </c>
      <c r="AG177" s="44" t="n"/>
      <c r="AH177" s="44" t="n"/>
      <c r="AI177" s="44" t="n"/>
      <c r="AJ177" s="44" t="n"/>
      <c r="AK177" s="44" t="n"/>
      <c r="AL177" s="44" t="n"/>
      <c r="AM177" s="44" t="n"/>
      <c r="AN177" s="44" t="n"/>
      <c r="AO177" s="44" t="n"/>
      <c r="AP177" s="44" t="n"/>
      <c r="AQ177" s="44" t="n"/>
      <c r="AR177" s="40" t="n"/>
      <c r="AS177" s="40" t="n"/>
      <c r="AT177" s="40" t="n"/>
      <c r="AU177" s="38" t="inlineStr">
        <is>
          <t>IF(OR(E177="",AH177=""),"",IF(COUNT(AG177:AG177)=0,"",AH177-LOOKUP(2,1/(AG177:AG177&lt;&gt;""),AG177:AG177)))</t>
        </is>
      </c>
      <c r="AV177" s="38" t="inlineStr">
        <is>
          <t>IF(OR(E177="",AI177=""),"",IF(COUNT(AG177:AH177)=0,"",AI177-LOOKUP(2,1/(AG177:AH177&lt;&gt;""),AG177:AH177)))</t>
        </is>
      </c>
      <c r="AW177" s="38" t="inlineStr">
        <is>
          <t>IF(OR(E177="",AJ177=""),"",IF(COUNT(AG177:AI177)=0,"",AJ177-LOOKUP(2,1/(AG177:AI177&lt;&gt;""),AG177:AI177)))</t>
        </is>
      </c>
      <c r="AX177" s="38" t="inlineStr">
        <is>
          <t>IF(OR(E177="",AK177=""),"",IF(COUNT(AG177:AJ177)=0,"",AK177-LOOKUP(2,1/(AG177:AJ177&lt;&gt;""),AG177:AJ177)))</t>
        </is>
      </c>
      <c r="AY177" s="38" t="inlineStr">
        <is>
          <t>IF(OR(E177="",AL177=""),"",IF(COUNT(AG177:AK177)=0,"",AL177-LOOKUP(2,1/(AG177:AK177&lt;&gt;""),AG177:AK177)))</t>
        </is>
      </c>
      <c r="AZ177" s="38" t="inlineStr">
        <is>
          <t>IF(OR(E177="",AM177=""),"",IF(COUNT(AG177:AL177)=0,"",AM177-LOOKUP(2,1/(AG177:AL177&lt;&gt;""),AG177:AL177)))</t>
        </is>
      </c>
      <c r="BA177" s="38" t="inlineStr">
        <is>
          <t>IF(OR(E177="",AN177=""),"",IF(COUNT(AG177:AM177)=0,"",AN177-LOOKUP(2,1/(AG177:AM177&lt;&gt;""),AG177:AM177)))</t>
        </is>
      </c>
      <c r="BB177" s="38" t="inlineStr">
        <is>
          <t>IF(OR(E177="",AO177=""),"",IF(COUNT(AG177:AN177)=0,"",AO177-LOOKUP(2,1/(AG177:AN177&lt;&gt;""),AG177:AN177)))</t>
        </is>
      </c>
      <c r="BC177" s="38" t="inlineStr">
        <is>
          <t>IF(OR(E177="",AP177=""),"",IF(COUNT(AG177:AO177)=0,"",AP177-LOOKUP(2,1/(AG177:AO177&lt;&gt;""),AG177:AO177)))</t>
        </is>
      </c>
      <c r="BD177" s="38" t="inlineStr">
        <is>
          <t>IF(OR(E177="",AQ177=""),"",IF(COUNT(AG177:AP177)=0,"",AQ177-LOOKUP(2,1/(AG177:AP177&lt;&gt;""),AG177:AP177)))</t>
        </is>
      </c>
      <c r="BE177" s="38" t="inlineStr">
        <is>
          <t>IF(OR(E177="",AR177=""),"",IF(COUNT(AG177:AQ177)=0,"",AR177-LOOKUP(2,1/(AG177:AQ177&lt;&gt;""),AG177:AQ177)))</t>
        </is>
      </c>
      <c r="BF177" s="38" t="inlineStr">
        <is>
          <t>IF(OR(E177="",AS177=""),"",IF(COUNT(AG177:AR177)=0,"",AS177-LOOKUP(2,1/(AG177:AR177&lt;&gt;""),AG177:AR177)))</t>
        </is>
      </c>
      <c r="BG177" s="38" t="inlineStr">
        <is>
          <t>IF(OR(E177="",AT177=""),"",IF(COUNT(AG177:AS177)=0,"",AT177-LOOKUP(2,1/(AG177:AS177&lt;&gt;""),AG177:AS177)))</t>
        </is>
      </c>
      <c r="BH177" s="41" t="inlineStr">
        <is>
          <t>IF(G177="","All_Provinces",IFERROR(VLOOKUP(G177,'07_Lookups'!$A$4:$B$20,2,FALSE),"All_Provinces"))</t>
        </is>
      </c>
      <c r="BI177" s="41" t="inlineStr">
        <is>
          <t>IF(H177="","All_Districts",IFERROR(VLOOKUP(H177,'07_Lookups'!$E$4:$F$42,2,FALSE),"All_Districts"))</t>
        </is>
      </c>
    </row>
    <row r="178" ht="18" customHeight="1">
      <c r="A178" s="32" t="inlineStr">
        <is>
          <t>IF(E178="","",ROW()-3)</t>
        </is>
      </c>
      <c r="B178" s="33" t="n"/>
      <c r="C178" s="33" t="n"/>
      <c r="D178" s="33" t="n"/>
      <c r="E178" s="33" t="n"/>
      <c r="F178" s="33" t="n"/>
      <c r="G178" s="33" t="n"/>
      <c r="H178" s="33" t="n"/>
      <c r="I178" s="33" t="n"/>
      <c r="J178" s="33" t="n"/>
      <c r="K178" s="33" t="n"/>
      <c r="L178" s="33" t="n"/>
      <c r="M178" s="33" t="n"/>
      <c r="N178" s="33" t="n"/>
      <c r="O178" s="33" t="n"/>
      <c r="P178" s="33" t="n"/>
      <c r="Q178" s="34" t="n"/>
      <c r="R178" s="35" t="inlineStr">
        <is>
          <t>IF(AO178="","",AO178)</t>
        </is>
      </c>
      <c r="S178" s="36" t="n"/>
      <c r="T178" s="37" t="n"/>
      <c r="U178" s="36" t="n"/>
      <c r="V178" s="35" t="inlineStr">
        <is>
          <t>IF(U178&lt;&gt;"",U178,IF(OR(R178="",T178=""),"",EDATE(R178,T178)))</t>
        </is>
      </c>
      <c r="W178" s="36" t="n"/>
      <c r="X178" s="37" t="n"/>
      <c r="Y178" s="33" t="n"/>
      <c r="Z178" s="33" t="n"/>
      <c r="AA178" s="32" t="inlineStr">
        <is>
          <t>IF(E178="","",IF(COUNT(AG178:AT178)=0,IF(Y178="","Not started",Y178),SUBSTITUTE(LOOKUP(2,1/(AG178:AT178&lt;&gt;""),$AG$3:$AT$3),"Date: ","")))</t>
        </is>
      </c>
      <c r="AB178" s="38" t="inlineStr">
        <is>
          <t>IF(OR(E178="",COUNT(AG178:AT178)=0),"",TODAY()-LOOKUP(2,1/(AG178:AT178&lt;&gt;""),AG178:AT178))</t>
        </is>
      </c>
      <c r="AC178" s="38" t="inlineStr">
        <is>
          <t>IF(OR(E178="",COUNT(AG178:AT178)&lt;2),"",LOOKUP(2,1/(AG178:AT178&lt;&gt;""),AG178:AT178)-MIN(AG178:AT178))</t>
        </is>
      </c>
      <c r="AD178" s="38" t="inlineStr">
        <is>
          <t>IF(OR(AB178="",AA178="Not started",AA178=""),"",IFERROR(AB178-IF(VLOOKUP(AA178,'04_Status_Pipeline'!$B$3:$E$20,4,FALSE)="",0,VLOOKUP(AA178,'04_Status_Pipeline'!$B$3:$E$20,4,FALSE)),""))</t>
        </is>
      </c>
      <c r="AE178" s="32" t="inlineStr">
        <is>
          <t>IF(E178="","",IF(OR(Y178="Cancelled",AA178="Cancelled"),"Cancelled",IF(OR(AA178="Completed / Handover",W178&lt;&gt;"",X178&gt;=100),"Completed — on track",IF(L178="Remaining",IF(S178="",IF(V178="","No planned date",IF(TODAY()&gt;V178,"Behind — past planned date",IF(V178-TODAY()&lt;=30,"At risk — close to off track","On track"))),IF(TODAY()&gt;S178,"Behind — award date passed",IF(S178-TODAY()&lt;=30,"At risk — close to off track","On track"))),IF(V178="","No planned date",IF(AND(TODAY()&gt;V178,OR(X178="",X178&lt;100)),"Behind — past end date",IF(AND(R178&lt;&gt;"",V178&lt;&gt;"",X178&lt;&gt;"",(X178&lt;100),((TODAY()-R178)/MAX(V178-R178,1)*100)-X178&gt;15),"Behind — progress lag",IF(AND(V178-TODAY()&lt;=30,V178-TODAY()&gt;=0,OR(X178="",X178&lt;90)),"At risk — close to off track","On track"))))))))</t>
        </is>
      </c>
      <c r="AF178" s="38" t="inlineStr">
        <is>
          <t>IF(OR(E178="",AA178="Completed / Handover",AA178="Cancelled"),"",IF(L178="Remaining",IF(S178&lt;&gt;"",S178-TODAY(),IF(V178="","",V178-TODAY())),IF(V178="","",V178-TODAY())))</t>
        </is>
      </c>
      <c r="AG178" s="36" t="n"/>
      <c r="AH178" s="36" t="n"/>
      <c r="AI178" s="36" t="n"/>
      <c r="AJ178" s="36" t="n"/>
      <c r="AK178" s="36" t="n"/>
      <c r="AL178" s="36" t="n"/>
      <c r="AM178" s="36" t="n"/>
      <c r="AN178" s="36" t="n"/>
      <c r="AO178" s="36" t="n"/>
      <c r="AP178" s="36" t="n"/>
      <c r="AQ178" s="36" t="n"/>
      <c r="AR178" s="40" t="n"/>
      <c r="AS178" s="40" t="n"/>
      <c r="AT178" s="40" t="n"/>
      <c r="AU178" s="38" t="inlineStr">
        <is>
          <t>IF(OR(E178="",AH178=""),"",IF(COUNT(AG178:AG178)=0,"",AH178-LOOKUP(2,1/(AG178:AG178&lt;&gt;""),AG178:AG178)))</t>
        </is>
      </c>
      <c r="AV178" s="38" t="inlineStr">
        <is>
          <t>IF(OR(E178="",AI178=""),"",IF(COUNT(AG178:AH178)=0,"",AI178-LOOKUP(2,1/(AG178:AH178&lt;&gt;""),AG178:AH178)))</t>
        </is>
      </c>
      <c r="AW178" s="38" t="inlineStr">
        <is>
          <t>IF(OR(E178="",AJ178=""),"",IF(COUNT(AG178:AI178)=0,"",AJ178-LOOKUP(2,1/(AG178:AI178&lt;&gt;""),AG178:AI178)))</t>
        </is>
      </c>
      <c r="AX178" s="38" t="inlineStr">
        <is>
          <t>IF(OR(E178="",AK178=""),"",IF(COUNT(AG178:AJ178)=0,"",AK178-LOOKUP(2,1/(AG178:AJ178&lt;&gt;""),AG178:AJ178)))</t>
        </is>
      </c>
      <c r="AY178" s="38" t="inlineStr">
        <is>
          <t>IF(OR(E178="",AL178=""),"",IF(COUNT(AG178:AK178)=0,"",AL178-LOOKUP(2,1/(AG178:AK178&lt;&gt;""),AG178:AK178)))</t>
        </is>
      </c>
      <c r="AZ178" s="38" t="inlineStr">
        <is>
          <t>IF(OR(E178="",AM178=""),"",IF(COUNT(AG178:AL178)=0,"",AM178-LOOKUP(2,1/(AG178:AL178&lt;&gt;""),AG178:AL178)))</t>
        </is>
      </c>
      <c r="BA178" s="38" t="inlineStr">
        <is>
          <t>IF(OR(E178="",AN178=""),"",IF(COUNT(AG178:AM178)=0,"",AN178-LOOKUP(2,1/(AG178:AM178&lt;&gt;""),AG178:AM178)))</t>
        </is>
      </c>
      <c r="BB178" s="38" t="inlineStr">
        <is>
          <t>IF(OR(E178="",AO178=""),"",IF(COUNT(AG178:AN178)=0,"",AO178-LOOKUP(2,1/(AG178:AN178&lt;&gt;""),AG178:AN178)))</t>
        </is>
      </c>
      <c r="BC178" s="38" t="inlineStr">
        <is>
          <t>IF(OR(E178="",AP178=""),"",IF(COUNT(AG178:AO178)=0,"",AP178-LOOKUP(2,1/(AG178:AO178&lt;&gt;""),AG178:AO178)))</t>
        </is>
      </c>
      <c r="BD178" s="38" t="inlineStr">
        <is>
          <t>IF(OR(E178="",AQ178=""),"",IF(COUNT(AG178:AP178)=0,"",AQ178-LOOKUP(2,1/(AG178:AP178&lt;&gt;""),AG178:AP178)))</t>
        </is>
      </c>
      <c r="BE178" s="38" t="inlineStr">
        <is>
          <t>IF(OR(E178="",AR178=""),"",IF(COUNT(AG178:AQ178)=0,"",AR178-LOOKUP(2,1/(AG178:AQ178&lt;&gt;""),AG178:AQ178)))</t>
        </is>
      </c>
      <c r="BF178" s="38" t="inlineStr">
        <is>
          <t>IF(OR(E178="",AS178=""),"",IF(COUNT(AG178:AR178)=0,"",AS178-LOOKUP(2,1/(AG178:AR178&lt;&gt;""),AG178:AR178)))</t>
        </is>
      </c>
      <c r="BG178" s="38" t="inlineStr">
        <is>
          <t>IF(OR(E178="",AT178=""),"",IF(COUNT(AG178:AS178)=0,"",AT178-LOOKUP(2,1/(AG178:AS178&lt;&gt;""),AG178:AS178)))</t>
        </is>
      </c>
      <c r="BH178" s="41" t="inlineStr">
        <is>
          <t>IF(G178="","All_Provinces",IFERROR(VLOOKUP(G178,'07_Lookups'!$A$4:$B$20,2,FALSE),"All_Provinces"))</t>
        </is>
      </c>
      <c r="BI178" s="41" t="inlineStr">
        <is>
          <t>IF(H178="","All_Districts",IFERROR(VLOOKUP(H178,'07_Lookups'!$E$4:$F$42,2,FALSE),"All_Districts"))</t>
        </is>
      </c>
    </row>
    <row r="179" ht="18" customHeight="1">
      <c r="A179" s="32" t="inlineStr">
        <is>
          <t>IF(E179="","",ROW()-3)</t>
        </is>
      </c>
      <c r="B179" s="42" t="n"/>
      <c r="C179" s="42" t="n"/>
      <c r="D179" s="42" t="n"/>
      <c r="E179" s="42" t="n"/>
      <c r="F179" s="42" t="n"/>
      <c r="G179" s="42" t="n"/>
      <c r="H179" s="42" t="n"/>
      <c r="I179" s="42" t="n"/>
      <c r="J179" s="42" t="n"/>
      <c r="K179" s="42" t="n"/>
      <c r="L179" s="42" t="n"/>
      <c r="M179" s="42" t="n"/>
      <c r="N179" s="42" t="n"/>
      <c r="O179" s="42" t="n"/>
      <c r="P179" s="42" t="n"/>
      <c r="Q179" s="43" t="n"/>
      <c r="R179" s="35" t="inlineStr">
        <is>
          <t>IF(AO179="","",AO179)</t>
        </is>
      </c>
      <c r="S179" s="44" t="n"/>
      <c r="T179" s="45" t="n"/>
      <c r="U179" s="44" t="n"/>
      <c r="V179" s="35" t="inlineStr">
        <is>
          <t>IF(U179&lt;&gt;"",U179,IF(OR(R179="",T179=""),"",EDATE(R179,T179)))</t>
        </is>
      </c>
      <c r="W179" s="44" t="n"/>
      <c r="X179" s="45" t="n"/>
      <c r="Y179" s="42" t="n"/>
      <c r="Z179" s="42" t="n"/>
      <c r="AA179" s="32" t="inlineStr">
        <is>
          <t>IF(E179="","",IF(COUNT(AG179:AT179)=0,IF(Y179="","Not started",Y179),SUBSTITUTE(LOOKUP(2,1/(AG179:AT179&lt;&gt;""),$AG$3:$AT$3),"Date: ","")))</t>
        </is>
      </c>
      <c r="AB179" s="38" t="inlineStr">
        <is>
          <t>IF(OR(E179="",COUNT(AG179:AT179)=0),"",TODAY()-LOOKUP(2,1/(AG179:AT179&lt;&gt;""),AG179:AT179))</t>
        </is>
      </c>
      <c r="AC179" s="38" t="inlineStr">
        <is>
          <t>IF(OR(E179="",COUNT(AG179:AT179)&lt;2),"",LOOKUP(2,1/(AG179:AT179&lt;&gt;""),AG179:AT179)-MIN(AG179:AT179))</t>
        </is>
      </c>
      <c r="AD179" s="38" t="inlineStr">
        <is>
          <t>IF(OR(AB179="",AA179="Not started",AA179=""),"",IFERROR(AB179-IF(VLOOKUP(AA179,'04_Status_Pipeline'!$B$3:$E$20,4,FALSE)="",0,VLOOKUP(AA179,'04_Status_Pipeline'!$B$3:$E$20,4,FALSE)),""))</t>
        </is>
      </c>
      <c r="AE179" s="32" t="inlineStr">
        <is>
          <t>IF(E179="","",IF(OR(Y179="Cancelled",AA179="Cancelled"),"Cancelled",IF(OR(AA179="Completed / Handover",W179&lt;&gt;"",X179&gt;=100),"Completed — on track",IF(L179="Remaining",IF(S179="",IF(V179="","No planned date",IF(TODAY()&gt;V179,"Behind — past planned date",IF(V179-TODAY()&lt;=30,"At risk — close to off track","On track"))),IF(TODAY()&gt;S179,"Behind — award date passed",IF(S179-TODAY()&lt;=30,"At risk — close to off track","On track"))),IF(V179="","No planned date",IF(AND(TODAY()&gt;V179,OR(X179="",X179&lt;100)),"Behind — past end date",IF(AND(R179&lt;&gt;"",V179&lt;&gt;"",X179&lt;&gt;"",(X179&lt;100),((TODAY()-R179)/MAX(V179-R179,1)*100)-X179&gt;15),"Behind — progress lag",IF(AND(V179-TODAY()&lt;=30,V179-TODAY()&gt;=0,OR(X179="",X179&lt;90)),"At risk — close to off track","On track"))))))))</t>
        </is>
      </c>
      <c r="AF179" s="38" t="inlineStr">
        <is>
          <t>IF(OR(E179="",AA179="Completed / Handover",AA179="Cancelled"),"",IF(L179="Remaining",IF(S179&lt;&gt;"",S179-TODAY(),IF(V179="","",V179-TODAY())),IF(V179="","",V179-TODAY())))</t>
        </is>
      </c>
      <c r="AG179" s="44" t="n"/>
      <c r="AH179" s="44" t="n"/>
      <c r="AI179" s="44" t="n"/>
      <c r="AJ179" s="44" t="n"/>
      <c r="AK179" s="44" t="n"/>
      <c r="AL179" s="44" t="n"/>
      <c r="AM179" s="44" t="n"/>
      <c r="AN179" s="44" t="n"/>
      <c r="AO179" s="44" t="n"/>
      <c r="AP179" s="44" t="n"/>
      <c r="AQ179" s="44" t="n"/>
      <c r="AR179" s="40" t="n"/>
      <c r="AS179" s="40" t="n"/>
      <c r="AT179" s="40" t="n"/>
      <c r="AU179" s="38" t="inlineStr">
        <is>
          <t>IF(OR(E179="",AH179=""),"",IF(COUNT(AG179:AG179)=0,"",AH179-LOOKUP(2,1/(AG179:AG179&lt;&gt;""),AG179:AG179)))</t>
        </is>
      </c>
      <c r="AV179" s="38" t="inlineStr">
        <is>
          <t>IF(OR(E179="",AI179=""),"",IF(COUNT(AG179:AH179)=0,"",AI179-LOOKUP(2,1/(AG179:AH179&lt;&gt;""),AG179:AH179)))</t>
        </is>
      </c>
      <c r="AW179" s="38" t="inlineStr">
        <is>
          <t>IF(OR(E179="",AJ179=""),"",IF(COUNT(AG179:AI179)=0,"",AJ179-LOOKUP(2,1/(AG179:AI179&lt;&gt;""),AG179:AI179)))</t>
        </is>
      </c>
      <c r="AX179" s="38" t="inlineStr">
        <is>
          <t>IF(OR(E179="",AK179=""),"",IF(COUNT(AG179:AJ179)=0,"",AK179-LOOKUP(2,1/(AG179:AJ179&lt;&gt;""),AG179:AJ179)))</t>
        </is>
      </c>
      <c r="AY179" s="38" t="inlineStr">
        <is>
          <t>IF(OR(E179="",AL179=""),"",IF(COUNT(AG179:AK179)=0,"",AL179-LOOKUP(2,1/(AG179:AK179&lt;&gt;""),AG179:AK179)))</t>
        </is>
      </c>
      <c r="AZ179" s="38" t="inlineStr">
        <is>
          <t>IF(OR(E179="",AM179=""),"",IF(COUNT(AG179:AL179)=0,"",AM179-LOOKUP(2,1/(AG179:AL179&lt;&gt;""),AG179:AL179)))</t>
        </is>
      </c>
      <c r="BA179" s="38" t="inlineStr">
        <is>
          <t>IF(OR(E179="",AN179=""),"",IF(COUNT(AG179:AM179)=0,"",AN179-LOOKUP(2,1/(AG179:AM179&lt;&gt;""),AG179:AM179)))</t>
        </is>
      </c>
      <c r="BB179" s="38" t="inlineStr">
        <is>
          <t>IF(OR(E179="",AO179=""),"",IF(COUNT(AG179:AN179)=0,"",AO179-LOOKUP(2,1/(AG179:AN179&lt;&gt;""),AG179:AN179)))</t>
        </is>
      </c>
      <c r="BC179" s="38" t="inlineStr">
        <is>
          <t>IF(OR(E179="",AP179=""),"",IF(COUNT(AG179:AO179)=0,"",AP179-LOOKUP(2,1/(AG179:AO179&lt;&gt;""),AG179:AO179)))</t>
        </is>
      </c>
      <c r="BD179" s="38" t="inlineStr">
        <is>
          <t>IF(OR(E179="",AQ179=""),"",IF(COUNT(AG179:AP179)=0,"",AQ179-LOOKUP(2,1/(AG179:AP179&lt;&gt;""),AG179:AP179)))</t>
        </is>
      </c>
      <c r="BE179" s="38" t="inlineStr">
        <is>
          <t>IF(OR(E179="",AR179=""),"",IF(COUNT(AG179:AQ179)=0,"",AR179-LOOKUP(2,1/(AG179:AQ179&lt;&gt;""),AG179:AQ179)))</t>
        </is>
      </c>
      <c r="BF179" s="38" t="inlineStr">
        <is>
          <t>IF(OR(E179="",AS179=""),"",IF(COUNT(AG179:AR179)=0,"",AS179-LOOKUP(2,1/(AG179:AR179&lt;&gt;""),AG179:AR179)))</t>
        </is>
      </c>
      <c r="BG179" s="38" t="inlineStr">
        <is>
          <t>IF(OR(E179="",AT179=""),"",IF(COUNT(AG179:AS179)=0,"",AT179-LOOKUP(2,1/(AG179:AS179&lt;&gt;""),AG179:AS179)))</t>
        </is>
      </c>
      <c r="BH179" s="41" t="inlineStr">
        <is>
          <t>IF(G179="","All_Provinces",IFERROR(VLOOKUP(G179,'07_Lookups'!$A$4:$B$20,2,FALSE),"All_Provinces"))</t>
        </is>
      </c>
      <c r="BI179" s="41" t="inlineStr">
        <is>
          <t>IF(H179="","All_Districts",IFERROR(VLOOKUP(H179,'07_Lookups'!$E$4:$F$42,2,FALSE),"All_Districts"))</t>
        </is>
      </c>
    </row>
    <row r="180" ht="18" customHeight="1">
      <c r="A180" s="32" t="inlineStr">
        <is>
          <t>IF(E180="","",ROW()-3)</t>
        </is>
      </c>
      <c r="B180" s="33" t="n"/>
      <c r="C180" s="33" t="n"/>
      <c r="D180" s="33" t="n"/>
      <c r="E180" s="33" t="n"/>
      <c r="F180" s="33" t="n"/>
      <c r="G180" s="33" t="n"/>
      <c r="H180" s="33" t="n"/>
      <c r="I180" s="33" t="n"/>
      <c r="J180" s="33" t="n"/>
      <c r="K180" s="33" t="n"/>
      <c r="L180" s="33" t="n"/>
      <c r="M180" s="33" t="n"/>
      <c r="N180" s="33" t="n"/>
      <c r="O180" s="33" t="n"/>
      <c r="P180" s="33" t="n"/>
      <c r="Q180" s="34" t="n"/>
      <c r="R180" s="35" t="inlineStr">
        <is>
          <t>IF(AO180="","",AO180)</t>
        </is>
      </c>
      <c r="S180" s="36" t="n"/>
      <c r="T180" s="37" t="n"/>
      <c r="U180" s="36" t="n"/>
      <c r="V180" s="35" t="inlineStr">
        <is>
          <t>IF(U180&lt;&gt;"",U180,IF(OR(R180="",T180=""),"",EDATE(R180,T180)))</t>
        </is>
      </c>
      <c r="W180" s="36" t="n"/>
      <c r="X180" s="37" t="n"/>
      <c r="Y180" s="33" t="n"/>
      <c r="Z180" s="33" t="n"/>
      <c r="AA180" s="32" t="inlineStr">
        <is>
          <t>IF(E180="","",IF(COUNT(AG180:AT180)=0,IF(Y180="","Not started",Y180),SUBSTITUTE(LOOKUP(2,1/(AG180:AT180&lt;&gt;""),$AG$3:$AT$3),"Date: ","")))</t>
        </is>
      </c>
      <c r="AB180" s="38" t="inlineStr">
        <is>
          <t>IF(OR(E180="",COUNT(AG180:AT180)=0),"",TODAY()-LOOKUP(2,1/(AG180:AT180&lt;&gt;""),AG180:AT180))</t>
        </is>
      </c>
      <c r="AC180" s="38" t="inlineStr">
        <is>
          <t>IF(OR(E180="",COUNT(AG180:AT180)&lt;2),"",LOOKUP(2,1/(AG180:AT180&lt;&gt;""),AG180:AT180)-MIN(AG180:AT180))</t>
        </is>
      </c>
      <c r="AD180" s="38" t="inlineStr">
        <is>
          <t>IF(OR(AB180="",AA180="Not started",AA180=""),"",IFERROR(AB180-IF(VLOOKUP(AA180,'04_Status_Pipeline'!$B$3:$E$20,4,FALSE)="",0,VLOOKUP(AA180,'04_Status_Pipeline'!$B$3:$E$20,4,FALSE)),""))</t>
        </is>
      </c>
      <c r="AE180" s="32" t="inlineStr">
        <is>
          <t>IF(E180="","",IF(OR(Y180="Cancelled",AA180="Cancelled"),"Cancelled",IF(OR(AA180="Completed / Handover",W180&lt;&gt;"",X180&gt;=100),"Completed — on track",IF(L180="Remaining",IF(S180="",IF(V180="","No planned date",IF(TODAY()&gt;V180,"Behind — past planned date",IF(V180-TODAY()&lt;=30,"At risk — close to off track","On track"))),IF(TODAY()&gt;S180,"Behind — award date passed",IF(S180-TODAY()&lt;=30,"At risk — close to off track","On track"))),IF(V180="","No planned date",IF(AND(TODAY()&gt;V180,OR(X180="",X180&lt;100)),"Behind — past end date",IF(AND(R180&lt;&gt;"",V180&lt;&gt;"",X180&lt;&gt;"",(X180&lt;100),((TODAY()-R180)/MAX(V180-R180,1)*100)-X180&gt;15),"Behind — progress lag",IF(AND(V180-TODAY()&lt;=30,V180-TODAY()&gt;=0,OR(X180="",X180&lt;90)),"At risk — close to off track","On track"))))))))</t>
        </is>
      </c>
      <c r="AF180" s="38" t="inlineStr">
        <is>
          <t>IF(OR(E180="",AA180="Completed / Handover",AA180="Cancelled"),"",IF(L180="Remaining",IF(S180&lt;&gt;"",S180-TODAY(),IF(V180="","",V180-TODAY())),IF(V180="","",V180-TODAY())))</t>
        </is>
      </c>
      <c r="AG180" s="36" t="n"/>
      <c r="AH180" s="36" t="n"/>
      <c r="AI180" s="36" t="n"/>
      <c r="AJ180" s="36" t="n"/>
      <c r="AK180" s="36" t="n"/>
      <c r="AL180" s="36" t="n"/>
      <c r="AM180" s="36" t="n"/>
      <c r="AN180" s="36" t="n"/>
      <c r="AO180" s="36" t="n"/>
      <c r="AP180" s="36" t="n"/>
      <c r="AQ180" s="36" t="n"/>
      <c r="AR180" s="40" t="n"/>
      <c r="AS180" s="40" t="n"/>
      <c r="AT180" s="40" t="n"/>
      <c r="AU180" s="38" t="inlineStr">
        <is>
          <t>IF(OR(E180="",AH180=""),"",IF(COUNT(AG180:AG180)=0,"",AH180-LOOKUP(2,1/(AG180:AG180&lt;&gt;""),AG180:AG180)))</t>
        </is>
      </c>
      <c r="AV180" s="38" t="inlineStr">
        <is>
          <t>IF(OR(E180="",AI180=""),"",IF(COUNT(AG180:AH180)=0,"",AI180-LOOKUP(2,1/(AG180:AH180&lt;&gt;""),AG180:AH180)))</t>
        </is>
      </c>
      <c r="AW180" s="38" t="inlineStr">
        <is>
          <t>IF(OR(E180="",AJ180=""),"",IF(COUNT(AG180:AI180)=0,"",AJ180-LOOKUP(2,1/(AG180:AI180&lt;&gt;""),AG180:AI180)))</t>
        </is>
      </c>
      <c r="AX180" s="38" t="inlineStr">
        <is>
          <t>IF(OR(E180="",AK180=""),"",IF(COUNT(AG180:AJ180)=0,"",AK180-LOOKUP(2,1/(AG180:AJ180&lt;&gt;""),AG180:AJ180)))</t>
        </is>
      </c>
      <c r="AY180" s="38" t="inlineStr">
        <is>
          <t>IF(OR(E180="",AL180=""),"",IF(COUNT(AG180:AK180)=0,"",AL180-LOOKUP(2,1/(AG180:AK180&lt;&gt;""),AG180:AK180)))</t>
        </is>
      </c>
      <c r="AZ180" s="38" t="inlineStr">
        <is>
          <t>IF(OR(E180="",AM180=""),"",IF(COUNT(AG180:AL180)=0,"",AM180-LOOKUP(2,1/(AG180:AL180&lt;&gt;""),AG180:AL180)))</t>
        </is>
      </c>
      <c r="BA180" s="38" t="inlineStr">
        <is>
          <t>IF(OR(E180="",AN180=""),"",IF(COUNT(AG180:AM180)=0,"",AN180-LOOKUP(2,1/(AG180:AM180&lt;&gt;""),AG180:AM180)))</t>
        </is>
      </c>
      <c r="BB180" s="38" t="inlineStr">
        <is>
          <t>IF(OR(E180="",AO180=""),"",IF(COUNT(AG180:AN180)=0,"",AO180-LOOKUP(2,1/(AG180:AN180&lt;&gt;""),AG180:AN180)))</t>
        </is>
      </c>
      <c r="BC180" s="38" t="inlineStr">
        <is>
          <t>IF(OR(E180="",AP180=""),"",IF(COUNT(AG180:AO180)=0,"",AP180-LOOKUP(2,1/(AG180:AO180&lt;&gt;""),AG180:AO180)))</t>
        </is>
      </c>
      <c r="BD180" s="38" t="inlineStr">
        <is>
          <t>IF(OR(E180="",AQ180=""),"",IF(COUNT(AG180:AP180)=0,"",AQ180-LOOKUP(2,1/(AG180:AP180&lt;&gt;""),AG180:AP180)))</t>
        </is>
      </c>
      <c r="BE180" s="38" t="inlineStr">
        <is>
          <t>IF(OR(E180="",AR180=""),"",IF(COUNT(AG180:AQ180)=0,"",AR180-LOOKUP(2,1/(AG180:AQ180&lt;&gt;""),AG180:AQ180)))</t>
        </is>
      </c>
      <c r="BF180" s="38" t="inlineStr">
        <is>
          <t>IF(OR(E180="",AS180=""),"",IF(COUNT(AG180:AR180)=0,"",AS180-LOOKUP(2,1/(AG180:AR180&lt;&gt;""),AG180:AR180)))</t>
        </is>
      </c>
      <c r="BG180" s="38" t="inlineStr">
        <is>
          <t>IF(OR(E180="",AT180=""),"",IF(COUNT(AG180:AS180)=0,"",AT180-LOOKUP(2,1/(AG180:AS180&lt;&gt;""),AG180:AS180)))</t>
        </is>
      </c>
      <c r="BH180" s="41" t="inlineStr">
        <is>
          <t>IF(G180="","All_Provinces",IFERROR(VLOOKUP(G180,'07_Lookups'!$A$4:$B$20,2,FALSE),"All_Provinces"))</t>
        </is>
      </c>
      <c r="BI180" s="41" t="inlineStr">
        <is>
          <t>IF(H180="","All_Districts",IFERROR(VLOOKUP(H180,'07_Lookups'!$E$4:$F$42,2,FALSE),"All_Districts"))</t>
        </is>
      </c>
    </row>
    <row r="181" ht="18" customHeight="1">
      <c r="A181" s="32" t="inlineStr">
        <is>
          <t>IF(E181="","",ROW()-3)</t>
        </is>
      </c>
      <c r="B181" s="42" t="n"/>
      <c r="C181" s="42" t="n"/>
      <c r="D181" s="42" t="n"/>
      <c r="E181" s="42" t="n"/>
      <c r="F181" s="42" t="n"/>
      <c r="G181" s="42" t="n"/>
      <c r="H181" s="42" t="n"/>
      <c r="I181" s="42" t="n"/>
      <c r="J181" s="42" t="n"/>
      <c r="K181" s="42" t="n"/>
      <c r="L181" s="42" t="n"/>
      <c r="M181" s="42" t="n"/>
      <c r="N181" s="42" t="n"/>
      <c r="O181" s="42" t="n"/>
      <c r="P181" s="42" t="n"/>
      <c r="Q181" s="43" t="n"/>
      <c r="R181" s="35" t="inlineStr">
        <is>
          <t>IF(AO181="","",AO181)</t>
        </is>
      </c>
      <c r="S181" s="44" t="n"/>
      <c r="T181" s="45" t="n"/>
      <c r="U181" s="44" t="n"/>
      <c r="V181" s="35" t="inlineStr">
        <is>
          <t>IF(U181&lt;&gt;"",U181,IF(OR(R181="",T181=""),"",EDATE(R181,T181)))</t>
        </is>
      </c>
      <c r="W181" s="44" t="n"/>
      <c r="X181" s="45" t="n"/>
      <c r="Y181" s="42" t="n"/>
      <c r="Z181" s="42" t="n"/>
      <c r="AA181" s="32" t="inlineStr">
        <is>
          <t>IF(E181="","",IF(COUNT(AG181:AT181)=0,IF(Y181="","Not started",Y181),SUBSTITUTE(LOOKUP(2,1/(AG181:AT181&lt;&gt;""),$AG$3:$AT$3),"Date: ","")))</t>
        </is>
      </c>
      <c r="AB181" s="38" t="inlineStr">
        <is>
          <t>IF(OR(E181="",COUNT(AG181:AT181)=0),"",TODAY()-LOOKUP(2,1/(AG181:AT181&lt;&gt;""),AG181:AT181))</t>
        </is>
      </c>
      <c r="AC181" s="38" t="inlineStr">
        <is>
          <t>IF(OR(E181="",COUNT(AG181:AT181)&lt;2),"",LOOKUP(2,1/(AG181:AT181&lt;&gt;""),AG181:AT181)-MIN(AG181:AT181))</t>
        </is>
      </c>
      <c r="AD181" s="38" t="inlineStr">
        <is>
          <t>IF(OR(AB181="",AA181="Not started",AA181=""),"",IFERROR(AB181-IF(VLOOKUP(AA181,'04_Status_Pipeline'!$B$3:$E$20,4,FALSE)="",0,VLOOKUP(AA181,'04_Status_Pipeline'!$B$3:$E$20,4,FALSE)),""))</t>
        </is>
      </c>
      <c r="AE181" s="32" t="inlineStr">
        <is>
          <t>IF(E181="","",IF(OR(Y181="Cancelled",AA181="Cancelled"),"Cancelled",IF(OR(AA181="Completed / Handover",W181&lt;&gt;"",X181&gt;=100),"Completed — on track",IF(L181="Remaining",IF(S181="",IF(V181="","No planned date",IF(TODAY()&gt;V181,"Behind — past planned date",IF(V181-TODAY()&lt;=30,"At risk — close to off track","On track"))),IF(TODAY()&gt;S181,"Behind — award date passed",IF(S181-TODAY()&lt;=30,"At risk — close to off track","On track"))),IF(V181="","No planned date",IF(AND(TODAY()&gt;V181,OR(X181="",X181&lt;100)),"Behind — past end date",IF(AND(R181&lt;&gt;"",V181&lt;&gt;"",X181&lt;&gt;"",(X181&lt;100),((TODAY()-R181)/MAX(V181-R181,1)*100)-X181&gt;15),"Behind — progress lag",IF(AND(V181-TODAY()&lt;=30,V181-TODAY()&gt;=0,OR(X181="",X181&lt;90)),"At risk — close to off track","On track"))))))))</t>
        </is>
      </c>
      <c r="AF181" s="38" t="inlineStr">
        <is>
          <t>IF(OR(E181="",AA181="Completed / Handover",AA181="Cancelled"),"",IF(L181="Remaining",IF(S181&lt;&gt;"",S181-TODAY(),IF(V181="","",V181-TODAY())),IF(V181="","",V181-TODAY())))</t>
        </is>
      </c>
      <c r="AG181" s="44" t="n"/>
      <c r="AH181" s="44" t="n"/>
      <c r="AI181" s="44" t="n"/>
      <c r="AJ181" s="44" t="n"/>
      <c r="AK181" s="44" t="n"/>
      <c r="AL181" s="44" t="n"/>
      <c r="AM181" s="44" t="n"/>
      <c r="AN181" s="44" t="n"/>
      <c r="AO181" s="44" t="n"/>
      <c r="AP181" s="44" t="n"/>
      <c r="AQ181" s="44" t="n"/>
      <c r="AR181" s="40" t="n"/>
      <c r="AS181" s="40" t="n"/>
      <c r="AT181" s="40" t="n"/>
      <c r="AU181" s="38" t="inlineStr">
        <is>
          <t>IF(OR(E181="",AH181=""),"",IF(COUNT(AG181:AG181)=0,"",AH181-LOOKUP(2,1/(AG181:AG181&lt;&gt;""),AG181:AG181)))</t>
        </is>
      </c>
      <c r="AV181" s="38" t="inlineStr">
        <is>
          <t>IF(OR(E181="",AI181=""),"",IF(COUNT(AG181:AH181)=0,"",AI181-LOOKUP(2,1/(AG181:AH181&lt;&gt;""),AG181:AH181)))</t>
        </is>
      </c>
      <c r="AW181" s="38" t="inlineStr">
        <is>
          <t>IF(OR(E181="",AJ181=""),"",IF(COUNT(AG181:AI181)=0,"",AJ181-LOOKUP(2,1/(AG181:AI181&lt;&gt;""),AG181:AI181)))</t>
        </is>
      </c>
      <c r="AX181" s="38" t="inlineStr">
        <is>
          <t>IF(OR(E181="",AK181=""),"",IF(COUNT(AG181:AJ181)=0,"",AK181-LOOKUP(2,1/(AG181:AJ181&lt;&gt;""),AG181:AJ181)))</t>
        </is>
      </c>
      <c r="AY181" s="38" t="inlineStr">
        <is>
          <t>IF(OR(E181="",AL181=""),"",IF(COUNT(AG181:AK181)=0,"",AL181-LOOKUP(2,1/(AG181:AK181&lt;&gt;""),AG181:AK181)))</t>
        </is>
      </c>
      <c r="AZ181" s="38" t="inlineStr">
        <is>
          <t>IF(OR(E181="",AM181=""),"",IF(COUNT(AG181:AL181)=0,"",AM181-LOOKUP(2,1/(AG181:AL181&lt;&gt;""),AG181:AL181)))</t>
        </is>
      </c>
      <c r="BA181" s="38" t="inlineStr">
        <is>
          <t>IF(OR(E181="",AN181=""),"",IF(COUNT(AG181:AM181)=0,"",AN181-LOOKUP(2,1/(AG181:AM181&lt;&gt;""),AG181:AM181)))</t>
        </is>
      </c>
      <c r="BB181" s="38" t="inlineStr">
        <is>
          <t>IF(OR(E181="",AO181=""),"",IF(COUNT(AG181:AN181)=0,"",AO181-LOOKUP(2,1/(AG181:AN181&lt;&gt;""),AG181:AN181)))</t>
        </is>
      </c>
      <c r="BC181" s="38" t="inlineStr">
        <is>
          <t>IF(OR(E181="",AP181=""),"",IF(COUNT(AG181:AO181)=0,"",AP181-LOOKUP(2,1/(AG181:AO181&lt;&gt;""),AG181:AO181)))</t>
        </is>
      </c>
      <c r="BD181" s="38" t="inlineStr">
        <is>
          <t>IF(OR(E181="",AQ181=""),"",IF(COUNT(AG181:AP181)=0,"",AQ181-LOOKUP(2,1/(AG181:AP181&lt;&gt;""),AG181:AP181)))</t>
        </is>
      </c>
      <c r="BE181" s="38" t="inlineStr">
        <is>
          <t>IF(OR(E181="",AR181=""),"",IF(COUNT(AG181:AQ181)=0,"",AR181-LOOKUP(2,1/(AG181:AQ181&lt;&gt;""),AG181:AQ181)))</t>
        </is>
      </c>
      <c r="BF181" s="38" t="inlineStr">
        <is>
          <t>IF(OR(E181="",AS181=""),"",IF(COUNT(AG181:AR181)=0,"",AS181-LOOKUP(2,1/(AG181:AR181&lt;&gt;""),AG181:AR181)))</t>
        </is>
      </c>
      <c r="BG181" s="38" t="inlineStr">
        <is>
          <t>IF(OR(E181="",AT181=""),"",IF(COUNT(AG181:AS181)=0,"",AT181-LOOKUP(2,1/(AG181:AS181&lt;&gt;""),AG181:AS181)))</t>
        </is>
      </c>
      <c r="BH181" s="41" t="inlineStr">
        <is>
          <t>IF(G181="","All_Provinces",IFERROR(VLOOKUP(G181,'07_Lookups'!$A$4:$B$20,2,FALSE),"All_Provinces"))</t>
        </is>
      </c>
      <c r="BI181" s="41" t="inlineStr">
        <is>
          <t>IF(H181="","All_Districts",IFERROR(VLOOKUP(H181,'07_Lookups'!$E$4:$F$42,2,FALSE),"All_Districts"))</t>
        </is>
      </c>
    </row>
    <row r="182" ht="18" customHeight="1">
      <c r="A182" s="32" t="inlineStr">
        <is>
          <t>IF(E182="","",ROW()-3)</t>
        </is>
      </c>
      <c r="B182" s="33" t="n"/>
      <c r="C182" s="33" t="n"/>
      <c r="D182" s="33" t="n"/>
      <c r="E182" s="33" t="n"/>
      <c r="F182" s="33" t="n"/>
      <c r="G182" s="33" t="n"/>
      <c r="H182" s="33" t="n"/>
      <c r="I182" s="33" t="n"/>
      <c r="J182" s="33" t="n"/>
      <c r="K182" s="33" t="n"/>
      <c r="L182" s="33" t="n"/>
      <c r="M182" s="33" t="n"/>
      <c r="N182" s="33" t="n"/>
      <c r="O182" s="33" t="n"/>
      <c r="P182" s="33" t="n"/>
      <c r="Q182" s="34" t="n"/>
      <c r="R182" s="35" t="inlineStr">
        <is>
          <t>IF(AO182="","",AO182)</t>
        </is>
      </c>
      <c r="S182" s="36" t="n"/>
      <c r="T182" s="37" t="n"/>
      <c r="U182" s="36" t="n"/>
      <c r="V182" s="35" t="inlineStr">
        <is>
          <t>IF(U182&lt;&gt;"",U182,IF(OR(R182="",T182=""),"",EDATE(R182,T182)))</t>
        </is>
      </c>
      <c r="W182" s="36" t="n"/>
      <c r="X182" s="37" t="n"/>
      <c r="Y182" s="33" t="n"/>
      <c r="Z182" s="33" t="n"/>
      <c r="AA182" s="32" t="inlineStr">
        <is>
          <t>IF(E182="","",IF(COUNT(AG182:AT182)=0,IF(Y182="","Not started",Y182),SUBSTITUTE(LOOKUP(2,1/(AG182:AT182&lt;&gt;""),$AG$3:$AT$3),"Date: ","")))</t>
        </is>
      </c>
      <c r="AB182" s="38" t="inlineStr">
        <is>
          <t>IF(OR(E182="",COUNT(AG182:AT182)=0),"",TODAY()-LOOKUP(2,1/(AG182:AT182&lt;&gt;""),AG182:AT182))</t>
        </is>
      </c>
      <c r="AC182" s="38" t="inlineStr">
        <is>
          <t>IF(OR(E182="",COUNT(AG182:AT182)&lt;2),"",LOOKUP(2,1/(AG182:AT182&lt;&gt;""),AG182:AT182)-MIN(AG182:AT182))</t>
        </is>
      </c>
      <c r="AD182" s="38" t="inlineStr">
        <is>
          <t>IF(OR(AB182="",AA182="Not started",AA182=""),"",IFERROR(AB182-IF(VLOOKUP(AA182,'04_Status_Pipeline'!$B$3:$E$20,4,FALSE)="",0,VLOOKUP(AA182,'04_Status_Pipeline'!$B$3:$E$20,4,FALSE)),""))</t>
        </is>
      </c>
      <c r="AE182" s="32" t="inlineStr">
        <is>
          <t>IF(E182="","",IF(OR(Y182="Cancelled",AA182="Cancelled"),"Cancelled",IF(OR(AA182="Completed / Handover",W182&lt;&gt;"",X182&gt;=100),"Completed — on track",IF(L182="Remaining",IF(S182="",IF(V182="","No planned date",IF(TODAY()&gt;V182,"Behind — past planned date",IF(V182-TODAY()&lt;=30,"At risk — close to off track","On track"))),IF(TODAY()&gt;S182,"Behind — award date passed",IF(S182-TODAY()&lt;=30,"At risk — close to off track","On track"))),IF(V182="","No planned date",IF(AND(TODAY()&gt;V182,OR(X182="",X182&lt;100)),"Behind — past end date",IF(AND(R182&lt;&gt;"",V182&lt;&gt;"",X182&lt;&gt;"",(X182&lt;100),((TODAY()-R182)/MAX(V182-R182,1)*100)-X182&gt;15),"Behind — progress lag",IF(AND(V182-TODAY()&lt;=30,V182-TODAY()&gt;=0,OR(X182="",X182&lt;90)),"At risk — close to off track","On track"))))))))</t>
        </is>
      </c>
      <c r="AF182" s="38" t="inlineStr">
        <is>
          <t>IF(OR(E182="",AA182="Completed / Handover",AA182="Cancelled"),"",IF(L182="Remaining",IF(S182&lt;&gt;"",S182-TODAY(),IF(V182="","",V182-TODAY())),IF(V182="","",V182-TODAY())))</t>
        </is>
      </c>
      <c r="AG182" s="36" t="n"/>
      <c r="AH182" s="36" t="n"/>
      <c r="AI182" s="36" t="n"/>
      <c r="AJ182" s="36" t="n"/>
      <c r="AK182" s="36" t="n"/>
      <c r="AL182" s="36" t="n"/>
      <c r="AM182" s="36" t="n"/>
      <c r="AN182" s="36" t="n"/>
      <c r="AO182" s="36" t="n"/>
      <c r="AP182" s="36" t="n"/>
      <c r="AQ182" s="36" t="n"/>
      <c r="AR182" s="40" t="n"/>
      <c r="AS182" s="40" t="n"/>
      <c r="AT182" s="40" t="n"/>
      <c r="AU182" s="38" t="inlineStr">
        <is>
          <t>IF(OR(E182="",AH182=""),"",IF(COUNT(AG182:AG182)=0,"",AH182-LOOKUP(2,1/(AG182:AG182&lt;&gt;""),AG182:AG182)))</t>
        </is>
      </c>
      <c r="AV182" s="38" t="inlineStr">
        <is>
          <t>IF(OR(E182="",AI182=""),"",IF(COUNT(AG182:AH182)=0,"",AI182-LOOKUP(2,1/(AG182:AH182&lt;&gt;""),AG182:AH182)))</t>
        </is>
      </c>
      <c r="AW182" s="38" t="inlineStr">
        <is>
          <t>IF(OR(E182="",AJ182=""),"",IF(COUNT(AG182:AI182)=0,"",AJ182-LOOKUP(2,1/(AG182:AI182&lt;&gt;""),AG182:AI182)))</t>
        </is>
      </c>
      <c r="AX182" s="38" t="inlineStr">
        <is>
          <t>IF(OR(E182="",AK182=""),"",IF(COUNT(AG182:AJ182)=0,"",AK182-LOOKUP(2,1/(AG182:AJ182&lt;&gt;""),AG182:AJ182)))</t>
        </is>
      </c>
      <c r="AY182" s="38" t="inlineStr">
        <is>
          <t>IF(OR(E182="",AL182=""),"",IF(COUNT(AG182:AK182)=0,"",AL182-LOOKUP(2,1/(AG182:AK182&lt;&gt;""),AG182:AK182)))</t>
        </is>
      </c>
      <c r="AZ182" s="38" t="inlineStr">
        <is>
          <t>IF(OR(E182="",AM182=""),"",IF(COUNT(AG182:AL182)=0,"",AM182-LOOKUP(2,1/(AG182:AL182&lt;&gt;""),AG182:AL182)))</t>
        </is>
      </c>
      <c r="BA182" s="38" t="inlineStr">
        <is>
          <t>IF(OR(E182="",AN182=""),"",IF(COUNT(AG182:AM182)=0,"",AN182-LOOKUP(2,1/(AG182:AM182&lt;&gt;""),AG182:AM182)))</t>
        </is>
      </c>
      <c r="BB182" s="38" t="inlineStr">
        <is>
          <t>IF(OR(E182="",AO182=""),"",IF(COUNT(AG182:AN182)=0,"",AO182-LOOKUP(2,1/(AG182:AN182&lt;&gt;""),AG182:AN182)))</t>
        </is>
      </c>
      <c r="BC182" s="38" t="inlineStr">
        <is>
          <t>IF(OR(E182="",AP182=""),"",IF(COUNT(AG182:AO182)=0,"",AP182-LOOKUP(2,1/(AG182:AO182&lt;&gt;""),AG182:AO182)))</t>
        </is>
      </c>
      <c r="BD182" s="38" t="inlineStr">
        <is>
          <t>IF(OR(E182="",AQ182=""),"",IF(COUNT(AG182:AP182)=0,"",AQ182-LOOKUP(2,1/(AG182:AP182&lt;&gt;""),AG182:AP182)))</t>
        </is>
      </c>
      <c r="BE182" s="38" t="inlineStr">
        <is>
          <t>IF(OR(E182="",AR182=""),"",IF(COUNT(AG182:AQ182)=0,"",AR182-LOOKUP(2,1/(AG182:AQ182&lt;&gt;""),AG182:AQ182)))</t>
        </is>
      </c>
      <c r="BF182" s="38" t="inlineStr">
        <is>
          <t>IF(OR(E182="",AS182=""),"",IF(COUNT(AG182:AR182)=0,"",AS182-LOOKUP(2,1/(AG182:AR182&lt;&gt;""),AG182:AR182)))</t>
        </is>
      </c>
      <c r="BG182" s="38" t="inlineStr">
        <is>
          <t>IF(OR(E182="",AT182=""),"",IF(COUNT(AG182:AS182)=0,"",AT182-LOOKUP(2,1/(AG182:AS182&lt;&gt;""),AG182:AS182)))</t>
        </is>
      </c>
      <c r="BH182" s="41" t="inlineStr">
        <is>
          <t>IF(G182="","All_Provinces",IFERROR(VLOOKUP(G182,'07_Lookups'!$A$4:$B$20,2,FALSE),"All_Provinces"))</t>
        </is>
      </c>
      <c r="BI182" s="41" t="inlineStr">
        <is>
          <t>IF(H182="","All_Districts",IFERROR(VLOOKUP(H182,'07_Lookups'!$E$4:$F$42,2,FALSE),"All_Districts"))</t>
        </is>
      </c>
    </row>
    <row r="183" ht="18" customHeight="1">
      <c r="A183" s="32" t="inlineStr">
        <is>
          <t>IF(E183="","",ROW()-3)</t>
        </is>
      </c>
      <c r="B183" s="42" t="n"/>
      <c r="C183" s="42" t="n"/>
      <c r="D183" s="42" t="n"/>
      <c r="E183" s="42" t="n"/>
      <c r="F183" s="42" t="n"/>
      <c r="G183" s="42" t="n"/>
      <c r="H183" s="42" t="n"/>
      <c r="I183" s="42" t="n"/>
      <c r="J183" s="42" t="n"/>
      <c r="K183" s="42" t="n"/>
      <c r="L183" s="42" t="n"/>
      <c r="M183" s="42" t="n"/>
      <c r="N183" s="42" t="n"/>
      <c r="O183" s="42" t="n"/>
      <c r="P183" s="42" t="n"/>
      <c r="Q183" s="43" t="n"/>
      <c r="R183" s="35" t="inlineStr">
        <is>
          <t>IF(AO183="","",AO183)</t>
        </is>
      </c>
      <c r="S183" s="44" t="n"/>
      <c r="T183" s="45" t="n"/>
      <c r="U183" s="44" t="n"/>
      <c r="V183" s="35" t="inlineStr">
        <is>
          <t>IF(U183&lt;&gt;"",U183,IF(OR(R183="",T183=""),"",EDATE(R183,T183)))</t>
        </is>
      </c>
      <c r="W183" s="44" t="n"/>
      <c r="X183" s="45" t="n"/>
      <c r="Y183" s="42" t="n"/>
      <c r="Z183" s="42" t="n"/>
      <c r="AA183" s="32" t="inlineStr">
        <is>
          <t>IF(E183="","",IF(COUNT(AG183:AT183)=0,IF(Y183="","Not started",Y183),SUBSTITUTE(LOOKUP(2,1/(AG183:AT183&lt;&gt;""),$AG$3:$AT$3),"Date: ","")))</t>
        </is>
      </c>
      <c r="AB183" s="38" t="inlineStr">
        <is>
          <t>IF(OR(E183="",COUNT(AG183:AT183)=0),"",TODAY()-LOOKUP(2,1/(AG183:AT183&lt;&gt;""),AG183:AT183))</t>
        </is>
      </c>
      <c r="AC183" s="38" t="inlineStr">
        <is>
          <t>IF(OR(E183="",COUNT(AG183:AT183)&lt;2),"",LOOKUP(2,1/(AG183:AT183&lt;&gt;""),AG183:AT183)-MIN(AG183:AT183))</t>
        </is>
      </c>
      <c r="AD183" s="38" t="inlineStr">
        <is>
          <t>IF(OR(AB183="",AA183="Not started",AA183=""),"",IFERROR(AB183-IF(VLOOKUP(AA183,'04_Status_Pipeline'!$B$3:$E$20,4,FALSE)="",0,VLOOKUP(AA183,'04_Status_Pipeline'!$B$3:$E$20,4,FALSE)),""))</t>
        </is>
      </c>
      <c r="AE183" s="32" t="inlineStr">
        <is>
          <t>IF(E183="","",IF(OR(Y183="Cancelled",AA183="Cancelled"),"Cancelled",IF(OR(AA183="Completed / Handover",W183&lt;&gt;"",X183&gt;=100),"Completed — on track",IF(L183="Remaining",IF(S183="",IF(V183="","No planned date",IF(TODAY()&gt;V183,"Behind — past planned date",IF(V183-TODAY()&lt;=30,"At risk — close to off track","On track"))),IF(TODAY()&gt;S183,"Behind — award date passed",IF(S183-TODAY()&lt;=30,"At risk — close to off track","On track"))),IF(V183="","No planned date",IF(AND(TODAY()&gt;V183,OR(X183="",X183&lt;100)),"Behind — past end date",IF(AND(R183&lt;&gt;"",V183&lt;&gt;"",X183&lt;&gt;"",(X183&lt;100),((TODAY()-R183)/MAX(V183-R183,1)*100)-X183&gt;15),"Behind — progress lag",IF(AND(V183-TODAY()&lt;=30,V183-TODAY()&gt;=0,OR(X183="",X183&lt;90)),"At risk — close to off track","On track"))))))))</t>
        </is>
      </c>
      <c r="AF183" s="38" t="inlineStr">
        <is>
          <t>IF(OR(E183="",AA183="Completed / Handover",AA183="Cancelled"),"",IF(L183="Remaining",IF(S183&lt;&gt;"",S183-TODAY(),IF(V183="","",V183-TODAY())),IF(V183="","",V183-TODAY())))</t>
        </is>
      </c>
      <c r="AG183" s="44" t="n"/>
      <c r="AH183" s="44" t="n"/>
      <c r="AI183" s="44" t="n"/>
      <c r="AJ183" s="44" t="n"/>
      <c r="AK183" s="44" t="n"/>
      <c r="AL183" s="44" t="n"/>
      <c r="AM183" s="44" t="n"/>
      <c r="AN183" s="44" t="n"/>
      <c r="AO183" s="44" t="n"/>
      <c r="AP183" s="44" t="n"/>
      <c r="AQ183" s="44" t="n"/>
      <c r="AR183" s="40" t="n"/>
      <c r="AS183" s="40" t="n"/>
      <c r="AT183" s="40" t="n"/>
      <c r="AU183" s="38" t="inlineStr">
        <is>
          <t>IF(OR(E183="",AH183=""),"",IF(COUNT(AG183:AG183)=0,"",AH183-LOOKUP(2,1/(AG183:AG183&lt;&gt;""),AG183:AG183)))</t>
        </is>
      </c>
      <c r="AV183" s="38" t="inlineStr">
        <is>
          <t>IF(OR(E183="",AI183=""),"",IF(COUNT(AG183:AH183)=0,"",AI183-LOOKUP(2,1/(AG183:AH183&lt;&gt;""),AG183:AH183)))</t>
        </is>
      </c>
      <c r="AW183" s="38" t="inlineStr">
        <is>
          <t>IF(OR(E183="",AJ183=""),"",IF(COUNT(AG183:AI183)=0,"",AJ183-LOOKUP(2,1/(AG183:AI183&lt;&gt;""),AG183:AI183)))</t>
        </is>
      </c>
      <c r="AX183" s="38" t="inlineStr">
        <is>
          <t>IF(OR(E183="",AK183=""),"",IF(COUNT(AG183:AJ183)=0,"",AK183-LOOKUP(2,1/(AG183:AJ183&lt;&gt;""),AG183:AJ183)))</t>
        </is>
      </c>
      <c r="AY183" s="38" t="inlineStr">
        <is>
          <t>IF(OR(E183="",AL183=""),"",IF(COUNT(AG183:AK183)=0,"",AL183-LOOKUP(2,1/(AG183:AK183&lt;&gt;""),AG183:AK183)))</t>
        </is>
      </c>
      <c r="AZ183" s="38" t="inlineStr">
        <is>
          <t>IF(OR(E183="",AM183=""),"",IF(COUNT(AG183:AL183)=0,"",AM183-LOOKUP(2,1/(AG183:AL183&lt;&gt;""),AG183:AL183)))</t>
        </is>
      </c>
      <c r="BA183" s="38" t="inlineStr">
        <is>
          <t>IF(OR(E183="",AN183=""),"",IF(COUNT(AG183:AM183)=0,"",AN183-LOOKUP(2,1/(AG183:AM183&lt;&gt;""),AG183:AM183)))</t>
        </is>
      </c>
      <c r="BB183" s="38" t="inlineStr">
        <is>
          <t>IF(OR(E183="",AO183=""),"",IF(COUNT(AG183:AN183)=0,"",AO183-LOOKUP(2,1/(AG183:AN183&lt;&gt;""),AG183:AN183)))</t>
        </is>
      </c>
      <c r="BC183" s="38" t="inlineStr">
        <is>
          <t>IF(OR(E183="",AP183=""),"",IF(COUNT(AG183:AO183)=0,"",AP183-LOOKUP(2,1/(AG183:AO183&lt;&gt;""),AG183:AO183)))</t>
        </is>
      </c>
      <c r="BD183" s="38" t="inlineStr">
        <is>
          <t>IF(OR(E183="",AQ183=""),"",IF(COUNT(AG183:AP183)=0,"",AQ183-LOOKUP(2,1/(AG183:AP183&lt;&gt;""),AG183:AP183)))</t>
        </is>
      </c>
      <c r="BE183" s="38" t="inlineStr">
        <is>
          <t>IF(OR(E183="",AR183=""),"",IF(COUNT(AG183:AQ183)=0,"",AR183-LOOKUP(2,1/(AG183:AQ183&lt;&gt;""),AG183:AQ183)))</t>
        </is>
      </c>
      <c r="BF183" s="38" t="inlineStr">
        <is>
          <t>IF(OR(E183="",AS183=""),"",IF(COUNT(AG183:AR183)=0,"",AS183-LOOKUP(2,1/(AG183:AR183&lt;&gt;""),AG183:AR183)))</t>
        </is>
      </c>
      <c r="BG183" s="38" t="inlineStr">
        <is>
          <t>IF(OR(E183="",AT183=""),"",IF(COUNT(AG183:AS183)=0,"",AT183-LOOKUP(2,1/(AG183:AS183&lt;&gt;""),AG183:AS183)))</t>
        </is>
      </c>
      <c r="BH183" s="41" t="inlineStr">
        <is>
          <t>IF(G183="","All_Provinces",IFERROR(VLOOKUP(G183,'07_Lookups'!$A$4:$B$20,2,FALSE),"All_Provinces"))</t>
        </is>
      </c>
      <c r="BI183" s="41" t="inlineStr">
        <is>
          <t>IF(H183="","All_Districts",IFERROR(VLOOKUP(H183,'07_Lookups'!$E$4:$F$42,2,FALSE),"All_Districts"))</t>
        </is>
      </c>
    </row>
    <row r="184" ht="18" customHeight="1">
      <c r="A184" s="32" t="inlineStr">
        <is>
          <t>IF(E184="","",ROW()-3)</t>
        </is>
      </c>
      <c r="B184" s="33" t="n"/>
      <c r="C184" s="33" t="n"/>
      <c r="D184" s="33" t="n"/>
      <c r="E184" s="33" t="n"/>
      <c r="F184" s="33" t="n"/>
      <c r="G184" s="33" t="n"/>
      <c r="H184" s="33" t="n"/>
      <c r="I184" s="33" t="n"/>
      <c r="J184" s="33" t="n"/>
      <c r="K184" s="33" t="n"/>
      <c r="L184" s="33" t="n"/>
      <c r="M184" s="33" t="n"/>
      <c r="N184" s="33" t="n"/>
      <c r="O184" s="33" t="n"/>
      <c r="P184" s="33" t="n"/>
      <c r="Q184" s="34" t="n"/>
      <c r="R184" s="35" t="inlineStr">
        <is>
          <t>IF(AO184="","",AO184)</t>
        </is>
      </c>
      <c r="S184" s="36" t="n"/>
      <c r="T184" s="37" t="n"/>
      <c r="U184" s="36" t="n"/>
      <c r="V184" s="35" t="inlineStr">
        <is>
          <t>IF(U184&lt;&gt;"",U184,IF(OR(R184="",T184=""),"",EDATE(R184,T184)))</t>
        </is>
      </c>
      <c r="W184" s="36" t="n"/>
      <c r="X184" s="37" t="n"/>
      <c r="Y184" s="33" t="n"/>
      <c r="Z184" s="33" t="n"/>
      <c r="AA184" s="32" t="inlineStr">
        <is>
          <t>IF(E184="","",IF(COUNT(AG184:AT184)=0,IF(Y184="","Not started",Y184),SUBSTITUTE(LOOKUP(2,1/(AG184:AT184&lt;&gt;""),$AG$3:$AT$3),"Date: ","")))</t>
        </is>
      </c>
      <c r="AB184" s="38" t="inlineStr">
        <is>
          <t>IF(OR(E184="",COUNT(AG184:AT184)=0),"",TODAY()-LOOKUP(2,1/(AG184:AT184&lt;&gt;""),AG184:AT184))</t>
        </is>
      </c>
      <c r="AC184" s="38" t="inlineStr">
        <is>
          <t>IF(OR(E184="",COUNT(AG184:AT184)&lt;2),"",LOOKUP(2,1/(AG184:AT184&lt;&gt;""),AG184:AT184)-MIN(AG184:AT184))</t>
        </is>
      </c>
      <c r="AD184" s="38" t="inlineStr">
        <is>
          <t>IF(OR(AB184="",AA184="Not started",AA184=""),"",IFERROR(AB184-IF(VLOOKUP(AA184,'04_Status_Pipeline'!$B$3:$E$20,4,FALSE)="",0,VLOOKUP(AA184,'04_Status_Pipeline'!$B$3:$E$20,4,FALSE)),""))</t>
        </is>
      </c>
      <c r="AE184" s="32" t="inlineStr">
        <is>
          <t>IF(E184="","",IF(OR(Y184="Cancelled",AA184="Cancelled"),"Cancelled",IF(OR(AA184="Completed / Handover",W184&lt;&gt;"",X184&gt;=100),"Completed — on track",IF(L184="Remaining",IF(S184="",IF(V184="","No planned date",IF(TODAY()&gt;V184,"Behind — past planned date",IF(V184-TODAY()&lt;=30,"At risk — close to off track","On track"))),IF(TODAY()&gt;S184,"Behind — award date passed",IF(S184-TODAY()&lt;=30,"At risk — close to off track","On track"))),IF(V184="","No planned date",IF(AND(TODAY()&gt;V184,OR(X184="",X184&lt;100)),"Behind — past end date",IF(AND(R184&lt;&gt;"",V184&lt;&gt;"",X184&lt;&gt;"",(X184&lt;100),((TODAY()-R184)/MAX(V184-R184,1)*100)-X184&gt;15),"Behind — progress lag",IF(AND(V184-TODAY()&lt;=30,V184-TODAY()&gt;=0,OR(X184="",X184&lt;90)),"At risk — close to off track","On track"))))))))</t>
        </is>
      </c>
      <c r="AF184" s="38" t="inlineStr">
        <is>
          <t>IF(OR(E184="",AA184="Completed / Handover",AA184="Cancelled"),"",IF(L184="Remaining",IF(S184&lt;&gt;"",S184-TODAY(),IF(V184="","",V184-TODAY())),IF(V184="","",V184-TODAY())))</t>
        </is>
      </c>
      <c r="AG184" s="36" t="n"/>
      <c r="AH184" s="36" t="n"/>
      <c r="AI184" s="36" t="n"/>
      <c r="AJ184" s="36" t="n"/>
      <c r="AK184" s="36" t="n"/>
      <c r="AL184" s="36" t="n"/>
      <c r="AM184" s="36" t="n"/>
      <c r="AN184" s="36" t="n"/>
      <c r="AO184" s="36" t="n"/>
      <c r="AP184" s="36" t="n"/>
      <c r="AQ184" s="36" t="n"/>
      <c r="AR184" s="40" t="n"/>
      <c r="AS184" s="40" t="n"/>
      <c r="AT184" s="40" t="n"/>
      <c r="AU184" s="38" t="inlineStr">
        <is>
          <t>IF(OR(E184="",AH184=""),"",IF(COUNT(AG184:AG184)=0,"",AH184-LOOKUP(2,1/(AG184:AG184&lt;&gt;""),AG184:AG184)))</t>
        </is>
      </c>
      <c r="AV184" s="38" t="inlineStr">
        <is>
          <t>IF(OR(E184="",AI184=""),"",IF(COUNT(AG184:AH184)=0,"",AI184-LOOKUP(2,1/(AG184:AH184&lt;&gt;""),AG184:AH184)))</t>
        </is>
      </c>
      <c r="AW184" s="38" t="inlineStr">
        <is>
          <t>IF(OR(E184="",AJ184=""),"",IF(COUNT(AG184:AI184)=0,"",AJ184-LOOKUP(2,1/(AG184:AI184&lt;&gt;""),AG184:AI184)))</t>
        </is>
      </c>
      <c r="AX184" s="38" t="inlineStr">
        <is>
          <t>IF(OR(E184="",AK184=""),"",IF(COUNT(AG184:AJ184)=0,"",AK184-LOOKUP(2,1/(AG184:AJ184&lt;&gt;""),AG184:AJ184)))</t>
        </is>
      </c>
      <c r="AY184" s="38" t="inlineStr">
        <is>
          <t>IF(OR(E184="",AL184=""),"",IF(COUNT(AG184:AK184)=0,"",AL184-LOOKUP(2,1/(AG184:AK184&lt;&gt;""),AG184:AK184)))</t>
        </is>
      </c>
      <c r="AZ184" s="38" t="inlineStr">
        <is>
          <t>IF(OR(E184="",AM184=""),"",IF(COUNT(AG184:AL184)=0,"",AM184-LOOKUP(2,1/(AG184:AL184&lt;&gt;""),AG184:AL184)))</t>
        </is>
      </c>
      <c r="BA184" s="38" t="inlineStr">
        <is>
          <t>IF(OR(E184="",AN184=""),"",IF(COUNT(AG184:AM184)=0,"",AN184-LOOKUP(2,1/(AG184:AM184&lt;&gt;""),AG184:AM184)))</t>
        </is>
      </c>
      <c r="BB184" s="38" t="inlineStr">
        <is>
          <t>IF(OR(E184="",AO184=""),"",IF(COUNT(AG184:AN184)=0,"",AO184-LOOKUP(2,1/(AG184:AN184&lt;&gt;""),AG184:AN184)))</t>
        </is>
      </c>
      <c r="BC184" s="38" t="inlineStr">
        <is>
          <t>IF(OR(E184="",AP184=""),"",IF(COUNT(AG184:AO184)=0,"",AP184-LOOKUP(2,1/(AG184:AO184&lt;&gt;""),AG184:AO184)))</t>
        </is>
      </c>
      <c r="BD184" s="38" t="inlineStr">
        <is>
          <t>IF(OR(E184="",AQ184=""),"",IF(COUNT(AG184:AP184)=0,"",AQ184-LOOKUP(2,1/(AG184:AP184&lt;&gt;""),AG184:AP184)))</t>
        </is>
      </c>
      <c r="BE184" s="38" t="inlineStr">
        <is>
          <t>IF(OR(E184="",AR184=""),"",IF(COUNT(AG184:AQ184)=0,"",AR184-LOOKUP(2,1/(AG184:AQ184&lt;&gt;""),AG184:AQ184)))</t>
        </is>
      </c>
      <c r="BF184" s="38" t="inlineStr">
        <is>
          <t>IF(OR(E184="",AS184=""),"",IF(COUNT(AG184:AR184)=0,"",AS184-LOOKUP(2,1/(AG184:AR184&lt;&gt;""),AG184:AR184)))</t>
        </is>
      </c>
      <c r="BG184" s="38" t="inlineStr">
        <is>
          <t>IF(OR(E184="",AT184=""),"",IF(COUNT(AG184:AS184)=0,"",AT184-LOOKUP(2,1/(AG184:AS184&lt;&gt;""),AG184:AS184)))</t>
        </is>
      </c>
      <c r="BH184" s="41" t="inlineStr">
        <is>
          <t>IF(G184="","All_Provinces",IFERROR(VLOOKUP(G184,'07_Lookups'!$A$4:$B$20,2,FALSE),"All_Provinces"))</t>
        </is>
      </c>
      <c r="BI184" s="41" t="inlineStr">
        <is>
          <t>IF(H184="","All_Districts",IFERROR(VLOOKUP(H184,'07_Lookups'!$E$4:$F$42,2,FALSE),"All_Districts"))</t>
        </is>
      </c>
    </row>
    <row r="185" ht="18" customHeight="1">
      <c r="A185" s="32" t="inlineStr">
        <is>
          <t>IF(E185="","",ROW()-3)</t>
        </is>
      </c>
      <c r="B185" s="42" t="n"/>
      <c r="C185" s="42" t="n"/>
      <c r="D185" s="42" t="n"/>
      <c r="E185" s="42" t="n"/>
      <c r="F185" s="42" t="n"/>
      <c r="G185" s="42" t="n"/>
      <c r="H185" s="42" t="n"/>
      <c r="I185" s="42" t="n"/>
      <c r="J185" s="42" t="n"/>
      <c r="K185" s="42" t="n"/>
      <c r="L185" s="42" t="n"/>
      <c r="M185" s="42" t="n"/>
      <c r="N185" s="42" t="n"/>
      <c r="O185" s="42" t="n"/>
      <c r="P185" s="42" t="n"/>
      <c r="Q185" s="43" t="n"/>
      <c r="R185" s="35" t="inlineStr">
        <is>
          <t>IF(AO185="","",AO185)</t>
        </is>
      </c>
      <c r="S185" s="44" t="n"/>
      <c r="T185" s="45" t="n"/>
      <c r="U185" s="44" t="n"/>
      <c r="V185" s="35" t="inlineStr">
        <is>
          <t>IF(U185&lt;&gt;"",U185,IF(OR(R185="",T185=""),"",EDATE(R185,T185)))</t>
        </is>
      </c>
      <c r="W185" s="44" t="n"/>
      <c r="X185" s="45" t="n"/>
      <c r="Y185" s="42" t="n"/>
      <c r="Z185" s="42" t="n"/>
      <c r="AA185" s="32" t="inlineStr">
        <is>
          <t>IF(E185="","",IF(COUNT(AG185:AT185)=0,IF(Y185="","Not started",Y185),SUBSTITUTE(LOOKUP(2,1/(AG185:AT185&lt;&gt;""),$AG$3:$AT$3),"Date: ","")))</t>
        </is>
      </c>
      <c r="AB185" s="38" t="inlineStr">
        <is>
          <t>IF(OR(E185="",COUNT(AG185:AT185)=0),"",TODAY()-LOOKUP(2,1/(AG185:AT185&lt;&gt;""),AG185:AT185))</t>
        </is>
      </c>
      <c r="AC185" s="38" t="inlineStr">
        <is>
          <t>IF(OR(E185="",COUNT(AG185:AT185)&lt;2),"",LOOKUP(2,1/(AG185:AT185&lt;&gt;""),AG185:AT185)-MIN(AG185:AT185))</t>
        </is>
      </c>
      <c r="AD185" s="38" t="inlineStr">
        <is>
          <t>IF(OR(AB185="",AA185="Not started",AA185=""),"",IFERROR(AB185-IF(VLOOKUP(AA185,'04_Status_Pipeline'!$B$3:$E$20,4,FALSE)="",0,VLOOKUP(AA185,'04_Status_Pipeline'!$B$3:$E$20,4,FALSE)),""))</t>
        </is>
      </c>
      <c r="AE185" s="32" t="inlineStr">
        <is>
          <t>IF(E185="","",IF(OR(Y185="Cancelled",AA185="Cancelled"),"Cancelled",IF(OR(AA185="Completed / Handover",W185&lt;&gt;"",X185&gt;=100),"Completed — on track",IF(L185="Remaining",IF(S185="",IF(V185="","No planned date",IF(TODAY()&gt;V185,"Behind — past planned date",IF(V185-TODAY()&lt;=30,"At risk — close to off track","On track"))),IF(TODAY()&gt;S185,"Behind — award date passed",IF(S185-TODAY()&lt;=30,"At risk — close to off track","On track"))),IF(V185="","No planned date",IF(AND(TODAY()&gt;V185,OR(X185="",X185&lt;100)),"Behind — past end date",IF(AND(R185&lt;&gt;"",V185&lt;&gt;"",X185&lt;&gt;"",(X185&lt;100),((TODAY()-R185)/MAX(V185-R185,1)*100)-X185&gt;15),"Behind — progress lag",IF(AND(V185-TODAY()&lt;=30,V185-TODAY()&gt;=0,OR(X185="",X185&lt;90)),"At risk — close to off track","On track"))))))))</t>
        </is>
      </c>
      <c r="AF185" s="38" t="inlineStr">
        <is>
          <t>IF(OR(E185="",AA185="Completed / Handover",AA185="Cancelled"),"",IF(L185="Remaining",IF(S185&lt;&gt;"",S185-TODAY(),IF(V185="","",V185-TODAY())),IF(V185="","",V185-TODAY())))</t>
        </is>
      </c>
      <c r="AG185" s="44" t="n"/>
      <c r="AH185" s="44" t="n"/>
      <c r="AI185" s="44" t="n"/>
      <c r="AJ185" s="44" t="n"/>
      <c r="AK185" s="44" t="n"/>
      <c r="AL185" s="44" t="n"/>
      <c r="AM185" s="44" t="n"/>
      <c r="AN185" s="44" t="n"/>
      <c r="AO185" s="44" t="n"/>
      <c r="AP185" s="44" t="n"/>
      <c r="AQ185" s="44" t="n"/>
      <c r="AR185" s="40" t="n"/>
      <c r="AS185" s="40" t="n"/>
      <c r="AT185" s="40" t="n"/>
      <c r="AU185" s="38" t="inlineStr">
        <is>
          <t>IF(OR(E185="",AH185=""),"",IF(COUNT(AG185:AG185)=0,"",AH185-LOOKUP(2,1/(AG185:AG185&lt;&gt;""),AG185:AG185)))</t>
        </is>
      </c>
      <c r="AV185" s="38" t="inlineStr">
        <is>
          <t>IF(OR(E185="",AI185=""),"",IF(COUNT(AG185:AH185)=0,"",AI185-LOOKUP(2,1/(AG185:AH185&lt;&gt;""),AG185:AH185)))</t>
        </is>
      </c>
      <c r="AW185" s="38" t="inlineStr">
        <is>
          <t>IF(OR(E185="",AJ185=""),"",IF(COUNT(AG185:AI185)=0,"",AJ185-LOOKUP(2,1/(AG185:AI185&lt;&gt;""),AG185:AI185)))</t>
        </is>
      </c>
      <c r="AX185" s="38" t="inlineStr">
        <is>
          <t>IF(OR(E185="",AK185=""),"",IF(COUNT(AG185:AJ185)=0,"",AK185-LOOKUP(2,1/(AG185:AJ185&lt;&gt;""),AG185:AJ185)))</t>
        </is>
      </c>
      <c r="AY185" s="38" t="inlineStr">
        <is>
          <t>IF(OR(E185="",AL185=""),"",IF(COUNT(AG185:AK185)=0,"",AL185-LOOKUP(2,1/(AG185:AK185&lt;&gt;""),AG185:AK185)))</t>
        </is>
      </c>
      <c r="AZ185" s="38" t="inlineStr">
        <is>
          <t>IF(OR(E185="",AM185=""),"",IF(COUNT(AG185:AL185)=0,"",AM185-LOOKUP(2,1/(AG185:AL185&lt;&gt;""),AG185:AL185)))</t>
        </is>
      </c>
      <c r="BA185" s="38" t="inlineStr">
        <is>
          <t>IF(OR(E185="",AN185=""),"",IF(COUNT(AG185:AM185)=0,"",AN185-LOOKUP(2,1/(AG185:AM185&lt;&gt;""),AG185:AM185)))</t>
        </is>
      </c>
      <c r="BB185" s="38" t="inlineStr">
        <is>
          <t>IF(OR(E185="",AO185=""),"",IF(COUNT(AG185:AN185)=0,"",AO185-LOOKUP(2,1/(AG185:AN185&lt;&gt;""),AG185:AN185)))</t>
        </is>
      </c>
      <c r="BC185" s="38" t="inlineStr">
        <is>
          <t>IF(OR(E185="",AP185=""),"",IF(COUNT(AG185:AO185)=0,"",AP185-LOOKUP(2,1/(AG185:AO185&lt;&gt;""),AG185:AO185)))</t>
        </is>
      </c>
      <c r="BD185" s="38" t="inlineStr">
        <is>
          <t>IF(OR(E185="",AQ185=""),"",IF(COUNT(AG185:AP185)=0,"",AQ185-LOOKUP(2,1/(AG185:AP185&lt;&gt;""),AG185:AP185)))</t>
        </is>
      </c>
      <c r="BE185" s="38" t="inlineStr">
        <is>
          <t>IF(OR(E185="",AR185=""),"",IF(COUNT(AG185:AQ185)=0,"",AR185-LOOKUP(2,1/(AG185:AQ185&lt;&gt;""),AG185:AQ185)))</t>
        </is>
      </c>
      <c r="BF185" s="38" t="inlineStr">
        <is>
          <t>IF(OR(E185="",AS185=""),"",IF(COUNT(AG185:AR185)=0,"",AS185-LOOKUP(2,1/(AG185:AR185&lt;&gt;""),AG185:AR185)))</t>
        </is>
      </c>
      <c r="BG185" s="38" t="inlineStr">
        <is>
          <t>IF(OR(E185="",AT185=""),"",IF(COUNT(AG185:AS185)=0,"",AT185-LOOKUP(2,1/(AG185:AS185&lt;&gt;""),AG185:AS185)))</t>
        </is>
      </c>
      <c r="BH185" s="41" t="inlineStr">
        <is>
          <t>IF(G185="","All_Provinces",IFERROR(VLOOKUP(G185,'07_Lookups'!$A$4:$B$20,2,FALSE),"All_Provinces"))</t>
        </is>
      </c>
      <c r="BI185" s="41" t="inlineStr">
        <is>
          <t>IF(H185="","All_Districts",IFERROR(VLOOKUP(H185,'07_Lookups'!$E$4:$F$42,2,FALSE),"All_Districts"))</t>
        </is>
      </c>
    </row>
    <row r="186" ht="18" customHeight="1">
      <c r="A186" s="32" t="inlineStr">
        <is>
          <t>IF(E186="","",ROW()-3)</t>
        </is>
      </c>
      <c r="B186" s="33" t="n"/>
      <c r="C186" s="33" t="n"/>
      <c r="D186" s="33" t="n"/>
      <c r="E186" s="33" t="n"/>
      <c r="F186" s="33" t="n"/>
      <c r="G186" s="33" t="n"/>
      <c r="H186" s="33" t="n"/>
      <c r="I186" s="33" t="n"/>
      <c r="J186" s="33" t="n"/>
      <c r="K186" s="33" t="n"/>
      <c r="L186" s="33" t="n"/>
      <c r="M186" s="33" t="n"/>
      <c r="N186" s="33" t="n"/>
      <c r="O186" s="33" t="n"/>
      <c r="P186" s="33" t="n"/>
      <c r="Q186" s="34" t="n"/>
      <c r="R186" s="35" t="inlineStr">
        <is>
          <t>IF(AO186="","",AO186)</t>
        </is>
      </c>
      <c r="S186" s="36" t="n"/>
      <c r="T186" s="37" t="n"/>
      <c r="U186" s="36" t="n"/>
      <c r="V186" s="35" t="inlineStr">
        <is>
          <t>IF(U186&lt;&gt;"",U186,IF(OR(R186="",T186=""),"",EDATE(R186,T186)))</t>
        </is>
      </c>
      <c r="W186" s="36" t="n"/>
      <c r="X186" s="37" t="n"/>
      <c r="Y186" s="33" t="n"/>
      <c r="Z186" s="33" t="n"/>
      <c r="AA186" s="32" t="inlineStr">
        <is>
          <t>IF(E186="","",IF(COUNT(AG186:AT186)=0,IF(Y186="","Not started",Y186),SUBSTITUTE(LOOKUP(2,1/(AG186:AT186&lt;&gt;""),$AG$3:$AT$3),"Date: ","")))</t>
        </is>
      </c>
      <c r="AB186" s="38" t="inlineStr">
        <is>
          <t>IF(OR(E186="",COUNT(AG186:AT186)=0),"",TODAY()-LOOKUP(2,1/(AG186:AT186&lt;&gt;""),AG186:AT186))</t>
        </is>
      </c>
      <c r="AC186" s="38" t="inlineStr">
        <is>
          <t>IF(OR(E186="",COUNT(AG186:AT186)&lt;2),"",LOOKUP(2,1/(AG186:AT186&lt;&gt;""),AG186:AT186)-MIN(AG186:AT186))</t>
        </is>
      </c>
      <c r="AD186" s="38" t="inlineStr">
        <is>
          <t>IF(OR(AB186="",AA186="Not started",AA186=""),"",IFERROR(AB186-IF(VLOOKUP(AA186,'04_Status_Pipeline'!$B$3:$E$20,4,FALSE)="",0,VLOOKUP(AA186,'04_Status_Pipeline'!$B$3:$E$20,4,FALSE)),""))</t>
        </is>
      </c>
      <c r="AE186" s="32" t="inlineStr">
        <is>
          <t>IF(E186="","",IF(OR(Y186="Cancelled",AA186="Cancelled"),"Cancelled",IF(OR(AA186="Completed / Handover",W186&lt;&gt;"",X186&gt;=100),"Completed — on track",IF(L186="Remaining",IF(S186="",IF(V186="","No planned date",IF(TODAY()&gt;V186,"Behind — past planned date",IF(V186-TODAY()&lt;=30,"At risk — close to off track","On track"))),IF(TODAY()&gt;S186,"Behind — award date passed",IF(S186-TODAY()&lt;=30,"At risk — close to off track","On track"))),IF(V186="","No planned date",IF(AND(TODAY()&gt;V186,OR(X186="",X186&lt;100)),"Behind — past end date",IF(AND(R186&lt;&gt;"",V186&lt;&gt;"",X186&lt;&gt;"",(X186&lt;100),((TODAY()-R186)/MAX(V186-R186,1)*100)-X186&gt;15),"Behind — progress lag",IF(AND(V186-TODAY()&lt;=30,V186-TODAY()&gt;=0,OR(X186="",X186&lt;90)),"At risk — close to off track","On track"))))))))</t>
        </is>
      </c>
      <c r="AF186" s="38" t="inlineStr">
        <is>
          <t>IF(OR(E186="",AA186="Completed / Handover",AA186="Cancelled"),"",IF(L186="Remaining",IF(S186&lt;&gt;"",S186-TODAY(),IF(V186="","",V186-TODAY())),IF(V186="","",V186-TODAY())))</t>
        </is>
      </c>
      <c r="AG186" s="36" t="n"/>
      <c r="AH186" s="36" t="n"/>
      <c r="AI186" s="36" t="n"/>
      <c r="AJ186" s="36" t="n"/>
      <c r="AK186" s="36" t="n"/>
      <c r="AL186" s="36" t="n"/>
      <c r="AM186" s="36" t="n"/>
      <c r="AN186" s="36" t="n"/>
      <c r="AO186" s="36" t="n"/>
      <c r="AP186" s="36" t="n"/>
      <c r="AQ186" s="36" t="n"/>
      <c r="AR186" s="40" t="n"/>
      <c r="AS186" s="40" t="n"/>
      <c r="AT186" s="40" t="n"/>
      <c r="AU186" s="38" t="inlineStr">
        <is>
          <t>IF(OR(E186="",AH186=""),"",IF(COUNT(AG186:AG186)=0,"",AH186-LOOKUP(2,1/(AG186:AG186&lt;&gt;""),AG186:AG186)))</t>
        </is>
      </c>
      <c r="AV186" s="38" t="inlineStr">
        <is>
          <t>IF(OR(E186="",AI186=""),"",IF(COUNT(AG186:AH186)=0,"",AI186-LOOKUP(2,1/(AG186:AH186&lt;&gt;""),AG186:AH186)))</t>
        </is>
      </c>
      <c r="AW186" s="38" t="inlineStr">
        <is>
          <t>IF(OR(E186="",AJ186=""),"",IF(COUNT(AG186:AI186)=0,"",AJ186-LOOKUP(2,1/(AG186:AI186&lt;&gt;""),AG186:AI186)))</t>
        </is>
      </c>
      <c r="AX186" s="38" t="inlineStr">
        <is>
          <t>IF(OR(E186="",AK186=""),"",IF(COUNT(AG186:AJ186)=0,"",AK186-LOOKUP(2,1/(AG186:AJ186&lt;&gt;""),AG186:AJ186)))</t>
        </is>
      </c>
      <c r="AY186" s="38" t="inlineStr">
        <is>
          <t>IF(OR(E186="",AL186=""),"",IF(COUNT(AG186:AK186)=0,"",AL186-LOOKUP(2,1/(AG186:AK186&lt;&gt;""),AG186:AK186)))</t>
        </is>
      </c>
      <c r="AZ186" s="38" t="inlineStr">
        <is>
          <t>IF(OR(E186="",AM186=""),"",IF(COUNT(AG186:AL186)=0,"",AM186-LOOKUP(2,1/(AG186:AL186&lt;&gt;""),AG186:AL186)))</t>
        </is>
      </c>
      <c r="BA186" s="38" t="inlineStr">
        <is>
          <t>IF(OR(E186="",AN186=""),"",IF(COUNT(AG186:AM186)=0,"",AN186-LOOKUP(2,1/(AG186:AM186&lt;&gt;""),AG186:AM186)))</t>
        </is>
      </c>
      <c r="BB186" s="38" t="inlineStr">
        <is>
          <t>IF(OR(E186="",AO186=""),"",IF(COUNT(AG186:AN186)=0,"",AO186-LOOKUP(2,1/(AG186:AN186&lt;&gt;""),AG186:AN186)))</t>
        </is>
      </c>
      <c r="BC186" s="38" t="inlineStr">
        <is>
          <t>IF(OR(E186="",AP186=""),"",IF(COUNT(AG186:AO186)=0,"",AP186-LOOKUP(2,1/(AG186:AO186&lt;&gt;""),AG186:AO186)))</t>
        </is>
      </c>
      <c r="BD186" s="38" t="inlineStr">
        <is>
          <t>IF(OR(E186="",AQ186=""),"",IF(COUNT(AG186:AP186)=0,"",AQ186-LOOKUP(2,1/(AG186:AP186&lt;&gt;""),AG186:AP186)))</t>
        </is>
      </c>
      <c r="BE186" s="38" t="inlineStr">
        <is>
          <t>IF(OR(E186="",AR186=""),"",IF(COUNT(AG186:AQ186)=0,"",AR186-LOOKUP(2,1/(AG186:AQ186&lt;&gt;""),AG186:AQ186)))</t>
        </is>
      </c>
      <c r="BF186" s="38" t="inlineStr">
        <is>
          <t>IF(OR(E186="",AS186=""),"",IF(COUNT(AG186:AR186)=0,"",AS186-LOOKUP(2,1/(AG186:AR186&lt;&gt;""),AG186:AR186)))</t>
        </is>
      </c>
      <c r="BG186" s="38" t="inlineStr">
        <is>
          <t>IF(OR(E186="",AT186=""),"",IF(COUNT(AG186:AS186)=0,"",AT186-LOOKUP(2,1/(AG186:AS186&lt;&gt;""),AG186:AS186)))</t>
        </is>
      </c>
      <c r="BH186" s="41" t="inlineStr">
        <is>
          <t>IF(G186="","All_Provinces",IFERROR(VLOOKUP(G186,'07_Lookups'!$A$4:$B$20,2,FALSE),"All_Provinces"))</t>
        </is>
      </c>
      <c r="BI186" s="41" t="inlineStr">
        <is>
          <t>IF(H186="","All_Districts",IFERROR(VLOOKUP(H186,'07_Lookups'!$E$4:$F$42,2,FALSE),"All_Districts"))</t>
        </is>
      </c>
    </row>
    <row r="187" ht="18" customHeight="1">
      <c r="A187" s="32" t="inlineStr">
        <is>
          <t>IF(E187="","",ROW()-3)</t>
        </is>
      </c>
      <c r="B187" s="42" t="n"/>
      <c r="C187" s="42" t="n"/>
      <c r="D187" s="42" t="n"/>
      <c r="E187" s="42" t="n"/>
      <c r="F187" s="42" t="n"/>
      <c r="G187" s="42" t="n"/>
      <c r="H187" s="42" t="n"/>
      <c r="I187" s="42" t="n"/>
      <c r="J187" s="42" t="n"/>
      <c r="K187" s="42" t="n"/>
      <c r="L187" s="42" t="n"/>
      <c r="M187" s="42" t="n"/>
      <c r="N187" s="42" t="n"/>
      <c r="O187" s="42" t="n"/>
      <c r="P187" s="42" t="n"/>
      <c r="Q187" s="43" t="n"/>
      <c r="R187" s="35" t="inlineStr">
        <is>
          <t>IF(AO187="","",AO187)</t>
        </is>
      </c>
      <c r="S187" s="44" t="n"/>
      <c r="T187" s="45" t="n"/>
      <c r="U187" s="44" t="n"/>
      <c r="V187" s="35" t="inlineStr">
        <is>
          <t>IF(U187&lt;&gt;"",U187,IF(OR(R187="",T187=""),"",EDATE(R187,T187)))</t>
        </is>
      </c>
      <c r="W187" s="44" t="n"/>
      <c r="X187" s="45" t="n"/>
      <c r="Y187" s="42" t="n"/>
      <c r="Z187" s="42" t="n"/>
      <c r="AA187" s="32" t="inlineStr">
        <is>
          <t>IF(E187="","",IF(COUNT(AG187:AT187)=0,IF(Y187="","Not started",Y187),SUBSTITUTE(LOOKUP(2,1/(AG187:AT187&lt;&gt;""),$AG$3:$AT$3),"Date: ","")))</t>
        </is>
      </c>
      <c r="AB187" s="38" t="inlineStr">
        <is>
          <t>IF(OR(E187="",COUNT(AG187:AT187)=0),"",TODAY()-LOOKUP(2,1/(AG187:AT187&lt;&gt;""),AG187:AT187))</t>
        </is>
      </c>
      <c r="AC187" s="38" t="inlineStr">
        <is>
          <t>IF(OR(E187="",COUNT(AG187:AT187)&lt;2),"",LOOKUP(2,1/(AG187:AT187&lt;&gt;""),AG187:AT187)-MIN(AG187:AT187))</t>
        </is>
      </c>
      <c r="AD187" s="38" t="inlineStr">
        <is>
          <t>IF(OR(AB187="",AA187="Not started",AA187=""),"",IFERROR(AB187-IF(VLOOKUP(AA187,'04_Status_Pipeline'!$B$3:$E$20,4,FALSE)="",0,VLOOKUP(AA187,'04_Status_Pipeline'!$B$3:$E$20,4,FALSE)),""))</t>
        </is>
      </c>
      <c r="AE187" s="32" t="inlineStr">
        <is>
          <t>IF(E187="","",IF(OR(Y187="Cancelled",AA187="Cancelled"),"Cancelled",IF(OR(AA187="Completed / Handover",W187&lt;&gt;"",X187&gt;=100),"Completed — on track",IF(L187="Remaining",IF(S187="",IF(V187="","No planned date",IF(TODAY()&gt;V187,"Behind — past planned date",IF(V187-TODAY()&lt;=30,"At risk — close to off track","On track"))),IF(TODAY()&gt;S187,"Behind — award date passed",IF(S187-TODAY()&lt;=30,"At risk — close to off track","On track"))),IF(V187="","No planned date",IF(AND(TODAY()&gt;V187,OR(X187="",X187&lt;100)),"Behind — past end date",IF(AND(R187&lt;&gt;"",V187&lt;&gt;"",X187&lt;&gt;"",(X187&lt;100),((TODAY()-R187)/MAX(V187-R187,1)*100)-X187&gt;15),"Behind — progress lag",IF(AND(V187-TODAY()&lt;=30,V187-TODAY()&gt;=0,OR(X187="",X187&lt;90)),"At risk — close to off track","On track"))))))))</t>
        </is>
      </c>
      <c r="AF187" s="38" t="inlineStr">
        <is>
          <t>IF(OR(E187="",AA187="Completed / Handover",AA187="Cancelled"),"",IF(L187="Remaining",IF(S187&lt;&gt;"",S187-TODAY(),IF(V187="","",V187-TODAY())),IF(V187="","",V187-TODAY())))</t>
        </is>
      </c>
      <c r="AG187" s="44" t="n"/>
      <c r="AH187" s="44" t="n"/>
      <c r="AI187" s="44" t="n"/>
      <c r="AJ187" s="44" t="n"/>
      <c r="AK187" s="44" t="n"/>
      <c r="AL187" s="44" t="n"/>
      <c r="AM187" s="44" t="n"/>
      <c r="AN187" s="44" t="n"/>
      <c r="AO187" s="44" t="n"/>
      <c r="AP187" s="44" t="n"/>
      <c r="AQ187" s="44" t="n"/>
      <c r="AR187" s="40" t="n"/>
      <c r="AS187" s="40" t="n"/>
      <c r="AT187" s="40" t="n"/>
      <c r="AU187" s="38" t="inlineStr">
        <is>
          <t>IF(OR(E187="",AH187=""),"",IF(COUNT(AG187:AG187)=0,"",AH187-LOOKUP(2,1/(AG187:AG187&lt;&gt;""),AG187:AG187)))</t>
        </is>
      </c>
      <c r="AV187" s="38" t="inlineStr">
        <is>
          <t>IF(OR(E187="",AI187=""),"",IF(COUNT(AG187:AH187)=0,"",AI187-LOOKUP(2,1/(AG187:AH187&lt;&gt;""),AG187:AH187)))</t>
        </is>
      </c>
      <c r="AW187" s="38" t="inlineStr">
        <is>
          <t>IF(OR(E187="",AJ187=""),"",IF(COUNT(AG187:AI187)=0,"",AJ187-LOOKUP(2,1/(AG187:AI187&lt;&gt;""),AG187:AI187)))</t>
        </is>
      </c>
      <c r="AX187" s="38" t="inlineStr">
        <is>
          <t>IF(OR(E187="",AK187=""),"",IF(COUNT(AG187:AJ187)=0,"",AK187-LOOKUP(2,1/(AG187:AJ187&lt;&gt;""),AG187:AJ187)))</t>
        </is>
      </c>
      <c r="AY187" s="38" t="inlineStr">
        <is>
          <t>IF(OR(E187="",AL187=""),"",IF(COUNT(AG187:AK187)=0,"",AL187-LOOKUP(2,1/(AG187:AK187&lt;&gt;""),AG187:AK187)))</t>
        </is>
      </c>
      <c r="AZ187" s="38" t="inlineStr">
        <is>
          <t>IF(OR(E187="",AM187=""),"",IF(COUNT(AG187:AL187)=0,"",AM187-LOOKUP(2,1/(AG187:AL187&lt;&gt;""),AG187:AL187)))</t>
        </is>
      </c>
      <c r="BA187" s="38" t="inlineStr">
        <is>
          <t>IF(OR(E187="",AN187=""),"",IF(COUNT(AG187:AM187)=0,"",AN187-LOOKUP(2,1/(AG187:AM187&lt;&gt;""),AG187:AM187)))</t>
        </is>
      </c>
      <c r="BB187" s="38" t="inlineStr">
        <is>
          <t>IF(OR(E187="",AO187=""),"",IF(COUNT(AG187:AN187)=0,"",AO187-LOOKUP(2,1/(AG187:AN187&lt;&gt;""),AG187:AN187)))</t>
        </is>
      </c>
      <c r="BC187" s="38" t="inlineStr">
        <is>
          <t>IF(OR(E187="",AP187=""),"",IF(COUNT(AG187:AO187)=0,"",AP187-LOOKUP(2,1/(AG187:AO187&lt;&gt;""),AG187:AO187)))</t>
        </is>
      </c>
      <c r="BD187" s="38" t="inlineStr">
        <is>
          <t>IF(OR(E187="",AQ187=""),"",IF(COUNT(AG187:AP187)=0,"",AQ187-LOOKUP(2,1/(AG187:AP187&lt;&gt;""),AG187:AP187)))</t>
        </is>
      </c>
      <c r="BE187" s="38" t="inlineStr">
        <is>
          <t>IF(OR(E187="",AR187=""),"",IF(COUNT(AG187:AQ187)=0,"",AR187-LOOKUP(2,1/(AG187:AQ187&lt;&gt;""),AG187:AQ187)))</t>
        </is>
      </c>
      <c r="BF187" s="38" t="inlineStr">
        <is>
          <t>IF(OR(E187="",AS187=""),"",IF(COUNT(AG187:AR187)=0,"",AS187-LOOKUP(2,1/(AG187:AR187&lt;&gt;""),AG187:AR187)))</t>
        </is>
      </c>
      <c r="BG187" s="38" t="inlineStr">
        <is>
          <t>IF(OR(E187="",AT187=""),"",IF(COUNT(AG187:AS187)=0,"",AT187-LOOKUP(2,1/(AG187:AS187&lt;&gt;""),AG187:AS187)))</t>
        </is>
      </c>
      <c r="BH187" s="41" t="inlineStr">
        <is>
          <t>IF(G187="","All_Provinces",IFERROR(VLOOKUP(G187,'07_Lookups'!$A$4:$B$20,2,FALSE),"All_Provinces"))</t>
        </is>
      </c>
      <c r="BI187" s="41" t="inlineStr">
        <is>
          <t>IF(H187="","All_Districts",IFERROR(VLOOKUP(H187,'07_Lookups'!$E$4:$F$42,2,FALSE),"All_Districts"))</t>
        </is>
      </c>
    </row>
    <row r="188" ht="18" customHeight="1">
      <c r="A188" s="32" t="inlineStr">
        <is>
          <t>IF(E188="","",ROW()-3)</t>
        </is>
      </c>
      <c r="B188" s="33" t="n"/>
      <c r="C188" s="33" t="n"/>
      <c r="D188" s="33" t="n"/>
      <c r="E188" s="33" t="n"/>
      <c r="F188" s="33" t="n"/>
      <c r="G188" s="33" t="n"/>
      <c r="H188" s="33" t="n"/>
      <c r="I188" s="33" t="n"/>
      <c r="J188" s="33" t="n"/>
      <c r="K188" s="33" t="n"/>
      <c r="L188" s="33" t="n"/>
      <c r="M188" s="33" t="n"/>
      <c r="N188" s="33" t="n"/>
      <c r="O188" s="33" t="n"/>
      <c r="P188" s="33" t="n"/>
      <c r="Q188" s="34" t="n"/>
      <c r="R188" s="35" t="inlineStr">
        <is>
          <t>IF(AO188="","",AO188)</t>
        </is>
      </c>
      <c r="S188" s="36" t="n"/>
      <c r="T188" s="37" t="n"/>
      <c r="U188" s="36" t="n"/>
      <c r="V188" s="35" t="inlineStr">
        <is>
          <t>IF(U188&lt;&gt;"",U188,IF(OR(R188="",T188=""),"",EDATE(R188,T188)))</t>
        </is>
      </c>
      <c r="W188" s="36" t="n"/>
      <c r="X188" s="37" t="n"/>
      <c r="Y188" s="33" t="n"/>
      <c r="Z188" s="33" t="n"/>
      <c r="AA188" s="32" t="inlineStr">
        <is>
          <t>IF(E188="","",IF(COUNT(AG188:AT188)=0,IF(Y188="","Not started",Y188),SUBSTITUTE(LOOKUP(2,1/(AG188:AT188&lt;&gt;""),$AG$3:$AT$3),"Date: ","")))</t>
        </is>
      </c>
      <c r="AB188" s="38" t="inlineStr">
        <is>
          <t>IF(OR(E188="",COUNT(AG188:AT188)=0),"",TODAY()-LOOKUP(2,1/(AG188:AT188&lt;&gt;""),AG188:AT188))</t>
        </is>
      </c>
      <c r="AC188" s="38" t="inlineStr">
        <is>
          <t>IF(OR(E188="",COUNT(AG188:AT188)&lt;2),"",LOOKUP(2,1/(AG188:AT188&lt;&gt;""),AG188:AT188)-MIN(AG188:AT188))</t>
        </is>
      </c>
      <c r="AD188" s="38" t="inlineStr">
        <is>
          <t>IF(OR(AB188="",AA188="Not started",AA188=""),"",IFERROR(AB188-IF(VLOOKUP(AA188,'04_Status_Pipeline'!$B$3:$E$20,4,FALSE)="",0,VLOOKUP(AA188,'04_Status_Pipeline'!$B$3:$E$20,4,FALSE)),""))</t>
        </is>
      </c>
      <c r="AE188" s="32" t="inlineStr">
        <is>
          <t>IF(E188="","",IF(OR(Y188="Cancelled",AA188="Cancelled"),"Cancelled",IF(OR(AA188="Completed / Handover",W188&lt;&gt;"",X188&gt;=100),"Completed — on track",IF(L188="Remaining",IF(S188="",IF(V188="","No planned date",IF(TODAY()&gt;V188,"Behind — past planned date",IF(V188-TODAY()&lt;=30,"At risk — close to off track","On track"))),IF(TODAY()&gt;S188,"Behind — award date passed",IF(S188-TODAY()&lt;=30,"At risk — close to off track","On track"))),IF(V188="","No planned date",IF(AND(TODAY()&gt;V188,OR(X188="",X188&lt;100)),"Behind — past end date",IF(AND(R188&lt;&gt;"",V188&lt;&gt;"",X188&lt;&gt;"",(X188&lt;100),((TODAY()-R188)/MAX(V188-R188,1)*100)-X188&gt;15),"Behind — progress lag",IF(AND(V188-TODAY()&lt;=30,V188-TODAY()&gt;=0,OR(X188="",X188&lt;90)),"At risk — close to off track","On track"))))))))</t>
        </is>
      </c>
      <c r="AF188" s="38" t="inlineStr">
        <is>
          <t>IF(OR(E188="",AA188="Completed / Handover",AA188="Cancelled"),"",IF(L188="Remaining",IF(S188&lt;&gt;"",S188-TODAY(),IF(V188="","",V188-TODAY())),IF(V188="","",V188-TODAY())))</t>
        </is>
      </c>
      <c r="AG188" s="36" t="n"/>
      <c r="AH188" s="36" t="n"/>
      <c r="AI188" s="36" t="n"/>
      <c r="AJ188" s="36" t="n"/>
      <c r="AK188" s="36" t="n"/>
      <c r="AL188" s="36" t="n"/>
      <c r="AM188" s="36" t="n"/>
      <c r="AN188" s="36" t="n"/>
      <c r="AO188" s="36" t="n"/>
      <c r="AP188" s="36" t="n"/>
      <c r="AQ188" s="36" t="n"/>
      <c r="AR188" s="40" t="n"/>
      <c r="AS188" s="40" t="n"/>
      <c r="AT188" s="40" t="n"/>
      <c r="AU188" s="38" t="inlineStr">
        <is>
          <t>IF(OR(E188="",AH188=""),"",IF(COUNT(AG188:AG188)=0,"",AH188-LOOKUP(2,1/(AG188:AG188&lt;&gt;""),AG188:AG188)))</t>
        </is>
      </c>
      <c r="AV188" s="38" t="inlineStr">
        <is>
          <t>IF(OR(E188="",AI188=""),"",IF(COUNT(AG188:AH188)=0,"",AI188-LOOKUP(2,1/(AG188:AH188&lt;&gt;""),AG188:AH188)))</t>
        </is>
      </c>
      <c r="AW188" s="38" t="inlineStr">
        <is>
          <t>IF(OR(E188="",AJ188=""),"",IF(COUNT(AG188:AI188)=0,"",AJ188-LOOKUP(2,1/(AG188:AI188&lt;&gt;""),AG188:AI188)))</t>
        </is>
      </c>
      <c r="AX188" s="38" t="inlineStr">
        <is>
          <t>IF(OR(E188="",AK188=""),"",IF(COUNT(AG188:AJ188)=0,"",AK188-LOOKUP(2,1/(AG188:AJ188&lt;&gt;""),AG188:AJ188)))</t>
        </is>
      </c>
      <c r="AY188" s="38" t="inlineStr">
        <is>
          <t>IF(OR(E188="",AL188=""),"",IF(COUNT(AG188:AK188)=0,"",AL188-LOOKUP(2,1/(AG188:AK188&lt;&gt;""),AG188:AK188)))</t>
        </is>
      </c>
      <c r="AZ188" s="38" t="inlineStr">
        <is>
          <t>IF(OR(E188="",AM188=""),"",IF(COUNT(AG188:AL188)=0,"",AM188-LOOKUP(2,1/(AG188:AL188&lt;&gt;""),AG188:AL188)))</t>
        </is>
      </c>
      <c r="BA188" s="38" t="inlineStr">
        <is>
          <t>IF(OR(E188="",AN188=""),"",IF(COUNT(AG188:AM188)=0,"",AN188-LOOKUP(2,1/(AG188:AM188&lt;&gt;""),AG188:AM188)))</t>
        </is>
      </c>
      <c r="BB188" s="38" t="inlineStr">
        <is>
          <t>IF(OR(E188="",AO188=""),"",IF(COUNT(AG188:AN188)=0,"",AO188-LOOKUP(2,1/(AG188:AN188&lt;&gt;""),AG188:AN188)))</t>
        </is>
      </c>
      <c r="BC188" s="38" t="inlineStr">
        <is>
          <t>IF(OR(E188="",AP188=""),"",IF(COUNT(AG188:AO188)=0,"",AP188-LOOKUP(2,1/(AG188:AO188&lt;&gt;""),AG188:AO188)))</t>
        </is>
      </c>
      <c r="BD188" s="38" t="inlineStr">
        <is>
          <t>IF(OR(E188="",AQ188=""),"",IF(COUNT(AG188:AP188)=0,"",AQ188-LOOKUP(2,1/(AG188:AP188&lt;&gt;""),AG188:AP188)))</t>
        </is>
      </c>
      <c r="BE188" s="38" t="inlineStr">
        <is>
          <t>IF(OR(E188="",AR188=""),"",IF(COUNT(AG188:AQ188)=0,"",AR188-LOOKUP(2,1/(AG188:AQ188&lt;&gt;""),AG188:AQ188)))</t>
        </is>
      </c>
      <c r="BF188" s="38" t="inlineStr">
        <is>
          <t>IF(OR(E188="",AS188=""),"",IF(COUNT(AG188:AR188)=0,"",AS188-LOOKUP(2,1/(AG188:AR188&lt;&gt;""),AG188:AR188)))</t>
        </is>
      </c>
      <c r="BG188" s="38" t="inlineStr">
        <is>
          <t>IF(OR(E188="",AT188=""),"",IF(COUNT(AG188:AS188)=0,"",AT188-LOOKUP(2,1/(AG188:AS188&lt;&gt;""),AG188:AS188)))</t>
        </is>
      </c>
      <c r="BH188" s="41" t="inlineStr">
        <is>
          <t>IF(G188="","All_Provinces",IFERROR(VLOOKUP(G188,'07_Lookups'!$A$4:$B$20,2,FALSE),"All_Provinces"))</t>
        </is>
      </c>
      <c r="BI188" s="41" t="inlineStr">
        <is>
          <t>IF(H188="","All_Districts",IFERROR(VLOOKUP(H188,'07_Lookups'!$E$4:$F$42,2,FALSE),"All_Districts"))</t>
        </is>
      </c>
    </row>
    <row r="189" ht="18" customHeight="1">
      <c r="A189" s="32" t="inlineStr">
        <is>
          <t>IF(E189="","",ROW()-3)</t>
        </is>
      </c>
      <c r="B189" s="42" t="n"/>
      <c r="C189" s="42" t="n"/>
      <c r="D189" s="42" t="n"/>
      <c r="E189" s="42" t="n"/>
      <c r="F189" s="42" t="n"/>
      <c r="G189" s="42" t="n"/>
      <c r="H189" s="42" t="n"/>
      <c r="I189" s="42" t="n"/>
      <c r="J189" s="42" t="n"/>
      <c r="K189" s="42" t="n"/>
      <c r="L189" s="42" t="n"/>
      <c r="M189" s="42" t="n"/>
      <c r="N189" s="42" t="n"/>
      <c r="O189" s="42" t="n"/>
      <c r="P189" s="42" t="n"/>
      <c r="Q189" s="43" t="n"/>
      <c r="R189" s="35" t="inlineStr">
        <is>
          <t>IF(AO189="","",AO189)</t>
        </is>
      </c>
      <c r="S189" s="44" t="n"/>
      <c r="T189" s="45" t="n"/>
      <c r="U189" s="44" t="n"/>
      <c r="V189" s="35" t="inlineStr">
        <is>
          <t>IF(U189&lt;&gt;"",U189,IF(OR(R189="",T189=""),"",EDATE(R189,T189)))</t>
        </is>
      </c>
      <c r="W189" s="44" t="n"/>
      <c r="X189" s="45" t="n"/>
      <c r="Y189" s="42" t="n"/>
      <c r="Z189" s="42" t="n"/>
      <c r="AA189" s="32" t="inlineStr">
        <is>
          <t>IF(E189="","",IF(COUNT(AG189:AT189)=0,IF(Y189="","Not started",Y189),SUBSTITUTE(LOOKUP(2,1/(AG189:AT189&lt;&gt;""),$AG$3:$AT$3),"Date: ","")))</t>
        </is>
      </c>
      <c r="AB189" s="38" t="inlineStr">
        <is>
          <t>IF(OR(E189="",COUNT(AG189:AT189)=0),"",TODAY()-LOOKUP(2,1/(AG189:AT189&lt;&gt;""),AG189:AT189))</t>
        </is>
      </c>
      <c r="AC189" s="38" t="inlineStr">
        <is>
          <t>IF(OR(E189="",COUNT(AG189:AT189)&lt;2),"",LOOKUP(2,1/(AG189:AT189&lt;&gt;""),AG189:AT189)-MIN(AG189:AT189))</t>
        </is>
      </c>
      <c r="AD189" s="38" t="inlineStr">
        <is>
          <t>IF(OR(AB189="",AA189="Not started",AA189=""),"",IFERROR(AB189-IF(VLOOKUP(AA189,'04_Status_Pipeline'!$B$3:$E$20,4,FALSE)="",0,VLOOKUP(AA189,'04_Status_Pipeline'!$B$3:$E$20,4,FALSE)),""))</t>
        </is>
      </c>
      <c r="AE189" s="32" t="inlineStr">
        <is>
          <t>IF(E189="","",IF(OR(Y189="Cancelled",AA189="Cancelled"),"Cancelled",IF(OR(AA189="Completed / Handover",W189&lt;&gt;"",X189&gt;=100),"Completed — on track",IF(L189="Remaining",IF(S189="",IF(V189="","No planned date",IF(TODAY()&gt;V189,"Behind — past planned date",IF(V189-TODAY()&lt;=30,"At risk — close to off track","On track"))),IF(TODAY()&gt;S189,"Behind — award date passed",IF(S189-TODAY()&lt;=30,"At risk — close to off track","On track"))),IF(V189="","No planned date",IF(AND(TODAY()&gt;V189,OR(X189="",X189&lt;100)),"Behind — past end date",IF(AND(R189&lt;&gt;"",V189&lt;&gt;"",X189&lt;&gt;"",(X189&lt;100),((TODAY()-R189)/MAX(V189-R189,1)*100)-X189&gt;15),"Behind — progress lag",IF(AND(V189-TODAY()&lt;=30,V189-TODAY()&gt;=0,OR(X189="",X189&lt;90)),"At risk — close to off track","On track"))))))))</t>
        </is>
      </c>
      <c r="AF189" s="38" t="inlineStr">
        <is>
          <t>IF(OR(E189="",AA189="Completed / Handover",AA189="Cancelled"),"",IF(L189="Remaining",IF(S189&lt;&gt;"",S189-TODAY(),IF(V189="","",V189-TODAY())),IF(V189="","",V189-TODAY())))</t>
        </is>
      </c>
      <c r="AG189" s="44" t="n"/>
      <c r="AH189" s="44" t="n"/>
      <c r="AI189" s="44" t="n"/>
      <c r="AJ189" s="44" t="n"/>
      <c r="AK189" s="44" t="n"/>
      <c r="AL189" s="44" t="n"/>
      <c r="AM189" s="44" t="n"/>
      <c r="AN189" s="44" t="n"/>
      <c r="AO189" s="44" t="n"/>
      <c r="AP189" s="44" t="n"/>
      <c r="AQ189" s="44" t="n"/>
      <c r="AR189" s="40" t="n"/>
      <c r="AS189" s="40" t="n"/>
      <c r="AT189" s="40" t="n"/>
      <c r="AU189" s="38" t="inlineStr">
        <is>
          <t>IF(OR(E189="",AH189=""),"",IF(COUNT(AG189:AG189)=0,"",AH189-LOOKUP(2,1/(AG189:AG189&lt;&gt;""),AG189:AG189)))</t>
        </is>
      </c>
      <c r="AV189" s="38" t="inlineStr">
        <is>
          <t>IF(OR(E189="",AI189=""),"",IF(COUNT(AG189:AH189)=0,"",AI189-LOOKUP(2,1/(AG189:AH189&lt;&gt;""),AG189:AH189)))</t>
        </is>
      </c>
      <c r="AW189" s="38" t="inlineStr">
        <is>
          <t>IF(OR(E189="",AJ189=""),"",IF(COUNT(AG189:AI189)=0,"",AJ189-LOOKUP(2,1/(AG189:AI189&lt;&gt;""),AG189:AI189)))</t>
        </is>
      </c>
      <c r="AX189" s="38" t="inlineStr">
        <is>
          <t>IF(OR(E189="",AK189=""),"",IF(COUNT(AG189:AJ189)=0,"",AK189-LOOKUP(2,1/(AG189:AJ189&lt;&gt;""),AG189:AJ189)))</t>
        </is>
      </c>
      <c r="AY189" s="38" t="inlineStr">
        <is>
          <t>IF(OR(E189="",AL189=""),"",IF(COUNT(AG189:AK189)=0,"",AL189-LOOKUP(2,1/(AG189:AK189&lt;&gt;""),AG189:AK189)))</t>
        </is>
      </c>
      <c r="AZ189" s="38" t="inlineStr">
        <is>
          <t>IF(OR(E189="",AM189=""),"",IF(COUNT(AG189:AL189)=0,"",AM189-LOOKUP(2,1/(AG189:AL189&lt;&gt;""),AG189:AL189)))</t>
        </is>
      </c>
      <c r="BA189" s="38" t="inlineStr">
        <is>
          <t>IF(OR(E189="",AN189=""),"",IF(COUNT(AG189:AM189)=0,"",AN189-LOOKUP(2,1/(AG189:AM189&lt;&gt;""),AG189:AM189)))</t>
        </is>
      </c>
      <c r="BB189" s="38" t="inlineStr">
        <is>
          <t>IF(OR(E189="",AO189=""),"",IF(COUNT(AG189:AN189)=0,"",AO189-LOOKUP(2,1/(AG189:AN189&lt;&gt;""),AG189:AN189)))</t>
        </is>
      </c>
      <c r="BC189" s="38" t="inlineStr">
        <is>
          <t>IF(OR(E189="",AP189=""),"",IF(COUNT(AG189:AO189)=0,"",AP189-LOOKUP(2,1/(AG189:AO189&lt;&gt;""),AG189:AO189)))</t>
        </is>
      </c>
      <c r="BD189" s="38" t="inlineStr">
        <is>
          <t>IF(OR(E189="",AQ189=""),"",IF(COUNT(AG189:AP189)=0,"",AQ189-LOOKUP(2,1/(AG189:AP189&lt;&gt;""),AG189:AP189)))</t>
        </is>
      </c>
      <c r="BE189" s="38" t="inlineStr">
        <is>
          <t>IF(OR(E189="",AR189=""),"",IF(COUNT(AG189:AQ189)=0,"",AR189-LOOKUP(2,1/(AG189:AQ189&lt;&gt;""),AG189:AQ189)))</t>
        </is>
      </c>
      <c r="BF189" s="38" t="inlineStr">
        <is>
          <t>IF(OR(E189="",AS189=""),"",IF(COUNT(AG189:AR189)=0,"",AS189-LOOKUP(2,1/(AG189:AR189&lt;&gt;""),AG189:AR189)))</t>
        </is>
      </c>
      <c r="BG189" s="38" t="inlineStr">
        <is>
          <t>IF(OR(E189="",AT189=""),"",IF(COUNT(AG189:AS189)=0,"",AT189-LOOKUP(2,1/(AG189:AS189&lt;&gt;""),AG189:AS189)))</t>
        </is>
      </c>
      <c r="BH189" s="41" t="inlineStr">
        <is>
          <t>IF(G189="","All_Provinces",IFERROR(VLOOKUP(G189,'07_Lookups'!$A$4:$B$20,2,FALSE),"All_Provinces"))</t>
        </is>
      </c>
      <c r="BI189" s="41" t="inlineStr">
        <is>
          <t>IF(H189="","All_Districts",IFERROR(VLOOKUP(H189,'07_Lookups'!$E$4:$F$42,2,FALSE),"All_Districts"))</t>
        </is>
      </c>
    </row>
    <row r="190" ht="18" customHeight="1">
      <c r="A190" s="32" t="inlineStr">
        <is>
          <t>IF(E190="","",ROW()-3)</t>
        </is>
      </c>
      <c r="B190" s="33" t="n"/>
      <c r="C190" s="33" t="n"/>
      <c r="D190" s="33" t="n"/>
      <c r="E190" s="33" t="n"/>
      <c r="F190" s="33" t="n"/>
      <c r="G190" s="33" t="n"/>
      <c r="H190" s="33" t="n"/>
      <c r="I190" s="33" t="n"/>
      <c r="J190" s="33" t="n"/>
      <c r="K190" s="33" t="n"/>
      <c r="L190" s="33" t="n"/>
      <c r="M190" s="33" t="n"/>
      <c r="N190" s="33" t="n"/>
      <c r="O190" s="33" t="n"/>
      <c r="P190" s="33" t="n"/>
      <c r="Q190" s="34" t="n"/>
      <c r="R190" s="35" t="inlineStr">
        <is>
          <t>IF(AO190="","",AO190)</t>
        </is>
      </c>
      <c r="S190" s="36" t="n"/>
      <c r="T190" s="37" t="n"/>
      <c r="U190" s="36" t="n"/>
      <c r="V190" s="35" t="inlineStr">
        <is>
          <t>IF(U190&lt;&gt;"",U190,IF(OR(R190="",T190=""),"",EDATE(R190,T190)))</t>
        </is>
      </c>
      <c r="W190" s="36" t="n"/>
      <c r="X190" s="37" t="n"/>
      <c r="Y190" s="33" t="n"/>
      <c r="Z190" s="33" t="n"/>
      <c r="AA190" s="32" t="inlineStr">
        <is>
          <t>IF(E190="","",IF(COUNT(AG190:AT190)=0,IF(Y190="","Not started",Y190),SUBSTITUTE(LOOKUP(2,1/(AG190:AT190&lt;&gt;""),$AG$3:$AT$3),"Date: ","")))</t>
        </is>
      </c>
      <c r="AB190" s="38" t="inlineStr">
        <is>
          <t>IF(OR(E190="",COUNT(AG190:AT190)=0),"",TODAY()-LOOKUP(2,1/(AG190:AT190&lt;&gt;""),AG190:AT190))</t>
        </is>
      </c>
      <c r="AC190" s="38" t="inlineStr">
        <is>
          <t>IF(OR(E190="",COUNT(AG190:AT190)&lt;2),"",LOOKUP(2,1/(AG190:AT190&lt;&gt;""),AG190:AT190)-MIN(AG190:AT190))</t>
        </is>
      </c>
      <c r="AD190" s="38" t="inlineStr">
        <is>
          <t>IF(OR(AB190="",AA190="Not started",AA190=""),"",IFERROR(AB190-IF(VLOOKUP(AA190,'04_Status_Pipeline'!$B$3:$E$20,4,FALSE)="",0,VLOOKUP(AA190,'04_Status_Pipeline'!$B$3:$E$20,4,FALSE)),""))</t>
        </is>
      </c>
      <c r="AE190" s="32" t="inlineStr">
        <is>
          <t>IF(E190="","",IF(OR(Y190="Cancelled",AA190="Cancelled"),"Cancelled",IF(OR(AA190="Completed / Handover",W190&lt;&gt;"",X190&gt;=100),"Completed — on track",IF(L190="Remaining",IF(S190="",IF(V190="","No planned date",IF(TODAY()&gt;V190,"Behind — past planned date",IF(V190-TODAY()&lt;=30,"At risk — close to off track","On track"))),IF(TODAY()&gt;S190,"Behind — award date passed",IF(S190-TODAY()&lt;=30,"At risk — close to off track","On track"))),IF(V190="","No planned date",IF(AND(TODAY()&gt;V190,OR(X190="",X190&lt;100)),"Behind — past end date",IF(AND(R190&lt;&gt;"",V190&lt;&gt;"",X190&lt;&gt;"",(X190&lt;100),((TODAY()-R190)/MAX(V190-R190,1)*100)-X190&gt;15),"Behind — progress lag",IF(AND(V190-TODAY()&lt;=30,V190-TODAY()&gt;=0,OR(X190="",X190&lt;90)),"At risk — close to off track","On track"))))))))</t>
        </is>
      </c>
      <c r="AF190" s="38" t="inlineStr">
        <is>
          <t>IF(OR(E190="",AA190="Completed / Handover",AA190="Cancelled"),"",IF(L190="Remaining",IF(S190&lt;&gt;"",S190-TODAY(),IF(V190="","",V190-TODAY())),IF(V190="","",V190-TODAY())))</t>
        </is>
      </c>
      <c r="AG190" s="36" t="n"/>
      <c r="AH190" s="36" t="n"/>
      <c r="AI190" s="36" t="n"/>
      <c r="AJ190" s="36" t="n"/>
      <c r="AK190" s="36" t="n"/>
      <c r="AL190" s="36" t="n"/>
      <c r="AM190" s="36" t="n"/>
      <c r="AN190" s="36" t="n"/>
      <c r="AO190" s="36" t="n"/>
      <c r="AP190" s="36" t="n"/>
      <c r="AQ190" s="36" t="n"/>
      <c r="AR190" s="40" t="n"/>
      <c r="AS190" s="40" t="n"/>
      <c r="AT190" s="40" t="n"/>
      <c r="AU190" s="38" t="inlineStr">
        <is>
          <t>IF(OR(E190="",AH190=""),"",IF(COUNT(AG190:AG190)=0,"",AH190-LOOKUP(2,1/(AG190:AG190&lt;&gt;""),AG190:AG190)))</t>
        </is>
      </c>
      <c r="AV190" s="38" t="inlineStr">
        <is>
          <t>IF(OR(E190="",AI190=""),"",IF(COUNT(AG190:AH190)=0,"",AI190-LOOKUP(2,1/(AG190:AH190&lt;&gt;""),AG190:AH190)))</t>
        </is>
      </c>
      <c r="AW190" s="38" t="inlineStr">
        <is>
          <t>IF(OR(E190="",AJ190=""),"",IF(COUNT(AG190:AI190)=0,"",AJ190-LOOKUP(2,1/(AG190:AI190&lt;&gt;""),AG190:AI190)))</t>
        </is>
      </c>
      <c r="AX190" s="38" t="inlineStr">
        <is>
          <t>IF(OR(E190="",AK190=""),"",IF(COUNT(AG190:AJ190)=0,"",AK190-LOOKUP(2,1/(AG190:AJ190&lt;&gt;""),AG190:AJ190)))</t>
        </is>
      </c>
      <c r="AY190" s="38" t="inlineStr">
        <is>
          <t>IF(OR(E190="",AL190=""),"",IF(COUNT(AG190:AK190)=0,"",AL190-LOOKUP(2,1/(AG190:AK190&lt;&gt;""),AG190:AK190)))</t>
        </is>
      </c>
      <c r="AZ190" s="38" t="inlineStr">
        <is>
          <t>IF(OR(E190="",AM190=""),"",IF(COUNT(AG190:AL190)=0,"",AM190-LOOKUP(2,1/(AG190:AL190&lt;&gt;""),AG190:AL190)))</t>
        </is>
      </c>
      <c r="BA190" s="38" t="inlineStr">
        <is>
          <t>IF(OR(E190="",AN190=""),"",IF(COUNT(AG190:AM190)=0,"",AN190-LOOKUP(2,1/(AG190:AM190&lt;&gt;""),AG190:AM190)))</t>
        </is>
      </c>
      <c r="BB190" s="38" t="inlineStr">
        <is>
          <t>IF(OR(E190="",AO190=""),"",IF(COUNT(AG190:AN190)=0,"",AO190-LOOKUP(2,1/(AG190:AN190&lt;&gt;""),AG190:AN190)))</t>
        </is>
      </c>
      <c r="BC190" s="38" t="inlineStr">
        <is>
          <t>IF(OR(E190="",AP190=""),"",IF(COUNT(AG190:AO190)=0,"",AP190-LOOKUP(2,1/(AG190:AO190&lt;&gt;""),AG190:AO190)))</t>
        </is>
      </c>
      <c r="BD190" s="38" t="inlineStr">
        <is>
          <t>IF(OR(E190="",AQ190=""),"",IF(COUNT(AG190:AP190)=0,"",AQ190-LOOKUP(2,1/(AG190:AP190&lt;&gt;""),AG190:AP190)))</t>
        </is>
      </c>
      <c r="BE190" s="38" t="inlineStr">
        <is>
          <t>IF(OR(E190="",AR190=""),"",IF(COUNT(AG190:AQ190)=0,"",AR190-LOOKUP(2,1/(AG190:AQ190&lt;&gt;""),AG190:AQ190)))</t>
        </is>
      </c>
      <c r="BF190" s="38" t="inlineStr">
        <is>
          <t>IF(OR(E190="",AS190=""),"",IF(COUNT(AG190:AR190)=0,"",AS190-LOOKUP(2,1/(AG190:AR190&lt;&gt;""),AG190:AR190)))</t>
        </is>
      </c>
      <c r="BG190" s="38" t="inlineStr">
        <is>
          <t>IF(OR(E190="",AT190=""),"",IF(COUNT(AG190:AS190)=0,"",AT190-LOOKUP(2,1/(AG190:AS190&lt;&gt;""),AG190:AS190)))</t>
        </is>
      </c>
      <c r="BH190" s="41" t="inlineStr">
        <is>
          <t>IF(G190="","All_Provinces",IFERROR(VLOOKUP(G190,'07_Lookups'!$A$4:$B$20,2,FALSE),"All_Provinces"))</t>
        </is>
      </c>
      <c r="BI190" s="41" t="inlineStr">
        <is>
          <t>IF(H190="","All_Districts",IFERROR(VLOOKUP(H190,'07_Lookups'!$E$4:$F$42,2,FALSE),"All_Districts"))</t>
        </is>
      </c>
    </row>
    <row r="191" ht="18" customHeight="1">
      <c r="A191" s="32" t="inlineStr">
        <is>
          <t>IF(E191="","",ROW()-3)</t>
        </is>
      </c>
      <c r="B191" s="42" t="n"/>
      <c r="C191" s="42" t="n"/>
      <c r="D191" s="42" t="n"/>
      <c r="E191" s="42" t="n"/>
      <c r="F191" s="42" t="n"/>
      <c r="G191" s="42" t="n"/>
      <c r="H191" s="42" t="n"/>
      <c r="I191" s="42" t="n"/>
      <c r="J191" s="42" t="n"/>
      <c r="K191" s="42" t="n"/>
      <c r="L191" s="42" t="n"/>
      <c r="M191" s="42" t="n"/>
      <c r="N191" s="42" t="n"/>
      <c r="O191" s="42" t="n"/>
      <c r="P191" s="42" t="n"/>
      <c r="Q191" s="43" t="n"/>
      <c r="R191" s="35" t="inlineStr">
        <is>
          <t>IF(AO191="","",AO191)</t>
        </is>
      </c>
      <c r="S191" s="44" t="n"/>
      <c r="T191" s="45" t="n"/>
      <c r="U191" s="44" t="n"/>
      <c r="V191" s="35" t="inlineStr">
        <is>
          <t>IF(U191&lt;&gt;"",U191,IF(OR(R191="",T191=""),"",EDATE(R191,T191)))</t>
        </is>
      </c>
      <c r="W191" s="44" t="n"/>
      <c r="X191" s="45" t="n"/>
      <c r="Y191" s="42" t="n"/>
      <c r="Z191" s="42" t="n"/>
      <c r="AA191" s="32" t="inlineStr">
        <is>
          <t>IF(E191="","",IF(COUNT(AG191:AT191)=0,IF(Y191="","Not started",Y191),SUBSTITUTE(LOOKUP(2,1/(AG191:AT191&lt;&gt;""),$AG$3:$AT$3),"Date: ","")))</t>
        </is>
      </c>
      <c r="AB191" s="38" t="inlineStr">
        <is>
          <t>IF(OR(E191="",COUNT(AG191:AT191)=0),"",TODAY()-LOOKUP(2,1/(AG191:AT191&lt;&gt;""),AG191:AT191))</t>
        </is>
      </c>
      <c r="AC191" s="38" t="inlineStr">
        <is>
          <t>IF(OR(E191="",COUNT(AG191:AT191)&lt;2),"",LOOKUP(2,1/(AG191:AT191&lt;&gt;""),AG191:AT191)-MIN(AG191:AT191))</t>
        </is>
      </c>
      <c r="AD191" s="38" t="inlineStr">
        <is>
          <t>IF(OR(AB191="",AA191="Not started",AA191=""),"",IFERROR(AB191-IF(VLOOKUP(AA191,'04_Status_Pipeline'!$B$3:$E$20,4,FALSE)="",0,VLOOKUP(AA191,'04_Status_Pipeline'!$B$3:$E$20,4,FALSE)),""))</t>
        </is>
      </c>
      <c r="AE191" s="32" t="inlineStr">
        <is>
          <t>IF(E191="","",IF(OR(Y191="Cancelled",AA191="Cancelled"),"Cancelled",IF(OR(AA191="Completed / Handover",W191&lt;&gt;"",X191&gt;=100),"Completed — on track",IF(L191="Remaining",IF(S191="",IF(V191="","No planned date",IF(TODAY()&gt;V191,"Behind — past planned date",IF(V191-TODAY()&lt;=30,"At risk — close to off track","On track"))),IF(TODAY()&gt;S191,"Behind — award date passed",IF(S191-TODAY()&lt;=30,"At risk — close to off track","On track"))),IF(V191="","No planned date",IF(AND(TODAY()&gt;V191,OR(X191="",X191&lt;100)),"Behind — past end date",IF(AND(R191&lt;&gt;"",V191&lt;&gt;"",X191&lt;&gt;"",(X191&lt;100),((TODAY()-R191)/MAX(V191-R191,1)*100)-X191&gt;15),"Behind — progress lag",IF(AND(V191-TODAY()&lt;=30,V191-TODAY()&gt;=0,OR(X191="",X191&lt;90)),"At risk — close to off track","On track"))))))))</t>
        </is>
      </c>
      <c r="AF191" s="38" t="inlineStr">
        <is>
          <t>IF(OR(E191="",AA191="Completed / Handover",AA191="Cancelled"),"",IF(L191="Remaining",IF(S191&lt;&gt;"",S191-TODAY(),IF(V191="","",V191-TODAY())),IF(V191="","",V191-TODAY())))</t>
        </is>
      </c>
      <c r="AG191" s="44" t="n"/>
      <c r="AH191" s="44" t="n"/>
      <c r="AI191" s="44" t="n"/>
      <c r="AJ191" s="44" t="n"/>
      <c r="AK191" s="44" t="n"/>
      <c r="AL191" s="44" t="n"/>
      <c r="AM191" s="44" t="n"/>
      <c r="AN191" s="44" t="n"/>
      <c r="AO191" s="44" t="n"/>
      <c r="AP191" s="44" t="n"/>
      <c r="AQ191" s="44" t="n"/>
      <c r="AR191" s="40" t="n"/>
      <c r="AS191" s="40" t="n"/>
      <c r="AT191" s="40" t="n"/>
      <c r="AU191" s="38" t="inlineStr">
        <is>
          <t>IF(OR(E191="",AH191=""),"",IF(COUNT(AG191:AG191)=0,"",AH191-LOOKUP(2,1/(AG191:AG191&lt;&gt;""),AG191:AG191)))</t>
        </is>
      </c>
      <c r="AV191" s="38" t="inlineStr">
        <is>
          <t>IF(OR(E191="",AI191=""),"",IF(COUNT(AG191:AH191)=0,"",AI191-LOOKUP(2,1/(AG191:AH191&lt;&gt;""),AG191:AH191)))</t>
        </is>
      </c>
      <c r="AW191" s="38" t="inlineStr">
        <is>
          <t>IF(OR(E191="",AJ191=""),"",IF(COUNT(AG191:AI191)=0,"",AJ191-LOOKUP(2,1/(AG191:AI191&lt;&gt;""),AG191:AI191)))</t>
        </is>
      </c>
      <c r="AX191" s="38" t="inlineStr">
        <is>
          <t>IF(OR(E191="",AK191=""),"",IF(COUNT(AG191:AJ191)=0,"",AK191-LOOKUP(2,1/(AG191:AJ191&lt;&gt;""),AG191:AJ191)))</t>
        </is>
      </c>
      <c r="AY191" s="38" t="inlineStr">
        <is>
          <t>IF(OR(E191="",AL191=""),"",IF(COUNT(AG191:AK191)=0,"",AL191-LOOKUP(2,1/(AG191:AK191&lt;&gt;""),AG191:AK191)))</t>
        </is>
      </c>
      <c r="AZ191" s="38" t="inlineStr">
        <is>
          <t>IF(OR(E191="",AM191=""),"",IF(COUNT(AG191:AL191)=0,"",AM191-LOOKUP(2,1/(AG191:AL191&lt;&gt;""),AG191:AL191)))</t>
        </is>
      </c>
      <c r="BA191" s="38" t="inlineStr">
        <is>
          <t>IF(OR(E191="",AN191=""),"",IF(COUNT(AG191:AM191)=0,"",AN191-LOOKUP(2,1/(AG191:AM191&lt;&gt;""),AG191:AM191)))</t>
        </is>
      </c>
      <c r="BB191" s="38" t="inlineStr">
        <is>
          <t>IF(OR(E191="",AO191=""),"",IF(COUNT(AG191:AN191)=0,"",AO191-LOOKUP(2,1/(AG191:AN191&lt;&gt;""),AG191:AN191)))</t>
        </is>
      </c>
      <c r="BC191" s="38" t="inlineStr">
        <is>
          <t>IF(OR(E191="",AP191=""),"",IF(COUNT(AG191:AO191)=0,"",AP191-LOOKUP(2,1/(AG191:AO191&lt;&gt;""),AG191:AO191)))</t>
        </is>
      </c>
      <c r="BD191" s="38" t="inlineStr">
        <is>
          <t>IF(OR(E191="",AQ191=""),"",IF(COUNT(AG191:AP191)=0,"",AQ191-LOOKUP(2,1/(AG191:AP191&lt;&gt;""),AG191:AP191)))</t>
        </is>
      </c>
      <c r="BE191" s="38" t="inlineStr">
        <is>
          <t>IF(OR(E191="",AR191=""),"",IF(COUNT(AG191:AQ191)=0,"",AR191-LOOKUP(2,1/(AG191:AQ191&lt;&gt;""),AG191:AQ191)))</t>
        </is>
      </c>
      <c r="BF191" s="38" t="inlineStr">
        <is>
          <t>IF(OR(E191="",AS191=""),"",IF(COUNT(AG191:AR191)=0,"",AS191-LOOKUP(2,1/(AG191:AR191&lt;&gt;""),AG191:AR191)))</t>
        </is>
      </c>
      <c r="BG191" s="38" t="inlineStr">
        <is>
          <t>IF(OR(E191="",AT191=""),"",IF(COUNT(AG191:AS191)=0,"",AT191-LOOKUP(2,1/(AG191:AS191&lt;&gt;""),AG191:AS191)))</t>
        </is>
      </c>
      <c r="BH191" s="41" t="inlineStr">
        <is>
          <t>IF(G191="","All_Provinces",IFERROR(VLOOKUP(G191,'07_Lookups'!$A$4:$B$20,2,FALSE),"All_Provinces"))</t>
        </is>
      </c>
      <c r="BI191" s="41" t="inlineStr">
        <is>
          <t>IF(H191="","All_Districts",IFERROR(VLOOKUP(H191,'07_Lookups'!$E$4:$F$42,2,FALSE),"All_Districts"))</t>
        </is>
      </c>
    </row>
    <row r="192" ht="18" customHeight="1">
      <c r="A192" s="32" t="inlineStr">
        <is>
          <t>IF(E192="","",ROW()-3)</t>
        </is>
      </c>
      <c r="B192" s="33" t="n"/>
      <c r="C192" s="33" t="n"/>
      <c r="D192" s="33" t="n"/>
      <c r="E192" s="33" t="n"/>
      <c r="F192" s="33" t="n"/>
      <c r="G192" s="33" t="n"/>
      <c r="H192" s="33" t="n"/>
      <c r="I192" s="33" t="n"/>
      <c r="J192" s="33" t="n"/>
      <c r="K192" s="33" t="n"/>
      <c r="L192" s="33" t="n"/>
      <c r="M192" s="33" t="n"/>
      <c r="N192" s="33" t="n"/>
      <c r="O192" s="33" t="n"/>
      <c r="P192" s="33" t="n"/>
      <c r="Q192" s="34" t="n"/>
      <c r="R192" s="35" t="inlineStr">
        <is>
          <t>IF(AO192="","",AO192)</t>
        </is>
      </c>
      <c r="S192" s="36" t="n"/>
      <c r="T192" s="37" t="n"/>
      <c r="U192" s="36" t="n"/>
      <c r="V192" s="35" t="inlineStr">
        <is>
          <t>IF(U192&lt;&gt;"",U192,IF(OR(R192="",T192=""),"",EDATE(R192,T192)))</t>
        </is>
      </c>
      <c r="W192" s="36" t="n"/>
      <c r="X192" s="37" t="n"/>
      <c r="Y192" s="33" t="n"/>
      <c r="Z192" s="33" t="n"/>
      <c r="AA192" s="32" t="inlineStr">
        <is>
          <t>IF(E192="","",IF(COUNT(AG192:AT192)=0,IF(Y192="","Not started",Y192),SUBSTITUTE(LOOKUP(2,1/(AG192:AT192&lt;&gt;""),$AG$3:$AT$3),"Date: ","")))</t>
        </is>
      </c>
      <c r="AB192" s="38" t="inlineStr">
        <is>
          <t>IF(OR(E192="",COUNT(AG192:AT192)=0),"",TODAY()-LOOKUP(2,1/(AG192:AT192&lt;&gt;""),AG192:AT192))</t>
        </is>
      </c>
      <c r="AC192" s="38" t="inlineStr">
        <is>
          <t>IF(OR(E192="",COUNT(AG192:AT192)&lt;2),"",LOOKUP(2,1/(AG192:AT192&lt;&gt;""),AG192:AT192)-MIN(AG192:AT192))</t>
        </is>
      </c>
      <c r="AD192" s="38" t="inlineStr">
        <is>
          <t>IF(OR(AB192="",AA192="Not started",AA192=""),"",IFERROR(AB192-IF(VLOOKUP(AA192,'04_Status_Pipeline'!$B$3:$E$20,4,FALSE)="",0,VLOOKUP(AA192,'04_Status_Pipeline'!$B$3:$E$20,4,FALSE)),""))</t>
        </is>
      </c>
      <c r="AE192" s="32" t="inlineStr">
        <is>
          <t>IF(E192="","",IF(OR(Y192="Cancelled",AA192="Cancelled"),"Cancelled",IF(OR(AA192="Completed / Handover",W192&lt;&gt;"",X192&gt;=100),"Completed — on track",IF(L192="Remaining",IF(S192="",IF(V192="","No planned date",IF(TODAY()&gt;V192,"Behind — past planned date",IF(V192-TODAY()&lt;=30,"At risk — close to off track","On track"))),IF(TODAY()&gt;S192,"Behind — award date passed",IF(S192-TODAY()&lt;=30,"At risk — close to off track","On track"))),IF(V192="","No planned date",IF(AND(TODAY()&gt;V192,OR(X192="",X192&lt;100)),"Behind — past end date",IF(AND(R192&lt;&gt;"",V192&lt;&gt;"",X192&lt;&gt;"",(X192&lt;100),((TODAY()-R192)/MAX(V192-R192,1)*100)-X192&gt;15),"Behind — progress lag",IF(AND(V192-TODAY()&lt;=30,V192-TODAY()&gt;=0,OR(X192="",X192&lt;90)),"At risk — close to off track","On track"))))))))</t>
        </is>
      </c>
      <c r="AF192" s="38" t="inlineStr">
        <is>
          <t>IF(OR(E192="",AA192="Completed / Handover",AA192="Cancelled"),"",IF(L192="Remaining",IF(S192&lt;&gt;"",S192-TODAY(),IF(V192="","",V192-TODAY())),IF(V192="","",V192-TODAY())))</t>
        </is>
      </c>
      <c r="AG192" s="36" t="n"/>
      <c r="AH192" s="36" t="n"/>
      <c r="AI192" s="36" t="n"/>
      <c r="AJ192" s="36" t="n"/>
      <c r="AK192" s="36" t="n"/>
      <c r="AL192" s="36" t="n"/>
      <c r="AM192" s="36" t="n"/>
      <c r="AN192" s="36" t="n"/>
      <c r="AO192" s="36" t="n"/>
      <c r="AP192" s="36" t="n"/>
      <c r="AQ192" s="36" t="n"/>
      <c r="AR192" s="40" t="n"/>
      <c r="AS192" s="40" t="n"/>
      <c r="AT192" s="40" t="n"/>
      <c r="AU192" s="38" t="inlineStr">
        <is>
          <t>IF(OR(E192="",AH192=""),"",IF(COUNT(AG192:AG192)=0,"",AH192-LOOKUP(2,1/(AG192:AG192&lt;&gt;""),AG192:AG192)))</t>
        </is>
      </c>
      <c r="AV192" s="38" t="inlineStr">
        <is>
          <t>IF(OR(E192="",AI192=""),"",IF(COUNT(AG192:AH192)=0,"",AI192-LOOKUP(2,1/(AG192:AH192&lt;&gt;""),AG192:AH192)))</t>
        </is>
      </c>
      <c r="AW192" s="38" t="inlineStr">
        <is>
          <t>IF(OR(E192="",AJ192=""),"",IF(COUNT(AG192:AI192)=0,"",AJ192-LOOKUP(2,1/(AG192:AI192&lt;&gt;""),AG192:AI192)))</t>
        </is>
      </c>
      <c r="AX192" s="38" t="inlineStr">
        <is>
          <t>IF(OR(E192="",AK192=""),"",IF(COUNT(AG192:AJ192)=0,"",AK192-LOOKUP(2,1/(AG192:AJ192&lt;&gt;""),AG192:AJ192)))</t>
        </is>
      </c>
      <c r="AY192" s="38" t="inlineStr">
        <is>
          <t>IF(OR(E192="",AL192=""),"",IF(COUNT(AG192:AK192)=0,"",AL192-LOOKUP(2,1/(AG192:AK192&lt;&gt;""),AG192:AK192)))</t>
        </is>
      </c>
      <c r="AZ192" s="38" t="inlineStr">
        <is>
          <t>IF(OR(E192="",AM192=""),"",IF(COUNT(AG192:AL192)=0,"",AM192-LOOKUP(2,1/(AG192:AL192&lt;&gt;""),AG192:AL192)))</t>
        </is>
      </c>
      <c r="BA192" s="38" t="inlineStr">
        <is>
          <t>IF(OR(E192="",AN192=""),"",IF(COUNT(AG192:AM192)=0,"",AN192-LOOKUP(2,1/(AG192:AM192&lt;&gt;""),AG192:AM192)))</t>
        </is>
      </c>
      <c r="BB192" s="38" t="inlineStr">
        <is>
          <t>IF(OR(E192="",AO192=""),"",IF(COUNT(AG192:AN192)=0,"",AO192-LOOKUP(2,1/(AG192:AN192&lt;&gt;""),AG192:AN192)))</t>
        </is>
      </c>
      <c r="BC192" s="38" t="inlineStr">
        <is>
          <t>IF(OR(E192="",AP192=""),"",IF(COUNT(AG192:AO192)=0,"",AP192-LOOKUP(2,1/(AG192:AO192&lt;&gt;""),AG192:AO192)))</t>
        </is>
      </c>
      <c r="BD192" s="38" t="inlineStr">
        <is>
          <t>IF(OR(E192="",AQ192=""),"",IF(COUNT(AG192:AP192)=0,"",AQ192-LOOKUP(2,1/(AG192:AP192&lt;&gt;""),AG192:AP192)))</t>
        </is>
      </c>
      <c r="BE192" s="38" t="inlineStr">
        <is>
          <t>IF(OR(E192="",AR192=""),"",IF(COUNT(AG192:AQ192)=0,"",AR192-LOOKUP(2,1/(AG192:AQ192&lt;&gt;""),AG192:AQ192)))</t>
        </is>
      </c>
      <c r="BF192" s="38" t="inlineStr">
        <is>
          <t>IF(OR(E192="",AS192=""),"",IF(COUNT(AG192:AR192)=0,"",AS192-LOOKUP(2,1/(AG192:AR192&lt;&gt;""),AG192:AR192)))</t>
        </is>
      </c>
      <c r="BG192" s="38" t="inlineStr">
        <is>
          <t>IF(OR(E192="",AT192=""),"",IF(COUNT(AG192:AS192)=0,"",AT192-LOOKUP(2,1/(AG192:AS192&lt;&gt;""),AG192:AS192)))</t>
        </is>
      </c>
      <c r="BH192" s="41" t="inlineStr">
        <is>
          <t>IF(G192="","All_Provinces",IFERROR(VLOOKUP(G192,'07_Lookups'!$A$4:$B$20,2,FALSE),"All_Provinces"))</t>
        </is>
      </c>
      <c r="BI192" s="41" t="inlineStr">
        <is>
          <t>IF(H192="","All_Districts",IFERROR(VLOOKUP(H192,'07_Lookups'!$E$4:$F$42,2,FALSE),"All_Districts"))</t>
        </is>
      </c>
    </row>
    <row r="193" ht="18" customHeight="1">
      <c r="A193" s="32" t="inlineStr">
        <is>
          <t>IF(E193="","",ROW()-3)</t>
        </is>
      </c>
      <c r="B193" s="42" t="n"/>
      <c r="C193" s="42" t="n"/>
      <c r="D193" s="42" t="n"/>
      <c r="E193" s="42" t="n"/>
      <c r="F193" s="42" t="n"/>
      <c r="G193" s="42" t="n"/>
      <c r="H193" s="42" t="n"/>
      <c r="I193" s="42" t="n"/>
      <c r="J193" s="42" t="n"/>
      <c r="K193" s="42" t="n"/>
      <c r="L193" s="42" t="n"/>
      <c r="M193" s="42" t="n"/>
      <c r="N193" s="42" t="n"/>
      <c r="O193" s="42" t="n"/>
      <c r="P193" s="42" t="n"/>
      <c r="Q193" s="43" t="n"/>
      <c r="R193" s="35" t="inlineStr">
        <is>
          <t>IF(AO193="","",AO193)</t>
        </is>
      </c>
      <c r="S193" s="44" t="n"/>
      <c r="T193" s="45" t="n"/>
      <c r="U193" s="44" t="n"/>
      <c r="V193" s="35" t="inlineStr">
        <is>
          <t>IF(U193&lt;&gt;"",U193,IF(OR(R193="",T193=""),"",EDATE(R193,T193)))</t>
        </is>
      </c>
      <c r="W193" s="44" t="n"/>
      <c r="X193" s="45" t="n"/>
      <c r="Y193" s="42" t="n"/>
      <c r="Z193" s="42" t="n"/>
      <c r="AA193" s="32" t="inlineStr">
        <is>
          <t>IF(E193="","",IF(COUNT(AG193:AT193)=0,IF(Y193="","Not started",Y193),SUBSTITUTE(LOOKUP(2,1/(AG193:AT193&lt;&gt;""),$AG$3:$AT$3),"Date: ","")))</t>
        </is>
      </c>
      <c r="AB193" s="38" t="inlineStr">
        <is>
          <t>IF(OR(E193="",COUNT(AG193:AT193)=0),"",TODAY()-LOOKUP(2,1/(AG193:AT193&lt;&gt;""),AG193:AT193))</t>
        </is>
      </c>
      <c r="AC193" s="38" t="inlineStr">
        <is>
          <t>IF(OR(E193="",COUNT(AG193:AT193)&lt;2),"",LOOKUP(2,1/(AG193:AT193&lt;&gt;""),AG193:AT193)-MIN(AG193:AT193))</t>
        </is>
      </c>
      <c r="AD193" s="38" t="inlineStr">
        <is>
          <t>IF(OR(AB193="",AA193="Not started",AA193=""),"",IFERROR(AB193-IF(VLOOKUP(AA193,'04_Status_Pipeline'!$B$3:$E$20,4,FALSE)="",0,VLOOKUP(AA193,'04_Status_Pipeline'!$B$3:$E$20,4,FALSE)),""))</t>
        </is>
      </c>
      <c r="AE193" s="32" t="inlineStr">
        <is>
          <t>IF(E193="","",IF(OR(Y193="Cancelled",AA193="Cancelled"),"Cancelled",IF(OR(AA193="Completed / Handover",W193&lt;&gt;"",X193&gt;=100),"Completed — on track",IF(L193="Remaining",IF(S193="",IF(V193="","No planned date",IF(TODAY()&gt;V193,"Behind — past planned date",IF(V193-TODAY()&lt;=30,"At risk — close to off track","On track"))),IF(TODAY()&gt;S193,"Behind — award date passed",IF(S193-TODAY()&lt;=30,"At risk — close to off track","On track"))),IF(V193="","No planned date",IF(AND(TODAY()&gt;V193,OR(X193="",X193&lt;100)),"Behind — past end date",IF(AND(R193&lt;&gt;"",V193&lt;&gt;"",X193&lt;&gt;"",(X193&lt;100),((TODAY()-R193)/MAX(V193-R193,1)*100)-X193&gt;15),"Behind — progress lag",IF(AND(V193-TODAY()&lt;=30,V193-TODAY()&gt;=0,OR(X193="",X193&lt;90)),"At risk — close to off track","On track"))))))))</t>
        </is>
      </c>
      <c r="AF193" s="38" t="inlineStr">
        <is>
          <t>IF(OR(E193="",AA193="Completed / Handover",AA193="Cancelled"),"",IF(L193="Remaining",IF(S193&lt;&gt;"",S193-TODAY(),IF(V193="","",V193-TODAY())),IF(V193="","",V193-TODAY())))</t>
        </is>
      </c>
      <c r="AG193" s="44" t="n"/>
      <c r="AH193" s="44" t="n"/>
      <c r="AI193" s="44" t="n"/>
      <c r="AJ193" s="44" t="n"/>
      <c r="AK193" s="44" t="n"/>
      <c r="AL193" s="44" t="n"/>
      <c r="AM193" s="44" t="n"/>
      <c r="AN193" s="44" t="n"/>
      <c r="AO193" s="44" t="n"/>
      <c r="AP193" s="44" t="n"/>
      <c r="AQ193" s="44" t="n"/>
      <c r="AR193" s="40" t="n"/>
      <c r="AS193" s="40" t="n"/>
      <c r="AT193" s="40" t="n"/>
      <c r="AU193" s="38" t="inlineStr">
        <is>
          <t>IF(OR(E193="",AH193=""),"",IF(COUNT(AG193:AG193)=0,"",AH193-LOOKUP(2,1/(AG193:AG193&lt;&gt;""),AG193:AG193)))</t>
        </is>
      </c>
      <c r="AV193" s="38" t="inlineStr">
        <is>
          <t>IF(OR(E193="",AI193=""),"",IF(COUNT(AG193:AH193)=0,"",AI193-LOOKUP(2,1/(AG193:AH193&lt;&gt;""),AG193:AH193)))</t>
        </is>
      </c>
      <c r="AW193" s="38" t="inlineStr">
        <is>
          <t>IF(OR(E193="",AJ193=""),"",IF(COUNT(AG193:AI193)=0,"",AJ193-LOOKUP(2,1/(AG193:AI193&lt;&gt;""),AG193:AI193)))</t>
        </is>
      </c>
      <c r="AX193" s="38" t="inlineStr">
        <is>
          <t>IF(OR(E193="",AK193=""),"",IF(COUNT(AG193:AJ193)=0,"",AK193-LOOKUP(2,1/(AG193:AJ193&lt;&gt;""),AG193:AJ193)))</t>
        </is>
      </c>
      <c r="AY193" s="38" t="inlineStr">
        <is>
          <t>IF(OR(E193="",AL193=""),"",IF(COUNT(AG193:AK193)=0,"",AL193-LOOKUP(2,1/(AG193:AK193&lt;&gt;""),AG193:AK193)))</t>
        </is>
      </c>
      <c r="AZ193" s="38" t="inlineStr">
        <is>
          <t>IF(OR(E193="",AM193=""),"",IF(COUNT(AG193:AL193)=0,"",AM193-LOOKUP(2,1/(AG193:AL193&lt;&gt;""),AG193:AL193)))</t>
        </is>
      </c>
      <c r="BA193" s="38" t="inlineStr">
        <is>
          <t>IF(OR(E193="",AN193=""),"",IF(COUNT(AG193:AM193)=0,"",AN193-LOOKUP(2,1/(AG193:AM193&lt;&gt;""),AG193:AM193)))</t>
        </is>
      </c>
      <c r="BB193" s="38" t="inlineStr">
        <is>
          <t>IF(OR(E193="",AO193=""),"",IF(COUNT(AG193:AN193)=0,"",AO193-LOOKUP(2,1/(AG193:AN193&lt;&gt;""),AG193:AN193)))</t>
        </is>
      </c>
      <c r="BC193" s="38" t="inlineStr">
        <is>
          <t>IF(OR(E193="",AP193=""),"",IF(COUNT(AG193:AO193)=0,"",AP193-LOOKUP(2,1/(AG193:AO193&lt;&gt;""),AG193:AO193)))</t>
        </is>
      </c>
      <c r="BD193" s="38" t="inlineStr">
        <is>
          <t>IF(OR(E193="",AQ193=""),"",IF(COUNT(AG193:AP193)=0,"",AQ193-LOOKUP(2,1/(AG193:AP193&lt;&gt;""),AG193:AP193)))</t>
        </is>
      </c>
      <c r="BE193" s="38" t="inlineStr">
        <is>
          <t>IF(OR(E193="",AR193=""),"",IF(COUNT(AG193:AQ193)=0,"",AR193-LOOKUP(2,1/(AG193:AQ193&lt;&gt;""),AG193:AQ193)))</t>
        </is>
      </c>
      <c r="BF193" s="38" t="inlineStr">
        <is>
          <t>IF(OR(E193="",AS193=""),"",IF(COUNT(AG193:AR193)=0,"",AS193-LOOKUP(2,1/(AG193:AR193&lt;&gt;""),AG193:AR193)))</t>
        </is>
      </c>
      <c r="BG193" s="38" t="inlineStr">
        <is>
          <t>IF(OR(E193="",AT193=""),"",IF(COUNT(AG193:AS193)=0,"",AT193-LOOKUP(2,1/(AG193:AS193&lt;&gt;""),AG193:AS193)))</t>
        </is>
      </c>
      <c r="BH193" s="41" t="inlineStr">
        <is>
          <t>IF(G193="","All_Provinces",IFERROR(VLOOKUP(G193,'07_Lookups'!$A$4:$B$20,2,FALSE),"All_Provinces"))</t>
        </is>
      </c>
      <c r="BI193" s="41" t="inlineStr">
        <is>
          <t>IF(H193="","All_Districts",IFERROR(VLOOKUP(H193,'07_Lookups'!$E$4:$F$42,2,FALSE),"All_Districts"))</t>
        </is>
      </c>
    </row>
    <row r="194" ht="18" customHeight="1">
      <c r="A194" s="32" t="inlineStr">
        <is>
          <t>IF(E194="","",ROW()-3)</t>
        </is>
      </c>
      <c r="B194" s="33" t="n"/>
      <c r="C194" s="33" t="n"/>
      <c r="D194" s="33" t="n"/>
      <c r="E194" s="33" t="n"/>
      <c r="F194" s="33" t="n"/>
      <c r="G194" s="33" t="n"/>
      <c r="H194" s="33" t="n"/>
      <c r="I194" s="33" t="n"/>
      <c r="J194" s="33" t="n"/>
      <c r="K194" s="33" t="n"/>
      <c r="L194" s="33" t="n"/>
      <c r="M194" s="33" t="n"/>
      <c r="N194" s="33" t="n"/>
      <c r="O194" s="33" t="n"/>
      <c r="P194" s="33" t="n"/>
      <c r="Q194" s="34" t="n"/>
      <c r="R194" s="35" t="inlineStr">
        <is>
          <t>IF(AO194="","",AO194)</t>
        </is>
      </c>
      <c r="S194" s="36" t="n"/>
      <c r="T194" s="37" t="n"/>
      <c r="U194" s="36" t="n"/>
      <c r="V194" s="35" t="inlineStr">
        <is>
          <t>IF(U194&lt;&gt;"",U194,IF(OR(R194="",T194=""),"",EDATE(R194,T194)))</t>
        </is>
      </c>
      <c r="W194" s="36" t="n"/>
      <c r="X194" s="37" t="n"/>
      <c r="Y194" s="33" t="n"/>
      <c r="Z194" s="33" t="n"/>
      <c r="AA194" s="32" t="inlineStr">
        <is>
          <t>IF(E194="","",IF(COUNT(AG194:AT194)=0,IF(Y194="","Not started",Y194),SUBSTITUTE(LOOKUP(2,1/(AG194:AT194&lt;&gt;""),$AG$3:$AT$3),"Date: ","")))</t>
        </is>
      </c>
      <c r="AB194" s="38" t="inlineStr">
        <is>
          <t>IF(OR(E194="",COUNT(AG194:AT194)=0),"",TODAY()-LOOKUP(2,1/(AG194:AT194&lt;&gt;""),AG194:AT194))</t>
        </is>
      </c>
      <c r="AC194" s="38" t="inlineStr">
        <is>
          <t>IF(OR(E194="",COUNT(AG194:AT194)&lt;2),"",LOOKUP(2,1/(AG194:AT194&lt;&gt;""),AG194:AT194)-MIN(AG194:AT194))</t>
        </is>
      </c>
      <c r="AD194" s="38" t="inlineStr">
        <is>
          <t>IF(OR(AB194="",AA194="Not started",AA194=""),"",IFERROR(AB194-IF(VLOOKUP(AA194,'04_Status_Pipeline'!$B$3:$E$20,4,FALSE)="",0,VLOOKUP(AA194,'04_Status_Pipeline'!$B$3:$E$20,4,FALSE)),""))</t>
        </is>
      </c>
      <c r="AE194" s="32" t="inlineStr">
        <is>
          <t>IF(E194="","",IF(OR(Y194="Cancelled",AA194="Cancelled"),"Cancelled",IF(OR(AA194="Completed / Handover",W194&lt;&gt;"",X194&gt;=100),"Completed — on track",IF(L194="Remaining",IF(S194="",IF(V194="","No planned date",IF(TODAY()&gt;V194,"Behind — past planned date",IF(V194-TODAY()&lt;=30,"At risk — close to off track","On track"))),IF(TODAY()&gt;S194,"Behind — award date passed",IF(S194-TODAY()&lt;=30,"At risk — close to off track","On track"))),IF(V194="","No planned date",IF(AND(TODAY()&gt;V194,OR(X194="",X194&lt;100)),"Behind — past end date",IF(AND(R194&lt;&gt;"",V194&lt;&gt;"",X194&lt;&gt;"",(X194&lt;100),((TODAY()-R194)/MAX(V194-R194,1)*100)-X194&gt;15),"Behind — progress lag",IF(AND(V194-TODAY()&lt;=30,V194-TODAY()&gt;=0,OR(X194="",X194&lt;90)),"At risk — close to off track","On track"))))))))</t>
        </is>
      </c>
      <c r="AF194" s="38" t="inlineStr">
        <is>
          <t>IF(OR(E194="",AA194="Completed / Handover",AA194="Cancelled"),"",IF(L194="Remaining",IF(S194&lt;&gt;"",S194-TODAY(),IF(V194="","",V194-TODAY())),IF(V194="","",V194-TODAY())))</t>
        </is>
      </c>
      <c r="AG194" s="36" t="n"/>
      <c r="AH194" s="36" t="n"/>
      <c r="AI194" s="36" t="n"/>
      <c r="AJ194" s="36" t="n"/>
      <c r="AK194" s="36" t="n"/>
      <c r="AL194" s="36" t="n"/>
      <c r="AM194" s="36" t="n"/>
      <c r="AN194" s="36" t="n"/>
      <c r="AO194" s="36" t="n"/>
      <c r="AP194" s="36" t="n"/>
      <c r="AQ194" s="36" t="n"/>
      <c r="AR194" s="40" t="n"/>
      <c r="AS194" s="40" t="n"/>
      <c r="AT194" s="40" t="n"/>
      <c r="AU194" s="38" t="inlineStr">
        <is>
          <t>IF(OR(E194="",AH194=""),"",IF(COUNT(AG194:AG194)=0,"",AH194-LOOKUP(2,1/(AG194:AG194&lt;&gt;""),AG194:AG194)))</t>
        </is>
      </c>
      <c r="AV194" s="38" t="inlineStr">
        <is>
          <t>IF(OR(E194="",AI194=""),"",IF(COUNT(AG194:AH194)=0,"",AI194-LOOKUP(2,1/(AG194:AH194&lt;&gt;""),AG194:AH194)))</t>
        </is>
      </c>
      <c r="AW194" s="38" t="inlineStr">
        <is>
          <t>IF(OR(E194="",AJ194=""),"",IF(COUNT(AG194:AI194)=0,"",AJ194-LOOKUP(2,1/(AG194:AI194&lt;&gt;""),AG194:AI194)))</t>
        </is>
      </c>
      <c r="AX194" s="38" t="inlineStr">
        <is>
          <t>IF(OR(E194="",AK194=""),"",IF(COUNT(AG194:AJ194)=0,"",AK194-LOOKUP(2,1/(AG194:AJ194&lt;&gt;""),AG194:AJ194)))</t>
        </is>
      </c>
      <c r="AY194" s="38" t="inlineStr">
        <is>
          <t>IF(OR(E194="",AL194=""),"",IF(COUNT(AG194:AK194)=0,"",AL194-LOOKUP(2,1/(AG194:AK194&lt;&gt;""),AG194:AK194)))</t>
        </is>
      </c>
      <c r="AZ194" s="38" t="inlineStr">
        <is>
          <t>IF(OR(E194="",AM194=""),"",IF(COUNT(AG194:AL194)=0,"",AM194-LOOKUP(2,1/(AG194:AL194&lt;&gt;""),AG194:AL194)))</t>
        </is>
      </c>
      <c r="BA194" s="38" t="inlineStr">
        <is>
          <t>IF(OR(E194="",AN194=""),"",IF(COUNT(AG194:AM194)=0,"",AN194-LOOKUP(2,1/(AG194:AM194&lt;&gt;""),AG194:AM194)))</t>
        </is>
      </c>
      <c r="BB194" s="38" t="inlineStr">
        <is>
          <t>IF(OR(E194="",AO194=""),"",IF(COUNT(AG194:AN194)=0,"",AO194-LOOKUP(2,1/(AG194:AN194&lt;&gt;""),AG194:AN194)))</t>
        </is>
      </c>
      <c r="BC194" s="38" t="inlineStr">
        <is>
          <t>IF(OR(E194="",AP194=""),"",IF(COUNT(AG194:AO194)=0,"",AP194-LOOKUP(2,1/(AG194:AO194&lt;&gt;""),AG194:AO194)))</t>
        </is>
      </c>
      <c r="BD194" s="38" t="inlineStr">
        <is>
          <t>IF(OR(E194="",AQ194=""),"",IF(COUNT(AG194:AP194)=0,"",AQ194-LOOKUP(2,1/(AG194:AP194&lt;&gt;""),AG194:AP194)))</t>
        </is>
      </c>
      <c r="BE194" s="38" t="inlineStr">
        <is>
          <t>IF(OR(E194="",AR194=""),"",IF(COUNT(AG194:AQ194)=0,"",AR194-LOOKUP(2,1/(AG194:AQ194&lt;&gt;""),AG194:AQ194)))</t>
        </is>
      </c>
      <c r="BF194" s="38" t="inlineStr">
        <is>
          <t>IF(OR(E194="",AS194=""),"",IF(COUNT(AG194:AR194)=0,"",AS194-LOOKUP(2,1/(AG194:AR194&lt;&gt;""),AG194:AR194)))</t>
        </is>
      </c>
      <c r="BG194" s="38" t="inlineStr">
        <is>
          <t>IF(OR(E194="",AT194=""),"",IF(COUNT(AG194:AS194)=0,"",AT194-LOOKUP(2,1/(AG194:AS194&lt;&gt;""),AG194:AS194)))</t>
        </is>
      </c>
      <c r="BH194" s="41" t="inlineStr">
        <is>
          <t>IF(G194="","All_Provinces",IFERROR(VLOOKUP(G194,'07_Lookups'!$A$4:$B$20,2,FALSE),"All_Provinces"))</t>
        </is>
      </c>
      <c r="BI194" s="41" t="inlineStr">
        <is>
          <t>IF(H194="","All_Districts",IFERROR(VLOOKUP(H194,'07_Lookups'!$E$4:$F$42,2,FALSE),"All_Districts"))</t>
        </is>
      </c>
    </row>
    <row r="195" ht="18" customHeight="1">
      <c r="A195" s="32" t="inlineStr">
        <is>
          <t>IF(E195="","",ROW()-3)</t>
        </is>
      </c>
      <c r="B195" s="42" t="n"/>
      <c r="C195" s="42" t="n"/>
      <c r="D195" s="42" t="n"/>
      <c r="E195" s="42" t="n"/>
      <c r="F195" s="42" t="n"/>
      <c r="G195" s="42" t="n"/>
      <c r="H195" s="42" t="n"/>
      <c r="I195" s="42" t="n"/>
      <c r="J195" s="42" t="n"/>
      <c r="K195" s="42" t="n"/>
      <c r="L195" s="42" t="n"/>
      <c r="M195" s="42" t="n"/>
      <c r="N195" s="42" t="n"/>
      <c r="O195" s="42" t="n"/>
      <c r="P195" s="42" t="n"/>
      <c r="Q195" s="43" t="n"/>
      <c r="R195" s="35" t="inlineStr">
        <is>
          <t>IF(AO195="","",AO195)</t>
        </is>
      </c>
      <c r="S195" s="44" t="n"/>
      <c r="T195" s="45" t="n"/>
      <c r="U195" s="44" t="n"/>
      <c r="V195" s="35" t="inlineStr">
        <is>
          <t>IF(U195&lt;&gt;"",U195,IF(OR(R195="",T195=""),"",EDATE(R195,T195)))</t>
        </is>
      </c>
      <c r="W195" s="44" t="n"/>
      <c r="X195" s="45" t="n"/>
      <c r="Y195" s="42" t="n"/>
      <c r="Z195" s="42" t="n"/>
      <c r="AA195" s="32" t="inlineStr">
        <is>
          <t>IF(E195="","",IF(COUNT(AG195:AT195)=0,IF(Y195="","Not started",Y195),SUBSTITUTE(LOOKUP(2,1/(AG195:AT195&lt;&gt;""),$AG$3:$AT$3),"Date: ","")))</t>
        </is>
      </c>
      <c r="AB195" s="38" t="inlineStr">
        <is>
          <t>IF(OR(E195="",COUNT(AG195:AT195)=0),"",TODAY()-LOOKUP(2,1/(AG195:AT195&lt;&gt;""),AG195:AT195))</t>
        </is>
      </c>
      <c r="AC195" s="38" t="inlineStr">
        <is>
          <t>IF(OR(E195="",COUNT(AG195:AT195)&lt;2),"",LOOKUP(2,1/(AG195:AT195&lt;&gt;""),AG195:AT195)-MIN(AG195:AT195))</t>
        </is>
      </c>
      <c r="AD195" s="38" t="inlineStr">
        <is>
          <t>IF(OR(AB195="",AA195="Not started",AA195=""),"",IFERROR(AB195-IF(VLOOKUP(AA195,'04_Status_Pipeline'!$B$3:$E$20,4,FALSE)="",0,VLOOKUP(AA195,'04_Status_Pipeline'!$B$3:$E$20,4,FALSE)),""))</t>
        </is>
      </c>
      <c r="AE195" s="32" t="inlineStr">
        <is>
          <t>IF(E195="","",IF(OR(Y195="Cancelled",AA195="Cancelled"),"Cancelled",IF(OR(AA195="Completed / Handover",W195&lt;&gt;"",X195&gt;=100),"Completed — on track",IF(L195="Remaining",IF(S195="",IF(V195="","No planned date",IF(TODAY()&gt;V195,"Behind — past planned date",IF(V195-TODAY()&lt;=30,"At risk — close to off track","On track"))),IF(TODAY()&gt;S195,"Behind — award date passed",IF(S195-TODAY()&lt;=30,"At risk — close to off track","On track"))),IF(V195="","No planned date",IF(AND(TODAY()&gt;V195,OR(X195="",X195&lt;100)),"Behind — past end date",IF(AND(R195&lt;&gt;"",V195&lt;&gt;"",X195&lt;&gt;"",(X195&lt;100),((TODAY()-R195)/MAX(V195-R195,1)*100)-X195&gt;15),"Behind — progress lag",IF(AND(V195-TODAY()&lt;=30,V195-TODAY()&gt;=0,OR(X195="",X195&lt;90)),"At risk — close to off track","On track"))))))))</t>
        </is>
      </c>
      <c r="AF195" s="38" t="inlineStr">
        <is>
          <t>IF(OR(E195="",AA195="Completed / Handover",AA195="Cancelled"),"",IF(L195="Remaining",IF(S195&lt;&gt;"",S195-TODAY(),IF(V195="","",V195-TODAY())),IF(V195="","",V195-TODAY())))</t>
        </is>
      </c>
      <c r="AG195" s="44" t="n"/>
      <c r="AH195" s="44" t="n"/>
      <c r="AI195" s="44" t="n"/>
      <c r="AJ195" s="44" t="n"/>
      <c r="AK195" s="44" t="n"/>
      <c r="AL195" s="44" t="n"/>
      <c r="AM195" s="44" t="n"/>
      <c r="AN195" s="44" t="n"/>
      <c r="AO195" s="44" t="n"/>
      <c r="AP195" s="44" t="n"/>
      <c r="AQ195" s="44" t="n"/>
      <c r="AR195" s="40" t="n"/>
      <c r="AS195" s="40" t="n"/>
      <c r="AT195" s="40" t="n"/>
      <c r="AU195" s="38" t="inlineStr">
        <is>
          <t>IF(OR(E195="",AH195=""),"",IF(COUNT(AG195:AG195)=0,"",AH195-LOOKUP(2,1/(AG195:AG195&lt;&gt;""),AG195:AG195)))</t>
        </is>
      </c>
      <c r="AV195" s="38" t="inlineStr">
        <is>
          <t>IF(OR(E195="",AI195=""),"",IF(COUNT(AG195:AH195)=0,"",AI195-LOOKUP(2,1/(AG195:AH195&lt;&gt;""),AG195:AH195)))</t>
        </is>
      </c>
      <c r="AW195" s="38" t="inlineStr">
        <is>
          <t>IF(OR(E195="",AJ195=""),"",IF(COUNT(AG195:AI195)=0,"",AJ195-LOOKUP(2,1/(AG195:AI195&lt;&gt;""),AG195:AI195)))</t>
        </is>
      </c>
      <c r="AX195" s="38" t="inlineStr">
        <is>
          <t>IF(OR(E195="",AK195=""),"",IF(COUNT(AG195:AJ195)=0,"",AK195-LOOKUP(2,1/(AG195:AJ195&lt;&gt;""),AG195:AJ195)))</t>
        </is>
      </c>
      <c r="AY195" s="38" t="inlineStr">
        <is>
          <t>IF(OR(E195="",AL195=""),"",IF(COUNT(AG195:AK195)=0,"",AL195-LOOKUP(2,1/(AG195:AK195&lt;&gt;""),AG195:AK195)))</t>
        </is>
      </c>
      <c r="AZ195" s="38" t="inlineStr">
        <is>
          <t>IF(OR(E195="",AM195=""),"",IF(COUNT(AG195:AL195)=0,"",AM195-LOOKUP(2,1/(AG195:AL195&lt;&gt;""),AG195:AL195)))</t>
        </is>
      </c>
      <c r="BA195" s="38" t="inlineStr">
        <is>
          <t>IF(OR(E195="",AN195=""),"",IF(COUNT(AG195:AM195)=0,"",AN195-LOOKUP(2,1/(AG195:AM195&lt;&gt;""),AG195:AM195)))</t>
        </is>
      </c>
      <c r="BB195" s="38" t="inlineStr">
        <is>
          <t>IF(OR(E195="",AO195=""),"",IF(COUNT(AG195:AN195)=0,"",AO195-LOOKUP(2,1/(AG195:AN195&lt;&gt;""),AG195:AN195)))</t>
        </is>
      </c>
      <c r="BC195" s="38" t="inlineStr">
        <is>
          <t>IF(OR(E195="",AP195=""),"",IF(COUNT(AG195:AO195)=0,"",AP195-LOOKUP(2,1/(AG195:AO195&lt;&gt;""),AG195:AO195)))</t>
        </is>
      </c>
      <c r="BD195" s="38" t="inlineStr">
        <is>
          <t>IF(OR(E195="",AQ195=""),"",IF(COUNT(AG195:AP195)=0,"",AQ195-LOOKUP(2,1/(AG195:AP195&lt;&gt;""),AG195:AP195)))</t>
        </is>
      </c>
      <c r="BE195" s="38" t="inlineStr">
        <is>
          <t>IF(OR(E195="",AR195=""),"",IF(COUNT(AG195:AQ195)=0,"",AR195-LOOKUP(2,1/(AG195:AQ195&lt;&gt;""),AG195:AQ195)))</t>
        </is>
      </c>
      <c r="BF195" s="38" t="inlineStr">
        <is>
          <t>IF(OR(E195="",AS195=""),"",IF(COUNT(AG195:AR195)=0,"",AS195-LOOKUP(2,1/(AG195:AR195&lt;&gt;""),AG195:AR195)))</t>
        </is>
      </c>
      <c r="BG195" s="38" t="inlineStr">
        <is>
          <t>IF(OR(E195="",AT195=""),"",IF(COUNT(AG195:AS195)=0,"",AT195-LOOKUP(2,1/(AG195:AS195&lt;&gt;""),AG195:AS195)))</t>
        </is>
      </c>
      <c r="BH195" s="41" t="inlineStr">
        <is>
          <t>IF(G195="","All_Provinces",IFERROR(VLOOKUP(G195,'07_Lookups'!$A$4:$B$20,2,FALSE),"All_Provinces"))</t>
        </is>
      </c>
      <c r="BI195" s="41" t="inlineStr">
        <is>
          <t>IF(H195="","All_Districts",IFERROR(VLOOKUP(H195,'07_Lookups'!$E$4:$F$42,2,FALSE),"All_Districts"))</t>
        </is>
      </c>
    </row>
    <row r="196" ht="18" customHeight="1">
      <c r="A196" s="32" t="inlineStr">
        <is>
          <t>IF(E196="","",ROW()-3)</t>
        </is>
      </c>
      <c r="B196" s="33" t="n"/>
      <c r="C196" s="33" t="n"/>
      <c r="D196" s="33" t="n"/>
      <c r="E196" s="33" t="n"/>
      <c r="F196" s="33" t="n"/>
      <c r="G196" s="33" t="n"/>
      <c r="H196" s="33" t="n"/>
      <c r="I196" s="33" t="n"/>
      <c r="J196" s="33" t="n"/>
      <c r="K196" s="33" t="n"/>
      <c r="L196" s="33" t="n"/>
      <c r="M196" s="33" t="n"/>
      <c r="N196" s="33" t="n"/>
      <c r="O196" s="33" t="n"/>
      <c r="P196" s="33" t="n"/>
      <c r="Q196" s="34" t="n"/>
      <c r="R196" s="35" t="inlineStr">
        <is>
          <t>IF(AO196="","",AO196)</t>
        </is>
      </c>
      <c r="S196" s="36" t="n"/>
      <c r="T196" s="37" t="n"/>
      <c r="U196" s="36" t="n"/>
      <c r="V196" s="35" t="inlineStr">
        <is>
          <t>IF(U196&lt;&gt;"",U196,IF(OR(R196="",T196=""),"",EDATE(R196,T196)))</t>
        </is>
      </c>
      <c r="W196" s="36" t="n"/>
      <c r="X196" s="37" t="n"/>
      <c r="Y196" s="33" t="n"/>
      <c r="Z196" s="33" t="n"/>
      <c r="AA196" s="32" t="inlineStr">
        <is>
          <t>IF(E196="","",IF(COUNT(AG196:AT196)=0,IF(Y196="","Not started",Y196),SUBSTITUTE(LOOKUP(2,1/(AG196:AT196&lt;&gt;""),$AG$3:$AT$3),"Date: ","")))</t>
        </is>
      </c>
      <c r="AB196" s="38" t="inlineStr">
        <is>
          <t>IF(OR(E196="",COUNT(AG196:AT196)=0),"",TODAY()-LOOKUP(2,1/(AG196:AT196&lt;&gt;""),AG196:AT196))</t>
        </is>
      </c>
      <c r="AC196" s="38" t="inlineStr">
        <is>
          <t>IF(OR(E196="",COUNT(AG196:AT196)&lt;2),"",LOOKUP(2,1/(AG196:AT196&lt;&gt;""),AG196:AT196)-MIN(AG196:AT196))</t>
        </is>
      </c>
      <c r="AD196" s="38" t="inlineStr">
        <is>
          <t>IF(OR(AB196="",AA196="Not started",AA196=""),"",IFERROR(AB196-IF(VLOOKUP(AA196,'04_Status_Pipeline'!$B$3:$E$20,4,FALSE)="",0,VLOOKUP(AA196,'04_Status_Pipeline'!$B$3:$E$20,4,FALSE)),""))</t>
        </is>
      </c>
      <c r="AE196" s="32" t="inlineStr">
        <is>
          <t>IF(E196="","",IF(OR(Y196="Cancelled",AA196="Cancelled"),"Cancelled",IF(OR(AA196="Completed / Handover",W196&lt;&gt;"",X196&gt;=100),"Completed — on track",IF(L196="Remaining",IF(S196="",IF(V196="","No planned date",IF(TODAY()&gt;V196,"Behind — past planned date",IF(V196-TODAY()&lt;=30,"At risk — close to off track","On track"))),IF(TODAY()&gt;S196,"Behind — award date passed",IF(S196-TODAY()&lt;=30,"At risk — close to off track","On track"))),IF(V196="","No planned date",IF(AND(TODAY()&gt;V196,OR(X196="",X196&lt;100)),"Behind — past end date",IF(AND(R196&lt;&gt;"",V196&lt;&gt;"",X196&lt;&gt;"",(X196&lt;100),((TODAY()-R196)/MAX(V196-R196,1)*100)-X196&gt;15),"Behind — progress lag",IF(AND(V196-TODAY()&lt;=30,V196-TODAY()&gt;=0,OR(X196="",X196&lt;90)),"At risk — close to off track","On track"))))))))</t>
        </is>
      </c>
      <c r="AF196" s="38" t="inlineStr">
        <is>
          <t>IF(OR(E196="",AA196="Completed / Handover",AA196="Cancelled"),"",IF(L196="Remaining",IF(S196&lt;&gt;"",S196-TODAY(),IF(V196="","",V196-TODAY())),IF(V196="","",V196-TODAY())))</t>
        </is>
      </c>
      <c r="AG196" s="36" t="n"/>
      <c r="AH196" s="36" t="n"/>
      <c r="AI196" s="36" t="n"/>
      <c r="AJ196" s="36" t="n"/>
      <c r="AK196" s="36" t="n"/>
      <c r="AL196" s="36" t="n"/>
      <c r="AM196" s="36" t="n"/>
      <c r="AN196" s="36" t="n"/>
      <c r="AO196" s="36" t="n"/>
      <c r="AP196" s="36" t="n"/>
      <c r="AQ196" s="36" t="n"/>
      <c r="AR196" s="40" t="n"/>
      <c r="AS196" s="40" t="n"/>
      <c r="AT196" s="40" t="n"/>
      <c r="AU196" s="38" t="inlineStr">
        <is>
          <t>IF(OR(E196="",AH196=""),"",IF(COUNT(AG196:AG196)=0,"",AH196-LOOKUP(2,1/(AG196:AG196&lt;&gt;""),AG196:AG196)))</t>
        </is>
      </c>
      <c r="AV196" s="38" t="inlineStr">
        <is>
          <t>IF(OR(E196="",AI196=""),"",IF(COUNT(AG196:AH196)=0,"",AI196-LOOKUP(2,1/(AG196:AH196&lt;&gt;""),AG196:AH196)))</t>
        </is>
      </c>
      <c r="AW196" s="38" t="inlineStr">
        <is>
          <t>IF(OR(E196="",AJ196=""),"",IF(COUNT(AG196:AI196)=0,"",AJ196-LOOKUP(2,1/(AG196:AI196&lt;&gt;""),AG196:AI196)))</t>
        </is>
      </c>
      <c r="AX196" s="38" t="inlineStr">
        <is>
          <t>IF(OR(E196="",AK196=""),"",IF(COUNT(AG196:AJ196)=0,"",AK196-LOOKUP(2,1/(AG196:AJ196&lt;&gt;""),AG196:AJ196)))</t>
        </is>
      </c>
      <c r="AY196" s="38" t="inlineStr">
        <is>
          <t>IF(OR(E196="",AL196=""),"",IF(COUNT(AG196:AK196)=0,"",AL196-LOOKUP(2,1/(AG196:AK196&lt;&gt;""),AG196:AK196)))</t>
        </is>
      </c>
      <c r="AZ196" s="38" t="inlineStr">
        <is>
          <t>IF(OR(E196="",AM196=""),"",IF(COUNT(AG196:AL196)=0,"",AM196-LOOKUP(2,1/(AG196:AL196&lt;&gt;""),AG196:AL196)))</t>
        </is>
      </c>
      <c r="BA196" s="38" t="inlineStr">
        <is>
          <t>IF(OR(E196="",AN196=""),"",IF(COUNT(AG196:AM196)=0,"",AN196-LOOKUP(2,1/(AG196:AM196&lt;&gt;""),AG196:AM196)))</t>
        </is>
      </c>
      <c r="BB196" s="38" t="inlineStr">
        <is>
          <t>IF(OR(E196="",AO196=""),"",IF(COUNT(AG196:AN196)=0,"",AO196-LOOKUP(2,1/(AG196:AN196&lt;&gt;""),AG196:AN196)))</t>
        </is>
      </c>
      <c r="BC196" s="38" t="inlineStr">
        <is>
          <t>IF(OR(E196="",AP196=""),"",IF(COUNT(AG196:AO196)=0,"",AP196-LOOKUP(2,1/(AG196:AO196&lt;&gt;""),AG196:AO196)))</t>
        </is>
      </c>
      <c r="BD196" s="38" t="inlineStr">
        <is>
          <t>IF(OR(E196="",AQ196=""),"",IF(COUNT(AG196:AP196)=0,"",AQ196-LOOKUP(2,1/(AG196:AP196&lt;&gt;""),AG196:AP196)))</t>
        </is>
      </c>
      <c r="BE196" s="38" t="inlineStr">
        <is>
          <t>IF(OR(E196="",AR196=""),"",IF(COUNT(AG196:AQ196)=0,"",AR196-LOOKUP(2,1/(AG196:AQ196&lt;&gt;""),AG196:AQ196)))</t>
        </is>
      </c>
      <c r="BF196" s="38" t="inlineStr">
        <is>
          <t>IF(OR(E196="",AS196=""),"",IF(COUNT(AG196:AR196)=0,"",AS196-LOOKUP(2,1/(AG196:AR196&lt;&gt;""),AG196:AR196)))</t>
        </is>
      </c>
      <c r="BG196" s="38" t="inlineStr">
        <is>
          <t>IF(OR(E196="",AT196=""),"",IF(COUNT(AG196:AS196)=0,"",AT196-LOOKUP(2,1/(AG196:AS196&lt;&gt;""),AG196:AS196)))</t>
        </is>
      </c>
      <c r="BH196" s="41" t="inlineStr">
        <is>
          <t>IF(G196="","All_Provinces",IFERROR(VLOOKUP(G196,'07_Lookups'!$A$4:$B$20,2,FALSE),"All_Provinces"))</t>
        </is>
      </c>
      <c r="BI196" s="41" t="inlineStr">
        <is>
          <t>IF(H196="","All_Districts",IFERROR(VLOOKUP(H196,'07_Lookups'!$E$4:$F$42,2,FALSE),"All_Districts"))</t>
        </is>
      </c>
    </row>
    <row r="197" ht="18" customHeight="1">
      <c r="A197" s="32" t="inlineStr">
        <is>
          <t>IF(E197="","",ROW()-3)</t>
        </is>
      </c>
      <c r="B197" s="42" t="n"/>
      <c r="C197" s="42" t="n"/>
      <c r="D197" s="42" t="n"/>
      <c r="E197" s="42" t="n"/>
      <c r="F197" s="42" t="n"/>
      <c r="G197" s="42" t="n"/>
      <c r="H197" s="42" t="n"/>
      <c r="I197" s="42" t="n"/>
      <c r="J197" s="42" t="n"/>
      <c r="K197" s="42" t="n"/>
      <c r="L197" s="42" t="n"/>
      <c r="M197" s="42" t="n"/>
      <c r="N197" s="42" t="n"/>
      <c r="O197" s="42" t="n"/>
      <c r="P197" s="42" t="n"/>
      <c r="Q197" s="43" t="n"/>
      <c r="R197" s="35" t="inlineStr">
        <is>
          <t>IF(AO197="","",AO197)</t>
        </is>
      </c>
      <c r="S197" s="44" t="n"/>
      <c r="T197" s="45" t="n"/>
      <c r="U197" s="44" t="n"/>
      <c r="V197" s="35" t="inlineStr">
        <is>
          <t>IF(U197&lt;&gt;"",U197,IF(OR(R197="",T197=""),"",EDATE(R197,T197)))</t>
        </is>
      </c>
      <c r="W197" s="44" t="n"/>
      <c r="X197" s="45" t="n"/>
      <c r="Y197" s="42" t="n"/>
      <c r="Z197" s="42" t="n"/>
      <c r="AA197" s="32" t="inlineStr">
        <is>
          <t>IF(E197="","",IF(COUNT(AG197:AT197)=0,IF(Y197="","Not started",Y197),SUBSTITUTE(LOOKUP(2,1/(AG197:AT197&lt;&gt;""),$AG$3:$AT$3),"Date: ","")))</t>
        </is>
      </c>
      <c r="AB197" s="38" t="inlineStr">
        <is>
          <t>IF(OR(E197="",COUNT(AG197:AT197)=0),"",TODAY()-LOOKUP(2,1/(AG197:AT197&lt;&gt;""),AG197:AT197))</t>
        </is>
      </c>
      <c r="AC197" s="38" t="inlineStr">
        <is>
          <t>IF(OR(E197="",COUNT(AG197:AT197)&lt;2),"",LOOKUP(2,1/(AG197:AT197&lt;&gt;""),AG197:AT197)-MIN(AG197:AT197))</t>
        </is>
      </c>
      <c r="AD197" s="38" t="inlineStr">
        <is>
          <t>IF(OR(AB197="",AA197="Not started",AA197=""),"",IFERROR(AB197-IF(VLOOKUP(AA197,'04_Status_Pipeline'!$B$3:$E$20,4,FALSE)="",0,VLOOKUP(AA197,'04_Status_Pipeline'!$B$3:$E$20,4,FALSE)),""))</t>
        </is>
      </c>
      <c r="AE197" s="32" t="inlineStr">
        <is>
          <t>IF(E197="","",IF(OR(Y197="Cancelled",AA197="Cancelled"),"Cancelled",IF(OR(AA197="Completed / Handover",W197&lt;&gt;"",X197&gt;=100),"Completed — on track",IF(L197="Remaining",IF(S197="",IF(V197="","No planned date",IF(TODAY()&gt;V197,"Behind — past planned date",IF(V197-TODAY()&lt;=30,"At risk — close to off track","On track"))),IF(TODAY()&gt;S197,"Behind — award date passed",IF(S197-TODAY()&lt;=30,"At risk — close to off track","On track"))),IF(V197="","No planned date",IF(AND(TODAY()&gt;V197,OR(X197="",X197&lt;100)),"Behind — past end date",IF(AND(R197&lt;&gt;"",V197&lt;&gt;"",X197&lt;&gt;"",(X197&lt;100),((TODAY()-R197)/MAX(V197-R197,1)*100)-X197&gt;15),"Behind — progress lag",IF(AND(V197-TODAY()&lt;=30,V197-TODAY()&gt;=0,OR(X197="",X197&lt;90)),"At risk — close to off track","On track"))))))))</t>
        </is>
      </c>
      <c r="AF197" s="38" t="inlineStr">
        <is>
          <t>IF(OR(E197="",AA197="Completed / Handover",AA197="Cancelled"),"",IF(L197="Remaining",IF(S197&lt;&gt;"",S197-TODAY(),IF(V197="","",V197-TODAY())),IF(V197="","",V197-TODAY())))</t>
        </is>
      </c>
      <c r="AG197" s="44" t="n"/>
      <c r="AH197" s="44" t="n"/>
      <c r="AI197" s="44" t="n"/>
      <c r="AJ197" s="44" t="n"/>
      <c r="AK197" s="44" t="n"/>
      <c r="AL197" s="44" t="n"/>
      <c r="AM197" s="44" t="n"/>
      <c r="AN197" s="44" t="n"/>
      <c r="AO197" s="44" t="n"/>
      <c r="AP197" s="44" t="n"/>
      <c r="AQ197" s="44" t="n"/>
      <c r="AR197" s="40" t="n"/>
      <c r="AS197" s="40" t="n"/>
      <c r="AT197" s="40" t="n"/>
      <c r="AU197" s="38" t="inlineStr">
        <is>
          <t>IF(OR(E197="",AH197=""),"",IF(COUNT(AG197:AG197)=0,"",AH197-LOOKUP(2,1/(AG197:AG197&lt;&gt;""),AG197:AG197)))</t>
        </is>
      </c>
      <c r="AV197" s="38" t="inlineStr">
        <is>
          <t>IF(OR(E197="",AI197=""),"",IF(COUNT(AG197:AH197)=0,"",AI197-LOOKUP(2,1/(AG197:AH197&lt;&gt;""),AG197:AH197)))</t>
        </is>
      </c>
      <c r="AW197" s="38" t="inlineStr">
        <is>
          <t>IF(OR(E197="",AJ197=""),"",IF(COUNT(AG197:AI197)=0,"",AJ197-LOOKUP(2,1/(AG197:AI197&lt;&gt;""),AG197:AI197)))</t>
        </is>
      </c>
      <c r="AX197" s="38" t="inlineStr">
        <is>
          <t>IF(OR(E197="",AK197=""),"",IF(COUNT(AG197:AJ197)=0,"",AK197-LOOKUP(2,1/(AG197:AJ197&lt;&gt;""),AG197:AJ197)))</t>
        </is>
      </c>
      <c r="AY197" s="38" t="inlineStr">
        <is>
          <t>IF(OR(E197="",AL197=""),"",IF(COUNT(AG197:AK197)=0,"",AL197-LOOKUP(2,1/(AG197:AK197&lt;&gt;""),AG197:AK197)))</t>
        </is>
      </c>
      <c r="AZ197" s="38" t="inlineStr">
        <is>
          <t>IF(OR(E197="",AM197=""),"",IF(COUNT(AG197:AL197)=0,"",AM197-LOOKUP(2,1/(AG197:AL197&lt;&gt;""),AG197:AL197)))</t>
        </is>
      </c>
      <c r="BA197" s="38" t="inlineStr">
        <is>
          <t>IF(OR(E197="",AN197=""),"",IF(COUNT(AG197:AM197)=0,"",AN197-LOOKUP(2,1/(AG197:AM197&lt;&gt;""),AG197:AM197)))</t>
        </is>
      </c>
      <c r="BB197" s="38" t="inlineStr">
        <is>
          <t>IF(OR(E197="",AO197=""),"",IF(COUNT(AG197:AN197)=0,"",AO197-LOOKUP(2,1/(AG197:AN197&lt;&gt;""),AG197:AN197)))</t>
        </is>
      </c>
      <c r="BC197" s="38" t="inlineStr">
        <is>
          <t>IF(OR(E197="",AP197=""),"",IF(COUNT(AG197:AO197)=0,"",AP197-LOOKUP(2,1/(AG197:AO197&lt;&gt;""),AG197:AO197)))</t>
        </is>
      </c>
      <c r="BD197" s="38" t="inlineStr">
        <is>
          <t>IF(OR(E197="",AQ197=""),"",IF(COUNT(AG197:AP197)=0,"",AQ197-LOOKUP(2,1/(AG197:AP197&lt;&gt;""),AG197:AP197)))</t>
        </is>
      </c>
      <c r="BE197" s="38" t="inlineStr">
        <is>
          <t>IF(OR(E197="",AR197=""),"",IF(COUNT(AG197:AQ197)=0,"",AR197-LOOKUP(2,1/(AG197:AQ197&lt;&gt;""),AG197:AQ197)))</t>
        </is>
      </c>
      <c r="BF197" s="38" t="inlineStr">
        <is>
          <t>IF(OR(E197="",AS197=""),"",IF(COUNT(AG197:AR197)=0,"",AS197-LOOKUP(2,1/(AG197:AR197&lt;&gt;""),AG197:AR197)))</t>
        </is>
      </c>
      <c r="BG197" s="38" t="inlineStr">
        <is>
          <t>IF(OR(E197="",AT197=""),"",IF(COUNT(AG197:AS197)=0,"",AT197-LOOKUP(2,1/(AG197:AS197&lt;&gt;""),AG197:AS197)))</t>
        </is>
      </c>
      <c r="BH197" s="41" t="inlineStr">
        <is>
          <t>IF(G197="","All_Provinces",IFERROR(VLOOKUP(G197,'07_Lookups'!$A$4:$B$20,2,FALSE),"All_Provinces"))</t>
        </is>
      </c>
      <c r="BI197" s="41" t="inlineStr">
        <is>
          <t>IF(H197="","All_Districts",IFERROR(VLOOKUP(H197,'07_Lookups'!$E$4:$F$42,2,FALSE),"All_Districts"))</t>
        </is>
      </c>
    </row>
    <row r="198" ht="18" customHeight="1">
      <c r="A198" s="32" t="inlineStr">
        <is>
          <t>IF(E198="","",ROW()-3)</t>
        </is>
      </c>
      <c r="B198" s="33" t="n"/>
      <c r="C198" s="33" t="n"/>
      <c r="D198" s="33" t="n"/>
      <c r="E198" s="33" t="n"/>
      <c r="F198" s="33" t="n"/>
      <c r="G198" s="33" t="n"/>
      <c r="H198" s="33" t="n"/>
      <c r="I198" s="33" t="n"/>
      <c r="J198" s="33" t="n"/>
      <c r="K198" s="33" t="n"/>
      <c r="L198" s="33" t="n"/>
      <c r="M198" s="33" t="n"/>
      <c r="N198" s="33" t="n"/>
      <c r="O198" s="33" t="n"/>
      <c r="P198" s="33" t="n"/>
      <c r="Q198" s="34" t="n"/>
      <c r="R198" s="35" t="inlineStr">
        <is>
          <t>IF(AO198="","",AO198)</t>
        </is>
      </c>
      <c r="S198" s="36" t="n"/>
      <c r="T198" s="37" t="n"/>
      <c r="U198" s="36" t="n"/>
      <c r="V198" s="35" t="inlineStr">
        <is>
          <t>IF(U198&lt;&gt;"",U198,IF(OR(R198="",T198=""),"",EDATE(R198,T198)))</t>
        </is>
      </c>
      <c r="W198" s="36" t="n"/>
      <c r="X198" s="37" t="n"/>
      <c r="Y198" s="33" t="n"/>
      <c r="Z198" s="33" t="n"/>
      <c r="AA198" s="32" t="inlineStr">
        <is>
          <t>IF(E198="","",IF(COUNT(AG198:AT198)=0,IF(Y198="","Not started",Y198),SUBSTITUTE(LOOKUP(2,1/(AG198:AT198&lt;&gt;""),$AG$3:$AT$3),"Date: ","")))</t>
        </is>
      </c>
      <c r="AB198" s="38" t="inlineStr">
        <is>
          <t>IF(OR(E198="",COUNT(AG198:AT198)=0),"",TODAY()-LOOKUP(2,1/(AG198:AT198&lt;&gt;""),AG198:AT198))</t>
        </is>
      </c>
      <c r="AC198" s="38" t="inlineStr">
        <is>
          <t>IF(OR(E198="",COUNT(AG198:AT198)&lt;2),"",LOOKUP(2,1/(AG198:AT198&lt;&gt;""),AG198:AT198)-MIN(AG198:AT198))</t>
        </is>
      </c>
      <c r="AD198" s="38" t="inlineStr">
        <is>
          <t>IF(OR(AB198="",AA198="Not started",AA198=""),"",IFERROR(AB198-IF(VLOOKUP(AA198,'04_Status_Pipeline'!$B$3:$E$20,4,FALSE)="",0,VLOOKUP(AA198,'04_Status_Pipeline'!$B$3:$E$20,4,FALSE)),""))</t>
        </is>
      </c>
      <c r="AE198" s="32" t="inlineStr">
        <is>
          <t>IF(E198="","",IF(OR(Y198="Cancelled",AA198="Cancelled"),"Cancelled",IF(OR(AA198="Completed / Handover",W198&lt;&gt;"",X198&gt;=100),"Completed — on track",IF(L198="Remaining",IF(S198="",IF(V198="","No planned date",IF(TODAY()&gt;V198,"Behind — past planned date",IF(V198-TODAY()&lt;=30,"At risk — close to off track","On track"))),IF(TODAY()&gt;S198,"Behind — award date passed",IF(S198-TODAY()&lt;=30,"At risk — close to off track","On track"))),IF(V198="","No planned date",IF(AND(TODAY()&gt;V198,OR(X198="",X198&lt;100)),"Behind — past end date",IF(AND(R198&lt;&gt;"",V198&lt;&gt;"",X198&lt;&gt;"",(X198&lt;100),((TODAY()-R198)/MAX(V198-R198,1)*100)-X198&gt;15),"Behind — progress lag",IF(AND(V198-TODAY()&lt;=30,V198-TODAY()&gt;=0,OR(X198="",X198&lt;90)),"At risk — close to off track","On track"))))))))</t>
        </is>
      </c>
      <c r="AF198" s="38" t="inlineStr">
        <is>
          <t>IF(OR(E198="",AA198="Completed / Handover",AA198="Cancelled"),"",IF(L198="Remaining",IF(S198&lt;&gt;"",S198-TODAY(),IF(V198="","",V198-TODAY())),IF(V198="","",V198-TODAY())))</t>
        </is>
      </c>
      <c r="AG198" s="36" t="n"/>
      <c r="AH198" s="36" t="n"/>
      <c r="AI198" s="36" t="n"/>
      <c r="AJ198" s="36" t="n"/>
      <c r="AK198" s="36" t="n"/>
      <c r="AL198" s="36" t="n"/>
      <c r="AM198" s="36" t="n"/>
      <c r="AN198" s="36" t="n"/>
      <c r="AO198" s="36" t="n"/>
      <c r="AP198" s="36" t="n"/>
      <c r="AQ198" s="36" t="n"/>
      <c r="AR198" s="40" t="n"/>
      <c r="AS198" s="40" t="n"/>
      <c r="AT198" s="40" t="n"/>
      <c r="AU198" s="38" t="inlineStr">
        <is>
          <t>IF(OR(E198="",AH198=""),"",IF(COUNT(AG198:AG198)=0,"",AH198-LOOKUP(2,1/(AG198:AG198&lt;&gt;""),AG198:AG198)))</t>
        </is>
      </c>
      <c r="AV198" s="38" t="inlineStr">
        <is>
          <t>IF(OR(E198="",AI198=""),"",IF(COUNT(AG198:AH198)=0,"",AI198-LOOKUP(2,1/(AG198:AH198&lt;&gt;""),AG198:AH198)))</t>
        </is>
      </c>
      <c r="AW198" s="38" t="inlineStr">
        <is>
          <t>IF(OR(E198="",AJ198=""),"",IF(COUNT(AG198:AI198)=0,"",AJ198-LOOKUP(2,1/(AG198:AI198&lt;&gt;""),AG198:AI198)))</t>
        </is>
      </c>
      <c r="AX198" s="38" t="inlineStr">
        <is>
          <t>IF(OR(E198="",AK198=""),"",IF(COUNT(AG198:AJ198)=0,"",AK198-LOOKUP(2,1/(AG198:AJ198&lt;&gt;""),AG198:AJ198)))</t>
        </is>
      </c>
      <c r="AY198" s="38" t="inlineStr">
        <is>
          <t>IF(OR(E198="",AL198=""),"",IF(COUNT(AG198:AK198)=0,"",AL198-LOOKUP(2,1/(AG198:AK198&lt;&gt;""),AG198:AK198)))</t>
        </is>
      </c>
      <c r="AZ198" s="38" t="inlineStr">
        <is>
          <t>IF(OR(E198="",AM198=""),"",IF(COUNT(AG198:AL198)=0,"",AM198-LOOKUP(2,1/(AG198:AL198&lt;&gt;""),AG198:AL198)))</t>
        </is>
      </c>
      <c r="BA198" s="38" t="inlineStr">
        <is>
          <t>IF(OR(E198="",AN198=""),"",IF(COUNT(AG198:AM198)=0,"",AN198-LOOKUP(2,1/(AG198:AM198&lt;&gt;""),AG198:AM198)))</t>
        </is>
      </c>
      <c r="BB198" s="38" t="inlineStr">
        <is>
          <t>IF(OR(E198="",AO198=""),"",IF(COUNT(AG198:AN198)=0,"",AO198-LOOKUP(2,1/(AG198:AN198&lt;&gt;""),AG198:AN198)))</t>
        </is>
      </c>
      <c r="BC198" s="38" t="inlineStr">
        <is>
          <t>IF(OR(E198="",AP198=""),"",IF(COUNT(AG198:AO198)=0,"",AP198-LOOKUP(2,1/(AG198:AO198&lt;&gt;""),AG198:AO198)))</t>
        </is>
      </c>
      <c r="BD198" s="38" t="inlineStr">
        <is>
          <t>IF(OR(E198="",AQ198=""),"",IF(COUNT(AG198:AP198)=0,"",AQ198-LOOKUP(2,1/(AG198:AP198&lt;&gt;""),AG198:AP198)))</t>
        </is>
      </c>
      <c r="BE198" s="38" t="inlineStr">
        <is>
          <t>IF(OR(E198="",AR198=""),"",IF(COUNT(AG198:AQ198)=0,"",AR198-LOOKUP(2,1/(AG198:AQ198&lt;&gt;""),AG198:AQ198)))</t>
        </is>
      </c>
      <c r="BF198" s="38" t="inlineStr">
        <is>
          <t>IF(OR(E198="",AS198=""),"",IF(COUNT(AG198:AR198)=0,"",AS198-LOOKUP(2,1/(AG198:AR198&lt;&gt;""),AG198:AR198)))</t>
        </is>
      </c>
      <c r="BG198" s="38" t="inlineStr">
        <is>
          <t>IF(OR(E198="",AT198=""),"",IF(COUNT(AG198:AS198)=0,"",AT198-LOOKUP(2,1/(AG198:AS198&lt;&gt;""),AG198:AS198)))</t>
        </is>
      </c>
      <c r="BH198" s="41" t="inlineStr">
        <is>
          <t>IF(G198="","All_Provinces",IFERROR(VLOOKUP(G198,'07_Lookups'!$A$4:$B$20,2,FALSE),"All_Provinces"))</t>
        </is>
      </c>
      <c r="BI198" s="41" t="inlineStr">
        <is>
          <t>IF(H198="","All_Districts",IFERROR(VLOOKUP(H198,'07_Lookups'!$E$4:$F$42,2,FALSE),"All_Districts"))</t>
        </is>
      </c>
    </row>
    <row r="199" ht="18" customHeight="1">
      <c r="A199" s="32" t="inlineStr">
        <is>
          <t>IF(E199="","",ROW()-3)</t>
        </is>
      </c>
      <c r="B199" s="42" t="n"/>
      <c r="C199" s="42" t="n"/>
      <c r="D199" s="42" t="n"/>
      <c r="E199" s="42" t="n"/>
      <c r="F199" s="42" t="n"/>
      <c r="G199" s="42" t="n"/>
      <c r="H199" s="42" t="n"/>
      <c r="I199" s="42" t="n"/>
      <c r="J199" s="42" t="n"/>
      <c r="K199" s="42" t="n"/>
      <c r="L199" s="42" t="n"/>
      <c r="M199" s="42" t="n"/>
      <c r="N199" s="42" t="n"/>
      <c r="O199" s="42" t="n"/>
      <c r="P199" s="42" t="n"/>
      <c r="Q199" s="43" t="n"/>
      <c r="R199" s="35" t="inlineStr">
        <is>
          <t>IF(AO199="","",AO199)</t>
        </is>
      </c>
      <c r="S199" s="44" t="n"/>
      <c r="T199" s="45" t="n"/>
      <c r="U199" s="44" t="n"/>
      <c r="V199" s="35" t="inlineStr">
        <is>
          <t>IF(U199&lt;&gt;"",U199,IF(OR(R199="",T199=""),"",EDATE(R199,T199)))</t>
        </is>
      </c>
      <c r="W199" s="44" t="n"/>
      <c r="X199" s="45" t="n"/>
      <c r="Y199" s="42" t="n"/>
      <c r="Z199" s="42" t="n"/>
      <c r="AA199" s="32" t="inlineStr">
        <is>
          <t>IF(E199="","",IF(COUNT(AG199:AT199)=0,IF(Y199="","Not started",Y199),SUBSTITUTE(LOOKUP(2,1/(AG199:AT199&lt;&gt;""),$AG$3:$AT$3),"Date: ","")))</t>
        </is>
      </c>
      <c r="AB199" s="38" t="inlineStr">
        <is>
          <t>IF(OR(E199="",COUNT(AG199:AT199)=0),"",TODAY()-LOOKUP(2,1/(AG199:AT199&lt;&gt;""),AG199:AT199))</t>
        </is>
      </c>
      <c r="AC199" s="38" t="inlineStr">
        <is>
          <t>IF(OR(E199="",COUNT(AG199:AT199)&lt;2),"",LOOKUP(2,1/(AG199:AT199&lt;&gt;""),AG199:AT199)-MIN(AG199:AT199))</t>
        </is>
      </c>
      <c r="AD199" s="38" t="inlineStr">
        <is>
          <t>IF(OR(AB199="",AA199="Not started",AA199=""),"",IFERROR(AB199-IF(VLOOKUP(AA199,'04_Status_Pipeline'!$B$3:$E$20,4,FALSE)="",0,VLOOKUP(AA199,'04_Status_Pipeline'!$B$3:$E$20,4,FALSE)),""))</t>
        </is>
      </c>
      <c r="AE199" s="32" t="inlineStr">
        <is>
          <t>IF(E199="","",IF(OR(Y199="Cancelled",AA199="Cancelled"),"Cancelled",IF(OR(AA199="Completed / Handover",W199&lt;&gt;"",X199&gt;=100),"Completed — on track",IF(L199="Remaining",IF(S199="",IF(V199="","No planned date",IF(TODAY()&gt;V199,"Behind — past planned date",IF(V199-TODAY()&lt;=30,"At risk — close to off track","On track"))),IF(TODAY()&gt;S199,"Behind — award date passed",IF(S199-TODAY()&lt;=30,"At risk — close to off track","On track"))),IF(V199="","No planned date",IF(AND(TODAY()&gt;V199,OR(X199="",X199&lt;100)),"Behind — past end date",IF(AND(R199&lt;&gt;"",V199&lt;&gt;"",X199&lt;&gt;"",(X199&lt;100),((TODAY()-R199)/MAX(V199-R199,1)*100)-X199&gt;15),"Behind — progress lag",IF(AND(V199-TODAY()&lt;=30,V199-TODAY()&gt;=0,OR(X199="",X199&lt;90)),"At risk — close to off track","On track"))))))))</t>
        </is>
      </c>
      <c r="AF199" s="38" t="inlineStr">
        <is>
          <t>IF(OR(E199="",AA199="Completed / Handover",AA199="Cancelled"),"",IF(L199="Remaining",IF(S199&lt;&gt;"",S199-TODAY(),IF(V199="","",V199-TODAY())),IF(V199="","",V199-TODAY())))</t>
        </is>
      </c>
      <c r="AG199" s="44" t="n"/>
      <c r="AH199" s="44" t="n"/>
      <c r="AI199" s="44" t="n"/>
      <c r="AJ199" s="44" t="n"/>
      <c r="AK199" s="44" t="n"/>
      <c r="AL199" s="44" t="n"/>
      <c r="AM199" s="44" t="n"/>
      <c r="AN199" s="44" t="n"/>
      <c r="AO199" s="44" t="n"/>
      <c r="AP199" s="44" t="n"/>
      <c r="AQ199" s="44" t="n"/>
      <c r="AR199" s="40" t="n"/>
      <c r="AS199" s="40" t="n"/>
      <c r="AT199" s="40" t="n"/>
      <c r="AU199" s="38" t="inlineStr">
        <is>
          <t>IF(OR(E199="",AH199=""),"",IF(COUNT(AG199:AG199)=0,"",AH199-LOOKUP(2,1/(AG199:AG199&lt;&gt;""),AG199:AG199)))</t>
        </is>
      </c>
      <c r="AV199" s="38" t="inlineStr">
        <is>
          <t>IF(OR(E199="",AI199=""),"",IF(COUNT(AG199:AH199)=0,"",AI199-LOOKUP(2,1/(AG199:AH199&lt;&gt;""),AG199:AH199)))</t>
        </is>
      </c>
      <c r="AW199" s="38" t="inlineStr">
        <is>
          <t>IF(OR(E199="",AJ199=""),"",IF(COUNT(AG199:AI199)=0,"",AJ199-LOOKUP(2,1/(AG199:AI199&lt;&gt;""),AG199:AI199)))</t>
        </is>
      </c>
      <c r="AX199" s="38" t="inlineStr">
        <is>
          <t>IF(OR(E199="",AK199=""),"",IF(COUNT(AG199:AJ199)=0,"",AK199-LOOKUP(2,1/(AG199:AJ199&lt;&gt;""),AG199:AJ199)))</t>
        </is>
      </c>
      <c r="AY199" s="38" t="inlineStr">
        <is>
          <t>IF(OR(E199="",AL199=""),"",IF(COUNT(AG199:AK199)=0,"",AL199-LOOKUP(2,1/(AG199:AK199&lt;&gt;""),AG199:AK199)))</t>
        </is>
      </c>
      <c r="AZ199" s="38" t="inlineStr">
        <is>
          <t>IF(OR(E199="",AM199=""),"",IF(COUNT(AG199:AL199)=0,"",AM199-LOOKUP(2,1/(AG199:AL199&lt;&gt;""),AG199:AL199)))</t>
        </is>
      </c>
      <c r="BA199" s="38" t="inlineStr">
        <is>
          <t>IF(OR(E199="",AN199=""),"",IF(COUNT(AG199:AM199)=0,"",AN199-LOOKUP(2,1/(AG199:AM199&lt;&gt;""),AG199:AM199)))</t>
        </is>
      </c>
      <c r="BB199" s="38" t="inlineStr">
        <is>
          <t>IF(OR(E199="",AO199=""),"",IF(COUNT(AG199:AN199)=0,"",AO199-LOOKUP(2,1/(AG199:AN199&lt;&gt;""),AG199:AN199)))</t>
        </is>
      </c>
      <c r="BC199" s="38" t="inlineStr">
        <is>
          <t>IF(OR(E199="",AP199=""),"",IF(COUNT(AG199:AO199)=0,"",AP199-LOOKUP(2,1/(AG199:AO199&lt;&gt;""),AG199:AO199)))</t>
        </is>
      </c>
      <c r="BD199" s="38" t="inlineStr">
        <is>
          <t>IF(OR(E199="",AQ199=""),"",IF(COUNT(AG199:AP199)=0,"",AQ199-LOOKUP(2,1/(AG199:AP199&lt;&gt;""),AG199:AP199)))</t>
        </is>
      </c>
      <c r="BE199" s="38" t="inlineStr">
        <is>
          <t>IF(OR(E199="",AR199=""),"",IF(COUNT(AG199:AQ199)=0,"",AR199-LOOKUP(2,1/(AG199:AQ199&lt;&gt;""),AG199:AQ199)))</t>
        </is>
      </c>
      <c r="BF199" s="38" t="inlineStr">
        <is>
          <t>IF(OR(E199="",AS199=""),"",IF(COUNT(AG199:AR199)=0,"",AS199-LOOKUP(2,1/(AG199:AR199&lt;&gt;""),AG199:AR199)))</t>
        </is>
      </c>
      <c r="BG199" s="38" t="inlineStr">
        <is>
          <t>IF(OR(E199="",AT199=""),"",IF(COUNT(AG199:AS199)=0,"",AT199-LOOKUP(2,1/(AG199:AS199&lt;&gt;""),AG199:AS199)))</t>
        </is>
      </c>
      <c r="BH199" s="41" t="inlineStr">
        <is>
          <t>IF(G199="","All_Provinces",IFERROR(VLOOKUP(G199,'07_Lookups'!$A$4:$B$20,2,FALSE),"All_Provinces"))</t>
        </is>
      </c>
      <c r="BI199" s="41" t="inlineStr">
        <is>
          <t>IF(H199="","All_Districts",IFERROR(VLOOKUP(H199,'07_Lookups'!$E$4:$F$42,2,FALSE),"All_Districts"))</t>
        </is>
      </c>
    </row>
    <row r="200" ht="18" customHeight="1">
      <c r="A200" s="32" t="inlineStr">
        <is>
          <t>IF(E200="","",ROW()-3)</t>
        </is>
      </c>
      <c r="B200" s="33" t="n"/>
      <c r="C200" s="33" t="n"/>
      <c r="D200" s="33" t="n"/>
      <c r="E200" s="33" t="n"/>
      <c r="F200" s="33" t="n"/>
      <c r="G200" s="33" t="n"/>
      <c r="H200" s="33" t="n"/>
      <c r="I200" s="33" t="n"/>
      <c r="J200" s="33" t="n"/>
      <c r="K200" s="33" t="n"/>
      <c r="L200" s="33" t="n"/>
      <c r="M200" s="33" t="n"/>
      <c r="N200" s="33" t="n"/>
      <c r="O200" s="33" t="n"/>
      <c r="P200" s="33" t="n"/>
      <c r="Q200" s="34" t="n"/>
      <c r="R200" s="35" t="inlineStr">
        <is>
          <t>IF(AO200="","",AO200)</t>
        </is>
      </c>
      <c r="S200" s="36" t="n"/>
      <c r="T200" s="37" t="n"/>
      <c r="U200" s="36" t="n"/>
      <c r="V200" s="35" t="inlineStr">
        <is>
          <t>IF(U200&lt;&gt;"",U200,IF(OR(R200="",T200=""),"",EDATE(R200,T200)))</t>
        </is>
      </c>
      <c r="W200" s="36" t="n"/>
      <c r="X200" s="37" t="n"/>
      <c r="Y200" s="33" t="n"/>
      <c r="Z200" s="33" t="n"/>
      <c r="AA200" s="32" t="inlineStr">
        <is>
          <t>IF(E200="","",IF(COUNT(AG200:AT200)=0,IF(Y200="","Not started",Y200),SUBSTITUTE(LOOKUP(2,1/(AG200:AT200&lt;&gt;""),$AG$3:$AT$3),"Date: ","")))</t>
        </is>
      </c>
      <c r="AB200" s="38" t="inlineStr">
        <is>
          <t>IF(OR(E200="",COUNT(AG200:AT200)=0),"",TODAY()-LOOKUP(2,1/(AG200:AT200&lt;&gt;""),AG200:AT200))</t>
        </is>
      </c>
      <c r="AC200" s="38" t="inlineStr">
        <is>
          <t>IF(OR(E200="",COUNT(AG200:AT200)&lt;2),"",LOOKUP(2,1/(AG200:AT200&lt;&gt;""),AG200:AT200)-MIN(AG200:AT200))</t>
        </is>
      </c>
      <c r="AD200" s="38" t="inlineStr">
        <is>
          <t>IF(OR(AB200="",AA200="Not started",AA200=""),"",IFERROR(AB200-IF(VLOOKUP(AA200,'04_Status_Pipeline'!$B$3:$E$20,4,FALSE)="",0,VLOOKUP(AA200,'04_Status_Pipeline'!$B$3:$E$20,4,FALSE)),""))</t>
        </is>
      </c>
      <c r="AE200" s="32" t="inlineStr">
        <is>
          <t>IF(E200="","",IF(OR(Y200="Cancelled",AA200="Cancelled"),"Cancelled",IF(OR(AA200="Completed / Handover",W200&lt;&gt;"",X200&gt;=100),"Completed — on track",IF(L200="Remaining",IF(S200="",IF(V200="","No planned date",IF(TODAY()&gt;V200,"Behind — past planned date",IF(V200-TODAY()&lt;=30,"At risk — close to off track","On track"))),IF(TODAY()&gt;S200,"Behind — award date passed",IF(S200-TODAY()&lt;=30,"At risk — close to off track","On track"))),IF(V200="","No planned date",IF(AND(TODAY()&gt;V200,OR(X200="",X200&lt;100)),"Behind — past end date",IF(AND(R200&lt;&gt;"",V200&lt;&gt;"",X200&lt;&gt;"",(X200&lt;100),((TODAY()-R200)/MAX(V200-R200,1)*100)-X200&gt;15),"Behind — progress lag",IF(AND(V200-TODAY()&lt;=30,V200-TODAY()&gt;=0,OR(X200="",X200&lt;90)),"At risk — close to off track","On track"))))))))</t>
        </is>
      </c>
      <c r="AF200" s="38" t="inlineStr">
        <is>
          <t>IF(OR(E200="",AA200="Completed / Handover",AA200="Cancelled"),"",IF(L200="Remaining",IF(S200&lt;&gt;"",S200-TODAY(),IF(V200="","",V200-TODAY())),IF(V200="","",V200-TODAY())))</t>
        </is>
      </c>
      <c r="AG200" s="36" t="n"/>
      <c r="AH200" s="36" t="n"/>
      <c r="AI200" s="36" t="n"/>
      <c r="AJ200" s="36" t="n"/>
      <c r="AK200" s="36" t="n"/>
      <c r="AL200" s="36" t="n"/>
      <c r="AM200" s="36" t="n"/>
      <c r="AN200" s="36" t="n"/>
      <c r="AO200" s="36" t="n"/>
      <c r="AP200" s="36" t="n"/>
      <c r="AQ200" s="36" t="n"/>
      <c r="AR200" s="40" t="n"/>
      <c r="AS200" s="40" t="n"/>
      <c r="AT200" s="40" t="n"/>
      <c r="AU200" s="38" t="inlineStr">
        <is>
          <t>IF(OR(E200="",AH200=""),"",IF(COUNT(AG200:AG200)=0,"",AH200-LOOKUP(2,1/(AG200:AG200&lt;&gt;""),AG200:AG200)))</t>
        </is>
      </c>
      <c r="AV200" s="38" t="inlineStr">
        <is>
          <t>IF(OR(E200="",AI200=""),"",IF(COUNT(AG200:AH200)=0,"",AI200-LOOKUP(2,1/(AG200:AH200&lt;&gt;""),AG200:AH200)))</t>
        </is>
      </c>
      <c r="AW200" s="38" t="inlineStr">
        <is>
          <t>IF(OR(E200="",AJ200=""),"",IF(COUNT(AG200:AI200)=0,"",AJ200-LOOKUP(2,1/(AG200:AI200&lt;&gt;""),AG200:AI200)))</t>
        </is>
      </c>
      <c r="AX200" s="38" t="inlineStr">
        <is>
          <t>IF(OR(E200="",AK200=""),"",IF(COUNT(AG200:AJ200)=0,"",AK200-LOOKUP(2,1/(AG200:AJ200&lt;&gt;""),AG200:AJ200)))</t>
        </is>
      </c>
      <c r="AY200" s="38" t="inlineStr">
        <is>
          <t>IF(OR(E200="",AL200=""),"",IF(COUNT(AG200:AK200)=0,"",AL200-LOOKUP(2,1/(AG200:AK200&lt;&gt;""),AG200:AK200)))</t>
        </is>
      </c>
      <c r="AZ200" s="38" t="inlineStr">
        <is>
          <t>IF(OR(E200="",AM200=""),"",IF(COUNT(AG200:AL200)=0,"",AM200-LOOKUP(2,1/(AG200:AL200&lt;&gt;""),AG200:AL200)))</t>
        </is>
      </c>
      <c r="BA200" s="38" t="inlineStr">
        <is>
          <t>IF(OR(E200="",AN200=""),"",IF(COUNT(AG200:AM200)=0,"",AN200-LOOKUP(2,1/(AG200:AM200&lt;&gt;""),AG200:AM200)))</t>
        </is>
      </c>
      <c r="BB200" s="38" t="inlineStr">
        <is>
          <t>IF(OR(E200="",AO200=""),"",IF(COUNT(AG200:AN200)=0,"",AO200-LOOKUP(2,1/(AG200:AN200&lt;&gt;""),AG200:AN200)))</t>
        </is>
      </c>
      <c r="BC200" s="38" t="inlineStr">
        <is>
          <t>IF(OR(E200="",AP200=""),"",IF(COUNT(AG200:AO200)=0,"",AP200-LOOKUP(2,1/(AG200:AO200&lt;&gt;""),AG200:AO200)))</t>
        </is>
      </c>
      <c r="BD200" s="38" t="inlineStr">
        <is>
          <t>IF(OR(E200="",AQ200=""),"",IF(COUNT(AG200:AP200)=0,"",AQ200-LOOKUP(2,1/(AG200:AP200&lt;&gt;""),AG200:AP200)))</t>
        </is>
      </c>
      <c r="BE200" s="38" t="inlineStr">
        <is>
          <t>IF(OR(E200="",AR200=""),"",IF(COUNT(AG200:AQ200)=0,"",AR200-LOOKUP(2,1/(AG200:AQ200&lt;&gt;""),AG200:AQ200)))</t>
        </is>
      </c>
      <c r="BF200" s="38" t="inlineStr">
        <is>
          <t>IF(OR(E200="",AS200=""),"",IF(COUNT(AG200:AR200)=0,"",AS200-LOOKUP(2,1/(AG200:AR200&lt;&gt;""),AG200:AR200)))</t>
        </is>
      </c>
      <c r="BG200" s="38" t="inlineStr">
        <is>
          <t>IF(OR(E200="",AT200=""),"",IF(COUNT(AG200:AS200)=0,"",AT200-LOOKUP(2,1/(AG200:AS200&lt;&gt;""),AG200:AS200)))</t>
        </is>
      </c>
      <c r="BH200" s="41" t="inlineStr">
        <is>
          <t>IF(G200="","All_Provinces",IFERROR(VLOOKUP(G200,'07_Lookups'!$A$4:$B$20,2,FALSE),"All_Provinces"))</t>
        </is>
      </c>
      <c r="BI200" s="41" t="inlineStr">
        <is>
          <t>IF(H200="","All_Districts",IFERROR(VLOOKUP(H200,'07_Lookups'!$E$4:$F$42,2,FALSE),"All_Districts"))</t>
        </is>
      </c>
    </row>
    <row r="201" ht="18" customHeight="1">
      <c r="A201" s="32" t="inlineStr">
        <is>
          <t>IF(E201="","",ROW()-3)</t>
        </is>
      </c>
      <c r="B201" s="42" t="n"/>
      <c r="C201" s="42" t="n"/>
      <c r="D201" s="42" t="n"/>
      <c r="E201" s="42" t="n"/>
      <c r="F201" s="42" t="n"/>
      <c r="G201" s="42" t="n"/>
      <c r="H201" s="42" t="n"/>
      <c r="I201" s="42" t="n"/>
      <c r="J201" s="42" t="n"/>
      <c r="K201" s="42" t="n"/>
      <c r="L201" s="42" t="n"/>
      <c r="M201" s="42" t="n"/>
      <c r="N201" s="42" t="n"/>
      <c r="O201" s="42" t="n"/>
      <c r="P201" s="42" t="n"/>
      <c r="Q201" s="43" t="n"/>
      <c r="R201" s="35" t="inlineStr">
        <is>
          <t>IF(AO201="","",AO201)</t>
        </is>
      </c>
      <c r="S201" s="44" t="n"/>
      <c r="T201" s="45" t="n"/>
      <c r="U201" s="44" t="n"/>
      <c r="V201" s="35" t="inlineStr">
        <is>
          <t>IF(U201&lt;&gt;"",U201,IF(OR(R201="",T201=""),"",EDATE(R201,T201)))</t>
        </is>
      </c>
      <c r="W201" s="44" t="n"/>
      <c r="X201" s="45" t="n"/>
      <c r="Y201" s="42" t="n"/>
      <c r="Z201" s="42" t="n"/>
      <c r="AA201" s="32" t="inlineStr">
        <is>
          <t>IF(E201="","",IF(COUNT(AG201:AT201)=0,IF(Y201="","Not started",Y201),SUBSTITUTE(LOOKUP(2,1/(AG201:AT201&lt;&gt;""),$AG$3:$AT$3),"Date: ","")))</t>
        </is>
      </c>
      <c r="AB201" s="38" t="inlineStr">
        <is>
          <t>IF(OR(E201="",COUNT(AG201:AT201)=0),"",TODAY()-LOOKUP(2,1/(AG201:AT201&lt;&gt;""),AG201:AT201))</t>
        </is>
      </c>
      <c r="AC201" s="38" t="inlineStr">
        <is>
          <t>IF(OR(E201="",COUNT(AG201:AT201)&lt;2),"",LOOKUP(2,1/(AG201:AT201&lt;&gt;""),AG201:AT201)-MIN(AG201:AT201))</t>
        </is>
      </c>
      <c r="AD201" s="38" t="inlineStr">
        <is>
          <t>IF(OR(AB201="",AA201="Not started",AA201=""),"",IFERROR(AB201-IF(VLOOKUP(AA201,'04_Status_Pipeline'!$B$3:$E$20,4,FALSE)="",0,VLOOKUP(AA201,'04_Status_Pipeline'!$B$3:$E$20,4,FALSE)),""))</t>
        </is>
      </c>
      <c r="AE201" s="32" t="inlineStr">
        <is>
          <t>IF(E201="","",IF(OR(Y201="Cancelled",AA201="Cancelled"),"Cancelled",IF(OR(AA201="Completed / Handover",W201&lt;&gt;"",X201&gt;=100),"Completed — on track",IF(L201="Remaining",IF(S201="",IF(V201="","No planned date",IF(TODAY()&gt;V201,"Behind — past planned date",IF(V201-TODAY()&lt;=30,"At risk — close to off track","On track"))),IF(TODAY()&gt;S201,"Behind — award date passed",IF(S201-TODAY()&lt;=30,"At risk — close to off track","On track"))),IF(V201="","No planned date",IF(AND(TODAY()&gt;V201,OR(X201="",X201&lt;100)),"Behind — past end date",IF(AND(R201&lt;&gt;"",V201&lt;&gt;"",X201&lt;&gt;"",(X201&lt;100),((TODAY()-R201)/MAX(V201-R201,1)*100)-X201&gt;15),"Behind — progress lag",IF(AND(V201-TODAY()&lt;=30,V201-TODAY()&gt;=0,OR(X201="",X201&lt;90)),"At risk — close to off track","On track"))))))))</t>
        </is>
      </c>
      <c r="AF201" s="38" t="inlineStr">
        <is>
          <t>IF(OR(E201="",AA201="Completed / Handover",AA201="Cancelled"),"",IF(L201="Remaining",IF(S201&lt;&gt;"",S201-TODAY(),IF(V201="","",V201-TODAY())),IF(V201="","",V201-TODAY())))</t>
        </is>
      </c>
      <c r="AG201" s="44" t="n"/>
      <c r="AH201" s="44" t="n"/>
      <c r="AI201" s="44" t="n"/>
      <c r="AJ201" s="44" t="n"/>
      <c r="AK201" s="44" t="n"/>
      <c r="AL201" s="44" t="n"/>
      <c r="AM201" s="44" t="n"/>
      <c r="AN201" s="44" t="n"/>
      <c r="AO201" s="44" t="n"/>
      <c r="AP201" s="44" t="n"/>
      <c r="AQ201" s="44" t="n"/>
      <c r="AR201" s="40" t="n"/>
      <c r="AS201" s="40" t="n"/>
      <c r="AT201" s="40" t="n"/>
      <c r="AU201" s="38" t="inlineStr">
        <is>
          <t>IF(OR(E201="",AH201=""),"",IF(COUNT(AG201:AG201)=0,"",AH201-LOOKUP(2,1/(AG201:AG201&lt;&gt;""),AG201:AG201)))</t>
        </is>
      </c>
      <c r="AV201" s="38" t="inlineStr">
        <is>
          <t>IF(OR(E201="",AI201=""),"",IF(COUNT(AG201:AH201)=0,"",AI201-LOOKUP(2,1/(AG201:AH201&lt;&gt;""),AG201:AH201)))</t>
        </is>
      </c>
      <c r="AW201" s="38" t="inlineStr">
        <is>
          <t>IF(OR(E201="",AJ201=""),"",IF(COUNT(AG201:AI201)=0,"",AJ201-LOOKUP(2,1/(AG201:AI201&lt;&gt;""),AG201:AI201)))</t>
        </is>
      </c>
      <c r="AX201" s="38" t="inlineStr">
        <is>
          <t>IF(OR(E201="",AK201=""),"",IF(COUNT(AG201:AJ201)=0,"",AK201-LOOKUP(2,1/(AG201:AJ201&lt;&gt;""),AG201:AJ201)))</t>
        </is>
      </c>
      <c r="AY201" s="38" t="inlineStr">
        <is>
          <t>IF(OR(E201="",AL201=""),"",IF(COUNT(AG201:AK201)=0,"",AL201-LOOKUP(2,1/(AG201:AK201&lt;&gt;""),AG201:AK201)))</t>
        </is>
      </c>
      <c r="AZ201" s="38" t="inlineStr">
        <is>
          <t>IF(OR(E201="",AM201=""),"",IF(COUNT(AG201:AL201)=0,"",AM201-LOOKUP(2,1/(AG201:AL201&lt;&gt;""),AG201:AL201)))</t>
        </is>
      </c>
      <c r="BA201" s="38" t="inlineStr">
        <is>
          <t>IF(OR(E201="",AN201=""),"",IF(COUNT(AG201:AM201)=0,"",AN201-LOOKUP(2,1/(AG201:AM201&lt;&gt;""),AG201:AM201)))</t>
        </is>
      </c>
      <c r="BB201" s="38" t="inlineStr">
        <is>
          <t>IF(OR(E201="",AO201=""),"",IF(COUNT(AG201:AN201)=0,"",AO201-LOOKUP(2,1/(AG201:AN201&lt;&gt;""),AG201:AN201)))</t>
        </is>
      </c>
      <c r="BC201" s="38" t="inlineStr">
        <is>
          <t>IF(OR(E201="",AP201=""),"",IF(COUNT(AG201:AO201)=0,"",AP201-LOOKUP(2,1/(AG201:AO201&lt;&gt;""),AG201:AO201)))</t>
        </is>
      </c>
      <c r="BD201" s="38" t="inlineStr">
        <is>
          <t>IF(OR(E201="",AQ201=""),"",IF(COUNT(AG201:AP201)=0,"",AQ201-LOOKUP(2,1/(AG201:AP201&lt;&gt;""),AG201:AP201)))</t>
        </is>
      </c>
      <c r="BE201" s="38" t="inlineStr">
        <is>
          <t>IF(OR(E201="",AR201=""),"",IF(COUNT(AG201:AQ201)=0,"",AR201-LOOKUP(2,1/(AG201:AQ201&lt;&gt;""),AG201:AQ201)))</t>
        </is>
      </c>
      <c r="BF201" s="38" t="inlineStr">
        <is>
          <t>IF(OR(E201="",AS201=""),"",IF(COUNT(AG201:AR201)=0,"",AS201-LOOKUP(2,1/(AG201:AR201&lt;&gt;""),AG201:AR201)))</t>
        </is>
      </c>
      <c r="BG201" s="38" t="inlineStr">
        <is>
          <t>IF(OR(E201="",AT201=""),"",IF(COUNT(AG201:AS201)=0,"",AT201-LOOKUP(2,1/(AG201:AS201&lt;&gt;""),AG201:AS201)))</t>
        </is>
      </c>
      <c r="BH201" s="41" t="inlineStr">
        <is>
          <t>IF(G201="","All_Provinces",IFERROR(VLOOKUP(G201,'07_Lookups'!$A$4:$B$20,2,FALSE),"All_Provinces"))</t>
        </is>
      </c>
      <c r="BI201" s="41" t="inlineStr">
        <is>
          <t>IF(H201="","All_Districts",IFERROR(VLOOKUP(H201,'07_Lookups'!$E$4:$F$42,2,FALSE),"All_Districts"))</t>
        </is>
      </c>
    </row>
    <row r="202" ht="18" customHeight="1">
      <c r="A202" s="32" t="inlineStr">
        <is>
          <t>IF(E202="","",ROW()-3)</t>
        </is>
      </c>
      <c r="B202" s="33" t="n"/>
      <c r="C202" s="33" t="n"/>
      <c r="D202" s="33" t="n"/>
      <c r="E202" s="33" t="n"/>
      <c r="F202" s="33" t="n"/>
      <c r="G202" s="33" t="n"/>
      <c r="H202" s="33" t="n"/>
      <c r="I202" s="33" t="n"/>
      <c r="J202" s="33" t="n"/>
      <c r="K202" s="33" t="n"/>
      <c r="L202" s="33" t="n"/>
      <c r="M202" s="33" t="n"/>
      <c r="N202" s="33" t="n"/>
      <c r="O202" s="33" t="n"/>
      <c r="P202" s="33" t="n"/>
      <c r="Q202" s="34" t="n"/>
      <c r="R202" s="35" t="inlineStr">
        <is>
          <t>IF(AO202="","",AO202)</t>
        </is>
      </c>
      <c r="S202" s="36" t="n"/>
      <c r="T202" s="37" t="n"/>
      <c r="U202" s="36" t="n"/>
      <c r="V202" s="35" t="inlineStr">
        <is>
          <t>IF(U202&lt;&gt;"",U202,IF(OR(R202="",T202=""),"",EDATE(R202,T202)))</t>
        </is>
      </c>
      <c r="W202" s="36" t="n"/>
      <c r="X202" s="37" t="n"/>
      <c r="Y202" s="33" t="n"/>
      <c r="Z202" s="33" t="n"/>
      <c r="AA202" s="32" t="inlineStr">
        <is>
          <t>IF(E202="","",IF(COUNT(AG202:AT202)=0,IF(Y202="","Not started",Y202),SUBSTITUTE(LOOKUP(2,1/(AG202:AT202&lt;&gt;""),$AG$3:$AT$3),"Date: ","")))</t>
        </is>
      </c>
      <c r="AB202" s="38" t="inlineStr">
        <is>
          <t>IF(OR(E202="",COUNT(AG202:AT202)=0),"",TODAY()-LOOKUP(2,1/(AG202:AT202&lt;&gt;""),AG202:AT202))</t>
        </is>
      </c>
      <c r="AC202" s="38" t="inlineStr">
        <is>
          <t>IF(OR(E202="",COUNT(AG202:AT202)&lt;2),"",LOOKUP(2,1/(AG202:AT202&lt;&gt;""),AG202:AT202)-MIN(AG202:AT202))</t>
        </is>
      </c>
      <c r="AD202" s="38" t="inlineStr">
        <is>
          <t>IF(OR(AB202="",AA202="Not started",AA202=""),"",IFERROR(AB202-IF(VLOOKUP(AA202,'04_Status_Pipeline'!$B$3:$E$20,4,FALSE)="",0,VLOOKUP(AA202,'04_Status_Pipeline'!$B$3:$E$20,4,FALSE)),""))</t>
        </is>
      </c>
      <c r="AE202" s="32" t="inlineStr">
        <is>
          <t>IF(E202="","",IF(OR(Y202="Cancelled",AA202="Cancelled"),"Cancelled",IF(OR(AA202="Completed / Handover",W202&lt;&gt;"",X202&gt;=100),"Completed — on track",IF(L202="Remaining",IF(S202="",IF(V202="","No planned date",IF(TODAY()&gt;V202,"Behind — past planned date",IF(V202-TODAY()&lt;=30,"At risk — close to off track","On track"))),IF(TODAY()&gt;S202,"Behind — award date passed",IF(S202-TODAY()&lt;=30,"At risk — close to off track","On track"))),IF(V202="","No planned date",IF(AND(TODAY()&gt;V202,OR(X202="",X202&lt;100)),"Behind — past end date",IF(AND(R202&lt;&gt;"",V202&lt;&gt;"",X202&lt;&gt;"",(X202&lt;100),((TODAY()-R202)/MAX(V202-R202,1)*100)-X202&gt;15),"Behind — progress lag",IF(AND(V202-TODAY()&lt;=30,V202-TODAY()&gt;=0,OR(X202="",X202&lt;90)),"At risk — close to off track","On track"))))))))</t>
        </is>
      </c>
      <c r="AF202" s="38" t="inlineStr">
        <is>
          <t>IF(OR(E202="",AA202="Completed / Handover",AA202="Cancelled"),"",IF(L202="Remaining",IF(S202&lt;&gt;"",S202-TODAY(),IF(V202="","",V202-TODAY())),IF(V202="","",V202-TODAY())))</t>
        </is>
      </c>
      <c r="AG202" s="36" t="n"/>
      <c r="AH202" s="36" t="n"/>
      <c r="AI202" s="36" t="n"/>
      <c r="AJ202" s="36" t="n"/>
      <c r="AK202" s="36" t="n"/>
      <c r="AL202" s="36" t="n"/>
      <c r="AM202" s="36" t="n"/>
      <c r="AN202" s="36" t="n"/>
      <c r="AO202" s="36" t="n"/>
      <c r="AP202" s="36" t="n"/>
      <c r="AQ202" s="36" t="n"/>
      <c r="AR202" s="40" t="n"/>
      <c r="AS202" s="40" t="n"/>
      <c r="AT202" s="40" t="n"/>
      <c r="AU202" s="38" t="inlineStr">
        <is>
          <t>IF(OR(E202="",AH202=""),"",IF(COUNT(AG202:AG202)=0,"",AH202-LOOKUP(2,1/(AG202:AG202&lt;&gt;""),AG202:AG202)))</t>
        </is>
      </c>
      <c r="AV202" s="38" t="inlineStr">
        <is>
          <t>IF(OR(E202="",AI202=""),"",IF(COUNT(AG202:AH202)=0,"",AI202-LOOKUP(2,1/(AG202:AH202&lt;&gt;""),AG202:AH202)))</t>
        </is>
      </c>
      <c r="AW202" s="38" t="inlineStr">
        <is>
          <t>IF(OR(E202="",AJ202=""),"",IF(COUNT(AG202:AI202)=0,"",AJ202-LOOKUP(2,1/(AG202:AI202&lt;&gt;""),AG202:AI202)))</t>
        </is>
      </c>
      <c r="AX202" s="38" t="inlineStr">
        <is>
          <t>IF(OR(E202="",AK202=""),"",IF(COUNT(AG202:AJ202)=0,"",AK202-LOOKUP(2,1/(AG202:AJ202&lt;&gt;""),AG202:AJ202)))</t>
        </is>
      </c>
      <c r="AY202" s="38" t="inlineStr">
        <is>
          <t>IF(OR(E202="",AL202=""),"",IF(COUNT(AG202:AK202)=0,"",AL202-LOOKUP(2,1/(AG202:AK202&lt;&gt;""),AG202:AK202)))</t>
        </is>
      </c>
      <c r="AZ202" s="38" t="inlineStr">
        <is>
          <t>IF(OR(E202="",AM202=""),"",IF(COUNT(AG202:AL202)=0,"",AM202-LOOKUP(2,1/(AG202:AL202&lt;&gt;""),AG202:AL202)))</t>
        </is>
      </c>
      <c r="BA202" s="38" t="inlineStr">
        <is>
          <t>IF(OR(E202="",AN202=""),"",IF(COUNT(AG202:AM202)=0,"",AN202-LOOKUP(2,1/(AG202:AM202&lt;&gt;""),AG202:AM202)))</t>
        </is>
      </c>
      <c r="BB202" s="38" t="inlineStr">
        <is>
          <t>IF(OR(E202="",AO202=""),"",IF(COUNT(AG202:AN202)=0,"",AO202-LOOKUP(2,1/(AG202:AN202&lt;&gt;""),AG202:AN202)))</t>
        </is>
      </c>
      <c r="BC202" s="38" t="inlineStr">
        <is>
          <t>IF(OR(E202="",AP202=""),"",IF(COUNT(AG202:AO202)=0,"",AP202-LOOKUP(2,1/(AG202:AO202&lt;&gt;""),AG202:AO202)))</t>
        </is>
      </c>
      <c r="BD202" s="38" t="inlineStr">
        <is>
          <t>IF(OR(E202="",AQ202=""),"",IF(COUNT(AG202:AP202)=0,"",AQ202-LOOKUP(2,1/(AG202:AP202&lt;&gt;""),AG202:AP202)))</t>
        </is>
      </c>
      <c r="BE202" s="38" t="inlineStr">
        <is>
          <t>IF(OR(E202="",AR202=""),"",IF(COUNT(AG202:AQ202)=0,"",AR202-LOOKUP(2,1/(AG202:AQ202&lt;&gt;""),AG202:AQ202)))</t>
        </is>
      </c>
      <c r="BF202" s="38" t="inlineStr">
        <is>
          <t>IF(OR(E202="",AS202=""),"",IF(COUNT(AG202:AR202)=0,"",AS202-LOOKUP(2,1/(AG202:AR202&lt;&gt;""),AG202:AR202)))</t>
        </is>
      </c>
      <c r="BG202" s="38" t="inlineStr">
        <is>
          <t>IF(OR(E202="",AT202=""),"",IF(COUNT(AG202:AS202)=0,"",AT202-LOOKUP(2,1/(AG202:AS202&lt;&gt;""),AG202:AS202)))</t>
        </is>
      </c>
      <c r="BH202" s="41" t="inlineStr">
        <is>
          <t>IF(G202="","All_Provinces",IFERROR(VLOOKUP(G202,'07_Lookups'!$A$4:$B$20,2,FALSE),"All_Provinces"))</t>
        </is>
      </c>
      <c r="BI202" s="41" t="inlineStr">
        <is>
          <t>IF(H202="","All_Districts",IFERROR(VLOOKUP(H202,'07_Lookups'!$E$4:$F$42,2,FALSE),"All_Districts"))</t>
        </is>
      </c>
    </row>
    <row r="203" ht="18" customHeight="1">
      <c r="A203" s="32" t="inlineStr">
        <is>
          <t>IF(E203="","",ROW()-3)</t>
        </is>
      </c>
      <c r="B203" s="42" t="n"/>
      <c r="C203" s="42" t="n"/>
      <c r="D203" s="42" t="n"/>
      <c r="E203" s="42" t="n"/>
      <c r="F203" s="42" t="n"/>
      <c r="G203" s="42" t="n"/>
      <c r="H203" s="42" t="n"/>
      <c r="I203" s="42" t="n"/>
      <c r="J203" s="42" t="n"/>
      <c r="K203" s="42" t="n"/>
      <c r="L203" s="42" t="n"/>
      <c r="M203" s="42" t="n"/>
      <c r="N203" s="42" t="n"/>
      <c r="O203" s="42" t="n"/>
      <c r="P203" s="42" t="n"/>
      <c r="Q203" s="43" t="n"/>
      <c r="R203" s="35" t="inlineStr">
        <is>
          <t>IF(AO203="","",AO203)</t>
        </is>
      </c>
      <c r="S203" s="44" t="n"/>
      <c r="T203" s="45" t="n"/>
      <c r="U203" s="44" t="n"/>
      <c r="V203" s="35" t="inlineStr">
        <is>
          <t>IF(U203&lt;&gt;"",U203,IF(OR(R203="",T203=""),"",EDATE(R203,T203)))</t>
        </is>
      </c>
      <c r="W203" s="44" t="n"/>
      <c r="X203" s="45" t="n"/>
      <c r="Y203" s="42" t="n"/>
      <c r="Z203" s="42" t="n"/>
      <c r="AA203" s="32" t="inlineStr">
        <is>
          <t>IF(E203="","",IF(COUNT(AG203:AT203)=0,IF(Y203="","Not started",Y203),SUBSTITUTE(LOOKUP(2,1/(AG203:AT203&lt;&gt;""),$AG$3:$AT$3),"Date: ","")))</t>
        </is>
      </c>
      <c r="AB203" s="38" t="inlineStr">
        <is>
          <t>IF(OR(E203="",COUNT(AG203:AT203)=0),"",TODAY()-LOOKUP(2,1/(AG203:AT203&lt;&gt;""),AG203:AT203))</t>
        </is>
      </c>
      <c r="AC203" s="38" t="inlineStr">
        <is>
          <t>IF(OR(E203="",COUNT(AG203:AT203)&lt;2),"",LOOKUP(2,1/(AG203:AT203&lt;&gt;""),AG203:AT203)-MIN(AG203:AT203))</t>
        </is>
      </c>
      <c r="AD203" s="38" t="inlineStr">
        <is>
          <t>IF(OR(AB203="",AA203="Not started",AA203=""),"",IFERROR(AB203-IF(VLOOKUP(AA203,'04_Status_Pipeline'!$B$3:$E$20,4,FALSE)="",0,VLOOKUP(AA203,'04_Status_Pipeline'!$B$3:$E$20,4,FALSE)),""))</t>
        </is>
      </c>
      <c r="AE203" s="32" t="inlineStr">
        <is>
          <t>IF(E203="","",IF(OR(Y203="Cancelled",AA203="Cancelled"),"Cancelled",IF(OR(AA203="Completed / Handover",W203&lt;&gt;"",X203&gt;=100),"Completed — on track",IF(L203="Remaining",IF(S203="",IF(V203="","No planned date",IF(TODAY()&gt;V203,"Behind — past planned date",IF(V203-TODAY()&lt;=30,"At risk — close to off track","On track"))),IF(TODAY()&gt;S203,"Behind — award date passed",IF(S203-TODAY()&lt;=30,"At risk — close to off track","On track"))),IF(V203="","No planned date",IF(AND(TODAY()&gt;V203,OR(X203="",X203&lt;100)),"Behind — past end date",IF(AND(R203&lt;&gt;"",V203&lt;&gt;"",X203&lt;&gt;"",(X203&lt;100),((TODAY()-R203)/MAX(V203-R203,1)*100)-X203&gt;15),"Behind — progress lag",IF(AND(V203-TODAY()&lt;=30,V203-TODAY()&gt;=0,OR(X203="",X203&lt;90)),"At risk — close to off track","On track"))))))))</t>
        </is>
      </c>
      <c r="AF203" s="38" t="inlineStr">
        <is>
          <t>IF(OR(E203="",AA203="Completed / Handover",AA203="Cancelled"),"",IF(L203="Remaining",IF(S203&lt;&gt;"",S203-TODAY(),IF(V203="","",V203-TODAY())),IF(V203="","",V203-TODAY())))</t>
        </is>
      </c>
      <c r="AG203" s="44" t="n"/>
      <c r="AH203" s="44" t="n"/>
      <c r="AI203" s="44" t="n"/>
      <c r="AJ203" s="44" t="n"/>
      <c r="AK203" s="44" t="n"/>
      <c r="AL203" s="44" t="n"/>
      <c r="AM203" s="44" t="n"/>
      <c r="AN203" s="44" t="n"/>
      <c r="AO203" s="44" t="n"/>
      <c r="AP203" s="44" t="n"/>
      <c r="AQ203" s="44" t="n"/>
      <c r="AR203" s="40" t="n"/>
      <c r="AS203" s="40" t="n"/>
      <c r="AT203" s="40" t="n"/>
      <c r="AU203" s="38" t="inlineStr">
        <is>
          <t>IF(OR(E203="",AH203=""),"",IF(COUNT(AG203:AG203)=0,"",AH203-LOOKUP(2,1/(AG203:AG203&lt;&gt;""),AG203:AG203)))</t>
        </is>
      </c>
      <c r="AV203" s="38" t="inlineStr">
        <is>
          <t>IF(OR(E203="",AI203=""),"",IF(COUNT(AG203:AH203)=0,"",AI203-LOOKUP(2,1/(AG203:AH203&lt;&gt;""),AG203:AH203)))</t>
        </is>
      </c>
      <c r="AW203" s="38" t="inlineStr">
        <is>
          <t>IF(OR(E203="",AJ203=""),"",IF(COUNT(AG203:AI203)=0,"",AJ203-LOOKUP(2,1/(AG203:AI203&lt;&gt;""),AG203:AI203)))</t>
        </is>
      </c>
      <c r="AX203" s="38" t="inlineStr">
        <is>
          <t>IF(OR(E203="",AK203=""),"",IF(COUNT(AG203:AJ203)=0,"",AK203-LOOKUP(2,1/(AG203:AJ203&lt;&gt;""),AG203:AJ203)))</t>
        </is>
      </c>
      <c r="AY203" s="38" t="inlineStr">
        <is>
          <t>IF(OR(E203="",AL203=""),"",IF(COUNT(AG203:AK203)=0,"",AL203-LOOKUP(2,1/(AG203:AK203&lt;&gt;""),AG203:AK203)))</t>
        </is>
      </c>
      <c r="AZ203" s="38" t="inlineStr">
        <is>
          <t>IF(OR(E203="",AM203=""),"",IF(COUNT(AG203:AL203)=0,"",AM203-LOOKUP(2,1/(AG203:AL203&lt;&gt;""),AG203:AL203)))</t>
        </is>
      </c>
      <c r="BA203" s="38" t="inlineStr">
        <is>
          <t>IF(OR(E203="",AN203=""),"",IF(COUNT(AG203:AM203)=0,"",AN203-LOOKUP(2,1/(AG203:AM203&lt;&gt;""),AG203:AM203)))</t>
        </is>
      </c>
      <c r="BB203" s="38" t="inlineStr">
        <is>
          <t>IF(OR(E203="",AO203=""),"",IF(COUNT(AG203:AN203)=0,"",AO203-LOOKUP(2,1/(AG203:AN203&lt;&gt;""),AG203:AN203)))</t>
        </is>
      </c>
      <c r="BC203" s="38" t="inlineStr">
        <is>
          <t>IF(OR(E203="",AP203=""),"",IF(COUNT(AG203:AO203)=0,"",AP203-LOOKUP(2,1/(AG203:AO203&lt;&gt;""),AG203:AO203)))</t>
        </is>
      </c>
      <c r="BD203" s="38" t="inlineStr">
        <is>
          <t>IF(OR(E203="",AQ203=""),"",IF(COUNT(AG203:AP203)=0,"",AQ203-LOOKUP(2,1/(AG203:AP203&lt;&gt;""),AG203:AP203)))</t>
        </is>
      </c>
      <c r="BE203" s="38" t="inlineStr">
        <is>
          <t>IF(OR(E203="",AR203=""),"",IF(COUNT(AG203:AQ203)=0,"",AR203-LOOKUP(2,1/(AG203:AQ203&lt;&gt;""),AG203:AQ203)))</t>
        </is>
      </c>
      <c r="BF203" s="38" t="inlineStr">
        <is>
          <t>IF(OR(E203="",AS203=""),"",IF(COUNT(AG203:AR203)=0,"",AS203-LOOKUP(2,1/(AG203:AR203&lt;&gt;""),AG203:AR203)))</t>
        </is>
      </c>
      <c r="BG203" s="38" t="inlineStr">
        <is>
          <t>IF(OR(E203="",AT203=""),"",IF(COUNT(AG203:AS203)=0,"",AT203-LOOKUP(2,1/(AG203:AS203&lt;&gt;""),AG203:AS203)))</t>
        </is>
      </c>
      <c r="BH203" s="41" t="inlineStr">
        <is>
          <t>IF(G203="","All_Provinces",IFERROR(VLOOKUP(G203,'07_Lookups'!$A$4:$B$20,2,FALSE),"All_Provinces"))</t>
        </is>
      </c>
      <c r="BI203" s="41" t="inlineStr">
        <is>
          <t>IF(H203="","All_Districts",IFERROR(VLOOKUP(H203,'07_Lookups'!$E$4:$F$42,2,FALSE),"All_Districts"))</t>
        </is>
      </c>
    </row>
    <row r="204" ht="18" customHeight="1">
      <c r="A204" s="32" t="inlineStr">
        <is>
          <t>IF(E204="","",ROW()-3)</t>
        </is>
      </c>
      <c r="B204" s="33" t="n"/>
      <c r="C204" s="33" t="n"/>
      <c r="D204" s="33" t="n"/>
      <c r="E204" s="33" t="n"/>
      <c r="F204" s="33" t="n"/>
      <c r="G204" s="33" t="n"/>
      <c r="H204" s="33" t="n"/>
      <c r="I204" s="33" t="n"/>
      <c r="J204" s="33" t="n"/>
      <c r="K204" s="33" t="n"/>
      <c r="L204" s="33" t="n"/>
      <c r="M204" s="33" t="n"/>
      <c r="N204" s="33" t="n"/>
      <c r="O204" s="33" t="n"/>
      <c r="P204" s="33" t="n"/>
      <c r="Q204" s="34" t="n"/>
      <c r="R204" s="35" t="inlineStr">
        <is>
          <t>IF(AO204="","",AO204)</t>
        </is>
      </c>
      <c r="S204" s="36" t="n"/>
      <c r="T204" s="37" t="n"/>
      <c r="U204" s="36" t="n"/>
      <c r="V204" s="35" t="inlineStr">
        <is>
          <t>IF(U204&lt;&gt;"",U204,IF(OR(R204="",T204=""),"",EDATE(R204,T204)))</t>
        </is>
      </c>
      <c r="W204" s="36" t="n"/>
      <c r="X204" s="37" t="n"/>
      <c r="Y204" s="33" t="n"/>
      <c r="Z204" s="33" t="n"/>
      <c r="AA204" s="32" t="inlineStr">
        <is>
          <t>IF(E204="","",IF(COUNT(AG204:AT204)=0,IF(Y204="","Not started",Y204),SUBSTITUTE(LOOKUP(2,1/(AG204:AT204&lt;&gt;""),$AG$3:$AT$3),"Date: ","")))</t>
        </is>
      </c>
      <c r="AB204" s="38" t="inlineStr">
        <is>
          <t>IF(OR(E204="",COUNT(AG204:AT204)=0),"",TODAY()-LOOKUP(2,1/(AG204:AT204&lt;&gt;""),AG204:AT204))</t>
        </is>
      </c>
      <c r="AC204" s="38" t="inlineStr">
        <is>
          <t>IF(OR(E204="",COUNT(AG204:AT204)&lt;2),"",LOOKUP(2,1/(AG204:AT204&lt;&gt;""),AG204:AT204)-MIN(AG204:AT204))</t>
        </is>
      </c>
      <c r="AD204" s="38" t="inlineStr">
        <is>
          <t>IF(OR(AB204="",AA204="Not started",AA204=""),"",IFERROR(AB204-IF(VLOOKUP(AA204,'04_Status_Pipeline'!$B$3:$E$20,4,FALSE)="",0,VLOOKUP(AA204,'04_Status_Pipeline'!$B$3:$E$20,4,FALSE)),""))</t>
        </is>
      </c>
      <c r="AE204" s="32" t="inlineStr">
        <is>
          <t>IF(E204="","",IF(OR(Y204="Cancelled",AA204="Cancelled"),"Cancelled",IF(OR(AA204="Completed / Handover",W204&lt;&gt;"",X204&gt;=100),"Completed — on track",IF(L204="Remaining",IF(S204="",IF(V204="","No planned date",IF(TODAY()&gt;V204,"Behind — past planned date",IF(V204-TODAY()&lt;=30,"At risk — close to off track","On track"))),IF(TODAY()&gt;S204,"Behind — award date passed",IF(S204-TODAY()&lt;=30,"At risk — close to off track","On track"))),IF(V204="","No planned date",IF(AND(TODAY()&gt;V204,OR(X204="",X204&lt;100)),"Behind — past end date",IF(AND(R204&lt;&gt;"",V204&lt;&gt;"",X204&lt;&gt;"",(X204&lt;100),((TODAY()-R204)/MAX(V204-R204,1)*100)-X204&gt;15),"Behind — progress lag",IF(AND(V204-TODAY()&lt;=30,V204-TODAY()&gt;=0,OR(X204="",X204&lt;90)),"At risk — close to off track","On track"))))))))</t>
        </is>
      </c>
      <c r="AF204" s="38" t="inlineStr">
        <is>
          <t>IF(OR(E204="",AA204="Completed / Handover",AA204="Cancelled"),"",IF(L204="Remaining",IF(S204&lt;&gt;"",S204-TODAY(),IF(V204="","",V204-TODAY())),IF(V204="","",V204-TODAY())))</t>
        </is>
      </c>
      <c r="AG204" s="36" t="n"/>
      <c r="AH204" s="36" t="n"/>
      <c r="AI204" s="36" t="n"/>
      <c r="AJ204" s="36" t="n"/>
      <c r="AK204" s="36" t="n"/>
      <c r="AL204" s="36" t="n"/>
      <c r="AM204" s="36" t="n"/>
      <c r="AN204" s="36" t="n"/>
      <c r="AO204" s="36" t="n"/>
      <c r="AP204" s="36" t="n"/>
      <c r="AQ204" s="36" t="n"/>
      <c r="AR204" s="40" t="n"/>
      <c r="AS204" s="40" t="n"/>
      <c r="AT204" s="40" t="n"/>
      <c r="AU204" s="38" t="inlineStr">
        <is>
          <t>IF(OR(E204="",AH204=""),"",IF(COUNT(AG204:AG204)=0,"",AH204-LOOKUP(2,1/(AG204:AG204&lt;&gt;""),AG204:AG204)))</t>
        </is>
      </c>
      <c r="AV204" s="38" t="inlineStr">
        <is>
          <t>IF(OR(E204="",AI204=""),"",IF(COUNT(AG204:AH204)=0,"",AI204-LOOKUP(2,1/(AG204:AH204&lt;&gt;""),AG204:AH204)))</t>
        </is>
      </c>
      <c r="AW204" s="38" t="inlineStr">
        <is>
          <t>IF(OR(E204="",AJ204=""),"",IF(COUNT(AG204:AI204)=0,"",AJ204-LOOKUP(2,1/(AG204:AI204&lt;&gt;""),AG204:AI204)))</t>
        </is>
      </c>
      <c r="AX204" s="38" t="inlineStr">
        <is>
          <t>IF(OR(E204="",AK204=""),"",IF(COUNT(AG204:AJ204)=0,"",AK204-LOOKUP(2,1/(AG204:AJ204&lt;&gt;""),AG204:AJ204)))</t>
        </is>
      </c>
      <c r="AY204" s="38" t="inlineStr">
        <is>
          <t>IF(OR(E204="",AL204=""),"",IF(COUNT(AG204:AK204)=0,"",AL204-LOOKUP(2,1/(AG204:AK204&lt;&gt;""),AG204:AK204)))</t>
        </is>
      </c>
      <c r="AZ204" s="38" t="inlineStr">
        <is>
          <t>IF(OR(E204="",AM204=""),"",IF(COUNT(AG204:AL204)=0,"",AM204-LOOKUP(2,1/(AG204:AL204&lt;&gt;""),AG204:AL204)))</t>
        </is>
      </c>
      <c r="BA204" s="38" t="inlineStr">
        <is>
          <t>IF(OR(E204="",AN204=""),"",IF(COUNT(AG204:AM204)=0,"",AN204-LOOKUP(2,1/(AG204:AM204&lt;&gt;""),AG204:AM204)))</t>
        </is>
      </c>
      <c r="BB204" s="38" t="inlineStr">
        <is>
          <t>IF(OR(E204="",AO204=""),"",IF(COUNT(AG204:AN204)=0,"",AO204-LOOKUP(2,1/(AG204:AN204&lt;&gt;""),AG204:AN204)))</t>
        </is>
      </c>
      <c r="BC204" s="38" t="inlineStr">
        <is>
          <t>IF(OR(E204="",AP204=""),"",IF(COUNT(AG204:AO204)=0,"",AP204-LOOKUP(2,1/(AG204:AO204&lt;&gt;""),AG204:AO204)))</t>
        </is>
      </c>
      <c r="BD204" s="38" t="inlineStr">
        <is>
          <t>IF(OR(E204="",AQ204=""),"",IF(COUNT(AG204:AP204)=0,"",AQ204-LOOKUP(2,1/(AG204:AP204&lt;&gt;""),AG204:AP204)))</t>
        </is>
      </c>
      <c r="BE204" s="38" t="inlineStr">
        <is>
          <t>IF(OR(E204="",AR204=""),"",IF(COUNT(AG204:AQ204)=0,"",AR204-LOOKUP(2,1/(AG204:AQ204&lt;&gt;""),AG204:AQ204)))</t>
        </is>
      </c>
      <c r="BF204" s="38" t="inlineStr">
        <is>
          <t>IF(OR(E204="",AS204=""),"",IF(COUNT(AG204:AR204)=0,"",AS204-LOOKUP(2,1/(AG204:AR204&lt;&gt;""),AG204:AR204)))</t>
        </is>
      </c>
      <c r="BG204" s="38" t="inlineStr">
        <is>
          <t>IF(OR(E204="",AT204=""),"",IF(COUNT(AG204:AS204)=0,"",AT204-LOOKUP(2,1/(AG204:AS204&lt;&gt;""),AG204:AS204)))</t>
        </is>
      </c>
      <c r="BH204" s="41" t="inlineStr">
        <is>
          <t>IF(G204="","All_Provinces",IFERROR(VLOOKUP(G204,'07_Lookups'!$A$4:$B$20,2,FALSE),"All_Provinces"))</t>
        </is>
      </c>
      <c r="BI204" s="41" t="inlineStr">
        <is>
          <t>IF(H204="","All_Districts",IFERROR(VLOOKUP(H204,'07_Lookups'!$E$4:$F$42,2,FALSE),"All_Districts"))</t>
        </is>
      </c>
    </row>
    <row r="205" ht="18" customHeight="1">
      <c r="A205" s="32" t="inlineStr">
        <is>
          <t>IF(E205="","",ROW()-3)</t>
        </is>
      </c>
      <c r="B205" s="42" t="n"/>
      <c r="C205" s="42" t="n"/>
      <c r="D205" s="42" t="n"/>
      <c r="E205" s="42" t="n"/>
      <c r="F205" s="42" t="n"/>
      <c r="G205" s="42" t="n"/>
      <c r="H205" s="42" t="n"/>
      <c r="I205" s="42" t="n"/>
      <c r="J205" s="42" t="n"/>
      <c r="K205" s="42" t="n"/>
      <c r="L205" s="42" t="n"/>
      <c r="M205" s="42" t="n"/>
      <c r="N205" s="42" t="n"/>
      <c r="O205" s="42" t="n"/>
      <c r="P205" s="42" t="n"/>
      <c r="Q205" s="43" t="n"/>
      <c r="R205" s="35" t="inlineStr">
        <is>
          <t>IF(AO205="","",AO205)</t>
        </is>
      </c>
      <c r="S205" s="44" t="n"/>
      <c r="T205" s="45" t="n"/>
      <c r="U205" s="44" t="n"/>
      <c r="V205" s="35" t="inlineStr">
        <is>
          <t>IF(U205&lt;&gt;"",U205,IF(OR(R205="",T205=""),"",EDATE(R205,T205)))</t>
        </is>
      </c>
      <c r="W205" s="44" t="n"/>
      <c r="X205" s="45" t="n"/>
      <c r="Y205" s="42" t="n"/>
      <c r="Z205" s="42" t="n"/>
      <c r="AA205" s="32" t="inlineStr">
        <is>
          <t>IF(E205="","",IF(COUNT(AG205:AT205)=0,IF(Y205="","Not started",Y205),SUBSTITUTE(LOOKUP(2,1/(AG205:AT205&lt;&gt;""),$AG$3:$AT$3),"Date: ","")))</t>
        </is>
      </c>
      <c r="AB205" s="38" t="inlineStr">
        <is>
          <t>IF(OR(E205="",COUNT(AG205:AT205)=0),"",TODAY()-LOOKUP(2,1/(AG205:AT205&lt;&gt;""),AG205:AT205))</t>
        </is>
      </c>
      <c r="AC205" s="38" t="inlineStr">
        <is>
          <t>IF(OR(E205="",COUNT(AG205:AT205)&lt;2),"",LOOKUP(2,1/(AG205:AT205&lt;&gt;""),AG205:AT205)-MIN(AG205:AT205))</t>
        </is>
      </c>
      <c r="AD205" s="38" t="inlineStr">
        <is>
          <t>IF(OR(AB205="",AA205="Not started",AA205=""),"",IFERROR(AB205-IF(VLOOKUP(AA205,'04_Status_Pipeline'!$B$3:$E$20,4,FALSE)="",0,VLOOKUP(AA205,'04_Status_Pipeline'!$B$3:$E$20,4,FALSE)),""))</t>
        </is>
      </c>
      <c r="AE205" s="32" t="inlineStr">
        <is>
          <t>IF(E205="","",IF(OR(Y205="Cancelled",AA205="Cancelled"),"Cancelled",IF(OR(AA205="Completed / Handover",W205&lt;&gt;"",X205&gt;=100),"Completed — on track",IF(L205="Remaining",IF(S205="",IF(V205="","No planned date",IF(TODAY()&gt;V205,"Behind — past planned date",IF(V205-TODAY()&lt;=30,"At risk — close to off track","On track"))),IF(TODAY()&gt;S205,"Behind — award date passed",IF(S205-TODAY()&lt;=30,"At risk — close to off track","On track"))),IF(V205="","No planned date",IF(AND(TODAY()&gt;V205,OR(X205="",X205&lt;100)),"Behind — past end date",IF(AND(R205&lt;&gt;"",V205&lt;&gt;"",X205&lt;&gt;"",(X205&lt;100),((TODAY()-R205)/MAX(V205-R205,1)*100)-X205&gt;15),"Behind — progress lag",IF(AND(V205-TODAY()&lt;=30,V205-TODAY()&gt;=0,OR(X205="",X205&lt;90)),"At risk — close to off track","On track"))))))))</t>
        </is>
      </c>
      <c r="AF205" s="38" t="inlineStr">
        <is>
          <t>IF(OR(E205="",AA205="Completed / Handover",AA205="Cancelled"),"",IF(L205="Remaining",IF(S205&lt;&gt;"",S205-TODAY(),IF(V205="","",V205-TODAY())),IF(V205="","",V205-TODAY())))</t>
        </is>
      </c>
      <c r="AG205" s="44" t="n"/>
      <c r="AH205" s="44" t="n"/>
      <c r="AI205" s="44" t="n"/>
      <c r="AJ205" s="44" t="n"/>
      <c r="AK205" s="44" t="n"/>
      <c r="AL205" s="44" t="n"/>
      <c r="AM205" s="44" t="n"/>
      <c r="AN205" s="44" t="n"/>
      <c r="AO205" s="44" t="n"/>
      <c r="AP205" s="44" t="n"/>
      <c r="AQ205" s="44" t="n"/>
      <c r="AR205" s="40" t="n"/>
      <c r="AS205" s="40" t="n"/>
      <c r="AT205" s="40" t="n"/>
      <c r="AU205" s="38" t="inlineStr">
        <is>
          <t>IF(OR(E205="",AH205=""),"",IF(COUNT(AG205:AG205)=0,"",AH205-LOOKUP(2,1/(AG205:AG205&lt;&gt;""),AG205:AG205)))</t>
        </is>
      </c>
      <c r="AV205" s="38" t="inlineStr">
        <is>
          <t>IF(OR(E205="",AI205=""),"",IF(COUNT(AG205:AH205)=0,"",AI205-LOOKUP(2,1/(AG205:AH205&lt;&gt;""),AG205:AH205)))</t>
        </is>
      </c>
      <c r="AW205" s="38" t="inlineStr">
        <is>
          <t>IF(OR(E205="",AJ205=""),"",IF(COUNT(AG205:AI205)=0,"",AJ205-LOOKUP(2,1/(AG205:AI205&lt;&gt;""),AG205:AI205)))</t>
        </is>
      </c>
      <c r="AX205" s="38" t="inlineStr">
        <is>
          <t>IF(OR(E205="",AK205=""),"",IF(COUNT(AG205:AJ205)=0,"",AK205-LOOKUP(2,1/(AG205:AJ205&lt;&gt;""),AG205:AJ205)))</t>
        </is>
      </c>
      <c r="AY205" s="38" t="inlineStr">
        <is>
          <t>IF(OR(E205="",AL205=""),"",IF(COUNT(AG205:AK205)=0,"",AL205-LOOKUP(2,1/(AG205:AK205&lt;&gt;""),AG205:AK205)))</t>
        </is>
      </c>
      <c r="AZ205" s="38" t="inlineStr">
        <is>
          <t>IF(OR(E205="",AM205=""),"",IF(COUNT(AG205:AL205)=0,"",AM205-LOOKUP(2,1/(AG205:AL205&lt;&gt;""),AG205:AL205)))</t>
        </is>
      </c>
      <c r="BA205" s="38" t="inlineStr">
        <is>
          <t>IF(OR(E205="",AN205=""),"",IF(COUNT(AG205:AM205)=0,"",AN205-LOOKUP(2,1/(AG205:AM205&lt;&gt;""),AG205:AM205)))</t>
        </is>
      </c>
      <c r="BB205" s="38" t="inlineStr">
        <is>
          <t>IF(OR(E205="",AO205=""),"",IF(COUNT(AG205:AN205)=0,"",AO205-LOOKUP(2,1/(AG205:AN205&lt;&gt;""),AG205:AN205)))</t>
        </is>
      </c>
      <c r="BC205" s="38" t="inlineStr">
        <is>
          <t>IF(OR(E205="",AP205=""),"",IF(COUNT(AG205:AO205)=0,"",AP205-LOOKUP(2,1/(AG205:AO205&lt;&gt;""),AG205:AO205)))</t>
        </is>
      </c>
      <c r="BD205" s="38" t="inlineStr">
        <is>
          <t>IF(OR(E205="",AQ205=""),"",IF(COUNT(AG205:AP205)=0,"",AQ205-LOOKUP(2,1/(AG205:AP205&lt;&gt;""),AG205:AP205)))</t>
        </is>
      </c>
      <c r="BE205" s="38" t="inlineStr">
        <is>
          <t>IF(OR(E205="",AR205=""),"",IF(COUNT(AG205:AQ205)=0,"",AR205-LOOKUP(2,1/(AG205:AQ205&lt;&gt;""),AG205:AQ205)))</t>
        </is>
      </c>
      <c r="BF205" s="38" t="inlineStr">
        <is>
          <t>IF(OR(E205="",AS205=""),"",IF(COUNT(AG205:AR205)=0,"",AS205-LOOKUP(2,1/(AG205:AR205&lt;&gt;""),AG205:AR205)))</t>
        </is>
      </c>
      <c r="BG205" s="38" t="inlineStr">
        <is>
          <t>IF(OR(E205="",AT205=""),"",IF(COUNT(AG205:AS205)=0,"",AT205-LOOKUP(2,1/(AG205:AS205&lt;&gt;""),AG205:AS205)))</t>
        </is>
      </c>
      <c r="BH205" s="41" t="inlineStr">
        <is>
          <t>IF(G205="","All_Provinces",IFERROR(VLOOKUP(G205,'07_Lookups'!$A$4:$B$20,2,FALSE),"All_Provinces"))</t>
        </is>
      </c>
      <c r="BI205" s="41" t="inlineStr">
        <is>
          <t>IF(H205="","All_Districts",IFERROR(VLOOKUP(H205,'07_Lookups'!$E$4:$F$42,2,FALSE),"All_Districts"))</t>
        </is>
      </c>
    </row>
    <row r="206" ht="18" customHeight="1">
      <c r="A206" s="32" t="inlineStr">
        <is>
          <t>IF(E206="","",ROW()-3)</t>
        </is>
      </c>
      <c r="B206" s="33" t="n"/>
      <c r="C206" s="33" t="n"/>
      <c r="D206" s="33" t="n"/>
      <c r="E206" s="33" t="n"/>
      <c r="F206" s="33" t="n"/>
      <c r="G206" s="33" t="n"/>
      <c r="H206" s="33" t="n"/>
      <c r="I206" s="33" t="n"/>
      <c r="J206" s="33" t="n"/>
      <c r="K206" s="33" t="n"/>
      <c r="L206" s="33" t="n"/>
      <c r="M206" s="33" t="n"/>
      <c r="N206" s="33" t="n"/>
      <c r="O206" s="33" t="n"/>
      <c r="P206" s="33" t="n"/>
      <c r="Q206" s="34" t="n"/>
      <c r="R206" s="35" t="inlineStr">
        <is>
          <t>IF(AO206="","",AO206)</t>
        </is>
      </c>
      <c r="S206" s="36" t="n"/>
      <c r="T206" s="37" t="n"/>
      <c r="U206" s="36" t="n"/>
      <c r="V206" s="35" t="inlineStr">
        <is>
          <t>IF(U206&lt;&gt;"",U206,IF(OR(R206="",T206=""),"",EDATE(R206,T206)))</t>
        </is>
      </c>
      <c r="W206" s="36" t="n"/>
      <c r="X206" s="37" t="n"/>
      <c r="Y206" s="33" t="n"/>
      <c r="Z206" s="33" t="n"/>
      <c r="AA206" s="32" t="inlineStr">
        <is>
          <t>IF(E206="","",IF(COUNT(AG206:AT206)=0,IF(Y206="","Not started",Y206),SUBSTITUTE(LOOKUP(2,1/(AG206:AT206&lt;&gt;""),$AG$3:$AT$3),"Date: ","")))</t>
        </is>
      </c>
      <c r="AB206" s="38" t="inlineStr">
        <is>
          <t>IF(OR(E206="",COUNT(AG206:AT206)=0),"",TODAY()-LOOKUP(2,1/(AG206:AT206&lt;&gt;""),AG206:AT206))</t>
        </is>
      </c>
      <c r="AC206" s="38" t="inlineStr">
        <is>
          <t>IF(OR(E206="",COUNT(AG206:AT206)&lt;2),"",LOOKUP(2,1/(AG206:AT206&lt;&gt;""),AG206:AT206)-MIN(AG206:AT206))</t>
        </is>
      </c>
      <c r="AD206" s="38" t="inlineStr">
        <is>
          <t>IF(OR(AB206="",AA206="Not started",AA206=""),"",IFERROR(AB206-IF(VLOOKUP(AA206,'04_Status_Pipeline'!$B$3:$E$20,4,FALSE)="",0,VLOOKUP(AA206,'04_Status_Pipeline'!$B$3:$E$20,4,FALSE)),""))</t>
        </is>
      </c>
      <c r="AE206" s="32" t="inlineStr">
        <is>
          <t>IF(E206="","",IF(OR(Y206="Cancelled",AA206="Cancelled"),"Cancelled",IF(OR(AA206="Completed / Handover",W206&lt;&gt;"",X206&gt;=100),"Completed — on track",IF(L206="Remaining",IF(S206="",IF(V206="","No planned date",IF(TODAY()&gt;V206,"Behind — past planned date",IF(V206-TODAY()&lt;=30,"At risk — close to off track","On track"))),IF(TODAY()&gt;S206,"Behind — award date passed",IF(S206-TODAY()&lt;=30,"At risk — close to off track","On track"))),IF(V206="","No planned date",IF(AND(TODAY()&gt;V206,OR(X206="",X206&lt;100)),"Behind — past end date",IF(AND(R206&lt;&gt;"",V206&lt;&gt;"",X206&lt;&gt;"",(X206&lt;100),((TODAY()-R206)/MAX(V206-R206,1)*100)-X206&gt;15),"Behind — progress lag",IF(AND(V206-TODAY()&lt;=30,V206-TODAY()&gt;=0,OR(X206="",X206&lt;90)),"At risk — close to off track","On track"))))))))</t>
        </is>
      </c>
      <c r="AF206" s="38" t="inlineStr">
        <is>
          <t>IF(OR(E206="",AA206="Completed / Handover",AA206="Cancelled"),"",IF(L206="Remaining",IF(S206&lt;&gt;"",S206-TODAY(),IF(V206="","",V206-TODAY())),IF(V206="","",V206-TODAY())))</t>
        </is>
      </c>
      <c r="AG206" s="36" t="n"/>
      <c r="AH206" s="36" t="n"/>
      <c r="AI206" s="36" t="n"/>
      <c r="AJ206" s="36" t="n"/>
      <c r="AK206" s="36" t="n"/>
      <c r="AL206" s="36" t="n"/>
      <c r="AM206" s="36" t="n"/>
      <c r="AN206" s="36" t="n"/>
      <c r="AO206" s="36" t="n"/>
      <c r="AP206" s="36" t="n"/>
      <c r="AQ206" s="36" t="n"/>
      <c r="AR206" s="40" t="n"/>
      <c r="AS206" s="40" t="n"/>
      <c r="AT206" s="40" t="n"/>
      <c r="AU206" s="38" t="inlineStr">
        <is>
          <t>IF(OR(E206="",AH206=""),"",IF(COUNT(AG206:AG206)=0,"",AH206-LOOKUP(2,1/(AG206:AG206&lt;&gt;""),AG206:AG206)))</t>
        </is>
      </c>
      <c r="AV206" s="38" t="inlineStr">
        <is>
          <t>IF(OR(E206="",AI206=""),"",IF(COUNT(AG206:AH206)=0,"",AI206-LOOKUP(2,1/(AG206:AH206&lt;&gt;""),AG206:AH206)))</t>
        </is>
      </c>
      <c r="AW206" s="38" t="inlineStr">
        <is>
          <t>IF(OR(E206="",AJ206=""),"",IF(COUNT(AG206:AI206)=0,"",AJ206-LOOKUP(2,1/(AG206:AI206&lt;&gt;""),AG206:AI206)))</t>
        </is>
      </c>
      <c r="AX206" s="38" t="inlineStr">
        <is>
          <t>IF(OR(E206="",AK206=""),"",IF(COUNT(AG206:AJ206)=0,"",AK206-LOOKUP(2,1/(AG206:AJ206&lt;&gt;""),AG206:AJ206)))</t>
        </is>
      </c>
      <c r="AY206" s="38" t="inlineStr">
        <is>
          <t>IF(OR(E206="",AL206=""),"",IF(COUNT(AG206:AK206)=0,"",AL206-LOOKUP(2,1/(AG206:AK206&lt;&gt;""),AG206:AK206)))</t>
        </is>
      </c>
      <c r="AZ206" s="38" t="inlineStr">
        <is>
          <t>IF(OR(E206="",AM206=""),"",IF(COUNT(AG206:AL206)=0,"",AM206-LOOKUP(2,1/(AG206:AL206&lt;&gt;""),AG206:AL206)))</t>
        </is>
      </c>
      <c r="BA206" s="38" t="inlineStr">
        <is>
          <t>IF(OR(E206="",AN206=""),"",IF(COUNT(AG206:AM206)=0,"",AN206-LOOKUP(2,1/(AG206:AM206&lt;&gt;""),AG206:AM206)))</t>
        </is>
      </c>
      <c r="BB206" s="38" t="inlineStr">
        <is>
          <t>IF(OR(E206="",AO206=""),"",IF(COUNT(AG206:AN206)=0,"",AO206-LOOKUP(2,1/(AG206:AN206&lt;&gt;""),AG206:AN206)))</t>
        </is>
      </c>
      <c r="BC206" s="38" t="inlineStr">
        <is>
          <t>IF(OR(E206="",AP206=""),"",IF(COUNT(AG206:AO206)=0,"",AP206-LOOKUP(2,1/(AG206:AO206&lt;&gt;""),AG206:AO206)))</t>
        </is>
      </c>
      <c r="BD206" s="38" t="inlineStr">
        <is>
          <t>IF(OR(E206="",AQ206=""),"",IF(COUNT(AG206:AP206)=0,"",AQ206-LOOKUP(2,1/(AG206:AP206&lt;&gt;""),AG206:AP206)))</t>
        </is>
      </c>
      <c r="BE206" s="38" t="inlineStr">
        <is>
          <t>IF(OR(E206="",AR206=""),"",IF(COUNT(AG206:AQ206)=0,"",AR206-LOOKUP(2,1/(AG206:AQ206&lt;&gt;""),AG206:AQ206)))</t>
        </is>
      </c>
      <c r="BF206" s="38" t="inlineStr">
        <is>
          <t>IF(OR(E206="",AS206=""),"",IF(COUNT(AG206:AR206)=0,"",AS206-LOOKUP(2,1/(AG206:AR206&lt;&gt;""),AG206:AR206)))</t>
        </is>
      </c>
      <c r="BG206" s="38" t="inlineStr">
        <is>
          <t>IF(OR(E206="",AT206=""),"",IF(COUNT(AG206:AS206)=0,"",AT206-LOOKUP(2,1/(AG206:AS206&lt;&gt;""),AG206:AS206)))</t>
        </is>
      </c>
      <c r="BH206" s="41" t="inlineStr">
        <is>
          <t>IF(G206="","All_Provinces",IFERROR(VLOOKUP(G206,'07_Lookups'!$A$4:$B$20,2,FALSE),"All_Provinces"))</t>
        </is>
      </c>
      <c r="BI206" s="41" t="inlineStr">
        <is>
          <t>IF(H206="","All_Districts",IFERROR(VLOOKUP(H206,'07_Lookups'!$E$4:$F$42,2,FALSE),"All_Districts"))</t>
        </is>
      </c>
    </row>
    <row r="207" ht="18" customHeight="1">
      <c r="A207" s="32" t="inlineStr">
        <is>
          <t>IF(E207="","",ROW()-3)</t>
        </is>
      </c>
      <c r="B207" s="42" t="n"/>
      <c r="C207" s="42" t="n"/>
      <c r="D207" s="42" t="n"/>
      <c r="E207" s="42" t="n"/>
      <c r="F207" s="42" t="n"/>
      <c r="G207" s="42" t="n"/>
      <c r="H207" s="42" t="n"/>
      <c r="I207" s="42" t="n"/>
      <c r="J207" s="42" t="n"/>
      <c r="K207" s="42" t="n"/>
      <c r="L207" s="42" t="n"/>
      <c r="M207" s="42" t="n"/>
      <c r="N207" s="42" t="n"/>
      <c r="O207" s="42" t="n"/>
      <c r="P207" s="42" t="n"/>
      <c r="Q207" s="43" t="n"/>
      <c r="R207" s="35" t="inlineStr">
        <is>
          <t>IF(AO207="","",AO207)</t>
        </is>
      </c>
      <c r="S207" s="44" t="n"/>
      <c r="T207" s="45" t="n"/>
      <c r="U207" s="44" t="n"/>
      <c r="V207" s="35" t="inlineStr">
        <is>
          <t>IF(U207&lt;&gt;"",U207,IF(OR(R207="",T207=""),"",EDATE(R207,T207)))</t>
        </is>
      </c>
      <c r="W207" s="44" t="n"/>
      <c r="X207" s="45" t="n"/>
      <c r="Y207" s="42" t="n"/>
      <c r="Z207" s="42" t="n"/>
      <c r="AA207" s="32" t="inlineStr">
        <is>
          <t>IF(E207="","",IF(COUNT(AG207:AT207)=0,IF(Y207="","Not started",Y207),SUBSTITUTE(LOOKUP(2,1/(AG207:AT207&lt;&gt;""),$AG$3:$AT$3),"Date: ","")))</t>
        </is>
      </c>
      <c r="AB207" s="38" t="inlineStr">
        <is>
          <t>IF(OR(E207="",COUNT(AG207:AT207)=0),"",TODAY()-LOOKUP(2,1/(AG207:AT207&lt;&gt;""),AG207:AT207))</t>
        </is>
      </c>
      <c r="AC207" s="38" t="inlineStr">
        <is>
          <t>IF(OR(E207="",COUNT(AG207:AT207)&lt;2),"",LOOKUP(2,1/(AG207:AT207&lt;&gt;""),AG207:AT207)-MIN(AG207:AT207))</t>
        </is>
      </c>
      <c r="AD207" s="38" t="inlineStr">
        <is>
          <t>IF(OR(AB207="",AA207="Not started",AA207=""),"",IFERROR(AB207-IF(VLOOKUP(AA207,'04_Status_Pipeline'!$B$3:$E$20,4,FALSE)="",0,VLOOKUP(AA207,'04_Status_Pipeline'!$B$3:$E$20,4,FALSE)),""))</t>
        </is>
      </c>
      <c r="AE207" s="32" t="inlineStr">
        <is>
          <t>IF(E207="","",IF(OR(Y207="Cancelled",AA207="Cancelled"),"Cancelled",IF(OR(AA207="Completed / Handover",W207&lt;&gt;"",X207&gt;=100),"Completed — on track",IF(L207="Remaining",IF(S207="",IF(V207="","No planned date",IF(TODAY()&gt;V207,"Behind — past planned date",IF(V207-TODAY()&lt;=30,"At risk — close to off track","On track"))),IF(TODAY()&gt;S207,"Behind — award date passed",IF(S207-TODAY()&lt;=30,"At risk — close to off track","On track"))),IF(V207="","No planned date",IF(AND(TODAY()&gt;V207,OR(X207="",X207&lt;100)),"Behind — past end date",IF(AND(R207&lt;&gt;"",V207&lt;&gt;"",X207&lt;&gt;"",(X207&lt;100),((TODAY()-R207)/MAX(V207-R207,1)*100)-X207&gt;15),"Behind — progress lag",IF(AND(V207-TODAY()&lt;=30,V207-TODAY()&gt;=0,OR(X207="",X207&lt;90)),"At risk — close to off track","On track"))))))))</t>
        </is>
      </c>
      <c r="AF207" s="38" t="inlineStr">
        <is>
          <t>IF(OR(E207="",AA207="Completed / Handover",AA207="Cancelled"),"",IF(L207="Remaining",IF(S207&lt;&gt;"",S207-TODAY(),IF(V207="","",V207-TODAY())),IF(V207="","",V207-TODAY())))</t>
        </is>
      </c>
      <c r="AG207" s="44" t="n"/>
      <c r="AH207" s="44" t="n"/>
      <c r="AI207" s="44" t="n"/>
      <c r="AJ207" s="44" t="n"/>
      <c r="AK207" s="44" t="n"/>
      <c r="AL207" s="44" t="n"/>
      <c r="AM207" s="44" t="n"/>
      <c r="AN207" s="44" t="n"/>
      <c r="AO207" s="44" t="n"/>
      <c r="AP207" s="44" t="n"/>
      <c r="AQ207" s="44" t="n"/>
      <c r="AR207" s="40" t="n"/>
      <c r="AS207" s="40" t="n"/>
      <c r="AT207" s="40" t="n"/>
      <c r="AU207" s="38" t="inlineStr">
        <is>
          <t>IF(OR(E207="",AH207=""),"",IF(COUNT(AG207:AG207)=0,"",AH207-LOOKUP(2,1/(AG207:AG207&lt;&gt;""),AG207:AG207)))</t>
        </is>
      </c>
      <c r="AV207" s="38" t="inlineStr">
        <is>
          <t>IF(OR(E207="",AI207=""),"",IF(COUNT(AG207:AH207)=0,"",AI207-LOOKUP(2,1/(AG207:AH207&lt;&gt;""),AG207:AH207)))</t>
        </is>
      </c>
      <c r="AW207" s="38" t="inlineStr">
        <is>
          <t>IF(OR(E207="",AJ207=""),"",IF(COUNT(AG207:AI207)=0,"",AJ207-LOOKUP(2,1/(AG207:AI207&lt;&gt;""),AG207:AI207)))</t>
        </is>
      </c>
      <c r="AX207" s="38" t="inlineStr">
        <is>
          <t>IF(OR(E207="",AK207=""),"",IF(COUNT(AG207:AJ207)=0,"",AK207-LOOKUP(2,1/(AG207:AJ207&lt;&gt;""),AG207:AJ207)))</t>
        </is>
      </c>
      <c r="AY207" s="38" t="inlineStr">
        <is>
          <t>IF(OR(E207="",AL207=""),"",IF(COUNT(AG207:AK207)=0,"",AL207-LOOKUP(2,1/(AG207:AK207&lt;&gt;""),AG207:AK207)))</t>
        </is>
      </c>
      <c r="AZ207" s="38" t="inlineStr">
        <is>
          <t>IF(OR(E207="",AM207=""),"",IF(COUNT(AG207:AL207)=0,"",AM207-LOOKUP(2,1/(AG207:AL207&lt;&gt;""),AG207:AL207)))</t>
        </is>
      </c>
      <c r="BA207" s="38" t="inlineStr">
        <is>
          <t>IF(OR(E207="",AN207=""),"",IF(COUNT(AG207:AM207)=0,"",AN207-LOOKUP(2,1/(AG207:AM207&lt;&gt;""),AG207:AM207)))</t>
        </is>
      </c>
      <c r="BB207" s="38" t="inlineStr">
        <is>
          <t>IF(OR(E207="",AO207=""),"",IF(COUNT(AG207:AN207)=0,"",AO207-LOOKUP(2,1/(AG207:AN207&lt;&gt;""),AG207:AN207)))</t>
        </is>
      </c>
      <c r="BC207" s="38" t="inlineStr">
        <is>
          <t>IF(OR(E207="",AP207=""),"",IF(COUNT(AG207:AO207)=0,"",AP207-LOOKUP(2,1/(AG207:AO207&lt;&gt;""),AG207:AO207)))</t>
        </is>
      </c>
      <c r="BD207" s="38" t="inlineStr">
        <is>
          <t>IF(OR(E207="",AQ207=""),"",IF(COUNT(AG207:AP207)=0,"",AQ207-LOOKUP(2,1/(AG207:AP207&lt;&gt;""),AG207:AP207)))</t>
        </is>
      </c>
      <c r="BE207" s="38" t="inlineStr">
        <is>
          <t>IF(OR(E207="",AR207=""),"",IF(COUNT(AG207:AQ207)=0,"",AR207-LOOKUP(2,1/(AG207:AQ207&lt;&gt;""),AG207:AQ207)))</t>
        </is>
      </c>
      <c r="BF207" s="38" t="inlineStr">
        <is>
          <t>IF(OR(E207="",AS207=""),"",IF(COUNT(AG207:AR207)=0,"",AS207-LOOKUP(2,1/(AG207:AR207&lt;&gt;""),AG207:AR207)))</t>
        </is>
      </c>
      <c r="BG207" s="38" t="inlineStr">
        <is>
          <t>IF(OR(E207="",AT207=""),"",IF(COUNT(AG207:AS207)=0,"",AT207-LOOKUP(2,1/(AG207:AS207&lt;&gt;""),AG207:AS207)))</t>
        </is>
      </c>
      <c r="BH207" s="41" t="inlineStr">
        <is>
          <t>IF(G207="","All_Provinces",IFERROR(VLOOKUP(G207,'07_Lookups'!$A$4:$B$20,2,FALSE),"All_Provinces"))</t>
        </is>
      </c>
      <c r="BI207" s="41" t="inlineStr">
        <is>
          <t>IF(H207="","All_Districts",IFERROR(VLOOKUP(H207,'07_Lookups'!$E$4:$F$42,2,FALSE),"All_Districts"))</t>
        </is>
      </c>
    </row>
    <row r="208" ht="18" customHeight="1">
      <c r="A208" s="32" t="inlineStr">
        <is>
          <t>IF(E208="","",ROW()-3)</t>
        </is>
      </c>
      <c r="B208" s="33" t="n"/>
      <c r="C208" s="33" t="n"/>
      <c r="D208" s="33" t="n"/>
      <c r="E208" s="33" t="n"/>
      <c r="F208" s="33" t="n"/>
      <c r="G208" s="33" t="n"/>
      <c r="H208" s="33" t="n"/>
      <c r="I208" s="33" t="n"/>
      <c r="J208" s="33" t="n"/>
      <c r="K208" s="33" t="n"/>
      <c r="L208" s="33" t="n"/>
      <c r="M208" s="33" t="n"/>
      <c r="N208" s="33" t="n"/>
      <c r="O208" s="33" t="n"/>
      <c r="P208" s="33" t="n"/>
      <c r="Q208" s="34" t="n"/>
      <c r="R208" s="35" t="inlineStr">
        <is>
          <t>IF(AO208="","",AO208)</t>
        </is>
      </c>
      <c r="S208" s="36" t="n"/>
      <c r="T208" s="37" t="n"/>
      <c r="U208" s="36" t="n"/>
      <c r="V208" s="35" t="inlineStr">
        <is>
          <t>IF(U208&lt;&gt;"",U208,IF(OR(R208="",T208=""),"",EDATE(R208,T208)))</t>
        </is>
      </c>
      <c r="W208" s="36" t="n"/>
      <c r="X208" s="37" t="n"/>
      <c r="Y208" s="33" t="n"/>
      <c r="Z208" s="33" t="n"/>
      <c r="AA208" s="32" t="inlineStr">
        <is>
          <t>IF(E208="","",IF(COUNT(AG208:AT208)=0,IF(Y208="","Not started",Y208),SUBSTITUTE(LOOKUP(2,1/(AG208:AT208&lt;&gt;""),$AG$3:$AT$3),"Date: ","")))</t>
        </is>
      </c>
      <c r="AB208" s="38" t="inlineStr">
        <is>
          <t>IF(OR(E208="",COUNT(AG208:AT208)=0),"",TODAY()-LOOKUP(2,1/(AG208:AT208&lt;&gt;""),AG208:AT208))</t>
        </is>
      </c>
      <c r="AC208" s="38" t="inlineStr">
        <is>
          <t>IF(OR(E208="",COUNT(AG208:AT208)&lt;2),"",LOOKUP(2,1/(AG208:AT208&lt;&gt;""),AG208:AT208)-MIN(AG208:AT208))</t>
        </is>
      </c>
      <c r="AD208" s="38" t="inlineStr">
        <is>
          <t>IF(OR(AB208="",AA208="Not started",AA208=""),"",IFERROR(AB208-IF(VLOOKUP(AA208,'04_Status_Pipeline'!$B$3:$E$20,4,FALSE)="",0,VLOOKUP(AA208,'04_Status_Pipeline'!$B$3:$E$20,4,FALSE)),""))</t>
        </is>
      </c>
      <c r="AE208" s="32" t="inlineStr">
        <is>
          <t>IF(E208="","",IF(OR(Y208="Cancelled",AA208="Cancelled"),"Cancelled",IF(OR(AA208="Completed / Handover",W208&lt;&gt;"",X208&gt;=100),"Completed — on track",IF(L208="Remaining",IF(S208="",IF(V208="","No planned date",IF(TODAY()&gt;V208,"Behind — past planned date",IF(V208-TODAY()&lt;=30,"At risk — close to off track","On track"))),IF(TODAY()&gt;S208,"Behind — award date passed",IF(S208-TODAY()&lt;=30,"At risk — close to off track","On track"))),IF(V208="","No planned date",IF(AND(TODAY()&gt;V208,OR(X208="",X208&lt;100)),"Behind — past end date",IF(AND(R208&lt;&gt;"",V208&lt;&gt;"",X208&lt;&gt;"",(X208&lt;100),((TODAY()-R208)/MAX(V208-R208,1)*100)-X208&gt;15),"Behind — progress lag",IF(AND(V208-TODAY()&lt;=30,V208-TODAY()&gt;=0,OR(X208="",X208&lt;90)),"At risk — close to off track","On track"))))))))</t>
        </is>
      </c>
      <c r="AF208" s="38" t="inlineStr">
        <is>
          <t>IF(OR(E208="",AA208="Completed / Handover",AA208="Cancelled"),"",IF(L208="Remaining",IF(S208&lt;&gt;"",S208-TODAY(),IF(V208="","",V208-TODAY())),IF(V208="","",V208-TODAY())))</t>
        </is>
      </c>
      <c r="AG208" s="36" t="n"/>
      <c r="AH208" s="36" t="n"/>
      <c r="AI208" s="36" t="n"/>
      <c r="AJ208" s="36" t="n"/>
      <c r="AK208" s="36" t="n"/>
      <c r="AL208" s="36" t="n"/>
      <c r="AM208" s="36" t="n"/>
      <c r="AN208" s="36" t="n"/>
      <c r="AO208" s="36" t="n"/>
      <c r="AP208" s="36" t="n"/>
      <c r="AQ208" s="36" t="n"/>
      <c r="AR208" s="40" t="n"/>
      <c r="AS208" s="40" t="n"/>
      <c r="AT208" s="40" t="n"/>
      <c r="AU208" s="38" t="inlineStr">
        <is>
          <t>IF(OR(E208="",AH208=""),"",IF(COUNT(AG208:AG208)=0,"",AH208-LOOKUP(2,1/(AG208:AG208&lt;&gt;""),AG208:AG208)))</t>
        </is>
      </c>
      <c r="AV208" s="38" t="inlineStr">
        <is>
          <t>IF(OR(E208="",AI208=""),"",IF(COUNT(AG208:AH208)=0,"",AI208-LOOKUP(2,1/(AG208:AH208&lt;&gt;""),AG208:AH208)))</t>
        </is>
      </c>
      <c r="AW208" s="38" t="inlineStr">
        <is>
          <t>IF(OR(E208="",AJ208=""),"",IF(COUNT(AG208:AI208)=0,"",AJ208-LOOKUP(2,1/(AG208:AI208&lt;&gt;""),AG208:AI208)))</t>
        </is>
      </c>
      <c r="AX208" s="38" t="inlineStr">
        <is>
          <t>IF(OR(E208="",AK208=""),"",IF(COUNT(AG208:AJ208)=0,"",AK208-LOOKUP(2,1/(AG208:AJ208&lt;&gt;""),AG208:AJ208)))</t>
        </is>
      </c>
      <c r="AY208" s="38" t="inlineStr">
        <is>
          <t>IF(OR(E208="",AL208=""),"",IF(COUNT(AG208:AK208)=0,"",AL208-LOOKUP(2,1/(AG208:AK208&lt;&gt;""),AG208:AK208)))</t>
        </is>
      </c>
      <c r="AZ208" s="38" t="inlineStr">
        <is>
          <t>IF(OR(E208="",AM208=""),"",IF(COUNT(AG208:AL208)=0,"",AM208-LOOKUP(2,1/(AG208:AL208&lt;&gt;""),AG208:AL208)))</t>
        </is>
      </c>
      <c r="BA208" s="38" t="inlineStr">
        <is>
          <t>IF(OR(E208="",AN208=""),"",IF(COUNT(AG208:AM208)=0,"",AN208-LOOKUP(2,1/(AG208:AM208&lt;&gt;""),AG208:AM208)))</t>
        </is>
      </c>
      <c r="BB208" s="38" t="inlineStr">
        <is>
          <t>IF(OR(E208="",AO208=""),"",IF(COUNT(AG208:AN208)=0,"",AO208-LOOKUP(2,1/(AG208:AN208&lt;&gt;""),AG208:AN208)))</t>
        </is>
      </c>
      <c r="BC208" s="38" t="inlineStr">
        <is>
          <t>IF(OR(E208="",AP208=""),"",IF(COUNT(AG208:AO208)=0,"",AP208-LOOKUP(2,1/(AG208:AO208&lt;&gt;""),AG208:AO208)))</t>
        </is>
      </c>
      <c r="BD208" s="38" t="inlineStr">
        <is>
          <t>IF(OR(E208="",AQ208=""),"",IF(COUNT(AG208:AP208)=0,"",AQ208-LOOKUP(2,1/(AG208:AP208&lt;&gt;""),AG208:AP208)))</t>
        </is>
      </c>
      <c r="BE208" s="38" t="inlineStr">
        <is>
          <t>IF(OR(E208="",AR208=""),"",IF(COUNT(AG208:AQ208)=0,"",AR208-LOOKUP(2,1/(AG208:AQ208&lt;&gt;""),AG208:AQ208)))</t>
        </is>
      </c>
      <c r="BF208" s="38" t="inlineStr">
        <is>
          <t>IF(OR(E208="",AS208=""),"",IF(COUNT(AG208:AR208)=0,"",AS208-LOOKUP(2,1/(AG208:AR208&lt;&gt;""),AG208:AR208)))</t>
        </is>
      </c>
      <c r="BG208" s="38" t="inlineStr">
        <is>
          <t>IF(OR(E208="",AT208=""),"",IF(COUNT(AG208:AS208)=0,"",AT208-LOOKUP(2,1/(AG208:AS208&lt;&gt;""),AG208:AS208)))</t>
        </is>
      </c>
      <c r="BH208" s="41" t="inlineStr">
        <is>
          <t>IF(G208="","All_Provinces",IFERROR(VLOOKUP(G208,'07_Lookups'!$A$4:$B$20,2,FALSE),"All_Provinces"))</t>
        </is>
      </c>
      <c r="BI208" s="41" t="inlineStr">
        <is>
          <t>IF(H208="","All_Districts",IFERROR(VLOOKUP(H208,'07_Lookups'!$E$4:$F$42,2,FALSE),"All_Districts"))</t>
        </is>
      </c>
    </row>
    <row r="209" ht="18" customHeight="1">
      <c r="A209" s="32" t="inlineStr">
        <is>
          <t>IF(E209="","",ROW()-3)</t>
        </is>
      </c>
      <c r="B209" s="42" t="n"/>
      <c r="C209" s="42" t="n"/>
      <c r="D209" s="42" t="n"/>
      <c r="E209" s="42" t="n"/>
      <c r="F209" s="42" t="n"/>
      <c r="G209" s="42" t="n"/>
      <c r="H209" s="42" t="n"/>
      <c r="I209" s="42" t="n"/>
      <c r="J209" s="42" t="n"/>
      <c r="K209" s="42" t="n"/>
      <c r="L209" s="42" t="n"/>
      <c r="M209" s="42" t="n"/>
      <c r="N209" s="42" t="n"/>
      <c r="O209" s="42" t="n"/>
      <c r="P209" s="42" t="n"/>
      <c r="Q209" s="43" t="n"/>
      <c r="R209" s="35" t="inlineStr">
        <is>
          <t>IF(AO209="","",AO209)</t>
        </is>
      </c>
      <c r="S209" s="44" t="n"/>
      <c r="T209" s="45" t="n"/>
      <c r="U209" s="44" t="n"/>
      <c r="V209" s="35" t="inlineStr">
        <is>
          <t>IF(U209&lt;&gt;"",U209,IF(OR(R209="",T209=""),"",EDATE(R209,T209)))</t>
        </is>
      </c>
      <c r="W209" s="44" t="n"/>
      <c r="X209" s="45" t="n"/>
      <c r="Y209" s="42" t="n"/>
      <c r="Z209" s="42" t="n"/>
      <c r="AA209" s="32" t="inlineStr">
        <is>
          <t>IF(E209="","",IF(COUNT(AG209:AT209)=0,IF(Y209="","Not started",Y209),SUBSTITUTE(LOOKUP(2,1/(AG209:AT209&lt;&gt;""),$AG$3:$AT$3),"Date: ","")))</t>
        </is>
      </c>
      <c r="AB209" s="38" t="inlineStr">
        <is>
          <t>IF(OR(E209="",COUNT(AG209:AT209)=0),"",TODAY()-LOOKUP(2,1/(AG209:AT209&lt;&gt;""),AG209:AT209))</t>
        </is>
      </c>
      <c r="AC209" s="38" t="inlineStr">
        <is>
          <t>IF(OR(E209="",COUNT(AG209:AT209)&lt;2),"",LOOKUP(2,1/(AG209:AT209&lt;&gt;""),AG209:AT209)-MIN(AG209:AT209))</t>
        </is>
      </c>
      <c r="AD209" s="38" t="inlineStr">
        <is>
          <t>IF(OR(AB209="",AA209="Not started",AA209=""),"",IFERROR(AB209-IF(VLOOKUP(AA209,'04_Status_Pipeline'!$B$3:$E$20,4,FALSE)="",0,VLOOKUP(AA209,'04_Status_Pipeline'!$B$3:$E$20,4,FALSE)),""))</t>
        </is>
      </c>
      <c r="AE209" s="32" t="inlineStr">
        <is>
          <t>IF(E209="","",IF(OR(Y209="Cancelled",AA209="Cancelled"),"Cancelled",IF(OR(AA209="Completed / Handover",W209&lt;&gt;"",X209&gt;=100),"Completed — on track",IF(L209="Remaining",IF(S209="",IF(V209="","No planned date",IF(TODAY()&gt;V209,"Behind — past planned date",IF(V209-TODAY()&lt;=30,"At risk — close to off track","On track"))),IF(TODAY()&gt;S209,"Behind — award date passed",IF(S209-TODAY()&lt;=30,"At risk — close to off track","On track"))),IF(V209="","No planned date",IF(AND(TODAY()&gt;V209,OR(X209="",X209&lt;100)),"Behind — past end date",IF(AND(R209&lt;&gt;"",V209&lt;&gt;"",X209&lt;&gt;"",(X209&lt;100),((TODAY()-R209)/MAX(V209-R209,1)*100)-X209&gt;15),"Behind — progress lag",IF(AND(V209-TODAY()&lt;=30,V209-TODAY()&gt;=0,OR(X209="",X209&lt;90)),"At risk — close to off track","On track"))))))))</t>
        </is>
      </c>
      <c r="AF209" s="38" t="inlineStr">
        <is>
          <t>IF(OR(E209="",AA209="Completed / Handover",AA209="Cancelled"),"",IF(L209="Remaining",IF(S209&lt;&gt;"",S209-TODAY(),IF(V209="","",V209-TODAY())),IF(V209="","",V209-TODAY())))</t>
        </is>
      </c>
      <c r="AG209" s="44" t="n"/>
      <c r="AH209" s="44" t="n"/>
      <c r="AI209" s="44" t="n"/>
      <c r="AJ209" s="44" t="n"/>
      <c r="AK209" s="44" t="n"/>
      <c r="AL209" s="44" t="n"/>
      <c r="AM209" s="44" t="n"/>
      <c r="AN209" s="44" t="n"/>
      <c r="AO209" s="44" t="n"/>
      <c r="AP209" s="44" t="n"/>
      <c r="AQ209" s="44" t="n"/>
      <c r="AR209" s="40" t="n"/>
      <c r="AS209" s="40" t="n"/>
      <c r="AT209" s="40" t="n"/>
      <c r="AU209" s="38" t="inlineStr">
        <is>
          <t>IF(OR(E209="",AH209=""),"",IF(COUNT(AG209:AG209)=0,"",AH209-LOOKUP(2,1/(AG209:AG209&lt;&gt;""),AG209:AG209)))</t>
        </is>
      </c>
      <c r="AV209" s="38" t="inlineStr">
        <is>
          <t>IF(OR(E209="",AI209=""),"",IF(COUNT(AG209:AH209)=0,"",AI209-LOOKUP(2,1/(AG209:AH209&lt;&gt;""),AG209:AH209)))</t>
        </is>
      </c>
      <c r="AW209" s="38" t="inlineStr">
        <is>
          <t>IF(OR(E209="",AJ209=""),"",IF(COUNT(AG209:AI209)=0,"",AJ209-LOOKUP(2,1/(AG209:AI209&lt;&gt;""),AG209:AI209)))</t>
        </is>
      </c>
      <c r="AX209" s="38" t="inlineStr">
        <is>
          <t>IF(OR(E209="",AK209=""),"",IF(COUNT(AG209:AJ209)=0,"",AK209-LOOKUP(2,1/(AG209:AJ209&lt;&gt;""),AG209:AJ209)))</t>
        </is>
      </c>
      <c r="AY209" s="38" t="inlineStr">
        <is>
          <t>IF(OR(E209="",AL209=""),"",IF(COUNT(AG209:AK209)=0,"",AL209-LOOKUP(2,1/(AG209:AK209&lt;&gt;""),AG209:AK209)))</t>
        </is>
      </c>
      <c r="AZ209" s="38" t="inlineStr">
        <is>
          <t>IF(OR(E209="",AM209=""),"",IF(COUNT(AG209:AL209)=0,"",AM209-LOOKUP(2,1/(AG209:AL209&lt;&gt;""),AG209:AL209)))</t>
        </is>
      </c>
      <c r="BA209" s="38" t="inlineStr">
        <is>
          <t>IF(OR(E209="",AN209=""),"",IF(COUNT(AG209:AM209)=0,"",AN209-LOOKUP(2,1/(AG209:AM209&lt;&gt;""),AG209:AM209)))</t>
        </is>
      </c>
      <c r="BB209" s="38" t="inlineStr">
        <is>
          <t>IF(OR(E209="",AO209=""),"",IF(COUNT(AG209:AN209)=0,"",AO209-LOOKUP(2,1/(AG209:AN209&lt;&gt;""),AG209:AN209)))</t>
        </is>
      </c>
      <c r="BC209" s="38" t="inlineStr">
        <is>
          <t>IF(OR(E209="",AP209=""),"",IF(COUNT(AG209:AO209)=0,"",AP209-LOOKUP(2,1/(AG209:AO209&lt;&gt;""),AG209:AO209)))</t>
        </is>
      </c>
      <c r="BD209" s="38" t="inlineStr">
        <is>
          <t>IF(OR(E209="",AQ209=""),"",IF(COUNT(AG209:AP209)=0,"",AQ209-LOOKUP(2,1/(AG209:AP209&lt;&gt;""),AG209:AP209)))</t>
        </is>
      </c>
      <c r="BE209" s="38" t="inlineStr">
        <is>
          <t>IF(OR(E209="",AR209=""),"",IF(COUNT(AG209:AQ209)=0,"",AR209-LOOKUP(2,1/(AG209:AQ209&lt;&gt;""),AG209:AQ209)))</t>
        </is>
      </c>
      <c r="BF209" s="38" t="inlineStr">
        <is>
          <t>IF(OR(E209="",AS209=""),"",IF(COUNT(AG209:AR209)=0,"",AS209-LOOKUP(2,1/(AG209:AR209&lt;&gt;""),AG209:AR209)))</t>
        </is>
      </c>
      <c r="BG209" s="38" t="inlineStr">
        <is>
          <t>IF(OR(E209="",AT209=""),"",IF(COUNT(AG209:AS209)=0,"",AT209-LOOKUP(2,1/(AG209:AS209&lt;&gt;""),AG209:AS209)))</t>
        </is>
      </c>
      <c r="BH209" s="41" t="inlineStr">
        <is>
          <t>IF(G209="","All_Provinces",IFERROR(VLOOKUP(G209,'07_Lookups'!$A$4:$B$20,2,FALSE),"All_Provinces"))</t>
        </is>
      </c>
      <c r="BI209" s="41" t="inlineStr">
        <is>
          <t>IF(H209="","All_Districts",IFERROR(VLOOKUP(H209,'07_Lookups'!$E$4:$F$42,2,FALSE),"All_Districts"))</t>
        </is>
      </c>
    </row>
    <row r="210" ht="18" customHeight="1">
      <c r="A210" s="32" t="inlineStr">
        <is>
          <t>IF(E210="","",ROW()-3)</t>
        </is>
      </c>
      <c r="B210" s="33" t="n"/>
      <c r="C210" s="33" t="n"/>
      <c r="D210" s="33" t="n"/>
      <c r="E210" s="33" t="n"/>
      <c r="F210" s="33" t="n"/>
      <c r="G210" s="33" t="n"/>
      <c r="H210" s="33" t="n"/>
      <c r="I210" s="33" t="n"/>
      <c r="J210" s="33" t="n"/>
      <c r="K210" s="33" t="n"/>
      <c r="L210" s="33" t="n"/>
      <c r="M210" s="33" t="n"/>
      <c r="N210" s="33" t="n"/>
      <c r="O210" s="33" t="n"/>
      <c r="P210" s="33" t="n"/>
      <c r="Q210" s="34" t="n"/>
      <c r="R210" s="35" t="inlineStr">
        <is>
          <t>IF(AO210="","",AO210)</t>
        </is>
      </c>
      <c r="S210" s="36" t="n"/>
      <c r="T210" s="37" t="n"/>
      <c r="U210" s="36" t="n"/>
      <c r="V210" s="35" t="inlineStr">
        <is>
          <t>IF(U210&lt;&gt;"",U210,IF(OR(R210="",T210=""),"",EDATE(R210,T210)))</t>
        </is>
      </c>
      <c r="W210" s="36" t="n"/>
      <c r="X210" s="37" t="n"/>
      <c r="Y210" s="33" t="n"/>
      <c r="Z210" s="33" t="n"/>
      <c r="AA210" s="32" t="inlineStr">
        <is>
          <t>IF(E210="","",IF(COUNT(AG210:AT210)=0,IF(Y210="","Not started",Y210),SUBSTITUTE(LOOKUP(2,1/(AG210:AT210&lt;&gt;""),$AG$3:$AT$3),"Date: ","")))</t>
        </is>
      </c>
      <c r="AB210" s="38" t="inlineStr">
        <is>
          <t>IF(OR(E210="",COUNT(AG210:AT210)=0),"",TODAY()-LOOKUP(2,1/(AG210:AT210&lt;&gt;""),AG210:AT210))</t>
        </is>
      </c>
      <c r="AC210" s="38" t="inlineStr">
        <is>
          <t>IF(OR(E210="",COUNT(AG210:AT210)&lt;2),"",LOOKUP(2,1/(AG210:AT210&lt;&gt;""),AG210:AT210)-MIN(AG210:AT210))</t>
        </is>
      </c>
      <c r="AD210" s="38" t="inlineStr">
        <is>
          <t>IF(OR(AB210="",AA210="Not started",AA210=""),"",IFERROR(AB210-IF(VLOOKUP(AA210,'04_Status_Pipeline'!$B$3:$E$20,4,FALSE)="",0,VLOOKUP(AA210,'04_Status_Pipeline'!$B$3:$E$20,4,FALSE)),""))</t>
        </is>
      </c>
      <c r="AE210" s="32" t="inlineStr">
        <is>
          <t>IF(E210="","",IF(OR(Y210="Cancelled",AA210="Cancelled"),"Cancelled",IF(OR(AA210="Completed / Handover",W210&lt;&gt;"",X210&gt;=100),"Completed — on track",IF(L210="Remaining",IF(S210="",IF(V210="","No planned date",IF(TODAY()&gt;V210,"Behind — past planned date",IF(V210-TODAY()&lt;=30,"At risk — close to off track","On track"))),IF(TODAY()&gt;S210,"Behind — award date passed",IF(S210-TODAY()&lt;=30,"At risk — close to off track","On track"))),IF(V210="","No planned date",IF(AND(TODAY()&gt;V210,OR(X210="",X210&lt;100)),"Behind — past end date",IF(AND(R210&lt;&gt;"",V210&lt;&gt;"",X210&lt;&gt;"",(X210&lt;100),((TODAY()-R210)/MAX(V210-R210,1)*100)-X210&gt;15),"Behind — progress lag",IF(AND(V210-TODAY()&lt;=30,V210-TODAY()&gt;=0,OR(X210="",X210&lt;90)),"At risk — close to off track","On track"))))))))</t>
        </is>
      </c>
      <c r="AF210" s="38" t="inlineStr">
        <is>
          <t>IF(OR(E210="",AA210="Completed / Handover",AA210="Cancelled"),"",IF(L210="Remaining",IF(S210&lt;&gt;"",S210-TODAY(),IF(V210="","",V210-TODAY())),IF(V210="","",V210-TODAY())))</t>
        </is>
      </c>
      <c r="AG210" s="36" t="n"/>
      <c r="AH210" s="36" t="n"/>
      <c r="AI210" s="36" t="n"/>
      <c r="AJ210" s="36" t="n"/>
      <c r="AK210" s="36" t="n"/>
      <c r="AL210" s="36" t="n"/>
      <c r="AM210" s="36" t="n"/>
      <c r="AN210" s="36" t="n"/>
      <c r="AO210" s="36" t="n"/>
      <c r="AP210" s="36" t="n"/>
      <c r="AQ210" s="36" t="n"/>
      <c r="AR210" s="40" t="n"/>
      <c r="AS210" s="40" t="n"/>
      <c r="AT210" s="40" t="n"/>
      <c r="AU210" s="38" t="inlineStr">
        <is>
          <t>IF(OR(E210="",AH210=""),"",IF(COUNT(AG210:AG210)=0,"",AH210-LOOKUP(2,1/(AG210:AG210&lt;&gt;""),AG210:AG210)))</t>
        </is>
      </c>
      <c r="AV210" s="38" t="inlineStr">
        <is>
          <t>IF(OR(E210="",AI210=""),"",IF(COUNT(AG210:AH210)=0,"",AI210-LOOKUP(2,1/(AG210:AH210&lt;&gt;""),AG210:AH210)))</t>
        </is>
      </c>
      <c r="AW210" s="38" t="inlineStr">
        <is>
          <t>IF(OR(E210="",AJ210=""),"",IF(COUNT(AG210:AI210)=0,"",AJ210-LOOKUP(2,1/(AG210:AI210&lt;&gt;""),AG210:AI210)))</t>
        </is>
      </c>
      <c r="AX210" s="38" t="inlineStr">
        <is>
          <t>IF(OR(E210="",AK210=""),"",IF(COUNT(AG210:AJ210)=0,"",AK210-LOOKUP(2,1/(AG210:AJ210&lt;&gt;""),AG210:AJ210)))</t>
        </is>
      </c>
      <c r="AY210" s="38" t="inlineStr">
        <is>
          <t>IF(OR(E210="",AL210=""),"",IF(COUNT(AG210:AK210)=0,"",AL210-LOOKUP(2,1/(AG210:AK210&lt;&gt;""),AG210:AK210)))</t>
        </is>
      </c>
      <c r="AZ210" s="38" t="inlineStr">
        <is>
          <t>IF(OR(E210="",AM210=""),"",IF(COUNT(AG210:AL210)=0,"",AM210-LOOKUP(2,1/(AG210:AL210&lt;&gt;""),AG210:AL210)))</t>
        </is>
      </c>
      <c r="BA210" s="38" t="inlineStr">
        <is>
          <t>IF(OR(E210="",AN210=""),"",IF(COUNT(AG210:AM210)=0,"",AN210-LOOKUP(2,1/(AG210:AM210&lt;&gt;""),AG210:AM210)))</t>
        </is>
      </c>
      <c r="BB210" s="38" t="inlineStr">
        <is>
          <t>IF(OR(E210="",AO210=""),"",IF(COUNT(AG210:AN210)=0,"",AO210-LOOKUP(2,1/(AG210:AN210&lt;&gt;""),AG210:AN210)))</t>
        </is>
      </c>
      <c r="BC210" s="38" t="inlineStr">
        <is>
          <t>IF(OR(E210="",AP210=""),"",IF(COUNT(AG210:AO210)=0,"",AP210-LOOKUP(2,1/(AG210:AO210&lt;&gt;""),AG210:AO210)))</t>
        </is>
      </c>
      <c r="BD210" s="38" t="inlineStr">
        <is>
          <t>IF(OR(E210="",AQ210=""),"",IF(COUNT(AG210:AP210)=0,"",AQ210-LOOKUP(2,1/(AG210:AP210&lt;&gt;""),AG210:AP210)))</t>
        </is>
      </c>
      <c r="BE210" s="38" t="inlineStr">
        <is>
          <t>IF(OR(E210="",AR210=""),"",IF(COUNT(AG210:AQ210)=0,"",AR210-LOOKUP(2,1/(AG210:AQ210&lt;&gt;""),AG210:AQ210)))</t>
        </is>
      </c>
      <c r="BF210" s="38" t="inlineStr">
        <is>
          <t>IF(OR(E210="",AS210=""),"",IF(COUNT(AG210:AR210)=0,"",AS210-LOOKUP(2,1/(AG210:AR210&lt;&gt;""),AG210:AR210)))</t>
        </is>
      </c>
      <c r="BG210" s="38" t="inlineStr">
        <is>
          <t>IF(OR(E210="",AT210=""),"",IF(COUNT(AG210:AS210)=0,"",AT210-LOOKUP(2,1/(AG210:AS210&lt;&gt;""),AG210:AS210)))</t>
        </is>
      </c>
      <c r="BH210" s="41" t="inlineStr">
        <is>
          <t>IF(G210="","All_Provinces",IFERROR(VLOOKUP(G210,'07_Lookups'!$A$4:$B$20,2,FALSE),"All_Provinces"))</t>
        </is>
      </c>
      <c r="BI210" s="41" t="inlineStr">
        <is>
          <t>IF(H210="","All_Districts",IFERROR(VLOOKUP(H210,'07_Lookups'!$E$4:$F$42,2,FALSE),"All_Districts"))</t>
        </is>
      </c>
    </row>
    <row r="211" ht="18" customHeight="1">
      <c r="A211" s="32" t="inlineStr">
        <is>
          <t>IF(E211="","",ROW()-3)</t>
        </is>
      </c>
      <c r="B211" s="42" t="n"/>
      <c r="C211" s="42" t="n"/>
      <c r="D211" s="42" t="n"/>
      <c r="E211" s="42" t="n"/>
      <c r="F211" s="42" t="n"/>
      <c r="G211" s="42" t="n"/>
      <c r="H211" s="42" t="n"/>
      <c r="I211" s="42" t="n"/>
      <c r="J211" s="42" t="n"/>
      <c r="K211" s="42" t="n"/>
      <c r="L211" s="42" t="n"/>
      <c r="M211" s="42" t="n"/>
      <c r="N211" s="42" t="n"/>
      <c r="O211" s="42" t="n"/>
      <c r="P211" s="42" t="n"/>
      <c r="Q211" s="43" t="n"/>
      <c r="R211" s="35" t="inlineStr">
        <is>
          <t>IF(AO211="","",AO211)</t>
        </is>
      </c>
      <c r="S211" s="44" t="n"/>
      <c r="T211" s="45" t="n"/>
      <c r="U211" s="44" t="n"/>
      <c r="V211" s="35" t="inlineStr">
        <is>
          <t>IF(U211&lt;&gt;"",U211,IF(OR(R211="",T211=""),"",EDATE(R211,T211)))</t>
        </is>
      </c>
      <c r="W211" s="44" t="n"/>
      <c r="X211" s="45" t="n"/>
      <c r="Y211" s="42" t="n"/>
      <c r="Z211" s="42" t="n"/>
      <c r="AA211" s="32" t="inlineStr">
        <is>
          <t>IF(E211="","",IF(COUNT(AG211:AT211)=0,IF(Y211="","Not started",Y211),SUBSTITUTE(LOOKUP(2,1/(AG211:AT211&lt;&gt;""),$AG$3:$AT$3),"Date: ","")))</t>
        </is>
      </c>
      <c r="AB211" s="38" t="inlineStr">
        <is>
          <t>IF(OR(E211="",COUNT(AG211:AT211)=0),"",TODAY()-LOOKUP(2,1/(AG211:AT211&lt;&gt;""),AG211:AT211))</t>
        </is>
      </c>
      <c r="AC211" s="38" t="inlineStr">
        <is>
          <t>IF(OR(E211="",COUNT(AG211:AT211)&lt;2),"",LOOKUP(2,1/(AG211:AT211&lt;&gt;""),AG211:AT211)-MIN(AG211:AT211))</t>
        </is>
      </c>
      <c r="AD211" s="38" t="inlineStr">
        <is>
          <t>IF(OR(AB211="",AA211="Not started",AA211=""),"",IFERROR(AB211-IF(VLOOKUP(AA211,'04_Status_Pipeline'!$B$3:$E$20,4,FALSE)="",0,VLOOKUP(AA211,'04_Status_Pipeline'!$B$3:$E$20,4,FALSE)),""))</t>
        </is>
      </c>
      <c r="AE211" s="32" t="inlineStr">
        <is>
          <t>IF(E211="","",IF(OR(Y211="Cancelled",AA211="Cancelled"),"Cancelled",IF(OR(AA211="Completed / Handover",W211&lt;&gt;"",X211&gt;=100),"Completed — on track",IF(L211="Remaining",IF(S211="",IF(V211="","No planned date",IF(TODAY()&gt;V211,"Behind — past planned date",IF(V211-TODAY()&lt;=30,"At risk — close to off track","On track"))),IF(TODAY()&gt;S211,"Behind — award date passed",IF(S211-TODAY()&lt;=30,"At risk — close to off track","On track"))),IF(V211="","No planned date",IF(AND(TODAY()&gt;V211,OR(X211="",X211&lt;100)),"Behind — past end date",IF(AND(R211&lt;&gt;"",V211&lt;&gt;"",X211&lt;&gt;"",(X211&lt;100),((TODAY()-R211)/MAX(V211-R211,1)*100)-X211&gt;15),"Behind — progress lag",IF(AND(V211-TODAY()&lt;=30,V211-TODAY()&gt;=0,OR(X211="",X211&lt;90)),"At risk — close to off track","On track"))))))))</t>
        </is>
      </c>
      <c r="AF211" s="38" t="inlineStr">
        <is>
          <t>IF(OR(E211="",AA211="Completed / Handover",AA211="Cancelled"),"",IF(L211="Remaining",IF(S211&lt;&gt;"",S211-TODAY(),IF(V211="","",V211-TODAY())),IF(V211="","",V211-TODAY())))</t>
        </is>
      </c>
      <c r="AG211" s="44" t="n"/>
      <c r="AH211" s="44" t="n"/>
      <c r="AI211" s="44" t="n"/>
      <c r="AJ211" s="44" t="n"/>
      <c r="AK211" s="44" t="n"/>
      <c r="AL211" s="44" t="n"/>
      <c r="AM211" s="44" t="n"/>
      <c r="AN211" s="44" t="n"/>
      <c r="AO211" s="44" t="n"/>
      <c r="AP211" s="44" t="n"/>
      <c r="AQ211" s="44" t="n"/>
      <c r="AR211" s="40" t="n"/>
      <c r="AS211" s="40" t="n"/>
      <c r="AT211" s="40" t="n"/>
      <c r="AU211" s="38" t="inlineStr">
        <is>
          <t>IF(OR(E211="",AH211=""),"",IF(COUNT(AG211:AG211)=0,"",AH211-LOOKUP(2,1/(AG211:AG211&lt;&gt;""),AG211:AG211)))</t>
        </is>
      </c>
      <c r="AV211" s="38" t="inlineStr">
        <is>
          <t>IF(OR(E211="",AI211=""),"",IF(COUNT(AG211:AH211)=0,"",AI211-LOOKUP(2,1/(AG211:AH211&lt;&gt;""),AG211:AH211)))</t>
        </is>
      </c>
      <c r="AW211" s="38" t="inlineStr">
        <is>
          <t>IF(OR(E211="",AJ211=""),"",IF(COUNT(AG211:AI211)=0,"",AJ211-LOOKUP(2,1/(AG211:AI211&lt;&gt;""),AG211:AI211)))</t>
        </is>
      </c>
      <c r="AX211" s="38" t="inlineStr">
        <is>
          <t>IF(OR(E211="",AK211=""),"",IF(COUNT(AG211:AJ211)=0,"",AK211-LOOKUP(2,1/(AG211:AJ211&lt;&gt;""),AG211:AJ211)))</t>
        </is>
      </c>
      <c r="AY211" s="38" t="inlineStr">
        <is>
          <t>IF(OR(E211="",AL211=""),"",IF(COUNT(AG211:AK211)=0,"",AL211-LOOKUP(2,1/(AG211:AK211&lt;&gt;""),AG211:AK211)))</t>
        </is>
      </c>
      <c r="AZ211" s="38" t="inlineStr">
        <is>
          <t>IF(OR(E211="",AM211=""),"",IF(COUNT(AG211:AL211)=0,"",AM211-LOOKUP(2,1/(AG211:AL211&lt;&gt;""),AG211:AL211)))</t>
        </is>
      </c>
      <c r="BA211" s="38" t="inlineStr">
        <is>
          <t>IF(OR(E211="",AN211=""),"",IF(COUNT(AG211:AM211)=0,"",AN211-LOOKUP(2,1/(AG211:AM211&lt;&gt;""),AG211:AM211)))</t>
        </is>
      </c>
      <c r="BB211" s="38" t="inlineStr">
        <is>
          <t>IF(OR(E211="",AO211=""),"",IF(COUNT(AG211:AN211)=0,"",AO211-LOOKUP(2,1/(AG211:AN211&lt;&gt;""),AG211:AN211)))</t>
        </is>
      </c>
      <c r="BC211" s="38" t="inlineStr">
        <is>
          <t>IF(OR(E211="",AP211=""),"",IF(COUNT(AG211:AO211)=0,"",AP211-LOOKUP(2,1/(AG211:AO211&lt;&gt;""),AG211:AO211)))</t>
        </is>
      </c>
      <c r="BD211" s="38" t="inlineStr">
        <is>
          <t>IF(OR(E211="",AQ211=""),"",IF(COUNT(AG211:AP211)=0,"",AQ211-LOOKUP(2,1/(AG211:AP211&lt;&gt;""),AG211:AP211)))</t>
        </is>
      </c>
      <c r="BE211" s="38" t="inlineStr">
        <is>
          <t>IF(OR(E211="",AR211=""),"",IF(COUNT(AG211:AQ211)=0,"",AR211-LOOKUP(2,1/(AG211:AQ211&lt;&gt;""),AG211:AQ211)))</t>
        </is>
      </c>
      <c r="BF211" s="38" t="inlineStr">
        <is>
          <t>IF(OR(E211="",AS211=""),"",IF(COUNT(AG211:AR211)=0,"",AS211-LOOKUP(2,1/(AG211:AR211&lt;&gt;""),AG211:AR211)))</t>
        </is>
      </c>
      <c r="BG211" s="38" t="inlineStr">
        <is>
          <t>IF(OR(E211="",AT211=""),"",IF(COUNT(AG211:AS211)=0,"",AT211-LOOKUP(2,1/(AG211:AS211&lt;&gt;""),AG211:AS211)))</t>
        </is>
      </c>
      <c r="BH211" s="41" t="inlineStr">
        <is>
          <t>IF(G211="","All_Provinces",IFERROR(VLOOKUP(G211,'07_Lookups'!$A$4:$B$20,2,FALSE),"All_Provinces"))</t>
        </is>
      </c>
      <c r="BI211" s="41" t="inlineStr">
        <is>
          <t>IF(H211="","All_Districts",IFERROR(VLOOKUP(H211,'07_Lookups'!$E$4:$F$42,2,FALSE),"All_Districts"))</t>
        </is>
      </c>
    </row>
    <row r="212" ht="18" customHeight="1">
      <c r="A212" s="32" t="inlineStr">
        <is>
          <t>IF(E212="","",ROW()-3)</t>
        </is>
      </c>
      <c r="B212" s="33" t="n"/>
      <c r="C212" s="33" t="n"/>
      <c r="D212" s="33" t="n"/>
      <c r="E212" s="33" t="n"/>
      <c r="F212" s="33" t="n"/>
      <c r="G212" s="33" t="n"/>
      <c r="H212" s="33" t="n"/>
      <c r="I212" s="33" t="n"/>
      <c r="J212" s="33" t="n"/>
      <c r="K212" s="33" t="n"/>
      <c r="L212" s="33" t="n"/>
      <c r="M212" s="33" t="n"/>
      <c r="N212" s="33" t="n"/>
      <c r="O212" s="33" t="n"/>
      <c r="P212" s="33" t="n"/>
      <c r="Q212" s="34" t="n"/>
      <c r="R212" s="35" t="inlineStr">
        <is>
          <t>IF(AO212="","",AO212)</t>
        </is>
      </c>
      <c r="S212" s="36" t="n"/>
      <c r="T212" s="37" t="n"/>
      <c r="U212" s="36" t="n"/>
      <c r="V212" s="35" t="inlineStr">
        <is>
          <t>IF(U212&lt;&gt;"",U212,IF(OR(R212="",T212=""),"",EDATE(R212,T212)))</t>
        </is>
      </c>
      <c r="W212" s="36" t="n"/>
      <c r="X212" s="37" t="n"/>
      <c r="Y212" s="33" t="n"/>
      <c r="Z212" s="33" t="n"/>
      <c r="AA212" s="32" t="inlineStr">
        <is>
          <t>IF(E212="","",IF(COUNT(AG212:AT212)=0,IF(Y212="","Not started",Y212),SUBSTITUTE(LOOKUP(2,1/(AG212:AT212&lt;&gt;""),$AG$3:$AT$3),"Date: ","")))</t>
        </is>
      </c>
      <c r="AB212" s="38" t="inlineStr">
        <is>
          <t>IF(OR(E212="",COUNT(AG212:AT212)=0),"",TODAY()-LOOKUP(2,1/(AG212:AT212&lt;&gt;""),AG212:AT212))</t>
        </is>
      </c>
      <c r="AC212" s="38" t="inlineStr">
        <is>
          <t>IF(OR(E212="",COUNT(AG212:AT212)&lt;2),"",LOOKUP(2,1/(AG212:AT212&lt;&gt;""),AG212:AT212)-MIN(AG212:AT212))</t>
        </is>
      </c>
      <c r="AD212" s="38" t="inlineStr">
        <is>
          <t>IF(OR(AB212="",AA212="Not started",AA212=""),"",IFERROR(AB212-IF(VLOOKUP(AA212,'04_Status_Pipeline'!$B$3:$E$20,4,FALSE)="",0,VLOOKUP(AA212,'04_Status_Pipeline'!$B$3:$E$20,4,FALSE)),""))</t>
        </is>
      </c>
      <c r="AE212" s="32" t="inlineStr">
        <is>
          <t>IF(E212="","",IF(OR(Y212="Cancelled",AA212="Cancelled"),"Cancelled",IF(OR(AA212="Completed / Handover",W212&lt;&gt;"",X212&gt;=100),"Completed — on track",IF(L212="Remaining",IF(S212="",IF(V212="","No planned date",IF(TODAY()&gt;V212,"Behind — past planned date",IF(V212-TODAY()&lt;=30,"At risk — close to off track","On track"))),IF(TODAY()&gt;S212,"Behind — award date passed",IF(S212-TODAY()&lt;=30,"At risk — close to off track","On track"))),IF(V212="","No planned date",IF(AND(TODAY()&gt;V212,OR(X212="",X212&lt;100)),"Behind — past end date",IF(AND(R212&lt;&gt;"",V212&lt;&gt;"",X212&lt;&gt;"",(X212&lt;100),((TODAY()-R212)/MAX(V212-R212,1)*100)-X212&gt;15),"Behind — progress lag",IF(AND(V212-TODAY()&lt;=30,V212-TODAY()&gt;=0,OR(X212="",X212&lt;90)),"At risk — close to off track","On track"))))))))</t>
        </is>
      </c>
      <c r="AF212" s="38" t="inlineStr">
        <is>
          <t>IF(OR(E212="",AA212="Completed / Handover",AA212="Cancelled"),"",IF(L212="Remaining",IF(S212&lt;&gt;"",S212-TODAY(),IF(V212="","",V212-TODAY())),IF(V212="","",V212-TODAY())))</t>
        </is>
      </c>
      <c r="AG212" s="36" t="n"/>
      <c r="AH212" s="36" t="n"/>
      <c r="AI212" s="36" t="n"/>
      <c r="AJ212" s="36" t="n"/>
      <c r="AK212" s="36" t="n"/>
      <c r="AL212" s="36" t="n"/>
      <c r="AM212" s="36" t="n"/>
      <c r="AN212" s="36" t="n"/>
      <c r="AO212" s="36" t="n"/>
      <c r="AP212" s="36" t="n"/>
      <c r="AQ212" s="36" t="n"/>
      <c r="AR212" s="40" t="n"/>
      <c r="AS212" s="40" t="n"/>
      <c r="AT212" s="40" t="n"/>
      <c r="AU212" s="38" t="inlineStr">
        <is>
          <t>IF(OR(E212="",AH212=""),"",IF(COUNT(AG212:AG212)=0,"",AH212-LOOKUP(2,1/(AG212:AG212&lt;&gt;""),AG212:AG212)))</t>
        </is>
      </c>
      <c r="AV212" s="38" t="inlineStr">
        <is>
          <t>IF(OR(E212="",AI212=""),"",IF(COUNT(AG212:AH212)=0,"",AI212-LOOKUP(2,1/(AG212:AH212&lt;&gt;""),AG212:AH212)))</t>
        </is>
      </c>
      <c r="AW212" s="38" t="inlineStr">
        <is>
          <t>IF(OR(E212="",AJ212=""),"",IF(COUNT(AG212:AI212)=0,"",AJ212-LOOKUP(2,1/(AG212:AI212&lt;&gt;""),AG212:AI212)))</t>
        </is>
      </c>
      <c r="AX212" s="38" t="inlineStr">
        <is>
          <t>IF(OR(E212="",AK212=""),"",IF(COUNT(AG212:AJ212)=0,"",AK212-LOOKUP(2,1/(AG212:AJ212&lt;&gt;""),AG212:AJ212)))</t>
        </is>
      </c>
      <c r="AY212" s="38" t="inlineStr">
        <is>
          <t>IF(OR(E212="",AL212=""),"",IF(COUNT(AG212:AK212)=0,"",AL212-LOOKUP(2,1/(AG212:AK212&lt;&gt;""),AG212:AK212)))</t>
        </is>
      </c>
      <c r="AZ212" s="38" t="inlineStr">
        <is>
          <t>IF(OR(E212="",AM212=""),"",IF(COUNT(AG212:AL212)=0,"",AM212-LOOKUP(2,1/(AG212:AL212&lt;&gt;""),AG212:AL212)))</t>
        </is>
      </c>
      <c r="BA212" s="38" t="inlineStr">
        <is>
          <t>IF(OR(E212="",AN212=""),"",IF(COUNT(AG212:AM212)=0,"",AN212-LOOKUP(2,1/(AG212:AM212&lt;&gt;""),AG212:AM212)))</t>
        </is>
      </c>
      <c r="BB212" s="38" t="inlineStr">
        <is>
          <t>IF(OR(E212="",AO212=""),"",IF(COUNT(AG212:AN212)=0,"",AO212-LOOKUP(2,1/(AG212:AN212&lt;&gt;""),AG212:AN212)))</t>
        </is>
      </c>
      <c r="BC212" s="38" t="inlineStr">
        <is>
          <t>IF(OR(E212="",AP212=""),"",IF(COUNT(AG212:AO212)=0,"",AP212-LOOKUP(2,1/(AG212:AO212&lt;&gt;""),AG212:AO212)))</t>
        </is>
      </c>
      <c r="BD212" s="38" t="inlineStr">
        <is>
          <t>IF(OR(E212="",AQ212=""),"",IF(COUNT(AG212:AP212)=0,"",AQ212-LOOKUP(2,1/(AG212:AP212&lt;&gt;""),AG212:AP212)))</t>
        </is>
      </c>
      <c r="BE212" s="38" t="inlineStr">
        <is>
          <t>IF(OR(E212="",AR212=""),"",IF(COUNT(AG212:AQ212)=0,"",AR212-LOOKUP(2,1/(AG212:AQ212&lt;&gt;""),AG212:AQ212)))</t>
        </is>
      </c>
      <c r="BF212" s="38" t="inlineStr">
        <is>
          <t>IF(OR(E212="",AS212=""),"",IF(COUNT(AG212:AR212)=0,"",AS212-LOOKUP(2,1/(AG212:AR212&lt;&gt;""),AG212:AR212)))</t>
        </is>
      </c>
      <c r="BG212" s="38" t="inlineStr">
        <is>
          <t>IF(OR(E212="",AT212=""),"",IF(COUNT(AG212:AS212)=0,"",AT212-LOOKUP(2,1/(AG212:AS212&lt;&gt;""),AG212:AS212)))</t>
        </is>
      </c>
      <c r="BH212" s="41" t="inlineStr">
        <is>
          <t>IF(G212="","All_Provinces",IFERROR(VLOOKUP(G212,'07_Lookups'!$A$4:$B$20,2,FALSE),"All_Provinces"))</t>
        </is>
      </c>
      <c r="BI212" s="41" t="inlineStr">
        <is>
          <t>IF(H212="","All_Districts",IFERROR(VLOOKUP(H212,'07_Lookups'!$E$4:$F$42,2,FALSE),"All_Districts"))</t>
        </is>
      </c>
    </row>
    <row r="213" ht="18" customHeight="1">
      <c r="A213" s="32" t="inlineStr">
        <is>
          <t>IF(E213="","",ROW()-3)</t>
        </is>
      </c>
      <c r="B213" s="42" t="n"/>
      <c r="C213" s="42" t="n"/>
      <c r="D213" s="42" t="n"/>
      <c r="E213" s="42" t="n"/>
      <c r="F213" s="42" t="n"/>
      <c r="G213" s="42" t="n"/>
      <c r="H213" s="42" t="n"/>
      <c r="I213" s="42" t="n"/>
      <c r="J213" s="42" t="n"/>
      <c r="K213" s="42" t="n"/>
      <c r="L213" s="42" t="n"/>
      <c r="M213" s="42" t="n"/>
      <c r="N213" s="42" t="n"/>
      <c r="O213" s="42" t="n"/>
      <c r="P213" s="42" t="n"/>
      <c r="Q213" s="43" t="n"/>
      <c r="R213" s="35" t="inlineStr">
        <is>
          <t>IF(AO213="","",AO213)</t>
        </is>
      </c>
      <c r="S213" s="44" t="n"/>
      <c r="T213" s="45" t="n"/>
      <c r="U213" s="44" t="n"/>
      <c r="V213" s="35" t="inlineStr">
        <is>
          <t>IF(U213&lt;&gt;"",U213,IF(OR(R213="",T213=""),"",EDATE(R213,T213)))</t>
        </is>
      </c>
      <c r="W213" s="44" t="n"/>
      <c r="X213" s="45" t="n"/>
      <c r="Y213" s="42" t="n"/>
      <c r="Z213" s="42" t="n"/>
      <c r="AA213" s="32" t="inlineStr">
        <is>
          <t>IF(E213="","",IF(COUNT(AG213:AT213)=0,IF(Y213="","Not started",Y213),SUBSTITUTE(LOOKUP(2,1/(AG213:AT213&lt;&gt;""),$AG$3:$AT$3),"Date: ","")))</t>
        </is>
      </c>
      <c r="AB213" s="38" t="inlineStr">
        <is>
          <t>IF(OR(E213="",COUNT(AG213:AT213)=0),"",TODAY()-LOOKUP(2,1/(AG213:AT213&lt;&gt;""),AG213:AT213))</t>
        </is>
      </c>
      <c r="AC213" s="38" t="inlineStr">
        <is>
          <t>IF(OR(E213="",COUNT(AG213:AT213)&lt;2),"",LOOKUP(2,1/(AG213:AT213&lt;&gt;""),AG213:AT213)-MIN(AG213:AT213))</t>
        </is>
      </c>
      <c r="AD213" s="38" t="inlineStr">
        <is>
          <t>IF(OR(AB213="",AA213="Not started",AA213=""),"",IFERROR(AB213-IF(VLOOKUP(AA213,'04_Status_Pipeline'!$B$3:$E$20,4,FALSE)="",0,VLOOKUP(AA213,'04_Status_Pipeline'!$B$3:$E$20,4,FALSE)),""))</t>
        </is>
      </c>
      <c r="AE213" s="32" t="inlineStr">
        <is>
          <t>IF(E213="","",IF(OR(Y213="Cancelled",AA213="Cancelled"),"Cancelled",IF(OR(AA213="Completed / Handover",W213&lt;&gt;"",X213&gt;=100),"Completed — on track",IF(L213="Remaining",IF(S213="",IF(V213="","No planned date",IF(TODAY()&gt;V213,"Behind — past planned date",IF(V213-TODAY()&lt;=30,"At risk — close to off track","On track"))),IF(TODAY()&gt;S213,"Behind — award date passed",IF(S213-TODAY()&lt;=30,"At risk — close to off track","On track"))),IF(V213="","No planned date",IF(AND(TODAY()&gt;V213,OR(X213="",X213&lt;100)),"Behind — past end date",IF(AND(R213&lt;&gt;"",V213&lt;&gt;"",X213&lt;&gt;"",(X213&lt;100),((TODAY()-R213)/MAX(V213-R213,1)*100)-X213&gt;15),"Behind — progress lag",IF(AND(V213-TODAY()&lt;=30,V213-TODAY()&gt;=0,OR(X213="",X213&lt;90)),"At risk — close to off track","On track"))))))))</t>
        </is>
      </c>
      <c r="AF213" s="38" t="inlineStr">
        <is>
          <t>IF(OR(E213="",AA213="Completed / Handover",AA213="Cancelled"),"",IF(L213="Remaining",IF(S213&lt;&gt;"",S213-TODAY(),IF(V213="","",V213-TODAY())),IF(V213="","",V213-TODAY())))</t>
        </is>
      </c>
      <c r="AG213" s="44" t="n"/>
      <c r="AH213" s="44" t="n"/>
      <c r="AI213" s="44" t="n"/>
      <c r="AJ213" s="44" t="n"/>
      <c r="AK213" s="44" t="n"/>
      <c r="AL213" s="44" t="n"/>
      <c r="AM213" s="44" t="n"/>
      <c r="AN213" s="44" t="n"/>
      <c r="AO213" s="44" t="n"/>
      <c r="AP213" s="44" t="n"/>
      <c r="AQ213" s="44" t="n"/>
      <c r="AR213" s="40" t="n"/>
      <c r="AS213" s="40" t="n"/>
      <c r="AT213" s="40" t="n"/>
      <c r="AU213" s="38" t="inlineStr">
        <is>
          <t>IF(OR(E213="",AH213=""),"",IF(COUNT(AG213:AG213)=0,"",AH213-LOOKUP(2,1/(AG213:AG213&lt;&gt;""),AG213:AG213)))</t>
        </is>
      </c>
      <c r="AV213" s="38" t="inlineStr">
        <is>
          <t>IF(OR(E213="",AI213=""),"",IF(COUNT(AG213:AH213)=0,"",AI213-LOOKUP(2,1/(AG213:AH213&lt;&gt;""),AG213:AH213)))</t>
        </is>
      </c>
      <c r="AW213" s="38" t="inlineStr">
        <is>
          <t>IF(OR(E213="",AJ213=""),"",IF(COUNT(AG213:AI213)=0,"",AJ213-LOOKUP(2,1/(AG213:AI213&lt;&gt;""),AG213:AI213)))</t>
        </is>
      </c>
      <c r="AX213" s="38" t="inlineStr">
        <is>
          <t>IF(OR(E213="",AK213=""),"",IF(COUNT(AG213:AJ213)=0,"",AK213-LOOKUP(2,1/(AG213:AJ213&lt;&gt;""),AG213:AJ213)))</t>
        </is>
      </c>
      <c r="AY213" s="38" t="inlineStr">
        <is>
          <t>IF(OR(E213="",AL213=""),"",IF(COUNT(AG213:AK213)=0,"",AL213-LOOKUP(2,1/(AG213:AK213&lt;&gt;""),AG213:AK213)))</t>
        </is>
      </c>
      <c r="AZ213" s="38" t="inlineStr">
        <is>
          <t>IF(OR(E213="",AM213=""),"",IF(COUNT(AG213:AL213)=0,"",AM213-LOOKUP(2,1/(AG213:AL213&lt;&gt;""),AG213:AL213)))</t>
        </is>
      </c>
      <c r="BA213" s="38" t="inlineStr">
        <is>
          <t>IF(OR(E213="",AN213=""),"",IF(COUNT(AG213:AM213)=0,"",AN213-LOOKUP(2,1/(AG213:AM213&lt;&gt;""),AG213:AM213)))</t>
        </is>
      </c>
      <c r="BB213" s="38" t="inlineStr">
        <is>
          <t>IF(OR(E213="",AO213=""),"",IF(COUNT(AG213:AN213)=0,"",AO213-LOOKUP(2,1/(AG213:AN213&lt;&gt;""),AG213:AN213)))</t>
        </is>
      </c>
      <c r="BC213" s="38" t="inlineStr">
        <is>
          <t>IF(OR(E213="",AP213=""),"",IF(COUNT(AG213:AO213)=0,"",AP213-LOOKUP(2,1/(AG213:AO213&lt;&gt;""),AG213:AO213)))</t>
        </is>
      </c>
      <c r="BD213" s="38" t="inlineStr">
        <is>
          <t>IF(OR(E213="",AQ213=""),"",IF(COUNT(AG213:AP213)=0,"",AQ213-LOOKUP(2,1/(AG213:AP213&lt;&gt;""),AG213:AP213)))</t>
        </is>
      </c>
      <c r="BE213" s="38" t="inlineStr">
        <is>
          <t>IF(OR(E213="",AR213=""),"",IF(COUNT(AG213:AQ213)=0,"",AR213-LOOKUP(2,1/(AG213:AQ213&lt;&gt;""),AG213:AQ213)))</t>
        </is>
      </c>
      <c r="BF213" s="38" t="inlineStr">
        <is>
          <t>IF(OR(E213="",AS213=""),"",IF(COUNT(AG213:AR213)=0,"",AS213-LOOKUP(2,1/(AG213:AR213&lt;&gt;""),AG213:AR213)))</t>
        </is>
      </c>
      <c r="BG213" s="38" t="inlineStr">
        <is>
          <t>IF(OR(E213="",AT213=""),"",IF(COUNT(AG213:AS213)=0,"",AT213-LOOKUP(2,1/(AG213:AS213&lt;&gt;""),AG213:AS213)))</t>
        </is>
      </c>
      <c r="BH213" s="41" t="inlineStr">
        <is>
          <t>IF(G213="","All_Provinces",IFERROR(VLOOKUP(G213,'07_Lookups'!$A$4:$B$20,2,FALSE),"All_Provinces"))</t>
        </is>
      </c>
      <c r="BI213" s="41" t="inlineStr">
        <is>
          <t>IF(H213="","All_Districts",IFERROR(VLOOKUP(H213,'07_Lookups'!$E$4:$F$42,2,FALSE),"All_Districts"))</t>
        </is>
      </c>
    </row>
    <row r="214" ht="18" customHeight="1">
      <c r="A214" s="32" t="inlineStr">
        <is>
          <t>IF(E214="","",ROW()-3)</t>
        </is>
      </c>
      <c r="B214" s="33" t="n"/>
      <c r="C214" s="33" t="n"/>
      <c r="D214" s="33" t="n"/>
      <c r="E214" s="33" t="n"/>
      <c r="F214" s="33" t="n"/>
      <c r="G214" s="33" t="n"/>
      <c r="H214" s="33" t="n"/>
      <c r="I214" s="33" t="n"/>
      <c r="J214" s="33" t="n"/>
      <c r="K214" s="33" t="n"/>
      <c r="L214" s="33" t="n"/>
      <c r="M214" s="33" t="n"/>
      <c r="N214" s="33" t="n"/>
      <c r="O214" s="33" t="n"/>
      <c r="P214" s="33" t="n"/>
      <c r="Q214" s="34" t="n"/>
      <c r="R214" s="35" t="inlineStr">
        <is>
          <t>IF(AO214="","",AO214)</t>
        </is>
      </c>
      <c r="S214" s="36" t="n"/>
      <c r="T214" s="37" t="n"/>
      <c r="U214" s="36" t="n"/>
      <c r="V214" s="35" t="inlineStr">
        <is>
          <t>IF(U214&lt;&gt;"",U214,IF(OR(R214="",T214=""),"",EDATE(R214,T214)))</t>
        </is>
      </c>
      <c r="W214" s="36" t="n"/>
      <c r="X214" s="37" t="n"/>
      <c r="Y214" s="33" t="n"/>
      <c r="Z214" s="33" t="n"/>
      <c r="AA214" s="32" t="inlineStr">
        <is>
          <t>IF(E214="","",IF(COUNT(AG214:AT214)=0,IF(Y214="","Not started",Y214),SUBSTITUTE(LOOKUP(2,1/(AG214:AT214&lt;&gt;""),$AG$3:$AT$3),"Date: ","")))</t>
        </is>
      </c>
      <c r="AB214" s="38" t="inlineStr">
        <is>
          <t>IF(OR(E214="",COUNT(AG214:AT214)=0),"",TODAY()-LOOKUP(2,1/(AG214:AT214&lt;&gt;""),AG214:AT214))</t>
        </is>
      </c>
      <c r="AC214" s="38" t="inlineStr">
        <is>
          <t>IF(OR(E214="",COUNT(AG214:AT214)&lt;2),"",LOOKUP(2,1/(AG214:AT214&lt;&gt;""),AG214:AT214)-MIN(AG214:AT214))</t>
        </is>
      </c>
      <c r="AD214" s="38" t="inlineStr">
        <is>
          <t>IF(OR(AB214="",AA214="Not started",AA214=""),"",IFERROR(AB214-IF(VLOOKUP(AA214,'04_Status_Pipeline'!$B$3:$E$20,4,FALSE)="",0,VLOOKUP(AA214,'04_Status_Pipeline'!$B$3:$E$20,4,FALSE)),""))</t>
        </is>
      </c>
      <c r="AE214" s="32" t="inlineStr">
        <is>
          <t>IF(E214="","",IF(OR(Y214="Cancelled",AA214="Cancelled"),"Cancelled",IF(OR(AA214="Completed / Handover",W214&lt;&gt;"",X214&gt;=100),"Completed — on track",IF(L214="Remaining",IF(S214="",IF(V214="","No planned date",IF(TODAY()&gt;V214,"Behind — past planned date",IF(V214-TODAY()&lt;=30,"At risk — close to off track","On track"))),IF(TODAY()&gt;S214,"Behind — award date passed",IF(S214-TODAY()&lt;=30,"At risk — close to off track","On track"))),IF(V214="","No planned date",IF(AND(TODAY()&gt;V214,OR(X214="",X214&lt;100)),"Behind — past end date",IF(AND(R214&lt;&gt;"",V214&lt;&gt;"",X214&lt;&gt;"",(X214&lt;100),((TODAY()-R214)/MAX(V214-R214,1)*100)-X214&gt;15),"Behind — progress lag",IF(AND(V214-TODAY()&lt;=30,V214-TODAY()&gt;=0,OR(X214="",X214&lt;90)),"At risk — close to off track","On track"))))))))</t>
        </is>
      </c>
      <c r="AF214" s="38" t="inlineStr">
        <is>
          <t>IF(OR(E214="",AA214="Completed / Handover",AA214="Cancelled"),"",IF(L214="Remaining",IF(S214&lt;&gt;"",S214-TODAY(),IF(V214="","",V214-TODAY())),IF(V214="","",V214-TODAY())))</t>
        </is>
      </c>
      <c r="AG214" s="36" t="n"/>
      <c r="AH214" s="36" t="n"/>
      <c r="AI214" s="36" t="n"/>
      <c r="AJ214" s="36" t="n"/>
      <c r="AK214" s="36" t="n"/>
      <c r="AL214" s="36" t="n"/>
      <c r="AM214" s="36" t="n"/>
      <c r="AN214" s="36" t="n"/>
      <c r="AO214" s="36" t="n"/>
      <c r="AP214" s="36" t="n"/>
      <c r="AQ214" s="36" t="n"/>
      <c r="AR214" s="40" t="n"/>
      <c r="AS214" s="40" t="n"/>
      <c r="AT214" s="40" t="n"/>
      <c r="AU214" s="38" t="inlineStr">
        <is>
          <t>IF(OR(E214="",AH214=""),"",IF(COUNT(AG214:AG214)=0,"",AH214-LOOKUP(2,1/(AG214:AG214&lt;&gt;""),AG214:AG214)))</t>
        </is>
      </c>
      <c r="AV214" s="38" t="inlineStr">
        <is>
          <t>IF(OR(E214="",AI214=""),"",IF(COUNT(AG214:AH214)=0,"",AI214-LOOKUP(2,1/(AG214:AH214&lt;&gt;""),AG214:AH214)))</t>
        </is>
      </c>
      <c r="AW214" s="38" t="inlineStr">
        <is>
          <t>IF(OR(E214="",AJ214=""),"",IF(COUNT(AG214:AI214)=0,"",AJ214-LOOKUP(2,1/(AG214:AI214&lt;&gt;""),AG214:AI214)))</t>
        </is>
      </c>
      <c r="AX214" s="38" t="inlineStr">
        <is>
          <t>IF(OR(E214="",AK214=""),"",IF(COUNT(AG214:AJ214)=0,"",AK214-LOOKUP(2,1/(AG214:AJ214&lt;&gt;""),AG214:AJ214)))</t>
        </is>
      </c>
      <c r="AY214" s="38" t="inlineStr">
        <is>
          <t>IF(OR(E214="",AL214=""),"",IF(COUNT(AG214:AK214)=0,"",AL214-LOOKUP(2,1/(AG214:AK214&lt;&gt;""),AG214:AK214)))</t>
        </is>
      </c>
      <c r="AZ214" s="38" t="inlineStr">
        <is>
          <t>IF(OR(E214="",AM214=""),"",IF(COUNT(AG214:AL214)=0,"",AM214-LOOKUP(2,1/(AG214:AL214&lt;&gt;""),AG214:AL214)))</t>
        </is>
      </c>
      <c r="BA214" s="38" t="inlineStr">
        <is>
          <t>IF(OR(E214="",AN214=""),"",IF(COUNT(AG214:AM214)=0,"",AN214-LOOKUP(2,1/(AG214:AM214&lt;&gt;""),AG214:AM214)))</t>
        </is>
      </c>
      <c r="BB214" s="38" t="inlineStr">
        <is>
          <t>IF(OR(E214="",AO214=""),"",IF(COUNT(AG214:AN214)=0,"",AO214-LOOKUP(2,1/(AG214:AN214&lt;&gt;""),AG214:AN214)))</t>
        </is>
      </c>
      <c r="BC214" s="38" t="inlineStr">
        <is>
          <t>IF(OR(E214="",AP214=""),"",IF(COUNT(AG214:AO214)=0,"",AP214-LOOKUP(2,1/(AG214:AO214&lt;&gt;""),AG214:AO214)))</t>
        </is>
      </c>
      <c r="BD214" s="38" t="inlineStr">
        <is>
          <t>IF(OR(E214="",AQ214=""),"",IF(COUNT(AG214:AP214)=0,"",AQ214-LOOKUP(2,1/(AG214:AP214&lt;&gt;""),AG214:AP214)))</t>
        </is>
      </c>
      <c r="BE214" s="38" t="inlineStr">
        <is>
          <t>IF(OR(E214="",AR214=""),"",IF(COUNT(AG214:AQ214)=0,"",AR214-LOOKUP(2,1/(AG214:AQ214&lt;&gt;""),AG214:AQ214)))</t>
        </is>
      </c>
      <c r="BF214" s="38" t="inlineStr">
        <is>
          <t>IF(OR(E214="",AS214=""),"",IF(COUNT(AG214:AR214)=0,"",AS214-LOOKUP(2,1/(AG214:AR214&lt;&gt;""),AG214:AR214)))</t>
        </is>
      </c>
      <c r="BG214" s="38" t="inlineStr">
        <is>
          <t>IF(OR(E214="",AT214=""),"",IF(COUNT(AG214:AS214)=0,"",AT214-LOOKUP(2,1/(AG214:AS214&lt;&gt;""),AG214:AS214)))</t>
        </is>
      </c>
      <c r="BH214" s="41" t="inlineStr">
        <is>
          <t>IF(G214="","All_Provinces",IFERROR(VLOOKUP(G214,'07_Lookups'!$A$4:$B$20,2,FALSE),"All_Provinces"))</t>
        </is>
      </c>
      <c r="BI214" s="41" t="inlineStr">
        <is>
          <t>IF(H214="","All_Districts",IFERROR(VLOOKUP(H214,'07_Lookups'!$E$4:$F$42,2,FALSE),"All_Districts"))</t>
        </is>
      </c>
    </row>
    <row r="215" ht="18" customHeight="1">
      <c r="A215" s="32" t="inlineStr">
        <is>
          <t>IF(E215="","",ROW()-3)</t>
        </is>
      </c>
      <c r="B215" s="42" t="n"/>
      <c r="C215" s="42" t="n"/>
      <c r="D215" s="42" t="n"/>
      <c r="E215" s="42" t="n"/>
      <c r="F215" s="42" t="n"/>
      <c r="G215" s="42" t="n"/>
      <c r="H215" s="42" t="n"/>
      <c r="I215" s="42" t="n"/>
      <c r="J215" s="42" t="n"/>
      <c r="K215" s="42" t="n"/>
      <c r="L215" s="42" t="n"/>
      <c r="M215" s="42" t="n"/>
      <c r="N215" s="42" t="n"/>
      <c r="O215" s="42" t="n"/>
      <c r="P215" s="42" t="n"/>
      <c r="Q215" s="43" t="n"/>
      <c r="R215" s="35" t="inlineStr">
        <is>
          <t>IF(AO215="","",AO215)</t>
        </is>
      </c>
      <c r="S215" s="44" t="n"/>
      <c r="T215" s="45" t="n"/>
      <c r="U215" s="44" t="n"/>
      <c r="V215" s="35" t="inlineStr">
        <is>
          <t>IF(U215&lt;&gt;"",U215,IF(OR(R215="",T215=""),"",EDATE(R215,T215)))</t>
        </is>
      </c>
      <c r="W215" s="44" t="n"/>
      <c r="X215" s="45" t="n"/>
      <c r="Y215" s="42" t="n"/>
      <c r="Z215" s="42" t="n"/>
      <c r="AA215" s="32" t="inlineStr">
        <is>
          <t>IF(E215="","",IF(COUNT(AG215:AT215)=0,IF(Y215="","Not started",Y215),SUBSTITUTE(LOOKUP(2,1/(AG215:AT215&lt;&gt;""),$AG$3:$AT$3),"Date: ","")))</t>
        </is>
      </c>
      <c r="AB215" s="38" t="inlineStr">
        <is>
          <t>IF(OR(E215="",COUNT(AG215:AT215)=0),"",TODAY()-LOOKUP(2,1/(AG215:AT215&lt;&gt;""),AG215:AT215))</t>
        </is>
      </c>
      <c r="AC215" s="38" t="inlineStr">
        <is>
          <t>IF(OR(E215="",COUNT(AG215:AT215)&lt;2),"",LOOKUP(2,1/(AG215:AT215&lt;&gt;""),AG215:AT215)-MIN(AG215:AT215))</t>
        </is>
      </c>
      <c r="AD215" s="38" t="inlineStr">
        <is>
          <t>IF(OR(AB215="",AA215="Not started",AA215=""),"",IFERROR(AB215-IF(VLOOKUP(AA215,'04_Status_Pipeline'!$B$3:$E$20,4,FALSE)="",0,VLOOKUP(AA215,'04_Status_Pipeline'!$B$3:$E$20,4,FALSE)),""))</t>
        </is>
      </c>
      <c r="AE215" s="32" t="inlineStr">
        <is>
          <t>IF(E215="","",IF(OR(Y215="Cancelled",AA215="Cancelled"),"Cancelled",IF(OR(AA215="Completed / Handover",W215&lt;&gt;"",X215&gt;=100),"Completed — on track",IF(L215="Remaining",IF(S215="",IF(V215="","No planned date",IF(TODAY()&gt;V215,"Behind — past planned date",IF(V215-TODAY()&lt;=30,"At risk — close to off track","On track"))),IF(TODAY()&gt;S215,"Behind — award date passed",IF(S215-TODAY()&lt;=30,"At risk — close to off track","On track"))),IF(V215="","No planned date",IF(AND(TODAY()&gt;V215,OR(X215="",X215&lt;100)),"Behind — past end date",IF(AND(R215&lt;&gt;"",V215&lt;&gt;"",X215&lt;&gt;"",(X215&lt;100),((TODAY()-R215)/MAX(V215-R215,1)*100)-X215&gt;15),"Behind — progress lag",IF(AND(V215-TODAY()&lt;=30,V215-TODAY()&gt;=0,OR(X215="",X215&lt;90)),"At risk — close to off track","On track"))))))))</t>
        </is>
      </c>
      <c r="AF215" s="38" t="inlineStr">
        <is>
          <t>IF(OR(E215="",AA215="Completed / Handover",AA215="Cancelled"),"",IF(L215="Remaining",IF(S215&lt;&gt;"",S215-TODAY(),IF(V215="","",V215-TODAY())),IF(V215="","",V215-TODAY())))</t>
        </is>
      </c>
      <c r="AG215" s="44" t="n"/>
      <c r="AH215" s="44" t="n"/>
      <c r="AI215" s="44" t="n"/>
      <c r="AJ215" s="44" t="n"/>
      <c r="AK215" s="44" t="n"/>
      <c r="AL215" s="44" t="n"/>
      <c r="AM215" s="44" t="n"/>
      <c r="AN215" s="44" t="n"/>
      <c r="AO215" s="44" t="n"/>
      <c r="AP215" s="44" t="n"/>
      <c r="AQ215" s="44" t="n"/>
      <c r="AR215" s="40" t="n"/>
      <c r="AS215" s="40" t="n"/>
      <c r="AT215" s="40" t="n"/>
      <c r="AU215" s="38" t="inlineStr">
        <is>
          <t>IF(OR(E215="",AH215=""),"",IF(COUNT(AG215:AG215)=0,"",AH215-LOOKUP(2,1/(AG215:AG215&lt;&gt;""),AG215:AG215)))</t>
        </is>
      </c>
      <c r="AV215" s="38" t="inlineStr">
        <is>
          <t>IF(OR(E215="",AI215=""),"",IF(COUNT(AG215:AH215)=0,"",AI215-LOOKUP(2,1/(AG215:AH215&lt;&gt;""),AG215:AH215)))</t>
        </is>
      </c>
      <c r="AW215" s="38" t="inlineStr">
        <is>
          <t>IF(OR(E215="",AJ215=""),"",IF(COUNT(AG215:AI215)=0,"",AJ215-LOOKUP(2,1/(AG215:AI215&lt;&gt;""),AG215:AI215)))</t>
        </is>
      </c>
      <c r="AX215" s="38" t="inlineStr">
        <is>
          <t>IF(OR(E215="",AK215=""),"",IF(COUNT(AG215:AJ215)=0,"",AK215-LOOKUP(2,1/(AG215:AJ215&lt;&gt;""),AG215:AJ215)))</t>
        </is>
      </c>
      <c r="AY215" s="38" t="inlineStr">
        <is>
          <t>IF(OR(E215="",AL215=""),"",IF(COUNT(AG215:AK215)=0,"",AL215-LOOKUP(2,1/(AG215:AK215&lt;&gt;""),AG215:AK215)))</t>
        </is>
      </c>
      <c r="AZ215" s="38" t="inlineStr">
        <is>
          <t>IF(OR(E215="",AM215=""),"",IF(COUNT(AG215:AL215)=0,"",AM215-LOOKUP(2,1/(AG215:AL215&lt;&gt;""),AG215:AL215)))</t>
        </is>
      </c>
      <c r="BA215" s="38" t="inlineStr">
        <is>
          <t>IF(OR(E215="",AN215=""),"",IF(COUNT(AG215:AM215)=0,"",AN215-LOOKUP(2,1/(AG215:AM215&lt;&gt;""),AG215:AM215)))</t>
        </is>
      </c>
      <c r="BB215" s="38" t="inlineStr">
        <is>
          <t>IF(OR(E215="",AO215=""),"",IF(COUNT(AG215:AN215)=0,"",AO215-LOOKUP(2,1/(AG215:AN215&lt;&gt;""),AG215:AN215)))</t>
        </is>
      </c>
      <c r="BC215" s="38" t="inlineStr">
        <is>
          <t>IF(OR(E215="",AP215=""),"",IF(COUNT(AG215:AO215)=0,"",AP215-LOOKUP(2,1/(AG215:AO215&lt;&gt;""),AG215:AO215)))</t>
        </is>
      </c>
      <c r="BD215" s="38" t="inlineStr">
        <is>
          <t>IF(OR(E215="",AQ215=""),"",IF(COUNT(AG215:AP215)=0,"",AQ215-LOOKUP(2,1/(AG215:AP215&lt;&gt;""),AG215:AP215)))</t>
        </is>
      </c>
      <c r="BE215" s="38" t="inlineStr">
        <is>
          <t>IF(OR(E215="",AR215=""),"",IF(COUNT(AG215:AQ215)=0,"",AR215-LOOKUP(2,1/(AG215:AQ215&lt;&gt;""),AG215:AQ215)))</t>
        </is>
      </c>
      <c r="BF215" s="38" t="inlineStr">
        <is>
          <t>IF(OR(E215="",AS215=""),"",IF(COUNT(AG215:AR215)=0,"",AS215-LOOKUP(2,1/(AG215:AR215&lt;&gt;""),AG215:AR215)))</t>
        </is>
      </c>
      <c r="BG215" s="38" t="inlineStr">
        <is>
          <t>IF(OR(E215="",AT215=""),"",IF(COUNT(AG215:AS215)=0,"",AT215-LOOKUP(2,1/(AG215:AS215&lt;&gt;""),AG215:AS215)))</t>
        </is>
      </c>
      <c r="BH215" s="41" t="inlineStr">
        <is>
          <t>IF(G215="","All_Provinces",IFERROR(VLOOKUP(G215,'07_Lookups'!$A$4:$B$20,2,FALSE),"All_Provinces"))</t>
        </is>
      </c>
      <c r="BI215" s="41" t="inlineStr">
        <is>
          <t>IF(H215="","All_Districts",IFERROR(VLOOKUP(H215,'07_Lookups'!$E$4:$F$42,2,FALSE),"All_Districts"))</t>
        </is>
      </c>
    </row>
    <row r="216" ht="18" customHeight="1">
      <c r="A216" s="32" t="inlineStr">
        <is>
          <t>IF(E216="","",ROW()-3)</t>
        </is>
      </c>
      <c r="B216" s="33" t="n"/>
      <c r="C216" s="33" t="n"/>
      <c r="D216" s="33" t="n"/>
      <c r="E216" s="33" t="n"/>
      <c r="F216" s="33" t="n"/>
      <c r="G216" s="33" t="n"/>
      <c r="H216" s="33" t="n"/>
      <c r="I216" s="33" t="n"/>
      <c r="J216" s="33" t="n"/>
      <c r="K216" s="33" t="n"/>
      <c r="L216" s="33" t="n"/>
      <c r="M216" s="33" t="n"/>
      <c r="N216" s="33" t="n"/>
      <c r="O216" s="33" t="n"/>
      <c r="P216" s="33" t="n"/>
      <c r="Q216" s="34" t="n"/>
      <c r="R216" s="35" t="inlineStr">
        <is>
          <t>IF(AO216="","",AO216)</t>
        </is>
      </c>
      <c r="S216" s="36" t="n"/>
      <c r="T216" s="37" t="n"/>
      <c r="U216" s="36" t="n"/>
      <c r="V216" s="35" t="inlineStr">
        <is>
          <t>IF(U216&lt;&gt;"",U216,IF(OR(R216="",T216=""),"",EDATE(R216,T216)))</t>
        </is>
      </c>
      <c r="W216" s="36" t="n"/>
      <c r="X216" s="37" t="n"/>
      <c r="Y216" s="33" t="n"/>
      <c r="Z216" s="33" t="n"/>
      <c r="AA216" s="32" t="inlineStr">
        <is>
          <t>IF(E216="","",IF(COUNT(AG216:AT216)=0,IF(Y216="","Not started",Y216),SUBSTITUTE(LOOKUP(2,1/(AG216:AT216&lt;&gt;""),$AG$3:$AT$3),"Date: ","")))</t>
        </is>
      </c>
      <c r="AB216" s="38" t="inlineStr">
        <is>
          <t>IF(OR(E216="",COUNT(AG216:AT216)=0),"",TODAY()-LOOKUP(2,1/(AG216:AT216&lt;&gt;""),AG216:AT216))</t>
        </is>
      </c>
      <c r="AC216" s="38" t="inlineStr">
        <is>
          <t>IF(OR(E216="",COUNT(AG216:AT216)&lt;2),"",LOOKUP(2,1/(AG216:AT216&lt;&gt;""),AG216:AT216)-MIN(AG216:AT216))</t>
        </is>
      </c>
      <c r="AD216" s="38" t="inlineStr">
        <is>
          <t>IF(OR(AB216="",AA216="Not started",AA216=""),"",IFERROR(AB216-IF(VLOOKUP(AA216,'04_Status_Pipeline'!$B$3:$E$20,4,FALSE)="",0,VLOOKUP(AA216,'04_Status_Pipeline'!$B$3:$E$20,4,FALSE)),""))</t>
        </is>
      </c>
      <c r="AE216" s="32" t="inlineStr">
        <is>
          <t>IF(E216="","",IF(OR(Y216="Cancelled",AA216="Cancelled"),"Cancelled",IF(OR(AA216="Completed / Handover",W216&lt;&gt;"",X216&gt;=100),"Completed — on track",IF(L216="Remaining",IF(S216="",IF(V216="","No planned date",IF(TODAY()&gt;V216,"Behind — past planned date",IF(V216-TODAY()&lt;=30,"At risk — close to off track","On track"))),IF(TODAY()&gt;S216,"Behind — award date passed",IF(S216-TODAY()&lt;=30,"At risk — close to off track","On track"))),IF(V216="","No planned date",IF(AND(TODAY()&gt;V216,OR(X216="",X216&lt;100)),"Behind — past end date",IF(AND(R216&lt;&gt;"",V216&lt;&gt;"",X216&lt;&gt;"",(X216&lt;100),((TODAY()-R216)/MAX(V216-R216,1)*100)-X216&gt;15),"Behind — progress lag",IF(AND(V216-TODAY()&lt;=30,V216-TODAY()&gt;=0,OR(X216="",X216&lt;90)),"At risk — close to off track","On track"))))))))</t>
        </is>
      </c>
      <c r="AF216" s="38" t="inlineStr">
        <is>
          <t>IF(OR(E216="",AA216="Completed / Handover",AA216="Cancelled"),"",IF(L216="Remaining",IF(S216&lt;&gt;"",S216-TODAY(),IF(V216="","",V216-TODAY())),IF(V216="","",V216-TODAY())))</t>
        </is>
      </c>
      <c r="AG216" s="36" t="n"/>
      <c r="AH216" s="36" t="n"/>
      <c r="AI216" s="36" t="n"/>
      <c r="AJ216" s="36" t="n"/>
      <c r="AK216" s="36" t="n"/>
      <c r="AL216" s="36" t="n"/>
      <c r="AM216" s="36" t="n"/>
      <c r="AN216" s="36" t="n"/>
      <c r="AO216" s="36" t="n"/>
      <c r="AP216" s="36" t="n"/>
      <c r="AQ216" s="36" t="n"/>
      <c r="AR216" s="40" t="n"/>
      <c r="AS216" s="40" t="n"/>
      <c r="AT216" s="40" t="n"/>
      <c r="AU216" s="38" t="inlineStr">
        <is>
          <t>IF(OR(E216="",AH216=""),"",IF(COUNT(AG216:AG216)=0,"",AH216-LOOKUP(2,1/(AG216:AG216&lt;&gt;""),AG216:AG216)))</t>
        </is>
      </c>
      <c r="AV216" s="38" t="inlineStr">
        <is>
          <t>IF(OR(E216="",AI216=""),"",IF(COUNT(AG216:AH216)=0,"",AI216-LOOKUP(2,1/(AG216:AH216&lt;&gt;""),AG216:AH216)))</t>
        </is>
      </c>
      <c r="AW216" s="38" t="inlineStr">
        <is>
          <t>IF(OR(E216="",AJ216=""),"",IF(COUNT(AG216:AI216)=0,"",AJ216-LOOKUP(2,1/(AG216:AI216&lt;&gt;""),AG216:AI216)))</t>
        </is>
      </c>
      <c r="AX216" s="38" t="inlineStr">
        <is>
          <t>IF(OR(E216="",AK216=""),"",IF(COUNT(AG216:AJ216)=0,"",AK216-LOOKUP(2,1/(AG216:AJ216&lt;&gt;""),AG216:AJ216)))</t>
        </is>
      </c>
      <c r="AY216" s="38" t="inlineStr">
        <is>
          <t>IF(OR(E216="",AL216=""),"",IF(COUNT(AG216:AK216)=0,"",AL216-LOOKUP(2,1/(AG216:AK216&lt;&gt;""),AG216:AK216)))</t>
        </is>
      </c>
      <c r="AZ216" s="38" t="inlineStr">
        <is>
          <t>IF(OR(E216="",AM216=""),"",IF(COUNT(AG216:AL216)=0,"",AM216-LOOKUP(2,1/(AG216:AL216&lt;&gt;""),AG216:AL216)))</t>
        </is>
      </c>
      <c r="BA216" s="38" t="inlineStr">
        <is>
          <t>IF(OR(E216="",AN216=""),"",IF(COUNT(AG216:AM216)=0,"",AN216-LOOKUP(2,1/(AG216:AM216&lt;&gt;""),AG216:AM216)))</t>
        </is>
      </c>
      <c r="BB216" s="38" t="inlineStr">
        <is>
          <t>IF(OR(E216="",AO216=""),"",IF(COUNT(AG216:AN216)=0,"",AO216-LOOKUP(2,1/(AG216:AN216&lt;&gt;""),AG216:AN216)))</t>
        </is>
      </c>
      <c r="BC216" s="38" t="inlineStr">
        <is>
          <t>IF(OR(E216="",AP216=""),"",IF(COUNT(AG216:AO216)=0,"",AP216-LOOKUP(2,1/(AG216:AO216&lt;&gt;""),AG216:AO216)))</t>
        </is>
      </c>
      <c r="BD216" s="38" t="inlineStr">
        <is>
          <t>IF(OR(E216="",AQ216=""),"",IF(COUNT(AG216:AP216)=0,"",AQ216-LOOKUP(2,1/(AG216:AP216&lt;&gt;""),AG216:AP216)))</t>
        </is>
      </c>
      <c r="BE216" s="38" t="inlineStr">
        <is>
          <t>IF(OR(E216="",AR216=""),"",IF(COUNT(AG216:AQ216)=0,"",AR216-LOOKUP(2,1/(AG216:AQ216&lt;&gt;""),AG216:AQ216)))</t>
        </is>
      </c>
      <c r="BF216" s="38" t="inlineStr">
        <is>
          <t>IF(OR(E216="",AS216=""),"",IF(COUNT(AG216:AR216)=0,"",AS216-LOOKUP(2,1/(AG216:AR216&lt;&gt;""),AG216:AR216)))</t>
        </is>
      </c>
      <c r="BG216" s="38" t="inlineStr">
        <is>
          <t>IF(OR(E216="",AT216=""),"",IF(COUNT(AG216:AS216)=0,"",AT216-LOOKUP(2,1/(AG216:AS216&lt;&gt;""),AG216:AS216)))</t>
        </is>
      </c>
      <c r="BH216" s="41" t="inlineStr">
        <is>
          <t>IF(G216="","All_Provinces",IFERROR(VLOOKUP(G216,'07_Lookups'!$A$4:$B$20,2,FALSE),"All_Provinces"))</t>
        </is>
      </c>
      <c r="BI216" s="41" t="inlineStr">
        <is>
          <t>IF(H216="","All_Districts",IFERROR(VLOOKUP(H216,'07_Lookups'!$E$4:$F$42,2,FALSE),"All_Districts"))</t>
        </is>
      </c>
    </row>
    <row r="217" ht="18" customHeight="1">
      <c r="A217" s="32" t="inlineStr">
        <is>
          <t>IF(E217="","",ROW()-3)</t>
        </is>
      </c>
      <c r="B217" s="42" t="n"/>
      <c r="C217" s="42" t="n"/>
      <c r="D217" s="42" t="n"/>
      <c r="E217" s="42" t="n"/>
      <c r="F217" s="42" t="n"/>
      <c r="G217" s="42" t="n"/>
      <c r="H217" s="42" t="n"/>
      <c r="I217" s="42" t="n"/>
      <c r="J217" s="42" t="n"/>
      <c r="K217" s="42" t="n"/>
      <c r="L217" s="42" t="n"/>
      <c r="M217" s="42" t="n"/>
      <c r="N217" s="42" t="n"/>
      <c r="O217" s="42" t="n"/>
      <c r="P217" s="42" t="n"/>
      <c r="Q217" s="43" t="n"/>
      <c r="R217" s="35" t="inlineStr">
        <is>
          <t>IF(AO217="","",AO217)</t>
        </is>
      </c>
      <c r="S217" s="44" t="n"/>
      <c r="T217" s="45" t="n"/>
      <c r="U217" s="44" t="n"/>
      <c r="V217" s="35" t="inlineStr">
        <is>
          <t>IF(U217&lt;&gt;"",U217,IF(OR(R217="",T217=""),"",EDATE(R217,T217)))</t>
        </is>
      </c>
      <c r="W217" s="44" t="n"/>
      <c r="X217" s="45" t="n"/>
      <c r="Y217" s="42" t="n"/>
      <c r="Z217" s="42" t="n"/>
      <c r="AA217" s="32" t="inlineStr">
        <is>
          <t>IF(E217="","",IF(COUNT(AG217:AT217)=0,IF(Y217="","Not started",Y217),SUBSTITUTE(LOOKUP(2,1/(AG217:AT217&lt;&gt;""),$AG$3:$AT$3),"Date: ","")))</t>
        </is>
      </c>
      <c r="AB217" s="38" t="inlineStr">
        <is>
          <t>IF(OR(E217="",COUNT(AG217:AT217)=0),"",TODAY()-LOOKUP(2,1/(AG217:AT217&lt;&gt;""),AG217:AT217))</t>
        </is>
      </c>
      <c r="AC217" s="38" t="inlineStr">
        <is>
          <t>IF(OR(E217="",COUNT(AG217:AT217)&lt;2),"",LOOKUP(2,1/(AG217:AT217&lt;&gt;""),AG217:AT217)-MIN(AG217:AT217))</t>
        </is>
      </c>
      <c r="AD217" s="38" t="inlineStr">
        <is>
          <t>IF(OR(AB217="",AA217="Not started",AA217=""),"",IFERROR(AB217-IF(VLOOKUP(AA217,'04_Status_Pipeline'!$B$3:$E$20,4,FALSE)="",0,VLOOKUP(AA217,'04_Status_Pipeline'!$B$3:$E$20,4,FALSE)),""))</t>
        </is>
      </c>
      <c r="AE217" s="32" t="inlineStr">
        <is>
          <t>IF(E217="","",IF(OR(Y217="Cancelled",AA217="Cancelled"),"Cancelled",IF(OR(AA217="Completed / Handover",W217&lt;&gt;"",X217&gt;=100),"Completed — on track",IF(L217="Remaining",IF(S217="",IF(V217="","No planned date",IF(TODAY()&gt;V217,"Behind — past planned date",IF(V217-TODAY()&lt;=30,"At risk — close to off track","On track"))),IF(TODAY()&gt;S217,"Behind — award date passed",IF(S217-TODAY()&lt;=30,"At risk — close to off track","On track"))),IF(V217="","No planned date",IF(AND(TODAY()&gt;V217,OR(X217="",X217&lt;100)),"Behind — past end date",IF(AND(R217&lt;&gt;"",V217&lt;&gt;"",X217&lt;&gt;"",(X217&lt;100),((TODAY()-R217)/MAX(V217-R217,1)*100)-X217&gt;15),"Behind — progress lag",IF(AND(V217-TODAY()&lt;=30,V217-TODAY()&gt;=0,OR(X217="",X217&lt;90)),"At risk — close to off track","On track"))))))))</t>
        </is>
      </c>
      <c r="AF217" s="38" t="inlineStr">
        <is>
          <t>IF(OR(E217="",AA217="Completed / Handover",AA217="Cancelled"),"",IF(L217="Remaining",IF(S217&lt;&gt;"",S217-TODAY(),IF(V217="","",V217-TODAY())),IF(V217="","",V217-TODAY())))</t>
        </is>
      </c>
      <c r="AG217" s="44" t="n"/>
      <c r="AH217" s="44" t="n"/>
      <c r="AI217" s="44" t="n"/>
      <c r="AJ217" s="44" t="n"/>
      <c r="AK217" s="44" t="n"/>
      <c r="AL217" s="44" t="n"/>
      <c r="AM217" s="44" t="n"/>
      <c r="AN217" s="44" t="n"/>
      <c r="AO217" s="44" t="n"/>
      <c r="AP217" s="44" t="n"/>
      <c r="AQ217" s="44" t="n"/>
      <c r="AR217" s="40" t="n"/>
      <c r="AS217" s="40" t="n"/>
      <c r="AT217" s="40" t="n"/>
      <c r="AU217" s="38" t="inlineStr">
        <is>
          <t>IF(OR(E217="",AH217=""),"",IF(COUNT(AG217:AG217)=0,"",AH217-LOOKUP(2,1/(AG217:AG217&lt;&gt;""),AG217:AG217)))</t>
        </is>
      </c>
      <c r="AV217" s="38" t="inlineStr">
        <is>
          <t>IF(OR(E217="",AI217=""),"",IF(COUNT(AG217:AH217)=0,"",AI217-LOOKUP(2,1/(AG217:AH217&lt;&gt;""),AG217:AH217)))</t>
        </is>
      </c>
      <c r="AW217" s="38" t="inlineStr">
        <is>
          <t>IF(OR(E217="",AJ217=""),"",IF(COUNT(AG217:AI217)=0,"",AJ217-LOOKUP(2,1/(AG217:AI217&lt;&gt;""),AG217:AI217)))</t>
        </is>
      </c>
      <c r="AX217" s="38" t="inlineStr">
        <is>
          <t>IF(OR(E217="",AK217=""),"",IF(COUNT(AG217:AJ217)=0,"",AK217-LOOKUP(2,1/(AG217:AJ217&lt;&gt;""),AG217:AJ217)))</t>
        </is>
      </c>
      <c r="AY217" s="38" t="inlineStr">
        <is>
          <t>IF(OR(E217="",AL217=""),"",IF(COUNT(AG217:AK217)=0,"",AL217-LOOKUP(2,1/(AG217:AK217&lt;&gt;""),AG217:AK217)))</t>
        </is>
      </c>
      <c r="AZ217" s="38" t="inlineStr">
        <is>
          <t>IF(OR(E217="",AM217=""),"",IF(COUNT(AG217:AL217)=0,"",AM217-LOOKUP(2,1/(AG217:AL217&lt;&gt;""),AG217:AL217)))</t>
        </is>
      </c>
      <c r="BA217" s="38" t="inlineStr">
        <is>
          <t>IF(OR(E217="",AN217=""),"",IF(COUNT(AG217:AM217)=0,"",AN217-LOOKUP(2,1/(AG217:AM217&lt;&gt;""),AG217:AM217)))</t>
        </is>
      </c>
      <c r="BB217" s="38" t="inlineStr">
        <is>
          <t>IF(OR(E217="",AO217=""),"",IF(COUNT(AG217:AN217)=0,"",AO217-LOOKUP(2,1/(AG217:AN217&lt;&gt;""),AG217:AN217)))</t>
        </is>
      </c>
      <c r="BC217" s="38" t="inlineStr">
        <is>
          <t>IF(OR(E217="",AP217=""),"",IF(COUNT(AG217:AO217)=0,"",AP217-LOOKUP(2,1/(AG217:AO217&lt;&gt;""),AG217:AO217)))</t>
        </is>
      </c>
      <c r="BD217" s="38" t="inlineStr">
        <is>
          <t>IF(OR(E217="",AQ217=""),"",IF(COUNT(AG217:AP217)=0,"",AQ217-LOOKUP(2,1/(AG217:AP217&lt;&gt;""),AG217:AP217)))</t>
        </is>
      </c>
      <c r="BE217" s="38" t="inlineStr">
        <is>
          <t>IF(OR(E217="",AR217=""),"",IF(COUNT(AG217:AQ217)=0,"",AR217-LOOKUP(2,1/(AG217:AQ217&lt;&gt;""),AG217:AQ217)))</t>
        </is>
      </c>
      <c r="BF217" s="38" t="inlineStr">
        <is>
          <t>IF(OR(E217="",AS217=""),"",IF(COUNT(AG217:AR217)=0,"",AS217-LOOKUP(2,1/(AG217:AR217&lt;&gt;""),AG217:AR217)))</t>
        </is>
      </c>
      <c r="BG217" s="38" t="inlineStr">
        <is>
          <t>IF(OR(E217="",AT217=""),"",IF(COUNT(AG217:AS217)=0,"",AT217-LOOKUP(2,1/(AG217:AS217&lt;&gt;""),AG217:AS217)))</t>
        </is>
      </c>
      <c r="BH217" s="41" t="inlineStr">
        <is>
          <t>IF(G217="","All_Provinces",IFERROR(VLOOKUP(G217,'07_Lookups'!$A$4:$B$20,2,FALSE),"All_Provinces"))</t>
        </is>
      </c>
      <c r="BI217" s="41" t="inlineStr">
        <is>
          <t>IF(H217="","All_Districts",IFERROR(VLOOKUP(H217,'07_Lookups'!$E$4:$F$42,2,FALSE),"All_Districts"))</t>
        </is>
      </c>
    </row>
    <row r="218" ht="18" customHeight="1">
      <c r="A218" s="32" t="inlineStr">
        <is>
          <t>IF(E218="","",ROW()-3)</t>
        </is>
      </c>
      <c r="B218" s="33" t="n"/>
      <c r="C218" s="33" t="n"/>
      <c r="D218" s="33" t="n"/>
      <c r="E218" s="33" t="n"/>
      <c r="F218" s="33" t="n"/>
      <c r="G218" s="33" t="n"/>
      <c r="H218" s="33" t="n"/>
      <c r="I218" s="33" t="n"/>
      <c r="J218" s="33" t="n"/>
      <c r="K218" s="33" t="n"/>
      <c r="L218" s="33" t="n"/>
      <c r="M218" s="33" t="n"/>
      <c r="N218" s="33" t="n"/>
      <c r="O218" s="33" t="n"/>
      <c r="P218" s="33" t="n"/>
      <c r="Q218" s="34" t="n"/>
      <c r="R218" s="35" t="inlineStr">
        <is>
          <t>IF(AO218="","",AO218)</t>
        </is>
      </c>
      <c r="S218" s="36" t="n"/>
      <c r="T218" s="37" t="n"/>
      <c r="U218" s="36" t="n"/>
      <c r="V218" s="35" t="inlineStr">
        <is>
          <t>IF(U218&lt;&gt;"",U218,IF(OR(R218="",T218=""),"",EDATE(R218,T218)))</t>
        </is>
      </c>
      <c r="W218" s="36" t="n"/>
      <c r="X218" s="37" t="n"/>
      <c r="Y218" s="33" t="n"/>
      <c r="Z218" s="33" t="n"/>
      <c r="AA218" s="32" t="inlineStr">
        <is>
          <t>IF(E218="","",IF(COUNT(AG218:AT218)=0,IF(Y218="","Not started",Y218),SUBSTITUTE(LOOKUP(2,1/(AG218:AT218&lt;&gt;""),$AG$3:$AT$3),"Date: ","")))</t>
        </is>
      </c>
      <c r="AB218" s="38" t="inlineStr">
        <is>
          <t>IF(OR(E218="",COUNT(AG218:AT218)=0),"",TODAY()-LOOKUP(2,1/(AG218:AT218&lt;&gt;""),AG218:AT218))</t>
        </is>
      </c>
      <c r="AC218" s="38" t="inlineStr">
        <is>
          <t>IF(OR(E218="",COUNT(AG218:AT218)&lt;2),"",LOOKUP(2,1/(AG218:AT218&lt;&gt;""),AG218:AT218)-MIN(AG218:AT218))</t>
        </is>
      </c>
      <c r="AD218" s="38" t="inlineStr">
        <is>
          <t>IF(OR(AB218="",AA218="Not started",AA218=""),"",IFERROR(AB218-IF(VLOOKUP(AA218,'04_Status_Pipeline'!$B$3:$E$20,4,FALSE)="",0,VLOOKUP(AA218,'04_Status_Pipeline'!$B$3:$E$20,4,FALSE)),""))</t>
        </is>
      </c>
      <c r="AE218" s="32" t="inlineStr">
        <is>
          <t>IF(E218="","",IF(OR(Y218="Cancelled",AA218="Cancelled"),"Cancelled",IF(OR(AA218="Completed / Handover",W218&lt;&gt;"",X218&gt;=100),"Completed — on track",IF(L218="Remaining",IF(S218="",IF(V218="","No planned date",IF(TODAY()&gt;V218,"Behind — past planned date",IF(V218-TODAY()&lt;=30,"At risk — close to off track","On track"))),IF(TODAY()&gt;S218,"Behind — award date passed",IF(S218-TODAY()&lt;=30,"At risk — close to off track","On track"))),IF(V218="","No planned date",IF(AND(TODAY()&gt;V218,OR(X218="",X218&lt;100)),"Behind — past end date",IF(AND(R218&lt;&gt;"",V218&lt;&gt;"",X218&lt;&gt;"",(X218&lt;100),((TODAY()-R218)/MAX(V218-R218,1)*100)-X218&gt;15),"Behind — progress lag",IF(AND(V218-TODAY()&lt;=30,V218-TODAY()&gt;=0,OR(X218="",X218&lt;90)),"At risk — close to off track","On track"))))))))</t>
        </is>
      </c>
      <c r="AF218" s="38" t="inlineStr">
        <is>
          <t>IF(OR(E218="",AA218="Completed / Handover",AA218="Cancelled"),"",IF(L218="Remaining",IF(S218&lt;&gt;"",S218-TODAY(),IF(V218="","",V218-TODAY())),IF(V218="","",V218-TODAY())))</t>
        </is>
      </c>
      <c r="AG218" s="36" t="n"/>
      <c r="AH218" s="36" t="n"/>
      <c r="AI218" s="36" t="n"/>
      <c r="AJ218" s="36" t="n"/>
      <c r="AK218" s="36" t="n"/>
      <c r="AL218" s="36" t="n"/>
      <c r="AM218" s="36" t="n"/>
      <c r="AN218" s="36" t="n"/>
      <c r="AO218" s="36" t="n"/>
      <c r="AP218" s="36" t="n"/>
      <c r="AQ218" s="36" t="n"/>
      <c r="AR218" s="40" t="n"/>
      <c r="AS218" s="40" t="n"/>
      <c r="AT218" s="40" t="n"/>
      <c r="AU218" s="38" t="inlineStr">
        <is>
          <t>IF(OR(E218="",AH218=""),"",IF(COUNT(AG218:AG218)=0,"",AH218-LOOKUP(2,1/(AG218:AG218&lt;&gt;""),AG218:AG218)))</t>
        </is>
      </c>
      <c r="AV218" s="38" t="inlineStr">
        <is>
          <t>IF(OR(E218="",AI218=""),"",IF(COUNT(AG218:AH218)=0,"",AI218-LOOKUP(2,1/(AG218:AH218&lt;&gt;""),AG218:AH218)))</t>
        </is>
      </c>
      <c r="AW218" s="38" t="inlineStr">
        <is>
          <t>IF(OR(E218="",AJ218=""),"",IF(COUNT(AG218:AI218)=0,"",AJ218-LOOKUP(2,1/(AG218:AI218&lt;&gt;""),AG218:AI218)))</t>
        </is>
      </c>
      <c r="AX218" s="38" t="inlineStr">
        <is>
          <t>IF(OR(E218="",AK218=""),"",IF(COUNT(AG218:AJ218)=0,"",AK218-LOOKUP(2,1/(AG218:AJ218&lt;&gt;""),AG218:AJ218)))</t>
        </is>
      </c>
      <c r="AY218" s="38" t="inlineStr">
        <is>
          <t>IF(OR(E218="",AL218=""),"",IF(COUNT(AG218:AK218)=0,"",AL218-LOOKUP(2,1/(AG218:AK218&lt;&gt;""),AG218:AK218)))</t>
        </is>
      </c>
      <c r="AZ218" s="38" t="inlineStr">
        <is>
          <t>IF(OR(E218="",AM218=""),"",IF(COUNT(AG218:AL218)=0,"",AM218-LOOKUP(2,1/(AG218:AL218&lt;&gt;""),AG218:AL218)))</t>
        </is>
      </c>
      <c r="BA218" s="38" t="inlineStr">
        <is>
          <t>IF(OR(E218="",AN218=""),"",IF(COUNT(AG218:AM218)=0,"",AN218-LOOKUP(2,1/(AG218:AM218&lt;&gt;""),AG218:AM218)))</t>
        </is>
      </c>
      <c r="BB218" s="38" t="inlineStr">
        <is>
          <t>IF(OR(E218="",AO218=""),"",IF(COUNT(AG218:AN218)=0,"",AO218-LOOKUP(2,1/(AG218:AN218&lt;&gt;""),AG218:AN218)))</t>
        </is>
      </c>
      <c r="BC218" s="38" t="inlineStr">
        <is>
          <t>IF(OR(E218="",AP218=""),"",IF(COUNT(AG218:AO218)=0,"",AP218-LOOKUP(2,1/(AG218:AO218&lt;&gt;""),AG218:AO218)))</t>
        </is>
      </c>
      <c r="BD218" s="38" t="inlineStr">
        <is>
          <t>IF(OR(E218="",AQ218=""),"",IF(COUNT(AG218:AP218)=0,"",AQ218-LOOKUP(2,1/(AG218:AP218&lt;&gt;""),AG218:AP218)))</t>
        </is>
      </c>
      <c r="BE218" s="38" t="inlineStr">
        <is>
          <t>IF(OR(E218="",AR218=""),"",IF(COUNT(AG218:AQ218)=0,"",AR218-LOOKUP(2,1/(AG218:AQ218&lt;&gt;""),AG218:AQ218)))</t>
        </is>
      </c>
      <c r="BF218" s="38" t="inlineStr">
        <is>
          <t>IF(OR(E218="",AS218=""),"",IF(COUNT(AG218:AR218)=0,"",AS218-LOOKUP(2,1/(AG218:AR218&lt;&gt;""),AG218:AR218)))</t>
        </is>
      </c>
      <c r="BG218" s="38" t="inlineStr">
        <is>
          <t>IF(OR(E218="",AT218=""),"",IF(COUNT(AG218:AS218)=0,"",AT218-LOOKUP(2,1/(AG218:AS218&lt;&gt;""),AG218:AS218)))</t>
        </is>
      </c>
      <c r="BH218" s="41" t="inlineStr">
        <is>
          <t>IF(G218="","All_Provinces",IFERROR(VLOOKUP(G218,'07_Lookups'!$A$4:$B$20,2,FALSE),"All_Provinces"))</t>
        </is>
      </c>
      <c r="BI218" s="41" t="inlineStr">
        <is>
          <t>IF(H218="","All_Districts",IFERROR(VLOOKUP(H218,'07_Lookups'!$E$4:$F$42,2,FALSE),"All_Districts"))</t>
        </is>
      </c>
    </row>
    <row r="219" ht="18" customHeight="1">
      <c r="A219" s="32" t="inlineStr">
        <is>
          <t>IF(E219="","",ROW()-3)</t>
        </is>
      </c>
      <c r="B219" s="42" t="n"/>
      <c r="C219" s="42" t="n"/>
      <c r="D219" s="42" t="n"/>
      <c r="E219" s="42" t="n"/>
      <c r="F219" s="42" t="n"/>
      <c r="G219" s="42" t="n"/>
      <c r="H219" s="42" t="n"/>
      <c r="I219" s="42" t="n"/>
      <c r="J219" s="42" t="n"/>
      <c r="K219" s="42" t="n"/>
      <c r="L219" s="42" t="n"/>
      <c r="M219" s="42" t="n"/>
      <c r="N219" s="42" t="n"/>
      <c r="O219" s="42" t="n"/>
      <c r="P219" s="42" t="n"/>
      <c r="Q219" s="43" t="n"/>
      <c r="R219" s="35" t="inlineStr">
        <is>
          <t>IF(AO219="","",AO219)</t>
        </is>
      </c>
      <c r="S219" s="44" t="n"/>
      <c r="T219" s="45" t="n"/>
      <c r="U219" s="44" t="n"/>
      <c r="V219" s="35" t="inlineStr">
        <is>
          <t>IF(U219&lt;&gt;"",U219,IF(OR(R219="",T219=""),"",EDATE(R219,T219)))</t>
        </is>
      </c>
      <c r="W219" s="44" t="n"/>
      <c r="X219" s="45" t="n"/>
      <c r="Y219" s="42" t="n"/>
      <c r="Z219" s="42" t="n"/>
      <c r="AA219" s="32" t="inlineStr">
        <is>
          <t>IF(E219="","",IF(COUNT(AG219:AT219)=0,IF(Y219="","Not started",Y219),SUBSTITUTE(LOOKUP(2,1/(AG219:AT219&lt;&gt;""),$AG$3:$AT$3),"Date: ","")))</t>
        </is>
      </c>
      <c r="AB219" s="38" t="inlineStr">
        <is>
          <t>IF(OR(E219="",COUNT(AG219:AT219)=0),"",TODAY()-LOOKUP(2,1/(AG219:AT219&lt;&gt;""),AG219:AT219))</t>
        </is>
      </c>
      <c r="AC219" s="38" t="inlineStr">
        <is>
          <t>IF(OR(E219="",COUNT(AG219:AT219)&lt;2),"",LOOKUP(2,1/(AG219:AT219&lt;&gt;""),AG219:AT219)-MIN(AG219:AT219))</t>
        </is>
      </c>
      <c r="AD219" s="38" t="inlineStr">
        <is>
          <t>IF(OR(AB219="",AA219="Not started",AA219=""),"",IFERROR(AB219-IF(VLOOKUP(AA219,'04_Status_Pipeline'!$B$3:$E$20,4,FALSE)="",0,VLOOKUP(AA219,'04_Status_Pipeline'!$B$3:$E$20,4,FALSE)),""))</t>
        </is>
      </c>
      <c r="AE219" s="32" t="inlineStr">
        <is>
          <t>IF(E219="","",IF(OR(Y219="Cancelled",AA219="Cancelled"),"Cancelled",IF(OR(AA219="Completed / Handover",W219&lt;&gt;"",X219&gt;=100),"Completed — on track",IF(L219="Remaining",IF(S219="",IF(V219="","No planned date",IF(TODAY()&gt;V219,"Behind — past planned date",IF(V219-TODAY()&lt;=30,"At risk — close to off track","On track"))),IF(TODAY()&gt;S219,"Behind — award date passed",IF(S219-TODAY()&lt;=30,"At risk — close to off track","On track"))),IF(V219="","No planned date",IF(AND(TODAY()&gt;V219,OR(X219="",X219&lt;100)),"Behind — past end date",IF(AND(R219&lt;&gt;"",V219&lt;&gt;"",X219&lt;&gt;"",(X219&lt;100),((TODAY()-R219)/MAX(V219-R219,1)*100)-X219&gt;15),"Behind — progress lag",IF(AND(V219-TODAY()&lt;=30,V219-TODAY()&gt;=0,OR(X219="",X219&lt;90)),"At risk — close to off track","On track"))))))))</t>
        </is>
      </c>
      <c r="AF219" s="38" t="inlineStr">
        <is>
          <t>IF(OR(E219="",AA219="Completed / Handover",AA219="Cancelled"),"",IF(L219="Remaining",IF(S219&lt;&gt;"",S219-TODAY(),IF(V219="","",V219-TODAY())),IF(V219="","",V219-TODAY())))</t>
        </is>
      </c>
      <c r="AG219" s="44" t="n"/>
      <c r="AH219" s="44" t="n"/>
      <c r="AI219" s="44" t="n"/>
      <c r="AJ219" s="44" t="n"/>
      <c r="AK219" s="44" t="n"/>
      <c r="AL219" s="44" t="n"/>
      <c r="AM219" s="44" t="n"/>
      <c r="AN219" s="44" t="n"/>
      <c r="AO219" s="44" t="n"/>
      <c r="AP219" s="44" t="n"/>
      <c r="AQ219" s="44" t="n"/>
      <c r="AR219" s="40" t="n"/>
      <c r="AS219" s="40" t="n"/>
      <c r="AT219" s="40" t="n"/>
      <c r="AU219" s="38" t="inlineStr">
        <is>
          <t>IF(OR(E219="",AH219=""),"",IF(COUNT(AG219:AG219)=0,"",AH219-LOOKUP(2,1/(AG219:AG219&lt;&gt;""),AG219:AG219)))</t>
        </is>
      </c>
      <c r="AV219" s="38" t="inlineStr">
        <is>
          <t>IF(OR(E219="",AI219=""),"",IF(COUNT(AG219:AH219)=0,"",AI219-LOOKUP(2,1/(AG219:AH219&lt;&gt;""),AG219:AH219)))</t>
        </is>
      </c>
      <c r="AW219" s="38" t="inlineStr">
        <is>
          <t>IF(OR(E219="",AJ219=""),"",IF(COUNT(AG219:AI219)=0,"",AJ219-LOOKUP(2,1/(AG219:AI219&lt;&gt;""),AG219:AI219)))</t>
        </is>
      </c>
      <c r="AX219" s="38" t="inlineStr">
        <is>
          <t>IF(OR(E219="",AK219=""),"",IF(COUNT(AG219:AJ219)=0,"",AK219-LOOKUP(2,1/(AG219:AJ219&lt;&gt;""),AG219:AJ219)))</t>
        </is>
      </c>
      <c r="AY219" s="38" t="inlineStr">
        <is>
          <t>IF(OR(E219="",AL219=""),"",IF(COUNT(AG219:AK219)=0,"",AL219-LOOKUP(2,1/(AG219:AK219&lt;&gt;""),AG219:AK219)))</t>
        </is>
      </c>
      <c r="AZ219" s="38" t="inlineStr">
        <is>
          <t>IF(OR(E219="",AM219=""),"",IF(COUNT(AG219:AL219)=0,"",AM219-LOOKUP(2,1/(AG219:AL219&lt;&gt;""),AG219:AL219)))</t>
        </is>
      </c>
      <c r="BA219" s="38" t="inlineStr">
        <is>
          <t>IF(OR(E219="",AN219=""),"",IF(COUNT(AG219:AM219)=0,"",AN219-LOOKUP(2,1/(AG219:AM219&lt;&gt;""),AG219:AM219)))</t>
        </is>
      </c>
      <c r="BB219" s="38" t="inlineStr">
        <is>
          <t>IF(OR(E219="",AO219=""),"",IF(COUNT(AG219:AN219)=0,"",AO219-LOOKUP(2,1/(AG219:AN219&lt;&gt;""),AG219:AN219)))</t>
        </is>
      </c>
      <c r="BC219" s="38" t="inlineStr">
        <is>
          <t>IF(OR(E219="",AP219=""),"",IF(COUNT(AG219:AO219)=0,"",AP219-LOOKUP(2,1/(AG219:AO219&lt;&gt;""),AG219:AO219)))</t>
        </is>
      </c>
      <c r="BD219" s="38" t="inlineStr">
        <is>
          <t>IF(OR(E219="",AQ219=""),"",IF(COUNT(AG219:AP219)=0,"",AQ219-LOOKUP(2,1/(AG219:AP219&lt;&gt;""),AG219:AP219)))</t>
        </is>
      </c>
      <c r="BE219" s="38" t="inlineStr">
        <is>
          <t>IF(OR(E219="",AR219=""),"",IF(COUNT(AG219:AQ219)=0,"",AR219-LOOKUP(2,1/(AG219:AQ219&lt;&gt;""),AG219:AQ219)))</t>
        </is>
      </c>
      <c r="BF219" s="38" t="inlineStr">
        <is>
          <t>IF(OR(E219="",AS219=""),"",IF(COUNT(AG219:AR219)=0,"",AS219-LOOKUP(2,1/(AG219:AR219&lt;&gt;""),AG219:AR219)))</t>
        </is>
      </c>
      <c r="BG219" s="38" t="inlineStr">
        <is>
          <t>IF(OR(E219="",AT219=""),"",IF(COUNT(AG219:AS219)=0,"",AT219-LOOKUP(2,1/(AG219:AS219&lt;&gt;""),AG219:AS219)))</t>
        </is>
      </c>
      <c r="BH219" s="41" t="inlineStr">
        <is>
          <t>IF(G219="","All_Provinces",IFERROR(VLOOKUP(G219,'07_Lookups'!$A$4:$B$20,2,FALSE),"All_Provinces"))</t>
        </is>
      </c>
      <c r="BI219" s="41" t="inlineStr">
        <is>
          <t>IF(H219="","All_Districts",IFERROR(VLOOKUP(H219,'07_Lookups'!$E$4:$F$42,2,FALSE),"All_Districts"))</t>
        </is>
      </c>
    </row>
    <row r="220" ht="18" customHeight="1">
      <c r="A220" s="32" t="inlineStr">
        <is>
          <t>IF(E220="","",ROW()-3)</t>
        </is>
      </c>
      <c r="B220" s="33" t="n"/>
      <c r="C220" s="33" t="n"/>
      <c r="D220" s="33" t="n"/>
      <c r="E220" s="33" t="n"/>
      <c r="F220" s="33" t="n"/>
      <c r="G220" s="33" t="n"/>
      <c r="H220" s="33" t="n"/>
      <c r="I220" s="33" t="n"/>
      <c r="J220" s="33" t="n"/>
      <c r="K220" s="33" t="n"/>
      <c r="L220" s="33" t="n"/>
      <c r="M220" s="33" t="n"/>
      <c r="N220" s="33" t="n"/>
      <c r="O220" s="33" t="n"/>
      <c r="P220" s="33" t="n"/>
      <c r="Q220" s="34" t="n"/>
      <c r="R220" s="35" t="inlineStr">
        <is>
          <t>IF(AO220="","",AO220)</t>
        </is>
      </c>
      <c r="S220" s="36" t="n"/>
      <c r="T220" s="37" t="n"/>
      <c r="U220" s="36" t="n"/>
      <c r="V220" s="35" t="inlineStr">
        <is>
          <t>IF(U220&lt;&gt;"",U220,IF(OR(R220="",T220=""),"",EDATE(R220,T220)))</t>
        </is>
      </c>
      <c r="W220" s="36" t="n"/>
      <c r="X220" s="37" t="n"/>
      <c r="Y220" s="33" t="n"/>
      <c r="Z220" s="33" t="n"/>
      <c r="AA220" s="32" t="inlineStr">
        <is>
          <t>IF(E220="","",IF(COUNT(AG220:AT220)=0,IF(Y220="","Not started",Y220),SUBSTITUTE(LOOKUP(2,1/(AG220:AT220&lt;&gt;""),$AG$3:$AT$3),"Date: ","")))</t>
        </is>
      </c>
      <c r="AB220" s="38" t="inlineStr">
        <is>
          <t>IF(OR(E220="",COUNT(AG220:AT220)=0),"",TODAY()-LOOKUP(2,1/(AG220:AT220&lt;&gt;""),AG220:AT220))</t>
        </is>
      </c>
      <c r="AC220" s="38" t="inlineStr">
        <is>
          <t>IF(OR(E220="",COUNT(AG220:AT220)&lt;2),"",LOOKUP(2,1/(AG220:AT220&lt;&gt;""),AG220:AT220)-MIN(AG220:AT220))</t>
        </is>
      </c>
      <c r="AD220" s="38" t="inlineStr">
        <is>
          <t>IF(OR(AB220="",AA220="Not started",AA220=""),"",IFERROR(AB220-IF(VLOOKUP(AA220,'04_Status_Pipeline'!$B$3:$E$20,4,FALSE)="",0,VLOOKUP(AA220,'04_Status_Pipeline'!$B$3:$E$20,4,FALSE)),""))</t>
        </is>
      </c>
      <c r="AE220" s="32" t="inlineStr">
        <is>
          <t>IF(E220="","",IF(OR(Y220="Cancelled",AA220="Cancelled"),"Cancelled",IF(OR(AA220="Completed / Handover",W220&lt;&gt;"",X220&gt;=100),"Completed — on track",IF(L220="Remaining",IF(S220="",IF(V220="","No planned date",IF(TODAY()&gt;V220,"Behind — past planned date",IF(V220-TODAY()&lt;=30,"At risk — close to off track","On track"))),IF(TODAY()&gt;S220,"Behind — award date passed",IF(S220-TODAY()&lt;=30,"At risk — close to off track","On track"))),IF(V220="","No planned date",IF(AND(TODAY()&gt;V220,OR(X220="",X220&lt;100)),"Behind — past end date",IF(AND(R220&lt;&gt;"",V220&lt;&gt;"",X220&lt;&gt;"",(X220&lt;100),((TODAY()-R220)/MAX(V220-R220,1)*100)-X220&gt;15),"Behind — progress lag",IF(AND(V220-TODAY()&lt;=30,V220-TODAY()&gt;=0,OR(X220="",X220&lt;90)),"At risk — close to off track","On track"))))))))</t>
        </is>
      </c>
      <c r="AF220" s="38" t="inlineStr">
        <is>
          <t>IF(OR(E220="",AA220="Completed / Handover",AA220="Cancelled"),"",IF(L220="Remaining",IF(S220&lt;&gt;"",S220-TODAY(),IF(V220="","",V220-TODAY())),IF(V220="","",V220-TODAY())))</t>
        </is>
      </c>
      <c r="AG220" s="36" t="n"/>
      <c r="AH220" s="36" t="n"/>
      <c r="AI220" s="36" t="n"/>
      <c r="AJ220" s="36" t="n"/>
      <c r="AK220" s="36" t="n"/>
      <c r="AL220" s="36" t="n"/>
      <c r="AM220" s="36" t="n"/>
      <c r="AN220" s="36" t="n"/>
      <c r="AO220" s="36" t="n"/>
      <c r="AP220" s="36" t="n"/>
      <c r="AQ220" s="36" t="n"/>
      <c r="AR220" s="40" t="n"/>
      <c r="AS220" s="40" t="n"/>
      <c r="AT220" s="40" t="n"/>
      <c r="AU220" s="38" t="inlineStr">
        <is>
          <t>IF(OR(E220="",AH220=""),"",IF(COUNT(AG220:AG220)=0,"",AH220-LOOKUP(2,1/(AG220:AG220&lt;&gt;""),AG220:AG220)))</t>
        </is>
      </c>
      <c r="AV220" s="38" t="inlineStr">
        <is>
          <t>IF(OR(E220="",AI220=""),"",IF(COUNT(AG220:AH220)=0,"",AI220-LOOKUP(2,1/(AG220:AH220&lt;&gt;""),AG220:AH220)))</t>
        </is>
      </c>
      <c r="AW220" s="38" t="inlineStr">
        <is>
          <t>IF(OR(E220="",AJ220=""),"",IF(COUNT(AG220:AI220)=0,"",AJ220-LOOKUP(2,1/(AG220:AI220&lt;&gt;""),AG220:AI220)))</t>
        </is>
      </c>
      <c r="AX220" s="38" t="inlineStr">
        <is>
          <t>IF(OR(E220="",AK220=""),"",IF(COUNT(AG220:AJ220)=0,"",AK220-LOOKUP(2,1/(AG220:AJ220&lt;&gt;""),AG220:AJ220)))</t>
        </is>
      </c>
      <c r="AY220" s="38" t="inlineStr">
        <is>
          <t>IF(OR(E220="",AL220=""),"",IF(COUNT(AG220:AK220)=0,"",AL220-LOOKUP(2,1/(AG220:AK220&lt;&gt;""),AG220:AK220)))</t>
        </is>
      </c>
      <c r="AZ220" s="38" t="inlineStr">
        <is>
          <t>IF(OR(E220="",AM220=""),"",IF(COUNT(AG220:AL220)=0,"",AM220-LOOKUP(2,1/(AG220:AL220&lt;&gt;""),AG220:AL220)))</t>
        </is>
      </c>
      <c r="BA220" s="38" t="inlineStr">
        <is>
          <t>IF(OR(E220="",AN220=""),"",IF(COUNT(AG220:AM220)=0,"",AN220-LOOKUP(2,1/(AG220:AM220&lt;&gt;""),AG220:AM220)))</t>
        </is>
      </c>
      <c r="BB220" s="38" t="inlineStr">
        <is>
          <t>IF(OR(E220="",AO220=""),"",IF(COUNT(AG220:AN220)=0,"",AO220-LOOKUP(2,1/(AG220:AN220&lt;&gt;""),AG220:AN220)))</t>
        </is>
      </c>
      <c r="BC220" s="38" t="inlineStr">
        <is>
          <t>IF(OR(E220="",AP220=""),"",IF(COUNT(AG220:AO220)=0,"",AP220-LOOKUP(2,1/(AG220:AO220&lt;&gt;""),AG220:AO220)))</t>
        </is>
      </c>
      <c r="BD220" s="38" t="inlineStr">
        <is>
          <t>IF(OR(E220="",AQ220=""),"",IF(COUNT(AG220:AP220)=0,"",AQ220-LOOKUP(2,1/(AG220:AP220&lt;&gt;""),AG220:AP220)))</t>
        </is>
      </c>
      <c r="BE220" s="38" t="inlineStr">
        <is>
          <t>IF(OR(E220="",AR220=""),"",IF(COUNT(AG220:AQ220)=0,"",AR220-LOOKUP(2,1/(AG220:AQ220&lt;&gt;""),AG220:AQ220)))</t>
        </is>
      </c>
      <c r="BF220" s="38" t="inlineStr">
        <is>
          <t>IF(OR(E220="",AS220=""),"",IF(COUNT(AG220:AR220)=0,"",AS220-LOOKUP(2,1/(AG220:AR220&lt;&gt;""),AG220:AR220)))</t>
        </is>
      </c>
      <c r="BG220" s="38" t="inlineStr">
        <is>
          <t>IF(OR(E220="",AT220=""),"",IF(COUNT(AG220:AS220)=0,"",AT220-LOOKUP(2,1/(AG220:AS220&lt;&gt;""),AG220:AS220)))</t>
        </is>
      </c>
      <c r="BH220" s="41" t="inlineStr">
        <is>
          <t>IF(G220="","All_Provinces",IFERROR(VLOOKUP(G220,'07_Lookups'!$A$4:$B$20,2,FALSE),"All_Provinces"))</t>
        </is>
      </c>
      <c r="BI220" s="41" t="inlineStr">
        <is>
          <t>IF(H220="","All_Districts",IFERROR(VLOOKUP(H220,'07_Lookups'!$E$4:$F$42,2,FALSE),"All_Districts"))</t>
        </is>
      </c>
    </row>
    <row r="221" ht="18" customHeight="1">
      <c r="A221" s="32" t="inlineStr">
        <is>
          <t>IF(E221="","",ROW()-3)</t>
        </is>
      </c>
      <c r="B221" s="42" t="n"/>
      <c r="C221" s="42" t="n"/>
      <c r="D221" s="42" t="n"/>
      <c r="E221" s="42" t="n"/>
      <c r="F221" s="42" t="n"/>
      <c r="G221" s="42" t="n"/>
      <c r="H221" s="42" t="n"/>
      <c r="I221" s="42" t="n"/>
      <c r="J221" s="42" t="n"/>
      <c r="K221" s="42" t="n"/>
      <c r="L221" s="42" t="n"/>
      <c r="M221" s="42" t="n"/>
      <c r="N221" s="42" t="n"/>
      <c r="O221" s="42" t="n"/>
      <c r="P221" s="42" t="n"/>
      <c r="Q221" s="43" t="n"/>
      <c r="R221" s="35" t="inlineStr">
        <is>
          <t>IF(AO221="","",AO221)</t>
        </is>
      </c>
      <c r="S221" s="44" t="n"/>
      <c r="T221" s="45" t="n"/>
      <c r="U221" s="44" t="n"/>
      <c r="V221" s="35" t="inlineStr">
        <is>
          <t>IF(U221&lt;&gt;"",U221,IF(OR(R221="",T221=""),"",EDATE(R221,T221)))</t>
        </is>
      </c>
      <c r="W221" s="44" t="n"/>
      <c r="X221" s="45" t="n"/>
      <c r="Y221" s="42" t="n"/>
      <c r="Z221" s="42" t="n"/>
      <c r="AA221" s="32" t="inlineStr">
        <is>
          <t>IF(E221="","",IF(COUNT(AG221:AT221)=0,IF(Y221="","Not started",Y221),SUBSTITUTE(LOOKUP(2,1/(AG221:AT221&lt;&gt;""),$AG$3:$AT$3),"Date: ","")))</t>
        </is>
      </c>
      <c r="AB221" s="38" t="inlineStr">
        <is>
          <t>IF(OR(E221="",COUNT(AG221:AT221)=0),"",TODAY()-LOOKUP(2,1/(AG221:AT221&lt;&gt;""),AG221:AT221))</t>
        </is>
      </c>
      <c r="AC221" s="38" t="inlineStr">
        <is>
          <t>IF(OR(E221="",COUNT(AG221:AT221)&lt;2),"",LOOKUP(2,1/(AG221:AT221&lt;&gt;""),AG221:AT221)-MIN(AG221:AT221))</t>
        </is>
      </c>
      <c r="AD221" s="38" t="inlineStr">
        <is>
          <t>IF(OR(AB221="",AA221="Not started",AA221=""),"",IFERROR(AB221-IF(VLOOKUP(AA221,'04_Status_Pipeline'!$B$3:$E$20,4,FALSE)="",0,VLOOKUP(AA221,'04_Status_Pipeline'!$B$3:$E$20,4,FALSE)),""))</t>
        </is>
      </c>
      <c r="AE221" s="32" t="inlineStr">
        <is>
          <t>IF(E221="","",IF(OR(Y221="Cancelled",AA221="Cancelled"),"Cancelled",IF(OR(AA221="Completed / Handover",W221&lt;&gt;"",X221&gt;=100),"Completed — on track",IF(L221="Remaining",IF(S221="",IF(V221="","No planned date",IF(TODAY()&gt;V221,"Behind — past planned date",IF(V221-TODAY()&lt;=30,"At risk — close to off track","On track"))),IF(TODAY()&gt;S221,"Behind — award date passed",IF(S221-TODAY()&lt;=30,"At risk — close to off track","On track"))),IF(V221="","No planned date",IF(AND(TODAY()&gt;V221,OR(X221="",X221&lt;100)),"Behind — past end date",IF(AND(R221&lt;&gt;"",V221&lt;&gt;"",X221&lt;&gt;"",(X221&lt;100),((TODAY()-R221)/MAX(V221-R221,1)*100)-X221&gt;15),"Behind — progress lag",IF(AND(V221-TODAY()&lt;=30,V221-TODAY()&gt;=0,OR(X221="",X221&lt;90)),"At risk — close to off track","On track"))))))))</t>
        </is>
      </c>
      <c r="AF221" s="38" t="inlineStr">
        <is>
          <t>IF(OR(E221="",AA221="Completed / Handover",AA221="Cancelled"),"",IF(L221="Remaining",IF(S221&lt;&gt;"",S221-TODAY(),IF(V221="","",V221-TODAY())),IF(V221="","",V221-TODAY())))</t>
        </is>
      </c>
      <c r="AG221" s="44" t="n"/>
      <c r="AH221" s="44" t="n"/>
      <c r="AI221" s="44" t="n"/>
      <c r="AJ221" s="44" t="n"/>
      <c r="AK221" s="44" t="n"/>
      <c r="AL221" s="44" t="n"/>
      <c r="AM221" s="44" t="n"/>
      <c r="AN221" s="44" t="n"/>
      <c r="AO221" s="44" t="n"/>
      <c r="AP221" s="44" t="n"/>
      <c r="AQ221" s="44" t="n"/>
      <c r="AR221" s="40" t="n"/>
      <c r="AS221" s="40" t="n"/>
      <c r="AT221" s="40" t="n"/>
      <c r="AU221" s="38" t="inlineStr">
        <is>
          <t>IF(OR(E221="",AH221=""),"",IF(COUNT(AG221:AG221)=0,"",AH221-LOOKUP(2,1/(AG221:AG221&lt;&gt;""),AG221:AG221)))</t>
        </is>
      </c>
      <c r="AV221" s="38" t="inlineStr">
        <is>
          <t>IF(OR(E221="",AI221=""),"",IF(COUNT(AG221:AH221)=0,"",AI221-LOOKUP(2,1/(AG221:AH221&lt;&gt;""),AG221:AH221)))</t>
        </is>
      </c>
      <c r="AW221" s="38" t="inlineStr">
        <is>
          <t>IF(OR(E221="",AJ221=""),"",IF(COUNT(AG221:AI221)=0,"",AJ221-LOOKUP(2,1/(AG221:AI221&lt;&gt;""),AG221:AI221)))</t>
        </is>
      </c>
      <c r="AX221" s="38" t="inlineStr">
        <is>
          <t>IF(OR(E221="",AK221=""),"",IF(COUNT(AG221:AJ221)=0,"",AK221-LOOKUP(2,1/(AG221:AJ221&lt;&gt;""),AG221:AJ221)))</t>
        </is>
      </c>
      <c r="AY221" s="38" t="inlineStr">
        <is>
          <t>IF(OR(E221="",AL221=""),"",IF(COUNT(AG221:AK221)=0,"",AL221-LOOKUP(2,1/(AG221:AK221&lt;&gt;""),AG221:AK221)))</t>
        </is>
      </c>
      <c r="AZ221" s="38" t="inlineStr">
        <is>
          <t>IF(OR(E221="",AM221=""),"",IF(COUNT(AG221:AL221)=0,"",AM221-LOOKUP(2,1/(AG221:AL221&lt;&gt;""),AG221:AL221)))</t>
        </is>
      </c>
      <c r="BA221" s="38" t="inlineStr">
        <is>
          <t>IF(OR(E221="",AN221=""),"",IF(COUNT(AG221:AM221)=0,"",AN221-LOOKUP(2,1/(AG221:AM221&lt;&gt;""),AG221:AM221)))</t>
        </is>
      </c>
      <c r="BB221" s="38" t="inlineStr">
        <is>
          <t>IF(OR(E221="",AO221=""),"",IF(COUNT(AG221:AN221)=0,"",AO221-LOOKUP(2,1/(AG221:AN221&lt;&gt;""),AG221:AN221)))</t>
        </is>
      </c>
      <c r="BC221" s="38" t="inlineStr">
        <is>
          <t>IF(OR(E221="",AP221=""),"",IF(COUNT(AG221:AO221)=0,"",AP221-LOOKUP(2,1/(AG221:AO221&lt;&gt;""),AG221:AO221)))</t>
        </is>
      </c>
      <c r="BD221" s="38" t="inlineStr">
        <is>
          <t>IF(OR(E221="",AQ221=""),"",IF(COUNT(AG221:AP221)=0,"",AQ221-LOOKUP(2,1/(AG221:AP221&lt;&gt;""),AG221:AP221)))</t>
        </is>
      </c>
      <c r="BE221" s="38" t="inlineStr">
        <is>
          <t>IF(OR(E221="",AR221=""),"",IF(COUNT(AG221:AQ221)=0,"",AR221-LOOKUP(2,1/(AG221:AQ221&lt;&gt;""),AG221:AQ221)))</t>
        </is>
      </c>
      <c r="BF221" s="38" t="inlineStr">
        <is>
          <t>IF(OR(E221="",AS221=""),"",IF(COUNT(AG221:AR221)=0,"",AS221-LOOKUP(2,1/(AG221:AR221&lt;&gt;""),AG221:AR221)))</t>
        </is>
      </c>
      <c r="BG221" s="38" t="inlineStr">
        <is>
          <t>IF(OR(E221="",AT221=""),"",IF(COUNT(AG221:AS221)=0,"",AT221-LOOKUP(2,1/(AG221:AS221&lt;&gt;""),AG221:AS221)))</t>
        </is>
      </c>
      <c r="BH221" s="41" t="inlineStr">
        <is>
          <t>IF(G221="","All_Provinces",IFERROR(VLOOKUP(G221,'07_Lookups'!$A$4:$B$20,2,FALSE),"All_Provinces"))</t>
        </is>
      </c>
      <c r="BI221" s="41" t="inlineStr">
        <is>
          <t>IF(H221="","All_Districts",IFERROR(VLOOKUP(H221,'07_Lookups'!$E$4:$F$42,2,FALSE),"All_Districts"))</t>
        </is>
      </c>
    </row>
    <row r="222" ht="18" customHeight="1">
      <c r="A222" s="32" t="inlineStr">
        <is>
          <t>IF(E222="","",ROW()-3)</t>
        </is>
      </c>
      <c r="B222" s="33" t="n"/>
      <c r="C222" s="33" t="n"/>
      <c r="D222" s="33" t="n"/>
      <c r="E222" s="33" t="n"/>
      <c r="F222" s="33" t="n"/>
      <c r="G222" s="33" t="n"/>
      <c r="H222" s="33" t="n"/>
      <c r="I222" s="33" t="n"/>
      <c r="J222" s="33" t="n"/>
      <c r="K222" s="33" t="n"/>
      <c r="L222" s="33" t="n"/>
      <c r="M222" s="33" t="n"/>
      <c r="N222" s="33" t="n"/>
      <c r="O222" s="33" t="n"/>
      <c r="P222" s="33" t="n"/>
      <c r="Q222" s="34" t="n"/>
      <c r="R222" s="35" t="inlineStr">
        <is>
          <t>IF(AO222="","",AO222)</t>
        </is>
      </c>
      <c r="S222" s="36" t="n"/>
      <c r="T222" s="37" t="n"/>
      <c r="U222" s="36" t="n"/>
      <c r="V222" s="35" t="inlineStr">
        <is>
          <t>IF(U222&lt;&gt;"",U222,IF(OR(R222="",T222=""),"",EDATE(R222,T222)))</t>
        </is>
      </c>
      <c r="W222" s="36" t="n"/>
      <c r="X222" s="37" t="n"/>
      <c r="Y222" s="33" t="n"/>
      <c r="Z222" s="33" t="n"/>
      <c r="AA222" s="32" t="inlineStr">
        <is>
          <t>IF(E222="","",IF(COUNT(AG222:AT222)=0,IF(Y222="","Not started",Y222),SUBSTITUTE(LOOKUP(2,1/(AG222:AT222&lt;&gt;""),$AG$3:$AT$3),"Date: ","")))</t>
        </is>
      </c>
      <c r="AB222" s="38" t="inlineStr">
        <is>
          <t>IF(OR(E222="",COUNT(AG222:AT222)=0),"",TODAY()-LOOKUP(2,1/(AG222:AT222&lt;&gt;""),AG222:AT222))</t>
        </is>
      </c>
      <c r="AC222" s="38" t="inlineStr">
        <is>
          <t>IF(OR(E222="",COUNT(AG222:AT222)&lt;2),"",LOOKUP(2,1/(AG222:AT222&lt;&gt;""),AG222:AT222)-MIN(AG222:AT222))</t>
        </is>
      </c>
      <c r="AD222" s="38" t="inlineStr">
        <is>
          <t>IF(OR(AB222="",AA222="Not started",AA222=""),"",IFERROR(AB222-IF(VLOOKUP(AA222,'04_Status_Pipeline'!$B$3:$E$20,4,FALSE)="",0,VLOOKUP(AA222,'04_Status_Pipeline'!$B$3:$E$20,4,FALSE)),""))</t>
        </is>
      </c>
      <c r="AE222" s="32" t="inlineStr">
        <is>
          <t>IF(E222="","",IF(OR(Y222="Cancelled",AA222="Cancelled"),"Cancelled",IF(OR(AA222="Completed / Handover",W222&lt;&gt;"",X222&gt;=100),"Completed — on track",IF(L222="Remaining",IF(S222="",IF(V222="","No planned date",IF(TODAY()&gt;V222,"Behind — past planned date",IF(V222-TODAY()&lt;=30,"At risk — close to off track","On track"))),IF(TODAY()&gt;S222,"Behind — award date passed",IF(S222-TODAY()&lt;=30,"At risk — close to off track","On track"))),IF(V222="","No planned date",IF(AND(TODAY()&gt;V222,OR(X222="",X222&lt;100)),"Behind — past end date",IF(AND(R222&lt;&gt;"",V222&lt;&gt;"",X222&lt;&gt;"",(X222&lt;100),((TODAY()-R222)/MAX(V222-R222,1)*100)-X222&gt;15),"Behind — progress lag",IF(AND(V222-TODAY()&lt;=30,V222-TODAY()&gt;=0,OR(X222="",X222&lt;90)),"At risk — close to off track","On track"))))))))</t>
        </is>
      </c>
      <c r="AF222" s="38" t="inlineStr">
        <is>
          <t>IF(OR(E222="",AA222="Completed / Handover",AA222="Cancelled"),"",IF(L222="Remaining",IF(S222&lt;&gt;"",S222-TODAY(),IF(V222="","",V222-TODAY())),IF(V222="","",V222-TODAY())))</t>
        </is>
      </c>
      <c r="AG222" s="36" t="n"/>
      <c r="AH222" s="36" t="n"/>
      <c r="AI222" s="36" t="n"/>
      <c r="AJ222" s="36" t="n"/>
      <c r="AK222" s="36" t="n"/>
      <c r="AL222" s="36" t="n"/>
      <c r="AM222" s="36" t="n"/>
      <c r="AN222" s="36" t="n"/>
      <c r="AO222" s="36" t="n"/>
      <c r="AP222" s="36" t="n"/>
      <c r="AQ222" s="36" t="n"/>
      <c r="AR222" s="40" t="n"/>
      <c r="AS222" s="40" t="n"/>
      <c r="AT222" s="40" t="n"/>
      <c r="AU222" s="38" t="inlineStr">
        <is>
          <t>IF(OR(E222="",AH222=""),"",IF(COUNT(AG222:AG222)=0,"",AH222-LOOKUP(2,1/(AG222:AG222&lt;&gt;""),AG222:AG222)))</t>
        </is>
      </c>
      <c r="AV222" s="38" t="inlineStr">
        <is>
          <t>IF(OR(E222="",AI222=""),"",IF(COUNT(AG222:AH222)=0,"",AI222-LOOKUP(2,1/(AG222:AH222&lt;&gt;""),AG222:AH222)))</t>
        </is>
      </c>
      <c r="AW222" s="38" t="inlineStr">
        <is>
          <t>IF(OR(E222="",AJ222=""),"",IF(COUNT(AG222:AI222)=0,"",AJ222-LOOKUP(2,1/(AG222:AI222&lt;&gt;""),AG222:AI222)))</t>
        </is>
      </c>
      <c r="AX222" s="38" t="inlineStr">
        <is>
          <t>IF(OR(E222="",AK222=""),"",IF(COUNT(AG222:AJ222)=0,"",AK222-LOOKUP(2,1/(AG222:AJ222&lt;&gt;""),AG222:AJ222)))</t>
        </is>
      </c>
      <c r="AY222" s="38" t="inlineStr">
        <is>
          <t>IF(OR(E222="",AL222=""),"",IF(COUNT(AG222:AK222)=0,"",AL222-LOOKUP(2,1/(AG222:AK222&lt;&gt;""),AG222:AK222)))</t>
        </is>
      </c>
      <c r="AZ222" s="38" t="inlineStr">
        <is>
          <t>IF(OR(E222="",AM222=""),"",IF(COUNT(AG222:AL222)=0,"",AM222-LOOKUP(2,1/(AG222:AL222&lt;&gt;""),AG222:AL222)))</t>
        </is>
      </c>
      <c r="BA222" s="38" t="inlineStr">
        <is>
          <t>IF(OR(E222="",AN222=""),"",IF(COUNT(AG222:AM222)=0,"",AN222-LOOKUP(2,1/(AG222:AM222&lt;&gt;""),AG222:AM222)))</t>
        </is>
      </c>
      <c r="BB222" s="38" t="inlineStr">
        <is>
          <t>IF(OR(E222="",AO222=""),"",IF(COUNT(AG222:AN222)=0,"",AO222-LOOKUP(2,1/(AG222:AN222&lt;&gt;""),AG222:AN222)))</t>
        </is>
      </c>
      <c r="BC222" s="38" t="inlineStr">
        <is>
          <t>IF(OR(E222="",AP222=""),"",IF(COUNT(AG222:AO222)=0,"",AP222-LOOKUP(2,1/(AG222:AO222&lt;&gt;""),AG222:AO222)))</t>
        </is>
      </c>
      <c r="BD222" s="38" t="inlineStr">
        <is>
          <t>IF(OR(E222="",AQ222=""),"",IF(COUNT(AG222:AP222)=0,"",AQ222-LOOKUP(2,1/(AG222:AP222&lt;&gt;""),AG222:AP222)))</t>
        </is>
      </c>
      <c r="BE222" s="38" t="inlineStr">
        <is>
          <t>IF(OR(E222="",AR222=""),"",IF(COUNT(AG222:AQ222)=0,"",AR222-LOOKUP(2,1/(AG222:AQ222&lt;&gt;""),AG222:AQ222)))</t>
        </is>
      </c>
      <c r="BF222" s="38" t="inlineStr">
        <is>
          <t>IF(OR(E222="",AS222=""),"",IF(COUNT(AG222:AR222)=0,"",AS222-LOOKUP(2,1/(AG222:AR222&lt;&gt;""),AG222:AR222)))</t>
        </is>
      </c>
      <c r="BG222" s="38" t="inlineStr">
        <is>
          <t>IF(OR(E222="",AT222=""),"",IF(COUNT(AG222:AS222)=0,"",AT222-LOOKUP(2,1/(AG222:AS222&lt;&gt;""),AG222:AS222)))</t>
        </is>
      </c>
      <c r="BH222" s="41" t="inlineStr">
        <is>
          <t>IF(G222="","All_Provinces",IFERROR(VLOOKUP(G222,'07_Lookups'!$A$4:$B$20,2,FALSE),"All_Provinces"))</t>
        </is>
      </c>
      <c r="BI222" s="41" t="inlineStr">
        <is>
          <t>IF(H222="","All_Districts",IFERROR(VLOOKUP(H222,'07_Lookups'!$E$4:$F$42,2,FALSE),"All_Districts"))</t>
        </is>
      </c>
    </row>
    <row r="223" ht="18" customHeight="1">
      <c r="A223" s="32" t="inlineStr">
        <is>
          <t>IF(E223="","",ROW()-3)</t>
        </is>
      </c>
      <c r="B223" s="42" t="n"/>
      <c r="C223" s="42" t="n"/>
      <c r="D223" s="42" t="n"/>
      <c r="E223" s="42" t="n"/>
      <c r="F223" s="42" t="n"/>
      <c r="G223" s="42" t="n"/>
      <c r="H223" s="42" t="n"/>
      <c r="I223" s="42" t="n"/>
      <c r="J223" s="42" t="n"/>
      <c r="K223" s="42" t="n"/>
      <c r="L223" s="42" t="n"/>
      <c r="M223" s="42" t="n"/>
      <c r="N223" s="42" t="n"/>
      <c r="O223" s="42" t="n"/>
      <c r="P223" s="42" t="n"/>
      <c r="Q223" s="43" t="n"/>
      <c r="R223" s="35" t="inlineStr">
        <is>
          <t>IF(AO223="","",AO223)</t>
        </is>
      </c>
      <c r="S223" s="44" t="n"/>
      <c r="T223" s="45" t="n"/>
      <c r="U223" s="44" t="n"/>
      <c r="V223" s="35" t="inlineStr">
        <is>
          <t>IF(U223&lt;&gt;"",U223,IF(OR(R223="",T223=""),"",EDATE(R223,T223)))</t>
        </is>
      </c>
      <c r="W223" s="44" t="n"/>
      <c r="X223" s="45" t="n"/>
      <c r="Y223" s="42" t="n"/>
      <c r="Z223" s="42" t="n"/>
      <c r="AA223" s="32" t="inlineStr">
        <is>
          <t>IF(E223="","",IF(COUNT(AG223:AT223)=0,IF(Y223="","Not started",Y223),SUBSTITUTE(LOOKUP(2,1/(AG223:AT223&lt;&gt;""),$AG$3:$AT$3),"Date: ","")))</t>
        </is>
      </c>
      <c r="AB223" s="38" t="inlineStr">
        <is>
          <t>IF(OR(E223="",COUNT(AG223:AT223)=0),"",TODAY()-LOOKUP(2,1/(AG223:AT223&lt;&gt;""),AG223:AT223))</t>
        </is>
      </c>
      <c r="AC223" s="38" t="inlineStr">
        <is>
          <t>IF(OR(E223="",COUNT(AG223:AT223)&lt;2),"",LOOKUP(2,1/(AG223:AT223&lt;&gt;""),AG223:AT223)-MIN(AG223:AT223))</t>
        </is>
      </c>
      <c r="AD223" s="38" t="inlineStr">
        <is>
          <t>IF(OR(AB223="",AA223="Not started",AA223=""),"",IFERROR(AB223-IF(VLOOKUP(AA223,'04_Status_Pipeline'!$B$3:$E$20,4,FALSE)="",0,VLOOKUP(AA223,'04_Status_Pipeline'!$B$3:$E$20,4,FALSE)),""))</t>
        </is>
      </c>
      <c r="AE223" s="32" t="inlineStr">
        <is>
          <t>IF(E223="","",IF(OR(Y223="Cancelled",AA223="Cancelled"),"Cancelled",IF(OR(AA223="Completed / Handover",W223&lt;&gt;"",X223&gt;=100),"Completed — on track",IF(L223="Remaining",IF(S223="",IF(V223="","No planned date",IF(TODAY()&gt;V223,"Behind — past planned date",IF(V223-TODAY()&lt;=30,"At risk — close to off track","On track"))),IF(TODAY()&gt;S223,"Behind — award date passed",IF(S223-TODAY()&lt;=30,"At risk — close to off track","On track"))),IF(V223="","No planned date",IF(AND(TODAY()&gt;V223,OR(X223="",X223&lt;100)),"Behind — past end date",IF(AND(R223&lt;&gt;"",V223&lt;&gt;"",X223&lt;&gt;"",(X223&lt;100),((TODAY()-R223)/MAX(V223-R223,1)*100)-X223&gt;15),"Behind — progress lag",IF(AND(V223-TODAY()&lt;=30,V223-TODAY()&gt;=0,OR(X223="",X223&lt;90)),"At risk — close to off track","On track"))))))))</t>
        </is>
      </c>
      <c r="AF223" s="38" t="inlineStr">
        <is>
          <t>IF(OR(E223="",AA223="Completed / Handover",AA223="Cancelled"),"",IF(L223="Remaining",IF(S223&lt;&gt;"",S223-TODAY(),IF(V223="","",V223-TODAY())),IF(V223="","",V223-TODAY())))</t>
        </is>
      </c>
      <c r="AG223" s="44" t="n"/>
      <c r="AH223" s="44" t="n"/>
      <c r="AI223" s="44" t="n"/>
      <c r="AJ223" s="44" t="n"/>
      <c r="AK223" s="44" t="n"/>
      <c r="AL223" s="44" t="n"/>
      <c r="AM223" s="44" t="n"/>
      <c r="AN223" s="44" t="n"/>
      <c r="AO223" s="44" t="n"/>
      <c r="AP223" s="44" t="n"/>
      <c r="AQ223" s="44" t="n"/>
      <c r="AR223" s="40" t="n"/>
      <c r="AS223" s="40" t="n"/>
      <c r="AT223" s="40" t="n"/>
      <c r="AU223" s="38" t="inlineStr">
        <is>
          <t>IF(OR(E223="",AH223=""),"",IF(COUNT(AG223:AG223)=0,"",AH223-LOOKUP(2,1/(AG223:AG223&lt;&gt;""),AG223:AG223)))</t>
        </is>
      </c>
      <c r="AV223" s="38" t="inlineStr">
        <is>
          <t>IF(OR(E223="",AI223=""),"",IF(COUNT(AG223:AH223)=0,"",AI223-LOOKUP(2,1/(AG223:AH223&lt;&gt;""),AG223:AH223)))</t>
        </is>
      </c>
      <c r="AW223" s="38" t="inlineStr">
        <is>
          <t>IF(OR(E223="",AJ223=""),"",IF(COUNT(AG223:AI223)=0,"",AJ223-LOOKUP(2,1/(AG223:AI223&lt;&gt;""),AG223:AI223)))</t>
        </is>
      </c>
      <c r="AX223" s="38" t="inlineStr">
        <is>
          <t>IF(OR(E223="",AK223=""),"",IF(COUNT(AG223:AJ223)=0,"",AK223-LOOKUP(2,1/(AG223:AJ223&lt;&gt;""),AG223:AJ223)))</t>
        </is>
      </c>
      <c r="AY223" s="38" t="inlineStr">
        <is>
          <t>IF(OR(E223="",AL223=""),"",IF(COUNT(AG223:AK223)=0,"",AL223-LOOKUP(2,1/(AG223:AK223&lt;&gt;""),AG223:AK223)))</t>
        </is>
      </c>
      <c r="AZ223" s="38" t="inlineStr">
        <is>
          <t>IF(OR(E223="",AM223=""),"",IF(COUNT(AG223:AL223)=0,"",AM223-LOOKUP(2,1/(AG223:AL223&lt;&gt;""),AG223:AL223)))</t>
        </is>
      </c>
      <c r="BA223" s="38" t="inlineStr">
        <is>
          <t>IF(OR(E223="",AN223=""),"",IF(COUNT(AG223:AM223)=0,"",AN223-LOOKUP(2,1/(AG223:AM223&lt;&gt;""),AG223:AM223)))</t>
        </is>
      </c>
      <c r="BB223" s="38" t="inlineStr">
        <is>
          <t>IF(OR(E223="",AO223=""),"",IF(COUNT(AG223:AN223)=0,"",AO223-LOOKUP(2,1/(AG223:AN223&lt;&gt;""),AG223:AN223)))</t>
        </is>
      </c>
      <c r="BC223" s="38" t="inlineStr">
        <is>
          <t>IF(OR(E223="",AP223=""),"",IF(COUNT(AG223:AO223)=0,"",AP223-LOOKUP(2,1/(AG223:AO223&lt;&gt;""),AG223:AO223)))</t>
        </is>
      </c>
      <c r="BD223" s="38" t="inlineStr">
        <is>
          <t>IF(OR(E223="",AQ223=""),"",IF(COUNT(AG223:AP223)=0,"",AQ223-LOOKUP(2,1/(AG223:AP223&lt;&gt;""),AG223:AP223)))</t>
        </is>
      </c>
      <c r="BE223" s="38" t="inlineStr">
        <is>
          <t>IF(OR(E223="",AR223=""),"",IF(COUNT(AG223:AQ223)=0,"",AR223-LOOKUP(2,1/(AG223:AQ223&lt;&gt;""),AG223:AQ223)))</t>
        </is>
      </c>
      <c r="BF223" s="38" t="inlineStr">
        <is>
          <t>IF(OR(E223="",AS223=""),"",IF(COUNT(AG223:AR223)=0,"",AS223-LOOKUP(2,1/(AG223:AR223&lt;&gt;""),AG223:AR223)))</t>
        </is>
      </c>
      <c r="BG223" s="38" t="inlineStr">
        <is>
          <t>IF(OR(E223="",AT223=""),"",IF(COUNT(AG223:AS223)=0,"",AT223-LOOKUP(2,1/(AG223:AS223&lt;&gt;""),AG223:AS223)))</t>
        </is>
      </c>
      <c r="BH223" s="41" t="inlineStr">
        <is>
          <t>IF(G223="","All_Provinces",IFERROR(VLOOKUP(G223,'07_Lookups'!$A$4:$B$20,2,FALSE),"All_Provinces"))</t>
        </is>
      </c>
      <c r="BI223" s="41" t="inlineStr">
        <is>
          <t>IF(H223="","All_Districts",IFERROR(VLOOKUP(H223,'07_Lookups'!$E$4:$F$42,2,FALSE),"All_Districts"))</t>
        </is>
      </c>
    </row>
    <row r="224" ht="18" customHeight="1">
      <c r="A224" s="32" t="inlineStr">
        <is>
          <t>IF(E224="","",ROW()-3)</t>
        </is>
      </c>
      <c r="B224" s="33" t="n"/>
      <c r="C224" s="33" t="n"/>
      <c r="D224" s="33" t="n"/>
      <c r="E224" s="33" t="n"/>
      <c r="F224" s="33" t="n"/>
      <c r="G224" s="33" t="n"/>
      <c r="H224" s="33" t="n"/>
      <c r="I224" s="33" t="n"/>
      <c r="J224" s="33" t="n"/>
      <c r="K224" s="33" t="n"/>
      <c r="L224" s="33" t="n"/>
      <c r="M224" s="33" t="n"/>
      <c r="N224" s="33" t="n"/>
      <c r="O224" s="33" t="n"/>
      <c r="P224" s="33" t="n"/>
      <c r="Q224" s="34" t="n"/>
      <c r="R224" s="35" t="inlineStr">
        <is>
          <t>IF(AO224="","",AO224)</t>
        </is>
      </c>
      <c r="S224" s="36" t="n"/>
      <c r="T224" s="37" t="n"/>
      <c r="U224" s="36" t="n"/>
      <c r="V224" s="35" t="inlineStr">
        <is>
          <t>IF(U224&lt;&gt;"",U224,IF(OR(R224="",T224=""),"",EDATE(R224,T224)))</t>
        </is>
      </c>
      <c r="W224" s="36" t="n"/>
      <c r="X224" s="37" t="n"/>
      <c r="Y224" s="33" t="n"/>
      <c r="Z224" s="33" t="n"/>
      <c r="AA224" s="32" t="inlineStr">
        <is>
          <t>IF(E224="","",IF(COUNT(AG224:AT224)=0,IF(Y224="","Not started",Y224),SUBSTITUTE(LOOKUP(2,1/(AG224:AT224&lt;&gt;""),$AG$3:$AT$3),"Date: ","")))</t>
        </is>
      </c>
      <c r="AB224" s="38" t="inlineStr">
        <is>
          <t>IF(OR(E224="",COUNT(AG224:AT224)=0),"",TODAY()-LOOKUP(2,1/(AG224:AT224&lt;&gt;""),AG224:AT224))</t>
        </is>
      </c>
      <c r="AC224" s="38" t="inlineStr">
        <is>
          <t>IF(OR(E224="",COUNT(AG224:AT224)&lt;2),"",LOOKUP(2,1/(AG224:AT224&lt;&gt;""),AG224:AT224)-MIN(AG224:AT224))</t>
        </is>
      </c>
      <c r="AD224" s="38" t="inlineStr">
        <is>
          <t>IF(OR(AB224="",AA224="Not started",AA224=""),"",IFERROR(AB224-IF(VLOOKUP(AA224,'04_Status_Pipeline'!$B$3:$E$20,4,FALSE)="",0,VLOOKUP(AA224,'04_Status_Pipeline'!$B$3:$E$20,4,FALSE)),""))</t>
        </is>
      </c>
      <c r="AE224" s="32" t="inlineStr">
        <is>
          <t>IF(E224="","",IF(OR(Y224="Cancelled",AA224="Cancelled"),"Cancelled",IF(OR(AA224="Completed / Handover",W224&lt;&gt;"",X224&gt;=100),"Completed — on track",IF(L224="Remaining",IF(S224="",IF(V224="","No planned date",IF(TODAY()&gt;V224,"Behind — past planned date",IF(V224-TODAY()&lt;=30,"At risk — close to off track","On track"))),IF(TODAY()&gt;S224,"Behind — award date passed",IF(S224-TODAY()&lt;=30,"At risk — close to off track","On track"))),IF(V224="","No planned date",IF(AND(TODAY()&gt;V224,OR(X224="",X224&lt;100)),"Behind — past end date",IF(AND(R224&lt;&gt;"",V224&lt;&gt;"",X224&lt;&gt;"",(X224&lt;100),((TODAY()-R224)/MAX(V224-R224,1)*100)-X224&gt;15),"Behind — progress lag",IF(AND(V224-TODAY()&lt;=30,V224-TODAY()&gt;=0,OR(X224="",X224&lt;90)),"At risk — close to off track","On track"))))))))</t>
        </is>
      </c>
      <c r="AF224" s="38" t="inlineStr">
        <is>
          <t>IF(OR(E224="",AA224="Completed / Handover",AA224="Cancelled"),"",IF(L224="Remaining",IF(S224&lt;&gt;"",S224-TODAY(),IF(V224="","",V224-TODAY())),IF(V224="","",V224-TODAY())))</t>
        </is>
      </c>
      <c r="AG224" s="36" t="n"/>
      <c r="AH224" s="36" t="n"/>
      <c r="AI224" s="36" t="n"/>
      <c r="AJ224" s="36" t="n"/>
      <c r="AK224" s="36" t="n"/>
      <c r="AL224" s="36" t="n"/>
      <c r="AM224" s="36" t="n"/>
      <c r="AN224" s="36" t="n"/>
      <c r="AO224" s="36" t="n"/>
      <c r="AP224" s="36" t="n"/>
      <c r="AQ224" s="36" t="n"/>
      <c r="AR224" s="40" t="n"/>
      <c r="AS224" s="40" t="n"/>
      <c r="AT224" s="40" t="n"/>
      <c r="AU224" s="38" t="inlineStr">
        <is>
          <t>IF(OR(E224="",AH224=""),"",IF(COUNT(AG224:AG224)=0,"",AH224-LOOKUP(2,1/(AG224:AG224&lt;&gt;""),AG224:AG224)))</t>
        </is>
      </c>
      <c r="AV224" s="38" t="inlineStr">
        <is>
          <t>IF(OR(E224="",AI224=""),"",IF(COUNT(AG224:AH224)=0,"",AI224-LOOKUP(2,1/(AG224:AH224&lt;&gt;""),AG224:AH224)))</t>
        </is>
      </c>
      <c r="AW224" s="38" t="inlineStr">
        <is>
          <t>IF(OR(E224="",AJ224=""),"",IF(COUNT(AG224:AI224)=0,"",AJ224-LOOKUP(2,1/(AG224:AI224&lt;&gt;""),AG224:AI224)))</t>
        </is>
      </c>
      <c r="AX224" s="38" t="inlineStr">
        <is>
          <t>IF(OR(E224="",AK224=""),"",IF(COUNT(AG224:AJ224)=0,"",AK224-LOOKUP(2,1/(AG224:AJ224&lt;&gt;""),AG224:AJ224)))</t>
        </is>
      </c>
      <c r="AY224" s="38" t="inlineStr">
        <is>
          <t>IF(OR(E224="",AL224=""),"",IF(COUNT(AG224:AK224)=0,"",AL224-LOOKUP(2,1/(AG224:AK224&lt;&gt;""),AG224:AK224)))</t>
        </is>
      </c>
      <c r="AZ224" s="38" t="inlineStr">
        <is>
          <t>IF(OR(E224="",AM224=""),"",IF(COUNT(AG224:AL224)=0,"",AM224-LOOKUP(2,1/(AG224:AL224&lt;&gt;""),AG224:AL224)))</t>
        </is>
      </c>
      <c r="BA224" s="38" t="inlineStr">
        <is>
          <t>IF(OR(E224="",AN224=""),"",IF(COUNT(AG224:AM224)=0,"",AN224-LOOKUP(2,1/(AG224:AM224&lt;&gt;""),AG224:AM224)))</t>
        </is>
      </c>
      <c r="BB224" s="38" t="inlineStr">
        <is>
          <t>IF(OR(E224="",AO224=""),"",IF(COUNT(AG224:AN224)=0,"",AO224-LOOKUP(2,1/(AG224:AN224&lt;&gt;""),AG224:AN224)))</t>
        </is>
      </c>
      <c r="BC224" s="38" t="inlineStr">
        <is>
          <t>IF(OR(E224="",AP224=""),"",IF(COUNT(AG224:AO224)=0,"",AP224-LOOKUP(2,1/(AG224:AO224&lt;&gt;""),AG224:AO224)))</t>
        </is>
      </c>
      <c r="BD224" s="38" t="inlineStr">
        <is>
          <t>IF(OR(E224="",AQ224=""),"",IF(COUNT(AG224:AP224)=0,"",AQ224-LOOKUP(2,1/(AG224:AP224&lt;&gt;""),AG224:AP224)))</t>
        </is>
      </c>
      <c r="BE224" s="38" t="inlineStr">
        <is>
          <t>IF(OR(E224="",AR224=""),"",IF(COUNT(AG224:AQ224)=0,"",AR224-LOOKUP(2,1/(AG224:AQ224&lt;&gt;""),AG224:AQ224)))</t>
        </is>
      </c>
      <c r="BF224" s="38" t="inlineStr">
        <is>
          <t>IF(OR(E224="",AS224=""),"",IF(COUNT(AG224:AR224)=0,"",AS224-LOOKUP(2,1/(AG224:AR224&lt;&gt;""),AG224:AR224)))</t>
        </is>
      </c>
      <c r="BG224" s="38" t="inlineStr">
        <is>
          <t>IF(OR(E224="",AT224=""),"",IF(COUNT(AG224:AS224)=0,"",AT224-LOOKUP(2,1/(AG224:AS224&lt;&gt;""),AG224:AS224)))</t>
        </is>
      </c>
      <c r="BH224" s="41" t="inlineStr">
        <is>
          <t>IF(G224="","All_Provinces",IFERROR(VLOOKUP(G224,'07_Lookups'!$A$4:$B$20,2,FALSE),"All_Provinces"))</t>
        </is>
      </c>
      <c r="BI224" s="41" t="inlineStr">
        <is>
          <t>IF(H224="","All_Districts",IFERROR(VLOOKUP(H224,'07_Lookups'!$E$4:$F$42,2,FALSE),"All_Districts"))</t>
        </is>
      </c>
    </row>
    <row r="225" ht="18" customHeight="1">
      <c r="A225" s="32" t="inlineStr">
        <is>
          <t>IF(E225="","",ROW()-3)</t>
        </is>
      </c>
      <c r="B225" s="42" t="n"/>
      <c r="C225" s="42" t="n"/>
      <c r="D225" s="42" t="n"/>
      <c r="E225" s="42" t="n"/>
      <c r="F225" s="42" t="n"/>
      <c r="G225" s="42" t="n"/>
      <c r="H225" s="42" t="n"/>
      <c r="I225" s="42" t="n"/>
      <c r="J225" s="42" t="n"/>
      <c r="K225" s="42" t="n"/>
      <c r="L225" s="42" t="n"/>
      <c r="M225" s="42" t="n"/>
      <c r="N225" s="42" t="n"/>
      <c r="O225" s="42" t="n"/>
      <c r="P225" s="42" t="n"/>
      <c r="Q225" s="43" t="n"/>
      <c r="R225" s="35" t="inlineStr">
        <is>
          <t>IF(AO225="","",AO225)</t>
        </is>
      </c>
      <c r="S225" s="44" t="n"/>
      <c r="T225" s="45" t="n"/>
      <c r="U225" s="44" t="n"/>
      <c r="V225" s="35" t="inlineStr">
        <is>
          <t>IF(U225&lt;&gt;"",U225,IF(OR(R225="",T225=""),"",EDATE(R225,T225)))</t>
        </is>
      </c>
      <c r="W225" s="44" t="n"/>
      <c r="X225" s="45" t="n"/>
      <c r="Y225" s="42" t="n"/>
      <c r="Z225" s="42" t="n"/>
      <c r="AA225" s="32" t="inlineStr">
        <is>
          <t>IF(E225="","",IF(COUNT(AG225:AT225)=0,IF(Y225="","Not started",Y225),SUBSTITUTE(LOOKUP(2,1/(AG225:AT225&lt;&gt;""),$AG$3:$AT$3),"Date: ","")))</t>
        </is>
      </c>
      <c r="AB225" s="38" t="inlineStr">
        <is>
          <t>IF(OR(E225="",COUNT(AG225:AT225)=0),"",TODAY()-LOOKUP(2,1/(AG225:AT225&lt;&gt;""),AG225:AT225))</t>
        </is>
      </c>
      <c r="AC225" s="38" t="inlineStr">
        <is>
          <t>IF(OR(E225="",COUNT(AG225:AT225)&lt;2),"",LOOKUP(2,1/(AG225:AT225&lt;&gt;""),AG225:AT225)-MIN(AG225:AT225))</t>
        </is>
      </c>
      <c r="AD225" s="38" t="inlineStr">
        <is>
          <t>IF(OR(AB225="",AA225="Not started",AA225=""),"",IFERROR(AB225-IF(VLOOKUP(AA225,'04_Status_Pipeline'!$B$3:$E$20,4,FALSE)="",0,VLOOKUP(AA225,'04_Status_Pipeline'!$B$3:$E$20,4,FALSE)),""))</t>
        </is>
      </c>
      <c r="AE225" s="32" t="inlineStr">
        <is>
          <t>IF(E225="","",IF(OR(Y225="Cancelled",AA225="Cancelled"),"Cancelled",IF(OR(AA225="Completed / Handover",W225&lt;&gt;"",X225&gt;=100),"Completed — on track",IF(L225="Remaining",IF(S225="",IF(V225="","No planned date",IF(TODAY()&gt;V225,"Behind — past planned date",IF(V225-TODAY()&lt;=30,"At risk — close to off track","On track"))),IF(TODAY()&gt;S225,"Behind — award date passed",IF(S225-TODAY()&lt;=30,"At risk — close to off track","On track"))),IF(V225="","No planned date",IF(AND(TODAY()&gt;V225,OR(X225="",X225&lt;100)),"Behind — past end date",IF(AND(R225&lt;&gt;"",V225&lt;&gt;"",X225&lt;&gt;"",(X225&lt;100),((TODAY()-R225)/MAX(V225-R225,1)*100)-X225&gt;15),"Behind — progress lag",IF(AND(V225-TODAY()&lt;=30,V225-TODAY()&gt;=0,OR(X225="",X225&lt;90)),"At risk — close to off track","On track"))))))))</t>
        </is>
      </c>
      <c r="AF225" s="38" t="inlineStr">
        <is>
          <t>IF(OR(E225="",AA225="Completed / Handover",AA225="Cancelled"),"",IF(L225="Remaining",IF(S225&lt;&gt;"",S225-TODAY(),IF(V225="","",V225-TODAY())),IF(V225="","",V225-TODAY())))</t>
        </is>
      </c>
      <c r="AG225" s="44" t="n"/>
      <c r="AH225" s="44" t="n"/>
      <c r="AI225" s="44" t="n"/>
      <c r="AJ225" s="44" t="n"/>
      <c r="AK225" s="44" t="n"/>
      <c r="AL225" s="44" t="n"/>
      <c r="AM225" s="44" t="n"/>
      <c r="AN225" s="44" t="n"/>
      <c r="AO225" s="44" t="n"/>
      <c r="AP225" s="44" t="n"/>
      <c r="AQ225" s="44" t="n"/>
      <c r="AR225" s="40" t="n"/>
      <c r="AS225" s="40" t="n"/>
      <c r="AT225" s="40" t="n"/>
      <c r="AU225" s="38" t="inlineStr">
        <is>
          <t>IF(OR(E225="",AH225=""),"",IF(COUNT(AG225:AG225)=0,"",AH225-LOOKUP(2,1/(AG225:AG225&lt;&gt;""),AG225:AG225)))</t>
        </is>
      </c>
      <c r="AV225" s="38" t="inlineStr">
        <is>
          <t>IF(OR(E225="",AI225=""),"",IF(COUNT(AG225:AH225)=0,"",AI225-LOOKUP(2,1/(AG225:AH225&lt;&gt;""),AG225:AH225)))</t>
        </is>
      </c>
      <c r="AW225" s="38" t="inlineStr">
        <is>
          <t>IF(OR(E225="",AJ225=""),"",IF(COUNT(AG225:AI225)=0,"",AJ225-LOOKUP(2,1/(AG225:AI225&lt;&gt;""),AG225:AI225)))</t>
        </is>
      </c>
      <c r="AX225" s="38" t="inlineStr">
        <is>
          <t>IF(OR(E225="",AK225=""),"",IF(COUNT(AG225:AJ225)=0,"",AK225-LOOKUP(2,1/(AG225:AJ225&lt;&gt;""),AG225:AJ225)))</t>
        </is>
      </c>
      <c r="AY225" s="38" t="inlineStr">
        <is>
          <t>IF(OR(E225="",AL225=""),"",IF(COUNT(AG225:AK225)=0,"",AL225-LOOKUP(2,1/(AG225:AK225&lt;&gt;""),AG225:AK225)))</t>
        </is>
      </c>
      <c r="AZ225" s="38" t="inlineStr">
        <is>
          <t>IF(OR(E225="",AM225=""),"",IF(COUNT(AG225:AL225)=0,"",AM225-LOOKUP(2,1/(AG225:AL225&lt;&gt;""),AG225:AL225)))</t>
        </is>
      </c>
      <c r="BA225" s="38" t="inlineStr">
        <is>
          <t>IF(OR(E225="",AN225=""),"",IF(COUNT(AG225:AM225)=0,"",AN225-LOOKUP(2,1/(AG225:AM225&lt;&gt;""),AG225:AM225)))</t>
        </is>
      </c>
      <c r="BB225" s="38" t="inlineStr">
        <is>
          <t>IF(OR(E225="",AO225=""),"",IF(COUNT(AG225:AN225)=0,"",AO225-LOOKUP(2,1/(AG225:AN225&lt;&gt;""),AG225:AN225)))</t>
        </is>
      </c>
      <c r="BC225" s="38" t="inlineStr">
        <is>
          <t>IF(OR(E225="",AP225=""),"",IF(COUNT(AG225:AO225)=0,"",AP225-LOOKUP(2,1/(AG225:AO225&lt;&gt;""),AG225:AO225)))</t>
        </is>
      </c>
      <c r="BD225" s="38" t="inlineStr">
        <is>
          <t>IF(OR(E225="",AQ225=""),"",IF(COUNT(AG225:AP225)=0,"",AQ225-LOOKUP(2,1/(AG225:AP225&lt;&gt;""),AG225:AP225)))</t>
        </is>
      </c>
      <c r="BE225" s="38" t="inlineStr">
        <is>
          <t>IF(OR(E225="",AR225=""),"",IF(COUNT(AG225:AQ225)=0,"",AR225-LOOKUP(2,1/(AG225:AQ225&lt;&gt;""),AG225:AQ225)))</t>
        </is>
      </c>
      <c r="BF225" s="38" t="inlineStr">
        <is>
          <t>IF(OR(E225="",AS225=""),"",IF(COUNT(AG225:AR225)=0,"",AS225-LOOKUP(2,1/(AG225:AR225&lt;&gt;""),AG225:AR225)))</t>
        </is>
      </c>
      <c r="BG225" s="38" t="inlineStr">
        <is>
          <t>IF(OR(E225="",AT225=""),"",IF(COUNT(AG225:AS225)=0,"",AT225-LOOKUP(2,1/(AG225:AS225&lt;&gt;""),AG225:AS225)))</t>
        </is>
      </c>
      <c r="BH225" s="41" t="inlineStr">
        <is>
          <t>IF(G225="","All_Provinces",IFERROR(VLOOKUP(G225,'07_Lookups'!$A$4:$B$20,2,FALSE),"All_Provinces"))</t>
        </is>
      </c>
      <c r="BI225" s="41" t="inlineStr">
        <is>
          <t>IF(H225="","All_Districts",IFERROR(VLOOKUP(H225,'07_Lookups'!$E$4:$F$42,2,FALSE),"All_Districts"))</t>
        </is>
      </c>
    </row>
    <row r="226" ht="18" customHeight="1">
      <c r="A226" s="32" t="inlineStr">
        <is>
          <t>IF(E226="","",ROW()-3)</t>
        </is>
      </c>
      <c r="B226" s="33" t="n"/>
      <c r="C226" s="33" t="n"/>
      <c r="D226" s="33" t="n"/>
      <c r="E226" s="33" t="n"/>
      <c r="F226" s="33" t="n"/>
      <c r="G226" s="33" t="n"/>
      <c r="H226" s="33" t="n"/>
      <c r="I226" s="33" t="n"/>
      <c r="J226" s="33" t="n"/>
      <c r="K226" s="33" t="n"/>
      <c r="L226" s="33" t="n"/>
      <c r="M226" s="33" t="n"/>
      <c r="N226" s="33" t="n"/>
      <c r="O226" s="33" t="n"/>
      <c r="P226" s="33" t="n"/>
      <c r="Q226" s="34" t="n"/>
      <c r="R226" s="35" t="inlineStr">
        <is>
          <t>IF(AO226="","",AO226)</t>
        </is>
      </c>
      <c r="S226" s="36" t="n"/>
      <c r="T226" s="37" t="n"/>
      <c r="U226" s="36" t="n"/>
      <c r="V226" s="35" t="inlineStr">
        <is>
          <t>IF(U226&lt;&gt;"",U226,IF(OR(R226="",T226=""),"",EDATE(R226,T226)))</t>
        </is>
      </c>
      <c r="W226" s="36" t="n"/>
      <c r="X226" s="37" t="n"/>
      <c r="Y226" s="33" t="n"/>
      <c r="Z226" s="33" t="n"/>
      <c r="AA226" s="32" t="inlineStr">
        <is>
          <t>IF(E226="","",IF(COUNT(AG226:AT226)=0,IF(Y226="","Not started",Y226),SUBSTITUTE(LOOKUP(2,1/(AG226:AT226&lt;&gt;""),$AG$3:$AT$3),"Date: ","")))</t>
        </is>
      </c>
      <c r="AB226" s="38" t="inlineStr">
        <is>
          <t>IF(OR(E226="",COUNT(AG226:AT226)=0),"",TODAY()-LOOKUP(2,1/(AG226:AT226&lt;&gt;""),AG226:AT226))</t>
        </is>
      </c>
      <c r="AC226" s="38" t="inlineStr">
        <is>
          <t>IF(OR(E226="",COUNT(AG226:AT226)&lt;2),"",LOOKUP(2,1/(AG226:AT226&lt;&gt;""),AG226:AT226)-MIN(AG226:AT226))</t>
        </is>
      </c>
      <c r="AD226" s="38" t="inlineStr">
        <is>
          <t>IF(OR(AB226="",AA226="Not started",AA226=""),"",IFERROR(AB226-IF(VLOOKUP(AA226,'04_Status_Pipeline'!$B$3:$E$20,4,FALSE)="",0,VLOOKUP(AA226,'04_Status_Pipeline'!$B$3:$E$20,4,FALSE)),""))</t>
        </is>
      </c>
      <c r="AE226" s="32" t="inlineStr">
        <is>
          <t>IF(E226="","",IF(OR(Y226="Cancelled",AA226="Cancelled"),"Cancelled",IF(OR(AA226="Completed / Handover",W226&lt;&gt;"",X226&gt;=100),"Completed — on track",IF(L226="Remaining",IF(S226="",IF(V226="","No planned date",IF(TODAY()&gt;V226,"Behind — past planned date",IF(V226-TODAY()&lt;=30,"At risk — close to off track","On track"))),IF(TODAY()&gt;S226,"Behind — award date passed",IF(S226-TODAY()&lt;=30,"At risk — close to off track","On track"))),IF(V226="","No planned date",IF(AND(TODAY()&gt;V226,OR(X226="",X226&lt;100)),"Behind — past end date",IF(AND(R226&lt;&gt;"",V226&lt;&gt;"",X226&lt;&gt;"",(X226&lt;100),((TODAY()-R226)/MAX(V226-R226,1)*100)-X226&gt;15),"Behind — progress lag",IF(AND(V226-TODAY()&lt;=30,V226-TODAY()&gt;=0,OR(X226="",X226&lt;90)),"At risk — close to off track","On track"))))))))</t>
        </is>
      </c>
      <c r="AF226" s="38" t="inlineStr">
        <is>
          <t>IF(OR(E226="",AA226="Completed / Handover",AA226="Cancelled"),"",IF(L226="Remaining",IF(S226&lt;&gt;"",S226-TODAY(),IF(V226="","",V226-TODAY())),IF(V226="","",V226-TODAY())))</t>
        </is>
      </c>
      <c r="AG226" s="36" t="n"/>
      <c r="AH226" s="36" t="n"/>
      <c r="AI226" s="36" t="n"/>
      <c r="AJ226" s="36" t="n"/>
      <c r="AK226" s="36" t="n"/>
      <c r="AL226" s="36" t="n"/>
      <c r="AM226" s="36" t="n"/>
      <c r="AN226" s="36" t="n"/>
      <c r="AO226" s="36" t="n"/>
      <c r="AP226" s="36" t="n"/>
      <c r="AQ226" s="36" t="n"/>
      <c r="AR226" s="40" t="n"/>
      <c r="AS226" s="40" t="n"/>
      <c r="AT226" s="40" t="n"/>
      <c r="AU226" s="38" t="inlineStr">
        <is>
          <t>IF(OR(E226="",AH226=""),"",IF(COUNT(AG226:AG226)=0,"",AH226-LOOKUP(2,1/(AG226:AG226&lt;&gt;""),AG226:AG226)))</t>
        </is>
      </c>
      <c r="AV226" s="38" t="inlineStr">
        <is>
          <t>IF(OR(E226="",AI226=""),"",IF(COUNT(AG226:AH226)=0,"",AI226-LOOKUP(2,1/(AG226:AH226&lt;&gt;""),AG226:AH226)))</t>
        </is>
      </c>
      <c r="AW226" s="38" t="inlineStr">
        <is>
          <t>IF(OR(E226="",AJ226=""),"",IF(COUNT(AG226:AI226)=0,"",AJ226-LOOKUP(2,1/(AG226:AI226&lt;&gt;""),AG226:AI226)))</t>
        </is>
      </c>
      <c r="AX226" s="38" t="inlineStr">
        <is>
          <t>IF(OR(E226="",AK226=""),"",IF(COUNT(AG226:AJ226)=0,"",AK226-LOOKUP(2,1/(AG226:AJ226&lt;&gt;""),AG226:AJ226)))</t>
        </is>
      </c>
      <c r="AY226" s="38" t="inlineStr">
        <is>
          <t>IF(OR(E226="",AL226=""),"",IF(COUNT(AG226:AK226)=0,"",AL226-LOOKUP(2,1/(AG226:AK226&lt;&gt;""),AG226:AK226)))</t>
        </is>
      </c>
      <c r="AZ226" s="38" t="inlineStr">
        <is>
          <t>IF(OR(E226="",AM226=""),"",IF(COUNT(AG226:AL226)=0,"",AM226-LOOKUP(2,1/(AG226:AL226&lt;&gt;""),AG226:AL226)))</t>
        </is>
      </c>
      <c r="BA226" s="38" t="inlineStr">
        <is>
          <t>IF(OR(E226="",AN226=""),"",IF(COUNT(AG226:AM226)=0,"",AN226-LOOKUP(2,1/(AG226:AM226&lt;&gt;""),AG226:AM226)))</t>
        </is>
      </c>
      <c r="BB226" s="38" t="inlineStr">
        <is>
          <t>IF(OR(E226="",AO226=""),"",IF(COUNT(AG226:AN226)=0,"",AO226-LOOKUP(2,1/(AG226:AN226&lt;&gt;""),AG226:AN226)))</t>
        </is>
      </c>
      <c r="BC226" s="38" t="inlineStr">
        <is>
          <t>IF(OR(E226="",AP226=""),"",IF(COUNT(AG226:AO226)=0,"",AP226-LOOKUP(2,1/(AG226:AO226&lt;&gt;""),AG226:AO226)))</t>
        </is>
      </c>
      <c r="BD226" s="38" t="inlineStr">
        <is>
          <t>IF(OR(E226="",AQ226=""),"",IF(COUNT(AG226:AP226)=0,"",AQ226-LOOKUP(2,1/(AG226:AP226&lt;&gt;""),AG226:AP226)))</t>
        </is>
      </c>
      <c r="BE226" s="38" t="inlineStr">
        <is>
          <t>IF(OR(E226="",AR226=""),"",IF(COUNT(AG226:AQ226)=0,"",AR226-LOOKUP(2,1/(AG226:AQ226&lt;&gt;""),AG226:AQ226)))</t>
        </is>
      </c>
      <c r="BF226" s="38" t="inlineStr">
        <is>
          <t>IF(OR(E226="",AS226=""),"",IF(COUNT(AG226:AR226)=0,"",AS226-LOOKUP(2,1/(AG226:AR226&lt;&gt;""),AG226:AR226)))</t>
        </is>
      </c>
      <c r="BG226" s="38" t="inlineStr">
        <is>
          <t>IF(OR(E226="",AT226=""),"",IF(COUNT(AG226:AS226)=0,"",AT226-LOOKUP(2,1/(AG226:AS226&lt;&gt;""),AG226:AS226)))</t>
        </is>
      </c>
      <c r="BH226" s="41" t="inlineStr">
        <is>
          <t>IF(G226="","All_Provinces",IFERROR(VLOOKUP(G226,'07_Lookups'!$A$4:$B$20,2,FALSE),"All_Provinces"))</t>
        </is>
      </c>
      <c r="BI226" s="41" t="inlineStr">
        <is>
          <t>IF(H226="","All_Districts",IFERROR(VLOOKUP(H226,'07_Lookups'!$E$4:$F$42,2,FALSE),"All_Districts"))</t>
        </is>
      </c>
    </row>
    <row r="227" ht="18" customHeight="1">
      <c r="A227" s="32" t="inlineStr">
        <is>
          <t>IF(E227="","",ROW()-3)</t>
        </is>
      </c>
      <c r="B227" s="42" t="n"/>
      <c r="C227" s="42" t="n"/>
      <c r="D227" s="42" t="n"/>
      <c r="E227" s="42" t="n"/>
      <c r="F227" s="42" t="n"/>
      <c r="G227" s="42" t="n"/>
      <c r="H227" s="42" t="n"/>
      <c r="I227" s="42" t="n"/>
      <c r="J227" s="42" t="n"/>
      <c r="K227" s="42" t="n"/>
      <c r="L227" s="42" t="n"/>
      <c r="M227" s="42" t="n"/>
      <c r="N227" s="42" t="n"/>
      <c r="O227" s="42" t="n"/>
      <c r="P227" s="42" t="n"/>
      <c r="Q227" s="43" t="n"/>
      <c r="R227" s="35" t="inlineStr">
        <is>
          <t>IF(AO227="","",AO227)</t>
        </is>
      </c>
      <c r="S227" s="44" t="n"/>
      <c r="T227" s="45" t="n"/>
      <c r="U227" s="44" t="n"/>
      <c r="V227" s="35" t="inlineStr">
        <is>
          <t>IF(U227&lt;&gt;"",U227,IF(OR(R227="",T227=""),"",EDATE(R227,T227)))</t>
        </is>
      </c>
      <c r="W227" s="44" t="n"/>
      <c r="X227" s="45" t="n"/>
      <c r="Y227" s="42" t="n"/>
      <c r="Z227" s="42" t="n"/>
      <c r="AA227" s="32" t="inlineStr">
        <is>
          <t>IF(E227="","",IF(COUNT(AG227:AT227)=0,IF(Y227="","Not started",Y227),SUBSTITUTE(LOOKUP(2,1/(AG227:AT227&lt;&gt;""),$AG$3:$AT$3),"Date: ","")))</t>
        </is>
      </c>
      <c r="AB227" s="38" t="inlineStr">
        <is>
          <t>IF(OR(E227="",COUNT(AG227:AT227)=0),"",TODAY()-LOOKUP(2,1/(AG227:AT227&lt;&gt;""),AG227:AT227))</t>
        </is>
      </c>
      <c r="AC227" s="38" t="inlineStr">
        <is>
          <t>IF(OR(E227="",COUNT(AG227:AT227)&lt;2),"",LOOKUP(2,1/(AG227:AT227&lt;&gt;""),AG227:AT227)-MIN(AG227:AT227))</t>
        </is>
      </c>
      <c r="AD227" s="38" t="inlineStr">
        <is>
          <t>IF(OR(AB227="",AA227="Not started",AA227=""),"",IFERROR(AB227-IF(VLOOKUP(AA227,'04_Status_Pipeline'!$B$3:$E$20,4,FALSE)="",0,VLOOKUP(AA227,'04_Status_Pipeline'!$B$3:$E$20,4,FALSE)),""))</t>
        </is>
      </c>
      <c r="AE227" s="32" t="inlineStr">
        <is>
          <t>IF(E227="","",IF(OR(Y227="Cancelled",AA227="Cancelled"),"Cancelled",IF(OR(AA227="Completed / Handover",W227&lt;&gt;"",X227&gt;=100),"Completed — on track",IF(L227="Remaining",IF(S227="",IF(V227="","No planned date",IF(TODAY()&gt;V227,"Behind — past planned date",IF(V227-TODAY()&lt;=30,"At risk — close to off track","On track"))),IF(TODAY()&gt;S227,"Behind — award date passed",IF(S227-TODAY()&lt;=30,"At risk — close to off track","On track"))),IF(V227="","No planned date",IF(AND(TODAY()&gt;V227,OR(X227="",X227&lt;100)),"Behind — past end date",IF(AND(R227&lt;&gt;"",V227&lt;&gt;"",X227&lt;&gt;"",(X227&lt;100),((TODAY()-R227)/MAX(V227-R227,1)*100)-X227&gt;15),"Behind — progress lag",IF(AND(V227-TODAY()&lt;=30,V227-TODAY()&gt;=0,OR(X227="",X227&lt;90)),"At risk — close to off track","On track"))))))))</t>
        </is>
      </c>
      <c r="AF227" s="38" t="inlineStr">
        <is>
          <t>IF(OR(E227="",AA227="Completed / Handover",AA227="Cancelled"),"",IF(L227="Remaining",IF(S227&lt;&gt;"",S227-TODAY(),IF(V227="","",V227-TODAY())),IF(V227="","",V227-TODAY())))</t>
        </is>
      </c>
      <c r="AG227" s="44" t="n"/>
      <c r="AH227" s="44" t="n"/>
      <c r="AI227" s="44" t="n"/>
      <c r="AJ227" s="44" t="n"/>
      <c r="AK227" s="44" t="n"/>
      <c r="AL227" s="44" t="n"/>
      <c r="AM227" s="44" t="n"/>
      <c r="AN227" s="44" t="n"/>
      <c r="AO227" s="44" t="n"/>
      <c r="AP227" s="44" t="n"/>
      <c r="AQ227" s="44" t="n"/>
      <c r="AR227" s="40" t="n"/>
      <c r="AS227" s="40" t="n"/>
      <c r="AT227" s="40" t="n"/>
      <c r="AU227" s="38" t="inlineStr">
        <is>
          <t>IF(OR(E227="",AH227=""),"",IF(COUNT(AG227:AG227)=0,"",AH227-LOOKUP(2,1/(AG227:AG227&lt;&gt;""),AG227:AG227)))</t>
        </is>
      </c>
      <c r="AV227" s="38" t="inlineStr">
        <is>
          <t>IF(OR(E227="",AI227=""),"",IF(COUNT(AG227:AH227)=0,"",AI227-LOOKUP(2,1/(AG227:AH227&lt;&gt;""),AG227:AH227)))</t>
        </is>
      </c>
      <c r="AW227" s="38" t="inlineStr">
        <is>
          <t>IF(OR(E227="",AJ227=""),"",IF(COUNT(AG227:AI227)=0,"",AJ227-LOOKUP(2,1/(AG227:AI227&lt;&gt;""),AG227:AI227)))</t>
        </is>
      </c>
      <c r="AX227" s="38" t="inlineStr">
        <is>
          <t>IF(OR(E227="",AK227=""),"",IF(COUNT(AG227:AJ227)=0,"",AK227-LOOKUP(2,1/(AG227:AJ227&lt;&gt;""),AG227:AJ227)))</t>
        </is>
      </c>
      <c r="AY227" s="38" t="inlineStr">
        <is>
          <t>IF(OR(E227="",AL227=""),"",IF(COUNT(AG227:AK227)=0,"",AL227-LOOKUP(2,1/(AG227:AK227&lt;&gt;""),AG227:AK227)))</t>
        </is>
      </c>
      <c r="AZ227" s="38" t="inlineStr">
        <is>
          <t>IF(OR(E227="",AM227=""),"",IF(COUNT(AG227:AL227)=0,"",AM227-LOOKUP(2,1/(AG227:AL227&lt;&gt;""),AG227:AL227)))</t>
        </is>
      </c>
      <c r="BA227" s="38" t="inlineStr">
        <is>
          <t>IF(OR(E227="",AN227=""),"",IF(COUNT(AG227:AM227)=0,"",AN227-LOOKUP(2,1/(AG227:AM227&lt;&gt;""),AG227:AM227)))</t>
        </is>
      </c>
      <c r="BB227" s="38" t="inlineStr">
        <is>
          <t>IF(OR(E227="",AO227=""),"",IF(COUNT(AG227:AN227)=0,"",AO227-LOOKUP(2,1/(AG227:AN227&lt;&gt;""),AG227:AN227)))</t>
        </is>
      </c>
      <c r="BC227" s="38" t="inlineStr">
        <is>
          <t>IF(OR(E227="",AP227=""),"",IF(COUNT(AG227:AO227)=0,"",AP227-LOOKUP(2,1/(AG227:AO227&lt;&gt;""),AG227:AO227)))</t>
        </is>
      </c>
      <c r="BD227" s="38" t="inlineStr">
        <is>
          <t>IF(OR(E227="",AQ227=""),"",IF(COUNT(AG227:AP227)=0,"",AQ227-LOOKUP(2,1/(AG227:AP227&lt;&gt;""),AG227:AP227)))</t>
        </is>
      </c>
      <c r="BE227" s="38" t="inlineStr">
        <is>
          <t>IF(OR(E227="",AR227=""),"",IF(COUNT(AG227:AQ227)=0,"",AR227-LOOKUP(2,1/(AG227:AQ227&lt;&gt;""),AG227:AQ227)))</t>
        </is>
      </c>
      <c r="BF227" s="38" t="inlineStr">
        <is>
          <t>IF(OR(E227="",AS227=""),"",IF(COUNT(AG227:AR227)=0,"",AS227-LOOKUP(2,1/(AG227:AR227&lt;&gt;""),AG227:AR227)))</t>
        </is>
      </c>
      <c r="BG227" s="38" t="inlineStr">
        <is>
          <t>IF(OR(E227="",AT227=""),"",IF(COUNT(AG227:AS227)=0,"",AT227-LOOKUP(2,1/(AG227:AS227&lt;&gt;""),AG227:AS227)))</t>
        </is>
      </c>
      <c r="BH227" s="41" t="inlineStr">
        <is>
          <t>IF(G227="","All_Provinces",IFERROR(VLOOKUP(G227,'07_Lookups'!$A$4:$B$20,2,FALSE),"All_Provinces"))</t>
        </is>
      </c>
      <c r="BI227" s="41" t="inlineStr">
        <is>
          <t>IF(H227="","All_Districts",IFERROR(VLOOKUP(H227,'07_Lookups'!$E$4:$F$42,2,FALSE),"All_Districts"))</t>
        </is>
      </c>
    </row>
    <row r="228" ht="18" customHeight="1">
      <c r="A228" s="32" t="inlineStr">
        <is>
          <t>IF(E228="","",ROW()-3)</t>
        </is>
      </c>
      <c r="B228" s="33" t="n"/>
      <c r="C228" s="33" t="n"/>
      <c r="D228" s="33" t="n"/>
      <c r="E228" s="33" t="n"/>
      <c r="F228" s="33" t="n"/>
      <c r="G228" s="33" t="n"/>
      <c r="H228" s="33" t="n"/>
      <c r="I228" s="33" t="n"/>
      <c r="J228" s="33" t="n"/>
      <c r="K228" s="33" t="n"/>
      <c r="L228" s="33" t="n"/>
      <c r="M228" s="33" t="n"/>
      <c r="N228" s="33" t="n"/>
      <c r="O228" s="33" t="n"/>
      <c r="P228" s="33" t="n"/>
      <c r="Q228" s="34" t="n"/>
      <c r="R228" s="35" t="inlineStr">
        <is>
          <t>IF(AO228="","",AO228)</t>
        </is>
      </c>
      <c r="S228" s="36" t="n"/>
      <c r="T228" s="37" t="n"/>
      <c r="U228" s="36" t="n"/>
      <c r="V228" s="35" t="inlineStr">
        <is>
          <t>IF(U228&lt;&gt;"",U228,IF(OR(R228="",T228=""),"",EDATE(R228,T228)))</t>
        </is>
      </c>
      <c r="W228" s="36" t="n"/>
      <c r="X228" s="37" t="n"/>
      <c r="Y228" s="33" t="n"/>
      <c r="Z228" s="33" t="n"/>
      <c r="AA228" s="32" t="inlineStr">
        <is>
          <t>IF(E228="","",IF(COUNT(AG228:AT228)=0,IF(Y228="","Not started",Y228),SUBSTITUTE(LOOKUP(2,1/(AG228:AT228&lt;&gt;""),$AG$3:$AT$3),"Date: ","")))</t>
        </is>
      </c>
      <c r="AB228" s="38" t="inlineStr">
        <is>
          <t>IF(OR(E228="",COUNT(AG228:AT228)=0),"",TODAY()-LOOKUP(2,1/(AG228:AT228&lt;&gt;""),AG228:AT228))</t>
        </is>
      </c>
      <c r="AC228" s="38" t="inlineStr">
        <is>
          <t>IF(OR(E228="",COUNT(AG228:AT228)&lt;2),"",LOOKUP(2,1/(AG228:AT228&lt;&gt;""),AG228:AT228)-MIN(AG228:AT228))</t>
        </is>
      </c>
      <c r="AD228" s="38" t="inlineStr">
        <is>
          <t>IF(OR(AB228="",AA228="Not started",AA228=""),"",IFERROR(AB228-IF(VLOOKUP(AA228,'04_Status_Pipeline'!$B$3:$E$20,4,FALSE)="",0,VLOOKUP(AA228,'04_Status_Pipeline'!$B$3:$E$20,4,FALSE)),""))</t>
        </is>
      </c>
      <c r="AE228" s="32" t="inlineStr">
        <is>
          <t>IF(E228="","",IF(OR(Y228="Cancelled",AA228="Cancelled"),"Cancelled",IF(OR(AA228="Completed / Handover",W228&lt;&gt;"",X228&gt;=100),"Completed — on track",IF(L228="Remaining",IF(S228="",IF(V228="","No planned date",IF(TODAY()&gt;V228,"Behind — past planned date",IF(V228-TODAY()&lt;=30,"At risk — close to off track","On track"))),IF(TODAY()&gt;S228,"Behind — award date passed",IF(S228-TODAY()&lt;=30,"At risk — close to off track","On track"))),IF(V228="","No planned date",IF(AND(TODAY()&gt;V228,OR(X228="",X228&lt;100)),"Behind — past end date",IF(AND(R228&lt;&gt;"",V228&lt;&gt;"",X228&lt;&gt;"",(X228&lt;100),((TODAY()-R228)/MAX(V228-R228,1)*100)-X228&gt;15),"Behind — progress lag",IF(AND(V228-TODAY()&lt;=30,V228-TODAY()&gt;=0,OR(X228="",X228&lt;90)),"At risk — close to off track","On track"))))))))</t>
        </is>
      </c>
      <c r="AF228" s="38" t="inlineStr">
        <is>
          <t>IF(OR(E228="",AA228="Completed / Handover",AA228="Cancelled"),"",IF(L228="Remaining",IF(S228&lt;&gt;"",S228-TODAY(),IF(V228="","",V228-TODAY())),IF(V228="","",V228-TODAY())))</t>
        </is>
      </c>
      <c r="AG228" s="36" t="n"/>
      <c r="AH228" s="36" t="n"/>
      <c r="AI228" s="36" t="n"/>
      <c r="AJ228" s="36" t="n"/>
      <c r="AK228" s="36" t="n"/>
      <c r="AL228" s="36" t="n"/>
      <c r="AM228" s="36" t="n"/>
      <c r="AN228" s="36" t="n"/>
      <c r="AO228" s="36" t="n"/>
      <c r="AP228" s="36" t="n"/>
      <c r="AQ228" s="36" t="n"/>
      <c r="AR228" s="40" t="n"/>
      <c r="AS228" s="40" t="n"/>
      <c r="AT228" s="40" t="n"/>
      <c r="AU228" s="38" t="inlineStr">
        <is>
          <t>IF(OR(E228="",AH228=""),"",IF(COUNT(AG228:AG228)=0,"",AH228-LOOKUP(2,1/(AG228:AG228&lt;&gt;""),AG228:AG228)))</t>
        </is>
      </c>
      <c r="AV228" s="38" t="inlineStr">
        <is>
          <t>IF(OR(E228="",AI228=""),"",IF(COUNT(AG228:AH228)=0,"",AI228-LOOKUP(2,1/(AG228:AH228&lt;&gt;""),AG228:AH228)))</t>
        </is>
      </c>
      <c r="AW228" s="38" t="inlineStr">
        <is>
          <t>IF(OR(E228="",AJ228=""),"",IF(COUNT(AG228:AI228)=0,"",AJ228-LOOKUP(2,1/(AG228:AI228&lt;&gt;""),AG228:AI228)))</t>
        </is>
      </c>
      <c r="AX228" s="38" t="inlineStr">
        <is>
          <t>IF(OR(E228="",AK228=""),"",IF(COUNT(AG228:AJ228)=0,"",AK228-LOOKUP(2,1/(AG228:AJ228&lt;&gt;""),AG228:AJ228)))</t>
        </is>
      </c>
      <c r="AY228" s="38" t="inlineStr">
        <is>
          <t>IF(OR(E228="",AL228=""),"",IF(COUNT(AG228:AK228)=0,"",AL228-LOOKUP(2,1/(AG228:AK228&lt;&gt;""),AG228:AK228)))</t>
        </is>
      </c>
      <c r="AZ228" s="38" t="inlineStr">
        <is>
          <t>IF(OR(E228="",AM228=""),"",IF(COUNT(AG228:AL228)=0,"",AM228-LOOKUP(2,1/(AG228:AL228&lt;&gt;""),AG228:AL228)))</t>
        </is>
      </c>
      <c r="BA228" s="38" t="inlineStr">
        <is>
          <t>IF(OR(E228="",AN228=""),"",IF(COUNT(AG228:AM228)=0,"",AN228-LOOKUP(2,1/(AG228:AM228&lt;&gt;""),AG228:AM228)))</t>
        </is>
      </c>
      <c r="BB228" s="38" t="inlineStr">
        <is>
          <t>IF(OR(E228="",AO228=""),"",IF(COUNT(AG228:AN228)=0,"",AO228-LOOKUP(2,1/(AG228:AN228&lt;&gt;""),AG228:AN228)))</t>
        </is>
      </c>
      <c r="BC228" s="38" t="inlineStr">
        <is>
          <t>IF(OR(E228="",AP228=""),"",IF(COUNT(AG228:AO228)=0,"",AP228-LOOKUP(2,1/(AG228:AO228&lt;&gt;""),AG228:AO228)))</t>
        </is>
      </c>
      <c r="BD228" s="38" t="inlineStr">
        <is>
          <t>IF(OR(E228="",AQ228=""),"",IF(COUNT(AG228:AP228)=0,"",AQ228-LOOKUP(2,1/(AG228:AP228&lt;&gt;""),AG228:AP228)))</t>
        </is>
      </c>
      <c r="BE228" s="38" t="inlineStr">
        <is>
          <t>IF(OR(E228="",AR228=""),"",IF(COUNT(AG228:AQ228)=0,"",AR228-LOOKUP(2,1/(AG228:AQ228&lt;&gt;""),AG228:AQ228)))</t>
        </is>
      </c>
      <c r="BF228" s="38" t="inlineStr">
        <is>
          <t>IF(OR(E228="",AS228=""),"",IF(COUNT(AG228:AR228)=0,"",AS228-LOOKUP(2,1/(AG228:AR228&lt;&gt;""),AG228:AR228)))</t>
        </is>
      </c>
      <c r="BG228" s="38" t="inlineStr">
        <is>
          <t>IF(OR(E228="",AT228=""),"",IF(COUNT(AG228:AS228)=0,"",AT228-LOOKUP(2,1/(AG228:AS228&lt;&gt;""),AG228:AS228)))</t>
        </is>
      </c>
      <c r="BH228" s="41" t="inlineStr">
        <is>
          <t>IF(G228="","All_Provinces",IFERROR(VLOOKUP(G228,'07_Lookups'!$A$4:$B$20,2,FALSE),"All_Provinces"))</t>
        </is>
      </c>
      <c r="BI228" s="41" t="inlineStr">
        <is>
          <t>IF(H228="","All_Districts",IFERROR(VLOOKUP(H228,'07_Lookups'!$E$4:$F$42,2,FALSE),"All_Districts"))</t>
        </is>
      </c>
    </row>
    <row r="229" ht="18" customHeight="1">
      <c r="A229" s="32" t="inlineStr">
        <is>
          <t>IF(E229="","",ROW()-3)</t>
        </is>
      </c>
      <c r="B229" s="42" t="n"/>
      <c r="C229" s="42" t="n"/>
      <c r="D229" s="42" t="n"/>
      <c r="E229" s="42" t="n"/>
      <c r="F229" s="42" t="n"/>
      <c r="G229" s="42" t="n"/>
      <c r="H229" s="42" t="n"/>
      <c r="I229" s="42" t="n"/>
      <c r="J229" s="42" t="n"/>
      <c r="K229" s="42" t="n"/>
      <c r="L229" s="42" t="n"/>
      <c r="M229" s="42" t="n"/>
      <c r="N229" s="42" t="n"/>
      <c r="O229" s="42" t="n"/>
      <c r="P229" s="42" t="n"/>
      <c r="Q229" s="43" t="n"/>
      <c r="R229" s="35" t="inlineStr">
        <is>
          <t>IF(AO229="","",AO229)</t>
        </is>
      </c>
      <c r="S229" s="44" t="n"/>
      <c r="T229" s="45" t="n"/>
      <c r="U229" s="44" t="n"/>
      <c r="V229" s="35" t="inlineStr">
        <is>
          <t>IF(U229&lt;&gt;"",U229,IF(OR(R229="",T229=""),"",EDATE(R229,T229)))</t>
        </is>
      </c>
      <c r="W229" s="44" t="n"/>
      <c r="X229" s="45" t="n"/>
      <c r="Y229" s="42" t="n"/>
      <c r="Z229" s="42" t="n"/>
      <c r="AA229" s="32" t="inlineStr">
        <is>
          <t>IF(E229="","",IF(COUNT(AG229:AT229)=0,IF(Y229="","Not started",Y229),SUBSTITUTE(LOOKUP(2,1/(AG229:AT229&lt;&gt;""),$AG$3:$AT$3),"Date: ","")))</t>
        </is>
      </c>
      <c r="AB229" s="38" t="inlineStr">
        <is>
          <t>IF(OR(E229="",COUNT(AG229:AT229)=0),"",TODAY()-LOOKUP(2,1/(AG229:AT229&lt;&gt;""),AG229:AT229))</t>
        </is>
      </c>
      <c r="AC229" s="38" t="inlineStr">
        <is>
          <t>IF(OR(E229="",COUNT(AG229:AT229)&lt;2),"",LOOKUP(2,1/(AG229:AT229&lt;&gt;""),AG229:AT229)-MIN(AG229:AT229))</t>
        </is>
      </c>
      <c r="AD229" s="38" t="inlineStr">
        <is>
          <t>IF(OR(AB229="",AA229="Not started",AA229=""),"",IFERROR(AB229-IF(VLOOKUP(AA229,'04_Status_Pipeline'!$B$3:$E$20,4,FALSE)="",0,VLOOKUP(AA229,'04_Status_Pipeline'!$B$3:$E$20,4,FALSE)),""))</t>
        </is>
      </c>
      <c r="AE229" s="32" t="inlineStr">
        <is>
          <t>IF(E229="","",IF(OR(Y229="Cancelled",AA229="Cancelled"),"Cancelled",IF(OR(AA229="Completed / Handover",W229&lt;&gt;"",X229&gt;=100),"Completed — on track",IF(L229="Remaining",IF(S229="",IF(V229="","No planned date",IF(TODAY()&gt;V229,"Behind — past planned date",IF(V229-TODAY()&lt;=30,"At risk — close to off track","On track"))),IF(TODAY()&gt;S229,"Behind — award date passed",IF(S229-TODAY()&lt;=30,"At risk — close to off track","On track"))),IF(V229="","No planned date",IF(AND(TODAY()&gt;V229,OR(X229="",X229&lt;100)),"Behind — past end date",IF(AND(R229&lt;&gt;"",V229&lt;&gt;"",X229&lt;&gt;"",(X229&lt;100),((TODAY()-R229)/MAX(V229-R229,1)*100)-X229&gt;15),"Behind — progress lag",IF(AND(V229-TODAY()&lt;=30,V229-TODAY()&gt;=0,OR(X229="",X229&lt;90)),"At risk — close to off track","On track"))))))))</t>
        </is>
      </c>
      <c r="AF229" s="38" t="inlineStr">
        <is>
          <t>IF(OR(E229="",AA229="Completed / Handover",AA229="Cancelled"),"",IF(L229="Remaining",IF(S229&lt;&gt;"",S229-TODAY(),IF(V229="","",V229-TODAY())),IF(V229="","",V229-TODAY())))</t>
        </is>
      </c>
      <c r="AG229" s="44" t="n"/>
      <c r="AH229" s="44" t="n"/>
      <c r="AI229" s="44" t="n"/>
      <c r="AJ229" s="44" t="n"/>
      <c r="AK229" s="44" t="n"/>
      <c r="AL229" s="44" t="n"/>
      <c r="AM229" s="44" t="n"/>
      <c r="AN229" s="44" t="n"/>
      <c r="AO229" s="44" t="n"/>
      <c r="AP229" s="44" t="n"/>
      <c r="AQ229" s="44" t="n"/>
      <c r="AR229" s="40" t="n"/>
      <c r="AS229" s="40" t="n"/>
      <c r="AT229" s="40" t="n"/>
      <c r="AU229" s="38" t="inlineStr">
        <is>
          <t>IF(OR(E229="",AH229=""),"",IF(COUNT(AG229:AG229)=0,"",AH229-LOOKUP(2,1/(AG229:AG229&lt;&gt;""),AG229:AG229)))</t>
        </is>
      </c>
      <c r="AV229" s="38" t="inlineStr">
        <is>
          <t>IF(OR(E229="",AI229=""),"",IF(COUNT(AG229:AH229)=0,"",AI229-LOOKUP(2,1/(AG229:AH229&lt;&gt;""),AG229:AH229)))</t>
        </is>
      </c>
      <c r="AW229" s="38" t="inlineStr">
        <is>
          <t>IF(OR(E229="",AJ229=""),"",IF(COUNT(AG229:AI229)=0,"",AJ229-LOOKUP(2,1/(AG229:AI229&lt;&gt;""),AG229:AI229)))</t>
        </is>
      </c>
      <c r="AX229" s="38" t="inlineStr">
        <is>
          <t>IF(OR(E229="",AK229=""),"",IF(COUNT(AG229:AJ229)=0,"",AK229-LOOKUP(2,1/(AG229:AJ229&lt;&gt;""),AG229:AJ229)))</t>
        </is>
      </c>
      <c r="AY229" s="38" t="inlineStr">
        <is>
          <t>IF(OR(E229="",AL229=""),"",IF(COUNT(AG229:AK229)=0,"",AL229-LOOKUP(2,1/(AG229:AK229&lt;&gt;""),AG229:AK229)))</t>
        </is>
      </c>
      <c r="AZ229" s="38" t="inlineStr">
        <is>
          <t>IF(OR(E229="",AM229=""),"",IF(COUNT(AG229:AL229)=0,"",AM229-LOOKUP(2,1/(AG229:AL229&lt;&gt;""),AG229:AL229)))</t>
        </is>
      </c>
      <c r="BA229" s="38" t="inlineStr">
        <is>
          <t>IF(OR(E229="",AN229=""),"",IF(COUNT(AG229:AM229)=0,"",AN229-LOOKUP(2,1/(AG229:AM229&lt;&gt;""),AG229:AM229)))</t>
        </is>
      </c>
      <c r="BB229" s="38" t="inlineStr">
        <is>
          <t>IF(OR(E229="",AO229=""),"",IF(COUNT(AG229:AN229)=0,"",AO229-LOOKUP(2,1/(AG229:AN229&lt;&gt;""),AG229:AN229)))</t>
        </is>
      </c>
      <c r="BC229" s="38" t="inlineStr">
        <is>
          <t>IF(OR(E229="",AP229=""),"",IF(COUNT(AG229:AO229)=0,"",AP229-LOOKUP(2,1/(AG229:AO229&lt;&gt;""),AG229:AO229)))</t>
        </is>
      </c>
      <c r="BD229" s="38" t="inlineStr">
        <is>
          <t>IF(OR(E229="",AQ229=""),"",IF(COUNT(AG229:AP229)=0,"",AQ229-LOOKUP(2,1/(AG229:AP229&lt;&gt;""),AG229:AP229)))</t>
        </is>
      </c>
      <c r="BE229" s="38" t="inlineStr">
        <is>
          <t>IF(OR(E229="",AR229=""),"",IF(COUNT(AG229:AQ229)=0,"",AR229-LOOKUP(2,1/(AG229:AQ229&lt;&gt;""),AG229:AQ229)))</t>
        </is>
      </c>
      <c r="BF229" s="38" t="inlineStr">
        <is>
          <t>IF(OR(E229="",AS229=""),"",IF(COUNT(AG229:AR229)=0,"",AS229-LOOKUP(2,1/(AG229:AR229&lt;&gt;""),AG229:AR229)))</t>
        </is>
      </c>
      <c r="BG229" s="38" t="inlineStr">
        <is>
          <t>IF(OR(E229="",AT229=""),"",IF(COUNT(AG229:AS229)=0,"",AT229-LOOKUP(2,1/(AG229:AS229&lt;&gt;""),AG229:AS229)))</t>
        </is>
      </c>
      <c r="BH229" s="41" t="inlineStr">
        <is>
          <t>IF(G229="","All_Provinces",IFERROR(VLOOKUP(G229,'07_Lookups'!$A$4:$B$20,2,FALSE),"All_Provinces"))</t>
        </is>
      </c>
      <c r="BI229" s="41" t="inlineStr">
        <is>
          <t>IF(H229="","All_Districts",IFERROR(VLOOKUP(H229,'07_Lookups'!$E$4:$F$42,2,FALSE),"All_Districts"))</t>
        </is>
      </c>
    </row>
    <row r="230" ht="18" customHeight="1">
      <c r="A230" s="32" t="inlineStr">
        <is>
          <t>IF(E230="","",ROW()-3)</t>
        </is>
      </c>
      <c r="B230" s="33" t="n"/>
      <c r="C230" s="33" t="n"/>
      <c r="D230" s="33" t="n"/>
      <c r="E230" s="33" t="n"/>
      <c r="F230" s="33" t="n"/>
      <c r="G230" s="33" t="n"/>
      <c r="H230" s="33" t="n"/>
      <c r="I230" s="33" t="n"/>
      <c r="J230" s="33" t="n"/>
      <c r="K230" s="33" t="n"/>
      <c r="L230" s="33" t="n"/>
      <c r="M230" s="33" t="n"/>
      <c r="N230" s="33" t="n"/>
      <c r="O230" s="33" t="n"/>
      <c r="P230" s="33" t="n"/>
      <c r="Q230" s="34" t="n"/>
      <c r="R230" s="35" t="inlineStr">
        <is>
          <t>IF(AO230="","",AO230)</t>
        </is>
      </c>
      <c r="S230" s="36" t="n"/>
      <c r="T230" s="37" t="n"/>
      <c r="U230" s="36" t="n"/>
      <c r="V230" s="35" t="inlineStr">
        <is>
          <t>IF(U230&lt;&gt;"",U230,IF(OR(R230="",T230=""),"",EDATE(R230,T230)))</t>
        </is>
      </c>
      <c r="W230" s="36" t="n"/>
      <c r="X230" s="37" t="n"/>
      <c r="Y230" s="33" t="n"/>
      <c r="Z230" s="33" t="n"/>
      <c r="AA230" s="32" t="inlineStr">
        <is>
          <t>IF(E230="","",IF(COUNT(AG230:AT230)=0,IF(Y230="","Not started",Y230),SUBSTITUTE(LOOKUP(2,1/(AG230:AT230&lt;&gt;""),$AG$3:$AT$3),"Date: ","")))</t>
        </is>
      </c>
      <c r="AB230" s="38" t="inlineStr">
        <is>
          <t>IF(OR(E230="",COUNT(AG230:AT230)=0),"",TODAY()-LOOKUP(2,1/(AG230:AT230&lt;&gt;""),AG230:AT230))</t>
        </is>
      </c>
      <c r="AC230" s="38" t="inlineStr">
        <is>
          <t>IF(OR(E230="",COUNT(AG230:AT230)&lt;2),"",LOOKUP(2,1/(AG230:AT230&lt;&gt;""),AG230:AT230)-MIN(AG230:AT230))</t>
        </is>
      </c>
      <c r="AD230" s="38" t="inlineStr">
        <is>
          <t>IF(OR(AB230="",AA230="Not started",AA230=""),"",IFERROR(AB230-IF(VLOOKUP(AA230,'04_Status_Pipeline'!$B$3:$E$20,4,FALSE)="",0,VLOOKUP(AA230,'04_Status_Pipeline'!$B$3:$E$20,4,FALSE)),""))</t>
        </is>
      </c>
      <c r="AE230" s="32" t="inlineStr">
        <is>
          <t>IF(E230="","",IF(OR(Y230="Cancelled",AA230="Cancelled"),"Cancelled",IF(OR(AA230="Completed / Handover",W230&lt;&gt;"",X230&gt;=100),"Completed — on track",IF(L230="Remaining",IF(S230="",IF(V230="","No planned date",IF(TODAY()&gt;V230,"Behind — past planned date",IF(V230-TODAY()&lt;=30,"At risk — close to off track","On track"))),IF(TODAY()&gt;S230,"Behind — award date passed",IF(S230-TODAY()&lt;=30,"At risk — close to off track","On track"))),IF(V230="","No planned date",IF(AND(TODAY()&gt;V230,OR(X230="",X230&lt;100)),"Behind — past end date",IF(AND(R230&lt;&gt;"",V230&lt;&gt;"",X230&lt;&gt;"",(X230&lt;100),((TODAY()-R230)/MAX(V230-R230,1)*100)-X230&gt;15),"Behind — progress lag",IF(AND(V230-TODAY()&lt;=30,V230-TODAY()&gt;=0,OR(X230="",X230&lt;90)),"At risk — close to off track","On track"))))))))</t>
        </is>
      </c>
      <c r="AF230" s="38" t="inlineStr">
        <is>
          <t>IF(OR(E230="",AA230="Completed / Handover",AA230="Cancelled"),"",IF(L230="Remaining",IF(S230&lt;&gt;"",S230-TODAY(),IF(V230="","",V230-TODAY())),IF(V230="","",V230-TODAY())))</t>
        </is>
      </c>
      <c r="AG230" s="36" t="n"/>
      <c r="AH230" s="36" t="n"/>
      <c r="AI230" s="36" t="n"/>
      <c r="AJ230" s="36" t="n"/>
      <c r="AK230" s="36" t="n"/>
      <c r="AL230" s="36" t="n"/>
      <c r="AM230" s="36" t="n"/>
      <c r="AN230" s="36" t="n"/>
      <c r="AO230" s="36" t="n"/>
      <c r="AP230" s="36" t="n"/>
      <c r="AQ230" s="36" t="n"/>
      <c r="AR230" s="40" t="n"/>
      <c r="AS230" s="40" t="n"/>
      <c r="AT230" s="40" t="n"/>
      <c r="AU230" s="38" t="inlineStr">
        <is>
          <t>IF(OR(E230="",AH230=""),"",IF(COUNT(AG230:AG230)=0,"",AH230-LOOKUP(2,1/(AG230:AG230&lt;&gt;""),AG230:AG230)))</t>
        </is>
      </c>
      <c r="AV230" s="38" t="inlineStr">
        <is>
          <t>IF(OR(E230="",AI230=""),"",IF(COUNT(AG230:AH230)=0,"",AI230-LOOKUP(2,1/(AG230:AH230&lt;&gt;""),AG230:AH230)))</t>
        </is>
      </c>
      <c r="AW230" s="38" t="inlineStr">
        <is>
          <t>IF(OR(E230="",AJ230=""),"",IF(COUNT(AG230:AI230)=0,"",AJ230-LOOKUP(2,1/(AG230:AI230&lt;&gt;""),AG230:AI230)))</t>
        </is>
      </c>
      <c r="AX230" s="38" t="inlineStr">
        <is>
          <t>IF(OR(E230="",AK230=""),"",IF(COUNT(AG230:AJ230)=0,"",AK230-LOOKUP(2,1/(AG230:AJ230&lt;&gt;""),AG230:AJ230)))</t>
        </is>
      </c>
      <c r="AY230" s="38" t="inlineStr">
        <is>
          <t>IF(OR(E230="",AL230=""),"",IF(COUNT(AG230:AK230)=0,"",AL230-LOOKUP(2,1/(AG230:AK230&lt;&gt;""),AG230:AK230)))</t>
        </is>
      </c>
      <c r="AZ230" s="38" t="inlineStr">
        <is>
          <t>IF(OR(E230="",AM230=""),"",IF(COUNT(AG230:AL230)=0,"",AM230-LOOKUP(2,1/(AG230:AL230&lt;&gt;""),AG230:AL230)))</t>
        </is>
      </c>
      <c r="BA230" s="38" t="inlineStr">
        <is>
          <t>IF(OR(E230="",AN230=""),"",IF(COUNT(AG230:AM230)=0,"",AN230-LOOKUP(2,1/(AG230:AM230&lt;&gt;""),AG230:AM230)))</t>
        </is>
      </c>
      <c r="BB230" s="38" t="inlineStr">
        <is>
          <t>IF(OR(E230="",AO230=""),"",IF(COUNT(AG230:AN230)=0,"",AO230-LOOKUP(2,1/(AG230:AN230&lt;&gt;""),AG230:AN230)))</t>
        </is>
      </c>
      <c r="BC230" s="38" t="inlineStr">
        <is>
          <t>IF(OR(E230="",AP230=""),"",IF(COUNT(AG230:AO230)=0,"",AP230-LOOKUP(2,1/(AG230:AO230&lt;&gt;""),AG230:AO230)))</t>
        </is>
      </c>
      <c r="BD230" s="38" t="inlineStr">
        <is>
          <t>IF(OR(E230="",AQ230=""),"",IF(COUNT(AG230:AP230)=0,"",AQ230-LOOKUP(2,1/(AG230:AP230&lt;&gt;""),AG230:AP230)))</t>
        </is>
      </c>
      <c r="BE230" s="38" t="inlineStr">
        <is>
          <t>IF(OR(E230="",AR230=""),"",IF(COUNT(AG230:AQ230)=0,"",AR230-LOOKUP(2,1/(AG230:AQ230&lt;&gt;""),AG230:AQ230)))</t>
        </is>
      </c>
      <c r="BF230" s="38" t="inlineStr">
        <is>
          <t>IF(OR(E230="",AS230=""),"",IF(COUNT(AG230:AR230)=0,"",AS230-LOOKUP(2,1/(AG230:AR230&lt;&gt;""),AG230:AR230)))</t>
        </is>
      </c>
      <c r="BG230" s="38" t="inlineStr">
        <is>
          <t>IF(OR(E230="",AT230=""),"",IF(COUNT(AG230:AS230)=0,"",AT230-LOOKUP(2,1/(AG230:AS230&lt;&gt;""),AG230:AS230)))</t>
        </is>
      </c>
      <c r="BH230" s="41" t="inlineStr">
        <is>
          <t>IF(G230="","All_Provinces",IFERROR(VLOOKUP(G230,'07_Lookups'!$A$4:$B$20,2,FALSE),"All_Provinces"))</t>
        </is>
      </c>
      <c r="BI230" s="41" t="inlineStr">
        <is>
          <t>IF(H230="","All_Districts",IFERROR(VLOOKUP(H230,'07_Lookups'!$E$4:$F$42,2,FALSE),"All_Districts"))</t>
        </is>
      </c>
    </row>
    <row r="231" ht="18" customHeight="1">
      <c r="A231" s="32" t="inlineStr">
        <is>
          <t>IF(E231="","",ROW()-3)</t>
        </is>
      </c>
      <c r="B231" s="42" t="n"/>
      <c r="C231" s="42" t="n"/>
      <c r="D231" s="42" t="n"/>
      <c r="E231" s="42" t="n"/>
      <c r="F231" s="42" t="n"/>
      <c r="G231" s="42" t="n"/>
      <c r="H231" s="42" t="n"/>
      <c r="I231" s="42" t="n"/>
      <c r="J231" s="42" t="n"/>
      <c r="K231" s="42" t="n"/>
      <c r="L231" s="42" t="n"/>
      <c r="M231" s="42" t="n"/>
      <c r="N231" s="42" t="n"/>
      <c r="O231" s="42" t="n"/>
      <c r="P231" s="42" t="n"/>
      <c r="Q231" s="43" t="n"/>
      <c r="R231" s="35" t="inlineStr">
        <is>
          <t>IF(AO231="","",AO231)</t>
        </is>
      </c>
      <c r="S231" s="44" t="n"/>
      <c r="T231" s="45" t="n"/>
      <c r="U231" s="44" t="n"/>
      <c r="V231" s="35" t="inlineStr">
        <is>
          <t>IF(U231&lt;&gt;"",U231,IF(OR(R231="",T231=""),"",EDATE(R231,T231)))</t>
        </is>
      </c>
      <c r="W231" s="44" t="n"/>
      <c r="X231" s="45" t="n"/>
      <c r="Y231" s="42" t="n"/>
      <c r="Z231" s="42" t="n"/>
      <c r="AA231" s="32" t="inlineStr">
        <is>
          <t>IF(E231="","",IF(COUNT(AG231:AT231)=0,IF(Y231="","Not started",Y231),SUBSTITUTE(LOOKUP(2,1/(AG231:AT231&lt;&gt;""),$AG$3:$AT$3),"Date: ","")))</t>
        </is>
      </c>
      <c r="AB231" s="38" t="inlineStr">
        <is>
          <t>IF(OR(E231="",COUNT(AG231:AT231)=0),"",TODAY()-LOOKUP(2,1/(AG231:AT231&lt;&gt;""),AG231:AT231))</t>
        </is>
      </c>
      <c r="AC231" s="38" t="inlineStr">
        <is>
          <t>IF(OR(E231="",COUNT(AG231:AT231)&lt;2),"",LOOKUP(2,1/(AG231:AT231&lt;&gt;""),AG231:AT231)-MIN(AG231:AT231))</t>
        </is>
      </c>
      <c r="AD231" s="38" t="inlineStr">
        <is>
          <t>IF(OR(AB231="",AA231="Not started",AA231=""),"",IFERROR(AB231-IF(VLOOKUP(AA231,'04_Status_Pipeline'!$B$3:$E$20,4,FALSE)="",0,VLOOKUP(AA231,'04_Status_Pipeline'!$B$3:$E$20,4,FALSE)),""))</t>
        </is>
      </c>
      <c r="AE231" s="32" t="inlineStr">
        <is>
          <t>IF(E231="","",IF(OR(Y231="Cancelled",AA231="Cancelled"),"Cancelled",IF(OR(AA231="Completed / Handover",W231&lt;&gt;"",X231&gt;=100),"Completed — on track",IF(L231="Remaining",IF(S231="",IF(V231="","No planned date",IF(TODAY()&gt;V231,"Behind — past planned date",IF(V231-TODAY()&lt;=30,"At risk — close to off track","On track"))),IF(TODAY()&gt;S231,"Behind — award date passed",IF(S231-TODAY()&lt;=30,"At risk — close to off track","On track"))),IF(V231="","No planned date",IF(AND(TODAY()&gt;V231,OR(X231="",X231&lt;100)),"Behind — past end date",IF(AND(R231&lt;&gt;"",V231&lt;&gt;"",X231&lt;&gt;"",(X231&lt;100),((TODAY()-R231)/MAX(V231-R231,1)*100)-X231&gt;15),"Behind — progress lag",IF(AND(V231-TODAY()&lt;=30,V231-TODAY()&gt;=0,OR(X231="",X231&lt;90)),"At risk — close to off track","On track"))))))))</t>
        </is>
      </c>
      <c r="AF231" s="38" t="inlineStr">
        <is>
          <t>IF(OR(E231="",AA231="Completed / Handover",AA231="Cancelled"),"",IF(L231="Remaining",IF(S231&lt;&gt;"",S231-TODAY(),IF(V231="","",V231-TODAY())),IF(V231="","",V231-TODAY())))</t>
        </is>
      </c>
      <c r="AG231" s="44" t="n"/>
      <c r="AH231" s="44" t="n"/>
      <c r="AI231" s="44" t="n"/>
      <c r="AJ231" s="44" t="n"/>
      <c r="AK231" s="44" t="n"/>
      <c r="AL231" s="44" t="n"/>
      <c r="AM231" s="44" t="n"/>
      <c r="AN231" s="44" t="n"/>
      <c r="AO231" s="44" t="n"/>
      <c r="AP231" s="44" t="n"/>
      <c r="AQ231" s="44" t="n"/>
      <c r="AR231" s="40" t="n"/>
      <c r="AS231" s="40" t="n"/>
      <c r="AT231" s="40" t="n"/>
      <c r="AU231" s="38" t="inlineStr">
        <is>
          <t>IF(OR(E231="",AH231=""),"",IF(COUNT(AG231:AG231)=0,"",AH231-LOOKUP(2,1/(AG231:AG231&lt;&gt;""),AG231:AG231)))</t>
        </is>
      </c>
      <c r="AV231" s="38" t="inlineStr">
        <is>
          <t>IF(OR(E231="",AI231=""),"",IF(COUNT(AG231:AH231)=0,"",AI231-LOOKUP(2,1/(AG231:AH231&lt;&gt;""),AG231:AH231)))</t>
        </is>
      </c>
      <c r="AW231" s="38" t="inlineStr">
        <is>
          <t>IF(OR(E231="",AJ231=""),"",IF(COUNT(AG231:AI231)=0,"",AJ231-LOOKUP(2,1/(AG231:AI231&lt;&gt;""),AG231:AI231)))</t>
        </is>
      </c>
      <c r="AX231" s="38" t="inlineStr">
        <is>
          <t>IF(OR(E231="",AK231=""),"",IF(COUNT(AG231:AJ231)=0,"",AK231-LOOKUP(2,1/(AG231:AJ231&lt;&gt;""),AG231:AJ231)))</t>
        </is>
      </c>
      <c r="AY231" s="38" t="inlineStr">
        <is>
          <t>IF(OR(E231="",AL231=""),"",IF(COUNT(AG231:AK231)=0,"",AL231-LOOKUP(2,1/(AG231:AK231&lt;&gt;""),AG231:AK231)))</t>
        </is>
      </c>
      <c r="AZ231" s="38" t="inlineStr">
        <is>
          <t>IF(OR(E231="",AM231=""),"",IF(COUNT(AG231:AL231)=0,"",AM231-LOOKUP(2,1/(AG231:AL231&lt;&gt;""),AG231:AL231)))</t>
        </is>
      </c>
      <c r="BA231" s="38" t="inlineStr">
        <is>
          <t>IF(OR(E231="",AN231=""),"",IF(COUNT(AG231:AM231)=0,"",AN231-LOOKUP(2,1/(AG231:AM231&lt;&gt;""),AG231:AM231)))</t>
        </is>
      </c>
      <c r="BB231" s="38" t="inlineStr">
        <is>
          <t>IF(OR(E231="",AO231=""),"",IF(COUNT(AG231:AN231)=0,"",AO231-LOOKUP(2,1/(AG231:AN231&lt;&gt;""),AG231:AN231)))</t>
        </is>
      </c>
      <c r="BC231" s="38" t="inlineStr">
        <is>
          <t>IF(OR(E231="",AP231=""),"",IF(COUNT(AG231:AO231)=0,"",AP231-LOOKUP(2,1/(AG231:AO231&lt;&gt;""),AG231:AO231)))</t>
        </is>
      </c>
      <c r="BD231" s="38" t="inlineStr">
        <is>
          <t>IF(OR(E231="",AQ231=""),"",IF(COUNT(AG231:AP231)=0,"",AQ231-LOOKUP(2,1/(AG231:AP231&lt;&gt;""),AG231:AP231)))</t>
        </is>
      </c>
      <c r="BE231" s="38" t="inlineStr">
        <is>
          <t>IF(OR(E231="",AR231=""),"",IF(COUNT(AG231:AQ231)=0,"",AR231-LOOKUP(2,1/(AG231:AQ231&lt;&gt;""),AG231:AQ231)))</t>
        </is>
      </c>
      <c r="BF231" s="38" t="inlineStr">
        <is>
          <t>IF(OR(E231="",AS231=""),"",IF(COUNT(AG231:AR231)=0,"",AS231-LOOKUP(2,1/(AG231:AR231&lt;&gt;""),AG231:AR231)))</t>
        </is>
      </c>
      <c r="BG231" s="38" t="inlineStr">
        <is>
          <t>IF(OR(E231="",AT231=""),"",IF(COUNT(AG231:AS231)=0,"",AT231-LOOKUP(2,1/(AG231:AS231&lt;&gt;""),AG231:AS231)))</t>
        </is>
      </c>
      <c r="BH231" s="41" t="inlineStr">
        <is>
          <t>IF(G231="","All_Provinces",IFERROR(VLOOKUP(G231,'07_Lookups'!$A$4:$B$20,2,FALSE),"All_Provinces"))</t>
        </is>
      </c>
      <c r="BI231" s="41" t="inlineStr">
        <is>
          <t>IF(H231="","All_Districts",IFERROR(VLOOKUP(H231,'07_Lookups'!$E$4:$F$42,2,FALSE),"All_Districts"))</t>
        </is>
      </c>
    </row>
    <row r="232" ht="18" customHeight="1">
      <c r="A232" s="32" t="inlineStr">
        <is>
          <t>IF(E232="","",ROW()-3)</t>
        </is>
      </c>
      <c r="B232" s="33" t="n"/>
      <c r="C232" s="33" t="n"/>
      <c r="D232" s="33" t="n"/>
      <c r="E232" s="33" t="n"/>
      <c r="F232" s="33" t="n"/>
      <c r="G232" s="33" t="n"/>
      <c r="H232" s="33" t="n"/>
      <c r="I232" s="33" t="n"/>
      <c r="J232" s="33" t="n"/>
      <c r="K232" s="33" t="n"/>
      <c r="L232" s="33" t="n"/>
      <c r="M232" s="33" t="n"/>
      <c r="N232" s="33" t="n"/>
      <c r="O232" s="33" t="n"/>
      <c r="P232" s="33" t="n"/>
      <c r="Q232" s="34" t="n"/>
      <c r="R232" s="35" t="inlineStr">
        <is>
          <t>IF(AO232="","",AO232)</t>
        </is>
      </c>
      <c r="S232" s="36" t="n"/>
      <c r="T232" s="37" t="n"/>
      <c r="U232" s="36" t="n"/>
      <c r="V232" s="35" t="inlineStr">
        <is>
          <t>IF(U232&lt;&gt;"",U232,IF(OR(R232="",T232=""),"",EDATE(R232,T232)))</t>
        </is>
      </c>
      <c r="W232" s="36" t="n"/>
      <c r="X232" s="37" t="n"/>
      <c r="Y232" s="33" t="n"/>
      <c r="Z232" s="33" t="n"/>
      <c r="AA232" s="32" t="inlineStr">
        <is>
          <t>IF(E232="","",IF(COUNT(AG232:AT232)=0,IF(Y232="","Not started",Y232),SUBSTITUTE(LOOKUP(2,1/(AG232:AT232&lt;&gt;""),$AG$3:$AT$3),"Date: ","")))</t>
        </is>
      </c>
      <c r="AB232" s="38" t="inlineStr">
        <is>
          <t>IF(OR(E232="",COUNT(AG232:AT232)=0),"",TODAY()-LOOKUP(2,1/(AG232:AT232&lt;&gt;""),AG232:AT232))</t>
        </is>
      </c>
      <c r="AC232" s="38" t="inlineStr">
        <is>
          <t>IF(OR(E232="",COUNT(AG232:AT232)&lt;2),"",LOOKUP(2,1/(AG232:AT232&lt;&gt;""),AG232:AT232)-MIN(AG232:AT232))</t>
        </is>
      </c>
      <c r="AD232" s="38" t="inlineStr">
        <is>
          <t>IF(OR(AB232="",AA232="Not started",AA232=""),"",IFERROR(AB232-IF(VLOOKUP(AA232,'04_Status_Pipeline'!$B$3:$E$20,4,FALSE)="",0,VLOOKUP(AA232,'04_Status_Pipeline'!$B$3:$E$20,4,FALSE)),""))</t>
        </is>
      </c>
      <c r="AE232" s="32" t="inlineStr">
        <is>
          <t>IF(E232="","",IF(OR(Y232="Cancelled",AA232="Cancelled"),"Cancelled",IF(OR(AA232="Completed / Handover",W232&lt;&gt;"",X232&gt;=100),"Completed — on track",IF(L232="Remaining",IF(S232="",IF(V232="","No planned date",IF(TODAY()&gt;V232,"Behind — past planned date",IF(V232-TODAY()&lt;=30,"At risk — close to off track","On track"))),IF(TODAY()&gt;S232,"Behind — award date passed",IF(S232-TODAY()&lt;=30,"At risk — close to off track","On track"))),IF(V232="","No planned date",IF(AND(TODAY()&gt;V232,OR(X232="",X232&lt;100)),"Behind — past end date",IF(AND(R232&lt;&gt;"",V232&lt;&gt;"",X232&lt;&gt;"",(X232&lt;100),((TODAY()-R232)/MAX(V232-R232,1)*100)-X232&gt;15),"Behind — progress lag",IF(AND(V232-TODAY()&lt;=30,V232-TODAY()&gt;=0,OR(X232="",X232&lt;90)),"At risk — close to off track","On track"))))))))</t>
        </is>
      </c>
      <c r="AF232" s="38" t="inlineStr">
        <is>
          <t>IF(OR(E232="",AA232="Completed / Handover",AA232="Cancelled"),"",IF(L232="Remaining",IF(S232&lt;&gt;"",S232-TODAY(),IF(V232="","",V232-TODAY())),IF(V232="","",V232-TODAY())))</t>
        </is>
      </c>
      <c r="AG232" s="36" t="n"/>
      <c r="AH232" s="36" t="n"/>
      <c r="AI232" s="36" t="n"/>
      <c r="AJ232" s="36" t="n"/>
      <c r="AK232" s="36" t="n"/>
      <c r="AL232" s="36" t="n"/>
      <c r="AM232" s="36" t="n"/>
      <c r="AN232" s="36" t="n"/>
      <c r="AO232" s="36" t="n"/>
      <c r="AP232" s="36" t="n"/>
      <c r="AQ232" s="36" t="n"/>
      <c r="AR232" s="40" t="n"/>
      <c r="AS232" s="40" t="n"/>
      <c r="AT232" s="40" t="n"/>
      <c r="AU232" s="38" t="inlineStr">
        <is>
          <t>IF(OR(E232="",AH232=""),"",IF(COUNT(AG232:AG232)=0,"",AH232-LOOKUP(2,1/(AG232:AG232&lt;&gt;""),AG232:AG232)))</t>
        </is>
      </c>
      <c r="AV232" s="38" t="inlineStr">
        <is>
          <t>IF(OR(E232="",AI232=""),"",IF(COUNT(AG232:AH232)=0,"",AI232-LOOKUP(2,1/(AG232:AH232&lt;&gt;""),AG232:AH232)))</t>
        </is>
      </c>
      <c r="AW232" s="38" t="inlineStr">
        <is>
          <t>IF(OR(E232="",AJ232=""),"",IF(COUNT(AG232:AI232)=0,"",AJ232-LOOKUP(2,1/(AG232:AI232&lt;&gt;""),AG232:AI232)))</t>
        </is>
      </c>
      <c r="AX232" s="38" t="inlineStr">
        <is>
          <t>IF(OR(E232="",AK232=""),"",IF(COUNT(AG232:AJ232)=0,"",AK232-LOOKUP(2,1/(AG232:AJ232&lt;&gt;""),AG232:AJ232)))</t>
        </is>
      </c>
      <c r="AY232" s="38" t="inlineStr">
        <is>
          <t>IF(OR(E232="",AL232=""),"",IF(COUNT(AG232:AK232)=0,"",AL232-LOOKUP(2,1/(AG232:AK232&lt;&gt;""),AG232:AK232)))</t>
        </is>
      </c>
      <c r="AZ232" s="38" t="inlineStr">
        <is>
          <t>IF(OR(E232="",AM232=""),"",IF(COUNT(AG232:AL232)=0,"",AM232-LOOKUP(2,1/(AG232:AL232&lt;&gt;""),AG232:AL232)))</t>
        </is>
      </c>
      <c r="BA232" s="38" t="inlineStr">
        <is>
          <t>IF(OR(E232="",AN232=""),"",IF(COUNT(AG232:AM232)=0,"",AN232-LOOKUP(2,1/(AG232:AM232&lt;&gt;""),AG232:AM232)))</t>
        </is>
      </c>
      <c r="BB232" s="38" t="inlineStr">
        <is>
          <t>IF(OR(E232="",AO232=""),"",IF(COUNT(AG232:AN232)=0,"",AO232-LOOKUP(2,1/(AG232:AN232&lt;&gt;""),AG232:AN232)))</t>
        </is>
      </c>
      <c r="BC232" s="38" t="inlineStr">
        <is>
          <t>IF(OR(E232="",AP232=""),"",IF(COUNT(AG232:AO232)=0,"",AP232-LOOKUP(2,1/(AG232:AO232&lt;&gt;""),AG232:AO232)))</t>
        </is>
      </c>
      <c r="BD232" s="38" t="inlineStr">
        <is>
          <t>IF(OR(E232="",AQ232=""),"",IF(COUNT(AG232:AP232)=0,"",AQ232-LOOKUP(2,1/(AG232:AP232&lt;&gt;""),AG232:AP232)))</t>
        </is>
      </c>
      <c r="BE232" s="38" t="inlineStr">
        <is>
          <t>IF(OR(E232="",AR232=""),"",IF(COUNT(AG232:AQ232)=0,"",AR232-LOOKUP(2,1/(AG232:AQ232&lt;&gt;""),AG232:AQ232)))</t>
        </is>
      </c>
      <c r="BF232" s="38" t="inlineStr">
        <is>
          <t>IF(OR(E232="",AS232=""),"",IF(COUNT(AG232:AR232)=0,"",AS232-LOOKUP(2,1/(AG232:AR232&lt;&gt;""),AG232:AR232)))</t>
        </is>
      </c>
      <c r="BG232" s="38" t="inlineStr">
        <is>
          <t>IF(OR(E232="",AT232=""),"",IF(COUNT(AG232:AS232)=0,"",AT232-LOOKUP(2,1/(AG232:AS232&lt;&gt;""),AG232:AS232)))</t>
        </is>
      </c>
      <c r="BH232" s="41" t="inlineStr">
        <is>
          <t>IF(G232="","All_Provinces",IFERROR(VLOOKUP(G232,'07_Lookups'!$A$4:$B$20,2,FALSE),"All_Provinces"))</t>
        </is>
      </c>
      <c r="BI232" s="41" t="inlineStr">
        <is>
          <t>IF(H232="","All_Districts",IFERROR(VLOOKUP(H232,'07_Lookups'!$E$4:$F$42,2,FALSE),"All_Districts"))</t>
        </is>
      </c>
    </row>
    <row r="233" ht="18" customHeight="1">
      <c r="A233" s="32" t="inlineStr">
        <is>
          <t>IF(E233="","",ROW()-3)</t>
        </is>
      </c>
      <c r="B233" s="42" t="n"/>
      <c r="C233" s="42" t="n"/>
      <c r="D233" s="42" t="n"/>
      <c r="E233" s="42" t="n"/>
      <c r="F233" s="42" t="n"/>
      <c r="G233" s="42" t="n"/>
      <c r="H233" s="42" t="n"/>
      <c r="I233" s="42" t="n"/>
      <c r="J233" s="42" t="n"/>
      <c r="K233" s="42" t="n"/>
      <c r="L233" s="42" t="n"/>
      <c r="M233" s="42" t="n"/>
      <c r="N233" s="42" t="n"/>
      <c r="O233" s="42" t="n"/>
      <c r="P233" s="42" t="n"/>
      <c r="Q233" s="43" t="n"/>
      <c r="R233" s="35" t="inlineStr">
        <is>
          <t>IF(AO233="","",AO233)</t>
        </is>
      </c>
      <c r="S233" s="44" t="n"/>
      <c r="T233" s="45" t="n"/>
      <c r="U233" s="44" t="n"/>
      <c r="V233" s="35" t="inlineStr">
        <is>
          <t>IF(U233&lt;&gt;"",U233,IF(OR(R233="",T233=""),"",EDATE(R233,T233)))</t>
        </is>
      </c>
      <c r="W233" s="44" t="n"/>
      <c r="X233" s="45" t="n"/>
      <c r="Y233" s="42" t="n"/>
      <c r="Z233" s="42" t="n"/>
      <c r="AA233" s="32" t="inlineStr">
        <is>
          <t>IF(E233="","",IF(COUNT(AG233:AT233)=0,IF(Y233="","Not started",Y233),SUBSTITUTE(LOOKUP(2,1/(AG233:AT233&lt;&gt;""),$AG$3:$AT$3),"Date: ","")))</t>
        </is>
      </c>
      <c r="AB233" s="38" t="inlineStr">
        <is>
          <t>IF(OR(E233="",COUNT(AG233:AT233)=0),"",TODAY()-LOOKUP(2,1/(AG233:AT233&lt;&gt;""),AG233:AT233))</t>
        </is>
      </c>
      <c r="AC233" s="38" t="inlineStr">
        <is>
          <t>IF(OR(E233="",COUNT(AG233:AT233)&lt;2),"",LOOKUP(2,1/(AG233:AT233&lt;&gt;""),AG233:AT233)-MIN(AG233:AT233))</t>
        </is>
      </c>
      <c r="AD233" s="38" t="inlineStr">
        <is>
          <t>IF(OR(AB233="",AA233="Not started",AA233=""),"",IFERROR(AB233-IF(VLOOKUP(AA233,'04_Status_Pipeline'!$B$3:$E$20,4,FALSE)="",0,VLOOKUP(AA233,'04_Status_Pipeline'!$B$3:$E$20,4,FALSE)),""))</t>
        </is>
      </c>
      <c r="AE233" s="32" t="inlineStr">
        <is>
          <t>IF(E233="","",IF(OR(Y233="Cancelled",AA233="Cancelled"),"Cancelled",IF(OR(AA233="Completed / Handover",W233&lt;&gt;"",X233&gt;=100),"Completed — on track",IF(L233="Remaining",IF(S233="",IF(V233="","No planned date",IF(TODAY()&gt;V233,"Behind — past planned date",IF(V233-TODAY()&lt;=30,"At risk — close to off track","On track"))),IF(TODAY()&gt;S233,"Behind — award date passed",IF(S233-TODAY()&lt;=30,"At risk — close to off track","On track"))),IF(V233="","No planned date",IF(AND(TODAY()&gt;V233,OR(X233="",X233&lt;100)),"Behind — past end date",IF(AND(R233&lt;&gt;"",V233&lt;&gt;"",X233&lt;&gt;"",(X233&lt;100),((TODAY()-R233)/MAX(V233-R233,1)*100)-X233&gt;15),"Behind — progress lag",IF(AND(V233-TODAY()&lt;=30,V233-TODAY()&gt;=0,OR(X233="",X233&lt;90)),"At risk — close to off track","On track"))))))))</t>
        </is>
      </c>
      <c r="AF233" s="38" t="inlineStr">
        <is>
          <t>IF(OR(E233="",AA233="Completed / Handover",AA233="Cancelled"),"",IF(L233="Remaining",IF(S233&lt;&gt;"",S233-TODAY(),IF(V233="","",V233-TODAY())),IF(V233="","",V233-TODAY())))</t>
        </is>
      </c>
      <c r="AG233" s="44" t="n"/>
      <c r="AH233" s="44" t="n"/>
      <c r="AI233" s="44" t="n"/>
      <c r="AJ233" s="44" t="n"/>
      <c r="AK233" s="44" t="n"/>
      <c r="AL233" s="44" t="n"/>
      <c r="AM233" s="44" t="n"/>
      <c r="AN233" s="44" t="n"/>
      <c r="AO233" s="44" t="n"/>
      <c r="AP233" s="44" t="n"/>
      <c r="AQ233" s="44" t="n"/>
      <c r="AR233" s="40" t="n"/>
      <c r="AS233" s="40" t="n"/>
      <c r="AT233" s="40" t="n"/>
      <c r="AU233" s="38" t="inlineStr">
        <is>
          <t>IF(OR(E233="",AH233=""),"",IF(COUNT(AG233:AG233)=0,"",AH233-LOOKUP(2,1/(AG233:AG233&lt;&gt;""),AG233:AG233)))</t>
        </is>
      </c>
      <c r="AV233" s="38" t="inlineStr">
        <is>
          <t>IF(OR(E233="",AI233=""),"",IF(COUNT(AG233:AH233)=0,"",AI233-LOOKUP(2,1/(AG233:AH233&lt;&gt;""),AG233:AH233)))</t>
        </is>
      </c>
      <c r="AW233" s="38" t="inlineStr">
        <is>
          <t>IF(OR(E233="",AJ233=""),"",IF(COUNT(AG233:AI233)=0,"",AJ233-LOOKUP(2,1/(AG233:AI233&lt;&gt;""),AG233:AI233)))</t>
        </is>
      </c>
      <c r="AX233" s="38" t="inlineStr">
        <is>
          <t>IF(OR(E233="",AK233=""),"",IF(COUNT(AG233:AJ233)=0,"",AK233-LOOKUP(2,1/(AG233:AJ233&lt;&gt;""),AG233:AJ233)))</t>
        </is>
      </c>
      <c r="AY233" s="38" t="inlineStr">
        <is>
          <t>IF(OR(E233="",AL233=""),"",IF(COUNT(AG233:AK233)=0,"",AL233-LOOKUP(2,1/(AG233:AK233&lt;&gt;""),AG233:AK233)))</t>
        </is>
      </c>
      <c r="AZ233" s="38" t="inlineStr">
        <is>
          <t>IF(OR(E233="",AM233=""),"",IF(COUNT(AG233:AL233)=0,"",AM233-LOOKUP(2,1/(AG233:AL233&lt;&gt;""),AG233:AL233)))</t>
        </is>
      </c>
      <c r="BA233" s="38" t="inlineStr">
        <is>
          <t>IF(OR(E233="",AN233=""),"",IF(COUNT(AG233:AM233)=0,"",AN233-LOOKUP(2,1/(AG233:AM233&lt;&gt;""),AG233:AM233)))</t>
        </is>
      </c>
      <c r="BB233" s="38" t="inlineStr">
        <is>
          <t>IF(OR(E233="",AO233=""),"",IF(COUNT(AG233:AN233)=0,"",AO233-LOOKUP(2,1/(AG233:AN233&lt;&gt;""),AG233:AN233)))</t>
        </is>
      </c>
      <c r="BC233" s="38" t="inlineStr">
        <is>
          <t>IF(OR(E233="",AP233=""),"",IF(COUNT(AG233:AO233)=0,"",AP233-LOOKUP(2,1/(AG233:AO233&lt;&gt;""),AG233:AO233)))</t>
        </is>
      </c>
      <c r="BD233" s="38" t="inlineStr">
        <is>
          <t>IF(OR(E233="",AQ233=""),"",IF(COUNT(AG233:AP233)=0,"",AQ233-LOOKUP(2,1/(AG233:AP233&lt;&gt;""),AG233:AP233)))</t>
        </is>
      </c>
      <c r="BE233" s="38" t="inlineStr">
        <is>
          <t>IF(OR(E233="",AR233=""),"",IF(COUNT(AG233:AQ233)=0,"",AR233-LOOKUP(2,1/(AG233:AQ233&lt;&gt;""),AG233:AQ233)))</t>
        </is>
      </c>
      <c r="BF233" s="38" t="inlineStr">
        <is>
          <t>IF(OR(E233="",AS233=""),"",IF(COUNT(AG233:AR233)=0,"",AS233-LOOKUP(2,1/(AG233:AR233&lt;&gt;""),AG233:AR233)))</t>
        </is>
      </c>
      <c r="BG233" s="38" t="inlineStr">
        <is>
          <t>IF(OR(E233="",AT233=""),"",IF(COUNT(AG233:AS233)=0,"",AT233-LOOKUP(2,1/(AG233:AS233&lt;&gt;""),AG233:AS233)))</t>
        </is>
      </c>
      <c r="BH233" s="41" t="inlineStr">
        <is>
          <t>IF(G233="","All_Provinces",IFERROR(VLOOKUP(G233,'07_Lookups'!$A$4:$B$20,2,FALSE),"All_Provinces"))</t>
        </is>
      </c>
      <c r="BI233" s="41" t="inlineStr">
        <is>
          <t>IF(H233="","All_Districts",IFERROR(VLOOKUP(H233,'07_Lookups'!$E$4:$F$42,2,FALSE),"All_Districts"))</t>
        </is>
      </c>
    </row>
    <row r="234" ht="18" customHeight="1">
      <c r="A234" s="32" t="inlineStr">
        <is>
          <t>IF(E234="","",ROW()-3)</t>
        </is>
      </c>
      <c r="B234" s="33" t="n"/>
      <c r="C234" s="33" t="n"/>
      <c r="D234" s="33" t="n"/>
      <c r="E234" s="33" t="n"/>
      <c r="F234" s="33" t="n"/>
      <c r="G234" s="33" t="n"/>
      <c r="H234" s="33" t="n"/>
      <c r="I234" s="33" t="n"/>
      <c r="J234" s="33" t="n"/>
      <c r="K234" s="33" t="n"/>
      <c r="L234" s="33" t="n"/>
      <c r="M234" s="33" t="n"/>
      <c r="N234" s="33" t="n"/>
      <c r="O234" s="33" t="n"/>
      <c r="P234" s="33" t="n"/>
      <c r="Q234" s="34" t="n"/>
      <c r="R234" s="35" t="inlineStr">
        <is>
          <t>IF(AO234="","",AO234)</t>
        </is>
      </c>
      <c r="S234" s="36" t="n"/>
      <c r="T234" s="37" t="n"/>
      <c r="U234" s="36" t="n"/>
      <c r="V234" s="35" t="inlineStr">
        <is>
          <t>IF(U234&lt;&gt;"",U234,IF(OR(R234="",T234=""),"",EDATE(R234,T234)))</t>
        </is>
      </c>
      <c r="W234" s="36" t="n"/>
      <c r="X234" s="37" t="n"/>
      <c r="Y234" s="33" t="n"/>
      <c r="Z234" s="33" t="n"/>
      <c r="AA234" s="32" t="inlineStr">
        <is>
          <t>IF(E234="","",IF(COUNT(AG234:AT234)=0,IF(Y234="","Not started",Y234),SUBSTITUTE(LOOKUP(2,1/(AG234:AT234&lt;&gt;""),$AG$3:$AT$3),"Date: ","")))</t>
        </is>
      </c>
      <c r="AB234" s="38" t="inlineStr">
        <is>
          <t>IF(OR(E234="",COUNT(AG234:AT234)=0),"",TODAY()-LOOKUP(2,1/(AG234:AT234&lt;&gt;""),AG234:AT234))</t>
        </is>
      </c>
      <c r="AC234" s="38" t="inlineStr">
        <is>
          <t>IF(OR(E234="",COUNT(AG234:AT234)&lt;2),"",LOOKUP(2,1/(AG234:AT234&lt;&gt;""),AG234:AT234)-MIN(AG234:AT234))</t>
        </is>
      </c>
      <c r="AD234" s="38" t="inlineStr">
        <is>
          <t>IF(OR(AB234="",AA234="Not started",AA234=""),"",IFERROR(AB234-IF(VLOOKUP(AA234,'04_Status_Pipeline'!$B$3:$E$20,4,FALSE)="",0,VLOOKUP(AA234,'04_Status_Pipeline'!$B$3:$E$20,4,FALSE)),""))</t>
        </is>
      </c>
      <c r="AE234" s="32" t="inlineStr">
        <is>
          <t>IF(E234="","",IF(OR(Y234="Cancelled",AA234="Cancelled"),"Cancelled",IF(OR(AA234="Completed / Handover",W234&lt;&gt;"",X234&gt;=100),"Completed — on track",IF(L234="Remaining",IF(S234="",IF(V234="","No planned date",IF(TODAY()&gt;V234,"Behind — past planned date",IF(V234-TODAY()&lt;=30,"At risk — close to off track","On track"))),IF(TODAY()&gt;S234,"Behind — award date passed",IF(S234-TODAY()&lt;=30,"At risk — close to off track","On track"))),IF(V234="","No planned date",IF(AND(TODAY()&gt;V234,OR(X234="",X234&lt;100)),"Behind — past end date",IF(AND(R234&lt;&gt;"",V234&lt;&gt;"",X234&lt;&gt;"",(X234&lt;100),((TODAY()-R234)/MAX(V234-R234,1)*100)-X234&gt;15),"Behind — progress lag",IF(AND(V234-TODAY()&lt;=30,V234-TODAY()&gt;=0,OR(X234="",X234&lt;90)),"At risk — close to off track","On track"))))))))</t>
        </is>
      </c>
      <c r="AF234" s="38" t="inlineStr">
        <is>
          <t>IF(OR(E234="",AA234="Completed / Handover",AA234="Cancelled"),"",IF(L234="Remaining",IF(S234&lt;&gt;"",S234-TODAY(),IF(V234="","",V234-TODAY())),IF(V234="","",V234-TODAY())))</t>
        </is>
      </c>
      <c r="AG234" s="36" t="n"/>
      <c r="AH234" s="36" t="n"/>
      <c r="AI234" s="36" t="n"/>
      <c r="AJ234" s="36" t="n"/>
      <c r="AK234" s="36" t="n"/>
      <c r="AL234" s="36" t="n"/>
      <c r="AM234" s="36" t="n"/>
      <c r="AN234" s="36" t="n"/>
      <c r="AO234" s="36" t="n"/>
      <c r="AP234" s="36" t="n"/>
      <c r="AQ234" s="36" t="n"/>
      <c r="AR234" s="40" t="n"/>
      <c r="AS234" s="40" t="n"/>
      <c r="AT234" s="40" t="n"/>
      <c r="AU234" s="38" t="inlineStr">
        <is>
          <t>IF(OR(E234="",AH234=""),"",IF(COUNT(AG234:AG234)=0,"",AH234-LOOKUP(2,1/(AG234:AG234&lt;&gt;""),AG234:AG234)))</t>
        </is>
      </c>
      <c r="AV234" s="38" t="inlineStr">
        <is>
          <t>IF(OR(E234="",AI234=""),"",IF(COUNT(AG234:AH234)=0,"",AI234-LOOKUP(2,1/(AG234:AH234&lt;&gt;""),AG234:AH234)))</t>
        </is>
      </c>
      <c r="AW234" s="38" t="inlineStr">
        <is>
          <t>IF(OR(E234="",AJ234=""),"",IF(COUNT(AG234:AI234)=0,"",AJ234-LOOKUP(2,1/(AG234:AI234&lt;&gt;""),AG234:AI234)))</t>
        </is>
      </c>
      <c r="AX234" s="38" t="inlineStr">
        <is>
          <t>IF(OR(E234="",AK234=""),"",IF(COUNT(AG234:AJ234)=0,"",AK234-LOOKUP(2,1/(AG234:AJ234&lt;&gt;""),AG234:AJ234)))</t>
        </is>
      </c>
      <c r="AY234" s="38" t="inlineStr">
        <is>
          <t>IF(OR(E234="",AL234=""),"",IF(COUNT(AG234:AK234)=0,"",AL234-LOOKUP(2,1/(AG234:AK234&lt;&gt;""),AG234:AK234)))</t>
        </is>
      </c>
      <c r="AZ234" s="38" t="inlineStr">
        <is>
          <t>IF(OR(E234="",AM234=""),"",IF(COUNT(AG234:AL234)=0,"",AM234-LOOKUP(2,1/(AG234:AL234&lt;&gt;""),AG234:AL234)))</t>
        </is>
      </c>
      <c r="BA234" s="38" t="inlineStr">
        <is>
          <t>IF(OR(E234="",AN234=""),"",IF(COUNT(AG234:AM234)=0,"",AN234-LOOKUP(2,1/(AG234:AM234&lt;&gt;""),AG234:AM234)))</t>
        </is>
      </c>
      <c r="BB234" s="38" t="inlineStr">
        <is>
          <t>IF(OR(E234="",AO234=""),"",IF(COUNT(AG234:AN234)=0,"",AO234-LOOKUP(2,1/(AG234:AN234&lt;&gt;""),AG234:AN234)))</t>
        </is>
      </c>
      <c r="BC234" s="38" t="inlineStr">
        <is>
          <t>IF(OR(E234="",AP234=""),"",IF(COUNT(AG234:AO234)=0,"",AP234-LOOKUP(2,1/(AG234:AO234&lt;&gt;""),AG234:AO234)))</t>
        </is>
      </c>
      <c r="BD234" s="38" t="inlineStr">
        <is>
          <t>IF(OR(E234="",AQ234=""),"",IF(COUNT(AG234:AP234)=0,"",AQ234-LOOKUP(2,1/(AG234:AP234&lt;&gt;""),AG234:AP234)))</t>
        </is>
      </c>
      <c r="BE234" s="38" t="inlineStr">
        <is>
          <t>IF(OR(E234="",AR234=""),"",IF(COUNT(AG234:AQ234)=0,"",AR234-LOOKUP(2,1/(AG234:AQ234&lt;&gt;""),AG234:AQ234)))</t>
        </is>
      </c>
      <c r="BF234" s="38" t="inlineStr">
        <is>
          <t>IF(OR(E234="",AS234=""),"",IF(COUNT(AG234:AR234)=0,"",AS234-LOOKUP(2,1/(AG234:AR234&lt;&gt;""),AG234:AR234)))</t>
        </is>
      </c>
      <c r="BG234" s="38" t="inlineStr">
        <is>
          <t>IF(OR(E234="",AT234=""),"",IF(COUNT(AG234:AS234)=0,"",AT234-LOOKUP(2,1/(AG234:AS234&lt;&gt;""),AG234:AS234)))</t>
        </is>
      </c>
      <c r="BH234" s="41" t="inlineStr">
        <is>
          <t>IF(G234="","All_Provinces",IFERROR(VLOOKUP(G234,'07_Lookups'!$A$4:$B$20,2,FALSE),"All_Provinces"))</t>
        </is>
      </c>
      <c r="BI234" s="41" t="inlineStr">
        <is>
          <t>IF(H234="","All_Districts",IFERROR(VLOOKUP(H234,'07_Lookups'!$E$4:$F$42,2,FALSE),"All_Districts"))</t>
        </is>
      </c>
    </row>
    <row r="235" ht="18" customHeight="1">
      <c r="A235" s="32" t="inlineStr">
        <is>
          <t>IF(E235="","",ROW()-3)</t>
        </is>
      </c>
      <c r="B235" s="42" t="n"/>
      <c r="C235" s="42" t="n"/>
      <c r="D235" s="42" t="n"/>
      <c r="E235" s="42" t="n"/>
      <c r="F235" s="42" t="n"/>
      <c r="G235" s="42" t="n"/>
      <c r="H235" s="42" t="n"/>
      <c r="I235" s="42" t="n"/>
      <c r="J235" s="42" t="n"/>
      <c r="K235" s="42" t="n"/>
      <c r="L235" s="42" t="n"/>
      <c r="M235" s="42" t="n"/>
      <c r="N235" s="42" t="n"/>
      <c r="O235" s="42" t="n"/>
      <c r="P235" s="42" t="n"/>
      <c r="Q235" s="43" t="n"/>
      <c r="R235" s="35" t="inlineStr">
        <is>
          <t>IF(AO235="","",AO235)</t>
        </is>
      </c>
      <c r="S235" s="44" t="n"/>
      <c r="T235" s="45" t="n"/>
      <c r="U235" s="44" t="n"/>
      <c r="V235" s="35" t="inlineStr">
        <is>
          <t>IF(U235&lt;&gt;"",U235,IF(OR(R235="",T235=""),"",EDATE(R235,T235)))</t>
        </is>
      </c>
      <c r="W235" s="44" t="n"/>
      <c r="X235" s="45" t="n"/>
      <c r="Y235" s="42" t="n"/>
      <c r="Z235" s="42" t="n"/>
      <c r="AA235" s="32" t="inlineStr">
        <is>
          <t>IF(E235="","",IF(COUNT(AG235:AT235)=0,IF(Y235="","Not started",Y235),SUBSTITUTE(LOOKUP(2,1/(AG235:AT235&lt;&gt;""),$AG$3:$AT$3),"Date: ","")))</t>
        </is>
      </c>
      <c r="AB235" s="38" t="inlineStr">
        <is>
          <t>IF(OR(E235="",COUNT(AG235:AT235)=0),"",TODAY()-LOOKUP(2,1/(AG235:AT235&lt;&gt;""),AG235:AT235))</t>
        </is>
      </c>
      <c r="AC235" s="38" t="inlineStr">
        <is>
          <t>IF(OR(E235="",COUNT(AG235:AT235)&lt;2),"",LOOKUP(2,1/(AG235:AT235&lt;&gt;""),AG235:AT235)-MIN(AG235:AT235))</t>
        </is>
      </c>
      <c r="AD235" s="38" t="inlineStr">
        <is>
          <t>IF(OR(AB235="",AA235="Not started",AA235=""),"",IFERROR(AB235-IF(VLOOKUP(AA235,'04_Status_Pipeline'!$B$3:$E$20,4,FALSE)="",0,VLOOKUP(AA235,'04_Status_Pipeline'!$B$3:$E$20,4,FALSE)),""))</t>
        </is>
      </c>
      <c r="AE235" s="32" t="inlineStr">
        <is>
          <t>IF(E235="","",IF(OR(Y235="Cancelled",AA235="Cancelled"),"Cancelled",IF(OR(AA235="Completed / Handover",W235&lt;&gt;"",X235&gt;=100),"Completed — on track",IF(L235="Remaining",IF(S235="",IF(V235="","No planned date",IF(TODAY()&gt;V235,"Behind — past planned date",IF(V235-TODAY()&lt;=30,"At risk — close to off track","On track"))),IF(TODAY()&gt;S235,"Behind — award date passed",IF(S235-TODAY()&lt;=30,"At risk — close to off track","On track"))),IF(V235="","No planned date",IF(AND(TODAY()&gt;V235,OR(X235="",X235&lt;100)),"Behind — past end date",IF(AND(R235&lt;&gt;"",V235&lt;&gt;"",X235&lt;&gt;"",(X235&lt;100),((TODAY()-R235)/MAX(V235-R235,1)*100)-X235&gt;15),"Behind — progress lag",IF(AND(V235-TODAY()&lt;=30,V235-TODAY()&gt;=0,OR(X235="",X235&lt;90)),"At risk — close to off track","On track"))))))))</t>
        </is>
      </c>
      <c r="AF235" s="38" t="inlineStr">
        <is>
          <t>IF(OR(E235="",AA235="Completed / Handover",AA235="Cancelled"),"",IF(L235="Remaining",IF(S235&lt;&gt;"",S235-TODAY(),IF(V235="","",V235-TODAY())),IF(V235="","",V235-TODAY())))</t>
        </is>
      </c>
      <c r="AG235" s="44" t="n"/>
      <c r="AH235" s="44" t="n"/>
      <c r="AI235" s="44" t="n"/>
      <c r="AJ235" s="44" t="n"/>
      <c r="AK235" s="44" t="n"/>
      <c r="AL235" s="44" t="n"/>
      <c r="AM235" s="44" t="n"/>
      <c r="AN235" s="44" t="n"/>
      <c r="AO235" s="44" t="n"/>
      <c r="AP235" s="44" t="n"/>
      <c r="AQ235" s="44" t="n"/>
      <c r="AR235" s="40" t="n"/>
      <c r="AS235" s="40" t="n"/>
      <c r="AT235" s="40" t="n"/>
      <c r="AU235" s="38" t="inlineStr">
        <is>
          <t>IF(OR(E235="",AH235=""),"",IF(COUNT(AG235:AG235)=0,"",AH235-LOOKUP(2,1/(AG235:AG235&lt;&gt;""),AG235:AG235)))</t>
        </is>
      </c>
      <c r="AV235" s="38" t="inlineStr">
        <is>
          <t>IF(OR(E235="",AI235=""),"",IF(COUNT(AG235:AH235)=0,"",AI235-LOOKUP(2,1/(AG235:AH235&lt;&gt;""),AG235:AH235)))</t>
        </is>
      </c>
      <c r="AW235" s="38" t="inlineStr">
        <is>
          <t>IF(OR(E235="",AJ235=""),"",IF(COUNT(AG235:AI235)=0,"",AJ235-LOOKUP(2,1/(AG235:AI235&lt;&gt;""),AG235:AI235)))</t>
        </is>
      </c>
      <c r="AX235" s="38" t="inlineStr">
        <is>
          <t>IF(OR(E235="",AK235=""),"",IF(COUNT(AG235:AJ235)=0,"",AK235-LOOKUP(2,1/(AG235:AJ235&lt;&gt;""),AG235:AJ235)))</t>
        </is>
      </c>
      <c r="AY235" s="38" t="inlineStr">
        <is>
          <t>IF(OR(E235="",AL235=""),"",IF(COUNT(AG235:AK235)=0,"",AL235-LOOKUP(2,1/(AG235:AK235&lt;&gt;""),AG235:AK235)))</t>
        </is>
      </c>
      <c r="AZ235" s="38" t="inlineStr">
        <is>
          <t>IF(OR(E235="",AM235=""),"",IF(COUNT(AG235:AL235)=0,"",AM235-LOOKUP(2,1/(AG235:AL235&lt;&gt;""),AG235:AL235)))</t>
        </is>
      </c>
      <c r="BA235" s="38" t="inlineStr">
        <is>
          <t>IF(OR(E235="",AN235=""),"",IF(COUNT(AG235:AM235)=0,"",AN235-LOOKUP(2,1/(AG235:AM235&lt;&gt;""),AG235:AM235)))</t>
        </is>
      </c>
      <c r="BB235" s="38" t="inlineStr">
        <is>
          <t>IF(OR(E235="",AO235=""),"",IF(COUNT(AG235:AN235)=0,"",AO235-LOOKUP(2,1/(AG235:AN235&lt;&gt;""),AG235:AN235)))</t>
        </is>
      </c>
      <c r="BC235" s="38" t="inlineStr">
        <is>
          <t>IF(OR(E235="",AP235=""),"",IF(COUNT(AG235:AO235)=0,"",AP235-LOOKUP(2,1/(AG235:AO235&lt;&gt;""),AG235:AO235)))</t>
        </is>
      </c>
      <c r="BD235" s="38" t="inlineStr">
        <is>
          <t>IF(OR(E235="",AQ235=""),"",IF(COUNT(AG235:AP235)=0,"",AQ235-LOOKUP(2,1/(AG235:AP235&lt;&gt;""),AG235:AP235)))</t>
        </is>
      </c>
      <c r="BE235" s="38" t="inlineStr">
        <is>
          <t>IF(OR(E235="",AR235=""),"",IF(COUNT(AG235:AQ235)=0,"",AR235-LOOKUP(2,1/(AG235:AQ235&lt;&gt;""),AG235:AQ235)))</t>
        </is>
      </c>
      <c r="BF235" s="38" t="inlineStr">
        <is>
          <t>IF(OR(E235="",AS235=""),"",IF(COUNT(AG235:AR235)=0,"",AS235-LOOKUP(2,1/(AG235:AR235&lt;&gt;""),AG235:AR235)))</t>
        </is>
      </c>
      <c r="BG235" s="38" t="inlineStr">
        <is>
          <t>IF(OR(E235="",AT235=""),"",IF(COUNT(AG235:AS235)=0,"",AT235-LOOKUP(2,1/(AG235:AS235&lt;&gt;""),AG235:AS235)))</t>
        </is>
      </c>
      <c r="BH235" s="41" t="inlineStr">
        <is>
          <t>IF(G235="","All_Provinces",IFERROR(VLOOKUP(G235,'07_Lookups'!$A$4:$B$20,2,FALSE),"All_Provinces"))</t>
        </is>
      </c>
      <c r="BI235" s="41" t="inlineStr">
        <is>
          <t>IF(H235="","All_Districts",IFERROR(VLOOKUP(H235,'07_Lookups'!$E$4:$F$42,2,FALSE),"All_Districts"))</t>
        </is>
      </c>
    </row>
    <row r="236" ht="18" customHeight="1">
      <c r="A236" s="32" t="inlineStr">
        <is>
          <t>IF(E236="","",ROW()-3)</t>
        </is>
      </c>
      <c r="B236" s="33" t="n"/>
      <c r="C236" s="33" t="n"/>
      <c r="D236" s="33" t="n"/>
      <c r="E236" s="33" t="n"/>
      <c r="F236" s="33" t="n"/>
      <c r="G236" s="33" t="n"/>
      <c r="H236" s="33" t="n"/>
      <c r="I236" s="33" t="n"/>
      <c r="J236" s="33" t="n"/>
      <c r="K236" s="33" t="n"/>
      <c r="L236" s="33" t="n"/>
      <c r="M236" s="33" t="n"/>
      <c r="N236" s="33" t="n"/>
      <c r="O236" s="33" t="n"/>
      <c r="P236" s="33" t="n"/>
      <c r="Q236" s="34" t="n"/>
      <c r="R236" s="35" t="inlineStr">
        <is>
          <t>IF(AO236="","",AO236)</t>
        </is>
      </c>
      <c r="S236" s="36" t="n"/>
      <c r="T236" s="37" t="n"/>
      <c r="U236" s="36" t="n"/>
      <c r="V236" s="35" t="inlineStr">
        <is>
          <t>IF(U236&lt;&gt;"",U236,IF(OR(R236="",T236=""),"",EDATE(R236,T236)))</t>
        </is>
      </c>
      <c r="W236" s="36" t="n"/>
      <c r="X236" s="37" t="n"/>
      <c r="Y236" s="33" t="n"/>
      <c r="Z236" s="33" t="n"/>
      <c r="AA236" s="32" t="inlineStr">
        <is>
          <t>IF(E236="","",IF(COUNT(AG236:AT236)=0,IF(Y236="","Not started",Y236),SUBSTITUTE(LOOKUP(2,1/(AG236:AT236&lt;&gt;""),$AG$3:$AT$3),"Date: ","")))</t>
        </is>
      </c>
      <c r="AB236" s="38" t="inlineStr">
        <is>
          <t>IF(OR(E236="",COUNT(AG236:AT236)=0),"",TODAY()-LOOKUP(2,1/(AG236:AT236&lt;&gt;""),AG236:AT236))</t>
        </is>
      </c>
      <c r="AC236" s="38" t="inlineStr">
        <is>
          <t>IF(OR(E236="",COUNT(AG236:AT236)&lt;2),"",LOOKUP(2,1/(AG236:AT236&lt;&gt;""),AG236:AT236)-MIN(AG236:AT236))</t>
        </is>
      </c>
      <c r="AD236" s="38" t="inlineStr">
        <is>
          <t>IF(OR(AB236="",AA236="Not started",AA236=""),"",IFERROR(AB236-IF(VLOOKUP(AA236,'04_Status_Pipeline'!$B$3:$E$20,4,FALSE)="",0,VLOOKUP(AA236,'04_Status_Pipeline'!$B$3:$E$20,4,FALSE)),""))</t>
        </is>
      </c>
      <c r="AE236" s="32" t="inlineStr">
        <is>
          <t>IF(E236="","",IF(OR(Y236="Cancelled",AA236="Cancelled"),"Cancelled",IF(OR(AA236="Completed / Handover",W236&lt;&gt;"",X236&gt;=100),"Completed — on track",IF(L236="Remaining",IF(S236="",IF(V236="","No planned date",IF(TODAY()&gt;V236,"Behind — past planned date",IF(V236-TODAY()&lt;=30,"At risk — close to off track","On track"))),IF(TODAY()&gt;S236,"Behind — award date passed",IF(S236-TODAY()&lt;=30,"At risk — close to off track","On track"))),IF(V236="","No planned date",IF(AND(TODAY()&gt;V236,OR(X236="",X236&lt;100)),"Behind — past end date",IF(AND(R236&lt;&gt;"",V236&lt;&gt;"",X236&lt;&gt;"",(X236&lt;100),((TODAY()-R236)/MAX(V236-R236,1)*100)-X236&gt;15),"Behind — progress lag",IF(AND(V236-TODAY()&lt;=30,V236-TODAY()&gt;=0,OR(X236="",X236&lt;90)),"At risk — close to off track","On track"))))))))</t>
        </is>
      </c>
      <c r="AF236" s="38" t="inlineStr">
        <is>
          <t>IF(OR(E236="",AA236="Completed / Handover",AA236="Cancelled"),"",IF(L236="Remaining",IF(S236&lt;&gt;"",S236-TODAY(),IF(V236="","",V236-TODAY())),IF(V236="","",V236-TODAY())))</t>
        </is>
      </c>
      <c r="AG236" s="36" t="n"/>
      <c r="AH236" s="36" t="n"/>
      <c r="AI236" s="36" t="n"/>
      <c r="AJ236" s="36" t="n"/>
      <c r="AK236" s="36" t="n"/>
      <c r="AL236" s="36" t="n"/>
      <c r="AM236" s="36" t="n"/>
      <c r="AN236" s="36" t="n"/>
      <c r="AO236" s="36" t="n"/>
      <c r="AP236" s="36" t="n"/>
      <c r="AQ236" s="36" t="n"/>
      <c r="AR236" s="40" t="n"/>
      <c r="AS236" s="40" t="n"/>
      <c r="AT236" s="40" t="n"/>
      <c r="AU236" s="38" t="inlineStr">
        <is>
          <t>IF(OR(E236="",AH236=""),"",IF(COUNT(AG236:AG236)=0,"",AH236-LOOKUP(2,1/(AG236:AG236&lt;&gt;""),AG236:AG236)))</t>
        </is>
      </c>
      <c r="AV236" s="38" t="inlineStr">
        <is>
          <t>IF(OR(E236="",AI236=""),"",IF(COUNT(AG236:AH236)=0,"",AI236-LOOKUP(2,1/(AG236:AH236&lt;&gt;""),AG236:AH236)))</t>
        </is>
      </c>
      <c r="AW236" s="38" t="inlineStr">
        <is>
          <t>IF(OR(E236="",AJ236=""),"",IF(COUNT(AG236:AI236)=0,"",AJ236-LOOKUP(2,1/(AG236:AI236&lt;&gt;""),AG236:AI236)))</t>
        </is>
      </c>
      <c r="AX236" s="38" t="inlineStr">
        <is>
          <t>IF(OR(E236="",AK236=""),"",IF(COUNT(AG236:AJ236)=0,"",AK236-LOOKUP(2,1/(AG236:AJ236&lt;&gt;""),AG236:AJ236)))</t>
        </is>
      </c>
      <c r="AY236" s="38" t="inlineStr">
        <is>
          <t>IF(OR(E236="",AL236=""),"",IF(COUNT(AG236:AK236)=0,"",AL236-LOOKUP(2,1/(AG236:AK236&lt;&gt;""),AG236:AK236)))</t>
        </is>
      </c>
      <c r="AZ236" s="38" t="inlineStr">
        <is>
          <t>IF(OR(E236="",AM236=""),"",IF(COUNT(AG236:AL236)=0,"",AM236-LOOKUP(2,1/(AG236:AL236&lt;&gt;""),AG236:AL236)))</t>
        </is>
      </c>
      <c r="BA236" s="38" t="inlineStr">
        <is>
          <t>IF(OR(E236="",AN236=""),"",IF(COUNT(AG236:AM236)=0,"",AN236-LOOKUP(2,1/(AG236:AM236&lt;&gt;""),AG236:AM236)))</t>
        </is>
      </c>
      <c r="BB236" s="38" t="inlineStr">
        <is>
          <t>IF(OR(E236="",AO236=""),"",IF(COUNT(AG236:AN236)=0,"",AO236-LOOKUP(2,1/(AG236:AN236&lt;&gt;""),AG236:AN236)))</t>
        </is>
      </c>
      <c r="BC236" s="38" t="inlineStr">
        <is>
          <t>IF(OR(E236="",AP236=""),"",IF(COUNT(AG236:AO236)=0,"",AP236-LOOKUP(2,1/(AG236:AO236&lt;&gt;""),AG236:AO236)))</t>
        </is>
      </c>
      <c r="BD236" s="38" t="inlineStr">
        <is>
          <t>IF(OR(E236="",AQ236=""),"",IF(COUNT(AG236:AP236)=0,"",AQ236-LOOKUP(2,1/(AG236:AP236&lt;&gt;""),AG236:AP236)))</t>
        </is>
      </c>
      <c r="BE236" s="38" t="inlineStr">
        <is>
          <t>IF(OR(E236="",AR236=""),"",IF(COUNT(AG236:AQ236)=0,"",AR236-LOOKUP(2,1/(AG236:AQ236&lt;&gt;""),AG236:AQ236)))</t>
        </is>
      </c>
      <c r="BF236" s="38" t="inlineStr">
        <is>
          <t>IF(OR(E236="",AS236=""),"",IF(COUNT(AG236:AR236)=0,"",AS236-LOOKUP(2,1/(AG236:AR236&lt;&gt;""),AG236:AR236)))</t>
        </is>
      </c>
      <c r="BG236" s="38" t="inlineStr">
        <is>
          <t>IF(OR(E236="",AT236=""),"",IF(COUNT(AG236:AS236)=0,"",AT236-LOOKUP(2,1/(AG236:AS236&lt;&gt;""),AG236:AS236)))</t>
        </is>
      </c>
      <c r="BH236" s="41" t="inlineStr">
        <is>
          <t>IF(G236="","All_Provinces",IFERROR(VLOOKUP(G236,'07_Lookups'!$A$4:$B$20,2,FALSE),"All_Provinces"))</t>
        </is>
      </c>
      <c r="BI236" s="41" t="inlineStr">
        <is>
          <t>IF(H236="","All_Districts",IFERROR(VLOOKUP(H236,'07_Lookups'!$E$4:$F$42,2,FALSE),"All_Districts"))</t>
        </is>
      </c>
    </row>
    <row r="237" ht="18" customHeight="1">
      <c r="A237" s="32" t="inlineStr">
        <is>
          <t>IF(E237="","",ROW()-3)</t>
        </is>
      </c>
      <c r="B237" s="42" t="n"/>
      <c r="C237" s="42" t="n"/>
      <c r="D237" s="42" t="n"/>
      <c r="E237" s="42" t="n"/>
      <c r="F237" s="42" t="n"/>
      <c r="G237" s="42" t="n"/>
      <c r="H237" s="42" t="n"/>
      <c r="I237" s="42" t="n"/>
      <c r="J237" s="42" t="n"/>
      <c r="K237" s="42" t="n"/>
      <c r="L237" s="42" t="n"/>
      <c r="M237" s="42" t="n"/>
      <c r="N237" s="42" t="n"/>
      <c r="O237" s="42" t="n"/>
      <c r="P237" s="42" t="n"/>
      <c r="Q237" s="43" t="n"/>
      <c r="R237" s="35" t="inlineStr">
        <is>
          <t>IF(AO237="","",AO237)</t>
        </is>
      </c>
      <c r="S237" s="44" t="n"/>
      <c r="T237" s="45" t="n"/>
      <c r="U237" s="44" t="n"/>
      <c r="V237" s="35" t="inlineStr">
        <is>
          <t>IF(U237&lt;&gt;"",U237,IF(OR(R237="",T237=""),"",EDATE(R237,T237)))</t>
        </is>
      </c>
      <c r="W237" s="44" t="n"/>
      <c r="X237" s="45" t="n"/>
      <c r="Y237" s="42" t="n"/>
      <c r="Z237" s="42" t="n"/>
      <c r="AA237" s="32" t="inlineStr">
        <is>
          <t>IF(E237="","",IF(COUNT(AG237:AT237)=0,IF(Y237="","Not started",Y237),SUBSTITUTE(LOOKUP(2,1/(AG237:AT237&lt;&gt;""),$AG$3:$AT$3),"Date: ","")))</t>
        </is>
      </c>
      <c r="AB237" s="38" t="inlineStr">
        <is>
          <t>IF(OR(E237="",COUNT(AG237:AT237)=0),"",TODAY()-LOOKUP(2,1/(AG237:AT237&lt;&gt;""),AG237:AT237))</t>
        </is>
      </c>
      <c r="AC237" s="38" t="inlineStr">
        <is>
          <t>IF(OR(E237="",COUNT(AG237:AT237)&lt;2),"",LOOKUP(2,1/(AG237:AT237&lt;&gt;""),AG237:AT237)-MIN(AG237:AT237))</t>
        </is>
      </c>
      <c r="AD237" s="38" t="inlineStr">
        <is>
          <t>IF(OR(AB237="",AA237="Not started",AA237=""),"",IFERROR(AB237-IF(VLOOKUP(AA237,'04_Status_Pipeline'!$B$3:$E$20,4,FALSE)="",0,VLOOKUP(AA237,'04_Status_Pipeline'!$B$3:$E$20,4,FALSE)),""))</t>
        </is>
      </c>
      <c r="AE237" s="32" t="inlineStr">
        <is>
          <t>IF(E237="","",IF(OR(Y237="Cancelled",AA237="Cancelled"),"Cancelled",IF(OR(AA237="Completed / Handover",W237&lt;&gt;"",X237&gt;=100),"Completed — on track",IF(L237="Remaining",IF(S237="",IF(V237="","No planned date",IF(TODAY()&gt;V237,"Behind — past planned date",IF(V237-TODAY()&lt;=30,"At risk — close to off track","On track"))),IF(TODAY()&gt;S237,"Behind — award date passed",IF(S237-TODAY()&lt;=30,"At risk — close to off track","On track"))),IF(V237="","No planned date",IF(AND(TODAY()&gt;V237,OR(X237="",X237&lt;100)),"Behind — past end date",IF(AND(R237&lt;&gt;"",V237&lt;&gt;"",X237&lt;&gt;"",(X237&lt;100),((TODAY()-R237)/MAX(V237-R237,1)*100)-X237&gt;15),"Behind — progress lag",IF(AND(V237-TODAY()&lt;=30,V237-TODAY()&gt;=0,OR(X237="",X237&lt;90)),"At risk — close to off track","On track"))))))))</t>
        </is>
      </c>
      <c r="AF237" s="38" t="inlineStr">
        <is>
          <t>IF(OR(E237="",AA237="Completed / Handover",AA237="Cancelled"),"",IF(L237="Remaining",IF(S237&lt;&gt;"",S237-TODAY(),IF(V237="","",V237-TODAY())),IF(V237="","",V237-TODAY())))</t>
        </is>
      </c>
      <c r="AG237" s="44" t="n"/>
      <c r="AH237" s="44" t="n"/>
      <c r="AI237" s="44" t="n"/>
      <c r="AJ237" s="44" t="n"/>
      <c r="AK237" s="44" t="n"/>
      <c r="AL237" s="44" t="n"/>
      <c r="AM237" s="44" t="n"/>
      <c r="AN237" s="44" t="n"/>
      <c r="AO237" s="44" t="n"/>
      <c r="AP237" s="44" t="n"/>
      <c r="AQ237" s="44" t="n"/>
      <c r="AR237" s="40" t="n"/>
      <c r="AS237" s="40" t="n"/>
      <c r="AT237" s="40" t="n"/>
      <c r="AU237" s="38" t="inlineStr">
        <is>
          <t>IF(OR(E237="",AH237=""),"",IF(COUNT(AG237:AG237)=0,"",AH237-LOOKUP(2,1/(AG237:AG237&lt;&gt;""),AG237:AG237)))</t>
        </is>
      </c>
      <c r="AV237" s="38" t="inlineStr">
        <is>
          <t>IF(OR(E237="",AI237=""),"",IF(COUNT(AG237:AH237)=0,"",AI237-LOOKUP(2,1/(AG237:AH237&lt;&gt;""),AG237:AH237)))</t>
        </is>
      </c>
      <c r="AW237" s="38" t="inlineStr">
        <is>
          <t>IF(OR(E237="",AJ237=""),"",IF(COUNT(AG237:AI237)=0,"",AJ237-LOOKUP(2,1/(AG237:AI237&lt;&gt;""),AG237:AI237)))</t>
        </is>
      </c>
      <c r="AX237" s="38" t="inlineStr">
        <is>
          <t>IF(OR(E237="",AK237=""),"",IF(COUNT(AG237:AJ237)=0,"",AK237-LOOKUP(2,1/(AG237:AJ237&lt;&gt;""),AG237:AJ237)))</t>
        </is>
      </c>
      <c r="AY237" s="38" t="inlineStr">
        <is>
          <t>IF(OR(E237="",AL237=""),"",IF(COUNT(AG237:AK237)=0,"",AL237-LOOKUP(2,1/(AG237:AK237&lt;&gt;""),AG237:AK237)))</t>
        </is>
      </c>
      <c r="AZ237" s="38" t="inlineStr">
        <is>
          <t>IF(OR(E237="",AM237=""),"",IF(COUNT(AG237:AL237)=0,"",AM237-LOOKUP(2,1/(AG237:AL237&lt;&gt;""),AG237:AL237)))</t>
        </is>
      </c>
      <c r="BA237" s="38" t="inlineStr">
        <is>
          <t>IF(OR(E237="",AN237=""),"",IF(COUNT(AG237:AM237)=0,"",AN237-LOOKUP(2,1/(AG237:AM237&lt;&gt;""),AG237:AM237)))</t>
        </is>
      </c>
      <c r="BB237" s="38" t="inlineStr">
        <is>
          <t>IF(OR(E237="",AO237=""),"",IF(COUNT(AG237:AN237)=0,"",AO237-LOOKUP(2,1/(AG237:AN237&lt;&gt;""),AG237:AN237)))</t>
        </is>
      </c>
      <c r="BC237" s="38" t="inlineStr">
        <is>
          <t>IF(OR(E237="",AP237=""),"",IF(COUNT(AG237:AO237)=0,"",AP237-LOOKUP(2,1/(AG237:AO237&lt;&gt;""),AG237:AO237)))</t>
        </is>
      </c>
      <c r="BD237" s="38" t="inlineStr">
        <is>
          <t>IF(OR(E237="",AQ237=""),"",IF(COUNT(AG237:AP237)=0,"",AQ237-LOOKUP(2,1/(AG237:AP237&lt;&gt;""),AG237:AP237)))</t>
        </is>
      </c>
      <c r="BE237" s="38" t="inlineStr">
        <is>
          <t>IF(OR(E237="",AR237=""),"",IF(COUNT(AG237:AQ237)=0,"",AR237-LOOKUP(2,1/(AG237:AQ237&lt;&gt;""),AG237:AQ237)))</t>
        </is>
      </c>
      <c r="BF237" s="38" t="inlineStr">
        <is>
          <t>IF(OR(E237="",AS237=""),"",IF(COUNT(AG237:AR237)=0,"",AS237-LOOKUP(2,1/(AG237:AR237&lt;&gt;""),AG237:AR237)))</t>
        </is>
      </c>
      <c r="BG237" s="38" t="inlineStr">
        <is>
          <t>IF(OR(E237="",AT237=""),"",IF(COUNT(AG237:AS237)=0,"",AT237-LOOKUP(2,1/(AG237:AS237&lt;&gt;""),AG237:AS237)))</t>
        </is>
      </c>
      <c r="BH237" s="41" t="inlineStr">
        <is>
          <t>IF(G237="","All_Provinces",IFERROR(VLOOKUP(G237,'07_Lookups'!$A$4:$B$20,2,FALSE),"All_Provinces"))</t>
        </is>
      </c>
      <c r="BI237" s="41" t="inlineStr">
        <is>
          <t>IF(H237="","All_Districts",IFERROR(VLOOKUP(H237,'07_Lookups'!$E$4:$F$42,2,FALSE),"All_Districts"))</t>
        </is>
      </c>
    </row>
    <row r="238" ht="18" customHeight="1">
      <c r="A238" s="32" t="inlineStr">
        <is>
          <t>IF(E238="","",ROW()-3)</t>
        </is>
      </c>
      <c r="B238" s="33" t="n"/>
      <c r="C238" s="33" t="n"/>
      <c r="D238" s="33" t="n"/>
      <c r="E238" s="33" t="n"/>
      <c r="F238" s="33" t="n"/>
      <c r="G238" s="33" t="n"/>
      <c r="H238" s="33" t="n"/>
      <c r="I238" s="33" t="n"/>
      <c r="J238" s="33" t="n"/>
      <c r="K238" s="33" t="n"/>
      <c r="L238" s="33" t="n"/>
      <c r="M238" s="33" t="n"/>
      <c r="N238" s="33" t="n"/>
      <c r="O238" s="33" t="n"/>
      <c r="P238" s="33" t="n"/>
      <c r="Q238" s="34" t="n"/>
      <c r="R238" s="35" t="inlineStr">
        <is>
          <t>IF(AO238="","",AO238)</t>
        </is>
      </c>
      <c r="S238" s="36" t="n"/>
      <c r="T238" s="37" t="n"/>
      <c r="U238" s="36" t="n"/>
      <c r="V238" s="35" t="inlineStr">
        <is>
          <t>IF(U238&lt;&gt;"",U238,IF(OR(R238="",T238=""),"",EDATE(R238,T238)))</t>
        </is>
      </c>
      <c r="W238" s="36" t="n"/>
      <c r="X238" s="37" t="n"/>
      <c r="Y238" s="33" t="n"/>
      <c r="Z238" s="33" t="n"/>
      <c r="AA238" s="32" t="inlineStr">
        <is>
          <t>IF(E238="","",IF(COUNT(AG238:AT238)=0,IF(Y238="","Not started",Y238),SUBSTITUTE(LOOKUP(2,1/(AG238:AT238&lt;&gt;""),$AG$3:$AT$3),"Date: ","")))</t>
        </is>
      </c>
      <c r="AB238" s="38" t="inlineStr">
        <is>
          <t>IF(OR(E238="",COUNT(AG238:AT238)=0),"",TODAY()-LOOKUP(2,1/(AG238:AT238&lt;&gt;""),AG238:AT238))</t>
        </is>
      </c>
      <c r="AC238" s="38" t="inlineStr">
        <is>
          <t>IF(OR(E238="",COUNT(AG238:AT238)&lt;2),"",LOOKUP(2,1/(AG238:AT238&lt;&gt;""),AG238:AT238)-MIN(AG238:AT238))</t>
        </is>
      </c>
      <c r="AD238" s="38" t="inlineStr">
        <is>
          <t>IF(OR(AB238="",AA238="Not started",AA238=""),"",IFERROR(AB238-IF(VLOOKUP(AA238,'04_Status_Pipeline'!$B$3:$E$20,4,FALSE)="",0,VLOOKUP(AA238,'04_Status_Pipeline'!$B$3:$E$20,4,FALSE)),""))</t>
        </is>
      </c>
      <c r="AE238" s="32" t="inlineStr">
        <is>
          <t>IF(E238="","",IF(OR(Y238="Cancelled",AA238="Cancelled"),"Cancelled",IF(OR(AA238="Completed / Handover",W238&lt;&gt;"",X238&gt;=100),"Completed — on track",IF(L238="Remaining",IF(S238="",IF(V238="","No planned date",IF(TODAY()&gt;V238,"Behind — past planned date",IF(V238-TODAY()&lt;=30,"At risk — close to off track","On track"))),IF(TODAY()&gt;S238,"Behind — award date passed",IF(S238-TODAY()&lt;=30,"At risk — close to off track","On track"))),IF(V238="","No planned date",IF(AND(TODAY()&gt;V238,OR(X238="",X238&lt;100)),"Behind — past end date",IF(AND(R238&lt;&gt;"",V238&lt;&gt;"",X238&lt;&gt;"",(X238&lt;100),((TODAY()-R238)/MAX(V238-R238,1)*100)-X238&gt;15),"Behind — progress lag",IF(AND(V238-TODAY()&lt;=30,V238-TODAY()&gt;=0,OR(X238="",X238&lt;90)),"At risk — close to off track","On track"))))))))</t>
        </is>
      </c>
      <c r="AF238" s="38" t="inlineStr">
        <is>
          <t>IF(OR(E238="",AA238="Completed / Handover",AA238="Cancelled"),"",IF(L238="Remaining",IF(S238&lt;&gt;"",S238-TODAY(),IF(V238="","",V238-TODAY())),IF(V238="","",V238-TODAY())))</t>
        </is>
      </c>
      <c r="AG238" s="36" t="n"/>
      <c r="AH238" s="36" t="n"/>
      <c r="AI238" s="36" t="n"/>
      <c r="AJ238" s="36" t="n"/>
      <c r="AK238" s="36" t="n"/>
      <c r="AL238" s="36" t="n"/>
      <c r="AM238" s="36" t="n"/>
      <c r="AN238" s="36" t="n"/>
      <c r="AO238" s="36" t="n"/>
      <c r="AP238" s="36" t="n"/>
      <c r="AQ238" s="36" t="n"/>
      <c r="AR238" s="40" t="n"/>
      <c r="AS238" s="40" t="n"/>
      <c r="AT238" s="40" t="n"/>
      <c r="AU238" s="38" t="inlineStr">
        <is>
          <t>IF(OR(E238="",AH238=""),"",IF(COUNT(AG238:AG238)=0,"",AH238-LOOKUP(2,1/(AG238:AG238&lt;&gt;""),AG238:AG238)))</t>
        </is>
      </c>
      <c r="AV238" s="38" t="inlineStr">
        <is>
          <t>IF(OR(E238="",AI238=""),"",IF(COUNT(AG238:AH238)=0,"",AI238-LOOKUP(2,1/(AG238:AH238&lt;&gt;""),AG238:AH238)))</t>
        </is>
      </c>
      <c r="AW238" s="38" t="inlineStr">
        <is>
          <t>IF(OR(E238="",AJ238=""),"",IF(COUNT(AG238:AI238)=0,"",AJ238-LOOKUP(2,1/(AG238:AI238&lt;&gt;""),AG238:AI238)))</t>
        </is>
      </c>
      <c r="AX238" s="38" t="inlineStr">
        <is>
          <t>IF(OR(E238="",AK238=""),"",IF(COUNT(AG238:AJ238)=0,"",AK238-LOOKUP(2,1/(AG238:AJ238&lt;&gt;""),AG238:AJ238)))</t>
        </is>
      </c>
      <c r="AY238" s="38" t="inlineStr">
        <is>
          <t>IF(OR(E238="",AL238=""),"",IF(COUNT(AG238:AK238)=0,"",AL238-LOOKUP(2,1/(AG238:AK238&lt;&gt;""),AG238:AK238)))</t>
        </is>
      </c>
      <c r="AZ238" s="38" t="inlineStr">
        <is>
          <t>IF(OR(E238="",AM238=""),"",IF(COUNT(AG238:AL238)=0,"",AM238-LOOKUP(2,1/(AG238:AL238&lt;&gt;""),AG238:AL238)))</t>
        </is>
      </c>
      <c r="BA238" s="38" t="inlineStr">
        <is>
          <t>IF(OR(E238="",AN238=""),"",IF(COUNT(AG238:AM238)=0,"",AN238-LOOKUP(2,1/(AG238:AM238&lt;&gt;""),AG238:AM238)))</t>
        </is>
      </c>
      <c r="BB238" s="38" t="inlineStr">
        <is>
          <t>IF(OR(E238="",AO238=""),"",IF(COUNT(AG238:AN238)=0,"",AO238-LOOKUP(2,1/(AG238:AN238&lt;&gt;""),AG238:AN238)))</t>
        </is>
      </c>
      <c r="BC238" s="38" t="inlineStr">
        <is>
          <t>IF(OR(E238="",AP238=""),"",IF(COUNT(AG238:AO238)=0,"",AP238-LOOKUP(2,1/(AG238:AO238&lt;&gt;""),AG238:AO238)))</t>
        </is>
      </c>
      <c r="BD238" s="38" t="inlineStr">
        <is>
          <t>IF(OR(E238="",AQ238=""),"",IF(COUNT(AG238:AP238)=0,"",AQ238-LOOKUP(2,1/(AG238:AP238&lt;&gt;""),AG238:AP238)))</t>
        </is>
      </c>
      <c r="BE238" s="38" t="inlineStr">
        <is>
          <t>IF(OR(E238="",AR238=""),"",IF(COUNT(AG238:AQ238)=0,"",AR238-LOOKUP(2,1/(AG238:AQ238&lt;&gt;""),AG238:AQ238)))</t>
        </is>
      </c>
      <c r="BF238" s="38" t="inlineStr">
        <is>
          <t>IF(OR(E238="",AS238=""),"",IF(COUNT(AG238:AR238)=0,"",AS238-LOOKUP(2,1/(AG238:AR238&lt;&gt;""),AG238:AR238)))</t>
        </is>
      </c>
      <c r="BG238" s="38" t="inlineStr">
        <is>
          <t>IF(OR(E238="",AT238=""),"",IF(COUNT(AG238:AS238)=0,"",AT238-LOOKUP(2,1/(AG238:AS238&lt;&gt;""),AG238:AS238)))</t>
        </is>
      </c>
      <c r="BH238" s="41" t="inlineStr">
        <is>
          <t>IF(G238="","All_Provinces",IFERROR(VLOOKUP(G238,'07_Lookups'!$A$4:$B$20,2,FALSE),"All_Provinces"))</t>
        </is>
      </c>
      <c r="BI238" s="41" t="inlineStr">
        <is>
          <t>IF(H238="","All_Districts",IFERROR(VLOOKUP(H238,'07_Lookups'!$E$4:$F$42,2,FALSE),"All_Districts"))</t>
        </is>
      </c>
    </row>
    <row r="239" ht="18" customHeight="1">
      <c r="A239" s="32" t="inlineStr">
        <is>
          <t>IF(E239="","",ROW()-3)</t>
        </is>
      </c>
      <c r="B239" s="42" t="n"/>
      <c r="C239" s="42" t="n"/>
      <c r="D239" s="42" t="n"/>
      <c r="E239" s="42" t="n"/>
      <c r="F239" s="42" t="n"/>
      <c r="G239" s="42" t="n"/>
      <c r="H239" s="42" t="n"/>
      <c r="I239" s="42" t="n"/>
      <c r="J239" s="42" t="n"/>
      <c r="K239" s="42" t="n"/>
      <c r="L239" s="42" t="n"/>
      <c r="M239" s="42" t="n"/>
      <c r="N239" s="42" t="n"/>
      <c r="O239" s="42" t="n"/>
      <c r="P239" s="42" t="n"/>
      <c r="Q239" s="43" t="n"/>
      <c r="R239" s="35" t="inlineStr">
        <is>
          <t>IF(AO239="","",AO239)</t>
        </is>
      </c>
      <c r="S239" s="44" t="n"/>
      <c r="T239" s="45" t="n"/>
      <c r="U239" s="44" t="n"/>
      <c r="V239" s="35" t="inlineStr">
        <is>
          <t>IF(U239&lt;&gt;"",U239,IF(OR(R239="",T239=""),"",EDATE(R239,T239)))</t>
        </is>
      </c>
      <c r="W239" s="44" t="n"/>
      <c r="X239" s="45" t="n"/>
      <c r="Y239" s="42" t="n"/>
      <c r="Z239" s="42" t="n"/>
      <c r="AA239" s="32" t="inlineStr">
        <is>
          <t>IF(E239="","",IF(COUNT(AG239:AT239)=0,IF(Y239="","Not started",Y239),SUBSTITUTE(LOOKUP(2,1/(AG239:AT239&lt;&gt;""),$AG$3:$AT$3),"Date: ","")))</t>
        </is>
      </c>
      <c r="AB239" s="38" t="inlineStr">
        <is>
          <t>IF(OR(E239="",COUNT(AG239:AT239)=0),"",TODAY()-LOOKUP(2,1/(AG239:AT239&lt;&gt;""),AG239:AT239))</t>
        </is>
      </c>
      <c r="AC239" s="38" t="inlineStr">
        <is>
          <t>IF(OR(E239="",COUNT(AG239:AT239)&lt;2),"",LOOKUP(2,1/(AG239:AT239&lt;&gt;""),AG239:AT239)-MIN(AG239:AT239))</t>
        </is>
      </c>
      <c r="AD239" s="38" t="inlineStr">
        <is>
          <t>IF(OR(AB239="",AA239="Not started",AA239=""),"",IFERROR(AB239-IF(VLOOKUP(AA239,'04_Status_Pipeline'!$B$3:$E$20,4,FALSE)="",0,VLOOKUP(AA239,'04_Status_Pipeline'!$B$3:$E$20,4,FALSE)),""))</t>
        </is>
      </c>
      <c r="AE239" s="32" t="inlineStr">
        <is>
          <t>IF(E239="","",IF(OR(Y239="Cancelled",AA239="Cancelled"),"Cancelled",IF(OR(AA239="Completed / Handover",W239&lt;&gt;"",X239&gt;=100),"Completed — on track",IF(L239="Remaining",IF(S239="",IF(V239="","No planned date",IF(TODAY()&gt;V239,"Behind — past planned date",IF(V239-TODAY()&lt;=30,"At risk — close to off track","On track"))),IF(TODAY()&gt;S239,"Behind — award date passed",IF(S239-TODAY()&lt;=30,"At risk — close to off track","On track"))),IF(V239="","No planned date",IF(AND(TODAY()&gt;V239,OR(X239="",X239&lt;100)),"Behind — past end date",IF(AND(R239&lt;&gt;"",V239&lt;&gt;"",X239&lt;&gt;"",(X239&lt;100),((TODAY()-R239)/MAX(V239-R239,1)*100)-X239&gt;15),"Behind — progress lag",IF(AND(V239-TODAY()&lt;=30,V239-TODAY()&gt;=0,OR(X239="",X239&lt;90)),"At risk — close to off track","On track"))))))))</t>
        </is>
      </c>
      <c r="AF239" s="38" t="inlineStr">
        <is>
          <t>IF(OR(E239="",AA239="Completed / Handover",AA239="Cancelled"),"",IF(L239="Remaining",IF(S239&lt;&gt;"",S239-TODAY(),IF(V239="","",V239-TODAY())),IF(V239="","",V239-TODAY())))</t>
        </is>
      </c>
      <c r="AG239" s="44" t="n"/>
      <c r="AH239" s="44" t="n"/>
      <c r="AI239" s="44" t="n"/>
      <c r="AJ239" s="44" t="n"/>
      <c r="AK239" s="44" t="n"/>
      <c r="AL239" s="44" t="n"/>
      <c r="AM239" s="44" t="n"/>
      <c r="AN239" s="44" t="n"/>
      <c r="AO239" s="44" t="n"/>
      <c r="AP239" s="44" t="n"/>
      <c r="AQ239" s="44" t="n"/>
      <c r="AR239" s="40" t="n"/>
      <c r="AS239" s="40" t="n"/>
      <c r="AT239" s="40" t="n"/>
      <c r="AU239" s="38" t="inlineStr">
        <is>
          <t>IF(OR(E239="",AH239=""),"",IF(COUNT(AG239:AG239)=0,"",AH239-LOOKUP(2,1/(AG239:AG239&lt;&gt;""),AG239:AG239)))</t>
        </is>
      </c>
      <c r="AV239" s="38" t="inlineStr">
        <is>
          <t>IF(OR(E239="",AI239=""),"",IF(COUNT(AG239:AH239)=0,"",AI239-LOOKUP(2,1/(AG239:AH239&lt;&gt;""),AG239:AH239)))</t>
        </is>
      </c>
      <c r="AW239" s="38" t="inlineStr">
        <is>
          <t>IF(OR(E239="",AJ239=""),"",IF(COUNT(AG239:AI239)=0,"",AJ239-LOOKUP(2,1/(AG239:AI239&lt;&gt;""),AG239:AI239)))</t>
        </is>
      </c>
      <c r="AX239" s="38" t="inlineStr">
        <is>
          <t>IF(OR(E239="",AK239=""),"",IF(COUNT(AG239:AJ239)=0,"",AK239-LOOKUP(2,1/(AG239:AJ239&lt;&gt;""),AG239:AJ239)))</t>
        </is>
      </c>
      <c r="AY239" s="38" t="inlineStr">
        <is>
          <t>IF(OR(E239="",AL239=""),"",IF(COUNT(AG239:AK239)=0,"",AL239-LOOKUP(2,1/(AG239:AK239&lt;&gt;""),AG239:AK239)))</t>
        </is>
      </c>
      <c r="AZ239" s="38" t="inlineStr">
        <is>
          <t>IF(OR(E239="",AM239=""),"",IF(COUNT(AG239:AL239)=0,"",AM239-LOOKUP(2,1/(AG239:AL239&lt;&gt;""),AG239:AL239)))</t>
        </is>
      </c>
      <c r="BA239" s="38" t="inlineStr">
        <is>
          <t>IF(OR(E239="",AN239=""),"",IF(COUNT(AG239:AM239)=0,"",AN239-LOOKUP(2,1/(AG239:AM239&lt;&gt;""),AG239:AM239)))</t>
        </is>
      </c>
      <c r="BB239" s="38" t="inlineStr">
        <is>
          <t>IF(OR(E239="",AO239=""),"",IF(COUNT(AG239:AN239)=0,"",AO239-LOOKUP(2,1/(AG239:AN239&lt;&gt;""),AG239:AN239)))</t>
        </is>
      </c>
      <c r="BC239" s="38" t="inlineStr">
        <is>
          <t>IF(OR(E239="",AP239=""),"",IF(COUNT(AG239:AO239)=0,"",AP239-LOOKUP(2,1/(AG239:AO239&lt;&gt;""),AG239:AO239)))</t>
        </is>
      </c>
      <c r="BD239" s="38" t="inlineStr">
        <is>
          <t>IF(OR(E239="",AQ239=""),"",IF(COUNT(AG239:AP239)=0,"",AQ239-LOOKUP(2,1/(AG239:AP239&lt;&gt;""),AG239:AP239)))</t>
        </is>
      </c>
      <c r="BE239" s="38" t="inlineStr">
        <is>
          <t>IF(OR(E239="",AR239=""),"",IF(COUNT(AG239:AQ239)=0,"",AR239-LOOKUP(2,1/(AG239:AQ239&lt;&gt;""),AG239:AQ239)))</t>
        </is>
      </c>
      <c r="BF239" s="38" t="inlineStr">
        <is>
          <t>IF(OR(E239="",AS239=""),"",IF(COUNT(AG239:AR239)=0,"",AS239-LOOKUP(2,1/(AG239:AR239&lt;&gt;""),AG239:AR239)))</t>
        </is>
      </c>
      <c r="BG239" s="38" t="inlineStr">
        <is>
          <t>IF(OR(E239="",AT239=""),"",IF(COUNT(AG239:AS239)=0,"",AT239-LOOKUP(2,1/(AG239:AS239&lt;&gt;""),AG239:AS239)))</t>
        </is>
      </c>
      <c r="BH239" s="41" t="inlineStr">
        <is>
          <t>IF(G239="","All_Provinces",IFERROR(VLOOKUP(G239,'07_Lookups'!$A$4:$B$20,2,FALSE),"All_Provinces"))</t>
        </is>
      </c>
      <c r="BI239" s="41" t="inlineStr">
        <is>
          <t>IF(H239="","All_Districts",IFERROR(VLOOKUP(H239,'07_Lookups'!$E$4:$F$42,2,FALSE),"All_Districts"))</t>
        </is>
      </c>
    </row>
    <row r="240" ht="18" customHeight="1">
      <c r="A240" s="32" t="inlineStr">
        <is>
          <t>IF(E240="","",ROW()-3)</t>
        </is>
      </c>
      <c r="B240" s="33" t="n"/>
      <c r="C240" s="33" t="n"/>
      <c r="D240" s="33" t="n"/>
      <c r="E240" s="33" t="n"/>
      <c r="F240" s="33" t="n"/>
      <c r="G240" s="33" t="n"/>
      <c r="H240" s="33" t="n"/>
      <c r="I240" s="33" t="n"/>
      <c r="J240" s="33" t="n"/>
      <c r="K240" s="33" t="n"/>
      <c r="L240" s="33" t="n"/>
      <c r="M240" s="33" t="n"/>
      <c r="N240" s="33" t="n"/>
      <c r="O240" s="33" t="n"/>
      <c r="P240" s="33" t="n"/>
      <c r="Q240" s="34" t="n"/>
      <c r="R240" s="35" t="inlineStr">
        <is>
          <t>IF(AO240="","",AO240)</t>
        </is>
      </c>
      <c r="S240" s="36" t="n"/>
      <c r="T240" s="37" t="n"/>
      <c r="U240" s="36" t="n"/>
      <c r="V240" s="35" t="inlineStr">
        <is>
          <t>IF(U240&lt;&gt;"",U240,IF(OR(R240="",T240=""),"",EDATE(R240,T240)))</t>
        </is>
      </c>
      <c r="W240" s="36" t="n"/>
      <c r="X240" s="37" t="n"/>
      <c r="Y240" s="33" t="n"/>
      <c r="Z240" s="33" t="n"/>
      <c r="AA240" s="32" t="inlineStr">
        <is>
          <t>IF(E240="","",IF(COUNT(AG240:AT240)=0,IF(Y240="","Not started",Y240),SUBSTITUTE(LOOKUP(2,1/(AG240:AT240&lt;&gt;""),$AG$3:$AT$3),"Date: ","")))</t>
        </is>
      </c>
      <c r="AB240" s="38" t="inlineStr">
        <is>
          <t>IF(OR(E240="",COUNT(AG240:AT240)=0),"",TODAY()-LOOKUP(2,1/(AG240:AT240&lt;&gt;""),AG240:AT240))</t>
        </is>
      </c>
      <c r="AC240" s="38" t="inlineStr">
        <is>
          <t>IF(OR(E240="",COUNT(AG240:AT240)&lt;2),"",LOOKUP(2,1/(AG240:AT240&lt;&gt;""),AG240:AT240)-MIN(AG240:AT240))</t>
        </is>
      </c>
      <c r="AD240" s="38" t="inlineStr">
        <is>
          <t>IF(OR(AB240="",AA240="Not started",AA240=""),"",IFERROR(AB240-IF(VLOOKUP(AA240,'04_Status_Pipeline'!$B$3:$E$20,4,FALSE)="",0,VLOOKUP(AA240,'04_Status_Pipeline'!$B$3:$E$20,4,FALSE)),""))</t>
        </is>
      </c>
      <c r="AE240" s="32" t="inlineStr">
        <is>
          <t>IF(E240="","",IF(OR(Y240="Cancelled",AA240="Cancelled"),"Cancelled",IF(OR(AA240="Completed / Handover",W240&lt;&gt;"",X240&gt;=100),"Completed — on track",IF(L240="Remaining",IF(S240="",IF(V240="","No planned date",IF(TODAY()&gt;V240,"Behind — past planned date",IF(V240-TODAY()&lt;=30,"At risk — close to off track","On track"))),IF(TODAY()&gt;S240,"Behind — award date passed",IF(S240-TODAY()&lt;=30,"At risk — close to off track","On track"))),IF(V240="","No planned date",IF(AND(TODAY()&gt;V240,OR(X240="",X240&lt;100)),"Behind — past end date",IF(AND(R240&lt;&gt;"",V240&lt;&gt;"",X240&lt;&gt;"",(X240&lt;100),((TODAY()-R240)/MAX(V240-R240,1)*100)-X240&gt;15),"Behind — progress lag",IF(AND(V240-TODAY()&lt;=30,V240-TODAY()&gt;=0,OR(X240="",X240&lt;90)),"At risk — close to off track","On track"))))))))</t>
        </is>
      </c>
      <c r="AF240" s="38" t="inlineStr">
        <is>
          <t>IF(OR(E240="",AA240="Completed / Handover",AA240="Cancelled"),"",IF(L240="Remaining",IF(S240&lt;&gt;"",S240-TODAY(),IF(V240="","",V240-TODAY())),IF(V240="","",V240-TODAY())))</t>
        </is>
      </c>
      <c r="AG240" s="36" t="n"/>
      <c r="AH240" s="36" t="n"/>
      <c r="AI240" s="36" t="n"/>
      <c r="AJ240" s="36" t="n"/>
      <c r="AK240" s="36" t="n"/>
      <c r="AL240" s="36" t="n"/>
      <c r="AM240" s="36" t="n"/>
      <c r="AN240" s="36" t="n"/>
      <c r="AO240" s="36" t="n"/>
      <c r="AP240" s="36" t="n"/>
      <c r="AQ240" s="36" t="n"/>
      <c r="AR240" s="40" t="n"/>
      <c r="AS240" s="40" t="n"/>
      <c r="AT240" s="40" t="n"/>
      <c r="AU240" s="38" t="inlineStr">
        <is>
          <t>IF(OR(E240="",AH240=""),"",IF(COUNT(AG240:AG240)=0,"",AH240-LOOKUP(2,1/(AG240:AG240&lt;&gt;""),AG240:AG240)))</t>
        </is>
      </c>
      <c r="AV240" s="38" t="inlineStr">
        <is>
          <t>IF(OR(E240="",AI240=""),"",IF(COUNT(AG240:AH240)=0,"",AI240-LOOKUP(2,1/(AG240:AH240&lt;&gt;""),AG240:AH240)))</t>
        </is>
      </c>
      <c r="AW240" s="38" t="inlineStr">
        <is>
          <t>IF(OR(E240="",AJ240=""),"",IF(COUNT(AG240:AI240)=0,"",AJ240-LOOKUP(2,1/(AG240:AI240&lt;&gt;""),AG240:AI240)))</t>
        </is>
      </c>
      <c r="AX240" s="38" t="inlineStr">
        <is>
          <t>IF(OR(E240="",AK240=""),"",IF(COUNT(AG240:AJ240)=0,"",AK240-LOOKUP(2,1/(AG240:AJ240&lt;&gt;""),AG240:AJ240)))</t>
        </is>
      </c>
      <c r="AY240" s="38" t="inlineStr">
        <is>
          <t>IF(OR(E240="",AL240=""),"",IF(COUNT(AG240:AK240)=0,"",AL240-LOOKUP(2,1/(AG240:AK240&lt;&gt;""),AG240:AK240)))</t>
        </is>
      </c>
      <c r="AZ240" s="38" t="inlineStr">
        <is>
          <t>IF(OR(E240="",AM240=""),"",IF(COUNT(AG240:AL240)=0,"",AM240-LOOKUP(2,1/(AG240:AL240&lt;&gt;""),AG240:AL240)))</t>
        </is>
      </c>
      <c r="BA240" s="38" t="inlineStr">
        <is>
          <t>IF(OR(E240="",AN240=""),"",IF(COUNT(AG240:AM240)=0,"",AN240-LOOKUP(2,1/(AG240:AM240&lt;&gt;""),AG240:AM240)))</t>
        </is>
      </c>
      <c r="BB240" s="38" t="inlineStr">
        <is>
          <t>IF(OR(E240="",AO240=""),"",IF(COUNT(AG240:AN240)=0,"",AO240-LOOKUP(2,1/(AG240:AN240&lt;&gt;""),AG240:AN240)))</t>
        </is>
      </c>
      <c r="BC240" s="38" t="inlineStr">
        <is>
          <t>IF(OR(E240="",AP240=""),"",IF(COUNT(AG240:AO240)=0,"",AP240-LOOKUP(2,1/(AG240:AO240&lt;&gt;""),AG240:AO240)))</t>
        </is>
      </c>
      <c r="BD240" s="38" t="inlineStr">
        <is>
          <t>IF(OR(E240="",AQ240=""),"",IF(COUNT(AG240:AP240)=0,"",AQ240-LOOKUP(2,1/(AG240:AP240&lt;&gt;""),AG240:AP240)))</t>
        </is>
      </c>
      <c r="BE240" s="38" t="inlineStr">
        <is>
          <t>IF(OR(E240="",AR240=""),"",IF(COUNT(AG240:AQ240)=0,"",AR240-LOOKUP(2,1/(AG240:AQ240&lt;&gt;""),AG240:AQ240)))</t>
        </is>
      </c>
      <c r="BF240" s="38" t="inlineStr">
        <is>
          <t>IF(OR(E240="",AS240=""),"",IF(COUNT(AG240:AR240)=0,"",AS240-LOOKUP(2,1/(AG240:AR240&lt;&gt;""),AG240:AR240)))</t>
        </is>
      </c>
      <c r="BG240" s="38" t="inlineStr">
        <is>
          <t>IF(OR(E240="",AT240=""),"",IF(COUNT(AG240:AS240)=0,"",AT240-LOOKUP(2,1/(AG240:AS240&lt;&gt;""),AG240:AS240)))</t>
        </is>
      </c>
      <c r="BH240" s="41" t="inlineStr">
        <is>
          <t>IF(G240="","All_Provinces",IFERROR(VLOOKUP(G240,'07_Lookups'!$A$4:$B$20,2,FALSE),"All_Provinces"))</t>
        </is>
      </c>
      <c r="BI240" s="41" t="inlineStr">
        <is>
          <t>IF(H240="","All_Districts",IFERROR(VLOOKUP(H240,'07_Lookups'!$E$4:$F$42,2,FALSE),"All_Districts"))</t>
        </is>
      </c>
    </row>
    <row r="241" ht="18" customHeight="1">
      <c r="A241" s="32" t="inlineStr">
        <is>
          <t>IF(E241="","",ROW()-3)</t>
        </is>
      </c>
      <c r="B241" s="42" t="n"/>
      <c r="C241" s="42" t="n"/>
      <c r="D241" s="42" t="n"/>
      <c r="E241" s="42" t="n"/>
      <c r="F241" s="42" t="n"/>
      <c r="G241" s="42" t="n"/>
      <c r="H241" s="42" t="n"/>
      <c r="I241" s="42" t="n"/>
      <c r="J241" s="42" t="n"/>
      <c r="K241" s="42" t="n"/>
      <c r="L241" s="42" t="n"/>
      <c r="M241" s="42" t="n"/>
      <c r="N241" s="42" t="n"/>
      <c r="O241" s="42" t="n"/>
      <c r="P241" s="42" t="n"/>
      <c r="Q241" s="43" t="n"/>
      <c r="R241" s="35" t="inlineStr">
        <is>
          <t>IF(AO241="","",AO241)</t>
        </is>
      </c>
      <c r="S241" s="44" t="n"/>
      <c r="T241" s="45" t="n"/>
      <c r="U241" s="44" t="n"/>
      <c r="V241" s="35" t="inlineStr">
        <is>
          <t>IF(U241&lt;&gt;"",U241,IF(OR(R241="",T241=""),"",EDATE(R241,T241)))</t>
        </is>
      </c>
      <c r="W241" s="44" t="n"/>
      <c r="X241" s="45" t="n"/>
      <c r="Y241" s="42" t="n"/>
      <c r="Z241" s="42" t="n"/>
      <c r="AA241" s="32" t="inlineStr">
        <is>
          <t>IF(E241="","",IF(COUNT(AG241:AT241)=0,IF(Y241="","Not started",Y241),SUBSTITUTE(LOOKUP(2,1/(AG241:AT241&lt;&gt;""),$AG$3:$AT$3),"Date: ","")))</t>
        </is>
      </c>
      <c r="AB241" s="38" t="inlineStr">
        <is>
          <t>IF(OR(E241="",COUNT(AG241:AT241)=0),"",TODAY()-LOOKUP(2,1/(AG241:AT241&lt;&gt;""),AG241:AT241))</t>
        </is>
      </c>
      <c r="AC241" s="38" t="inlineStr">
        <is>
          <t>IF(OR(E241="",COUNT(AG241:AT241)&lt;2),"",LOOKUP(2,1/(AG241:AT241&lt;&gt;""),AG241:AT241)-MIN(AG241:AT241))</t>
        </is>
      </c>
      <c r="AD241" s="38" t="inlineStr">
        <is>
          <t>IF(OR(AB241="",AA241="Not started",AA241=""),"",IFERROR(AB241-IF(VLOOKUP(AA241,'04_Status_Pipeline'!$B$3:$E$20,4,FALSE)="",0,VLOOKUP(AA241,'04_Status_Pipeline'!$B$3:$E$20,4,FALSE)),""))</t>
        </is>
      </c>
      <c r="AE241" s="32" t="inlineStr">
        <is>
          <t>IF(E241="","",IF(OR(Y241="Cancelled",AA241="Cancelled"),"Cancelled",IF(OR(AA241="Completed / Handover",W241&lt;&gt;"",X241&gt;=100),"Completed — on track",IF(L241="Remaining",IF(S241="",IF(V241="","No planned date",IF(TODAY()&gt;V241,"Behind — past planned date",IF(V241-TODAY()&lt;=30,"At risk — close to off track","On track"))),IF(TODAY()&gt;S241,"Behind — award date passed",IF(S241-TODAY()&lt;=30,"At risk — close to off track","On track"))),IF(V241="","No planned date",IF(AND(TODAY()&gt;V241,OR(X241="",X241&lt;100)),"Behind — past end date",IF(AND(R241&lt;&gt;"",V241&lt;&gt;"",X241&lt;&gt;"",(X241&lt;100),((TODAY()-R241)/MAX(V241-R241,1)*100)-X241&gt;15),"Behind — progress lag",IF(AND(V241-TODAY()&lt;=30,V241-TODAY()&gt;=0,OR(X241="",X241&lt;90)),"At risk — close to off track","On track"))))))))</t>
        </is>
      </c>
      <c r="AF241" s="38" t="inlineStr">
        <is>
          <t>IF(OR(E241="",AA241="Completed / Handover",AA241="Cancelled"),"",IF(L241="Remaining",IF(S241&lt;&gt;"",S241-TODAY(),IF(V241="","",V241-TODAY())),IF(V241="","",V241-TODAY())))</t>
        </is>
      </c>
      <c r="AG241" s="44" t="n"/>
      <c r="AH241" s="44" t="n"/>
      <c r="AI241" s="44" t="n"/>
      <c r="AJ241" s="44" t="n"/>
      <c r="AK241" s="44" t="n"/>
      <c r="AL241" s="44" t="n"/>
      <c r="AM241" s="44" t="n"/>
      <c r="AN241" s="44" t="n"/>
      <c r="AO241" s="44" t="n"/>
      <c r="AP241" s="44" t="n"/>
      <c r="AQ241" s="44" t="n"/>
      <c r="AR241" s="40" t="n"/>
      <c r="AS241" s="40" t="n"/>
      <c r="AT241" s="40" t="n"/>
      <c r="AU241" s="38" t="inlineStr">
        <is>
          <t>IF(OR(E241="",AH241=""),"",IF(COUNT(AG241:AG241)=0,"",AH241-LOOKUP(2,1/(AG241:AG241&lt;&gt;""),AG241:AG241)))</t>
        </is>
      </c>
      <c r="AV241" s="38" t="inlineStr">
        <is>
          <t>IF(OR(E241="",AI241=""),"",IF(COUNT(AG241:AH241)=0,"",AI241-LOOKUP(2,1/(AG241:AH241&lt;&gt;""),AG241:AH241)))</t>
        </is>
      </c>
      <c r="AW241" s="38" t="inlineStr">
        <is>
          <t>IF(OR(E241="",AJ241=""),"",IF(COUNT(AG241:AI241)=0,"",AJ241-LOOKUP(2,1/(AG241:AI241&lt;&gt;""),AG241:AI241)))</t>
        </is>
      </c>
      <c r="AX241" s="38" t="inlineStr">
        <is>
          <t>IF(OR(E241="",AK241=""),"",IF(COUNT(AG241:AJ241)=0,"",AK241-LOOKUP(2,1/(AG241:AJ241&lt;&gt;""),AG241:AJ241)))</t>
        </is>
      </c>
      <c r="AY241" s="38" t="inlineStr">
        <is>
          <t>IF(OR(E241="",AL241=""),"",IF(COUNT(AG241:AK241)=0,"",AL241-LOOKUP(2,1/(AG241:AK241&lt;&gt;""),AG241:AK241)))</t>
        </is>
      </c>
      <c r="AZ241" s="38" t="inlineStr">
        <is>
          <t>IF(OR(E241="",AM241=""),"",IF(COUNT(AG241:AL241)=0,"",AM241-LOOKUP(2,1/(AG241:AL241&lt;&gt;""),AG241:AL241)))</t>
        </is>
      </c>
      <c r="BA241" s="38" t="inlineStr">
        <is>
          <t>IF(OR(E241="",AN241=""),"",IF(COUNT(AG241:AM241)=0,"",AN241-LOOKUP(2,1/(AG241:AM241&lt;&gt;""),AG241:AM241)))</t>
        </is>
      </c>
      <c r="BB241" s="38" t="inlineStr">
        <is>
          <t>IF(OR(E241="",AO241=""),"",IF(COUNT(AG241:AN241)=0,"",AO241-LOOKUP(2,1/(AG241:AN241&lt;&gt;""),AG241:AN241)))</t>
        </is>
      </c>
      <c r="BC241" s="38" t="inlineStr">
        <is>
          <t>IF(OR(E241="",AP241=""),"",IF(COUNT(AG241:AO241)=0,"",AP241-LOOKUP(2,1/(AG241:AO241&lt;&gt;""),AG241:AO241)))</t>
        </is>
      </c>
      <c r="BD241" s="38" t="inlineStr">
        <is>
          <t>IF(OR(E241="",AQ241=""),"",IF(COUNT(AG241:AP241)=0,"",AQ241-LOOKUP(2,1/(AG241:AP241&lt;&gt;""),AG241:AP241)))</t>
        </is>
      </c>
      <c r="BE241" s="38" t="inlineStr">
        <is>
          <t>IF(OR(E241="",AR241=""),"",IF(COUNT(AG241:AQ241)=0,"",AR241-LOOKUP(2,1/(AG241:AQ241&lt;&gt;""),AG241:AQ241)))</t>
        </is>
      </c>
      <c r="BF241" s="38" t="inlineStr">
        <is>
          <t>IF(OR(E241="",AS241=""),"",IF(COUNT(AG241:AR241)=0,"",AS241-LOOKUP(2,1/(AG241:AR241&lt;&gt;""),AG241:AR241)))</t>
        </is>
      </c>
      <c r="BG241" s="38" t="inlineStr">
        <is>
          <t>IF(OR(E241="",AT241=""),"",IF(COUNT(AG241:AS241)=0,"",AT241-LOOKUP(2,1/(AG241:AS241&lt;&gt;""),AG241:AS241)))</t>
        </is>
      </c>
      <c r="BH241" s="41" t="inlineStr">
        <is>
          <t>IF(G241="","All_Provinces",IFERROR(VLOOKUP(G241,'07_Lookups'!$A$4:$B$20,2,FALSE),"All_Provinces"))</t>
        </is>
      </c>
      <c r="BI241" s="41" t="inlineStr">
        <is>
          <t>IF(H241="","All_Districts",IFERROR(VLOOKUP(H241,'07_Lookups'!$E$4:$F$42,2,FALSE),"All_Districts"))</t>
        </is>
      </c>
    </row>
    <row r="242" ht="18" customHeight="1">
      <c r="A242" s="32" t="inlineStr">
        <is>
          <t>IF(E242="","",ROW()-3)</t>
        </is>
      </c>
      <c r="B242" s="33" t="n"/>
      <c r="C242" s="33" t="n"/>
      <c r="D242" s="33" t="n"/>
      <c r="E242" s="33" t="n"/>
      <c r="F242" s="33" t="n"/>
      <c r="G242" s="33" t="n"/>
      <c r="H242" s="33" t="n"/>
      <c r="I242" s="33" t="n"/>
      <c r="J242" s="33" t="n"/>
      <c r="K242" s="33" t="n"/>
      <c r="L242" s="33" t="n"/>
      <c r="M242" s="33" t="n"/>
      <c r="N242" s="33" t="n"/>
      <c r="O242" s="33" t="n"/>
      <c r="P242" s="33" t="n"/>
      <c r="Q242" s="34" t="n"/>
      <c r="R242" s="35" t="inlineStr">
        <is>
          <t>IF(AO242="","",AO242)</t>
        </is>
      </c>
      <c r="S242" s="36" t="n"/>
      <c r="T242" s="37" t="n"/>
      <c r="U242" s="36" t="n"/>
      <c r="V242" s="35" t="inlineStr">
        <is>
          <t>IF(U242&lt;&gt;"",U242,IF(OR(R242="",T242=""),"",EDATE(R242,T242)))</t>
        </is>
      </c>
      <c r="W242" s="36" t="n"/>
      <c r="X242" s="37" t="n"/>
      <c r="Y242" s="33" t="n"/>
      <c r="Z242" s="33" t="n"/>
      <c r="AA242" s="32" t="inlineStr">
        <is>
          <t>IF(E242="","",IF(COUNT(AG242:AT242)=0,IF(Y242="","Not started",Y242),SUBSTITUTE(LOOKUP(2,1/(AG242:AT242&lt;&gt;""),$AG$3:$AT$3),"Date: ","")))</t>
        </is>
      </c>
      <c r="AB242" s="38" t="inlineStr">
        <is>
          <t>IF(OR(E242="",COUNT(AG242:AT242)=0),"",TODAY()-LOOKUP(2,1/(AG242:AT242&lt;&gt;""),AG242:AT242))</t>
        </is>
      </c>
      <c r="AC242" s="38" t="inlineStr">
        <is>
          <t>IF(OR(E242="",COUNT(AG242:AT242)&lt;2),"",LOOKUP(2,1/(AG242:AT242&lt;&gt;""),AG242:AT242)-MIN(AG242:AT242))</t>
        </is>
      </c>
      <c r="AD242" s="38" t="inlineStr">
        <is>
          <t>IF(OR(AB242="",AA242="Not started",AA242=""),"",IFERROR(AB242-IF(VLOOKUP(AA242,'04_Status_Pipeline'!$B$3:$E$20,4,FALSE)="",0,VLOOKUP(AA242,'04_Status_Pipeline'!$B$3:$E$20,4,FALSE)),""))</t>
        </is>
      </c>
      <c r="AE242" s="32" t="inlineStr">
        <is>
          <t>IF(E242="","",IF(OR(Y242="Cancelled",AA242="Cancelled"),"Cancelled",IF(OR(AA242="Completed / Handover",W242&lt;&gt;"",X242&gt;=100),"Completed — on track",IF(L242="Remaining",IF(S242="",IF(V242="","No planned date",IF(TODAY()&gt;V242,"Behind — past planned date",IF(V242-TODAY()&lt;=30,"At risk — close to off track","On track"))),IF(TODAY()&gt;S242,"Behind — award date passed",IF(S242-TODAY()&lt;=30,"At risk — close to off track","On track"))),IF(V242="","No planned date",IF(AND(TODAY()&gt;V242,OR(X242="",X242&lt;100)),"Behind — past end date",IF(AND(R242&lt;&gt;"",V242&lt;&gt;"",X242&lt;&gt;"",(X242&lt;100),((TODAY()-R242)/MAX(V242-R242,1)*100)-X242&gt;15),"Behind — progress lag",IF(AND(V242-TODAY()&lt;=30,V242-TODAY()&gt;=0,OR(X242="",X242&lt;90)),"At risk — close to off track","On track"))))))))</t>
        </is>
      </c>
      <c r="AF242" s="38" t="inlineStr">
        <is>
          <t>IF(OR(E242="",AA242="Completed / Handover",AA242="Cancelled"),"",IF(L242="Remaining",IF(S242&lt;&gt;"",S242-TODAY(),IF(V242="","",V242-TODAY())),IF(V242="","",V242-TODAY())))</t>
        </is>
      </c>
      <c r="AG242" s="36" t="n"/>
      <c r="AH242" s="36" t="n"/>
      <c r="AI242" s="36" t="n"/>
      <c r="AJ242" s="36" t="n"/>
      <c r="AK242" s="36" t="n"/>
      <c r="AL242" s="36" t="n"/>
      <c r="AM242" s="36" t="n"/>
      <c r="AN242" s="36" t="n"/>
      <c r="AO242" s="36" t="n"/>
      <c r="AP242" s="36" t="n"/>
      <c r="AQ242" s="36" t="n"/>
      <c r="AR242" s="40" t="n"/>
      <c r="AS242" s="40" t="n"/>
      <c r="AT242" s="40" t="n"/>
      <c r="AU242" s="38" t="inlineStr">
        <is>
          <t>IF(OR(E242="",AH242=""),"",IF(COUNT(AG242:AG242)=0,"",AH242-LOOKUP(2,1/(AG242:AG242&lt;&gt;""),AG242:AG242)))</t>
        </is>
      </c>
      <c r="AV242" s="38" t="inlineStr">
        <is>
          <t>IF(OR(E242="",AI242=""),"",IF(COUNT(AG242:AH242)=0,"",AI242-LOOKUP(2,1/(AG242:AH242&lt;&gt;""),AG242:AH242)))</t>
        </is>
      </c>
      <c r="AW242" s="38" t="inlineStr">
        <is>
          <t>IF(OR(E242="",AJ242=""),"",IF(COUNT(AG242:AI242)=0,"",AJ242-LOOKUP(2,1/(AG242:AI242&lt;&gt;""),AG242:AI242)))</t>
        </is>
      </c>
      <c r="AX242" s="38" t="inlineStr">
        <is>
          <t>IF(OR(E242="",AK242=""),"",IF(COUNT(AG242:AJ242)=0,"",AK242-LOOKUP(2,1/(AG242:AJ242&lt;&gt;""),AG242:AJ242)))</t>
        </is>
      </c>
      <c r="AY242" s="38" t="inlineStr">
        <is>
          <t>IF(OR(E242="",AL242=""),"",IF(COUNT(AG242:AK242)=0,"",AL242-LOOKUP(2,1/(AG242:AK242&lt;&gt;""),AG242:AK242)))</t>
        </is>
      </c>
      <c r="AZ242" s="38" t="inlineStr">
        <is>
          <t>IF(OR(E242="",AM242=""),"",IF(COUNT(AG242:AL242)=0,"",AM242-LOOKUP(2,1/(AG242:AL242&lt;&gt;""),AG242:AL242)))</t>
        </is>
      </c>
      <c r="BA242" s="38" t="inlineStr">
        <is>
          <t>IF(OR(E242="",AN242=""),"",IF(COUNT(AG242:AM242)=0,"",AN242-LOOKUP(2,1/(AG242:AM242&lt;&gt;""),AG242:AM242)))</t>
        </is>
      </c>
      <c r="BB242" s="38" t="inlineStr">
        <is>
          <t>IF(OR(E242="",AO242=""),"",IF(COUNT(AG242:AN242)=0,"",AO242-LOOKUP(2,1/(AG242:AN242&lt;&gt;""),AG242:AN242)))</t>
        </is>
      </c>
      <c r="BC242" s="38" t="inlineStr">
        <is>
          <t>IF(OR(E242="",AP242=""),"",IF(COUNT(AG242:AO242)=0,"",AP242-LOOKUP(2,1/(AG242:AO242&lt;&gt;""),AG242:AO242)))</t>
        </is>
      </c>
      <c r="BD242" s="38" t="inlineStr">
        <is>
          <t>IF(OR(E242="",AQ242=""),"",IF(COUNT(AG242:AP242)=0,"",AQ242-LOOKUP(2,1/(AG242:AP242&lt;&gt;""),AG242:AP242)))</t>
        </is>
      </c>
      <c r="BE242" s="38" t="inlineStr">
        <is>
          <t>IF(OR(E242="",AR242=""),"",IF(COUNT(AG242:AQ242)=0,"",AR242-LOOKUP(2,1/(AG242:AQ242&lt;&gt;""),AG242:AQ242)))</t>
        </is>
      </c>
      <c r="BF242" s="38" t="inlineStr">
        <is>
          <t>IF(OR(E242="",AS242=""),"",IF(COUNT(AG242:AR242)=0,"",AS242-LOOKUP(2,1/(AG242:AR242&lt;&gt;""),AG242:AR242)))</t>
        </is>
      </c>
      <c r="BG242" s="38" t="inlineStr">
        <is>
          <t>IF(OR(E242="",AT242=""),"",IF(COUNT(AG242:AS242)=0,"",AT242-LOOKUP(2,1/(AG242:AS242&lt;&gt;""),AG242:AS242)))</t>
        </is>
      </c>
      <c r="BH242" s="41" t="inlineStr">
        <is>
          <t>IF(G242="","All_Provinces",IFERROR(VLOOKUP(G242,'07_Lookups'!$A$4:$B$20,2,FALSE),"All_Provinces"))</t>
        </is>
      </c>
      <c r="BI242" s="41" t="inlineStr">
        <is>
          <t>IF(H242="","All_Districts",IFERROR(VLOOKUP(H242,'07_Lookups'!$E$4:$F$42,2,FALSE),"All_Districts"))</t>
        </is>
      </c>
    </row>
    <row r="243" ht="18" customHeight="1">
      <c r="A243" s="32" t="inlineStr">
        <is>
          <t>IF(E243="","",ROW()-3)</t>
        </is>
      </c>
      <c r="B243" s="42" t="n"/>
      <c r="C243" s="42" t="n"/>
      <c r="D243" s="42" t="n"/>
      <c r="E243" s="42" t="n"/>
      <c r="F243" s="42" t="n"/>
      <c r="G243" s="42" t="n"/>
      <c r="H243" s="42" t="n"/>
      <c r="I243" s="42" t="n"/>
      <c r="J243" s="42" t="n"/>
      <c r="K243" s="42" t="n"/>
      <c r="L243" s="42" t="n"/>
      <c r="M243" s="42" t="n"/>
      <c r="N243" s="42" t="n"/>
      <c r="O243" s="42" t="n"/>
      <c r="P243" s="42" t="n"/>
      <c r="Q243" s="43" t="n"/>
      <c r="R243" s="35" t="inlineStr">
        <is>
          <t>IF(AO243="","",AO243)</t>
        </is>
      </c>
      <c r="S243" s="44" t="n"/>
      <c r="T243" s="45" t="n"/>
      <c r="U243" s="44" t="n"/>
      <c r="V243" s="35" t="inlineStr">
        <is>
          <t>IF(U243&lt;&gt;"",U243,IF(OR(R243="",T243=""),"",EDATE(R243,T243)))</t>
        </is>
      </c>
      <c r="W243" s="44" t="n"/>
      <c r="X243" s="45" t="n"/>
      <c r="Y243" s="42" t="n"/>
      <c r="Z243" s="42" t="n"/>
      <c r="AA243" s="32" t="inlineStr">
        <is>
          <t>IF(E243="","",IF(COUNT(AG243:AT243)=0,IF(Y243="","Not started",Y243),SUBSTITUTE(LOOKUP(2,1/(AG243:AT243&lt;&gt;""),$AG$3:$AT$3),"Date: ","")))</t>
        </is>
      </c>
      <c r="AB243" s="38" t="inlineStr">
        <is>
          <t>IF(OR(E243="",COUNT(AG243:AT243)=0),"",TODAY()-LOOKUP(2,1/(AG243:AT243&lt;&gt;""),AG243:AT243))</t>
        </is>
      </c>
      <c r="AC243" s="38" t="inlineStr">
        <is>
          <t>IF(OR(E243="",COUNT(AG243:AT243)&lt;2),"",LOOKUP(2,1/(AG243:AT243&lt;&gt;""),AG243:AT243)-MIN(AG243:AT243))</t>
        </is>
      </c>
      <c r="AD243" s="38" t="inlineStr">
        <is>
          <t>IF(OR(AB243="",AA243="Not started",AA243=""),"",IFERROR(AB243-IF(VLOOKUP(AA243,'04_Status_Pipeline'!$B$3:$E$20,4,FALSE)="",0,VLOOKUP(AA243,'04_Status_Pipeline'!$B$3:$E$20,4,FALSE)),""))</t>
        </is>
      </c>
      <c r="AE243" s="32" t="inlineStr">
        <is>
          <t>IF(E243="","",IF(OR(Y243="Cancelled",AA243="Cancelled"),"Cancelled",IF(OR(AA243="Completed / Handover",W243&lt;&gt;"",X243&gt;=100),"Completed — on track",IF(L243="Remaining",IF(S243="",IF(V243="","No planned date",IF(TODAY()&gt;V243,"Behind — past planned date",IF(V243-TODAY()&lt;=30,"At risk — close to off track","On track"))),IF(TODAY()&gt;S243,"Behind — award date passed",IF(S243-TODAY()&lt;=30,"At risk — close to off track","On track"))),IF(V243="","No planned date",IF(AND(TODAY()&gt;V243,OR(X243="",X243&lt;100)),"Behind — past end date",IF(AND(R243&lt;&gt;"",V243&lt;&gt;"",X243&lt;&gt;"",(X243&lt;100),((TODAY()-R243)/MAX(V243-R243,1)*100)-X243&gt;15),"Behind — progress lag",IF(AND(V243-TODAY()&lt;=30,V243-TODAY()&gt;=0,OR(X243="",X243&lt;90)),"At risk — close to off track","On track"))))))))</t>
        </is>
      </c>
      <c r="AF243" s="38" t="inlineStr">
        <is>
          <t>IF(OR(E243="",AA243="Completed / Handover",AA243="Cancelled"),"",IF(L243="Remaining",IF(S243&lt;&gt;"",S243-TODAY(),IF(V243="","",V243-TODAY())),IF(V243="","",V243-TODAY())))</t>
        </is>
      </c>
      <c r="AG243" s="44" t="n"/>
      <c r="AH243" s="44" t="n"/>
      <c r="AI243" s="44" t="n"/>
      <c r="AJ243" s="44" t="n"/>
      <c r="AK243" s="44" t="n"/>
      <c r="AL243" s="44" t="n"/>
      <c r="AM243" s="44" t="n"/>
      <c r="AN243" s="44" t="n"/>
      <c r="AO243" s="44" t="n"/>
      <c r="AP243" s="44" t="n"/>
      <c r="AQ243" s="44" t="n"/>
      <c r="AR243" s="40" t="n"/>
      <c r="AS243" s="40" t="n"/>
      <c r="AT243" s="40" t="n"/>
      <c r="AU243" s="38" t="inlineStr">
        <is>
          <t>IF(OR(E243="",AH243=""),"",IF(COUNT(AG243:AG243)=0,"",AH243-LOOKUP(2,1/(AG243:AG243&lt;&gt;""),AG243:AG243)))</t>
        </is>
      </c>
      <c r="AV243" s="38" t="inlineStr">
        <is>
          <t>IF(OR(E243="",AI243=""),"",IF(COUNT(AG243:AH243)=0,"",AI243-LOOKUP(2,1/(AG243:AH243&lt;&gt;""),AG243:AH243)))</t>
        </is>
      </c>
      <c r="AW243" s="38" t="inlineStr">
        <is>
          <t>IF(OR(E243="",AJ243=""),"",IF(COUNT(AG243:AI243)=0,"",AJ243-LOOKUP(2,1/(AG243:AI243&lt;&gt;""),AG243:AI243)))</t>
        </is>
      </c>
      <c r="AX243" s="38" t="inlineStr">
        <is>
          <t>IF(OR(E243="",AK243=""),"",IF(COUNT(AG243:AJ243)=0,"",AK243-LOOKUP(2,1/(AG243:AJ243&lt;&gt;""),AG243:AJ243)))</t>
        </is>
      </c>
      <c r="AY243" s="38" t="inlineStr">
        <is>
          <t>IF(OR(E243="",AL243=""),"",IF(COUNT(AG243:AK243)=0,"",AL243-LOOKUP(2,1/(AG243:AK243&lt;&gt;""),AG243:AK243)))</t>
        </is>
      </c>
      <c r="AZ243" s="38" t="inlineStr">
        <is>
          <t>IF(OR(E243="",AM243=""),"",IF(COUNT(AG243:AL243)=0,"",AM243-LOOKUP(2,1/(AG243:AL243&lt;&gt;""),AG243:AL243)))</t>
        </is>
      </c>
      <c r="BA243" s="38" t="inlineStr">
        <is>
          <t>IF(OR(E243="",AN243=""),"",IF(COUNT(AG243:AM243)=0,"",AN243-LOOKUP(2,1/(AG243:AM243&lt;&gt;""),AG243:AM243)))</t>
        </is>
      </c>
      <c r="BB243" s="38" t="inlineStr">
        <is>
          <t>IF(OR(E243="",AO243=""),"",IF(COUNT(AG243:AN243)=0,"",AO243-LOOKUP(2,1/(AG243:AN243&lt;&gt;""),AG243:AN243)))</t>
        </is>
      </c>
      <c r="BC243" s="38" t="inlineStr">
        <is>
          <t>IF(OR(E243="",AP243=""),"",IF(COUNT(AG243:AO243)=0,"",AP243-LOOKUP(2,1/(AG243:AO243&lt;&gt;""),AG243:AO243)))</t>
        </is>
      </c>
      <c r="BD243" s="38" t="inlineStr">
        <is>
          <t>IF(OR(E243="",AQ243=""),"",IF(COUNT(AG243:AP243)=0,"",AQ243-LOOKUP(2,1/(AG243:AP243&lt;&gt;""),AG243:AP243)))</t>
        </is>
      </c>
      <c r="BE243" s="38" t="inlineStr">
        <is>
          <t>IF(OR(E243="",AR243=""),"",IF(COUNT(AG243:AQ243)=0,"",AR243-LOOKUP(2,1/(AG243:AQ243&lt;&gt;""),AG243:AQ243)))</t>
        </is>
      </c>
      <c r="BF243" s="38" t="inlineStr">
        <is>
          <t>IF(OR(E243="",AS243=""),"",IF(COUNT(AG243:AR243)=0,"",AS243-LOOKUP(2,1/(AG243:AR243&lt;&gt;""),AG243:AR243)))</t>
        </is>
      </c>
      <c r="BG243" s="38" t="inlineStr">
        <is>
          <t>IF(OR(E243="",AT243=""),"",IF(COUNT(AG243:AS243)=0,"",AT243-LOOKUP(2,1/(AG243:AS243&lt;&gt;""),AG243:AS243)))</t>
        </is>
      </c>
      <c r="BH243" s="41" t="inlineStr">
        <is>
          <t>IF(G243="","All_Provinces",IFERROR(VLOOKUP(G243,'07_Lookups'!$A$4:$B$20,2,FALSE),"All_Provinces"))</t>
        </is>
      </c>
      <c r="BI243" s="41" t="inlineStr">
        <is>
          <t>IF(H243="","All_Districts",IFERROR(VLOOKUP(H243,'07_Lookups'!$E$4:$F$42,2,FALSE),"All_Districts"))</t>
        </is>
      </c>
    </row>
    <row r="244" ht="18" customHeight="1">
      <c r="A244" s="32" t="inlineStr">
        <is>
          <t>IF(E244="","",ROW()-3)</t>
        </is>
      </c>
      <c r="B244" s="33" t="n"/>
      <c r="C244" s="33" t="n"/>
      <c r="D244" s="33" t="n"/>
      <c r="E244" s="33" t="n"/>
      <c r="F244" s="33" t="n"/>
      <c r="G244" s="33" t="n"/>
      <c r="H244" s="33" t="n"/>
      <c r="I244" s="33" t="n"/>
      <c r="J244" s="33" t="n"/>
      <c r="K244" s="33" t="n"/>
      <c r="L244" s="33" t="n"/>
      <c r="M244" s="33" t="n"/>
      <c r="N244" s="33" t="n"/>
      <c r="O244" s="33" t="n"/>
      <c r="P244" s="33" t="n"/>
      <c r="Q244" s="34" t="n"/>
      <c r="R244" s="35" t="inlineStr">
        <is>
          <t>IF(AO244="","",AO244)</t>
        </is>
      </c>
      <c r="S244" s="36" t="n"/>
      <c r="T244" s="37" t="n"/>
      <c r="U244" s="36" t="n"/>
      <c r="V244" s="35" t="inlineStr">
        <is>
          <t>IF(U244&lt;&gt;"",U244,IF(OR(R244="",T244=""),"",EDATE(R244,T244)))</t>
        </is>
      </c>
      <c r="W244" s="36" t="n"/>
      <c r="X244" s="37" t="n"/>
      <c r="Y244" s="33" t="n"/>
      <c r="Z244" s="33" t="n"/>
      <c r="AA244" s="32" t="inlineStr">
        <is>
          <t>IF(E244="","",IF(COUNT(AG244:AT244)=0,IF(Y244="","Not started",Y244),SUBSTITUTE(LOOKUP(2,1/(AG244:AT244&lt;&gt;""),$AG$3:$AT$3),"Date: ","")))</t>
        </is>
      </c>
      <c r="AB244" s="38" t="inlineStr">
        <is>
          <t>IF(OR(E244="",COUNT(AG244:AT244)=0),"",TODAY()-LOOKUP(2,1/(AG244:AT244&lt;&gt;""),AG244:AT244))</t>
        </is>
      </c>
      <c r="AC244" s="38" t="inlineStr">
        <is>
          <t>IF(OR(E244="",COUNT(AG244:AT244)&lt;2),"",LOOKUP(2,1/(AG244:AT244&lt;&gt;""),AG244:AT244)-MIN(AG244:AT244))</t>
        </is>
      </c>
      <c r="AD244" s="38" t="inlineStr">
        <is>
          <t>IF(OR(AB244="",AA244="Not started",AA244=""),"",IFERROR(AB244-IF(VLOOKUP(AA244,'04_Status_Pipeline'!$B$3:$E$20,4,FALSE)="",0,VLOOKUP(AA244,'04_Status_Pipeline'!$B$3:$E$20,4,FALSE)),""))</t>
        </is>
      </c>
      <c r="AE244" s="32" t="inlineStr">
        <is>
          <t>IF(E244="","",IF(OR(Y244="Cancelled",AA244="Cancelled"),"Cancelled",IF(OR(AA244="Completed / Handover",W244&lt;&gt;"",X244&gt;=100),"Completed — on track",IF(L244="Remaining",IF(S244="",IF(V244="","No planned date",IF(TODAY()&gt;V244,"Behind — past planned date",IF(V244-TODAY()&lt;=30,"At risk — close to off track","On track"))),IF(TODAY()&gt;S244,"Behind — award date passed",IF(S244-TODAY()&lt;=30,"At risk — close to off track","On track"))),IF(V244="","No planned date",IF(AND(TODAY()&gt;V244,OR(X244="",X244&lt;100)),"Behind — past end date",IF(AND(R244&lt;&gt;"",V244&lt;&gt;"",X244&lt;&gt;"",(X244&lt;100),((TODAY()-R244)/MAX(V244-R244,1)*100)-X244&gt;15),"Behind — progress lag",IF(AND(V244-TODAY()&lt;=30,V244-TODAY()&gt;=0,OR(X244="",X244&lt;90)),"At risk — close to off track","On track"))))))))</t>
        </is>
      </c>
      <c r="AF244" s="38" t="inlineStr">
        <is>
          <t>IF(OR(E244="",AA244="Completed / Handover",AA244="Cancelled"),"",IF(L244="Remaining",IF(S244&lt;&gt;"",S244-TODAY(),IF(V244="","",V244-TODAY())),IF(V244="","",V244-TODAY())))</t>
        </is>
      </c>
      <c r="AG244" s="36" t="n"/>
      <c r="AH244" s="36" t="n"/>
      <c r="AI244" s="36" t="n"/>
      <c r="AJ244" s="36" t="n"/>
      <c r="AK244" s="36" t="n"/>
      <c r="AL244" s="36" t="n"/>
      <c r="AM244" s="36" t="n"/>
      <c r="AN244" s="36" t="n"/>
      <c r="AO244" s="36" t="n"/>
      <c r="AP244" s="36" t="n"/>
      <c r="AQ244" s="36" t="n"/>
      <c r="AR244" s="40" t="n"/>
      <c r="AS244" s="40" t="n"/>
      <c r="AT244" s="40" t="n"/>
      <c r="AU244" s="38" t="inlineStr">
        <is>
          <t>IF(OR(E244="",AH244=""),"",IF(COUNT(AG244:AG244)=0,"",AH244-LOOKUP(2,1/(AG244:AG244&lt;&gt;""),AG244:AG244)))</t>
        </is>
      </c>
      <c r="AV244" s="38" t="inlineStr">
        <is>
          <t>IF(OR(E244="",AI244=""),"",IF(COUNT(AG244:AH244)=0,"",AI244-LOOKUP(2,1/(AG244:AH244&lt;&gt;""),AG244:AH244)))</t>
        </is>
      </c>
      <c r="AW244" s="38" t="inlineStr">
        <is>
          <t>IF(OR(E244="",AJ244=""),"",IF(COUNT(AG244:AI244)=0,"",AJ244-LOOKUP(2,1/(AG244:AI244&lt;&gt;""),AG244:AI244)))</t>
        </is>
      </c>
      <c r="AX244" s="38" t="inlineStr">
        <is>
          <t>IF(OR(E244="",AK244=""),"",IF(COUNT(AG244:AJ244)=0,"",AK244-LOOKUP(2,1/(AG244:AJ244&lt;&gt;""),AG244:AJ244)))</t>
        </is>
      </c>
      <c r="AY244" s="38" t="inlineStr">
        <is>
          <t>IF(OR(E244="",AL244=""),"",IF(COUNT(AG244:AK244)=0,"",AL244-LOOKUP(2,1/(AG244:AK244&lt;&gt;""),AG244:AK244)))</t>
        </is>
      </c>
      <c r="AZ244" s="38" t="inlineStr">
        <is>
          <t>IF(OR(E244="",AM244=""),"",IF(COUNT(AG244:AL244)=0,"",AM244-LOOKUP(2,1/(AG244:AL244&lt;&gt;""),AG244:AL244)))</t>
        </is>
      </c>
      <c r="BA244" s="38" t="inlineStr">
        <is>
          <t>IF(OR(E244="",AN244=""),"",IF(COUNT(AG244:AM244)=0,"",AN244-LOOKUP(2,1/(AG244:AM244&lt;&gt;""),AG244:AM244)))</t>
        </is>
      </c>
      <c r="BB244" s="38" t="inlineStr">
        <is>
          <t>IF(OR(E244="",AO244=""),"",IF(COUNT(AG244:AN244)=0,"",AO244-LOOKUP(2,1/(AG244:AN244&lt;&gt;""),AG244:AN244)))</t>
        </is>
      </c>
      <c r="BC244" s="38" t="inlineStr">
        <is>
          <t>IF(OR(E244="",AP244=""),"",IF(COUNT(AG244:AO244)=0,"",AP244-LOOKUP(2,1/(AG244:AO244&lt;&gt;""),AG244:AO244)))</t>
        </is>
      </c>
      <c r="BD244" s="38" t="inlineStr">
        <is>
          <t>IF(OR(E244="",AQ244=""),"",IF(COUNT(AG244:AP244)=0,"",AQ244-LOOKUP(2,1/(AG244:AP244&lt;&gt;""),AG244:AP244)))</t>
        </is>
      </c>
      <c r="BE244" s="38" t="inlineStr">
        <is>
          <t>IF(OR(E244="",AR244=""),"",IF(COUNT(AG244:AQ244)=0,"",AR244-LOOKUP(2,1/(AG244:AQ244&lt;&gt;""),AG244:AQ244)))</t>
        </is>
      </c>
      <c r="BF244" s="38" t="inlineStr">
        <is>
          <t>IF(OR(E244="",AS244=""),"",IF(COUNT(AG244:AR244)=0,"",AS244-LOOKUP(2,1/(AG244:AR244&lt;&gt;""),AG244:AR244)))</t>
        </is>
      </c>
      <c r="BG244" s="38" t="inlineStr">
        <is>
          <t>IF(OR(E244="",AT244=""),"",IF(COUNT(AG244:AS244)=0,"",AT244-LOOKUP(2,1/(AG244:AS244&lt;&gt;""),AG244:AS244)))</t>
        </is>
      </c>
      <c r="BH244" s="41" t="inlineStr">
        <is>
          <t>IF(G244="","All_Provinces",IFERROR(VLOOKUP(G244,'07_Lookups'!$A$4:$B$20,2,FALSE),"All_Provinces"))</t>
        </is>
      </c>
      <c r="BI244" s="41" t="inlineStr">
        <is>
          <t>IF(H244="","All_Districts",IFERROR(VLOOKUP(H244,'07_Lookups'!$E$4:$F$42,2,FALSE),"All_Districts"))</t>
        </is>
      </c>
    </row>
    <row r="245" ht="18" customHeight="1">
      <c r="A245" s="32" t="inlineStr">
        <is>
          <t>IF(E245="","",ROW()-3)</t>
        </is>
      </c>
      <c r="B245" s="42" t="n"/>
      <c r="C245" s="42" t="n"/>
      <c r="D245" s="42" t="n"/>
      <c r="E245" s="42" t="n"/>
      <c r="F245" s="42" t="n"/>
      <c r="G245" s="42" t="n"/>
      <c r="H245" s="42" t="n"/>
      <c r="I245" s="42" t="n"/>
      <c r="J245" s="42" t="n"/>
      <c r="K245" s="42" t="n"/>
      <c r="L245" s="42" t="n"/>
      <c r="M245" s="42" t="n"/>
      <c r="N245" s="42" t="n"/>
      <c r="O245" s="42" t="n"/>
      <c r="P245" s="42" t="n"/>
      <c r="Q245" s="43" t="n"/>
      <c r="R245" s="35" t="inlineStr">
        <is>
          <t>IF(AO245="","",AO245)</t>
        </is>
      </c>
      <c r="S245" s="44" t="n"/>
      <c r="T245" s="45" t="n"/>
      <c r="U245" s="44" t="n"/>
      <c r="V245" s="35" t="inlineStr">
        <is>
          <t>IF(U245&lt;&gt;"",U245,IF(OR(R245="",T245=""),"",EDATE(R245,T245)))</t>
        </is>
      </c>
      <c r="W245" s="44" t="n"/>
      <c r="X245" s="45" t="n"/>
      <c r="Y245" s="42" t="n"/>
      <c r="Z245" s="42" t="n"/>
      <c r="AA245" s="32" t="inlineStr">
        <is>
          <t>IF(E245="","",IF(COUNT(AG245:AT245)=0,IF(Y245="","Not started",Y245),SUBSTITUTE(LOOKUP(2,1/(AG245:AT245&lt;&gt;""),$AG$3:$AT$3),"Date: ","")))</t>
        </is>
      </c>
      <c r="AB245" s="38" t="inlineStr">
        <is>
          <t>IF(OR(E245="",COUNT(AG245:AT245)=0),"",TODAY()-LOOKUP(2,1/(AG245:AT245&lt;&gt;""),AG245:AT245))</t>
        </is>
      </c>
      <c r="AC245" s="38" t="inlineStr">
        <is>
          <t>IF(OR(E245="",COUNT(AG245:AT245)&lt;2),"",LOOKUP(2,1/(AG245:AT245&lt;&gt;""),AG245:AT245)-MIN(AG245:AT245))</t>
        </is>
      </c>
      <c r="AD245" s="38" t="inlineStr">
        <is>
          <t>IF(OR(AB245="",AA245="Not started",AA245=""),"",IFERROR(AB245-IF(VLOOKUP(AA245,'04_Status_Pipeline'!$B$3:$E$20,4,FALSE)="",0,VLOOKUP(AA245,'04_Status_Pipeline'!$B$3:$E$20,4,FALSE)),""))</t>
        </is>
      </c>
      <c r="AE245" s="32" t="inlineStr">
        <is>
          <t>IF(E245="","",IF(OR(Y245="Cancelled",AA245="Cancelled"),"Cancelled",IF(OR(AA245="Completed / Handover",W245&lt;&gt;"",X245&gt;=100),"Completed — on track",IF(L245="Remaining",IF(S245="",IF(V245="","No planned date",IF(TODAY()&gt;V245,"Behind — past planned date",IF(V245-TODAY()&lt;=30,"At risk — close to off track","On track"))),IF(TODAY()&gt;S245,"Behind — award date passed",IF(S245-TODAY()&lt;=30,"At risk — close to off track","On track"))),IF(V245="","No planned date",IF(AND(TODAY()&gt;V245,OR(X245="",X245&lt;100)),"Behind — past end date",IF(AND(R245&lt;&gt;"",V245&lt;&gt;"",X245&lt;&gt;"",(X245&lt;100),((TODAY()-R245)/MAX(V245-R245,1)*100)-X245&gt;15),"Behind — progress lag",IF(AND(V245-TODAY()&lt;=30,V245-TODAY()&gt;=0,OR(X245="",X245&lt;90)),"At risk — close to off track","On track"))))))))</t>
        </is>
      </c>
      <c r="AF245" s="38" t="inlineStr">
        <is>
          <t>IF(OR(E245="",AA245="Completed / Handover",AA245="Cancelled"),"",IF(L245="Remaining",IF(S245&lt;&gt;"",S245-TODAY(),IF(V245="","",V245-TODAY())),IF(V245="","",V245-TODAY())))</t>
        </is>
      </c>
      <c r="AG245" s="44" t="n"/>
      <c r="AH245" s="44" t="n"/>
      <c r="AI245" s="44" t="n"/>
      <c r="AJ245" s="44" t="n"/>
      <c r="AK245" s="44" t="n"/>
      <c r="AL245" s="44" t="n"/>
      <c r="AM245" s="44" t="n"/>
      <c r="AN245" s="44" t="n"/>
      <c r="AO245" s="44" t="n"/>
      <c r="AP245" s="44" t="n"/>
      <c r="AQ245" s="44" t="n"/>
      <c r="AR245" s="40" t="n"/>
      <c r="AS245" s="40" t="n"/>
      <c r="AT245" s="40" t="n"/>
      <c r="AU245" s="38" t="inlineStr">
        <is>
          <t>IF(OR(E245="",AH245=""),"",IF(COUNT(AG245:AG245)=0,"",AH245-LOOKUP(2,1/(AG245:AG245&lt;&gt;""),AG245:AG245)))</t>
        </is>
      </c>
      <c r="AV245" s="38" t="inlineStr">
        <is>
          <t>IF(OR(E245="",AI245=""),"",IF(COUNT(AG245:AH245)=0,"",AI245-LOOKUP(2,1/(AG245:AH245&lt;&gt;""),AG245:AH245)))</t>
        </is>
      </c>
      <c r="AW245" s="38" t="inlineStr">
        <is>
          <t>IF(OR(E245="",AJ245=""),"",IF(COUNT(AG245:AI245)=0,"",AJ245-LOOKUP(2,1/(AG245:AI245&lt;&gt;""),AG245:AI245)))</t>
        </is>
      </c>
      <c r="AX245" s="38" t="inlineStr">
        <is>
          <t>IF(OR(E245="",AK245=""),"",IF(COUNT(AG245:AJ245)=0,"",AK245-LOOKUP(2,1/(AG245:AJ245&lt;&gt;""),AG245:AJ245)))</t>
        </is>
      </c>
      <c r="AY245" s="38" t="inlineStr">
        <is>
          <t>IF(OR(E245="",AL245=""),"",IF(COUNT(AG245:AK245)=0,"",AL245-LOOKUP(2,1/(AG245:AK245&lt;&gt;""),AG245:AK245)))</t>
        </is>
      </c>
      <c r="AZ245" s="38" t="inlineStr">
        <is>
          <t>IF(OR(E245="",AM245=""),"",IF(COUNT(AG245:AL245)=0,"",AM245-LOOKUP(2,1/(AG245:AL245&lt;&gt;""),AG245:AL245)))</t>
        </is>
      </c>
      <c r="BA245" s="38" t="inlineStr">
        <is>
          <t>IF(OR(E245="",AN245=""),"",IF(COUNT(AG245:AM245)=0,"",AN245-LOOKUP(2,1/(AG245:AM245&lt;&gt;""),AG245:AM245)))</t>
        </is>
      </c>
      <c r="BB245" s="38" t="inlineStr">
        <is>
          <t>IF(OR(E245="",AO245=""),"",IF(COUNT(AG245:AN245)=0,"",AO245-LOOKUP(2,1/(AG245:AN245&lt;&gt;""),AG245:AN245)))</t>
        </is>
      </c>
      <c r="BC245" s="38" t="inlineStr">
        <is>
          <t>IF(OR(E245="",AP245=""),"",IF(COUNT(AG245:AO245)=0,"",AP245-LOOKUP(2,1/(AG245:AO245&lt;&gt;""),AG245:AO245)))</t>
        </is>
      </c>
      <c r="BD245" s="38" t="inlineStr">
        <is>
          <t>IF(OR(E245="",AQ245=""),"",IF(COUNT(AG245:AP245)=0,"",AQ245-LOOKUP(2,1/(AG245:AP245&lt;&gt;""),AG245:AP245)))</t>
        </is>
      </c>
      <c r="BE245" s="38" t="inlineStr">
        <is>
          <t>IF(OR(E245="",AR245=""),"",IF(COUNT(AG245:AQ245)=0,"",AR245-LOOKUP(2,1/(AG245:AQ245&lt;&gt;""),AG245:AQ245)))</t>
        </is>
      </c>
      <c r="BF245" s="38" t="inlineStr">
        <is>
          <t>IF(OR(E245="",AS245=""),"",IF(COUNT(AG245:AR245)=0,"",AS245-LOOKUP(2,1/(AG245:AR245&lt;&gt;""),AG245:AR245)))</t>
        </is>
      </c>
      <c r="BG245" s="38" t="inlineStr">
        <is>
          <t>IF(OR(E245="",AT245=""),"",IF(COUNT(AG245:AS245)=0,"",AT245-LOOKUP(2,1/(AG245:AS245&lt;&gt;""),AG245:AS245)))</t>
        </is>
      </c>
      <c r="BH245" s="41" t="inlineStr">
        <is>
          <t>IF(G245="","All_Provinces",IFERROR(VLOOKUP(G245,'07_Lookups'!$A$4:$B$20,2,FALSE),"All_Provinces"))</t>
        </is>
      </c>
      <c r="BI245" s="41" t="inlineStr">
        <is>
          <t>IF(H245="","All_Districts",IFERROR(VLOOKUP(H245,'07_Lookups'!$E$4:$F$42,2,FALSE),"All_Districts"))</t>
        </is>
      </c>
    </row>
    <row r="246" ht="18" customHeight="1">
      <c r="A246" s="32" t="inlineStr">
        <is>
          <t>IF(E246="","",ROW()-3)</t>
        </is>
      </c>
      <c r="B246" s="33" t="n"/>
      <c r="C246" s="33" t="n"/>
      <c r="D246" s="33" t="n"/>
      <c r="E246" s="33" t="n"/>
      <c r="F246" s="33" t="n"/>
      <c r="G246" s="33" t="n"/>
      <c r="H246" s="33" t="n"/>
      <c r="I246" s="33" t="n"/>
      <c r="J246" s="33" t="n"/>
      <c r="K246" s="33" t="n"/>
      <c r="L246" s="33" t="n"/>
      <c r="M246" s="33" t="n"/>
      <c r="N246" s="33" t="n"/>
      <c r="O246" s="33" t="n"/>
      <c r="P246" s="33" t="n"/>
      <c r="Q246" s="34" t="n"/>
      <c r="R246" s="35" t="inlineStr">
        <is>
          <t>IF(AO246="","",AO246)</t>
        </is>
      </c>
      <c r="S246" s="36" t="n"/>
      <c r="T246" s="37" t="n"/>
      <c r="U246" s="36" t="n"/>
      <c r="V246" s="35" t="inlineStr">
        <is>
          <t>IF(U246&lt;&gt;"",U246,IF(OR(R246="",T246=""),"",EDATE(R246,T246)))</t>
        </is>
      </c>
      <c r="W246" s="36" t="n"/>
      <c r="X246" s="37" t="n"/>
      <c r="Y246" s="33" t="n"/>
      <c r="Z246" s="33" t="n"/>
      <c r="AA246" s="32" t="inlineStr">
        <is>
          <t>IF(E246="","",IF(COUNT(AG246:AT246)=0,IF(Y246="","Not started",Y246),SUBSTITUTE(LOOKUP(2,1/(AG246:AT246&lt;&gt;""),$AG$3:$AT$3),"Date: ","")))</t>
        </is>
      </c>
      <c r="AB246" s="38" t="inlineStr">
        <is>
          <t>IF(OR(E246="",COUNT(AG246:AT246)=0),"",TODAY()-LOOKUP(2,1/(AG246:AT246&lt;&gt;""),AG246:AT246))</t>
        </is>
      </c>
      <c r="AC246" s="38" t="inlineStr">
        <is>
          <t>IF(OR(E246="",COUNT(AG246:AT246)&lt;2),"",LOOKUP(2,1/(AG246:AT246&lt;&gt;""),AG246:AT246)-MIN(AG246:AT246))</t>
        </is>
      </c>
      <c r="AD246" s="38" t="inlineStr">
        <is>
          <t>IF(OR(AB246="",AA246="Not started",AA246=""),"",IFERROR(AB246-IF(VLOOKUP(AA246,'04_Status_Pipeline'!$B$3:$E$20,4,FALSE)="",0,VLOOKUP(AA246,'04_Status_Pipeline'!$B$3:$E$20,4,FALSE)),""))</t>
        </is>
      </c>
      <c r="AE246" s="32" t="inlineStr">
        <is>
          <t>IF(E246="","",IF(OR(Y246="Cancelled",AA246="Cancelled"),"Cancelled",IF(OR(AA246="Completed / Handover",W246&lt;&gt;"",X246&gt;=100),"Completed — on track",IF(L246="Remaining",IF(S246="",IF(V246="","No planned date",IF(TODAY()&gt;V246,"Behind — past planned date",IF(V246-TODAY()&lt;=30,"At risk — close to off track","On track"))),IF(TODAY()&gt;S246,"Behind — award date passed",IF(S246-TODAY()&lt;=30,"At risk — close to off track","On track"))),IF(V246="","No planned date",IF(AND(TODAY()&gt;V246,OR(X246="",X246&lt;100)),"Behind — past end date",IF(AND(R246&lt;&gt;"",V246&lt;&gt;"",X246&lt;&gt;"",(X246&lt;100),((TODAY()-R246)/MAX(V246-R246,1)*100)-X246&gt;15),"Behind — progress lag",IF(AND(V246-TODAY()&lt;=30,V246-TODAY()&gt;=0,OR(X246="",X246&lt;90)),"At risk — close to off track","On track"))))))))</t>
        </is>
      </c>
      <c r="AF246" s="38" t="inlineStr">
        <is>
          <t>IF(OR(E246="",AA246="Completed / Handover",AA246="Cancelled"),"",IF(L246="Remaining",IF(S246&lt;&gt;"",S246-TODAY(),IF(V246="","",V246-TODAY())),IF(V246="","",V246-TODAY())))</t>
        </is>
      </c>
      <c r="AG246" s="36" t="n"/>
      <c r="AH246" s="36" t="n"/>
      <c r="AI246" s="36" t="n"/>
      <c r="AJ246" s="36" t="n"/>
      <c r="AK246" s="36" t="n"/>
      <c r="AL246" s="36" t="n"/>
      <c r="AM246" s="36" t="n"/>
      <c r="AN246" s="36" t="n"/>
      <c r="AO246" s="36" t="n"/>
      <c r="AP246" s="36" t="n"/>
      <c r="AQ246" s="36" t="n"/>
      <c r="AR246" s="40" t="n"/>
      <c r="AS246" s="40" t="n"/>
      <c r="AT246" s="40" t="n"/>
      <c r="AU246" s="38" t="inlineStr">
        <is>
          <t>IF(OR(E246="",AH246=""),"",IF(COUNT(AG246:AG246)=0,"",AH246-LOOKUP(2,1/(AG246:AG246&lt;&gt;""),AG246:AG246)))</t>
        </is>
      </c>
      <c r="AV246" s="38" t="inlineStr">
        <is>
          <t>IF(OR(E246="",AI246=""),"",IF(COUNT(AG246:AH246)=0,"",AI246-LOOKUP(2,1/(AG246:AH246&lt;&gt;""),AG246:AH246)))</t>
        </is>
      </c>
      <c r="AW246" s="38" t="inlineStr">
        <is>
          <t>IF(OR(E246="",AJ246=""),"",IF(COUNT(AG246:AI246)=0,"",AJ246-LOOKUP(2,1/(AG246:AI246&lt;&gt;""),AG246:AI246)))</t>
        </is>
      </c>
      <c r="AX246" s="38" t="inlineStr">
        <is>
          <t>IF(OR(E246="",AK246=""),"",IF(COUNT(AG246:AJ246)=0,"",AK246-LOOKUP(2,1/(AG246:AJ246&lt;&gt;""),AG246:AJ246)))</t>
        </is>
      </c>
      <c r="AY246" s="38" t="inlineStr">
        <is>
          <t>IF(OR(E246="",AL246=""),"",IF(COUNT(AG246:AK246)=0,"",AL246-LOOKUP(2,1/(AG246:AK246&lt;&gt;""),AG246:AK246)))</t>
        </is>
      </c>
      <c r="AZ246" s="38" t="inlineStr">
        <is>
          <t>IF(OR(E246="",AM246=""),"",IF(COUNT(AG246:AL246)=0,"",AM246-LOOKUP(2,1/(AG246:AL246&lt;&gt;""),AG246:AL246)))</t>
        </is>
      </c>
      <c r="BA246" s="38" t="inlineStr">
        <is>
          <t>IF(OR(E246="",AN246=""),"",IF(COUNT(AG246:AM246)=0,"",AN246-LOOKUP(2,1/(AG246:AM246&lt;&gt;""),AG246:AM246)))</t>
        </is>
      </c>
      <c r="BB246" s="38" t="inlineStr">
        <is>
          <t>IF(OR(E246="",AO246=""),"",IF(COUNT(AG246:AN246)=0,"",AO246-LOOKUP(2,1/(AG246:AN246&lt;&gt;""),AG246:AN246)))</t>
        </is>
      </c>
      <c r="BC246" s="38" t="inlineStr">
        <is>
          <t>IF(OR(E246="",AP246=""),"",IF(COUNT(AG246:AO246)=0,"",AP246-LOOKUP(2,1/(AG246:AO246&lt;&gt;""),AG246:AO246)))</t>
        </is>
      </c>
      <c r="BD246" s="38" t="inlineStr">
        <is>
          <t>IF(OR(E246="",AQ246=""),"",IF(COUNT(AG246:AP246)=0,"",AQ246-LOOKUP(2,1/(AG246:AP246&lt;&gt;""),AG246:AP246)))</t>
        </is>
      </c>
      <c r="BE246" s="38" t="inlineStr">
        <is>
          <t>IF(OR(E246="",AR246=""),"",IF(COUNT(AG246:AQ246)=0,"",AR246-LOOKUP(2,1/(AG246:AQ246&lt;&gt;""),AG246:AQ246)))</t>
        </is>
      </c>
      <c r="BF246" s="38" t="inlineStr">
        <is>
          <t>IF(OR(E246="",AS246=""),"",IF(COUNT(AG246:AR246)=0,"",AS246-LOOKUP(2,1/(AG246:AR246&lt;&gt;""),AG246:AR246)))</t>
        </is>
      </c>
      <c r="BG246" s="38" t="inlineStr">
        <is>
          <t>IF(OR(E246="",AT246=""),"",IF(COUNT(AG246:AS246)=0,"",AT246-LOOKUP(2,1/(AG246:AS246&lt;&gt;""),AG246:AS246)))</t>
        </is>
      </c>
      <c r="BH246" s="41" t="inlineStr">
        <is>
          <t>IF(G246="","All_Provinces",IFERROR(VLOOKUP(G246,'07_Lookups'!$A$4:$B$20,2,FALSE),"All_Provinces"))</t>
        </is>
      </c>
      <c r="BI246" s="41" t="inlineStr">
        <is>
          <t>IF(H246="","All_Districts",IFERROR(VLOOKUP(H246,'07_Lookups'!$E$4:$F$42,2,FALSE),"All_Districts"))</t>
        </is>
      </c>
    </row>
    <row r="247" ht="18" customHeight="1">
      <c r="A247" s="32" t="inlineStr">
        <is>
          <t>IF(E247="","",ROW()-3)</t>
        </is>
      </c>
      <c r="B247" s="42" t="n"/>
      <c r="C247" s="42" t="n"/>
      <c r="D247" s="42" t="n"/>
      <c r="E247" s="42" t="n"/>
      <c r="F247" s="42" t="n"/>
      <c r="G247" s="42" t="n"/>
      <c r="H247" s="42" t="n"/>
      <c r="I247" s="42" t="n"/>
      <c r="J247" s="42" t="n"/>
      <c r="K247" s="42" t="n"/>
      <c r="L247" s="42" t="n"/>
      <c r="M247" s="42" t="n"/>
      <c r="N247" s="42" t="n"/>
      <c r="O247" s="42" t="n"/>
      <c r="P247" s="42" t="n"/>
      <c r="Q247" s="43" t="n"/>
      <c r="R247" s="35" t="inlineStr">
        <is>
          <t>IF(AO247="","",AO247)</t>
        </is>
      </c>
      <c r="S247" s="44" t="n"/>
      <c r="T247" s="45" t="n"/>
      <c r="U247" s="44" t="n"/>
      <c r="V247" s="35" t="inlineStr">
        <is>
          <t>IF(U247&lt;&gt;"",U247,IF(OR(R247="",T247=""),"",EDATE(R247,T247)))</t>
        </is>
      </c>
      <c r="W247" s="44" t="n"/>
      <c r="X247" s="45" t="n"/>
      <c r="Y247" s="42" t="n"/>
      <c r="Z247" s="42" t="n"/>
      <c r="AA247" s="32" t="inlineStr">
        <is>
          <t>IF(E247="","",IF(COUNT(AG247:AT247)=0,IF(Y247="","Not started",Y247),SUBSTITUTE(LOOKUP(2,1/(AG247:AT247&lt;&gt;""),$AG$3:$AT$3),"Date: ","")))</t>
        </is>
      </c>
      <c r="AB247" s="38" t="inlineStr">
        <is>
          <t>IF(OR(E247="",COUNT(AG247:AT247)=0),"",TODAY()-LOOKUP(2,1/(AG247:AT247&lt;&gt;""),AG247:AT247))</t>
        </is>
      </c>
      <c r="AC247" s="38" t="inlineStr">
        <is>
          <t>IF(OR(E247="",COUNT(AG247:AT247)&lt;2),"",LOOKUP(2,1/(AG247:AT247&lt;&gt;""),AG247:AT247)-MIN(AG247:AT247))</t>
        </is>
      </c>
      <c r="AD247" s="38" t="inlineStr">
        <is>
          <t>IF(OR(AB247="",AA247="Not started",AA247=""),"",IFERROR(AB247-IF(VLOOKUP(AA247,'04_Status_Pipeline'!$B$3:$E$20,4,FALSE)="",0,VLOOKUP(AA247,'04_Status_Pipeline'!$B$3:$E$20,4,FALSE)),""))</t>
        </is>
      </c>
      <c r="AE247" s="32" t="inlineStr">
        <is>
          <t>IF(E247="","",IF(OR(Y247="Cancelled",AA247="Cancelled"),"Cancelled",IF(OR(AA247="Completed / Handover",W247&lt;&gt;"",X247&gt;=100),"Completed — on track",IF(L247="Remaining",IF(S247="",IF(V247="","No planned date",IF(TODAY()&gt;V247,"Behind — past planned date",IF(V247-TODAY()&lt;=30,"At risk — close to off track","On track"))),IF(TODAY()&gt;S247,"Behind — award date passed",IF(S247-TODAY()&lt;=30,"At risk — close to off track","On track"))),IF(V247="","No planned date",IF(AND(TODAY()&gt;V247,OR(X247="",X247&lt;100)),"Behind — past end date",IF(AND(R247&lt;&gt;"",V247&lt;&gt;"",X247&lt;&gt;"",(X247&lt;100),((TODAY()-R247)/MAX(V247-R247,1)*100)-X247&gt;15),"Behind — progress lag",IF(AND(V247-TODAY()&lt;=30,V247-TODAY()&gt;=0,OR(X247="",X247&lt;90)),"At risk — close to off track","On track"))))))))</t>
        </is>
      </c>
      <c r="AF247" s="38" t="inlineStr">
        <is>
          <t>IF(OR(E247="",AA247="Completed / Handover",AA247="Cancelled"),"",IF(L247="Remaining",IF(S247&lt;&gt;"",S247-TODAY(),IF(V247="","",V247-TODAY())),IF(V247="","",V247-TODAY())))</t>
        </is>
      </c>
      <c r="AG247" s="44" t="n"/>
      <c r="AH247" s="44" t="n"/>
      <c r="AI247" s="44" t="n"/>
      <c r="AJ247" s="44" t="n"/>
      <c r="AK247" s="44" t="n"/>
      <c r="AL247" s="44" t="n"/>
      <c r="AM247" s="44" t="n"/>
      <c r="AN247" s="44" t="n"/>
      <c r="AO247" s="44" t="n"/>
      <c r="AP247" s="44" t="n"/>
      <c r="AQ247" s="44" t="n"/>
      <c r="AR247" s="40" t="n"/>
      <c r="AS247" s="40" t="n"/>
      <c r="AT247" s="40" t="n"/>
      <c r="AU247" s="38" t="inlineStr">
        <is>
          <t>IF(OR(E247="",AH247=""),"",IF(COUNT(AG247:AG247)=0,"",AH247-LOOKUP(2,1/(AG247:AG247&lt;&gt;""),AG247:AG247)))</t>
        </is>
      </c>
      <c r="AV247" s="38" t="inlineStr">
        <is>
          <t>IF(OR(E247="",AI247=""),"",IF(COUNT(AG247:AH247)=0,"",AI247-LOOKUP(2,1/(AG247:AH247&lt;&gt;""),AG247:AH247)))</t>
        </is>
      </c>
      <c r="AW247" s="38" t="inlineStr">
        <is>
          <t>IF(OR(E247="",AJ247=""),"",IF(COUNT(AG247:AI247)=0,"",AJ247-LOOKUP(2,1/(AG247:AI247&lt;&gt;""),AG247:AI247)))</t>
        </is>
      </c>
      <c r="AX247" s="38" t="inlineStr">
        <is>
          <t>IF(OR(E247="",AK247=""),"",IF(COUNT(AG247:AJ247)=0,"",AK247-LOOKUP(2,1/(AG247:AJ247&lt;&gt;""),AG247:AJ247)))</t>
        </is>
      </c>
      <c r="AY247" s="38" t="inlineStr">
        <is>
          <t>IF(OR(E247="",AL247=""),"",IF(COUNT(AG247:AK247)=0,"",AL247-LOOKUP(2,1/(AG247:AK247&lt;&gt;""),AG247:AK247)))</t>
        </is>
      </c>
      <c r="AZ247" s="38" t="inlineStr">
        <is>
          <t>IF(OR(E247="",AM247=""),"",IF(COUNT(AG247:AL247)=0,"",AM247-LOOKUP(2,1/(AG247:AL247&lt;&gt;""),AG247:AL247)))</t>
        </is>
      </c>
      <c r="BA247" s="38" t="inlineStr">
        <is>
          <t>IF(OR(E247="",AN247=""),"",IF(COUNT(AG247:AM247)=0,"",AN247-LOOKUP(2,1/(AG247:AM247&lt;&gt;""),AG247:AM247)))</t>
        </is>
      </c>
      <c r="BB247" s="38" t="inlineStr">
        <is>
          <t>IF(OR(E247="",AO247=""),"",IF(COUNT(AG247:AN247)=0,"",AO247-LOOKUP(2,1/(AG247:AN247&lt;&gt;""),AG247:AN247)))</t>
        </is>
      </c>
      <c r="BC247" s="38" t="inlineStr">
        <is>
          <t>IF(OR(E247="",AP247=""),"",IF(COUNT(AG247:AO247)=0,"",AP247-LOOKUP(2,1/(AG247:AO247&lt;&gt;""),AG247:AO247)))</t>
        </is>
      </c>
      <c r="BD247" s="38" t="inlineStr">
        <is>
          <t>IF(OR(E247="",AQ247=""),"",IF(COUNT(AG247:AP247)=0,"",AQ247-LOOKUP(2,1/(AG247:AP247&lt;&gt;""),AG247:AP247)))</t>
        </is>
      </c>
      <c r="BE247" s="38" t="inlineStr">
        <is>
          <t>IF(OR(E247="",AR247=""),"",IF(COUNT(AG247:AQ247)=0,"",AR247-LOOKUP(2,1/(AG247:AQ247&lt;&gt;""),AG247:AQ247)))</t>
        </is>
      </c>
      <c r="BF247" s="38" t="inlineStr">
        <is>
          <t>IF(OR(E247="",AS247=""),"",IF(COUNT(AG247:AR247)=0,"",AS247-LOOKUP(2,1/(AG247:AR247&lt;&gt;""),AG247:AR247)))</t>
        </is>
      </c>
      <c r="BG247" s="38" t="inlineStr">
        <is>
          <t>IF(OR(E247="",AT247=""),"",IF(COUNT(AG247:AS247)=0,"",AT247-LOOKUP(2,1/(AG247:AS247&lt;&gt;""),AG247:AS247)))</t>
        </is>
      </c>
      <c r="BH247" s="41" t="inlineStr">
        <is>
          <t>IF(G247="","All_Provinces",IFERROR(VLOOKUP(G247,'07_Lookups'!$A$4:$B$20,2,FALSE),"All_Provinces"))</t>
        </is>
      </c>
      <c r="BI247" s="41" t="inlineStr">
        <is>
          <t>IF(H247="","All_Districts",IFERROR(VLOOKUP(H247,'07_Lookups'!$E$4:$F$42,2,FALSE),"All_Districts"))</t>
        </is>
      </c>
    </row>
    <row r="248" ht="18" customHeight="1">
      <c r="A248" s="32" t="inlineStr">
        <is>
          <t>IF(E248="","",ROW()-3)</t>
        </is>
      </c>
      <c r="B248" s="33" t="n"/>
      <c r="C248" s="33" t="n"/>
      <c r="D248" s="33" t="n"/>
      <c r="E248" s="33" t="n"/>
      <c r="F248" s="33" t="n"/>
      <c r="G248" s="33" t="n"/>
      <c r="H248" s="33" t="n"/>
      <c r="I248" s="33" t="n"/>
      <c r="J248" s="33" t="n"/>
      <c r="K248" s="33" t="n"/>
      <c r="L248" s="33" t="n"/>
      <c r="M248" s="33" t="n"/>
      <c r="N248" s="33" t="n"/>
      <c r="O248" s="33" t="n"/>
      <c r="P248" s="33" t="n"/>
      <c r="Q248" s="34" t="n"/>
      <c r="R248" s="35" t="inlineStr">
        <is>
          <t>IF(AO248="","",AO248)</t>
        </is>
      </c>
      <c r="S248" s="36" t="n"/>
      <c r="T248" s="37" t="n"/>
      <c r="U248" s="36" t="n"/>
      <c r="V248" s="35" t="inlineStr">
        <is>
          <t>IF(U248&lt;&gt;"",U248,IF(OR(R248="",T248=""),"",EDATE(R248,T248)))</t>
        </is>
      </c>
      <c r="W248" s="36" t="n"/>
      <c r="X248" s="37" t="n"/>
      <c r="Y248" s="33" t="n"/>
      <c r="Z248" s="33" t="n"/>
      <c r="AA248" s="32" t="inlineStr">
        <is>
          <t>IF(E248="","",IF(COUNT(AG248:AT248)=0,IF(Y248="","Not started",Y248),SUBSTITUTE(LOOKUP(2,1/(AG248:AT248&lt;&gt;""),$AG$3:$AT$3),"Date: ","")))</t>
        </is>
      </c>
      <c r="AB248" s="38" t="inlineStr">
        <is>
          <t>IF(OR(E248="",COUNT(AG248:AT248)=0),"",TODAY()-LOOKUP(2,1/(AG248:AT248&lt;&gt;""),AG248:AT248))</t>
        </is>
      </c>
      <c r="AC248" s="38" t="inlineStr">
        <is>
          <t>IF(OR(E248="",COUNT(AG248:AT248)&lt;2),"",LOOKUP(2,1/(AG248:AT248&lt;&gt;""),AG248:AT248)-MIN(AG248:AT248))</t>
        </is>
      </c>
      <c r="AD248" s="38" t="inlineStr">
        <is>
          <t>IF(OR(AB248="",AA248="Not started",AA248=""),"",IFERROR(AB248-IF(VLOOKUP(AA248,'04_Status_Pipeline'!$B$3:$E$20,4,FALSE)="",0,VLOOKUP(AA248,'04_Status_Pipeline'!$B$3:$E$20,4,FALSE)),""))</t>
        </is>
      </c>
      <c r="AE248" s="32" t="inlineStr">
        <is>
          <t>IF(E248="","",IF(OR(Y248="Cancelled",AA248="Cancelled"),"Cancelled",IF(OR(AA248="Completed / Handover",W248&lt;&gt;"",X248&gt;=100),"Completed — on track",IF(L248="Remaining",IF(S248="",IF(V248="","No planned date",IF(TODAY()&gt;V248,"Behind — past planned date",IF(V248-TODAY()&lt;=30,"At risk — close to off track","On track"))),IF(TODAY()&gt;S248,"Behind — award date passed",IF(S248-TODAY()&lt;=30,"At risk — close to off track","On track"))),IF(V248="","No planned date",IF(AND(TODAY()&gt;V248,OR(X248="",X248&lt;100)),"Behind — past end date",IF(AND(R248&lt;&gt;"",V248&lt;&gt;"",X248&lt;&gt;"",(X248&lt;100),((TODAY()-R248)/MAX(V248-R248,1)*100)-X248&gt;15),"Behind — progress lag",IF(AND(V248-TODAY()&lt;=30,V248-TODAY()&gt;=0,OR(X248="",X248&lt;90)),"At risk — close to off track","On track"))))))))</t>
        </is>
      </c>
      <c r="AF248" s="38" t="inlineStr">
        <is>
          <t>IF(OR(E248="",AA248="Completed / Handover",AA248="Cancelled"),"",IF(L248="Remaining",IF(S248&lt;&gt;"",S248-TODAY(),IF(V248="","",V248-TODAY())),IF(V248="","",V248-TODAY())))</t>
        </is>
      </c>
      <c r="AG248" s="36" t="n"/>
      <c r="AH248" s="36" t="n"/>
      <c r="AI248" s="36" t="n"/>
      <c r="AJ248" s="36" t="n"/>
      <c r="AK248" s="36" t="n"/>
      <c r="AL248" s="36" t="n"/>
      <c r="AM248" s="36" t="n"/>
      <c r="AN248" s="36" t="n"/>
      <c r="AO248" s="36" t="n"/>
      <c r="AP248" s="36" t="n"/>
      <c r="AQ248" s="36" t="n"/>
      <c r="AR248" s="40" t="n"/>
      <c r="AS248" s="40" t="n"/>
      <c r="AT248" s="40" t="n"/>
      <c r="AU248" s="38" t="inlineStr">
        <is>
          <t>IF(OR(E248="",AH248=""),"",IF(COUNT(AG248:AG248)=0,"",AH248-LOOKUP(2,1/(AG248:AG248&lt;&gt;""),AG248:AG248)))</t>
        </is>
      </c>
      <c r="AV248" s="38" t="inlineStr">
        <is>
          <t>IF(OR(E248="",AI248=""),"",IF(COUNT(AG248:AH248)=0,"",AI248-LOOKUP(2,1/(AG248:AH248&lt;&gt;""),AG248:AH248)))</t>
        </is>
      </c>
      <c r="AW248" s="38" t="inlineStr">
        <is>
          <t>IF(OR(E248="",AJ248=""),"",IF(COUNT(AG248:AI248)=0,"",AJ248-LOOKUP(2,1/(AG248:AI248&lt;&gt;""),AG248:AI248)))</t>
        </is>
      </c>
      <c r="AX248" s="38" t="inlineStr">
        <is>
          <t>IF(OR(E248="",AK248=""),"",IF(COUNT(AG248:AJ248)=0,"",AK248-LOOKUP(2,1/(AG248:AJ248&lt;&gt;""),AG248:AJ248)))</t>
        </is>
      </c>
      <c r="AY248" s="38" t="inlineStr">
        <is>
          <t>IF(OR(E248="",AL248=""),"",IF(COUNT(AG248:AK248)=0,"",AL248-LOOKUP(2,1/(AG248:AK248&lt;&gt;""),AG248:AK248)))</t>
        </is>
      </c>
      <c r="AZ248" s="38" t="inlineStr">
        <is>
          <t>IF(OR(E248="",AM248=""),"",IF(COUNT(AG248:AL248)=0,"",AM248-LOOKUP(2,1/(AG248:AL248&lt;&gt;""),AG248:AL248)))</t>
        </is>
      </c>
      <c r="BA248" s="38" t="inlineStr">
        <is>
          <t>IF(OR(E248="",AN248=""),"",IF(COUNT(AG248:AM248)=0,"",AN248-LOOKUP(2,1/(AG248:AM248&lt;&gt;""),AG248:AM248)))</t>
        </is>
      </c>
      <c r="BB248" s="38" t="inlineStr">
        <is>
          <t>IF(OR(E248="",AO248=""),"",IF(COUNT(AG248:AN248)=0,"",AO248-LOOKUP(2,1/(AG248:AN248&lt;&gt;""),AG248:AN248)))</t>
        </is>
      </c>
      <c r="BC248" s="38" t="inlineStr">
        <is>
          <t>IF(OR(E248="",AP248=""),"",IF(COUNT(AG248:AO248)=0,"",AP248-LOOKUP(2,1/(AG248:AO248&lt;&gt;""),AG248:AO248)))</t>
        </is>
      </c>
      <c r="BD248" s="38" t="inlineStr">
        <is>
          <t>IF(OR(E248="",AQ248=""),"",IF(COUNT(AG248:AP248)=0,"",AQ248-LOOKUP(2,1/(AG248:AP248&lt;&gt;""),AG248:AP248)))</t>
        </is>
      </c>
      <c r="BE248" s="38" t="inlineStr">
        <is>
          <t>IF(OR(E248="",AR248=""),"",IF(COUNT(AG248:AQ248)=0,"",AR248-LOOKUP(2,1/(AG248:AQ248&lt;&gt;""),AG248:AQ248)))</t>
        </is>
      </c>
      <c r="BF248" s="38" t="inlineStr">
        <is>
          <t>IF(OR(E248="",AS248=""),"",IF(COUNT(AG248:AR248)=0,"",AS248-LOOKUP(2,1/(AG248:AR248&lt;&gt;""),AG248:AR248)))</t>
        </is>
      </c>
      <c r="BG248" s="38" t="inlineStr">
        <is>
          <t>IF(OR(E248="",AT248=""),"",IF(COUNT(AG248:AS248)=0,"",AT248-LOOKUP(2,1/(AG248:AS248&lt;&gt;""),AG248:AS248)))</t>
        </is>
      </c>
      <c r="BH248" s="41" t="inlineStr">
        <is>
          <t>IF(G248="","All_Provinces",IFERROR(VLOOKUP(G248,'07_Lookups'!$A$4:$B$20,2,FALSE),"All_Provinces"))</t>
        </is>
      </c>
      <c r="BI248" s="41" t="inlineStr">
        <is>
          <t>IF(H248="","All_Districts",IFERROR(VLOOKUP(H248,'07_Lookups'!$E$4:$F$42,2,FALSE),"All_Districts"))</t>
        </is>
      </c>
    </row>
    <row r="249" ht="18" customHeight="1">
      <c r="A249" s="32" t="inlineStr">
        <is>
          <t>IF(E249="","",ROW()-3)</t>
        </is>
      </c>
      <c r="B249" s="42" t="n"/>
      <c r="C249" s="42" t="n"/>
      <c r="D249" s="42" t="n"/>
      <c r="E249" s="42" t="n"/>
      <c r="F249" s="42" t="n"/>
      <c r="G249" s="42" t="n"/>
      <c r="H249" s="42" t="n"/>
      <c r="I249" s="42" t="n"/>
      <c r="J249" s="42" t="n"/>
      <c r="K249" s="42" t="n"/>
      <c r="L249" s="42" t="n"/>
      <c r="M249" s="42" t="n"/>
      <c r="N249" s="42" t="n"/>
      <c r="O249" s="42" t="n"/>
      <c r="P249" s="42" t="n"/>
      <c r="Q249" s="43" t="n"/>
      <c r="R249" s="35" t="inlineStr">
        <is>
          <t>IF(AO249="","",AO249)</t>
        </is>
      </c>
      <c r="S249" s="44" t="n"/>
      <c r="T249" s="45" t="n"/>
      <c r="U249" s="44" t="n"/>
      <c r="V249" s="35" t="inlineStr">
        <is>
          <t>IF(U249&lt;&gt;"",U249,IF(OR(R249="",T249=""),"",EDATE(R249,T249)))</t>
        </is>
      </c>
      <c r="W249" s="44" t="n"/>
      <c r="X249" s="45" t="n"/>
      <c r="Y249" s="42" t="n"/>
      <c r="Z249" s="42" t="n"/>
      <c r="AA249" s="32" t="inlineStr">
        <is>
          <t>IF(E249="","",IF(COUNT(AG249:AT249)=0,IF(Y249="","Not started",Y249),SUBSTITUTE(LOOKUP(2,1/(AG249:AT249&lt;&gt;""),$AG$3:$AT$3),"Date: ","")))</t>
        </is>
      </c>
      <c r="AB249" s="38" t="inlineStr">
        <is>
          <t>IF(OR(E249="",COUNT(AG249:AT249)=0),"",TODAY()-LOOKUP(2,1/(AG249:AT249&lt;&gt;""),AG249:AT249))</t>
        </is>
      </c>
      <c r="AC249" s="38" t="inlineStr">
        <is>
          <t>IF(OR(E249="",COUNT(AG249:AT249)&lt;2),"",LOOKUP(2,1/(AG249:AT249&lt;&gt;""),AG249:AT249)-MIN(AG249:AT249))</t>
        </is>
      </c>
      <c r="AD249" s="38" t="inlineStr">
        <is>
          <t>IF(OR(AB249="",AA249="Not started",AA249=""),"",IFERROR(AB249-IF(VLOOKUP(AA249,'04_Status_Pipeline'!$B$3:$E$20,4,FALSE)="",0,VLOOKUP(AA249,'04_Status_Pipeline'!$B$3:$E$20,4,FALSE)),""))</t>
        </is>
      </c>
      <c r="AE249" s="32" t="inlineStr">
        <is>
          <t>IF(E249="","",IF(OR(Y249="Cancelled",AA249="Cancelled"),"Cancelled",IF(OR(AA249="Completed / Handover",W249&lt;&gt;"",X249&gt;=100),"Completed — on track",IF(L249="Remaining",IF(S249="",IF(V249="","No planned date",IF(TODAY()&gt;V249,"Behind — past planned date",IF(V249-TODAY()&lt;=30,"At risk — close to off track","On track"))),IF(TODAY()&gt;S249,"Behind — award date passed",IF(S249-TODAY()&lt;=30,"At risk — close to off track","On track"))),IF(V249="","No planned date",IF(AND(TODAY()&gt;V249,OR(X249="",X249&lt;100)),"Behind — past end date",IF(AND(R249&lt;&gt;"",V249&lt;&gt;"",X249&lt;&gt;"",(X249&lt;100),((TODAY()-R249)/MAX(V249-R249,1)*100)-X249&gt;15),"Behind — progress lag",IF(AND(V249-TODAY()&lt;=30,V249-TODAY()&gt;=0,OR(X249="",X249&lt;90)),"At risk — close to off track","On track"))))))))</t>
        </is>
      </c>
      <c r="AF249" s="38" t="inlineStr">
        <is>
          <t>IF(OR(E249="",AA249="Completed / Handover",AA249="Cancelled"),"",IF(L249="Remaining",IF(S249&lt;&gt;"",S249-TODAY(),IF(V249="","",V249-TODAY())),IF(V249="","",V249-TODAY())))</t>
        </is>
      </c>
      <c r="AG249" s="44" t="n"/>
      <c r="AH249" s="44" t="n"/>
      <c r="AI249" s="44" t="n"/>
      <c r="AJ249" s="44" t="n"/>
      <c r="AK249" s="44" t="n"/>
      <c r="AL249" s="44" t="n"/>
      <c r="AM249" s="44" t="n"/>
      <c r="AN249" s="44" t="n"/>
      <c r="AO249" s="44" t="n"/>
      <c r="AP249" s="44" t="n"/>
      <c r="AQ249" s="44" t="n"/>
      <c r="AR249" s="40" t="n"/>
      <c r="AS249" s="40" t="n"/>
      <c r="AT249" s="40" t="n"/>
      <c r="AU249" s="38" t="inlineStr">
        <is>
          <t>IF(OR(E249="",AH249=""),"",IF(COUNT(AG249:AG249)=0,"",AH249-LOOKUP(2,1/(AG249:AG249&lt;&gt;""),AG249:AG249)))</t>
        </is>
      </c>
      <c r="AV249" s="38" t="inlineStr">
        <is>
          <t>IF(OR(E249="",AI249=""),"",IF(COUNT(AG249:AH249)=0,"",AI249-LOOKUP(2,1/(AG249:AH249&lt;&gt;""),AG249:AH249)))</t>
        </is>
      </c>
      <c r="AW249" s="38" t="inlineStr">
        <is>
          <t>IF(OR(E249="",AJ249=""),"",IF(COUNT(AG249:AI249)=0,"",AJ249-LOOKUP(2,1/(AG249:AI249&lt;&gt;""),AG249:AI249)))</t>
        </is>
      </c>
      <c r="AX249" s="38" t="inlineStr">
        <is>
          <t>IF(OR(E249="",AK249=""),"",IF(COUNT(AG249:AJ249)=0,"",AK249-LOOKUP(2,1/(AG249:AJ249&lt;&gt;""),AG249:AJ249)))</t>
        </is>
      </c>
      <c r="AY249" s="38" t="inlineStr">
        <is>
          <t>IF(OR(E249="",AL249=""),"",IF(COUNT(AG249:AK249)=0,"",AL249-LOOKUP(2,1/(AG249:AK249&lt;&gt;""),AG249:AK249)))</t>
        </is>
      </c>
      <c r="AZ249" s="38" t="inlineStr">
        <is>
          <t>IF(OR(E249="",AM249=""),"",IF(COUNT(AG249:AL249)=0,"",AM249-LOOKUP(2,1/(AG249:AL249&lt;&gt;""),AG249:AL249)))</t>
        </is>
      </c>
      <c r="BA249" s="38" t="inlineStr">
        <is>
          <t>IF(OR(E249="",AN249=""),"",IF(COUNT(AG249:AM249)=0,"",AN249-LOOKUP(2,1/(AG249:AM249&lt;&gt;""),AG249:AM249)))</t>
        </is>
      </c>
      <c r="BB249" s="38" t="inlineStr">
        <is>
          <t>IF(OR(E249="",AO249=""),"",IF(COUNT(AG249:AN249)=0,"",AO249-LOOKUP(2,1/(AG249:AN249&lt;&gt;""),AG249:AN249)))</t>
        </is>
      </c>
      <c r="BC249" s="38" t="inlineStr">
        <is>
          <t>IF(OR(E249="",AP249=""),"",IF(COUNT(AG249:AO249)=0,"",AP249-LOOKUP(2,1/(AG249:AO249&lt;&gt;""),AG249:AO249)))</t>
        </is>
      </c>
      <c r="BD249" s="38" t="inlineStr">
        <is>
          <t>IF(OR(E249="",AQ249=""),"",IF(COUNT(AG249:AP249)=0,"",AQ249-LOOKUP(2,1/(AG249:AP249&lt;&gt;""),AG249:AP249)))</t>
        </is>
      </c>
      <c r="BE249" s="38" t="inlineStr">
        <is>
          <t>IF(OR(E249="",AR249=""),"",IF(COUNT(AG249:AQ249)=0,"",AR249-LOOKUP(2,1/(AG249:AQ249&lt;&gt;""),AG249:AQ249)))</t>
        </is>
      </c>
      <c r="BF249" s="38" t="inlineStr">
        <is>
          <t>IF(OR(E249="",AS249=""),"",IF(COUNT(AG249:AR249)=0,"",AS249-LOOKUP(2,1/(AG249:AR249&lt;&gt;""),AG249:AR249)))</t>
        </is>
      </c>
      <c r="BG249" s="38" t="inlineStr">
        <is>
          <t>IF(OR(E249="",AT249=""),"",IF(COUNT(AG249:AS249)=0,"",AT249-LOOKUP(2,1/(AG249:AS249&lt;&gt;""),AG249:AS249)))</t>
        </is>
      </c>
      <c r="BH249" s="41" t="inlineStr">
        <is>
          <t>IF(G249="","All_Provinces",IFERROR(VLOOKUP(G249,'07_Lookups'!$A$4:$B$20,2,FALSE),"All_Provinces"))</t>
        </is>
      </c>
      <c r="BI249" s="41" t="inlineStr">
        <is>
          <t>IF(H249="","All_Districts",IFERROR(VLOOKUP(H249,'07_Lookups'!$E$4:$F$42,2,FALSE),"All_Districts"))</t>
        </is>
      </c>
    </row>
    <row r="250" ht="18" customHeight="1">
      <c r="A250" s="32" t="inlineStr">
        <is>
          <t>IF(E250="","",ROW()-3)</t>
        </is>
      </c>
      <c r="B250" s="33" t="n"/>
      <c r="C250" s="33" t="n"/>
      <c r="D250" s="33" t="n"/>
      <c r="E250" s="33" t="n"/>
      <c r="F250" s="33" t="n"/>
      <c r="G250" s="33" t="n"/>
      <c r="H250" s="33" t="n"/>
      <c r="I250" s="33" t="n"/>
      <c r="J250" s="33" t="n"/>
      <c r="K250" s="33" t="n"/>
      <c r="L250" s="33" t="n"/>
      <c r="M250" s="33" t="n"/>
      <c r="N250" s="33" t="n"/>
      <c r="O250" s="33" t="n"/>
      <c r="P250" s="33" t="n"/>
      <c r="Q250" s="34" t="n"/>
      <c r="R250" s="35" t="inlineStr">
        <is>
          <t>IF(AO250="","",AO250)</t>
        </is>
      </c>
      <c r="S250" s="36" t="n"/>
      <c r="T250" s="37" t="n"/>
      <c r="U250" s="36" t="n"/>
      <c r="V250" s="35" t="inlineStr">
        <is>
          <t>IF(U250&lt;&gt;"",U250,IF(OR(R250="",T250=""),"",EDATE(R250,T250)))</t>
        </is>
      </c>
      <c r="W250" s="36" t="n"/>
      <c r="X250" s="37" t="n"/>
      <c r="Y250" s="33" t="n"/>
      <c r="Z250" s="33" t="n"/>
      <c r="AA250" s="32" t="inlineStr">
        <is>
          <t>IF(E250="","",IF(COUNT(AG250:AT250)=0,IF(Y250="","Not started",Y250),SUBSTITUTE(LOOKUP(2,1/(AG250:AT250&lt;&gt;""),$AG$3:$AT$3),"Date: ","")))</t>
        </is>
      </c>
      <c r="AB250" s="38" t="inlineStr">
        <is>
          <t>IF(OR(E250="",COUNT(AG250:AT250)=0),"",TODAY()-LOOKUP(2,1/(AG250:AT250&lt;&gt;""),AG250:AT250))</t>
        </is>
      </c>
      <c r="AC250" s="38" t="inlineStr">
        <is>
          <t>IF(OR(E250="",COUNT(AG250:AT250)&lt;2),"",LOOKUP(2,1/(AG250:AT250&lt;&gt;""),AG250:AT250)-MIN(AG250:AT250))</t>
        </is>
      </c>
      <c r="AD250" s="38" t="inlineStr">
        <is>
          <t>IF(OR(AB250="",AA250="Not started",AA250=""),"",IFERROR(AB250-IF(VLOOKUP(AA250,'04_Status_Pipeline'!$B$3:$E$20,4,FALSE)="",0,VLOOKUP(AA250,'04_Status_Pipeline'!$B$3:$E$20,4,FALSE)),""))</t>
        </is>
      </c>
      <c r="AE250" s="32" t="inlineStr">
        <is>
          <t>IF(E250="","",IF(OR(Y250="Cancelled",AA250="Cancelled"),"Cancelled",IF(OR(AA250="Completed / Handover",W250&lt;&gt;"",X250&gt;=100),"Completed — on track",IF(L250="Remaining",IF(S250="",IF(V250="","No planned date",IF(TODAY()&gt;V250,"Behind — past planned date",IF(V250-TODAY()&lt;=30,"At risk — close to off track","On track"))),IF(TODAY()&gt;S250,"Behind — award date passed",IF(S250-TODAY()&lt;=30,"At risk — close to off track","On track"))),IF(V250="","No planned date",IF(AND(TODAY()&gt;V250,OR(X250="",X250&lt;100)),"Behind — past end date",IF(AND(R250&lt;&gt;"",V250&lt;&gt;"",X250&lt;&gt;"",(X250&lt;100),((TODAY()-R250)/MAX(V250-R250,1)*100)-X250&gt;15),"Behind — progress lag",IF(AND(V250-TODAY()&lt;=30,V250-TODAY()&gt;=0,OR(X250="",X250&lt;90)),"At risk — close to off track","On track"))))))))</t>
        </is>
      </c>
      <c r="AF250" s="38" t="inlineStr">
        <is>
          <t>IF(OR(E250="",AA250="Completed / Handover",AA250="Cancelled"),"",IF(L250="Remaining",IF(S250&lt;&gt;"",S250-TODAY(),IF(V250="","",V250-TODAY())),IF(V250="","",V250-TODAY())))</t>
        </is>
      </c>
      <c r="AG250" s="36" t="n"/>
      <c r="AH250" s="36" t="n"/>
      <c r="AI250" s="36" t="n"/>
      <c r="AJ250" s="36" t="n"/>
      <c r="AK250" s="36" t="n"/>
      <c r="AL250" s="36" t="n"/>
      <c r="AM250" s="36" t="n"/>
      <c r="AN250" s="36" t="n"/>
      <c r="AO250" s="36" t="n"/>
      <c r="AP250" s="36" t="n"/>
      <c r="AQ250" s="36" t="n"/>
      <c r="AR250" s="40" t="n"/>
      <c r="AS250" s="40" t="n"/>
      <c r="AT250" s="40" t="n"/>
      <c r="AU250" s="38" t="inlineStr">
        <is>
          <t>IF(OR(E250="",AH250=""),"",IF(COUNT(AG250:AG250)=0,"",AH250-LOOKUP(2,1/(AG250:AG250&lt;&gt;""),AG250:AG250)))</t>
        </is>
      </c>
      <c r="AV250" s="38" t="inlineStr">
        <is>
          <t>IF(OR(E250="",AI250=""),"",IF(COUNT(AG250:AH250)=0,"",AI250-LOOKUP(2,1/(AG250:AH250&lt;&gt;""),AG250:AH250)))</t>
        </is>
      </c>
      <c r="AW250" s="38" t="inlineStr">
        <is>
          <t>IF(OR(E250="",AJ250=""),"",IF(COUNT(AG250:AI250)=0,"",AJ250-LOOKUP(2,1/(AG250:AI250&lt;&gt;""),AG250:AI250)))</t>
        </is>
      </c>
      <c r="AX250" s="38" t="inlineStr">
        <is>
          <t>IF(OR(E250="",AK250=""),"",IF(COUNT(AG250:AJ250)=0,"",AK250-LOOKUP(2,1/(AG250:AJ250&lt;&gt;""),AG250:AJ250)))</t>
        </is>
      </c>
      <c r="AY250" s="38" t="inlineStr">
        <is>
          <t>IF(OR(E250="",AL250=""),"",IF(COUNT(AG250:AK250)=0,"",AL250-LOOKUP(2,1/(AG250:AK250&lt;&gt;""),AG250:AK250)))</t>
        </is>
      </c>
      <c r="AZ250" s="38" t="inlineStr">
        <is>
          <t>IF(OR(E250="",AM250=""),"",IF(COUNT(AG250:AL250)=0,"",AM250-LOOKUP(2,1/(AG250:AL250&lt;&gt;""),AG250:AL250)))</t>
        </is>
      </c>
      <c r="BA250" s="38" t="inlineStr">
        <is>
          <t>IF(OR(E250="",AN250=""),"",IF(COUNT(AG250:AM250)=0,"",AN250-LOOKUP(2,1/(AG250:AM250&lt;&gt;""),AG250:AM250)))</t>
        </is>
      </c>
      <c r="BB250" s="38" t="inlineStr">
        <is>
          <t>IF(OR(E250="",AO250=""),"",IF(COUNT(AG250:AN250)=0,"",AO250-LOOKUP(2,1/(AG250:AN250&lt;&gt;""),AG250:AN250)))</t>
        </is>
      </c>
      <c r="BC250" s="38" t="inlineStr">
        <is>
          <t>IF(OR(E250="",AP250=""),"",IF(COUNT(AG250:AO250)=0,"",AP250-LOOKUP(2,1/(AG250:AO250&lt;&gt;""),AG250:AO250)))</t>
        </is>
      </c>
      <c r="BD250" s="38" t="inlineStr">
        <is>
          <t>IF(OR(E250="",AQ250=""),"",IF(COUNT(AG250:AP250)=0,"",AQ250-LOOKUP(2,1/(AG250:AP250&lt;&gt;""),AG250:AP250)))</t>
        </is>
      </c>
      <c r="BE250" s="38" t="inlineStr">
        <is>
          <t>IF(OR(E250="",AR250=""),"",IF(COUNT(AG250:AQ250)=0,"",AR250-LOOKUP(2,1/(AG250:AQ250&lt;&gt;""),AG250:AQ250)))</t>
        </is>
      </c>
      <c r="BF250" s="38" t="inlineStr">
        <is>
          <t>IF(OR(E250="",AS250=""),"",IF(COUNT(AG250:AR250)=0,"",AS250-LOOKUP(2,1/(AG250:AR250&lt;&gt;""),AG250:AR250)))</t>
        </is>
      </c>
      <c r="BG250" s="38" t="inlineStr">
        <is>
          <t>IF(OR(E250="",AT250=""),"",IF(COUNT(AG250:AS250)=0,"",AT250-LOOKUP(2,1/(AG250:AS250&lt;&gt;""),AG250:AS250)))</t>
        </is>
      </c>
      <c r="BH250" s="41" t="inlineStr">
        <is>
          <t>IF(G250="","All_Provinces",IFERROR(VLOOKUP(G250,'07_Lookups'!$A$4:$B$20,2,FALSE),"All_Provinces"))</t>
        </is>
      </c>
      <c r="BI250" s="41" t="inlineStr">
        <is>
          <t>IF(H250="","All_Districts",IFERROR(VLOOKUP(H250,'07_Lookups'!$E$4:$F$42,2,FALSE),"All_Districts"))</t>
        </is>
      </c>
    </row>
    <row r="251" ht="18" customHeight="1">
      <c r="A251" s="32" t="inlineStr">
        <is>
          <t>IF(E251="","",ROW()-3)</t>
        </is>
      </c>
      <c r="B251" s="42" t="n"/>
      <c r="C251" s="42" t="n"/>
      <c r="D251" s="42" t="n"/>
      <c r="E251" s="42" t="n"/>
      <c r="F251" s="42" t="n"/>
      <c r="G251" s="42" t="n"/>
      <c r="H251" s="42" t="n"/>
      <c r="I251" s="42" t="n"/>
      <c r="J251" s="42" t="n"/>
      <c r="K251" s="42" t="n"/>
      <c r="L251" s="42" t="n"/>
      <c r="M251" s="42" t="n"/>
      <c r="N251" s="42" t="n"/>
      <c r="O251" s="42" t="n"/>
      <c r="P251" s="42" t="n"/>
      <c r="Q251" s="43" t="n"/>
      <c r="R251" s="35" t="inlineStr">
        <is>
          <t>IF(AO251="","",AO251)</t>
        </is>
      </c>
      <c r="S251" s="44" t="n"/>
      <c r="T251" s="45" t="n"/>
      <c r="U251" s="44" t="n"/>
      <c r="V251" s="35" t="inlineStr">
        <is>
          <t>IF(U251&lt;&gt;"",U251,IF(OR(R251="",T251=""),"",EDATE(R251,T251)))</t>
        </is>
      </c>
      <c r="W251" s="44" t="n"/>
      <c r="X251" s="45" t="n"/>
      <c r="Y251" s="42" t="n"/>
      <c r="Z251" s="42" t="n"/>
      <c r="AA251" s="32" t="inlineStr">
        <is>
          <t>IF(E251="","",IF(COUNT(AG251:AT251)=0,IF(Y251="","Not started",Y251),SUBSTITUTE(LOOKUP(2,1/(AG251:AT251&lt;&gt;""),$AG$3:$AT$3),"Date: ","")))</t>
        </is>
      </c>
      <c r="AB251" s="38" t="inlineStr">
        <is>
          <t>IF(OR(E251="",COUNT(AG251:AT251)=0),"",TODAY()-LOOKUP(2,1/(AG251:AT251&lt;&gt;""),AG251:AT251))</t>
        </is>
      </c>
      <c r="AC251" s="38" t="inlineStr">
        <is>
          <t>IF(OR(E251="",COUNT(AG251:AT251)&lt;2),"",LOOKUP(2,1/(AG251:AT251&lt;&gt;""),AG251:AT251)-MIN(AG251:AT251))</t>
        </is>
      </c>
      <c r="AD251" s="38" t="inlineStr">
        <is>
          <t>IF(OR(AB251="",AA251="Not started",AA251=""),"",IFERROR(AB251-IF(VLOOKUP(AA251,'04_Status_Pipeline'!$B$3:$E$20,4,FALSE)="",0,VLOOKUP(AA251,'04_Status_Pipeline'!$B$3:$E$20,4,FALSE)),""))</t>
        </is>
      </c>
      <c r="AE251" s="32" t="inlineStr">
        <is>
          <t>IF(E251="","",IF(OR(Y251="Cancelled",AA251="Cancelled"),"Cancelled",IF(OR(AA251="Completed / Handover",W251&lt;&gt;"",X251&gt;=100),"Completed — on track",IF(L251="Remaining",IF(S251="",IF(V251="","No planned date",IF(TODAY()&gt;V251,"Behind — past planned date",IF(V251-TODAY()&lt;=30,"At risk — close to off track","On track"))),IF(TODAY()&gt;S251,"Behind — award date passed",IF(S251-TODAY()&lt;=30,"At risk — close to off track","On track"))),IF(V251="","No planned date",IF(AND(TODAY()&gt;V251,OR(X251="",X251&lt;100)),"Behind — past end date",IF(AND(R251&lt;&gt;"",V251&lt;&gt;"",X251&lt;&gt;"",(X251&lt;100),((TODAY()-R251)/MAX(V251-R251,1)*100)-X251&gt;15),"Behind — progress lag",IF(AND(V251-TODAY()&lt;=30,V251-TODAY()&gt;=0,OR(X251="",X251&lt;90)),"At risk — close to off track","On track"))))))))</t>
        </is>
      </c>
      <c r="AF251" s="38" t="inlineStr">
        <is>
          <t>IF(OR(E251="",AA251="Completed / Handover",AA251="Cancelled"),"",IF(L251="Remaining",IF(S251&lt;&gt;"",S251-TODAY(),IF(V251="","",V251-TODAY())),IF(V251="","",V251-TODAY())))</t>
        </is>
      </c>
      <c r="AG251" s="44" t="n"/>
      <c r="AH251" s="44" t="n"/>
      <c r="AI251" s="44" t="n"/>
      <c r="AJ251" s="44" t="n"/>
      <c r="AK251" s="44" t="n"/>
      <c r="AL251" s="44" t="n"/>
      <c r="AM251" s="44" t="n"/>
      <c r="AN251" s="44" t="n"/>
      <c r="AO251" s="44" t="n"/>
      <c r="AP251" s="44" t="n"/>
      <c r="AQ251" s="44" t="n"/>
      <c r="AR251" s="40" t="n"/>
      <c r="AS251" s="40" t="n"/>
      <c r="AT251" s="40" t="n"/>
      <c r="AU251" s="38" t="inlineStr">
        <is>
          <t>IF(OR(E251="",AH251=""),"",IF(COUNT(AG251:AG251)=0,"",AH251-LOOKUP(2,1/(AG251:AG251&lt;&gt;""),AG251:AG251)))</t>
        </is>
      </c>
      <c r="AV251" s="38" t="inlineStr">
        <is>
          <t>IF(OR(E251="",AI251=""),"",IF(COUNT(AG251:AH251)=0,"",AI251-LOOKUP(2,1/(AG251:AH251&lt;&gt;""),AG251:AH251)))</t>
        </is>
      </c>
      <c r="AW251" s="38" t="inlineStr">
        <is>
          <t>IF(OR(E251="",AJ251=""),"",IF(COUNT(AG251:AI251)=0,"",AJ251-LOOKUP(2,1/(AG251:AI251&lt;&gt;""),AG251:AI251)))</t>
        </is>
      </c>
      <c r="AX251" s="38" t="inlineStr">
        <is>
          <t>IF(OR(E251="",AK251=""),"",IF(COUNT(AG251:AJ251)=0,"",AK251-LOOKUP(2,1/(AG251:AJ251&lt;&gt;""),AG251:AJ251)))</t>
        </is>
      </c>
      <c r="AY251" s="38" t="inlineStr">
        <is>
          <t>IF(OR(E251="",AL251=""),"",IF(COUNT(AG251:AK251)=0,"",AL251-LOOKUP(2,1/(AG251:AK251&lt;&gt;""),AG251:AK251)))</t>
        </is>
      </c>
      <c r="AZ251" s="38" t="inlineStr">
        <is>
          <t>IF(OR(E251="",AM251=""),"",IF(COUNT(AG251:AL251)=0,"",AM251-LOOKUP(2,1/(AG251:AL251&lt;&gt;""),AG251:AL251)))</t>
        </is>
      </c>
      <c r="BA251" s="38" t="inlineStr">
        <is>
          <t>IF(OR(E251="",AN251=""),"",IF(COUNT(AG251:AM251)=0,"",AN251-LOOKUP(2,1/(AG251:AM251&lt;&gt;""),AG251:AM251)))</t>
        </is>
      </c>
      <c r="BB251" s="38" t="inlineStr">
        <is>
          <t>IF(OR(E251="",AO251=""),"",IF(COUNT(AG251:AN251)=0,"",AO251-LOOKUP(2,1/(AG251:AN251&lt;&gt;""),AG251:AN251)))</t>
        </is>
      </c>
      <c r="BC251" s="38" t="inlineStr">
        <is>
          <t>IF(OR(E251="",AP251=""),"",IF(COUNT(AG251:AO251)=0,"",AP251-LOOKUP(2,1/(AG251:AO251&lt;&gt;""),AG251:AO251)))</t>
        </is>
      </c>
      <c r="BD251" s="38" t="inlineStr">
        <is>
          <t>IF(OR(E251="",AQ251=""),"",IF(COUNT(AG251:AP251)=0,"",AQ251-LOOKUP(2,1/(AG251:AP251&lt;&gt;""),AG251:AP251)))</t>
        </is>
      </c>
      <c r="BE251" s="38" t="inlineStr">
        <is>
          <t>IF(OR(E251="",AR251=""),"",IF(COUNT(AG251:AQ251)=0,"",AR251-LOOKUP(2,1/(AG251:AQ251&lt;&gt;""),AG251:AQ251)))</t>
        </is>
      </c>
      <c r="BF251" s="38" t="inlineStr">
        <is>
          <t>IF(OR(E251="",AS251=""),"",IF(COUNT(AG251:AR251)=0,"",AS251-LOOKUP(2,1/(AG251:AR251&lt;&gt;""),AG251:AR251)))</t>
        </is>
      </c>
      <c r="BG251" s="38" t="inlineStr">
        <is>
          <t>IF(OR(E251="",AT251=""),"",IF(COUNT(AG251:AS251)=0,"",AT251-LOOKUP(2,1/(AG251:AS251&lt;&gt;""),AG251:AS251)))</t>
        </is>
      </c>
      <c r="BH251" s="41" t="inlineStr">
        <is>
          <t>IF(G251="","All_Provinces",IFERROR(VLOOKUP(G251,'07_Lookups'!$A$4:$B$20,2,FALSE),"All_Provinces"))</t>
        </is>
      </c>
      <c r="BI251" s="41" t="inlineStr">
        <is>
          <t>IF(H251="","All_Districts",IFERROR(VLOOKUP(H251,'07_Lookups'!$E$4:$F$42,2,FALSE),"All_Districts"))</t>
        </is>
      </c>
    </row>
    <row r="252" ht="18" customHeight="1">
      <c r="A252" s="32" t="inlineStr">
        <is>
          <t>IF(E252="","",ROW()-3)</t>
        </is>
      </c>
      <c r="B252" s="33" t="n"/>
      <c r="C252" s="33" t="n"/>
      <c r="D252" s="33" t="n"/>
      <c r="E252" s="33" t="n"/>
      <c r="F252" s="33" t="n"/>
      <c r="G252" s="33" t="n"/>
      <c r="H252" s="33" t="n"/>
      <c r="I252" s="33" t="n"/>
      <c r="J252" s="33" t="n"/>
      <c r="K252" s="33" t="n"/>
      <c r="L252" s="33" t="n"/>
      <c r="M252" s="33" t="n"/>
      <c r="N252" s="33" t="n"/>
      <c r="O252" s="33" t="n"/>
      <c r="P252" s="33" t="n"/>
      <c r="Q252" s="34" t="n"/>
      <c r="R252" s="35" t="inlineStr">
        <is>
          <t>IF(AO252="","",AO252)</t>
        </is>
      </c>
      <c r="S252" s="36" t="n"/>
      <c r="T252" s="37" t="n"/>
      <c r="U252" s="36" t="n"/>
      <c r="V252" s="35" t="inlineStr">
        <is>
          <t>IF(U252&lt;&gt;"",U252,IF(OR(R252="",T252=""),"",EDATE(R252,T252)))</t>
        </is>
      </c>
      <c r="W252" s="36" t="n"/>
      <c r="X252" s="37" t="n"/>
      <c r="Y252" s="33" t="n"/>
      <c r="Z252" s="33" t="n"/>
      <c r="AA252" s="32" t="inlineStr">
        <is>
          <t>IF(E252="","",IF(COUNT(AG252:AT252)=0,IF(Y252="","Not started",Y252),SUBSTITUTE(LOOKUP(2,1/(AG252:AT252&lt;&gt;""),$AG$3:$AT$3),"Date: ","")))</t>
        </is>
      </c>
      <c r="AB252" s="38" t="inlineStr">
        <is>
          <t>IF(OR(E252="",COUNT(AG252:AT252)=0),"",TODAY()-LOOKUP(2,1/(AG252:AT252&lt;&gt;""),AG252:AT252))</t>
        </is>
      </c>
      <c r="AC252" s="38" t="inlineStr">
        <is>
          <t>IF(OR(E252="",COUNT(AG252:AT252)&lt;2),"",LOOKUP(2,1/(AG252:AT252&lt;&gt;""),AG252:AT252)-MIN(AG252:AT252))</t>
        </is>
      </c>
      <c r="AD252" s="38" t="inlineStr">
        <is>
          <t>IF(OR(AB252="",AA252="Not started",AA252=""),"",IFERROR(AB252-IF(VLOOKUP(AA252,'04_Status_Pipeline'!$B$3:$E$20,4,FALSE)="",0,VLOOKUP(AA252,'04_Status_Pipeline'!$B$3:$E$20,4,FALSE)),""))</t>
        </is>
      </c>
      <c r="AE252" s="32" t="inlineStr">
        <is>
          <t>IF(E252="","",IF(OR(Y252="Cancelled",AA252="Cancelled"),"Cancelled",IF(OR(AA252="Completed / Handover",W252&lt;&gt;"",X252&gt;=100),"Completed — on track",IF(L252="Remaining",IF(S252="",IF(V252="","No planned date",IF(TODAY()&gt;V252,"Behind — past planned date",IF(V252-TODAY()&lt;=30,"At risk — close to off track","On track"))),IF(TODAY()&gt;S252,"Behind — award date passed",IF(S252-TODAY()&lt;=30,"At risk — close to off track","On track"))),IF(V252="","No planned date",IF(AND(TODAY()&gt;V252,OR(X252="",X252&lt;100)),"Behind — past end date",IF(AND(R252&lt;&gt;"",V252&lt;&gt;"",X252&lt;&gt;"",(X252&lt;100),((TODAY()-R252)/MAX(V252-R252,1)*100)-X252&gt;15),"Behind — progress lag",IF(AND(V252-TODAY()&lt;=30,V252-TODAY()&gt;=0,OR(X252="",X252&lt;90)),"At risk — close to off track","On track"))))))))</t>
        </is>
      </c>
      <c r="AF252" s="38" t="inlineStr">
        <is>
          <t>IF(OR(E252="",AA252="Completed / Handover",AA252="Cancelled"),"",IF(L252="Remaining",IF(S252&lt;&gt;"",S252-TODAY(),IF(V252="","",V252-TODAY())),IF(V252="","",V252-TODAY())))</t>
        </is>
      </c>
      <c r="AG252" s="36" t="n"/>
      <c r="AH252" s="36" t="n"/>
      <c r="AI252" s="36" t="n"/>
      <c r="AJ252" s="36" t="n"/>
      <c r="AK252" s="36" t="n"/>
      <c r="AL252" s="36" t="n"/>
      <c r="AM252" s="36" t="n"/>
      <c r="AN252" s="36" t="n"/>
      <c r="AO252" s="36" t="n"/>
      <c r="AP252" s="36" t="n"/>
      <c r="AQ252" s="36" t="n"/>
      <c r="AR252" s="40" t="n"/>
      <c r="AS252" s="40" t="n"/>
      <c r="AT252" s="40" t="n"/>
      <c r="AU252" s="38" t="inlineStr">
        <is>
          <t>IF(OR(E252="",AH252=""),"",IF(COUNT(AG252:AG252)=0,"",AH252-LOOKUP(2,1/(AG252:AG252&lt;&gt;""),AG252:AG252)))</t>
        </is>
      </c>
      <c r="AV252" s="38" t="inlineStr">
        <is>
          <t>IF(OR(E252="",AI252=""),"",IF(COUNT(AG252:AH252)=0,"",AI252-LOOKUP(2,1/(AG252:AH252&lt;&gt;""),AG252:AH252)))</t>
        </is>
      </c>
      <c r="AW252" s="38" t="inlineStr">
        <is>
          <t>IF(OR(E252="",AJ252=""),"",IF(COUNT(AG252:AI252)=0,"",AJ252-LOOKUP(2,1/(AG252:AI252&lt;&gt;""),AG252:AI252)))</t>
        </is>
      </c>
      <c r="AX252" s="38" t="inlineStr">
        <is>
          <t>IF(OR(E252="",AK252=""),"",IF(COUNT(AG252:AJ252)=0,"",AK252-LOOKUP(2,1/(AG252:AJ252&lt;&gt;""),AG252:AJ252)))</t>
        </is>
      </c>
      <c r="AY252" s="38" t="inlineStr">
        <is>
          <t>IF(OR(E252="",AL252=""),"",IF(COUNT(AG252:AK252)=0,"",AL252-LOOKUP(2,1/(AG252:AK252&lt;&gt;""),AG252:AK252)))</t>
        </is>
      </c>
      <c r="AZ252" s="38" t="inlineStr">
        <is>
          <t>IF(OR(E252="",AM252=""),"",IF(COUNT(AG252:AL252)=0,"",AM252-LOOKUP(2,1/(AG252:AL252&lt;&gt;""),AG252:AL252)))</t>
        </is>
      </c>
      <c r="BA252" s="38" t="inlineStr">
        <is>
          <t>IF(OR(E252="",AN252=""),"",IF(COUNT(AG252:AM252)=0,"",AN252-LOOKUP(2,1/(AG252:AM252&lt;&gt;""),AG252:AM252)))</t>
        </is>
      </c>
      <c r="BB252" s="38" t="inlineStr">
        <is>
          <t>IF(OR(E252="",AO252=""),"",IF(COUNT(AG252:AN252)=0,"",AO252-LOOKUP(2,1/(AG252:AN252&lt;&gt;""),AG252:AN252)))</t>
        </is>
      </c>
      <c r="BC252" s="38" t="inlineStr">
        <is>
          <t>IF(OR(E252="",AP252=""),"",IF(COUNT(AG252:AO252)=0,"",AP252-LOOKUP(2,1/(AG252:AO252&lt;&gt;""),AG252:AO252)))</t>
        </is>
      </c>
      <c r="BD252" s="38" t="inlineStr">
        <is>
          <t>IF(OR(E252="",AQ252=""),"",IF(COUNT(AG252:AP252)=0,"",AQ252-LOOKUP(2,1/(AG252:AP252&lt;&gt;""),AG252:AP252)))</t>
        </is>
      </c>
      <c r="BE252" s="38" t="inlineStr">
        <is>
          <t>IF(OR(E252="",AR252=""),"",IF(COUNT(AG252:AQ252)=0,"",AR252-LOOKUP(2,1/(AG252:AQ252&lt;&gt;""),AG252:AQ252)))</t>
        </is>
      </c>
      <c r="BF252" s="38" t="inlineStr">
        <is>
          <t>IF(OR(E252="",AS252=""),"",IF(COUNT(AG252:AR252)=0,"",AS252-LOOKUP(2,1/(AG252:AR252&lt;&gt;""),AG252:AR252)))</t>
        </is>
      </c>
      <c r="BG252" s="38" t="inlineStr">
        <is>
          <t>IF(OR(E252="",AT252=""),"",IF(COUNT(AG252:AS252)=0,"",AT252-LOOKUP(2,1/(AG252:AS252&lt;&gt;""),AG252:AS252)))</t>
        </is>
      </c>
      <c r="BH252" s="41" t="inlineStr">
        <is>
          <t>IF(G252="","All_Provinces",IFERROR(VLOOKUP(G252,'07_Lookups'!$A$4:$B$20,2,FALSE),"All_Provinces"))</t>
        </is>
      </c>
      <c r="BI252" s="41" t="inlineStr">
        <is>
          <t>IF(H252="","All_Districts",IFERROR(VLOOKUP(H252,'07_Lookups'!$E$4:$F$42,2,FALSE),"All_Districts"))</t>
        </is>
      </c>
    </row>
    <row r="253" ht="18" customHeight="1">
      <c r="A253" s="32" t="inlineStr">
        <is>
          <t>IF(E253="","",ROW()-3)</t>
        </is>
      </c>
      <c r="B253" s="42" t="n"/>
      <c r="C253" s="42" t="n"/>
      <c r="D253" s="42" t="n"/>
      <c r="E253" s="42" t="n"/>
      <c r="F253" s="42" t="n"/>
      <c r="G253" s="42" t="n"/>
      <c r="H253" s="42" t="n"/>
      <c r="I253" s="42" t="n"/>
      <c r="J253" s="42" t="n"/>
      <c r="K253" s="42" t="n"/>
      <c r="L253" s="42" t="n"/>
      <c r="M253" s="42" t="n"/>
      <c r="N253" s="42" t="n"/>
      <c r="O253" s="42" t="n"/>
      <c r="P253" s="42" t="n"/>
      <c r="Q253" s="43" t="n"/>
      <c r="R253" s="35" t="inlineStr">
        <is>
          <t>IF(AO253="","",AO253)</t>
        </is>
      </c>
      <c r="S253" s="44" t="n"/>
      <c r="T253" s="45" t="n"/>
      <c r="U253" s="44" t="n"/>
      <c r="V253" s="35" t="inlineStr">
        <is>
          <t>IF(U253&lt;&gt;"",U253,IF(OR(R253="",T253=""),"",EDATE(R253,T253)))</t>
        </is>
      </c>
      <c r="W253" s="44" t="n"/>
      <c r="X253" s="45" t="n"/>
      <c r="Y253" s="42" t="n"/>
      <c r="Z253" s="42" t="n"/>
      <c r="AA253" s="32" t="inlineStr">
        <is>
          <t>IF(E253="","",IF(COUNT(AG253:AT253)=0,IF(Y253="","Not started",Y253),SUBSTITUTE(LOOKUP(2,1/(AG253:AT253&lt;&gt;""),$AG$3:$AT$3),"Date: ","")))</t>
        </is>
      </c>
      <c r="AB253" s="38" t="inlineStr">
        <is>
          <t>IF(OR(E253="",COUNT(AG253:AT253)=0),"",TODAY()-LOOKUP(2,1/(AG253:AT253&lt;&gt;""),AG253:AT253))</t>
        </is>
      </c>
      <c r="AC253" s="38" t="inlineStr">
        <is>
          <t>IF(OR(E253="",COUNT(AG253:AT253)&lt;2),"",LOOKUP(2,1/(AG253:AT253&lt;&gt;""),AG253:AT253)-MIN(AG253:AT253))</t>
        </is>
      </c>
      <c r="AD253" s="38" t="inlineStr">
        <is>
          <t>IF(OR(AB253="",AA253="Not started",AA253=""),"",IFERROR(AB253-IF(VLOOKUP(AA253,'04_Status_Pipeline'!$B$3:$E$20,4,FALSE)="",0,VLOOKUP(AA253,'04_Status_Pipeline'!$B$3:$E$20,4,FALSE)),""))</t>
        </is>
      </c>
      <c r="AE253" s="32" t="inlineStr">
        <is>
          <t>IF(E253="","",IF(OR(Y253="Cancelled",AA253="Cancelled"),"Cancelled",IF(OR(AA253="Completed / Handover",W253&lt;&gt;"",X253&gt;=100),"Completed — on track",IF(L253="Remaining",IF(S253="",IF(V253="","No planned date",IF(TODAY()&gt;V253,"Behind — past planned date",IF(V253-TODAY()&lt;=30,"At risk — close to off track","On track"))),IF(TODAY()&gt;S253,"Behind — award date passed",IF(S253-TODAY()&lt;=30,"At risk — close to off track","On track"))),IF(V253="","No planned date",IF(AND(TODAY()&gt;V253,OR(X253="",X253&lt;100)),"Behind — past end date",IF(AND(R253&lt;&gt;"",V253&lt;&gt;"",X253&lt;&gt;"",(X253&lt;100),((TODAY()-R253)/MAX(V253-R253,1)*100)-X253&gt;15),"Behind — progress lag",IF(AND(V253-TODAY()&lt;=30,V253-TODAY()&gt;=0,OR(X253="",X253&lt;90)),"At risk — close to off track","On track"))))))))</t>
        </is>
      </c>
      <c r="AF253" s="38" t="inlineStr">
        <is>
          <t>IF(OR(E253="",AA253="Completed / Handover",AA253="Cancelled"),"",IF(L253="Remaining",IF(S253&lt;&gt;"",S253-TODAY(),IF(V253="","",V253-TODAY())),IF(V253="","",V253-TODAY())))</t>
        </is>
      </c>
      <c r="AG253" s="44" t="n"/>
      <c r="AH253" s="44" t="n"/>
      <c r="AI253" s="44" t="n"/>
      <c r="AJ253" s="44" t="n"/>
      <c r="AK253" s="44" t="n"/>
      <c r="AL253" s="44" t="n"/>
      <c r="AM253" s="44" t="n"/>
      <c r="AN253" s="44" t="n"/>
      <c r="AO253" s="44" t="n"/>
      <c r="AP253" s="44" t="n"/>
      <c r="AQ253" s="44" t="n"/>
      <c r="AR253" s="40" t="n"/>
      <c r="AS253" s="40" t="n"/>
      <c r="AT253" s="40" t="n"/>
      <c r="AU253" s="38" t="inlineStr">
        <is>
          <t>IF(OR(E253="",AH253=""),"",IF(COUNT(AG253:AG253)=0,"",AH253-LOOKUP(2,1/(AG253:AG253&lt;&gt;""),AG253:AG253)))</t>
        </is>
      </c>
      <c r="AV253" s="38" t="inlineStr">
        <is>
          <t>IF(OR(E253="",AI253=""),"",IF(COUNT(AG253:AH253)=0,"",AI253-LOOKUP(2,1/(AG253:AH253&lt;&gt;""),AG253:AH253)))</t>
        </is>
      </c>
      <c r="AW253" s="38" t="inlineStr">
        <is>
          <t>IF(OR(E253="",AJ253=""),"",IF(COUNT(AG253:AI253)=0,"",AJ253-LOOKUP(2,1/(AG253:AI253&lt;&gt;""),AG253:AI253)))</t>
        </is>
      </c>
      <c r="AX253" s="38" t="inlineStr">
        <is>
          <t>IF(OR(E253="",AK253=""),"",IF(COUNT(AG253:AJ253)=0,"",AK253-LOOKUP(2,1/(AG253:AJ253&lt;&gt;""),AG253:AJ253)))</t>
        </is>
      </c>
      <c r="AY253" s="38" t="inlineStr">
        <is>
          <t>IF(OR(E253="",AL253=""),"",IF(COUNT(AG253:AK253)=0,"",AL253-LOOKUP(2,1/(AG253:AK253&lt;&gt;""),AG253:AK253)))</t>
        </is>
      </c>
      <c r="AZ253" s="38" t="inlineStr">
        <is>
          <t>IF(OR(E253="",AM253=""),"",IF(COUNT(AG253:AL253)=0,"",AM253-LOOKUP(2,1/(AG253:AL253&lt;&gt;""),AG253:AL253)))</t>
        </is>
      </c>
      <c r="BA253" s="38" t="inlineStr">
        <is>
          <t>IF(OR(E253="",AN253=""),"",IF(COUNT(AG253:AM253)=0,"",AN253-LOOKUP(2,1/(AG253:AM253&lt;&gt;""),AG253:AM253)))</t>
        </is>
      </c>
      <c r="BB253" s="38" t="inlineStr">
        <is>
          <t>IF(OR(E253="",AO253=""),"",IF(COUNT(AG253:AN253)=0,"",AO253-LOOKUP(2,1/(AG253:AN253&lt;&gt;""),AG253:AN253)))</t>
        </is>
      </c>
      <c r="BC253" s="38" t="inlineStr">
        <is>
          <t>IF(OR(E253="",AP253=""),"",IF(COUNT(AG253:AO253)=0,"",AP253-LOOKUP(2,1/(AG253:AO253&lt;&gt;""),AG253:AO253)))</t>
        </is>
      </c>
      <c r="BD253" s="38" t="inlineStr">
        <is>
          <t>IF(OR(E253="",AQ253=""),"",IF(COUNT(AG253:AP253)=0,"",AQ253-LOOKUP(2,1/(AG253:AP253&lt;&gt;""),AG253:AP253)))</t>
        </is>
      </c>
      <c r="BE253" s="38" t="inlineStr">
        <is>
          <t>IF(OR(E253="",AR253=""),"",IF(COUNT(AG253:AQ253)=0,"",AR253-LOOKUP(2,1/(AG253:AQ253&lt;&gt;""),AG253:AQ253)))</t>
        </is>
      </c>
      <c r="BF253" s="38" t="inlineStr">
        <is>
          <t>IF(OR(E253="",AS253=""),"",IF(COUNT(AG253:AR253)=0,"",AS253-LOOKUP(2,1/(AG253:AR253&lt;&gt;""),AG253:AR253)))</t>
        </is>
      </c>
      <c r="BG253" s="38" t="inlineStr">
        <is>
          <t>IF(OR(E253="",AT253=""),"",IF(COUNT(AG253:AS253)=0,"",AT253-LOOKUP(2,1/(AG253:AS253&lt;&gt;""),AG253:AS253)))</t>
        </is>
      </c>
      <c r="BH253" s="41" t="inlineStr">
        <is>
          <t>IF(G253="","All_Provinces",IFERROR(VLOOKUP(G253,'07_Lookups'!$A$4:$B$20,2,FALSE),"All_Provinces"))</t>
        </is>
      </c>
      <c r="BI253" s="41" t="inlineStr">
        <is>
          <t>IF(H253="","All_Districts",IFERROR(VLOOKUP(H253,'07_Lookups'!$E$4:$F$42,2,FALSE),"All_Districts"))</t>
        </is>
      </c>
    </row>
    <row r="254" ht="18" customHeight="1">
      <c r="A254" s="32" t="inlineStr">
        <is>
          <t>IF(E254="","",ROW()-3)</t>
        </is>
      </c>
      <c r="B254" s="33" t="n"/>
      <c r="C254" s="33" t="n"/>
      <c r="D254" s="33" t="n"/>
      <c r="E254" s="33" t="n"/>
      <c r="F254" s="33" t="n"/>
      <c r="G254" s="33" t="n"/>
      <c r="H254" s="33" t="n"/>
      <c r="I254" s="33" t="n"/>
      <c r="J254" s="33" t="n"/>
      <c r="K254" s="33" t="n"/>
      <c r="L254" s="33" t="n"/>
      <c r="M254" s="33" t="n"/>
      <c r="N254" s="33" t="n"/>
      <c r="O254" s="33" t="n"/>
      <c r="P254" s="33" t="n"/>
      <c r="Q254" s="34" t="n"/>
      <c r="R254" s="35" t="inlineStr">
        <is>
          <t>IF(AO254="","",AO254)</t>
        </is>
      </c>
      <c r="S254" s="36" t="n"/>
      <c r="T254" s="37" t="n"/>
      <c r="U254" s="36" t="n"/>
      <c r="V254" s="35" t="inlineStr">
        <is>
          <t>IF(U254&lt;&gt;"",U254,IF(OR(R254="",T254=""),"",EDATE(R254,T254)))</t>
        </is>
      </c>
      <c r="W254" s="36" t="n"/>
      <c r="X254" s="37" t="n"/>
      <c r="Y254" s="33" t="n"/>
      <c r="Z254" s="33" t="n"/>
      <c r="AA254" s="32" t="inlineStr">
        <is>
          <t>IF(E254="","",IF(COUNT(AG254:AT254)=0,IF(Y254="","Not started",Y254),SUBSTITUTE(LOOKUP(2,1/(AG254:AT254&lt;&gt;""),$AG$3:$AT$3),"Date: ","")))</t>
        </is>
      </c>
      <c r="AB254" s="38" t="inlineStr">
        <is>
          <t>IF(OR(E254="",COUNT(AG254:AT254)=0),"",TODAY()-LOOKUP(2,1/(AG254:AT254&lt;&gt;""),AG254:AT254))</t>
        </is>
      </c>
      <c r="AC254" s="38" t="inlineStr">
        <is>
          <t>IF(OR(E254="",COUNT(AG254:AT254)&lt;2),"",LOOKUP(2,1/(AG254:AT254&lt;&gt;""),AG254:AT254)-MIN(AG254:AT254))</t>
        </is>
      </c>
      <c r="AD254" s="38" t="inlineStr">
        <is>
          <t>IF(OR(AB254="",AA254="Not started",AA254=""),"",IFERROR(AB254-IF(VLOOKUP(AA254,'04_Status_Pipeline'!$B$3:$E$20,4,FALSE)="",0,VLOOKUP(AA254,'04_Status_Pipeline'!$B$3:$E$20,4,FALSE)),""))</t>
        </is>
      </c>
      <c r="AE254" s="32" t="inlineStr">
        <is>
          <t>IF(E254="","",IF(OR(Y254="Cancelled",AA254="Cancelled"),"Cancelled",IF(OR(AA254="Completed / Handover",W254&lt;&gt;"",X254&gt;=100),"Completed — on track",IF(L254="Remaining",IF(S254="",IF(V254="","No planned date",IF(TODAY()&gt;V254,"Behind — past planned date",IF(V254-TODAY()&lt;=30,"At risk — close to off track","On track"))),IF(TODAY()&gt;S254,"Behind — award date passed",IF(S254-TODAY()&lt;=30,"At risk — close to off track","On track"))),IF(V254="","No planned date",IF(AND(TODAY()&gt;V254,OR(X254="",X254&lt;100)),"Behind — past end date",IF(AND(R254&lt;&gt;"",V254&lt;&gt;"",X254&lt;&gt;"",(X254&lt;100),((TODAY()-R254)/MAX(V254-R254,1)*100)-X254&gt;15),"Behind — progress lag",IF(AND(V254-TODAY()&lt;=30,V254-TODAY()&gt;=0,OR(X254="",X254&lt;90)),"At risk — close to off track","On track"))))))))</t>
        </is>
      </c>
      <c r="AF254" s="38" t="inlineStr">
        <is>
          <t>IF(OR(E254="",AA254="Completed / Handover",AA254="Cancelled"),"",IF(L254="Remaining",IF(S254&lt;&gt;"",S254-TODAY(),IF(V254="","",V254-TODAY())),IF(V254="","",V254-TODAY())))</t>
        </is>
      </c>
      <c r="AG254" s="36" t="n"/>
      <c r="AH254" s="36" t="n"/>
      <c r="AI254" s="36" t="n"/>
      <c r="AJ254" s="36" t="n"/>
      <c r="AK254" s="36" t="n"/>
      <c r="AL254" s="36" t="n"/>
      <c r="AM254" s="36" t="n"/>
      <c r="AN254" s="36" t="n"/>
      <c r="AO254" s="36" t="n"/>
      <c r="AP254" s="36" t="n"/>
      <c r="AQ254" s="36" t="n"/>
      <c r="AR254" s="40" t="n"/>
      <c r="AS254" s="40" t="n"/>
      <c r="AT254" s="40" t="n"/>
      <c r="AU254" s="38" t="inlineStr">
        <is>
          <t>IF(OR(E254="",AH254=""),"",IF(COUNT(AG254:AG254)=0,"",AH254-LOOKUP(2,1/(AG254:AG254&lt;&gt;""),AG254:AG254)))</t>
        </is>
      </c>
      <c r="AV254" s="38" t="inlineStr">
        <is>
          <t>IF(OR(E254="",AI254=""),"",IF(COUNT(AG254:AH254)=0,"",AI254-LOOKUP(2,1/(AG254:AH254&lt;&gt;""),AG254:AH254)))</t>
        </is>
      </c>
      <c r="AW254" s="38" t="inlineStr">
        <is>
          <t>IF(OR(E254="",AJ254=""),"",IF(COUNT(AG254:AI254)=0,"",AJ254-LOOKUP(2,1/(AG254:AI254&lt;&gt;""),AG254:AI254)))</t>
        </is>
      </c>
      <c r="AX254" s="38" t="inlineStr">
        <is>
          <t>IF(OR(E254="",AK254=""),"",IF(COUNT(AG254:AJ254)=0,"",AK254-LOOKUP(2,1/(AG254:AJ254&lt;&gt;""),AG254:AJ254)))</t>
        </is>
      </c>
      <c r="AY254" s="38" t="inlineStr">
        <is>
          <t>IF(OR(E254="",AL254=""),"",IF(COUNT(AG254:AK254)=0,"",AL254-LOOKUP(2,1/(AG254:AK254&lt;&gt;""),AG254:AK254)))</t>
        </is>
      </c>
      <c r="AZ254" s="38" t="inlineStr">
        <is>
          <t>IF(OR(E254="",AM254=""),"",IF(COUNT(AG254:AL254)=0,"",AM254-LOOKUP(2,1/(AG254:AL254&lt;&gt;""),AG254:AL254)))</t>
        </is>
      </c>
      <c r="BA254" s="38" t="inlineStr">
        <is>
          <t>IF(OR(E254="",AN254=""),"",IF(COUNT(AG254:AM254)=0,"",AN254-LOOKUP(2,1/(AG254:AM254&lt;&gt;""),AG254:AM254)))</t>
        </is>
      </c>
      <c r="BB254" s="38" t="inlineStr">
        <is>
          <t>IF(OR(E254="",AO254=""),"",IF(COUNT(AG254:AN254)=0,"",AO254-LOOKUP(2,1/(AG254:AN254&lt;&gt;""),AG254:AN254)))</t>
        </is>
      </c>
      <c r="BC254" s="38" t="inlineStr">
        <is>
          <t>IF(OR(E254="",AP254=""),"",IF(COUNT(AG254:AO254)=0,"",AP254-LOOKUP(2,1/(AG254:AO254&lt;&gt;""),AG254:AO254)))</t>
        </is>
      </c>
      <c r="BD254" s="38" t="inlineStr">
        <is>
          <t>IF(OR(E254="",AQ254=""),"",IF(COUNT(AG254:AP254)=0,"",AQ254-LOOKUP(2,1/(AG254:AP254&lt;&gt;""),AG254:AP254)))</t>
        </is>
      </c>
      <c r="BE254" s="38" t="inlineStr">
        <is>
          <t>IF(OR(E254="",AR254=""),"",IF(COUNT(AG254:AQ254)=0,"",AR254-LOOKUP(2,1/(AG254:AQ254&lt;&gt;""),AG254:AQ254)))</t>
        </is>
      </c>
      <c r="BF254" s="38" t="inlineStr">
        <is>
          <t>IF(OR(E254="",AS254=""),"",IF(COUNT(AG254:AR254)=0,"",AS254-LOOKUP(2,1/(AG254:AR254&lt;&gt;""),AG254:AR254)))</t>
        </is>
      </c>
      <c r="BG254" s="38" t="inlineStr">
        <is>
          <t>IF(OR(E254="",AT254=""),"",IF(COUNT(AG254:AS254)=0,"",AT254-LOOKUP(2,1/(AG254:AS254&lt;&gt;""),AG254:AS254)))</t>
        </is>
      </c>
      <c r="BH254" s="41" t="inlineStr">
        <is>
          <t>IF(G254="","All_Provinces",IFERROR(VLOOKUP(G254,'07_Lookups'!$A$4:$B$20,2,FALSE),"All_Provinces"))</t>
        </is>
      </c>
      <c r="BI254" s="41" t="inlineStr">
        <is>
          <t>IF(H254="","All_Districts",IFERROR(VLOOKUP(H254,'07_Lookups'!$E$4:$F$42,2,FALSE),"All_Districts"))</t>
        </is>
      </c>
    </row>
    <row r="255" ht="18" customHeight="1">
      <c r="A255" s="32" t="inlineStr">
        <is>
          <t>IF(E255="","",ROW()-3)</t>
        </is>
      </c>
      <c r="B255" s="42" t="n"/>
      <c r="C255" s="42" t="n"/>
      <c r="D255" s="42" t="n"/>
      <c r="E255" s="42" t="n"/>
      <c r="F255" s="42" t="n"/>
      <c r="G255" s="42" t="n"/>
      <c r="H255" s="42" t="n"/>
      <c r="I255" s="42" t="n"/>
      <c r="J255" s="42" t="n"/>
      <c r="K255" s="42" t="n"/>
      <c r="L255" s="42" t="n"/>
      <c r="M255" s="42" t="n"/>
      <c r="N255" s="42" t="n"/>
      <c r="O255" s="42" t="n"/>
      <c r="P255" s="42" t="n"/>
      <c r="Q255" s="43" t="n"/>
      <c r="R255" s="35" t="inlineStr">
        <is>
          <t>IF(AO255="","",AO255)</t>
        </is>
      </c>
      <c r="S255" s="44" t="n"/>
      <c r="T255" s="45" t="n"/>
      <c r="U255" s="44" t="n"/>
      <c r="V255" s="35" t="inlineStr">
        <is>
          <t>IF(U255&lt;&gt;"",U255,IF(OR(R255="",T255=""),"",EDATE(R255,T255)))</t>
        </is>
      </c>
      <c r="W255" s="44" t="n"/>
      <c r="X255" s="45" t="n"/>
      <c r="Y255" s="42" t="n"/>
      <c r="Z255" s="42" t="n"/>
      <c r="AA255" s="32" t="inlineStr">
        <is>
          <t>IF(E255="","",IF(COUNT(AG255:AT255)=0,IF(Y255="","Not started",Y255),SUBSTITUTE(LOOKUP(2,1/(AG255:AT255&lt;&gt;""),$AG$3:$AT$3),"Date: ","")))</t>
        </is>
      </c>
      <c r="AB255" s="38" t="inlineStr">
        <is>
          <t>IF(OR(E255="",COUNT(AG255:AT255)=0),"",TODAY()-LOOKUP(2,1/(AG255:AT255&lt;&gt;""),AG255:AT255))</t>
        </is>
      </c>
      <c r="AC255" s="38" t="inlineStr">
        <is>
          <t>IF(OR(E255="",COUNT(AG255:AT255)&lt;2),"",LOOKUP(2,1/(AG255:AT255&lt;&gt;""),AG255:AT255)-MIN(AG255:AT255))</t>
        </is>
      </c>
      <c r="AD255" s="38" t="inlineStr">
        <is>
          <t>IF(OR(AB255="",AA255="Not started",AA255=""),"",IFERROR(AB255-IF(VLOOKUP(AA255,'04_Status_Pipeline'!$B$3:$E$20,4,FALSE)="",0,VLOOKUP(AA255,'04_Status_Pipeline'!$B$3:$E$20,4,FALSE)),""))</t>
        </is>
      </c>
      <c r="AE255" s="32" t="inlineStr">
        <is>
          <t>IF(E255="","",IF(OR(Y255="Cancelled",AA255="Cancelled"),"Cancelled",IF(OR(AA255="Completed / Handover",W255&lt;&gt;"",X255&gt;=100),"Completed — on track",IF(L255="Remaining",IF(S255="",IF(V255="","No planned date",IF(TODAY()&gt;V255,"Behind — past planned date",IF(V255-TODAY()&lt;=30,"At risk — close to off track","On track"))),IF(TODAY()&gt;S255,"Behind — award date passed",IF(S255-TODAY()&lt;=30,"At risk — close to off track","On track"))),IF(V255="","No planned date",IF(AND(TODAY()&gt;V255,OR(X255="",X255&lt;100)),"Behind — past end date",IF(AND(R255&lt;&gt;"",V255&lt;&gt;"",X255&lt;&gt;"",(X255&lt;100),((TODAY()-R255)/MAX(V255-R255,1)*100)-X255&gt;15),"Behind — progress lag",IF(AND(V255-TODAY()&lt;=30,V255-TODAY()&gt;=0,OR(X255="",X255&lt;90)),"At risk — close to off track","On track"))))))))</t>
        </is>
      </c>
      <c r="AF255" s="38" t="inlineStr">
        <is>
          <t>IF(OR(E255="",AA255="Completed / Handover",AA255="Cancelled"),"",IF(L255="Remaining",IF(S255&lt;&gt;"",S255-TODAY(),IF(V255="","",V255-TODAY())),IF(V255="","",V255-TODAY())))</t>
        </is>
      </c>
      <c r="AG255" s="44" t="n"/>
      <c r="AH255" s="44" t="n"/>
      <c r="AI255" s="44" t="n"/>
      <c r="AJ255" s="44" t="n"/>
      <c r="AK255" s="44" t="n"/>
      <c r="AL255" s="44" t="n"/>
      <c r="AM255" s="44" t="n"/>
      <c r="AN255" s="44" t="n"/>
      <c r="AO255" s="44" t="n"/>
      <c r="AP255" s="44" t="n"/>
      <c r="AQ255" s="44" t="n"/>
      <c r="AR255" s="40" t="n"/>
      <c r="AS255" s="40" t="n"/>
      <c r="AT255" s="40" t="n"/>
      <c r="AU255" s="38" t="inlineStr">
        <is>
          <t>IF(OR(E255="",AH255=""),"",IF(COUNT(AG255:AG255)=0,"",AH255-LOOKUP(2,1/(AG255:AG255&lt;&gt;""),AG255:AG255)))</t>
        </is>
      </c>
      <c r="AV255" s="38" t="inlineStr">
        <is>
          <t>IF(OR(E255="",AI255=""),"",IF(COUNT(AG255:AH255)=0,"",AI255-LOOKUP(2,1/(AG255:AH255&lt;&gt;""),AG255:AH255)))</t>
        </is>
      </c>
      <c r="AW255" s="38" t="inlineStr">
        <is>
          <t>IF(OR(E255="",AJ255=""),"",IF(COUNT(AG255:AI255)=0,"",AJ255-LOOKUP(2,1/(AG255:AI255&lt;&gt;""),AG255:AI255)))</t>
        </is>
      </c>
      <c r="AX255" s="38" t="inlineStr">
        <is>
          <t>IF(OR(E255="",AK255=""),"",IF(COUNT(AG255:AJ255)=0,"",AK255-LOOKUP(2,1/(AG255:AJ255&lt;&gt;""),AG255:AJ255)))</t>
        </is>
      </c>
      <c r="AY255" s="38" t="inlineStr">
        <is>
          <t>IF(OR(E255="",AL255=""),"",IF(COUNT(AG255:AK255)=0,"",AL255-LOOKUP(2,1/(AG255:AK255&lt;&gt;""),AG255:AK255)))</t>
        </is>
      </c>
      <c r="AZ255" s="38" t="inlineStr">
        <is>
          <t>IF(OR(E255="",AM255=""),"",IF(COUNT(AG255:AL255)=0,"",AM255-LOOKUP(2,1/(AG255:AL255&lt;&gt;""),AG255:AL255)))</t>
        </is>
      </c>
      <c r="BA255" s="38" t="inlineStr">
        <is>
          <t>IF(OR(E255="",AN255=""),"",IF(COUNT(AG255:AM255)=0,"",AN255-LOOKUP(2,1/(AG255:AM255&lt;&gt;""),AG255:AM255)))</t>
        </is>
      </c>
      <c r="BB255" s="38" t="inlineStr">
        <is>
          <t>IF(OR(E255="",AO255=""),"",IF(COUNT(AG255:AN255)=0,"",AO255-LOOKUP(2,1/(AG255:AN255&lt;&gt;""),AG255:AN255)))</t>
        </is>
      </c>
      <c r="BC255" s="38" t="inlineStr">
        <is>
          <t>IF(OR(E255="",AP255=""),"",IF(COUNT(AG255:AO255)=0,"",AP255-LOOKUP(2,1/(AG255:AO255&lt;&gt;""),AG255:AO255)))</t>
        </is>
      </c>
      <c r="BD255" s="38" t="inlineStr">
        <is>
          <t>IF(OR(E255="",AQ255=""),"",IF(COUNT(AG255:AP255)=0,"",AQ255-LOOKUP(2,1/(AG255:AP255&lt;&gt;""),AG255:AP255)))</t>
        </is>
      </c>
      <c r="BE255" s="38" t="inlineStr">
        <is>
          <t>IF(OR(E255="",AR255=""),"",IF(COUNT(AG255:AQ255)=0,"",AR255-LOOKUP(2,1/(AG255:AQ255&lt;&gt;""),AG255:AQ255)))</t>
        </is>
      </c>
      <c r="BF255" s="38" t="inlineStr">
        <is>
          <t>IF(OR(E255="",AS255=""),"",IF(COUNT(AG255:AR255)=0,"",AS255-LOOKUP(2,1/(AG255:AR255&lt;&gt;""),AG255:AR255)))</t>
        </is>
      </c>
      <c r="BG255" s="38" t="inlineStr">
        <is>
          <t>IF(OR(E255="",AT255=""),"",IF(COUNT(AG255:AS255)=0,"",AT255-LOOKUP(2,1/(AG255:AS255&lt;&gt;""),AG255:AS255)))</t>
        </is>
      </c>
      <c r="BH255" s="41" t="inlineStr">
        <is>
          <t>IF(G255="","All_Provinces",IFERROR(VLOOKUP(G255,'07_Lookups'!$A$4:$B$20,2,FALSE),"All_Provinces"))</t>
        </is>
      </c>
      <c r="BI255" s="41" t="inlineStr">
        <is>
          <t>IF(H255="","All_Districts",IFERROR(VLOOKUP(H255,'07_Lookups'!$E$4:$F$42,2,FALSE),"All_Districts"))</t>
        </is>
      </c>
    </row>
    <row r="256" ht="18" customHeight="1">
      <c r="A256" s="32" t="inlineStr">
        <is>
          <t>IF(E256="","",ROW()-3)</t>
        </is>
      </c>
      <c r="B256" s="33" t="n"/>
      <c r="C256" s="33" t="n"/>
      <c r="D256" s="33" t="n"/>
      <c r="E256" s="33" t="n"/>
      <c r="F256" s="33" t="n"/>
      <c r="G256" s="33" t="n"/>
      <c r="H256" s="33" t="n"/>
      <c r="I256" s="33" t="n"/>
      <c r="J256" s="33" t="n"/>
      <c r="K256" s="33" t="n"/>
      <c r="L256" s="33" t="n"/>
      <c r="M256" s="33" t="n"/>
      <c r="N256" s="33" t="n"/>
      <c r="O256" s="33" t="n"/>
      <c r="P256" s="33" t="n"/>
      <c r="Q256" s="34" t="n"/>
      <c r="R256" s="35" t="inlineStr">
        <is>
          <t>IF(AO256="","",AO256)</t>
        </is>
      </c>
      <c r="S256" s="36" t="n"/>
      <c r="T256" s="37" t="n"/>
      <c r="U256" s="36" t="n"/>
      <c r="V256" s="35" t="inlineStr">
        <is>
          <t>IF(U256&lt;&gt;"",U256,IF(OR(R256="",T256=""),"",EDATE(R256,T256)))</t>
        </is>
      </c>
      <c r="W256" s="36" t="n"/>
      <c r="X256" s="37" t="n"/>
      <c r="Y256" s="33" t="n"/>
      <c r="Z256" s="33" t="n"/>
      <c r="AA256" s="32" t="inlineStr">
        <is>
          <t>IF(E256="","",IF(COUNT(AG256:AT256)=0,IF(Y256="","Not started",Y256),SUBSTITUTE(LOOKUP(2,1/(AG256:AT256&lt;&gt;""),$AG$3:$AT$3),"Date: ","")))</t>
        </is>
      </c>
      <c r="AB256" s="38" t="inlineStr">
        <is>
          <t>IF(OR(E256="",COUNT(AG256:AT256)=0),"",TODAY()-LOOKUP(2,1/(AG256:AT256&lt;&gt;""),AG256:AT256))</t>
        </is>
      </c>
      <c r="AC256" s="38" t="inlineStr">
        <is>
          <t>IF(OR(E256="",COUNT(AG256:AT256)&lt;2),"",LOOKUP(2,1/(AG256:AT256&lt;&gt;""),AG256:AT256)-MIN(AG256:AT256))</t>
        </is>
      </c>
      <c r="AD256" s="38" t="inlineStr">
        <is>
          <t>IF(OR(AB256="",AA256="Not started",AA256=""),"",IFERROR(AB256-IF(VLOOKUP(AA256,'04_Status_Pipeline'!$B$3:$E$20,4,FALSE)="",0,VLOOKUP(AA256,'04_Status_Pipeline'!$B$3:$E$20,4,FALSE)),""))</t>
        </is>
      </c>
      <c r="AE256" s="32" t="inlineStr">
        <is>
          <t>IF(E256="","",IF(OR(Y256="Cancelled",AA256="Cancelled"),"Cancelled",IF(OR(AA256="Completed / Handover",W256&lt;&gt;"",X256&gt;=100),"Completed — on track",IF(L256="Remaining",IF(S256="",IF(V256="","No planned date",IF(TODAY()&gt;V256,"Behind — past planned date",IF(V256-TODAY()&lt;=30,"At risk — close to off track","On track"))),IF(TODAY()&gt;S256,"Behind — award date passed",IF(S256-TODAY()&lt;=30,"At risk — close to off track","On track"))),IF(V256="","No planned date",IF(AND(TODAY()&gt;V256,OR(X256="",X256&lt;100)),"Behind — past end date",IF(AND(R256&lt;&gt;"",V256&lt;&gt;"",X256&lt;&gt;"",(X256&lt;100),((TODAY()-R256)/MAX(V256-R256,1)*100)-X256&gt;15),"Behind — progress lag",IF(AND(V256-TODAY()&lt;=30,V256-TODAY()&gt;=0,OR(X256="",X256&lt;90)),"At risk — close to off track","On track"))))))))</t>
        </is>
      </c>
      <c r="AF256" s="38" t="inlineStr">
        <is>
          <t>IF(OR(E256="",AA256="Completed / Handover",AA256="Cancelled"),"",IF(L256="Remaining",IF(S256&lt;&gt;"",S256-TODAY(),IF(V256="","",V256-TODAY())),IF(V256="","",V256-TODAY())))</t>
        </is>
      </c>
      <c r="AG256" s="36" t="n"/>
      <c r="AH256" s="36" t="n"/>
      <c r="AI256" s="36" t="n"/>
      <c r="AJ256" s="36" t="n"/>
      <c r="AK256" s="36" t="n"/>
      <c r="AL256" s="36" t="n"/>
      <c r="AM256" s="36" t="n"/>
      <c r="AN256" s="36" t="n"/>
      <c r="AO256" s="36" t="n"/>
      <c r="AP256" s="36" t="n"/>
      <c r="AQ256" s="36" t="n"/>
      <c r="AR256" s="40" t="n"/>
      <c r="AS256" s="40" t="n"/>
      <c r="AT256" s="40" t="n"/>
      <c r="AU256" s="38" t="inlineStr">
        <is>
          <t>IF(OR(E256="",AH256=""),"",IF(COUNT(AG256:AG256)=0,"",AH256-LOOKUP(2,1/(AG256:AG256&lt;&gt;""),AG256:AG256)))</t>
        </is>
      </c>
      <c r="AV256" s="38" t="inlineStr">
        <is>
          <t>IF(OR(E256="",AI256=""),"",IF(COUNT(AG256:AH256)=0,"",AI256-LOOKUP(2,1/(AG256:AH256&lt;&gt;""),AG256:AH256)))</t>
        </is>
      </c>
      <c r="AW256" s="38" t="inlineStr">
        <is>
          <t>IF(OR(E256="",AJ256=""),"",IF(COUNT(AG256:AI256)=0,"",AJ256-LOOKUP(2,1/(AG256:AI256&lt;&gt;""),AG256:AI256)))</t>
        </is>
      </c>
      <c r="AX256" s="38" t="inlineStr">
        <is>
          <t>IF(OR(E256="",AK256=""),"",IF(COUNT(AG256:AJ256)=0,"",AK256-LOOKUP(2,1/(AG256:AJ256&lt;&gt;""),AG256:AJ256)))</t>
        </is>
      </c>
      <c r="AY256" s="38" t="inlineStr">
        <is>
          <t>IF(OR(E256="",AL256=""),"",IF(COUNT(AG256:AK256)=0,"",AL256-LOOKUP(2,1/(AG256:AK256&lt;&gt;""),AG256:AK256)))</t>
        </is>
      </c>
      <c r="AZ256" s="38" t="inlineStr">
        <is>
          <t>IF(OR(E256="",AM256=""),"",IF(COUNT(AG256:AL256)=0,"",AM256-LOOKUP(2,1/(AG256:AL256&lt;&gt;""),AG256:AL256)))</t>
        </is>
      </c>
      <c r="BA256" s="38" t="inlineStr">
        <is>
          <t>IF(OR(E256="",AN256=""),"",IF(COUNT(AG256:AM256)=0,"",AN256-LOOKUP(2,1/(AG256:AM256&lt;&gt;""),AG256:AM256)))</t>
        </is>
      </c>
      <c r="BB256" s="38" t="inlineStr">
        <is>
          <t>IF(OR(E256="",AO256=""),"",IF(COUNT(AG256:AN256)=0,"",AO256-LOOKUP(2,1/(AG256:AN256&lt;&gt;""),AG256:AN256)))</t>
        </is>
      </c>
      <c r="BC256" s="38" t="inlineStr">
        <is>
          <t>IF(OR(E256="",AP256=""),"",IF(COUNT(AG256:AO256)=0,"",AP256-LOOKUP(2,1/(AG256:AO256&lt;&gt;""),AG256:AO256)))</t>
        </is>
      </c>
      <c r="BD256" s="38" t="inlineStr">
        <is>
          <t>IF(OR(E256="",AQ256=""),"",IF(COUNT(AG256:AP256)=0,"",AQ256-LOOKUP(2,1/(AG256:AP256&lt;&gt;""),AG256:AP256)))</t>
        </is>
      </c>
      <c r="BE256" s="38" t="inlineStr">
        <is>
          <t>IF(OR(E256="",AR256=""),"",IF(COUNT(AG256:AQ256)=0,"",AR256-LOOKUP(2,1/(AG256:AQ256&lt;&gt;""),AG256:AQ256)))</t>
        </is>
      </c>
      <c r="BF256" s="38" t="inlineStr">
        <is>
          <t>IF(OR(E256="",AS256=""),"",IF(COUNT(AG256:AR256)=0,"",AS256-LOOKUP(2,1/(AG256:AR256&lt;&gt;""),AG256:AR256)))</t>
        </is>
      </c>
      <c r="BG256" s="38" t="inlineStr">
        <is>
          <t>IF(OR(E256="",AT256=""),"",IF(COUNT(AG256:AS256)=0,"",AT256-LOOKUP(2,1/(AG256:AS256&lt;&gt;""),AG256:AS256)))</t>
        </is>
      </c>
      <c r="BH256" s="41" t="inlineStr">
        <is>
          <t>IF(G256="","All_Provinces",IFERROR(VLOOKUP(G256,'07_Lookups'!$A$4:$B$20,2,FALSE),"All_Provinces"))</t>
        </is>
      </c>
      <c r="BI256" s="41" t="inlineStr">
        <is>
          <t>IF(H256="","All_Districts",IFERROR(VLOOKUP(H256,'07_Lookups'!$E$4:$F$42,2,FALSE),"All_Districts"))</t>
        </is>
      </c>
    </row>
    <row r="257" ht="18" customHeight="1">
      <c r="A257" s="32" t="inlineStr">
        <is>
          <t>IF(E257="","",ROW()-3)</t>
        </is>
      </c>
      <c r="B257" s="42" t="n"/>
      <c r="C257" s="42" t="n"/>
      <c r="D257" s="42" t="n"/>
      <c r="E257" s="42" t="n"/>
      <c r="F257" s="42" t="n"/>
      <c r="G257" s="42" t="n"/>
      <c r="H257" s="42" t="n"/>
      <c r="I257" s="42" t="n"/>
      <c r="J257" s="42" t="n"/>
      <c r="K257" s="42" t="n"/>
      <c r="L257" s="42" t="n"/>
      <c r="M257" s="42" t="n"/>
      <c r="N257" s="42" t="n"/>
      <c r="O257" s="42" t="n"/>
      <c r="P257" s="42" t="n"/>
      <c r="Q257" s="43" t="n"/>
      <c r="R257" s="35" t="inlineStr">
        <is>
          <t>IF(AO257="","",AO257)</t>
        </is>
      </c>
      <c r="S257" s="44" t="n"/>
      <c r="T257" s="45" t="n"/>
      <c r="U257" s="44" t="n"/>
      <c r="V257" s="35" t="inlineStr">
        <is>
          <t>IF(U257&lt;&gt;"",U257,IF(OR(R257="",T257=""),"",EDATE(R257,T257)))</t>
        </is>
      </c>
      <c r="W257" s="44" t="n"/>
      <c r="X257" s="45" t="n"/>
      <c r="Y257" s="42" t="n"/>
      <c r="Z257" s="42" t="n"/>
      <c r="AA257" s="32" t="inlineStr">
        <is>
          <t>IF(E257="","",IF(COUNT(AG257:AT257)=0,IF(Y257="","Not started",Y257),SUBSTITUTE(LOOKUP(2,1/(AG257:AT257&lt;&gt;""),$AG$3:$AT$3),"Date: ","")))</t>
        </is>
      </c>
      <c r="AB257" s="38" t="inlineStr">
        <is>
          <t>IF(OR(E257="",COUNT(AG257:AT257)=0),"",TODAY()-LOOKUP(2,1/(AG257:AT257&lt;&gt;""),AG257:AT257))</t>
        </is>
      </c>
      <c r="AC257" s="38" t="inlineStr">
        <is>
          <t>IF(OR(E257="",COUNT(AG257:AT257)&lt;2),"",LOOKUP(2,1/(AG257:AT257&lt;&gt;""),AG257:AT257)-MIN(AG257:AT257))</t>
        </is>
      </c>
      <c r="AD257" s="38" t="inlineStr">
        <is>
          <t>IF(OR(AB257="",AA257="Not started",AA257=""),"",IFERROR(AB257-IF(VLOOKUP(AA257,'04_Status_Pipeline'!$B$3:$E$20,4,FALSE)="",0,VLOOKUP(AA257,'04_Status_Pipeline'!$B$3:$E$20,4,FALSE)),""))</t>
        </is>
      </c>
      <c r="AE257" s="32" t="inlineStr">
        <is>
          <t>IF(E257="","",IF(OR(Y257="Cancelled",AA257="Cancelled"),"Cancelled",IF(OR(AA257="Completed / Handover",W257&lt;&gt;"",X257&gt;=100),"Completed — on track",IF(L257="Remaining",IF(S257="",IF(V257="","No planned date",IF(TODAY()&gt;V257,"Behind — past planned date",IF(V257-TODAY()&lt;=30,"At risk — close to off track","On track"))),IF(TODAY()&gt;S257,"Behind — award date passed",IF(S257-TODAY()&lt;=30,"At risk — close to off track","On track"))),IF(V257="","No planned date",IF(AND(TODAY()&gt;V257,OR(X257="",X257&lt;100)),"Behind — past end date",IF(AND(R257&lt;&gt;"",V257&lt;&gt;"",X257&lt;&gt;"",(X257&lt;100),((TODAY()-R257)/MAX(V257-R257,1)*100)-X257&gt;15),"Behind — progress lag",IF(AND(V257-TODAY()&lt;=30,V257-TODAY()&gt;=0,OR(X257="",X257&lt;90)),"At risk — close to off track","On track"))))))))</t>
        </is>
      </c>
      <c r="AF257" s="38" t="inlineStr">
        <is>
          <t>IF(OR(E257="",AA257="Completed / Handover",AA257="Cancelled"),"",IF(L257="Remaining",IF(S257&lt;&gt;"",S257-TODAY(),IF(V257="","",V257-TODAY())),IF(V257="","",V257-TODAY())))</t>
        </is>
      </c>
      <c r="AG257" s="44" t="n"/>
      <c r="AH257" s="44" t="n"/>
      <c r="AI257" s="44" t="n"/>
      <c r="AJ257" s="44" t="n"/>
      <c r="AK257" s="44" t="n"/>
      <c r="AL257" s="44" t="n"/>
      <c r="AM257" s="44" t="n"/>
      <c r="AN257" s="44" t="n"/>
      <c r="AO257" s="44" t="n"/>
      <c r="AP257" s="44" t="n"/>
      <c r="AQ257" s="44" t="n"/>
      <c r="AR257" s="40" t="n"/>
      <c r="AS257" s="40" t="n"/>
      <c r="AT257" s="40" t="n"/>
      <c r="AU257" s="38" t="inlineStr">
        <is>
          <t>IF(OR(E257="",AH257=""),"",IF(COUNT(AG257:AG257)=0,"",AH257-LOOKUP(2,1/(AG257:AG257&lt;&gt;""),AG257:AG257)))</t>
        </is>
      </c>
      <c r="AV257" s="38" t="inlineStr">
        <is>
          <t>IF(OR(E257="",AI257=""),"",IF(COUNT(AG257:AH257)=0,"",AI257-LOOKUP(2,1/(AG257:AH257&lt;&gt;""),AG257:AH257)))</t>
        </is>
      </c>
      <c r="AW257" s="38" t="inlineStr">
        <is>
          <t>IF(OR(E257="",AJ257=""),"",IF(COUNT(AG257:AI257)=0,"",AJ257-LOOKUP(2,1/(AG257:AI257&lt;&gt;""),AG257:AI257)))</t>
        </is>
      </c>
      <c r="AX257" s="38" t="inlineStr">
        <is>
          <t>IF(OR(E257="",AK257=""),"",IF(COUNT(AG257:AJ257)=0,"",AK257-LOOKUP(2,1/(AG257:AJ257&lt;&gt;""),AG257:AJ257)))</t>
        </is>
      </c>
      <c r="AY257" s="38" t="inlineStr">
        <is>
          <t>IF(OR(E257="",AL257=""),"",IF(COUNT(AG257:AK257)=0,"",AL257-LOOKUP(2,1/(AG257:AK257&lt;&gt;""),AG257:AK257)))</t>
        </is>
      </c>
      <c r="AZ257" s="38" t="inlineStr">
        <is>
          <t>IF(OR(E257="",AM257=""),"",IF(COUNT(AG257:AL257)=0,"",AM257-LOOKUP(2,1/(AG257:AL257&lt;&gt;""),AG257:AL257)))</t>
        </is>
      </c>
      <c r="BA257" s="38" t="inlineStr">
        <is>
          <t>IF(OR(E257="",AN257=""),"",IF(COUNT(AG257:AM257)=0,"",AN257-LOOKUP(2,1/(AG257:AM257&lt;&gt;""),AG257:AM257)))</t>
        </is>
      </c>
      <c r="BB257" s="38" t="inlineStr">
        <is>
          <t>IF(OR(E257="",AO257=""),"",IF(COUNT(AG257:AN257)=0,"",AO257-LOOKUP(2,1/(AG257:AN257&lt;&gt;""),AG257:AN257)))</t>
        </is>
      </c>
      <c r="BC257" s="38" t="inlineStr">
        <is>
          <t>IF(OR(E257="",AP257=""),"",IF(COUNT(AG257:AO257)=0,"",AP257-LOOKUP(2,1/(AG257:AO257&lt;&gt;""),AG257:AO257)))</t>
        </is>
      </c>
      <c r="BD257" s="38" t="inlineStr">
        <is>
          <t>IF(OR(E257="",AQ257=""),"",IF(COUNT(AG257:AP257)=0,"",AQ257-LOOKUP(2,1/(AG257:AP257&lt;&gt;""),AG257:AP257)))</t>
        </is>
      </c>
      <c r="BE257" s="38" t="inlineStr">
        <is>
          <t>IF(OR(E257="",AR257=""),"",IF(COUNT(AG257:AQ257)=0,"",AR257-LOOKUP(2,1/(AG257:AQ257&lt;&gt;""),AG257:AQ257)))</t>
        </is>
      </c>
      <c r="BF257" s="38" t="inlineStr">
        <is>
          <t>IF(OR(E257="",AS257=""),"",IF(COUNT(AG257:AR257)=0,"",AS257-LOOKUP(2,1/(AG257:AR257&lt;&gt;""),AG257:AR257)))</t>
        </is>
      </c>
      <c r="BG257" s="38" t="inlineStr">
        <is>
          <t>IF(OR(E257="",AT257=""),"",IF(COUNT(AG257:AS257)=0,"",AT257-LOOKUP(2,1/(AG257:AS257&lt;&gt;""),AG257:AS257)))</t>
        </is>
      </c>
      <c r="BH257" s="41" t="inlineStr">
        <is>
          <t>IF(G257="","All_Provinces",IFERROR(VLOOKUP(G257,'07_Lookups'!$A$4:$B$20,2,FALSE),"All_Provinces"))</t>
        </is>
      </c>
      <c r="BI257" s="41" t="inlineStr">
        <is>
          <t>IF(H257="","All_Districts",IFERROR(VLOOKUP(H257,'07_Lookups'!$E$4:$F$42,2,FALSE),"All_Districts"))</t>
        </is>
      </c>
    </row>
    <row r="258" ht="18" customHeight="1">
      <c r="A258" s="32" t="inlineStr">
        <is>
          <t>IF(E258="","",ROW()-3)</t>
        </is>
      </c>
      <c r="B258" s="33" t="n"/>
      <c r="C258" s="33" t="n"/>
      <c r="D258" s="33" t="n"/>
      <c r="E258" s="33" t="n"/>
      <c r="F258" s="33" t="n"/>
      <c r="G258" s="33" t="n"/>
      <c r="H258" s="33" t="n"/>
      <c r="I258" s="33" t="n"/>
      <c r="J258" s="33" t="n"/>
      <c r="K258" s="33" t="n"/>
      <c r="L258" s="33" t="n"/>
      <c r="M258" s="33" t="n"/>
      <c r="N258" s="33" t="n"/>
      <c r="O258" s="33" t="n"/>
      <c r="P258" s="33" t="n"/>
      <c r="Q258" s="34" t="n"/>
      <c r="R258" s="35" t="inlineStr">
        <is>
          <t>IF(AO258="","",AO258)</t>
        </is>
      </c>
      <c r="S258" s="36" t="n"/>
      <c r="T258" s="37" t="n"/>
      <c r="U258" s="36" t="n"/>
      <c r="V258" s="35" t="inlineStr">
        <is>
          <t>IF(U258&lt;&gt;"",U258,IF(OR(R258="",T258=""),"",EDATE(R258,T258)))</t>
        </is>
      </c>
      <c r="W258" s="36" t="n"/>
      <c r="X258" s="37" t="n"/>
      <c r="Y258" s="33" t="n"/>
      <c r="Z258" s="33" t="n"/>
      <c r="AA258" s="32" t="inlineStr">
        <is>
          <t>IF(E258="","",IF(COUNT(AG258:AT258)=0,IF(Y258="","Not started",Y258),SUBSTITUTE(LOOKUP(2,1/(AG258:AT258&lt;&gt;""),$AG$3:$AT$3),"Date: ","")))</t>
        </is>
      </c>
      <c r="AB258" s="38" t="inlineStr">
        <is>
          <t>IF(OR(E258="",COUNT(AG258:AT258)=0),"",TODAY()-LOOKUP(2,1/(AG258:AT258&lt;&gt;""),AG258:AT258))</t>
        </is>
      </c>
      <c r="AC258" s="38" t="inlineStr">
        <is>
          <t>IF(OR(E258="",COUNT(AG258:AT258)&lt;2),"",LOOKUP(2,1/(AG258:AT258&lt;&gt;""),AG258:AT258)-MIN(AG258:AT258))</t>
        </is>
      </c>
      <c r="AD258" s="38" t="inlineStr">
        <is>
          <t>IF(OR(AB258="",AA258="Not started",AA258=""),"",IFERROR(AB258-IF(VLOOKUP(AA258,'04_Status_Pipeline'!$B$3:$E$20,4,FALSE)="",0,VLOOKUP(AA258,'04_Status_Pipeline'!$B$3:$E$20,4,FALSE)),""))</t>
        </is>
      </c>
      <c r="AE258" s="32" t="inlineStr">
        <is>
          <t>IF(E258="","",IF(OR(Y258="Cancelled",AA258="Cancelled"),"Cancelled",IF(OR(AA258="Completed / Handover",W258&lt;&gt;"",X258&gt;=100),"Completed — on track",IF(L258="Remaining",IF(S258="",IF(V258="","No planned date",IF(TODAY()&gt;V258,"Behind — past planned date",IF(V258-TODAY()&lt;=30,"At risk — close to off track","On track"))),IF(TODAY()&gt;S258,"Behind — award date passed",IF(S258-TODAY()&lt;=30,"At risk — close to off track","On track"))),IF(V258="","No planned date",IF(AND(TODAY()&gt;V258,OR(X258="",X258&lt;100)),"Behind — past end date",IF(AND(R258&lt;&gt;"",V258&lt;&gt;"",X258&lt;&gt;"",(X258&lt;100),((TODAY()-R258)/MAX(V258-R258,1)*100)-X258&gt;15),"Behind — progress lag",IF(AND(V258-TODAY()&lt;=30,V258-TODAY()&gt;=0,OR(X258="",X258&lt;90)),"At risk — close to off track","On track"))))))))</t>
        </is>
      </c>
      <c r="AF258" s="38" t="inlineStr">
        <is>
          <t>IF(OR(E258="",AA258="Completed / Handover",AA258="Cancelled"),"",IF(L258="Remaining",IF(S258&lt;&gt;"",S258-TODAY(),IF(V258="","",V258-TODAY())),IF(V258="","",V258-TODAY())))</t>
        </is>
      </c>
      <c r="AG258" s="36" t="n"/>
      <c r="AH258" s="36" t="n"/>
      <c r="AI258" s="36" t="n"/>
      <c r="AJ258" s="36" t="n"/>
      <c r="AK258" s="36" t="n"/>
      <c r="AL258" s="36" t="n"/>
      <c r="AM258" s="36" t="n"/>
      <c r="AN258" s="36" t="n"/>
      <c r="AO258" s="36" t="n"/>
      <c r="AP258" s="36" t="n"/>
      <c r="AQ258" s="36" t="n"/>
      <c r="AR258" s="40" t="n"/>
      <c r="AS258" s="40" t="n"/>
      <c r="AT258" s="40" t="n"/>
      <c r="AU258" s="38" t="inlineStr">
        <is>
          <t>IF(OR(E258="",AH258=""),"",IF(COUNT(AG258:AG258)=0,"",AH258-LOOKUP(2,1/(AG258:AG258&lt;&gt;""),AG258:AG258)))</t>
        </is>
      </c>
      <c r="AV258" s="38" t="inlineStr">
        <is>
          <t>IF(OR(E258="",AI258=""),"",IF(COUNT(AG258:AH258)=0,"",AI258-LOOKUP(2,1/(AG258:AH258&lt;&gt;""),AG258:AH258)))</t>
        </is>
      </c>
      <c r="AW258" s="38" t="inlineStr">
        <is>
          <t>IF(OR(E258="",AJ258=""),"",IF(COUNT(AG258:AI258)=0,"",AJ258-LOOKUP(2,1/(AG258:AI258&lt;&gt;""),AG258:AI258)))</t>
        </is>
      </c>
      <c r="AX258" s="38" t="inlineStr">
        <is>
          <t>IF(OR(E258="",AK258=""),"",IF(COUNT(AG258:AJ258)=0,"",AK258-LOOKUP(2,1/(AG258:AJ258&lt;&gt;""),AG258:AJ258)))</t>
        </is>
      </c>
      <c r="AY258" s="38" t="inlineStr">
        <is>
          <t>IF(OR(E258="",AL258=""),"",IF(COUNT(AG258:AK258)=0,"",AL258-LOOKUP(2,1/(AG258:AK258&lt;&gt;""),AG258:AK258)))</t>
        </is>
      </c>
      <c r="AZ258" s="38" t="inlineStr">
        <is>
          <t>IF(OR(E258="",AM258=""),"",IF(COUNT(AG258:AL258)=0,"",AM258-LOOKUP(2,1/(AG258:AL258&lt;&gt;""),AG258:AL258)))</t>
        </is>
      </c>
      <c r="BA258" s="38" t="inlineStr">
        <is>
          <t>IF(OR(E258="",AN258=""),"",IF(COUNT(AG258:AM258)=0,"",AN258-LOOKUP(2,1/(AG258:AM258&lt;&gt;""),AG258:AM258)))</t>
        </is>
      </c>
      <c r="BB258" s="38" t="inlineStr">
        <is>
          <t>IF(OR(E258="",AO258=""),"",IF(COUNT(AG258:AN258)=0,"",AO258-LOOKUP(2,1/(AG258:AN258&lt;&gt;""),AG258:AN258)))</t>
        </is>
      </c>
      <c r="BC258" s="38" t="inlineStr">
        <is>
          <t>IF(OR(E258="",AP258=""),"",IF(COUNT(AG258:AO258)=0,"",AP258-LOOKUP(2,1/(AG258:AO258&lt;&gt;""),AG258:AO258)))</t>
        </is>
      </c>
      <c r="BD258" s="38" t="inlineStr">
        <is>
          <t>IF(OR(E258="",AQ258=""),"",IF(COUNT(AG258:AP258)=0,"",AQ258-LOOKUP(2,1/(AG258:AP258&lt;&gt;""),AG258:AP258)))</t>
        </is>
      </c>
      <c r="BE258" s="38" t="inlineStr">
        <is>
          <t>IF(OR(E258="",AR258=""),"",IF(COUNT(AG258:AQ258)=0,"",AR258-LOOKUP(2,1/(AG258:AQ258&lt;&gt;""),AG258:AQ258)))</t>
        </is>
      </c>
      <c r="BF258" s="38" t="inlineStr">
        <is>
          <t>IF(OR(E258="",AS258=""),"",IF(COUNT(AG258:AR258)=0,"",AS258-LOOKUP(2,1/(AG258:AR258&lt;&gt;""),AG258:AR258)))</t>
        </is>
      </c>
      <c r="BG258" s="38" t="inlineStr">
        <is>
          <t>IF(OR(E258="",AT258=""),"",IF(COUNT(AG258:AS258)=0,"",AT258-LOOKUP(2,1/(AG258:AS258&lt;&gt;""),AG258:AS258)))</t>
        </is>
      </c>
      <c r="BH258" s="41" t="inlineStr">
        <is>
          <t>IF(G258="","All_Provinces",IFERROR(VLOOKUP(G258,'07_Lookups'!$A$4:$B$20,2,FALSE),"All_Provinces"))</t>
        </is>
      </c>
      <c r="BI258" s="41" t="inlineStr">
        <is>
          <t>IF(H258="","All_Districts",IFERROR(VLOOKUP(H258,'07_Lookups'!$E$4:$F$42,2,FALSE),"All_Districts"))</t>
        </is>
      </c>
    </row>
    <row r="259" ht="18" customHeight="1">
      <c r="A259" s="32" t="inlineStr">
        <is>
          <t>IF(E259="","",ROW()-3)</t>
        </is>
      </c>
      <c r="B259" s="42" t="n"/>
      <c r="C259" s="42" t="n"/>
      <c r="D259" s="42" t="n"/>
      <c r="E259" s="42" t="n"/>
      <c r="F259" s="42" t="n"/>
      <c r="G259" s="42" t="n"/>
      <c r="H259" s="42" t="n"/>
      <c r="I259" s="42" t="n"/>
      <c r="J259" s="42" t="n"/>
      <c r="K259" s="42" t="n"/>
      <c r="L259" s="42" t="n"/>
      <c r="M259" s="42" t="n"/>
      <c r="N259" s="42" t="n"/>
      <c r="O259" s="42" t="n"/>
      <c r="P259" s="42" t="n"/>
      <c r="Q259" s="43" t="n"/>
      <c r="R259" s="35" t="inlineStr">
        <is>
          <t>IF(AO259="","",AO259)</t>
        </is>
      </c>
      <c r="S259" s="44" t="n"/>
      <c r="T259" s="45" t="n"/>
      <c r="U259" s="44" t="n"/>
      <c r="V259" s="35" t="inlineStr">
        <is>
          <t>IF(U259&lt;&gt;"",U259,IF(OR(R259="",T259=""),"",EDATE(R259,T259)))</t>
        </is>
      </c>
      <c r="W259" s="44" t="n"/>
      <c r="X259" s="45" t="n"/>
      <c r="Y259" s="42" t="n"/>
      <c r="Z259" s="42" t="n"/>
      <c r="AA259" s="32" t="inlineStr">
        <is>
          <t>IF(E259="","",IF(COUNT(AG259:AT259)=0,IF(Y259="","Not started",Y259),SUBSTITUTE(LOOKUP(2,1/(AG259:AT259&lt;&gt;""),$AG$3:$AT$3),"Date: ","")))</t>
        </is>
      </c>
      <c r="AB259" s="38" t="inlineStr">
        <is>
          <t>IF(OR(E259="",COUNT(AG259:AT259)=0),"",TODAY()-LOOKUP(2,1/(AG259:AT259&lt;&gt;""),AG259:AT259))</t>
        </is>
      </c>
      <c r="AC259" s="38" t="inlineStr">
        <is>
          <t>IF(OR(E259="",COUNT(AG259:AT259)&lt;2),"",LOOKUP(2,1/(AG259:AT259&lt;&gt;""),AG259:AT259)-MIN(AG259:AT259))</t>
        </is>
      </c>
      <c r="AD259" s="38" t="inlineStr">
        <is>
          <t>IF(OR(AB259="",AA259="Not started",AA259=""),"",IFERROR(AB259-IF(VLOOKUP(AA259,'04_Status_Pipeline'!$B$3:$E$20,4,FALSE)="",0,VLOOKUP(AA259,'04_Status_Pipeline'!$B$3:$E$20,4,FALSE)),""))</t>
        </is>
      </c>
      <c r="AE259" s="32" t="inlineStr">
        <is>
          <t>IF(E259="","",IF(OR(Y259="Cancelled",AA259="Cancelled"),"Cancelled",IF(OR(AA259="Completed / Handover",W259&lt;&gt;"",X259&gt;=100),"Completed — on track",IF(L259="Remaining",IF(S259="",IF(V259="","No planned date",IF(TODAY()&gt;V259,"Behind — past planned date",IF(V259-TODAY()&lt;=30,"At risk — close to off track","On track"))),IF(TODAY()&gt;S259,"Behind — award date passed",IF(S259-TODAY()&lt;=30,"At risk — close to off track","On track"))),IF(V259="","No planned date",IF(AND(TODAY()&gt;V259,OR(X259="",X259&lt;100)),"Behind — past end date",IF(AND(R259&lt;&gt;"",V259&lt;&gt;"",X259&lt;&gt;"",(X259&lt;100),((TODAY()-R259)/MAX(V259-R259,1)*100)-X259&gt;15),"Behind — progress lag",IF(AND(V259-TODAY()&lt;=30,V259-TODAY()&gt;=0,OR(X259="",X259&lt;90)),"At risk — close to off track","On track"))))))))</t>
        </is>
      </c>
      <c r="AF259" s="38" t="inlineStr">
        <is>
          <t>IF(OR(E259="",AA259="Completed / Handover",AA259="Cancelled"),"",IF(L259="Remaining",IF(S259&lt;&gt;"",S259-TODAY(),IF(V259="","",V259-TODAY())),IF(V259="","",V259-TODAY())))</t>
        </is>
      </c>
      <c r="AG259" s="44" t="n"/>
      <c r="AH259" s="44" t="n"/>
      <c r="AI259" s="44" t="n"/>
      <c r="AJ259" s="44" t="n"/>
      <c r="AK259" s="44" t="n"/>
      <c r="AL259" s="44" t="n"/>
      <c r="AM259" s="44" t="n"/>
      <c r="AN259" s="44" t="n"/>
      <c r="AO259" s="44" t="n"/>
      <c r="AP259" s="44" t="n"/>
      <c r="AQ259" s="44" t="n"/>
      <c r="AR259" s="40" t="n"/>
      <c r="AS259" s="40" t="n"/>
      <c r="AT259" s="40" t="n"/>
      <c r="AU259" s="38" t="inlineStr">
        <is>
          <t>IF(OR(E259="",AH259=""),"",IF(COUNT(AG259:AG259)=0,"",AH259-LOOKUP(2,1/(AG259:AG259&lt;&gt;""),AG259:AG259)))</t>
        </is>
      </c>
      <c r="AV259" s="38" t="inlineStr">
        <is>
          <t>IF(OR(E259="",AI259=""),"",IF(COUNT(AG259:AH259)=0,"",AI259-LOOKUP(2,1/(AG259:AH259&lt;&gt;""),AG259:AH259)))</t>
        </is>
      </c>
      <c r="AW259" s="38" t="inlineStr">
        <is>
          <t>IF(OR(E259="",AJ259=""),"",IF(COUNT(AG259:AI259)=0,"",AJ259-LOOKUP(2,1/(AG259:AI259&lt;&gt;""),AG259:AI259)))</t>
        </is>
      </c>
      <c r="AX259" s="38" t="inlineStr">
        <is>
          <t>IF(OR(E259="",AK259=""),"",IF(COUNT(AG259:AJ259)=0,"",AK259-LOOKUP(2,1/(AG259:AJ259&lt;&gt;""),AG259:AJ259)))</t>
        </is>
      </c>
      <c r="AY259" s="38" t="inlineStr">
        <is>
          <t>IF(OR(E259="",AL259=""),"",IF(COUNT(AG259:AK259)=0,"",AL259-LOOKUP(2,1/(AG259:AK259&lt;&gt;""),AG259:AK259)))</t>
        </is>
      </c>
      <c r="AZ259" s="38" t="inlineStr">
        <is>
          <t>IF(OR(E259="",AM259=""),"",IF(COUNT(AG259:AL259)=0,"",AM259-LOOKUP(2,1/(AG259:AL259&lt;&gt;""),AG259:AL259)))</t>
        </is>
      </c>
      <c r="BA259" s="38" t="inlineStr">
        <is>
          <t>IF(OR(E259="",AN259=""),"",IF(COUNT(AG259:AM259)=0,"",AN259-LOOKUP(2,1/(AG259:AM259&lt;&gt;""),AG259:AM259)))</t>
        </is>
      </c>
      <c r="BB259" s="38" t="inlineStr">
        <is>
          <t>IF(OR(E259="",AO259=""),"",IF(COUNT(AG259:AN259)=0,"",AO259-LOOKUP(2,1/(AG259:AN259&lt;&gt;""),AG259:AN259)))</t>
        </is>
      </c>
      <c r="BC259" s="38" t="inlineStr">
        <is>
          <t>IF(OR(E259="",AP259=""),"",IF(COUNT(AG259:AO259)=0,"",AP259-LOOKUP(2,1/(AG259:AO259&lt;&gt;""),AG259:AO259)))</t>
        </is>
      </c>
      <c r="BD259" s="38" t="inlineStr">
        <is>
          <t>IF(OR(E259="",AQ259=""),"",IF(COUNT(AG259:AP259)=0,"",AQ259-LOOKUP(2,1/(AG259:AP259&lt;&gt;""),AG259:AP259)))</t>
        </is>
      </c>
      <c r="BE259" s="38" t="inlineStr">
        <is>
          <t>IF(OR(E259="",AR259=""),"",IF(COUNT(AG259:AQ259)=0,"",AR259-LOOKUP(2,1/(AG259:AQ259&lt;&gt;""),AG259:AQ259)))</t>
        </is>
      </c>
      <c r="BF259" s="38" t="inlineStr">
        <is>
          <t>IF(OR(E259="",AS259=""),"",IF(COUNT(AG259:AR259)=0,"",AS259-LOOKUP(2,1/(AG259:AR259&lt;&gt;""),AG259:AR259)))</t>
        </is>
      </c>
      <c r="BG259" s="38" t="inlineStr">
        <is>
          <t>IF(OR(E259="",AT259=""),"",IF(COUNT(AG259:AS259)=0,"",AT259-LOOKUP(2,1/(AG259:AS259&lt;&gt;""),AG259:AS259)))</t>
        </is>
      </c>
      <c r="BH259" s="41" t="inlineStr">
        <is>
          <t>IF(G259="","All_Provinces",IFERROR(VLOOKUP(G259,'07_Lookups'!$A$4:$B$20,2,FALSE),"All_Provinces"))</t>
        </is>
      </c>
      <c r="BI259" s="41" t="inlineStr">
        <is>
          <t>IF(H259="","All_Districts",IFERROR(VLOOKUP(H259,'07_Lookups'!$E$4:$F$42,2,FALSE),"All_Districts"))</t>
        </is>
      </c>
    </row>
    <row r="260" ht="18" customHeight="1">
      <c r="A260" s="32" t="inlineStr">
        <is>
          <t>IF(E260="","",ROW()-3)</t>
        </is>
      </c>
      <c r="B260" s="33" t="n"/>
      <c r="C260" s="33" t="n"/>
      <c r="D260" s="33" t="n"/>
      <c r="E260" s="33" t="n"/>
      <c r="F260" s="33" t="n"/>
      <c r="G260" s="33" t="n"/>
      <c r="H260" s="33" t="n"/>
      <c r="I260" s="33" t="n"/>
      <c r="J260" s="33" t="n"/>
      <c r="K260" s="33" t="n"/>
      <c r="L260" s="33" t="n"/>
      <c r="M260" s="33" t="n"/>
      <c r="N260" s="33" t="n"/>
      <c r="O260" s="33" t="n"/>
      <c r="P260" s="33" t="n"/>
      <c r="Q260" s="34" t="n"/>
      <c r="R260" s="35" t="inlineStr">
        <is>
          <t>IF(AO260="","",AO260)</t>
        </is>
      </c>
      <c r="S260" s="36" t="n"/>
      <c r="T260" s="37" t="n"/>
      <c r="U260" s="36" t="n"/>
      <c r="V260" s="35" t="inlineStr">
        <is>
          <t>IF(U260&lt;&gt;"",U260,IF(OR(R260="",T260=""),"",EDATE(R260,T260)))</t>
        </is>
      </c>
      <c r="W260" s="36" t="n"/>
      <c r="X260" s="37" t="n"/>
      <c r="Y260" s="33" t="n"/>
      <c r="Z260" s="33" t="n"/>
      <c r="AA260" s="32" t="inlineStr">
        <is>
          <t>IF(E260="","",IF(COUNT(AG260:AT260)=0,IF(Y260="","Not started",Y260),SUBSTITUTE(LOOKUP(2,1/(AG260:AT260&lt;&gt;""),$AG$3:$AT$3),"Date: ","")))</t>
        </is>
      </c>
      <c r="AB260" s="38" t="inlineStr">
        <is>
          <t>IF(OR(E260="",COUNT(AG260:AT260)=0),"",TODAY()-LOOKUP(2,1/(AG260:AT260&lt;&gt;""),AG260:AT260))</t>
        </is>
      </c>
      <c r="AC260" s="38" t="inlineStr">
        <is>
          <t>IF(OR(E260="",COUNT(AG260:AT260)&lt;2),"",LOOKUP(2,1/(AG260:AT260&lt;&gt;""),AG260:AT260)-MIN(AG260:AT260))</t>
        </is>
      </c>
      <c r="AD260" s="38" t="inlineStr">
        <is>
          <t>IF(OR(AB260="",AA260="Not started",AA260=""),"",IFERROR(AB260-IF(VLOOKUP(AA260,'04_Status_Pipeline'!$B$3:$E$20,4,FALSE)="",0,VLOOKUP(AA260,'04_Status_Pipeline'!$B$3:$E$20,4,FALSE)),""))</t>
        </is>
      </c>
      <c r="AE260" s="32" t="inlineStr">
        <is>
          <t>IF(E260="","",IF(OR(Y260="Cancelled",AA260="Cancelled"),"Cancelled",IF(OR(AA260="Completed / Handover",W260&lt;&gt;"",X260&gt;=100),"Completed — on track",IF(L260="Remaining",IF(S260="",IF(V260="","No planned date",IF(TODAY()&gt;V260,"Behind — past planned date",IF(V260-TODAY()&lt;=30,"At risk — close to off track","On track"))),IF(TODAY()&gt;S260,"Behind — award date passed",IF(S260-TODAY()&lt;=30,"At risk — close to off track","On track"))),IF(V260="","No planned date",IF(AND(TODAY()&gt;V260,OR(X260="",X260&lt;100)),"Behind — past end date",IF(AND(R260&lt;&gt;"",V260&lt;&gt;"",X260&lt;&gt;"",(X260&lt;100),((TODAY()-R260)/MAX(V260-R260,1)*100)-X260&gt;15),"Behind — progress lag",IF(AND(V260-TODAY()&lt;=30,V260-TODAY()&gt;=0,OR(X260="",X260&lt;90)),"At risk — close to off track","On track"))))))))</t>
        </is>
      </c>
      <c r="AF260" s="38" t="inlineStr">
        <is>
          <t>IF(OR(E260="",AA260="Completed / Handover",AA260="Cancelled"),"",IF(L260="Remaining",IF(S260&lt;&gt;"",S260-TODAY(),IF(V260="","",V260-TODAY())),IF(V260="","",V260-TODAY())))</t>
        </is>
      </c>
      <c r="AG260" s="36" t="n"/>
      <c r="AH260" s="36" t="n"/>
      <c r="AI260" s="36" t="n"/>
      <c r="AJ260" s="36" t="n"/>
      <c r="AK260" s="36" t="n"/>
      <c r="AL260" s="36" t="n"/>
      <c r="AM260" s="36" t="n"/>
      <c r="AN260" s="36" t="n"/>
      <c r="AO260" s="36" t="n"/>
      <c r="AP260" s="36" t="n"/>
      <c r="AQ260" s="36" t="n"/>
      <c r="AR260" s="40" t="n"/>
      <c r="AS260" s="40" t="n"/>
      <c r="AT260" s="40" t="n"/>
      <c r="AU260" s="38" t="inlineStr">
        <is>
          <t>IF(OR(E260="",AH260=""),"",IF(COUNT(AG260:AG260)=0,"",AH260-LOOKUP(2,1/(AG260:AG260&lt;&gt;""),AG260:AG260)))</t>
        </is>
      </c>
      <c r="AV260" s="38" t="inlineStr">
        <is>
          <t>IF(OR(E260="",AI260=""),"",IF(COUNT(AG260:AH260)=0,"",AI260-LOOKUP(2,1/(AG260:AH260&lt;&gt;""),AG260:AH260)))</t>
        </is>
      </c>
      <c r="AW260" s="38" t="inlineStr">
        <is>
          <t>IF(OR(E260="",AJ260=""),"",IF(COUNT(AG260:AI260)=0,"",AJ260-LOOKUP(2,1/(AG260:AI260&lt;&gt;""),AG260:AI260)))</t>
        </is>
      </c>
      <c r="AX260" s="38" t="inlineStr">
        <is>
          <t>IF(OR(E260="",AK260=""),"",IF(COUNT(AG260:AJ260)=0,"",AK260-LOOKUP(2,1/(AG260:AJ260&lt;&gt;""),AG260:AJ260)))</t>
        </is>
      </c>
      <c r="AY260" s="38" t="inlineStr">
        <is>
          <t>IF(OR(E260="",AL260=""),"",IF(COUNT(AG260:AK260)=0,"",AL260-LOOKUP(2,1/(AG260:AK260&lt;&gt;""),AG260:AK260)))</t>
        </is>
      </c>
      <c r="AZ260" s="38" t="inlineStr">
        <is>
          <t>IF(OR(E260="",AM260=""),"",IF(COUNT(AG260:AL260)=0,"",AM260-LOOKUP(2,1/(AG260:AL260&lt;&gt;""),AG260:AL260)))</t>
        </is>
      </c>
      <c r="BA260" s="38" t="inlineStr">
        <is>
          <t>IF(OR(E260="",AN260=""),"",IF(COUNT(AG260:AM260)=0,"",AN260-LOOKUP(2,1/(AG260:AM260&lt;&gt;""),AG260:AM260)))</t>
        </is>
      </c>
      <c r="BB260" s="38" t="inlineStr">
        <is>
          <t>IF(OR(E260="",AO260=""),"",IF(COUNT(AG260:AN260)=0,"",AO260-LOOKUP(2,1/(AG260:AN260&lt;&gt;""),AG260:AN260)))</t>
        </is>
      </c>
      <c r="BC260" s="38" t="inlineStr">
        <is>
          <t>IF(OR(E260="",AP260=""),"",IF(COUNT(AG260:AO260)=0,"",AP260-LOOKUP(2,1/(AG260:AO260&lt;&gt;""),AG260:AO260)))</t>
        </is>
      </c>
      <c r="BD260" s="38" t="inlineStr">
        <is>
          <t>IF(OR(E260="",AQ260=""),"",IF(COUNT(AG260:AP260)=0,"",AQ260-LOOKUP(2,1/(AG260:AP260&lt;&gt;""),AG260:AP260)))</t>
        </is>
      </c>
      <c r="BE260" s="38" t="inlineStr">
        <is>
          <t>IF(OR(E260="",AR260=""),"",IF(COUNT(AG260:AQ260)=0,"",AR260-LOOKUP(2,1/(AG260:AQ260&lt;&gt;""),AG260:AQ260)))</t>
        </is>
      </c>
      <c r="BF260" s="38" t="inlineStr">
        <is>
          <t>IF(OR(E260="",AS260=""),"",IF(COUNT(AG260:AR260)=0,"",AS260-LOOKUP(2,1/(AG260:AR260&lt;&gt;""),AG260:AR260)))</t>
        </is>
      </c>
      <c r="BG260" s="38" t="inlineStr">
        <is>
          <t>IF(OR(E260="",AT260=""),"",IF(COUNT(AG260:AS260)=0,"",AT260-LOOKUP(2,1/(AG260:AS260&lt;&gt;""),AG260:AS260)))</t>
        </is>
      </c>
      <c r="BH260" s="41" t="inlineStr">
        <is>
          <t>IF(G260="","All_Provinces",IFERROR(VLOOKUP(G260,'07_Lookups'!$A$4:$B$20,2,FALSE),"All_Provinces"))</t>
        </is>
      </c>
      <c r="BI260" s="41" t="inlineStr">
        <is>
          <t>IF(H260="","All_Districts",IFERROR(VLOOKUP(H260,'07_Lookups'!$E$4:$F$42,2,FALSE),"All_Districts"))</t>
        </is>
      </c>
    </row>
    <row r="261" ht="18" customHeight="1">
      <c r="A261" s="32" t="inlineStr">
        <is>
          <t>IF(E261="","",ROW()-3)</t>
        </is>
      </c>
      <c r="B261" s="42" t="n"/>
      <c r="C261" s="42" t="n"/>
      <c r="D261" s="42" t="n"/>
      <c r="E261" s="42" t="n"/>
      <c r="F261" s="42" t="n"/>
      <c r="G261" s="42" t="n"/>
      <c r="H261" s="42" t="n"/>
      <c r="I261" s="42" t="n"/>
      <c r="J261" s="42" t="n"/>
      <c r="K261" s="42" t="n"/>
      <c r="L261" s="42" t="n"/>
      <c r="M261" s="42" t="n"/>
      <c r="N261" s="42" t="n"/>
      <c r="O261" s="42" t="n"/>
      <c r="P261" s="42" t="n"/>
      <c r="Q261" s="43" t="n"/>
      <c r="R261" s="35" t="inlineStr">
        <is>
          <t>IF(AO261="","",AO261)</t>
        </is>
      </c>
      <c r="S261" s="44" t="n"/>
      <c r="T261" s="45" t="n"/>
      <c r="U261" s="44" t="n"/>
      <c r="V261" s="35" t="inlineStr">
        <is>
          <t>IF(U261&lt;&gt;"",U261,IF(OR(R261="",T261=""),"",EDATE(R261,T261)))</t>
        </is>
      </c>
      <c r="W261" s="44" t="n"/>
      <c r="X261" s="45" t="n"/>
      <c r="Y261" s="42" t="n"/>
      <c r="Z261" s="42" t="n"/>
      <c r="AA261" s="32" t="inlineStr">
        <is>
          <t>IF(E261="","",IF(COUNT(AG261:AT261)=0,IF(Y261="","Not started",Y261),SUBSTITUTE(LOOKUP(2,1/(AG261:AT261&lt;&gt;""),$AG$3:$AT$3),"Date: ","")))</t>
        </is>
      </c>
      <c r="AB261" s="38" t="inlineStr">
        <is>
          <t>IF(OR(E261="",COUNT(AG261:AT261)=0),"",TODAY()-LOOKUP(2,1/(AG261:AT261&lt;&gt;""),AG261:AT261))</t>
        </is>
      </c>
      <c r="AC261" s="38" t="inlineStr">
        <is>
          <t>IF(OR(E261="",COUNT(AG261:AT261)&lt;2),"",LOOKUP(2,1/(AG261:AT261&lt;&gt;""),AG261:AT261)-MIN(AG261:AT261))</t>
        </is>
      </c>
      <c r="AD261" s="38" t="inlineStr">
        <is>
          <t>IF(OR(AB261="",AA261="Not started",AA261=""),"",IFERROR(AB261-IF(VLOOKUP(AA261,'04_Status_Pipeline'!$B$3:$E$20,4,FALSE)="",0,VLOOKUP(AA261,'04_Status_Pipeline'!$B$3:$E$20,4,FALSE)),""))</t>
        </is>
      </c>
      <c r="AE261" s="32" t="inlineStr">
        <is>
          <t>IF(E261="","",IF(OR(Y261="Cancelled",AA261="Cancelled"),"Cancelled",IF(OR(AA261="Completed / Handover",W261&lt;&gt;"",X261&gt;=100),"Completed — on track",IF(L261="Remaining",IF(S261="",IF(V261="","No planned date",IF(TODAY()&gt;V261,"Behind — past planned date",IF(V261-TODAY()&lt;=30,"At risk — close to off track","On track"))),IF(TODAY()&gt;S261,"Behind — award date passed",IF(S261-TODAY()&lt;=30,"At risk — close to off track","On track"))),IF(V261="","No planned date",IF(AND(TODAY()&gt;V261,OR(X261="",X261&lt;100)),"Behind — past end date",IF(AND(R261&lt;&gt;"",V261&lt;&gt;"",X261&lt;&gt;"",(X261&lt;100),((TODAY()-R261)/MAX(V261-R261,1)*100)-X261&gt;15),"Behind — progress lag",IF(AND(V261-TODAY()&lt;=30,V261-TODAY()&gt;=0,OR(X261="",X261&lt;90)),"At risk — close to off track","On track"))))))))</t>
        </is>
      </c>
      <c r="AF261" s="38" t="inlineStr">
        <is>
          <t>IF(OR(E261="",AA261="Completed / Handover",AA261="Cancelled"),"",IF(L261="Remaining",IF(S261&lt;&gt;"",S261-TODAY(),IF(V261="","",V261-TODAY())),IF(V261="","",V261-TODAY())))</t>
        </is>
      </c>
      <c r="AG261" s="44" t="n"/>
      <c r="AH261" s="44" t="n"/>
      <c r="AI261" s="44" t="n"/>
      <c r="AJ261" s="44" t="n"/>
      <c r="AK261" s="44" t="n"/>
      <c r="AL261" s="44" t="n"/>
      <c r="AM261" s="44" t="n"/>
      <c r="AN261" s="44" t="n"/>
      <c r="AO261" s="44" t="n"/>
      <c r="AP261" s="44" t="n"/>
      <c r="AQ261" s="44" t="n"/>
      <c r="AR261" s="40" t="n"/>
      <c r="AS261" s="40" t="n"/>
      <c r="AT261" s="40" t="n"/>
      <c r="AU261" s="38" t="inlineStr">
        <is>
          <t>IF(OR(E261="",AH261=""),"",IF(COUNT(AG261:AG261)=0,"",AH261-LOOKUP(2,1/(AG261:AG261&lt;&gt;""),AG261:AG261)))</t>
        </is>
      </c>
      <c r="AV261" s="38" t="inlineStr">
        <is>
          <t>IF(OR(E261="",AI261=""),"",IF(COUNT(AG261:AH261)=0,"",AI261-LOOKUP(2,1/(AG261:AH261&lt;&gt;""),AG261:AH261)))</t>
        </is>
      </c>
      <c r="AW261" s="38" t="inlineStr">
        <is>
          <t>IF(OR(E261="",AJ261=""),"",IF(COUNT(AG261:AI261)=0,"",AJ261-LOOKUP(2,1/(AG261:AI261&lt;&gt;""),AG261:AI261)))</t>
        </is>
      </c>
      <c r="AX261" s="38" t="inlineStr">
        <is>
          <t>IF(OR(E261="",AK261=""),"",IF(COUNT(AG261:AJ261)=0,"",AK261-LOOKUP(2,1/(AG261:AJ261&lt;&gt;""),AG261:AJ261)))</t>
        </is>
      </c>
      <c r="AY261" s="38" t="inlineStr">
        <is>
          <t>IF(OR(E261="",AL261=""),"",IF(COUNT(AG261:AK261)=0,"",AL261-LOOKUP(2,1/(AG261:AK261&lt;&gt;""),AG261:AK261)))</t>
        </is>
      </c>
      <c r="AZ261" s="38" t="inlineStr">
        <is>
          <t>IF(OR(E261="",AM261=""),"",IF(COUNT(AG261:AL261)=0,"",AM261-LOOKUP(2,1/(AG261:AL261&lt;&gt;""),AG261:AL261)))</t>
        </is>
      </c>
      <c r="BA261" s="38" t="inlineStr">
        <is>
          <t>IF(OR(E261="",AN261=""),"",IF(COUNT(AG261:AM261)=0,"",AN261-LOOKUP(2,1/(AG261:AM261&lt;&gt;""),AG261:AM261)))</t>
        </is>
      </c>
      <c r="BB261" s="38" t="inlineStr">
        <is>
          <t>IF(OR(E261="",AO261=""),"",IF(COUNT(AG261:AN261)=0,"",AO261-LOOKUP(2,1/(AG261:AN261&lt;&gt;""),AG261:AN261)))</t>
        </is>
      </c>
      <c r="BC261" s="38" t="inlineStr">
        <is>
          <t>IF(OR(E261="",AP261=""),"",IF(COUNT(AG261:AO261)=0,"",AP261-LOOKUP(2,1/(AG261:AO261&lt;&gt;""),AG261:AO261)))</t>
        </is>
      </c>
      <c r="BD261" s="38" t="inlineStr">
        <is>
          <t>IF(OR(E261="",AQ261=""),"",IF(COUNT(AG261:AP261)=0,"",AQ261-LOOKUP(2,1/(AG261:AP261&lt;&gt;""),AG261:AP261)))</t>
        </is>
      </c>
      <c r="BE261" s="38" t="inlineStr">
        <is>
          <t>IF(OR(E261="",AR261=""),"",IF(COUNT(AG261:AQ261)=0,"",AR261-LOOKUP(2,1/(AG261:AQ261&lt;&gt;""),AG261:AQ261)))</t>
        </is>
      </c>
      <c r="BF261" s="38" t="inlineStr">
        <is>
          <t>IF(OR(E261="",AS261=""),"",IF(COUNT(AG261:AR261)=0,"",AS261-LOOKUP(2,1/(AG261:AR261&lt;&gt;""),AG261:AR261)))</t>
        </is>
      </c>
      <c r="BG261" s="38" t="inlineStr">
        <is>
          <t>IF(OR(E261="",AT261=""),"",IF(COUNT(AG261:AS261)=0,"",AT261-LOOKUP(2,1/(AG261:AS261&lt;&gt;""),AG261:AS261)))</t>
        </is>
      </c>
      <c r="BH261" s="41" t="inlineStr">
        <is>
          <t>IF(G261="","All_Provinces",IFERROR(VLOOKUP(G261,'07_Lookups'!$A$4:$B$20,2,FALSE),"All_Provinces"))</t>
        </is>
      </c>
      <c r="BI261" s="41" t="inlineStr">
        <is>
          <t>IF(H261="","All_Districts",IFERROR(VLOOKUP(H261,'07_Lookups'!$E$4:$F$42,2,FALSE),"All_Districts"))</t>
        </is>
      </c>
    </row>
    <row r="262" ht="18" customHeight="1">
      <c r="A262" s="32" t="inlineStr">
        <is>
          <t>IF(E262="","",ROW()-3)</t>
        </is>
      </c>
      <c r="B262" s="33" t="n"/>
      <c r="C262" s="33" t="n"/>
      <c r="D262" s="33" t="n"/>
      <c r="E262" s="33" t="n"/>
      <c r="F262" s="33" t="n"/>
      <c r="G262" s="33" t="n"/>
      <c r="H262" s="33" t="n"/>
      <c r="I262" s="33" t="n"/>
      <c r="J262" s="33" t="n"/>
      <c r="K262" s="33" t="n"/>
      <c r="L262" s="33" t="n"/>
      <c r="M262" s="33" t="n"/>
      <c r="N262" s="33" t="n"/>
      <c r="O262" s="33" t="n"/>
      <c r="P262" s="33" t="n"/>
      <c r="Q262" s="34" t="n"/>
      <c r="R262" s="35" t="inlineStr">
        <is>
          <t>IF(AO262="","",AO262)</t>
        </is>
      </c>
      <c r="S262" s="36" t="n"/>
      <c r="T262" s="37" t="n"/>
      <c r="U262" s="36" t="n"/>
      <c r="V262" s="35" t="inlineStr">
        <is>
          <t>IF(U262&lt;&gt;"",U262,IF(OR(R262="",T262=""),"",EDATE(R262,T262)))</t>
        </is>
      </c>
      <c r="W262" s="36" t="n"/>
      <c r="X262" s="37" t="n"/>
      <c r="Y262" s="33" t="n"/>
      <c r="Z262" s="33" t="n"/>
      <c r="AA262" s="32" t="inlineStr">
        <is>
          <t>IF(E262="","",IF(COUNT(AG262:AT262)=0,IF(Y262="","Not started",Y262),SUBSTITUTE(LOOKUP(2,1/(AG262:AT262&lt;&gt;""),$AG$3:$AT$3),"Date: ","")))</t>
        </is>
      </c>
      <c r="AB262" s="38" t="inlineStr">
        <is>
          <t>IF(OR(E262="",COUNT(AG262:AT262)=0),"",TODAY()-LOOKUP(2,1/(AG262:AT262&lt;&gt;""),AG262:AT262))</t>
        </is>
      </c>
      <c r="AC262" s="38" t="inlineStr">
        <is>
          <t>IF(OR(E262="",COUNT(AG262:AT262)&lt;2),"",LOOKUP(2,1/(AG262:AT262&lt;&gt;""),AG262:AT262)-MIN(AG262:AT262))</t>
        </is>
      </c>
      <c r="AD262" s="38" t="inlineStr">
        <is>
          <t>IF(OR(AB262="",AA262="Not started",AA262=""),"",IFERROR(AB262-IF(VLOOKUP(AA262,'04_Status_Pipeline'!$B$3:$E$20,4,FALSE)="",0,VLOOKUP(AA262,'04_Status_Pipeline'!$B$3:$E$20,4,FALSE)),""))</t>
        </is>
      </c>
      <c r="AE262" s="32" t="inlineStr">
        <is>
          <t>IF(E262="","",IF(OR(Y262="Cancelled",AA262="Cancelled"),"Cancelled",IF(OR(AA262="Completed / Handover",W262&lt;&gt;"",X262&gt;=100),"Completed — on track",IF(L262="Remaining",IF(S262="",IF(V262="","No planned date",IF(TODAY()&gt;V262,"Behind — past planned date",IF(V262-TODAY()&lt;=30,"At risk — close to off track","On track"))),IF(TODAY()&gt;S262,"Behind — award date passed",IF(S262-TODAY()&lt;=30,"At risk — close to off track","On track"))),IF(V262="","No planned date",IF(AND(TODAY()&gt;V262,OR(X262="",X262&lt;100)),"Behind — past end date",IF(AND(R262&lt;&gt;"",V262&lt;&gt;"",X262&lt;&gt;"",(X262&lt;100),((TODAY()-R262)/MAX(V262-R262,1)*100)-X262&gt;15),"Behind — progress lag",IF(AND(V262-TODAY()&lt;=30,V262-TODAY()&gt;=0,OR(X262="",X262&lt;90)),"At risk — close to off track","On track"))))))))</t>
        </is>
      </c>
      <c r="AF262" s="38" t="inlineStr">
        <is>
          <t>IF(OR(E262="",AA262="Completed / Handover",AA262="Cancelled"),"",IF(L262="Remaining",IF(S262&lt;&gt;"",S262-TODAY(),IF(V262="","",V262-TODAY())),IF(V262="","",V262-TODAY())))</t>
        </is>
      </c>
      <c r="AG262" s="36" t="n"/>
      <c r="AH262" s="36" t="n"/>
      <c r="AI262" s="36" t="n"/>
      <c r="AJ262" s="36" t="n"/>
      <c r="AK262" s="36" t="n"/>
      <c r="AL262" s="36" t="n"/>
      <c r="AM262" s="36" t="n"/>
      <c r="AN262" s="36" t="n"/>
      <c r="AO262" s="36" t="n"/>
      <c r="AP262" s="36" t="n"/>
      <c r="AQ262" s="36" t="n"/>
      <c r="AR262" s="40" t="n"/>
      <c r="AS262" s="40" t="n"/>
      <c r="AT262" s="40" t="n"/>
      <c r="AU262" s="38" t="inlineStr">
        <is>
          <t>IF(OR(E262="",AH262=""),"",IF(COUNT(AG262:AG262)=0,"",AH262-LOOKUP(2,1/(AG262:AG262&lt;&gt;""),AG262:AG262)))</t>
        </is>
      </c>
      <c r="AV262" s="38" t="inlineStr">
        <is>
          <t>IF(OR(E262="",AI262=""),"",IF(COUNT(AG262:AH262)=0,"",AI262-LOOKUP(2,1/(AG262:AH262&lt;&gt;""),AG262:AH262)))</t>
        </is>
      </c>
      <c r="AW262" s="38" t="inlineStr">
        <is>
          <t>IF(OR(E262="",AJ262=""),"",IF(COUNT(AG262:AI262)=0,"",AJ262-LOOKUP(2,1/(AG262:AI262&lt;&gt;""),AG262:AI262)))</t>
        </is>
      </c>
      <c r="AX262" s="38" t="inlineStr">
        <is>
          <t>IF(OR(E262="",AK262=""),"",IF(COUNT(AG262:AJ262)=0,"",AK262-LOOKUP(2,1/(AG262:AJ262&lt;&gt;""),AG262:AJ262)))</t>
        </is>
      </c>
      <c r="AY262" s="38" t="inlineStr">
        <is>
          <t>IF(OR(E262="",AL262=""),"",IF(COUNT(AG262:AK262)=0,"",AL262-LOOKUP(2,1/(AG262:AK262&lt;&gt;""),AG262:AK262)))</t>
        </is>
      </c>
      <c r="AZ262" s="38" t="inlineStr">
        <is>
          <t>IF(OR(E262="",AM262=""),"",IF(COUNT(AG262:AL262)=0,"",AM262-LOOKUP(2,1/(AG262:AL262&lt;&gt;""),AG262:AL262)))</t>
        </is>
      </c>
      <c r="BA262" s="38" t="inlineStr">
        <is>
          <t>IF(OR(E262="",AN262=""),"",IF(COUNT(AG262:AM262)=0,"",AN262-LOOKUP(2,1/(AG262:AM262&lt;&gt;""),AG262:AM262)))</t>
        </is>
      </c>
      <c r="BB262" s="38" t="inlineStr">
        <is>
          <t>IF(OR(E262="",AO262=""),"",IF(COUNT(AG262:AN262)=0,"",AO262-LOOKUP(2,1/(AG262:AN262&lt;&gt;""),AG262:AN262)))</t>
        </is>
      </c>
      <c r="BC262" s="38" t="inlineStr">
        <is>
          <t>IF(OR(E262="",AP262=""),"",IF(COUNT(AG262:AO262)=0,"",AP262-LOOKUP(2,1/(AG262:AO262&lt;&gt;""),AG262:AO262)))</t>
        </is>
      </c>
      <c r="BD262" s="38" t="inlineStr">
        <is>
          <t>IF(OR(E262="",AQ262=""),"",IF(COUNT(AG262:AP262)=0,"",AQ262-LOOKUP(2,1/(AG262:AP262&lt;&gt;""),AG262:AP262)))</t>
        </is>
      </c>
      <c r="BE262" s="38" t="inlineStr">
        <is>
          <t>IF(OR(E262="",AR262=""),"",IF(COUNT(AG262:AQ262)=0,"",AR262-LOOKUP(2,1/(AG262:AQ262&lt;&gt;""),AG262:AQ262)))</t>
        </is>
      </c>
      <c r="BF262" s="38" t="inlineStr">
        <is>
          <t>IF(OR(E262="",AS262=""),"",IF(COUNT(AG262:AR262)=0,"",AS262-LOOKUP(2,1/(AG262:AR262&lt;&gt;""),AG262:AR262)))</t>
        </is>
      </c>
      <c r="BG262" s="38" t="inlineStr">
        <is>
          <t>IF(OR(E262="",AT262=""),"",IF(COUNT(AG262:AS262)=0,"",AT262-LOOKUP(2,1/(AG262:AS262&lt;&gt;""),AG262:AS262)))</t>
        </is>
      </c>
      <c r="BH262" s="41" t="inlineStr">
        <is>
          <t>IF(G262="","All_Provinces",IFERROR(VLOOKUP(G262,'07_Lookups'!$A$4:$B$20,2,FALSE),"All_Provinces"))</t>
        </is>
      </c>
      <c r="BI262" s="41" t="inlineStr">
        <is>
          <t>IF(H262="","All_Districts",IFERROR(VLOOKUP(H262,'07_Lookups'!$E$4:$F$42,2,FALSE),"All_Districts"))</t>
        </is>
      </c>
    </row>
    <row r="263" ht="18" customHeight="1">
      <c r="A263" s="32" t="inlineStr">
        <is>
          <t>IF(E263="","",ROW()-3)</t>
        </is>
      </c>
      <c r="B263" s="42" t="n"/>
      <c r="C263" s="42" t="n"/>
      <c r="D263" s="42" t="n"/>
      <c r="E263" s="42" t="n"/>
      <c r="F263" s="42" t="n"/>
      <c r="G263" s="42" t="n"/>
      <c r="H263" s="42" t="n"/>
      <c r="I263" s="42" t="n"/>
      <c r="J263" s="42" t="n"/>
      <c r="K263" s="42" t="n"/>
      <c r="L263" s="42" t="n"/>
      <c r="M263" s="42" t="n"/>
      <c r="N263" s="42" t="n"/>
      <c r="O263" s="42" t="n"/>
      <c r="P263" s="42" t="n"/>
      <c r="Q263" s="43" t="n"/>
      <c r="R263" s="35" t="inlineStr">
        <is>
          <t>IF(AO263="","",AO263)</t>
        </is>
      </c>
      <c r="S263" s="44" t="n"/>
      <c r="T263" s="45" t="n"/>
      <c r="U263" s="44" t="n"/>
      <c r="V263" s="35" t="inlineStr">
        <is>
          <t>IF(U263&lt;&gt;"",U263,IF(OR(R263="",T263=""),"",EDATE(R263,T263)))</t>
        </is>
      </c>
      <c r="W263" s="44" t="n"/>
      <c r="X263" s="45" t="n"/>
      <c r="Y263" s="42" t="n"/>
      <c r="Z263" s="42" t="n"/>
      <c r="AA263" s="32" t="inlineStr">
        <is>
          <t>IF(E263="","",IF(COUNT(AG263:AT263)=0,IF(Y263="","Not started",Y263),SUBSTITUTE(LOOKUP(2,1/(AG263:AT263&lt;&gt;""),$AG$3:$AT$3),"Date: ","")))</t>
        </is>
      </c>
      <c r="AB263" s="38" t="inlineStr">
        <is>
          <t>IF(OR(E263="",COUNT(AG263:AT263)=0),"",TODAY()-LOOKUP(2,1/(AG263:AT263&lt;&gt;""),AG263:AT263))</t>
        </is>
      </c>
      <c r="AC263" s="38" t="inlineStr">
        <is>
          <t>IF(OR(E263="",COUNT(AG263:AT263)&lt;2),"",LOOKUP(2,1/(AG263:AT263&lt;&gt;""),AG263:AT263)-MIN(AG263:AT263))</t>
        </is>
      </c>
      <c r="AD263" s="38" t="inlineStr">
        <is>
          <t>IF(OR(AB263="",AA263="Not started",AA263=""),"",IFERROR(AB263-IF(VLOOKUP(AA263,'04_Status_Pipeline'!$B$3:$E$20,4,FALSE)="",0,VLOOKUP(AA263,'04_Status_Pipeline'!$B$3:$E$20,4,FALSE)),""))</t>
        </is>
      </c>
      <c r="AE263" s="32" t="inlineStr">
        <is>
          <t>IF(E263="","",IF(OR(Y263="Cancelled",AA263="Cancelled"),"Cancelled",IF(OR(AA263="Completed / Handover",W263&lt;&gt;"",X263&gt;=100),"Completed — on track",IF(L263="Remaining",IF(S263="",IF(V263="","No planned date",IF(TODAY()&gt;V263,"Behind — past planned date",IF(V263-TODAY()&lt;=30,"At risk — close to off track","On track"))),IF(TODAY()&gt;S263,"Behind — award date passed",IF(S263-TODAY()&lt;=30,"At risk — close to off track","On track"))),IF(V263="","No planned date",IF(AND(TODAY()&gt;V263,OR(X263="",X263&lt;100)),"Behind — past end date",IF(AND(R263&lt;&gt;"",V263&lt;&gt;"",X263&lt;&gt;"",(X263&lt;100),((TODAY()-R263)/MAX(V263-R263,1)*100)-X263&gt;15),"Behind — progress lag",IF(AND(V263-TODAY()&lt;=30,V263-TODAY()&gt;=0,OR(X263="",X263&lt;90)),"At risk — close to off track","On track"))))))))</t>
        </is>
      </c>
      <c r="AF263" s="38" t="inlineStr">
        <is>
          <t>IF(OR(E263="",AA263="Completed / Handover",AA263="Cancelled"),"",IF(L263="Remaining",IF(S263&lt;&gt;"",S263-TODAY(),IF(V263="","",V263-TODAY())),IF(V263="","",V263-TODAY())))</t>
        </is>
      </c>
      <c r="AG263" s="44" t="n"/>
      <c r="AH263" s="44" t="n"/>
      <c r="AI263" s="44" t="n"/>
      <c r="AJ263" s="44" t="n"/>
      <c r="AK263" s="44" t="n"/>
      <c r="AL263" s="44" t="n"/>
      <c r="AM263" s="44" t="n"/>
      <c r="AN263" s="44" t="n"/>
      <c r="AO263" s="44" t="n"/>
      <c r="AP263" s="44" t="n"/>
      <c r="AQ263" s="44" t="n"/>
      <c r="AR263" s="40" t="n"/>
      <c r="AS263" s="40" t="n"/>
      <c r="AT263" s="40" t="n"/>
      <c r="AU263" s="38" t="inlineStr">
        <is>
          <t>IF(OR(E263="",AH263=""),"",IF(COUNT(AG263:AG263)=0,"",AH263-LOOKUP(2,1/(AG263:AG263&lt;&gt;""),AG263:AG263)))</t>
        </is>
      </c>
      <c r="AV263" s="38" t="inlineStr">
        <is>
          <t>IF(OR(E263="",AI263=""),"",IF(COUNT(AG263:AH263)=0,"",AI263-LOOKUP(2,1/(AG263:AH263&lt;&gt;""),AG263:AH263)))</t>
        </is>
      </c>
      <c r="AW263" s="38" t="inlineStr">
        <is>
          <t>IF(OR(E263="",AJ263=""),"",IF(COUNT(AG263:AI263)=0,"",AJ263-LOOKUP(2,1/(AG263:AI263&lt;&gt;""),AG263:AI263)))</t>
        </is>
      </c>
      <c r="AX263" s="38" t="inlineStr">
        <is>
          <t>IF(OR(E263="",AK263=""),"",IF(COUNT(AG263:AJ263)=0,"",AK263-LOOKUP(2,1/(AG263:AJ263&lt;&gt;""),AG263:AJ263)))</t>
        </is>
      </c>
      <c r="AY263" s="38" t="inlineStr">
        <is>
          <t>IF(OR(E263="",AL263=""),"",IF(COUNT(AG263:AK263)=0,"",AL263-LOOKUP(2,1/(AG263:AK263&lt;&gt;""),AG263:AK263)))</t>
        </is>
      </c>
      <c r="AZ263" s="38" t="inlineStr">
        <is>
          <t>IF(OR(E263="",AM263=""),"",IF(COUNT(AG263:AL263)=0,"",AM263-LOOKUP(2,1/(AG263:AL263&lt;&gt;""),AG263:AL263)))</t>
        </is>
      </c>
      <c r="BA263" s="38" t="inlineStr">
        <is>
          <t>IF(OR(E263="",AN263=""),"",IF(COUNT(AG263:AM263)=0,"",AN263-LOOKUP(2,1/(AG263:AM263&lt;&gt;""),AG263:AM263)))</t>
        </is>
      </c>
      <c r="BB263" s="38" t="inlineStr">
        <is>
          <t>IF(OR(E263="",AO263=""),"",IF(COUNT(AG263:AN263)=0,"",AO263-LOOKUP(2,1/(AG263:AN263&lt;&gt;""),AG263:AN263)))</t>
        </is>
      </c>
      <c r="BC263" s="38" t="inlineStr">
        <is>
          <t>IF(OR(E263="",AP263=""),"",IF(COUNT(AG263:AO263)=0,"",AP263-LOOKUP(2,1/(AG263:AO263&lt;&gt;""),AG263:AO263)))</t>
        </is>
      </c>
      <c r="BD263" s="38" t="inlineStr">
        <is>
          <t>IF(OR(E263="",AQ263=""),"",IF(COUNT(AG263:AP263)=0,"",AQ263-LOOKUP(2,1/(AG263:AP263&lt;&gt;""),AG263:AP263)))</t>
        </is>
      </c>
      <c r="BE263" s="38" t="inlineStr">
        <is>
          <t>IF(OR(E263="",AR263=""),"",IF(COUNT(AG263:AQ263)=0,"",AR263-LOOKUP(2,1/(AG263:AQ263&lt;&gt;""),AG263:AQ263)))</t>
        </is>
      </c>
      <c r="BF263" s="38" t="inlineStr">
        <is>
          <t>IF(OR(E263="",AS263=""),"",IF(COUNT(AG263:AR263)=0,"",AS263-LOOKUP(2,1/(AG263:AR263&lt;&gt;""),AG263:AR263)))</t>
        </is>
      </c>
      <c r="BG263" s="38" t="inlineStr">
        <is>
          <t>IF(OR(E263="",AT263=""),"",IF(COUNT(AG263:AS263)=0,"",AT263-LOOKUP(2,1/(AG263:AS263&lt;&gt;""),AG263:AS263)))</t>
        </is>
      </c>
      <c r="BH263" s="41" t="inlineStr">
        <is>
          <t>IF(G263="","All_Provinces",IFERROR(VLOOKUP(G263,'07_Lookups'!$A$4:$B$20,2,FALSE),"All_Provinces"))</t>
        </is>
      </c>
      <c r="BI263" s="41" t="inlineStr">
        <is>
          <t>IF(H263="","All_Districts",IFERROR(VLOOKUP(H263,'07_Lookups'!$E$4:$F$42,2,FALSE),"All_Districts"))</t>
        </is>
      </c>
    </row>
    <row r="264" ht="18" customHeight="1">
      <c r="A264" s="32" t="inlineStr">
        <is>
          <t>IF(E264="","",ROW()-3)</t>
        </is>
      </c>
      <c r="B264" s="33" t="n"/>
      <c r="C264" s="33" t="n"/>
      <c r="D264" s="33" t="n"/>
      <c r="E264" s="33" t="n"/>
      <c r="F264" s="33" t="n"/>
      <c r="G264" s="33" t="n"/>
      <c r="H264" s="33" t="n"/>
      <c r="I264" s="33" t="n"/>
      <c r="J264" s="33" t="n"/>
      <c r="K264" s="33" t="n"/>
      <c r="L264" s="33" t="n"/>
      <c r="M264" s="33" t="n"/>
      <c r="N264" s="33" t="n"/>
      <c r="O264" s="33" t="n"/>
      <c r="P264" s="33" t="n"/>
      <c r="Q264" s="34" t="n"/>
      <c r="R264" s="35" t="inlineStr">
        <is>
          <t>IF(AO264="","",AO264)</t>
        </is>
      </c>
      <c r="S264" s="36" t="n"/>
      <c r="T264" s="37" t="n"/>
      <c r="U264" s="36" t="n"/>
      <c r="V264" s="35" t="inlineStr">
        <is>
          <t>IF(U264&lt;&gt;"",U264,IF(OR(R264="",T264=""),"",EDATE(R264,T264)))</t>
        </is>
      </c>
      <c r="W264" s="36" t="n"/>
      <c r="X264" s="37" t="n"/>
      <c r="Y264" s="33" t="n"/>
      <c r="Z264" s="33" t="n"/>
      <c r="AA264" s="32" t="inlineStr">
        <is>
          <t>IF(E264="","",IF(COUNT(AG264:AT264)=0,IF(Y264="","Not started",Y264),SUBSTITUTE(LOOKUP(2,1/(AG264:AT264&lt;&gt;""),$AG$3:$AT$3),"Date: ","")))</t>
        </is>
      </c>
      <c r="AB264" s="38" t="inlineStr">
        <is>
          <t>IF(OR(E264="",COUNT(AG264:AT264)=0),"",TODAY()-LOOKUP(2,1/(AG264:AT264&lt;&gt;""),AG264:AT264))</t>
        </is>
      </c>
      <c r="AC264" s="38" t="inlineStr">
        <is>
          <t>IF(OR(E264="",COUNT(AG264:AT264)&lt;2),"",LOOKUP(2,1/(AG264:AT264&lt;&gt;""),AG264:AT264)-MIN(AG264:AT264))</t>
        </is>
      </c>
      <c r="AD264" s="38" t="inlineStr">
        <is>
          <t>IF(OR(AB264="",AA264="Not started",AA264=""),"",IFERROR(AB264-IF(VLOOKUP(AA264,'04_Status_Pipeline'!$B$3:$E$20,4,FALSE)="",0,VLOOKUP(AA264,'04_Status_Pipeline'!$B$3:$E$20,4,FALSE)),""))</t>
        </is>
      </c>
      <c r="AE264" s="32" t="inlineStr">
        <is>
          <t>IF(E264="","",IF(OR(Y264="Cancelled",AA264="Cancelled"),"Cancelled",IF(OR(AA264="Completed / Handover",W264&lt;&gt;"",X264&gt;=100),"Completed — on track",IF(L264="Remaining",IF(S264="",IF(V264="","No planned date",IF(TODAY()&gt;V264,"Behind — past planned date",IF(V264-TODAY()&lt;=30,"At risk — close to off track","On track"))),IF(TODAY()&gt;S264,"Behind — award date passed",IF(S264-TODAY()&lt;=30,"At risk — close to off track","On track"))),IF(V264="","No planned date",IF(AND(TODAY()&gt;V264,OR(X264="",X264&lt;100)),"Behind — past end date",IF(AND(R264&lt;&gt;"",V264&lt;&gt;"",X264&lt;&gt;"",(X264&lt;100),((TODAY()-R264)/MAX(V264-R264,1)*100)-X264&gt;15),"Behind — progress lag",IF(AND(V264-TODAY()&lt;=30,V264-TODAY()&gt;=0,OR(X264="",X264&lt;90)),"At risk — close to off track","On track"))))))))</t>
        </is>
      </c>
      <c r="AF264" s="38" t="inlineStr">
        <is>
          <t>IF(OR(E264="",AA264="Completed / Handover",AA264="Cancelled"),"",IF(L264="Remaining",IF(S264&lt;&gt;"",S264-TODAY(),IF(V264="","",V264-TODAY())),IF(V264="","",V264-TODAY())))</t>
        </is>
      </c>
      <c r="AG264" s="36" t="n"/>
      <c r="AH264" s="36" t="n"/>
      <c r="AI264" s="36" t="n"/>
      <c r="AJ264" s="36" t="n"/>
      <c r="AK264" s="36" t="n"/>
      <c r="AL264" s="36" t="n"/>
      <c r="AM264" s="36" t="n"/>
      <c r="AN264" s="36" t="n"/>
      <c r="AO264" s="36" t="n"/>
      <c r="AP264" s="36" t="n"/>
      <c r="AQ264" s="36" t="n"/>
      <c r="AR264" s="40" t="n"/>
      <c r="AS264" s="40" t="n"/>
      <c r="AT264" s="40" t="n"/>
      <c r="AU264" s="38" t="inlineStr">
        <is>
          <t>IF(OR(E264="",AH264=""),"",IF(COUNT(AG264:AG264)=0,"",AH264-LOOKUP(2,1/(AG264:AG264&lt;&gt;""),AG264:AG264)))</t>
        </is>
      </c>
      <c r="AV264" s="38" t="inlineStr">
        <is>
          <t>IF(OR(E264="",AI264=""),"",IF(COUNT(AG264:AH264)=0,"",AI264-LOOKUP(2,1/(AG264:AH264&lt;&gt;""),AG264:AH264)))</t>
        </is>
      </c>
      <c r="AW264" s="38" t="inlineStr">
        <is>
          <t>IF(OR(E264="",AJ264=""),"",IF(COUNT(AG264:AI264)=0,"",AJ264-LOOKUP(2,1/(AG264:AI264&lt;&gt;""),AG264:AI264)))</t>
        </is>
      </c>
      <c r="AX264" s="38" t="inlineStr">
        <is>
          <t>IF(OR(E264="",AK264=""),"",IF(COUNT(AG264:AJ264)=0,"",AK264-LOOKUP(2,1/(AG264:AJ264&lt;&gt;""),AG264:AJ264)))</t>
        </is>
      </c>
      <c r="AY264" s="38" t="inlineStr">
        <is>
          <t>IF(OR(E264="",AL264=""),"",IF(COUNT(AG264:AK264)=0,"",AL264-LOOKUP(2,1/(AG264:AK264&lt;&gt;""),AG264:AK264)))</t>
        </is>
      </c>
      <c r="AZ264" s="38" t="inlineStr">
        <is>
          <t>IF(OR(E264="",AM264=""),"",IF(COUNT(AG264:AL264)=0,"",AM264-LOOKUP(2,1/(AG264:AL264&lt;&gt;""),AG264:AL264)))</t>
        </is>
      </c>
      <c r="BA264" s="38" t="inlineStr">
        <is>
          <t>IF(OR(E264="",AN264=""),"",IF(COUNT(AG264:AM264)=0,"",AN264-LOOKUP(2,1/(AG264:AM264&lt;&gt;""),AG264:AM264)))</t>
        </is>
      </c>
      <c r="BB264" s="38" t="inlineStr">
        <is>
          <t>IF(OR(E264="",AO264=""),"",IF(COUNT(AG264:AN264)=0,"",AO264-LOOKUP(2,1/(AG264:AN264&lt;&gt;""),AG264:AN264)))</t>
        </is>
      </c>
      <c r="BC264" s="38" t="inlineStr">
        <is>
          <t>IF(OR(E264="",AP264=""),"",IF(COUNT(AG264:AO264)=0,"",AP264-LOOKUP(2,1/(AG264:AO264&lt;&gt;""),AG264:AO264)))</t>
        </is>
      </c>
      <c r="BD264" s="38" t="inlineStr">
        <is>
          <t>IF(OR(E264="",AQ264=""),"",IF(COUNT(AG264:AP264)=0,"",AQ264-LOOKUP(2,1/(AG264:AP264&lt;&gt;""),AG264:AP264)))</t>
        </is>
      </c>
      <c r="BE264" s="38" t="inlineStr">
        <is>
          <t>IF(OR(E264="",AR264=""),"",IF(COUNT(AG264:AQ264)=0,"",AR264-LOOKUP(2,1/(AG264:AQ264&lt;&gt;""),AG264:AQ264)))</t>
        </is>
      </c>
      <c r="BF264" s="38" t="inlineStr">
        <is>
          <t>IF(OR(E264="",AS264=""),"",IF(COUNT(AG264:AR264)=0,"",AS264-LOOKUP(2,1/(AG264:AR264&lt;&gt;""),AG264:AR264)))</t>
        </is>
      </c>
      <c r="BG264" s="38" t="inlineStr">
        <is>
          <t>IF(OR(E264="",AT264=""),"",IF(COUNT(AG264:AS264)=0,"",AT264-LOOKUP(2,1/(AG264:AS264&lt;&gt;""),AG264:AS264)))</t>
        </is>
      </c>
      <c r="BH264" s="41" t="inlineStr">
        <is>
          <t>IF(G264="","All_Provinces",IFERROR(VLOOKUP(G264,'07_Lookups'!$A$4:$B$20,2,FALSE),"All_Provinces"))</t>
        </is>
      </c>
      <c r="BI264" s="41" t="inlineStr">
        <is>
          <t>IF(H264="","All_Districts",IFERROR(VLOOKUP(H264,'07_Lookups'!$E$4:$F$42,2,FALSE),"All_Districts"))</t>
        </is>
      </c>
    </row>
    <row r="265" ht="18" customHeight="1">
      <c r="A265" s="32" t="inlineStr">
        <is>
          <t>IF(E265="","",ROW()-3)</t>
        </is>
      </c>
      <c r="B265" s="42" t="n"/>
      <c r="C265" s="42" t="n"/>
      <c r="D265" s="42" t="n"/>
      <c r="E265" s="42" t="n"/>
      <c r="F265" s="42" t="n"/>
      <c r="G265" s="42" t="n"/>
      <c r="H265" s="42" t="n"/>
      <c r="I265" s="42" t="n"/>
      <c r="J265" s="42" t="n"/>
      <c r="K265" s="42" t="n"/>
      <c r="L265" s="42" t="n"/>
      <c r="M265" s="42" t="n"/>
      <c r="N265" s="42" t="n"/>
      <c r="O265" s="42" t="n"/>
      <c r="P265" s="42" t="n"/>
      <c r="Q265" s="43" t="n"/>
      <c r="R265" s="35" t="inlineStr">
        <is>
          <t>IF(AO265="","",AO265)</t>
        </is>
      </c>
      <c r="S265" s="44" t="n"/>
      <c r="T265" s="45" t="n"/>
      <c r="U265" s="44" t="n"/>
      <c r="V265" s="35" t="inlineStr">
        <is>
          <t>IF(U265&lt;&gt;"",U265,IF(OR(R265="",T265=""),"",EDATE(R265,T265)))</t>
        </is>
      </c>
      <c r="W265" s="44" t="n"/>
      <c r="X265" s="45" t="n"/>
      <c r="Y265" s="42" t="n"/>
      <c r="Z265" s="42" t="n"/>
      <c r="AA265" s="32" t="inlineStr">
        <is>
          <t>IF(E265="","",IF(COUNT(AG265:AT265)=0,IF(Y265="","Not started",Y265),SUBSTITUTE(LOOKUP(2,1/(AG265:AT265&lt;&gt;""),$AG$3:$AT$3),"Date: ","")))</t>
        </is>
      </c>
      <c r="AB265" s="38" t="inlineStr">
        <is>
          <t>IF(OR(E265="",COUNT(AG265:AT265)=0),"",TODAY()-LOOKUP(2,1/(AG265:AT265&lt;&gt;""),AG265:AT265))</t>
        </is>
      </c>
      <c r="AC265" s="38" t="inlineStr">
        <is>
          <t>IF(OR(E265="",COUNT(AG265:AT265)&lt;2),"",LOOKUP(2,1/(AG265:AT265&lt;&gt;""),AG265:AT265)-MIN(AG265:AT265))</t>
        </is>
      </c>
      <c r="AD265" s="38" t="inlineStr">
        <is>
          <t>IF(OR(AB265="",AA265="Not started",AA265=""),"",IFERROR(AB265-IF(VLOOKUP(AA265,'04_Status_Pipeline'!$B$3:$E$20,4,FALSE)="",0,VLOOKUP(AA265,'04_Status_Pipeline'!$B$3:$E$20,4,FALSE)),""))</t>
        </is>
      </c>
      <c r="AE265" s="32" t="inlineStr">
        <is>
          <t>IF(E265="","",IF(OR(Y265="Cancelled",AA265="Cancelled"),"Cancelled",IF(OR(AA265="Completed / Handover",W265&lt;&gt;"",X265&gt;=100),"Completed — on track",IF(L265="Remaining",IF(S265="",IF(V265="","No planned date",IF(TODAY()&gt;V265,"Behind — past planned date",IF(V265-TODAY()&lt;=30,"At risk — close to off track","On track"))),IF(TODAY()&gt;S265,"Behind — award date passed",IF(S265-TODAY()&lt;=30,"At risk — close to off track","On track"))),IF(V265="","No planned date",IF(AND(TODAY()&gt;V265,OR(X265="",X265&lt;100)),"Behind — past end date",IF(AND(R265&lt;&gt;"",V265&lt;&gt;"",X265&lt;&gt;"",(X265&lt;100),((TODAY()-R265)/MAX(V265-R265,1)*100)-X265&gt;15),"Behind — progress lag",IF(AND(V265-TODAY()&lt;=30,V265-TODAY()&gt;=0,OR(X265="",X265&lt;90)),"At risk — close to off track","On track"))))))))</t>
        </is>
      </c>
      <c r="AF265" s="38" t="inlineStr">
        <is>
          <t>IF(OR(E265="",AA265="Completed / Handover",AA265="Cancelled"),"",IF(L265="Remaining",IF(S265&lt;&gt;"",S265-TODAY(),IF(V265="","",V265-TODAY())),IF(V265="","",V265-TODAY())))</t>
        </is>
      </c>
      <c r="AG265" s="44" t="n"/>
      <c r="AH265" s="44" t="n"/>
      <c r="AI265" s="44" t="n"/>
      <c r="AJ265" s="44" t="n"/>
      <c r="AK265" s="44" t="n"/>
      <c r="AL265" s="44" t="n"/>
      <c r="AM265" s="44" t="n"/>
      <c r="AN265" s="44" t="n"/>
      <c r="AO265" s="44" t="n"/>
      <c r="AP265" s="44" t="n"/>
      <c r="AQ265" s="44" t="n"/>
      <c r="AR265" s="40" t="n"/>
      <c r="AS265" s="40" t="n"/>
      <c r="AT265" s="40" t="n"/>
      <c r="AU265" s="38" t="inlineStr">
        <is>
          <t>IF(OR(E265="",AH265=""),"",IF(COUNT(AG265:AG265)=0,"",AH265-LOOKUP(2,1/(AG265:AG265&lt;&gt;""),AG265:AG265)))</t>
        </is>
      </c>
      <c r="AV265" s="38" t="inlineStr">
        <is>
          <t>IF(OR(E265="",AI265=""),"",IF(COUNT(AG265:AH265)=0,"",AI265-LOOKUP(2,1/(AG265:AH265&lt;&gt;""),AG265:AH265)))</t>
        </is>
      </c>
      <c r="AW265" s="38" t="inlineStr">
        <is>
          <t>IF(OR(E265="",AJ265=""),"",IF(COUNT(AG265:AI265)=0,"",AJ265-LOOKUP(2,1/(AG265:AI265&lt;&gt;""),AG265:AI265)))</t>
        </is>
      </c>
      <c r="AX265" s="38" t="inlineStr">
        <is>
          <t>IF(OR(E265="",AK265=""),"",IF(COUNT(AG265:AJ265)=0,"",AK265-LOOKUP(2,1/(AG265:AJ265&lt;&gt;""),AG265:AJ265)))</t>
        </is>
      </c>
      <c r="AY265" s="38" t="inlineStr">
        <is>
          <t>IF(OR(E265="",AL265=""),"",IF(COUNT(AG265:AK265)=0,"",AL265-LOOKUP(2,1/(AG265:AK265&lt;&gt;""),AG265:AK265)))</t>
        </is>
      </c>
      <c r="AZ265" s="38" t="inlineStr">
        <is>
          <t>IF(OR(E265="",AM265=""),"",IF(COUNT(AG265:AL265)=0,"",AM265-LOOKUP(2,1/(AG265:AL265&lt;&gt;""),AG265:AL265)))</t>
        </is>
      </c>
      <c r="BA265" s="38" t="inlineStr">
        <is>
          <t>IF(OR(E265="",AN265=""),"",IF(COUNT(AG265:AM265)=0,"",AN265-LOOKUP(2,1/(AG265:AM265&lt;&gt;""),AG265:AM265)))</t>
        </is>
      </c>
      <c r="BB265" s="38" t="inlineStr">
        <is>
          <t>IF(OR(E265="",AO265=""),"",IF(COUNT(AG265:AN265)=0,"",AO265-LOOKUP(2,1/(AG265:AN265&lt;&gt;""),AG265:AN265)))</t>
        </is>
      </c>
      <c r="BC265" s="38" t="inlineStr">
        <is>
          <t>IF(OR(E265="",AP265=""),"",IF(COUNT(AG265:AO265)=0,"",AP265-LOOKUP(2,1/(AG265:AO265&lt;&gt;""),AG265:AO265)))</t>
        </is>
      </c>
      <c r="BD265" s="38" t="inlineStr">
        <is>
          <t>IF(OR(E265="",AQ265=""),"",IF(COUNT(AG265:AP265)=0,"",AQ265-LOOKUP(2,1/(AG265:AP265&lt;&gt;""),AG265:AP265)))</t>
        </is>
      </c>
      <c r="BE265" s="38" t="inlineStr">
        <is>
          <t>IF(OR(E265="",AR265=""),"",IF(COUNT(AG265:AQ265)=0,"",AR265-LOOKUP(2,1/(AG265:AQ265&lt;&gt;""),AG265:AQ265)))</t>
        </is>
      </c>
      <c r="BF265" s="38" t="inlineStr">
        <is>
          <t>IF(OR(E265="",AS265=""),"",IF(COUNT(AG265:AR265)=0,"",AS265-LOOKUP(2,1/(AG265:AR265&lt;&gt;""),AG265:AR265)))</t>
        </is>
      </c>
      <c r="BG265" s="38" t="inlineStr">
        <is>
          <t>IF(OR(E265="",AT265=""),"",IF(COUNT(AG265:AS265)=0,"",AT265-LOOKUP(2,1/(AG265:AS265&lt;&gt;""),AG265:AS265)))</t>
        </is>
      </c>
      <c r="BH265" s="41" t="inlineStr">
        <is>
          <t>IF(G265="","All_Provinces",IFERROR(VLOOKUP(G265,'07_Lookups'!$A$4:$B$20,2,FALSE),"All_Provinces"))</t>
        </is>
      </c>
      <c r="BI265" s="41" t="inlineStr">
        <is>
          <t>IF(H265="","All_Districts",IFERROR(VLOOKUP(H265,'07_Lookups'!$E$4:$F$42,2,FALSE),"All_Districts"))</t>
        </is>
      </c>
    </row>
    <row r="266" ht="18" customHeight="1">
      <c r="A266" s="32" t="inlineStr">
        <is>
          <t>IF(E266="","",ROW()-3)</t>
        </is>
      </c>
      <c r="B266" s="33" t="n"/>
      <c r="C266" s="33" t="n"/>
      <c r="D266" s="33" t="n"/>
      <c r="E266" s="33" t="n"/>
      <c r="F266" s="33" t="n"/>
      <c r="G266" s="33" t="n"/>
      <c r="H266" s="33" t="n"/>
      <c r="I266" s="33" t="n"/>
      <c r="J266" s="33" t="n"/>
      <c r="K266" s="33" t="n"/>
      <c r="L266" s="33" t="n"/>
      <c r="M266" s="33" t="n"/>
      <c r="N266" s="33" t="n"/>
      <c r="O266" s="33" t="n"/>
      <c r="P266" s="33" t="n"/>
      <c r="Q266" s="34" t="n"/>
      <c r="R266" s="35" t="inlineStr">
        <is>
          <t>IF(AO266="","",AO266)</t>
        </is>
      </c>
      <c r="S266" s="36" t="n"/>
      <c r="T266" s="37" t="n"/>
      <c r="U266" s="36" t="n"/>
      <c r="V266" s="35" t="inlineStr">
        <is>
          <t>IF(U266&lt;&gt;"",U266,IF(OR(R266="",T266=""),"",EDATE(R266,T266)))</t>
        </is>
      </c>
      <c r="W266" s="36" t="n"/>
      <c r="X266" s="37" t="n"/>
      <c r="Y266" s="33" t="n"/>
      <c r="Z266" s="33" t="n"/>
      <c r="AA266" s="32" t="inlineStr">
        <is>
          <t>IF(E266="","",IF(COUNT(AG266:AT266)=0,IF(Y266="","Not started",Y266),SUBSTITUTE(LOOKUP(2,1/(AG266:AT266&lt;&gt;""),$AG$3:$AT$3),"Date: ","")))</t>
        </is>
      </c>
      <c r="AB266" s="38" t="inlineStr">
        <is>
          <t>IF(OR(E266="",COUNT(AG266:AT266)=0),"",TODAY()-LOOKUP(2,1/(AG266:AT266&lt;&gt;""),AG266:AT266))</t>
        </is>
      </c>
      <c r="AC266" s="38" t="inlineStr">
        <is>
          <t>IF(OR(E266="",COUNT(AG266:AT266)&lt;2),"",LOOKUP(2,1/(AG266:AT266&lt;&gt;""),AG266:AT266)-MIN(AG266:AT266))</t>
        </is>
      </c>
      <c r="AD266" s="38" t="inlineStr">
        <is>
          <t>IF(OR(AB266="",AA266="Not started",AA266=""),"",IFERROR(AB266-IF(VLOOKUP(AA266,'04_Status_Pipeline'!$B$3:$E$20,4,FALSE)="",0,VLOOKUP(AA266,'04_Status_Pipeline'!$B$3:$E$20,4,FALSE)),""))</t>
        </is>
      </c>
      <c r="AE266" s="32" t="inlineStr">
        <is>
          <t>IF(E266="","",IF(OR(Y266="Cancelled",AA266="Cancelled"),"Cancelled",IF(OR(AA266="Completed / Handover",W266&lt;&gt;"",X266&gt;=100),"Completed — on track",IF(L266="Remaining",IF(S266="",IF(V266="","No planned date",IF(TODAY()&gt;V266,"Behind — past planned date",IF(V266-TODAY()&lt;=30,"At risk — close to off track","On track"))),IF(TODAY()&gt;S266,"Behind — award date passed",IF(S266-TODAY()&lt;=30,"At risk — close to off track","On track"))),IF(V266="","No planned date",IF(AND(TODAY()&gt;V266,OR(X266="",X266&lt;100)),"Behind — past end date",IF(AND(R266&lt;&gt;"",V266&lt;&gt;"",X266&lt;&gt;"",(X266&lt;100),((TODAY()-R266)/MAX(V266-R266,1)*100)-X266&gt;15),"Behind — progress lag",IF(AND(V266-TODAY()&lt;=30,V266-TODAY()&gt;=0,OR(X266="",X266&lt;90)),"At risk — close to off track","On track"))))))))</t>
        </is>
      </c>
      <c r="AF266" s="38" t="inlineStr">
        <is>
          <t>IF(OR(E266="",AA266="Completed / Handover",AA266="Cancelled"),"",IF(L266="Remaining",IF(S266&lt;&gt;"",S266-TODAY(),IF(V266="","",V266-TODAY())),IF(V266="","",V266-TODAY())))</t>
        </is>
      </c>
      <c r="AG266" s="36" t="n"/>
      <c r="AH266" s="36" t="n"/>
      <c r="AI266" s="36" t="n"/>
      <c r="AJ266" s="36" t="n"/>
      <c r="AK266" s="36" t="n"/>
      <c r="AL266" s="36" t="n"/>
      <c r="AM266" s="36" t="n"/>
      <c r="AN266" s="36" t="n"/>
      <c r="AO266" s="36" t="n"/>
      <c r="AP266" s="36" t="n"/>
      <c r="AQ266" s="36" t="n"/>
      <c r="AR266" s="40" t="n"/>
      <c r="AS266" s="40" t="n"/>
      <c r="AT266" s="40" t="n"/>
      <c r="AU266" s="38" t="inlineStr">
        <is>
          <t>IF(OR(E266="",AH266=""),"",IF(COUNT(AG266:AG266)=0,"",AH266-LOOKUP(2,1/(AG266:AG266&lt;&gt;""),AG266:AG266)))</t>
        </is>
      </c>
      <c r="AV266" s="38" t="inlineStr">
        <is>
          <t>IF(OR(E266="",AI266=""),"",IF(COUNT(AG266:AH266)=0,"",AI266-LOOKUP(2,1/(AG266:AH266&lt;&gt;""),AG266:AH266)))</t>
        </is>
      </c>
      <c r="AW266" s="38" t="inlineStr">
        <is>
          <t>IF(OR(E266="",AJ266=""),"",IF(COUNT(AG266:AI266)=0,"",AJ266-LOOKUP(2,1/(AG266:AI266&lt;&gt;""),AG266:AI266)))</t>
        </is>
      </c>
      <c r="AX266" s="38" t="inlineStr">
        <is>
          <t>IF(OR(E266="",AK266=""),"",IF(COUNT(AG266:AJ266)=0,"",AK266-LOOKUP(2,1/(AG266:AJ266&lt;&gt;""),AG266:AJ266)))</t>
        </is>
      </c>
      <c r="AY266" s="38" t="inlineStr">
        <is>
          <t>IF(OR(E266="",AL266=""),"",IF(COUNT(AG266:AK266)=0,"",AL266-LOOKUP(2,1/(AG266:AK266&lt;&gt;""),AG266:AK266)))</t>
        </is>
      </c>
      <c r="AZ266" s="38" t="inlineStr">
        <is>
          <t>IF(OR(E266="",AM266=""),"",IF(COUNT(AG266:AL266)=0,"",AM266-LOOKUP(2,1/(AG266:AL266&lt;&gt;""),AG266:AL266)))</t>
        </is>
      </c>
      <c r="BA266" s="38" t="inlineStr">
        <is>
          <t>IF(OR(E266="",AN266=""),"",IF(COUNT(AG266:AM266)=0,"",AN266-LOOKUP(2,1/(AG266:AM266&lt;&gt;""),AG266:AM266)))</t>
        </is>
      </c>
      <c r="BB266" s="38" t="inlineStr">
        <is>
          <t>IF(OR(E266="",AO266=""),"",IF(COUNT(AG266:AN266)=0,"",AO266-LOOKUP(2,1/(AG266:AN266&lt;&gt;""),AG266:AN266)))</t>
        </is>
      </c>
      <c r="BC266" s="38" t="inlineStr">
        <is>
          <t>IF(OR(E266="",AP266=""),"",IF(COUNT(AG266:AO266)=0,"",AP266-LOOKUP(2,1/(AG266:AO266&lt;&gt;""),AG266:AO266)))</t>
        </is>
      </c>
      <c r="BD266" s="38" t="inlineStr">
        <is>
          <t>IF(OR(E266="",AQ266=""),"",IF(COUNT(AG266:AP266)=0,"",AQ266-LOOKUP(2,1/(AG266:AP266&lt;&gt;""),AG266:AP266)))</t>
        </is>
      </c>
      <c r="BE266" s="38" t="inlineStr">
        <is>
          <t>IF(OR(E266="",AR266=""),"",IF(COUNT(AG266:AQ266)=0,"",AR266-LOOKUP(2,1/(AG266:AQ266&lt;&gt;""),AG266:AQ266)))</t>
        </is>
      </c>
      <c r="BF266" s="38" t="inlineStr">
        <is>
          <t>IF(OR(E266="",AS266=""),"",IF(COUNT(AG266:AR266)=0,"",AS266-LOOKUP(2,1/(AG266:AR266&lt;&gt;""),AG266:AR266)))</t>
        </is>
      </c>
      <c r="BG266" s="38" t="inlineStr">
        <is>
          <t>IF(OR(E266="",AT266=""),"",IF(COUNT(AG266:AS266)=0,"",AT266-LOOKUP(2,1/(AG266:AS266&lt;&gt;""),AG266:AS266)))</t>
        </is>
      </c>
      <c r="BH266" s="41" t="inlineStr">
        <is>
          <t>IF(G266="","All_Provinces",IFERROR(VLOOKUP(G266,'07_Lookups'!$A$4:$B$20,2,FALSE),"All_Provinces"))</t>
        </is>
      </c>
      <c r="BI266" s="41" t="inlineStr">
        <is>
          <t>IF(H266="","All_Districts",IFERROR(VLOOKUP(H266,'07_Lookups'!$E$4:$F$42,2,FALSE),"All_Districts"))</t>
        </is>
      </c>
    </row>
    <row r="267" ht="18" customHeight="1">
      <c r="A267" s="32" t="inlineStr">
        <is>
          <t>IF(E267="","",ROW()-3)</t>
        </is>
      </c>
      <c r="B267" s="42" t="n"/>
      <c r="C267" s="42" t="n"/>
      <c r="D267" s="42" t="n"/>
      <c r="E267" s="42" t="n"/>
      <c r="F267" s="42" t="n"/>
      <c r="G267" s="42" t="n"/>
      <c r="H267" s="42" t="n"/>
      <c r="I267" s="42" t="n"/>
      <c r="J267" s="42" t="n"/>
      <c r="K267" s="42" t="n"/>
      <c r="L267" s="42" t="n"/>
      <c r="M267" s="42" t="n"/>
      <c r="N267" s="42" t="n"/>
      <c r="O267" s="42" t="n"/>
      <c r="P267" s="42" t="n"/>
      <c r="Q267" s="43" t="n"/>
      <c r="R267" s="35" t="inlineStr">
        <is>
          <t>IF(AO267="","",AO267)</t>
        </is>
      </c>
      <c r="S267" s="44" t="n"/>
      <c r="T267" s="45" t="n"/>
      <c r="U267" s="44" t="n"/>
      <c r="V267" s="35" t="inlineStr">
        <is>
          <t>IF(U267&lt;&gt;"",U267,IF(OR(R267="",T267=""),"",EDATE(R267,T267)))</t>
        </is>
      </c>
      <c r="W267" s="44" t="n"/>
      <c r="X267" s="45" t="n"/>
      <c r="Y267" s="42" t="n"/>
      <c r="Z267" s="42" t="n"/>
      <c r="AA267" s="32" t="inlineStr">
        <is>
          <t>IF(E267="","",IF(COUNT(AG267:AT267)=0,IF(Y267="","Not started",Y267),SUBSTITUTE(LOOKUP(2,1/(AG267:AT267&lt;&gt;""),$AG$3:$AT$3),"Date: ","")))</t>
        </is>
      </c>
      <c r="AB267" s="38" t="inlineStr">
        <is>
          <t>IF(OR(E267="",COUNT(AG267:AT267)=0),"",TODAY()-LOOKUP(2,1/(AG267:AT267&lt;&gt;""),AG267:AT267))</t>
        </is>
      </c>
      <c r="AC267" s="38" t="inlineStr">
        <is>
          <t>IF(OR(E267="",COUNT(AG267:AT267)&lt;2),"",LOOKUP(2,1/(AG267:AT267&lt;&gt;""),AG267:AT267)-MIN(AG267:AT267))</t>
        </is>
      </c>
      <c r="AD267" s="38" t="inlineStr">
        <is>
          <t>IF(OR(AB267="",AA267="Not started",AA267=""),"",IFERROR(AB267-IF(VLOOKUP(AA267,'04_Status_Pipeline'!$B$3:$E$20,4,FALSE)="",0,VLOOKUP(AA267,'04_Status_Pipeline'!$B$3:$E$20,4,FALSE)),""))</t>
        </is>
      </c>
      <c r="AE267" s="32" t="inlineStr">
        <is>
          <t>IF(E267="","",IF(OR(Y267="Cancelled",AA267="Cancelled"),"Cancelled",IF(OR(AA267="Completed / Handover",W267&lt;&gt;"",X267&gt;=100),"Completed — on track",IF(L267="Remaining",IF(S267="",IF(V267="","No planned date",IF(TODAY()&gt;V267,"Behind — past planned date",IF(V267-TODAY()&lt;=30,"At risk — close to off track","On track"))),IF(TODAY()&gt;S267,"Behind — award date passed",IF(S267-TODAY()&lt;=30,"At risk — close to off track","On track"))),IF(V267="","No planned date",IF(AND(TODAY()&gt;V267,OR(X267="",X267&lt;100)),"Behind — past end date",IF(AND(R267&lt;&gt;"",V267&lt;&gt;"",X267&lt;&gt;"",(X267&lt;100),((TODAY()-R267)/MAX(V267-R267,1)*100)-X267&gt;15),"Behind — progress lag",IF(AND(V267-TODAY()&lt;=30,V267-TODAY()&gt;=0,OR(X267="",X267&lt;90)),"At risk — close to off track","On track"))))))))</t>
        </is>
      </c>
      <c r="AF267" s="38" t="inlineStr">
        <is>
          <t>IF(OR(E267="",AA267="Completed / Handover",AA267="Cancelled"),"",IF(L267="Remaining",IF(S267&lt;&gt;"",S267-TODAY(),IF(V267="","",V267-TODAY())),IF(V267="","",V267-TODAY())))</t>
        </is>
      </c>
      <c r="AG267" s="44" t="n"/>
      <c r="AH267" s="44" t="n"/>
      <c r="AI267" s="44" t="n"/>
      <c r="AJ267" s="44" t="n"/>
      <c r="AK267" s="44" t="n"/>
      <c r="AL267" s="44" t="n"/>
      <c r="AM267" s="44" t="n"/>
      <c r="AN267" s="44" t="n"/>
      <c r="AO267" s="44" t="n"/>
      <c r="AP267" s="44" t="n"/>
      <c r="AQ267" s="44" t="n"/>
      <c r="AR267" s="40" t="n"/>
      <c r="AS267" s="40" t="n"/>
      <c r="AT267" s="40" t="n"/>
      <c r="AU267" s="38" t="inlineStr">
        <is>
          <t>IF(OR(E267="",AH267=""),"",IF(COUNT(AG267:AG267)=0,"",AH267-LOOKUP(2,1/(AG267:AG267&lt;&gt;""),AG267:AG267)))</t>
        </is>
      </c>
      <c r="AV267" s="38" t="inlineStr">
        <is>
          <t>IF(OR(E267="",AI267=""),"",IF(COUNT(AG267:AH267)=0,"",AI267-LOOKUP(2,1/(AG267:AH267&lt;&gt;""),AG267:AH267)))</t>
        </is>
      </c>
      <c r="AW267" s="38" t="inlineStr">
        <is>
          <t>IF(OR(E267="",AJ267=""),"",IF(COUNT(AG267:AI267)=0,"",AJ267-LOOKUP(2,1/(AG267:AI267&lt;&gt;""),AG267:AI267)))</t>
        </is>
      </c>
      <c r="AX267" s="38" t="inlineStr">
        <is>
          <t>IF(OR(E267="",AK267=""),"",IF(COUNT(AG267:AJ267)=0,"",AK267-LOOKUP(2,1/(AG267:AJ267&lt;&gt;""),AG267:AJ267)))</t>
        </is>
      </c>
      <c r="AY267" s="38" t="inlineStr">
        <is>
          <t>IF(OR(E267="",AL267=""),"",IF(COUNT(AG267:AK267)=0,"",AL267-LOOKUP(2,1/(AG267:AK267&lt;&gt;""),AG267:AK267)))</t>
        </is>
      </c>
      <c r="AZ267" s="38" t="inlineStr">
        <is>
          <t>IF(OR(E267="",AM267=""),"",IF(COUNT(AG267:AL267)=0,"",AM267-LOOKUP(2,1/(AG267:AL267&lt;&gt;""),AG267:AL267)))</t>
        </is>
      </c>
      <c r="BA267" s="38" t="inlineStr">
        <is>
          <t>IF(OR(E267="",AN267=""),"",IF(COUNT(AG267:AM267)=0,"",AN267-LOOKUP(2,1/(AG267:AM267&lt;&gt;""),AG267:AM267)))</t>
        </is>
      </c>
      <c r="BB267" s="38" t="inlineStr">
        <is>
          <t>IF(OR(E267="",AO267=""),"",IF(COUNT(AG267:AN267)=0,"",AO267-LOOKUP(2,1/(AG267:AN267&lt;&gt;""),AG267:AN267)))</t>
        </is>
      </c>
      <c r="BC267" s="38" t="inlineStr">
        <is>
          <t>IF(OR(E267="",AP267=""),"",IF(COUNT(AG267:AO267)=0,"",AP267-LOOKUP(2,1/(AG267:AO267&lt;&gt;""),AG267:AO267)))</t>
        </is>
      </c>
      <c r="BD267" s="38" t="inlineStr">
        <is>
          <t>IF(OR(E267="",AQ267=""),"",IF(COUNT(AG267:AP267)=0,"",AQ267-LOOKUP(2,1/(AG267:AP267&lt;&gt;""),AG267:AP267)))</t>
        </is>
      </c>
      <c r="BE267" s="38" t="inlineStr">
        <is>
          <t>IF(OR(E267="",AR267=""),"",IF(COUNT(AG267:AQ267)=0,"",AR267-LOOKUP(2,1/(AG267:AQ267&lt;&gt;""),AG267:AQ267)))</t>
        </is>
      </c>
      <c r="BF267" s="38" t="inlineStr">
        <is>
          <t>IF(OR(E267="",AS267=""),"",IF(COUNT(AG267:AR267)=0,"",AS267-LOOKUP(2,1/(AG267:AR267&lt;&gt;""),AG267:AR267)))</t>
        </is>
      </c>
      <c r="BG267" s="38" t="inlineStr">
        <is>
          <t>IF(OR(E267="",AT267=""),"",IF(COUNT(AG267:AS267)=0,"",AT267-LOOKUP(2,1/(AG267:AS267&lt;&gt;""),AG267:AS267)))</t>
        </is>
      </c>
      <c r="BH267" s="41" t="inlineStr">
        <is>
          <t>IF(G267="","All_Provinces",IFERROR(VLOOKUP(G267,'07_Lookups'!$A$4:$B$20,2,FALSE),"All_Provinces"))</t>
        </is>
      </c>
      <c r="BI267" s="41" t="inlineStr">
        <is>
          <t>IF(H267="","All_Districts",IFERROR(VLOOKUP(H267,'07_Lookups'!$E$4:$F$42,2,FALSE),"All_Districts"))</t>
        </is>
      </c>
    </row>
    <row r="268" ht="18" customHeight="1">
      <c r="A268" s="32" t="inlineStr">
        <is>
          <t>IF(E268="","",ROW()-3)</t>
        </is>
      </c>
      <c r="B268" s="33" t="n"/>
      <c r="C268" s="33" t="n"/>
      <c r="D268" s="33" t="n"/>
      <c r="E268" s="33" t="n"/>
      <c r="F268" s="33" t="n"/>
      <c r="G268" s="33" t="n"/>
      <c r="H268" s="33" t="n"/>
      <c r="I268" s="33" t="n"/>
      <c r="J268" s="33" t="n"/>
      <c r="K268" s="33" t="n"/>
      <c r="L268" s="33" t="n"/>
      <c r="M268" s="33" t="n"/>
      <c r="N268" s="33" t="n"/>
      <c r="O268" s="33" t="n"/>
      <c r="P268" s="33" t="n"/>
      <c r="Q268" s="34" t="n"/>
      <c r="R268" s="35" t="inlineStr">
        <is>
          <t>IF(AO268="","",AO268)</t>
        </is>
      </c>
      <c r="S268" s="36" t="n"/>
      <c r="T268" s="37" t="n"/>
      <c r="U268" s="36" t="n"/>
      <c r="V268" s="35" t="inlineStr">
        <is>
          <t>IF(U268&lt;&gt;"",U268,IF(OR(R268="",T268=""),"",EDATE(R268,T268)))</t>
        </is>
      </c>
      <c r="W268" s="36" t="n"/>
      <c r="X268" s="37" t="n"/>
      <c r="Y268" s="33" t="n"/>
      <c r="Z268" s="33" t="n"/>
      <c r="AA268" s="32" t="inlineStr">
        <is>
          <t>IF(E268="","",IF(COUNT(AG268:AT268)=0,IF(Y268="","Not started",Y268),SUBSTITUTE(LOOKUP(2,1/(AG268:AT268&lt;&gt;""),$AG$3:$AT$3),"Date: ","")))</t>
        </is>
      </c>
      <c r="AB268" s="38" t="inlineStr">
        <is>
          <t>IF(OR(E268="",COUNT(AG268:AT268)=0),"",TODAY()-LOOKUP(2,1/(AG268:AT268&lt;&gt;""),AG268:AT268))</t>
        </is>
      </c>
      <c r="AC268" s="38" t="inlineStr">
        <is>
          <t>IF(OR(E268="",COUNT(AG268:AT268)&lt;2),"",LOOKUP(2,1/(AG268:AT268&lt;&gt;""),AG268:AT268)-MIN(AG268:AT268))</t>
        </is>
      </c>
      <c r="AD268" s="38" t="inlineStr">
        <is>
          <t>IF(OR(AB268="",AA268="Not started",AA268=""),"",IFERROR(AB268-IF(VLOOKUP(AA268,'04_Status_Pipeline'!$B$3:$E$20,4,FALSE)="",0,VLOOKUP(AA268,'04_Status_Pipeline'!$B$3:$E$20,4,FALSE)),""))</t>
        </is>
      </c>
      <c r="AE268" s="32" t="inlineStr">
        <is>
          <t>IF(E268="","",IF(OR(Y268="Cancelled",AA268="Cancelled"),"Cancelled",IF(OR(AA268="Completed / Handover",W268&lt;&gt;"",X268&gt;=100),"Completed — on track",IF(L268="Remaining",IF(S268="",IF(V268="","No planned date",IF(TODAY()&gt;V268,"Behind — past planned date",IF(V268-TODAY()&lt;=30,"At risk — close to off track","On track"))),IF(TODAY()&gt;S268,"Behind — award date passed",IF(S268-TODAY()&lt;=30,"At risk — close to off track","On track"))),IF(V268="","No planned date",IF(AND(TODAY()&gt;V268,OR(X268="",X268&lt;100)),"Behind — past end date",IF(AND(R268&lt;&gt;"",V268&lt;&gt;"",X268&lt;&gt;"",(X268&lt;100),((TODAY()-R268)/MAX(V268-R268,1)*100)-X268&gt;15),"Behind — progress lag",IF(AND(V268-TODAY()&lt;=30,V268-TODAY()&gt;=0,OR(X268="",X268&lt;90)),"At risk — close to off track","On track"))))))))</t>
        </is>
      </c>
      <c r="AF268" s="38" t="inlineStr">
        <is>
          <t>IF(OR(E268="",AA268="Completed / Handover",AA268="Cancelled"),"",IF(L268="Remaining",IF(S268&lt;&gt;"",S268-TODAY(),IF(V268="","",V268-TODAY())),IF(V268="","",V268-TODAY())))</t>
        </is>
      </c>
      <c r="AG268" s="36" t="n"/>
      <c r="AH268" s="36" t="n"/>
      <c r="AI268" s="36" t="n"/>
      <c r="AJ268" s="36" t="n"/>
      <c r="AK268" s="36" t="n"/>
      <c r="AL268" s="36" t="n"/>
      <c r="AM268" s="36" t="n"/>
      <c r="AN268" s="36" t="n"/>
      <c r="AO268" s="36" t="n"/>
      <c r="AP268" s="36" t="n"/>
      <c r="AQ268" s="36" t="n"/>
      <c r="AR268" s="40" t="n"/>
      <c r="AS268" s="40" t="n"/>
      <c r="AT268" s="40" t="n"/>
      <c r="AU268" s="38" t="inlineStr">
        <is>
          <t>IF(OR(E268="",AH268=""),"",IF(COUNT(AG268:AG268)=0,"",AH268-LOOKUP(2,1/(AG268:AG268&lt;&gt;""),AG268:AG268)))</t>
        </is>
      </c>
      <c r="AV268" s="38" t="inlineStr">
        <is>
          <t>IF(OR(E268="",AI268=""),"",IF(COUNT(AG268:AH268)=0,"",AI268-LOOKUP(2,1/(AG268:AH268&lt;&gt;""),AG268:AH268)))</t>
        </is>
      </c>
      <c r="AW268" s="38" t="inlineStr">
        <is>
          <t>IF(OR(E268="",AJ268=""),"",IF(COUNT(AG268:AI268)=0,"",AJ268-LOOKUP(2,1/(AG268:AI268&lt;&gt;""),AG268:AI268)))</t>
        </is>
      </c>
      <c r="AX268" s="38" t="inlineStr">
        <is>
          <t>IF(OR(E268="",AK268=""),"",IF(COUNT(AG268:AJ268)=0,"",AK268-LOOKUP(2,1/(AG268:AJ268&lt;&gt;""),AG268:AJ268)))</t>
        </is>
      </c>
      <c r="AY268" s="38" t="inlineStr">
        <is>
          <t>IF(OR(E268="",AL268=""),"",IF(COUNT(AG268:AK268)=0,"",AL268-LOOKUP(2,1/(AG268:AK268&lt;&gt;""),AG268:AK268)))</t>
        </is>
      </c>
      <c r="AZ268" s="38" t="inlineStr">
        <is>
          <t>IF(OR(E268="",AM268=""),"",IF(COUNT(AG268:AL268)=0,"",AM268-LOOKUP(2,1/(AG268:AL268&lt;&gt;""),AG268:AL268)))</t>
        </is>
      </c>
      <c r="BA268" s="38" t="inlineStr">
        <is>
          <t>IF(OR(E268="",AN268=""),"",IF(COUNT(AG268:AM268)=0,"",AN268-LOOKUP(2,1/(AG268:AM268&lt;&gt;""),AG268:AM268)))</t>
        </is>
      </c>
      <c r="BB268" s="38" t="inlineStr">
        <is>
          <t>IF(OR(E268="",AO268=""),"",IF(COUNT(AG268:AN268)=0,"",AO268-LOOKUP(2,1/(AG268:AN268&lt;&gt;""),AG268:AN268)))</t>
        </is>
      </c>
      <c r="BC268" s="38" t="inlineStr">
        <is>
          <t>IF(OR(E268="",AP268=""),"",IF(COUNT(AG268:AO268)=0,"",AP268-LOOKUP(2,1/(AG268:AO268&lt;&gt;""),AG268:AO268)))</t>
        </is>
      </c>
      <c r="BD268" s="38" t="inlineStr">
        <is>
          <t>IF(OR(E268="",AQ268=""),"",IF(COUNT(AG268:AP268)=0,"",AQ268-LOOKUP(2,1/(AG268:AP268&lt;&gt;""),AG268:AP268)))</t>
        </is>
      </c>
      <c r="BE268" s="38" t="inlineStr">
        <is>
          <t>IF(OR(E268="",AR268=""),"",IF(COUNT(AG268:AQ268)=0,"",AR268-LOOKUP(2,1/(AG268:AQ268&lt;&gt;""),AG268:AQ268)))</t>
        </is>
      </c>
      <c r="BF268" s="38" t="inlineStr">
        <is>
          <t>IF(OR(E268="",AS268=""),"",IF(COUNT(AG268:AR268)=0,"",AS268-LOOKUP(2,1/(AG268:AR268&lt;&gt;""),AG268:AR268)))</t>
        </is>
      </c>
      <c r="BG268" s="38" t="inlineStr">
        <is>
          <t>IF(OR(E268="",AT268=""),"",IF(COUNT(AG268:AS268)=0,"",AT268-LOOKUP(2,1/(AG268:AS268&lt;&gt;""),AG268:AS268)))</t>
        </is>
      </c>
      <c r="BH268" s="41" t="inlineStr">
        <is>
          <t>IF(G268="","All_Provinces",IFERROR(VLOOKUP(G268,'07_Lookups'!$A$4:$B$20,2,FALSE),"All_Provinces"))</t>
        </is>
      </c>
      <c r="BI268" s="41" t="inlineStr">
        <is>
          <t>IF(H268="","All_Districts",IFERROR(VLOOKUP(H268,'07_Lookups'!$E$4:$F$42,2,FALSE),"All_Districts"))</t>
        </is>
      </c>
    </row>
    <row r="269" ht="18" customHeight="1">
      <c r="A269" s="32" t="inlineStr">
        <is>
          <t>IF(E269="","",ROW()-3)</t>
        </is>
      </c>
      <c r="B269" s="42" t="n"/>
      <c r="C269" s="42" t="n"/>
      <c r="D269" s="42" t="n"/>
      <c r="E269" s="42" t="n"/>
      <c r="F269" s="42" t="n"/>
      <c r="G269" s="42" t="n"/>
      <c r="H269" s="42" t="n"/>
      <c r="I269" s="42" t="n"/>
      <c r="J269" s="42" t="n"/>
      <c r="K269" s="42" t="n"/>
      <c r="L269" s="42" t="n"/>
      <c r="M269" s="42" t="n"/>
      <c r="N269" s="42" t="n"/>
      <c r="O269" s="42" t="n"/>
      <c r="P269" s="42" t="n"/>
      <c r="Q269" s="43" t="n"/>
      <c r="R269" s="35" t="inlineStr">
        <is>
          <t>IF(AO269="","",AO269)</t>
        </is>
      </c>
      <c r="S269" s="44" t="n"/>
      <c r="T269" s="45" t="n"/>
      <c r="U269" s="44" t="n"/>
      <c r="V269" s="35" t="inlineStr">
        <is>
          <t>IF(U269&lt;&gt;"",U269,IF(OR(R269="",T269=""),"",EDATE(R269,T269)))</t>
        </is>
      </c>
      <c r="W269" s="44" t="n"/>
      <c r="X269" s="45" t="n"/>
      <c r="Y269" s="42" t="n"/>
      <c r="Z269" s="42" t="n"/>
      <c r="AA269" s="32" t="inlineStr">
        <is>
          <t>IF(E269="","",IF(COUNT(AG269:AT269)=0,IF(Y269="","Not started",Y269),SUBSTITUTE(LOOKUP(2,1/(AG269:AT269&lt;&gt;""),$AG$3:$AT$3),"Date: ","")))</t>
        </is>
      </c>
      <c r="AB269" s="38" t="inlineStr">
        <is>
          <t>IF(OR(E269="",COUNT(AG269:AT269)=0),"",TODAY()-LOOKUP(2,1/(AG269:AT269&lt;&gt;""),AG269:AT269))</t>
        </is>
      </c>
      <c r="AC269" s="38" t="inlineStr">
        <is>
          <t>IF(OR(E269="",COUNT(AG269:AT269)&lt;2),"",LOOKUP(2,1/(AG269:AT269&lt;&gt;""),AG269:AT269)-MIN(AG269:AT269))</t>
        </is>
      </c>
      <c r="AD269" s="38" t="inlineStr">
        <is>
          <t>IF(OR(AB269="",AA269="Not started",AA269=""),"",IFERROR(AB269-IF(VLOOKUP(AA269,'04_Status_Pipeline'!$B$3:$E$20,4,FALSE)="",0,VLOOKUP(AA269,'04_Status_Pipeline'!$B$3:$E$20,4,FALSE)),""))</t>
        </is>
      </c>
      <c r="AE269" s="32" t="inlineStr">
        <is>
          <t>IF(E269="","",IF(OR(Y269="Cancelled",AA269="Cancelled"),"Cancelled",IF(OR(AA269="Completed / Handover",W269&lt;&gt;"",X269&gt;=100),"Completed — on track",IF(L269="Remaining",IF(S269="",IF(V269="","No planned date",IF(TODAY()&gt;V269,"Behind — past planned date",IF(V269-TODAY()&lt;=30,"At risk — close to off track","On track"))),IF(TODAY()&gt;S269,"Behind — award date passed",IF(S269-TODAY()&lt;=30,"At risk — close to off track","On track"))),IF(V269="","No planned date",IF(AND(TODAY()&gt;V269,OR(X269="",X269&lt;100)),"Behind — past end date",IF(AND(R269&lt;&gt;"",V269&lt;&gt;"",X269&lt;&gt;"",(X269&lt;100),((TODAY()-R269)/MAX(V269-R269,1)*100)-X269&gt;15),"Behind — progress lag",IF(AND(V269-TODAY()&lt;=30,V269-TODAY()&gt;=0,OR(X269="",X269&lt;90)),"At risk — close to off track","On track"))))))))</t>
        </is>
      </c>
      <c r="AF269" s="38" t="inlineStr">
        <is>
          <t>IF(OR(E269="",AA269="Completed / Handover",AA269="Cancelled"),"",IF(L269="Remaining",IF(S269&lt;&gt;"",S269-TODAY(),IF(V269="","",V269-TODAY())),IF(V269="","",V269-TODAY())))</t>
        </is>
      </c>
      <c r="AG269" s="44" t="n"/>
      <c r="AH269" s="44" t="n"/>
      <c r="AI269" s="44" t="n"/>
      <c r="AJ269" s="44" t="n"/>
      <c r="AK269" s="44" t="n"/>
      <c r="AL269" s="44" t="n"/>
      <c r="AM269" s="44" t="n"/>
      <c r="AN269" s="44" t="n"/>
      <c r="AO269" s="44" t="n"/>
      <c r="AP269" s="44" t="n"/>
      <c r="AQ269" s="44" t="n"/>
      <c r="AR269" s="40" t="n"/>
      <c r="AS269" s="40" t="n"/>
      <c r="AT269" s="40" t="n"/>
      <c r="AU269" s="38" t="inlineStr">
        <is>
          <t>IF(OR(E269="",AH269=""),"",IF(COUNT(AG269:AG269)=0,"",AH269-LOOKUP(2,1/(AG269:AG269&lt;&gt;""),AG269:AG269)))</t>
        </is>
      </c>
      <c r="AV269" s="38" t="inlineStr">
        <is>
          <t>IF(OR(E269="",AI269=""),"",IF(COUNT(AG269:AH269)=0,"",AI269-LOOKUP(2,1/(AG269:AH269&lt;&gt;""),AG269:AH269)))</t>
        </is>
      </c>
      <c r="AW269" s="38" t="inlineStr">
        <is>
          <t>IF(OR(E269="",AJ269=""),"",IF(COUNT(AG269:AI269)=0,"",AJ269-LOOKUP(2,1/(AG269:AI269&lt;&gt;""),AG269:AI269)))</t>
        </is>
      </c>
      <c r="AX269" s="38" t="inlineStr">
        <is>
          <t>IF(OR(E269="",AK269=""),"",IF(COUNT(AG269:AJ269)=0,"",AK269-LOOKUP(2,1/(AG269:AJ269&lt;&gt;""),AG269:AJ269)))</t>
        </is>
      </c>
      <c r="AY269" s="38" t="inlineStr">
        <is>
          <t>IF(OR(E269="",AL269=""),"",IF(COUNT(AG269:AK269)=0,"",AL269-LOOKUP(2,1/(AG269:AK269&lt;&gt;""),AG269:AK269)))</t>
        </is>
      </c>
      <c r="AZ269" s="38" t="inlineStr">
        <is>
          <t>IF(OR(E269="",AM269=""),"",IF(COUNT(AG269:AL269)=0,"",AM269-LOOKUP(2,1/(AG269:AL269&lt;&gt;""),AG269:AL269)))</t>
        </is>
      </c>
      <c r="BA269" s="38" t="inlineStr">
        <is>
          <t>IF(OR(E269="",AN269=""),"",IF(COUNT(AG269:AM269)=0,"",AN269-LOOKUP(2,1/(AG269:AM269&lt;&gt;""),AG269:AM269)))</t>
        </is>
      </c>
      <c r="BB269" s="38" t="inlineStr">
        <is>
          <t>IF(OR(E269="",AO269=""),"",IF(COUNT(AG269:AN269)=0,"",AO269-LOOKUP(2,1/(AG269:AN269&lt;&gt;""),AG269:AN269)))</t>
        </is>
      </c>
      <c r="BC269" s="38" t="inlineStr">
        <is>
          <t>IF(OR(E269="",AP269=""),"",IF(COUNT(AG269:AO269)=0,"",AP269-LOOKUP(2,1/(AG269:AO269&lt;&gt;""),AG269:AO269)))</t>
        </is>
      </c>
      <c r="BD269" s="38" t="inlineStr">
        <is>
          <t>IF(OR(E269="",AQ269=""),"",IF(COUNT(AG269:AP269)=0,"",AQ269-LOOKUP(2,1/(AG269:AP269&lt;&gt;""),AG269:AP269)))</t>
        </is>
      </c>
      <c r="BE269" s="38" t="inlineStr">
        <is>
          <t>IF(OR(E269="",AR269=""),"",IF(COUNT(AG269:AQ269)=0,"",AR269-LOOKUP(2,1/(AG269:AQ269&lt;&gt;""),AG269:AQ269)))</t>
        </is>
      </c>
      <c r="BF269" s="38" t="inlineStr">
        <is>
          <t>IF(OR(E269="",AS269=""),"",IF(COUNT(AG269:AR269)=0,"",AS269-LOOKUP(2,1/(AG269:AR269&lt;&gt;""),AG269:AR269)))</t>
        </is>
      </c>
      <c r="BG269" s="38" t="inlineStr">
        <is>
          <t>IF(OR(E269="",AT269=""),"",IF(COUNT(AG269:AS269)=0,"",AT269-LOOKUP(2,1/(AG269:AS269&lt;&gt;""),AG269:AS269)))</t>
        </is>
      </c>
      <c r="BH269" s="41" t="inlineStr">
        <is>
          <t>IF(G269="","All_Provinces",IFERROR(VLOOKUP(G269,'07_Lookups'!$A$4:$B$20,2,FALSE),"All_Provinces"))</t>
        </is>
      </c>
      <c r="BI269" s="41" t="inlineStr">
        <is>
          <t>IF(H269="","All_Districts",IFERROR(VLOOKUP(H269,'07_Lookups'!$E$4:$F$42,2,FALSE),"All_Districts"))</t>
        </is>
      </c>
    </row>
    <row r="270" ht="18" customHeight="1">
      <c r="A270" s="32" t="inlineStr">
        <is>
          <t>IF(E270="","",ROW()-3)</t>
        </is>
      </c>
      <c r="B270" s="33" t="n"/>
      <c r="C270" s="33" t="n"/>
      <c r="D270" s="33" t="n"/>
      <c r="E270" s="33" t="n"/>
      <c r="F270" s="33" t="n"/>
      <c r="G270" s="33" t="n"/>
      <c r="H270" s="33" t="n"/>
      <c r="I270" s="33" t="n"/>
      <c r="J270" s="33" t="n"/>
      <c r="K270" s="33" t="n"/>
      <c r="L270" s="33" t="n"/>
      <c r="M270" s="33" t="n"/>
      <c r="N270" s="33" t="n"/>
      <c r="O270" s="33" t="n"/>
      <c r="P270" s="33" t="n"/>
      <c r="Q270" s="34" t="n"/>
      <c r="R270" s="35" t="inlineStr">
        <is>
          <t>IF(AO270="","",AO270)</t>
        </is>
      </c>
      <c r="S270" s="36" t="n"/>
      <c r="T270" s="37" t="n"/>
      <c r="U270" s="36" t="n"/>
      <c r="V270" s="35" t="inlineStr">
        <is>
          <t>IF(U270&lt;&gt;"",U270,IF(OR(R270="",T270=""),"",EDATE(R270,T270)))</t>
        </is>
      </c>
      <c r="W270" s="36" t="n"/>
      <c r="X270" s="37" t="n"/>
      <c r="Y270" s="33" t="n"/>
      <c r="Z270" s="33" t="n"/>
      <c r="AA270" s="32" t="inlineStr">
        <is>
          <t>IF(E270="","",IF(COUNT(AG270:AT270)=0,IF(Y270="","Not started",Y270),SUBSTITUTE(LOOKUP(2,1/(AG270:AT270&lt;&gt;""),$AG$3:$AT$3),"Date: ","")))</t>
        </is>
      </c>
      <c r="AB270" s="38" t="inlineStr">
        <is>
          <t>IF(OR(E270="",COUNT(AG270:AT270)=0),"",TODAY()-LOOKUP(2,1/(AG270:AT270&lt;&gt;""),AG270:AT270))</t>
        </is>
      </c>
      <c r="AC270" s="38" t="inlineStr">
        <is>
          <t>IF(OR(E270="",COUNT(AG270:AT270)&lt;2),"",LOOKUP(2,1/(AG270:AT270&lt;&gt;""),AG270:AT270)-MIN(AG270:AT270))</t>
        </is>
      </c>
      <c r="AD270" s="38" t="inlineStr">
        <is>
          <t>IF(OR(AB270="",AA270="Not started",AA270=""),"",IFERROR(AB270-IF(VLOOKUP(AA270,'04_Status_Pipeline'!$B$3:$E$20,4,FALSE)="",0,VLOOKUP(AA270,'04_Status_Pipeline'!$B$3:$E$20,4,FALSE)),""))</t>
        </is>
      </c>
      <c r="AE270" s="32" t="inlineStr">
        <is>
          <t>IF(E270="","",IF(OR(Y270="Cancelled",AA270="Cancelled"),"Cancelled",IF(OR(AA270="Completed / Handover",W270&lt;&gt;"",X270&gt;=100),"Completed — on track",IF(L270="Remaining",IF(S270="",IF(V270="","No planned date",IF(TODAY()&gt;V270,"Behind — past planned date",IF(V270-TODAY()&lt;=30,"At risk — close to off track","On track"))),IF(TODAY()&gt;S270,"Behind — award date passed",IF(S270-TODAY()&lt;=30,"At risk — close to off track","On track"))),IF(V270="","No planned date",IF(AND(TODAY()&gt;V270,OR(X270="",X270&lt;100)),"Behind — past end date",IF(AND(R270&lt;&gt;"",V270&lt;&gt;"",X270&lt;&gt;"",(X270&lt;100),((TODAY()-R270)/MAX(V270-R270,1)*100)-X270&gt;15),"Behind — progress lag",IF(AND(V270-TODAY()&lt;=30,V270-TODAY()&gt;=0,OR(X270="",X270&lt;90)),"At risk — close to off track","On track"))))))))</t>
        </is>
      </c>
      <c r="AF270" s="38" t="inlineStr">
        <is>
          <t>IF(OR(E270="",AA270="Completed / Handover",AA270="Cancelled"),"",IF(L270="Remaining",IF(S270&lt;&gt;"",S270-TODAY(),IF(V270="","",V270-TODAY())),IF(V270="","",V270-TODAY())))</t>
        </is>
      </c>
      <c r="AG270" s="36" t="n"/>
      <c r="AH270" s="36" t="n"/>
      <c r="AI270" s="36" t="n"/>
      <c r="AJ270" s="36" t="n"/>
      <c r="AK270" s="36" t="n"/>
      <c r="AL270" s="36" t="n"/>
      <c r="AM270" s="36" t="n"/>
      <c r="AN270" s="36" t="n"/>
      <c r="AO270" s="36" t="n"/>
      <c r="AP270" s="36" t="n"/>
      <c r="AQ270" s="36" t="n"/>
      <c r="AR270" s="40" t="n"/>
      <c r="AS270" s="40" t="n"/>
      <c r="AT270" s="40" t="n"/>
      <c r="AU270" s="38" t="inlineStr">
        <is>
          <t>IF(OR(E270="",AH270=""),"",IF(COUNT(AG270:AG270)=0,"",AH270-LOOKUP(2,1/(AG270:AG270&lt;&gt;""),AG270:AG270)))</t>
        </is>
      </c>
      <c r="AV270" s="38" t="inlineStr">
        <is>
          <t>IF(OR(E270="",AI270=""),"",IF(COUNT(AG270:AH270)=0,"",AI270-LOOKUP(2,1/(AG270:AH270&lt;&gt;""),AG270:AH270)))</t>
        </is>
      </c>
      <c r="AW270" s="38" t="inlineStr">
        <is>
          <t>IF(OR(E270="",AJ270=""),"",IF(COUNT(AG270:AI270)=0,"",AJ270-LOOKUP(2,1/(AG270:AI270&lt;&gt;""),AG270:AI270)))</t>
        </is>
      </c>
      <c r="AX270" s="38" t="inlineStr">
        <is>
          <t>IF(OR(E270="",AK270=""),"",IF(COUNT(AG270:AJ270)=0,"",AK270-LOOKUP(2,1/(AG270:AJ270&lt;&gt;""),AG270:AJ270)))</t>
        </is>
      </c>
      <c r="AY270" s="38" t="inlineStr">
        <is>
          <t>IF(OR(E270="",AL270=""),"",IF(COUNT(AG270:AK270)=0,"",AL270-LOOKUP(2,1/(AG270:AK270&lt;&gt;""),AG270:AK270)))</t>
        </is>
      </c>
      <c r="AZ270" s="38" t="inlineStr">
        <is>
          <t>IF(OR(E270="",AM270=""),"",IF(COUNT(AG270:AL270)=0,"",AM270-LOOKUP(2,1/(AG270:AL270&lt;&gt;""),AG270:AL270)))</t>
        </is>
      </c>
      <c r="BA270" s="38" t="inlineStr">
        <is>
          <t>IF(OR(E270="",AN270=""),"",IF(COUNT(AG270:AM270)=0,"",AN270-LOOKUP(2,1/(AG270:AM270&lt;&gt;""),AG270:AM270)))</t>
        </is>
      </c>
      <c r="BB270" s="38" t="inlineStr">
        <is>
          <t>IF(OR(E270="",AO270=""),"",IF(COUNT(AG270:AN270)=0,"",AO270-LOOKUP(2,1/(AG270:AN270&lt;&gt;""),AG270:AN270)))</t>
        </is>
      </c>
      <c r="BC270" s="38" t="inlineStr">
        <is>
          <t>IF(OR(E270="",AP270=""),"",IF(COUNT(AG270:AO270)=0,"",AP270-LOOKUP(2,1/(AG270:AO270&lt;&gt;""),AG270:AO270)))</t>
        </is>
      </c>
      <c r="BD270" s="38" t="inlineStr">
        <is>
          <t>IF(OR(E270="",AQ270=""),"",IF(COUNT(AG270:AP270)=0,"",AQ270-LOOKUP(2,1/(AG270:AP270&lt;&gt;""),AG270:AP270)))</t>
        </is>
      </c>
      <c r="BE270" s="38" t="inlineStr">
        <is>
          <t>IF(OR(E270="",AR270=""),"",IF(COUNT(AG270:AQ270)=0,"",AR270-LOOKUP(2,1/(AG270:AQ270&lt;&gt;""),AG270:AQ270)))</t>
        </is>
      </c>
      <c r="BF270" s="38" t="inlineStr">
        <is>
          <t>IF(OR(E270="",AS270=""),"",IF(COUNT(AG270:AR270)=0,"",AS270-LOOKUP(2,1/(AG270:AR270&lt;&gt;""),AG270:AR270)))</t>
        </is>
      </c>
      <c r="BG270" s="38" t="inlineStr">
        <is>
          <t>IF(OR(E270="",AT270=""),"",IF(COUNT(AG270:AS270)=0,"",AT270-LOOKUP(2,1/(AG270:AS270&lt;&gt;""),AG270:AS270)))</t>
        </is>
      </c>
      <c r="BH270" s="41" t="inlineStr">
        <is>
          <t>IF(G270="","All_Provinces",IFERROR(VLOOKUP(G270,'07_Lookups'!$A$4:$B$20,2,FALSE),"All_Provinces"))</t>
        </is>
      </c>
      <c r="BI270" s="41" t="inlineStr">
        <is>
          <t>IF(H270="","All_Districts",IFERROR(VLOOKUP(H270,'07_Lookups'!$E$4:$F$42,2,FALSE),"All_Districts"))</t>
        </is>
      </c>
    </row>
    <row r="271" ht="18" customHeight="1">
      <c r="A271" s="32" t="inlineStr">
        <is>
          <t>IF(E271="","",ROW()-3)</t>
        </is>
      </c>
      <c r="B271" s="42" t="n"/>
      <c r="C271" s="42" t="n"/>
      <c r="D271" s="42" t="n"/>
      <c r="E271" s="42" t="n"/>
      <c r="F271" s="42" t="n"/>
      <c r="G271" s="42" t="n"/>
      <c r="H271" s="42" t="n"/>
      <c r="I271" s="42" t="n"/>
      <c r="J271" s="42" t="n"/>
      <c r="K271" s="42" t="n"/>
      <c r="L271" s="42" t="n"/>
      <c r="M271" s="42" t="n"/>
      <c r="N271" s="42" t="n"/>
      <c r="O271" s="42" t="n"/>
      <c r="P271" s="42" t="n"/>
      <c r="Q271" s="43" t="n"/>
      <c r="R271" s="35" t="inlineStr">
        <is>
          <t>IF(AO271="","",AO271)</t>
        </is>
      </c>
      <c r="S271" s="44" t="n"/>
      <c r="T271" s="45" t="n"/>
      <c r="U271" s="44" t="n"/>
      <c r="V271" s="35" t="inlineStr">
        <is>
          <t>IF(U271&lt;&gt;"",U271,IF(OR(R271="",T271=""),"",EDATE(R271,T271)))</t>
        </is>
      </c>
      <c r="W271" s="44" t="n"/>
      <c r="X271" s="45" t="n"/>
      <c r="Y271" s="42" t="n"/>
      <c r="Z271" s="42" t="n"/>
      <c r="AA271" s="32" t="inlineStr">
        <is>
          <t>IF(E271="","",IF(COUNT(AG271:AT271)=0,IF(Y271="","Not started",Y271),SUBSTITUTE(LOOKUP(2,1/(AG271:AT271&lt;&gt;""),$AG$3:$AT$3),"Date: ","")))</t>
        </is>
      </c>
      <c r="AB271" s="38" t="inlineStr">
        <is>
          <t>IF(OR(E271="",COUNT(AG271:AT271)=0),"",TODAY()-LOOKUP(2,1/(AG271:AT271&lt;&gt;""),AG271:AT271))</t>
        </is>
      </c>
      <c r="AC271" s="38" t="inlineStr">
        <is>
          <t>IF(OR(E271="",COUNT(AG271:AT271)&lt;2),"",LOOKUP(2,1/(AG271:AT271&lt;&gt;""),AG271:AT271)-MIN(AG271:AT271))</t>
        </is>
      </c>
      <c r="AD271" s="38" t="inlineStr">
        <is>
          <t>IF(OR(AB271="",AA271="Not started",AA271=""),"",IFERROR(AB271-IF(VLOOKUP(AA271,'04_Status_Pipeline'!$B$3:$E$20,4,FALSE)="",0,VLOOKUP(AA271,'04_Status_Pipeline'!$B$3:$E$20,4,FALSE)),""))</t>
        </is>
      </c>
      <c r="AE271" s="32" t="inlineStr">
        <is>
          <t>IF(E271="","",IF(OR(Y271="Cancelled",AA271="Cancelled"),"Cancelled",IF(OR(AA271="Completed / Handover",W271&lt;&gt;"",X271&gt;=100),"Completed — on track",IF(L271="Remaining",IF(S271="",IF(V271="","No planned date",IF(TODAY()&gt;V271,"Behind — past planned date",IF(V271-TODAY()&lt;=30,"At risk — close to off track","On track"))),IF(TODAY()&gt;S271,"Behind — award date passed",IF(S271-TODAY()&lt;=30,"At risk — close to off track","On track"))),IF(V271="","No planned date",IF(AND(TODAY()&gt;V271,OR(X271="",X271&lt;100)),"Behind — past end date",IF(AND(R271&lt;&gt;"",V271&lt;&gt;"",X271&lt;&gt;"",(X271&lt;100),((TODAY()-R271)/MAX(V271-R271,1)*100)-X271&gt;15),"Behind — progress lag",IF(AND(V271-TODAY()&lt;=30,V271-TODAY()&gt;=0,OR(X271="",X271&lt;90)),"At risk — close to off track","On track"))))))))</t>
        </is>
      </c>
      <c r="AF271" s="38" t="inlineStr">
        <is>
          <t>IF(OR(E271="",AA271="Completed / Handover",AA271="Cancelled"),"",IF(L271="Remaining",IF(S271&lt;&gt;"",S271-TODAY(),IF(V271="","",V271-TODAY())),IF(V271="","",V271-TODAY())))</t>
        </is>
      </c>
      <c r="AG271" s="44" t="n"/>
      <c r="AH271" s="44" t="n"/>
      <c r="AI271" s="44" t="n"/>
      <c r="AJ271" s="44" t="n"/>
      <c r="AK271" s="44" t="n"/>
      <c r="AL271" s="44" t="n"/>
      <c r="AM271" s="44" t="n"/>
      <c r="AN271" s="44" t="n"/>
      <c r="AO271" s="44" t="n"/>
      <c r="AP271" s="44" t="n"/>
      <c r="AQ271" s="44" t="n"/>
      <c r="AR271" s="40" t="n"/>
      <c r="AS271" s="40" t="n"/>
      <c r="AT271" s="40" t="n"/>
      <c r="AU271" s="38" t="inlineStr">
        <is>
          <t>IF(OR(E271="",AH271=""),"",IF(COUNT(AG271:AG271)=0,"",AH271-LOOKUP(2,1/(AG271:AG271&lt;&gt;""),AG271:AG271)))</t>
        </is>
      </c>
      <c r="AV271" s="38" t="inlineStr">
        <is>
          <t>IF(OR(E271="",AI271=""),"",IF(COUNT(AG271:AH271)=0,"",AI271-LOOKUP(2,1/(AG271:AH271&lt;&gt;""),AG271:AH271)))</t>
        </is>
      </c>
      <c r="AW271" s="38" t="inlineStr">
        <is>
          <t>IF(OR(E271="",AJ271=""),"",IF(COUNT(AG271:AI271)=0,"",AJ271-LOOKUP(2,1/(AG271:AI271&lt;&gt;""),AG271:AI271)))</t>
        </is>
      </c>
      <c r="AX271" s="38" t="inlineStr">
        <is>
          <t>IF(OR(E271="",AK271=""),"",IF(COUNT(AG271:AJ271)=0,"",AK271-LOOKUP(2,1/(AG271:AJ271&lt;&gt;""),AG271:AJ271)))</t>
        </is>
      </c>
      <c r="AY271" s="38" t="inlineStr">
        <is>
          <t>IF(OR(E271="",AL271=""),"",IF(COUNT(AG271:AK271)=0,"",AL271-LOOKUP(2,1/(AG271:AK271&lt;&gt;""),AG271:AK271)))</t>
        </is>
      </c>
      <c r="AZ271" s="38" t="inlineStr">
        <is>
          <t>IF(OR(E271="",AM271=""),"",IF(COUNT(AG271:AL271)=0,"",AM271-LOOKUP(2,1/(AG271:AL271&lt;&gt;""),AG271:AL271)))</t>
        </is>
      </c>
      <c r="BA271" s="38" t="inlineStr">
        <is>
          <t>IF(OR(E271="",AN271=""),"",IF(COUNT(AG271:AM271)=0,"",AN271-LOOKUP(2,1/(AG271:AM271&lt;&gt;""),AG271:AM271)))</t>
        </is>
      </c>
      <c r="BB271" s="38" t="inlineStr">
        <is>
          <t>IF(OR(E271="",AO271=""),"",IF(COUNT(AG271:AN271)=0,"",AO271-LOOKUP(2,1/(AG271:AN271&lt;&gt;""),AG271:AN271)))</t>
        </is>
      </c>
      <c r="BC271" s="38" t="inlineStr">
        <is>
          <t>IF(OR(E271="",AP271=""),"",IF(COUNT(AG271:AO271)=0,"",AP271-LOOKUP(2,1/(AG271:AO271&lt;&gt;""),AG271:AO271)))</t>
        </is>
      </c>
      <c r="BD271" s="38" t="inlineStr">
        <is>
          <t>IF(OR(E271="",AQ271=""),"",IF(COUNT(AG271:AP271)=0,"",AQ271-LOOKUP(2,1/(AG271:AP271&lt;&gt;""),AG271:AP271)))</t>
        </is>
      </c>
      <c r="BE271" s="38" t="inlineStr">
        <is>
          <t>IF(OR(E271="",AR271=""),"",IF(COUNT(AG271:AQ271)=0,"",AR271-LOOKUP(2,1/(AG271:AQ271&lt;&gt;""),AG271:AQ271)))</t>
        </is>
      </c>
      <c r="BF271" s="38" t="inlineStr">
        <is>
          <t>IF(OR(E271="",AS271=""),"",IF(COUNT(AG271:AR271)=0,"",AS271-LOOKUP(2,1/(AG271:AR271&lt;&gt;""),AG271:AR271)))</t>
        </is>
      </c>
      <c r="BG271" s="38" t="inlineStr">
        <is>
          <t>IF(OR(E271="",AT271=""),"",IF(COUNT(AG271:AS271)=0,"",AT271-LOOKUP(2,1/(AG271:AS271&lt;&gt;""),AG271:AS271)))</t>
        </is>
      </c>
      <c r="BH271" s="41" t="inlineStr">
        <is>
          <t>IF(G271="","All_Provinces",IFERROR(VLOOKUP(G271,'07_Lookups'!$A$4:$B$20,2,FALSE),"All_Provinces"))</t>
        </is>
      </c>
      <c r="BI271" s="41" t="inlineStr">
        <is>
          <t>IF(H271="","All_Districts",IFERROR(VLOOKUP(H271,'07_Lookups'!$E$4:$F$42,2,FALSE),"All_Districts"))</t>
        </is>
      </c>
    </row>
    <row r="272" ht="18" customHeight="1">
      <c r="A272" s="32" t="inlineStr">
        <is>
          <t>IF(E272="","",ROW()-3)</t>
        </is>
      </c>
      <c r="B272" s="33" t="n"/>
      <c r="C272" s="33" t="n"/>
      <c r="D272" s="33" t="n"/>
      <c r="E272" s="33" t="n"/>
      <c r="F272" s="33" t="n"/>
      <c r="G272" s="33" t="n"/>
      <c r="H272" s="33" t="n"/>
      <c r="I272" s="33" t="n"/>
      <c r="J272" s="33" t="n"/>
      <c r="K272" s="33" t="n"/>
      <c r="L272" s="33" t="n"/>
      <c r="M272" s="33" t="n"/>
      <c r="N272" s="33" t="n"/>
      <c r="O272" s="33" t="n"/>
      <c r="P272" s="33" t="n"/>
      <c r="Q272" s="34" t="n"/>
      <c r="R272" s="35" t="inlineStr">
        <is>
          <t>IF(AO272="","",AO272)</t>
        </is>
      </c>
      <c r="S272" s="36" t="n"/>
      <c r="T272" s="37" t="n"/>
      <c r="U272" s="36" t="n"/>
      <c r="V272" s="35" t="inlineStr">
        <is>
          <t>IF(U272&lt;&gt;"",U272,IF(OR(R272="",T272=""),"",EDATE(R272,T272)))</t>
        </is>
      </c>
      <c r="W272" s="36" t="n"/>
      <c r="X272" s="37" t="n"/>
      <c r="Y272" s="33" t="n"/>
      <c r="Z272" s="33" t="n"/>
      <c r="AA272" s="32" t="inlineStr">
        <is>
          <t>IF(E272="","",IF(COUNT(AG272:AT272)=0,IF(Y272="","Not started",Y272),SUBSTITUTE(LOOKUP(2,1/(AG272:AT272&lt;&gt;""),$AG$3:$AT$3),"Date: ","")))</t>
        </is>
      </c>
      <c r="AB272" s="38" t="inlineStr">
        <is>
          <t>IF(OR(E272="",COUNT(AG272:AT272)=0),"",TODAY()-LOOKUP(2,1/(AG272:AT272&lt;&gt;""),AG272:AT272))</t>
        </is>
      </c>
      <c r="AC272" s="38" t="inlineStr">
        <is>
          <t>IF(OR(E272="",COUNT(AG272:AT272)&lt;2),"",LOOKUP(2,1/(AG272:AT272&lt;&gt;""),AG272:AT272)-MIN(AG272:AT272))</t>
        </is>
      </c>
      <c r="AD272" s="38" t="inlineStr">
        <is>
          <t>IF(OR(AB272="",AA272="Not started",AA272=""),"",IFERROR(AB272-IF(VLOOKUP(AA272,'04_Status_Pipeline'!$B$3:$E$20,4,FALSE)="",0,VLOOKUP(AA272,'04_Status_Pipeline'!$B$3:$E$20,4,FALSE)),""))</t>
        </is>
      </c>
      <c r="AE272" s="32" t="inlineStr">
        <is>
          <t>IF(E272="","",IF(OR(Y272="Cancelled",AA272="Cancelled"),"Cancelled",IF(OR(AA272="Completed / Handover",W272&lt;&gt;"",X272&gt;=100),"Completed — on track",IF(L272="Remaining",IF(S272="",IF(V272="","No planned date",IF(TODAY()&gt;V272,"Behind — past planned date",IF(V272-TODAY()&lt;=30,"At risk — close to off track","On track"))),IF(TODAY()&gt;S272,"Behind — award date passed",IF(S272-TODAY()&lt;=30,"At risk — close to off track","On track"))),IF(V272="","No planned date",IF(AND(TODAY()&gt;V272,OR(X272="",X272&lt;100)),"Behind — past end date",IF(AND(R272&lt;&gt;"",V272&lt;&gt;"",X272&lt;&gt;"",(X272&lt;100),((TODAY()-R272)/MAX(V272-R272,1)*100)-X272&gt;15),"Behind — progress lag",IF(AND(V272-TODAY()&lt;=30,V272-TODAY()&gt;=0,OR(X272="",X272&lt;90)),"At risk — close to off track","On track"))))))))</t>
        </is>
      </c>
      <c r="AF272" s="38" t="inlineStr">
        <is>
          <t>IF(OR(E272="",AA272="Completed / Handover",AA272="Cancelled"),"",IF(L272="Remaining",IF(S272&lt;&gt;"",S272-TODAY(),IF(V272="","",V272-TODAY())),IF(V272="","",V272-TODAY())))</t>
        </is>
      </c>
      <c r="AG272" s="36" t="n"/>
      <c r="AH272" s="36" t="n"/>
      <c r="AI272" s="36" t="n"/>
      <c r="AJ272" s="36" t="n"/>
      <c r="AK272" s="36" t="n"/>
      <c r="AL272" s="36" t="n"/>
      <c r="AM272" s="36" t="n"/>
      <c r="AN272" s="36" t="n"/>
      <c r="AO272" s="36" t="n"/>
      <c r="AP272" s="36" t="n"/>
      <c r="AQ272" s="36" t="n"/>
      <c r="AR272" s="40" t="n"/>
      <c r="AS272" s="40" t="n"/>
      <c r="AT272" s="40" t="n"/>
      <c r="AU272" s="38" t="inlineStr">
        <is>
          <t>IF(OR(E272="",AH272=""),"",IF(COUNT(AG272:AG272)=0,"",AH272-LOOKUP(2,1/(AG272:AG272&lt;&gt;""),AG272:AG272)))</t>
        </is>
      </c>
      <c r="AV272" s="38" t="inlineStr">
        <is>
          <t>IF(OR(E272="",AI272=""),"",IF(COUNT(AG272:AH272)=0,"",AI272-LOOKUP(2,1/(AG272:AH272&lt;&gt;""),AG272:AH272)))</t>
        </is>
      </c>
      <c r="AW272" s="38" t="inlineStr">
        <is>
          <t>IF(OR(E272="",AJ272=""),"",IF(COUNT(AG272:AI272)=0,"",AJ272-LOOKUP(2,1/(AG272:AI272&lt;&gt;""),AG272:AI272)))</t>
        </is>
      </c>
      <c r="AX272" s="38" t="inlineStr">
        <is>
          <t>IF(OR(E272="",AK272=""),"",IF(COUNT(AG272:AJ272)=0,"",AK272-LOOKUP(2,1/(AG272:AJ272&lt;&gt;""),AG272:AJ272)))</t>
        </is>
      </c>
      <c r="AY272" s="38" t="inlineStr">
        <is>
          <t>IF(OR(E272="",AL272=""),"",IF(COUNT(AG272:AK272)=0,"",AL272-LOOKUP(2,1/(AG272:AK272&lt;&gt;""),AG272:AK272)))</t>
        </is>
      </c>
      <c r="AZ272" s="38" t="inlineStr">
        <is>
          <t>IF(OR(E272="",AM272=""),"",IF(COUNT(AG272:AL272)=0,"",AM272-LOOKUP(2,1/(AG272:AL272&lt;&gt;""),AG272:AL272)))</t>
        </is>
      </c>
      <c r="BA272" s="38" t="inlineStr">
        <is>
          <t>IF(OR(E272="",AN272=""),"",IF(COUNT(AG272:AM272)=0,"",AN272-LOOKUP(2,1/(AG272:AM272&lt;&gt;""),AG272:AM272)))</t>
        </is>
      </c>
      <c r="BB272" s="38" t="inlineStr">
        <is>
          <t>IF(OR(E272="",AO272=""),"",IF(COUNT(AG272:AN272)=0,"",AO272-LOOKUP(2,1/(AG272:AN272&lt;&gt;""),AG272:AN272)))</t>
        </is>
      </c>
      <c r="BC272" s="38" t="inlineStr">
        <is>
          <t>IF(OR(E272="",AP272=""),"",IF(COUNT(AG272:AO272)=0,"",AP272-LOOKUP(2,1/(AG272:AO272&lt;&gt;""),AG272:AO272)))</t>
        </is>
      </c>
      <c r="BD272" s="38" t="inlineStr">
        <is>
          <t>IF(OR(E272="",AQ272=""),"",IF(COUNT(AG272:AP272)=0,"",AQ272-LOOKUP(2,1/(AG272:AP272&lt;&gt;""),AG272:AP272)))</t>
        </is>
      </c>
      <c r="BE272" s="38" t="inlineStr">
        <is>
          <t>IF(OR(E272="",AR272=""),"",IF(COUNT(AG272:AQ272)=0,"",AR272-LOOKUP(2,1/(AG272:AQ272&lt;&gt;""),AG272:AQ272)))</t>
        </is>
      </c>
      <c r="BF272" s="38" t="inlineStr">
        <is>
          <t>IF(OR(E272="",AS272=""),"",IF(COUNT(AG272:AR272)=0,"",AS272-LOOKUP(2,1/(AG272:AR272&lt;&gt;""),AG272:AR272)))</t>
        </is>
      </c>
      <c r="BG272" s="38" t="inlineStr">
        <is>
          <t>IF(OR(E272="",AT272=""),"",IF(COUNT(AG272:AS272)=0,"",AT272-LOOKUP(2,1/(AG272:AS272&lt;&gt;""),AG272:AS272)))</t>
        </is>
      </c>
      <c r="BH272" s="41" t="inlineStr">
        <is>
          <t>IF(G272="","All_Provinces",IFERROR(VLOOKUP(G272,'07_Lookups'!$A$4:$B$20,2,FALSE),"All_Provinces"))</t>
        </is>
      </c>
      <c r="BI272" s="41" t="inlineStr">
        <is>
          <t>IF(H272="","All_Districts",IFERROR(VLOOKUP(H272,'07_Lookups'!$E$4:$F$42,2,FALSE),"All_Districts"))</t>
        </is>
      </c>
    </row>
    <row r="273" ht="18" customHeight="1">
      <c r="A273" s="32" t="inlineStr">
        <is>
          <t>IF(E273="","",ROW()-3)</t>
        </is>
      </c>
      <c r="B273" s="42" t="n"/>
      <c r="C273" s="42" t="n"/>
      <c r="D273" s="42" t="n"/>
      <c r="E273" s="42" t="n"/>
      <c r="F273" s="42" t="n"/>
      <c r="G273" s="42" t="n"/>
      <c r="H273" s="42" t="n"/>
      <c r="I273" s="42" t="n"/>
      <c r="J273" s="42" t="n"/>
      <c r="K273" s="42" t="n"/>
      <c r="L273" s="42" t="n"/>
      <c r="M273" s="42" t="n"/>
      <c r="N273" s="42" t="n"/>
      <c r="O273" s="42" t="n"/>
      <c r="P273" s="42" t="n"/>
      <c r="Q273" s="43" t="n"/>
      <c r="R273" s="35" t="inlineStr">
        <is>
          <t>IF(AO273="","",AO273)</t>
        </is>
      </c>
      <c r="S273" s="44" t="n"/>
      <c r="T273" s="45" t="n"/>
      <c r="U273" s="44" t="n"/>
      <c r="V273" s="35" t="inlineStr">
        <is>
          <t>IF(U273&lt;&gt;"",U273,IF(OR(R273="",T273=""),"",EDATE(R273,T273)))</t>
        </is>
      </c>
      <c r="W273" s="44" t="n"/>
      <c r="X273" s="45" t="n"/>
      <c r="Y273" s="42" t="n"/>
      <c r="Z273" s="42" t="n"/>
      <c r="AA273" s="32" t="inlineStr">
        <is>
          <t>IF(E273="","",IF(COUNT(AG273:AT273)=0,IF(Y273="","Not started",Y273),SUBSTITUTE(LOOKUP(2,1/(AG273:AT273&lt;&gt;""),$AG$3:$AT$3),"Date: ","")))</t>
        </is>
      </c>
      <c r="AB273" s="38" t="inlineStr">
        <is>
          <t>IF(OR(E273="",COUNT(AG273:AT273)=0),"",TODAY()-LOOKUP(2,1/(AG273:AT273&lt;&gt;""),AG273:AT273))</t>
        </is>
      </c>
      <c r="AC273" s="38" t="inlineStr">
        <is>
          <t>IF(OR(E273="",COUNT(AG273:AT273)&lt;2),"",LOOKUP(2,1/(AG273:AT273&lt;&gt;""),AG273:AT273)-MIN(AG273:AT273))</t>
        </is>
      </c>
      <c r="AD273" s="38" t="inlineStr">
        <is>
          <t>IF(OR(AB273="",AA273="Not started",AA273=""),"",IFERROR(AB273-IF(VLOOKUP(AA273,'04_Status_Pipeline'!$B$3:$E$20,4,FALSE)="",0,VLOOKUP(AA273,'04_Status_Pipeline'!$B$3:$E$20,4,FALSE)),""))</t>
        </is>
      </c>
      <c r="AE273" s="32" t="inlineStr">
        <is>
          <t>IF(E273="","",IF(OR(Y273="Cancelled",AA273="Cancelled"),"Cancelled",IF(OR(AA273="Completed / Handover",W273&lt;&gt;"",X273&gt;=100),"Completed — on track",IF(L273="Remaining",IF(S273="",IF(V273="","No planned date",IF(TODAY()&gt;V273,"Behind — past planned date",IF(V273-TODAY()&lt;=30,"At risk — close to off track","On track"))),IF(TODAY()&gt;S273,"Behind — award date passed",IF(S273-TODAY()&lt;=30,"At risk — close to off track","On track"))),IF(V273="","No planned date",IF(AND(TODAY()&gt;V273,OR(X273="",X273&lt;100)),"Behind — past end date",IF(AND(R273&lt;&gt;"",V273&lt;&gt;"",X273&lt;&gt;"",(X273&lt;100),((TODAY()-R273)/MAX(V273-R273,1)*100)-X273&gt;15),"Behind — progress lag",IF(AND(V273-TODAY()&lt;=30,V273-TODAY()&gt;=0,OR(X273="",X273&lt;90)),"At risk — close to off track","On track"))))))))</t>
        </is>
      </c>
      <c r="AF273" s="38" t="inlineStr">
        <is>
          <t>IF(OR(E273="",AA273="Completed / Handover",AA273="Cancelled"),"",IF(L273="Remaining",IF(S273&lt;&gt;"",S273-TODAY(),IF(V273="","",V273-TODAY())),IF(V273="","",V273-TODAY())))</t>
        </is>
      </c>
      <c r="AG273" s="44" t="n"/>
      <c r="AH273" s="44" t="n"/>
      <c r="AI273" s="44" t="n"/>
      <c r="AJ273" s="44" t="n"/>
      <c r="AK273" s="44" t="n"/>
      <c r="AL273" s="44" t="n"/>
      <c r="AM273" s="44" t="n"/>
      <c r="AN273" s="44" t="n"/>
      <c r="AO273" s="44" t="n"/>
      <c r="AP273" s="44" t="n"/>
      <c r="AQ273" s="44" t="n"/>
      <c r="AR273" s="40" t="n"/>
      <c r="AS273" s="40" t="n"/>
      <c r="AT273" s="40" t="n"/>
      <c r="AU273" s="38" t="inlineStr">
        <is>
          <t>IF(OR(E273="",AH273=""),"",IF(COUNT(AG273:AG273)=0,"",AH273-LOOKUP(2,1/(AG273:AG273&lt;&gt;""),AG273:AG273)))</t>
        </is>
      </c>
      <c r="AV273" s="38" t="inlineStr">
        <is>
          <t>IF(OR(E273="",AI273=""),"",IF(COUNT(AG273:AH273)=0,"",AI273-LOOKUP(2,1/(AG273:AH273&lt;&gt;""),AG273:AH273)))</t>
        </is>
      </c>
      <c r="AW273" s="38" t="inlineStr">
        <is>
          <t>IF(OR(E273="",AJ273=""),"",IF(COUNT(AG273:AI273)=0,"",AJ273-LOOKUP(2,1/(AG273:AI273&lt;&gt;""),AG273:AI273)))</t>
        </is>
      </c>
      <c r="AX273" s="38" t="inlineStr">
        <is>
          <t>IF(OR(E273="",AK273=""),"",IF(COUNT(AG273:AJ273)=0,"",AK273-LOOKUP(2,1/(AG273:AJ273&lt;&gt;""),AG273:AJ273)))</t>
        </is>
      </c>
      <c r="AY273" s="38" t="inlineStr">
        <is>
          <t>IF(OR(E273="",AL273=""),"",IF(COUNT(AG273:AK273)=0,"",AL273-LOOKUP(2,1/(AG273:AK273&lt;&gt;""),AG273:AK273)))</t>
        </is>
      </c>
      <c r="AZ273" s="38" t="inlineStr">
        <is>
          <t>IF(OR(E273="",AM273=""),"",IF(COUNT(AG273:AL273)=0,"",AM273-LOOKUP(2,1/(AG273:AL273&lt;&gt;""),AG273:AL273)))</t>
        </is>
      </c>
      <c r="BA273" s="38" t="inlineStr">
        <is>
          <t>IF(OR(E273="",AN273=""),"",IF(COUNT(AG273:AM273)=0,"",AN273-LOOKUP(2,1/(AG273:AM273&lt;&gt;""),AG273:AM273)))</t>
        </is>
      </c>
      <c r="BB273" s="38" t="inlineStr">
        <is>
          <t>IF(OR(E273="",AO273=""),"",IF(COUNT(AG273:AN273)=0,"",AO273-LOOKUP(2,1/(AG273:AN273&lt;&gt;""),AG273:AN273)))</t>
        </is>
      </c>
      <c r="BC273" s="38" t="inlineStr">
        <is>
          <t>IF(OR(E273="",AP273=""),"",IF(COUNT(AG273:AO273)=0,"",AP273-LOOKUP(2,1/(AG273:AO273&lt;&gt;""),AG273:AO273)))</t>
        </is>
      </c>
      <c r="BD273" s="38" t="inlineStr">
        <is>
          <t>IF(OR(E273="",AQ273=""),"",IF(COUNT(AG273:AP273)=0,"",AQ273-LOOKUP(2,1/(AG273:AP273&lt;&gt;""),AG273:AP273)))</t>
        </is>
      </c>
      <c r="BE273" s="38" t="inlineStr">
        <is>
          <t>IF(OR(E273="",AR273=""),"",IF(COUNT(AG273:AQ273)=0,"",AR273-LOOKUP(2,1/(AG273:AQ273&lt;&gt;""),AG273:AQ273)))</t>
        </is>
      </c>
      <c r="BF273" s="38" t="inlineStr">
        <is>
          <t>IF(OR(E273="",AS273=""),"",IF(COUNT(AG273:AR273)=0,"",AS273-LOOKUP(2,1/(AG273:AR273&lt;&gt;""),AG273:AR273)))</t>
        </is>
      </c>
      <c r="BG273" s="38" t="inlineStr">
        <is>
          <t>IF(OR(E273="",AT273=""),"",IF(COUNT(AG273:AS273)=0,"",AT273-LOOKUP(2,1/(AG273:AS273&lt;&gt;""),AG273:AS273)))</t>
        </is>
      </c>
      <c r="BH273" s="41" t="inlineStr">
        <is>
          <t>IF(G273="","All_Provinces",IFERROR(VLOOKUP(G273,'07_Lookups'!$A$4:$B$20,2,FALSE),"All_Provinces"))</t>
        </is>
      </c>
      <c r="BI273" s="41" t="inlineStr">
        <is>
          <t>IF(H273="","All_Districts",IFERROR(VLOOKUP(H273,'07_Lookups'!$E$4:$F$42,2,FALSE),"All_Districts"))</t>
        </is>
      </c>
    </row>
    <row r="274" ht="18" customHeight="1">
      <c r="A274" s="32" t="inlineStr">
        <is>
          <t>IF(E274="","",ROW()-3)</t>
        </is>
      </c>
      <c r="B274" s="33" t="n"/>
      <c r="C274" s="33" t="n"/>
      <c r="D274" s="33" t="n"/>
      <c r="E274" s="33" t="n"/>
      <c r="F274" s="33" t="n"/>
      <c r="G274" s="33" t="n"/>
      <c r="H274" s="33" t="n"/>
      <c r="I274" s="33" t="n"/>
      <c r="J274" s="33" t="n"/>
      <c r="K274" s="33" t="n"/>
      <c r="L274" s="33" t="n"/>
      <c r="M274" s="33" t="n"/>
      <c r="N274" s="33" t="n"/>
      <c r="O274" s="33" t="n"/>
      <c r="P274" s="33" t="n"/>
      <c r="Q274" s="34" t="n"/>
      <c r="R274" s="35" t="inlineStr">
        <is>
          <t>IF(AO274="","",AO274)</t>
        </is>
      </c>
      <c r="S274" s="36" t="n"/>
      <c r="T274" s="37" t="n"/>
      <c r="U274" s="36" t="n"/>
      <c r="V274" s="35" t="inlineStr">
        <is>
          <t>IF(U274&lt;&gt;"",U274,IF(OR(R274="",T274=""),"",EDATE(R274,T274)))</t>
        </is>
      </c>
      <c r="W274" s="36" t="n"/>
      <c r="X274" s="37" t="n"/>
      <c r="Y274" s="33" t="n"/>
      <c r="Z274" s="33" t="n"/>
      <c r="AA274" s="32" t="inlineStr">
        <is>
          <t>IF(E274="","",IF(COUNT(AG274:AT274)=0,IF(Y274="","Not started",Y274),SUBSTITUTE(LOOKUP(2,1/(AG274:AT274&lt;&gt;""),$AG$3:$AT$3),"Date: ","")))</t>
        </is>
      </c>
      <c r="AB274" s="38" t="inlineStr">
        <is>
          <t>IF(OR(E274="",COUNT(AG274:AT274)=0),"",TODAY()-LOOKUP(2,1/(AG274:AT274&lt;&gt;""),AG274:AT274))</t>
        </is>
      </c>
      <c r="AC274" s="38" t="inlineStr">
        <is>
          <t>IF(OR(E274="",COUNT(AG274:AT274)&lt;2),"",LOOKUP(2,1/(AG274:AT274&lt;&gt;""),AG274:AT274)-MIN(AG274:AT274))</t>
        </is>
      </c>
      <c r="AD274" s="38" t="inlineStr">
        <is>
          <t>IF(OR(AB274="",AA274="Not started",AA274=""),"",IFERROR(AB274-IF(VLOOKUP(AA274,'04_Status_Pipeline'!$B$3:$E$20,4,FALSE)="",0,VLOOKUP(AA274,'04_Status_Pipeline'!$B$3:$E$20,4,FALSE)),""))</t>
        </is>
      </c>
      <c r="AE274" s="32" t="inlineStr">
        <is>
          <t>IF(E274="","",IF(OR(Y274="Cancelled",AA274="Cancelled"),"Cancelled",IF(OR(AA274="Completed / Handover",W274&lt;&gt;"",X274&gt;=100),"Completed — on track",IF(L274="Remaining",IF(S274="",IF(V274="","No planned date",IF(TODAY()&gt;V274,"Behind — past planned date",IF(V274-TODAY()&lt;=30,"At risk — close to off track","On track"))),IF(TODAY()&gt;S274,"Behind — award date passed",IF(S274-TODAY()&lt;=30,"At risk — close to off track","On track"))),IF(V274="","No planned date",IF(AND(TODAY()&gt;V274,OR(X274="",X274&lt;100)),"Behind — past end date",IF(AND(R274&lt;&gt;"",V274&lt;&gt;"",X274&lt;&gt;"",(X274&lt;100),((TODAY()-R274)/MAX(V274-R274,1)*100)-X274&gt;15),"Behind — progress lag",IF(AND(V274-TODAY()&lt;=30,V274-TODAY()&gt;=0,OR(X274="",X274&lt;90)),"At risk — close to off track","On track"))))))))</t>
        </is>
      </c>
      <c r="AF274" s="38" t="inlineStr">
        <is>
          <t>IF(OR(E274="",AA274="Completed / Handover",AA274="Cancelled"),"",IF(L274="Remaining",IF(S274&lt;&gt;"",S274-TODAY(),IF(V274="","",V274-TODAY())),IF(V274="","",V274-TODAY())))</t>
        </is>
      </c>
      <c r="AG274" s="36" t="n"/>
      <c r="AH274" s="36" t="n"/>
      <c r="AI274" s="36" t="n"/>
      <c r="AJ274" s="36" t="n"/>
      <c r="AK274" s="36" t="n"/>
      <c r="AL274" s="36" t="n"/>
      <c r="AM274" s="36" t="n"/>
      <c r="AN274" s="36" t="n"/>
      <c r="AO274" s="36" t="n"/>
      <c r="AP274" s="36" t="n"/>
      <c r="AQ274" s="36" t="n"/>
      <c r="AR274" s="40" t="n"/>
      <c r="AS274" s="40" t="n"/>
      <c r="AT274" s="40" t="n"/>
      <c r="AU274" s="38" t="inlineStr">
        <is>
          <t>IF(OR(E274="",AH274=""),"",IF(COUNT(AG274:AG274)=0,"",AH274-LOOKUP(2,1/(AG274:AG274&lt;&gt;""),AG274:AG274)))</t>
        </is>
      </c>
      <c r="AV274" s="38" t="inlineStr">
        <is>
          <t>IF(OR(E274="",AI274=""),"",IF(COUNT(AG274:AH274)=0,"",AI274-LOOKUP(2,1/(AG274:AH274&lt;&gt;""),AG274:AH274)))</t>
        </is>
      </c>
      <c r="AW274" s="38" t="inlineStr">
        <is>
          <t>IF(OR(E274="",AJ274=""),"",IF(COUNT(AG274:AI274)=0,"",AJ274-LOOKUP(2,1/(AG274:AI274&lt;&gt;""),AG274:AI274)))</t>
        </is>
      </c>
      <c r="AX274" s="38" t="inlineStr">
        <is>
          <t>IF(OR(E274="",AK274=""),"",IF(COUNT(AG274:AJ274)=0,"",AK274-LOOKUP(2,1/(AG274:AJ274&lt;&gt;""),AG274:AJ274)))</t>
        </is>
      </c>
      <c r="AY274" s="38" t="inlineStr">
        <is>
          <t>IF(OR(E274="",AL274=""),"",IF(COUNT(AG274:AK274)=0,"",AL274-LOOKUP(2,1/(AG274:AK274&lt;&gt;""),AG274:AK274)))</t>
        </is>
      </c>
      <c r="AZ274" s="38" t="inlineStr">
        <is>
          <t>IF(OR(E274="",AM274=""),"",IF(COUNT(AG274:AL274)=0,"",AM274-LOOKUP(2,1/(AG274:AL274&lt;&gt;""),AG274:AL274)))</t>
        </is>
      </c>
      <c r="BA274" s="38" t="inlineStr">
        <is>
          <t>IF(OR(E274="",AN274=""),"",IF(COUNT(AG274:AM274)=0,"",AN274-LOOKUP(2,1/(AG274:AM274&lt;&gt;""),AG274:AM274)))</t>
        </is>
      </c>
      <c r="BB274" s="38" t="inlineStr">
        <is>
          <t>IF(OR(E274="",AO274=""),"",IF(COUNT(AG274:AN274)=0,"",AO274-LOOKUP(2,1/(AG274:AN274&lt;&gt;""),AG274:AN274)))</t>
        </is>
      </c>
      <c r="BC274" s="38" t="inlineStr">
        <is>
          <t>IF(OR(E274="",AP274=""),"",IF(COUNT(AG274:AO274)=0,"",AP274-LOOKUP(2,1/(AG274:AO274&lt;&gt;""),AG274:AO274)))</t>
        </is>
      </c>
      <c r="BD274" s="38" t="inlineStr">
        <is>
          <t>IF(OR(E274="",AQ274=""),"",IF(COUNT(AG274:AP274)=0,"",AQ274-LOOKUP(2,1/(AG274:AP274&lt;&gt;""),AG274:AP274)))</t>
        </is>
      </c>
      <c r="BE274" s="38" t="inlineStr">
        <is>
          <t>IF(OR(E274="",AR274=""),"",IF(COUNT(AG274:AQ274)=0,"",AR274-LOOKUP(2,1/(AG274:AQ274&lt;&gt;""),AG274:AQ274)))</t>
        </is>
      </c>
      <c r="BF274" s="38" t="inlineStr">
        <is>
          <t>IF(OR(E274="",AS274=""),"",IF(COUNT(AG274:AR274)=0,"",AS274-LOOKUP(2,1/(AG274:AR274&lt;&gt;""),AG274:AR274)))</t>
        </is>
      </c>
      <c r="BG274" s="38" t="inlineStr">
        <is>
          <t>IF(OR(E274="",AT274=""),"",IF(COUNT(AG274:AS274)=0,"",AT274-LOOKUP(2,1/(AG274:AS274&lt;&gt;""),AG274:AS274)))</t>
        </is>
      </c>
      <c r="BH274" s="41" t="inlineStr">
        <is>
          <t>IF(G274="","All_Provinces",IFERROR(VLOOKUP(G274,'07_Lookups'!$A$4:$B$20,2,FALSE),"All_Provinces"))</t>
        </is>
      </c>
      <c r="BI274" s="41" t="inlineStr">
        <is>
          <t>IF(H274="","All_Districts",IFERROR(VLOOKUP(H274,'07_Lookups'!$E$4:$F$42,2,FALSE),"All_Districts"))</t>
        </is>
      </c>
    </row>
    <row r="275" ht="18" customHeight="1">
      <c r="A275" s="32" t="inlineStr">
        <is>
          <t>IF(E275="","",ROW()-3)</t>
        </is>
      </c>
      <c r="B275" s="42" t="n"/>
      <c r="C275" s="42" t="n"/>
      <c r="D275" s="42" t="n"/>
      <c r="E275" s="42" t="n"/>
      <c r="F275" s="42" t="n"/>
      <c r="G275" s="42" t="n"/>
      <c r="H275" s="42" t="n"/>
      <c r="I275" s="42" t="n"/>
      <c r="J275" s="42" t="n"/>
      <c r="K275" s="42" t="n"/>
      <c r="L275" s="42" t="n"/>
      <c r="M275" s="42" t="n"/>
      <c r="N275" s="42" t="n"/>
      <c r="O275" s="42" t="n"/>
      <c r="P275" s="42" t="n"/>
      <c r="Q275" s="43" t="n"/>
      <c r="R275" s="35" t="inlineStr">
        <is>
          <t>IF(AO275="","",AO275)</t>
        </is>
      </c>
      <c r="S275" s="44" t="n"/>
      <c r="T275" s="45" t="n"/>
      <c r="U275" s="44" t="n"/>
      <c r="V275" s="35" t="inlineStr">
        <is>
          <t>IF(U275&lt;&gt;"",U275,IF(OR(R275="",T275=""),"",EDATE(R275,T275)))</t>
        </is>
      </c>
      <c r="W275" s="44" t="n"/>
      <c r="X275" s="45" t="n"/>
      <c r="Y275" s="42" t="n"/>
      <c r="Z275" s="42" t="n"/>
      <c r="AA275" s="32" t="inlineStr">
        <is>
          <t>IF(E275="","",IF(COUNT(AG275:AT275)=0,IF(Y275="","Not started",Y275),SUBSTITUTE(LOOKUP(2,1/(AG275:AT275&lt;&gt;""),$AG$3:$AT$3),"Date: ","")))</t>
        </is>
      </c>
      <c r="AB275" s="38" t="inlineStr">
        <is>
          <t>IF(OR(E275="",COUNT(AG275:AT275)=0),"",TODAY()-LOOKUP(2,1/(AG275:AT275&lt;&gt;""),AG275:AT275))</t>
        </is>
      </c>
      <c r="AC275" s="38" t="inlineStr">
        <is>
          <t>IF(OR(E275="",COUNT(AG275:AT275)&lt;2),"",LOOKUP(2,1/(AG275:AT275&lt;&gt;""),AG275:AT275)-MIN(AG275:AT275))</t>
        </is>
      </c>
      <c r="AD275" s="38" t="inlineStr">
        <is>
          <t>IF(OR(AB275="",AA275="Not started",AA275=""),"",IFERROR(AB275-IF(VLOOKUP(AA275,'04_Status_Pipeline'!$B$3:$E$20,4,FALSE)="",0,VLOOKUP(AA275,'04_Status_Pipeline'!$B$3:$E$20,4,FALSE)),""))</t>
        </is>
      </c>
      <c r="AE275" s="32" t="inlineStr">
        <is>
          <t>IF(E275="","",IF(OR(Y275="Cancelled",AA275="Cancelled"),"Cancelled",IF(OR(AA275="Completed / Handover",W275&lt;&gt;"",X275&gt;=100),"Completed — on track",IF(L275="Remaining",IF(S275="",IF(V275="","No planned date",IF(TODAY()&gt;V275,"Behind — past planned date",IF(V275-TODAY()&lt;=30,"At risk — close to off track","On track"))),IF(TODAY()&gt;S275,"Behind — award date passed",IF(S275-TODAY()&lt;=30,"At risk — close to off track","On track"))),IF(V275="","No planned date",IF(AND(TODAY()&gt;V275,OR(X275="",X275&lt;100)),"Behind — past end date",IF(AND(R275&lt;&gt;"",V275&lt;&gt;"",X275&lt;&gt;"",(X275&lt;100),((TODAY()-R275)/MAX(V275-R275,1)*100)-X275&gt;15),"Behind — progress lag",IF(AND(V275-TODAY()&lt;=30,V275-TODAY()&gt;=0,OR(X275="",X275&lt;90)),"At risk — close to off track","On track"))))))))</t>
        </is>
      </c>
      <c r="AF275" s="38" t="inlineStr">
        <is>
          <t>IF(OR(E275="",AA275="Completed / Handover",AA275="Cancelled"),"",IF(L275="Remaining",IF(S275&lt;&gt;"",S275-TODAY(),IF(V275="","",V275-TODAY())),IF(V275="","",V275-TODAY())))</t>
        </is>
      </c>
      <c r="AG275" s="44" t="n"/>
      <c r="AH275" s="44" t="n"/>
      <c r="AI275" s="44" t="n"/>
      <c r="AJ275" s="44" t="n"/>
      <c r="AK275" s="44" t="n"/>
      <c r="AL275" s="44" t="n"/>
      <c r="AM275" s="44" t="n"/>
      <c r="AN275" s="44" t="n"/>
      <c r="AO275" s="44" t="n"/>
      <c r="AP275" s="44" t="n"/>
      <c r="AQ275" s="44" t="n"/>
      <c r="AR275" s="40" t="n"/>
      <c r="AS275" s="40" t="n"/>
      <c r="AT275" s="40" t="n"/>
      <c r="AU275" s="38" t="inlineStr">
        <is>
          <t>IF(OR(E275="",AH275=""),"",IF(COUNT(AG275:AG275)=0,"",AH275-LOOKUP(2,1/(AG275:AG275&lt;&gt;""),AG275:AG275)))</t>
        </is>
      </c>
      <c r="AV275" s="38" t="inlineStr">
        <is>
          <t>IF(OR(E275="",AI275=""),"",IF(COUNT(AG275:AH275)=0,"",AI275-LOOKUP(2,1/(AG275:AH275&lt;&gt;""),AG275:AH275)))</t>
        </is>
      </c>
      <c r="AW275" s="38" t="inlineStr">
        <is>
          <t>IF(OR(E275="",AJ275=""),"",IF(COUNT(AG275:AI275)=0,"",AJ275-LOOKUP(2,1/(AG275:AI275&lt;&gt;""),AG275:AI275)))</t>
        </is>
      </c>
      <c r="AX275" s="38" t="inlineStr">
        <is>
          <t>IF(OR(E275="",AK275=""),"",IF(COUNT(AG275:AJ275)=0,"",AK275-LOOKUP(2,1/(AG275:AJ275&lt;&gt;""),AG275:AJ275)))</t>
        </is>
      </c>
      <c r="AY275" s="38" t="inlineStr">
        <is>
          <t>IF(OR(E275="",AL275=""),"",IF(COUNT(AG275:AK275)=0,"",AL275-LOOKUP(2,1/(AG275:AK275&lt;&gt;""),AG275:AK275)))</t>
        </is>
      </c>
      <c r="AZ275" s="38" t="inlineStr">
        <is>
          <t>IF(OR(E275="",AM275=""),"",IF(COUNT(AG275:AL275)=0,"",AM275-LOOKUP(2,1/(AG275:AL275&lt;&gt;""),AG275:AL275)))</t>
        </is>
      </c>
      <c r="BA275" s="38" t="inlineStr">
        <is>
          <t>IF(OR(E275="",AN275=""),"",IF(COUNT(AG275:AM275)=0,"",AN275-LOOKUP(2,1/(AG275:AM275&lt;&gt;""),AG275:AM275)))</t>
        </is>
      </c>
      <c r="BB275" s="38" t="inlineStr">
        <is>
          <t>IF(OR(E275="",AO275=""),"",IF(COUNT(AG275:AN275)=0,"",AO275-LOOKUP(2,1/(AG275:AN275&lt;&gt;""),AG275:AN275)))</t>
        </is>
      </c>
      <c r="BC275" s="38" t="inlineStr">
        <is>
          <t>IF(OR(E275="",AP275=""),"",IF(COUNT(AG275:AO275)=0,"",AP275-LOOKUP(2,1/(AG275:AO275&lt;&gt;""),AG275:AO275)))</t>
        </is>
      </c>
      <c r="BD275" s="38" t="inlineStr">
        <is>
          <t>IF(OR(E275="",AQ275=""),"",IF(COUNT(AG275:AP275)=0,"",AQ275-LOOKUP(2,1/(AG275:AP275&lt;&gt;""),AG275:AP275)))</t>
        </is>
      </c>
      <c r="BE275" s="38" t="inlineStr">
        <is>
          <t>IF(OR(E275="",AR275=""),"",IF(COUNT(AG275:AQ275)=0,"",AR275-LOOKUP(2,1/(AG275:AQ275&lt;&gt;""),AG275:AQ275)))</t>
        </is>
      </c>
      <c r="BF275" s="38" t="inlineStr">
        <is>
          <t>IF(OR(E275="",AS275=""),"",IF(COUNT(AG275:AR275)=0,"",AS275-LOOKUP(2,1/(AG275:AR275&lt;&gt;""),AG275:AR275)))</t>
        </is>
      </c>
      <c r="BG275" s="38" t="inlineStr">
        <is>
          <t>IF(OR(E275="",AT275=""),"",IF(COUNT(AG275:AS275)=0,"",AT275-LOOKUP(2,1/(AG275:AS275&lt;&gt;""),AG275:AS275)))</t>
        </is>
      </c>
      <c r="BH275" s="41" t="inlineStr">
        <is>
          <t>IF(G275="","All_Provinces",IFERROR(VLOOKUP(G275,'07_Lookups'!$A$4:$B$20,2,FALSE),"All_Provinces"))</t>
        </is>
      </c>
      <c r="BI275" s="41" t="inlineStr">
        <is>
          <t>IF(H275="","All_Districts",IFERROR(VLOOKUP(H275,'07_Lookups'!$E$4:$F$42,2,FALSE),"All_Districts"))</t>
        </is>
      </c>
    </row>
    <row r="276" ht="18" customHeight="1">
      <c r="A276" s="32" t="inlineStr">
        <is>
          <t>IF(E276="","",ROW()-3)</t>
        </is>
      </c>
      <c r="B276" s="33" t="n"/>
      <c r="C276" s="33" t="n"/>
      <c r="D276" s="33" t="n"/>
      <c r="E276" s="33" t="n"/>
      <c r="F276" s="33" t="n"/>
      <c r="G276" s="33" t="n"/>
      <c r="H276" s="33" t="n"/>
      <c r="I276" s="33" t="n"/>
      <c r="J276" s="33" t="n"/>
      <c r="K276" s="33" t="n"/>
      <c r="L276" s="33" t="n"/>
      <c r="M276" s="33" t="n"/>
      <c r="N276" s="33" t="n"/>
      <c r="O276" s="33" t="n"/>
      <c r="P276" s="33" t="n"/>
      <c r="Q276" s="34" t="n"/>
      <c r="R276" s="35" t="inlineStr">
        <is>
          <t>IF(AO276="","",AO276)</t>
        </is>
      </c>
      <c r="S276" s="36" t="n"/>
      <c r="T276" s="37" t="n"/>
      <c r="U276" s="36" t="n"/>
      <c r="V276" s="35" t="inlineStr">
        <is>
          <t>IF(U276&lt;&gt;"",U276,IF(OR(R276="",T276=""),"",EDATE(R276,T276)))</t>
        </is>
      </c>
      <c r="W276" s="36" t="n"/>
      <c r="X276" s="37" t="n"/>
      <c r="Y276" s="33" t="n"/>
      <c r="Z276" s="33" t="n"/>
      <c r="AA276" s="32" t="inlineStr">
        <is>
          <t>IF(E276="","",IF(COUNT(AG276:AT276)=0,IF(Y276="","Not started",Y276),SUBSTITUTE(LOOKUP(2,1/(AG276:AT276&lt;&gt;""),$AG$3:$AT$3),"Date: ","")))</t>
        </is>
      </c>
      <c r="AB276" s="38" t="inlineStr">
        <is>
          <t>IF(OR(E276="",COUNT(AG276:AT276)=0),"",TODAY()-LOOKUP(2,1/(AG276:AT276&lt;&gt;""),AG276:AT276))</t>
        </is>
      </c>
      <c r="AC276" s="38" t="inlineStr">
        <is>
          <t>IF(OR(E276="",COUNT(AG276:AT276)&lt;2),"",LOOKUP(2,1/(AG276:AT276&lt;&gt;""),AG276:AT276)-MIN(AG276:AT276))</t>
        </is>
      </c>
      <c r="AD276" s="38" t="inlineStr">
        <is>
          <t>IF(OR(AB276="",AA276="Not started",AA276=""),"",IFERROR(AB276-IF(VLOOKUP(AA276,'04_Status_Pipeline'!$B$3:$E$20,4,FALSE)="",0,VLOOKUP(AA276,'04_Status_Pipeline'!$B$3:$E$20,4,FALSE)),""))</t>
        </is>
      </c>
      <c r="AE276" s="32" t="inlineStr">
        <is>
          <t>IF(E276="","",IF(OR(Y276="Cancelled",AA276="Cancelled"),"Cancelled",IF(OR(AA276="Completed / Handover",W276&lt;&gt;"",X276&gt;=100),"Completed — on track",IF(L276="Remaining",IF(S276="",IF(V276="","No planned date",IF(TODAY()&gt;V276,"Behind — past planned date",IF(V276-TODAY()&lt;=30,"At risk — close to off track","On track"))),IF(TODAY()&gt;S276,"Behind — award date passed",IF(S276-TODAY()&lt;=30,"At risk — close to off track","On track"))),IF(V276="","No planned date",IF(AND(TODAY()&gt;V276,OR(X276="",X276&lt;100)),"Behind — past end date",IF(AND(R276&lt;&gt;"",V276&lt;&gt;"",X276&lt;&gt;"",(X276&lt;100),((TODAY()-R276)/MAX(V276-R276,1)*100)-X276&gt;15),"Behind — progress lag",IF(AND(V276-TODAY()&lt;=30,V276-TODAY()&gt;=0,OR(X276="",X276&lt;90)),"At risk — close to off track","On track"))))))))</t>
        </is>
      </c>
      <c r="AF276" s="38" t="inlineStr">
        <is>
          <t>IF(OR(E276="",AA276="Completed / Handover",AA276="Cancelled"),"",IF(L276="Remaining",IF(S276&lt;&gt;"",S276-TODAY(),IF(V276="","",V276-TODAY())),IF(V276="","",V276-TODAY())))</t>
        </is>
      </c>
      <c r="AG276" s="36" t="n"/>
      <c r="AH276" s="36" t="n"/>
      <c r="AI276" s="36" t="n"/>
      <c r="AJ276" s="36" t="n"/>
      <c r="AK276" s="36" t="n"/>
      <c r="AL276" s="36" t="n"/>
      <c r="AM276" s="36" t="n"/>
      <c r="AN276" s="36" t="n"/>
      <c r="AO276" s="36" t="n"/>
      <c r="AP276" s="36" t="n"/>
      <c r="AQ276" s="36" t="n"/>
      <c r="AR276" s="40" t="n"/>
      <c r="AS276" s="40" t="n"/>
      <c r="AT276" s="40" t="n"/>
      <c r="AU276" s="38" t="inlineStr">
        <is>
          <t>IF(OR(E276="",AH276=""),"",IF(COUNT(AG276:AG276)=0,"",AH276-LOOKUP(2,1/(AG276:AG276&lt;&gt;""),AG276:AG276)))</t>
        </is>
      </c>
      <c r="AV276" s="38" t="inlineStr">
        <is>
          <t>IF(OR(E276="",AI276=""),"",IF(COUNT(AG276:AH276)=0,"",AI276-LOOKUP(2,1/(AG276:AH276&lt;&gt;""),AG276:AH276)))</t>
        </is>
      </c>
      <c r="AW276" s="38" t="inlineStr">
        <is>
          <t>IF(OR(E276="",AJ276=""),"",IF(COUNT(AG276:AI276)=0,"",AJ276-LOOKUP(2,1/(AG276:AI276&lt;&gt;""),AG276:AI276)))</t>
        </is>
      </c>
      <c r="AX276" s="38" t="inlineStr">
        <is>
          <t>IF(OR(E276="",AK276=""),"",IF(COUNT(AG276:AJ276)=0,"",AK276-LOOKUP(2,1/(AG276:AJ276&lt;&gt;""),AG276:AJ276)))</t>
        </is>
      </c>
      <c r="AY276" s="38" t="inlineStr">
        <is>
          <t>IF(OR(E276="",AL276=""),"",IF(COUNT(AG276:AK276)=0,"",AL276-LOOKUP(2,1/(AG276:AK276&lt;&gt;""),AG276:AK276)))</t>
        </is>
      </c>
      <c r="AZ276" s="38" t="inlineStr">
        <is>
          <t>IF(OR(E276="",AM276=""),"",IF(COUNT(AG276:AL276)=0,"",AM276-LOOKUP(2,1/(AG276:AL276&lt;&gt;""),AG276:AL276)))</t>
        </is>
      </c>
      <c r="BA276" s="38" t="inlineStr">
        <is>
          <t>IF(OR(E276="",AN276=""),"",IF(COUNT(AG276:AM276)=0,"",AN276-LOOKUP(2,1/(AG276:AM276&lt;&gt;""),AG276:AM276)))</t>
        </is>
      </c>
      <c r="BB276" s="38" t="inlineStr">
        <is>
          <t>IF(OR(E276="",AO276=""),"",IF(COUNT(AG276:AN276)=0,"",AO276-LOOKUP(2,1/(AG276:AN276&lt;&gt;""),AG276:AN276)))</t>
        </is>
      </c>
      <c r="BC276" s="38" t="inlineStr">
        <is>
          <t>IF(OR(E276="",AP276=""),"",IF(COUNT(AG276:AO276)=0,"",AP276-LOOKUP(2,1/(AG276:AO276&lt;&gt;""),AG276:AO276)))</t>
        </is>
      </c>
      <c r="BD276" s="38" t="inlineStr">
        <is>
          <t>IF(OR(E276="",AQ276=""),"",IF(COUNT(AG276:AP276)=0,"",AQ276-LOOKUP(2,1/(AG276:AP276&lt;&gt;""),AG276:AP276)))</t>
        </is>
      </c>
      <c r="BE276" s="38" t="inlineStr">
        <is>
          <t>IF(OR(E276="",AR276=""),"",IF(COUNT(AG276:AQ276)=0,"",AR276-LOOKUP(2,1/(AG276:AQ276&lt;&gt;""),AG276:AQ276)))</t>
        </is>
      </c>
      <c r="BF276" s="38" t="inlineStr">
        <is>
          <t>IF(OR(E276="",AS276=""),"",IF(COUNT(AG276:AR276)=0,"",AS276-LOOKUP(2,1/(AG276:AR276&lt;&gt;""),AG276:AR276)))</t>
        </is>
      </c>
      <c r="BG276" s="38" t="inlineStr">
        <is>
          <t>IF(OR(E276="",AT276=""),"",IF(COUNT(AG276:AS276)=0,"",AT276-LOOKUP(2,1/(AG276:AS276&lt;&gt;""),AG276:AS276)))</t>
        </is>
      </c>
      <c r="BH276" s="41" t="inlineStr">
        <is>
          <t>IF(G276="","All_Provinces",IFERROR(VLOOKUP(G276,'07_Lookups'!$A$4:$B$20,2,FALSE),"All_Provinces"))</t>
        </is>
      </c>
      <c r="BI276" s="41" t="inlineStr">
        <is>
          <t>IF(H276="","All_Districts",IFERROR(VLOOKUP(H276,'07_Lookups'!$E$4:$F$42,2,FALSE),"All_Districts"))</t>
        </is>
      </c>
    </row>
    <row r="277" ht="18" customHeight="1">
      <c r="A277" s="32" t="inlineStr">
        <is>
          <t>IF(E277="","",ROW()-3)</t>
        </is>
      </c>
      <c r="B277" s="42" t="n"/>
      <c r="C277" s="42" t="n"/>
      <c r="D277" s="42" t="n"/>
      <c r="E277" s="42" t="n"/>
      <c r="F277" s="42" t="n"/>
      <c r="G277" s="42" t="n"/>
      <c r="H277" s="42" t="n"/>
      <c r="I277" s="42" t="n"/>
      <c r="J277" s="42" t="n"/>
      <c r="K277" s="42" t="n"/>
      <c r="L277" s="42" t="n"/>
      <c r="M277" s="42" t="n"/>
      <c r="N277" s="42" t="n"/>
      <c r="O277" s="42" t="n"/>
      <c r="P277" s="42" t="n"/>
      <c r="Q277" s="43" t="n"/>
      <c r="R277" s="35" t="inlineStr">
        <is>
          <t>IF(AO277="","",AO277)</t>
        </is>
      </c>
      <c r="S277" s="44" t="n"/>
      <c r="T277" s="45" t="n"/>
      <c r="U277" s="44" t="n"/>
      <c r="V277" s="35" t="inlineStr">
        <is>
          <t>IF(U277&lt;&gt;"",U277,IF(OR(R277="",T277=""),"",EDATE(R277,T277)))</t>
        </is>
      </c>
      <c r="W277" s="44" t="n"/>
      <c r="X277" s="45" t="n"/>
      <c r="Y277" s="42" t="n"/>
      <c r="Z277" s="42" t="n"/>
      <c r="AA277" s="32" t="inlineStr">
        <is>
          <t>IF(E277="","",IF(COUNT(AG277:AT277)=0,IF(Y277="","Not started",Y277),SUBSTITUTE(LOOKUP(2,1/(AG277:AT277&lt;&gt;""),$AG$3:$AT$3),"Date: ","")))</t>
        </is>
      </c>
      <c r="AB277" s="38" t="inlineStr">
        <is>
          <t>IF(OR(E277="",COUNT(AG277:AT277)=0),"",TODAY()-LOOKUP(2,1/(AG277:AT277&lt;&gt;""),AG277:AT277))</t>
        </is>
      </c>
      <c r="AC277" s="38" t="inlineStr">
        <is>
          <t>IF(OR(E277="",COUNT(AG277:AT277)&lt;2),"",LOOKUP(2,1/(AG277:AT277&lt;&gt;""),AG277:AT277)-MIN(AG277:AT277))</t>
        </is>
      </c>
      <c r="AD277" s="38" t="inlineStr">
        <is>
          <t>IF(OR(AB277="",AA277="Not started",AA277=""),"",IFERROR(AB277-IF(VLOOKUP(AA277,'04_Status_Pipeline'!$B$3:$E$20,4,FALSE)="",0,VLOOKUP(AA277,'04_Status_Pipeline'!$B$3:$E$20,4,FALSE)),""))</t>
        </is>
      </c>
      <c r="AE277" s="32" t="inlineStr">
        <is>
          <t>IF(E277="","",IF(OR(Y277="Cancelled",AA277="Cancelled"),"Cancelled",IF(OR(AA277="Completed / Handover",W277&lt;&gt;"",X277&gt;=100),"Completed — on track",IF(L277="Remaining",IF(S277="",IF(V277="","No planned date",IF(TODAY()&gt;V277,"Behind — past planned date",IF(V277-TODAY()&lt;=30,"At risk — close to off track","On track"))),IF(TODAY()&gt;S277,"Behind — award date passed",IF(S277-TODAY()&lt;=30,"At risk — close to off track","On track"))),IF(V277="","No planned date",IF(AND(TODAY()&gt;V277,OR(X277="",X277&lt;100)),"Behind — past end date",IF(AND(R277&lt;&gt;"",V277&lt;&gt;"",X277&lt;&gt;"",(X277&lt;100),((TODAY()-R277)/MAX(V277-R277,1)*100)-X277&gt;15),"Behind — progress lag",IF(AND(V277-TODAY()&lt;=30,V277-TODAY()&gt;=0,OR(X277="",X277&lt;90)),"At risk — close to off track","On track"))))))))</t>
        </is>
      </c>
      <c r="AF277" s="38" t="inlineStr">
        <is>
          <t>IF(OR(E277="",AA277="Completed / Handover",AA277="Cancelled"),"",IF(L277="Remaining",IF(S277&lt;&gt;"",S277-TODAY(),IF(V277="","",V277-TODAY())),IF(V277="","",V277-TODAY())))</t>
        </is>
      </c>
      <c r="AG277" s="44" t="n"/>
      <c r="AH277" s="44" t="n"/>
      <c r="AI277" s="44" t="n"/>
      <c r="AJ277" s="44" t="n"/>
      <c r="AK277" s="44" t="n"/>
      <c r="AL277" s="44" t="n"/>
      <c r="AM277" s="44" t="n"/>
      <c r="AN277" s="44" t="n"/>
      <c r="AO277" s="44" t="n"/>
      <c r="AP277" s="44" t="n"/>
      <c r="AQ277" s="44" t="n"/>
      <c r="AR277" s="40" t="n"/>
      <c r="AS277" s="40" t="n"/>
      <c r="AT277" s="40" t="n"/>
      <c r="AU277" s="38" t="inlineStr">
        <is>
          <t>IF(OR(E277="",AH277=""),"",IF(COUNT(AG277:AG277)=0,"",AH277-LOOKUP(2,1/(AG277:AG277&lt;&gt;""),AG277:AG277)))</t>
        </is>
      </c>
      <c r="AV277" s="38" t="inlineStr">
        <is>
          <t>IF(OR(E277="",AI277=""),"",IF(COUNT(AG277:AH277)=0,"",AI277-LOOKUP(2,1/(AG277:AH277&lt;&gt;""),AG277:AH277)))</t>
        </is>
      </c>
      <c r="AW277" s="38" t="inlineStr">
        <is>
          <t>IF(OR(E277="",AJ277=""),"",IF(COUNT(AG277:AI277)=0,"",AJ277-LOOKUP(2,1/(AG277:AI277&lt;&gt;""),AG277:AI277)))</t>
        </is>
      </c>
      <c r="AX277" s="38" t="inlineStr">
        <is>
          <t>IF(OR(E277="",AK277=""),"",IF(COUNT(AG277:AJ277)=0,"",AK277-LOOKUP(2,1/(AG277:AJ277&lt;&gt;""),AG277:AJ277)))</t>
        </is>
      </c>
      <c r="AY277" s="38" t="inlineStr">
        <is>
          <t>IF(OR(E277="",AL277=""),"",IF(COUNT(AG277:AK277)=0,"",AL277-LOOKUP(2,1/(AG277:AK277&lt;&gt;""),AG277:AK277)))</t>
        </is>
      </c>
      <c r="AZ277" s="38" t="inlineStr">
        <is>
          <t>IF(OR(E277="",AM277=""),"",IF(COUNT(AG277:AL277)=0,"",AM277-LOOKUP(2,1/(AG277:AL277&lt;&gt;""),AG277:AL277)))</t>
        </is>
      </c>
      <c r="BA277" s="38" t="inlineStr">
        <is>
          <t>IF(OR(E277="",AN277=""),"",IF(COUNT(AG277:AM277)=0,"",AN277-LOOKUP(2,1/(AG277:AM277&lt;&gt;""),AG277:AM277)))</t>
        </is>
      </c>
      <c r="BB277" s="38" t="inlineStr">
        <is>
          <t>IF(OR(E277="",AO277=""),"",IF(COUNT(AG277:AN277)=0,"",AO277-LOOKUP(2,1/(AG277:AN277&lt;&gt;""),AG277:AN277)))</t>
        </is>
      </c>
      <c r="BC277" s="38" t="inlineStr">
        <is>
          <t>IF(OR(E277="",AP277=""),"",IF(COUNT(AG277:AO277)=0,"",AP277-LOOKUP(2,1/(AG277:AO277&lt;&gt;""),AG277:AO277)))</t>
        </is>
      </c>
      <c r="BD277" s="38" t="inlineStr">
        <is>
          <t>IF(OR(E277="",AQ277=""),"",IF(COUNT(AG277:AP277)=0,"",AQ277-LOOKUP(2,1/(AG277:AP277&lt;&gt;""),AG277:AP277)))</t>
        </is>
      </c>
      <c r="BE277" s="38" t="inlineStr">
        <is>
          <t>IF(OR(E277="",AR277=""),"",IF(COUNT(AG277:AQ277)=0,"",AR277-LOOKUP(2,1/(AG277:AQ277&lt;&gt;""),AG277:AQ277)))</t>
        </is>
      </c>
      <c r="BF277" s="38" t="inlineStr">
        <is>
          <t>IF(OR(E277="",AS277=""),"",IF(COUNT(AG277:AR277)=0,"",AS277-LOOKUP(2,1/(AG277:AR277&lt;&gt;""),AG277:AR277)))</t>
        </is>
      </c>
      <c r="BG277" s="38" t="inlineStr">
        <is>
          <t>IF(OR(E277="",AT277=""),"",IF(COUNT(AG277:AS277)=0,"",AT277-LOOKUP(2,1/(AG277:AS277&lt;&gt;""),AG277:AS277)))</t>
        </is>
      </c>
      <c r="BH277" s="41" t="inlineStr">
        <is>
          <t>IF(G277="","All_Provinces",IFERROR(VLOOKUP(G277,'07_Lookups'!$A$4:$B$20,2,FALSE),"All_Provinces"))</t>
        </is>
      </c>
      <c r="BI277" s="41" t="inlineStr">
        <is>
          <t>IF(H277="","All_Districts",IFERROR(VLOOKUP(H277,'07_Lookups'!$E$4:$F$42,2,FALSE),"All_Districts"))</t>
        </is>
      </c>
    </row>
    <row r="278" ht="18" customHeight="1">
      <c r="A278" s="32" t="inlineStr">
        <is>
          <t>IF(E278="","",ROW()-3)</t>
        </is>
      </c>
      <c r="B278" s="33" t="n"/>
      <c r="C278" s="33" t="n"/>
      <c r="D278" s="33" t="n"/>
      <c r="E278" s="33" t="n"/>
      <c r="F278" s="33" t="n"/>
      <c r="G278" s="33" t="n"/>
      <c r="H278" s="33" t="n"/>
      <c r="I278" s="33" t="n"/>
      <c r="J278" s="33" t="n"/>
      <c r="K278" s="33" t="n"/>
      <c r="L278" s="33" t="n"/>
      <c r="M278" s="33" t="n"/>
      <c r="N278" s="33" t="n"/>
      <c r="O278" s="33" t="n"/>
      <c r="P278" s="33" t="n"/>
      <c r="Q278" s="34" t="n"/>
      <c r="R278" s="35" t="inlineStr">
        <is>
          <t>IF(AO278="","",AO278)</t>
        </is>
      </c>
      <c r="S278" s="36" t="n"/>
      <c r="T278" s="37" t="n"/>
      <c r="U278" s="36" t="n"/>
      <c r="V278" s="35" t="inlineStr">
        <is>
          <t>IF(U278&lt;&gt;"",U278,IF(OR(R278="",T278=""),"",EDATE(R278,T278)))</t>
        </is>
      </c>
      <c r="W278" s="36" t="n"/>
      <c r="X278" s="37" t="n"/>
      <c r="Y278" s="33" t="n"/>
      <c r="Z278" s="33" t="n"/>
      <c r="AA278" s="32" t="inlineStr">
        <is>
          <t>IF(E278="","",IF(COUNT(AG278:AT278)=0,IF(Y278="","Not started",Y278),SUBSTITUTE(LOOKUP(2,1/(AG278:AT278&lt;&gt;""),$AG$3:$AT$3),"Date: ","")))</t>
        </is>
      </c>
      <c r="AB278" s="38" t="inlineStr">
        <is>
          <t>IF(OR(E278="",COUNT(AG278:AT278)=0),"",TODAY()-LOOKUP(2,1/(AG278:AT278&lt;&gt;""),AG278:AT278))</t>
        </is>
      </c>
      <c r="AC278" s="38" t="inlineStr">
        <is>
          <t>IF(OR(E278="",COUNT(AG278:AT278)&lt;2),"",LOOKUP(2,1/(AG278:AT278&lt;&gt;""),AG278:AT278)-MIN(AG278:AT278))</t>
        </is>
      </c>
      <c r="AD278" s="38" t="inlineStr">
        <is>
          <t>IF(OR(AB278="",AA278="Not started",AA278=""),"",IFERROR(AB278-IF(VLOOKUP(AA278,'04_Status_Pipeline'!$B$3:$E$20,4,FALSE)="",0,VLOOKUP(AA278,'04_Status_Pipeline'!$B$3:$E$20,4,FALSE)),""))</t>
        </is>
      </c>
      <c r="AE278" s="32" t="inlineStr">
        <is>
          <t>IF(E278="","",IF(OR(Y278="Cancelled",AA278="Cancelled"),"Cancelled",IF(OR(AA278="Completed / Handover",W278&lt;&gt;"",X278&gt;=100),"Completed — on track",IF(L278="Remaining",IF(S278="",IF(V278="","No planned date",IF(TODAY()&gt;V278,"Behind — past planned date",IF(V278-TODAY()&lt;=30,"At risk — close to off track","On track"))),IF(TODAY()&gt;S278,"Behind — award date passed",IF(S278-TODAY()&lt;=30,"At risk — close to off track","On track"))),IF(V278="","No planned date",IF(AND(TODAY()&gt;V278,OR(X278="",X278&lt;100)),"Behind — past end date",IF(AND(R278&lt;&gt;"",V278&lt;&gt;"",X278&lt;&gt;"",(X278&lt;100),((TODAY()-R278)/MAX(V278-R278,1)*100)-X278&gt;15),"Behind — progress lag",IF(AND(V278-TODAY()&lt;=30,V278-TODAY()&gt;=0,OR(X278="",X278&lt;90)),"At risk — close to off track","On track"))))))))</t>
        </is>
      </c>
      <c r="AF278" s="38" t="inlineStr">
        <is>
          <t>IF(OR(E278="",AA278="Completed / Handover",AA278="Cancelled"),"",IF(L278="Remaining",IF(S278&lt;&gt;"",S278-TODAY(),IF(V278="","",V278-TODAY())),IF(V278="","",V278-TODAY())))</t>
        </is>
      </c>
      <c r="AG278" s="36" t="n"/>
      <c r="AH278" s="36" t="n"/>
      <c r="AI278" s="36" t="n"/>
      <c r="AJ278" s="36" t="n"/>
      <c r="AK278" s="36" t="n"/>
      <c r="AL278" s="36" t="n"/>
      <c r="AM278" s="36" t="n"/>
      <c r="AN278" s="36" t="n"/>
      <c r="AO278" s="36" t="n"/>
      <c r="AP278" s="36" t="n"/>
      <c r="AQ278" s="36" t="n"/>
      <c r="AR278" s="40" t="n"/>
      <c r="AS278" s="40" t="n"/>
      <c r="AT278" s="40" t="n"/>
      <c r="AU278" s="38" t="inlineStr">
        <is>
          <t>IF(OR(E278="",AH278=""),"",IF(COUNT(AG278:AG278)=0,"",AH278-LOOKUP(2,1/(AG278:AG278&lt;&gt;""),AG278:AG278)))</t>
        </is>
      </c>
      <c r="AV278" s="38" t="inlineStr">
        <is>
          <t>IF(OR(E278="",AI278=""),"",IF(COUNT(AG278:AH278)=0,"",AI278-LOOKUP(2,1/(AG278:AH278&lt;&gt;""),AG278:AH278)))</t>
        </is>
      </c>
      <c r="AW278" s="38" t="inlineStr">
        <is>
          <t>IF(OR(E278="",AJ278=""),"",IF(COUNT(AG278:AI278)=0,"",AJ278-LOOKUP(2,1/(AG278:AI278&lt;&gt;""),AG278:AI278)))</t>
        </is>
      </c>
      <c r="AX278" s="38" t="inlineStr">
        <is>
          <t>IF(OR(E278="",AK278=""),"",IF(COUNT(AG278:AJ278)=0,"",AK278-LOOKUP(2,1/(AG278:AJ278&lt;&gt;""),AG278:AJ278)))</t>
        </is>
      </c>
      <c r="AY278" s="38" t="inlineStr">
        <is>
          <t>IF(OR(E278="",AL278=""),"",IF(COUNT(AG278:AK278)=0,"",AL278-LOOKUP(2,1/(AG278:AK278&lt;&gt;""),AG278:AK278)))</t>
        </is>
      </c>
      <c r="AZ278" s="38" t="inlineStr">
        <is>
          <t>IF(OR(E278="",AM278=""),"",IF(COUNT(AG278:AL278)=0,"",AM278-LOOKUP(2,1/(AG278:AL278&lt;&gt;""),AG278:AL278)))</t>
        </is>
      </c>
      <c r="BA278" s="38" t="inlineStr">
        <is>
          <t>IF(OR(E278="",AN278=""),"",IF(COUNT(AG278:AM278)=0,"",AN278-LOOKUP(2,1/(AG278:AM278&lt;&gt;""),AG278:AM278)))</t>
        </is>
      </c>
      <c r="BB278" s="38" t="inlineStr">
        <is>
          <t>IF(OR(E278="",AO278=""),"",IF(COUNT(AG278:AN278)=0,"",AO278-LOOKUP(2,1/(AG278:AN278&lt;&gt;""),AG278:AN278)))</t>
        </is>
      </c>
      <c r="BC278" s="38" t="inlineStr">
        <is>
          <t>IF(OR(E278="",AP278=""),"",IF(COUNT(AG278:AO278)=0,"",AP278-LOOKUP(2,1/(AG278:AO278&lt;&gt;""),AG278:AO278)))</t>
        </is>
      </c>
      <c r="BD278" s="38" t="inlineStr">
        <is>
          <t>IF(OR(E278="",AQ278=""),"",IF(COUNT(AG278:AP278)=0,"",AQ278-LOOKUP(2,1/(AG278:AP278&lt;&gt;""),AG278:AP278)))</t>
        </is>
      </c>
      <c r="BE278" s="38" t="inlineStr">
        <is>
          <t>IF(OR(E278="",AR278=""),"",IF(COUNT(AG278:AQ278)=0,"",AR278-LOOKUP(2,1/(AG278:AQ278&lt;&gt;""),AG278:AQ278)))</t>
        </is>
      </c>
      <c r="BF278" s="38" t="inlineStr">
        <is>
          <t>IF(OR(E278="",AS278=""),"",IF(COUNT(AG278:AR278)=0,"",AS278-LOOKUP(2,1/(AG278:AR278&lt;&gt;""),AG278:AR278)))</t>
        </is>
      </c>
      <c r="BG278" s="38" t="inlineStr">
        <is>
          <t>IF(OR(E278="",AT278=""),"",IF(COUNT(AG278:AS278)=0,"",AT278-LOOKUP(2,1/(AG278:AS278&lt;&gt;""),AG278:AS278)))</t>
        </is>
      </c>
      <c r="BH278" s="41" t="inlineStr">
        <is>
          <t>IF(G278="","All_Provinces",IFERROR(VLOOKUP(G278,'07_Lookups'!$A$4:$B$20,2,FALSE),"All_Provinces"))</t>
        </is>
      </c>
      <c r="BI278" s="41" t="inlineStr">
        <is>
          <t>IF(H278="","All_Districts",IFERROR(VLOOKUP(H278,'07_Lookups'!$E$4:$F$42,2,FALSE),"All_Districts"))</t>
        </is>
      </c>
    </row>
    <row r="279" ht="18" customHeight="1">
      <c r="A279" s="32" t="inlineStr">
        <is>
          <t>IF(E279="","",ROW()-3)</t>
        </is>
      </c>
      <c r="B279" s="42" t="n"/>
      <c r="C279" s="42" t="n"/>
      <c r="D279" s="42" t="n"/>
      <c r="E279" s="42" t="n"/>
      <c r="F279" s="42" t="n"/>
      <c r="G279" s="42" t="n"/>
      <c r="H279" s="42" t="n"/>
      <c r="I279" s="42" t="n"/>
      <c r="J279" s="42" t="n"/>
      <c r="K279" s="42" t="n"/>
      <c r="L279" s="42" t="n"/>
      <c r="M279" s="42" t="n"/>
      <c r="N279" s="42" t="n"/>
      <c r="O279" s="42" t="n"/>
      <c r="P279" s="42" t="n"/>
      <c r="Q279" s="43" t="n"/>
      <c r="R279" s="35" t="inlineStr">
        <is>
          <t>IF(AO279="","",AO279)</t>
        </is>
      </c>
      <c r="S279" s="44" t="n"/>
      <c r="T279" s="45" t="n"/>
      <c r="U279" s="44" t="n"/>
      <c r="V279" s="35" t="inlineStr">
        <is>
          <t>IF(U279&lt;&gt;"",U279,IF(OR(R279="",T279=""),"",EDATE(R279,T279)))</t>
        </is>
      </c>
      <c r="W279" s="44" t="n"/>
      <c r="X279" s="45" t="n"/>
      <c r="Y279" s="42" t="n"/>
      <c r="Z279" s="42" t="n"/>
      <c r="AA279" s="32" t="inlineStr">
        <is>
          <t>IF(E279="","",IF(COUNT(AG279:AT279)=0,IF(Y279="","Not started",Y279),SUBSTITUTE(LOOKUP(2,1/(AG279:AT279&lt;&gt;""),$AG$3:$AT$3),"Date: ","")))</t>
        </is>
      </c>
      <c r="AB279" s="38" t="inlineStr">
        <is>
          <t>IF(OR(E279="",COUNT(AG279:AT279)=0),"",TODAY()-LOOKUP(2,1/(AG279:AT279&lt;&gt;""),AG279:AT279))</t>
        </is>
      </c>
      <c r="AC279" s="38" t="inlineStr">
        <is>
          <t>IF(OR(E279="",COUNT(AG279:AT279)&lt;2),"",LOOKUP(2,1/(AG279:AT279&lt;&gt;""),AG279:AT279)-MIN(AG279:AT279))</t>
        </is>
      </c>
      <c r="AD279" s="38" t="inlineStr">
        <is>
          <t>IF(OR(AB279="",AA279="Not started",AA279=""),"",IFERROR(AB279-IF(VLOOKUP(AA279,'04_Status_Pipeline'!$B$3:$E$20,4,FALSE)="",0,VLOOKUP(AA279,'04_Status_Pipeline'!$B$3:$E$20,4,FALSE)),""))</t>
        </is>
      </c>
      <c r="AE279" s="32" t="inlineStr">
        <is>
          <t>IF(E279="","",IF(OR(Y279="Cancelled",AA279="Cancelled"),"Cancelled",IF(OR(AA279="Completed / Handover",W279&lt;&gt;"",X279&gt;=100),"Completed — on track",IF(L279="Remaining",IF(S279="",IF(V279="","No planned date",IF(TODAY()&gt;V279,"Behind — past planned date",IF(V279-TODAY()&lt;=30,"At risk — close to off track","On track"))),IF(TODAY()&gt;S279,"Behind — award date passed",IF(S279-TODAY()&lt;=30,"At risk — close to off track","On track"))),IF(V279="","No planned date",IF(AND(TODAY()&gt;V279,OR(X279="",X279&lt;100)),"Behind — past end date",IF(AND(R279&lt;&gt;"",V279&lt;&gt;"",X279&lt;&gt;"",(X279&lt;100),((TODAY()-R279)/MAX(V279-R279,1)*100)-X279&gt;15),"Behind — progress lag",IF(AND(V279-TODAY()&lt;=30,V279-TODAY()&gt;=0,OR(X279="",X279&lt;90)),"At risk — close to off track","On track"))))))))</t>
        </is>
      </c>
      <c r="AF279" s="38" t="inlineStr">
        <is>
          <t>IF(OR(E279="",AA279="Completed / Handover",AA279="Cancelled"),"",IF(L279="Remaining",IF(S279&lt;&gt;"",S279-TODAY(),IF(V279="","",V279-TODAY())),IF(V279="","",V279-TODAY())))</t>
        </is>
      </c>
      <c r="AG279" s="44" t="n"/>
      <c r="AH279" s="44" t="n"/>
      <c r="AI279" s="44" t="n"/>
      <c r="AJ279" s="44" t="n"/>
      <c r="AK279" s="44" t="n"/>
      <c r="AL279" s="44" t="n"/>
      <c r="AM279" s="44" t="n"/>
      <c r="AN279" s="44" t="n"/>
      <c r="AO279" s="44" t="n"/>
      <c r="AP279" s="44" t="n"/>
      <c r="AQ279" s="44" t="n"/>
      <c r="AR279" s="40" t="n"/>
      <c r="AS279" s="40" t="n"/>
      <c r="AT279" s="40" t="n"/>
      <c r="AU279" s="38" t="inlineStr">
        <is>
          <t>IF(OR(E279="",AH279=""),"",IF(COUNT(AG279:AG279)=0,"",AH279-LOOKUP(2,1/(AG279:AG279&lt;&gt;""),AG279:AG279)))</t>
        </is>
      </c>
      <c r="AV279" s="38" t="inlineStr">
        <is>
          <t>IF(OR(E279="",AI279=""),"",IF(COUNT(AG279:AH279)=0,"",AI279-LOOKUP(2,1/(AG279:AH279&lt;&gt;""),AG279:AH279)))</t>
        </is>
      </c>
      <c r="AW279" s="38" t="inlineStr">
        <is>
          <t>IF(OR(E279="",AJ279=""),"",IF(COUNT(AG279:AI279)=0,"",AJ279-LOOKUP(2,1/(AG279:AI279&lt;&gt;""),AG279:AI279)))</t>
        </is>
      </c>
      <c r="AX279" s="38" t="inlineStr">
        <is>
          <t>IF(OR(E279="",AK279=""),"",IF(COUNT(AG279:AJ279)=0,"",AK279-LOOKUP(2,1/(AG279:AJ279&lt;&gt;""),AG279:AJ279)))</t>
        </is>
      </c>
      <c r="AY279" s="38" t="inlineStr">
        <is>
          <t>IF(OR(E279="",AL279=""),"",IF(COUNT(AG279:AK279)=0,"",AL279-LOOKUP(2,1/(AG279:AK279&lt;&gt;""),AG279:AK279)))</t>
        </is>
      </c>
      <c r="AZ279" s="38" t="inlineStr">
        <is>
          <t>IF(OR(E279="",AM279=""),"",IF(COUNT(AG279:AL279)=0,"",AM279-LOOKUP(2,1/(AG279:AL279&lt;&gt;""),AG279:AL279)))</t>
        </is>
      </c>
      <c r="BA279" s="38" t="inlineStr">
        <is>
          <t>IF(OR(E279="",AN279=""),"",IF(COUNT(AG279:AM279)=0,"",AN279-LOOKUP(2,1/(AG279:AM279&lt;&gt;""),AG279:AM279)))</t>
        </is>
      </c>
      <c r="BB279" s="38" t="inlineStr">
        <is>
          <t>IF(OR(E279="",AO279=""),"",IF(COUNT(AG279:AN279)=0,"",AO279-LOOKUP(2,1/(AG279:AN279&lt;&gt;""),AG279:AN279)))</t>
        </is>
      </c>
      <c r="BC279" s="38" t="inlineStr">
        <is>
          <t>IF(OR(E279="",AP279=""),"",IF(COUNT(AG279:AO279)=0,"",AP279-LOOKUP(2,1/(AG279:AO279&lt;&gt;""),AG279:AO279)))</t>
        </is>
      </c>
      <c r="BD279" s="38" t="inlineStr">
        <is>
          <t>IF(OR(E279="",AQ279=""),"",IF(COUNT(AG279:AP279)=0,"",AQ279-LOOKUP(2,1/(AG279:AP279&lt;&gt;""),AG279:AP279)))</t>
        </is>
      </c>
      <c r="BE279" s="38" t="inlineStr">
        <is>
          <t>IF(OR(E279="",AR279=""),"",IF(COUNT(AG279:AQ279)=0,"",AR279-LOOKUP(2,1/(AG279:AQ279&lt;&gt;""),AG279:AQ279)))</t>
        </is>
      </c>
      <c r="BF279" s="38" t="inlineStr">
        <is>
          <t>IF(OR(E279="",AS279=""),"",IF(COUNT(AG279:AR279)=0,"",AS279-LOOKUP(2,1/(AG279:AR279&lt;&gt;""),AG279:AR279)))</t>
        </is>
      </c>
      <c r="BG279" s="38" t="inlineStr">
        <is>
          <t>IF(OR(E279="",AT279=""),"",IF(COUNT(AG279:AS279)=0,"",AT279-LOOKUP(2,1/(AG279:AS279&lt;&gt;""),AG279:AS279)))</t>
        </is>
      </c>
      <c r="BH279" s="41" t="inlineStr">
        <is>
          <t>IF(G279="","All_Provinces",IFERROR(VLOOKUP(G279,'07_Lookups'!$A$4:$B$20,2,FALSE),"All_Provinces"))</t>
        </is>
      </c>
      <c r="BI279" s="41" t="inlineStr">
        <is>
          <t>IF(H279="","All_Districts",IFERROR(VLOOKUP(H279,'07_Lookups'!$E$4:$F$42,2,FALSE),"All_Districts"))</t>
        </is>
      </c>
    </row>
    <row r="280" ht="18" customHeight="1">
      <c r="A280" s="32" t="inlineStr">
        <is>
          <t>IF(E280="","",ROW()-3)</t>
        </is>
      </c>
      <c r="B280" s="33" t="n"/>
      <c r="C280" s="33" t="n"/>
      <c r="D280" s="33" t="n"/>
      <c r="E280" s="33" t="n"/>
      <c r="F280" s="33" t="n"/>
      <c r="G280" s="33" t="n"/>
      <c r="H280" s="33" t="n"/>
      <c r="I280" s="33" t="n"/>
      <c r="J280" s="33" t="n"/>
      <c r="K280" s="33" t="n"/>
      <c r="L280" s="33" t="n"/>
      <c r="M280" s="33" t="n"/>
      <c r="N280" s="33" t="n"/>
      <c r="O280" s="33" t="n"/>
      <c r="P280" s="33" t="n"/>
      <c r="Q280" s="34" t="n"/>
      <c r="R280" s="35" t="inlineStr">
        <is>
          <t>IF(AO280="","",AO280)</t>
        </is>
      </c>
      <c r="S280" s="36" t="n"/>
      <c r="T280" s="37" t="n"/>
      <c r="U280" s="36" t="n"/>
      <c r="V280" s="35" t="inlineStr">
        <is>
          <t>IF(U280&lt;&gt;"",U280,IF(OR(R280="",T280=""),"",EDATE(R280,T280)))</t>
        </is>
      </c>
      <c r="W280" s="36" t="n"/>
      <c r="X280" s="37" t="n"/>
      <c r="Y280" s="33" t="n"/>
      <c r="Z280" s="33" t="n"/>
      <c r="AA280" s="32" t="inlineStr">
        <is>
          <t>IF(E280="","",IF(COUNT(AG280:AT280)=0,IF(Y280="","Not started",Y280),SUBSTITUTE(LOOKUP(2,1/(AG280:AT280&lt;&gt;""),$AG$3:$AT$3),"Date: ","")))</t>
        </is>
      </c>
      <c r="AB280" s="38" t="inlineStr">
        <is>
          <t>IF(OR(E280="",COUNT(AG280:AT280)=0),"",TODAY()-LOOKUP(2,1/(AG280:AT280&lt;&gt;""),AG280:AT280))</t>
        </is>
      </c>
      <c r="AC280" s="38" t="inlineStr">
        <is>
          <t>IF(OR(E280="",COUNT(AG280:AT280)&lt;2),"",LOOKUP(2,1/(AG280:AT280&lt;&gt;""),AG280:AT280)-MIN(AG280:AT280))</t>
        </is>
      </c>
      <c r="AD280" s="38" t="inlineStr">
        <is>
          <t>IF(OR(AB280="",AA280="Not started",AA280=""),"",IFERROR(AB280-IF(VLOOKUP(AA280,'04_Status_Pipeline'!$B$3:$E$20,4,FALSE)="",0,VLOOKUP(AA280,'04_Status_Pipeline'!$B$3:$E$20,4,FALSE)),""))</t>
        </is>
      </c>
      <c r="AE280" s="32" t="inlineStr">
        <is>
          <t>IF(E280="","",IF(OR(Y280="Cancelled",AA280="Cancelled"),"Cancelled",IF(OR(AA280="Completed / Handover",W280&lt;&gt;"",X280&gt;=100),"Completed — on track",IF(L280="Remaining",IF(S280="",IF(V280="","No planned date",IF(TODAY()&gt;V280,"Behind — past planned date",IF(V280-TODAY()&lt;=30,"At risk — close to off track","On track"))),IF(TODAY()&gt;S280,"Behind — award date passed",IF(S280-TODAY()&lt;=30,"At risk — close to off track","On track"))),IF(V280="","No planned date",IF(AND(TODAY()&gt;V280,OR(X280="",X280&lt;100)),"Behind — past end date",IF(AND(R280&lt;&gt;"",V280&lt;&gt;"",X280&lt;&gt;"",(X280&lt;100),((TODAY()-R280)/MAX(V280-R280,1)*100)-X280&gt;15),"Behind — progress lag",IF(AND(V280-TODAY()&lt;=30,V280-TODAY()&gt;=0,OR(X280="",X280&lt;90)),"At risk — close to off track","On track"))))))))</t>
        </is>
      </c>
      <c r="AF280" s="38" t="inlineStr">
        <is>
          <t>IF(OR(E280="",AA280="Completed / Handover",AA280="Cancelled"),"",IF(L280="Remaining",IF(S280&lt;&gt;"",S280-TODAY(),IF(V280="","",V280-TODAY())),IF(V280="","",V280-TODAY())))</t>
        </is>
      </c>
      <c r="AG280" s="36" t="n"/>
      <c r="AH280" s="36" t="n"/>
      <c r="AI280" s="36" t="n"/>
      <c r="AJ280" s="36" t="n"/>
      <c r="AK280" s="36" t="n"/>
      <c r="AL280" s="36" t="n"/>
      <c r="AM280" s="36" t="n"/>
      <c r="AN280" s="36" t="n"/>
      <c r="AO280" s="36" t="n"/>
      <c r="AP280" s="36" t="n"/>
      <c r="AQ280" s="36" t="n"/>
      <c r="AR280" s="40" t="n"/>
      <c r="AS280" s="40" t="n"/>
      <c r="AT280" s="40" t="n"/>
      <c r="AU280" s="38" t="inlineStr">
        <is>
          <t>IF(OR(E280="",AH280=""),"",IF(COUNT(AG280:AG280)=0,"",AH280-LOOKUP(2,1/(AG280:AG280&lt;&gt;""),AG280:AG280)))</t>
        </is>
      </c>
      <c r="AV280" s="38" t="inlineStr">
        <is>
          <t>IF(OR(E280="",AI280=""),"",IF(COUNT(AG280:AH280)=0,"",AI280-LOOKUP(2,1/(AG280:AH280&lt;&gt;""),AG280:AH280)))</t>
        </is>
      </c>
      <c r="AW280" s="38" t="inlineStr">
        <is>
          <t>IF(OR(E280="",AJ280=""),"",IF(COUNT(AG280:AI280)=0,"",AJ280-LOOKUP(2,1/(AG280:AI280&lt;&gt;""),AG280:AI280)))</t>
        </is>
      </c>
      <c r="AX280" s="38" t="inlineStr">
        <is>
          <t>IF(OR(E280="",AK280=""),"",IF(COUNT(AG280:AJ280)=0,"",AK280-LOOKUP(2,1/(AG280:AJ280&lt;&gt;""),AG280:AJ280)))</t>
        </is>
      </c>
      <c r="AY280" s="38" t="inlineStr">
        <is>
          <t>IF(OR(E280="",AL280=""),"",IF(COUNT(AG280:AK280)=0,"",AL280-LOOKUP(2,1/(AG280:AK280&lt;&gt;""),AG280:AK280)))</t>
        </is>
      </c>
      <c r="AZ280" s="38" t="inlineStr">
        <is>
          <t>IF(OR(E280="",AM280=""),"",IF(COUNT(AG280:AL280)=0,"",AM280-LOOKUP(2,1/(AG280:AL280&lt;&gt;""),AG280:AL280)))</t>
        </is>
      </c>
      <c r="BA280" s="38" t="inlineStr">
        <is>
          <t>IF(OR(E280="",AN280=""),"",IF(COUNT(AG280:AM280)=0,"",AN280-LOOKUP(2,1/(AG280:AM280&lt;&gt;""),AG280:AM280)))</t>
        </is>
      </c>
      <c r="BB280" s="38" t="inlineStr">
        <is>
          <t>IF(OR(E280="",AO280=""),"",IF(COUNT(AG280:AN280)=0,"",AO280-LOOKUP(2,1/(AG280:AN280&lt;&gt;""),AG280:AN280)))</t>
        </is>
      </c>
      <c r="BC280" s="38" t="inlineStr">
        <is>
          <t>IF(OR(E280="",AP280=""),"",IF(COUNT(AG280:AO280)=0,"",AP280-LOOKUP(2,1/(AG280:AO280&lt;&gt;""),AG280:AO280)))</t>
        </is>
      </c>
      <c r="BD280" s="38" t="inlineStr">
        <is>
          <t>IF(OR(E280="",AQ280=""),"",IF(COUNT(AG280:AP280)=0,"",AQ280-LOOKUP(2,1/(AG280:AP280&lt;&gt;""),AG280:AP280)))</t>
        </is>
      </c>
      <c r="BE280" s="38" t="inlineStr">
        <is>
          <t>IF(OR(E280="",AR280=""),"",IF(COUNT(AG280:AQ280)=0,"",AR280-LOOKUP(2,1/(AG280:AQ280&lt;&gt;""),AG280:AQ280)))</t>
        </is>
      </c>
      <c r="BF280" s="38" t="inlineStr">
        <is>
          <t>IF(OR(E280="",AS280=""),"",IF(COUNT(AG280:AR280)=0,"",AS280-LOOKUP(2,1/(AG280:AR280&lt;&gt;""),AG280:AR280)))</t>
        </is>
      </c>
      <c r="BG280" s="38" t="inlineStr">
        <is>
          <t>IF(OR(E280="",AT280=""),"",IF(COUNT(AG280:AS280)=0,"",AT280-LOOKUP(2,1/(AG280:AS280&lt;&gt;""),AG280:AS280)))</t>
        </is>
      </c>
      <c r="BH280" s="41" t="inlineStr">
        <is>
          <t>IF(G280="","All_Provinces",IFERROR(VLOOKUP(G280,'07_Lookups'!$A$4:$B$20,2,FALSE),"All_Provinces"))</t>
        </is>
      </c>
      <c r="BI280" s="41" t="inlineStr">
        <is>
          <t>IF(H280="","All_Districts",IFERROR(VLOOKUP(H280,'07_Lookups'!$E$4:$F$42,2,FALSE),"All_Districts"))</t>
        </is>
      </c>
    </row>
    <row r="281" ht="18" customHeight="1">
      <c r="A281" s="32" t="inlineStr">
        <is>
          <t>IF(E281="","",ROW()-3)</t>
        </is>
      </c>
      <c r="B281" s="42" t="n"/>
      <c r="C281" s="42" t="n"/>
      <c r="D281" s="42" t="n"/>
      <c r="E281" s="42" t="n"/>
      <c r="F281" s="42" t="n"/>
      <c r="G281" s="42" t="n"/>
      <c r="H281" s="42" t="n"/>
      <c r="I281" s="42" t="n"/>
      <c r="J281" s="42" t="n"/>
      <c r="K281" s="42" t="n"/>
      <c r="L281" s="42" t="n"/>
      <c r="M281" s="42" t="n"/>
      <c r="N281" s="42" t="n"/>
      <c r="O281" s="42" t="n"/>
      <c r="P281" s="42" t="n"/>
      <c r="Q281" s="43" t="n"/>
      <c r="R281" s="35" t="inlineStr">
        <is>
          <t>IF(AO281="","",AO281)</t>
        </is>
      </c>
      <c r="S281" s="44" t="n"/>
      <c r="T281" s="45" t="n"/>
      <c r="U281" s="44" t="n"/>
      <c r="V281" s="35" t="inlineStr">
        <is>
          <t>IF(U281&lt;&gt;"",U281,IF(OR(R281="",T281=""),"",EDATE(R281,T281)))</t>
        </is>
      </c>
      <c r="W281" s="44" t="n"/>
      <c r="X281" s="45" t="n"/>
      <c r="Y281" s="42" t="n"/>
      <c r="Z281" s="42" t="n"/>
      <c r="AA281" s="32" t="inlineStr">
        <is>
          <t>IF(E281="","",IF(COUNT(AG281:AT281)=0,IF(Y281="","Not started",Y281),SUBSTITUTE(LOOKUP(2,1/(AG281:AT281&lt;&gt;""),$AG$3:$AT$3),"Date: ","")))</t>
        </is>
      </c>
      <c r="AB281" s="38" t="inlineStr">
        <is>
          <t>IF(OR(E281="",COUNT(AG281:AT281)=0),"",TODAY()-LOOKUP(2,1/(AG281:AT281&lt;&gt;""),AG281:AT281))</t>
        </is>
      </c>
      <c r="AC281" s="38" t="inlineStr">
        <is>
          <t>IF(OR(E281="",COUNT(AG281:AT281)&lt;2),"",LOOKUP(2,1/(AG281:AT281&lt;&gt;""),AG281:AT281)-MIN(AG281:AT281))</t>
        </is>
      </c>
      <c r="AD281" s="38" t="inlineStr">
        <is>
          <t>IF(OR(AB281="",AA281="Not started",AA281=""),"",IFERROR(AB281-IF(VLOOKUP(AA281,'04_Status_Pipeline'!$B$3:$E$20,4,FALSE)="",0,VLOOKUP(AA281,'04_Status_Pipeline'!$B$3:$E$20,4,FALSE)),""))</t>
        </is>
      </c>
      <c r="AE281" s="32" t="inlineStr">
        <is>
          <t>IF(E281="","",IF(OR(Y281="Cancelled",AA281="Cancelled"),"Cancelled",IF(OR(AA281="Completed / Handover",W281&lt;&gt;"",X281&gt;=100),"Completed — on track",IF(L281="Remaining",IF(S281="",IF(V281="","No planned date",IF(TODAY()&gt;V281,"Behind — past planned date",IF(V281-TODAY()&lt;=30,"At risk — close to off track","On track"))),IF(TODAY()&gt;S281,"Behind — award date passed",IF(S281-TODAY()&lt;=30,"At risk — close to off track","On track"))),IF(V281="","No planned date",IF(AND(TODAY()&gt;V281,OR(X281="",X281&lt;100)),"Behind — past end date",IF(AND(R281&lt;&gt;"",V281&lt;&gt;"",X281&lt;&gt;"",(X281&lt;100),((TODAY()-R281)/MAX(V281-R281,1)*100)-X281&gt;15),"Behind — progress lag",IF(AND(V281-TODAY()&lt;=30,V281-TODAY()&gt;=0,OR(X281="",X281&lt;90)),"At risk — close to off track","On track"))))))))</t>
        </is>
      </c>
      <c r="AF281" s="38" t="inlineStr">
        <is>
          <t>IF(OR(E281="",AA281="Completed / Handover",AA281="Cancelled"),"",IF(L281="Remaining",IF(S281&lt;&gt;"",S281-TODAY(),IF(V281="","",V281-TODAY())),IF(V281="","",V281-TODAY())))</t>
        </is>
      </c>
      <c r="AG281" s="44" t="n"/>
      <c r="AH281" s="44" t="n"/>
      <c r="AI281" s="44" t="n"/>
      <c r="AJ281" s="44" t="n"/>
      <c r="AK281" s="44" t="n"/>
      <c r="AL281" s="44" t="n"/>
      <c r="AM281" s="44" t="n"/>
      <c r="AN281" s="44" t="n"/>
      <c r="AO281" s="44" t="n"/>
      <c r="AP281" s="44" t="n"/>
      <c r="AQ281" s="44" t="n"/>
      <c r="AR281" s="40" t="n"/>
      <c r="AS281" s="40" t="n"/>
      <c r="AT281" s="40" t="n"/>
      <c r="AU281" s="38" t="inlineStr">
        <is>
          <t>IF(OR(E281="",AH281=""),"",IF(COUNT(AG281:AG281)=0,"",AH281-LOOKUP(2,1/(AG281:AG281&lt;&gt;""),AG281:AG281)))</t>
        </is>
      </c>
      <c r="AV281" s="38" t="inlineStr">
        <is>
          <t>IF(OR(E281="",AI281=""),"",IF(COUNT(AG281:AH281)=0,"",AI281-LOOKUP(2,1/(AG281:AH281&lt;&gt;""),AG281:AH281)))</t>
        </is>
      </c>
      <c r="AW281" s="38" t="inlineStr">
        <is>
          <t>IF(OR(E281="",AJ281=""),"",IF(COUNT(AG281:AI281)=0,"",AJ281-LOOKUP(2,1/(AG281:AI281&lt;&gt;""),AG281:AI281)))</t>
        </is>
      </c>
      <c r="AX281" s="38" t="inlineStr">
        <is>
          <t>IF(OR(E281="",AK281=""),"",IF(COUNT(AG281:AJ281)=0,"",AK281-LOOKUP(2,1/(AG281:AJ281&lt;&gt;""),AG281:AJ281)))</t>
        </is>
      </c>
      <c r="AY281" s="38" t="inlineStr">
        <is>
          <t>IF(OR(E281="",AL281=""),"",IF(COUNT(AG281:AK281)=0,"",AL281-LOOKUP(2,1/(AG281:AK281&lt;&gt;""),AG281:AK281)))</t>
        </is>
      </c>
      <c r="AZ281" s="38" t="inlineStr">
        <is>
          <t>IF(OR(E281="",AM281=""),"",IF(COUNT(AG281:AL281)=0,"",AM281-LOOKUP(2,1/(AG281:AL281&lt;&gt;""),AG281:AL281)))</t>
        </is>
      </c>
      <c r="BA281" s="38" t="inlineStr">
        <is>
          <t>IF(OR(E281="",AN281=""),"",IF(COUNT(AG281:AM281)=0,"",AN281-LOOKUP(2,1/(AG281:AM281&lt;&gt;""),AG281:AM281)))</t>
        </is>
      </c>
      <c r="BB281" s="38" t="inlineStr">
        <is>
          <t>IF(OR(E281="",AO281=""),"",IF(COUNT(AG281:AN281)=0,"",AO281-LOOKUP(2,1/(AG281:AN281&lt;&gt;""),AG281:AN281)))</t>
        </is>
      </c>
      <c r="BC281" s="38" t="inlineStr">
        <is>
          <t>IF(OR(E281="",AP281=""),"",IF(COUNT(AG281:AO281)=0,"",AP281-LOOKUP(2,1/(AG281:AO281&lt;&gt;""),AG281:AO281)))</t>
        </is>
      </c>
      <c r="BD281" s="38" t="inlineStr">
        <is>
          <t>IF(OR(E281="",AQ281=""),"",IF(COUNT(AG281:AP281)=0,"",AQ281-LOOKUP(2,1/(AG281:AP281&lt;&gt;""),AG281:AP281)))</t>
        </is>
      </c>
      <c r="BE281" s="38" t="inlineStr">
        <is>
          <t>IF(OR(E281="",AR281=""),"",IF(COUNT(AG281:AQ281)=0,"",AR281-LOOKUP(2,1/(AG281:AQ281&lt;&gt;""),AG281:AQ281)))</t>
        </is>
      </c>
      <c r="BF281" s="38" t="inlineStr">
        <is>
          <t>IF(OR(E281="",AS281=""),"",IF(COUNT(AG281:AR281)=0,"",AS281-LOOKUP(2,1/(AG281:AR281&lt;&gt;""),AG281:AR281)))</t>
        </is>
      </c>
      <c r="BG281" s="38" t="inlineStr">
        <is>
          <t>IF(OR(E281="",AT281=""),"",IF(COUNT(AG281:AS281)=0,"",AT281-LOOKUP(2,1/(AG281:AS281&lt;&gt;""),AG281:AS281)))</t>
        </is>
      </c>
      <c r="BH281" s="41" t="inlineStr">
        <is>
          <t>IF(G281="","All_Provinces",IFERROR(VLOOKUP(G281,'07_Lookups'!$A$4:$B$20,2,FALSE),"All_Provinces"))</t>
        </is>
      </c>
      <c r="BI281" s="41" t="inlineStr">
        <is>
          <t>IF(H281="","All_Districts",IFERROR(VLOOKUP(H281,'07_Lookups'!$E$4:$F$42,2,FALSE),"All_Districts"))</t>
        </is>
      </c>
    </row>
    <row r="282" ht="18" customHeight="1">
      <c r="A282" s="32" t="inlineStr">
        <is>
          <t>IF(E282="","",ROW()-3)</t>
        </is>
      </c>
      <c r="B282" s="33" t="n"/>
      <c r="C282" s="33" t="n"/>
      <c r="D282" s="33" t="n"/>
      <c r="E282" s="33" t="n"/>
      <c r="F282" s="33" t="n"/>
      <c r="G282" s="33" t="n"/>
      <c r="H282" s="33" t="n"/>
      <c r="I282" s="33" t="n"/>
      <c r="J282" s="33" t="n"/>
      <c r="K282" s="33" t="n"/>
      <c r="L282" s="33" t="n"/>
      <c r="M282" s="33" t="n"/>
      <c r="N282" s="33" t="n"/>
      <c r="O282" s="33" t="n"/>
      <c r="P282" s="33" t="n"/>
      <c r="Q282" s="34" t="n"/>
      <c r="R282" s="35" t="inlineStr">
        <is>
          <t>IF(AO282="","",AO282)</t>
        </is>
      </c>
      <c r="S282" s="36" t="n"/>
      <c r="T282" s="37" t="n"/>
      <c r="U282" s="36" t="n"/>
      <c r="V282" s="35" t="inlineStr">
        <is>
          <t>IF(U282&lt;&gt;"",U282,IF(OR(R282="",T282=""),"",EDATE(R282,T282)))</t>
        </is>
      </c>
      <c r="W282" s="36" t="n"/>
      <c r="X282" s="37" t="n"/>
      <c r="Y282" s="33" t="n"/>
      <c r="Z282" s="33" t="n"/>
      <c r="AA282" s="32" t="inlineStr">
        <is>
          <t>IF(E282="","",IF(COUNT(AG282:AT282)=0,IF(Y282="","Not started",Y282),SUBSTITUTE(LOOKUP(2,1/(AG282:AT282&lt;&gt;""),$AG$3:$AT$3),"Date: ","")))</t>
        </is>
      </c>
      <c r="AB282" s="38" t="inlineStr">
        <is>
          <t>IF(OR(E282="",COUNT(AG282:AT282)=0),"",TODAY()-LOOKUP(2,1/(AG282:AT282&lt;&gt;""),AG282:AT282))</t>
        </is>
      </c>
      <c r="AC282" s="38" t="inlineStr">
        <is>
          <t>IF(OR(E282="",COUNT(AG282:AT282)&lt;2),"",LOOKUP(2,1/(AG282:AT282&lt;&gt;""),AG282:AT282)-MIN(AG282:AT282))</t>
        </is>
      </c>
      <c r="AD282" s="38" t="inlineStr">
        <is>
          <t>IF(OR(AB282="",AA282="Not started",AA282=""),"",IFERROR(AB282-IF(VLOOKUP(AA282,'04_Status_Pipeline'!$B$3:$E$20,4,FALSE)="",0,VLOOKUP(AA282,'04_Status_Pipeline'!$B$3:$E$20,4,FALSE)),""))</t>
        </is>
      </c>
      <c r="AE282" s="32" t="inlineStr">
        <is>
          <t>IF(E282="","",IF(OR(Y282="Cancelled",AA282="Cancelled"),"Cancelled",IF(OR(AA282="Completed / Handover",W282&lt;&gt;"",X282&gt;=100),"Completed — on track",IF(L282="Remaining",IF(S282="",IF(V282="","No planned date",IF(TODAY()&gt;V282,"Behind — past planned date",IF(V282-TODAY()&lt;=30,"At risk — close to off track","On track"))),IF(TODAY()&gt;S282,"Behind — award date passed",IF(S282-TODAY()&lt;=30,"At risk — close to off track","On track"))),IF(V282="","No planned date",IF(AND(TODAY()&gt;V282,OR(X282="",X282&lt;100)),"Behind — past end date",IF(AND(R282&lt;&gt;"",V282&lt;&gt;"",X282&lt;&gt;"",(X282&lt;100),((TODAY()-R282)/MAX(V282-R282,1)*100)-X282&gt;15),"Behind — progress lag",IF(AND(V282-TODAY()&lt;=30,V282-TODAY()&gt;=0,OR(X282="",X282&lt;90)),"At risk — close to off track","On track"))))))))</t>
        </is>
      </c>
      <c r="AF282" s="38" t="inlineStr">
        <is>
          <t>IF(OR(E282="",AA282="Completed / Handover",AA282="Cancelled"),"",IF(L282="Remaining",IF(S282&lt;&gt;"",S282-TODAY(),IF(V282="","",V282-TODAY())),IF(V282="","",V282-TODAY())))</t>
        </is>
      </c>
      <c r="AG282" s="36" t="n"/>
      <c r="AH282" s="36" t="n"/>
      <c r="AI282" s="36" t="n"/>
      <c r="AJ282" s="36" t="n"/>
      <c r="AK282" s="36" t="n"/>
      <c r="AL282" s="36" t="n"/>
      <c r="AM282" s="36" t="n"/>
      <c r="AN282" s="36" t="n"/>
      <c r="AO282" s="36" t="n"/>
      <c r="AP282" s="36" t="n"/>
      <c r="AQ282" s="36" t="n"/>
      <c r="AR282" s="40" t="n"/>
      <c r="AS282" s="40" t="n"/>
      <c r="AT282" s="40" t="n"/>
      <c r="AU282" s="38" t="inlineStr">
        <is>
          <t>IF(OR(E282="",AH282=""),"",IF(COUNT(AG282:AG282)=0,"",AH282-LOOKUP(2,1/(AG282:AG282&lt;&gt;""),AG282:AG282)))</t>
        </is>
      </c>
      <c r="AV282" s="38" t="inlineStr">
        <is>
          <t>IF(OR(E282="",AI282=""),"",IF(COUNT(AG282:AH282)=0,"",AI282-LOOKUP(2,1/(AG282:AH282&lt;&gt;""),AG282:AH282)))</t>
        </is>
      </c>
      <c r="AW282" s="38" t="inlineStr">
        <is>
          <t>IF(OR(E282="",AJ282=""),"",IF(COUNT(AG282:AI282)=0,"",AJ282-LOOKUP(2,1/(AG282:AI282&lt;&gt;""),AG282:AI282)))</t>
        </is>
      </c>
      <c r="AX282" s="38" t="inlineStr">
        <is>
          <t>IF(OR(E282="",AK282=""),"",IF(COUNT(AG282:AJ282)=0,"",AK282-LOOKUP(2,1/(AG282:AJ282&lt;&gt;""),AG282:AJ282)))</t>
        </is>
      </c>
      <c r="AY282" s="38" t="inlineStr">
        <is>
          <t>IF(OR(E282="",AL282=""),"",IF(COUNT(AG282:AK282)=0,"",AL282-LOOKUP(2,1/(AG282:AK282&lt;&gt;""),AG282:AK282)))</t>
        </is>
      </c>
      <c r="AZ282" s="38" t="inlineStr">
        <is>
          <t>IF(OR(E282="",AM282=""),"",IF(COUNT(AG282:AL282)=0,"",AM282-LOOKUP(2,1/(AG282:AL282&lt;&gt;""),AG282:AL282)))</t>
        </is>
      </c>
      <c r="BA282" s="38" t="inlineStr">
        <is>
          <t>IF(OR(E282="",AN282=""),"",IF(COUNT(AG282:AM282)=0,"",AN282-LOOKUP(2,1/(AG282:AM282&lt;&gt;""),AG282:AM282)))</t>
        </is>
      </c>
      <c r="BB282" s="38" t="inlineStr">
        <is>
          <t>IF(OR(E282="",AO282=""),"",IF(COUNT(AG282:AN282)=0,"",AO282-LOOKUP(2,1/(AG282:AN282&lt;&gt;""),AG282:AN282)))</t>
        </is>
      </c>
      <c r="BC282" s="38" t="inlineStr">
        <is>
          <t>IF(OR(E282="",AP282=""),"",IF(COUNT(AG282:AO282)=0,"",AP282-LOOKUP(2,1/(AG282:AO282&lt;&gt;""),AG282:AO282)))</t>
        </is>
      </c>
      <c r="BD282" s="38" t="inlineStr">
        <is>
          <t>IF(OR(E282="",AQ282=""),"",IF(COUNT(AG282:AP282)=0,"",AQ282-LOOKUP(2,1/(AG282:AP282&lt;&gt;""),AG282:AP282)))</t>
        </is>
      </c>
      <c r="BE282" s="38" t="inlineStr">
        <is>
          <t>IF(OR(E282="",AR282=""),"",IF(COUNT(AG282:AQ282)=0,"",AR282-LOOKUP(2,1/(AG282:AQ282&lt;&gt;""),AG282:AQ282)))</t>
        </is>
      </c>
      <c r="BF282" s="38" t="inlineStr">
        <is>
          <t>IF(OR(E282="",AS282=""),"",IF(COUNT(AG282:AR282)=0,"",AS282-LOOKUP(2,1/(AG282:AR282&lt;&gt;""),AG282:AR282)))</t>
        </is>
      </c>
      <c r="BG282" s="38" t="inlineStr">
        <is>
          <t>IF(OR(E282="",AT282=""),"",IF(COUNT(AG282:AS282)=0,"",AT282-LOOKUP(2,1/(AG282:AS282&lt;&gt;""),AG282:AS282)))</t>
        </is>
      </c>
      <c r="BH282" s="41" t="inlineStr">
        <is>
          <t>IF(G282="","All_Provinces",IFERROR(VLOOKUP(G282,'07_Lookups'!$A$4:$B$20,2,FALSE),"All_Provinces"))</t>
        </is>
      </c>
      <c r="BI282" s="41" t="inlineStr">
        <is>
          <t>IF(H282="","All_Districts",IFERROR(VLOOKUP(H282,'07_Lookups'!$E$4:$F$42,2,FALSE),"All_Districts"))</t>
        </is>
      </c>
    </row>
    <row r="283" ht="18" customHeight="1">
      <c r="A283" s="32" t="inlineStr">
        <is>
          <t>IF(E283="","",ROW()-3)</t>
        </is>
      </c>
      <c r="B283" s="42" t="n"/>
      <c r="C283" s="42" t="n"/>
      <c r="D283" s="42" t="n"/>
      <c r="E283" s="42" t="n"/>
      <c r="F283" s="42" t="n"/>
      <c r="G283" s="42" t="n"/>
      <c r="H283" s="42" t="n"/>
      <c r="I283" s="42" t="n"/>
      <c r="J283" s="42" t="n"/>
      <c r="K283" s="42" t="n"/>
      <c r="L283" s="42" t="n"/>
      <c r="M283" s="42" t="n"/>
      <c r="N283" s="42" t="n"/>
      <c r="O283" s="42" t="n"/>
      <c r="P283" s="42" t="n"/>
      <c r="Q283" s="43" t="n"/>
      <c r="R283" s="35" t="inlineStr">
        <is>
          <t>IF(AO283="","",AO283)</t>
        </is>
      </c>
      <c r="S283" s="44" t="n"/>
      <c r="T283" s="45" t="n"/>
      <c r="U283" s="44" t="n"/>
      <c r="V283" s="35" t="inlineStr">
        <is>
          <t>IF(U283&lt;&gt;"",U283,IF(OR(R283="",T283=""),"",EDATE(R283,T283)))</t>
        </is>
      </c>
      <c r="W283" s="44" t="n"/>
      <c r="X283" s="45" t="n"/>
      <c r="Y283" s="42" t="n"/>
      <c r="Z283" s="42" t="n"/>
      <c r="AA283" s="32" t="inlineStr">
        <is>
          <t>IF(E283="","",IF(COUNT(AG283:AT283)=0,IF(Y283="","Not started",Y283),SUBSTITUTE(LOOKUP(2,1/(AG283:AT283&lt;&gt;""),$AG$3:$AT$3),"Date: ","")))</t>
        </is>
      </c>
      <c r="AB283" s="38" t="inlineStr">
        <is>
          <t>IF(OR(E283="",COUNT(AG283:AT283)=0),"",TODAY()-LOOKUP(2,1/(AG283:AT283&lt;&gt;""),AG283:AT283))</t>
        </is>
      </c>
      <c r="AC283" s="38" t="inlineStr">
        <is>
          <t>IF(OR(E283="",COUNT(AG283:AT283)&lt;2),"",LOOKUP(2,1/(AG283:AT283&lt;&gt;""),AG283:AT283)-MIN(AG283:AT283))</t>
        </is>
      </c>
      <c r="AD283" s="38" t="inlineStr">
        <is>
          <t>IF(OR(AB283="",AA283="Not started",AA283=""),"",IFERROR(AB283-IF(VLOOKUP(AA283,'04_Status_Pipeline'!$B$3:$E$20,4,FALSE)="",0,VLOOKUP(AA283,'04_Status_Pipeline'!$B$3:$E$20,4,FALSE)),""))</t>
        </is>
      </c>
      <c r="AE283" s="32" t="inlineStr">
        <is>
          <t>IF(E283="","",IF(OR(Y283="Cancelled",AA283="Cancelled"),"Cancelled",IF(OR(AA283="Completed / Handover",W283&lt;&gt;"",X283&gt;=100),"Completed — on track",IF(L283="Remaining",IF(S283="",IF(V283="","No planned date",IF(TODAY()&gt;V283,"Behind — past planned date",IF(V283-TODAY()&lt;=30,"At risk — close to off track","On track"))),IF(TODAY()&gt;S283,"Behind — award date passed",IF(S283-TODAY()&lt;=30,"At risk — close to off track","On track"))),IF(V283="","No planned date",IF(AND(TODAY()&gt;V283,OR(X283="",X283&lt;100)),"Behind — past end date",IF(AND(R283&lt;&gt;"",V283&lt;&gt;"",X283&lt;&gt;"",(X283&lt;100),((TODAY()-R283)/MAX(V283-R283,1)*100)-X283&gt;15),"Behind — progress lag",IF(AND(V283-TODAY()&lt;=30,V283-TODAY()&gt;=0,OR(X283="",X283&lt;90)),"At risk — close to off track","On track"))))))))</t>
        </is>
      </c>
      <c r="AF283" s="38" t="inlineStr">
        <is>
          <t>IF(OR(E283="",AA283="Completed / Handover",AA283="Cancelled"),"",IF(L283="Remaining",IF(S283&lt;&gt;"",S283-TODAY(),IF(V283="","",V283-TODAY())),IF(V283="","",V283-TODAY())))</t>
        </is>
      </c>
      <c r="AG283" s="44" t="n"/>
      <c r="AH283" s="44" t="n"/>
      <c r="AI283" s="44" t="n"/>
      <c r="AJ283" s="44" t="n"/>
      <c r="AK283" s="44" t="n"/>
      <c r="AL283" s="44" t="n"/>
      <c r="AM283" s="44" t="n"/>
      <c r="AN283" s="44" t="n"/>
      <c r="AO283" s="44" t="n"/>
      <c r="AP283" s="44" t="n"/>
      <c r="AQ283" s="44" t="n"/>
      <c r="AR283" s="40" t="n"/>
      <c r="AS283" s="40" t="n"/>
      <c r="AT283" s="40" t="n"/>
      <c r="AU283" s="38" t="inlineStr">
        <is>
          <t>IF(OR(E283="",AH283=""),"",IF(COUNT(AG283:AG283)=0,"",AH283-LOOKUP(2,1/(AG283:AG283&lt;&gt;""),AG283:AG283)))</t>
        </is>
      </c>
      <c r="AV283" s="38" t="inlineStr">
        <is>
          <t>IF(OR(E283="",AI283=""),"",IF(COUNT(AG283:AH283)=0,"",AI283-LOOKUP(2,1/(AG283:AH283&lt;&gt;""),AG283:AH283)))</t>
        </is>
      </c>
      <c r="AW283" s="38" t="inlineStr">
        <is>
          <t>IF(OR(E283="",AJ283=""),"",IF(COUNT(AG283:AI283)=0,"",AJ283-LOOKUP(2,1/(AG283:AI283&lt;&gt;""),AG283:AI283)))</t>
        </is>
      </c>
      <c r="AX283" s="38" t="inlineStr">
        <is>
          <t>IF(OR(E283="",AK283=""),"",IF(COUNT(AG283:AJ283)=0,"",AK283-LOOKUP(2,1/(AG283:AJ283&lt;&gt;""),AG283:AJ283)))</t>
        </is>
      </c>
      <c r="AY283" s="38" t="inlineStr">
        <is>
          <t>IF(OR(E283="",AL283=""),"",IF(COUNT(AG283:AK283)=0,"",AL283-LOOKUP(2,1/(AG283:AK283&lt;&gt;""),AG283:AK283)))</t>
        </is>
      </c>
      <c r="AZ283" s="38" t="inlineStr">
        <is>
          <t>IF(OR(E283="",AM283=""),"",IF(COUNT(AG283:AL283)=0,"",AM283-LOOKUP(2,1/(AG283:AL283&lt;&gt;""),AG283:AL283)))</t>
        </is>
      </c>
      <c r="BA283" s="38" t="inlineStr">
        <is>
          <t>IF(OR(E283="",AN283=""),"",IF(COUNT(AG283:AM283)=0,"",AN283-LOOKUP(2,1/(AG283:AM283&lt;&gt;""),AG283:AM283)))</t>
        </is>
      </c>
      <c r="BB283" s="38" t="inlineStr">
        <is>
          <t>IF(OR(E283="",AO283=""),"",IF(COUNT(AG283:AN283)=0,"",AO283-LOOKUP(2,1/(AG283:AN283&lt;&gt;""),AG283:AN283)))</t>
        </is>
      </c>
      <c r="BC283" s="38" t="inlineStr">
        <is>
          <t>IF(OR(E283="",AP283=""),"",IF(COUNT(AG283:AO283)=0,"",AP283-LOOKUP(2,1/(AG283:AO283&lt;&gt;""),AG283:AO283)))</t>
        </is>
      </c>
      <c r="BD283" s="38" t="inlineStr">
        <is>
          <t>IF(OR(E283="",AQ283=""),"",IF(COUNT(AG283:AP283)=0,"",AQ283-LOOKUP(2,1/(AG283:AP283&lt;&gt;""),AG283:AP283)))</t>
        </is>
      </c>
      <c r="BE283" s="38" t="inlineStr">
        <is>
          <t>IF(OR(E283="",AR283=""),"",IF(COUNT(AG283:AQ283)=0,"",AR283-LOOKUP(2,1/(AG283:AQ283&lt;&gt;""),AG283:AQ283)))</t>
        </is>
      </c>
      <c r="BF283" s="38" t="inlineStr">
        <is>
          <t>IF(OR(E283="",AS283=""),"",IF(COUNT(AG283:AR283)=0,"",AS283-LOOKUP(2,1/(AG283:AR283&lt;&gt;""),AG283:AR283)))</t>
        </is>
      </c>
      <c r="BG283" s="38" t="inlineStr">
        <is>
          <t>IF(OR(E283="",AT283=""),"",IF(COUNT(AG283:AS283)=0,"",AT283-LOOKUP(2,1/(AG283:AS283&lt;&gt;""),AG283:AS283)))</t>
        </is>
      </c>
      <c r="BH283" s="41" t="inlineStr">
        <is>
          <t>IF(G283="","All_Provinces",IFERROR(VLOOKUP(G283,'07_Lookups'!$A$4:$B$20,2,FALSE),"All_Provinces"))</t>
        </is>
      </c>
      <c r="BI283" s="41" t="inlineStr">
        <is>
          <t>IF(H283="","All_Districts",IFERROR(VLOOKUP(H283,'07_Lookups'!$E$4:$F$42,2,FALSE),"All_Districts"))</t>
        </is>
      </c>
    </row>
    <row r="284" ht="18" customHeight="1">
      <c r="A284" s="32" t="inlineStr">
        <is>
          <t>IF(E284="","",ROW()-3)</t>
        </is>
      </c>
      <c r="B284" s="33" t="n"/>
      <c r="C284" s="33" t="n"/>
      <c r="D284" s="33" t="n"/>
      <c r="E284" s="33" t="n"/>
      <c r="F284" s="33" t="n"/>
      <c r="G284" s="33" t="n"/>
      <c r="H284" s="33" t="n"/>
      <c r="I284" s="33" t="n"/>
      <c r="J284" s="33" t="n"/>
      <c r="K284" s="33" t="n"/>
      <c r="L284" s="33" t="n"/>
      <c r="M284" s="33" t="n"/>
      <c r="N284" s="33" t="n"/>
      <c r="O284" s="33" t="n"/>
      <c r="P284" s="33" t="n"/>
      <c r="Q284" s="34" t="n"/>
      <c r="R284" s="35" t="inlineStr">
        <is>
          <t>IF(AO284="","",AO284)</t>
        </is>
      </c>
      <c r="S284" s="36" t="n"/>
      <c r="T284" s="37" t="n"/>
      <c r="U284" s="36" t="n"/>
      <c r="V284" s="35" t="inlineStr">
        <is>
          <t>IF(U284&lt;&gt;"",U284,IF(OR(R284="",T284=""),"",EDATE(R284,T284)))</t>
        </is>
      </c>
      <c r="W284" s="36" t="n"/>
      <c r="X284" s="37" t="n"/>
      <c r="Y284" s="33" t="n"/>
      <c r="Z284" s="33" t="n"/>
      <c r="AA284" s="32" t="inlineStr">
        <is>
          <t>IF(E284="","",IF(COUNT(AG284:AT284)=0,IF(Y284="","Not started",Y284),SUBSTITUTE(LOOKUP(2,1/(AG284:AT284&lt;&gt;""),$AG$3:$AT$3),"Date: ","")))</t>
        </is>
      </c>
      <c r="AB284" s="38" t="inlineStr">
        <is>
          <t>IF(OR(E284="",COUNT(AG284:AT284)=0),"",TODAY()-LOOKUP(2,1/(AG284:AT284&lt;&gt;""),AG284:AT284))</t>
        </is>
      </c>
      <c r="AC284" s="38" t="inlineStr">
        <is>
          <t>IF(OR(E284="",COUNT(AG284:AT284)&lt;2),"",LOOKUP(2,1/(AG284:AT284&lt;&gt;""),AG284:AT284)-MIN(AG284:AT284))</t>
        </is>
      </c>
      <c r="AD284" s="38" t="inlineStr">
        <is>
          <t>IF(OR(AB284="",AA284="Not started",AA284=""),"",IFERROR(AB284-IF(VLOOKUP(AA284,'04_Status_Pipeline'!$B$3:$E$20,4,FALSE)="",0,VLOOKUP(AA284,'04_Status_Pipeline'!$B$3:$E$20,4,FALSE)),""))</t>
        </is>
      </c>
      <c r="AE284" s="32" t="inlineStr">
        <is>
          <t>IF(E284="","",IF(OR(Y284="Cancelled",AA284="Cancelled"),"Cancelled",IF(OR(AA284="Completed / Handover",W284&lt;&gt;"",X284&gt;=100),"Completed — on track",IF(L284="Remaining",IF(S284="",IF(V284="","No planned date",IF(TODAY()&gt;V284,"Behind — past planned date",IF(V284-TODAY()&lt;=30,"At risk — close to off track","On track"))),IF(TODAY()&gt;S284,"Behind — award date passed",IF(S284-TODAY()&lt;=30,"At risk — close to off track","On track"))),IF(V284="","No planned date",IF(AND(TODAY()&gt;V284,OR(X284="",X284&lt;100)),"Behind — past end date",IF(AND(R284&lt;&gt;"",V284&lt;&gt;"",X284&lt;&gt;"",(X284&lt;100),((TODAY()-R284)/MAX(V284-R284,1)*100)-X284&gt;15),"Behind — progress lag",IF(AND(V284-TODAY()&lt;=30,V284-TODAY()&gt;=0,OR(X284="",X284&lt;90)),"At risk — close to off track","On track"))))))))</t>
        </is>
      </c>
      <c r="AF284" s="38" t="inlineStr">
        <is>
          <t>IF(OR(E284="",AA284="Completed / Handover",AA284="Cancelled"),"",IF(L284="Remaining",IF(S284&lt;&gt;"",S284-TODAY(),IF(V284="","",V284-TODAY())),IF(V284="","",V284-TODAY())))</t>
        </is>
      </c>
      <c r="AG284" s="36" t="n"/>
      <c r="AH284" s="36" t="n"/>
      <c r="AI284" s="36" t="n"/>
      <c r="AJ284" s="36" t="n"/>
      <c r="AK284" s="36" t="n"/>
      <c r="AL284" s="36" t="n"/>
      <c r="AM284" s="36" t="n"/>
      <c r="AN284" s="36" t="n"/>
      <c r="AO284" s="36" t="n"/>
      <c r="AP284" s="36" t="n"/>
      <c r="AQ284" s="36" t="n"/>
      <c r="AR284" s="40" t="n"/>
      <c r="AS284" s="40" t="n"/>
      <c r="AT284" s="40" t="n"/>
      <c r="AU284" s="38" t="inlineStr">
        <is>
          <t>IF(OR(E284="",AH284=""),"",IF(COUNT(AG284:AG284)=0,"",AH284-LOOKUP(2,1/(AG284:AG284&lt;&gt;""),AG284:AG284)))</t>
        </is>
      </c>
      <c r="AV284" s="38" t="inlineStr">
        <is>
          <t>IF(OR(E284="",AI284=""),"",IF(COUNT(AG284:AH284)=0,"",AI284-LOOKUP(2,1/(AG284:AH284&lt;&gt;""),AG284:AH284)))</t>
        </is>
      </c>
      <c r="AW284" s="38" t="inlineStr">
        <is>
          <t>IF(OR(E284="",AJ284=""),"",IF(COUNT(AG284:AI284)=0,"",AJ284-LOOKUP(2,1/(AG284:AI284&lt;&gt;""),AG284:AI284)))</t>
        </is>
      </c>
      <c r="AX284" s="38" t="inlineStr">
        <is>
          <t>IF(OR(E284="",AK284=""),"",IF(COUNT(AG284:AJ284)=0,"",AK284-LOOKUP(2,1/(AG284:AJ284&lt;&gt;""),AG284:AJ284)))</t>
        </is>
      </c>
      <c r="AY284" s="38" t="inlineStr">
        <is>
          <t>IF(OR(E284="",AL284=""),"",IF(COUNT(AG284:AK284)=0,"",AL284-LOOKUP(2,1/(AG284:AK284&lt;&gt;""),AG284:AK284)))</t>
        </is>
      </c>
      <c r="AZ284" s="38" t="inlineStr">
        <is>
          <t>IF(OR(E284="",AM284=""),"",IF(COUNT(AG284:AL284)=0,"",AM284-LOOKUP(2,1/(AG284:AL284&lt;&gt;""),AG284:AL284)))</t>
        </is>
      </c>
      <c r="BA284" s="38" t="inlineStr">
        <is>
          <t>IF(OR(E284="",AN284=""),"",IF(COUNT(AG284:AM284)=0,"",AN284-LOOKUP(2,1/(AG284:AM284&lt;&gt;""),AG284:AM284)))</t>
        </is>
      </c>
      <c r="BB284" s="38" t="inlineStr">
        <is>
          <t>IF(OR(E284="",AO284=""),"",IF(COUNT(AG284:AN284)=0,"",AO284-LOOKUP(2,1/(AG284:AN284&lt;&gt;""),AG284:AN284)))</t>
        </is>
      </c>
      <c r="BC284" s="38" t="inlineStr">
        <is>
          <t>IF(OR(E284="",AP284=""),"",IF(COUNT(AG284:AO284)=0,"",AP284-LOOKUP(2,1/(AG284:AO284&lt;&gt;""),AG284:AO284)))</t>
        </is>
      </c>
      <c r="BD284" s="38" t="inlineStr">
        <is>
          <t>IF(OR(E284="",AQ284=""),"",IF(COUNT(AG284:AP284)=0,"",AQ284-LOOKUP(2,1/(AG284:AP284&lt;&gt;""),AG284:AP284)))</t>
        </is>
      </c>
      <c r="BE284" s="38" t="inlineStr">
        <is>
          <t>IF(OR(E284="",AR284=""),"",IF(COUNT(AG284:AQ284)=0,"",AR284-LOOKUP(2,1/(AG284:AQ284&lt;&gt;""),AG284:AQ284)))</t>
        </is>
      </c>
      <c r="BF284" s="38" t="inlineStr">
        <is>
          <t>IF(OR(E284="",AS284=""),"",IF(COUNT(AG284:AR284)=0,"",AS284-LOOKUP(2,1/(AG284:AR284&lt;&gt;""),AG284:AR284)))</t>
        </is>
      </c>
      <c r="BG284" s="38" t="inlineStr">
        <is>
          <t>IF(OR(E284="",AT284=""),"",IF(COUNT(AG284:AS284)=0,"",AT284-LOOKUP(2,1/(AG284:AS284&lt;&gt;""),AG284:AS284)))</t>
        </is>
      </c>
      <c r="BH284" s="41" t="inlineStr">
        <is>
          <t>IF(G284="","All_Provinces",IFERROR(VLOOKUP(G284,'07_Lookups'!$A$4:$B$20,2,FALSE),"All_Provinces"))</t>
        </is>
      </c>
      <c r="BI284" s="41" t="inlineStr">
        <is>
          <t>IF(H284="","All_Districts",IFERROR(VLOOKUP(H284,'07_Lookups'!$E$4:$F$42,2,FALSE),"All_Districts"))</t>
        </is>
      </c>
    </row>
    <row r="285" ht="18" customHeight="1">
      <c r="A285" s="32" t="inlineStr">
        <is>
          <t>IF(E285="","",ROW()-3)</t>
        </is>
      </c>
      <c r="B285" s="42" t="n"/>
      <c r="C285" s="42" t="n"/>
      <c r="D285" s="42" t="n"/>
      <c r="E285" s="42" t="n"/>
      <c r="F285" s="42" t="n"/>
      <c r="G285" s="42" t="n"/>
      <c r="H285" s="42" t="n"/>
      <c r="I285" s="42" t="n"/>
      <c r="J285" s="42" t="n"/>
      <c r="K285" s="42" t="n"/>
      <c r="L285" s="42" t="n"/>
      <c r="M285" s="42" t="n"/>
      <c r="N285" s="42" t="n"/>
      <c r="O285" s="42" t="n"/>
      <c r="P285" s="42" t="n"/>
      <c r="Q285" s="43" t="n"/>
      <c r="R285" s="35" t="inlineStr">
        <is>
          <t>IF(AO285="","",AO285)</t>
        </is>
      </c>
      <c r="S285" s="44" t="n"/>
      <c r="T285" s="45" t="n"/>
      <c r="U285" s="44" t="n"/>
      <c r="V285" s="35" t="inlineStr">
        <is>
          <t>IF(U285&lt;&gt;"",U285,IF(OR(R285="",T285=""),"",EDATE(R285,T285)))</t>
        </is>
      </c>
      <c r="W285" s="44" t="n"/>
      <c r="X285" s="45" t="n"/>
      <c r="Y285" s="42" t="n"/>
      <c r="Z285" s="42" t="n"/>
      <c r="AA285" s="32" t="inlineStr">
        <is>
          <t>IF(E285="","",IF(COUNT(AG285:AT285)=0,IF(Y285="","Not started",Y285),SUBSTITUTE(LOOKUP(2,1/(AG285:AT285&lt;&gt;""),$AG$3:$AT$3),"Date: ","")))</t>
        </is>
      </c>
      <c r="AB285" s="38" t="inlineStr">
        <is>
          <t>IF(OR(E285="",COUNT(AG285:AT285)=0),"",TODAY()-LOOKUP(2,1/(AG285:AT285&lt;&gt;""),AG285:AT285))</t>
        </is>
      </c>
      <c r="AC285" s="38" t="inlineStr">
        <is>
          <t>IF(OR(E285="",COUNT(AG285:AT285)&lt;2),"",LOOKUP(2,1/(AG285:AT285&lt;&gt;""),AG285:AT285)-MIN(AG285:AT285))</t>
        </is>
      </c>
      <c r="AD285" s="38" t="inlineStr">
        <is>
          <t>IF(OR(AB285="",AA285="Not started",AA285=""),"",IFERROR(AB285-IF(VLOOKUP(AA285,'04_Status_Pipeline'!$B$3:$E$20,4,FALSE)="",0,VLOOKUP(AA285,'04_Status_Pipeline'!$B$3:$E$20,4,FALSE)),""))</t>
        </is>
      </c>
      <c r="AE285" s="32" t="inlineStr">
        <is>
          <t>IF(E285="","",IF(OR(Y285="Cancelled",AA285="Cancelled"),"Cancelled",IF(OR(AA285="Completed / Handover",W285&lt;&gt;"",X285&gt;=100),"Completed — on track",IF(L285="Remaining",IF(S285="",IF(V285="","No planned date",IF(TODAY()&gt;V285,"Behind — past planned date",IF(V285-TODAY()&lt;=30,"At risk — close to off track","On track"))),IF(TODAY()&gt;S285,"Behind — award date passed",IF(S285-TODAY()&lt;=30,"At risk — close to off track","On track"))),IF(V285="","No planned date",IF(AND(TODAY()&gt;V285,OR(X285="",X285&lt;100)),"Behind — past end date",IF(AND(R285&lt;&gt;"",V285&lt;&gt;"",X285&lt;&gt;"",(X285&lt;100),((TODAY()-R285)/MAX(V285-R285,1)*100)-X285&gt;15),"Behind — progress lag",IF(AND(V285-TODAY()&lt;=30,V285-TODAY()&gt;=0,OR(X285="",X285&lt;90)),"At risk — close to off track","On track"))))))))</t>
        </is>
      </c>
      <c r="AF285" s="38" t="inlineStr">
        <is>
          <t>IF(OR(E285="",AA285="Completed / Handover",AA285="Cancelled"),"",IF(L285="Remaining",IF(S285&lt;&gt;"",S285-TODAY(),IF(V285="","",V285-TODAY())),IF(V285="","",V285-TODAY())))</t>
        </is>
      </c>
      <c r="AG285" s="44" t="n"/>
      <c r="AH285" s="44" t="n"/>
      <c r="AI285" s="44" t="n"/>
      <c r="AJ285" s="44" t="n"/>
      <c r="AK285" s="44" t="n"/>
      <c r="AL285" s="44" t="n"/>
      <c r="AM285" s="44" t="n"/>
      <c r="AN285" s="44" t="n"/>
      <c r="AO285" s="44" t="n"/>
      <c r="AP285" s="44" t="n"/>
      <c r="AQ285" s="44" t="n"/>
      <c r="AR285" s="40" t="n"/>
      <c r="AS285" s="40" t="n"/>
      <c r="AT285" s="40" t="n"/>
      <c r="AU285" s="38" t="inlineStr">
        <is>
          <t>IF(OR(E285="",AH285=""),"",IF(COUNT(AG285:AG285)=0,"",AH285-LOOKUP(2,1/(AG285:AG285&lt;&gt;""),AG285:AG285)))</t>
        </is>
      </c>
      <c r="AV285" s="38" t="inlineStr">
        <is>
          <t>IF(OR(E285="",AI285=""),"",IF(COUNT(AG285:AH285)=0,"",AI285-LOOKUP(2,1/(AG285:AH285&lt;&gt;""),AG285:AH285)))</t>
        </is>
      </c>
      <c r="AW285" s="38" t="inlineStr">
        <is>
          <t>IF(OR(E285="",AJ285=""),"",IF(COUNT(AG285:AI285)=0,"",AJ285-LOOKUP(2,1/(AG285:AI285&lt;&gt;""),AG285:AI285)))</t>
        </is>
      </c>
      <c r="AX285" s="38" t="inlineStr">
        <is>
          <t>IF(OR(E285="",AK285=""),"",IF(COUNT(AG285:AJ285)=0,"",AK285-LOOKUP(2,1/(AG285:AJ285&lt;&gt;""),AG285:AJ285)))</t>
        </is>
      </c>
      <c r="AY285" s="38" t="inlineStr">
        <is>
          <t>IF(OR(E285="",AL285=""),"",IF(COUNT(AG285:AK285)=0,"",AL285-LOOKUP(2,1/(AG285:AK285&lt;&gt;""),AG285:AK285)))</t>
        </is>
      </c>
      <c r="AZ285" s="38" t="inlineStr">
        <is>
          <t>IF(OR(E285="",AM285=""),"",IF(COUNT(AG285:AL285)=0,"",AM285-LOOKUP(2,1/(AG285:AL285&lt;&gt;""),AG285:AL285)))</t>
        </is>
      </c>
      <c r="BA285" s="38" t="inlineStr">
        <is>
          <t>IF(OR(E285="",AN285=""),"",IF(COUNT(AG285:AM285)=0,"",AN285-LOOKUP(2,1/(AG285:AM285&lt;&gt;""),AG285:AM285)))</t>
        </is>
      </c>
      <c r="BB285" s="38" t="inlineStr">
        <is>
          <t>IF(OR(E285="",AO285=""),"",IF(COUNT(AG285:AN285)=0,"",AO285-LOOKUP(2,1/(AG285:AN285&lt;&gt;""),AG285:AN285)))</t>
        </is>
      </c>
      <c r="BC285" s="38" t="inlineStr">
        <is>
          <t>IF(OR(E285="",AP285=""),"",IF(COUNT(AG285:AO285)=0,"",AP285-LOOKUP(2,1/(AG285:AO285&lt;&gt;""),AG285:AO285)))</t>
        </is>
      </c>
      <c r="BD285" s="38" t="inlineStr">
        <is>
          <t>IF(OR(E285="",AQ285=""),"",IF(COUNT(AG285:AP285)=0,"",AQ285-LOOKUP(2,1/(AG285:AP285&lt;&gt;""),AG285:AP285)))</t>
        </is>
      </c>
      <c r="BE285" s="38" t="inlineStr">
        <is>
          <t>IF(OR(E285="",AR285=""),"",IF(COUNT(AG285:AQ285)=0,"",AR285-LOOKUP(2,1/(AG285:AQ285&lt;&gt;""),AG285:AQ285)))</t>
        </is>
      </c>
      <c r="BF285" s="38" t="inlineStr">
        <is>
          <t>IF(OR(E285="",AS285=""),"",IF(COUNT(AG285:AR285)=0,"",AS285-LOOKUP(2,1/(AG285:AR285&lt;&gt;""),AG285:AR285)))</t>
        </is>
      </c>
      <c r="BG285" s="38" t="inlineStr">
        <is>
          <t>IF(OR(E285="",AT285=""),"",IF(COUNT(AG285:AS285)=0,"",AT285-LOOKUP(2,1/(AG285:AS285&lt;&gt;""),AG285:AS285)))</t>
        </is>
      </c>
      <c r="BH285" s="41" t="inlineStr">
        <is>
          <t>IF(G285="","All_Provinces",IFERROR(VLOOKUP(G285,'07_Lookups'!$A$4:$B$20,2,FALSE),"All_Provinces"))</t>
        </is>
      </c>
      <c r="BI285" s="41" t="inlineStr">
        <is>
          <t>IF(H285="","All_Districts",IFERROR(VLOOKUP(H285,'07_Lookups'!$E$4:$F$42,2,FALSE),"All_Districts"))</t>
        </is>
      </c>
    </row>
    <row r="286" ht="18" customHeight="1">
      <c r="A286" s="32" t="inlineStr">
        <is>
          <t>IF(E286="","",ROW()-3)</t>
        </is>
      </c>
      <c r="B286" s="33" t="n"/>
      <c r="C286" s="33" t="n"/>
      <c r="D286" s="33" t="n"/>
      <c r="E286" s="33" t="n"/>
      <c r="F286" s="33" t="n"/>
      <c r="G286" s="33" t="n"/>
      <c r="H286" s="33" t="n"/>
      <c r="I286" s="33" t="n"/>
      <c r="J286" s="33" t="n"/>
      <c r="K286" s="33" t="n"/>
      <c r="L286" s="33" t="n"/>
      <c r="M286" s="33" t="n"/>
      <c r="N286" s="33" t="n"/>
      <c r="O286" s="33" t="n"/>
      <c r="P286" s="33" t="n"/>
      <c r="Q286" s="34" t="n"/>
      <c r="R286" s="35" t="inlineStr">
        <is>
          <t>IF(AO286="","",AO286)</t>
        </is>
      </c>
      <c r="S286" s="36" t="n"/>
      <c r="T286" s="37" t="n"/>
      <c r="U286" s="36" t="n"/>
      <c r="V286" s="35" t="inlineStr">
        <is>
          <t>IF(U286&lt;&gt;"",U286,IF(OR(R286="",T286=""),"",EDATE(R286,T286)))</t>
        </is>
      </c>
      <c r="W286" s="36" t="n"/>
      <c r="X286" s="37" t="n"/>
      <c r="Y286" s="33" t="n"/>
      <c r="Z286" s="33" t="n"/>
      <c r="AA286" s="32" t="inlineStr">
        <is>
          <t>IF(E286="","",IF(COUNT(AG286:AT286)=0,IF(Y286="","Not started",Y286),SUBSTITUTE(LOOKUP(2,1/(AG286:AT286&lt;&gt;""),$AG$3:$AT$3),"Date: ","")))</t>
        </is>
      </c>
      <c r="AB286" s="38" t="inlineStr">
        <is>
          <t>IF(OR(E286="",COUNT(AG286:AT286)=0),"",TODAY()-LOOKUP(2,1/(AG286:AT286&lt;&gt;""),AG286:AT286))</t>
        </is>
      </c>
      <c r="AC286" s="38" t="inlineStr">
        <is>
          <t>IF(OR(E286="",COUNT(AG286:AT286)&lt;2),"",LOOKUP(2,1/(AG286:AT286&lt;&gt;""),AG286:AT286)-MIN(AG286:AT286))</t>
        </is>
      </c>
      <c r="AD286" s="38" t="inlineStr">
        <is>
          <t>IF(OR(AB286="",AA286="Not started",AA286=""),"",IFERROR(AB286-IF(VLOOKUP(AA286,'04_Status_Pipeline'!$B$3:$E$20,4,FALSE)="",0,VLOOKUP(AA286,'04_Status_Pipeline'!$B$3:$E$20,4,FALSE)),""))</t>
        </is>
      </c>
      <c r="AE286" s="32" t="inlineStr">
        <is>
          <t>IF(E286="","",IF(OR(Y286="Cancelled",AA286="Cancelled"),"Cancelled",IF(OR(AA286="Completed / Handover",W286&lt;&gt;"",X286&gt;=100),"Completed — on track",IF(L286="Remaining",IF(S286="",IF(V286="","No planned date",IF(TODAY()&gt;V286,"Behind — past planned date",IF(V286-TODAY()&lt;=30,"At risk — close to off track","On track"))),IF(TODAY()&gt;S286,"Behind — award date passed",IF(S286-TODAY()&lt;=30,"At risk — close to off track","On track"))),IF(V286="","No planned date",IF(AND(TODAY()&gt;V286,OR(X286="",X286&lt;100)),"Behind — past end date",IF(AND(R286&lt;&gt;"",V286&lt;&gt;"",X286&lt;&gt;"",(X286&lt;100),((TODAY()-R286)/MAX(V286-R286,1)*100)-X286&gt;15),"Behind — progress lag",IF(AND(V286-TODAY()&lt;=30,V286-TODAY()&gt;=0,OR(X286="",X286&lt;90)),"At risk — close to off track","On track"))))))))</t>
        </is>
      </c>
      <c r="AF286" s="38" t="inlineStr">
        <is>
          <t>IF(OR(E286="",AA286="Completed / Handover",AA286="Cancelled"),"",IF(L286="Remaining",IF(S286&lt;&gt;"",S286-TODAY(),IF(V286="","",V286-TODAY())),IF(V286="","",V286-TODAY())))</t>
        </is>
      </c>
      <c r="AG286" s="36" t="n"/>
      <c r="AH286" s="36" t="n"/>
      <c r="AI286" s="36" t="n"/>
      <c r="AJ286" s="36" t="n"/>
      <c r="AK286" s="36" t="n"/>
      <c r="AL286" s="36" t="n"/>
      <c r="AM286" s="36" t="n"/>
      <c r="AN286" s="36" t="n"/>
      <c r="AO286" s="36" t="n"/>
      <c r="AP286" s="36" t="n"/>
      <c r="AQ286" s="36" t="n"/>
      <c r="AR286" s="40" t="n"/>
      <c r="AS286" s="40" t="n"/>
      <c r="AT286" s="40" t="n"/>
      <c r="AU286" s="38" t="inlineStr">
        <is>
          <t>IF(OR(E286="",AH286=""),"",IF(COUNT(AG286:AG286)=0,"",AH286-LOOKUP(2,1/(AG286:AG286&lt;&gt;""),AG286:AG286)))</t>
        </is>
      </c>
      <c r="AV286" s="38" t="inlineStr">
        <is>
          <t>IF(OR(E286="",AI286=""),"",IF(COUNT(AG286:AH286)=0,"",AI286-LOOKUP(2,1/(AG286:AH286&lt;&gt;""),AG286:AH286)))</t>
        </is>
      </c>
      <c r="AW286" s="38" t="inlineStr">
        <is>
          <t>IF(OR(E286="",AJ286=""),"",IF(COUNT(AG286:AI286)=0,"",AJ286-LOOKUP(2,1/(AG286:AI286&lt;&gt;""),AG286:AI286)))</t>
        </is>
      </c>
      <c r="AX286" s="38" t="inlineStr">
        <is>
          <t>IF(OR(E286="",AK286=""),"",IF(COUNT(AG286:AJ286)=0,"",AK286-LOOKUP(2,1/(AG286:AJ286&lt;&gt;""),AG286:AJ286)))</t>
        </is>
      </c>
      <c r="AY286" s="38" t="inlineStr">
        <is>
          <t>IF(OR(E286="",AL286=""),"",IF(COUNT(AG286:AK286)=0,"",AL286-LOOKUP(2,1/(AG286:AK286&lt;&gt;""),AG286:AK286)))</t>
        </is>
      </c>
      <c r="AZ286" s="38" t="inlineStr">
        <is>
          <t>IF(OR(E286="",AM286=""),"",IF(COUNT(AG286:AL286)=0,"",AM286-LOOKUP(2,1/(AG286:AL286&lt;&gt;""),AG286:AL286)))</t>
        </is>
      </c>
      <c r="BA286" s="38" t="inlineStr">
        <is>
          <t>IF(OR(E286="",AN286=""),"",IF(COUNT(AG286:AM286)=0,"",AN286-LOOKUP(2,1/(AG286:AM286&lt;&gt;""),AG286:AM286)))</t>
        </is>
      </c>
      <c r="BB286" s="38" t="inlineStr">
        <is>
          <t>IF(OR(E286="",AO286=""),"",IF(COUNT(AG286:AN286)=0,"",AO286-LOOKUP(2,1/(AG286:AN286&lt;&gt;""),AG286:AN286)))</t>
        </is>
      </c>
      <c r="BC286" s="38" t="inlineStr">
        <is>
          <t>IF(OR(E286="",AP286=""),"",IF(COUNT(AG286:AO286)=0,"",AP286-LOOKUP(2,1/(AG286:AO286&lt;&gt;""),AG286:AO286)))</t>
        </is>
      </c>
      <c r="BD286" s="38" t="inlineStr">
        <is>
          <t>IF(OR(E286="",AQ286=""),"",IF(COUNT(AG286:AP286)=0,"",AQ286-LOOKUP(2,1/(AG286:AP286&lt;&gt;""),AG286:AP286)))</t>
        </is>
      </c>
      <c r="BE286" s="38" t="inlineStr">
        <is>
          <t>IF(OR(E286="",AR286=""),"",IF(COUNT(AG286:AQ286)=0,"",AR286-LOOKUP(2,1/(AG286:AQ286&lt;&gt;""),AG286:AQ286)))</t>
        </is>
      </c>
      <c r="BF286" s="38" t="inlineStr">
        <is>
          <t>IF(OR(E286="",AS286=""),"",IF(COUNT(AG286:AR286)=0,"",AS286-LOOKUP(2,1/(AG286:AR286&lt;&gt;""),AG286:AR286)))</t>
        </is>
      </c>
      <c r="BG286" s="38" t="inlineStr">
        <is>
          <t>IF(OR(E286="",AT286=""),"",IF(COUNT(AG286:AS286)=0,"",AT286-LOOKUP(2,1/(AG286:AS286&lt;&gt;""),AG286:AS286)))</t>
        </is>
      </c>
      <c r="BH286" s="41" t="inlineStr">
        <is>
          <t>IF(G286="","All_Provinces",IFERROR(VLOOKUP(G286,'07_Lookups'!$A$4:$B$20,2,FALSE),"All_Provinces"))</t>
        </is>
      </c>
      <c r="BI286" s="41" t="inlineStr">
        <is>
          <t>IF(H286="","All_Districts",IFERROR(VLOOKUP(H286,'07_Lookups'!$E$4:$F$42,2,FALSE),"All_Districts"))</t>
        </is>
      </c>
    </row>
    <row r="287" ht="18" customHeight="1">
      <c r="A287" s="32" t="inlineStr">
        <is>
          <t>IF(E287="","",ROW()-3)</t>
        </is>
      </c>
      <c r="B287" s="42" t="n"/>
      <c r="C287" s="42" t="n"/>
      <c r="D287" s="42" t="n"/>
      <c r="E287" s="42" t="n"/>
      <c r="F287" s="42" t="n"/>
      <c r="G287" s="42" t="n"/>
      <c r="H287" s="42" t="n"/>
      <c r="I287" s="42" t="n"/>
      <c r="J287" s="42" t="n"/>
      <c r="K287" s="42" t="n"/>
      <c r="L287" s="42" t="n"/>
      <c r="M287" s="42" t="n"/>
      <c r="N287" s="42" t="n"/>
      <c r="O287" s="42" t="n"/>
      <c r="P287" s="42" t="n"/>
      <c r="Q287" s="43" t="n"/>
      <c r="R287" s="35" t="inlineStr">
        <is>
          <t>IF(AO287="","",AO287)</t>
        </is>
      </c>
      <c r="S287" s="44" t="n"/>
      <c r="T287" s="45" t="n"/>
      <c r="U287" s="44" t="n"/>
      <c r="V287" s="35" t="inlineStr">
        <is>
          <t>IF(U287&lt;&gt;"",U287,IF(OR(R287="",T287=""),"",EDATE(R287,T287)))</t>
        </is>
      </c>
      <c r="W287" s="44" t="n"/>
      <c r="X287" s="45" t="n"/>
      <c r="Y287" s="42" t="n"/>
      <c r="Z287" s="42" t="n"/>
      <c r="AA287" s="32" t="inlineStr">
        <is>
          <t>IF(E287="","",IF(COUNT(AG287:AT287)=0,IF(Y287="","Not started",Y287),SUBSTITUTE(LOOKUP(2,1/(AG287:AT287&lt;&gt;""),$AG$3:$AT$3),"Date: ","")))</t>
        </is>
      </c>
      <c r="AB287" s="38" t="inlineStr">
        <is>
          <t>IF(OR(E287="",COUNT(AG287:AT287)=0),"",TODAY()-LOOKUP(2,1/(AG287:AT287&lt;&gt;""),AG287:AT287))</t>
        </is>
      </c>
      <c r="AC287" s="38" t="inlineStr">
        <is>
          <t>IF(OR(E287="",COUNT(AG287:AT287)&lt;2),"",LOOKUP(2,1/(AG287:AT287&lt;&gt;""),AG287:AT287)-MIN(AG287:AT287))</t>
        </is>
      </c>
      <c r="AD287" s="38" t="inlineStr">
        <is>
          <t>IF(OR(AB287="",AA287="Not started",AA287=""),"",IFERROR(AB287-IF(VLOOKUP(AA287,'04_Status_Pipeline'!$B$3:$E$20,4,FALSE)="",0,VLOOKUP(AA287,'04_Status_Pipeline'!$B$3:$E$20,4,FALSE)),""))</t>
        </is>
      </c>
      <c r="AE287" s="32" t="inlineStr">
        <is>
          <t>IF(E287="","",IF(OR(Y287="Cancelled",AA287="Cancelled"),"Cancelled",IF(OR(AA287="Completed / Handover",W287&lt;&gt;"",X287&gt;=100),"Completed — on track",IF(L287="Remaining",IF(S287="",IF(V287="","No planned date",IF(TODAY()&gt;V287,"Behind — past planned date",IF(V287-TODAY()&lt;=30,"At risk — close to off track","On track"))),IF(TODAY()&gt;S287,"Behind — award date passed",IF(S287-TODAY()&lt;=30,"At risk — close to off track","On track"))),IF(V287="","No planned date",IF(AND(TODAY()&gt;V287,OR(X287="",X287&lt;100)),"Behind — past end date",IF(AND(R287&lt;&gt;"",V287&lt;&gt;"",X287&lt;&gt;"",(X287&lt;100),((TODAY()-R287)/MAX(V287-R287,1)*100)-X287&gt;15),"Behind — progress lag",IF(AND(V287-TODAY()&lt;=30,V287-TODAY()&gt;=0,OR(X287="",X287&lt;90)),"At risk — close to off track","On track"))))))))</t>
        </is>
      </c>
      <c r="AF287" s="38" t="inlineStr">
        <is>
          <t>IF(OR(E287="",AA287="Completed / Handover",AA287="Cancelled"),"",IF(L287="Remaining",IF(S287&lt;&gt;"",S287-TODAY(),IF(V287="","",V287-TODAY())),IF(V287="","",V287-TODAY())))</t>
        </is>
      </c>
      <c r="AG287" s="44" t="n"/>
      <c r="AH287" s="44" t="n"/>
      <c r="AI287" s="44" t="n"/>
      <c r="AJ287" s="44" t="n"/>
      <c r="AK287" s="44" t="n"/>
      <c r="AL287" s="44" t="n"/>
      <c r="AM287" s="44" t="n"/>
      <c r="AN287" s="44" t="n"/>
      <c r="AO287" s="44" t="n"/>
      <c r="AP287" s="44" t="n"/>
      <c r="AQ287" s="44" t="n"/>
      <c r="AR287" s="40" t="n"/>
      <c r="AS287" s="40" t="n"/>
      <c r="AT287" s="40" t="n"/>
      <c r="AU287" s="38" t="inlineStr">
        <is>
          <t>IF(OR(E287="",AH287=""),"",IF(COUNT(AG287:AG287)=0,"",AH287-LOOKUP(2,1/(AG287:AG287&lt;&gt;""),AG287:AG287)))</t>
        </is>
      </c>
      <c r="AV287" s="38" t="inlineStr">
        <is>
          <t>IF(OR(E287="",AI287=""),"",IF(COUNT(AG287:AH287)=0,"",AI287-LOOKUP(2,1/(AG287:AH287&lt;&gt;""),AG287:AH287)))</t>
        </is>
      </c>
      <c r="AW287" s="38" t="inlineStr">
        <is>
          <t>IF(OR(E287="",AJ287=""),"",IF(COUNT(AG287:AI287)=0,"",AJ287-LOOKUP(2,1/(AG287:AI287&lt;&gt;""),AG287:AI287)))</t>
        </is>
      </c>
      <c r="AX287" s="38" t="inlineStr">
        <is>
          <t>IF(OR(E287="",AK287=""),"",IF(COUNT(AG287:AJ287)=0,"",AK287-LOOKUP(2,1/(AG287:AJ287&lt;&gt;""),AG287:AJ287)))</t>
        </is>
      </c>
      <c r="AY287" s="38" t="inlineStr">
        <is>
          <t>IF(OR(E287="",AL287=""),"",IF(COUNT(AG287:AK287)=0,"",AL287-LOOKUP(2,1/(AG287:AK287&lt;&gt;""),AG287:AK287)))</t>
        </is>
      </c>
      <c r="AZ287" s="38" t="inlineStr">
        <is>
          <t>IF(OR(E287="",AM287=""),"",IF(COUNT(AG287:AL287)=0,"",AM287-LOOKUP(2,1/(AG287:AL287&lt;&gt;""),AG287:AL287)))</t>
        </is>
      </c>
      <c r="BA287" s="38" t="inlineStr">
        <is>
          <t>IF(OR(E287="",AN287=""),"",IF(COUNT(AG287:AM287)=0,"",AN287-LOOKUP(2,1/(AG287:AM287&lt;&gt;""),AG287:AM287)))</t>
        </is>
      </c>
      <c r="BB287" s="38" t="inlineStr">
        <is>
          <t>IF(OR(E287="",AO287=""),"",IF(COUNT(AG287:AN287)=0,"",AO287-LOOKUP(2,1/(AG287:AN287&lt;&gt;""),AG287:AN287)))</t>
        </is>
      </c>
      <c r="BC287" s="38" t="inlineStr">
        <is>
          <t>IF(OR(E287="",AP287=""),"",IF(COUNT(AG287:AO287)=0,"",AP287-LOOKUP(2,1/(AG287:AO287&lt;&gt;""),AG287:AO287)))</t>
        </is>
      </c>
      <c r="BD287" s="38" t="inlineStr">
        <is>
          <t>IF(OR(E287="",AQ287=""),"",IF(COUNT(AG287:AP287)=0,"",AQ287-LOOKUP(2,1/(AG287:AP287&lt;&gt;""),AG287:AP287)))</t>
        </is>
      </c>
      <c r="BE287" s="38" t="inlineStr">
        <is>
          <t>IF(OR(E287="",AR287=""),"",IF(COUNT(AG287:AQ287)=0,"",AR287-LOOKUP(2,1/(AG287:AQ287&lt;&gt;""),AG287:AQ287)))</t>
        </is>
      </c>
      <c r="BF287" s="38" t="inlineStr">
        <is>
          <t>IF(OR(E287="",AS287=""),"",IF(COUNT(AG287:AR287)=0,"",AS287-LOOKUP(2,1/(AG287:AR287&lt;&gt;""),AG287:AR287)))</t>
        </is>
      </c>
      <c r="BG287" s="38" t="inlineStr">
        <is>
          <t>IF(OR(E287="",AT287=""),"",IF(COUNT(AG287:AS287)=0,"",AT287-LOOKUP(2,1/(AG287:AS287&lt;&gt;""),AG287:AS287)))</t>
        </is>
      </c>
      <c r="BH287" s="41" t="inlineStr">
        <is>
          <t>IF(G287="","All_Provinces",IFERROR(VLOOKUP(G287,'07_Lookups'!$A$4:$B$20,2,FALSE),"All_Provinces"))</t>
        </is>
      </c>
      <c r="BI287" s="41" t="inlineStr">
        <is>
          <t>IF(H287="","All_Districts",IFERROR(VLOOKUP(H287,'07_Lookups'!$E$4:$F$42,2,FALSE),"All_Districts"))</t>
        </is>
      </c>
    </row>
    <row r="288" ht="18" customHeight="1">
      <c r="A288" s="32" t="inlineStr">
        <is>
          <t>IF(E288="","",ROW()-3)</t>
        </is>
      </c>
      <c r="B288" s="33" t="n"/>
      <c r="C288" s="33" t="n"/>
      <c r="D288" s="33" t="n"/>
      <c r="E288" s="33" t="n"/>
      <c r="F288" s="33" t="n"/>
      <c r="G288" s="33" t="n"/>
      <c r="H288" s="33" t="n"/>
      <c r="I288" s="33" t="n"/>
      <c r="J288" s="33" t="n"/>
      <c r="K288" s="33" t="n"/>
      <c r="L288" s="33" t="n"/>
      <c r="M288" s="33" t="n"/>
      <c r="N288" s="33" t="n"/>
      <c r="O288" s="33" t="n"/>
      <c r="P288" s="33" t="n"/>
      <c r="Q288" s="34" t="n"/>
      <c r="R288" s="35" t="inlineStr">
        <is>
          <t>IF(AO288="","",AO288)</t>
        </is>
      </c>
      <c r="S288" s="36" t="n"/>
      <c r="T288" s="37" t="n"/>
      <c r="U288" s="36" t="n"/>
      <c r="V288" s="35" t="inlineStr">
        <is>
          <t>IF(U288&lt;&gt;"",U288,IF(OR(R288="",T288=""),"",EDATE(R288,T288)))</t>
        </is>
      </c>
      <c r="W288" s="36" t="n"/>
      <c r="X288" s="37" t="n"/>
      <c r="Y288" s="33" t="n"/>
      <c r="Z288" s="33" t="n"/>
      <c r="AA288" s="32" t="inlineStr">
        <is>
          <t>IF(E288="","",IF(COUNT(AG288:AT288)=0,IF(Y288="","Not started",Y288),SUBSTITUTE(LOOKUP(2,1/(AG288:AT288&lt;&gt;""),$AG$3:$AT$3),"Date: ","")))</t>
        </is>
      </c>
      <c r="AB288" s="38" t="inlineStr">
        <is>
          <t>IF(OR(E288="",COUNT(AG288:AT288)=0),"",TODAY()-LOOKUP(2,1/(AG288:AT288&lt;&gt;""),AG288:AT288))</t>
        </is>
      </c>
      <c r="AC288" s="38" t="inlineStr">
        <is>
          <t>IF(OR(E288="",COUNT(AG288:AT288)&lt;2),"",LOOKUP(2,1/(AG288:AT288&lt;&gt;""),AG288:AT288)-MIN(AG288:AT288))</t>
        </is>
      </c>
      <c r="AD288" s="38" t="inlineStr">
        <is>
          <t>IF(OR(AB288="",AA288="Not started",AA288=""),"",IFERROR(AB288-IF(VLOOKUP(AA288,'04_Status_Pipeline'!$B$3:$E$20,4,FALSE)="",0,VLOOKUP(AA288,'04_Status_Pipeline'!$B$3:$E$20,4,FALSE)),""))</t>
        </is>
      </c>
      <c r="AE288" s="32" t="inlineStr">
        <is>
          <t>IF(E288="","",IF(OR(Y288="Cancelled",AA288="Cancelled"),"Cancelled",IF(OR(AA288="Completed / Handover",W288&lt;&gt;"",X288&gt;=100),"Completed — on track",IF(L288="Remaining",IF(S288="",IF(V288="","No planned date",IF(TODAY()&gt;V288,"Behind — past planned date",IF(V288-TODAY()&lt;=30,"At risk — close to off track","On track"))),IF(TODAY()&gt;S288,"Behind — award date passed",IF(S288-TODAY()&lt;=30,"At risk — close to off track","On track"))),IF(V288="","No planned date",IF(AND(TODAY()&gt;V288,OR(X288="",X288&lt;100)),"Behind — past end date",IF(AND(R288&lt;&gt;"",V288&lt;&gt;"",X288&lt;&gt;"",(X288&lt;100),((TODAY()-R288)/MAX(V288-R288,1)*100)-X288&gt;15),"Behind — progress lag",IF(AND(V288-TODAY()&lt;=30,V288-TODAY()&gt;=0,OR(X288="",X288&lt;90)),"At risk — close to off track","On track"))))))))</t>
        </is>
      </c>
      <c r="AF288" s="38" t="inlineStr">
        <is>
          <t>IF(OR(E288="",AA288="Completed / Handover",AA288="Cancelled"),"",IF(L288="Remaining",IF(S288&lt;&gt;"",S288-TODAY(),IF(V288="","",V288-TODAY())),IF(V288="","",V288-TODAY())))</t>
        </is>
      </c>
      <c r="AG288" s="36" t="n"/>
      <c r="AH288" s="36" t="n"/>
      <c r="AI288" s="36" t="n"/>
      <c r="AJ288" s="36" t="n"/>
      <c r="AK288" s="36" t="n"/>
      <c r="AL288" s="36" t="n"/>
      <c r="AM288" s="36" t="n"/>
      <c r="AN288" s="36" t="n"/>
      <c r="AO288" s="36" t="n"/>
      <c r="AP288" s="36" t="n"/>
      <c r="AQ288" s="36" t="n"/>
      <c r="AR288" s="40" t="n"/>
      <c r="AS288" s="40" t="n"/>
      <c r="AT288" s="40" t="n"/>
      <c r="AU288" s="38" t="inlineStr">
        <is>
          <t>IF(OR(E288="",AH288=""),"",IF(COUNT(AG288:AG288)=0,"",AH288-LOOKUP(2,1/(AG288:AG288&lt;&gt;""),AG288:AG288)))</t>
        </is>
      </c>
      <c r="AV288" s="38" t="inlineStr">
        <is>
          <t>IF(OR(E288="",AI288=""),"",IF(COUNT(AG288:AH288)=0,"",AI288-LOOKUP(2,1/(AG288:AH288&lt;&gt;""),AG288:AH288)))</t>
        </is>
      </c>
      <c r="AW288" s="38" t="inlineStr">
        <is>
          <t>IF(OR(E288="",AJ288=""),"",IF(COUNT(AG288:AI288)=0,"",AJ288-LOOKUP(2,1/(AG288:AI288&lt;&gt;""),AG288:AI288)))</t>
        </is>
      </c>
      <c r="AX288" s="38" t="inlineStr">
        <is>
          <t>IF(OR(E288="",AK288=""),"",IF(COUNT(AG288:AJ288)=0,"",AK288-LOOKUP(2,1/(AG288:AJ288&lt;&gt;""),AG288:AJ288)))</t>
        </is>
      </c>
      <c r="AY288" s="38" t="inlineStr">
        <is>
          <t>IF(OR(E288="",AL288=""),"",IF(COUNT(AG288:AK288)=0,"",AL288-LOOKUP(2,1/(AG288:AK288&lt;&gt;""),AG288:AK288)))</t>
        </is>
      </c>
      <c r="AZ288" s="38" t="inlineStr">
        <is>
          <t>IF(OR(E288="",AM288=""),"",IF(COUNT(AG288:AL288)=0,"",AM288-LOOKUP(2,1/(AG288:AL288&lt;&gt;""),AG288:AL288)))</t>
        </is>
      </c>
      <c r="BA288" s="38" t="inlineStr">
        <is>
          <t>IF(OR(E288="",AN288=""),"",IF(COUNT(AG288:AM288)=0,"",AN288-LOOKUP(2,1/(AG288:AM288&lt;&gt;""),AG288:AM288)))</t>
        </is>
      </c>
      <c r="BB288" s="38" t="inlineStr">
        <is>
          <t>IF(OR(E288="",AO288=""),"",IF(COUNT(AG288:AN288)=0,"",AO288-LOOKUP(2,1/(AG288:AN288&lt;&gt;""),AG288:AN288)))</t>
        </is>
      </c>
      <c r="BC288" s="38" t="inlineStr">
        <is>
          <t>IF(OR(E288="",AP288=""),"",IF(COUNT(AG288:AO288)=0,"",AP288-LOOKUP(2,1/(AG288:AO288&lt;&gt;""),AG288:AO288)))</t>
        </is>
      </c>
      <c r="BD288" s="38" t="inlineStr">
        <is>
          <t>IF(OR(E288="",AQ288=""),"",IF(COUNT(AG288:AP288)=0,"",AQ288-LOOKUP(2,1/(AG288:AP288&lt;&gt;""),AG288:AP288)))</t>
        </is>
      </c>
      <c r="BE288" s="38" t="inlineStr">
        <is>
          <t>IF(OR(E288="",AR288=""),"",IF(COUNT(AG288:AQ288)=0,"",AR288-LOOKUP(2,1/(AG288:AQ288&lt;&gt;""),AG288:AQ288)))</t>
        </is>
      </c>
      <c r="BF288" s="38" t="inlineStr">
        <is>
          <t>IF(OR(E288="",AS288=""),"",IF(COUNT(AG288:AR288)=0,"",AS288-LOOKUP(2,1/(AG288:AR288&lt;&gt;""),AG288:AR288)))</t>
        </is>
      </c>
      <c r="BG288" s="38" t="inlineStr">
        <is>
          <t>IF(OR(E288="",AT288=""),"",IF(COUNT(AG288:AS288)=0,"",AT288-LOOKUP(2,1/(AG288:AS288&lt;&gt;""),AG288:AS288)))</t>
        </is>
      </c>
      <c r="BH288" s="41" t="inlineStr">
        <is>
          <t>IF(G288="","All_Provinces",IFERROR(VLOOKUP(G288,'07_Lookups'!$A$4:$B$20,2,FALSE),"All_Provinces"))</t>
        </is>
      </c>
      <c r="BI288" s="41" t="inlineStr">
        <is>
          <t>IF(H288="","All_Districts",IFERROR(VLOOKUP(H288,'07_Lookups'!$E$4:$F$42,2,FALSE),"All_Districts"))</t>
        </is>
      </c>
    </row>
    <row r="289" ht="18" customHeight="1">
      <c r="A289" s="32" t="inlineStr">
        <is>
          <t>IF(E289="","",ROW()-3)</t>
        </is>
      </c>
      <c r="B289" s="42" t="n"/>
      <c r="C289" s="42" t="n"/>
      <c r="D289" s="42" t="n"/>
      <c r="E289" s="42" t="n"/>
      <c r="F289" s="42" t="n"/>
      <c r="G289" s="42" t="n"/>
      <c r="H289" s="42" t="n"/>
      <c r="I289" s="42" t="n"/>
      <c r="J289" s="42" t="n"/>
      <c r="K289" s="42" t="n"/>
      <c r="L289" s="42" t="n"/>
      <c r="M289" s="42" t="n"/>
      <c r="N289" s="42" t="n"/>
      <c r="O289" s="42" t="n"/>
      <c r="P289" s="42" t="n"/>
      <c r="Q289" s="43" t="n"/>
      <c r="R289" s="35" t="inlineStr">
        <is>
          <t>IF(AO289="","",AO289)</t>
        </is>
      </c>
      <c r="S289" s="44" t="n"/>
      <c r="T289" s="45" t="n"/>
      <c r="U289" s="44" t="n"/>
      <c r="V289" s="35" t="inlineStr">
        <is>
          <t>IF(U289&lt;&gt;"",U289,IF(OR(R289="",T289=""),"",EDATE(R289,T289)))</t>
        </is>
      </c>
      <c r="W289" s="44" t="n"/>
      <c r="X289" s="45" t="n"/>
      <c r="Y289" s="42" t="n"/>
      <c r="Z289" s="42" t="n"/>
      <c r="AA289" s="32" t="inlineStr">
        <is>
          <t>IF(E289="","",IF(COUNT(AG289:AT289)=0,IF(Y289="","Not started",Y289),SUBSTITUTE(LOOKUP(2,1/(AG289:AT289&lt;&gt;""),$AG$3:$AT$3),"Date: ","")))</t>
        </is>
      </c>
      <c r="AB289" s="38" t="inlineStr">
        <is>
          <t>IF(OR(E289="",COUNT(AG289:AT289)=0),"",TODAY()-LOOKUP(2,1/(AG289:AT289&lt;&gt;""),AG289:AT289))</t>
        </is>
      </c>
      <c r="AC289" s="38" t="inlineStr">
        <is>
          <t>IF(OR(E289="",COUNT(AG289:AT289)&lt;2),"",LOOKUP(2,1/(AG289:AT289&lt;&gt;""),AG289:AT289)-MIN(AG289:AT289))</t>
        </is>
      </c>
      <c r="AD289" s="38" t="inlineStr">
        <is>
          <t>IF(OR(AB289="",AA289="Not started",AA289=""),"",IFERROR(AB289-IF(VLOOKUP(AA289,'04_Status_Pipeline'!$B$3:$E$20,4,FALSE)="",0,VLOOKUP(AA289,'04_Status_Pipeline'!$B$3:$E$20,4,FALSE)),""))</t>
        </is>
      </c>
      <c r="AE289" s="32" t="inlineStr">
        <is>
          <t>IF(E289="","",IF(OR(Y289="Cancelled",AA289="Cancelled"),"Cancelled",IF(OR(AA289="Completed / Handover",W289&lt;&gt;"",X289&gt;=100),"Completed — on track",IF(L289="Remaining",IF(S289="",IF(V289="","No planned date",IF(TODAY()&gt;V289,"Behind — past planned date",IF(V289-TODAY()&lt;=30,"At risk — close to off track","On track"))),IF(TODAY()&gt;S289,"Behind — award date passed",IF(S289-TODAY()&lt;=30,"At risk — close to off track","On track"))),IF(V289="","No planned date",IF(AND(TODAY()&gt;V289,OR(X289="",X289&lt;100)),"Behind — past end date",IF(AND(R289&lt;&gt;"",V289&lt;&gt;"",X289&lt;&gt;"",(X289&lt;100),((TODAY()-R289)/MAX(V289-R289,1)*100)-X289&gt;15),"Behind — progress lag",IF(AND(V289-TODAY()&lt;=30,V289-TODAY()&gt;=0,OR(X289="",X289&lt;90)),"At risk — close to off track","On track"))))))))</t>
        </is>
      </c>
      <c r="AF289" s="38" t="inlineStr">
        <is>
          <t>IF(OR(E289="",AA289="Completed / Handover",AA289="Cancelled"),"",IF(L289="Remaining",IF(S289&lt;&gt;"",S289-TODAY(),IF(V289="","",V289-TODAY())),IF(V289="","",V289-TODAY())))</t>
        </is>
      </c>
      <c r="AG289" s="44" t="n"/>
      <c r="AH289" s="44" t="n"/>
      <c r="AI289" s="44" t="n"/>
      <c r="AJ289" s="44" t="n"/>
      <c r="AK289" s="44" t="n"/>
      <c r="AL289" s="44" t="n"/>
      <c r="AM289" s="44" t="n"/>
      <c r="AN289" s="44" t="n"/>
      <c r="AO289" s="44" t="n"/>
      <c r="AP289" s="44" t="n"/>
      <c r="AQ289" s="44" t="n"/>
      <c r="AR289" s="40" t="n"/>
      <c r="AS289" s="40" t="n"/>
      <c r="AT289" s="40" t="n"/>
      <c r="AU289" s="38" t="inlineStr">
        <is>
          <t>IF(OR(E289="",AH289=""),"",IF(COUNT(AG289:AG289)=0,"",AH289-LOOKUP(2,1/(AG289:AG289&lt;&gt;""),AG289:AG289)))</t>
        </is>
      </c>
      <c r="AV289" s="38" t="inlineStr">
        <is>
          <t>IF(OR(E289="",AI289=""),"",IF(COUNT(AG289:AH289)=0,"",AI289-LOOKUP(2,1/(AG289:AH289&lt;&gt;""),AG289:AH289)))</t>
        </is>
      </c>
      <c r="AW289" s="38" t="inlineStr">
        <is>
          <t>IF(OR(E289="",AJ289=""),"",IF(COUNT(AG289:AI289)=0,"",AJ289-LOOKUP(2,1/(AG289:AI289&lt;&gt;""),AG289:AI289)))</t>
        </is>
      </c>
      <c r="AX289" s="38" t="inlineStr">
        <is>
          <t>IF(OR(E289="",AK289=""),"",IF(COUNT(AG289:AJ289)=0,"",AK289-LOOKUP(2,1/(AG289:AJ289&lt;&gt;""),AG289:AJ289)))</t>
        </is>
      </c>
      <c r="AY289" s="38" t="inlineStr">
        <is>
          <t>IF(OR(E289="",AL289=""),"",IF(COUNT(AG289:AK289)=0,"",AL289-LOOKUP(2,1/(AG289:AK289&lt;&gt;""),AG289:AK289)))</t>
        </is>
      </c>
      <c r="AZ289" s="38" t="inlineStr">
        <is>
          <t>IF(OR(E289="",AM289=""),"",IF(COUNT(AG289:AL289)=0,"",AM289-LOOKUP(2,1/(AG289:AL289&lt;&gt;""),AG289:AL289)))</t>
        </is>
      </c>
      <c r="BA289" s="38" t="inlineStr">
        <is>
          <t>IF(OR(E289="",AN289=""),"",IF(COUNT(AG289:AM289)=0,"",AN289-LOOKUP(2,1/(AG289:AM289&lt;&gt;""),AG289:AM289)))</t>
        </is>
      </c>
      <c r="BB289" s="38" t="inlineStr">
        <is>
          <t>IF(OR(E289="",AO289=""),"",IF(COUNT(AG289:AN289)=0,"",AO289-LOOKUP(2,1/(AG289:AN289&lt;&gt;""),AG289:AN289)))</t>
        </is>
      </c>
      <c r="BC289" s="38" t="inlineStr">
        <is>
          <t>IF(OR(E289="",AP289=""),"",IF(COUNT(AG289:AO289)=0,"",AP289-LOOKUP(2,1/(AG289:AO289&lt;&gt;""),AG289:AO289)))</t>
        </is>
      </c>
      <c r="BD289" s="38" t="inlineStr">
        <is>
          <t>IF(OR(E289="",AQ289=""),"",IF(COUNT(AG289:AP289)=0,"",AQ289-LOOKUP(2,1/(AG289:AP289&lt;&gt;""),AG289:AP289)))</t>
        </is>
      </c>
      <c r="BE289" s="38" t="inlineStr">
        <is>
          <t>IF(OR(E289="",AR289=""),"",IF(COUNT(AG289:AQ289)=0,"",AR289-LOOKUP(2,1/(AG289:AQ289&lt;&gt;""),AG289:AQ289)))</t>
        </is>
      </c>
      <c r="BF289" s="38" t="inlineStr">
        <is>
          <t>IF(OR(E289="",AS289=""),"",IF(COUNT(AG289:AR289)=0,"",AS289-LOOKUP(2,1/(AG289:AR289&lt;&gt;""),AG289:AR289)))</t>
        </is>
      </c>
      <c r="BG289" s="38" t="inlineStr">
        <is>
          <t>IF(OR(E289="",AT289=""),"",IF(COUNT(AG289:AS289)=0,"",AT289-LOOKUP(2,1/(AG289:AS289&lt;&gt;""),AG289:AS289)))</t>
        </is>
      </c>
      <c r="BH289" s="41" t="inlineStr">
        <is>
          <t>IF(G289="","All_Provinces",IFERROR(VLOOKUP(G289,'07_Lookups'!$A$4:$B$20,2,FALSE),"All_Provinces"))</t>
        </is>
      </c>
      <c r="BI289" s="41" t="inlineStr">
        <is>
          <t>IF(H289="","All_Districts",IFERROR(VLOOKUP(H289,'07_Lookups'!$E$4:$F$42,2,FALSE),"All_Districts"))</t>
        </is>
      </c>
    </row>
    <row r="290" ht="18" customHeight="1">
      <c r="A290" s="32" t="inlineStr">
        <is>
          <t>IF(E290="","",ROW()-3)</t>
        </is>
      </c>
      <c r="B290" s="33" t="n"/>
      <c r="C290" s="33" t="n"/>
      <c r="D290" s="33" t="n"/>
      <c r="E290" s="33" t="n"/>
      <c r="F290" s="33" t="n"/>
      <c r="G290" s="33" t="n"/>
      <c r="H290" s="33" t="n"/>
      <c r="I290" s="33" t="n"/>
      <c r="J290" s="33" t="n"/>
      <c r="K290" s="33" t="n"/>
      <c r="L290" s="33" t="n"/>
      <c r="M290" s="33" t="n"/>
      <c r="N290" s="33" t="n"/>
      <c r="O290" s="33" t="n"/>
      <c r="P290" s="33" t="n"/>
      <c r="Q290" s="34" t="n"/>
      <c r="R290" s="35" t="inlineStr">
        <is>
          <t>IF(AO290="","",AO290)</t>
        </is>
      </c>
      <c r="S290" s="36" t="n"/>
      <c r="T290" s="37" t="n"/>
      <c r="U290" s="36" t="n"/>
      <c r="V290" s="35" t="inlineStr">
        <is>
          <t>IF(U290&lt;&gt;"",U290,IF(OR(R290="",T290=""),"",EDATE(R290,T290)))</t>
        </is>
      </c>
      <c r="W290" s="36" t="n"/>
      <c r="X290" s="37" t="n"/>
      <c r="Y290" s="33" t="n"/>
      <c r="Z290" s="33" t="n"/>
      <c r="AA290" s="32" t="inlineStr">
        <is>
          <t>IF(E290="","",IF(COUNT(AG290:AT290)=0,IF(Y290="","Not started",Y290),SUBSTITUTE(LOOKUP(2,1/(AG290:AT290&lt;&gt;""),$AG$3:$AT$3),"Date: ","")))</t>
        </is>
      </c>
      <c r="AB290" s="38" t="inlineStr">
        <is>
          <t>IF(OR(E290="",COUNT(AG290:AT290)=0),"",TODAY()-LOOKUP(2,1/(AG290:AT290&lt;&gt;""),AG290:AT290))</t>
        </is>
      </c>
      <c r="AC290" s="38" t="inlineStr">
        <is>
          <t>IF(OR(E290="",COUNT(AG290:AT290)&lt;2),"",LOOKUP(2,1/(AG290:AT290&lt;&gt;""),AG290:AT290)-MIN(AG290:AT290))</t>
        </is>
      </c>
      <c r="AD290" s="38" t="inlineStr">
        <is>
          <t>IF(OR(AB290="",AA290="Not started",AA290=""),"",IFERROR(AB290-IF(VLOOKUP(AA290,'04_Status_Pipeline'!$B$3:$E$20,4,FALSE)="",0,VLOOKUP(AA290,'04_Status_Pipeline'!$B$3:$E$20,4,FALSE)),""))</t>
        </is>
      </c>
      <c r="AE290" s="32" t="inlineStr">
        <is>
          <t>IF(E290="","",IF(OR(Y290="Cancelled",AA290="Cancelled"),"Cancelled",IF(OR(AA290="Completed / Handover",W290&lt;&gt;"",X290&gt;=100),"Completed — on track",IF(L290="Remaining",IF(S290="",IF(V290="","No planned date",IF(TODAY()&gt;V290,"Behind — past planned date",IF(V290-TODAY()&lt;=30,"At risk — close to off track","On track"))),IF(TODAY()&gt;S290,"Behind — award date passed",IF(S290-TODAY()&lt;=30,"At risk — close to off track","On track"))),IF(V290="","No planned date",IF(AND(TODAY()&gt;V290,OR(X290="",X290&lt;100)),"Behind — past end date",IF(AND(R290&lt;&gt;"",V290&lt;&gt;"",X290&lt;&gt;"",(X290&lt;100),((TODAY()-R290)/MAX(V290-R290,1)*100)-X290&gt;15),"Behind — progress lag",IF(AND(V290-TODAY()&lt;=30,V290-TODAY()&gt;=0,OR(X290="",X290&lt;90)),"At risk — close to off track","On track"))))))))</t>
        </is>
      </c>
      <c r="AF290" s="38" t="inlineStr">
        <is>
          <t>IF(OR(E290="",AA290="Completed / Handover",AA290="Cancelled"),"",IF(L290="Remaining",IF(S290&lt;&gt;"",S290-TODAY(),IF(V290="","",V290-TODAY())),IF(V290="","",V290-TODAY())))</t>
        </is>
      </c>
      <c r="AG290" s="36" t="n"/>
      <c r="AH290" s="36" t="n"/>
      <c r="AI290" s="36" t="n"/>
      <c r="AJ290" s="36" t="n"/>
      <c r="AK290" s="36" t="n"/>
      <c r="AL290" s="36" t="n"/>
      <c r="AM290" s="36" t="n"/>
      <c r="AN290" s="36" t="n"/>
      <c r="AO290" s="36" t="n"/>
      <c r="AP290" s="36" t="n"/>
      <c r="AQ290" s="36" t="n"/>
      <c r="AR290" s="40" t="n"/>
      <c r="AS290" s="40" t="n"/>
      <c r="AT290" s="40" t="n"/>
      <c r="AU290" s="38" t="inlineStr">
        <is>
          <t>IF(OR(E290="",AH290=""),"",IF(COUNT(AG290:AG290)=0,"",AH290-LOOKUP(2,1/(AG290:AG290&lt;&gt;""),AG290:AG290)))</t>
        </is>
      </c>
      <c r="AV290" s="38" t="inlineStr">
        <is>
          <t>IF(OR(E290="",AI290=""),"",IF(COUNT(AG290:AH290)=0,"",AI290-LOOKUP(2,1/(AG290:AH290&lt;&gt;""),AG290:AH290)))</t>
        </is>
      </c>
      <c r="AW290" s="38" t="inlineStr">
        <is>
          <t>IF(OR(E290="",AJ290=""),"",IF(COUNT(AG290:AI290)=0,"",AJ290-LOOKUP(2,1/(AG290:AI290&lt;&gt;""),AG290:AI290)))</t>
        </is>
      </c>
      <c r="AX290" s="38" t="inlineStr">
        <is>
          <t>IF(OR(E290="",AK290=""),"",IF(COUNT(AG290:AJ290)=0,"",AK290-LOOKUP(2,1/(AG290:AJ290&lt;&gt;""),AG290:AJ290)))</t>
        </is>
      </c>
      <c r="AY290" s="38" t="inlineStr">
        <is>
          <t>IF(OR(E290="",AL290=""),"",IF(COUNT(AG290:AK290)=0,"",AL290-LOOKUP(2,1/(AG290:AK290&lt;&gt;""),AG290:AK290)))</t>
        </is>
      </c>
      <c r="AZ290" s="38" t="inlineStr">
        <is>
          <t>IF(OR(E290="",AM290=""),"",IF(COUNT(AG290:AL290)=0,"",AM290-LOOKUP(2,1/(AG290:AL290&lt;&gt;""),AG290:AL290)))</t>
        </is>
      </c>
      <c r="BA290" s="38" t="inlineStr">
        <is>
          <t>IF(OR(E290="",AN290=""),"",IF(COUNT(AG290:AM290)=0,"",AN290-LOOKUP(2,1/(AG290:AM290&lt;&gt;""),AG290:AM290)))</t>
        </is>
      </c>
      <c r="BB290" s="38" t="inlineStr">
        <is>
          <t>IF(OR(E290="",AO290=""),"",IF(COUNT(AG290:AN290)=0,"",AO290-LOOKUP(2,1/(AG290:AN290&lt;&gt;""),AG290:AN290)))</t>
        </is>
      </c>
      <c r="BC290" s="38" t="inlineStr">
        <is>
          <t>IF(OR(E290="",AP290=""),"",IF(COUNT(AG290:AO290)=0,"",AP290-LOOKUP(2,1/(AG290:AO290&lt;&gt;""),AG290:AO290)))</t>
        </is>
      </c>
      <c r="BD290" s="38" t="inlineStr">
        <is>
          <t>IF(OR(E290="",AQ290=""),"",IF(COUNT(AG290:AP290)=0,"",AQ290-LOOKUP(2,1/(AG290:AP290&lt;&gt;""),AG290:AP290)))</t>
        </is>
      </c>
      <c r="BE290" s="38" t="inlineStr">
        <is>
          <t>IF(OR(E290="",AR290=""),"",IF(COUNT(AG290:AQ290)=0,"",AR290-LOOKUP(2,1/(AG290:AQ290&lt;&gt;""),AG290:AQ290)))</t>
        </is>
      </c>
      <c r="BF290" s="38" t="inlineStr">
        <is>
          <t>IF(OR(E290="",AS290=""),"",IF(COUNT(AG290:AR290)=0,"",AS290-LOOKUP(2,1/(AG290:AR290&lt;&gt;""),AG290:AR290)))</t>
        </is>
      </c>
      <c r="BG290" s="38" t="inlineStr">
        <is>
          <t>IF(OR(E290="",AT290=""),"",IF(COUNT(AG290:AS290)=0,"",AT290-LOOKUP(2,1/(AG290:AS290&lt;&gt;""),AG290:AS290)))</t>
        </is>
      </c>
      <c r="BH290" s="41" t="inlineStr">
        <is>
          <t>IF(G290="","All_Provinces",IFERROR(VLOOKUP(G290,'07_Lookups'!$A$4:$B$20,2,FALSE),"All_Provinces"))</t>
        </is>
      </c>
      <c r="BI290" s="41" t="inlineStr">
        <is>
          <t>IF(H290="","All_Districts",IFERROR(VLOOKUP(H290,'07_Lookups'!$E$4:$F$42,2,FALSE),"All_Districts"))</t>
        </is>
      </c>
    </row>
    <row r="291" ht="18" customHeight="1">
      <c r="A291" s="32" t="inlineStr">
        <is>
          <t>IF(E291="","",ROW()-3)</t>
        </is>
      </c>
      <c r="B291" s="42" t="n"/>
      <c r="C291" s="42" t="n"/>
      <c r="D291" s="42" t="n"/>
      <c r="E291" s="42" t="n"/>
      <c r="F291" s="42" t="n"/>
      <c r="G291" s="42" t="n"/>
      <c r="H291" s="42" t="n"/>
      <c r="I291" s="42" t="n"/>
      <c r="J291" s="42" t="n"/>
      <c r="K291" s="42" t="n"/>
      <c r="L291" s="42" t="n"/>
      <c r="M291" s="42" t="n"/>
      <c r="N291" s="42" t="n"/>
      <c r="O291" s="42" t="n"/>
      <c r="P291" s="42" t="n"/>
      <c r="Q291" s="43" t="n"/>
      <c r="R291" s="35" t="inlineStr">
        <is>
          <t>IF(AO291="","",AO291)</t>
        </is>
      </c>
      <c r="S291" s="44" t="n"/>
      <c r="T291" s="45" t="n"/>
      <c r="U291" s="44" t="n"/>
      <c r="V291" s="35" t="inlineStr">
        <is>
          <t>IF(U291&lt;&gt;"",U291,IF(OR(R291="",T291=""),"",EDATE(R291,T291)))</t>
        </is>
      </c>
      <c r="W291" s="44" t="n"/>
      <c r="X291" s="45" t="n"/>
      <c r="Y291" s="42" t="n"/>
      <c r="Z291" s="42" t="n"/>
      <c r="AA291" s="32" t="inlineStr">
        <is>
          <t>IF(E291="","",IF(COUNT(AG291:AT291)=0,IF(Y291="","Not started",Y291),SUBSTITUTE(LOOKUP(2,1/(AG291:AT291&lt;&gt;""),$AG$3:$AT$3),"Date: ","")))</t>
        </is>
      </c>
      <c r="AB291" s="38" t="inlineStr">
        <is>
          <t>IF(OR(E291="",COUNT(AG291:AT291)=0),"",TODAY()-LOOKUP(2,1/(AG291:AT291&lt;&gt;""),AG291:AT291))</t>
        </is>
      </c>
      <c r="AC291" s="38" t="inlineStr">
        <is>
          <t>IF(OR(E291="",COUNT(AG291:AT291)&lt;2),"",LOOKUP(2,1/(AG291:AT291&lt;&gt;""),AG291:AT291)-MIN(AG291:AT291))</t>
        </is>
      </c>
      <c r="AD291" s="38" t="inlineStr">
        <is>
          <t>IF(OR(AB291="",AA291="Not started",AA291=""),"",IFERROR(AB291-IF(VLOOKUP(AA291,'04_Status_Pipeline'!$B$3:$E$20,4,FALSE)="",0,VLOOKUP(AA291,'04_Status_Pipeline'!$B$3:$E$20,4,FALSE)),""))</t>
        </is>
      </c>
      <c r="AE291" s="32" t="inlineStr">
        <is>
          <t>IF(E291="","",IF(OR(Y291="Cancelled",AA291="Cancelled"),"Cancelled",IF(OR(AA291="Completed / Handover",W291&lt;&gt;"",X291&gt;=100),"Completed — on track",IF(L291="Remaining",IF(S291="",IF(V291="","No planned date",IF(TODAY()&gt;V291,"Behind — past planned date",IF(V291-TODAY()&lt;=30,"At risk — close to off track","On track"))),IF(TODAY()&gt;S291,"Behind — award date passed",IF(S291-TODAY()&lt;=30,"At risk — close to off track","On track"))),IF(V291="","No planned date",IF(AND(TODAY()&gt;V291,OR(X291="",X291&lt;100)),"Behind — past end date",IF(AND(R291&lt;&gt;"",V291&lt;&gt;"",X291&lt;&gt;"",(X291&lt;100),((TODAY()-R291)/MAX(V291-R291,1)*100)-X291&gt;15),"Behind — progress lag",IF(AND(V291-TODAY()&lt;=30,V291-TODAY()&gt;=0,OR(X291="",X291&lt;90)),"At risk — close to off track","On track"))))))))</t>
        </is>
      </c>
      <c r="AF291" s="38" t="inlineStr">
        <is>
          <t>IF(OR(E291="",AA291="Completed / Handover",AA291="Cancelled"),"",IF(L291="Remaining",IF(S291&lt;&gt;"",S291-TODAY(),IF(V291="","",V291-TODAY())),IF(V291="","",V291-TODAY())))</t>
        </is>
      </c>
      <c r="AG291" s="44" t="n"/>
      <c r="AH291" s="44" t="n"/>
      <c r="AI291" s="44" t="n"/>
      <c r="AJ291" s="44" t="n"/>
      <c r="AK291" s="44" t="n"/>
      <c r="AL291" s="44" t="n"/>
      <c r="AM291" s="44" t="n"/>
      <c r="AN291" s="44" t="n"/>
      <c r="AO291" s="44" t="n"/>
      <c r="AP291" s="44" t="n"/>
      <c r="AQ291" s="44" t="n"/>
      <c r="AR291" s="40" t="n"/>
      <c r="AS291" s="40" t="n"/>
      <c r="AT291" s="40" t="n"/>
      <c r="AU291" s="38" t="inlineStr">
        <is>
          <t>IF(OR(E291="",AH291=""),"",IF(COUNT(AG291:AG291)=0,"",AH291-LOOKUP(2,1/(AG291:AG291&lt;&gt;""),AG291:AG291)))</t>
        </is>
      </c>
      <c r="AV291" s="38" t="inlineStr">
        <is>
          <t>IF(OR(E291="",AI291=""),"",IF(COUNT(AG291:AH291)=0,"",AI291-LOOKUP(2,1/(AG291:AH291&lt;&gt;""),AG291:AH291)))</t>
        </is>
      </c>
      <c r="AW291" s="38" t="inlineStr">
        <is>
          <t>IF(OR(E291="",AJ291=""),"",IF(COUNT(AG291:AI291)=0,"",AJ291-LOOKUP(2,1/(AG291:AI291&lt;&gt;""),AG291:AI291)))</t>
        </is>
      </c>
      <c r="AX291" s="38" t="inlineStr">
        <is>
          <t>IF(OR(E291="",AK291=""),"",IF(COUNT(AG291:AJ291)=0,"",AK291-LOOKUP(2,1/(AG291:AJ291&lt;&gt;""),AG291:AJ291)))</t>
        </is>
      </c>
      <c r="AY291" s="38" t="inlineStr">
        <is>
          <t>IF(OR(E291="",AL291=""),"",IF(COUNT(AG291:AK291)=0,"",AL291-LOOKUP(2,1/(AG291:AK291&lt;&gt;""),AG291:AK291)))</t>
        </is>
      </c>
      <c r="AZ291" s="38" t="inlineStr">
        <is>
          <t>IF(OR(E291="",AM291=""),"",IF(COUNT(AG291:AL291)=0,"",AM291-LOOKUP(2,1/(AG291:AL291&lt;&gt;""),AG291:AL291)))</t>
        </is>
      </c>
      <c r="BA291" s="38" t="inlineStr">
        <is>
          <t>IF(OR(E291="",AN291=""),"",IF(COUNT(AG291:AM291)=0,"",AN291-LOOKUP(2,1/(AG291:AM291&lt;&gt;""),AG291:AM291)))</t>
        </is>
      </c>
      <c r="BB291" s="38" t="inlineStr">
        <is>
          <t>IF(OR(E291="",AO291=""),"",IF(COUNT(AG291:AN291)=0,"",AO291-LOOKUP(2,1/(AG291:AN291&lt;&gt;""),AG291:AN291)))</t>
        </is>
      </c>
      <c r="BC291" s="38" t="inlineStr">
        <is>
          <t>IF(OR(E291="",AP291=""),"",IF(COUNT(AG291:AO291)=0,"",AP291-LOOKUP(2,1/(AG291:AO291&lt;&gt;""),AG291:AO291)))</t>
        </is>
      </c>
      <c r="BD291" s="38" t="inlineStr">
        <is>
          <t>IF(OR(E291="",AQ291=""),"",IF(COUNT(AG291:AP291)=0,"",AQ291-LOOKUP(2,1/(AG291:AP291&lt;&gt;""),AG291:AP291)))</t>
        </is>
      </c>
      <c r="BE291" s="38" t="inlineStr">
        <is>
          <t>IF(OR(E291="",AR291=""),"",IF(COUNT(AG291:AQ291)=0,"",AR291-LOOKUP(2,1/(AG291:AQ291&lt;&gt;""),AG291:AQ291)))</t>
        </is>
      </c>
      <c r="BF291" s="38" t="inlineStr">
        <is>
          <t>IF(OR(E291="",AS291=""),"",IF(COUNT(AG291:AR291)=0,"",AS291-LOOKUP(2,1/(AG291:AR291&lt;&gt;""),AG291:AR291)))</t>
        </is>
      </c>
      <c r="BG291" s="38" t="inlineStr">
        <is>
          <t>IF(OR(E291="",AT291=""),"",IF(COUNT(AG291:AS291)=0,"",AT291-LOOKUP(2,1/(AG291:AS291&lt;&gt;""),AG291:AS291)))</t>
        </is>
      </c>
      <c r="BH291" s="41" t="inlineStr">
        <is>
          <t>IF(G291="","All_Provinces",IFERROR(VLOOKUP(G291,'07_Lookups'!$A$4:$B$20,2,FALSE),"All_Provinces"))</t>
        </is>
      </c>
      <c r="BI291" s="41" t="inlineStr">
        <is>
          <t>IF(H291="","All_Districts",IFERROR(VLOOKUP(H291,'07_Lookups'!$E$4:$F$42,2,FALSE),"All_Districts"))</t>
        </is>
      </c>
    </row>
    <row r="292" ht="18" customHeight="1">
      <c r="A292" s="32" t="inlineStr">
        <is>
          <t>IF(E292="","",ROW()-3)</t>
        </is>
      </c>
      <c r="B292" s="33" t="n"/>
      <c r="C292" s="33" t="n"/>
      <c r="D292" s="33" t="n"/>
      <c r="E292" s="33" t="n"/>
      <c r="F292" s="33" t="n"/>
      <c r="G292" s="33" t="n"/>
      <c r="H292" s="33" t="n"/>
      <c r="I292" s="33" t="n"/>
      <c r="J292" s="33" t="n"/>
      <c r="K292" s="33" t="n"/>
      <c r="L292" s="33" t="n"/>
      <c r="M292" s="33" t="n"/>
      <c r="N292" s="33" t="n"/>
      <c r="O292" s="33" t="n"/>
      <c r="P292" s="33" t="n"/>
      <c r="Q292" s="34" t="n"/>
      <c r="R292" s="35" t="inlineStr">
        <is>
          <t>IF(AO292="","",AO292)</t>
        </is>
      </c>
      <c r="S292" s="36" t="n"/>
      <c r="T292" s="37" t="n"/>
      <c r="U292" s="36" t="n"/>
      <c r="V292" s="35" t="inlineStr">
        <is>
          <t>IF(U292&lt;&gt;"",U292,IF(OR(R292="",T292=""),"",EDATE(R292,T292)))</t>
        </is>
      </c>
      <c r="W292" s="36" t="n"/>
      <c r="X292" s="37" t="n"/>
      <c r="Y292" s="33" t="n"/>
      <c r="Z292" s="33" t="n"/>
      <c r="AA292" s="32" t="inlineStr">
        <is>
          <t>IF(E292="","",IF(COUNT(AG292:AT292)=0,IF(Y292="","Not started",Y292),SUBSTITUTE(LOOKUP(2,1/(AG292:AT292&lt;&gt;""),$AG$3:$AT$3),"Date: ","")))</t>
        </is>
      </c>
      <c r="AB292" s="38" t="inlineStr">
        <is>
          <t>IF(OR(E292="",COUNT(AG292:AT292)=0),"",TODAY()-LOOKUP(2,1/(AG292:AT292&lt;&gt;""),AG292:AT292))</t>
        </is>
      </c>
      <c r="AC292" s="38" t="inlineStr">
        <is>
          <t>IF(OR(E292="",COUNT(AG292:AT292)&lt;2),"",LOOKUP(2,1/(AG292:AT292&lt;&gt;""),AG292:AT292)-MIN(AG292:AT292))</t>
        </is>
      </c>
      <c r="AD292" s="38" t="inlineStr">
        <is>
          <t>IF(OR(AB292="",AA292="Not started",AA292=""),"",IFERROR(AB292-IF(VLOOKUP(AA292,'04_Status_Pipeline'!$B$3:$E$20,4,FALSE)="",0,VLOOKUP(AA292,'04_Status_Pipeline'!$B$3:$E$20,4,FALSE)),""))</t>
        </is>
      </c>
      <c r="AE292" s="32" t="inlineStr">
        <is>
          <t>IF(E292="","",IF(OR(Y292="Cancelled",AA292="Cancelled"),"Cancelled",IF(OR(AA292="Completed / Handover",W292&lt;&gt;"",X292&gt;=100),"Completed — on track",IF(L292="Remaining",IF(S292="",IF(V292="","No planned date",IF(TODAY()&gt;V292,"Behind — past planned date",IF(V292-TODAY()&lt;=30,"At risk — close to off track","On track"))),IF(TODAY()&gt;S292,"Behind — award date passed",IF(S292-TODAY()&lt;=30,"At risk — close to off track","On track"))),IF(V292="","No planned date",IF(AND(TODAY()&gt;V292,OR(X292="",X292&lt;100)),"Behind — past end date",IF(AND(R292&lt;&gt;"",V292&lt;&gt;"",X292&lt;&gt;"",(X292&lt;100),((TODAY()-R292)/MAX(V292-R292,1)*100)-X292&gt;15),"Behind — progress lag",IF(AND(V292-TODAY()&lt;=30,V292-TODAY()&gt;=0,OR(X292="",X292&lt;90)),"At risk — close to off track","On track"))))))))</t>
        </is>
      </c>
      <c r="AF292" s="38" t="inlineStr">
        <is>
          <t>IF(OR(E292="",AA292="Completed / Handover",AA292="Cancelled"),"",IF(L292="Remaining",IF(S292&lt;&gt;"",S292-TODAY(),IF(V292="","",V292-TODAY())),IF(V292="","",V292-TODAY())))</t>
        </is>
      </c>
      <c r="AG292" s="36" t="n"/>
      <c r="AH292" s="36" t="n"/>
      <c r="AI292" s="36" t="n"/>
      <c r="AJ292" s="36" t="n"/>
      <c r="AK292" s="36" t="n"/>
      <c r="AL292" s="36" t="n"/>
      <c r="AM292" s="36" t="n"/>
      <c r="AN292" s="36" t="n"/>
      <c r="AO292" s="36" t="n"/>
      <c r="AP292" s="36" t="n"/>
      <c r="AQ292" s="36" t="n"/>
      <c r="AR292" s="40" t="n"/>
      <c r="AS292" s="40" t="n"/>
      <c r="AT292" s="40" t="n"/>
      <c r="AU292" s="38" t="inlineStr">
        <is>
          <t>IF(OR(E292="",AH292=""),"",IF(COUNT(AG292:AG292)=0,"",AH292-LOOKUP(2,1/(AG292:AG292&lt;&gt;""),AG292:AG292)))</t>
        </is>
      </c>
      <c r="AV292" s="38" t="inlineStr">
        <is>
          <t>IF(OR(E292="",AI292=""),"",IF(COUNT(AG292:AH292)=0,"",AI292-LOOKUP(2,1/(AG292:AH292&lt;&gt;""),AG292:AH292)))</t>
        </is>
      </c>
      <c r="AW292" s="38" t="inlineStr">
        <is>
          <t>IF(OR(E292="",AJ292=""),"",IF(COUNT(AG292:AI292)=0,"",AJ292-LOOKUP(2,1/(AG292:AI292&lt;&gt;""),AG292:AI292)))</t>
        </is>
      </c>
      <c r="AX292" s="38" t="inlineStr">
        <is>
          <t>IF(OR(E292="",AK292=""),"",IF(COUNT(AG292:AJ292)=0,"",AK292-LOOKUP(2,1/(AG292:AJ292&lt;&gt;""),AG292:AJ292)))</t>
        </is>
      </c>
      <c r="AY292" s="38" t="inlineStr">
        <is>
          <t>IF(OR(E292="",AL292=""),"",IF(COUNT(AG292:AK292)=0,"",AL292-LOOKUP(2,1/(AG292:AK292&lt;&gt;""),AG292:AK292)))</t>
        </is>
      </c>
      <c r="AZ292" s="38" t="inlineStr">
        <is>
          <t>IF(OR(E292="",AM292=""),"",IF(COUNT(AG292:AL292)=0,"",AM292-LOOKUP(2,1/(AG292:AL292&lt;&gt;""),AG292:AL292)))</t>
        </is>
      </c>
      <c r="BA292" s="38" t="inlineStr">
        <is>
          <t>IF(OR(E292="",AN292=""),"",IF(COUNT(AG292:AM292)=0,"",AN292-LOOKUP(2,1/(AG292:AM292&lt;&gt;""),AG292:AM292)))</t>
        </is>
      </c>
      <c r="BB292" s="38" t="inlineStr">
        <is>
          <t>IF(OR(E292="",AO292=""),"",IF(COUNT(AG292:AN292)=0,"",AO292-LOOKUP(2,1/(AG292:AN292&lt;&gt;""),AG292:AN292)))</t>
        </is>
      </c>
      <c r="BC292" s="38" t="inlineStr">
        <is>
          <t>IF(OR(E292="",AP292=""),"",IF(COUNT(AG292:AO292)=0,"",AP292-LOOKUP(2,1/(AG292:AO292&lt;&gt;""),AG292:AO292)))</t>
        </is>
      </c>
      <c r="BD292" s="38" t="inlineStr">
        <is>
          <t>IF(OR(E292="",AQ292=""),"",IF(COUNT(AG292:AP292)=0,"",AQ292-LOOKUP(2,1/(AG292:AP292&lt;&gt;""),AG292:AP292)))</t>
        </is>
      </c>
      <c r="BE292" s="38" t="inlineStr">
        <is>
          <t>IF(OR(E292="",AR292=""),"",IF(COUNT(AG292:AQ292)=0,"",AR292-LOOKUP(2,1/(AG292:AQ292&lt;&gt;""),AG292:AQ292)))</t>
        </is>
      </c>
      <c r="BF292" s="38" t="inlineStr">
        <is>
          <t>IF(OR(E292="",AS292=""),"",IF(COUNT(AG292:AR292)=0,"",AS292-LOOKUP(2,1/(AG292:AR292&lt;&gt;""),AG292:AR292)))</t>
        </is>
      </c>
      <c r="BG292" s="38" t="inlineStr">
        <is>
          <t>IF(OR(E292="",AT292=""),"",IF(COUNT(AG292:AS292)=0,"",AT292-LOOKUP(2,1/(AG292:AS292&lt;&gt;""),AG292:AS292)))</t>
        </is>
      </c>
      <c r="BH292" s="41" t="inlineStr">
        <is>
          <t>IF(G292="","All_Provinces",IFERROR(VLOOKUP(G292,'07_Lookups'!$A$4:$B$20,2,FALSE),"All_Provinces"))</t>
        </is>
      </c>
      <c r="BI292" s="41" t="inlineStr">
        <is>
          <t>IF(H292="","All_Districts",IFERROR(VLOOKUP(H292,'07_Lookups'!$E$4:$F$42,2,FALSE),"All_Districts"))</t>
        </is>
      </c>
    </row>
    <row r="293" ht="18" customHeight="1">
      <c r="A293" s="32" t="inlineStr">
        <is>
          <t>IF(E293="","",ROW()-3)</t>
        </is>
      </c>
      <c r="B293" s="42" t="n"/>
      <c r="C293" s="42" t="n"/>
      <c r="D293" s="42" t="n"/>
      <c r="E293" s="42" t="n"/>
      <c r="F293" s="42" t="n"/>
      <c r="G293" s="42" t="n"/>
      <c r="H293" s="42" t="n"/>
      <c r="I293" s="42" t="n"/>
      <c r="J293" s="42" t="n"/>
      <c r="K293" s="42" t="n"/>
      <c r="L293" s="42" t="n"/>
      <c r="M293" s="42" t="n"/>
      <c r="N293" s="42" t="n"/>
      <c r="O293" s="42" t="n"/>
      <c r="P293" s="42" t="n"/>
      <c r="Q293" s="43" t="n"/>
      <c r="R293" s="35" t="inlineStr">
        <is>
          <t>IF(AO293="","",AO293)</t>
        </is>
      </c>
      <c r="S293" s="44" t="n"/>
      <c r="T293" s="45" t="n"/>
      <c r="U293" s="44" t="n"/>
      <c r="V293" s="35" t="inlineStr">
        <is>
          <t>IF(U293&lt;&gt;"",U293,IF(OR(R293="",T293=""),"",EDATE(R293,T293)))</t>
        </is>
      </c>
      <c r="W293" s="44" t="n"/>
      <c r="X293" s="45" t="n"/>
      <c r="Y293" s="42" t="n"/>
      <c r="Z293" s="42" t="n"/>
      <c r="AA293" s="32" t="inlineStr">
        <is>
          <t>IF(E293="","",IF(COUNT(AG293:AT293)=0,IF(Y293="","Not started",Y293),SUBSTITUTE(LOOKUP(2,1/(AG293:AT293&lt;&gt;""),$AG$3:$AT$3),"Date: ","")))</t>
        </is>
      </c>
      <c r="AB293" s="38" t="inlineStr">
        <is>
          <t>IF(OR(E293="",COUNT(AG293:AT293)=0),"",TODAY()-LOOKUP(2,1/(AG293:AT293&lt;&gt;""),AG293:AT293))</t>
        </is>
      </c>
      <c r="AC293" s="38" t="inlineStr">
        <is>
          <t>IF(OR(E293="",COUNT(AG293:AT293)&lt;2),"",LOOKUP(2,1/(AG293:AT293&lt;&gt;""),AG293:AT293)-MIN(AG293:AT293))</t>
        </is>
      </c>
      <c r="AD293" s="38" t="inlineStr">
        <is>
          <t>IF(OR(AB293="",AA293="Not started",AA293=""),"",IFERROR(AB293-IF(VLOOKUP(AA293,'04_Status_Pipeline'!$B$3:$E$20,4,FALSE)="",0,VLOOKUP(AA293,'04_Status_Pipeline'!$B$3:$E$20,4,FALSE)),""))</t>
        </is>
      </c>
      <c r="AE293" s="32" t="inlineStr">
        <is>
          <t>IF(E293="","",IF(OR(Y293="Cancelled",AA293="Cancelled"),"Cancelled",IF(OR(AA293="Completed / Handover",W293&lt;&gt;"",X293&gt;=100),"Completed — on track",IF(L293="Remaining",IF(S293="",IF(V293="","No planned date",IF(TODAY()&gt;V293,"Behind — past planned date",IF(V293-TODAY()&lt;=30,"At risk — close to off track","On track"))),IF(TODAY()&gt;S293,"Behind — award date passed",IF(S293-TODAY()&lt;=30,"At risk — close to off track","On track"))),IF(V293="","No planned date",IF(AND(TODAY()&gt;V293,OR(X293="",X293&lt;100)),"Behind — past end date",IF(AND(R293&lt;&gt;"",V293&lt;&gt;"",X293&lt;&gt;"",(X293&lt;100),((TODAY()-R293)/MAX(V293-R293,1)*100)-X293&gt;15),"Behind — progress lag",IF(AND(V293-TODAY()&lt;=30,V293-TODAY()&gt;=0,OR(X293="",X293&lt;90)),"At risk — close to off track","On track"))))))))</t>
        </is>
      </c>
      <c r="AF293" s="38" t="inlineStr">
        <is>
          <t>IF(OR(E293="",AA293="Completed / Handover",AA293="Cancelled"),"",IF(L293="Remaining",IF(S293&lt;&gt;"",S293-TODAY(),IF(V293="","",V293-TODAY())),IF(V293="","",V293-TODAY())))</t>
        </is>
      </c>
      <c r="AG293" s="44" t="n"/>
      <c r="AH293" s="44" t="n"/>
      <c r="AI293" s="44" t="n"/>
      <c r="AJ293" s="44" t="n"/>
      <c r="AK293" s="44" t="n"/>
      <c r="AL293" s="44" t="n"/>
      <c r="AM293" s="44" t="n"/>
      <c r="AN293" s="44" t="n"/>
      <c r="AO293" s="44" t="n"/>
      <c r="AP293" s="44" t="n"/>
      <c r="AQ293" s="44" t="n"/>
      <c r="AR293" s="40" t="n"/>
      <c r="AS293" s="40" t="n"/>
      <c r="AT293" s="40" t="n"/>
      <c r="AU293" s="38" t="inlineStr">
        <is>
          <t>IF(OR(E293="",AH293=""),"",IF(COUNT(AG293:AG293)=0,"",AH293-LOOKUP(2,1/(AG293:AG293&lt;&gt;""),AG293:AG293)))</t>
        </is>
      </c>
      <c r="AV293" s="38" t="inlineStr">
        <is>
          <t>IF(OR(E293="",AI293=""),"",IF(COUNT(AG293:AH293)=0,"",AI293-LOOKUP(2,1/(AG293:AH293&lt;&gt;""),AG293:AH293)))</t>
        </is>
      </c>
      <c r="AW293" s="38" t="inlineStr">
        <is>
          <t>IF(OR(E293="",AJ293=""),"",IF(COUNT(AG293:AI293)=0,"",AJ293-LOOKUP(2,1/(AG293:AI293&lt;&gt;""),AG293:AI293)))</t>
        </is>
      </c>
      <c r="AX293" s="38" t="inlineStr">
        <is>
          <t>IF(OR(E293="",AK293=""),"",IF(COUNT(AG293:AJ293)=0,"",AK293-LOOKUP(2,1/(AG293:AJ293&lt;&gt;""),AG293:AJ293)))</t>
        </is>
      </c>
      <c r="AY293" s="38" t="inlineStr">
        <is>
          <t>IF(OR(E293="",AL293=""),"",IF(COUNT(AG293:AK293)=0,"",AL293-LOOKUP(2,1/(AG293:AK293&lt;&gt;""),AG293:AK293)))</t>
        </is>
      </c>
      <c r="AZ293" s="38" t="inlineStr">
        <is>
          <t>IF(OR(E293="",AM293=""),"",IF(COUNT(AG293:AL293)=0,"",AM293-LOOKUP(2,1/(AG293:AL293&lt;&gt;""),AG293:AL293)))</t>
        </is>
      </c>
      <c r="BA293" s="38" t="inlineStr">
        <is>
          <t>IF(OR(E293="",AN293=""),"",IF(COUNT(AG293:AM293)=0,"",AN293-LOOKUP(2,1/(AG293:AM293&lt;&gt;""),AG293:AM293)))</t>
        </is>
      </c>
      <c r="BB293" s="38" t="inlineStr">
        <is>
          <t>IF(OR(E293="",AO293=""),"",IF(COUNT(AG293:AN293)=0,"",AO293-LOOKUP(2,1/(AG293:AN293&lt;&gt;""),AG293:AN293)))</t>
        </is>
      </c>
      <c r="BC293" s="38" t="inlineStr">
        <is>
          <t>IF(OR(E293="",AP293=""),"",IF(COUNT(AG293:AO293)=0,"",AP293-LOOKUP(2,1/(AG293:AO293&lt;&gt;""),AG293:AO293)))</t>
        </is>
      </c>
      <c r="BD293" s="38" t="inlineStr">
        <is>
          <t>IF(OR(E293="",AQ293=""),"",IF(COUNT(AG293:AP293)=0,"",AQ293-LOOKUP(2,1/(AG293:AP293&lt;&gt;""),AG293:AP293)))</t>
        </is>
      </c>
      <c r="BE293" s="38" t="inlineStr">
        <is>
          <t>IF(OR(E293="",AR293=""),"",IF(COUNT(AG293:AQ293)=0,"",AR293-LOOKUP(2,1/(AG293:AQ293&lt;&gt;""),AG293:AQ293)))</t>
        </is>
      </c>
      <c r="BF293" s="38" t="inlineStr">
        <is>
          <t>IF(OR(E293="",AS293=""),"",IF(COUNT(AG293:AR293)=0,"",AS293-LOOKUP(2,1/(AG293:AR293&lt;&gt;""),AG293:AR293)))</t>
        </is>
      </c>
      <c r="BG293" s="38" t="inlineStr">
        <is>
          <t>IF(OR(E293="",AT293=""),"",IF(COUNT(AG293:AS293)=0,"",AT293-LOOKUP(2,1/(AG293:AS293&lt;&gt;""),AG293:AS293)))</t>
        </is>
      </c>
      <c r="BH293" s="41" t="inlineStr">
        <is>
          <t>IF(G293="","All_Provinces",IFERROR(VLOOKUP(G293,'07_Lookups'!$A$4:$B$20,2,FALSE),"All_Provinces"))</t>
        </is>
      </c>
      <c r="BI293" s="41" t="inlineStr">
        <is>
          <t>IF(H293="","All_Districts",IFERROR(VLOOKUP(H293,'07_Lookups'!$E$4:$F$42,2,FALSE),"All_Districts"))</t>
        </is>
      </c>
    </row>
    <row r="294" ht="18" customHeight="1">
      <c r="A294" s="32" t="inlineStr">
        <is>
          <t>IF(E294="","",ROW()-3)</t>
        </is>
      </c>
      <c r="B294" s="33" t="n"/>
      <c r="C294" s="33" t="n"/>
      <c r="D294" s="33" t="n"/>
      <c r="E294" s="33" t="n"/>
      <c r="F294" s="33" t="n"/>
      <c r="G294" s="33" t="n"/>
      <c r="H294" s="33" t="n"/>
      <c r="I294" s="33" t="n"/>
      <c r="J294" s="33" t="n"/>
      <c r="K294" s="33" t="n"/>
      <c r="L294" s="33" t="n"/>
      <c r="M294" s="33" t="n"/>
      <c r="N294" s="33" t="n"/>
      <c r="O294" s="33" t="n"/>
      <c r="P294" s="33" t="n"/>
      <c r="Q294" s="34" t="n"/>
      <c r="R294" s="35" t="inlineStr">
        <is>
          <t>IF(AO294="","",AO294)</t>
        </is>
      </c>
      <c r="S294" s="36" t="n"/>
      <c r="T294" s="37" t="n"/>
      <c r="U294" s="36" t="n"/>
      <c r="V294" s="35" t="inlineStr">
        <is>
          <t>IF(U294&lt;&gt;"",U294,IF(OR(R294="",T294=""),"",EDATE(R294,T294)))</t>
        </is>
      </c>
      <c r="W294" s="36" t="n"/>
      <c r="X294" s="37" t="n"/>
      <c r="Y294" s="33" t="n"/>
      <c r="Z294" s="33" t="n"/>
      <c r="AA294" s="32" t="inlineStr">
        <is>
          <t>IF(E294="","",IF(COUNT(AG294:AT294)=0,IF(Y294="","Not started",Y294),SUBSTITUTE(LOOKUP(2,1/(AG294:AT294&lt;&gt;""),$AG$3:$AT$3),"Date: ","")))</t>
        </is>
      </c>
      <c r="AB294" s="38" t="inlineStr">
        <is>
          <t>IF(OR(E294="",COUNT(AG294:AT294)=0),"",TODAY()-LOOKUP(2,1/(AG294:AT294&lt;&gt;""),AG294:AT294))</t>
        </is>
      </c>
      <c r="AC294" s="38" t="inlineStr">
        <is>
          <t>IF(OR(E294="",COUNT(AG294:AT294)&lt;2),"",LOOKUP(2,1/(AG294:AT294&lt;&gt;""),AG294:AT294)-MIN(AG294:AT294))</t>
        </is>
      </c>
      <c r="AD294" s="38" t="inlineStr">
        <is>
          <t>IF(OR(AB294="",AA294="Not started",AA294=""),"",IFERROR(AB294-IF(VLOOKUP(AA294,'04_Status_Pipeline'!$B$3:$E$20,4,FALSE)="",0,VLOOKUP(AA294,'04_Status_Pipeline'!$B$3:$E$20,4,FALSE)),""))</t>
        </is>
      </c>
      <c r="AE294" s="32" t="inlineStr">
        <is>
          <t>IF(E294="","",IF(OR(Y294="Cancelled",AA294="Cancelled"),"Cancelled",IF(OR(AA294="Completed / Handover",W294&lt;&gt;"",X294&gt;=100),"Completed — on track",IF(L294="Remaining",IF(S294="",IF(V294="","No planned date",IF(TODAY()&gt;V294,"Behind — past planned date",IF(V294-TODAY()&lt;=30,"At risk — close to off track","On track"))),IF(TODAY()&gt;S294,"Behind — award date passed",IF(S294-TODAY()&lt;=30,"At risk — close to off track","On track"))),IF(V294="","No planned date",IF(AND(TODAY()&gt;V294,OR(X294="",X294&lt;100)),"Behind — past end date",IF(AND(R294&lt;&gt;"",V294&lt;&gt;"",X294&lt;&gt;"",(X294&lt;100),((TODAY()-R294)/MAX(V294-R294,1)*100)-X294&gt;15),"Behind — progress lag",IF(AND(V294-TODAY()&lt;=30,V294-TODAY()&gt;=0,OR(X294="",X294&lt;90)),"At risk — close to off track","On track"))))))))</t>
        </is>
      </c>
      <c r="AF294" s="38" t="inlineStr">
        <is>
          <t>IF(OR(E294="",AA294="Completed / Handover",AA294="Cancelled"),"",IF(L294="Remaining",IF(S294&lt;&gt;"",S294-TODAY(),IF(V294="","",V294-TODAY())),IF(V294="","",V294-TODAY())))</t>
        </is>
      </c>
      <c r="AG294" s="36" t="n"/>
      <c r="AH294" s="36" t="n"/>
      <c r="AI294" s="36" t="n"/>
      <c r="AJ294" s="36" t="n"/>
      <c r="AK294" s="36" t="n"/>
      <c r="AL294" s="36" t="n"/>
      <c r="AM294" s="36" t="n"/>
      <c r="AN294" s="36" t="n"/>
      <c r="AO294" s="36" t="n"/>
      <c r="AP294" s="36" t="n"/>
      <c r="AQ294" s="36" t="n"/>
      <c r="AR294" s="40" t="n"/>
      <c r="AS294" s="40" t="n"/>
      <c r="AT294" s="40" t="n"/>
      <c r="AU294" s="38" t="inlineStr">
        <is>
          <t>IF(OR(E294="",AH294=""),"",IF(COUNT(AG294:AG294)=0,"",AH294-LOOKUP(2,1/(AG294:AG294&lt;&gt;""),AG294:AG294)))</t>
        </is>
      </c>
      <c r="AV294" s="38" t="inlineStr">
        <is>
          <t>IF(OR(E294="",AI294=""),"",IF(COUNT(AG294:AH294)=0,"",AI294-LOOKUP(2,1/(AG294:AH294&lt;&gt;""),AG294:AH294)))</t>
        </is>
      </c>
      <c r="AW294" s="38" t="inlineStr">
        <is>
          <t>IF(OR(E294="",AJ294=""),"",IF(COUNT(AG294:AI294)=0,"",AJ294-LOOKUP(2,1/(AG294:AI294&lt;&gt;""),AG294:AI294)))</t>
        </is>
      </c>
      <c r="AX294" s="38" t="inlineStr">
        <is>
          <t>IF(OR(E294="",AK294=""),"",IF(COUNT(AG294:AJ294)=0,"",AK294-LOOKUP(2,1/(AG294:AJ294&lt;&gt;""),AG294:AJ294)))</t>
        </is>
      </c>
      <c r="AY294" s="38" t="inlineStr">
        <is>
          <t>IF(OR(E294="",AL294=""),"",IF(COUNT(AG294:AK294)=0,"",AL294-LOOKUP(2,1/(AG294:AK294&lt;&gt;""),AG294:AK294)))</t>
        </is>
      </c>
      <c r="AZ294" s="38" t="inlineStr">
        <is>
          <t>IF(OR(E294="",AM294=""),"",IF(COUNT(AG294:AL294)=0,"",AM294-LOOKUP(2,1/(AG294:AL294&lt;&gt;""),AG294:AL294)))</t>
        </is>
      </c>
      <c r="BA294" s="38" t="inlineStr">
        <is>
          <t>IF(OR(E294="",AN294=""),"",IF(COUNT(AG294:AM294)=0,"",AN294-LOOKUP(2,1/(AG294:AM294&lt;&gt;""),AG294:AM294)))</t>
        </is>
      </c>
      <c r="BB294" s="38" t="inlineStr">
        <is>
          <t>IF(OR(E294="",AO294=""),"",IF(COUNT(AG294:AN294)=0,"",AO294-LOOKUP(2,1/(AG294:AN294&lt;&gt;""),AG294:AN294)))</t>
        </is>
      </c>
      <c r="BC294" s="38" t="inlineStr">
        <is>
          <t>IF(OR(E294="",AP294=""),"",IF(COUNT(AG294:AO294)=0,"",AP294-LOOKUP(2,1/(AG294:AO294&lt;&gt;""),AG294:AO294)))</t>
        </is>
      </c>
      <c r="BD294" s="38" t="inlineStr">
        <is>
          <t>IF(OR(E294="",AQ294=""),"",IF(COUNT(AG294:AP294)=0,"",AQ294-LOOKUP(2,1/(AG294:AP294&lt;&gt;""),AG294:AP294)))</t>
        </is>
      </c>
      <c r="BE294" s="38" t="inlineStr">
        <is>
          <t>IF(OR(E294="",AR294=""),"",IF(COUNT(AG294:AQ294)=0,"",AR294-LOOKUP(2,1/(AG294:AQ294&lt;&gt;""),AG294:AQ294)))</t>
        </is>
      </c>
      <c r="BF294" s="38" t="inlineStr">
        <is>
          <t>IF(OR(E294="",AS294=""),"",IF(COUNT(AG294:AR294)=0,"",AS294-LOOKUP(2,1/(AG294:AR294&lt;&gt;""),AG294:AR294)))</t>
        </is>
      </c>
      <c r="BG294" s="38" t="inlineStr">
        <is>
          <t>IF(OR(E294="",AT294=""),"",IF(COUNT(AG294:AS294)=0,"",AT294-LOOKUP(2,1/(AG294:AS294&lt;&gt;""),AG294:AS294)))</t>
        </is>
      </c>
      <c r="BH294" s="41" t="inlineStr">
        <is>
          <t>IF(G294="","All_Provinces",IFERROR(VLOOKUP(G294,'07_Lookups'!$A$4:$B$20,2,FALSE),"All_Provinces"))</t>
        </is>
      </c>
      <c r="BI294" s="41" t="inlineStr">
        <is>
          <t>IF(H294="","All_Districts",IFERROR(VLOOKUP(H294,'07_Lookups'!$E$4:$F$42,2,FALSE),"All_Districts"))</t>
        </is>
      </c>
    </row>
    <row r="295" ht="18" customHeight="1">
      <c r="A295" s="32" t="inlineStr">
        <is>
          <t>IF(E295="","",ROW()-3)</t>
        </is>
      </c>
      <c r="B295" s="42" t="n"/>
      <c r="C295" s="42" t="n"/>
      <c r="D295" s="42" t="n"/>
      <c r="E295" s="42" t="n"/>
      <c r="F295" s="42" t="n"/>
      <c r="G295" s="42" t="n"/>
      <c r="H295" s="42" t="n"/>
      <c r="I295" s="42" t="n"/>
      <c r="J295" s="42" t="n"/>
      <c r="K295" s="42" t="n"/>
      <c r="L295" s="42" t="n"/>
      <c r="M295" s="42" t="n"/>
      <c r="N295" s="42" t="n"/>
      <c r="O295" s="42" t="n"/>
      <c r="P295" s="42" t="n"/>
      <c r="Q295" s="43" t="n"/>
      <c r="R295" s="35" t="inlineStr">
        <is>
          <t>IF(AO295="","",AO295)</t>
        </is>
      </c>
      <c r="S295" s="44" t="n"/>
      <c r="T295" s="45" t="n"/>
      <c r="U295" s="44" t="n"/>
      <c r="V295" s="35" t="inlineStr">
        <is>
          <t>IF(U295&lt;&gt;"",U295,IF(OR(R295="",T295=""),"",EDATE(R295,T295)))</t>
        </is>
      </c>
      <c r="W295" s="44" t="n"/>
      <c r="X295" s="45" t="n"/>
      <c r="Y295" s="42" t="n"/>
      <c r="Z295" s="42" t="n"/>
      <c r="AA295" s="32" t="inlineStr">
        <is>
          <t>IF(E295="","",IF(COUNT(AG295:AT295)=0,IF(Y295="","Not started",Y295),SUBSTITUTE(LOOKUP(2,1/(AG295:AT295&lt;&gt;""),$AG$3:$AT$3),"Date: ","")))</t>
        </is>
      </c>
      <c r="AB295" s="38" t="inlineStr">
        <is>
          <t>IF(OR(E295="",COUNT(AG295:AT295)=0),"",TODAY()-LOOKUP(2,1/(AG295:AT295&lt;&gt;""),AG295:AT295))</t>
        </is>
      </c>
      <c r="AC295" s="38" t="inlineStr">
        <is>
          <t>IF(OR(E295="",COUNT(AG295:AT295)&lt;2),"",LOOKUP(2,1/(AG295:AT295&lt;&gt;""),AG295:AT295)-MIN(AG295:AT295))</t>
        </is>
      </c>
      <c r="AD295" s="38" t="inlineStr">
        <is>
          <t>IF(OR(AB295="",AA295="Not started",AA295=""),"",IFERROR(AB295-IF(VLOOKUP(AA295,'04_Status_Pipeline'!$B$3:$E$20,4,FALSE)="",0,VLOOKUP(AA295,'04_Status_Pipeline'!$B$3:$E$20,4,FALSE)),""))</t>
        </is>
      </c>
      <c r="AE295" s="32" t="inlineStr">
        <is>
          <t>IF(E295="","",IF(OR(Y295="Cancelled",AA295="Cancelled"),"Cancelled",IF(OR(AA295="Completed / Handover",W295&lt;&gt;"",X295&gt;=100),"Completed — on track",IF(L295="Remaining",IF(S295="",IF(V295="","No planned date",IF(TODAY()&gt;V295,"Behind — past planned date",IF(V295-TODAY()&lt;=30,"At risk — close to off track","On track"))),IF(TODAY()&gt;S295,"Behind — award date passed",IF(S295-TODAY()&lt;=30,"At risk — close to off track","On track"))),IF(V295="","No planned date",IF(AND(TODAY()&gt;V295,OR(X295="",X295&lt;100)),"Behind — past end date",IF(AND(R295&lt;&gt;"",V295&lt;&gt;"",X295&lt;&gt;"",(X295&lt;100),((TODAY()-R295)/MAX(V295-R295,1)*100)-X295&gt;15),"Behind — progress lag",IF(AND(V295-TODAY()&lt;=30,V295-TODAY()&gt;=0,OR(X295="",X295&lt;90)),"At risk — close to off track","On track"))))))))</t>
        </is>
      </c>
      <c r="AF295" s="38" t="inlineStr">
        <is>
          <t>IF(OR(E295="",AA295="Completed / Handover",AA295="Cancelled"),"",IF(L295="Remaining",IF(S295&lt;&gt;"",S295-TODAY(),IF(V295="","",V295-TODAY())),IF(V295="","",V295-TODAY())))</t>
        </is>
      </c>
      <c r="AG295" s="44" t="n"/>
      <c r="AH295" s="44" t="n"/>
      <c r="AI295" s="44" t="n"/>
      <c r="AJ295" s="44" t="n"/>
      <c r="AK295" s="44" t="n"/>
      <c r="AL295" s="44" t="n"/>
      <c r="AM295" s="44" t="n"/>
      <c r="AN295" s="44" t="n"/>
      <c r="AO295" s="44" t="n"/>
      <c r="AP295" s="44" t="n"/>
      <c r="AQ295" s="44" t="n"/>
      <c r="AR295" s="40" t="n"/>
      <c r="AS295" s="40" t="n"/>
      <c r="AT295" s="40" t="n"/>
      <c r="AU295" s="38" t="inlineStr">
        <is>
          <t>IF(OR(E295="",AH295=""),"",IF(COUNT(AG295:AG295)=0,"",AH295-LOOKUP(2,1/(AG295:AG295&lt;&gt;""),AG295:AG295)))</t>
        </is>
      </c>
      <c r="AV295" s="38" t="inlineStr">
        <is>
          <t>IF(OR(E295="",AI295=""),"",IF(COUNT(AG295:AH295)=0,"",AI295-LOOKUP(2,1/(AG295:AH295&lt;&gt;""),AG295:AH295)))</t>
        </is>
      </c>
      <c r="AW295" s="38" t="inlineStr">
        <is>
          <t>IF(OR(E295="",AJ295=""),"",IF(COUNT(AG295:AI295)=0,"",AJ295-LOOKUP(2,1/(AG295:AI295&lt;&gt;""),AG295:AI295)))</t>
        </is>
      </c>
      <c r="AX295" s="38" t="inlineStr">
        <is>
          <t>IF(OR(E295="",AK295=""),"",IF(COUNT(AG295:AJ295)=0,"",AK295-LOOKUP(2,1/(AG295:AJ295&lt;&gt;""),AG295:AJ295)))</t>
        </is>
      </c>
      <c r="AY295" s="38" t="inlineStr">
        <is>
          <t>IF(OR(E295="",AL295=""),"",IF(COUNT(AG295:AK295)=0,"",AL295-LOOKUP(2,1/(AG295:AK295&lt;&gt;""),AG295:AK295)))</t>
        </is>
      </c>
      <c r="AZ295" s="38" t="inlineStr">
        <is>
          <t>IF(OR(E295="",AM295=""),"",IF(COUNT(AG295:AL295)=0,"",AM295-LOOKUP(2,1/(AG295:AL295&lt;&gt;""),AG295:AL295)))</t>
        </is>
      </c>
      <c r="BA295" s="38" t="inlineStr">
        <is>
          <t>IF(OR(E295="",AN295=""),"",IF(COUNT(AG295:AM295)=0,"",AN295-LOOKUP(2,1/(AG295:AM295&lt;&gt;""),AG295:AM295)))</t>
        </is>
      </c>
      <c r="BB295" s="38" t="inlineStr">
        <is>
          <t>IF(OR(E295="",AO295=""),"",IF(COUNT(AG295:AN295)=0,"",AO295-LOOKUP(2,1/(AG295:AN295&lt;&gt;""),AG295:AN295)))</t>
        </is>
      </c>
      <c r="BC295" s="38" t="inlineStr">
        <is>
          <t>IF(OR(E295="",AP295=""),"",IF(COUNT(AG295:AO295)=0,"",AP295-LOOKUP(2,1/(AG295:AO295&lt;&gt;""),AG295:AO295)))</t>
        </is>
      </c>
      <c r="BD295" s="38" t="inlineStr">
        <is>
          <t>IF(OR(E295="",AQ295=""),"",IF(COUNT(AG295:AP295)=0,"",AQ295-LOOKUP(2,1/(AG295:AP295&lt;&gt;""),AG295:AP295)))</t>
        </is>
      </c>
      <c r="BE295" s="38" t="inlineStr">
        <is>
          <t>IF(OR(E295="",AR295=""),"",IF(COUNT(AG295:AQ295)=0,"",AR295-LOOKUP(2,1/(AG295:AQ295&lt;&gt;""),AG295:AQ295)))</t>
        </is>
      </c>
      <c r="BF295" s="38" t="inlineStr">
        <is>
          <t>IF(OR(E295="",AS295=""),"",IF(COUNT(AG295:AR295)=0,"",AS295-LOOKUP(2,1/(AG295:AR295&lt;&gt;""),AG295:AR295)))</t>
        </is>
      </c>
      <c r="BG295" s="38" t="inlineStr">
        <is>
          <t>IF(OR(E295="",AT295=""),"",IF(COUNT(AG295:AS295)=0,"",AT295-LOOKUP(2,1/(AG295:AS295&lt;&gt;""),AG295:AS295)))</t>
        </is>
      </c>
      <c r="BH295" s="41" t="inlineStr">
        <is>
          <t>IF(G295="","All_Provinces",IFERROR(VLOOKUP(G295,'07_Lookups'!$A$4:$B$20,2,FALSE),"All_Provinces"))</t>
        </is>
      </c>
      <c r="BI295" s="41" t="inlineStr">
        <is>
          <t>IF(H295="","All_Districts",IFERROR(VLOOKUP(H295,'07_Lookups'!$E$4:$F$42,2,FALSE),"All_Districts"))</t>
        </is>
      </c>
    </row>
    <row r="296" ht="18" customHeight="1">
      <c r="A296" s="32" t="inlineStr">
        <is>
          <t>IF(E296="","",ROW()-3)</t>
        </is>
      </c>
      <c r="B296" s="33" t="n"/>
      <c r="C296" s="33" t="n"/>
      <c r="D296" s="33" t="n"/>
      <c r="E296" s="33" t="n"/>
      <c r="F296" s="33" t="n"/>
      <c r="G296" s="33" t="n"/>
      <c r="H296" s="33" t="n"/>
      <c r="I296" s="33" t="n"/>
      <c r="J296" s="33" t="n"/>
      <c r="K296" s="33" t="n"/>
      <c r="L296" s="33" t="n"/>
      <c r="M296" s="33" t="n"/>
      <c r="N296" s="33" t="n"/>
      <c r="O296" s="33" t="n"/>
      <c r="P296" s="33" t="n"/>
      <c r="Q296" s="34" t="n"/>
      <c r="R296" s="35" t="inlineStr">
        <is>
          <t>IF(AO296="","",AO296)</t>
        </is>
      </c>
      <c r="S296" s="36" t="n"/>
      <c r="T296" s="37" t="n"/>
      <c r="U296" s="36" t="n"/>
      <c r="V296" s="35" t="inlineStr">
        <is>
          <t>IF(U296&lt;&gt;"",U296,IF(OR(R296="",T296=""),"",EDATE(R296,T296)))</t>
        </is>
      </c>
      <c r="W296" s="36" t="n"/>
      <c r="X296" s="37" t="n"/>
      <c r="Y296" s="33" t="n"/>
      <c r="Z296" s="33" t="n"/>
      <c r="AA296" s="32" t="inlineStr">
        <is>
          <t>IF(E296="","",IF(COUNT(AG296:AT296)=0,IF(Y296="","Not started",Y296),SUBSTITUTE(LOOKUP(2,1/(AG296:AT296&lt;&gt;""),$AG$3:$AT$3),"Date: ","")))</t>
        </is>
      </c>
      <c r="AB296" s="38" t="inlineStr">
        <is>
          <t>IF(OR(E296="",COUNT(AG296:AT296)=0),"",TODAY()-LOOKUP(2,1/(AG296:AT296&lt;&gt;""),AG296:AT296))</t>
        </is>
      </c>
      <c r="AC296" s="38" t="inlineStr">
        <is>
          <t>IF(OR(E296="",COUNT(AG296:AT296)&lt;2),"",LOOKUP(2,1/(AG296:AT296&lt;&gt;""),AG296:AT296)-MIN(AG296:AT296))</t>
        </is>
      </c>
      <c r="AD296" s="38" t="inlineStr">
        <is>
          <t>IF(OR(AB296="",AA296="Not started",AA296=""),"",IFERROR(AB296-IF(VLOOKUP(AA296,'04_Status_Pipeline'!$B$3:$E$20,4,FALSE)="",0,VLOOKUP(AA296,'04_Status_Pipeline'!$B$3:$E$20,4,FALSE)),""))</t>
        </is>
      </c>
      <c r="AE296" s="32" t="inlineStr">
        <is>
          <t>IF(E296="","",IF(OR(Y296="Cancelled",AA296="Cancelled"),"Cancelled",IF(OR(AA296="Completed / Handover",W296&lt;&gt;"",X296&gt;=100),"Completed — on track",IF(L296="Remaining",IF(S296="",IF(V296="","No planned date",IF(TODAY()&gt;V296,"Behind — past planned date",IF(V296-TODAY()&lt;=30,"At risk — close to off track","On track"))),IF(TODAY()&gt;S296,"Behind — award date passed",IF(S296-TODAY()&lt;=30,"At risk — close to off track","On track"))),IF(V296="","No planned date",IF(AND(TODAY()&gt;V296,OR(X296="",X296&lt;100)),"Behind — past end date",IF(AND(R296&lt;&gt;"",V296&lt;&gt;"",X296&lt;&gt;"",(X296&lt;100),((TODAY()-R296)/MAX(V296-R296,1)*100)-X296&gt;15),"Behind — progress lag",IF(AND(V296-TODAY()&lt;=30,V296-TODAY()&gt;=0,OR(X296="",X296&lt;90)),"At risk — close to off track","On track"))))))))</t>
        </is>
      </c>
      <c r="AF296" s="38" t="inlineStr">
        <is>
          <t>IF(OR(E296="",AA296="Completed / Handover",AA296="Cancelled"),"",IF(L296="Remaining",IF(S296&lt;&gt;"",S296-TODAY(),IF(V296="","",V296-TODAY())),IF(V296="","",V296-TODAY())))</t>
        </is>
      </c>
      <c r="AG296" s="36" t="n"/>
      <c r="AH296" s="36" t="n"/>
      <c r="AI296" s="36" t="n"/>
      <c r="AJ296" s="36" t="n"/>
      <c r="AK296" s="36" t="n"/>
      <c r="AL296" s="36" t="n"/>
      <c r="AM296" s="36" t="n"/>
      <c r="AN296" s="36" t="n"/>
      <c r="AO296" s="36" t="n"/>
      <c r="AP296" s="36" t="n"/>
      <c r="AQ296" s="36" t="n"/>
      <c r="AR296" s="40" t="n"/>
      <c r="AS296" s="40" t="n"/>
      <c r="AT296" s="40" t="n"/>
      <c r="AU296" s="38" t="inlineStr">
        <is>
          <t>IF(OR(E296="",AH296=""),"",IF(COUNT(AG296:AG296)=0,"",AH296-LOOKUP(2,1/(AG296:AG296&lt;&gt;""),AG296:AG296)))</t>
        </is>
      </c>
      <c r="AV296" s="38" t="inlineStr">
        <is>
          <t>IF(OR(E296="",AI296=""),"",IF(COUNT(AG296:AH296)=0,"",AI296-LOOKUP(2,1/(AG296:AH296&lt;&gt;""),AG296:AH296)))</t>
        </is>
      </c>
      <c r="AW296" s="38" t="inlineStr">
        <is>
          <t>IF(OR(E296="",AJ296=""),"",IF(COUNT(AG296:AI296)=0,"",AJ296-LOOKUP(2,1/(AG296:AI296&lt;&gt;""),AG296:AI296)))</t>
        </is>
      </c>
      <c r="AX296" s="38" t="inlineStr">
        <is>
          <t>IF(OR(E296="",AK296=""),"",IF(COUNT(AG296:AJ296)=0,"",AK296-LOOKUP(2,1/(AG296:AJ296&lt;&gt;""),AG296:AJ296)))</t>
        </is>
      </c>
      <c r="AY296" s="38" t="inlineStr">
        <is>
          <t>IF(OR(E296="",AL296=""),"",IF(COUNT(AG296:AK296)=0,"",AL296-LOOKUP(2,1/(AG296:AK296&lt;&gt;""),AG296:AK296)))</t>
        </is>
      </c>
      <c r="AZ296" s="38" t="inlineStr">
        <is>
          <t>IF(OR(E296="",AM296=""),"",IF(COUNT(AG296:AL296)=0,"",AM296-LOOKUP(2,1/(AG296:AL296&lt;&gt;""),AG296:AL296)))</t>
        </is>
      </c>
      <c r="BA296" s="38" t="inlineStr">
        <is>
          <t>IF(OR(E296="",AN296=""),"",IF(COUNT(AG296:AM296)=0,"",AN296-LOOKUP(2,1/(AG296:AM296&lt;&gt;""),AG296:AM296)))</t>
        </is>
      </c>
      <c r="BB296" s="38" t="inlineStr">
        <is>
          <t>IF(OR(E296="",AO296=""),"",IF(COUNT(AG296:AN296)=0,"",AO296-LOOKUP(2,1/(AG296:AN296&lt;&gt;""),AG296:AN296)))</t>
        </is>
      </c>
      <c r="BC296" s="38" t="inlineStr">
        <is>
          <t>IF(OR(E296="",AP296=""),"",IF(COUNT(AG296:AO296)=0,"",AP296-LOOKUP(2,1/(AG296:AO296&lt;&gt;""),AG296:AO296)))</t>
        </is>
      </c>
      <c r="BD296" s="38" t="inlineStr">
        <is>
          <t>IF(OR(E296="",AQ296=""),"",IF(COUNT(AG296:AP296)=0,"",AQ296-LOOKUP(2,1/(AG296:AP296&lt;&gt;""),AG296:AP296)))</t>
        </is>
      </c>
      <c r="BE296" s="38" t="inlineStr">
        <is>
          <t>IF(OR(E296="",AR296=""),"",IF(COUNT(AG296:AQ296)=0,"",AR296-LOOKUP(2,1/(AG296:AQ296&lt;&gt;""),AG296:AQ296)))</t>
        </is>
      </c>
      <c r="BF296" s="38" t="inlineStr">
        <is>
          <t>IF(OR(E296="",AS296=""),"",IF(COUNT(AG296:AR296)=0,"",AS296-LOOKUP(2,1/(AG296:AR296&lt;&gt;""),AG296:AR296)))</t>
        </is>
      </c>
      <c r="BG296" s="38" t="inlineStr">
        <is>
          <t>IF(OR(E296="",AT296=""),"",IF(COUNT(AG296:AS296)=0,"",AT296-LOOKUP(2,1/(AG296:AS296&lt;&gt;""),AG296:AS296)))</t>
        </is>
      </c>
      <c r="BH296" s="41" t="inlineStr">
        <is>
          <t>IF(G296="","All_Provinces",IFERROR(VLOOKUP(G296,'07_Lookups'!$A$4:$B$20,2,FALSE),"All_Provinces"))</t>
        </is>
      </c>
      <c r="BI296" s="41" t="inlineStr">
        <is>
          <t>IF(H296="","All_Districts",IFERROR(VLOOKUP(H296,'07_Lookups'!$E$4:$F$42,2,FALSE),"All_Districts"))</t>
        </is>
      </c>
    </row>
    <row r="297" ht="18" customHeight="1">
      <c r="A297" s="32" t="inlineStr">
        <is>
          <t>IF(E297="","",ROW()-3)</t>
        </is>
      </c>
      <c r="B297" s="42" t="n"/>
      <c r="C297" s="42" t="n"/>
      <c r="D297" s="42" t="n"/>
      <c r="E297" s="42" t="n"/>
      <c r="F297" s="42" t="n"/>
      <c r="G297" s="42" t="n"/>
      <c r="H297" s="42" t="n"/>
      <c r="I297" s="42" t="n"/>
      <c r="J297" s="42" t="n"/>
      <c r="K297" s="42" t="n"/>
      <c r="L297" s="42" t="n"/>
      <c r="M297" s="42" t="n"/>
      <c r="N297" s="42" t="n"/>
      <c r="O297" s="42" t="n"/>
      <c r="P297" s="42" t="n"/>
      <c r="Q297" s="43" t="n"/>
      <c r="R297" s="35" t="inlineStr">
        <is>
          <t>IF(AO297="","",AO297)</t>
        </is>
      </c>
      <c r="S297" s="44" t="n"/>
      <c r="T297" s="45" t="n"/>
      <c r="U297" s="44" t="n"/>
      <c r="V297" s="35" t="inlineStr">
        <is>
          <t>IF(U297&lt;&gt;"",U297,IF(OR(R297="",T297=""),"",EDATE(R297,T297)))</t>
        </is>
      </c>
      <c r="W297" s="44" t="n"/>
      <c r="X297" s="45" t="n"/>
      <c r="Y297" s="42" t="n"/>
      <c r="Z297" s="42" t="n"/>
      <c r="AA297" s="32" t="inlineStr">
        <is>
          <t>IF(E297="","",IF(COUNT(AG297:AT297)=0,IF(Y297="","Not started",Y297),SUBSTITUTE(LOOKUP(2,1/(AG297:AT297&lt;&gt;""),$AG$3:$AT$3),"Date: ","")))</t>
        </is>
      </c>
      <c r="AB297" s="38" t="inlineStr">
        <is>
          <t>IF(OR(E297="",COUNT(AG297:AT297)=0),"",TODAY()-LOOKUP(2,1/(AG297:AT297&lt;&gt;""),AG297:AT297))</t>
        </is>
      </c>
      <c r="AC297" s="38" t="inlineStr">
        <is>
          <t>IF(OR(E297="",COUNT(AG297:AT297)&lt;2),"",LOOKUP(2,1/(AG297:AT297&lt;&gt;""),AG297:AT297)-MIN(AG297:AT297))</t>
        </is>
      </c>
      <c r="AD297" s="38" t="inlineStr">
        <is>
          <t>IF(OR(AB297="",AA297="Not started",AA297=""),"",IFERROR(AB297-IF(VLOOKUP(AA297,'04_Status_Pipeline'!$B$3:$E$20,4,FALSE)="",0,VLOOKUP(AA297,'04_Status_Pipeline'!$B$3:$E$20,4,FALSE)),""))</t>
        </is>
      </c>
      <c r="AE297" s="32" t="inlineStr">
        <is>
          <t>IF(E297="","",IF(OR(Y297="Cancelled",AA297="Cancelled"),"Cancelled",IF(OR(AA297="Completed / Handover",W297&lt;&gt;"",X297&gt;=100),"Completed — on track",IF(L297="Remaining",IF(S297="",IF(V297="","No planned date",IF(TODAY()&gt;V297,"Behind — past planned date",IF(V297-TODAY()&lt;=30,"At risk — close to off track","On track"))),IF(TODAY()&gt;S297,"Behind — award date passed",IF(S297-TODAY()&lt;=30,"At risk — close to off track","On track"))),IF(V297="","No planned date",IF(AND(TODAY()&gt;V297,OR(X297="",X297&lt;100)),"Behind — past end date",IF(AND(R297&lt;&gt;"",V297&lt;&gt;"",X297&lt;&gt;"",(X297&lt;100),((TODAY()-R297)/MAX(V297-R297,1)*100)-X297&gt;15),"Behind — progress lag",IF(AND(V297-TODAY()&lt;=30,V297-TODAY()&gt;=0,OR(X297="",X297&lt;90)),"At risk — close to off track","On track"))))))))</t>
        </is>
      </c>
      <c r="AF297" s="38" t="inlineStr">
        <is>
          <t>IF(OR(E297="",AA297="Completed / Handover",AA297="Cancelled"),"",IF(L297="Remaining",IF(S297&lt;&gt;"",S297-TODAY(),IF(V297="","",V297-TODAY())),IF(V297="","",V297-TODAY())))</t>
        </is>
      </c>
      <c r="AG297" s="44" t="n"/>
      <c r="AH297" s="44" t="n"/>
      <c r="AI297" s="44" t="n"/>
      <c r="AJ297" s="44" t="n"/>
      <c r="AK297" s="44" t="n"/>
      <c r="AL297" s="44" t="n"/>
      <c r="AM297" s="44" t="n"/>
      <c r="AN297" s="44" t="n"/>
      <c r="AO297" s="44" t="n"/>
      <c r="AP297" s="44" t="n"/>
      <c r="AQ297" s="44" t="n"/>
      <c r="AR297" s="40" t="n"/>
      <c r="AS297" s="40" t="n"/>
      <c r="AT297" s="40" t="n"/>
      <c r="AU297" s="38" t="inlineStr">
        <is>
          <t>IF(OR(E297="",AH297=""),"",IF(COUNT(AG297:AG297)=0,"",AH297-LOOKUP(2,1/(AG297:AG297&lt;&gt;""),AG297:AG297)))</t>
        </is>
      </c>
      <c r="AV297" s="38" t="inlineStr">
        <is>
          <t>IF(OR(E297="",AI297=""),"",IF(COUNT(AG297:AH297)=0,"",AI297-LOOKUP(2,1/(AG297:AH297&lt;&gt;""),AG297:AH297)))</t>
        </is>
      </c>
      <c r="AW297" s="38" t="inlineStr">
        <is>
          <t>IF(OR(E297="",AJ297=""),"",IF(COUNT(AG297:AI297)=0,"",AJ297-LOOKUP(2,1/(AG297:AI297&lt;&gt;""),AG297:AI297)))</t>
        </is>
      </c>
      <c r="AX297" s="38" t="inlineStr">
        <is>
          <t>IF(OR(E297="",AK297=""),"",IF(COUNT(AG297:AJ297)=0,"",AK297-LOOKUP(2,1/(AG297:AJ297&lt;&gt;""),AG297:AJ297)))</t>
        </is>
      </c>
      <c r="AY297" s="38" t="inlineStr">
        <is>
          <t>IF(OR(E297="",AL297=""),"",IF(COUNT(AG297:AK297)=0,"",AL297-LOOKUP(2,1/(AG297:AK297&lt;&gt;""),AG297:AK297)))</t>
        </is>
      </c>
      <c r="AZ297" s="38" t="inlineStr">
        <is>
          <t>IF(OR(E297="",AM297=""),"",IF(COUNT(AG297:AL297)=0,"",AM297-LOOKUP(2,1/(AG297:AL297&lt;&gt;""),AG297:AL297)))</t>
        </is>
      </c>
      <c r="BA297" s="38" t="inlineStr">
        <is>
          <t>IF(OR(E297="",AN297=""),"",IF(COUNT(AG297:AM297)=0,"",AN297-LOOKUP(2,1/(AG297:AM297&lt;&gt;""),AG297:AM297)))</t>
        </is>
      </c>
      <c r="BB297" s="38" t="inlineStr">
        <is>
          <t>IF(OR(E297="",AO297=""),"",IF(COUNT(AG297:AN297)=0,"",AO297-LOOKUP(2,1/(AG297:AN297&lt;&gt;""),AG297:AN297)))</t>
        </is>
      </c>
      <c r="BC297" s="38" t="inlineStr">
        <is>
          <t>IF(OR(E297="",AP297=""),"",IF(COUNT(AG297:AO297)=0,"",AP297-LOOKUP(2,1/(AG297:AO297&lt;&gt;""),AG297:AO297)))</t>
        </is>
      </c>
      <c r="BD297" s="38" t="inlineStr">
        <is>
          <t>IF(OR(E297="",AQ297=""),"",IF(COUNT(AG297:AP297)=0,"",AQ297-LOOKUP(2,1/(AG297:AP297&lt;&gt;""),AG297:AP297)))</t>
        </is>
      </c>
      <c r="BE297" s="38" t="inlineStr">
        <is>
          <t>IF(OR(E297="",AR297=""),"",IF(COUNT(AG297:AQ297)=0,"",AR297-LOOKUP(2,1/(AG297:AQ297&lt;&gt;""),AG297:AQ297)))</t>
        </is>
      </c>
      <c r="BF297" s="38" t="inlineStr">
        <is>
          <t>IF(OR(E297="",AS297=""),"",IF(COUNT(AG297:AR297)=0,"",AS297-LOOKUP(2,1/(AG297:AR297&lt;&gt;""),AG297:AR297)))</t>
        </is>
      </c>
      <c r="BG297" s="38" t="inlineStr">
        <is>
          <t>IF(OR(E297="",AT297=""),"",IF(COUNT(AG297:AS297)=0,"",AT297-LOOKUP(2,1/(AG297:AS297&lt;&gt;""),AG297:AS297)))</t>
        </is>
      </c>
      <c r="BH297" s="41" t="inlineStr">
        <is>
          <t>IF(G297="","All_Provinces",IFERROR(VLOOKUP(G297,'07_Lookups'!$A$4:$B$20,2,FALSE),"All_Provinces"))</t>
        </is>
      </c>
      <c r="BI297" s="41" t="inlineStr">
        <is>
          <t>IF(H297="","All_Districts",IFERROR(VLOOKUP(H297,'07_Lookups'!$E$4:$F$42,2,FALSE),"All_Districts"))</t>
        </is>
      </c>
    </row>
    <row r="298" ht="18" customHeight="1">
      <c r="A298" s="32" t="inlineStr">
        <is>
          <t>IF(E298="","",ROW()-3)</t>
        </is>
      </c>
      <c r="B298" s="33" t="n"/>
      <c r="C298" s="33" t="n"/>
      <c r="D298" s="33" t="n"/>
      <c r="E298" s="33" t="n"/>
      <c r="F298" s="33" t="n"/>
      <c r="G298" s="33" t="n"/>
      <c r="H298" s="33" t="n"/>
      <c r="I298" s="33" t="n"/>
      <c r="J298" s="33" t="n"/>
      <c r="K298" s="33" t="n"/>
      <c r="L298" s="33" t="n"/>
      <c r="M298" s="33" t="n"/>
      <c r="N298" s="33" t="n"/>
      <c r="O298" s="33" t="n"/>
      <c r="P298" s="33" t="n"/>
      <c r="Q298" s="34" t="n"/>
      <c r="R298" s="35" t="inlineStr">
        <is>
          <t>IF(AO298="","",AO298)</t>
        </is>
      </c>
      <c r="S298" s="36" t="n"/>
      <c r="T298" s="37" t="n"/>
      <c r="U298" s="36" t="n"/>
      <c r="V298" s="35" t="inlineStr">
        <is>
          <t>IF(U298&lt;&gt;"",U298,IF(OR(R298="",T298=""),"",EDATE(R298,T298)))</t>
        </is>
      </c>
      <c r="W298" s="36" t="n"/>
      <c r="X298" s="37" t="n"/>
      <c r="Y298" s="33" t="n"/>
      <c r="Z298" s="33" t="n"/>
      <c r="AA298" s="32" t="inlineStr">
        <is>
          <t>IF(E298="","",IF(COUNT(AG298:AT298)=0,IF(Y298="","Not started",Y298),SUBSTITUTE(LOOKUP(2,1/(AG298:AT298&lt;&gt;""),$AG$3:$AT$3),"Date: ","")))</t>
        </is>
      </c>
      <c r="AB298" s="38" t="inlineStr">
        <is>
          <t>IF(OR(E298="",COUNT(AG298:AT298)=0),"",TODAY()-LOOKUP(2,1/(AG298:AT298&lt;&gt;""),AG298:AT298))</t>
        </is>
      </c>
      <c r="AC298" s="38" t="inlineStr">
        <is>
          <t>IF(OR(E298="",COUNT(AG298:AT298)&lt;2),"",LOOKUP(2,1/(AG298:AT298&lt;&gt;""),AG298:AT298)-MIN(AG298:AT298))</t>
        </is>
      </c>
      <c r="AD298" s="38" t="inlineStr">
        <is>
          <t>IF(OR(AB298="",AA298="Not started",AA298=""),"",IFERROR(AB298-IF(VLOOKUP(AA298,'04_Status_Pipeline'!$B$3:$E$20,4,FALSE)="",0,VLOOKUP(AA298,'04_Status_Pipeline'!$B$3:$E$20,4,FALSE)),""))</t>
        </is>
      </c>
      <c r="AE298" s="32" t="inlineStr">
        <is>
          <t>IF(E298="","",IF(OR(Y298="Cancelled",AA298="Cancelled"),"Cancelled",IF(OR(AA298="Completed / Handover",W298&lt;&gt;"",X298&gt;=100),"Completed — on track",IF(L298="Remaining",IF(S298="",IF(V298="","No planned date",IF(TODAY()&gt;V298,"Behind — past planned date",IF(V298-TODAY()&lt;=30,"At risk — close to off track","On track"))),IF(TODAY()&gt;S298,"Behind — award date passed",IF(S298-TODAY()&lt;=30,"At risk — close to off track","On track"))),IF(V298="","No planned date",IF(AND(TODAY()&gt;V298,OR(X298="",X298&lt;100)),"Behind — past end date",IF(AND(R298&lt;&gt;"",V298&lt;&gt;"",X298&lt;&gt;"",(X298&lt;100),((TODAY()-R298)/MAX(V298-R298,1)*100)-X298&gt;15),"Behind — progress lag",IF(AND(V298-TODAY()&lt;=30,V298-TODAY()&gt;=0,OR(X298="",X298&lt;90)),"At risk — close to off track","On track"))))))))</t>
        </is>
      </c>
      <c r="AF298" s="38" t="inlineStr">
        <is>
          <t>IF(OR(E298="",AA298="Completed / Handover",AA298="Cancelled"),"",IF(L298="Remaining",IF(S298&lt;&gt;"",S298-TODAY(),IF(V298="","",V298-TODAY())),IF(V298="","",V298-TODAY())))</t>
        </is>
      </c>
      <c r="AG298" s="36" t="n"/>
      <c r="AH298" s="36" t="n"/>
      <c r="AI298" s="36" t="n"/>
      <c r="AJ298" s="36" t="n"/>
      <c r="AK298" s="36" t="n"/>
      <c r="AL298" s="36" t="n"/>
      <c r="AM298" s="36" t="n"/>
      <c r="AN298" s="36" t="n"/>
      <c r="AO298" s="36" t="n"/>
      <c r="AP298" s="36" t="n"/>
      <c r="AQ298" s="36" t="n"/>
      <c r="AR298" s="40" t="n"/>
      <c r="AS298" s="40" t="n"/>
      <c r="AT298" s="40" t="n"/>
      <c r="AU298" s="38" t="inlineStr">
        <is>
          <t>IF(OR(E298="",AH298=""),"",IF(COUNT(AG298:AG298)=0,"",AH298-LOOKUP(2,1/(AG298:AG298&lt;&gt;""),AG298:AG298)))</t>
        </is>
      </c>
      <c r="AV298" s="38" t="inlineStr">
        <is>
          <t>IF(OR(E298="",AI298=""),"",IF(COUNT(AG298:AH298)=0,"",AI298-LOOKUP(2,1/(AG298:AH298&lt;&gt;""),AG298:AH298)))</t>
        </is>
      </c>
      <c r="AW298" s="38" t="inlineStr">
        <is>
          <t>IF(OR(E298="",AJ298=""),"",IF(COUNT(AG298:AI298)=0,"",AJ298-LOOKUP(2,1/(AG298:AI298&lt;&gt;""),AG298:AI298)))</t>
        </is>
      </c>
      <c r="AX298" s="38" t="inlineStr">
        <is>
          <t>IF(OR(E298="",AK298=""),"",IF(COUNT(AG298:AJ298)=0,"",AK298-LOOKUP(2,1/(AG298:AJ298&lt;&gt;""),AG298:AJ298)))</t>
        </is>
      </c>
      <c r="AY298" s="38" t="inlineStr">
        <is>
          <t>IF(OR(E298="",AL298=""),"",IF(COUNT(AG298:AK298)=0,"",AL298-LOOKUP(2,1/(AG298:AK298&lt;&gt;""),AG298:AK298)))</t>
        </is>
      </c>
      <c r="AZ298" s="38" t="inlineStr">
        <is>
          <t>IF(OR(E298="",AM298=""),"",IF(COUNT(AG298:AL298)=0,"",AM298-LOOKUP(2,1/(AG298:AL298&lt;&gt;""),AG298:AL298)))</t>
        </is>
      </c>
      <c r="BA298" s="38" t="inlineStr">
        <is>
          <t>IF(OR(E298="",AN298=""),"",IF(COUNT(AG298:AM298)=0,"",AN298-LOOKUP(2,1/(AG298:AM298&lt;&gt;""),AG298:AM298)))</t>
        </is>
      </c>
      <c r="BB298" s="38" t="inlineStr">
        <is>
          <t>IF(OR(E298="",AO298=""),"",IF(COUNT(AG298:AN298)=0,"",AO298-LOOKUP(2,1/(AG298:AN298&lt;&gt;""),AG298:AN298)))</t>
        </is>
      </c>
      <c r="BC298" s="38" t="inlineStr">
        <is>
          <t>IF(OR(E298="",AP298=""),"",IF(COUNT(AG298:AO298)=0,"",AP298-LOOKUP(2,1/(AG298:AO298&lt;&gt;""),AG298:AO298)))</t>
        </is>
      </c>
      <c r="BD298" s="38" t="inlineStr">
        <is>
          <t>IF(OR(E298="",AQ298=""),"",IF(COUNT(AG298:AP298)=0,"",AQ298-LOOKUP(2,1/(AG298:AP298&lt;&gt;""),AG298:AP298)))</t>
        </is>
      </c>
      <c r="BE298" s="38" t="inlineStr">
        <is>
          <t>IF(OR(E298="",AR298=""),"",IF(COUNT(AG298:AQ298)=0,"",AR298-LOOKUP(2,1/(AG298:AQ298&lt;&gt;""),AG298:AQ298)))</t>
        </is>
      </c>
      <c r="BF298" s="38" t="inlineStr">
        <is>
          <t>IF(OR(E298="",AS298=""),"",IF(COUNT(AG298:AR298)=0,"",AS298-LOOKUP(2,1/(AG298:AR298&lt;&gt;""),AG298:AR298)))</t>
        </is>
      </c>
      <c r="BG298" s="38" t="inlineStr">
        <is>
          <t>IF(OR(E298="",AT298=""),"",IF(COUNT(AG298:AS298)=0,"",AT298-LOOKUP(2,1/(AG298:AS298&lt;&gt;""),AG298:AS298)))</t>
        </is>
      </c>
      <c r="BH298" s="41" t="inlineStr">
        <is>
          <t>IF(G298="","All_Provinces",IFERROR(VLOOKUP(G298,'07_Lookups'!$A$4:$B$20,2,FALSE),"All_Provinces"))</t>
        </is>
      </c>
      <c r="BI298" s="41" t="inlineStr">
        <is>
          <t>IF(H298="","All_Districts",IFERROR(VLOOKUP(H298,'07_Lookups'!$E$4:$F$42,2,FALSE),"All_Districts"))</t>
        </is>
      </c>
    </row>
    <row r="299" ht="18" customHeight="1">
      <c r="A299" s="32" t="inlineStr">
        <is>
          <t>IF(E299="","",ROW()-3)</t>
        </is>
      </c>
      <c r="B299" s="42" t="n"/>
      <c r="C299" s="42" t="n"/>
      <c r="D299" s="42" t="n"/>
      <c r="E299" s="42" t="n"/>
      <c r="F299" s="42" t="n"/>
      <c r="G299" s="42" t="n"/>
      <c r="H299" s="42" t="n"/>
      <c r="I299" s="42" t="n"/>
      <c r="J299" s="42" t="n"/>
      <c r="K299" s="42" t="n"/>
      <c r="L299" s="42" t="n"/>
      <c r="M299" s="42" t="n"/>
      <c r="N299" s="42" t="n"/>
      <c r="O299" s="42" t="n"/>
      <c r="P299" s="42" t="n"/>
      <c r="Q299" s="43" t="n"/>
      <c r="R299" s="35" t="inlineStr">
        <is>
          <t>IF(AO299="","",AO299)</t>
        </is>
      </c>
      <c r="S299" s="44" t="n"/>
      <c r="T299" s="45" t="n"/>
      <c r="U299" s="44" t="n"/>
      <c r="V299" s="35" t="inlineStr">
        <is>
          <t>IF(U299&lt;&gt;"",U299,IF(OR(R299="",T299=""),"",EDATE(R299,T299)))</t>
        </is>
      </c>
      <c r="W299" s="44" t="n"/>
      <c r="X299" s="45" t="n"/>
      <c r="Y299" s="42" t="n"/>
      <c r="Z299" s="42" t="n"/>
      <c r="AA299" s="32" t="inlineStr">
        <is>
          <t>IF(E299="","",IF(COUNT(AG299:AT299)=0,IF(Y299="","Not started",Y299),SUBSTITUTE(LOOKUP(2,1/(AG299:AT299&lt;&gt;""),$AG$3:$AT$3),"Date: ","")))</t>
        </is>
      </c>
      <c r="AB299" s="38" t="inlineStr">
        <is>
          <t>IF(OR(E299="",COUNT(AG299:AT299)=0),"",TODAY()-LOOKUP(2,1/(AG299:AT299&lt;&gt;""),AG299:AT299))</t>
        </is>
      </c>
      <c r="AC299" s="38" t="inlineStr">
        <is>
          <t>IF(OR(E299="",COUNT(AG299:AT299)&lt;2),"",LOOKUP(2,1/(AG299:AT299&lt;&gt;""),AG299:AT299)-MIN(AG299:AT299))</t>
        </is>
      </c>
      <c r="AD299" s="38" t="inlineStr">
        <is>
          <t>IF(OR(AB299="",AA299="Not started",AA299=""),"",IFERROR(AB299-IF(VLOOKUP(AA299,'04_Status_Pipeline'!$B$3:$E$20,4,FALSE)="",0,VLOOKUP(AA299,'04_Status_Pipeline'!$B$3:$E$20,4,FALSE)),""))</t>
        </is>
      </c>
      <c r="AE299" s="32" t="inlineStr">
        <is>
          <t>IF(E299="","",IF(OR(Y299="Cancelled",AA299="Cancelled"),"Cancelled",IF(OR(AA299="Completed / Handover",W299&lt;&gt;"",X299&gt;=100),"Completed — on track",IF(L299="Remaining",IF(S299="",IF(V299="","No planned date",IF(TODAY()&gt;V299,"Behind — past planned date",IF(V299-TODAY()&lt;=30,"At risk — close to off track","On track"))),IF(TODAY()&gt;S299,"Behind — award date passed",IF(S299-TODAY()&lt;=30,"At risk — close to off track","On track"))),IF(V299="","No planned date",IF(AND(TODAY()&gt;V299,OR(X299="",X299&lt;100)),"Behind — past end date",IF(AND(R299&lt;&gt;"",V299&lt;&gt;"",X299&lt;&gt;"",(X299&lt;100),((TODAY()-R299)/MAX(V299-R299,1)*100)-X299&gt;15),"Behind — progress lag",IF(AND(V299-TODAY()&lt;=30,V299-TODAY()&gt;=0,OR(X299="",X299&lt;90)),"At risk — close to off track","On track"))))))))</t>
        </is>
      </c>
      <c r="AF299" s="38" t="inlineStr">
        <is>
          <t>IF(OR(E299="",AA299="Completed / Handover",AA299="Cancelled"),"",IF(L299="Remaining",IF(S299&lt;&gt;"",S299-TODAY(),IF(V299="","",V299-TODAY())),IF(V299="","",V299-TODAY())))</t>
        </is>
      </c>
      <c r="AG299" s="44" t="n"/>
      <c r="AH299" s="44" t="n"/>
      <c r="AI299" s="44" t="n"/>
      <c r="AJ299" s="44" t="n"/>
      <c r="AK299" s="44" t="n"/>
      <c r="AL299" s="44" t="n"/>
      <c r="AM299" s="44" t="n"/>
      <c r="AN299" s="44" t="n"/>
      <c r="AO299" s="44" t="n"/>
      <c r="AP299" s="44" t="n"/>
      <c r="AQ299" s="44" t="n"/>
      <c r="AR299" s="40" t="n"/>
      <c r="AS299" s="40" t="n"/>
      <c r="AT299" s="40" t="n"/>
      <c r="AU299" s="38" t="inlineStr">
        <is>
          <t>IF(OR(E299="",AH299=""),"",IF(COUNT(AG299:AG299)=0,"",AH299-LOOKUP(2,1/(AG299:AG299&lt;&gt;""),AG299:AG299)))</t>
        </is>
      </c>
      <c r="AV299" s="38" t="inlineStr">
        <is>
          <t>IF(OR(E299="",AI299=""),"",IF(COUNT(AG299:AH299)=0,"",AI299-LOOKUP(2,1/(AG299:AH299&lt;&gt;""),AG299:AH299)))</t>
        </is>
      </c>
      <c r="AW299" s="38" t="inlineStr">
        <is>
          <t>IF(OR(E299="",AJ299=""),"",IF(COUNT(AG299:AI299)=0,"",AJ299-LOOKUP(2,1/(AG299:AI299&lt;&gt;""),AG299:AI299)))</t>
        </is>
      </c>
      <c r="AX299" s="38" t="inlineStr">
        <is>
          <t>IF(OR(E299="",AK299=""),"",IF(COUNT(AG299:AJ299)=0,"",AK299-LOOKUP(2,1/(AG299:AJ299&lt;&gt;""),AG299:AJ299)))</t>
        </is>
      </c>
      <c r="AY299" s="38" t="inlineStr">
        <is>
          <t>IF(OR(E299="",AL299=""),"",IF(COUNT(AG299:AK299)=0,"",AL299-LOOKUP(2,1/(AG299:AK299&lt;&gt;""),AG299:AK299)))</t>
        </is>
      </c>
      <c r="AZ299" s="38" t="inlineStr">
        <is>
          <t>IF(OR(E299="",AM299=""),"",IF(COUNT(AG299:AL299)=0,"",AM299-LOOKUP(2,1/(AG299:AL299&lt;&gt;""),AG299:AL299)))</t>
        </is>
      </c>
      <c r="BA299" s="38" t="inlineStr">
        <is>
          <t>IF(OR(E299="",AN299=""),"",IF(COUNT(AG299:AM299)=0,"",AN299-LOOKUP(2,1/(AG299:AM299&lt;&gt;""),AG299:AM299)))</t>
        </is>
      </c>
      <c r="BB299" s="38" t="inlineStr">
        <is>
          <t>IF(OR(E299="",AO299=""),"",IF(COUNT(AG299:AN299)=0,"",AO299-LOOKUP(2,1/(AG299:AN299&lt;&gt;""),AG299:AN299)))</t>
        </is>
      </c>
      <c r="BC299" s="38" t="inlineStr">
        <is>
          <t>IF(OR(E299="",AP299=""),"",IF(COUNT(AG299:AO299)=0,"",AP299-LOOKUP(2,1/(AG299:AO299&lt;&gt;""),AG299:AO299)))</t>
        </is>
      </c>
      <c r="BD299" s="38" t="inlineStr">
        <is>
          <t>IF(OR(E299="",AQ299=""),"",IF(COUNT(AG299:AP299)=0,"",AQ299-LOOKUP(2,1/(AG299:AP299&lt;&gt;""),AG299:AP299)))</t>
        </is>
      </c>
      <c r="BE299" s="38" t="inlineStr">
        <is>
          <t>IF(OR(E299="",AR299=""),"",IF(COUNT(AG299:AQ299)=0,"",AR299-LOOKUP(2,1/(AG299:AQ299&lt;&gt;""),AG299:AQ299)))</t>
        </is>
      </c>
      <c r="BF299" s="38" t="inlineStr">
        <is>
          <t>IF(OR(E299="",AS299=""),"",IF(COUNT(AG299:AR299)=0,"",AS299-LOOKUP(2,1/(AG299:AR299&lt;&gt;""),AG299:AR299)))</t>
        </is>
      </c>
      <c r="BG299" s="38" t="inlineStr">
        <is>
          <t>IF(OR(E299="",AT299=""),"",IF(COUNT(AG299:AS299)=0,"",AT299-LOOKUP(2,1/(AG299:AS299&lt;&gt;""),AG299:AS299)))</t>
        </is>
      </c>
      <c r="BH299" s="41" t="inlineStr">
        <is>
          <t>IF(G299="","All_Provinces",IFERROR(VLOOKUP(G299,'07_Lookups'!$A$4:$B$20,2,FALSE),"All_Provinces"))</t>
        </is>
      </c>
      <c r="BI299" s="41" t="inlineStr">
        <is>
          <t>IF(H299="","All_Districts",IFERROR(VLOOKUP(H299,'07_Lookups'!$E$4:$F$42,2,FALSE),"All_Districts"))</t>
        </is>
      </c>
    </row>
    <row r="300" ht="18" customHeight="1">
      <c r="A300" s="32" t="inlineStr">
        <is>
          <t>IF(E300="","",ROW()-3)</t>
        </is>
      </c>
      <c r="B300" s="33" t="n"/>
      <c r="C300" s="33" t="n"/>
      <c r="D300" s="33" t="n"/>
      <c r="E300" s="33" t="n"/>
      <c r="F300" s="33" t="n"/>
      <c r="G300" s="33" t="n"/>
      <c r="H300" s="33" t="n"/>
      <c r="I300" s="33" t="n"/>
      <c r="J300" s="33" t="n"/>
      <c r="K300" s="33" t="n"/>
      <c r="L300" s="33" t="n"/>
      <c r="M300" s="33" t="n"/>
      <c r="N300" s="33" t="n"/>
      <c r="O300" s="33" t="n"/>
      <c r="P300" s="33" t="n"/>
      <c r="Q300" s="34" t="n"/>
      <c r="R300" s="35" t="inlineStr">
        <is>
          <t>IF(AO300="","",AO300)</t>
        </is>
      </c>
      <c r="S300" s="36" t="n"/>
      <c r="T300" s="37" t="n"/>
      <c r="U300" s="36" t="n"/>
      <c r="V300" s="35" t="inlineStr">
        <is>
          <t>IF(U300&lt;&gt;"",U300,IF(OR(R300="",T300=""),"",EDATE(R300,T300)))</t>
        </is>
      </c>
      <c r="W300" s="36" t="n"/>
      <c r="X300" s="37" t="n"/>
      <c r="Y300" s="33" t="n"/>
      <c r="Z300" s="33" t="n"/>
      <c r="AA300" s="32" t="inlineStr">
        <is>
          <t>IF(E300="","",IF(COUNT(AG300:AT300)=0,IF(Y300="","Not started",Y300),SUBSTITUTE(LOOKUP(2,1/(AG300:AT300&lt;&gt;""),$AG$3:$AT$3),"Date: ","")))</t>
        </is>
      </c>
      <c r="AB300" s="38" t="inlineStr">
        <is>
          <t>IF(OR(E300="",COUNT(AG300:AT300)=0),"",TODAY()-LOOKUP(2,1/(AG300:AT300&lt;&gt;""),AG300:AT300))</t>
        </is>
      </c>
      <c r="AC300" s="38" t="inlineStr">
        <is>
          <t>IF(OR(E300="",COUNT(AG300:AT300)&lt;2),"",LOOKUP(2,1/(AG300:AT300&lt;&gt;""),AG300:AT300)-MIN(AG300:AT300))</t>
        </is>
      </c>
      <c r="AD300" s="38" t="inlineStr">
        <is>
          <t>IF(OR(AB300="",AA300="Not started",AA300=""),"",IFERROR(AB300-IF(VLOOKUP(AA300,'04_Status_Pipeline'!$B$3:$E$20,4,FALSE)="",0,VLOOKUP(AA300,'04_Status_Pipeline'!$B$3:$E$20,4,FALSE)),""))</t>
        </is>
      </c>
      <c r="AE300" s="32" t="inlineStr">
        <is>
          <t>IF(E300="","",IF(OR(Y300="Cancelled",AA300="Cancelled"),"Cancelled",IF(OR(AA300="Completed / Handover",W300&lt;&gt;"",X300&gt;=100),"Completed — on track",IF(L300="Remaining",IF(S300="",IF(V300="","No planned date",IF(TODAY()&gt;V300,"Behind — past planned date",IF(V300-TODAY()&lt;=30,"At risk — close to off track","On track"))),IF(TODAY()&gt;S300,"Behind — award date passed",IF(S300-TODAY()&lt;=30,"At risk — close to off track","On track"))),IF(V300="","No planned date",IF(AND(TODAY()&gt;V300,OR(X300="",X300&lt;100)),"Behind — past end date",IF(AND(R300&lt;&gt;"",V300&lt;&gt;"",X300&lt;&gt;"",(X300&lt;100),((TODAY()-R300)/MAX(V300-R300,1)*100)-X300&gt;15),"Behind — progress lag",IF(AND(V300-TODAY()&lt;=30,V300-TODAY()&gt;=0,OR(X300="",X300&lt;90)),"At risk — close to off track","On track"))))))))</t>
        </is>
      </c>
      <c r="AF300" s="38" t="inlineStr">
        <is>
          <t>IF(OR(E300="",AA300="Completed / Handover",AA300="Cancelled"),"",IF(L300="Remaining",IF(S300&lt;&gt;"",S300-TODAY(),IF(V300="","",V300-TODAY())),IF(V300="","",V300-TODAY())))</t>
        </is>
      </c>
      <c r="AG300" s="36" t="n"/>
      <c r="AH300" s="36" t="n"/>
      <c r="AI300" s="36" t="n"/>
      <c r="AJ300" s="36" t="n"/>
      <c r="AK300" s="36" t="n"/>
      <c r="AL300" s="36" t="n"/>
      <c r="AM300" s="36" t="n"/>
      <c r="AN300" s="36" t="n"/>
      <c r="AO300" s="36" t="n"/>
      <c r="AP300" s="36" t="n"/>
      <c r="AQ300" s="36" t="n"/>
      <c r="AR300" s="40" t="n"/>
      <c r="AS300" s="40" t="n"/>
      <c r="AT300" s="40" t="n"/>
      <c r="AU300" s="38" t="inlineStr">
        <is>
          <t>IF(OR(E300="",AH300=""),"",IF(COUNT(AG300:AG300)=0,"",AH300-LOOKUP(2,1/(AG300:AG300&lt;&gt;""),AG300:AG300)))</t>
        </is>
      </c>
      <c r="AV300" s="38" t="inlineStr">
        <is>
          <t>IF(OR(E300="",AI300=""),"",IF(COUNT(AG300:AH300)=0,"",AI300-LOOKUP(2,1/(AG300:AH300&lt;&gt;""),AG300:AH300)))</t>
        </is>
      </c>
      <c r="AW300" s="38" t="inlineStr">
        <is>
          <t>IF(OR(E300="",AJ300=""),"",IF(COUNT(AG300:AI300)=0,"",AJ300-LOOKUP(2,1/(AG300:AI300&lt;&gt;""),AG300:AI300)))</t>
        </is>
      </c>
      <c r="AX300" s="38" t="inlineStr">
        <is>
          <t>IF(OR(E300="",AK300=""),"",IF(COUNT(AG300:AJ300)=0,"",AK300-LOOKUP(2,1/(AG300:AJ300&lt;&gt;""),AG300:AJ300)))</t>
        </is>
      </c>
      <c r="AY300" s="38" t="inlineStr">
        <is>
          <t>IF(OR(E300="",AL300=""),"",IF(COUNT(AG300:AK300)=0,"",AL300-LOOKUP(2,1/(AG300:AK300&lt;&gt;""),AG300:AK300)))</t>
        </is>
      </c>
      <c r="AZ300" s="38" t="inlineStr">
        <is>
          <t>IF(OR(E300="",AM300=""),"",IF(COUNT(AG300:AL300)=0,"",AM300-LOOKUP(2,1/(AG300:AL300&lt;&gt;""),AG300:AL300)))</t>
        </is>
      </c>
      <c r="BA300" s="38" t="inlineStr">
        <is>
          <t>IF(OR(E300="",AN300=""),"",IF(COUNT(AG300:AM300)=0,"",AN300-LOOKUP(2,1/(AG300:AM300&lt;&gt;""),AG300:AM300)))</t>
        </is>
      </c>
      <c r="BB300" s="38" t="inlineStr">
        <is>
          <t>IF(OR(E300="",AO300=""),"",IF(COUNT(AG300:AN300)=0,"",AO300-LOOKUP(2,1/(AG300:AN300&lt;&gt;""),AG300:AN300)))</t>
        </is>
      </c>
      <c r="BC300" s="38" t="inlineStr">
        <is>
          <t>IF(OR(E300="",AP300=""),"",IF(COUNT(AG300:AO300)=0,"",AP300-LOOKUP(2,1/(AG300:AO300&lt;&gt;""),AG300:AO300)))</t>
        </is>
      </c>
      <c r="BD300" s="38" t="inlineStr">
        <is>
          <t>IF(OR(E300="",AQ300=""),"",IF(COUNT(AG300:AP300)=0,"",AQ300-LOOKUP(2,1/(AG300:AP300&lt;&gt;""),AG300:AP300)))</t>
        </is>
      </c>
      <c r="BE300" s="38" t="inlineStr">
        <is>
          <t>IF(OR(E300="",AR300=""),"",IF(COUNT(AG300:AQ300)=0,"",AR300-LOOKUP(2,1/(AG300:AQ300&lt;&gt;""),AG300:AQ300)))</t>
        </is>
      </c>
      <c r="BF300" s="38" t="inlineStr">
        <is>
          <t>IF(OR(E300="",AS300=""),"",IF(COUNT(AG300:AR300)=0,"",AS300-LOOKUP(2,1/(AG300:AR300&lt;&gt;""),AG300:AR300)))</t>
        </is>
      </c>
      <c r="BG300" s="38" t="inlineStr">
        <is>
          <t>IF(OR(E300="",AT300=""),"",IF(COUNT(AG300:AS300)=0,"",AT300-LOOKUP(2,1/(AG300:AS300&lt;&gt;""),AG300:AS300)))</t>
        </is>
      </c>
      <c r="BH300" s="41" t="inlineStr">
        <is>
          <t>IF(G300="","All_Provinces",IFERROR(VLOOKUP(G300,'07_Lookups'!$A$4:$B$20,2,FALSE),"All_Provinces"))</t>
        </is>
      </c>
      <c r="BI300" s="41" t="inlineStr">
        <is>
          <t>IF(H300="","All_Districts",IFERROR(VLOOKUP(H300,'07_Lookups'!$E$4:$F$42,2,FALSE),"All_Districts"))</t>
        </is>
      </c>
    </row>
    <row r="301" ht="18" customHeight="1">
      <c r="A301" s="32" t="inlineStr">
        <is>
          <t>IF(E301="","",ROW()-3)</t>
        </is>
      </c>
      <c r="B301" s="42" t="n"/>
      <c r="C301" s="42" t="n"/>
      <c r="D301" s="42" t="n"/>
      <c r="E301" s="42" t="n"/>
      <c r="F301" s="42" t="n"/>
      <c r="G301" s="42" t="n"/>
      <c r="H301" s="42" t="n"/>
      <c r="I301" s="42" t="n"/>
      <c r="J301" s="42" t="n"/>
      <c r="K301" s="42" t="n"/>
      <c r="L301" s="42" t="n"/>
      <c r="M301" s="42" t="n"/>
      <c r="N301" s="42" t="n"/>
      <c r="O301" s="42" t="n"/>
      <c r="P301" s="42" t="n"/>
      <c r="Q301" s="43" t="n"/>
      <c r="R301" s="35" t="inlineStr">
        <is>
          <t>IF(AO301="","",AO301)</t>
        </is>
      </c>
      <c r="S301" s="44" t="n"/>
      <c r="T301" s="45" t="n"/>
      <c r="U301" s="44" t="n"/>
      <c r="V301" s="35" t="inlineStr">
        <is>
          <t>IF(U301&lt;&gt;"",U301,IF(OR(R301="",T301=""),"",EDATE(R301,T301)))</t>
        </is>
      </c>
      <c r="W301" s="44" t="n"/>
      <c r="X301" s="45" t="n"/>
      <c r="Y301" s="42" t="n"/>
      <c r="Z301" s="42" t="n"/>
      <c r="AA301" s="32" t="inlineStr">
        <is>
          <t>IF(E301="","",IF(COUNT(AG301:AT301)=0,IF(Y301="","Not started",Y301),SUBSTITUTE(LOOKUP(2,1/(AG301:AT301&lt;&gt;""),$AG$3:$AT$3),"Date: ","")))</t>
        </is>
      </c>
      <c r="AB301" s="38" t="inlineStr">
        <is>
          <t>IF(OR(E301="",COUNT(AG301:AT301)=0),"",TODAY()-LOOKUP(2,1/(AG301:AT301&lt;&gt;""),AG301:AT301))</t>
        </is>
      </c>
      <c r="AC301" s="38" t="inlineStr">
        <is>
          <t>IF(OR(E301="",COUNT(AG301:AT301)&lt;2),"",LOOKUP(2,1/(AG301:AT301&lt;&gt;""),AG301:AT301)-MIN(AG301:AT301))</t>
        </is>
      </c>
      <c r="AD301" s="38" t="inlineStr">
        <is>
          <t>IF(OR(AB301="",AA301="Not started",AA301=""),"",IFERROR(AB301-IF(VLOOKUP(AA301,'04_Status_Pipeline'!$B$3:$E$20,4,FALSE)="",0,VLOOKUP(AA301,'04_Status_Pipeline'!$B$3:$E$20,4,FALSE)),""))</t>
        </is>
      </c>
      <c r="AE301" s="32" t="inlineStr">
        <is>
          <t>IF(E301="","",IF(OR(Y301="Cancelled",AA301="Cancelled"),"Cancelled",IF(OR(AA301="Completed / Handover",W301&lt;&gt;"",X301&gt;=100),"Completed — on track",IF(L301="Remaining",IF(S301="",IF(V301="","No planned date",IF(TODAY()&gt;V301,"Behind — past planned date",IF(V301-TODAY()&lt;=30,"At risk — close to off track","On track"))),IF(TODAY()&gt;S301,"Behind — award date passed",IF(S301-TODAY()&lt;=30,"At risk — close to off track","On track"))),IF(V301="","No planned date",IF(AND(TODAY()&gt;V301,OR(X301="",X301&lt;100)),"Behind — past end date",IF(AND(R301&lt;&gt;"",V301&lt;&gt;"",X301&lt;&gt;"",(X301&lt;100),((TODAY()-R301)/MAX(V301-R301,1)*100)-X301&gt;15),"Behind — progress lag",IF(AND(V301-TODAY()&lt;=30,V301-TODAY()&gt;=0,OR(X301="",X301&lt;90)),"At risk — close to off track","On track"))))))))</t>
        </is>
      </c>
      <c r="AF301" s="38" t="inlineStr">
        <is>
          <t>IF(OR(E301="",AA301="Completed / Handover",AA301="Cancelled"),"",IF(L301="Remaining",IF(S301&lt;&gt;"",S301-TODAY(),IF(V301="","",V301-TODAY())),IF(V301="","",V301-TODAY())))</t>
        </is>
      </c>
      <c r="AG301" s="44" t="n"/>
      <c r="AH301" s="44" t="n"/>
      <c r="AI301" s="44" t="n"/>
      <c r="AJ301" s="44" t="n"/>
      <c r="AK301" s="44" t="n"/>
      <c r="AL301" s="44" t="n"/>
      <c r="AM301" s="44" t="n"/>
      <c r="AN301" s="44" t="n"/>
      <c r="AO301" s="44" t="n"/>
      <c r="AP301" s="44" t="n"/>
      <c r="AQ301" s="44" t="n"/>
      <c r="AR301" s="40" t="n"/>
      <c r="AS301" s="40" t="n"/>
      <c r="AT301" s="40" t="n"/>
      <c r="AU301" s="38" t="inlineStr">
        <is>
          <t>IF(OR(E301="",AH301=""),"",IF(COUNT(AG301:AG301)=0,"",AH301-LOOKUP(2,1/(AG301:AG301&lt;&gt;""),AG301:AG301)))</t>
        </is>
      </c>
      <c r="AV301" s="38" t="inlineStr">
        <is>
          <t>IF(OR(E301="",AI301=""),"",IF(COUNT(AG301:AH301)=0,"",AI301-LOOKUP(2,1/(AG301:AH301&lt;&gt;""),AG301:AH301)))</t>
        </is>
      </c>
      <c r="AW301" s="38" t="inlineStr">
        <is>
          <t>IF(OR(E301="",AJ301=""),"",IF(COUNT(AG301:AI301)=0,"",AJ301-LOOKUP(2,1/(AG301:AI301&lt;&gt;""),AG301:AI301)))</t>
        </is>
      </c>
      <c r="AX301" s="38" t="inlineStr">
        <is>
          <t>IF(OR(E301="",AK301=""),"",IF(COUNT(AG301:AJ301)=0,"",AK301-LOOKUP(2,1/(AG301:AJ301&lt;&gt;""),AG301:AJ301)))</t>
        </is>
      </c>
      <c r="AY301" s="38" t="inlineStr">
        <is>
          <t>IF(OR(E301="",AL301=""),"",IF(COUNT(AG301:AK301)=0,"",AL301-LOOKUP(2,1/(AG301:AK301&lt;&gt;""),AG301:AK301)))</t>
        </is>
      </c>
      <c r="AZ301" s="38" t="inlineStr">
        <is>
          <t>IF(OR(E301="",AM301=""),"",IF(COUNT(AG301:AL301)=0,"",AM301-LOOKUP(2,1/(AG301:AL301&lt;&gt;""),AG301:AL301)))</t>
        </is>
      </c>
      <c r="BA301" s="38" t="inlineStr">
        <is>
          <t>IF(OR(E301="",AN301=""),"",IF(COUNT(AG301:AM301)=0,"",AN301-LOOKUP(2,1/(AG301:AM301&lt;&gt;""),AG301:AM301)))</t>
        </is>
      </c>
      <c r="BB301" s="38" t="inlineStr">
        <is>
          <t>IF(OR(E301="",AO301=""),"",IF(COUNT(AG301:AN301)=0,"",AO301-LOOKUP(2,1/(AG301:AN301&lt;&gt;""),AG301:AN301)))</t>
        </is>
      </c>
      <c r="BC301" s="38" t="inlineStr">
        <is>
          <t>IF(OR(E301="",AP301=""),"",IF(COUNT(AG301:AO301)=0,"",AP301-LOOKUP(2,1/(AG301:AO301&lt;&gt;""),AG301:AO301)))</t>
        </is>
      </c>
      <c r="BD301" s="38" t="inlineStr">
        <is>
          <t>IF(OR(E301="",AQ301=""),"",IF(COUNT(AG301:AP301)=0,"",AQ301-LOOKUP(2,1/(AG301:AP301&lt;&gt;""),AG301:AP301)))</t>
        </is>
      </c>
      <c r="BE301" s="38" t="inlineStr">
        <is>
          <t>IF(OR(E301="",AR301=""),"",IF(COUNT(AG301:AQ301)=0,"",AR301-LOOKUP(2,1/(AG301:AQ301&lt;&gt;""),AG301:AQ301)))</t>
        </is>
      </c>
      <c r="BF301" s="38" t="inlineStr">
        <is>
          <t>IF(OR(E301="",AS301=""),"",IF(COUNT(AG301:AR301)=0,"",AS301-LOOKUP(2,1/(AG301:AR301&lt;&gt;""),AG301:AR301)))</t>
        </is>
      </c>
      <c r="BG301" s="38" t="inlineStr">
        <is>
          <t>IF(OR(E301="",AT301=""),"",IF(COUNT(AG301:AS301)=0,"",AT301-LOOKUP(2,1/(AG301:AS301&lt;&gt;""),AG301:AS301)))</t>
        </is>
      </c>
      <c r="BH301" s="41" t="inlineStr">
        <is>
          <t>IF(G301="","All_Provinces",IFERROR(VLOOKUP(G301,'07_Lookups'!$A$4:$B$20,2,FALSE),"All_Provinces"))</t>
        </is>
      </c>
      <c r="BI301" s="41" t="inlineStr">
        <is>
          <t>IF(H301="","All_Districts",IFERROR(VLOOKUP(H301,'07_Lookups'!$E$4:$F$42,2,FALSE),"All_Districts"))</t>
        </is>
      </c>
    </row>
    <row r="302" ht="18" customHeight="1">
      <c r="A302" s="32" t="inlineStr">
        <is>
          <t>IF(E302="","",ROW()-3)</t>
        </is>
      </c>
      <c r="B302" s="33" t="n"/>
      <c r="C302" s="33" t="n"/>
      <c r="D302" s="33" t="n"/>
      <c r="E302" s="33" t="n"/>
      <c r="F302" s="33" t="n"/>
      <c r="G302" s="33" t="n"/>
      <c r="H302" s="33" t="n"/>
      <c r="I302" s="33" t="n"/>
      <c r="J302" s="33" t="n"/>
      <c r="K302" s="33" t="n"/>
      <c r="L302" s="33" t="n"/>
      <c r="M302" s="33" t="n"/>
      <c r="N302" s="33" t="n"/>
      <c r="O302" s="33" t="n"/>
      <c r="P302" s="33" t="n"/>
      <c r="Q302" s="34" t="n"/>
      <c r="R302" s="35" t="inlineStr">
        <is>
          <t>IF(AO302="","",AO302)</t>
        </is>
      </c>
      <c r="S302" s="36" t="n"/>
      <c r="T302" s="37" t="n"/>
      <c r="U302" s="36" t="n"/>
      <c r="V302" s="35" t="inlineStr">
        <is>
          <t>IF(U302&lt;&gt;"",U302,IF(OR(R302="",T302=""),"",EDATE(R302,T302)))</t>
        </is>
      </c>
      <c r="W302" s="36" t="n"/>
      <c r="X302" s="37" t="n"/>
      <c r="Y302" s="33" t="n"/>
      <c r="Z302" s="33" t="n"/>
      <c r="AA302" s="32" t="inlineStr">
        <is>
          <t>IF(E302="","",IF(COUNT(AG302:AT302)=0,IF(Y302="","Not started",Y302),SUBSTITUTE(LOOKUP(2,1/(AG302:AT302&lt;&gt;""),$AG$3:$AT$3),"Date: ","")))</t>
        </is>
      </c>
      <c r="AB302" s="38" t="inlineStr">
        <is>
          <t>IF(OR(E302="",COUNT(AG302:AT302)=0),"",TODAY()-LOOKUP(2,1/(AG302:AT302&lt;&gt;""),AG302:AT302))</t>
        </is>
      </c>
      <c r="AC302" s="38" t="inlineStr">
        <is>
          <t>IF(OR(E302="",COUNT(AG302:AT302)&lt;2),"",LOOKUP(2,1/(AG302:AT302&lt;&gt;""),AG302:AT302)-MIN(AG302:AT302))</t>
        </is>
      </c>
      <c r="AD302" s="38" t="inlineStr">
        <is>
          <t>IF(OR(AB302="",AA302="Not started",AA302=""),"",IFERROR(AB302-IF(VLOOKUP(AA302,'04_Status_Pipeline'!$B$3:$E$20,4,FALSE)="",0,VLOOKUP(AA302,'04_Status_Pipeline'!$B$3:$E$20,4,FALSE)),""))</t>
        </is>
      </c>
      <c r="AE302" s="32" t="inlineStr">
        <is>
          <t>IF(E302="","",IF(OR(Y302="Cancelled",AA302="Cancelled"),"Cancelled",IF(OR(AA302="Completed / Handover",W302&lt;&gt;"",X302&gt;=100),"Completed — on track",IF(L302="Remaining",IF(S302="",IF(V302="","No planned date",IF(TODAY()&gt;V302,"Behind — past planned date",IF(V302-TODAY()&lt;=30,"At risk — close to off track","On track"))),IF(TODAY()&gt;S302,"Behind — award date passed",IF(S302-TODAY()&lt;=30,"At risk — close to off track","On track"))),IF(V302="","No planned date",IF(AND(TODAY()&gt;V302,OR(X302="",X302&lt;100)),"Behind — past end date",IF(AND(R302&lt;&gt;"",V302&lt;&gt;"",X302&lt;&gt;"",(X302&lt;100),((TODAY()-R302)/MAX(V302-R302,1)*100)-X302&gt;15),"Behind — progress lag",IF(AND(V302-TODAY()&lt;=30,V302-TODAY()&gt;=0,OR(X302="",X302&lt;90)),"At risk — close to off track","On track"))))))))</t>
        </is>
      </c>
      <c r="AF302" s="38" t="inlineStr">
        <is>
          <t>IF(OR(E302="",AA302="Completed / Handover",AA302="Cancelled"),"",IF(L302="Remaining",IF(S302&lt;&gt;"",S302-TODAY(),IF(V302="","",V302-TODAY())),IF(V302="","",V302-TODAY())))</t>
        </is>
      </c>
      <c r="AG302" s="36" t="n"/>
      <c r="AH302" s="36" t="n"/>
      <c r="AI302" s="36" t="n"/>
      <c r="AJ302" s="36" t="n"/>
      <c r="AK302" s="36" t="n"/>
      <c r="AL302" s="36" t="n"/>
      <c r="AM302" s="36" t="n"/>
      <c r="AN302" s="36" t="n"/>
      <c r="AO302" s="36" t="n"/>
      <c r="AP302" s="36" t="n"/>
      <c r="AQ302" s="36" t="n"/>
      <c r="AR302" s="40" t="n"/>
      <c r="AS302" s="40" t="n"/>
      <c r="AT302" s="40" t="n"/>
      <c r="AU302" s="38" t="inlineStr">
        <is>
          <t>IF(OR(E302="",AH302=""),"",IF(COUNT(AG302:AG302)=0,"",AH302-LOOKUP(2,1/(AG302:AG302&lt;&gt;""),AG302:AG302)))</t>
        </is>
      </c>
      <c r="AV302" s="38" t="inlineStr">
        <is>
          <t>IF(OR(E302="",AI302=""),"",IF(COUNT(AG302:AH302)=0,"",AI302-LOOKUP(2,1/(AG302:AH302&lt;&gt;""),AG302:AH302)))</t>
        </is>
      </c>
      <c r="AW302" s="38" t="inlineStr">
        <is>
          <t>IF(OR(E302="",AJ302=""),"",IF(COUNT(AG302:AI302)=0,"",AJ302-LOOKUP(2,1/(AG302:AI302&lt;&gt;""),AG302:AI302)))</t>
        </is>
      </c>
      <c r="AX302" s="38" t="inlineStr">
        <is>
          <t>IF(OR(E302="",AK302=""),"",IF(COUNT(AG302:AJ302)=0,"",AK302-LOOKUP(2,1/(AG302:AJ302&lt;&gt;""),AG302:AJ302)))</t>
        </is>
      </c>
      <c r="AY302" s="38" t="inlineStr">
        <is>
          <t>IF(OR(E302="",AL302=""),"",IF(COUNT(AG302:AK302)=0,"",AL302-LOOKUP(2,1/(AG302:AK302&lt;&gt;""),AG302:AK302)))</t>
        </is>
      </c>
      <c r="AZ302" s="38" t="inlineStr">
        <is>
          <t>IF(OR(E302="",AM302=""),"",IF(COUNT(AG302:AL302)=0,"",AM302-LOOKUP(2,1/(AG302:AL302&lt;&gt;""),AG302:AL302)))</t>
        </is>
      </c>
      <c r="BA302" s="38" t="inlineStr">
        <is>
          <t>IF(OR(E302="",AN302=""),"",IF(COUNT(AG302:AM302)=0,"",AN302-LOOKUP(2,1/(AG302:AM302&lt;&gt;""),AG302:AM302)))</t>
        </is>
      </c>
      <c r="BB302" s="38" t="inlineStr">
        <is>
          <t>IF(OR(E302="",AO302=""),"",IF(COUNT(AG302:AN302)=0,"",AO302-LOOKUP(2,1/(AG302:AN302&lt;&gt;""),AG302:AN302)))</t>
        </is>
      </c>
      <c r="BC302" s="38" t="inlineStr">
        <is>
          <t>IF(OR(E302="",AP302=""),"",IF(COUNT(AG302:AO302)=0,"",AP302-LOOKUP(2,1/(AG302:AO302&lt;&gt;""),AG302:AO302)))</t>
        </is>
      </c>
      <c r="BD302" s="38" t="inlineStr">
        <is>
          <t>IF(OR(E302="",AQ302=""),"",IF(COUNT(AG302:AP302)=0,"",AQ302-LOOKUP(2,1/(AG302:AP302&lt;&gt;""),AG302:AP302)))</t>
        </is>
      </c>
      <c r="BE302" s="38" t="inlineStr">
        <is>
          <t>IF(OR(E302="",AR302=""),"",IF(COUNT(AG302:AQ302)=0,"",AR302-LOOKUP(2,1/(AG302:AQ302&lt;&gt;""),AG302:AQ302)))</t>
        </is>
      </c>
      <c r="BF302" s="38" t="inlineStr">
        <is>
          <t>IF(OR(E302="",AS302=""),"",IF(COUNT(AG302:AR302)=0,"",AS302-LOOKUP(2,1/(AG302:AR302&lt;&gt;""),AG302:AR302)))</t>
        </is>
      </c>
      <c r="BG302" s="38" t="inlineStr">
        <is>
          <t>IF(OR(E302="",AT302=""),"",IF(COUNT(AG302:AS302)=0,"",AT302-LOOKUP(2,1/(AG302:AS302&lt;&gt;""),AG302:AS302)))</t>
        </is>
      </c>
      <c r="BH302" s="41" t="inlineStr">
        <is>
          <t>IF(G302="","All_Provinces",IFERROR(VLOOKUP(G302,'07_Lookups'!$A$4:$B$20,2,FALSE),"All_Provinces"))</t>
        </is>
      </c>
      <c r="BI302" s="41" t="inlineStr">
        <is>
          <t>IF(H302="","All_Districts",IFERROR(VLOOKUP(H302,'07_Lookups'!$E$4:$F$42,2,FALSE),"All_Districts"))</t>
        </is>
      </c>
    </row>
    <row r="303" ht="18" customHeight="1">
      <c r="A303" s="32" t="inlineStr">
        <is>
          <t>IF(E303="","",ROW()-3)</t>
        </is>
      </c>
      <c r="B303" s="42" t="n"/>
      <c r="C303" s="42" t="n"/>
      <c r="D303" s="42" t="n"/>
      <c r="E303" s="42" t="n"/>
      <c r="F303" s="42" t="n"/>
      <c r="G303" s="42" t="n"/>
      <c r="H303" s="42" t="n"/>
      <c r="I303" s="42" t="n"/>
      <c r="J303" s="42" t="n"/>
      <c r="K303" s="42" t="n"/>
      <c r="L303" s="42" t="n"/>
      <c r="M303" s="42" t="n"/>
      <c r="N303" s="42" t="n"/>
      <c r="O303" s="42" t="n"/>
      <c r="P303" s="42" t="n"/>
      <c r="Q303" s="43" t="n"/>
      <c r="R303" s="35" t="inlineStr">
        <is>
          <t>IF(AO303="","",AO303)</t>
        </is>
      </c>
      <c r="S303" s="44" t="n"/>
      <c r="T303" s="45" t="n"/>
      <c r="U303" s="44" t="n"/>
      <c r="V303" s="35" t="inlineStr">
        <is>
          <t>IF(U303&lt;&gt;"",U303,IF(OR(R303="",T303=""),"",EDATE(R303,T303)))</t>
        </is>
      </c>
      <c r="W303" s="44" t="n"/>
      <c r="X303" s="45" t="n"/>
      <c r="Y303" s="42" t="n"/>
      <c r="Z303" s="42" t="n"/>
      <c r="AA303" s="32" t="inlineStr">
        <is>
          <t>IF(E303="","",IF(COUNT(AG303:AT303)=0,IF(Y303="","Not started",Y303),SUBSTITUTE(LOOKUP(2,1/(AG303:AT303&lt;&gt;""),$AG$3:$AT$3),"Date: ","")))</t>
        </is>
      </c>
      <c r="AB303" s="38" t="inlineStr">
        <is>
          <t>IF(OR(E303="",COUNT(AG303:AT303)=0),"",TODAY()-LOOKUP(2,1/(AG303:AT303&lt;&gt;""),AG303:AT303))</t>
        </is>
      </c>
      <c r="AC303" s="38" t="inlineStr">
        <is>
          <t>IF(OR(E303="",COUNT(AG303:AT303)&lt;2),"",LOOKUP(2,1/(AG303:AT303&lt;&gt;""),AG303:AT303)-MIN(AG303:AT303))</t>
        </is>
      </c>
      <c r="AD303" s="38" t="inlineStr">
        <is>
          <t>IF(OR(AB303="",AA303="Not started",AA303=""),"",IFERROR(AB303-IF(VLOOKUP(AA303,'04_Status_Pipeline'!$B$3:$E$20,4,FALSE)="",0,VLOOKUP(AA303,'04_Status_Pipeline'!$B$3:$E$20,4,FALSE)),""))</t>
        </is>
      </c>
      <c r="AE303" s="32" t="inlineStr">
        <is>
          <t>IF(E303="","",IF(OR(Y303="Cancelled",AA303="Cancelled"),"Cancelled",IF(OR(AA303="Completed / Handover",W303&lt;&gt;"",X303&gt;=100),"Completed — on track",IF(L303="Remaining",IF(S303="",IF(V303="","No planned date",IF(TODAY()&gt;V303,"Behind — past planned date",IF(V303-TODAY()&lt;=30,"At risk — close to off track","On track"))),IF(TODAY()&gt;S303,"Behind — award date passed",IF(S303-TODAY()&lt;=30,"At risk — close to off track","On track"))),IF(V303="","No planned date",IF(AND(TODAY()&gt;V303,OR(X303="",X303&lt;100)),"Behind — past end date",IF(AND(R303&lt;&gt;"",V303&lt;&gt;"",X303&lt;&gt;"",(X303&lt;100),((TODAY()-R303)/MAX(V303-R303,1)*100)-X303&gt;15),"Behind — progress lag",IF(AND(V303-TODAY()&lt;=30,V303-TODAY()&gt;=0,OR(X303="",X303&lt;90)),"At risk — close to off track","On track"))))))))</t>
        </is>
      </c>
      <c r="AF303" s="38" t="inlineStr">
        <is>
          <t>IF(OR(E303="",AA303="Completed / Handover",AA303="Cancelled"),"",IF(L303="Remaining",IF(S303&lt;&gt;"",S303-TODAY(),IF(V303="","",V303-TODAY())),IF(V303="","",V303-TODAY())))</t>
        </is>
      </c>
      <c r="AG303" s="44" t="n"/>
      <c r="AH303" s="44" t="n"/>
      <c r="AI303" s="44" t="n"/>
      <c r="AJ303" s="44" t="n"/>
      <c r="AK303" s="44" t="n"/>
      <c r="AL303" s="44" t="n"/>
      <c r="AM303" s="44" t="n"/>
      <c r="AN303" s="44" t="n"/>
      <c r="AO303" s="44" t="n"/>
      <c r="AP303" s="44" t="n"/>
      <c r="AQ303" s="44" t="n"/>
      <c r="AR303" s="40" t="n"/>
      <c r="AS303" s="40" t="n"/>
      <c r="AT303" s="40" t="n"/>
      <c r="AU303" s="38" t="inlineStr">
        <is>
          <t>IF(OR(E303="",AH303=""),"",IF(COUNT(AG303:AG303)=0,"",AH303-LOOKUP(2,1/(AG303:AG303&lt;&gt;""),AG303:AG303)))</t>
        </is>
      </c>
      <c r="AV303" s="38" t="inlineStr">
        <is>
          <t>IF(OR(E303="",AI303=""),"",IF(COUNT(AG303:AH303)=0,"",AI303-LOOKUP(2,1/(AG303:AH303&lt;&gt;""),AG303:AH303)))</t>
        </is>
      </c>
      <c r="AW303" s="38" t="inlineStr">
        <is>
          <t>IF(OR(E303="",AJ303=""),"",IF(COUNT(AG303:AI303)=0,"",AJ303-LOOKUP(2,1/(AG303:AI303&lt;&gt;""),AG303:AI303)))</t>
        </is>
      </c>
      <c r="AX303" s="38" t="inlineStr">
        <is>
          <t>IF(OR(E303="",AK303=""),"",IF(COUNT(AG303:AJ303)=0,"",AK303-LOOKUP(2,1/(AG303:AJ303&lt;&gt;""),AG303:AJ303)))</t>
        </is>
      </c>
      <c r="AY303" s="38" t="inlineStr">
        <is>
          <t>IF(OR(E303="",AL303=""),"",IF(COUNT(AG303:AK303)=0,"",AL303-LOOKUP(2,1/(AG303:AK303&lt;&gt;""),AG303:AK303)))</t>
        </is>
      </c>
      <c r="AZ303" s="38" t="inlineStr">
        <is>
          <t>IF(OR(E303="",AM303=""),"",IF(COUNT(AG303:AL303)=0,"",AM303-LOOKUP(2,1/(AG303:AL303&lt;&gt;""),AG303:AL303)))</t>
        </is>
      </c>
      <c r="BA303" s="38" t="inlineStr">
        <is>
          <t>IF(OR(E303="",AN303=""),"",IF(COUNT(AG303:AM303)=0,"",AN303-LOOKUP(2,1/(AG303:AM303&lt;&gt;""),AG303:AM303)))</t>
        </is>
      </c>
      <c r="BB303" s="38" t="inlineStr">
        <is>
          <t>IF(OR(E303="",AO303=""),"",IF(COUNT(AG303:AN303)=0,"",AO303-LOOKUP(2,1/(AG303:AN303&lt;&gt;""),AG303:AN303)))</t>
        </is>
      </c>
      <c r="BC303" s="38" t="inlineStr">
        <is>
          <t>IF(OR(E303="",AP303=""),"",IF(COUNT(AG303:AO303)=0,"",AP303-LOOKUP(2,1/(AG303:AO303&lt;&gt;""),AG303:AO303)))</t>
        </is>
      </c>
      <c r="BD303" s="38" t="inlineStr">
        <is>
          <t>IF(OR(E303="",AQ303=""),"",IF(COUNT(AG303:AP303)=0,"",AQ303-LOOKUP(2,1/(AG303:AP303&lt;&gt;""),AG303:AP303)))</t>
        </is>
      </c>
      <c r="BE303" s="38" t="inlineStr">
        <is>
          <t>IF(OR(E303="",AR303=""),"",IF(COUNT(AG303:AQ303)=0,"",AR303-LOOKUP(2,1/(AG303:AQ303&lt;&gt;""),AG303:AQ303)))</t>
        </is>
      </c>
      <c r="BF303" s="38" t="inlineStr">
        <is>
          <t>IF(OR(E303="",AS303=""),"",IF(COUNT(AG303:AR303)=0,"",AS303-LOOKUP(2,1/(AG303:AR303&lt;&gt;""),AG303:AR303)))</t>
        </is>
      </c>
      <c r="BG303" s="38" t="inlineStr">
        <is>
          <t>IF(OR(E303="",AT303=""),"",IF(COUNT(AG303:AS303)=0,"",AT303-LOOKUP(2,1/(AG303:AS303&lt;&gt;""),AG303:AS303)))</t>
        </is>
      </c>
      <c r="BH303" s="41" t="inlineStr">
        <is>
          <t>IF(G303="","All_Provinces",IFERROR(VLOOKUP(G303,'07_Lookups'!$A$4:$B$20,2,FALSE),"All_Provinces"))</t>
        </is>
      </c>
      <c r="BI303" s="41" t="inlineStr">
        <is>
          <t>IF(H303="","All_Districts",IFERROR(VLOOKUP(H303,'07_Lookups'!$E$4:$F$42,2,FALSE),"All_Districts"))</t>
        </is>
      </c>
    </row>
    <row r="304" ht="18" customHeight="1">
      <c r="A304" s="32" t="inlineStr">
        <is>
          <t>IF(E304="","",ROW()-3)</t>
        </is>
      </c>
      <c r="B304" s="33" t="n"/>
      <c r="C304" s="33" t="n"/>
      <c r="D304" s="33" t="n"/>
      <c r="E304" s="33" t="n"/>
      <c r="F304" s="33" t="n"/>
      <c r="G304" s="33" t="n"/>
      <c r="H304" s="33" t="n"/>
      <c r="I304" s="33" t="n"/>
      <c r="J304" s="33" t="n"/>
      <c r="K304" s="33" t="n"/>
      <c r="L304" s="33" t="n"/>
      <c r="M304" s="33" t="n"/>
      <c r="N304" s="33" t="n"/>
      <c r="O304" s="33" t="n"/>
      <c r="P304" s="33" t="n"/>
      <c r="Q304" s="34" t="n"/>
      <c r="R304" s="35" t="inlineStr">
        <is>
          <t>IF(AO304="","",AO304)</t>
        </is>
      </c>
      <c r="S304" s="36" t="n"/>
      <c r="T304" s="37" t="n"/>
      <c r="U304" s="36" t="n"/>
      <c r="V304" s="35" t="inlineStr">
        <is>
          <t>IF(U304&lt;&gt;"",U304,IF(OR(R304="",T304=""),"",EDATE(R304,T304)))</t>
        </is>
      </c>
      <c r="W304" s="36" t="n"/>
      <c r="X304" s="37" t="n"/>
      <c r="Y304" s="33" t="n"/>
      <c r="Z304" s="33" t="n"/>
      <c r="AA304" s="32" t="inlineStr">
        <is>
          <t>IF(E304="","",IF(COUNT(AG304:AT304)=0,IF(Y304="","Not started",Y304),SUBSTITUTE(LOOKUP(2,1/(AG304:AT304&lt;&gt;""),$AG$3:$AT$3),"Date: ","")))</t>
        </is>
      </c>
      <c r="AB304" s="38" t="inlineStr">
        <is>
          <t>IF(OR(E304="",COUNT(AG304:AT304)=0),"",TODAY()-LOOKUP(2,1/(AG304:AT304&lt;&gt;""),AG304:AT304))</t>
        </is>
      </c>
      <c r="AC304" s="38" t="inlineStr">
        <is>
          <t>IF(OR(E304="",COUNT(AG304:AT304)&lt;2),"",LOOKUP(2,1/(AG304:AT304&lt;&gt;""),AG304:AT304)-MIN(AG304:AT304))</t>
        </is>
      </c>
      <c r="AD304" s="38" t="inlineStr">
        <is>
          <t>IF(OR(AB304="",AA304="Not started",AA304=""),"",IFERROR(AB304-IF(VLOOKUP(AA304,'04_Status_Pipeline'!$B$3:$E$20,4,FALSE)="",0,VLOOKUP(AA304,'04_Status_Pipeline'!$B$3:$E$20,4,FALSE)),""))</t>
        </is>
      </c>
      <c r="AE304" s="32" t="inlineStr">
        <is>
          <t>IF(E304="","",IF(OR(Y304="Cancelled",AA304="Cancelled"),"Cancelled",IF(OR(AA304="Completed / Handover",W304&lt;&gt;"",X304&gt;=100),"Completed — on track",IF(L304="Remaining",IF(S304="",IF(V304="","No planned date",IF(TODAY()&gt;V304,"Behind — past planned date",IF(V304-TODAY()&lt;=30,"At risk — close to off track","On track"))),IF(TODAY()&gt;S304,"Behind — award date passed",IF(S304-TODAY()&lt;=30,"At risk — close to off track","On track"))),IF(V304="","No planned date",IF(AND(TODAY()&gt;V304,OR(X304="",X304&lt;100)),"Behind — past end date",IF(AND(R304&lt;&gt;"",V304&lt;&gt;"",X304&lt;&gt;"",(X304&lt;100),((TODAY()-R304)/MAX(V304-R304,1)*100)-X304&gt;15),"Behind — progress lag",IF(AND(V304-TODAY()&lt;=30,V304-TODAY()&gt;=0,OR(X304="",X304&lt;90)),"At risk — close to off track","On track"))))))))</t>
        </is>
      </c>
      <c r="AF304" s="38" t="inlineStr">
        <is>
          <t>IF(OR(E304="",AA304="Completed / Handover",AA304="Cancelled"),"",IF(L304="Remaining",IF(S304&lt;&gt;"",S304-TODAY(),IF(V304="","",V304-TODAY())),IF(V304="","",V304-TODAY())))</t>
        </is>
      </c>
      <c r="AG304" s="36" t="n"/>
      <c r="AH304" s="36" t="n"/>
      <c r="AI304" s="36" t="n"/>
      <c r="AJ304" s="36" t="n"/>
      <c r="AK304" s="36" t="n"/>
      <c r="AL304" s="36" t="n"/>
      <c r="AM304" s="36" t="n"/>
      <c r="AN304" s="36" t="n"/>
      <c r="AO304" s="36" t="n"/>
      <c r="AP304" s="36" t="n"/>
      <c r="AQ304" s="36" t="n"/>
      <c r="AR304" s="40" t="n"/>
      <c r="AS304" s="40" t="n"/>
      <c r="AT304" s="40" t="n"/>
      <c r="AU304" s="38" t="inlineStr">
        <is>
          <t>IF(OR(E304="",AH304=""),"",IF(COUNT(AG304:AG304)=0,"",AH304-LOOKUP(2,1/(AG304:AG304&lt;&gt;""),AG304:AG304)))</t>
        </is>
      </c>
      <c r="AV304" s="38" t="inlineStr">
        <is>
          <t>IF(OR(E304="",AI304=""),"",IF(COUNT(AG304:AH304)=0,"",AI304-LOOKUP(2,1/(AG304:AH304&lt;&gt;""),AG304:AH304)))</t>
        </is>
      </c>
      <c r="AW304" s="38" t="inlineStr">
        <is>
          <t>IF(OR(E304="",AJ304=""),"",IF(COUNT(AG304:AI304)=0,"",AJ304-LOOKUP(2,1/(AG304:AI304&lt;&gt;""),AG304:AI304)))</t>
        </is>
      </c>
      <c r="AX304" s="38" t="inlineStr">
        <is>
          <t>IF(OR(E304="",AK304=""),"",IF(COUNT(AG304:AJ304)=0,"",AK304-LOOKUP(2,1/(AG304:AJ304&lt;&gt;""),AG304:AJ304)))</t>
        </is>
      </c>
      <c r="AY304" s="38" t="inlineStr">
        <is>
          <t>IF(OR(E304="",AL304=""),"",IF(COUNT(AG304:AK304)=0,"",AL304-LOOKUP(2,1/(AG304:AK304&lt;&gt;""),AG304:AK304)))</t>
        </is>
      </c>
      <c r="AZ304" s="38" t="inlineStr">
        <is>
          <t>IF(OR(E304="",AM304=""),"",IF(COUNT(AG304:AL304)=0,"",AM304-LOOKUP(2,1/(AG304:AL304&lt;&gt;""),AG304:AL304)))</t>
        </is>
      </c>
      <c r="BA304" s="38" t="inlineStr">
        <is>
          <t>IF(OR(E304="",AN304=""),"",IF(COUNT(AG304:AM304)=0,"",AN304-LOOKUP(2,1/(AG304:AM304&lt;&gt;""),AG304:AM304)))</t>
        </is>
      </c>
      <c r="BB304" s="38" t="inlineStr">
        <is>
          <t>IF(OR(E304="",AO304=""),"",IF(COUNT(AG304:AN304)=0,"",AO304-LOOKUP(2,1/(AG304:AN304&lt;&gt;""),AG304:AN304)))</t>
        </is>
      </c>
      <c r="BC304" s="38" t="inlineStr">
        <is>
          <t>IF(OR(E304="",AP304=""),"",IF(COUNT(AG304:AO304)=0,"",AP304-LOOKUP(2,1/(AG304:AO304&lt;&gt;""),AG304:AO304)))</t>
        </is>
      </c>
      <c r="BD304" s="38" t="inlineStr">
        <is>
          <t>IF(OR(E304="",AQ304=""),"",IF(COUNT(AG304:AP304)=0,"",AQ304-LOOKUP(2,1/(AG304:AP304&lt;&gt;""),AG304:AP304)))</t>
        </is>
      </c>
      <c r="BE304" s="38" t="inlineStr">
        <is>
          <t>IF(OR(E304="",AR304=""),"",IF(COUNT(AG304:AQ304)=0,"",AR304-LOOKUP(2,1/(AG304:AQ304&lt;&gt;""),AG304:AQ304)))</t>
        </is>
      </c>
      <c r="BF304" s="38" t="inlineStr">
        <is>
          <t>IF(OR(E304="",AS304=""),"",IF(COUNT(AG304:AR304)=0,"",AS304-LOOKUP(2,1/(AG304:AR304&lt;&gt;""),AG304:AR304)))</t>
        </is>
      </c>
      <c r="BG304" s="38" t="inlineStr">
        <is>
          <t>IF(OR(E304="",AT304=""),"",IF(COUNT(AG304:AS304)=0,"",AT304-LOOKUP(2,1/(AG304:AS304&lt;&gt;""),AG304:AS304)))</t>
        </is>
      </c>
      <c r="BH304" s="41" t="inlineStr">
        <is>
          <t>IF(G304="","All_Provinces",IFERROR(VLOOKUP(G304,'07_Lookups'!$A$4:$B$20,2,FALSE),"All_Provinces"))</t>
        </is>
      </c>
      <c r="BI304" s="41" t="inlineStr">
        <is>
          <t>IF(H304="","All_Districts",IFERROR(VLOOKUP(H304,'07_Lookups'!$E$4:$F$42,2,FALSE),"All_Districts"))</t>
        </is>
      </c>
    </row>
    <row r="305" ht="18" customHeight="1">
      <c r="A305" s="32" t="inlineStr">
        <is>
          <t>IF(E305="","",ROW()-3)</t>
        </is>
      </c>
      <c r="B305" s="42" t="n"/>
      <c r="C305" s="42" t="n"/>
      <c r="D305" s="42" t="n"/>
      <c r="E305" s="42" t="n"/>
      <c r="F305" s="42" t="n"/>
      <c r="G305" s="42" t="n"/>
      <c r="H305" s="42" t="n"/>
      <c r="I305" s="42" t="n"/>
      <c r="J305" s="42" t="n"/>
      <c r="K305" s="42" t="n"/>
      <c r="L305" s="42" t="n"/>
      <c r="M305" s="42" t="n"/>
      <c r="N305" s="42" t="n"/>
      <c r="O305" s="42" t="n"/>
      <c r="P305" s="42" t="n"/>
      <c r="Q305" s="43" t="n"/>
      <c r="R305" s="35" t="inlineStr">
        <is>
          <t>IF(AO305="","",AO305)</t>
        </is>
      </c>
      <c r="S305" s="44" t="n"/>
      <c r="T305" s="45" t="n"/>
      <c r="U305" s="44" t="n"/>
      <c r="V305" s="35" t="inlineStr">
        <is>
          <t>IF(U305&lt;&gt;"",U305,IF(OR(R305="",T305=""),"",EDATE(R305,T305)))</t>
        </is>
      </c>
      <c r="W305" s="44" t="n"/>
      <c r="X305" s="45" t="n"/>
      <c r="Y305" s="42" t="n"/>
      <c r="Z305" s="42" t="n"/>
      <c r="AA305" s="32" t="inlineStr">
        <is>
          <t>IF(E305="","",IF(COUNT(AG305:AT305)=0,IF(Y305="","Not started",Y305),SUBSTITUTE(LOOKUP(2,1/(AG305:AT305&lt;&gt;""),$AG$3:$AT$3),"Date: ","")))</t>
        </is>
      </c>
      <c r="AB305" s="38" t="inlineStr">
        <is>
          <t>IF(OR(E305="",COUNT(AG305:AT305)=0),"",TODAY()-LOOKUP(2,1/(AG305:AT305&lt;&gt;""),AG305:AT305))</t>
        </is>
      </c>
      <c r="AC305" s="38" t="inlineStr">
        <is>
          <t>IF(OR(E305="",COUNT(AG305:AT305)&lt;2),"",LOOKUP(2,1/(AG305:AT305&lt;&gt;""),AG305:AT305)-MIN(AG305:AT305))</t>
        </is>
      </c>
      <c r="AD305" s="38" t="inlineStr">
        <is>
          <t>IF(OR(AB305="",AA305="Not started",AA305=""),"",IFERROR(AB305-IF(VLOOKUP(AA305,'04_Status_Pipeline'!$B$3:$E$20,4,FALSE)="",0,VLOOKUP(AA305,'04_Status_Pipeline'!$B$3:$E$20,4,FALSE)),""))</t>
        </is>
      </c>
      <c r="AE305" s="32" t="inlineStr">
        <is>
          <t>IF(E305="","",IF(OR(Y305="Cancelled",AA305="Cancelled"),"Cancelled",IF(OR(AA305="Completed / Handover",W305&lt;&gt;"",X305&gt;=100),"Completed — on track",IF(L305="Remaining",IF(S305="",IF(V305="","No planned date",IF(TODAY()&gt;V305,"Behind — past planned date",IF(V305-TODAY()&lt;=30,"At risk — close to off track","On track"))),IF(TODAY()&gt;S305,"Behind — award date passed",IF(S305-TODAY()&lt;=30,"At risk — close to off track","On track"))),IF(V305="","No planned date",IF(AND(TODAY()&gt;V305,OR(X305="",X305&lt;100)),"Behind — past end date",IF(AND(R305&lt;&gt;"",V305&lt;&gt;"",X305&lt;&gt;"",(X305&lt;100),((TODAY()-R305)/MAX(V305-R305,1)*100)-X305&gt;15),"Behind — progress lag",IF(AND(V305-TODAY()&lt;=30,V305-TODAY()&gt;=0,OR(X305="",X305&lt;90)),"At risk — close to off track","On track"))))))))</t>
        </is>
      </c>
      <c r="AF305" s="38" t="inlineStr">
        <is>
          <t>IF(OR(E305="",AA305="Completed / Handover",AA305="Cancelled"),"",IF(L305="Remaining",IF(S305&lt;&gt;"",S305-TODAY(),IF(V305="","",V305-TODAY())),IF(V305="","",V305-TODAY())))</t>
        </is>
      </c>
      <c r="AG305" s="44" t="n"/>
      <c r="AH305" s="44" t="n"/>
      <c r="AI305" s="44" t="n"/>
      <c r="AJ305" s="44" t="n"/>
      <c r="AK305" s="44" t="n"/>
      <c r="AL305" s="44" t="n"/>
      <c r="AM305" s="44" t="n"/>
      <c r="AN305" s="44" t="n"/>
      <c r="AO305" s="44" t="n"/>
      <c r="AP305" s="44" t="n"/>
      <c r="AQ305" s="44" t="n"/>
      <c r="AR305" s="40" t="n"/>
      <c r="AS305" s="40" t="n"/>
      <c r="AT305" s="40" t="n"/>
      <c r="AU305" s="38" t="inlineStr">
        <is>
          <t>IF(OR(E305="",AH305=""),"",IF(COUNT(AG305:AG305)=0,"",AH305-LOOKUP(2,1/(AG305:AG305&lt;&gt;""),AG305:AG305)))</t>
        </is>
      </c>
      <c r="AV305" s="38" t="inlineStr">
        <is>
          <t>IF(OR(E305="",AI305=""),"",IF(COUNT(AG305:AH305)=0,"",AI305-LOOKUP(2,1/(AG305:AH305&lt;&gt;""),AG305:AH305)))</t>
        </is>
      </c>
      <c r="AW305" s="38" t="inlineStr">
        <is>
          <t>IF(OR(E305="",AJ305=""),"",IF(COUNT(AG305:AI305)=0,"",AJ305-LOOKUP(2,1/(AG305:AI305&lt;&gt;""),AG305:AI305)))</t>
        </is>
      </c>
      <c r="AX305" s="38" t="inlineStr">
        <is>
          <t>IF(OR(E305="",AK305=""),"",IF(COUNT(AG305:AJ305)=0,"",AK305-LOOKUP(2,1/(AG305:AJ305&lt;&gt;""),AG305:AJ305)))</t>
        </is>
      </c>
      <c r="AY305" s="38" t="inlineStr">
        <is>
          <t>IF(OR(E305="",AL305=""),"",IF(COUNT(AG305:AK305)=0,"",AL305-LOOKUP(2,1/(AG305:AK305&lt;&gt;""),AG305:AK305)))</t>
        </is>
      </c>
      <c r="AZ305" s="38" t="inlineStr">
        <is>
          <t>IF(OR(E305="",AM305=""),"",IF(COUNT(AG305:AL305)=0,"",AM305-LOOKUP(2,1/(AG305:AL305&lt;&gt;""),AG305:AL305)))</t>
        </is>
      </c>
      <c r="BA305" s="38" t="inlineStr">
        <is>
          <t>IF(OR(E305="",AN305=""),"",IF(COUNT(AG305:AM305)=0,"",AN305-LOOKUP(2,1/(AG305:AM305&lt;&gt;""),AG305:AM305)))</t>
        </is>
      </c>
      <c r="BB305" s="38" t="inlineStr">
        <is>
          <t>IF(OR(E305="",AO305=""),"",IF(COUNT(AG305:AN305)=0,"",AO305-LOOKUP(2,1/(AG305:AN305&lt;&gt;""),AG305:AN305)))</t>
        </is>
      </c>
      <c r="BC305" s="38" t="inlineStr">
        <is>
          <t>IF(OR(E305="",AP305=""),"",IF(COUNT(AG305:AO305)=0,"",AP305-LOOKUP(2,1/(AG305:AO305&lt;&gt;""),AG305:AO305)))</t>
        </is>
      </c>
      <c r="BD305" s="38" t="inlineStr">
        <is>
          <t>IF(OR(E305="",AQ305=""),"",IF(COUNT(AG305:AP305)=0,"",AQ305-LOOKUP(2,1/(AG305:AP305&lt;&gt;""),AG305:AP305)))</t>
        </is>
      </c>
      <c r="BE305" s="38" t="inlineStr">
        <is>
          <t>IF(OR(E305="",AR305=""),"",IF(COUNT(AG305:AQ305)=0,"",AR305-LOOKUP(2,1/(AG305:AQ305&lt;&gt;""),AG305:AQ305)))</t>
        </is>
      </c>
      <c r="BF305" s="38" t="inlineStr">
        <is>
          <t>IF(OR(E305="",AS305=""),"",IF(COUNT(AG305:AR305)=0,"",AS305-LOOKUP(2,1/(AG305:AR305&lt;&gt;""),AG305:AR305)))</t>
        </is>
      </c>
      <c r="BG305" s="38" t="inlineStr">
        <is>
          <t>IF(OR(E305="",AT305=""),"",IF(COUNT(AG305:AS305)=0,"",AT305-LOOKUP(2,1/(AG305:AS305&lt;&gt;""),AG305:AS305)))</t>
        </is>
      </c>
      <c r="BH305" s="41" t="inlineStr">
        <is>
          <t>IF(G305="","All_Provinces",IFERROR(VLOOKUP(G305,'07_Lookups'!$A$4:$B$20,2,FALSE),"All_Provinces"))</t>
        </is>
      </c>
      <c r="BI305" s="41" t="inlineStr">
        <is>
          <t>IF(H305="","All_Districts",IFERROR(VLOOKUP(H305,'07_Lookups'!$E$4:$F$42,2,FALSE),"All_Districts"))</t>
        </is>
      </c>
    </row>
    <row r="306" ht="18" customHeight="1">
      <c r="A306" s="32" t="inlineStr">
        <is>
          <t>IF(E306="","",ROW()-3)</t>
        </is>
      </c>
      <c r="B306" s="33" t="n"/>
      <c r="C306" s="33" t="n"/>
      <c r="D306" s="33" t="n"/>
      <c r="E306" s="33" t="n"/>
      <c r="F306" s="33" t="n"/>
      <c r="G306" s="33" t="n"/>
      <c r="H306" s="33" t="n"/>
      <c r="I306" s="33" t="n"/>
      <c r="J306" s="33" t="n"/>
      <c r="K306" s="33" t="n"/>
      <c r="L306" s="33" t="n"/>
      <c r="M306" s="33" t="n"/>
      <c r="N306" s="33" t="n"/>
      <c r="O306" s="33" t="n"/>
      <c r="P306" s="33" t="n"/>
      <c r="Q306" s="34" t="n"/>
      <c r="R306" s="35" t="inlineStr">
        <is>
          <t>IF(AO306="","",AO306)</t>
        </is>
      </c>
      <c r="S306" s="36" t="n"/>
      <c r="T306" s="37" t="n"/>
      <c r="U306" s="36" t="n"/>
      <c r="V306" s="35" t="inlineStr">
        <is>
          <t>IF(U306&lt;&gt;"",U306,IF(OR(R306="",T306=""),"",EDATE(R306,T306)))</t>
        </is>
      </c>
      <c r="W306" s="36" t="n"/>
      <c r="X306" s="37" t="n"/>
      <c r="Y306" s="33" t="n"/>
      <c r="Z306" s="33" t="n"/>
      <c r="AA306" s="32" t="inlineStr">
        <is>
          <t>IF(E306="","",IF(COUNT(AG306:AT306)=0,IF(Y306="","Not started",Y306),SUBSTITUTE(LOOKUP(2,1/(AG306:AT306&lt;&gt;""),$AG$3:$AT$3),"Date: ","")))</t>
        </is>
      </c>
      <c r="AB306" s="38" t="inlineStr">
        <is>
          <t>IF(OR(E306="",COUNT(AG306:AT306)=0),"",TODAY()-LOOKUP(2,1/(AG306:AT306&lt;&gt;""),AG306:AT306))</t>
        </is>
      </c>
      <c r="AC306" s="38" t="inlineStr">
        <is>
          <t>IF(OR(E306="",COUNT(AG306:AT306)&lt;2),"",LOOKUP(2,1/(AG306:AT306&lt;&gt;""),AG306:AT306)-MIN(AG306:AT306))</t>
        </is>
      </c>
      <c r="AD306" s="38" t="inlineStr">
        <is>
          <t>IF(OR(AB306="",AA306="Not started",AA306=""),"",IFERROR(AB306-IF(VLOOKUP(AA306,'04_Status_Pipeline'!$B$3:$E$20,4,FALSE)="",0,VLOOKUP(AA306,'04_Status_Pipeline'!$B$3:$E$20,4,FALSE)),""))</t>
        </is>
      </c>
      <c r="AE306" s="32" t="inlineStr">
        <is>
          <t>IF(E306="","",IF(OR(Y306="Cancelled",AA306="Cancelled"),"Cancelled",IF(OR(AA306="Completed / Handover",W306&lt;&gt;"",X306&gt;=100),"Completed — on track",IF(L306="Remaining",IF(S306="",IF(V306="","No planned date",IF(TODAY()&gt;V306,"Behind — past planned date",IF(V306-TODAY()&lt;=30,"At risk — close to off track","On track"))),IF(TODAY()&gt;S306,"Behind — award date passed",IF(S306-TODAY()&lt;=30,"At risk — close to off track","On track"))),IF(V306="","No planned date",IF(AND(TODAY()&gt;V306,OR(X306="",X306&lt;100)),"Behind — past end date",IF(AND(R306&lt;&gt;"",V306&lt;&gt;"",X306&lt;&gt;"",(X306&lt;100),((TODAY()-R306)/MAX(V306-R306,1)*100)-X306&gt;15),"Behind — progress lag",IF(AND(V306-TODAY()&lt;=30,V306-TODAY()&gt;=0,OR(X306="",X306&lt;90)),"At risk — close to off track","On track"))))))))</t>
        </is>
      </c>
      <c r="AF306" s="38" t="inlineStr">
        <is>
          <t>IF(OR(E306="",AA306="Completed / Handover",AA306="Cancelled"),"",IF(L306="Remaining",IF(S306&lt;&gt;"",S306-TODAY(),IF(V306="","",V306-TODAY())),IF(V306="","",V306-TODAY())))</t>
        </is>
      </c>
      <c r="AG306" s="36" t="n"/>
      <c r="AH306" s="36" t="n"/>
      <c r="AI306" s="36" t="n"/>
      <c r="AJ306" s="36" t="n"/>
      <c r="AK306" s="36" t="n"/>
      <c r="AL306" s="36" t="n"/>
      <c r="AM306" s="36" t="n"/>
      <c r="AN306" s="36" t="n"/>
      <c r="AO306" s="36" t="n"/>
      <c r="AP306" s="36" t="n"/>
      <c r="AQ306" s="36" t="n"/>
      <c r="AR306" s="40" t="n"/>
      <c r="AS306" s="40" t="n"/>
      <c r="AT306" s="40" t="n"/>
      <c r="AU306" s="38" t="inlineStr">
        <is>
          <t>IF(OR(E306="",AH306=""),"",IF(COUNT(AG306:AG306)=0,"",AH306-LOOKUP(2,1/(AG306:AG306&lt;&gt;""),AG306:AG306)))</t>
        </is>
      </c>
      <c r="AV306" s="38" t="inlineStr">
        <is>
          <t>IF(OR(E306="",AI306=""),"",IF(COUNT(AG306:AH306)=0,"",AI306-LOOKUP(2,1/(AG306:AH306&lt;&gt;""),AG306:AH306)))</t>
        </is>
      </c>
      <c r="AW306" s="38" t="inlineStr">
        <is>
          <t>IF(OR(E306="",AJ306=""),"",IF(COUNT(AG306:AI306)=0,"",AJ306-LOOKUP(2,1/(AG306:AI306&lt;&gt;""),AG306:AI306)))</t>
        </is>
      </c>
      <c r="AX306" s="38" t="inlineStr">
        <is>
          <t>IF(OR(E306="",AK306=""),"",IF(COUNT(AG306:AJ306)=0,"",AK306-LOOKUP(2,1/(AG306:AJ306&lt;&gt;""),AG306:AJ306)))</t>
        </is>
      </c>
      <c r="AY306" s="38" t="inlineStr">
        <is>
          <t>IF(OR(E306="",AL306=""),"",IF(COUNT(AG306:AK306)=0,"",AL306-LOOKUP(2,1/(AG306:AK306&lt;&gt;""),AG306:AK306)))</t>
        </is>
      </c>
      <c r="AZ306" s="38" t="inlineStr">
        <is>
          <t>IF(OR(E306="",AM306=""),"",IF(COUNT(AG306:AL306)=0,"",AM306-LOOKUP(2,1/(AG306:AL306&lt;&gt;""),AG306:AL306)))</t>
        </is>
      </c>
      <c r="BA306" s="38" t="inlineStr">
        <is>
          <t>IF(OR(E306="",AN306=""),"",IF(COUNT(AG306:AM306)=0,"",AN306-LOOKUP(2,1/(AG306:AM306&lt;&gt;""),AG306:AM306)))</t>
        </is>
      </c>
      <c r="BB306" s="38" t="inlineStr">
        <is>
          <t>IF(OR(E306="",AO306=""),"",IF(COUNT(AG306:AN306)=0,"",AO306-LOOKUP(2,1/(AG306:AN306&lt;&gt;""),AG306:AN306)))</t>
        </is>
      </c>
      <c r="BC306" s="38" t="inlineStr">
        <is>
          <t>IF(OR(E306="",AP306=""),"",IF(COUNT(AG306:AO306)=0,"",AP306-LOOKUP(2,1/(AG306:AO306&lt;&gt;""),AG306:AO306)))</t>
        </is>
      </c>
      <c r="BD306" s="38" t="inlineStr">
        <is>
          <t>IF(OR(E306="",AQ306=""),"",IF(COUNT(AG306:AP306)=0,"",AQ306-LOOKUP(2,1/(AG306:AP306&lt;&gt;""),AG306:AP306)))</t>
        </is>
      </c>
      <c r="BE306" s="38" t="inlineStr">
        <is>
          <t>IF(OR(E306="",AR306=""),"",IF(COUNT(AG306:AQ306)=0,"",AR306-LOOKUP(2,1/(AG306:AQ306&lt;&gt;""),AG306:AQ306)))</t>
        </is>
      </c>
      <c r="BF306" s="38" t="inlineStr">
        <is>
          <t>IF(OR(E306="",AS306=""),"",IF(COUNT(AG306:AR306)=0,"",AS306-LOOKUP(2,1/(AG306:AR306&lt;&gt;""),AG306:AR306)))</t>
        </is>
      </c>
      <c r="BG306" s="38" t="inlineStr">
        <is>
          <t>IF(OR(E306="",AT306=""),"",IF(COUNT(AG306:AS306)=0,"",AT306-LOOKUP(2,1/(AG306:AS306&lt;&gt;""),AG306:AS306)))</t>
        </is>
      </c>
      <c r="BH306" s="41" t="inlineStr">
        <is>
          <t>IF(G306="","All_Provinces",IFERROR(VLOOKUP(G306,'07_Lookups'!$A$4:$B$20,2,FALSE),"All_Provinces"))</t>
        </is>
      </c>
      <c r="BI306" s="41" t="inlineStr">
        <is>
          <t>IF(H306="","All_Districts",IFERROR(VLOOKUP(H306,'07_Lookups'!$E$4:$F$42,2,FALSE),"All_Districts"))</t>
        </is>
      </c>
    </row>
    <row r="307" ht="18" customHeight="1">
      <c r="A307" s="32" t="inlineStr">
        <is>
          <t>IF(E307="","",ROW()-3)</t>
        </is>
      </c>
      <c r="B307" s="42" t="n"/>
      <c r="C307" s="42" t="n"/>
      <c r="D307" s="42" t="n"/>
      <c r="E307" s="42" t="n"/>
      <c r="F307" s="42" t="n"/>
      <c r="G307" s="42" t="n"/>
      <c r="H307" s="42" t="n"/>
      <c r="I307" s="42" t="n"/>
      <c r="J307" s="42" t="n"/>
      <c r="K307" s="42" t="n"/>
      <c r="L307" s="42" t="n"/>
      <c r="M307" s="42" t="n"/>
      <c r="N307" s="42" t="n"/>
      <c r="O307" s="42" t="n"/>
      <c r="P307" s="42" t="n"/>
      <c r="Q307" s="43" t="n"/>
      <c r="R307" s="35" t="inlineStr">
        <is>
          <t>IF(AO307="","",AO307)</t>
        </is>
      </c>
      <c r="S307" s="44" t="n"/>
      <c r="T307" s="45" t="n"/>
      <c r="U307" s="44" t="n"/>
      <c r="V307" s="35" t="inlineStr">
        <is>
          <t>IF(U307&lt;&gt;"",U307,IF(OR(R307="",T307=""),"",EDATE(R307,T307)))</t>
        </is>
      </c>
      <c r="W307" s="44" t="n"/>
      <c r="X307" s="45" t="n"/>
      <c r="Y307" s="42" t="n"/>
      <c r="Z307" s="42" t="n"/>
      <c r="AA307" s="32" t="inlineStr">
        <is>
          <t>IF(E307="","",IF(COUNT(AG307:AT307)=0,IF(Y307="","Not started",Y307),SUBSTITUTE(LOOKUP(2,1/(AG307:AT307&lt;&gt;""),$AG$3:$AT$3),"Date: ","")))</t>
        </is>
      </c>
      <c r="AB307" s="38" t="inlineStr">
        <is>
          <t>IF(OR(E307="",COUNT(AG307:AT307)=0),"",TODAY()-LOOKUP(2,1/(AG307:AT307&lt;&gt;""),AG307:AT307))</t>
        </is>
      </c>
      <c r="AC307" s="38" t="inlineStr">
        <is>
          <t>IF(OR(E307="",COUNT(AG307:AT307)&lt;2),"",LOOKUP(2,1/(AG307:AT307&lt;&gt;""),AG307:AT307)-MIN(AG307:AT307))</t>
        </is>
      </c>
      <c r="AD307" s="38" t="inlineStr">
        <is>
          <t>IF(OR(AB307="",AA307="Not started",AA307=""),"",IFERROR(AB307-IF(VLOOKUP(AA307,'04_Status_Pipeline'!$B$3:$E$20,4,FALSE)="",0,VLOOKUP(AA307,'04_Status_Pipeline'!$B$3:$E$20,4,FALSE)),""))</t>
        </is>
      </c>
      <c r="AE307" s="32" t="inlineStr">
        <is>
          <t>IF(E307="","",IF(OR(Y307="Cancelled",AA307="Cancelled"),"Cancelled",IF(OR(AA307="Completed / Handover",W307&lt;&gt;"",X307&gt;=100),"Completed — on track",IF(L307="Remaining",IF(S307="",IF(V307="","No planned date",IF(TODAY()&gt;V307,"Behind — past planned date",IF(V307-TODAY()&lt;=30,"At risk — close to off track","On track"))),IF(TODAY()&gt;S307,"Behind — award date passed",IF(S307-TODAY()&lt;=30,"At risk — close to off track","On track"))),IF(V307="","No planned date",IF(AND(TODAY()&gt;V307,OR(X307="",X307&lt;100)),"Behind — past end date",IF(AND(R307&lt;&gt;"",V307&lt;&gt;"",X307&lt;&gt;"",(X307&lt;100),((TODAY()-R307)/MAX(V307-R307,1)*100)-X307&gt;15),"Behind — progress lag",IF(AND(V307-TODAY()&lt;=30,V307-TODAY()&gt;=0,OR(X307="",X307&lt;90)),"At risk — close to off track","On track"))))))))</t>
        </is>
      </c>
      <c r="AF307" s="38" t="inlineStr">
        <is>
          <t>IF(OR(E307="",AA307="Completed / Handover",AA307="Cancelled"),"",IF(L307="Remaining",IF(S307&lt;&gt;"",S307-TODAY(),IF(V307="","",V307-TODAY())),IF(V307="","",V307-TODAY())))</t>
        </is>
      </c>
      <c r="AG307" s="44" t="n"/>
      <c r="AH307" s="44" t="n"/>
      <c r="AI307" s="44" t="n"/>
      <c r="AJ307" s="44" t="n"/>
      <c r="AK307" s="44" t="n"/>
      <c r="AL307" s="44" t="n"/>
      <c r="AM307" s="44" t="n"/>
      <c r="AN307" s="44" t="n"/>
      <c r="AO307" s="44" t="n"/>
      <c r="AP307" s="44" t="n"/>
      <c r="AQ307" s="44" t="n"/>
      <c r="AR307" s="40" t="n"/>
      <c r="AS307" s="40" t="n"/>
      <c r="AT307" s="40" t="n"/>
      <c r="AU307" s="38" t="inlineStr">
        <is>
          <t>IF(OR(E307="",AH307=""),"",IF(COUNT(AG307:AG307)=0,"",AH307-LOOKUP(2,1/(AG307:AG307&lt;&gt;""),AG307:AG307)))</t>
        </is>
      </c>
      <c r="AV307" s="38" t="inlineStr">
        <is>
          <t>IF(OR(E307="",AI307=""),"",IF(COUNT(AG307:AH307)=0,"",AI307-LOOKUP(2,1/(AG307:AH307&lt;&gt;""),AG307:AH307)))</t>
        </is>
      </c>
      <c r="AW307" s="38" t="inlineStr">
        <is>
          <t>IF(OR(E307="",AJ307=""),"",IF(COUNT(AG307:AI307)=0,"",AJ307-LOOKUP(2,1/(AG307:AI307&lt;&gt;""),AG307:AI307)))</t>
        </is>
      </c>
      <c r="AX307" s="38" t="inlineStr">
        <is>
          <t>IF(OR(E307="",AK307=""),"",IF(COUNT(AG307:AJ307)=0,"",AK307-LOOKUP(2,1/(AG307:AJ307&lt;&gt;""),AG307:AJ307)))</t>
        </is>
      </c>
      <c r="AY307" s="38" t="inlineStr">
        <is>
          <t>IF(OR(E307="",AL307=""),"",IF(COUNT(AG307:AK307)=0,"",AL307-LOOKUP(2,1/(AG307:AK307&lt;&gt;""),AG307:AK307)))</t>
        </is>
      </c>
      <c r="AZ307" s="38" t="inlineStr">
        <is>
          <t>IF(OR(E307="",AM307=""),"",IF(COUNT(AG307:AL307)=0,"",AM307-LOOKUP(2,1/(AG307:AL307&lt;&gt;""),AG307:AL307)))</t>
        </is>
      </c>
      <c r="BA307" s="38" t="inlineStr">
        <is>
          <t>IF(OR(E307="",AN307=""),"",IF(COUNT(AG307:AM307)=0,"",AN307-LOOKUP(2,1/(AG307:AM307&lt;&gt;""),AG307:AM307)))</t>
        </is>
      </c>
      <c r="BB307" s="38" t="inlineStr">
        <is>
          <t>IF(OR(E307="",AO307=""),"",IF(COUNT(AG307:AN307)=0,"",AO307-LOOKUP(2,1/(AG307:AN307&lt;&gt;""),AG307:AN307)))</t>
        </is>
      </c>
      <c r="BC307" s="38" t="inlineStr">
        <is>
          <t>IF(OR(E307="",AP307=""),"",IF(COUNT(AG307:AO307)=0,"",AP307-LOOKUP(2,1/(AG307:AO307&lt;&gt;""),AG307:AO307)))</t>
        </is>
      </c>
      <c r="BD307" s="38" t="inlineStr">
        <is>
          <t>IF(OR(E307="",AQ307=""),"",IF(COUNT(AG307:AP307)=0,"",AQ307-LOOKUP(2,1/(AG307:AP307&lt;&gt;""),AG307:AP307)))</t>
        </is>
      </c>
      <c r="BE307" s="38" t="inlineStr">
        <is>
          <t>IF(OR(E307="",AR307=""),"",IF(COUNT(AG307:AQ307)=0,"",AR307-LOOKUP(2,1/(AG307:AQ307&lt;&gt;""),AG307:AQ307)))</t>
        </is>
      </c>
      <c r="BF307" s="38" t="inlineStr">
        <is>
          <t>IF(OR(E307="",AS307=""),"",IF(COUNT(AG307:AR307)=0,"",AS307-LOOKUP(2,1/(AG307:AR307&lt;&gt;""),AG307:AR307)))</t>
        </is>
      </c>
      <c r="BG307" s="38" t="inlineStr">
        <is>
          <t>IF(OR(E307="",AT307=""),"",IF(COUNT(AG307:AS307)=0,"",AT307-LOOKUP(2,1/(AG307:AS307&lt;&gt;""),AG307:AS307)))</t>
        </is>
      </c>
      <c r="BH307" s="41" t="inlineStr">
        <is>
          <t>IF(G307="","All_Provinces",IFERROR(VLOOKUP(G307,'07_Lookups'!$A$4:$B$20,2,FALSE),"All_Provinces"))</t>
        </is>
      </c>
      <c r="BI307" s="41" t="inlineStr">
        <is>
          <t>IF(H307="","All_Districts",IFERROR(VLOOKUP(H307,'07_Lookups'!$E$4:$F$42,2,FALSE),"All_Districts"))</t>
        </is>
      </c>
    </row>
    <row r="308" ht="18" customHeight="1">
      <c r="A308" s="32" t="inlineStr">
        <is>
          <t>IF(E308="","",ROW()-3)</t>
        </is>
      </c>
      <c r="B308" s="33" t="n"/>
      <c r="C308" s="33" t="n"/>
      <c r="D308" s="33" t="n"/>
      <c r="E308" s="33" t="n"/>
      <c r="F308" s="33" t="n"/>
      <c r="G308" s="33" t="n"/>
      <c r="H308" s="33" t="n"/>
      <c r="I308" s="33" t="n"/>
      <c r="J308" s="33" t="n"/>
      <c r="K308" s="33" t="n"/>
      <c r="L308" s="33" t="n"/>
      <c r="M308" s="33" t="n"/>
      <c r="N308" s="33" t="n"/>
      <c r="O308" s="33" t="n"/>
      <c r="P308" s="33" t="n"/>
      <c r="Q308" s="34" t="n"/>
      <c r="R308" s="35" t="inlineStr">
        <is>
          <t>IF(AO308="","",AO308)</t>
        </is>
      </c>
      <c r="S308" s="36" t="n"/>
      <c r="T308" s="37" t="n"/>
      <c r="U308" s="36" t="n"/>
      <c r="V308" s="35" t="inlineStr">
        <is>
          <t>IF(U308&lt;&gt;"",U308,IF(OR(R308="",T308=""),"",EDATE(R308,T308)))</t>
        </is>
      </c>
      <c r="W308" s="36" t="n"/>
      <c r="X308" s="37" t="n"/>
      <c r="Y308" s="33" t="n"/>
      <c r="Z308" s="33" t="n"/>
      <c r="AA308" s="32" t="inlineStr">
        <is>
          <t>IF(E308="","",IF(COUNT(AG308:AT308)=0,IF(Y308="","Not started",Y308),SUBSTITUTE(LOOKUP(2,1/(AG308:AT308&lt;&gt;""),$AG$3:$AT$3),"Date: ","")))</t>
        </is>
      </c>
      <c r="AB308" s="38" t="inlineStr">
        <is>
          <t>IF(OR(E308="",COUNT(AG308:AT308)=0),"",TODAY()-LOOKUP(2,1/(AG308:AT308&lt;&gt;""),AG308:AT308))</t>
        </is>
      </c>
      <c r="AC308" s="38" t="inlineStr">
        <is>
          <t>IF(OR(E308="",COUNT(AG308:AT308)&lt;2),"",LOOKUP(2,1/(AG308:AT308&lt;&gt;""),AG308:AT308)-MIN(AG308:AT308))</t>
        </is>
      </c>
      <c r="AD308" s="38" t="inlineStr">
        <is>
          <t>IF(OR(AB308="",AA308="Not started",AA308=""),"",IFERROR(AB308-IF(VLOOKUP(AA308,'04_Status_Pipeline'!$B$3:$E$20,4,FALSE)="",0,VLOOKUP(AA308,'04_Status_Pipeline'!$B$3:$E$20,4,FALSE)),""))</t>
        </is>
      </c>
      <c r="AE308" s="32" t="inlineStr">
        <is>
          <t>IF(E308="","",IF(OR(Y308="Cancelled",AA308="Cancelled"),"Cancelled",IF(OR(AA308="Completed / Handover",W308&lt;&gt;"",X308&gt;=100),"Completed — on track",IF(L308="Remaining",IF(S308="",IF(V308="","No planned date",IF(TODAY()&gt;V308,"Behind — past planned date",IF(V308-TODAY()&lt;=30,"At risk — close to off track","On track"))),IF(TODAY()&gt;S308,"Behind — award date passed",IF(S308-TODAY()&lt;=30,"At risk — close to off track","On track"))),IF(V308="","No planned date",IF(AND(TODAY()&gt;V308,OR(X308="",X308&lt;100)),"Behind — past end date",IF(AND(R308&lt;&gt;"",V308&lt;&gt;"",X308&lt;&gt;"",(X308&lt;100),((TODAY()-R308)/MAX(V308-R308,1)*100)-X308&gt;15),"Behind — progress lag",IF(AND(V308-TODAY()&lt;=30,V308-TODAY()&gt;=0,OR(X308="",X308&lt;90)),"At risk — close to off track","On track"))))))))</t>
        </is>
      </c>
      <c r="AF308" s="38" t="inlineStr">
        <is>
          <t>IF(OR(E308="",AA308="Completed / Handover",AA308="Cancelled"),"",IF(L308="Remaining",IF(S308&lt;&gt;"",S308-TODAY(),IF(V308="","",V308-TODAY())),IF(V308="","",V308-TODAY())))</t>
        </is>
      </c>
      <c r="AG308" s="36" t="n"/>
      <c r="AH308" s="36" t="n"/>
      <c r="AI308" s="36" t="n"/>
      <c r="AJ308" s="36" t="n"/>
      <c r="AK308" s="36" t="n"/>
      <c r="AL308" s="36" t="n"/>
      <c r="AM308" s="36" t="n"/>
      <c r="AN308" s="36" t="n"/>
      <c r="AO308" s="36" t="n"/>
      <c r="AP308" s="36" t="n"/>
      <c r="AQ308" s="36" t="n"/>
      <c r="AR308" s="40" t="n"/>
      <c r="AS308" s="40" t="n"/>
      <c r="AT308" s="40" t="n"/>
      <c r="AU308" s="38" t="inlineStr">
        <is>
          <t>IF(OR(E308="",AH308=""),"",IF(COUNT(AG308:AG308)=0,"",AH308-LOOKUP(2,1/(AG308:AG308&lt;&gt;""),AG308:AG308)))</t>
        </is>
      </c>
      <c r="AV308" s="38" t="inlineStr">
        <is>
          <t>IF(OR(E308="",AI308=""),"",IF(COUNT(AG308:AH308)=0,"",AI308-LOOKUP(2,1/(AG308:AH308&lt;&gt;""),AG308:AH308)))</t>
        </is>
      </c>
      <c r="AW308" s="38" t="inlineStr">
        <is>
          <t>IF(OR(E308="",AJ308=""),"",IF(COUNT(AG308:AI308)=0,"",AJ308-LOOKUP(2,1/(AG308:AI308&lt;&gt;""),AG308:AI308)))</t>
        </is>
      </c>
      <c r="AX308" s="38" t="inlineStr">
        <is>
          <t>IF(OR(E308="",AK308=""),"",IF(COUNT(AG308:AJ308)=0,"",AK308-LOOKUP(2,1/(AG308:AJ308&lt;&gt;""),AG308:AJ308)))</t>
        </is>
      </c>
      <c r="AY308" s="38" t="inlineStr">
        <is>
          <t>IF(OR(E308="",AL308=""),"",IF(COUNT(AG308:AK308)=0,"",AL308-LOOKUP(2,1/(AG308:AK308&lt;&gt;""),AG308:AK308)))</t>
        </is>
      </c>
      <c r="AZ308" s="38" t="inlineStr">
        <is>
          <t>IF(OR(E308="",AM308=""),"",IF(COUNT(AG308:AL308)=0,"",AM308-LOOKUP(2,1/(AG308:AL308&lt;&gt;""),AG308:AL308)))</t>
        </is>
      </c>
      <c r="BA308" s="38" t="inlineStr">
        <is>
          <t>IF(OR(E308="",AN308=""),"",IF(COUNT(AG308:AM308)=0,"",AN308-LOOKUP(2,1/(AG308:AM308&lt;&gt;""),AG308:AM308)))</t>
        </is>
      </c>
      <c r="BB308" s="38" t="inlineStr">
        <is>
          <t>IF(OR(E308="",AO308=""),"",IF(COUNT(AG308:AN308)=0,"",AO308-LOOKUP(2,1/(AG308:AN308&lt;&gt;""),AG308:AN308)))</t>
        </is>
      </c>
      <c r="BC308" s="38" t="inlineStr">
        <is>
          <t>IF(OR(E308="",AP308=""),"",IF(COUNT(AG308:AO308)=0,"",AP308-LOOKUP(2,1/(AG308:AO308&lt;&gt;""),AG308:AO308)))</t>
        </is>
      </c>
      <c r="BD308" s="38" t="inlineStr">
        <is>
          <t>IF(OR(E308="",AQ308=""),"",IF(COUNT(AG308:AP308)=0,"",AQ308-LOOKUP(2,1/(AG308:AP308&lt;&gt;""),AG308:AP308)))</t>
        </is>
      </c>
      <c r="BE308" s="38" t="inlineStr">
        <is>
          <t>IF(OR(E308="",AR308=""),"",IF(COUNT(AG308:AQ308)=0,"",AR308-LOOKUP(2,1/(AG308:AQ308&lt;&gt;""),AG308:AQ308)))</t>
        </is>
      </c>
      <c r="BF308" s="38" t="inlineStr">
        <is>
          <t>IF(OR(E308="",AS308=""),"",IF(COUNT(AG308:AR308)=0,"",AS308-LOOKUP(2,1/(AG308:AR308&lt;&gt;""),AG308:AR308)))</t>
        </is>
      </c>
      <c r="BG308" s="38" t="inlineStr">
        <is>
          <t>IF(OR(E308="",AT308=""),"",IF(COUNT(AG308:AS308)=0,"",AT308-LOOKUP(2,1/(AG308:AS308&lt;&gt;""),AG308:AS308)))</t>
        </is>
      </c>
      <c r="BH308" s="41" t="inlineStr">
        <is>
          <t>IF(G308="","All_Provinces",IFERROR(VLOOKUP(G308,'07_Lookups'!$A$4:$B$20,2,FALSE),"All_Provinces"))</t>
        </is>
      </c>
      <c r="BI308" s="41" t="inlineStr">
        <is>
          <t>IF(H308="","All_Districts",IFERROR(VLOOKUP(H308,'07_Lookups'!$E$4:$F$42,2,FALSE),"All_Districts"))</t>
        </is>
      </c>
    </row>
    <row r="309" ht="18" customHeight="1">
      <c r="A309" s="32" t="inlineStr">
        <is>
          <t>IF(E309="","",ROW()-3)</t>
        </is>
      </c>
      <c r="B309" s="42" t="n"/>
      <c r="C309" s="42" t="n"/>
      <c r="D309" s="42" t="n"/>
      <c r="E309" s="42" t="n"/>
      <c r="F309" s="42" t="n"/>
      <c r="G309" s="42" t="n"/>
      <c r="H309" s="42" t="n"/>
      <c r="I309" s="42" t="n"/>
      <c r="J309" s="42" t="n"/>
      <c r="K309" s="42" t="n"/>
      <c r="L309" s="42" t="n"/>
      <c r="M309" s="42" t="n"/>
      <c r="N309" s="42" t="n"/>
      <c r="O309" s="42" t="n"/>
      <c r="P309" s="42" t="n"/>
      <c r="Q309" s="43" t="n"/>
      <c r="R309" s="35" t="inlineStr">
        <is>
          <t>IF(AO309="","",AO309)</t>
        </is>
      </c>
      <c r="S309" s="44" t="n"/>
      <c r="T309" s="45" t="n"/>
      <c r="U309" s="44" t="n"/>
      <c r="V309" s="35" t="inlineStr">
        <is>
          <t>IF(U309&lt;&gt;"",U309,IF(OR(R309="",T309=""),"",EDATE(R309,T309)))</t>
        </is>
      </c>
      <c r="W309" s="44" t="n"/>
      <c r="X309" s="45" t="n"/>
      <c r="Y309" s="42" t="n"/>
      <c r="Z309" s="42" t="n"/>
      <c r="AA309" s="32" t="inlineStr">
        <is>
          <t>IF(E309="","",IF(COUNT(AG309:AT309)=0,IF(Y309="","Not started",Y309),SUBSTITUTE(LOOKUP(2,1/(AG309:AT309&lt;&gt;""),$AG$3:$AT$3),"Date: ","")))</t>
        </is>
      </c>
      <c r="AB309" s="38" t="inlineStr">
        <is>
          <t>IF(OR(E309="",COUNT(AG309:AT309)=0),"",TODAY()-LOOKUP(2,1/(AG309:AT309&lt;&gt;""),AG309:AT309))</t>
        </is>
      </c>
      <c r="AC309" s="38" t="inlineStr">
        <is>
          <t>IF(OR(E309="",COUNT(AG309:AT309)&lt;2),"",LOOKUP(2,1/(AG309:AT309&lt;&gt;""),AG309:AT309)-MIN(AG309:AT309))</t>
        </is>
      </c>
      <c r="AD309" s="38" t="inlineStr">
        <is>
          <t>IF(OR(AB309="",AA309="Not started",AA309=""),"",IFERROR(AB309-IF(VLOOKUP(AA309,'04_Status_Pipeline'!$B$3:$E$20,4,FALSE)="",0,VLOOKUP(AA309,'04_Status_Pipeline'!$B$3:$E$20,4,FALSE)),""))</t>
        </is>
      </c>
      <c r="AE309" s="32" t="inlineStr">
        <is>
          <t>IF(E309="","",IF(OR(Y309="Cancelled",AA309="Cancelled"),"Cancelled",IF(OR(AA309="Completed / Handover",W309&lt;&gt;"",X309&gt;=100),"Completed — on track",IF(L309="Remaining",IF(S309="",IF(V309="","No planned date",IF(TODAY()&gt;V309,"Behind — past planned date",IF(V309-TODAY()&lt;=30,"At risk — close to off track","On track"))),IF(TODAY()&gt;S309,"Behind — award date passed",IF(S309-TODAY()&lt;=30,"At risk — close to off track","On track"))),IF(V309="","No planned date",IF(AND(TODAY()&gt;V309,OR(X309="",X309&lt;100)),"Behind — past end date",IF(AND(R309&lt;&gt;"",V309&lt;&gt;"",X309&lt;&gt;"",(X309&lt;100),((TODAY()-R309)/MAX(V309-R309,1)*100)-X309&gt;15),"Behind — progress lag",IF(AND(V309-TODAY()&lt;=30,V309-TODAY()&gt;=0,OR(X309="",X309&lt;90)),"At risk — close to off track","On track"))))))))</t>
        </is>
      </c>
      <c r="AF309" s="38" t="inlineStr">
        <is>
          <t>IF(OR(E309="",AA309="Completed / Handover",AA309="Cancelled"),"",IF(L309="Remaining",IF(S309&lt;&gt;"",S309-TODAY(),IF(V309="","",V309-TODAY())),IF(V309="","",V309-TODAY())))</t>
        </is>
      </c>
      <c r="AG309" s="44" t="n"/>
      <c r="AH309" s="44" t="n"/>
      <c r="AI309" s="44" t="n"/>
      <c r="AJ309" s="44" t="n"/>
      <c r="AK309" s="44" t="n"/>
      <c r="AL309" s="44" t="n"/>
      <c r="AM309" s="44" t="n"/>
      <c r="AN309" s="44" t="n"/>
      <c r="AO309" s="44" t="n"/>
      <c r="AP309" s="44" t="n"/>
      <c r="AQ309" s="44" t="n"/>
      <c r="AR309" s="40" t="n"/>
      <c r="AS309" s="40" t="n"/>
      <c r="AT309" s="40" t="n"/>
      <c r="AU309" s="38" t="inlineStr">
        <is>
          <t>IF(OR(E309="",AH309=""),"",IF(COUNT(AG309:AG309)=0,"",AH309-LOOKUP(2,1/(AG309:AG309&lt;&gt;""),AG309:AG309)))</t>
        </is>
      </c>
      <c r="AV309" s="38" t="inlineStr">
        <is>
          <t>IF(OR(E309="",AI309=""),"",IF(COUNT(AG309:AH309)=0,"",AI309-LOOKUP(2,1/(AG309:AH309&lt;&gt;""),AG309:AH309)))</t>
        </is>
      </c>
      <c r="AW309" s="38" t="inlineStr">
        <is>
          <t>IF(OR(E309="",AJ309=""),"",IF(COUNT(AG309:AI309)=0,"",AJ309-LOOKUP(2,1/(AG309:AI309&lt;&gt;""),AG309:AI309)))</t>
        </is>
      </c>
      <c r="AX309" s="38" t="inlineStr">
        <is>
          <t>IF(OR(E309="",AK309=""),"",IF(COUNT(AG309:AJ309)=0,"",AK309-LOOKUP(2,1/(AG309:AJ309&lt;&gt;""),AG309:AJ309)))</t>
        </is>
      </c>
      <c r="AY309" s="38" t="inlineStr">
        <is>
          <t>IF(OR(E309="",AL309=""),"",IF(COUNT(AG309:AK309)=0,"",AL309-LOOKUP(2,1/(AG309:AK309&lt;&gt;""),AG309:AK309)))</t>
        </is>
      </c>
      <c r="AZ309" s="38" t="inlineStr">
        <is>
          <t>IF(OR(E309="",AM309=""),"",IF(COUNT(AG309:AL309)=0,"",AM309-LOOKUP(2,1/(AG309:AL309&lt;&gt;""),AG309:AL309)))</t>
        </is>
      </c>
      <c r="BA309" s="38" t="inlineStr">
        <is>
          <t>IF(OR(E309="",AN309=""),"",IF(COUNT(AG309:AM309)=0,"",AN309-LOOKUP(2,1/(AG309:AM309&lt;&gt;""),AG309:AM309)))</t>
        </is>
      </c>
      <c r="BB309" s="38" t="inlineStr">
        <is>
          <t>IF(OR(E309="",AO309=""),"",IF(COUNT(AG309:AN309)=0,"",AO309-LOOKUP(2,1/(AG309:AN309&lt;&gt;""),AG309:AN309)))</t>
        </is>
      </c>
      <c r="BC309" s="38" t="inlineStr">
        <is>
          <t>IF(OR(E309="",AP309=""),"",IF(COUNT(AG309:AO309)=0,"",AP309-LOOKUP(2,1/(AG309:AO309&lt;&gt;""),AG309:AO309)))</t>
        </is>
      </c>
      <c r="BD309" s="38" t="inlineStr">
        <is>
          <t>IF(OR(E309="",AQ309=""),"",IF(COUNT(AG309:AP309)=0,"",AQ309-LOOKUP(2,1/(AG309:AP309&lt;&gt;""),AG309:AP309)))</t>
        </is>
      </c>
      <c r="BE309" s="38" t="inlineStr">
        <is>
          <t>IF(OR(E309="",AR309=""),"",IF(COUNT(AG309:AQ309)=0,"",AR309-LOOKUP(2,1/(AG309:AQ309&lt;&gt;""),AG309:AQ309)))</t>
        </is>
      </c>
      <c r="BF309" s="38" t="inlineStr">
        <is>
          <t>IF(OR(E309="",AS309=""),"",IF(COUNT(AG309:AR309)=0,"",AS309-LOOKUP(2,1/(AG309:AR309&lt;&gt;""),AG309:AR309)))</t>
        </is>
      </c>
      <c r="BG309" s="38" t="inlineStr">
        <is>
          <t>IF(OR(E309="",AT309=""),"",IF(COUNT(AG309:AS309)=0,"",AT309-LOOKUP(2,1/(AG309:AS309&lt;&gt;""),AG309:AS309)))</t>
        </is>
      </c>
      <c r="BH309" s="41" t="inlineStr">
        <is>
          <t>IF(G309="","All_Provinces",IFERROR(VLOOKUP(G309,'07_Lookups'!$A$4:$B$20,2,FALSE),"All_Provinces"))</t>
        </is>
      </c>
      <c r="BI309" s="41" t="inlineStr">
        <is>
          <t>IF(H309="","All_Districts",IFERROR(VLOOKUP(H309,'07_Lookups'!$E$4:$F$42,2,FALSE),"All_Districts"))</t>
        </is>
      </c>
    </row>
    <row r="310" ht="18" customHeight="1">
      <c r="A310" s="32" t="inlineStr">
        <is>
          <t>IF(E310="","",ROW()-3)</t>
        </is>
      </c>
      <c r="B310" s="33" t="n"/>
      <c r="C310" s="33" t="n"/>
      <c r="D310" s="33" t="n"/>
      <c r="E310" s="33" t="n"/>
      <c r="F310" s="33" t="n"/>
      <c r="G310" s="33" t="n"/>
      <c r="H310" s="33" t="n"/>
      <c r="I310" s="33" t="n"/>
      <c r="J310" s="33" t="n"/>
      <c r="K310" s="33" t="n"/>
      <c r="L310" s="33" t="n"/>
      <c r="M310" s="33" t="n"/>
      <c r="N310" s="33" t="n"/>
      <c r="O310" s="33" t="n"/>
      <c r="P310" s="33" t="n"/>
      <c r="Q310" s="34" t="n"/>
      <c r="R310" s="35" t="inlineStr">
        <is>
          <t>IF(AO310="","",AO310)</t>
        </is>
      </c>
      <c r="S310" s="36" t="n"/>
      <c r="T310" s="37" t="n"/>
      <c r="U310" s="36" t="n"/>
      <c r="V310" s="35" t="inlineStr">
        <is>
          <t>IF(U310&lt;&gt;"",U310,IF(OR(R310="",T310=""),"",EDATE(R310,T310)))</t>
        </is>
      </c>
      <c r="W310" s="36" t="n"/>
      <c r="X310" s="37" t="n"/>
      <c r="Y310" s="33" t="n"/>
      <c r="Z310" s="33" t="n"/>
      <c r="AA310" s="32" t="inlineStr">
        <is>
          <t>IF(E310="","",IF(COUNT(AG310:AT310)=0,IF(Y310="","Not started",Y310),SUBSTITUTE(LOOKUP(2,1/(AG310:AT310&lt;&gt;""),$AG$3:$AT$3),"Date: ","")))</t>
        </is>
      </c>
      <c r="AB310" s="38" t="inlineStr">
        <is>
          <t>IF(OR(E310="",COUNT(AG310:AT310)=0),"",TODAY()-LOOKUP(2,1/(AG310:AT310&lt;&gt;""),AG310:AT310))</t>
        </is>
      </c>
      <c r="AC310" s="38" t="inlineStr">
        <is>
          <t>IF(OR(E310="",COUNT(AG310:AT310)&lt;2),"",LOOKUP(2,1/(AG310:AT310&lt;&gt;""),AG310:AT310)-MIN(AG310:AT310))</t>
        </is>
      </c>
      <c r="AD310" s="38" t="inlineStr">
        <is>
          <t>IF(OR(AB310="",AA310="Not started",AA310=""),"",IFERROR(AB310-IF(VLOOKUP(AA310,'04_Status_Pipeline'!$B$3:$E$20,4,FALSE)="",0,VLOOKUP(AA310,'04_Status_Pipeline'!$B$3:$E$20,4,FALSE)),""))</t>
        </is>
      </c>
      <c r="AE310" s="32" t="inlineStr">
        <is>
          <t>IF(E310="","",IF(OR(Y310="Cancelled",AA310="Cancelled"),"Cancelled",IF(OR(AA310="Completed / Handover",W310&lt;&gt;"",X310&gt;=100),"Completed — on track",IF(L310="Remaining",IF(S310="",IF(V310="","No planned date",IF(TODAY()&gt;V310,"Behind — past planned date",IF(V310-TODAY()&lt;=30,"At risk — close to off track","On track"))),IF(TODAY()&gt;S310,"Behind — award date passed",IF(S310-TODAY()&lt;=30,"At risk — close to off track","On track"))),IF(V310="","No planned date",IF(AND(TODAY()&gt;V310,OR(X310="",X310&lt;100)),"Behind — past end date",IF(AND(R310&lt;&gt;"",V310&lt;&gt;"",X310&lt;&gt;"",(X310&lt;100),((TODAY()-R310)/MAX(V310-R310,1)*100)-X310&gt;15),"Behind — progress lag",IF(AND(V310-TODAY()&lt;=30,V310-TODAY()&gt;=0,OR(X310="",X310&lt;90)),"At risk — close to off track","On track"))))))))</t>
        </is>
      </c>
      <c r="AF310" s="38" t="inlineStr">
        <is>
          <t>IF(OR(E310="",AA310="Completed / Handover",AA310="Cancelled"),"",IF(L310="Remaining",IF(S310&lt;&gt;"",S310-TODAY(),IF(V310="","",V310-TODAY())),IF(V310="","",V310-TODAY())))</t>
        </is>
      </c>
      <c r="AG310" s="36" t="n"/>
      <c r="AH310" s="36" t="n"/>
      <c r="AI310" s="36" t="n"/>
      <c r="AJ310" s="36" t="n"/>
      <c r="AK310" s="36" t="n"/>
      <c r="AL310" s="36" t="n"/>
      <c r="AM310" s="36" t="n"/>
      <c r="AN310" s="36" t="n"/>
      <c r="AO310" s="36" t="n"/>
      <c r="AP310" s="36" t="n"/>
      <c r="AQ310" s="36" t="n"/>
      <c r="AR310" s="40" t="n"/>
      <c r="AS310" s="40" t="n"/>
      <c r="AT310" s="40" t="n"/>
      <c r="AU310" s="38" t="inlineStr">
        <is>
          <t>IF(OR(E310="",AH310=""),"",IF(COUNT(AG310:AG310)=0,"",AH310-LOOKUP(2,1/(AG310:AG310&lt;&gt;""),AG310:AG310)))</t>
        </is>
      </c>
      <c r="AV310" s="38" t="inlineStr">
        <is>
          <t>IF(OR(E310="",AI310=""),"",IF(COUNT(AG310:AH310)=0,"",AI310-LOOKUP(2,1/(AG310:AH310&lt;&gt;""),AG310:AH310)))</t>
        </is>
      </c>
      <c r="AW310" s="38" t="inlineStr">
        <is>
          <t>IF(OR(E310="",AJ310=""),"",IF(COUNT(AG310:AI310)=0,"",AJ310-LOOKUP(2,1/(AG310:AI310&lt;&gt;""),AG310:AI310)))</t>
        </is>
      </c>
      <c r="AX310" s="38" t="inlineStr">
        <is>
          <t>IF(OR(E310="",AK310=""),"",IF(COUNT(AG310:AJ310)=0,"",AK310-LOOKUP(2,1/(AG310:AJ310&lt;&gt;""),AG310:AJ310)))</t>
        </is>
      </c>
      <c r="AY310" s="38" t="inlineStr">
        <is>
          <t>IF(OR(E310="",AL310=""),"",IF(COUNT(AG310:AK310)=0,"",AL310-LOOKUP(2,1/(AG310:AK310&lt;&gt;""),AG310:AK310)))</t>
        </is>
      </c>
      <c r="AZ310" s="38" t="inlineStr">
        <is>
          <t>IF(OR(E310="",AM310=""),"",IF(COUNT(AG310:AL310)=0,"",AM310-LOOKUP(2,1/(AG310:AL310&lt;&gt;""),AG310:AL310)))</t>
        </is>
      </c>
      <c r="BA310" s="38" t="inlineStr">
        <is>
          <t>IF(OR(E310="",AN310=""),"",IF(COUNT(AG310:AM310)=0,"",AN310-LOOKUP(2,1/(AG310:AM310&lt;&gt;""),AG310:AM310)))</t>
        </is>
      </c>
      <c r="BB310" s="38" t="inlineStr">
        <is>
          <t>IF(OR(E310="",AO310=""),"",IF(COUNT(AG310:AN310)=0,"",AO310-LOOKUP(2,1/(AG310:AN310&lt;&gt;""),AG310:AN310)))</t>
        </is>
      </c>
      <c r="BC310" s="38" t="inlineStr">
        <is>
          <t>IF(OR(E310="",AP310=""),"",IF(COUNT(AG310:AO310)=0,"",AP310-LOOKUP(2,1/(AG310:AO310&lt;&gt;""),AG310:AO310)))</t>
        </is>
      </c>
      <c r="BD310" s="38" t="inlineStr">
        <is>
          <t>IF(OR(E310="",AQ310=""),"",IF(COUNT(AG310:AP310)=0,"",AQ310-LOOKUP(2,1/(AG310:AP310&lt;&gt;""),AG310:AP310)))</t>
        </is>
      </c>
      <c r="BE310" s="38" t="inlineStr">
        <is>
          <t>IF(OR(E310="",AR310=""),"",IF(COUNT(AG310:AQ310)=0,"",AR310-LOOKUP(2,1/(AG310:AQ310&lt;&gt;""),AG310:AQ310)))</t>
        </is>
      </c>
      <c r="BF310" s="38" t="inlineStr">
        <is>
          <t>IF(OR(E310="",AS310=""),"",IF(COUNT(AG310:AR310)=0,"",AS310-LOOKUP(2,1/(AG310:AR310&lt;&gt;""),AG310:AR310)))</t>
        </is>
      </c>
      <c r="BG310" s="38" t="inlineStr">
        <is>
          <t>IF(OR(E310="",AT310=""),"",IF(COUNT(AG310:AS310)=0,"",AT310-LOOKUP(2,1/(AG310:AS310&lt;&gt;""),AG310:AS310)))</t>
        </is>
      </c>
      <c r="BH310" s="41" t="inlineStr">
        <is>
          <t>IF(G310="","All_Provinces",IFERROR(VLOOKUP(G310,'07_Lookups'!$A$4:$B$20,2,FALSE),"All_Provinces"))</t>
        </is>
      </c>
      <c r="BI310" s="41" t="inlineStr">
        <is>
          <t>IF(H310="","All_Districts",IFERROR(VLOOKUP(H310,'07_Lookups'!$E$4:$F$42,2,FALSE),"All_Districts"))</t>
        </is>
      </c>
    </row>
    <row r="311" ht="18" customHeight="1">
      <c r="A311" s="32" t="inlineStr">
        <is>
          <t>IF(E311="","",ROW()-3)</t>
        </is>
      </c>
      <c r="B311" s="42" t="n"/>
      <c r="C311" s="42" t="n"/>
      <c r="D311" s="42" t="n"/>
      <c r="E311" s="42" t="n"/>
      <c r="F311" s="42" t="n"/>
      <c r="G311" s="42" t="n"/>
      <c r="H311" s="42" t="n"/>
      <c r="I311" s="42" t="n"/>
      <c r="J311" s="42" t="n"/>
      <c r="K311" s="42" t="n"/>
      <c r="L311" s="42" t="n"/>
      <c r="M311" s="42" t="n"/>
      <c r="N311" s="42" t="n"/>
      <c r="O311" s="42" t="n"/>
      <c r="P311" s="42" t="n"/>
      <c r="Q311" s="43" t="n"/>
      <c r="R311" s="35" t="inlineStr">
        <is>
          <t>IF(AO311="","",AO311)</t>
        </is>
      </c>
      <c r="S311" s="44" t="n"/>
      <c r="T311" s="45" t="n"/>
      <c r="U311" s="44" t="n"/>
      <c r="V311" s="35" t="inlineStr">
        <is>
          <t>IF(U311&lt;&gt;"",U311,IF(OR(R311="",T311=""),"",EDATE(R311,T311)))</t>
        </is>
      </c>
      <c r="W311" s="44" t="n"/>
      <c r="X311" s="45" t="n"/>
      <c r="Y311" s="42" t="n"/>
      <c r="Z311" s="42" t="n"/>
      <c r="AA311" s="32" t="inlineStr">
        <is>
          <t>IF(E311="","",IF(COUNT(AG311:AT311)=0,IF(Y311="","Not started",Y311),SUBSTITUTE(LOOKUP(2,1/(AG311:AT311&lt;&gt;""),$AG$3:$AT$3),"Date: ","")))</t>
        </is>
      </c>
      <c r="AB311" s="38" t="inlineStr">
        <is>
          <t>IF(OR(E311="",COUNT(AG311:AT311)=0),"",TODAY()-LOOKUP(2,1/(AG311:AT311&lt;&gt;""),AG311:AT311))</t>
        </is>
      </c>
      <c r="AC311" s="38" t="inlineStr">
        <is>
          <t>IF(OR(E311="",COUNT(AG311:AT311)&lt;2),"",LOOKUP(2,1/(AG311:AT311&lt;&gt;""),AG311:AT311)-MIN(AG311:AT311))</t>
        </is>
      </c>
      <c r="AD311" s="38" t="inlineStr">
        <is>
          <t>IF(OR(AB311="",AA311="Not started",AA311=""),"",IFERROR(AB311-IF(VLOOKUP(AA311,'04_Status_Pipeline'!$B$3:$E$20,4,FALSE)="",0,VLOOKUP(AA311,'04_Status_Pipeline'!$B$3:$E$20,4,FALSE)),""))</t>
        </is>
      </c>
      <c r="AE311" s="32" t="inlineStr">
        <is>
          <t>IF(E311="","",IF(OR(Y311="Cancelled",AA311="Cancelled"),"Cancelled",IF(OR(AA311="Completed / Handover",W311&lt;&gt;"",X311&gt;=100),"Completed — on track",IF(L311="Remaining",IF(S311="",IF(V311="","No planned date",IF(TODAY()&gt;V311,"Behind — past planned date",IF(V311-TODAY()&lt;=30,"At risk — close to off track","On track"))),IF(TODAY()&gt;S311,"Behind — award date passed",IF(S311-TODAY()&lt;=30,"At risk — close to off track","On track"))),IF(V311="","No planned date",IF(AND(TODAY()&gt;V311,OR(X311="",X311&lt;100)),"Behind — past end date",IF(AND(R311&lt;&gt;"",V311&lt;&gt;"",X311&lt;&gt;"",(X311&lt;100),((TODAY()-R311)/MAX(V311-R311,1)*100)-X311&gt;15),"Behind — progress lag",IF(AND(V311-TODAY()&lt;=30,V311-TODAY()&gt;=0,OR(X311="",X311&lt;90)),"At risk — close to off track","On track"))))))))</t>
        </is>
      </c>
      <c r="AF311" s="38" t="inlineStr">
        <is>
          <t>IF(OR(E311="",AA311="Completed / Handover",AA311="Cancelled"),"",IF(L311="Remaining",IF(S311&lt;&gt;"",S311-TODAY(),IF(V311="","",V311-TODAY())),IF(V311="","",V311-TODAY())))</t>
        </is>
      </c>
      <c r="AG311" s="44" t="n"/>
      <c r="AH311" s="44" t="n"/>
      <c r="AI311" s="44" t="n"/>
      <c r="AJ311" s="44" t="n"/>
      <c r="AK311" s="44" t="n"/>
      <c r="AL311" s="44" t="n"/>
      <c r="AM311" s="44" t="n"/>
      <c r="AN311" s="44" t="n"/>
      <c r="AO311" s="44" t="n"/>
      <c r="AP311" s="44" t="n"/>
      <c r="AQ311" s="44" t="n"/>
      <c r="AR311" s="40" t="n"/>
      <c r="AS311" s="40" t="n"/>
      <c r="AT311" s="40" t="n"/>
      <c r="AU311" s="38" t="inlineStr">
        <is>
          <t>IF(OR(E311="",AH311=""),"",IF(COUNT(AG311:AG311)=0,"",AH311-LOOKUP(2,1/(AG311:AG311&lt;&gt;""),AG311:AG311)))</t>
        </is>
      </c>
      <c r="AV311" s="38" t="inlineStr">
        <is>
          <t>IF(OR(E311="",AI311=""),"",IF(COUNT(AG311:AH311)=0,"",AI311-LOOKUP(2,1/(AG311:AH311&lt;&gt;""),AG311:AH311)))</t>
        </is>
      </c>
      <c r="AW311" s="38" t="inlineStr">
        <is>
          <t>IF(OR(E311="",AJ311=""),"",IF(COUNT(AG311:AI311)=0,"",AJ311-LOOKUP(2,1/(AG311:AI311&lt;&gt;""),AG311:AI311)))</t>
        </is>
      </c>
      <c r="AX311" s="38" t="inlineStr">
        <is>
          <t>IF(OR(E311="",AK311=""),"",IF(COUNT(AG311:AJ311)=0,"",AK311-LOOKUP(2,1/(AG311:AJ311&lt;&gt;""),AG311:AJ311)))</t>
        </is>
      </c>
      <c r="AY311" s="38" t="inlineStr">
        <is>
          <t>IF(OR(E311="",AL311=""),"",IF(COUNT(AG311:AK311)=0,"",AL311-LOOKUP(2,1/(AG311:AK311&lt;&gt;""),AG311:AK311)))</t>
        </is>
      </c>
      <c r="AZ311" s="38" t="inlineStr">
        <is>
          <t>IF(OR(E311="",AM311=""),"",IF(COUNT(AG311:AL311)=0,"",AM311-LOOKUP(2,1/(AG311:AL311&lt;&gt;""),AG311:AL311)))</t>
        </is>
      </c>
      <c r="BA311" s="38" t="inlineStr">
        <is>
          <t>IF(OR(E311="",AN311=""),"",IF(COUNT(AG311:AM311)=0,"",AN311-LOOKUP(2,1/(AG311:AM311&lt;&gt;""),AG311:AM311)))</t>
        </is>
      </c>
      <c r="BB311" s="38" t="inlineStr">
        <is>
          <t>IF(OR(E311="",AO311=""),"",IF(COUNT(AG311:AN311)=0,"",AO311-LOOKUP(2,1/(AG311:AN311&lt;&gt;""),AG311:AN311)))</t>
        </is>
      </c>
      <c r="BC311" s="38" t="inlineStr">
        <is>
          <t>IF(OR(E311="",AP311=""),"",IF(COUNT(AG311:AO311)=0,"",AP311-LOOKUP(2,1/(AG311:AO311&lt;&gt;""),AG311:AO311)))</t>
        </is>
      </c>
      <c r="BD311" s="38" t="inlineStr">
        <is>
          <t>IF(OR(E311="",AQ311=""),"",IF(COUNT(AG311:AP311)=0,"",AQ311-LOOKUP(2,1/(AG311:AP311&lt;&gt;""),AG311:AP311)))</t>
        </is>
      </c>
      <c r="BE311" s="38" t="inlineStr">
        <is>
          <t>IF(OR(E311="",AR311=""),"",IF(COUNT(AG311:AQ311)=0,"",AR311-LOOKUP(2,1/(AG311:AQ311&lt;&gt;""),AG311:AQ311)))</t>
        </is>
      </c>
      <c r="BF311" s="38" t="inlineStr">
        <is>
          <t>IF(OR(E311="",AS311=""),"",IF(COUNT(AG311:AR311)=0,"",AS311-LOOKUP(2,1/(AG311:AR311&lt;&gt;""),AG311:AR311)))</t>
        </is>
      </c>
      <c r="BG311" s="38" t="inlineStr">
        <is>
          <t>IF(OR(E311="",AT311=""),"",IF(COUNT(AG311:AS311)=0,"",AT311-LOOKUP(2,1/(AG311:AS311&lt;&gt;""),AG311:AS311)))</t>
        </is>
      </c>
      <c r="BH311" s="41" t="inlineStr">
        <is>
          <t>IF(G311="","All_Provinces",IFERROR(VLOOKUP(G311,'07_Lookups'!$A$4:$B$20,2,FALSE),"All_Provinces"))</t>
        </is>
      </c>
      <c r="BI311" s="41" t="inlineStr">
        <is>
          <t>IF(H311="","All_Districts",IFERROR(VLOOKUP(H311,'07_Lookups'!$E$4:$F$42,2,FALSE),"All_Districts"))</t>
        </is>
      </c>
    </row>
    <row r="312" ht="18" customHeight="1">
      <c r="A312" s="32" t="inlineStr">
        <is>
          <t>IF(E312="","",ROW()-3)</t>
        </is>
      </c>
      <c r="B312" s="33" t="n"/>
      <c r="C312" s="33" t="n"/>
      <c r="D312" s="33" t="n"/>
      <c r="E312" s="33" t="n"/>
      <c r="F312" s="33" t="n"/>
      <c r="G312" s="33" t="n"/>
      <c r="H312" s="33" t="n"/>
      <c r="I312" s="33" t="n"/>
      <c r="J312" s="33" t="n"/>
      <c r="K312" s="33" t="n"/>
      <c r="L312" s="33" t="n"/>
      <c r="M312" s="33" t="n"/>
      <c r="N312" s="33" t="n"/>
      <c r="O312" s="33" t="n"/>
      <c r="P312" s="33" t="n"/>
      <c r="Q312" s="34" t="n"/>
      <c r="R312" s="35" t="inlineStr">
        <is>
          <t>IF(AO312="","",AO312)</t>
        </is>
      </c>
      <c r="S312" s="36" t="n"/>
      <c r="T312" s="37" t="n"/>
      <c r="U312" s="36" t="n"/>
      <c r="V312" s="35" t="inlineStr">
        <is>
          <t>IF(U312&lt;&gt;"",U312,IF(OR(R312="",T312=""),"",EDATE(R312,T312)))</t>
        </is>
      </c>
      <c r="W312" s="36" t="n"/>
      <c r="X312" s="37" t="n"/>
      <c r="Y312" s="33" t="n"/>
      <c r="Z312" s="33" t="n"/>
      <c r="AA312" s="32" t="inlineStr">
        <is>
          <t>IF(E312="","",IF(COUNT(AG312:AT312)=0,IF(Y312="","Not started",Y312),SUBSTITUTE(LOOKUP(2,1/(AG312:AT312&lt;&gt;""),$AG$3:$AT$3),"Date: ","")))</t>
        </is>
      </c>
      <c r="AB312" s="38" t="inlineStr">
        <is>
          <t>IF(OR(E312="",COUNT(AG312:AT312)=0),"",TODAY()-LOOKUP(2,1/(AG312:AT312&lt;&gt;""),AG312:AT312))</t>
        </is>
      </c>
      <c r="AC312" s="38" t="inlineStr">
        <is>
          <t>IF(OR(E312="",COUNT(AG312:AT312)&lt;2),"",LOOKUP(2,1/(AG312:AT312&lt;&gt;""),AG312:AT312)-MIN(AG312:AT312))</t>
        </is>
      </c>
      <c r="AD312" s="38" t="inlineStr">
        <is>
          <t>IF(OR(AB312="",AA312="Not started",AA312=""),"",IFERROR(AB312-IF(VLOOKUP(AA312,'04_Status_Pipeline'!$B$3:$E$20,4,FALSE)="",0,VLOOKUP(AA312,'04_Status_Pipeline'!$B$3:$E$20,4,FALSE)),""))</t>
        </is>
      </c>
      <c r="AE312" s="32" t="inlineStr">
        <is>
          <t>IF(E312="","",IF(OR(Y312="Cancelled",AA312="Cancelled"),"Cancelled",IF(OR(AA312="Completed / Handover",W312&lt;&gt;"",X312&gt;=100),"Completed — on track",IF(L312="Remaining",IF(S312="",IF(V312="","No planned date",IF(TODAY()&gt;V312,"Behind — past planned date",IF(V312-TODAY()&lt;=30,"At risk — close to off track","On track"))),IF(TODAY()&gt;S312,"Behind — award date passed",IF(S312-TODAY()&lt;=30,"At risk — close to off track","On track"))),IF(V312="","No planned date",IF(AND(TODAY()&gt;V312,OR(X312="",X312&lt;100)),"Behind — past end date",IF(AND(R312&lt;&gt;"",V312&lt;&gt;"",X312&lt;&gt;"",(X312&lt;100),((TODAY()-R312)/MAX(V312-R312,1)*100)-X312&gt;15),"Behind — progress lag",IF(AND(V312-TODAY()&lt;=30,V312-TODAY()&gt;=0,OR(X312="",X312&lt;90)),"At risk — close to off track","On track"))))))))</t>
        </is>
      </c>
      <c r="AF312" s="38" t="inlineStr">
        <is>
          <t>IF(OR(E312="",AA312="Completed / Handover",AA312="Cancelled"),"",IF(L312="Remaining",IF(S312&lt;&gt;"",S312-TODAY(),IF(V312="","",V312-TODAY())),IF(V312="","",V312-TODAY())))</t>
        </is>
      </c>
      <c r="AG312" s="36" t="n"/>
      <c r="AH312" s="36" t="n"/>
      <c r="AI312" s="36" t="n"/>
      <c r="AJ312" s="36" t="n"/>
      <c r="AK312" s="36" t="n"/>
      <c r="AL312" s="36" t="n"/>
      <c r="AM312" s="36" t="n"/>
      <c r="AN312" s="36" t="n"/>
      <c r="AO312" s="36" t="n"/>
      <c r="AP312" s="36" t="n"/>
      <c r="AQ312" s="36" t="n"/>
      <c r="AR312" s="40" t="n"/>
      <c r="AS312" s="40" t="n"/>
      <c r="AT312" s="40" t="n"/>
      <c r="AU312" s="38" t="inlineStr">
        <is>
          <t>IF(OR(E312="",AH312=""),"",IF(COUNT(AG312:AG312)=0,"",AH312-LOOKUP(2,1/(AG312:AG312&lt;&gt;""),AG312:AG312)))</t>
        </is>
      </c>
      <c r="AV312" s="38" t="inlineStr">
        <is>
          <t>IF(OR(E312="",AI312=""),"",IF(COUNT(AG312:AH312)=0,"",AI312-LOOKUP(2,1/(AG312:AH312&lt;&gt;""),AG312:AH312)))</t>
        </is>
      </c>
      <c r="AW312" s="38" t="inlineStr">
        <is>
          <t>IF(OR(E312="",AJ312=""),"",IF(COUNT(AG312:AI312)=0,"",AJ312-LOOKUP(2,1/(AG312:AI312&lt;&gt;""),AG312:AI312)))</t>
        </is>
      </c>
      <c r="AX312" s="38" t="inlineStr">
        <is>
          <t>IF(OR(E312="",AK312=""),"",IF(COUNT(AG312:AJ312)=0,"",AK312-LOOKUP(2,1/(AG312:AJ312&lt;&gt;""),AG312:AJ312)))</t>
        </is>
      </c>
      <c r="AY312" s="38" t="inlineStr">
        <is>
          <t>IF(OR(E312="",AL312=""),"",IF(COUNT(AG312:AK312)=0,"",AL312-LOOKUP(2,1/(AG312:AK312&lt;&gt;""),AG312:AK312)))</t>
        </is>
      </c>
      <c r="AZ312" s="38" t="inlineStr">
        <is>
          <t>IF(OR(E312="",AM312=""),"",IF(COUNT(AG312:AL312)=0,"",AM312-LOOKUP(2,1/(AG312:AL312&lt;&gt;""),AG312:AL312)))</t>
        </is>
      </c>
      <c r="BA312" s="38" t="inlineStr">
        <is>
          <t>IF(OR(E312="",AN312=""),"",IF(COUNT(AG312:AM312)=0,"",AN312-LOOKUP(2,1/(AG312:AM312&lt;&gt;""),AG312:AM312)))</t>
        </is>
      </c>
      <c r="BB312" s="38" t="inlineStr">
        <is>
          <t>IF(OR(E312="",AO312=""),"",IF(COUNT(AG312:AN312)=0,"",AO312-LOOKUP(2,1/(AG312:AN312&lt;&gt;""),AG312:AN312)))</t>
        </is>
      </c>
      <c r="BC312" s="38" t="inlineStr">
        <is>
          <t>IF(OR(E312="",AP312=""),"",IF(COUNT(AG312:AO312)=0,"",AP312-LOOKUP(2,1/(AG312:AO312&lt;&gt;""),AG312:AO312)))</t>
        </is>
      </c>
      <c r="BD312" s="38" t="inlineStr">
        <is>
          <t>IF(OR(E312="",AQ312=""),"",IF(COUNT(AG312:AP312)=0,"",AQ312-LOOKUP(2,1/(AG312:AP312&lt;&gt;""),AG312:AP312)))</t>
        </is>
      </c>
      <c r="BE312" s="38" t="inlineStr">
        <is>
          <t>IF(OR(E312="",AR312=""),"",IF(COUNT(AG312:AQ312)=0,"",AR312-LOOKUP(2,1/(AG312:AQ312&lt;&gt;""),AG312:AQ312)))</t>
        </is>
      </c>
      <c r="BF312" s="38" t="inlineStr">
        <is>
          <t>IF(OR(E312="",AS312=""),"",IF(COUNT(AG312:AR312)=0,"",AS312-LOOKUP(2,1/(AG312:AR312&lt;&gt;""),AG312:AR312)))</t>
        </is>
      </c>
      <c r="BG312" s="38" t="inlineStr">
        <is>
          <t>IF(OR(E312="",AT312=""),"",IF(COUNT(AG312:AS312)=0,"",AT312-LOOKUP(2,1/(AG312:AS312&lt;&gt;""),AG312:AS312)))</t>
        </is>
      </c>
      <c r="BH312" s="41" t="inlineStr">
        <is>
          <t>IF(G312="","All_Provinces",IFERROR(VLOOKUP(G312,'07_Lookups'!$A$4:$B$20,2,FALSE),"All_Provinces"))</t>
        </is>
      </c>
      <c r="BI312" s="41" t="inlineStr">
        <is>
          <t>IF(H312="","All_Districts",IFERROR(VLOOKUP(H312,'07_Lookups'!$E$4:$F$42,2,FALSE),"All_Districts"))</t>
        </is>
      </c>
    </row>
    <row r="313" ht="18" customHeight="1">
      <c r="A313" s="32" t="inlineStr">
        <is>
          <t>IF(E313="","",ROW()-3)</t>
        </is>
      </c>
      <c r="B313" s="42" t="n"/>
      <c r="C313" s="42" t="n"/>
      <c r="D313" s="42" t="n"/>
      <c r="E313" s="42" t="n"/>
      <c r="F313" s="42" t="n"/>
      <c r="G313" s="42" t="n"/>
      <c r="H313" s="42" t="n"/>
      <c r="I313" s="42" t="n"/>
      <c r="J313" s="42" t="n"/>
      <c r="K313" s="42" t="n"/>
      <c r="L313" s="42" t="n"/>
      <c r="M313" s="42" t="n"/>
      <c r="N313" s="42" t="n"/>
      <c r="O313" s="42" t="n"/>
      <c r="P313" s="42" t="n"/>
      <c r="Q313" s="43" t="n"/>
      <c r="R313" s="35" t="inlineStr">
        <is>
          <t>IF(AO313="","",AO313)</t>
        </is>
      </c>
      <c r="S313" s="44" t="n"/>
      <c r="T313" s="45" t="n"/>
      <c r="U313" s="44" t="n"/>
      <c r="V313" s="35" t="inlineStr">
        <is>
          <t>IF(U313&lt;&gt;"",U313,IF(OR(R313="",T313=""),"",EDATE(R313,T313)))</t>
        </is>
      </c>
      <c r="W313" s="44" t="n"/>
      <c r="X313" s="45" t="n"/>
      <c r="Y313" s="42" t="n"/>
      <c r="Z313" s="42" t="n"/>
      <c r="AA313" s="32" t="inlineStr">
        <is>
          <t>IF(E313="","",IF(COUNT(AG313:AT313)=0,IF(Y313="","Not started",Y313),SUBSTITUTE(LOOKUP(2,1/(AG313:AT313&lt;&gt;""),$AG$3:$AT$3),"Date: ","")))</t>
        </is>
      </c>
      <c r="AB313" s="38" t="inlineStr">
        <is>
          <t>IF(OR(E313="",COUNT(AG313:AT313)=0),"",TODAY()-LOOKUP(2,1/(AG313:AT313&lt;&gt;""),AG313:AT313))</t>
        </is>
      </c>
      <c r="AC313" s="38" t="inlineStr">
        <is>
          <t>IF(OR(E313="",COUNT(AG313:AT313)&lt;2),"",LOOKUP(2,1/(AG313:AT313&lt;&gt;""),AG313:AT313)-MIN(AG313:AT313))</t>
        </is>
      </c>
      <c r="AD313" s="38" t="inlineStr">
        <is>
          <t>IF(OR(AB313="",AA313="Not started",AA313=""),"",IFERROR(AB313-IF(VLOOKUP(AA313,'04_Status_Pipeline'!$B$3:$E$20,4,FALSE)="",0,VLOOKUP(AA313,'04_Status_Pipeline'!$B$3:$E$20,4,FALSE)),""))</t>
        </is>
      </c>
      <c r="AE313" s="32" t="inlineStr">
        <is>
          <t>IF(E313="","",IF(OR(Y313="Cancelled",AA313="Cancelled"),"Cancelled",IF(OR(AA313="Completed / Handover",W313&lt;&gt;"",X313&gt;=100),"Completed — on track",IF(L313="Remaining",IF(S313="",IF(V313="","No planned date",IF(TODAY()&gt;V313,"Behind — past planned date",IF(V313-TODAY()&lt;=30,"At risk — close to off track","On track"))),IF(TODAY()&gt;S313,"Behind — award date passed",IF(S313-TODAY()&lt;=30,"At risk — close to off track","On track"))),IF(V313="","No planned date",IF(AND(TODAY()&gt;V313,OR(X313="",X313&lt;100)),"Behind — past end date",IF(AND(R313&lt;&gt;"",V313&lt;&gt;"",X313&lt;&gt;"",(X313&lt;100),((TODAY()-R313)/MAX(V313-R313,1)*100)-X313&gt;15),"Behind — progress lag",IF(AND(V313-TODAY()&lt;=30,V313-TODAY()&gt;=0,OR(X313="",X313&lt;90)),"At risk — close to off track","On track"))))))))</t>
        </is>
      </c>
      <c r="AF313" s="38" t="inlineStr">
        <is>
          <t>IF(OR(E313="",AA313="Completed / Handover",AA313="Cancelled"),"",IF(L313="Remaining",IF(S313&lt;&gt;"",S313-TODAY(),IF(V313="","",V313-TODAY())),IF(V313="","",V313-TODAY())))</t>
        </is>
      </c>
      <c r="AG313" s="44" t="n"/>
      <c r="AH313" s="44" t="n"/>
      <c r="AI313" s="44" t="n"/>
      <c r="AJ313" s="44" t="n"/>
      <c r="AK313" s="44" t="n"/>
      <c r="AL313" s="44" t="n"/>
      <c r="AM313" s="44" t="n"/>
      <c r="AN313" s="44" t="n"/>
      <c r="AO313" s="44" t="n"/>
      <c r="AP313" s="44" t="n"/>
      <c r="AQ313" s="44" t="n"/>
      <c r="AR313" s="40" t="n"/>
      <c r="AS313" s="40" t="n"/>
      <c r="AT313" s="40" t="n"/>
      <c r="AU313" s="38" t="inlineStr">
        <is>
          <t>IF(OR(E313="",AH313=""),"",IF(COUNT(AG313:AG313)=0,"",AH313-LOOKUP(2,1/(AG313:AG313&lt;&gt;""),AG313:AG313)))</t>
        </is>
      </c>
      <c r="AV313" s="38" t="inlineStr">
        <is>
          <t>IF(OR(E313="",AI313=""),"",IF(COUNT(AG313:AH313)=0,"",AI313-LOOKUP(2,1/(AG313:AH313&lt;&gt;""),AG313:AH313)))</t>
        </is>
      </c>
      <c r="AW313" s="38" t="inlineStr">
        <is>
          <t>IF(OR(E313="",AJ313=""),"",IF(COUNT(AG313:AI313)=0,"",AJ313-LOOKUP(2,1/(AG313:AI313&lt;&gt;""),AG313:AI313)))</t>
        </is>
      </c>
      <c r="AX313" s="38" t="inlineStr">
        <is>
          <t>IF(OR(E313="",AK313=""),"",IF(COUNT(AG313:AJ313)=0,"",AK313-LOOKUP(2,1/(AG313:AJ313&lt;&gt;""),AG313:AJ313)))</t>
        </is>
      </c>
      <c r="AY313" s="38" t="inlineStr">
        <is>
          <t>IF(OR(E313="",AL313=""),"",IF(COUNT(AG313:AK313)=0,"",AL313-LOOKUP(2,1/(AG313:AK313&lt;&gt;""),AG313:AK313)))</t>
        </is>
      </c>
      <c r="AZ313" s="38" t="inlineStr">
        <is>
          <t>IF(OR(E313="",AM313=""),"",IF(COUNT(AG313:AL313)=0,"",AM313-LOOKUP(2,1/(AG313:AL313&lt;&gt;""),AG313:AL313)))</t>
        </is>
      </c>
      <c r="BA313" s="38" t="inlineStr">
        <is>
          <t>IF(OR(E313="",AN313=""),"",IF(COUNT(AG313:AM313)=0,"",AN313-LOOKUP(2,1/(AG313:AM313&lt;&gt;""),AG313:AM313)))</t>
        </is>
      </c>
      <c r="BB313" s="38" t="inlineStr">
        <is>
          <t>IF(OR(E313="",AO313=""),"",IF(COUNT(AG313:AN313)=0,"",AO313-LOOKUP(2,1/(AG313:AN313&lt;&gt;""),AG313:AN313)))</t>
        </is>
      </c>
      <c r="BC313" s="38" t="inlineStr">
        <is>
          <t>IF(OR(E313="",AP313=""),"",IF(COUNT(AG313:AO313)=0,"",AP313-LOOKUP(2,1/(AG313:AO313&lt;&gt;""),AG313:AO313)))</t>
        </is>
      </c>
      <c r="BD313" s="38" t="inlineStr">
        <is>
          <t>IF(OR(E313="",AQ313=""),"",IF(COUNT(AG313:AP313)=0,"",AQ313-LOOKUP(2,1/(AG313:AP313&lt;&gt;""),AG313:AP313)))</t>
        </is>
      </c>
      <c r="BE313" s="38" t="inlineStr">
        <is>
          <t>IF(OR(E313="",AR313=""),"",IF(COUNT(AG313:AQ313)=0,"",AR313-LOOKUP(2,1/(AG313:AQ313&lt;&gt;""),AG313:AQ313)))</t>
        </is>
      </c>
      <c r="BF313" s="38" t="inlineStr">
        <is>
          <t>IF(OR(E313="",AS313=""),"",IF(COUNT(AG313:AR313)=0,"",AS313-LOOKUP(2,1/(AG313:AR313&lt;&gt;""),AG313:AR313)))</t>
        </is>
      </c>
      <c r="BG313" s="38" t="inlineStr">
        <is>
          <t>IF(OR(E313="",AT313=""),"",IF(COUNT(AG313:AS313)=0,"",AT313-LOOKUP(2,1/(AG313:AS313&lt;&gt;""),AG313:AS313)))</t>
        </is>
      </c>
      <c r="BH313" s="41" t="inlineStr">
        <is>
          <t>IF(G313="","All_Provinces",IFERROR(VLOOKUP(G313,'07_Lookups'!$A$4:$B$20,2,FALSE),"All_Provinces"))</t>
        </is>
      </c>
      <c r="BI313" s="41" t="inlineStr">
        <is>
          <t>IF(H313="","All_Districts",IFERROR(VLOOKUP(H313,'07_Lookups'!$E$4:$F$42,2,FALSE),"All_Districts"))</t>
        </is>
      </c>
    </row>
    <row r="314" ht="18" customHeight="1">
      <c r="A314" s="32" t="inlineStr">
        <is>
          <t>IF(E314="","",ROW()-3)</t>
        </is>
      </c>
      <c r="B314" s="33" t="n"/>
      <c r="C314" s="33" t="n"/>
      <c r="D314" s="33" t="n"/>
      <c r="E314" s="33" t="n"/>
      <c r="F314" s="33" t="n"/>
      <c r="G314" s="33" t="n"/>
      <c r="H314" s="33" t="n"/>
      <c r="I314" s="33" t="n"/>
      <c r="J314" s="33" t="n"/>
      <c r="K314" s="33" t="n"/>
      <c r="L314" s="33" t="n"/>
      <c r="M314" s="33" t="n"/>
      <c r="N314" s="33" t="n"/>
      <c r="O314" s="33" t="n"/>
      <c r="P314" s="33" t="n"/>
      <c r="Q314" s="34" t="n"/>
      <c r="R314" s="35" t="inlineStr">
        <is>
          <t>IF(AO314="","",AO314)</t>
        </is>
      </c>
      <c r="S314" s="36" t="n"/>
      <c r="T314" s="37" t="n"/>
      <c r="U314" s="36" t="n"/>
      <c r="V314" s="35" t="inlineStr">
        <is>
          <t>IF(U314&lt;&gt;"",U314,IF(OR(R314="",T314=""),"",EDATE(R314,T314)))</t>
        </is>
      </c>
      <c r="W314" s="36" t="n"/>
      <c r="X314" s="37" t="n"/>
      <c r="Y314" s="33" t="n"/>
      <c r="Z314" s="33" t="n"/>
      <c r="AA314" s="32" t="inlineStr">
        <is>
          <t>IF(E314="","",IF(COUNT(AG314:AT314)=0,IF(Y314="","Not started",Y314),SUBSTITUTE(LOOKUP(2,1/(AG314:AT314&lt;&gt;""),$AG$3:$AT$3),"Date: ","")))</t>
        </is>
      </c>
      <c r="AB314" s="38" t="inlineStr">
        <is>
          <t>IF(OR(E314="",COUNT(AG314:AT314)=0),"",TODAY()-LOOKUP(2,1/(AG314:AT314&lt;&gt;""),AG314:AT314))</t>
        </is>
      </c>
      <c r="AC314" s="38" t="inlineStr">
        <is>
          <t>IF(OR(E314="",COUNT(AG314:AT314)&lt;2),"",LOOKUP(2,1/(AG314:AT314&lt;&gt;""),AG314:AT314)-MIN(AG314:AT314))</t>
        </is>
      </c>
      <c r="AD314" s="38" t="inlineStr">
        <is>
          <t>IF(OR(AB314="",AA314="Not started",AA314=""),"",IFERROR(AB314-IF(VLOOKUP(AA314,'04_Status_Pipeline'!$B$3:$E$20,4,FALSE)="",0,VLOOKUP(AA314,'04_Status_Pipeline'!$B$3:$E$20,4,FALSE)),""))</t>
        </is>
      </c>
      <c r="AE314" s="32" t="inlineStr">
        <is>
          <t>IF(E314="","",IF(OR(Y314="Cancelled",AA314="Cancelled"),"Cancelled",IF(OR(AA314="Completed / Handover",W314&lt;&gt;"",X314&gt;=100),"Completed — on track",IF(L314="Remaining",IF(S314="",IF(V314="","No planned date",IF(TODAY()&gt;V314,"Behind — past planned date",IF(V314-TODAY()&lt;=30,"At risk — close to off track","On track"))),IF(TODAY()&gt;S314,"Behind — award date passed",IF(S314-TODAY()&lt;=30,"At risk — close to off track","On track"))),IF(V314="","No planned date",IF(AND(TODAY()&gt;V314,OR(X314="",X314&lt;100)),"Behind — past end date",IF(AND(R314&lt;&gt;"",V314&lt;&gt;"",X314&lt;&gt;"",(X314&lt;100),((TODAY()-R314)/MAX(V314-R314,1)*100)-X314&gt;15),"Behind — progress lag",IF(AND(V314-TODAY()&lt;=30,V314-TODAY()&gt;=0,OR(X314="",X314&lt;90)),"At risk — close to off track","On track"))))))))</t>
        </is>
      </c>
      <c r="AF314" s="38" t="inlineStr">
        <is>
          <t>IF(OR(E314="",AA314="Completed / Handover",AA314="Cancelled"),"",IF(L314="Remaining",IF(S314&lt;&gt;"",S314-TODAY(),IF(V314="","",V314-TODAY())),IF(V314="","",V314-TODAY())))</t>
        </is>
      </c>
      <c r="AG314" s="36" t="n"/>
      <c r="AH314" s="36" t="n"/>
      <c r="AI314" s="36" t="n"/>
      <c r="AJ314" s="36" t="n"/>
      <c r="AK314" s="36" t="n"/>
      <c r="AL314" s="36" t="n"/>
      <c r="AM314" s="36" t="n"/>
      <c r="AN314" s="36" t="n"/>
      <c r="AO314" s="36" t="n"/>
      <c r="AP314" s="36" t="n"/>
      <c r="AQ314" s="36" t="n"/>
      <c r="AR314" s="40" t="n"/>
      <c r="AS314" s="40" t="n"/>
      <c r="AT314" s="40" t="n"/>
      <c r="AU314" s="38" t="inlineStr">
        <is>
          <t>IF(OR(E314="",AH314=""),"",IF(COUNT(AG314:AG314)=0,"",AH314-LOOKUP(2,1/(AG314:AG314&lt;&gt;""),AG314:AG314)))</t>
        </is>
      </c>
      <c r="AV314" s="38" t="inlineStr">
        <is>
          <t>IF(OR(E314="",AI314=""),"",IF(COUNT(AG314:AH314)=0,"",AI314-LOOKUP(2,1/(AG314:AH314&lt;&gt;""),AG314:AH314)))</t>
        </is>
      </c>
      <c r="AW314" s="38" t="inlineStr">
        <is>
          <t>IF(OR(E314="",AJ314=""),"",IF(COUNT(AG314:AI314)=0,"",AJ314-LOOKUP(2,1/(AG314:AI314&lt;&gt;""),AG314:AI314)))</t>
        </is>
      </c>
      <c r="AX314" s="38" t="inlineStr">
        <is>
          <t>IF(OR(E314="",AK314=""),"",IF(COUNT(AG314:AJ314)=0,"",AK314-LOOKUP(2,1/(AG314:AJ314&lt;&gt;""),AG314:AJ314)))</t>
        </is>
      </c>
      <c r="AY314" s="38" t="inlineStr">
        <is>
          <t>IF(OR(E314="",AL314=""),"",IF(COUNT(AG314:AK314)=0,"",AL314-LOOKUP(2,1/(AG314:AK314&lt;&gt;""),AG314:AK314)))</t>
        </is>
      </c>
      <c r="AZ314" s="38" t="inlineStr">
        <is>
          <t>IF(OR(E314="",AM314=""),"",IF(COUNT(AG314:AL314)=0,"",AM314-LOOKUP(2,1/(AG314:AL314&lt;&gt;""),AG314:AL314)))</t>
        </is>
      </c>
      <c r="BA314" s="38" t="inlineStr">
        <is>
          <t>IF(OR(E314="",AN314=""),"",IF(COUNT(AG314:AM314)=0,"",AN314-LOOKUP(2,1/(AG314:AM314&lt;&gt;""),AG314:AM314)))</t>
        </is>
      </c>
      <c r="BB314" s="38" t="inlineStr">
        <is>
          <t>IF(OR(E314="",AO314=""),"",IF(COUNT(AG314:AN314)=0,"",AO314-LOOKUP(2,1/(AG314:AN314&lt;&gt;""),AG314:AN314)))</t>
        </is>
      </c>
      <c r="BC314" s="38" t="inlineStr">
        <is>
          <t>IF(OR(E314="",AP314=""),"",IF(COUNT(AG314:AO314)=0,"",AP314-LOOKUP(2,1/(AG314:AO314&lt;&gt;""),AG314:AO314)))</t>
        </is>
      </c>
      <c r="BD314" s="38" t="inlineStr">
        <is>
          <t>IF(OR(E314="",AQ314=""),"",IF(COUNT(AG314:AP314)=0,"",AQ314-LOOKUP(2,1/(AG314:AP314&lt;&gt;""),AG314:AP314)))</t>
        </is>
      </c>
      <c r="BE314" s="38" t="inlineStr">
        <is>
          <t>IF(OR(E314="",AR314=""),"",IF(COUNT(AG314:AQ314)=0,"",AR314-LOOKUP(2,1/(AG314:AQ314&lt;&gt;""),AG314:AQ314)))</t>
        </is>
      </c>
      <c r="BF314" s="38" t="inlineStr">
        <is>
          <t>IF(OR(E314="",AS314=""),"",IF(COUNT(AG314:AR314)=0,"",AS314-LOOKUP(2,1/(AG314:AR314&lt;&gt;""),AG314:AR314)))</t>
        </is>
      </c>
      <c r="BG314" s="38" t="inlineStr">
        <is>
          <t>IF(OR(E314="",AT314=""),"",IF(COUNT(AG314:AS314)=0,"",AT314-LOOKUP(2,1/(AG314:AS314&lt;&gt;""),AG314:AS314)))</t>
        </is>
      </c>
      <c r="BH314" s="41" t="inlineStr">
        <is>
          <t>IF(G314="","All_Provinces",IFERROR(VLOOKUP(G314,'07_Lookups'!$A$4:$B$20,2,FALSE),"All_Provinces"))</t>
        </is>
      </c>
      <c r="BI314" s="41" t="inlineStr">
        <is>
          <t>IF(H314="","All_Districts",IFERROR(VLOOKUP(H314,'07_Lookups'!$E$4:$F$42,2,FALSE),"All_Districts"))</t>
        </is>
      </c>
    </row>
    <row r="315" ht="18" customHeight="1">
      <c r="A315" s="32" t="inlineStr">
        <is>
          <t>IF(E315="","",ROW()-3)</t>
        </is>
      </c>
      <c r="B315" s="42" t="n"/>
      <c r="C315" s="42" t="n"/>
      <c r="D315" s="42" t="n"/>
      <c r="E315" s="42" t="n"/>
      <c r="F315" s="42" t="n"/>
      <c r="G315" s="42" t="n"/>
      <c r="H315" s="42" t="n"/>
      <c r="I315" s="42" t="n"/>
      <c r="J315" s="42" t="n"/>
      <c r="K315" s="42" t="n"/>
      <c r="L315" s="42" t="n"/>
      <c r="M315" s="42" t="n"/>
      <c r="N315" s="42" t="n"/>
      <c r="O315" s="42" t="n"/>
      <c r="P315" s="42" t="n"/>
      <c r="Q315" s="43" t="n"/>
      <c r="R315" s="35" t="inlineStr">
        <is>
          <t>IF(AO315="","",AO315)</t>
        </is>
      </c>
      <c r="S315" s="44" t="n"/>
      <c r="T315" s="45" t="n"/>
      <c r="U315" s="44" t="n"/>
      <c r="V315" s="35" t="inlineStr">
        <is>
          <t>IF(U315&lt;&gt;"",U315,IF(OR(R315="",T315=""),"",EDATE(R315,T315)))</t>
        </is>
      </c>
      <c r="W315" s="44" t="n"/>
      <c r="X315" s="45" t="n"/>
      <c r="Y315" s="42" t="n"/>
      <c r="Z315" s="42" t="n"/>
      <c r="AA315" s="32" t="inlineStr">
        <is>
          <t>IF(E315="","",IF(COUNT(AG315:AT315)=0,IF(Y315="","Not started",Y315),SUBSTITUTE(LOOKUP(2,1/(AG315:AT315&lt;&gt;""),$AG$3:$AT$3),"Date: ","")))</t>
        </is>
      </c>
      <c r="AB315" s="38" t="inlineStr">
        <is>
          <t>IF(OR(E315="",COUNT(AG315:AT315)=0),"",TODAY()-LOOKUP(2,1/(AG315:AT315&lt;&gt;""),AG315:AT315))</t>
        </is>
      </c>
      <c r="AC315" s="38" t="inlineStr">
        <is>
          <t>IF(OR(E315="",COUNT(AG315:AT315)&lt;2),"",LOOKUP(2,1/(AG315:AT315&lt;&gt;""),AG315:AT315)-MIN(AG315:AT315))</t>
        </is>
      </c>
      <c r="AD315" s="38" t="inlineStr">
        <is>
          <t>IF(OR(AB315="",AA315="Not started",AA315=""),"",IFERROR(AB315-IF(VLOOKUP(AA315,'04_Status_Pipeline'!$B$3:$E$20,4,FALSE)="",0,VLOOKUP(AA315,'04_Status_Pipeline'!$B$3:$E$20,4,FALSE)),""))</t>
        </is>
      </c>
      <c r="AE315" s="32" t="inlineStr">
        <is>
          <t>IF(E315="","",IF(OR(Y315="Cancelled",AA315="Cancelled"),"Cancelled",IF(OR(AA315="Completed / Handover",W315&lt;&gt;"",X315&gt;=100),"Completed — on track",IF(L315="Remaining",IF(S315="",IF(V315="","No planned date",IF(TODAY()&gt;V315,"Behind — past planned date",IF(V315-TODAY()&lt;=30,"At risk — close to off track","On track"))),IF(TODAY()&gt;S315,"Behind — award date passed",IF(S315-TODAY()&lt;=30,"At risk — close to off track","On track"))),IF(V315="","No planned date",IF(AND(TODAY()&gt;V315,OR(X315="",X315&lt;100)),"Behind — past end date",IF(AND(R315&lt;&gt;"",V315&lt;&gt;"",X315&lt;&gt;"",(X315&lt;100),((TODAY()-R315)/MAX(V315-R315,1)*100)-X315&gt;15),"Behind — progress lag",IF(AND(V315-TODAY()&lt;=30,V315-TODAY()&gt;=0,OR(X315="",X315&lt;90)),"At risk — close to off track","On track"))))))))</t>
        </is>
      </c>
      <c r="AF315" s="38" t="inlineStr">
        <is>
          <t>IF(OR(E315="",AA315="Completed / Handover",AA315="Cancelled"),"",IF(L315="Remaining",IF(S315&lt;&gt;"",S315-TODAY(),IF(V315="","",V315-TODAY())),IF(V315="","",V315-TODAY())))</t>
        </is>
      </c>
      <c r="AG315" s="44" t="n"/>
      <c r="AH315" s="44" t="n"/>
      <c r="AI315" s="44" t="n"/>
      <c r="AJ315" s="44" t="n"/>
      <c r="AK315" s="44" t="n"/>
      <c r="AL315" s="44" t="n"/>
      <c r="AM315" s="44" t="n"/>
      <c r="AN315" s="44" t="n"/>
      <c r="AO315" s="44" t="n"/>
      <c r="AP315" s="44" t="n"/>
      <c r="AQ315" s="44" t="n"/>
      <c r="AR315" s="40" t="n"/>
      <c r="AS315" s="40" t="n"/>
      <c r="AT315" s="40" t="n"/>
      <c r="AU315" s="38" t="inlineStr">
        <is>
          <t>IF(OR(E315="",AH315=""),"",IF(COUNT(AG315:AG315)=0,"",AH315-LOOKUP(2,1/(AG315:AG315&lt;&gt;""),AG315:AG315)))</t>
        </is>
      </c>
      <c r="AV315" s="38" t="inlineStr">
        <is>
          <t>IF(OR(E315="",AI315=""),"",IF(COUNT(AG315:AH315)=0,"",AI315-LOOKUP(2,1/(AG315:AH315&lt;&gt;""),AG315:AH315)))</t>
        </is>
      </c>
      <c r="AW315" s="38" t="inlineStr">
        <is>
          <t>IF(OR(E315="",AJ315=""),"",IF(COUNT(AG315:AI315)=0,"",AJ315-LOOKUP(2,1/(AG315:AI315&lt;&gt;""),AG315:AI315)))</t>
        </is>
      </c>
      <c r="AX315" s="38" t="inlineStr">
        <is>
          <t>IF(OR(E315="",AK315=""),"",IF(COUNT(AG315:AJ315)=0,"",AK315-LOOKUP(2,1/(AG315:AJ315&lt;&gt;""),AG315:AJ315)))</t>
        </is>
      </c>
      <c r="AY315" s="38" t="inlineStr">
        <is>
          <t>IF(OR(E315="",AL315=""),"",IF(COUNT(AG315:AK315)=0,"",AL315-LOOKUP(2,1/(AG315:AK315&lt;&gt;""),AG315:AK315)))</t>
        </is>
      </c>
      <c r="AZ315" s="38" t="inlineStr">
        <is>
          <t>IF(OR(E315="",AM315=""),"",IF(COUNT(AG315:AL315)=0,"",AM315-LOOKUP(2,1/(AG315:AL315&lt;&gt;""),AG315:AL315)))</t>
        </is>
      </c>
      <c r="BA315" s="38" t="inlineStr">
        <is>
          <t>IF(OR(E315="",AN315=""),"",IF(COUNT(AG315:AM315)=0,"",AN315-LOOKUP(2,1/(AG315:AM315&lt;&gt;""),AG315:AM315)))</t>
        </is>
      </c>
      <c r="BB315" s="38" t="inlineStr">
        <is>
          <t>IF(OR(E315="",AO315=""),"",IF(COUNT(AG315:AN315)=0,"",AO315-LOOKUP(2,1/(AG315:AN315&lt;&gt;""),AG315:AN315)))</t>
        </is>
      </c>
      <c r="BC315" s="38" t="inlineStr">
        <is>
          <t>IF(OR(E315="",AP315=""),"",IF(COUNT(AG315:AO315)=0,"",AP315-LOOKUP(2,1/(AG315:AO315&lt;&gt;""),AG315:AO315)))</t>
        </is>
      </c>
      <c r="BD315" s="38" t="inlineStr">
        <is>
          <t>IF(OR(E315="",AQ315=""),"",IF(COUNT(AG315:AP315)=0,"",AQ315-LOOKUP(2,1/(AG315:AP315&lt;&gt;""),AG315:AP315)))</t>
        </is>
      </c>
      <c r="BE315" s="38" t="inlineStr">
        <is>
          <t>IF(OR(E315="",AR315=""),"",IF(COUNT(AG315:AQ315)=0,"",AR315-LOOKUP(2,1/(AG315:AQ315&lt;&gt;""),AG315:AQ315)))</t>
        </is>
      </c>
      <c r="BF315" s="38" t="inlineStr">
        <is>
          <t>IF(OR(E315="",AS315=""),"",IF(COUNT(AG315:AR315)=0,"",AS315-LOOKUP(2,1/(AG315:AR315&lt;&gt;""),AG315:AR315)))</t>
        </is>
      </c>
      <c r="BG315" s="38" t="inlineStr">
        <is>
          <t>IF(OR(E315="",AT315=""),"",IF(COUNT(AG315:AS315)=0,"",AT315-LOOKUP(2,1/(AG315:AS315&lt;&gt;""),AG315:AS315)))</t>
        </is>
      </c>
      <c r="BH315" s="41" t="inlineStr">
        <is>
          <t>IF(G315="","All_Provinces",IFERROR(VLOOKUP(G315,'07_Lookups'!$A$4:$B$20,2,FALSE),"All_Provinces"))</t>
        </is>
      </c>
      <c r="BI315" s="41" t="inlineStr">
        <is>
          <t>IF(H315="","All_Districts",IFERROR(VLOOKUP(H315,'07_Lookups'!$E$4:$F$42,2,FALSE),"All_Districts"))</t>
        </is>
      </c>
    </row>
    <row r="316" ht="18" customHeight="1">
      <c r="A316" s="32" t="inlineStr">
        <is>
          <t>IF(E316="","",ROW()-3)</t>
        </is>
      </c>
      <c r="B316" s="33" t="n"/>
      <c r="C316" s="33" t="n"/>
      <c r="D316" s="33" t="n"/>
      <c r="E316" s="33" t="n"/>
      <c r="F316" s="33" t="n"/>
      <c r="G316" s="33" t="n"/>
      <c r="H316" s="33" t="n"/>
      <c r="I316" s="33" t="n"/>
      <c r="J316" s="33" t="n"/>
      <c r="K316" s="33" t="n"/>
      <c r="L316" s="33" t="n"/>
      <c r="M316" s="33" t="n"/>
      <c r="N316" s="33" t="n"/>
      <c r="O316" s="33" t="n"/>
      <c r="P316" s="33" t="n"/>
      <c r="Q316" s="34" t="n"/>
      <c r="R316" s="35" t="inlineStr">
        <is>
          <t>IF(AO316="","",AO316)</t>
        </is>
      </c>
      <c r="S316" s="36" t="n"/>
      <c r="T316" s="37" t="n"/>
      <c r="U316" s="36" t="n"/>
      <c r="V316" s="35" t="inlineStr">
        <is>
          <t>IF(U316&lt;&gt;"",U316,IF(OR(R316="",T316=""),"",EDATE(R316,T316)))</t>
        </is>
      </c>
      <c r="W316" s="36" t="n"/>
      <c r="X316" s="37" t="n"/>
      <c r="Y316" s="33" t="n"/>
      <c r="Z316" s="33" t="n"/>
      <c r="AA316" s="32" t="inlineStr">
        <is>
          <t>IF(E316="","",IF(COUNT(AG316:AT316)=0,IF(Y316="","Not started",Y316),SUBSTITUTE(LOOKUP(2,1/(AG316:AT316&lt;&gt;""),$AG$3:$AT$3),"Date: ","")))</t>
        </is>
      </c>
      <c r="AB316" s="38" t="inlineStr">
        <is>
          <t>IF(OR(E316="",COUNT(AG316:AT316)=0),"",TODAY()-LOOKUP(2,1/(AG316:AT316&lt;&gt;""),AG316:AT316))</t>
        </is>
      </c>
      <c r="AC316" s="38" t="inlineStr">
        <is>
          <t>IF(OR(E316="",COUNT(AG316:AT316)&lt;2),"",LOOKUP(2,1/(AG316:AT316&lt;&gt;""),AG316:AT316)-MIN(AG316:AT316))</t>
        </is>
      </c>
      <c r="AD316" s="38" t="inlineStr">
        <is>
          <t>IF(OR(AB316="",AA316="Not started",AA316=""),"",IFERROR(AB316-IF(VLOOKUP(AA316,'04_Status_Pipeline'!$B$3:$E$20,4,FALSE)="",0,VLOOKUP(AA316,'04_Status_Pipeline'!$B$3:$E$20,4,FALSE)),""))</t>
        </is>
      </c>
      <c r="AE316" s="32" t="inlineStr">
        <is>
          <t>IF(E316="","",IF(OR(Y316="Cancelled",AA316="Cancelled"),"Cancelled",IF(OR(AA316="Completed / Handover",W316&lt;&gt;"",X316&gt;=100),"Completed — on track",IF(L316="Remaining",IF(S316="",IF(V316="","No planned date",IF(TODAY()&gt;V316,"Behind — past planned date",IF(V316-TODAY()&lt;=30,"At risk — close to off track","On track"))),IF(TODAY()&gt;S316,"Behind — award date passed",IF(S316-TODAY()&lt;=30,"At risk — close to off track","On track"))),IF(V316="","No planned date",IF(AND(TODAY()&gt;V316,OR(X316="",X316&lt;100)),"Behind — past end date",IF(AND(R316&lt;&gt;"",V316&lt;&gt;"",X316&lt;&gt;"",(X316&lt;100),((TODAY()-R316)/MAX(V316-R316,1)*100)-X316&gt;15),"Behind — progress lag",IF(AND(V316-TODAY()&lt;=30,V316-TODAY()&gt;=0,OR(X316="",X316&lt;90)),"At risk — close to off track","On track"))))))))</t>
        </is>
      </c>
      <c r="AF316" s="38" t="inlineStr">
        <is>
          <t>IF(OR(E316="",AA316="Completed / Handover",AA316="Cancelled"),"",IF(L316="Remaining",IF(S316&lt;&gt;"",S316-TODAY(),IF(V316="","",V316-TODAY())),IF(V316="","",V316-TODAY())))</t>
        </is>
      </c>
      <c r="AG316" s="36" t="n"/>
      <c r="AH316" s="36" t="n"/>
      <c r="AI316" s="36" t="n"/>
      <c r="AJ316" s="36" t="n"/>
      <c r="AK316" s="36" t="n"/>
      <c r="AL316" s="36" t="n"/>
      <c r="AM316" s="36" t="n"/>
      <c r="AN316" s="36" t="n"/>
      <c r="AO316" s="36" t="n"/>
      <c r="AP316" s="36" t="n"/>
      <c r="AQ316" s="36" t="n"/>
      <c r="AR316" s="40" t="n"/>
      <c r="AS316" s="40" t="n"/>
      <c r="AT316" s="40" t="n"/>
      <c r="AU316" s="38" t="inlineStr">
        <is>
          <t>IF(OR(E316="",AH316=""),"",IF(COUNT(AG316:AG316)=0,"",AH316-LOOKUP(2,1/(AG316:AG316&lt;&gt;""),AG316:AG316)))</t>
        </is>
      </c>
      <c r="AV316" s="38" t="inlineStr">
        <is>
          <t>IF(OR(E316="",AI316=""),"",IF(COUNT(AG316:AH316)=0,"",AI316-LOOKUP(2,1/(AG316:AH316&lt;&gt;""),AG316:AH316)))</t>
        </is>
      </c>
      <c r="AW316" s="38" t="inlineStr">
        <is>
          <t>IF(OR(E316="",AJ316=""),"",IF(COUNT(AG316:AI316)=0,"",AJ316-LOOKUP(2,1/(AG316:AI316&lt;&gt;""),AG316:AI316)))</t>
        </is>
      </c>
      <c r="AX316" s="38" t="inlineStr">
        <is>
          <t>IF(OR(E316="",AK316=""),"",IF(COUNT(AG316:AJ316)=0,"",AK316-LOOKUP(2,1/(AG316:AJ316&lt;&gt;""),AG316:AJ316)))</t>
        </is>
      </c>
      <c r="AY316" s="38" t="inlineStr">
        <is>
          <t>IF(OR(E316="",AL316=""),"",IF(COUNT(AG316:AK316)=0,"",AL316-LOOKUP(2,1/(AG316:AK316&lt;&gt;""),AG316:AK316)))</t>
        </is>
      </c>
      <c r="AZ316" s="38" t="inlineStr">
        <is>
          <t>IF(OR(E316="",AM316=""),"",IF(COUNT(AG316:AL316)=0,"",AM316-LOOKUP(2,1/(AG316:AL316&lt;&gt;""),AG316:AL316)))</t>
        </is>
      </c>
      <c r="BA316" s="38" t="inlineStr">
        <is>
          <t>IF(OR(E316="",AN316=""),"",IF(COUNT(AG316:AM316)=0,"",AN316-LOOKUP(2,1/(AG316:AM316&lt;&gt;""),AG316:AM316)))</t>
        </is>
      </c>
      <c r="BB316" s="38" t="inlineStr">
        <is>
          <t>IF(OR(E316="",AO316=""),"",IF(COUNT(AG316:AN316)=0,"",AO316-LOOKUP(2,1/(AG316:AN316&lt;&gt;""),AG316:AN316)))</t>
        </is>
      </c>
      <c r="BC316" s="38" t="inlineStr">
        <is>
          <t>IF(OR(E316="",AP316=""),"",IF(COUNT(AG316:AO316)=0,"",AP316-LOOKUP(2,1/(AG316:AO316&lt;&gt;""),AG316:AO316)))</t>
        </is>
      </c>
      <c r="BD316" s="38" t="inlineStr">
        <is>
          <t>IF(OR(E316="",AQ316=""),"",IF(COUNT(AG316:AP316)=0,"",AQ316-LOOKUP(2,1/(AG316:AP316&lt;&gt;""),AG316:AP316)))</t>
        </is>
      </c>
      <c r="BE316" s="38" t="inlineStr">
        <is>
          <t>IF(OR(E316="",AR316=""),"",IF(COUNT(AG316:AQ316)=0,"",AR316-LOOKUP(2,1/(AG316:AQ316&lt;&gt;""),AG316:AQ316)))</t>
        </is>
      </c>
      <c r="BF316" s="38" t="inlineStr">
        <is>
          <t>IF(OR(E316="",AS316=""),"",IF(COUNT(AG316:AR316)=0,"",AS316-LOOKUP(2,1/(AG316:AR316&lt;&gt;""),AG316:AR316)))</t>
        </is>
      </c>
      <c r="BG316" s="38" t="inlineStr">
        <is>
          <t>IF(OR(E316="",AT316=""),"",IF(COUNT(AG316:AS316)=0,"",AT316-LOOKUP(2,1/(AG316:AS316&lt;&gt;""),AG316:AS316)))</t>
        </is>
      </c>
      <c r="BH316" s="41" t="inlineStr">
        <is>
          <t>IF(G316="","All_Provinces",IFERROR(VLOOKUP(G316,'07_Lookups'!$A$4:$B$20,2,FALSE),"All_Provinces"))</t>
        </is>
      </c>
      <c r="BI316" s="41" t="inlineStr">
        <is>
          <t>IF(H316="","All_Districts",IFERROR(VLOOKUP(H316,'07_Lookups'!$E$4:$F$42,2,FALSE),"All_Districts"))</t>
        </is>
      </c>
    </row>
    <row r="317" ht="18" customHeight="1">
      <c r="A317" s="32" t="inlineStr">
        <is>
          <t>IF(E317="","",ROW()-3)</t>
        </is>
      </c>
      <c r="B317" s="42" t="n"/>
      <c r="C317" s="42" t="n"/>
      <c r="D317" s="42" t="n"/>
      <c r="E317" s="42" t="n"/>
      <c r="F317" s="42" t="n"/>
      <c r="G317" s="42" t="n"/>
      <c r="H317" s="42" t="n"/>
      <c r="I317" s="42" t="n"/>
      <c r="J317" s="42" t="n"/>
      <c r="K317" s="42" t="n"/>
      <c r="L317" s="42" t="n"/>
      <c r="M317" s="42" t="n"/>
      <c r="N317" s="42" t="n"/>
      <c r="O317" s="42" t="n"/>
      <c r="P317" s="42" t="n"/>
      <c r="Q317" s="43" t="n"/>
      <c r="R317" s="35" t="inlineStr">
        <is>
          <t>IF(AO317="","",AO317)</t>
        </is>
      </c>
      <c r="S317" s="44" t="n"/>
      <c r="T317" s="45" t="n"/>
      <c r="U317" s="44" t="n"/>
      <c r="V317" s="35" t="inlineStr">
        <is>
          <t>IF(U317&lt;&gt;"",U317,IF(OR(R317="",T317=""),"",EDATE(R317,T317)))</t>
        </is>
      </c>
      <c r="W317" s="44" t="n"/>
      <c r="X317" s="45" t="n"/>
      <c r="Y317" s="42" t="n"/>
      <c r="Z317" s="42" t="n"/>
      <c r="AA317" s="32" t="inlineStr">
        <is>
          <t>IF(E317="","",IF(COUNT(AG317:AT317)=0,IF(Y317="","Not started",Y317),SUBSTITUTE(LOOKUP(2,1/(AG317:AT317&lt;&gt;""),$AG$3:$AT$3),"Date: ","")))</t>
        </is>
      </c>
      <c r="AB317" s="38" t="inlineStr">
        <is>
          <t>IF(OR(E317="",COUNT(AG317:AT317)=0),"",TODAY()-LOOKUP(2,1/(AG317:AT317&lt;&gt;""),AG317:AT317))</t>
        </is>
      </c>
      <c r="AC317" s="38" t="inlineStr">
        <is>
          <t>IF(OR(E317="",COUNT(AG317:AT317)&lt;2),"",LOOKUP(2,1/(AG317:AT317&lt;&gt;""),AG317:AT317)-MIN(AG317:AT317))</t>
        </is>
      </c>
      <c r="AD317" s="38" t="inlineStr">
        <is>
          <t>IF(OR(AB317="",AA317="Not started",AA317=""),"",IFERROR(AB317-IF(VLOOKUP(AA317,'04_Status_Pipeline'!$B$3:$E$20,4,FALSE)="",0,VLOOKUP(AA317,'04_Status_Pipeline'!$B$3:$E$20,4,FALSE)),""))</t>
        </is>
      </c>
      <c r="AE317" s="32" t="inlineStr">
        <is>
          <t>IF(E317="","",IF(OR(Y317="Cancelled",AA317="Cancelled"),"Cancelled",IF(OR(AA317="Completed / Handover",W317&lt;&gt;"",X317&gt;=100),"Completed — on track",IF(L317="Remaining",IF(S317="",IF(V317="","No planned date",IF(TODAY()&gt;V317,"Behind — past planned date",IF(V317-TODAY()&lt;=30,"At risk — close to off track","On track"))),IF(TODAY()&gt;S317,"Behind — award date passed",IF(S317-TODAY()&lt;=30,"At risk — close to off track","On track"))),IF(V317="","No planned date",IF(AND(TODAY()&gt;V317,OR(X317="",X317&lt;100)),"Behind — past end date",IF(AND(R317&lt;&gt;"",V317&lt;&gt;"",X317&lt;&gt;"",(X317&lt;100),((TODAY()-R317)/MAX(V317-R317,1)*100)-X317&gt;15),"Behind — progress lag",IF(AND(V317-TODAY()&lt;=30,V317-TODAY()&gt;=0,OR(X317="",X317&lt;90)),"At risk — close to off track","On track"))))))))</t>
        </is>
      </c>
      <c r="AF317" s="38" t="inlineStr">
        <is>
          <t>IF(OR(E317="",AA317="Completed / Handover",AA317="Cancelled"),"",IF(L317="Remaining",IF(S317&lt;&gt;"",S317-TODAY(),IF(V317="","",V317-TODAY())),IF(V317="","",V317-TODAY())))</t>
        </is>
      </c>
      <c r="AG317" s="44" t="n"/>
      <c r="AH317" s="44" t="n"/>
      <c r="AI317" s="44" t="n"/>
      <c r="AJ317" s="44" t="n"/>
      <c r="AK317" s="44" t="n"/>
      <c r="AL317" s="44" t="n"/>
      <c r="AM317" s="44" t="n"/>
      <c r="AN317" s="44" t="n"/>
      <c r="AO317" s="44" t="n"/>
      <c r="AP317" s="44" t="n"/>
      <c r="AQ317" s="44" t="n"/>
      <c r="AR317" s="40" t="n"/>
      <c r="AS317" s="40" t="n"/>
      <c r="AT317" s="40" t="n"/>
      <c r="AU317" s="38" t="inlineStr">
        <is>
          <t>IF(OR(E317="",AH317=""),"",IF(COUNT(AG317:AG317)=0,"",AH317-LOOKUP(2,1/(AG317:AG317&lt;&gt;""),AG317:AG317)))</t>
        </is>
      </c>
      <c r="AV317" s="38" t="inlineStr">
        <is>
          <t>IF(OR(E317="",AI317=""),"",IF(COUNT(AG317:AH317)=0,"",AI317-LOOKUP(2,1/(AG317:AH317&lt;&gt;""),AG317:AH317)))</t>
        </is>
      </c>
      <c r="AW317" s="38" t="inlineStr">
        <is>
          <t>IF(OR(E317="",AJ317=""),"",IF(COUNT(AG317:AI317)=0,"",AJ317-LOOKUP(2,1/(AG317:AI317&lt;&gt;""),AG317:AI317)))</t>
        </is>
      </c>
      <c r="AX317" s="38" t="inlineStr">
        <is>
          <t>IF(OR(E317="",AK317=""),"",IF(COUNT(AG317:AJ317)=0,"",AK317-LOOKUP(2,1/(AG317:AJ317&lt;&gt;""),AG317:AJ317)))</t>
        </is>
      </c>
      <c r="AY317" s="38" t="inlineStr">
        <is>
          <t>IF(OR(E317="",AL317=""),"",IF(COUNT(AG317:AK317)=0,"",AL317-LOOKUP(2,1/(AG317:AK317&lt;&gt;""),AG317:AK317)))</t>
        </is>
      </c>
      <c r="AZ317" s="38" t="inlineStr">
        <is>
          <t>IF(OR(E317="",AM317=""),"",IF(COUNT(AG317:AL317)=0,"",AM317-LOOKUP(2,1/(AG317:AL317&lt;&gt;""),AG317:AL317)))</t>
        </is>
      </c>
      <c r="BA317" s="38" t="inlineStr">
        <is>
          <t>IF(OR(E317="",AN317=""),"",IF(COUNT(AG317:AM317)=0,"",AN317-LOOKUP(2,1/(AG317:AM317&lt;&gt;""),AG317:AM317)))</t>
        </is>
      </c>
      <c r="BB317" s="38" t="inlineStr">
        <is>
          <t>IF(OR(E317="",AO317=""),"",IF(COUNT(AG317:AN317)=0,"",AO317-LOOKUP(2,1/(AG317:AN317&lt;&gt;""),AG317:AN317)))</t>
        </is>
      </c>
      <c r="BC317" s="38" t="inlineStr">
        <is>
          <t>IF(OR(E317="",AP317=""),"",IF(COUNT(AG317:AO317)=0,"",AP317-LOOKUP(2,1/(AG317:AO317&lt;&gt;""),AG317:AO317)))</t>
        </is>
      </c>
      <c r="BD317" s="38" t="inlineStr">
        <is>
          <t>IF(OR(E317="",AQ317=""),"",IF(COUNT(AG317:AP317)=0,"",AQ317-LOOKUP(2,1/(AG317:AP317&lt;&gt;""),AG317:AP317)))</t>
        </is>
      </c>
      <c r="BE317" s="38" t="inlineStr">
        <is>
          <t>IF(OR(E317="",AR317=""),"",IF(COUNT(AG317:AQ317)=0,"",AR317-LOOKUP(2,1/(AG317:AQ317&lt;&gt;""),AG317:AQ317)))</t>
        </is>
      </c>
      <c r="BF317" s="38" t="inlineStr">
        <is>
          <t>IF(OR(E317="",AS317=""),"",IF(COUNT(AG317:AR317)=0,"",AS317-LOOKUP(2,1/(AG317:AR317&lt;&gt;""),AG317:AR317)))</t>
        </is>
      </c>
      <c r="BG317" s="38" t="inlineStr">
        <is>
          <t>IF(OR(E317="",AT317=""),"",IF(COUNT(AG317:AS317)=0,"",AT317-LOOKUP(2,1/(AG317:AS317&lt;&gt;""),AG317:AS317)))</t>
        </is>
      </c>
      <c r="BH317" s="41" t="inlineStr">
        <is>
          <t>IF(G317="","All_Provinces",IFERROR(VLOOKUP(G317,'07_Lookups'!$A$4:$B$20,2,FALSE),"All_Provinces"))</t>
        </is>
      </c>
      <c r="BI317" s="41" t="inlineStr">
        <is>
          <t>IF(H317="","All_Districts",IFERROR(VLOOKUP(H317,'07_Lookups'!$E$4:$F$42,2,FALSE),"All_Districts"))</t>
        </is>
      </c>
    </row>
    <row r="318" ht="18" customHeight="1">
      <c r="A318" s="32" t="inlineStr">
        <is>
          <t>IF(E318="","",ROW()-3)</t>
        </is>
      </c>
      <c r="B318" s="33" t="n"/>
      <c r="C318" s="33" t="n"/>
      <c r="D318" s="33" t="n"/>
      <c r="E318" s="33" t="n"/>
      <c r="F318" s="33" t="n"/>
      <c r="G318" s="33" t="n"/>
      <c r="H318" s="33" t="n"/>
      <c r="I318" s="33" t="n"/>
      <c r="J318" s="33" t="n"/>
      <c r="K318" s="33" t="n"/>
      <c r="L318" s="33" t="n"/>
      <c r="M318" s="33" t="n"/>
      <c r="N318" s="33" t="n"/>
      <c r="O318" s="33" t="n"/>
      <c r="P318" s="33" t="n"/>
      <c r="Q318" s="34" t="n"/>
      <c r="R318" s="35" t="inlineStr">
        <is>
          <t>IF(AO318="","",AO318)</t>
        </is>
      </c>
      <c r="S318" s="36" t="n"/>
      <c r="T318" s="37" t="n"/>
      <c r="U318" s="36" t="n"/>
      <c r="V318" s="35" t="inlineStr">
        <is>
          <t>IF(U318&lt;&gt;"",U318,IF(OR(R318="",T318=""),"",EDATE(R318,T318)))</t>
        </is>
      </c>
      <c r="W318" s="36" t="n"/>
      <c r="X318" s="37" t="n"/>
      <c r="Y318" s="33" t="n"/>
      <c r="Z318" s="33" t="n"/>
      <c r="AA318" s="32" t="inlineStr">
        <is>
          <t>IF(E318="","",IF(COUNT(AG318:AT318)=0,IF(Y318="","Not started",Y318),SUBSTITUTE(LOOKUP(2,1/(AG318:AT318&lt;&gt;""),$AG$3:$AT$3),"Date: ","")))</t>
        </is>
      </c>
      <c r="AB318" s="38" t="inlineStr">
        <is>
          <t>IF(OR(E318="",COUNT(AG318:AT318)=0),"",TODAY()-LOOKUP(2,1/(AG318:AT318&lt;&gt;""),AG318:AT318))</t>
        </is>
      </c>
      <c r="AC318" s="38" t="inlineStr">
        <is>
          <t>IF(OR(E318="",COUNT(AG318:AT318)&lt;2),"",LOOKUP(2,1/(AG318:AT318&lt;&gt;""),AG318:AT318)-MIN(AG318:AT318))</t>
        </is>
      </c>
      <c r="AD318" s="38" t="inlineStr">
        <is>
          <t>IF(OR(AB318="",AA318="Not started",AA318=""),"",IFERROR(AB318-IF(VLOOKUP(AA318,'04_Status_Pipeline'!$B$3:$E$20,4,FALSE)="",0,VLOOKUP(AA318,'04_Status_Pipeline'!$B$3:$E$20,4,FALSE)),""))</t>
        </is>
      </c>
      <c r="AE318" s="32" t="inlineStr">
        <is>
          <t>IF(E318="","",IF(OR(Y318="Cancelled",AA318="Cancelled"),"Cancelled",IF(OR(AA318="Completed / Handover",W318&lt;&gt;"",X318&gt;=100),"Completed — on track",IF(L318="Remaining",IF(S318="",IF(V318="","No planned date",IF(TODAY()&gt;V318,"Behind — past planned date",IF(V318-TODAY()&lt;=30,"At risk — close to off track","On track"))),IF(TODAY()&gt;S318,"Behind — award date passed",IF(S318-TODAY()&lt;=30,"At risk — close to off track","On track"))),IF(V318="","No planned date",IF(AND(TODAY()&gt;V318,OR(X318="",X318&lt;100)),"Behind — past end date",IF(AND(R318&lt;&gt;"",V318&lt;&gt;"",X318&lt;&gt;"",(X318&lt;100),((TODAY()-R318)/MAX(V318-R318,1)*100)-X318&gt;15),"Behind — progress lag",IF(AND(V318-TODAY()&lt;=30,V318-TODAY()&gt;=0,OR(X318="",X318&lt;90)),"At risk — close to off track","On track"))))))))</t>
        </is>
      </c>
      <c r="AF318" s="38" t="inlineStr">
        <is>
          <t>IF(OR(E318="",AA318="Completed / Handover",AA318="Cancelled"),"",IF(L318="Remaining",IF(S318&lt;&gt;"",S318-TODAY(),IF(V318="","",V318-TODAY())),IF(V318="","",V318-TODAY())))</t>
        </is>
      </c>
      <c r="AG318" s="36" t="n"/>
      <c r="AH318" s="36" t="n"/>
      <c r="AI318" s="36" t="n"/>
      <c r="AJ318" s="36" t="n"/>
      <c r="AK318" s="36" t="n"/>
      <c r="AL318" s="36" t="n"/>
      <c r="AM318" s="36" t="n"/>
      <c r="AN318" s="36" t="n"/>
      <c r="AO318" s="36" t="n"/>
      <c r="AP318" s="36" t="n"/>
      <c r="AQ318" s="36" t="n"/>
      <c r="AR318" s="40" t="n"/>
      <c r="AS318" s="40" t="n"/>
      <c r="AT318" s="40" t="n"/>
      <c r="AU318" s="38" t="inlineStr">
        <is>
          <t>IF(OR(E318="",AH318=""),"",IF(COUNT(AG318:AG318)=0,"",AH318-LOOKUP(2,1/(AG318:AG318&lt;&gt;""),AG318:AG318)))</t>
        </is>
      </c>
      <c r="AV318" s="38" t="inlineStr">
        <is>
          <t>IF(OR(E318="",AI318=""),"",IF(COUNT(AG318:AH318)=0,"",AI318-LOOKUP(2,1/(AG318:AH318&lt;&gt;""),AG318:AH318)))</t>
        </is>
      </c>
      <c r="AW318" s="38" t="inlineStr">
        <is>
          <t>IF(OR(E318="",AJ318=""),"",IF(COUNT(AG318:AI318)=0,"",AJ318-LOOKUP(2,1/(AG318:AI318&lt;&gt;""),AG318:AI318)))</t>
        </is>
      </c>
      <c r="AX318" s="38" t="inlineStr">
        <is>
          <t>IF(OR(E318="",AK318=""),"",IF(COUNT(AG318:AJ318)=0,"",AK318-LOOKUP(2,1/(AG318:AJ318&lt;&gt;""),AG318:AJ318)))</t>
        </is>
      </c>
      <c r="AY318" s="38" t="inlineStr">
        <is>
          <t>IF(OR(E318="",AL318=""),"",IF(COUNT(AG318:AK318)=0,"",AL318-LOOKUP(2,1/(AG318:AK318&lt;&gt;""),AG318:AK318)))</t>
        </is>
      </c>
      <c r="AZ318" s="38" t="inlineStr">
        <is>
          <t>IF(OR(E318="",AM318=""),"",IF(COUNT(AG318:AL318)=0,"",AM318-LOOKUP(2,1/(AG318:AL318&lt;&gt;""),AG318:AL318)))</t>
        </is>
      </c>
      <c r="BA318" s="38" t="inlineStr">
        <is>
          <t>IF(OR(E318="",AN318=""),"",IF(COUNT(AG318:AM318)=0,"",AN318-LOOKUP(2,1/(AG318:AM318&lt;&gt;""),AG318:AM318)))</t>
        </is>
      </c>
      <c r="BB318" s="38" t="inlineStr">
        <is>
          <t>IF(OR(E318="",AO318=""),"",IF(COUNT(AG318:AN318)=0,"",AO318-LOOKUP(2,1/(AG318:AN318&lt;&gt;""),AG318:AN318)))</t>
        </is>
      </c>
      <c r="BC318" s="38" t="inlineStr">
        <is>
          <t>IF(OR(E318="",AP318=""),"",IF(COUNT(AG318:AO318)=0,"",AP318-LOOKUP(2,1/(AG318:AO318&lt;&gt;""),AG318:AO318)))</t>
        </is>
      </c>
      <c r="BD318" s="38" t="inlineStr">
        <is>
          <t>IF(OR(E318="",AQ318=""),"",IF(COUNT(AG318:AP318)=0,"",AQ318-LOOKUP(2,1/(AG318:AP318&lt;&gt;""),AG318:AP318)))</t>
        </is>
      </c>
      <c r="BE318" s="38" t="inlineStr">
        <is>
          <t>IF(OR(E318="",AR318=""),"",IF(COUNT(AG318:AQ318)=0,"",AR318-LOOKUP(2,1/(AG318:AQ318&lt;&gt;""),AG318:AQ318)))</t>
        </is>
      </c>
      <c r="BF318" s="38" t="inlineStr">
        <is>
          <t>IF(OR(E318="",AS318=""),"",IF(COUNT(AG318:AR318)=0,"",AS318-LOOKUP(2,1/(AG318:AR318&lt;&gt;""),AG318:AR318)))</t>
        </is>
      </c>
      <c r="BG318" s="38" t="inlineStr">
        <is>
          <t>IF(OR(E318="",AT318=""),"",IF(COUNT(AG318:AS318)=0,"",AT318-LOOKUP(2,1/(AG318:AS318&lt;&gt;""),AG318:AS318)))</t>
        </is>
      </c>
      <c r="BH318" s="41" t="inlineStr">
        <is>
          <t>IF(G318="","All_Provinces",IFERROR(VLOOKUP(G318,'07_Lookups'!$A$4:$B$20,2,FALSE),"All_Provinces"))</t>
        </is>
      </c>
      <c r="BI318" s="41" t="inlineStr">
        <is>
          <t>IF(H318="","All_Districts",IFERROR(VLOOKUP(H318,'07_Lookups'!$E$4:$F$42,2,FALSE),"All_Districts"))</t>
        </is>
      </c>
    </row>
    <row r="319" ht="18" customHeight="1">
      <c r="A319" s="32" t="inlineStr">
        <is>
          <t>IF(E319="","",ROW()-3)</t>
        </is>
      </c>
      <c r="B319" s="42" t="n"/>
      <c r="C319" s="42" t="n"/>
      <c r="D319" s="42" t="n"/>
      <c r="E319" s="42" t="n"/>
      <c r="F319" s="42" t="n"/>
      <c r="G319" s="42" t="n"/>
      <c r="H319" s="42" t="n"/>
      <c r="I319" s="42" t="n"/>
      <c r="J319" s="42" t="n"/>
      <c r="K319" s="42" t="n"/>
      <c r="L319" s="42" t="n"/>
      <c r="M319" s="42" t="n"/>
      <c r="N319" s="42" t="n"/>
      <c r="O319" s="42" t="n"/>
      <c r="P319" s="42" t="n"/>
      <c r="Q319" s="43" t="n"/>
      <c r="R319" s="35" t="inlineStr">
        <is>
          <t>IF(AO319="","",AO319)</t>
        </is>
      </c>
      <c r="S319" s="44" t="n"/>
      <c r="T319" s="45" t="n"/>
      <c r="U319" s="44" t="n"/>
      <c r="V319" s="35" t="inlineStr">
        <is>
          <t>IF(U319&lt;&gt;"",U319,IF(OR(R319="",T319=""),"",EDATE(R319,T319)))</t>
        </is>
      </c>
      <c r="W319" s="44" t="n"/>
      <c r="X319" s="45" t="n"/>
      <c r="Y319" s="42" t="n"/>
      <c r="Z319" s="42" t="n"/>
      <c r="AA319" s="32" t="inlineStr">
        <is>
          <t>IF(E319="","",IF(COUNT(AG319:AT319)=0,IF(Y319="","Not started",Y319),SUBSTITUTE(LOOKUP(2,1/(AG319:AT319&lt;&gt;""),$AG$3:$AT$3),"Date: ","")))</t>
        </is>
      </c>
      <c r="AB319" s="38" t="inlineStr">
        <is>
          <t>IF(OR(E319="",COUNT(AG319:AT319)=0),"",TODAY()-LOOKUP(2,1/(AG319:AT319&lt;&gt;""),AG319:AT319))</t>
        </is>
      </c>
      <c r="AC319" s="38" t="inlineStr">
        <is>
          <t>IF(OR(E319="",COUNT(AG319:AT319)&lt;2),"",LOOKUP(2,1/(AG319:AT319&lt;&gt;""),AG319:AT319)-MIN(AG319:AT319))</t>
        </is>
      </c>
      <c r="AD319" s="38" t="inlineStr">
        <is>
          <t>IF(OR(AB319="",AA319="Not started",AA319=""),"",IFERROR(AB319-IF(VLOOKUP(AA319,'04_Status_Pipeline'!$B$3:$E$20,4,FALSE)="",0,VLOOKUP(AA319,'04_Status_Pipeline'!$B$3:$E$20,4,FALSE)),""))</t>
        </is>
      </c>
      <c r="AE319" s="32" t="inlineStr">
        <is>
          <t>IF(E319="","",IF(OR(Y319="Cancelled",AA319="Cancelled"),"Cancelled",IF(OR(AA319="Completed / Handover",W319&lt;&gt;"",X319&gt;=100),"Completed — on track",IF(L319="Remaining",IF(S319="",IF(V319="","No planned date",IF(TODAY()&gt;V319,"Behind — past planned date",IF(V319-TODAY()&lt;=30,"At risk — close to off track","On track"))),IF(TODAY()&gt;S319,"Behind — award date passed",IF(S319-TODAY()&lt;=30,"At risk — close to off track","On track"))),IF(V319="","No planned date",IF(AND(TODAY()&gt;V319,OR(X319="",X319&lt;100)),"Behind — past end date",IF(AND(R319&lt;&gt;"",V319&lt;&gt;"",X319&lt;&gt;"",(X319&lt;100),((TODAY()-R319)/MAX(V319-R319,1)*100)-X319&gt;15),"Behind — progress lag",IF(AND(V319-TODAY()&lt;=30,V319-TODAY()&gt;=0,OR(X319="",X319&lt;90)),"At risk — close to off track","On track"))))))))</t>
        </is>
      </c>
      <c r="AF319" s="38" t="inlineStr">
        <is>
          <t>IF(OR(E319="",AA319="Completed / Handover",AA319="Cancelled"),"",IF(L319="Remaining",IF(S319&lt;&gt;"",S319-TODAY(),IF(V319="","",V319-TODAY())),IF(V319="","",V319-TODAY())))</t>
        </is>
      </c>
      <c r="AG319" s="44" t="n"/>
      <c r="AH319" s="44" t="n"/>
      <c r="AI319" s="44" t="n"/>
      <c r="AJ319" s="44" t="n"/>
      <c r="AK319" s="44" t="n"/>
      <c r="AL319" s="44" t="n"/>
      <c r="AM319" s="44" t="n"/>
      <c r="AN319" s="44" t="n"/>
      <c r="AO319" s="44" t="n"/>
      <c r="AP319" s="44" t="n"/>
      <c r="AQ319" s="44" t="n"/>
      <c r="AR319" s="40" t="n"/>
      <c r="AS319" s="40" t="n"/>
      <c r="AT319" s="40" t="n"/>
      <c r="AU319" s="38" t="inlineStr">
        <is>
          <t>IF(OR(E319="",AH319=""),"",IF(COUNT(AG319:AG319)=0,"",AH319-LOOKUP(2,1/(AG319:AG319&lt;&gt;""),AG319:AG319)))</t>
        </is>
      </c>
      <c r="AV319" s="38" t="inlineStr">
        <is>
          <t>IF(OR(E319="",AI319=""),"",IF(COUNT(AG319:AH319)=0,"",AI319-LOOKUP(2,1/(AG319:AH319&lt;&gt;""),AG319:AH319)))</t>
        </is>
      </c>
      <c r="AW319" s="38" t="inlineStr">
        <is>
          <t>IF(OR(E319="",AJ319=""),"",IF(COUNT(AG319:AI319)=0,"",AJ319-LOOKUP(2,1/(AG319:AI319&lt;&gt;""),AG319:AI319)))</t>
        </is>
      </c>
      <c r="AX319" s="38" t="inlineStr">
        <is>
          <t>IF(OR(E319="",AK319=""),"",IF(COUNT(AG319:AJ319)=0,"",AK319-LOOKUP(2,1/(AG319:AJ319&lt;&gt;""),AG319:AJ319)))</t>
        </is>
      </c>
      <c r="AY319" s="38" t="inlineStr">
        <is>
          <t>IF(OR(E319="",AL319=""),"",IF(COUNT(AG319:AK319)=0,"",AL319-LOOKUP(2,1/(AG319:AK319&lt;&gt;""),AG319:AK319)))</t>
        </is>
      </c>
      <c r="AZ319" s="38" t="inlineStr">
        <is>
          <t>IF(OR(E319="",AM319=""),"",IF(COUNT(AG319:AL319)=0,"",AM319-LOOKUP(2,1/(AG319:AL319&lt;&gt;""),AG319:AL319)))</t>
        </is>
      </c>
      <c r="BA319" s="38" t="inlineStr">
        <is>
          <t>IF(OR(E319="",AN319=""),"",IF(COUNT(AG319:AM319)=0,"",AN319-LOOKUP(2,1/(AG319:AM319&lt;&gt;""),AG319:AM319)))</t>
        </is>
      </c>
      <c r="BB319" s="38" t="inlineStr">
        <is>
          <t>IF(OR(E319="",AO319=""),"",IF(COUNT(AG319:AN319)=0,"",AO319-LOOKUP(2,1/(AG319:AN319&lt;&gt;""),AG319:AN319)))</t>
        </is>
      </c>
      <c r="BC319" s="38" t="inlineStr">
        <is>
          <t>IF(OR(E319="",AP319=""),"",IF(COUNT(AG319:AO319)=0,"",AP319-LOOKUP(2,1/(AG319:AO319&lt;&gt;""),AG319:AO319)))</t>
        </is>
      </c>
      <c r="BD319" s="38" t="inlineStr">
        <is>
          <t>IF(OR(E319="",AQ319=""),"",IF(COUNT(AG319:AP319)=0,"",AQ319-LOOKUP(2,1/(AG319:AP319&lt;&gt;""),AG319:AP319)))</t>
        </is>
      </c>
      <c r="BE319" s="38" t="inlineStr">
        <is>
          <t>IF(OR(E319="",AR319=""),"",IF(COUNT(AG319:AQ319)=0,"",AR319-LOOKUP(2,1/(AG319:AQ319&lt;&gt;""),AG319:AQ319)))</t>
        </is>
      </c>
      <c r="BF319" s="38" t="inlineStr">
        <is>
          <t>IF(OR(E319="",AS319=""),"",IF(COUNT(AG319:AR319)=0,"",AS319-LOOKUP(2,1/(AG319:AR319&lt;&gt;""),AG319:AR319)))</t>
        </is>
      </c>
      <c r="BG319" s="38" t="inlineStr">
        <is>
          <t>IF(OR(E319="",AT319=""),"",IF(COUNT(AG319:AS319)=0,"",AT319-LOOKUP(2,1/(AG319:AS319&lt;&gt;""),AG319:AS319)))</t>
        </is>
      </c>
      <c r="BH319" s="41" t="inlineStr">
        <is>
          <t>IF(G319="","All_Provinces",IFERROR(VLOOKUP(G319,'07_Lookups'!$A$4:$B$20,2,FALSE),"All_Provinces"))</t>
        </is>
      </c>
      <c r="BI319" s="41" t="inlineStr">
        <is>
          <t>IF(H319="","All_Districts",IFERROR(VLOOKUP(H319,'07_Lookups'!$E$4:$F$42,2,FALSE),"All_Districts"))</t>
        </is>
      </c>
    </row>
    <row r="320" ht="18" customHeight="1">
      <c r="A320" s="32" t="inlineStr">
        <is>
          <t>IF(E320="","",ROW()-3)</t>
        </is>
      </c>
      <c r="B320" s="33" t="n"/>
      <c r="C320" s="33" t="n"/>
      <c r="D320" s="33" t="n"/>
      <c r="E320" s="33" t="n"/>
      <c r="F320" s="33" t="n"/>
      <c r="G320" s="33" t="n"/>
      <c r="H320" s="33" t="n"/>
      <c r="I320" s="33" t="n"/>
      <c r="J320" s="33" t="n"/>
      <c r="K320" s="33" t="n"/>
      <c r="L320" s="33" t="n"/>
      <c r="M320" s="33" t="n"/>
      <c r="N320" s="33" t="n"/>
      <c r="O320" s="33" t="n"/>
      <c r="P320" s="33" t="n"/>
      <c r="Q320" s="34" t="n"/>
      <c r="R320" s="35" t="inlineStr">
        <is>
          <t>IF(AO320="","",AO320)</t>
        </is>
      </c>
      <c r="S320" s="36" t="n"/>
      <c r="T320" s="37" t="n"/>
      <c r="U320" s="36" t="n"/>
      <c r="V320" s="35" t="inlineStr">
        <is>
          <t>IF(U320&lt;&gt;"",U320,IF(OR(R320="",T320=""),"",EDATE(R320,T320)))</t>
        </is>
      </c>
      <c r="W320" s="36" t="n"/>
      <c r="X320" s="37" t="n"/>
      <c r="Y320" s="33" t="n"/>
      <c r="Z320" s="33" t="n"/>
      <c r="AA320" s="32" t="inlineStr">
        <is>
          <t>IF(E320="","",IF(COUNT(AG320:AT320)=0,IF(Y320="","Not started",Y320),SUBSTITUTE(LOOKUP(2,1/(AG320:AT320&lt;&gt;""),$AG$3:$AT$3),"Date: ","")))</t>
        </is>
      </c>
      <c r="AB320" s="38" t="inlineStr">
        <is>
          <t>IF(OR(E320="",COUNT(AG320:AT320)=0),"",TODAY()-LOOKUP(2,1/(AG320:AT320&lt;&gt;""),AG320:AT320))</t>
        </is>
      </c>
      <c r="AC320" s="38" t="inlineStr">
        <is>
          <t>IF(OR(E320="",COUNT(AG320:AT320)&lt;2),"",LOOKUP(2,1/(AG320:AT320&lt;&gt;""),AG320:AT320)-MIN(AG320:AT320))</t>
        </is>
      </c>
      <c r="AD320" s="38" t="inlineStr">
        <is>
          <t>IF(OR(AB320="",AA320="Not started",AA320=""),"",IFERROR(AB320-IF(VLOOKUP(AA320,'04_Status_Pipeline'!$B$3:$E$20,4,FALSE)="",0,VLOOKUP(AA320,'04_Status_Pipeline'!$B$3:$E$20,4,FALSE)),""))</t>
        </is>
      </c>
      <c r="AE320" s="32" t="inlineStr">
        <is>
          <t>IF(E320="","",IF(OR(Y320="Cancelled",AA320="Cancelled"),"Cancelled",IF(OR(AA320="Completed / Handover",W320&lt;&gt;"",X320&gt;=100),"Completed — on track",IF(L320="Remaining",IF(S320="",IF(V320="","No planned date",IF(TODAY()&gt;V320,"Behind — past planned date",IF(V320-TODAY()&lt;=30,"At risk — close to off track","On track"))),IF(TODAY()&gt;S320,"Behind — award date passed",IF(S320-TODAY()&lt;=30,"At risk — close to off track","On track"))),IF(V320="","No planned date",IF(AND(TODAY()&gt;V320,OR(X320="",X320&lt;100)),"Behind — past end date",IF(AND(R320&lt;&gt;"",V320&lt;&gt;"",X320&lt;&gt;"",(X320&lt;100),((TODAY()-R320)/MAX(V320-R320,1)*100)-X320&gt;15),"Behind — progress lag",IF(AND(V320-TODAY()&lt;=30,V320-TODAY()&gt;=0,OR(X320="",X320&lt;90)),"At risk — close to off track","On track"))))))))</t>
        </is>
      </c>
      <c r="AF320" s="38" t="inlineStr">
        <is>
          <t>IF(OR(E320="",AA320="Completed / Handover",AA320="Cancelled"),"",IF(L320="Remaining",IF(S320&lt;&gt;"",S320-TODAY(),IF(V320="","",V320-TODAY())),IF(V320="","",V320-TODAY())))</t>
        </is>
      </c>
      <c r="AG320" s="36" t="n"/>
      <c r="AH320" s="36" t="n"/>
      <c r="AI320" s="36" t="n"/>
      <c r="AJ320" s="36" t="n"/>
      <c r="AK320" s="36" t="n"/>
      <c r="AL320" s="36" t="n"/>
      <c r="AM320" s="36" t="n"/>
      <c r="AN320" s="36" t="n"/>
      <c r="AO320" s="36" t="n"/>
      <c r="AP320" s="36" t="n"/>
      <c r="AQ320" s="36" t="n"/>
      <c r="AR320" s="40" t="n"/>
      <c r="AS320" s="40" t="n"/>
      <c r="AT320" s="40" t="n"/>
      <c r="AU320" s="38" t="inlineStr">
        <is>
          <t>IF(OR(E320="",AH320=""),"",IF(COUNT(AG320:AG320)=0,"",AH320-LOOKUP(2,1/(AG320:AG320&lt;&gt;""),AG320:AG320)))</t>
        </is>
      </c>
      <c r="AV320" s="38" t="inlineStr">
        <is>
          <t>IF(OR(E320="",AI320=""),"",IF(COUNT(AG320:AH320)=0,"",AI320-LOOKUP(2,1/(AG320:AH320&lt;&gt;""),AG320:AH320)))</t>
        </is>
      </c>
      <c r="AW320" s="38" t="inlineStr">
        <is>
          <t>IF(OR(E320="",AJ320=""),"",IF(COUNT(AG320:AI320)=0,"",AJ320-LOOKUP(2,1/(AG320:AI320&lt;&gt;""),AG320:AI320)))</t>
        </is>
      </c>
      <c r="AX320" s="38" t="inlineStr">
        <is>
          <t>IF(OR(E320="",AK320=""),"",IF(COUNT(AG320:AJ320)=0,"",AK320-LOOKUP(2,1/(AG320:AJ320&lt;&gt;""),AG320:AJ320)))</t>
        </is>
      </c>
      <c r="AY320" s="38" t="inlineStr">
        <is>
          <t>IF(OR(E320="",AL320=""),"",IF(COUNT(AG320:AK320)=0,"",AL320-LOOKUP(2,1/(AG320:AK320&lt;&gt;""),AG320:AK320)))</t>
        </is>
      </c>
      <c r="AZ320" s="38" t="inlineStr">
        <is>
          <t>IF(OR(E320="",AM320=""),"",IF(COUNT(AG320:AL320)=0,"",AM320-LOOKUP(2,1/(AG320:AL320&lt;&gt;""),AG320:AL320)))</t>
        </is>
      </c>
      <c r="BA320" s="38" t="inlineStr">
        <is>
          <t>IF(OR(E320="",AN320=""),"",IF(COUNT(AG320:AM320)=0,"",AN320-LOOKUP(2,1/(AG320:AM320&lt;&gt;""),AG320:AM320)))</t>
        </is>
      </c>
      <c r="BB320" s="38" t="inlineStr">
        <is>
          <t>IF(OR(E320="",AO320=""),"",IF(COUNT(AG320:AN320)=0,"",AO320-LOOKUP(2,1/(AG320:AN320&lt;&gt;""),AG320:AN320)))</t>
        </is>
      </c>
      <c r="BC320" s="38" t="inlineStr">
        <is>
          <t>IF(OR(E320="",AP320=""),"",IF(COUNT(AG320:AO320)=0,"",AP320-LOOKUP(2,1/(AG320:AO320&lt;&gt;""),AG320:AO320)))</t>
        </is>
      </c>
      <c r="BD320" s="38" t="inlineStr">
        <is>
          <t>IF(OR(E320="",AQ320=""),"",IF(COUNT(AG320:AP320)=0,"",AQ320-LOOKUP(2,1/(AG320:AP320&lt;&gt;""),AG320:AP320)))</t>
        </is>
      </c>
      <c r="BE320" s="38" t="inlineStr">
        <is>
          <t>IF(OR(E320="",AR320=""),"",IF(COUNT(AG320:AQ320)=0,"",AR320-LOOKUP(2,1/(AG320:AQ320&lt;&gt;""),AG320:AQ320)))</t>
        </is>
      </c>
      <c r="BF320" s="38" t="inlineStr">
        <is>
          <t>IF(OR(E320="",AS320=""),"",IF(COUNT(AG320:AR320)=0,"",AS320-LOOKUP(2,1/(AG320:AR320&lt;&gt;""),AG320:AR320)))</t>
        </is>
      </c>
      <c r="BG320" s="38" t="inlineStr">
        <is>
          <t>IF(OR(E320="",AT320=""),"",IF(COUNT(AG320:AS320)=0,"",AT320-LOOKUP(2,1/(AG320:AS320&lt;&gt;""),AG320:AS320)))</t>
        </is>
      </c>
      <c r="BH320" s="41" t="inlineStr">
        <is>
          <t>IF(G320="","All_Provinces",IFERROR(VLOOKUP(G320,'07_Lookups'!$A$4:$B$20,2,FALSE),"All_Provinces"))</t>
        </is>
      </c>
      <c r="BI320" s="41" t="inlineStr">
        <is>
          <t>IF(H320="","All_Districts",IFERROR(VLOOKUP(H320,'07_Lookups'!$E$4:$F$42,2,FALSE),"All_Districts"))</t>
        </is>
      </c>
    </row>
    <row r="321" ht="18" customHeight="1">
      <c r="A321" s="32" t="inlineStr">
        <is>
          <t>IF(E321="","",ROW()-3)</t>
        </is>
      </c>
      <c r="B321" s="42" t="n"/>
      <c r="C321" s="42" t="n"/>
      <c r="D321" s="42" t="n"/>
      <c r="E321" s="42" t="n"/>
      <c r="F321" s="42" t="n"/>
      <c r="G321" s="42" t="n"/>
      <c r="H321" s="42" t="n"/>
      <c r="I321" s="42" t="n"/>
      <c r="J321" s="42" t="n"/>
      <c r="K321" s="42" t="n"/>
      <c r="L321" s="42" t="n"/>
      <c r="M321" s="42" t="n"/>
      <c r="N321" s="42" t="n"/>
      <c r="O321" s="42" t="n"/>
      <c r="P321" s="42" t="n"/>
      <c r="Q321" s="43" t="n"/>
      <c r="R321" s="35" t="inlineStr">
        <is>
          <t>IF(AO321="","",AO321)</t>
        </is>
      </c>
      <c r="S321" s="44" t="n"/>
      <c r="T321" s="45" t="n"/>
      <c r="U321" s="44" t="n"/>
      <c r="V321" s="35" t="inlineStr">
        <is>
          <t>IF(U321&lt;&gt;"",U321,IF(OR(R321="",T321=""),"",EDATE(R321,T321)))</t>
        </is>
      </c>
      <c r="W321" s="44" t="n"/>
      <c r="X321" s="45" t="n"/>
      <c r="Y321" s="42" t="n"/>
      <c r="Z321" s="42" t="n"/>
      <c r="AA321" s="32" t="inlineStr">
        <is>
          <t>IF(E321="","",IF(COUNT(AG321:AT321)=0,IF(Y321="","Not started",Y321),SUBSTITUTE(LOOKUP(2,1/(AG321:AT321&lt;&gt;""),$AG$3:$AT$3),"Date: ","")))</t>
        </is>
      </c>
      <c r="AB321" s="38" t="inlineStr">
        <is>
          <t>IF(OR(E321="",COUNT(AG321:AT321)=0),"",TODAY()-LOOKUP(2,1/(AG321:AT321&lt;&gt;""),AG321:AT321))</t>
        </is>
      </c>
      <c r="AC321" s="38" t="inlineStr">
        <is>
          <t>IF(OR(E321="",COUNT(AG321:AT321)&lt;2),"",LOOKUP(2,1/(AG321:AT321&lt;&gt;""),AG321:AT321)-MIN(AG321:AT321))</t>
        </is>
      </c>
      <c r="AD321" s="38" t="inlineStr">
        <is>
          <t>IF(OR(AB321="",AA321="Not started",AA321=""),"",IFERROR(AB321-IF(VLOOKUP(AA321,'04_Status_Pipeline'!$B$3:$E$20,4,FALSE)="",0,VLOOKUP(AA321,'04_Status_Pipeline'!$B$3:$E$20,4,FALSE)),""))</t>
        </is>
      </c>
      <c r="AE321" s="32" t="inlineStr">
        <is>
          <t>IF(E321="","",IF(OR(Y321="Cancelled",AA321="Cancelled"),"Cancelled",IF(OR(AA321="Completed / Handover",W321&lt;&gt;"",X321&gt;=100),"Completed — on track",IF(L321="Remaining",IF(S321="",IF(V321="","No planned date",IF(TODAY()&gt;V321,"Behind — past planned date",IF(V321-TODAY()&lt;=30,"At risk — close to off track","On track"))),IF(TODAY()&gt;S321,"Behind — award date passed",IF(S321-TODAY()&lt;=30,"At risk — close to off track","On track"))),IF(V321="","No planned date",IF(AND(TODAY()&gt;V321,OR(X321="",X321&lt;100)),"Behind — past end date",IF(AND(R321&lt;&gt;"",V321&lt;&gt;"",X321&lt;&gt;"",(X321&lt;100),((TODAY()-R321)/MAX(V321-R321,1)*100)-X321&gt;15),"Behind — progress lag",IF(AND(V321-TODAY()&lt;=30,V321-TODAY()&gt;=0,OR(X321="",X321&lt;90)),"At risk — close to off track","On track"))))))))</t>
        </is>
      </c>
      <c r="AF321" s="38" t="inlineStr">
        <is>
          <t>IF(OR(E321="",AA321="Completed / Handover",AA321="Cancelled"),"",IF(L321="Remaining",IF(S321&lt;&gt;"",S321-TODAY(),IF(V321="","",V321-TODAY())),IF(V321="","",V321-TODAY())))</t>
        </is>
      </c>
      <c r="AG321" s="44" t="n"/>
      <c r="AH321" s="44" t="n"/>
      <c r="AI321" s="44" t="n"/>
      <c r="AJ321" s="44" t="n"/>
      <c r="AK321" s="44" t="n"/>
      <c r="AL321" s="44" t="n"/>
      <c r="AM321" s="44" t="n"/>
      <c r="AN321" s="44" t="n"/>
      <c r="AO321" s="44" t="n"/>
      <c r="AP321" s="44" t="n"/>
      <c r="AQ321" s="44" t="n"/>
      <c r="AR321" s="40" t="n"/>
      <c r="AS321" s="40" t="n"/>
      <c r="AT321" s="40" t="n"/>
      <c r="AU321" s="38" t="inlineStr">
        <is>
          <t>IF(OR(E321="",AH321=""),"",IF(COUNT(AG321:AG321)=0,"",AH321-LOOKUP(2,1/(AG321:AG321&lt;&gt;""),AG321:AG321)))</t>
        </is>
      </c>
      <c r="AV321" s="38" t="inlineStr">
        <is>
          <t>IF(OR(E321="",AI321=""),"",IF(COUNT(AG321:AH321)=0,"",AI321-LOOKUP(2,1/(AG321:AH321&lt;&gt;""),AG321:AH321)))</t>
        </is>
      </c>
      <c r="AW321" s="38" t="inlineStr">
        <is>
          <t>IF(OR(E321="",AJ321=""),"",IF(COUNT(AG321:AI321)=0,"",AJ321-LOOKUP(2,1/(AG321:AI321&lt;&gt;""),AG321:AI321)))</t>
        </is>
      </c>
      <c r="AX321" s="38" t="inlineStr">
        <is>
          <t>IF(OR(E321="",AK321=""),"",IF(COUNT(AG321:AJ321)=0,"",AK321-LOOKUP(2,1/(AG321:AJ321&lt;&gt;""),AG321:AJ321)))</t>
        </is>
      </c>
      <c r="AY321" s="38" t="inlineStr">
        <is>
          <t>IF(OR(E321="",AL321=""),"",IF(COUNT(AG321:AK321)=0,"",AL321-LOOKUP(2,1/(AG321:AK321&lt;&gt;""),AG321:AK321)))</t>
        </is>
      </c>
      <c r="AZ321" s="38" t="inlineStr">
        <is>
          <t>IF(OR(E321="",AM321=""),"",IF(COUNT(AG321:AL321)=0,"",AM321-LOOKUP(2,1/(AG321:AL321&lt;&gt;""),AG321:AL321)))</t>
        </is>
      </c>
      <c r="BA321" s="38" t="inlineStr">
        <is>
          <t>IF(OR(E321="",AN321=""),"",IF(COUNT(AG321:AM321)=0,"",AN321-LOOKUP(2,1/(AG321:AM321&lt;&gt;""),AG321:AM321)))</t>
        </is>
      </c>
      <c r="BB321" s="38" t="inlineStr">
        <is>
          <t>IF(OR(E321="",AO321=""),"",IF(COUNT(AG321:AN321)=0,"",AO321-LOOKUP(2,1/(AG321:AN321&lt;&gt;""),AG321:AN321)))</t>
        </is>
      </c>
      <c r="BC321" s="38" t="inlineStr">
        <is>
          <t>IF(OR(E321="",AP321=""),"",IF(COUNT(AG321:AO321)=0,"",AP321-LOOKUP(2,1/(AG321:AO321&lt;&gt;""),AG321:AO321)))</t>
        </is>
      </c>
      <c r="BD321" s="38" t="inlineStr">
        <is>
          <t>IF(OR(E321="",AQ321=""),"",IF(COUNT(AG321:AP321)=0,"",AQ321-LOOKUP(2,1/(AG321:AP321&lt;&gt;""),AG321:AP321)))</t>
        </is>
      </c>
      <c r="BE321" s="38" t="inlineStr">
        <is>
          <t>IF(OR(E321="",AR321=""),"",IF(COUNT(AG321:AQ321)=0,"",AR321-LOOKUP(2,1/(AG321:AQ321&lt;&gt;""),AG321:AQ321)))</t>
        </is>
      </c>
      <c r="BF321" s="38" t="inlineStr">
        <is>
          <t>IF(OR(E321="",AS321=""),"",IF(COUNT(AG321:AR321)=0,"",AS321-LOOKUP(2,1/(AG321:AR321&lt;&gt;""),AG321:AR321)))</t>
        </is>
      </c>
      <c r="BG321" s="38" t="inlineStr">
        <is>
          <t>IF(OR(E321="",AT321=""),"",IF(COUNT(AG321:AS321)=0,"",AT321-LOOKUP(2,1/(AG321:AS321&lt;&gt;""),AG321:AS321)))</t>
        </is>
      </c>
      <c r="BH321" s="41" t="inlineStr">
        <is>
          <t>IF(G321="","All_Provinces",IFERROR(VLOOKUP(G321,'07_Lookups'!$A$4:$B$20,2,FALSE),"All_Provinces"))</t>
        </is>
      </c>
      <c r="BI321" s="41" t="inlineStr">
        <is>
          <t>IF(H321="","All_Districts",IFERROR(VLOOKUP(H321,'07_Lookups'!$E$4:$F$42,2,FALSE),"All_Districts"))</t>
        </is>
      </c>
    </row>
    <row r="322" ht="18" customHeight="1">
      <c r="A322" s="32" t="inlineStr">
        <is>
          <t>IF(E322="","",ROW()-3)</t>
        </is>
      </c>
      <c r="B322" s="33" t="n"/>
      <c r="C322" s="33" t="n"/>
      <c r="D322" s="33" t="n"/>
      <c r="E322" s="33" t="n"/>
      <c r="F322" s="33" t="n"/>
      <c r="G322" s="33" t="n"/>
      <c r="H322" s="33" t="n"/>
      <c r="I322" s="33" t="n"/>
      <c r="J322" s="33" t="n"/>
      <c r="K322" s="33" t="n"/>
      <c r="L322" s="33" t="n"/>
      <c r="M322" s="33" t="n"/>
      <c r="N322" s="33" t="n"/>
      <c r="O322" s="33" t="n"/>
      <c r="P322" s="33" t="n"/>
      <c r="Q322" s="34" t="n"/>
      <c r="R322" s="35" t="inlineStr">
        <is>
          <t>IF(AO322="","",AO322)</t>
        </is>
      </c>
      <c r="S322" s="36" t="n"/>
      <c r="T322" s="37" t="n"/>
      <c r="U322" s="36" t="n"/>
      <c r="V322" s="35" t="inlineStr">
        <is>
          <t>IF(U322&lt;&gt;"",U322,IF(OR(R322="",T322=""),"",EDATE(R322,T322)))</t>
        </is>
      </c>
      <c r="W322" s="36" t="n"/>
      <c r="X322" s="37" t="n"/>
      <c r="Y322" s="33" t="n"/>
      <c r="Z322" s="33" t="n"/>
      <c r="AA322" s="32" t="inlineStr">
        <is>
          <t>IF(E322="","",IF(COUNT(AG322:AT322)=0,IF(Y322="","Not started",Y322),SUBSTITUTE(LOOKUP(2,1/(AG322:AT322&lt;&gt;""),$AG$3:$AT$3),"Date: ","")))</t>
        </is>
      </c>
      <c r="AB322" s="38" t="inlineStr">
        <is>
          <t>IF(OR(E322="",COUNT(AG322:AT322)=0),"",TODAY()-LOOKUP(2,1/(AG322:AT322&lt;&gt;""),AG322:AT322))</t>
        </is>
      </c>
      <c r="AC322" s="38" t="inlineStr">
        <is>
          <t>IF(OR(E322="",COUNT(AG322:AT322)&lt;2),"",LOOKUP(2,1/(AG322:AT322&lt;&gt;""),AG322:AT322)-MIN(AG322:AT322))</t>
        </is>
      </c>
      <c r="AD322" s="38" t="inlineStr">
        <is>
          <t>IF(OR(AB322="",AA322="Not started",AA322=""),"",IFERROR(AB322-IF(VLOOKUP(AA322,'04_Status_Pipeline'!$B$3:$E$20,4,FALSE)="",0,VLOOKUP(AA322,'04_Status_Pipeline'!$B$3:$E$20,4,FALSE)),""))</t>
        </is>
      </c>
      <c r="AE322" s="32" t="inlineStr">
        <is>
          <t>IF(E322="","",IF(OR(Y322="Cancelled",AA322="Cancelled"),"Cancelled",IF(OR(AA322="Completed / Handover",W322&lt;&gt;"",X322&gt;=100),"Completed — on track",IF(L322="Remaining",IF(S322="",IF(V322="","No planned date",IF(TODAY()&gt;V322,"Behind — past planned date",IF(V322-TODAY()&lt;=30,"At risk — close to off track","On track"))),IF(TODAY()&gt;S322,"Behind — award date passed",IF(S322-TODAY()&lt;=30,"At risk — close to off track","On track"))),IF(V322="","No planned date",IF(AND(TODAY()&gt;V322,OR(X322="",X322&lt;100)),"Behind — past end date",IF(AND(R322&lt;&gt;"",V322&lt;&gt;"",X322&lt;&gt;"",(X322&lt;100),((TODAY()-R322)/MAX(V322-R322,1)*100)-X322&gt;15),"Behind — progress lag",IF(AND(V322-TODAY()&lt;=30,V322-TODAY()&gt;=0,OR(X322="",X322&lt;90)),"At risk — close to off track","On track"))))))))</t>
        </is>
      </c>
      <c r="AF322" s="38" t="inlineStr">
        <is>
          <t>IF(OR(E322="",AA322="Completed / Handover",AA322="Cancelled"),"",IF(L322="Remaining",IF(S322&lt;&gt;"",S322-TODAY(),IF(V322="","",V322-TODAY())),IF(V322="","",V322-TODAY())))</t>
        </is>
      </c>
      <c r="AG322" s="36" t="n"/>
      <c r="AH322" s="36" t="n"/>
      <c r="AI322" s="36" t="n"/>
      <c r="AJ322" s="36" t="n"/>
      <c r="AK322" s="36" t="n"/>
      <c r="AL322" s="36" t="n"/>
      <c r="AM322" s="36" t="n"/>
      <c r="AN322" s="36" t="n"/>
      <c r="AO322" s="36" t="n"/>
      <c r="AP322" s="36" t="n"/>
      <c r="AQ322" s="36" t="n"/>
      <c r="AR322" s="40" t="n"/>
      <c r="AS322" s="40" t="n"/>
      <c r="AT322" s="40" t="n"/>
      <c r="AU322" s="38" t="inlineStr">
        <is>
          <t>IF(OR(E322="",AH322=""),"",IF(COUNT(AG322:AG322)=0,"",AH322-LOOKUP(2,1/(AG322:AG322&lt;&gt;""),AG322:AG322)))</t>
        </is>
      </c>
      <c r="AV322" s="38" t="inlineStr">
        <is>
          <t>IF(OR(E322="",AI322=""),"",IF(COUNT(AG322:AH322)=0,"",AI322-LOOKUP(2,1/(AG322:AH322&lt;&gt;""),AG322:AH322)))</t>
        </is>
      </c>
      <c r="AW322" s="38" t="inlineStr">
        <is>
          <t>IF(OR(E322="",AJ322=""),"",IF(COUNT(AG322:AI322)=0,"",AJ322-LOOKUP(2,1/(AG322:AI322&lt;&gt;""),AG322:AI322)))</t>
        </is>
      </c>
      <c r="AX322" s="38" t="inlineStr">
        <is>
          <t>IF(OR(E322="",AK322=""),"",IF(COUNT(AG322:AJ322)=0,"",AK322-LOOKUP(2,1/(AG322:AJ322&lt;&gt;""),AG322:AJ322)))</t>
        </is>
      </c>
      <c r="AY322" s="38" t="inlineStr">
        <is>
          <t>IF(OR(E322="",AL322=""),"",IF(COUNT(AG322:AK322)=0,"",AL322-LOOKUP(2,1/(AG322:AK322&lt;&gt;""),AG322:AK322)))</t>
        </is>
      </c>
      <c r="AZ322" s="38" t="inlineStr">
        <is>
          <t>IF(OR(E322="",AM322=""),"",IF(COUNT(AG322:AL322)=0,"",AM322-LOOKUP(2,1/(AG322:AL322&lt;&gt;""),AG322:AL322)))</t>
        </is>
      </c>
      <c r="BA322" s="38" t="inlineStr">
        <is>
          <t>IF(OR(E322="",AN322=""),"",IF(COUNT(AG322:AM322)=0,"",AN322-LOOKUP(2,1/(AG322:AM322&lt;&gt;""),AG322:AM322)))</t>
        </is>
      </c>
      <c r="BB322" s="38" t="inlineStr">
        <is>
          <t>IF(OR(E322="",AO322=""),"",IF(COUNT(AG322:AN322)=0,"",AO322-LOOKUP(2,1/(AG322:AN322&lt;&gt;""),AG322:AN322)))</t>
        </is>
      </c>
      <c r="BC322" s="38" t="inlineStr">
        <is>
          <t>IF(OR(E322="",AP322=""),"",IF(COUNT(AG322:AO322)=0,"",AP322-LOOKUP(2,1/(AG322:AO322&lt;&gt;""),AG322:AO322)))</t>
        </is>
      </c>
      <c r="BD322" s="38" t="inlineStr">
        <is>
          <t>IF(OR(E322="",AQ322=""),"",IF(COUNT(AG322:AP322)=0,"",AQ322-LOOKUP(2,1/(AG322:AP322&lt;&gt;""),AG322:AP322)))</t>
        </is>
      </c>
      <c r="BE322" s="38" t="inlineStr">
        <is>
          <t>IF(OR(E322="",AR322=""),"",IF(COUNT(AG322:AQ322)=0,"",AR322-LOOKUP(2,1/(AG322:AQ322&lt;&gt;""),AG322:AQ322)))</t>
        </is>
      </c>
      <c r="BF322" s="38" t="inlineStr">
        <is>
          <t>IF(OR(E322="",AS322=""),"",IF(COUNT(AG322:AR322)=0,"",AS322-LOOKUP(2,1/(AG322:AR322&lt;&gt;""),AG322:AR322)))</t>
        </is>
      </c>
      <c r="BG322" s="38" t="inlineStr">
        <is>
          <t>IF(OR(E322="",AT322=""),"",IF(COUNT(AG322:AS322)=0,"",AT322-LOOKUP(2,1/(AG322:AS322&lt;&gt;""),AG322:AS322)))</t>
        </is>
      </c>
      <c r="BH322" s="41" t="inlineStr">
        <is>
          <t>IF(G322="","All_Provinces",IFERROR(VLOOKUP(G322,'07_Lookups'!$A$4:$B$20,2,FALSE),"All_Provinces"))</t>
        </is>
      </c>
      <c r="BI322" s="41" t="inlineStr">
        <is>
          <t>IF(H322="","All_Districts",IFERROR(VLOOKUP(H322,'07_Lookups'!$E$4:$F$42,2,FALSE),"All_Districts"))</t>
        </is>
      </c>
    </row>
    <row r="323" ht="18" customHeight="1">
      <c r="A323" s="32" t="inlineStr">
        <is>
          <t>IF(E323="","",ROW()-3)</t>
        </is>
      </c>
      <c r="B323" s="42" t="n"/>
      <c r="C323" s="42" t="n"/>
      <c r="D323" s="42" t="n"/>
      <c r="E323" s="42" t="n"/>
      <c r="F323" s="42" t="n"/>
      <c r="G323" s="42" t="n"/>
      <c r="H323" s="42" t="n"/>
      <c r="I323" s="42" t="n"/>
      <c r="J323" s="42" t="n"/>
      <c r="K323" s="42" t="n"/>
      <c r="L323" s="42" t="n"/>
      <c r="M323" s="42" t="n"/>
      <c r="N323" s="42" t="n"/>
      <c r="O323" s="42" t="n"/>
      <c r="P323" s="42" t="n"/>
      <c r="Q323" s="43" t="n"/>
      <c r="R323" s="35" t="inlineStr">
        <is>
          <t>IF(AO323="","",AO323)</t>
        </is>
      </c>
      <c r="S323" s="44" t="n"/>
      <c r="T323" s="45" t="n"/>
      <c r="U323" s="44" t="n"/>
      <c r="V323" s="35" t="inlineStr">
        <is>
          <t>IF(U323&lt;&gt;"",U323,IF(OR(R323="",T323=""),"",EDATE(R323,T323)))</t>
        </is>
      </c>
      <c r="W323" s="44" t="n"/>
      <c r="X323" s="45" t="n"/>
      <c r="Y323" s="42" t="n"/>
      <c r="Z323" s="42" t="n"/>
      <c r="AA323" s="32" t="inlineStr">
        <is>
          <t>IF(E323="","",IF(COUNT(AG323:AT323)=0,IF(Y323="","Not started",Y323),SUBSTITUTE(LOOKUP(2,1/(AG323:AT323&lt;&gt;""),$AG$3:$AT$3),"Date: ","")))</t>
        </is>
      </c>
      <c r="AB323" s="38" t="inlineStr">
        <is>
          <t>IF(OR(E323="",COUNT(AG323:AT323)=0),"",TODAY()-LOOKUP(2,1/(AG323:AT323&lt;&gt;""),AG323:AT323))</t>
        </is>
      </c>
      <c r="AC323" s="38" t="inlineStr">
        <is>
          <t>IF(OR(E323="",COUNT(AG323:AT323)&lt;2),"",LOOKUP(2,1/(AG323:AT323&lt;&gt;""),AG323:AT323)-MIN(AG323:AT323))</t>
        </is>
      </c>
      <c r="AD323" s="38" t="inlineStr">
        <is>
          <t>IF(OR(AB323="",AA323="Not started",AA323=""),"",IFERROR(AB323-IF(VLOOKUP(AA323,'04_Status_Pipeline'!$B$3:$E$20,4,FALSE)="",0,VLOOKUP(AA323,'04_Status_Pipeline'!$B$3:$E$20,4,FALSE)),""))</t>
        </is>
      </c>
      <c r="AE323" s="32" t="inlineStr">
        <is>
          <t>IF(E323="","",IF(OR(Y323="Cancelled",AA323="Cancelled"),"Cancelled",IF(OR(AA323="Completed / Handover",W323&lt;&gt;"",X323&gt;=100),"Completed — on track",IF(L323="Remaining",IF(S323="",IF(V323="","No planned date",IF(TODAY()&gt;V323,"Behind — past planned date",IF(V323-TODAY()&lt;=30,"At risk — close to off track","On track"))),IF(TODAY()&gt;S323,"Behind — award date passed",IF(S323-TODAY()&lt;=30,"At risk — close to off track","On track"))),IF(V323="","No planned date",IF(AND(TODAY()&gt;V323,OR(X323="",X323&lt;100)),"Behind — past end date",IF(AND(R323&lt;&gt;"",V323&lt;&gt;"",X323&lt;&gt;"",(X323&lt;100),((TODAY()-R323)/MAX(V323-R323,1)*100)-X323&gt;15),"Behind — progress lag",IF(AND(V323-TODAY()&lt;=30,V323-TODAY()&gt;=0,OR(X323="",X323&lt;90)),"At risk — close to off track","On track"))))))))</t>
        </is>
      </c>
      <c r="AF323" s="38" t="inlineStr">
        <is>
          <t>IF(OR(E323="",AA323="Completed / Handover",AA323="Cancelled"),"",IF(L323="Remaining",IF(S323&lt;&gt;"",S323-TODAY(),IF(V323="","",V323-TODAY())),IF(V323="","",V323-TODAY())))</t>
        </is>
      </c>
      <c r="AG323" s="44" t="n"/>
      <c r="AH323" s="44" t="n"/>
      <c r="AI323" s="44" t="n"/>
      <c r="AJ323" s="44" t="n"/>
      <c r="AK323" s="44" t="n"/>
      <c r="AL323" s="44" t="n"/>
      <c r="AM323" s="44" t="n"/>
      <c r="AN323" s="44" t="n"/>
      <c r="AO323" s="44" t="n"/>
      <c r="AP323" s="44" t="n"/>
      <c r="AQ323" s="44" t="n"/>
      <c r="AR323" s="40" t="n"/>
      <c r="AS323" s="40" t="n"/>
      <c r="AT323" s="40" t="n"/>
      <c r="AU323" s="38" t="inlineStr">
        <is>
          <t>IF(OR(E323="",AH323=""),"",IF(COUNT(AG323:AG323)=0,"",AH323-LOOKUP(2,1/(AG323:AG323&lt;&gt;""),AG323:AG323)))</t>
        </is>
      </c>
      <c r="AV323" s="38" t="inlineStr">
        <is>
          <t>IF(OR(E323="",AI323=""),"",IF(COUNT(AG323:AH323)=0,"",AI323-LOOKUP(2,1/(AG323:AH323&lt;&gt;""),AG323:AH323)))</t>
        </is>
      </c>
      <c r="AW323" s="38" t="inlineStr">
        <is>
          <t>IF(OR(E323="",AJ323=""),"",IF(COUNT(AG323:AI323)=0,"",AJ323-LOOKUP(2,1/(AG323:AI323&lt;&gt;""),AG323:AI323)))</t>
        </is>
      </c>
      <c r="AX323" s="38" t="inlineStr">
        <is>
          <t>IF(OR(E323="",AK323=""),"",IF(COUNT(AG323:AJ323)=0,"",AK323-LOOKUP(2,1/(AG323:AJ323&lt;&gt;""),AG323:AJ323)))</t>
        </is>
      </c>
      <c r="AY323" s="38" t="inlineStr">
        <is>
          <t>IF(OR(E323="",AL323=""),"",IF(COUNT(AG323:AK323)=0,"",AL323-LOOKUP(2,1/(AG323:AK323&lt;&gt;""),AG323:AK323)))</t>
        </is>
      </c>
      <c r="AZ323" s="38" t="inlineStr">
        <is>
          <t>IF(OR(E323="",AM323=""),"",IF(COUNT(AG323:AL323)=0,"",AM323-LOOKUP(2,1/(AG323:AL323&lt;&gt;""),AG323:AL323)))</t>
        </is>
      </c>
      <c r="BA323" s="38" t="inlineStr">
        <is>
          <t>IF(OR(E323="",AN323=""),"",IF(COUNT(AG323:AM323)=0,"",AN323-LOOKUP(2,1/(AG323:AM323&lt;&gt;""),AG323:AM323)))</t>
        </is>
      </c>
      <c r="BB323" s="38" t="inlineStr">
        <is>
          <t>IF(OR(E323="",AO323=""),"",IF(COUNT(AG323:AN323)=0,"",AO323-LOOKUP(2,1/(AG323:AN323&lt;&gt;""),AG323:AN323)))</t>
        </is>
      </c>
      <c r="BC323" s="38" t="inlineStr">
        <is>
          <t>IF(OR(E323="",AP323=""),"",IF(COUNT(AG323:AO323)=0,"",AP323-LOOKUP(2,1/(AG323:AO323&lt;&gt;""),AG323:AO323)))</t>
        </is>
      </c>
      <c r="BD323" s="38" t="inlineStr">
        <is>
          <t>IF(OR(E323="",AQ323=""),"",IF(COUNT(AG323:AP323)=0,"",AQ323-LOOKUP(2,1/(AG323:AP323&lt;&gt;""),AG323:AP323)))</t>
        </is>
      </c>
      <c r="BE323" s="38" t="inlineStr">
        <is>
          <t>IF(OR(E323="",AR323=""),"",IF(COUNT(AG323:AQ323)=0,"",AR323-LOOKUP(2,1/(AG323:AQ323&lt;&gt;""),AG323:AQ323)))</t>
        </is>
      </c>
      <c r="BF323" s="38" t="inlineStr">
        <is>
          <t>IF(OR(E323="",AS323=""),"",IF(COUNT(AG323:AR323)=0,"",AS323-LOOKUP(2,1/(AG323:AR323&lt;&gt;""),AG323:AR323)))</t>
        </is>
      </c>
      <c r="BG323" s="38" t="inlineStr">
        <is>
          <t>IF(OR(E323="",AT323=""),"",IF(COUNT(AG323:AS323)=0,"",AT323-LOOKUP(2,1/(AG323:AS323&lt;&gt;""),AG323:AS323)))</t>
        </is>
      </c>
      <c r="BH323" s="41" t="inlineStr">
        <is>
          <t>IF(G323="","All_Provinces",IFERROR(VLOOKUP(G323,'07_Lookups'!$A$4:$B$20,2,FALSE),"All_Provinces"))</t>
        </is>
      </c>
      <c r="BI323" s="41" t="inlineStr">
        <is>
          <t>IF(H323="","All_Districts",IFERROR(VLOOKUP(H323,'07_Lookups'!$E$4:$F$42,2,FALSE),"All_Districts"))</t>
        </is>
      </c>
    </row>
    <row r="324" ht="18" customHeight="1">
      <c r="A324" s="32" t="inlineStr">
        <is>
          <t>IF(E324="","",ROW()-3)</t>
        </is>
      </c>
      <c r="B324" s="33" t="n"/>
      <c r="C324" s="33" t="n"/>
      <c r="D324" s="33" t="n"/>
      <c r="E324" s="33" t="n"/>
      <c r="F324" s="33" t="n"/>
      <c r="G324" s="33" t="n"/>
      <c r="H324" s="33" t="n"/>
      <c r="I324" s="33" t="n"/>
      <c r="J324" s="33" t="n"/>
      <c r="K324" s="33" t="n"/>
      <c r="L324" s="33" t="n"/>
      <c r="M324" s="33" t="n"/>
      <c r="N324" s="33" t="n"/>
      <c r="O324" s="33" t="n"/>
      <c r="P324" s="33" t="n"/>
      <c r="Q324" s="34" t="n"/>
      <c r="R324" s="35" t="inlineStr">
        <is>
          <t>IF(AO324="","",AO324)</t>
        </is>
      </c>
      <c r="S324" s="36" t="n"/>
      <c r="T324" s="37" t="n"/>
      <c r="U324" s="36" t="n"/>
      <c r="V324" s="35" t="inlineStr">
        <is>
          <t>IF(U324&lt;&gt;"",U324,IF(OR(R324="",T324=""),"",EDATE(R324,T324)))</t>
        </is>
      </c>
      <c r="W324" s="36" t="n"/>
      <c r="X324" s="37" t="n"/>
      <c r="Y324" s="33" t="n"/>
      <c r="Z324" s="33" t="n"/>
      <c r="AA324" s="32" t="inlineStr">
        <is>
          <t>IF(E324="","",IF(COUNT(AG324:AT324)=0,IF(Y324="","Not started",Y324),SUBSTITUTE(LOOKUP(2,1/(AG324:AT324&lt;&gt;""),$AG$3:$AT$3),"Date: ","")))</t>
        </is>
      </c>
      <c r="AB324" s="38" t="inlineStr">
        <is>
          <t>IF(OR(E324="",COUNT(AG324:AT324)=0),"",TODAY()-LOOKUP(2,1/(AG324:AT324&lt;&gt;""),AG324:AT324))</t>
        </is>
      </c>
      <c r="AC324" s="38" t="inlineStr">
        <is>
          <t>IF(OR(E324="",COUNT(AG324:AT324)&lt;2),"",LOOKUP(2,1/(AG324:AT324&lt;&gt;""),AG324:AT324)-MIN(AG324:AT324))</t>
        </is>
      </c>
      <c r="AD324" s="38" t="inlineStr">
        <is>
          <t>IF(OR(AB324="",AA324="Not started",AA324=""),"",IFERROR(AB324-IF(VLOOKUP(AA324,'04_Status_Pipeline'!$B$3:$E$20,4,FALSE)="",0,VLOOKUP(AA324,'04_Status_Pipeline'!$B$3:$E$20,4,FALSE)),""))</t>
        </is>
      </c>
      <c r="AE324" s="32" t="inlineStr">
        <is>
          <t>IF(E324="","",IF(OR(Y324="Cancelled",AA324="Cancelled"),"Cancelled",IF(OR(AA324="Completed / Handover",W324&lt;&gt;"",X324&gt;=100),"Completed — on track",IF(L324="Remaining",IF(S324="",IF(V324="","No planned date",IF(TODAY()&gt;V324,"Behind — past planned date",IF(V324-TODAY()&lt;=30,"At risk — close to off track","On track"))),IF(TODAY()&gt;S324,"Behind — award date passed",IF(S324-TODAY()&lt;=30,"At risk — close to off track","On track"))),IF(V324="","No planned date",IF(AND(TODAY()&gt;V324,OR(X324="",X324&lt;100)),"Behind — past end date",IF(AND(R324&lt;&gt;"",V324&lt;&gt;"",X324&lt;&gt;"",(X324&lt;100),((TODAY()-R324)/MAX(V324-R324,1)*100)-X324&gt;15),"Behind — progress lag",IF(AND(V324-TODAY()&lt;=30,V324-TODAY()&gt;=0,OR(X324="",X324&lt;90)),"At risk — close to off track","On track"))))))))</t>
        </is>
      </c>
      <c r="AF324" s="38" t="inlineStr">
        <is>
          <t>IF(OR(E324="",AA324="Completed / Handover",AA324="Cancelled"),"",IF(L324="Remaining",IF(S324&lt;&gt;"",S324-TODAY(),IF(V324="","",V324-TODAY())),IF(V324="","",V324-TODAY())))</t>
        </is>
      </c>
      <c r="AG324" s="36" t="n"/>
      <c r="AH324" s="36" t="n"/>
      <c r="AI324" s="36" t="n"/>
      <c r="AJ324" s="36" t="n"/>
      <c r="AK324" s="36" t="n"/>
      <c r="AL324" s="36" t="n"/>
      <c r="AM324" s="36" t="n"/>
      <c r="AN324" s="36" t="n"/>
      <c r="AO324" s="36" t="n"/>
      <c r="AP324" s="36" t="n"/>
      <c r="AQ324" s="36" t="n"/>
      <c r="AR324" s="40" t="n"/>
      <c r="AS324" s="40" t="n"/>
      <c r="AT324" s="40" t="n"/>
      <c r="AU324" s="38" t="inlineStr">
        <is>
          <t>IF(OR(E324="",AH324=""),"",IF(COUNT(AG324:AG324)=0,"",AH324-LOOKUP(2,1/(AG324:AG324&lt;&gt;""),AG324:AG324)))</t>
        </is>
      </c>
      <c r="AV324" s="38" t="inlineStr">
        <is>
          <t>IF(OR(E324="",AI324=""),"",IF(COUNT(AG324:AH324)=0,"",AI324-LOOKUP(2,1/(AG324:AH324&lt;&gt;""),AG324:AH324)))</t>
        </is>
      </c>
      <c r="AW324" s="38" t="inlineStr">
        <is>
          <t>IF(OR(E324="",AJ324=""),"",IF(COUNT(AG324:AI324)=0,"",AJ324-LOOKUP(2,1/(AG324:AI324&lt;&gt;""),AG324:AI324)))</t>
        </is>
      </c>
      <c r="AX324" s="38" t="inlineStr">
        <is>
          <t>IF(OR(E324="",AK324=""),"",IF(COUNT(AG324:AJ324)=0,"",AK324-LOOKUP(2,1/(AG324:AJ324&lt;&gt;""),AG324:AJ324)))</t>
        </is>
      </c>
      <c r="AY324" s="38" t="inlineStr">
        <is>
          <t>IF(OR(E324="",AL324=""),"",IF(COUNT(AG324:AK324)=0,"",AL324-LOOKUP(2,1/(AG324:AK324&lt;&gt;""),AG324:AK324)))</t>
        </is>
      </c>
      <c r="AZ324" s="38" t="inlineStr">
        <is>
          <t>IF(OR(E324="",AM324=""),"",IF(COUNT(AG324:AL324)=0,"",AM324-LOOKUP(2,1/(AG324:AL324&lt;&gt;""),AG324:AL324)))</t>
        </is>
      </c>
      <c r="BA324" s="38" t="inlineStr">
        <is>
          <t>IF(OR(E324="",AN324=""),"",IF(COUNT(AG324:AM324)=0,"",AN324-LOOKUP(2,1/(AG324:AM324&lt;&gt;""),AG324:AM324)))</t>
        </is>
      </c>
      <c r="BB324" s="38" t="inlineStr">
        <is>
          <t>IF(OR(E324="",AO324=""),"",IF(COUNT(AG324:AN324)=0,"",AO324-LOOKUP(2,1/(AG324:AN324&lt;&gt;""),AG324:AN324)))</t>
        </is>
      </c>
      <c r="BC324" s="38" t="inlineStr">
        <is>
          <t>IF(OR(E324="",AP324=""),"",IF(COUNT(AG324:AO324)=0,"",AP324-LOOKUP(2,1/(AG324:AO324&lt;&gt;""),AG324:AO324)))</t>
        </is>
      </c>
      <c r="BD324" s="38" t="inlineStr">
        <is>
          <t>IF(OR(E324="",AQ324=""),"",IF(COUNT(AG324:AP324)=0,"",AQ324-LOOKUP(2,1/(AG324:AP324&lt;&gt;""),AG324:AP324)))</t>
        </is>
      </c>
      <c r="BE324" s="38" t="inlineStr">
        <is>
          <t>IF(OR(E324="",AR324=""),"",IF(COUNT(AG324:AQ324)=0,"",AR324-LOOKUP(2,1/(AG324:AQ324&lt;&gt;""),AG324:AQ324)))</t>
        </is>
      </c>
      <c r="BF324" s="38" t="inlineStr">
        <is>
          <t>IF(OR(E324="",AS324=""),"",IF(COUNT(AG324:AR324)=0,"",AS324-LOOKUP(2,1/(AG324:AR324&lt;&gt;""),AG324:AR324)))</t>
        </is>
      </c>
      <c r="BG324" s="38" t="inlineStr">
        <is>
          <t>IF(OR(E324="",AT324=""),"",IF(COUNT(AG324:AS324)=0,"",AT324-LOOKUP(2,1/(AG324:AS324&lt;&gt;""),AG324:AS324)))</t>
        </is>
      </c>
      <c r="BH324" s="41" t="inlineStr">
        <is>
          <t>IF(G324="","All_Provinces",IFERROR(VLOOKUP(G324,'07_Lookups'!$A$4:$B$20,2,FALSE),"All_Provinces"))</t>
        </is>
      </c>
      <c r="BI324" s="41" t="inlineStr">
        <is>
          <t>IF(H324="","All_Districts",IFERROR(VLOOKUP(H324,'07_Lookups'!$E$4:$F$42,2,FALSE),"All_Districts"))</t>
        </is>
      </c>
    </row>
    <row r="325" ht="18" customHeight="1">
      <c r="A325" s="32" t="inlineStr">
        <is>
          <t>IF(E325="","",ROW()-3)</t>
        </is>
      </c>
      <c r="B325" s="42" t="n"/>
      <c r="C325" s="42" t="n"/>
      <c r="D325" s="42" t="n"/>
      <c r="E325" s="42" t="n"/>
      <c r="F325" s="42" t="n"/>
      <c r="G325" s="42" t="n"/>
      <c r="H325" s="42" t="n"/>
      <c r="I325" s="42" t="n"/>
      <c r="J325" s="42" t="n"/>
      <c r="K325" s="42" t="n"/>
      <c r="L325" s="42" t="n"/>
      <c r="M325" s="42" t="n"/>
      <c r="N325" s="42" t="n"/>
      <c r="O325" s="42" t="n"/>
      <c r="P325" s="42" t="n"/>
      <c r="Q325" s="43" t="n"/>
      <c r="R325" s="35" t="inlineStr">
        <is>
          <t>IF(AO325="","",AO325)</t>
        </is>
      </c>
      <c r="S325" s="44" t="n"/>
      <c r="T325" s="45" t="n"/>
      <c r="U325" s="44" t="n"/>
      <c r="V325" s="35" t="inlineStr">
        <is>
          <t>IF(U325&lt;&gt;"",U325,IF(OR(R325="",T325=""),"",EDATE(R325,T325)))</t>
        </is>
      </c>
      <c r="W325" s="44" t="n"/>
      <c r="X325" s="45" t="n"/>
      <c r="Y325" s="42" t="n"/>
      <c r="Z325" s="42" t="n"/>
      <c r="AA325" s="32" t="inlineStr">
        <is>
          <t>IF(E325="","",IF(COUNT(AG325:AT325)=0,IF(Y325="","Not started",Y325),SUBSTITUTE(LOOKUP(2,1/(AG325:AT325&lt;&gt;""),$AG$3:$AT$3),"Date: ","")))</t>
        </is>
      </c>
      <c r="AB325" s="38" t="inlineStr">
        <is>
          <t>IF(OR(E325="",COUNT(AG325:AT325)=0),"",TODAY()-LOOKUP(2,1/(AG325:AT325&lt;&gt;""),AG325:AT325))</t>
        </is>
      </c>
      <c r="AC325" s="38" t="inlineStr">
        <is>
          <t>IF(OR(E325="",COUNT(AG325:AT325)&lt;2),"",LOOKUP(2,1/(AG325:AT325&lt;&gt;""),AG325:AT325)-MIN(AG325:AT325))</t>
        </is>
      </c>
      <c r="AD325" s="38" t="inlineStr">
        <is>
          <t>IF(OR(AB325="",AA325="Not started",AA325=""),"",IFERROR(AB325-IF(VLOOKUP(AA325,'04_Status_Pipeline'!$B$3:$E$20,4,FALSE)="",0,VLOOKUP(AA325,'04_Status_Pipeline'!$B$3:$E$20,4,FALSE)),""))</t>
        </is>
      </c>
      <c r="AE325" s="32" t="inlineStr">
        <is>
          <t>IF(E325="","",IF(OR(Y325="Cancelled",AA325="Cancelled"),"Cancelled",IF(OR(AA325="Completed / Handover",W325&lt;&gt;"",X325&gt;=100),"Completed — on track",IF(L325="Remaining",IF(S325="",IF(V325="","No planned date",IF(TODAY()&gt;V325,"Behind — past planned date",IF(V325-TODAY()&lt;=30,"At risk — close to off track","On track"))),IF(TODAY()&gt;S325,"Behind — award date passed",IF(S325-TODAY()&lt;=30,"At risk — close to off track","On track"))),IF(V325="","No planned date",IF(AND(TODAY()&gt;V325,OR(X325="",X325&lt;100)),"Behind — past end date",IF(AND(R325&lt;&gt;"",V325&lt;&gt;"",X325&lt;&gt;"",(X325&lt;100),((TODAY()-R325)/MAX(V325-R325,1)*100)-X325&gt;15),"Behind — progress lag",IF(AND(V325-TODAY()&lt;=30,V325-TODAY()&gt;=0,OR(X325="",X325&lt;90)),"At risk — close to off track","On track"))))))))</t>
        </is>
      </c>
      <c r="AF325" s="38" t="inlineStr">
        <is>
          <t>IF(OR(E325="",AA325="Completed / Handover",AA325="Cancelled"),"",IF(L325="Remaining",IF(S325&lt;&gt;"",S325-TODAY(),IF(V325="","",V325-TODAY())),IF(V325="","",V325-TODAY())))</t>
        </is>
      </c>
      <c r="AG325" s="44" t="n"/>
      <c r="AH325" s="44" t="n"/>
      <c r="AI325" s="44" t="n"/>
      <c r="AJ325" s="44" t="n"/>
      <c r="AK325" s="44" t="n"/>
      <c r="AL325" s="44" t="n"/>
      <c r="AM325" s="44" t="n"/>
      <c r="AN325" s="44" t="n"/>
      <c r="AO325" s="44" t="n"/>
      <c r="AP325" s="44" t="n"/>
      <c r="AQ325" s="44" t="n"/>
      <c r="AR325" s="40" t="n"/>
      <c r="AS325" s="40" t="n"/>
      <c r="AT325" s="40" t="n"/>
      <c r="AU325" s="38" t="inlineStr">
        <is>
          <t>IF(OR(E325="",AH325=""),"",IF(COUNT(AG325:AG325)=0,"",AH325-LOOKUP(2,1/(AG325:AG325&lt;&gt;""),AG325:AG325)))</t>
        </is>
      </c>
      <c r="AV325" s="38" t="inlineStr">
        <is>
          <t>IF(OR(E325="",AI325=""),"",IF(COUNT(AG325:AH325)=0,"",AI325-LOOKUP(2,1/(AG325:AH325&lt;&gt;""),AG325:AH325)))</t>
        </is>
      </c>
      <c r="AW325" s="38" t="inlineStr">
        <is>
          <t>IF(OR(E325="",AJ325=""),"",IF(COUNT(AG325:AI325)=0,"",AJ325-LOOKUP(2,1/(AG325:AI325&lt;&gt;""),AG325:AI325)))</t>
        </is>
      </c>
      <c r="AX325" s="38" t="inlineStr">
        <is>
          <t>IF(OR(E325="",AK325=""),"",IF(COUNT(AG325:AJ325)=0,"",AK325-LOOKUP(2,1/(AG325:AJ325&lt;&gt;""),AG325:AJ325)))</t>
        </is>
      </c>
      <c r="AY325" s="38" t="inlineStr">
        <is>
          <t>IF(OR(E325="",AL325=""),"",IF(COUNT(AG325:AK325)=0,"",AL325-LOOKUP(2,1/(AG325:AK325&lt;&gt;""),AG325:AK325)))</t>
        </is>
      </c>
      <c r="AZ325" s="38" t="inlineStr">
        <is>
          <t>IF(OR(E325="",AM325=""),"",IF(COUNT(AG325:AL325)=0,"",AM325-LOOKUP(2,1/(AG325:AL325&lt;&gt;""),AG325:AL325)))</t>
        </is>
      </c>
      <c r="BA325" s="38" t="inlineStr">
        <is>
          <t>IF(OR(E325="",AN325=""),"",IF(COUNT(AG325:AM325)=0,"",AN325-LOOKUP(2,1/(AG325:AM325&lt;&gt;""),AG325:AM325)))</t>
        </is>
      </c>
      <c r="BB325" s="38" t="inlineStr">
        <is>
          <t>IF(OR(E325="",AO325=""),"",IF(COUNT(AG325:AN325)=0,"",AO325-LOOKUP(2,1/(AG325:AN325&lt;&gt;""),AG325:AN325)))</t>
        </is>
      </c>
      <c r="BC325" s="38" t="inlineStr">
        <is>
          <t>IF(OR(E325="",AP325=""),"",IF(COUNT(AG325:AO325)=0,"",AP325-LOOKUP(2,1/(AG325:AO325&lt;&gt;""),AG325:AO325)))</t>
        </is>
      </c>
      <c r="BD325" s="38" t="inlineStr">
        <is>
          <t>IF(OR(E325="",AQ325=""),"",IF(COUNT(AG325:AP325)=0,"",AQ325-LOOKUP(2,1/(AG325:AP325&lt;&gt;""),AG325:AP325)))</t>
        </is>
      </c>
      <c r="BE325" s="38" t="inlineStr">
        <is>
          <t>IF(OR(E325="",AR325=""),"",IF(COUNT(AG325:AQ325)=0,"",AR325-LOOKUP(2,1/(AG325:AQ325&lt;&gt;""),AG325:AQ325)))</t>
        </is>
      </c>
      <c r="BF325" s="38" t="inlineStr">
        <is>
          <t>IF(OR(E325="",AS325=""),"",IF(COUNT(AG325:AR325)=0,"",AS325-LOOKUP(2,1/(AG325:AR325&lt;&gt;""),AG325:AR325)))</t>
        </is>
      </c>
      <c r="BG325" s="38" t="inlineStr">
        <is>
          <t>IF(OR(E325="",AT325=""),"",IF(COUNT(AG325:AS325)=0,"",AT325-LOOKUP(2,1/(AG325:AS325&lt;&gt;""),AG325:AS325)))</t>
        </is>
      </c>
      <c r="BH325" s="41" t="inlineStr">
        <is>
          <t>IF(G325="","All_Provinces",IFERROR(VLOOKUP(G325,'07_Lookups'!$A$4:$B$20,2,FALSE),"All_Provinces"))</t>
        </is>
      </c>
      <c r="BI325" s="41" t="inlineStr">
        <is>
          <t>IF(H325="","All_Districts",IFERROR(VLOOKUP(H325,'07_Lookups'!$E$4:$F$42,2,FALSE),"All_Districts"))</t>
        </is>
      </c>
    </row>
    <row r="326" ht="18" customHeight="1">
      <c r="A326" s="32" t="inlineStr">
        <is>
          <t>IF(E326="","",ROW()-3)</t>
        </is>
      </c>
      <c r="B326" s="33" t="n"/>
      <c r="C326" s="33" t="n"/>
      <c r="D326" s="33" t="n"/>
      <c r="E326" s="33" t="n"/>
      <c r="F326" s="33" t="n"/>
      <c r="G326" s="33" t="n"/>
      <c r="H326" s="33" t="n"/>
      <c r="I326" s="33" t="n"/>
      <c r="J326" s="33" t="n"/>
      <c r="K326" s="33" t="n"/>
      <c r="L326" s="33" t="n"/>
      <c r="M326" s="33" t="n"/>
      <c r="N326" s="33" t="n"/>
      <c r="O326" s="33" t="n"/>
      <c r="P326" s="33" t="n"/>
      <c r="Q326" s="34" t="n"/>
      <c r="R326" s="35" t="inlineStr">
        <is>
          <t>IF(AO326="","",AO326)</t>
        </is>
      </c>
      <c r="S326" s="36" t="n"/>
      <c r="T326" s="37" t="n"/>
      <c r="U326" s="36" t="n"/>
      <c r="V326" s="35" t="inlineStr">
        <is>
          <t>IF(U326&lt;&gt;"",U326,IF(OR(R326="",T326=""),"",EDATE(R326,T326)))</t>
        </is>
      </c>
      <c r="W326" s="36" t="n"/>
      <c r="X326" s="37" t="n"/>
      <c r="Y326" s="33" t="n"/>
      <c r="Z326" s="33" t="n"/>
      <c r="AA326" s="32" t="inlineStr">
        <is>
          <t>IF(E326="","",IF(COUNT(AG326:AT326)=0,IF(Y326="","Not started",Y326),SUBSTITUTE(LOOKUP(2,1/(AG326:AT326&lt;&gt;""),$AG$3:$AT$3),"Date: ","")))</t>
        </is>
      </c>
      <c r="AB326" s="38" t="inlineStr">
        <is>
          <t>IF(OR(E326="",COUNT(AG326:AT326)=0),"",TODAY()-LOOKUP(2,1/(AG326:AT326&lt;&gt;""),AG326:AT326))</t>
        </is>
      </c>
      <c r="AC326" s="38" t="inlineStr">
        <is>
          <t>IF(OR(E326="",COUNT(AG326:AT326)&lt;2),"",LOOKUP(2,1/(AG326:AT326&lt;&gt;""),AG326:AT326)-MIN(AG326:AT326))</t>
        </is>
      </c>
      <c r="AD326" s="38" t="inlineStr">
        <is>
          <t>IF(OR(AB326="",AA326="Not started",AA326=""),"",IFERROR(AB326-IF(VLOOKUP(AA326,'04_Status_Pipeline'!$B$3:$E$20,4,FALSE)="",0,VLOOKUP(AA326,'04_Status_Pipeline'!$B$3:$E$20,4,FALSE)),""))</t>
        </is>
      </c>
      <c r="AE326" s="32" t="inlineStr">
        <is>
          <t>IF(E326="","",IF(OR(Y326="Cancelled",AA326="Cancelled"),"Cancelled",IF(OR(AA326="Completed / Handover",W326&lt;&gt;"",X326&gt;=100),"Completed — on track",IF(L326="Remaining",IF(S326="",IF(V326="","No planned date",IF(TODAY()&gt;V326,"Behind — past planned date",IF(V326-TODAY()&lt;=30,"At risk — close to off track","On track"))),IF(TODAY()&gt;S326,"Behind — award date passed",IF(S326-TODAY()&lt;=30,"At risk — close to off track","On track"))),IF(V326="","No planned date",IF(AND(TODAY()&gt;V326,OR(X326="",X326&lt;100)),"Behind — past end date",IF(AND(R326&lt;&gt;"",V326&lt;&gt;"",X326&lt;&gt;"",(X326&lt;100),((TODAY()-R326)/MAX(V326-R326,1)*100)-X326&gt;15),"Behind — progress lag",IF(AND(V326-TODAY()&lt;=30,V326-TODAY()&gt;=0,OR(X326="",X326&lt;90)),"At risk — close to off track","On track"))))))))</t>
        </is>
      </c>
      <c r="AF326" s="38" t="inlineStr">
        <is>
          <t>IF(OR(E326="",AA326="Completed / Handover",AA326="Cancelled"),"",IF(L326="Remaining",IF(S326&lt;&gt;"",S326-TODAY(),IF(V326="","",V326-TODAY())),IF(V326="","",V326-TODAY())))</t>
        </is>
      </c>
      <c r="AG326" s="36" t="n"/>
      <c r="AH326" s="36" t="n"/>
      <c r="AI326" s="36" t="n"/>
      <c r="AJ326" s="36" t="n"/>
      <c r="AK326" s="36" t="n"/>
      <c r="AL326" s="36" t="n"/>
      <c r="AM326" s="36" t="n"/>
      <c r="AN326" s="36" t="n"/>
      <c r="AO326" s="36" t="n"/>
      <c r="AP326" s="36" t="n"/>
      <c r="AQ326" s="36" t="n"/>
      <c r="AR326" s="40" t="n"/>
      <c r="AS326" s="40" t="n"/>
      <c r="AT326" s="40" t="n"/>
      <c r="AU326" s="38" t="inlineStr">
        <is>
          <t>IF(OR(E326="",AH326=""),"",IF(COUNT(AG326:AG326)=0,"",AH326-LOOKUP(2,1/(AG326:AG326&lt;&gt;""),AG326:AG326)))</t>
        </is>
      </c>
      <c r="AV326" s="38" t="inlineStr">
        <is>
          <t>IF(OR(E326="",AI326=""),"",IF(COUNT(AG326:AH326)=0,"",AI326-LOOKUP(2,1/(AG326:AH326&lt;&gt;""),AG326:AH326)))</t>
        </is>
      </c>
      <c r="AW326" s="38" t="inlineStr">
        <is>
          <t>IF(OR(E326="",AJ326=""),"",IF(COUNT(AG326:AI326)=0,"",AJ326-LOOKUP(2,1/(AG326:AI326&lt;&gt;""),AG326:AI326)))</t>
        </is>
      </c>
      <c r="AX326" s="38" t="inlineStr">
        <is>
          <t>IF(OR(E326="",AK326=""),"",IF(COUNT(AG326:AJ326)=0,"",AK326-LOOKUP(2,1/(AG326:AJ326&lt;&gt;""),AG326:AJ326)))</t>
        </is>
      </c>
      <c r="AY326" s="38" t="inlineStr">
        <is>
          <t>IF(OR(E326="",AL326=""),"",IF(COUNT(AG326:AK326)=0,"",AL326-LOOKUP(2,1/(AG326:AK326&lt;&gt;""),AG326:AK326)))</t>
        </is>
      </c>
      <c r="AZ326" s="38" t="inlineStr">
        <is>
          <t>IF(OR(E326="",AM326=""),"",IF(COUNT(AG326:AL326)=0,"",AM326-LOOKUP(2,1/(AG326:AL326&lt;&gt;""),AG326:AL326)))</t>
        </is>
      </c>
      <c r="BA326" s="38" t="inlineStr">
        <is>
          <t>IF(OR(E326="",AN326=""),"",IF(COUNT(AG326:AM326)=0,"",AN326-LOOKUP(2,1/(AG326:AM326&lt;&gt;""),AG326:AM326)))</t>
        </is>
      </c>
      <c r="BB326" s="38" t="inlineStr">
        <is>
          <t>IF(OR(E326="",AO326=""),"",IF(COUNT(AG326:AN326)=0,"",AO326-LOOKUP(2,1/(AG326:AN326&lt;&gt;""),AG326:AN326)))</t>
        </is>
      </c>
      <c r="BC326" s="38" t="inlineStr">
        <is>
          <t>IF(OR(E326="",AP326=""),"",IF(COUNT(AG326:AO326)=0,"",AP326-LOOKUP(2,1/(AG326:AO326&lt;&gt;""),AG326:AO326)))</t>
        </is>
      </c>
      <c r="BD326" s="38" t="inlineStr">
        <is>
          <t>IF(OR(E326="",AQ326=""),"",IF(COUNT(AG326:AP326)=0,"",AQ326-LOOKUP(2,1/(AG326:AP326&lt;&gt;""),AG326:AP326)))</t>
        </is>
      </c>
      <c r="BE326" s="38" t="inlineStr">
        <is>
          <t>IF(OR(E326="",AR326=""),"",IF(COUNT(AG326:AQ326)=0,"",AR326-LOOKUP(2,1/(AG326:AQ326&lt;&gt;""),AG326:AQ326)))</t>
        </is>
      </c>
      <c r="BF326" s="38" t="inlineStr">
        <is>
          <t>IF(OR(E326="",AS326=""),"",IF(COUNT(AG326:AR326)=0,"",AS326-LOOKUP(2,1/(AG326:AR326&lt;&gt;""),AG326:AR326)))</t>
        </is>
      </c>
      <c r="BG326" s="38" t="inlineStr">
        <is>
          <t>IF(OR(E326="",AT326=""),"",IF(COUNT(AG326:AS326)=0,"",AT326-LOOKUP(2,1/(AG326:AS326&lt;&gt;""),AG326:AS326)))</t>
        </is>
      </c>
      <c r="BH326" s="41" t="inlineStr">
        <is>
          <t>IF(G326="","All_Provinces",IFERROR(VLOOKUP(G326,'07_Lookups'!$A$4:$B$20,2,FALSE),"All_Provinces"))</t>
        </is>
      </c>
      <c r="BI326" s="41" t="inlineStr">
        <is>
          <t>IF(H326="","All_Districts",IFERROR(VLOOKUP(H326,'07_Lookups'!$E$4:$F$42,2,FALSE),"All_Districts"))</t>
        </is>
      </c>
    </row>
    <row r="327" ht="18" customHeight="1">
      <c r="A327" s="32" t="inlineStr">
        <is>
          <t>IF(E327="","",ROW()-3)</t>
        </is>
      </c>
      <c r="B327" s="42" t="n"/>
      <c r="C327" s="42" t="n"/>
      <c r="D327" s="42" t="n"/>
      <c r="E327" s="42" t="n"/>
      <c r="F327" s="42" t="n"/>
      <c r="G327" s="42" t="n"/>
      <c r="H327" s="42" t="n"/>
      <c r="I327" s="42" t="n"/>
      <c r="J327" s="42" t="n"/>
      <c r="K327" s="42" t="n"/>
      <c r="L327" s="42" t="n"/>
      <c r="M327" s="42" t="n"/>
      <c r="N327" s="42" t="n"/>
      <c r="O327" s="42" t="n"/>
      <c r="P327" s="42" t="n"/>
      <c r="Q327" s="43" t="n"/>
      <c r="R327" s="35" t="inlineStr">
        <is>
          <t>IF(AO327="","",AO327)</t>
        </is>
      </c>
      <c r="S327" s="44" t="n"/>
      <c r="T327" s="45" t="n"/>
      <c r="U327" s="44" t="n"/>
      <c r="V327" s="35" t="inlineStr">
        <is>
          <t>IF(U327&lt;&gt;"",U327,IF(OR(R327="",T327=""),"",EDATE(R327,T327)))</t>
        </is>
      </c>
      <c r="W327" s="44" t="n"/>
      <c r="X327" s="45" t="n"/>
      <c r="Y327" s="42" t="n"/>
      <c r="Z327" s="42" t="n"/>
      <c r="AA327" s="32" t="inlineStr">
        <is>
          <t>IF(E327="","",IF(COUNT(AG327:AT327)=0,IF(Y327="","Not started",Y327),SUBSTITUTE(LOOKUP(2,1/(AG327:AT327&lt;&gt;""),$AG$3:$AT$3),"Date: ","")))</t>
        </is>
      </c>
      <c r="AB327" s="38" t="inlineStr">
        <is>
          <t>IF(OR(E327="",COUNT(AG327:AT327)=0),"",TODAY()-LOOKUP(2,1/(AG327:AT327&lt;&gt;""),AG327:AT327))</t>
        </is>
      </c>
      <c r="AC327" s="38" t="inlineStr">
        <is>
          <t>IF(OR(E327="",COUNT(AG327:AT327)&lt;2),"",LOOKUP(2,1/(AG327:AT327&lt;&gt;""),AG327:AT327)-MIN(AG327:AT327))</t>
        </is>
      </c>
      <c r="AD327" s="38" t="inlineStr">
        <is>
          <t>IF(OR(AB327="",AA327="Not started",AA327=""),"",IFERROR(AB327-IF(VLOOKUP(AA327,'04_Status_Pipeline'!$B$3:$E$20,4,FALSE)="",0,VLOOKUP(AA327,'04_Status_Pipeline'!$B$3:$E$20,4,FALSE)),""))</t>
        </is>
      </c>
      <c r="AE327" s="32" t="inlineStr">
        <is>
          <t>IF(E327="","",IF(OR(Y327="Cancelled",AA327="Cancelled"),"Cancelled",IF(OR(AA327="Completed / Handover",W327&lt;&gt;"",X327&gt;=100),"Completed — on track",IF(L327="Remaining",IF(S327="",IF(V327="","No planned date",IF(TODAY()&gt;V327,"Behind — past planned date",IF(V327-TODAY()&lt;=30,"At risk — close to off track","On track"))),IF(TODAY()&gt;S327,"Behind — award date passed",IF(S327-TODAY()&lt;=30,"At risk — close to off track","On track"))),IF(V327="","No planned date",IF(AND(TODAY()&gt;V327,OR(X327="",X327&lt;100)),"Behind — past end date",IF(AND(R327&lt;&gt;"",V327&lt;&gt;"",X327&lt;&gt;"",(X327&lt;100),((TODAY()-R327)/MAX(V327-R327,1)*100)-X327&gt;15),"Behind — progress lag",IF(AND(V327-TODAY()&lt;=30,V327-TODAY()&gt;=0,OR(X327="",X327&lt;90)),"At risk — close to off track","On track"))))))))</t>
        </is>
      </c>
      <c r="AF327" s="38" t="inlineStr">
        <is>
          <t>IF(OR(E327="",AA327="Completed / Handover",AA327="Cancelled"),"",IF(L327="Remaining",IF(S327&lt;&gt;"",S327-TODAY(),IF(V327="","",V327-TODAY())),IF(V327="","",V327-TODAY())))</t>
        </is>
      </c>
      <c r="AG327" s="44" t="n"/>
      <c r="AH327" s="44" t="n"/>
      <c r="AI327" s="44" t="n"/>
      <c r="AJ327" s="44" t="n"/>
      <c r="AK327" s="44" t="n"/>
      <c r="AL327" s="44" t="n"/>
      <c r="AM327" s="44" t="n"/>
      <c r="AN327" s="44" t="n"/>
      <c r="AO327" s="44" t="n"/>
      <c r="AP327" s="44" t="n"/>
      <c r="AQ327" s="44" t="n"/>
      <c r="AR327" s="40" t="n"/>
      <c r="AS327" s="40" t="n"/>
      <c r="AT327" s="40" t="n"/>
      <c r="AU327" s="38" t="inlineStr">
        <is>
          <t>IF(OR(E327="",AH327=""),"",IF(COUNT(AG327:AG327)=0,"",AH327-LOOKUP(2,1/(AG327:AG327&lt;&gt;""),AG327:AG327)))</t>
        </is>
      </c>
      <c r="AV327" s="38" t="inlineStr">
        <is>
          <t>IF(OR(E327="",AI327=""),"",IF(COUNT(AG327:AH327)=0,"",AI327-LOOKUP(2,1/(AG327:AH327&lt;&gt;""),AG327:AH327)))</t>
        </is>
      </c>
      <c r="AW327" s="38" t="inlineStr">
        <is>
          <t>IF(OR(E327="",AJ327=""),"",IF(COUNT(AG327:AI327)=0,"",AJ327-LOOKUP(2,1/(AG327:AI327&lt;&gt;""),AG327:AI327)))</t>
        </is>
      </c>
      <c r="AX327" s="38" t="inlineStr">
        <is>
          <t>IF(OR(E327="",AK327=""),"",IF(COUNT(AG327:AJ327)=0,"",AK327-LOOKUP(2,1/(AG327:AJ327&lt;&gt;""),AG327:AJ327)))</t>
        </is>
      </c>
      <c r="AY327" s="38" t="inlineStr">
        <is>
          <t>IF(OR(E327="",AL327=""),"",IF(COUNT(AG327:AK327)=0,"",AL327-LOOKUP(2,1/(AG327:AK327&lt;&gt;""),AG327:AK327)))</t>
        </is>
      </c>
      <c r="AZ327" s="38" t="inlineStr">
        <is>
          <t>IF(OR(E327="",AM327=""),"",IF(COUNT(AG327:AL327)=0,"",AM327-LOOKUP(2,1/(AG327:AL327&lt;&gt;""),AG327:AL327)))</t>
        </is>
      </c>
      <c r="BA327" s="38" t="inlineStr">
        <is>
          <t>IF(OR(E327="",AN327=""),"",IF(COUNT(AG327:AM327)=0,"",AN327-LOOKUP(2,1/(AG327:AM327&lt;&gt;""),AG327:AM327)))</t>
        </is>
      </c>
      <c r="BB327" s="38" t="inlineStr">
        <is>
          <t>IF(OR(E327="",AO327=""),"",IF(COUNT(AG327:AN327)=0,"",AO327-LOOKUP(2,1/(AG327:AN327&lt;&gt;""),AG327:AN327)))</t>
        </is>
      </c>
      <c r="BC327" s="38" t="inlineStr">
        <is>
          <t>IF(OR(E327="",AP327=""),"",IF(COUNT(AG327:AO327)=0,"",AP327-LOOKUP(2,1/(AG327:AO327&lt;&gt;""),AG327:AO327)))</t>
        </is>
      </c>
      <c r="BD327" s="38" t="inlineStr">
        <is>
          <t>IF(OR(E327="",AQ327=""),"",IF(COUNT(AG327:AP327)=0,"",AQ327-LOOKUP(2,1/(AG327:AP327&lt;&gt;""),AG327:AP327)))</t>
        </is>
      </c>
      <c r="BE327" s="38" t="inlineStr">
        <is>
          <t>IF(OR(E327="",AR327=""),"",IF(COUNT(AG327:AQ327)=0,"",AR327-LOOKUP(2,1/(AG327:AQ327&lt;&gt;""),AG327:AQ327)))</t>
        </is>
      </c>
      <c r="BF327" s="38" t="inlineStr">
        <is>
          <t>IF(OR(E327="",AS327=""),"",IF(COUNT(AG327:AR327)=0,"",AS327-LOOKUP(2,1/(AG327:AR327&lt;&gt;""),AG327:AR327)))</t>
        </is>
      </c>
      <c r="BG327" s="38" t="inlineStr">
        <is>
          <t>IF(OR(E327="",AT327=""),"",IF(COUNT(AG327:AS327)=0,"",AT327-LOOKUP(2,1/(AG327:AS327&lt;&gt;""),AG327:AS327)))</t>
        </is>
      </c>
      <c r="BH327" s="41" t="inlineStr">
        <is>
          <t>IF(G327="","All_Provinces",IFERROR(VLOOKUP(G327,'07_Lookups'!$A$4:$B$20,2,FALSE),"All_Provinces"))</t>
        </is>
      </c>
      <c r="BI327" s="41" t="inlineStr">
        <is>
          <t>IF(H327="","All_Districts",IFERROR(VLOOKUP(H327,'07_Lookups'!$E$4:$F$42,2,FALSE),"All_Districts"))</t>
        </is>
      </c>
    </row>
    <row r="328" ht="18" customHeight="1">
      <c r="A328" s="32" t="inlineStr">
        <is>
          <t>IF(E328="","",ROW()-3)</t>
        </is>
      </c>
      <c r="B328" s="33" t="n"/>
      <c r="C328" s="33" t="n"/>
      <c r="D328" s="33" t="n"/>
      <c r="E328" s="33" t="n"/>
      <c r="F328" s="33" t="n"/>
      <c r="G328" s="33" t="n"/>
      <c r="H328" s="33" t="n"/>
      <c r="I328" s="33" t="n"/>
      <c r="J328" s="33" t="n"/>
      <c r="K328" s="33" t="n"/>
      <c r="L328" s="33" t="n"/>
      <c r="M328" s="33" t="n"/>
      <c r="N328" s="33" t="n"/>
      <c r="O328" s="33" t="n"/>
      <c r="P328" s="33" t="n"/>
      <c r="Q328" s="34" t="n"/>
      <c r="R328" s="35" t="inlineStr">
        <is>
          <t>IF(AO328="","",AO328)</t>
        </is>
      </c>
      <c r="S328" s="36" t="n"/>
      <c r="T328" s="37" t="n"/>
      <c r="U328" s="36" t="n"/>
      <c r="V328" s="35" t="inlineStr">
        <is>
          <t>IF(U328&lt;&gt;"",U328,IF(OR(R328="",T328=""),"",EDATE(R328,T328)))</t>
        </is>
      </c>
      <c r="W328" s="36" t="n"/>
      <c r="X328" s="37" t="n"/>
      <c r="Y328" s="33" t="n"/>
      <c r="Z328" s="33" t="n"/>
      <c r="AA328" s="32" t="inlineStr">
        <is>
          <t>IF(E328="","",IF(COUNT(AG328:AT328)=0,IF(Y328="","Not started",Y328),SUBSTITUTE(LOOKUP(2,1/(AG328:AT328&lt;&gt;""),$AG$3:$AT$3),"Date: ","")))</t>
        </is>
      </c>
      <c r="AB328" s="38" t="inlineStr">
        <is>
          <t>IF(OR(E328="",COUNT(AG328:AT328)=0),"",TODAY()-LOOKUP(2,1/(AG328:AT328&lt;&gt;""),AG328:AT328))</t>
        </is>
      </c>
      <c r="AC328" s="38" t="inlineStr">
        <is>
          <t>IF(OR(E328="",COUNT(AG328:AT328)&lt;2),"",LOOKUP(2,1/(AG328:AT328&lt;&gt;""),AG328:AT328)-MIN(AG328:AT328))</t>
        </is>
      </c>
      <c r="AD328" s="38" t="inlineStr">
        <is>
          <t>IF(OR(AB328="",AA328="Not started",AA328=""),"",IFERROR(AB328-IF(VLOOKUP(AA328,'04_Status_Pipeline'!$B$3:$E$20,4,FALSE)="",0,VLOOKUP(AA328,'04_Status_Pipeline'!$B$3:$E$20,4,FALSE)),""))</t>
        </is>
      </c>
      <c r="AE328" s="32" t="inlineStr">
        <is>
          <t>IF(E328="","",IF(OR(Y328="Cancelled",AA328="Cancelled"),"Cancelled",IF(OR(AA328="Completed / Handover",W328&lt;&gt;"",X328&gt;=100),"Completed — on track",IF(L328="Remaining",IF(S328="",IF(V328="","No planned date",IF(TODAY()&gt;V328,"Behind — past planned date",IF(V328-TODAY()&lt;=30,"At risk — close to off track","On track"))),IF(TODAY()&gt;S328,"Behind — award date passed",IF(S328-TODAY()&lt;=30,"At risk — close to off track","On track"))),IF(V328="","No planned date",IF(AND(TODAY()&gt;V328,OR(X328="",X328&lt;100)),"Behind — past end date",IF(AND(R328&lt;&gt;"",V328&lt;&gt;"",X328&lt;&gt;"",(X328&lt;100),((TODAY()-R328)/MAX(V328-R328,1)*100)-X328&gt;15),"Behind — progress lag",IF(AND(V328-TODAY()&lt;=30,V328-TODAY()&gt;=0,OR(X328="",X328&lt;90)),"At risk — close to off track","On track"))))))))</t>
        </is>
      </c>
      <c r="AF328" s="38" t="inlineStr">
        <is>
          <t>IF(OR(E328="",AA328="Completed / Handover",AA328="Cancelled"),"",IF(L328="Remaining",IF(S328&lt;&gt;"",S328-TODAY(),IF(V328="","",V328-TODAY())),IF(V328="","",V328-TODAY())))</t>
        </is>
      </c>
      <c r="AG328" s="36" t="n"/>
      <c r="AH328" s="36" t="n"/>
      <c r="AI328" s="36" t="n"/>
      <c r="AJ328" s="36" t="n"/>
      <c r="AK328" s="36" t="n"/>
      <c r="AL328" s="36" t="n"/>
      <c r="AM328" s="36" t="n"/>
      <c r="AN328" s="36" t="n"/>
      <c r="AO328" s="36" t="n"/>
      <c r="AP328" s="36" t="n"/>
      <c r="AQ328" s="36" t="n"/>
      <c r="AR328" s="40" t="n"/>
      <c r="AS328" s="40" t="n"/>
      <c r="AT328" s="40" t="n"/>
      <c r="AU328" s="38" t="inlineStr">
        <is>
          <t>IF(OR(E328="",AH328=""),"",IF(COUNT(AG328:AG328)=0,"",AH328-LOOKUP(2,1/(AG328:AG328&lt;&gt;""),AG328:AG328)))</t>
        </is>
      </c>
      <c r="AV328" s="38" t="inlineStr">
        <is>
          <t>IF(OR(E328="",AI328=""),"",IF(COUNT(AG328:AH328)=0,"",AI328-LOOKUP(2,1/(AG328:AH328&lt;&gt;""),AG328:AH328)))</t>
        </is>
      </c>
      <c r="AW328" s="38" t="inlineStr">
        <is>
          <t>IF(OR(E328="",AJ328=""),"",IF(COUNT(AG328:AI328)=0,"",AJ328-LOOKUP(2,1/(AG328:AI328&lt;&gt;""),AG328:AI328)))</t>
        </is>
      </c>
      <c r="AX328" s="38" t="inlineStr">
        <is>
          <t>IF(OR(E328="",AK328=""),"",IF(COUNT(AG328:AJ328)=0,"",AK328-LOOKUP(2,1/(AG328:AJ328&lt;&gt;""),AG328:AJ328)))</t>
        </is>
      </c>
      <c r="AY328" s="38" t="inlineStr">
        <is>
          <t>IF(OR(E328="",AL328=""),"",IF(COUNT(AG328:AK328)=0,"",AL328-LOOKUP(2,1/(AG328:AK328&lt;&gt;""),AG328:AK328)))</t>
        </is>
      </c>
      <c r="AZ328" s="38" t="inlineStr">
        <is>
          <t>IF(OR(E328="",AM328=""),"",IF(COUNT(AG328:AL328)=0,"",AM328-LOOKUP(2,1/(AG328:AL328&lt;&gt;""),AG328:AL328)))</t>
        </is>
      </c>
      <c r="BA328" s="38" t="inlineStr">
        <is>
          <t>IF(OR(E328="",AN328=""),"",IF(COUNT(AG328:AM328)=0,"",AN328-LOOKUP(2,1/(AG328:AM328&lt;&gt;""),AG328:AM328)))</t>
        </is>
      </c>
      <c r="BB328" s="38" t="inlineStr">
        <is>
          <t>IF(OR(E328="",AO328=""),"",IF(COUNT(AG328:AN328)=0,"",AO328-LOOKUP(2,1/(AG328:AN328&lt;&gt;""),AG328:AN328)))</t>
        </is>
      </c>
      <c r="BC328" s="38" t="inlineStr">
        <is>
          <t>IF(OR(E328="",AP328=""),"",IF(COUNT(AG328:AO328)=0,"",AP328-LOOKUP(2,1/(AG328:AO328&lt;&gt;""),AG328:AO328)))</t>
        </is>
      </c>
      <c r="BD328" s="38" t="inlineStr">
        <is>
          <t>IF(OR(E328="",AQ328=""),"",IF(COUNT(AG328:AP328)=0,"",AQ328-LOOKUP(2,1/(AG328:AP328&lt;&gt;""),AG328:AP328)))</t>
        </is>
      </c>
      <c r="BE328" s="38" t="inlineStr">
        <is>
          <t>IF(OR(E328="",AR328=""),"",IF(COUNT(AG328:AQ328)=0,"",AR328-LOOKUP(2,1/(AG328:AQ328&lt;&gt;""),AG328:AQ328)))</t>
        </is>
      </c>
      <c r="BF328" s="38" t="inlineStr">
        <is>
          <t>IF(OR(E328="",AS328=""),"",IF(COUNT(AG328:AR328)=0,"",AS328-LOOKUP(2,1/(AG328:AR328&lt;&gt;""),AG328:AR328)))</t>
        </is>
      </c>
      <c r="BG328" s="38" t="inlineStr">
        <is>
          <t>IF(OR(E328="",AT328=""),"",IF(COUNT(AG328:AS328)=0,"",AT328-LOOKUP(2,1/(AG328:AS328&lt;&gt;""),AG328:AS328)))</t>
        </is>
      </c>
      <c r="BH328" s="41" t="inlineStr">
        <is>
          <t>IF(G328="","All_Provinces",IFERROR(VLOOKUP(G328,'07_Lookups'!$A$4:$B$20,2,FALSE),"All_Provinces"))</t>
        </is>
      </c>
      <c r="BI328" s="41" t="inlineStr">
        <is>
          <t>IF(H328="","All_Districts",IFERROR(VLOOKUP(H328,'07_Lookups'!$E$4:$F$42,2,FALSE),"All_Districts"))</t>
        </is>
      </c>
    </row>
    <row r="329" ht="18" customHeight="1">
      <c r="A329" s="32" t="inlineStr">
        <is>
          <t>IF(E329="","",ROW()-3)</t>
        </is>
      </c>
      <c r="B329" s="42" t="n"/>
      <c r="C329" s="42" t="n"/>
      <c r="D329" s="42" t="n"/>
      <c r="E329" s="42" t="n"/>
      <c r="F329" s="42" t="n"/>
      <c r="G329" s="42" t="n"/>
      <c r="H329" s="42" t="n"/>
      <c r="I329" s="42" t="n"/>
      <c r="J329" s="42" t="n"/>
      <c r="K329" s="42" t="n"/>
      <c r="L329" s="42" t="n"/>
      <c r="M329" s="42" t="n"/>
      <c r="N329" s="42" t="n"/>
      <c r="O329" s="42" t="n"/>
      <c r="P329" s="42" t="n"/>
      <c r="Q329" s="43" t="n"/>
      <c r="R329" s="35" t="inlineStr">
        <is>
          <t>IF(AO329="","",AO329)</t>
        </is>
      </c>
      <c r="S329" s="44" t="n"/>
      <c r="T329" s="45" t="n"/>
      <c r="U329" s="44" t="n"/>
      <c r="V329" s="35" t="inlineStr">
        <is>
          <t>IF(U329&lt;&gt;"",U329,IF(OR(R329="",T329=""),"",EDATE(R329,T329)))</t>
        </is>
      </c>
      <c r="W329" s="44" t="n"/>
      <c r="X329" s="45" t="n"/>
      <c r="Y329" s="42" t="n"/>
      <c r="Z329" s="42" t="n"/>
      <c r="AA329" s="32" t="inlineStr">
        <is>
          <t>IF(E329="","",IF(COUNT(AG329:AT329)=0,IF(Y329="","Not started",Y329),SUBSTITUTE(LOOKUP(2,1/(AG329:AT329&lt;&gt;""),$AG$3:$AT$3),"Date: ","")))</t>
        </is>
      </c>
      <c r="AB329" s="38" t="inlineStr">
        <is>
          <t>IF(OR(E329="",COUNT(AG329:AT329)=0),"",TODAY()-LOOKUP(2,1/(AG329:AT329&lt;&gt;""),AG329:AT329))</t>
        </is>
      </c>
      <c r="AC329" s="38" t="inlineStr">
        <is>
          <t>IF(OR(E329="",COUNT(AG329:AT329)&lt;2),"",LOOKUP(2,1/(AG329:AT329&lt;&gt;""),AG329:AT329)-MIN(AG329:AT329))</t>
        </is>
      </c>
      <c r="AD329" s="38" t="inlineStr">
        <is>
          <t>IF(OR(AB329="",AA329="Not started",AA329=""),"",IFERROR(AB329-IF(VLOOKUP(AA329,'04_Status_Pipeline'!$B$3:$E$20,4,FALSE)="",0,VLOOKUP(AA329,'04_Status_Pipeline'!$B$3:$E$20,4,FALSE)),""))</t>
        </is>
      </c>
      <c r="AE329" s="32" t="inlineStr">
        <is>
          <t>IF(E329="","",IF(OR(Y329="Cancelled",AA329="Cancelled"),"Cancelled",IF(OR(AA329="Completed / Handover",W329&lt;&gt;"",X329&gt;=100),"Completed — on track",IF(L329="Remaining",IF(S329="",IF(V329="","No planned date",IF(TODAY()&gt;V329,"Behind — past planned date",IF(V329-TODAY()&lt;=30,"At risk — close to off track","On track"))),IF(TODAY()&gt;S329,"Behind — award date passed",IF(S329-TODAY()&lt;=30,"At risk — close to off track","On track"))),IF(V329="","No planned date",IF(AND(TODAY()&gt;V329,OR(X329="",X329&lt;100)),"Behind — past end date",IF(AND(R329&lt;&gt;"",V329&lt;&gt;"",X329&lt;&gt;"",(X329&lt;100),((TODAY()-R329)/MAX(V329-R329,1)*100)-X329&gt;15),"Behind — progress lag",IF(AND(V329-TODAY()&lt;=30,V329-TODAY()&gt;=0,OR(X329="",X329&lt;90)),"At risk — close to off track","On track"))))))))</t>
        </is>
      </c>
      <c r="AF329" s="38" t="inlineStr">
        <is>
          <t>IF(OR(E329="",AA329="Completed / Handover",AA329="Cancelled"),"",IF(L329="Remaining",IF(S329&lt;&gt;"",S329-TODAY(),IF(V329="","",V329-TODAY())),IF(V329="","",V329-TODAY())))</t>
        </is>
      </c>
      <c r="AG329" s="44" t="n"/>
      <c r="AH329" s="44" t="n"/>
      <c r="AI329" s="44" t="n"/>
      <c r="AJ329" s="44" t="n"/>
      <c r="AK329" s="44" t="n"/>
      <c r="AL329" s="44" t="n"/>
      <c r="AM329" s="44" t="n"/>
      <c r="AN329" s="44" t="n"/>
      <c r="AO329" s="44" t="n"/>
      <c r="AP329" s="44" t="n"/>
      <c r="AQ329" s="44" t="n"/>
      <c r="AR329" s="40" t="n"/>
      <c r="AS329" s="40" t="n"/>
      <c r="AT329" s="40" t="n"/>
      <c r="AU329" s="38" t="inlineStr">
        <is>
          <t>IF(OR(E329="",AH329=""),"",IF(COUNT(AG329:AG329)=0,"",AH329-LOOKUP(2,1/(AG329:AG329&lt;&gt;""),AG329:AG329)))</t>
        </is>
      </c>
      <c r="AV329" s="38" t="inlineStr">
        <is>
          <t>IF(OR(E329="",AI329=""),"",IF(COUNT(AG329:AH329)=0,"",AI329-LOOKUP(2,1/(AG329:AH329&lt;&gt;""),AG329:AH329)))</t>
        </is>
      </c>
      <c r="AW329" s="38" t="inlineStr">
        <is>
          <t>IF(OR(E329="",AJ329=""),"",IF(COUNT(AG329:AI329)=0,"",AJ329-LOOKUP(2,1/(AG329:AI329&lt;&gt;""),AG329:AI329)))</t>
        </is>
      </c>
      <c r="AX329" s="38" t="inlineStr">
        <is>
          <t>IF(OR(E329="",AK329=""),"",IF(COUNT(AG329:AJ329)=0,"",AK329-LOOKUP(2,1/(AG329:AJ329&lt;&gt;""),AG329:AJ329)))</t>
        </is>
      </c>
      <c r="AY329" s="38" t="inlineStr">
        <is>
          <t>IF(OR(E329="",AL329=""),"",IF(COUNT(AG329:AK329)=0,"",AL329-LOOKUP(2,1/(AG329:AK329&lt;&gt;""),AG329:AK329)))</t>
        </is>
      </c>
      <c r="AZ329" s="38" t="inlineStr">
        <is>
          <t>IF(OR(E329="",AM329=""),"",IF(COUNT(AG329:AL329)=0,"",AM329-LOOKUP(2,1/(AG329:AL329&lt;&gt;""),AG329:AL329)))</t>
        </is>
      </c>
      <c r="BA329" s="38" t="inlineStr">
        <is>
          <t>IF(OR(E329="",AN329=""),"",IF(COUNT(AG329:AM329)=0,"",AN329-LOOKUP(2,1/(AG329:AM329&lt;&gt;""),AG329:AM329)))</t>
        </is>
      </c>
      <c r="BB329" s="38" t="inlineStr">
        <is>
          <t>IF(OR(E329="",AO329=""),"",IF(COUNT(AG329:AN329)=0,"",AO329-LOOKUP(2,1/(AG329:AN329&lt;&gt;""),AG329:AN329)))</t>
        </is>
      </c>
      <c r="BC329" s="38" t="inlineStr">
        <is>
          <t>IF(OR(E329="",AP329=""),"",IF(COUNT(AG329:AO329)=0,"",AP329-LOOKUP(2,1/(AG329:AO329&lt;&gt;""),AG329:AO329)))</t>
        </is>
      </c>
      <c r="BD329" s="38" t="inlineStr">
        <is>
          <t>IF(OR(E329="",AQ329=""),"",IF(COUNT(AG329:AP329)=0,"",AQ329-LOOKUP(2,1/(AG329:AP329&lt;&gt;""),AG329:AP329)))</t>
        </is>
      </c>
      <c r="BE329" s="38" t="inlineStr">
        <is>
          <t>IF(OR(E329="",AR329=""),"",IF(COUNT(AG329:AQ329)=0,"",AR329-LOOKUP(2,1/(AG329:AQ329&lt;&gt;""),AG329:AQ329)))</t>
        </is>
      </c>
      <c r="BF329" s="38" t="inlineStr">
        <is>
          <t>IF(OR(E329="",AS329=""),"",IF(COUNT(AG329:AR329)=0,"",AS329-LOOKUP(2,1/(AG329:AR329&lt;&gt;""),AG329:AR329)))</t>
        </is>
      </c>
      <c r="BG329" s="38" t="inlineStr">
        <is>
          <t>IF(OR(E329="",AT329=""),"",IF(COUNT(AG329:AS329)=0,"",AT329-LOOKUP(2,1/(AG329:AS329&lt;&gt;""),AG329:AS329)))</t>
        </is>
      </c>
      <c r="BH329" s="41" t="inlineStr">
        <is>
          <t>IF(G329="","All_Provinces",IFERROR(VLOOKUP(G329,'07_Lookups'!$A$4:$B$20,2,FALSE),"All_Provinces"))</t>
        </is>
      </c>
      <c r="BI329" s="41" t="inlineStr">
        <is>
          <t>IF(H329="","All_Districts",IFERROR(VLOOKUP(H329,'07_Lookups'!$E$4:$F$42,2,FALSE),"All_Districts"))</t>
        </is>
      </c>
    </row>
    <row r="330" ht="18" customHeight="1">
      <c r="A330" s="32" t="inlineStr">
        <is>
          <t>IF(E330="","",ROW()-3)</t>
        </is>
      </c>
      <c r="B330" s="33" t="n"/>
      <c r="C330" s="33" t="n"/>
      <c r="D330" s="33" t="n"/>
      <c r="E330" s="33" t="n"/>
      <c r="F330" s="33" t="n"/>
      <c r="G330" s="33" t="n"/>
      <c r="H330" s="33" t="n"/>
      <c r="I330" s="33" t="n"/>
      <c r="J330" s="33" t="n"/>
      <c r="K330" s="33" t="n"/>
      <c r="L330" s="33" t="n"/>
      <c r="M330" s="33" t="n"/>
      <c r="N330" s="33" t="n"/>
      <c r="O330" s="33" t="n"/>
      <c r="P330" s="33" t="n"/>
      <c r="Q330" s="34" t="n"/>
      <c r="R330" s="35" t="inlineStr">
        <is>
          <t>IF(AO330="","",AO330)</t>
        </is>
      </c>
      <c r="S330" s="36" t="n"/>
      <c r="T330" s="37" t="n"/>
      <c r="U330" s="36" t="n"/>
      <c r="V330" s="35" t="inlineStr">
        <is>
          <t>IF(U330&lt;&gt;"",U330,IF(OR(R330="",T330=""),"",EDATE(R330,T330)))</t>
        </is>
      </c>
      <c r="W330" s="36" t="n"/>
      <c r="X330" s="37" t="n"/>
      <c r="Y330" s="33" t="n"/>
      <c r="Z330" s="33" t="n"/>
      <c r="AA330" s="32" t="inlineStr">
        <is>
          <t>IF(E330="","",IF(COUNT(AG330:AT330)=0,IF(Y330="","Not started",Y330),SUBSTITUTE(LOOKUP(2,1/(AG330:AT330&lt;&gt;""),$AG$3:$AT$3),"Date: ","")))</t>
        </is>
      </c>
      <c r="AB330" s="38" t="inlineStr">
        <is>
          <t>IF(OR(E330="",COUNT(AG330:AT330)=0),"",TODAY()-LOOKUP(2,1/(AG330:AT330&lt;&gt;""),AG330:AT330))</t>
        </is>
      </c>
      <c r="AC330" s="38" t="inlineStr">
        <is>
          <t>IF(OR(E330="",COUNT(AG330:AT330)&lt;2),"",LOOKUP(2,1/(AG330:AT330&lt;&gt;""),AG330:AT330)-MIN(AG330:AT330))</t>
        </is>
      </c>
      <c r="AD330" s="38" t="inlineStr">
        <is>
          <t>IF(OR(AB330="",AA330="Not started",AA330=""),"",IFERROR(AB330-IF(VLOOKUP(AA330,'04_Status_Pipeline'!$B$3:$E$20,4,FALSE)="",0,VLOOKUP(AA330,'04_Status_Pipeline'!$B$3:$E$20,4,FALSE)),""))</t>
        </is>
      </c>
      <c r="AE330" s="32" t="inlineStr">
        <is>
          <t>IF(E330="","",IF(OR(Y330="Cancelled",AA330="Cancelled"),"Cancelled",IF(OR(AA330="Completed / Handover",W330&lt;&gt;"",X330&gt;=100),"Completed — on track",IF(L330="Remaining",IF(S330="",IF(V330="","No planned date",IF(TODAY()&gt;V330,"Behind — past planned date",IF(V330-TODAY()&lt;=30,"At risk — close to off track","On track"))),IF(TODAY()&gt;S330,"Behind — award date passed",IF(S330-TODAY()&lt;=30,"At risk — close to off track","On track"))),IF(V330="","No planned date",IF(AND(TODAY()&gt;V330,OR(X330="",X330&lt;100)),"Behind — past end date",IF(AND(R330&lt;&gt;"",V330&lt;&gt;"",X330&lt;&gt;"",(X330&lt;100),((TODAY()-R330)/MAX(V330-R330,1)*100)-X330&gt;15),"Behind — progress lag",IF(AND(V330-TODAY()&lt;=30,V330-TODAY()&gt;=0,OR(X330="",X330&lt;90)),"At risk — close to off track","On track"))))))))</t>
        </is>
      </c>
      <c r="AF330" s="38" t="inlineStr">
        <is>
          <t>IF(OR(E330="",AA330="Completed / Handover",AA330="Cancelled"),"",IF(L330="Remaining",IF(S330&lt;&gt;"",S330-TODAY(),IF(V330="","",V330-TODAY())),IF(V330="","",V330-TODAY())))</t>
        </is>
      </c>
      <c r="AG330" s="36" t="n"/>
      <c r="AH330" s="36" t="n"/>
      <c r="AI330" s="36" t="n"/>
      <c r="AJ330" s="36" t="n"/>
      <c r="AK330" s="36" t="n"/>
      <c r="AL330" s="36" t="n"/>
      <c r="AM330" s="36" t="n"/>
      <c r="AN330" s="36" t="n"/>
      <c r="AO330" s="36" t="n"/>
      <c r="AP330" s="36" t="n"/>
      <c r="AQ330" s="36" t="n"/>
      <c r="AR330" s="40" t="n"/>
      <c r="AS330" s="40" t="n"/>
      <c r="AT330" s="40" t="n"/>
      <c r="AU330" s="38" t="inlineStr">
        <is>
          <t>IF(OR(E330="",AH330=""),"",IF(COUNT(AG330:AG330)=0,"",AH330-LOOKUP(2,1/(AG330:AG330&lt;&gt;""),AG330:AG330)))</t>
        </is>
      </c>
      <c r="AV330" s="38" t="inlineStr">
        <is>
          <t>IF(OR(E330="",AI330=""),"",IF(COUNT(AG330:AH330)=0,"",AI330-LOOKUP(2,1/(AG330:AH330&lt;&gt;""),AG330:AH330)))</t>
        </is>
      </c>
      <c r="AW330" s="38" t="inlineStr">
        <is>
          <t>IF(OR(E330="",AJ330=""),"",IF(COUNT(AG330:AI330)=0,"",AJ330-LOOKUP(2,1/(AG330:AI330&lt;&gt;""),AG330:AI330)))</t>
        </is>
      </c>
      <c r="AX330" s="38" t="inlineStr">
        <is>
          <t>IF(OR(E330="",AK330=""),"",IF(COUNT(AG330:AJ330)=0,"",AK330-LOOKUP(2,1/(AG330:AJ330&lt;&gt;""),AG330:AJ330)))</t>
        </is>
      </c>
      <c r="AY330" s="38" t="inlineStr">
        <is>
          <t>IF(OR(E330="",AL330=""),"",IF(COUNT(AG330:AK330)=0,"",AL330-LOOKUP(2,1/(AG330:AK330&lt;&gt;""),AG330:AK330)))</t>
        </is>
      </c>
      <c r="AZ330" s="38" t="inlineStr">
        <is>
          <t>IF(OR(E330="",AM330=""),"",IF(COUNT(AG330:AL330)=0,"",AM330-LOOKUP(2,1/(AG330:AL330&lt;&gt;""),AG330:AL330)))</t>
        </is>
      </c>
      <c r="BA330" s="38" t="inlineStr">
        <is>
          <t>IF(OR(E330="",AN330=""),"",IF(COUNT(AG330:AM330)=0,"",AN330-LOOKUP(2,1/(AG330:AM330&lt;&gt;""),AG330:AM330)))</t>
        </is>
      </c>
      <c r="BB330" s="38" t="inlineStr">
        <is>
          <t>IF(OR(E330="",AO330=""),"",IF(COUNT(AG330:AN330)=0,"",AO330-LOOKUP(2,1/(AG330:AN330&lt;&gt;""),AG330:AN330)))</t>
        </is>
      </c>
      <c r="BC330" s="38" t="inlineStr">
        <is>
          <t>IF(OR(E330="",AP330=""),"",IF(COUNT(AG330:AO330)=0,"",AP330-LOOKUP(2,1/(AG330:AO330&lt;&gt;""),AG330:AO330)))</t>
        </is>
      </c>
      <c r="BD330" s="38" t="inlineStr">
        <is>
          <t>IF(OR(E330="",AQ330=""),"",IF(COUNT(AG330:AP330)=0,"",AQ330-LOOKUP(2,1/(AG330:AP330&lt;&gt;""),AG330:AP330)))</t>
        </is>
      </c>
      <c r="BE330" s="38" t="inlineStr">
        <is>
          <t>IF(OR(E330="",AR330=""),"",IF(COUNT(AG330:AQ330)=0,"",AR330-LOOKUP(2,1/(AG330:AQ330&lt;&gt;""),AG330:AQ330)))</t>
        </is>
      </c>
      <c r="BF330" s="38" t="inlineStr">
        <is>
          <t>IF(OR(E330="",AS330=""),"",IF(COUNT(AG330:AR330)=0,"",AS330-LOOKUP(2,1/(AG330:AR330&lt;&gt;""),AG330:AR330)))</t>
        </is>
      </c>
      <c r="BG330" s="38" t="inlineStr">
        <is>
          <t>IF(OR(E330="",AT330=""),"",IF(COUNT(AG330:AS330)=0,"",AT330-LOOKUP(2,1/(AG330:AS330&lt;&gt;""),AG330:AS330)))</t>
        </is>
      </c>
      <c r="BH330" s="41" t="inlineStr">
        <is>
          <t>IF(G330="","All_Provinces",IFERROR(VLOOKUP(G330,'07_Lookups'!$A$4:$B$20,2,FALSE),"All_Provinces"))</t>
        </is>
      </c>
      <c r="BI330" s="41" t="inlineStr">
        <is>
          <t>IF(H330="","All_Districts",IFERROR(VLOOKUP(H330,'07_Lookups'!$E$4:$F$42,2,FALSE),"All_Districts"))</t>
        </is>
      </c>
    </row>
    <row r="331" ht="18" customHeight="1">
      <c r="A331" s="32" t="inlineStr">
        <is>
          <t>IF(E331="","",ROW()-3)</t>
        </is>
      </c>
      <c r="B331" s="42" t="n"/>
      <c r="C331" s="42" t="n"/>
      <c r="D331" s="42" t="n"/>
      <c r="E331" s="42" t="n"/>
      <c r="F331" s="42" t="n"/>
      <c r="G331" s="42" t="n"/>
      <c r="H331" s="42" t="n"/>
      <c r="I331" s="42" t="n"/>
      <c r="J331" s="42" t="n"/>
      <c r="K331" s="42" t="n"/>
      <c r="L331" s="42" t="n"/>
      <c r="M331" s="42" t="n"/>
      <c r="N331" s="42" t="n"/>
      <c r="O331" s="42" t="n"/>
      <c r="P331" s="42" t="n"/>
      <c r="Q331" s="43" t="n"/>
      <c r="R331" s="35" t="inlineStr">
        <is>
          <t>IF(AO331="","",AO331)</t>
        </is>
      </c>
      <c r="S331" s="44" t="n"/>
      <c r="T331" s="45" t="n"/>
      <c r="U331" s="44" t="n"/>
      <c r="V331" s="35" t="inlineStr">
        <is>
          <t>IF(U331&lt;&gt;"",U331,IF(OR(R331="",T331=""),"",EDATE(R331,T331)))</t>
        </is>
      </c>
      <c r="W331" s="44" t="n"/>
      <c r="X331" s="45" t="n"/>
      <c r="Y331" s="42" t="n"/>
      <c r="Z331" s="42" t="n"/>
      <c r="AA331" s="32" t="inlineStr">
        <is>
          <t>IF(E331="","",IF(COUNT(AG331:AT331)=0,IF(Y331="","Not started",Y331),SUBSTITUTE(LOOKUP(2,1/(AG331:AT331&lt;&gt;""),$AG$3:$AT$3),"Date: ","")))</t>
        </is>
      </c>
      <c r="AB331" s="38" t="inlineStr">
        <is>
          <t>IF(OR(E331="",COUNT(AG331:AT331)=0),"",TODAY()-LOOKUP(2,1/(AG331:AT331&lt;&gt;""),AG331:AT331))</t>
        </is>
      </c>
      <c r="AC331" s="38" t="inlineStr">
        <is>
          <t>IF(OR(E331="",COUNT(AG331:AT331)&lt;2),"",LOOKUP(2,1/(AG331:AT331&lt;&gt;""),AG331:AT331)-MIN(AG331:AT331))</t>
        </is>
      </c>
      <c r="AD331" s="38" t="inlineStr">
        <is>
          <t>IF(OR(AB331="",AA331="Not started",AA331=""),"",IFERROR(AB331-IF(VLOOKUP(AA331,'04_Status_Pipeline'!$B$3:$E$20,4,FALSE)="",0,VLOOKUP(AA331,'04_Status_Pipeline'!$B$3:$E$20,4,FALSE)),""))</t>
        </is>
      </c>
      <c r="AE331" s="32" t="inlineStr">
        <is>
          <t>IF(E331="","",IF(OR(Y331="Cancelled",AA331="Cancelled"),"Cancelled",IF(OR(AA331="Completed / Handover",W331&lt;&gt;"",X331&gt;=100),"Completed — on track",IF(L331="Remaining",IF(S331="",IF(V331="","No planned date",IF(TODAY()&gt;V331,"Behind — past planned date",IF(V331-TODAY()&lt;=30,"At risk — close to off track","On track"))),IF(TODAY()&gt;S331,"Behind — award date passed",IF(S331-TODAY()&lt;=30,"At risk — close to off track","On track"))),IF(V331="","No planned date",IF(AND(TODAY()&gt;V331,OR(X331="",X331&lt;100)),"Behind — past end date",IF(AND(R331&lt;&gt;"",V331&lt;&gt;"",X331&lt;&gt;"",(X331&lt;100),((TODAY()-R331)/MAX(V331-R331,1)*100)-X331&gt;15),"Behind — progress lag",IF(AND(V331-TODAY()&lt;=30,V331-TODAY()&gt;=0,OR(X331="",X331&lt;90)),"At risk — close to off track","On track"))))))))</t>
        </is>
      </c>
      <c r="AF331" s="38" t="inlineStr">
        <is>
          <t>IF(OR(E331="",AA331="Completed / Handover",AA331="Cancelled"),"",IF(L331="Remaining",IF(S331&lt;&gt;"",S331-TODAY(),IF(V331="","",V331-TODAY())),IF(V331="","",V331-TODAY())))</t>
        </is>
      </c>
      <c r="AG331" s="44" t="n"/>
      <c r="AH331" s="44" t="n"/>
      <c r="AI331" s="44" t="n"/>
      <c r="AJ331" s="44" t="n"/>
      <c r="AK331" s="44" t="n"/>
      <c r="AL331" s="44" t="n"/>
      <c r="AM331" s="44" t="n"/>
      <c r="AN331" s="44" t="n"/>
      <c r="AO331" s="44" t="n"/>
      <c r="AP331" s="44" t="n"/>
      <c r="AQ331" s="44" t="n"/>
      <c r="AR331" s="40" t="n"/>
      <c r="AS331" s="40" t="n"/>
      <c r="AT331" s="40" t="n"/>
      <c r="AU331" s="38" t="inlineStr">
        <is>
          <t>IF(OR(E331="",AH331=""),"",IF(COUNT(AG331:AG331)=0,"",AH331-LOOKUP(2,1/(AG331:AG331&lt;&gt;""),AG331:AG331)))</t>
        </is>
      </c>
      <c r="AV331" s="38" t="inlineStr">
        <is>
          <t>IF(OR(E331="",AI331=""),"",IF(COUNT(AG331:AH331)=0,"",AI331-LOOKUP(2,1/(AG331:AH331&lt;&gt;""),AG331:AH331)))</t>
        </is>
      </c>
      <c r="AW331" s="38" t="inlineStr">
        <is>
          <t>IF(OR(E331="",AJ331=""),"",IF(COUNT(AG331:AI331)=0,"",AJ331-LOOKUP(2,1/(AG331:AI331&lt;&gt;""),AG331:AI331)))</t>
        </is>
      </c>
      <c r="AX331" s="38" t="inlineStr">
        <is>
          <t>IF(OR(E331="",AK331=""),"",IF(COUNT(AG331:AJ331)=0,"",AK331-LOOKUP(2,1/(AG331:AJ331&lt;&gt;""),AG331:AJ331)))</t>
        </is>
      </c>
      <c r="AY331" s="38" t="inlineStr">
        <is>
          <t>IF(OR(E331="",AL331=""),"",IF(COUNT(AG331:AK331)=0,"",AL331-LOOKUP(2,1/(AG331:AK331&lt;&gt;""),AG331:AK331)))</t>
        </is>
      </c>
      <c r="AZ331" s="38" t="inlineStr">
        <is>
          <t>IF(OR(E331="",AM331=""),"",IF(COUNT(AG331:AL331)=0,"",AM331-LOOKUP(2,1/(AG331:AL331&lt;&gt;""),AG331:AL331)))</t>
        </is>
      </c>
      <c r="BA331" s="38" t="inlineStr">
        <is>
          <t>IF(OR(E331="",AN331=""),"",IF(COUNT(AG331:AM331)=0,"",AN331-LOOKUP(2,1/(AG331:AM331&lt;&gt;""),AG331:AM331)))</t>
        </is>
      </c>
      <c r="BB331" s="38" t="inlineStr">
        <is>
          <t>IF(OR(E331="",AO331=""),"",IF(COUNT(AG331:AN331)=0,"",AO331-LOOKUP(2,1/(AG331:AN331&lt;&gt;""),AG331:AN331)))</t>
        </is>
      </c>
      <c r="BC331" s="38" t="inlineStr">
        <is>
          <t>IF(OR(E331="",AP331=""),"",IF(COUNT(AG331:AO331)=0,"",AP331-LOOKUP(2,1/(AG331:AO331&lt;&gt;""),AG331:AO331)))</t>
        </is>
      </c>
      <c r="BD331" s="38" t="inlineStr">
        <is>
          <t>IF(OR(E331="",AQ331=""),"",IF(COUNT(AG331:AP331)=0,"",AQ331-LOOKUP(2,1/(AG331:AP331&lt;&gt;""),AG331:AP331)))</t>
        </is>
      </c>
      <c r="BE331" s="38" t="inlineStr">
        <is>
          <t>IF(OR(E331="",AR331=""),"",IF(COUNT(AG331:AQ331)=0,"",AR331-LOOKUP(2,1/(AG331:AQ331&lt;&gt;""),AG331:AQ331)))</t>
        </is>
      </c>
      <c r="BF331" s="38" t="inlineStr">
        <is>
          <t>IF(OR(E331="",AS331=""),"",IF(COUNT(AG331:AR331)=0,"",AS331-LOOKUP(2,1/(AG331:AR331&lt;&gt;""),AG331:AR331)))</t>
        </is>
      </c>
      <c r="BG331" s="38" t="inlineStr">
        <is>
          <t>IF(OR(E331="",AT331=""),"",IF(COUNT(AG331:AS331)=0,"",AT331-LOOKUP(2,1/(AG331:AS331&lt;&gt;""),AG331:AS331)))</t>
        </is>
      </c>
      <c r="BH331" s="41" t="inlineStr">
        <is>
          <t>IF(G331="","All_Provinces",IFERROR(VLOOKUP(G331,'07_Lookups'!$A$4:$B$20,2,FALSE),"All_Provinces"))</t>
        </is>
      </c>
      <c r="BI331" s="41" t="inlineStr">
        <is>
          <t>IF(H331="","All_Districts",IFERROR(VLOOKUP(H331,'07_Lookups'!$E$4:$F$42,2,FALSE),"All_Districts"))</t>
        </is>
      </c>
    </row>
    <row r="332" ht="18" customHeight="1">
      <c r="A332" s="32" t="inlineStr">
        <is>
          <t>IF(E332="","",ROW()-3)</t>
        </is>
      </c>
      <c r="B332" s="33" t="n"/>
      <c r="C332" s="33" t="n"/>
      <c r="D332" s="33" t="n"/>
      <c r="E332" s="33" t="n"/>
      <c r="F332" s="33" t="n"/>
      <c r="G332" s="33" t="n"/>
      <c r="H332" s="33" t="n"/>
      <c r="I332" s="33" t="n"/>
      <c r="J332" s="33" t="n"/>
      <c r="K332" s="33" t="n"/>
      <c r="L332" s="33" t="n"/>
      <c r="M332" s="33" t="n"/>
      <c r="N332" s="33" t="n"/>
      <c r="O332" s="33" t="n"/>
      <c r="P332" s="33" t="n"/>
      <c r="Q332" s="34" t="n"/>
      <c r="R332" s="35" t="inlineStr">
        <is>
          <t>IF(AO332="","",AO332)</t>
        </is>
      </c>
      <c r="S332" s="36" t="n"/>
      <c r="T332" s="37" t="n"/>
      <c r="U332" s="36" t="n"/>
      <c r="V332" s="35" t="inlineStr">
        <is>
          <t>IF(U332&lt;&gt;"",U332,IF(OR(R332="",T332=""),"",EDATE(R332,T332)))</t>
        </is>
      </c>
      <c r="W332" s="36" t="n"/>
      <c r="X332" s="37" t="n"/>
      <c r="Y332" s="33" t="n"/>
      <c r="Z332" s="33" t="n"/>
      <c r="AA332" s="32" t="inlineStr">
        <is>
          <t>IF(E332="","",IF(COUNT(AG332:AT332)=0,IF(Y332="","Not started",Y332),SUBSTITUTE(LOOKUP(2,1/(AG332:AT332&lt;&gt;""),$AG$3:$AT$3),"Date: ","")))</t>
        </is>
      </c>
      <c r="AB332" s="38" t="inlineStr">
        <is>
          <t>IF(OR(E332="",COUNT(AG332:AT332)=0),"",TODAY()-LOOKUP(2,1/(AG332:AT332&lt;&gt;""),AG332:AT332))</t>
        </is>
      </c>
      <c r="AC332" s="38" t="inlineStr">
        <is>
          <t>IF(OR(E332="",COUNT(AG332:AT332)&lt;2),"",LOOKUP(2,1/(AG332:AT332&lt;&gt;""),AG332:AT332)-MIN(AG332:AT332))</t>
        </is>
      </c>
      <c r="AD332" s="38" t="inlineStr">
        <is>
          <t>IF(OR(AB332="",AA332="Not started",AA332=""),"",IFERROR(AB332-IF(VLOOKUP(AA332,'04_Status_Pipeline'!$B$3:$E$20,4,FALSE)="",0,VLOOKUP(AA332,'04_Status_Pipeline'!$B$3:$E$20,4,FALSE)),""))</t>
        </is>
      </c>
      <c r="AE332" s="32" t="inlineStr">
        <is>
          <t>IF(E332="","",IF(OR(Y332="Cancelled",AA332="Cancelled"),"Cancelled",IF(OR(AA332="Completed / Handover",W332&lt;&gt;"",X332&gt;=100),"Completed — on track",IF(L332="Remaining",IF(S332="",IF(V332="","No planned date",IF(TODAY()&gt;V332,"Behind — past planned date",IF(V332-TODAY()&lt;=30,"At risk — close to off track","On track"))),IF(TODAY()&gt;S332,"Behind — award date passed",IF(S332-TODAY()&lt;=30,"At risk — close to off track","On track"))),IF(V332="","No planned date",IF(AND(TODAY()&gt;V332,OR(X332="",X332&lt;100)),"Behind — past end date",IF(AND(R332&lt;&gt;"",V332&lt;&gt;"",X332&lt;&gt;"",(X332&lt;100),((TODAY()-R332)/MAX(V332-R332,1)*100)-X332&gt;15),"Behind — progress lag",IF(AND(V332-TODAY()&lt;=30,V332-TODAY()&gt;=0,OR(X332="",X332&lt;90)),"At risk — close to off track","On track"))))))))</t>
        </is>
      </c>
      <c r="AF332" s="38" t="inlineStr">
        <is>
          <t>IF(OR(E332="",AA332="Completed / Handover",AA332="Cancelled"),"",IF(L332="Remaining",IF(S332&lt;&gt;"",S332-TODAY(),IF(V332="","",V332-TODAY())),IF(V332="","",V332-TODAY())))</t>
        </is>
      </c>
      <c r="AG332" s="36" t="n"/>
      <c r="AH332" s="36" t="n"/>
      <c r="AI332" s="36" t="n"/>
      <c r="AJ332" s="36" t="n"/>
      <c r="AK332" s="36" t="n"/>
      <c r="AL332" s="36" t="n"/>
      <c r="AM332" s="36" t="n"/>
      <c r="AN332" s="36" t="n"/>
      <c r="AO332" s="36" t="n"/>
      <c r="AP332" s="36" t="n"/>
      <c r="AQ332" s="36" t="n"/>
      <c r="AR332" s="40" t="n"/>
      <c r="AS332" s="40" t="n"/>
      <c r="AT332" s="40" t="n"/>
      <c r="AU332" s="38" t="inlineStr">
        <is>
          <t>IF(OR(E332="",AH332=""),"",IF(COUNT(AG332:AG332)=0,"",AH332-LOOKUP(2,1/(AG332:AG332&lt;&gt;""),AG332:AG332)))</t>
        </is>
      </c>
      <c r="AV332" s="38" t="inlineStr">
        <is>
          <t>IF(OR(E332="",AI332=""),"",IF(COUNT(AG332:AH332)=0,"",AI332-LOOKUP(2,1/(AG332:AH332&lt;&gt;""),AG332:AH332)))</t>
        </is>
      </c>
      <c r="AW332" s="38" t="inlineStr">
        <is>
          <t>IF(OR(E332="",AJ332=""),"",IF(COUNT(AG332:AI332)=0,"",AJ332-LOOKUP(2,1/(AG332:AI332&lt;&gt;""),AG332:AI332)))</t>
        </is>
      </c>
      <c r="AX332" s="38" t="inlineStr">
        <is>
          <t>IF(OR(E332="",AK332=""),"",IF(COUNT(AG332:AJ332)=0,"",AK332-LOOKUP(2,1/(AG332:AJ332&lt;&gt;""),AG332:AJ332)))</t>
        </is>
      </c>
      <c r="AY332" s="38" t="inlineStr">
        <is>
          <t>IF(OR(E332="",AL332=""),"",IF(COUNT(AG332:AK332)=0,"",AL332-LOOKUP(2,1/(AG332:AK332&lt;&gt;""),AG332:AK332)))</t>
        </is>
      </c>
      <c r="AZ332" s="38" t="inlineStr">
        <is>
          <t>IF(OR(E332="",AM332=""),"",IF(COUNT(AG332:AL332)=0,"",AM332-LOOKUP(2,1/(AG332:AL332&lt;&gt;""),AG332:AL332)))</t>
        </is>
      </c>
      <c r="BA332" s="38" t="inlineStr">
        <is>
          <t>IF(OR(E332="",AN332=""),"",IF(COUNT(AG332:AM332)=0,"",AN332-LOOKUP(2,1/(AG332:AM332&lt;&gt;""),AG332:AM332)))</t>
        </is>
      </c>
      <c r="BB332" s="38" t="inlineStr">
        <is>
          <t>IF(OR(E332="",AO332=""),"",IF(COUNT(AG332:AN332)=0,"",AO332-LOOKUP(2,1/(AG332:AN332&lt;&gt;""),AG332:AN332)))</t>
        </is>
      </c>
      <c r="BC332" s="38" t="inlineStr">
        <is>
          <t>IF(OR(E332="",AP332=""),"",IF(COUNT(AG332:AO332)=0,"",AP332-LOOKUP(2,1/(AG332:AO332&lt;&gt;""),AG332:AO332)))</t>
        </is>
      </c>
      <c r="BD332" s="38" t="inlineStr">
        <is>
          <t>IF(OR(E332="",AQ332=""),"",IF(COUNT(AG332:AP332)=0,"",AQ332-LOOKUP(2,1/(AG332:AP332&lt;&gt;""),AG332:AP332)))</t>
        </is>
      </c>
      <c r="BE332" s="38" t="inlineStr">
        <is>
          <t>IF(OR(E332="",AR332=""),"",IF(COUNT(AG332:AQ332)=0,"",AR332-LOOKUP(2,1/(AG332:AQ332&lt;&gt;""),AG332:AQ332)))</t>
        </is>
      </c>
      <c r="BF332" s="38" t="inlineStr">
        <is>
          <t>IF(OR(E332="",AS332=""),"",IF(COUNT(AG332:AR332)=0,"",AS332-LOOKUP(2,1/(AG332:AR332&lt;&gt;""),AG332:AR332)))</t>
        </is>
      </c>
      <c r="BG332" s="38" t="inlineStr">
        <is>
          <t>IF(OR(E332="",AT332=""),"",IF(COUNT(AG332:AS332)=0,"",AT332-LOOKUP(2,1/(AG332:AS332&lt;&gt;""),AG332:AS332)))</t>
        </is>
      </c>
      <c r="BH332" s="41" t="inlineStr">
        <is>
          <t>IF(G332="","All_Provinces",IFERROR(VLOOKUP(G332,'07_Lookups'!$A$4:$B$20,2,FALSE),"All_Provinces"))</t>
        </is>
      </c>
      <c r="BI332" s="41" t="inlineStr">
        <is>
          <t>IF(H332="","All_Districts",IFERROR(VLOOKUP(H332,'07_Lookups'!$E$4:$F$42,2,FALSE),"All_Districts"))</t>
        </is>
      </c>
    </row>
    <row r="333" ht="18" customHeight="1">
      <c r="A333" s="32" t="inlineStr">
        <is>
          <t>IF(E333="","",ROW()-3)</t>
        </is>
      </c>
      <c r="B333" s="42" t="n"/>
      <c r="C333" s="42" t="n"/>
      <c r="D333" s="42" t="n"/>
      <c r="E333" s="42" t="n"/>
      <c r="F333" s="42" t="n"/>
      <c r="G333" s="42" t="n"/>
      <c r="H333" s="42" t="n"/>
      <c r="I333" s="42" t="n"/>
      <c r="J333" s="42" t="n"/>
      <c r="K333" s="42" t="n"/>
      <c r="L333" s="42" t="n"/>
      <c r="M333" s="42" t="n"/>
      <c r="N333" s="42" t="n"/>
      <c r="O333" s="42" t="n"/>
      <c r="P333" s="42" t="n"/>
      <c r="Q333" s="43" t="n"/>
      <c r="R333" s="35" t="inlineStr">
        <is>
          <t>IF(AO333="","",AO333)</t>
        </is>
      </c>
      <c r="S333" s="44" t="n"/>
      <c r="T333" s="45" t="n"/>
      <c r="U333" s="44" t="n"/>
      <c r="V333" s="35" t="inlineStr">
        <is>
          <t>IF(U333&lt;&gt;"",U333,IF(OR(R333="",T333=""),"",EDATE(R333,T333)))</t>
        </is>
      </c>
      <c r="W333" s="44" t="n"/>
      <c r="X333" s="45" t="n"/>
      <c r="Y333" s="42" t="n"/>
      <c r="Z333" s="42" t="n"/>
      <c r="AA333" s="32" t="inlineStr">
        <is>
          <t>IF(E333="","",IF(COUNT(AG333:AT333)=0,IF(Y333="","Not started",Y333),SUBSTITUTE(LOOKUP(2,1/(AG333:AT333&lt;&gt;""),$AG$3:$AT$3),"Date: ","")))</t>
        </is>
      </c>
      <c r="AB333" s="38" t="inlineStr">
        <is>
          <t>IF(OR(E333="",COUNT(AG333:AT333)=0),"",TODAY()-LOOKUP(2,1/(AG333:AT333&lt;&gt;""),AG333:AT333))</t>
        </is>
      </c>
      <c r="AC333" s="38" t="inlineStr">
        <is>
          <t>IF(OR(E333="",COUNT(AG333:AT333)&lt;2),"",LOOKUP(2,1/(AG333:AT333&lt;&gt;""),AG333:AT333)-MIN(AG333:AT333))</t>
        </is>
      </c>
      <c r="AD333" s="38" t="inlineStr">
        <is>
          <t>IF(OR(AB333="",AA333="Not started",AA333=""),"",IFERROR(AB333-IF(VLOOKUP(AA333,'04_Status_Pipeline'!$B$3:$E$20,4,FALSE)="",0,VLOOKUP(AA333,'04_Status_Pipeline'!$B$3:$E$20,4,FALSE)),""))</t>
        </is>
      </c>
      <c r="AE333" s="32" t="inlineStr">
        <is>
          <t>IF(E333="","",IF(OR(Y333="Cancelled",AA333="Cancelled"),"Cancelled",IF(OR(AA333="Completed / Handover",W333&lt;&gt;"",X333&gt;=100),"Completed — on track",IF(L333="Remaining",IF(S333="",IF(V333="","No planned date",IF(TODAY()&gt;V333,"Behind — past planned date",IF(V333-TODAY()&lt;=30,"At risk — close to off track","On track"))),IF(TODAY()&gt;S333,"Behind — award date passed",IF(S333-TODAY()&lt;=30,"At risk — close to off track","On track"))),IF(V333="","No planned date",IF(AND(TODAY()&gt;V333,OR(X333="",X333&lt;100)),"Behind — past end date",IF(AND(R333&lt;&gt;"",V333&lt;&gt;"",X333&lt;&gt;"",(X333&lt;100),((TODAY()-R333)/MAX(V333-R333,1)*100)-X333&gt;15),"Behind — progress lag",IF(AND(V333-TODAY()&lt;=30,V333-TODAY()&gt;=0,OR(X333="",X333&lt;90)),"At risk — close to off track","On track"))))))))</t>
        </is>
      </c>
      <c r="AF333" s="38" t="inlineStr">
        <is>
          <t>IF(OR(E333="",AA333="Completed / Handover",AA333="Cancelled"),"",IF(L333="Remaining",IF(S333&lt;&gt;"",S333-TODAY(),IF(V333="","",V333-TODAY())),IF(V333="","",V333-TODAY())))</t>
        </is>
      </c>
      <c r="AG333" s="44" t="n"/>
      <c r="AH333" s="44" t="n"/>
      <c r="AI333" s="44" t="n"/>
      <c r="AJ333" s="44" t="n"/>
      <c r="AK333" s="44" t="n"/>
      <c r="AL333" s="44" t="n"/>
      <c r="AM333" s="44" t="n"/>
      <c r="AN333" s="44" t="n"/>
      <c r="AO333" s="44" t="n"/>
      <c r="AP333" s="44" t="n"/>
      <c r="AQ333" s="44" t="n"/>
      <c r="AR333" s="40" t="n"/>
      <c r="AS333" s="40" t="n"/>
      <c r="AT333" s="40" t="n"/>
      <c r="AU333" s="38" t="inlineStr">
        <is>
          <t>IF(OR(E333="",AH333=""),"",IF(COUNT(AG333:AG333)=0,"",AH333-LOOKUP(2,1/(AG333:AG333&lt;&gt;""),AG333:AG333)))</t>
        </is>
      </c>
      <c r="AV333" s="38" t="inlineStr">
        <is>
          <t>IF(OR(E333="",AI333=""),"",IF(COUNT(AG333:AH333)=0,"",AI333-LOOKUP(2,1/(AG333:AH333&lt;&gt;""),AG333:AH333)))</t>
        </is>
      </c>
      <c r="AW333" s="38" t="inlineStr">
        <is>
          <t>IF(OR(E333="",AJ333=""),"",IF(COUNT(AG333:AI333)=0,"",AJ333-LOOKUP(2,1/(AG333:AI333&lt;&gt;""),AG333:AI333)))</t>
        </is>
      </c>
      <c r="AX333" s="38" t="inlineStr">
        <is>
          <t>IF(OR(E333="",AK333=""),"",IF(COUNT(AG333:AJ333)=0,"",AK333-LOOKUP(2,1/(AG333:AJ333&lt;&gt;""),AG333:AJ333)))</t>
        </is>
      </c>
      <c r="AY333" s="38" t="inlineStr">
        <is>
          <t>IF(OR(E333="",AL333=""),"",IF(COUNT(AG333:AK333)=0,"",AL333-LOOKUP(2,1/(AG333:AK333&lt;&gt;""),AG333:AK333)))</t>
        </is>
      </c>
      <c r="AZ333" s="38" t="inlineStr">
        <is>
          <t>IF(OR(E333="",AM333=""),"",IF(COUNT(AG333:AL333)=0,"",AM333-LOOKUP(2,1/(AG333:AL333&lt;&gt;""),AG333:AL333)))</t>
        </is>
      </c>
      <c r="BA333" s="38" t="inlineStr">
        <is>
          <t>IF(OR(E333="",AN333=""),"",IF(COUNT(AG333:AM333)=0,"",AN333-LOOKUP(2,1/(AG333:AM333&lt;&gt;""),AG333:AM333)))</t>
        </is>
      </c>
      <c r="BB333" s="38" t="inlineStr">
        <is>
          <t>IF(OR(E333="",AO333=""),"",IF(COUNT(AG333:AN333)=0,"",AO333-LOOKUP(2,1/(AG333:AN333&lt;&gt;""),AG333:AN333)))</t>
        </is>
      </c>
      <c r="BC333" s="38" t="inlineStr">
        <is>
          <t>IF(OR(E333="",AP333=""),"",IF(COUNT(AG333:AO333)=0,"",AP333-LOOKUP(2,1/(AG333:AO333&lt;&gt;""),AG333:AO333)))</t>
        </is>
      </c>
      <c r="BD333" s="38" t="inlineStr">
        <is>
          <t>IF(OR(E333="",AQ333=""),"",IF(COUNT(AG333:AP333)=0,"",AQ333-LOOKUP(2,1/(AG333:AP333&lt;&gt;""),AG333:AP333)))</t>
        </is>
      </c>
      <c r="BE333" s="38" t="inlineStr">
        <is>
          <t>IF(OR(E333="",AR333=""),"",IF(COUNT(AG333:AQ333)=0,"",AR333-LOOKUP(2,1/(AG333:AQ333&lt;&gt;""),AG333:AQ333)))</t>
        </is>
      </c>
      <c r="BF333" s="38" t="inlineStr">
        <is>
          <t>IF(OR(E333="",AS333=""),"",IF(COUNT(AG333:AR333)=0,"",AS333-LOOKUP(2,1/(AG333:AR333&lt;&gt;""),AG333:AR333)))</t>
        </is>
      </c>
      <c r="BG333" s="38" t="inlineStr">
        <is>
          <t>IF(OR(E333="",AT333=""),"",IF(COUNT(AG333:AS333)=0,"",AT333-LOOKUP(2,1/(AG333:AS333&lt;&gt;""),AG333:AS333)))</t>
        </is>
      </c>
      <c r="BH333" s="41" t="inlineStr">
        <is>
          <t>IF(G333="","All_Provinces",IFERROR(VLOOKUP(G333,'07_Lookups'!$A$4:$B$20,2,FALSE),"All_Provinces"))</t>
        </is>
      </c>
      <c r="BI333" s="41" t="inlineStr">
        <is>
          <t>IF(H333="","All_Districts",IFERROR(VLOOKUP(H333,'07_Lookups'!$E$4:$F$42,2,FALSE),"All_Districts"))</t>
        </is>
      </c>
    </row>
    <row r="334" ht="18" customHeight="1">
      <c r="A334" s="32" t="inlineStr">
        <is>
          <t>IF(E334="","",ROW()-3)</t>
        </is>
      </c>
      <c r="B334" s="33" t="n"/>
      <c r="C334" s="33" t="n"/>
      <c r="D334" s="33" t="n"/>
      <c r="E334" s="33" t="n"/>
      <c r="F334" s="33" t="n"/>
      <c r="G334" s="33" t="n"/>
      <c r="H334" s="33" t="n"/>
      <c r="I334" s="33" t="n"/>
      <c r="J334" s="33" t="n"/>
      <c r="K334" s="33" t="n"/>
      <c r="L334" s="33" t="n"/>
      <c r="M334" s="33" t="n"/>
      <c r="N334" s="33" t="n"/>
      <c r="O334" s="33" t="n"/>
      <c r="P334" s="33" t="n"/>
      <c r="Q334" s="34" t="n"/>
      <c r="R334" s="35" t="inlineStr">
        <is>
          <t>IF(AO334="","",AO334)</t>
        </is>
      </c>
      <c r="S334" s="36" t="n"/>
      <c r="T334" s="37" t="n"/>
      <c r="U334" s="36" t="n"/>
      <c r="V334" s="35" t="inlineStr">
        <is>
          <t>IF(U334&lt;&gt;"",U334,IF(OR(R334="",T334=""),"",EDATE(R334,T334)))</t>
        </is>
      </c>
      <c r="W334" s="36" t="n"/>
      <c r="X334" s="37" t="n"/>
      <c r="Y334" s="33" t="n"/>
      <c r="Z334" s="33" t="n"/>
      <c r="AA334" s="32" t="inlineStr">
        <is>
          <t>IF(E334="","",IF(COUNT(AG334:AT334)=0,IF(Y334="","Not started",Y334),SUBSTITUTE(LOOKUP(2,1/(AG334:AT334&lt;&gt;""),$AG$3:$AT$3),"Date: ","")))</t>
        </is>
      </c>
      <c r="AB334" s="38" t="inlineStr">
        <is>
          <t>IF(OR(E334="",COUNT(AG334:AT334)=0),"",TODAY()-LOOKUP(2,1/(AG334:AT334&lt;&gt;""),AG334:AT334))</t>
        </is>
      </c>
      <c r="AC334" s="38" t="inlineStr">
        <is>
          <t>IF(OR(E334="",COUNT(AG334:AT334)&lt;2),"",LOOKUP(2,1/(AG334:AT334&lt;&gt;""),AG334:AT334)-MIN(AG334:AT334))</t>
        </is>
      </c>
      <c r="AD334" s="38" t="inlineStr">
        <is>
          <t>IF(OR(AB334="",AA334="Not started",AA334=""),"",IFERROR(AB334-IF(VLOOKUP(AA334,'04_Status_Pipeline'!$B$3:$E$20,4,FALSE)="",0,VLOOKUP(AA334,'04_Status_Pipeline'!$B$3:$E$20,4,FALSE)),""))</t>
        </is>
      </c>
      <c r="AE334" s="32" t="inlineStr">
        <is>
          <t>IF(E334="","",IF(OR(Y334="Cancelled",AA334="Cancelled"),"Cancelled",IF(OR(AA334="Completed / Handover",W334&lt;&gt;"",X334&gt;=100),"Completed — on track",IF(L334="Remaining",IF(S334="",IF(V334="","No planned date",IF(TODAY()&gt;V334,"Behind — past planned date",IF(V334-TODAY()&lt;=30,"At risk — close to off track","On track"))),IF(TODAY()&gt;S334,"Behind — award date passed",IF(S334-TODAY()&lt;=30,"At risk — close to off track","On track"))),IF(V334="","No planned date",IF(AND(TODAY()&gt;V334,OR(X334="",X334&lt;100)),"Behind — past end date",IF(AND(R334&lt;&gt;"",V334&lt;&gt;"",X334&lt;&gt;"",(X334&lt;100),((TODAY()-R334)/MAX(V334-R334,1)*100)-X334&gt;15),"Behind — progress lag",IF(AND(V334-TODAY()&lt;=30,V334-TODAY()&gt;=0,OR(X334="",X334&lt;90)),"At risk — close to off track","On track"))))))))</t>
        </is>
      </c>
      <c r="AF334" s="38" t="inlineStr">
        <is>
          <t>IF(OR(E334="",AA334="Completed / Handover",AA334="Cancelled"),"",IF(L334="Remaining",IF(S334&lt;&gt;"",S334-TODAY(),IF(V334="","",V334-TODAY())),IF(V334="","",V334-TODAY())))</t>
        </is>
      </c>
      <c r="AG334" s="36" t="n"/>
      <c r="AH334" s="36" t="n"/>
      <c r="AI334" s="36" t="n"/>
      <c r="AJ334" s="36" t="n"/>
      <c r="AK334" s="36" t="n"/>
      <c r="AL334" s="36" t="n"/>
      <c r="AM334" s="36" t="n"/>
      <c r="AN334" s="36" t="n"/>
      <c r="AO334" s="36" t="n"/>
      <c r="AP334" s="36" t="n"/>
      <c r="AQ334" s="36" t="n"/>
      <c r="AR334" s="40" t="n"/>
      <c r="AS334" s="40" t="n"/>
      <c r="AT334" s="40" t="n"/>
      <c r="AU334" s="38" t="inlineStr">
        <is>
          <t>IF(OR(E334="",AH334=""),"",IF(COUNT(AG334:AG334)=0,"",AH334-LOOKUP(2,1/(AG334:AG334&lt;&gt;""),AG334:AG334)))</t>
        </is>
      </c>
      <c r="AV334" s="38" t="inlineStr">
        <is>
          <t>IF(OR(E334="",AI334=""),"",IF(COUNT(AG334:AH334)=0,"",AI334-LOOKUP(2,1/(AG334:AH334&lt;&gt;""),AG334:AH334)))</t>
        </is>
      </c>
      <c r="AW334" s="38" t="inlineStr">
        <is>
          <t>IF(OR(E334="",AJ334=""),"",IF(COUNT(AG334:AI334)=0,"",AJ334-LOOKUP(2,1/(AG334:AI334&lt;&gt;""),AG334:AI334)))</t>
        </is>
      </c>
      <c r="AX334" s="38" t="inlineStr">
        <is>
          <t>IF(OR(E334="",AK334=""),"",IF(COUNT(AG334:AJ334)=0,"",AK334-LOOKUP(2,1/(AG334:AJ334&lt;&gt;""),AG334:AJ334)))</t>
        </is>
      </c>
      <c r="AY334" s="38" t="inlineStr">
        <is>
          <t>IF(OR(E334="",AL334=""),"",IF(COUNT(AG334:AK334)=0,"",AL334-LOOKUP(2,1/(AG334:AK334&lt;&gt;""),AG334:AK334)))</t>
        </is>
      </c>
      <c r="AZ334" s="38" t="inlineStr">
        <is>
          <t>IF(OR(E334="",AM334=""),"",IF(COUNT(AG334:AL334)=0,"",AM334-LOOKUP(2,1/(AG334:AL334&lt;&gt;""),AG334:AL334)))</t>
        </is>
      </c>
      <c r="BA334" s="38" t="inlineStr">
        <is>
          <t>IF(OR(E334="",AN334=""),"",IF(COUNT(AG334:AM334)=0,"",AN334-LOOKUP(2,1/(AG334:AM334&lt;&gt;""),AG334:AM334)))</t>
        </is>
      </c>
      <c r="BB334" s="38" t="inlineStr">
        <is>
          <t>IF(OR(E334="",AO334=""),"",IF(COUNT(AG334:AN334)=0,"",AO334-LOOKUP(2,1/(AG334:AN334&lt;&gt;""),AG334:AN334)))</t>
        </is>
      </c>
      <c r="BC334" s="38" t="inlineStr">
        <is>
          <t>IF(OR(E334="",AP334=""),"",IF(COUNT(AG334:AO334)=0,"",AP334-LOOKUP(2,1/(AG334:AO334&lt;&gt;""),AG334:AO334)))</t>
        </is>
      </c>
      <c r="BD334" s="38" t="inlineStr">
        <is>
          <t>IF(OR(E334="",AQ334=""),"",IF(COUNT(AG334:AP334)=0,"",AQ334-LOOKUP(2,1/(AG334:AP334&lt;&gt;""),AG334:AP334)))</t>
        </is>
      </c>
      <c r="BE334" s="38" t="inlineStr">
        <is>
          <t>IF(OR(E334="",AR334=""),"",IF(COUNT(AG334:AQ334)=0,"",AR334-LOOKUP(2,1/(AG334:AQ334&lt;&gt;""),AG334:AQ334)))</t>
        </is>
      </c>
      <c r="BF334" s="38" t="inlineStr">
        <is>
          <t>IF(OR(E334="",AS334=""),"",IF(COUNT(AG334:AR334)=0,"",AS334-LOOKUP(2,1/(AG334:AR334&lt;&gt;""),AG334:AR334)))</t>
        </is>
      </c>
      <c r="BG334" s="38" t="inlineStr">
        <is>
          <t>IF(OR(E334="",AT334=""),"",IF(COUNT(AG334:AS334)=0,"",AT334-LOOKUP(2,1/(AG334:AS334&lt;&gt;""),AG334:AS334)))</t>
        </is>
      </c>
      <c r="BH334" s="41" t="inlineStr">
        <is>
          <t>IF(G334="","All_Provinces",IFERROR(VLOOKUP(G334,'07_Lookups'!$A$4:$B$20,2,FALSE),"All_Provinces"))</t>
        </is>
      </c>
      <c r="BI334" s="41" t="inlineStr">
        <is>
          <t>IF(H334="","All_Districts",IFERROR(VLOOKUP(H334,'07_Lookups'!$E$4:$F$42,2,FALSE),"All_Districts"))</t>
        </is>
      </c>
    </row>
    <row r="335" ht="18" customHeight="1">
      <c r="A335" s="32" t="inlineStr">
        <is>
          <t>IF(E335="","",ROW()-3)</t>
        </is>
      </c>
      <c r="B335" s="42" t="n"/>
      <c r="C335" s="42" t="n"/>
      <c r="D335" s="42" t="n"/>
      <c r="E335" s="42" t="n"/>
      <c r="F335" s="42" t="n"/>
      <c r="G335" s="42" t="n"/>
      <c r="H335" s="42" t="n"/>
      <c r="I335" s="42" t="n"/>
      <c r="J335" s="42" t="n"/>
      <c r="K335" s="42" t="n"/>
      <c r="L335" s="42" t="n"/>
      <c r="M335" s="42" t="n"/>
      <c r="N335" s="42" t="n"/>
      <c r="O335" s="42" t="n"/>
      <c r="P335" s="42" t="n"/>
      <c r="Q335" s="43" t="n"/>
      <c r="R335" s="35" t="inlineStr">
        <is>
          <t>IF(AO335="","",AO335)</t>
        </is>
      </c>
      <c r="S335" s="44" t="n"/>
      <c r="T335" s="45" t="n"/>
      <c r="U335" s="44" t="n"/>
      <c r="V335" s="35" t="inlineStr">
        <is>
          <t>IF(U335&lt;&gt;"",U335,IF(OR(R335="",T335=""),"",EDATE(R335,T335)))</t>
        </is>
      </c>
      <c r="W335" s="44" t="n"/>
      <c r="X335" s="45" t="n"/>
      <c r="Y335" s="42" t="n"/>
      <c r="Z335" s="42" t="n"/>
      <c r="AA335" s="32" t="inlineStr">
        <is>
          <t>IF(E335="","",IF(COUNT(AG335:AT335)=0,IF(Y335="","Not started",Y335),SUBSTITUTE(LOOKUP(2,1/(AG335:AT335&lt;&gt;""),$AG$3:$AT$3),"Date: ","")))</t>
        </is>
      </c>
      <c r="AB335" s="38" t="inlineStr">
        <is>
          <t>IF(OR(E335="",COUNT(AG335:AT335)=0),"",TODAY()-LOOKUP(2,1/(AG335:AT335&lt;&gt;""),AG335:AT335))</t>
        </is>
      </c>
      <c r="AC335" s="38" t="inlineStr">
        <is>
          <t>IF(OR(E335="",COUNT(AG335:AT335)&lt;2),"",LOOKUP(2,1/(AG335:AT335&lt;&gt;""),AG335:AT335)-MIN(AG335:AT335))</t>
        </is>
      </c>
      <c r="AD335" s="38" t="inlineStr">
        <is>
          <t>IF(OR(AB335="",AA335="Not started",AA335=""),"",IFERROR(AB335-IF(VLOOKUP(AA335,'04_Status_Pipeline'!$B$3:$E$20,4,FALSE)="",0,VLOOKUP(AA335,'04_Status_Pipeline'!$B$3:$E$20,4,FALSE)),""))</t>
        </is>
      </c>
      <c r="AE335" s="32" t="inlineStr">
        <is>
          <t>IF(E335="","",IF(OR(Y335="Cancelled",AA335="Cancelled"),"Cancelled",IF(OR(AA335="Completed / Handover",W335&lt;&gt;"",X335&gt;=100),"Completed — on track",IF(L335="Remaining",IF(S335="",IF(V335="","No planned date",IF(TODAY()&gt;V335,"Behind — past planned date",IF(V335-TODAY()&lt;=30,"At risk — close to off track","On track"))),IF(TODAY()&gt;S335,"Behind — award date passed",IF(S335-TODAY()&lt;=30,"At risk — close to off track","On track"))),IF(V335="","No planned date",IF(AND(TODAY()&gt;V335,OR(X335="",X335&lt;100)),"Behind — past end date",IF(AND(R335&lt;&gt;"",V335&lt;&gt;"",X335&lt;&gt;"",(X335&lt;100),((TODAY()-R335)/MAX(V335-R335,1)*100)-X335&gt;15),"Behind — progress lag",IF(AND(V335-TODAY()&lt;=30,V335-TODAY()&gt;=0,OR(X335="",X335&lt;90)),"At risk — close to off track","On track"))))))))</t>
        </is>
      </c>
      <c r="AF335" s="38" t="inlineStr">
        <is>
          <t>IF(OR(E335="",AA335="Completed / Handover",AA335="Cancelled"),"",IF(L335="Remaining",IF(S335&lt;&gt;"",S335-TODAY(),IF(V335="","",V335-TODAY())),IF(V335="","",V335-TODAY())))</t>
        </is>
      </c>
      <c r="AG335" s="44" t="n"/>
      <c r="AH335" s="44" t="n"/>
      <c r="AI335" s="44" t="n"/>
      <c r="AJ335" s="44" t="n"/>
      <c r="AK335" s="44" t="n"/>
      <c r="AL335" s="44" t="n"/>
      <c r="AM335" s="44" t="n"/>
      <c r="AN335" s="44" t="n"/>
      <c r="AO335" s="44" t="n"/>
      <c r="AP335" s="44" t="n"/>
      <c r="AQ335" s="44" t="n"/>
      <c r="AR335" s="40" t="n"/>
      <c r="AS335" s="40" t="n"/>
      <c r="AT335" s="40" t="n"/>
      <c r="AU335" s="38" t="inlineStr">
        <is>
          <t>IF(OR(E335="",AH335=""),"",IF(COUNT(AG335:AG335)=0,"",AH335-LOOKUP(2,1/(AG335:AG335&lt;&gt;""),AG335:AG335)))</t>
        </is>
      </c>
      <c r="AV335" s="38" t="inlineStr">
        <is>
          <t>IF(OR(E335="",AI335=""),"",IF(COUNT(AG335:AH335)=0,"",AI335-LOOKUP(2,1/(AG335:AH335&lt;&gt;""),AG335:AH335)))</t>
        </is>
      </c>
      <c r="AW335" s="38" t="inlineStr">
        <is>
          <t>IF(OR(E335="",AJ335=""),"",IF(COUNT(AG335:AI335)=0,"",AJ335-LOOKUP(2,1/(AG335:AI335&lt;&gt;""),AG335:AI335)))</t>
        </is>
      </c>
      <c r="AX335" s="38" t="inlineStr">
        <is>
          <t>IF(OR(E335="",AK335=""),"",IF(COUNT(AG335:AJ335)=0,"",AK335-LOOKUP(2,1/(AG335:AJ335&lt;&gt;""),AG335:AJ335)))</t>
        </is>
      </c>
      <c r="AY335" s="38" t="inlineStr">
        <is>
          <t>IF(OR(E335="",AL335=""),"",IF(COUNT(AG335:AK335)=0,"",AL335-LOOKUP(2,1/(AG335:AK335&lt;&gt;""),AG335:AK335)))</t>
        </is>
      </c>
      <c r="AZ335" s="38" t="inlineStr">
        <is>
          <t>IF(OR(E335="",AM335=""),"",IF(COUNT(AG335:AL335)=0,"",AM335-LOOKUP(2,1/(AG335:AL335&lt;&gt;""),AG335:AL335)))</t>
        </is>
      </c>
      <c r="BA335" s="38" t="inlineStr">
        <is>
          <t>IF(OR(E335="",AN335=""),"",IF(COUNT(AG335:AM335)=0,"",AN335-LOOKUP(2,1/(AG335:AM335&lt;&gt;""),AG335:AM335)))</t>
        </is>
      </c>
      <c r="BB335" s="38" t="inlineStr">
        <is>
          <t>IF(OR(E335="",AO335=""),"",IF(COUNT(AG335:AN335)=0,"",AO335-LOOKUP(2,1/(AG335:AN335&lt;&gt;""),AG335:AN335)))</t>
        </is>
      </c>
      <c r="BC335" s="38" t="inlineStr">
        <is>
          <t>IF(OR(E335="",AP335=""),"",IF(COUNT(AG335:AO335)=0,"",AP335-LOOKUP(2,1/(AG335:AO335&lt;&gt;""),AG335:AO335)))</t>
        </is>
      </c>
      <c r="BD335" s="38" t="inlineStr">
        <is>
          <t>IF(OR(E335="",AQ335=""),"",IF(COUNT(AG335:AP335)=0,"",AQ335-LOOKUP(2,1/(AG335:AP335&lt;&gt;""),AG335:AP335)))</t>
        </is>
      </c>
      <c r="BE335" s="38" t="inlineStr">
        <is>
          <t>IF(OR(E335="",AR335=""),"",IF(COUNT(AG335:AQ335)=0,"",AR335-LOOKUP(2,1/(AG335:AQ335&lt;&gt;""),AG335:AQ335)))</t>
        </is>
      </c>
      <c r="BF335" s="38" t="inlineStr">
        <is>
          <t>IF(OR(E335="",AS335=""),"",IF(COUNT(AG335:AR335)=0,"",AS335-LOOKUP(2,1/(AG335:AR335&lt;&gt;""),AG335:AR335)))</t>
        </is>
      </c>
      <c r="BG335" s="38" t="inlineStr">
        <is>
          <t>IF(OR(E335="",AT335=""),"",IF(COUNT(AG335:AS335)=0,"",AT335-LOOKUP(2,1/(AG335:AS335&lt;&gt;""),AG335:AS335)))</t>
        </is>
      </c>
      <c r="BH335" s="41" t="inlineStr">
        <is>
          <t>IF(G335="","All_Provinces",IFERROR(VLOOKUP(G335,'07_Lookups'!$A$4:$B$20,2,FALSE),"All_Provinces"))</t>
        </is>
      </c>
      <c r="BI335" s="41" t="inlineStr">
        <is>
          <t>IF(H335="","All_Districts",IFERROR(VLOOKUP(H335,'07_Lookups'!$E$4:$F$42,2,FALSE),"All_Districts"))</t>
        </is>
      </c>
    </row>
    <row r="336" ht="18" customHeight="1">
      <c r="A336" s="32" t="inlineStr">
        <is>
          <t>IF(E336="","",ROW()-3)</t>
        </is>
      </c>
      <c r="B336" s="33" t="n"/>
      <c r="C336" s="33" t="n"/>
      <c r="D336" s="33" t="n"/>
      <c r="E336" s="33" t="n"/>
      <c r="F336" s="33" t="n"/>
      <c r="G336" s="33" t="n"/>
      <c r="H336" s="33" t="n"/>
      <c r="I336" s="33" t="n"/>
      <c r="J336" s="33" t="n"/>
      <c r="K336" s="33" t="n"/>
      <c r="L336" s="33" t="n"/>
      <c r="M336" s="33" t="n"/>
      <c r="N336" s="33" t="n"/>
      <c r="O336" s="33" t="n"/>
      <c r="P336" s="33" t="n"/>
      <c r="Q336" s="34" t="n"/>
      <c r="R336" s="35" t="inlineStr">
        <is>
          <t>IF(AO336="","",AO336)</t>
        </is>
      </c>
      <c r="S336" s="36" t="n"/>
      <c r="T336" s="37" t="n"/>
      <c r="U336" s="36" t="n"/>
      <c r="V336" s="35" t="inlineStr">
        <is>
          <t>IF(U336&lt;&gt;"",U336,IF(OR(R336="",T336=""),"",EDATE(R336,T336)))</t>
        </is>
      </c>
      <c r="W336" s="36" t="n"/>
      <c r="X336" s="37" t="n"/>
      <c r="Y336" s="33" t="n"/>
      <c r="Z336" s="33" t="n"/>
      <c r="AA336" s="32" t="inlineStr">
        <is>
          <t>IF(E336="","",IF(COUNT(AG336:AT336)=0,IF(Y336="","Not started",Y336),SUBSTITUTE(LOOKUP(2,1/(AG336:AT336&lt;&gt;""),$AG$3:$AT$3),"Date: ","")))</t>
        </is>
      </c>
      <c r="AB336" s="38" t="inlineStr">
        <is>
          <t>IF(OR(E336="",COUNT(AG336:AT336)=0),"",TODAY()-LOOKUP(2,1/(AG336:AT336&lt;&gt;""),AG336:AT336))</t>
        </is>
      </c>
      <c r="AC336" s="38" t="inlineStr">
        <is>
          <t>IF(OR(E336="",COUNT(AG336:AT336)&lt;2),"",LOOKUP(2,1/(AG336:AT336&lt;&gt;""),AG336:AT336)-MIN(AG336:AT336))</t>
        </is>
      </c>
      <c r="AD336" s="38" t="inlineStr">
        <is>
          <t>IF(OR(AB336="",AA336="Not started",AA336=""),"",IFERROR(AB336-IF(VLOOKUP(AA336,'04_Status_Pipeline'!$B$3:$E$20,4,FALSE)="",0,VLOOKUP(AA336,'04_Status_Pipeline'!$B$3:$E$20,4,FALSE)),""))</t>
        </is>
      </c>
      <c r="AE336" s="32" t="inlineStr">
        <is>
          <t>IF(E336="","",IF(OR(Y336="Cancelled",AA336="Cancelled"),"Cancelled",IF(OR(AA336="Completed / Handover",W336&lt;&gt;"",X336&gt;=100),"Completed — on track",IF(L336="Remaining",IF(S336="",IF(V336="","No planned date",IF(TODAY()&gt;V336,"Behind — past planned date",IF(V336-TODAY()&lt;=30,"At risk — close to off track","On track"))),IF(TODAY()&gt;S336,"Behind — award date passed",IF(S336-TODAY()&lt;=30,"At risk — close to off track","On track"))),IF(V336="","No planned date",IF(AND(TODAY()&gt;V336,OR(X336="",X336&lt;100)),"Behind — past end date",IF(AND(R336&lt;&gt;"",V336&lt;&gt;"",X336&lt;&gt;"",(X336&lt;100),((TODAY()-R336)/MAX(V336-R336,1)*100)-X336&gt;15),"Behind — progress lag",IF(AND(V336-TODAY()&lt;=30,V336-TODAY()&gt;=0,OR(X336="",X336&lt;90)),"At risk — close to off track","On track"))))))))</t>
        </is>
      </c>
      <c r="AF336" s="38" t="inlineStr">
        <is>
          <t>IF(OR(E336="",AA336="Completed / Handover",AA336="Cancelled"),"",IF(L336="Remaining",IF(S336&lt;&gt;"",S336-TODAY(),IF(V336="","",V336-TODAY())),IF(V336="","",V336-TODAY())))</t>
        </is>
      </c>
      <c r="AG336" s="36" t="n"/>
      <c r="AH336" s="36" t="n"/>
      <c r="AI336" s="36" t="n"/>
      <c r="AJ336" s="36" t="n"/>
      <c r="AK336" s="36" t="n"/>
      <c r="AL336" s="36" t="n"/>
      <c r="AM336" s="36" t="n"/>
      <c r="AN336" s="36" t="n"/>
      <c r="AO336" s="36" t="n"/>
      <c r="AP336" s="36" t="n"/>
      <c r="AQ336" s="36" t="n"/>
      <c r="AR336" s="40" t="n"/>
      <c r="AS336" s="40" t="n"/>
      <c r="AT336" s="40" t="n"/>
      <c r="AU336" s="38" t="inlineStr">
        <is>
          <t>IF(OR(E336="",AH336=""),"",IF(COUNT(AG336:AG336)=0,"",AH336-LOOKUP(2,1/(AG336:AG336&lt;&gt;""),AG336:AG336)))</t>
        </is>
      </c>
      <c r="AV336" s="38" t="inlineStr">
        <is>
          <t>IF(OR(E336="",AI336=""),"",IF(COUNT(AG336:AH336)=0,"",AI336-LOOKUP(2,1/(AG336:AH336&lt;&gt;""),AG336:AH336)))</t>
        </is>
      </c>
      <c r="AW336" s="38" t="inlineStr">
        <is>
          <t>IF(OR(E336="",AJ336=""),"",IF(COUNT(AG336:AI336)=0,"",AJ336-LOOKUP(2,1/(AG336:AI336&lt;&gt;""),AG336:AI336)))</t>
        </is>
      </c>
      <c r="AX336" s="38" t="inlineStr">
        <is>
          <t>IF(OR(E336="",AK336=""),"",IF(COUNT(AG336:AJ336)=0,"",AK336-LOOKUP(2,1/(AG336:AJ336&lt;&gt;""),AG336:AJ336)))</t>
        </is>
      </c>
      <c r="AY336" s="38" t="inlineStr">
        <is>
          <t>IF(OR(E336="",AL336=""),"",IF(COUNT(AG336:AK336)=0,"",AL336-LOOKUP(2,1/(AG336:AK336&lt;&gt;""),AG336:AK336)))</t>
        </is>
      </c>
      <c r="AZ336" s="38" t="inlineStr">
        <is>
          <t>IF(OR(E336="",AM336=""),"",IF(COUNT(AG336:AL336)=0,"",AM336-LOOKUP(2,1/(AG336:AL336&lt;&gt;""),AG336:AL336)))</t>
        </is>
      </c>
      <c r="BA336" s="38" t="inlineStr">
        <is>
          <t>IF(OR(E336="",AN336=""),"",IF(COUNT(AG336:AM336)=0,"",AN336-LOOKUP(2,1/(AG336:AM336&lt;&gt;""),AG336:AM336)))</t>
        </is>
      </c>
      <c r="BB336" s="38" t="inlineStr">
        <is>
          <t>IF(OR(E336="",AO336=""),"",IF(COUNT(AG336:AN336)=0,"",AO336-LOOKUP(2,1/(AG336:AN336&lt;&gt;""),AG336:AN336)))</t>
        </is>
      </c>
      <c r="BC336" s="38" t="inlineStr">
        <is>
          <t>IF(OR(E336="",AP336=""),"",IF(COUNT(AG336:AO336)=0,"",AP336-LOOKUP(2,1/(AG336:AO336&lt;&gt;""),AG336:AO336)))</t>
        </is>
      </c>
      <c r="BD336" s="38" t="inlineStr">
        <is>
          <t>IF(OR(E336="",AQ336=""),"",IF(COUNT(AG336:AP336)=0,"",AQ336-LOOKUP(2,1/(AG336:AP336&lt;&gt;""),AG336:AP336)))</t>
        </is>
      </c>
      <c r="BE336" s="38" t="inlineStr">
        <is>
          <t>IF(OR(E336="",AR336=""),"",IF(COUNT(AG336:AQ336)=0,"",AR336-LOOKUP(2,1/(AG336:AQ336&lt;&gt;""),AG336:AQ336)))</t>
        </is>
      </c>
      <c r="BF336" s="38" t="inlineStr">
        <is>
          <t>IF(OR(E336="",AS336=""),"",IF(COUNT(AG336:AR336)=0,"",AS336-LOOKUP(2,1/(AG336:AR336&lt;&gt;""),AG336:AR336)))</t>
        </is>
      </c>
      <c r="BG336" s="38" t="inlineStr">
        <is>
          <t>IF(OR(E336="",AT336=""),"",IF(COUNT(AG336:AS336)=0,"",AT336-LOOKUP(2,1/(AG336:AS336&lt;&gt;""),AG336:AS336)))</t>
        </is>
      </c>
      <c r="BH336" s="41" t="inlineStr">
        <is>
          <t>IF(G336="","All_Provinces",IFERROR(VLOOKUP(G336,'07_Lookups'!$A$4:$B$20,2,FALSE),"All_Provinces"))</t>
        </is>
      </c>
      <c r="BI336" s="41" t="inlineStr">
        <is>
          <t>IF(H336="","All_Districts",IFERROR(VLOOKUP(H336,'07_Lookups'!$E$4:$F$42,2,FALSE),"All_Districts"))</t>
        </is>
      </c>
    </row>
    <row r="337" ht="18" customHeight="1">
      <c r="A337" s="32" t="inlineStr">
        <is>
          <t>IF(E337="","",ROW()-3)</t>
        </is>
      </c>
      <c r="B337" s="42" t="n"/>
      <c r="C337" s="42" t="n"/>
      <c r="D337" s="42" t="n"/>
      <c r="E337" s="42" t="n"/>
      <c r="F337" s="42" t="n"/>
      <c r="G337" s="42" t="n"/>
      <c r="H337" s="42" t="n"/>
      <c r="I337" s="42" t="n"/>
      <c r="J337" s="42" t="n"/>
      <c r="K337" s="42" t="n"/>
      <c r="L337" s="42" t="n"/>
      <c r="M337" s="42" t="n"/>
      <c r="N337" s="42" t="n"/>
      <c r="O337" s="42" t="n"/>
      <c r="P337" s="42" t="n"/>
      <c r="Q337" s="43" t="n"/>
      <c r="R337" s="35" t="inlineStr">
        <is>
          <t>IF(AO337="","",AO337)</t>
        </is>
      </c>
      <c r="S337" s="44" t="n"/>
      <c r="T337" s="45" t="n"/>
      <c r="U337" s="44" t="n"/>
      <c r="V337" s="35" t="inlineStr">
        <is>
          <t>IF(U337&lt;&gt;"",U337,IF(OR(R337="",T337=""),"",EDATE(R337,T337)))</t>
        </is>
      </c>
      <c r="W337" s="44" t="n"/>
      <c r="X337" s="45" t="n"/>
      <c r="Y337" s="42" t="n"/>
      <c r="Z337" s="42" t="n"/>
      <c r="AA337" s="32" t="inlineStr">
        <is>
          <t>IF(E337="","",IF(COUNT(AG337:AT337)=0,IF(Y337="","Not started",Y337),SUBSTITUTE(LOOKUP(2,1/(AG337:AT337&lt;&gt;""),$AG$3:$AT$3),"Date: ","")))</t>
        </is>
      </c>
      <c r="AB337" s="38" t="inlineStr">
        <is>
          <t>IF(OR(E337="",COUNT(AG337:AT337)=0),"",TODAY()-LOOKUP(2,1/(AG337:AT337&lt;&gt;""),AG337:AT337))</t>
        </is>
      </c>
      <c r="AC337" s="38" t="inlineStr">
        <is>
          <t>IF(OR(E337="",COUNT(AG337:AT337)&lt;2),"",LOOKUP(2,1/(AG337:AT337&lt;&gt;""),AG337:AT337)-MIN(AG337:AT337))</t>
        </is>
      </c>
      <c r="AD337" s="38" t="inlineStr">
        <is>
          <t>IF(OR(AB337="",AA337="Not started",AA337=""),"",IFERROR(AB337-IF(VLOOKUP(AA337,'04_Status_Pipeline'!$B$3:$E$20,4,FALSE)="",0,VLOOKUP(AA337,'04_Status_Pipeline'!$B$3:$E$20,4,FALSE)),""))</t>
        </is>
      </c>
      <c r="AE337" s="32" t="inlineStr">
        <is>
          <t>IF(E337="","",IF(OR(Y337="Cancelled",AA337="Cancelled"),"Cancelled",IF(OR(AA337="Completed / Handover",W337&lt;&gt;"",X337&gt;=100),"Completed — on track",IF(L337="Remaining",IF(S337="",IF(V337="","No planned date",IF(TODAY()&gt;V337,"Behind — past planned date",IF(V337-TODAY()&lt;=30,"At risk — close to off track","On track"))),IF(TODAY()&gt;S337,"Behind — award date passed",IF(S337-TODAY()&lt;=30,"At risk — close to off track","On track"))),IF(V337="","No planned date",IF(AND(TODAY()&gt;V337,OR(X337="",X337&lt;100)),"Behind — past end date",IF(AND(R337&lt;&gt;"",V337&lt;&gt;"",X337&lt;&gt;"",(X337&lt;100),((TODAY()-R337)/MAX(V337-R337,1)*100)-X337&gt;15),"Behind — progress lag",IF(AND(V337-TODAY()&lt;=30,V337-TODAY()&gt;=0,OR(X337="",X337&lt;90)),"At risk — close to off track","On track"))))))))</t>
        </is>
      </c>
      <c r="AF337" s="38" t="inlineStr">
        <is>
          <t>IF(OR(E337="",AA337="Completed / Handover",AA337="Cancelled"),"",IF(L337="Remaining",IF(S337&lt;&gt;"",S337-TODAY(),IF(V337="","",V337-TODAY())),IF(V337="","",V337-TODAY())))</t>
        </is>
      </c>
      <c r="AG337" s="44" t="n"/>
      <c r="AH337" s="44" t="n"/>
      <c r="AI337" s="44" t="n"/>
      <c r="AJ337" s="44" t="n"/>
      <c r="AK337" s="44" t="n"/>
      <c r="AL337" s="44" t="n"/>
      <c r="AM337" s="44" t="n"/>
      <c r="AN337" s="44" t="n"/>
      <c r="AO337" s="44" t="n"/>
      <c r="AP337" s="44" t="n"/>
      <c r="AQ337" s="44" t="n"/>
      <c r="AR337" s="40" t="n"/>
      <c r="AS337" s="40" t="n"/>
      <c r="AT337" s="40" t="n"/>
      <c r="AU337" s="38" t="inlineStr">
        <is>
          <t>IF(OR(E337="",AH337=""),"",IF(COUNT(AG337:AG337)=0,"",AH337-LOOKUP(2,1/(AG337:AG337&lt;&gt;""),AG337:AG337)))</t>
        </is>
      </c>
      <c r="AV337" s="38" t="inlineStr">
        <is>
          <t>IF(OR(E337="",AI337=""),"",IF(COUNT(AG337:AH337)=0,"",AI337-LOOKUP(2,1/(AG337:AH337&lt;&gt;""),AG337:AH337)))</t>
        </is>
      </c>
      <c r="AW337" s="38" t="inlineStr">
        <is>
          <t>IF(OR(E337="",AJ337=""),"",IF(COUNT(AG337:AI337)=0,"",AJ337-LOOKUP(2,1/(AG337:AI337&lt;&gt;""),AG337:AI337)))</t>
        </is>
      </c>
      <c r="AX337" s="38" t="inlineStr">
        <is>
          <t>IF(OR(E337="",AK337=""),"",IF(COUNT(AG337:AJ337)=0,"",AK337-LOOKUP(2,1/(AG337:AJ337&lt;&gt;""),AG337:AJ337)))</t>
        </is>
      </c>
      <c r="AY337" s="38" t="inlineStr">
        <is>
          <t>IF(OR(E337="",AL337=""),"",IF(COUNT(AG337:AK337)=0,"",AL337-LOOKUP(2,1/(AG337:AK337&lt;&gt;""),AG337:AK337)))</t>
        </is>
      </c>
      <c r="AZ337" s="38" t="inlineStr">
        <is>
          <t>IF(OR(E337="",AM337=""),"",IF(COUNT(AG337:AL337)=0,"",AM337-LOOKUP(2,1/(AG337:AL337&lt;&gt;""),AG337:AL337)))</t>
        </is>
      </c>
      <c r="BA337" s="38" t="inlineStr">
        <is>
          <t>IF(OR(E337="",AN337=""),"",IF(COUNT(AG337:AM337)=0,"",AN337-LOOKUP(2,1/(AG337:AM337&lt;&gt;""),AG337:AM337)))</t>
        </is>
      </c>
      <c r="BB337" s="38" t="inlineStr">
        <is>
          <t>IF(OR(E337="",AO337=""),"",IF(COUNT(AG337:AN337)=0,"",AO337-LOOKUP(2,1/(AG337:AN337&lt;&gt;""),AG337:AN337)))</t>
        </is>
      </c>
      <c r="BC337" s="38" t="inlineStr">
        <is>
          <t>IF(OR(E337="",AP337=""),"",IF(COUNT(AG337:AO337)=0,"",AP337-LOOKUP(2,1/(AG337:AO337&lt;&gt;""),AG337:AO337)))</t>
        </is>
      </c>
      <c r="BD337" s="38" t="inlineStr">
        <is>
          <t>IF(OR(E337="",AQ337=""),"",IF(COUNT(AG337:AP337)=0,"",AQ337-LOOKUP(2,1/(AG337:AP337&lt;&gt;""),AG337:AP337)))</t>
        </is>
      </c>
      <c r="BE337" s="38" t="inlineStr">
        <is>
          <t>IF(OR(E337="",AR337=""),"",IF(COUNT(AG337:AQ337)=0,"",AR337-LOOKUP(2,1/(AG337:AQ337&lt;&gt;""),AG337:AQ337)))</t>
        </is>
      </c>
      <c r="BF337" s="38" t="inlineStr">
        <is>
          <t>IF(OR(E337="",AS337=""),"",IF(COUNT(AG337:AR337)=0,"",AS337-LOOKUP(2,1/(AG337:AR337&lt;&gt;""),AG337:AR337)))</t>
        </is>
      </c>
      <c r="BG337" s="38" t="inlineStr">
        <is>
          <t>IF(OR(E337="",AT337=""),"",IF(COUNT(AG337:AS337)=0,"",AT337-LOOKUP(2,1/(AG337:AS337&lt;&gt;""),AG337:AS337)))</t>
        </is>
      </c>
      <c r="BH337" s="41" t="inlineStr">
        <is>
          <t>IF(G337="","All_Provinces",IFERROR(VLOOKUP(G337,'07_Lookups'!$A$4:$B$20,2,FALSE),"All_Provinces"))</t>
        </is>
      </c>
      <c r="BI337" s="41" t="inlineStr">
        <is>
          <t>IF(H337="","All_Districts",IFERROR(VLOOKUP(H337,'07_Lookups'!$E$4:$F$42,2,FALSE),"All_Districts"))</t>
        </is>
      </c>
    </row>
    <row r="338" ht="18" customHeight="1">
      <c r="A338" s="32" t="inlineStr">
        <is>
          <t>IF(E338="","",ROW()-3)</t>
        </is>
      </c>
      <c r="B338" s="33" t="n"/>
      <c r="C338" s="33" t="n"/>
      <c r="D338" s="33" t="n"/>
      <c r="E338" s="33" t="n"/>
      <c r="F338" s="33" t="n"/>
      <c r="G338" s="33" t="n"/>
      <c r="H338" s="33" t="n"/>
      <c r="I338" s="33" t="n"/>
      <c r="J338" s="33" t="n"/>
      <c r="K338" s="33" t="n"/>
      <c r="L338" s="33" t="n"/>
      <c r="M338" s="33" t="n"/>
      <c r="N338" s="33" t="n"/>
      <c r="O338" s="33" t="n"/>
      <c r="P338" s="33" t="n"/>
      <c r="Q338" s="34" t="n"/>
      <c r="R338" s="35" t="inlineStr">
        <is>
          <t>IF(AO338="","",AO338)</t>
        </is>
      </c>
      <c r="S338" s="36" t="n"/>
      <c r="T338" s="37" t="n"/>
      <c r="U338" s="36" t="n"/>
      <c r="V338" s="35" t="inlineStr">
        <is>
          <t>IF(U338&lt;&gt;"",U338,IF(OR(R338="",T338=""),"",EDATE(R338,T338)))</t>
        </is>
      </c>
      <c r="W338" s="36" t="n"/>
      <c r="X338" s="37" t="n"/>
      <c r="Y338" s="33" t="n"/>
      <c r="Z338" s="33" t="n"/>
      <c r="AA338" s="32" t="inlineStr">
        <is>
          <t>IF(E338="","",IF(COUNT(AG338:AT338)=0,IF(Y338="","Not started",Y338),SUBSTITUTE(LOOKUP(2,1/(AG338:AT338&lt;&gt;""),$AG$3:$AT$3),"Date: ","")))</t>
        </is>
      </c>
      <c r="AB338" s="38" t="inlineStr">
        <is>
          <t>IF(OR(E338="",COUNT(AG338:AT338)=0),"",TODAY()-LOOKUP(2,1/(AG338:AT338&lt;&gt;""),AG338:AT338))</t>
        </is>
      </c>
      <c r="AC338" s="38" t="inlineStr">
        <is>
          <t>IF(OR(E338="",COUNT(AG338:AT338)&lt;2),"",LOOKUP(2,1/(AG338:AT338&lt;&gt;""),AG338:AT338)-MIN(AG338:AT338))</t>
        </is>
      </c>
      <c r="AD338" s="38" t="inlineStr">
        <is>
          <t>IF(OR(AB338="",AA338="Not started",AA338=""),"",IFERROR(AB338-IF(VLOOKUP(AA338,'04_Status_Pipeline'!$B$3:$E$20,4,FALSE)="",0,VLOOKUP(AA338,'04_Status_Pipeline'!$B$3:$E$20,4,FALSE)),""))</t>
        </is>
      </c>
      <c r="AE338" s="32" t="inlineStr">
        <is>
          <t>IF(E338="","",IF(OR(Y338="Cancelled",AA338="Cancelled"),"Cancelled",IF(OR(AA338="Completed / Handover",W338&lt;&gt;"",X338&gt;=100),"Completed — on track",IF(L338="Remaining",IF(S338="",IF(V338="","No planned date",IF(TODAY()&gt;V338,"Behind — past planned date",IF(V338-TODAY()&lt;=30,"At risk — close to off track","On track"))),IF(TODAY()&gt;S338,"Behind — award date passed",IF(S338-TODAY()&lt;=30,"At risk — close to off track","On track"))),IF(V338="","No planned date",IF(AND(TODAY()&gt;V338,OR(X338="",X338&lt;100)),"Behind — past end date",IF(AND(R338&lt;&gt;"",V338&lt;&gt;"",X338&lt;&gt;"",(X338&lt;100),((TODAY()-R338)/MAX(V338-R338,1)*100)-X338&gt;15),"Behind — progress lag",IF(AND(V338-TODAY()&lt;=30,V338-TODAY()&gt;=0,OR(X338="",X338&lt;90)),"At risk — close to off track","On track"))))))))</t>
        </is>
      </c>
      <c r="AF338" s="38" t="inlineStr">
        <is>
          <t>IF(OR(E338="",AA338="Completed / Handover",AA338="Cancelled"),"",IF(L338="Remaining",IF(S338&lt;&gt;"",S338-TODAY(),IF(V338="","",V338-TODAY())),IF(V338="","",V338-TODAY())))</t>
        </is>
      </c>
      <c r="AG338" s="36" t="n"/>
      <c r="AH338" s="36" t="n"/>
      <c r="AI338" s="36" t="n"/>
      <c r="AJ338" s="36" t="n"/>
      <c r="AK338" s="36" t="n"/>
      <c r="AL338" s="36" t="n"/>
      <c r="AM338" s="36" t="n"/>
      <c r="AN338" s="36" t="n"/>
      <c r="AO338" s="36" t="n"/>
      <c r="AP338" s="36" t="n"/>
      <c r="AQ338" s="36" t="n"/>
      <c r="AR338" s="40" t="n"/>
      <c r="AS338" s="40" t="n"/>
      <c r="AT338" s="40" t="n"/>
      <c r="AU338" s="38" t="inlineStr">
        <is>
          <t>IF(OR(E338="",AH338=""),"",IF(COUNT(AG338:AG338)=0,"",AH338-LOOKUP(2,1/(AG338:AG338&lt;&gt;""),AG338:AG338)))</t>
        </is>
      </c>
      <c r="AV338" s="38" t="inlineStr">
        <is>
          <t>IF(OR(E338="",AI338=""),"",IF(COUNT(AG338:AH338)=0,"",AI338-LOOKUP(2,1/(AG338:AH338&lt;&gt;""),AG338:AH338)))</t>
        </is>
      </c>
      <c r="AW338" s="38" t="inlineStr">
        <is>
          <t>IF(OR(E338="",AJ338=""),"",IF(COUNT(AG338:AI338)=0,"",AJ338-LOOKUP(2,1/(AG338:AI338&lt;&gt;""),AG338:AI338)))</t>
        </is>
      </c>
      <c r="AX338" s="38" t="inlineStr">
        <is>
          <t>IF(OR(E338="",AK338=""),"",IF(COUNT(AG338:AJ338)=0,"",AK338-LOOKUP(2,1/(AG338:AJ338&lt;&gt;""),AG338:AJ338)))</t>
        </is>
      </c>
      <c r="AY338" s="38" t="inlineStr">
        <is>
          <t>IF(OR(E338="",AL338=""),"",IF(COUNT(AG338:AK338)=0,"",AL338-LOOKUP(2,1/(AG338:AK338&lt;&gt;""),AG338:AK338)))</t>
        </is>
      </c>
      <c r="AZ338" s="38" t="inlineStr">
        <is>
          <t>IF(OR(E338="",AM338=""),"",IF(COUNT(AG338:AL338)=0,"",AM338-LOOKUP(2,1/(AG338:AL338&lt;&gt;""),AG338:AL338)))</t>
        </is>
      </c>
      <c r="BA338" s="38" t="inlineStr">
        <is>
          <t>IF(OR(E338="",AN338=""),"",IF(COUNT(AG338:AM338)=0,"",AN338-LOOKUP(2,1/(AG338:AM338&lt;&gt;""),AG338:AM338)))</t>
        </is>
      </c>
      <c r="BB338" s="38" t="inlineStr">
        <is>
          <t>IF(OR(E338="",AO338=""),"",IF(COUNT(AG338:AN338)=0,"",AO338-LOOKUP(2,1/(AG338:AN338&lt;&gt;""),AG338:AN338)))</t>
        </is>
      </c>
      <c r="BC338" s="38" t="inlineStr">
        <is>
          <t>IF(OR(E338="",AP338=""),"",IF(COUNT(AG338:AO338)=0,"",AP338-LOOKUP(2,1/(AG338:AO338&lt;&gt;""),AG338:AO338)))</t>
        </is>
      </c>
      <c r="BD338" s="38" t="inlineStr">
        <is>
          <t>IF(OR(E338="",AQ338=""),"",IF(COUNT(AG338:AP338)=0,"",AQ338-LOOKUP(2,1/(AG338:AP338&lt;&gt;""),AG338:AP338)))</t>
        </is>
      </c>
      <c r="BE338" s="38" t="inlineStr">
        <is>
          <t>IF(OR(E338="",AR338=""),"",IF(COUNT(AG338:AQ338)=0,"",AR338-LOOKUP(2,1/(AG338:AQ338&lt;&gt;""),AG338:AQ338)))</t>
        </is>
      </c>
      <c r="BF338" s="38" t="inlineStr">
        <is>
          <t>IF(OR(E338="",AS338=""),"",IF(COUNT(AG338:AR338)=0,"",AS338-LOOKUP(2,1/(AG338:AR338&lt;&gt;""),AG338:AR338)))</t>
        </is>
      </c>
      <c r="BG338" s="38" t="inlineStr">
        <is>
          <t>IF(OR(E338="",AT338=""),"",IF(COUNT(AG338:AS338)=0,"",AT338-LOOKUP(2,1/(AG338:AS338&lt;&gt;""),AG338:AS338)))</t>
        </is>
      </c>
      <c r="BH338" s="41" t="inlineStr">
        <is>
          <t>IF(G338="","All_Provinces",IFERROR(VLOOKUP(G338,'07_Lookups'!$A$4:$B$20,2,FALSE),"All_Provinces"))</t>
        </is>
      </c>
      <c r="BI338" s="41" t="inlineStr">
        <is>
          <t>IF(H338="","All_Districts",IFERROR(VLOOKUP(H338,'07_Lookups'!$E$4:$F$42,2,FALSE),"All_Districts"))</t>
        </is>
      </c>
    </row>
    <row r="339" ht="18" customHeight="1">
      <c r="A339" s="32" t="inlineStr">
        <is>
          <t>IF(E339="","",ROW()-3)</t>
        </is>
      </c>
      <c r="B339" s="42" t="n"/>
      <c r="C339" s="42" t="n"/>
      <c r="D339" s="42" t="n"/>
      <c r="E339" s="42" t="n"/>
      <c r="F339" s="42" t="n"/>
      <c r="G339" s="42" t="n"/>
      <c r="H339" s="42" t="n"/>
      <c r="I339" s="42" t="n"/>
      <c r="J339" s="42" t="n"/>
      <c r="K339" s="42" t="n"/>
      <c r="L339" s="42" t="n"/>
      <c r="M339" s="42" t="n"/>
      <c r="N339" s="42" t="n"/>
      <c r="O339" s="42" t="n"/>
      <c r="P339" s="42" t="n"/>
      <c r="Q339" s="43" t="n"/>
      <c r="R339" s="35" t="inlineStr">
        <is>
          <t>IF(AO339="","",AO339)</t>
        </is>
      </c>
      <c r="S339" s="44" t="n"/>
      <c r="T339" s="45" t="n"/>
      <c r="U339" s="44" t="n"/>
      <c r="V339" s="35" t="inlineStr">
        <is>
          <t>IF(U339&lt;&gt;"",U339,IF(OR(R339="",T339=""),"",EDATE(R339,T339)))</t>
        </is>
      </c>
      <c r="W339" s="44" t="n"/>
      <c r="X339" s="45" t="n"/>
      <c r="Y339" s="42" t="n"/>
      <c r="Z339" s="42" t="n"/>
      <c r="AA339" s="32" t="inlineStr">
        <is>
          <t>IF(E339="","",IF(COUNT(AG339:AT339)=0,IF(Y339="","Not started",Y339),SUBSTITUTE(LOOKUP(2,1/(AG339:AT339&lt;&gt;""),$AG$3:$AT$3),"Date: ","")))</t>
        </is>
      </c>
      <c r="AB339" s="38" t="inlineStr">
        <is>
          <t>IF(OR(E339="",COUNT(AG339:AT339)=0),"",TODAY()-LOOKUP(2,1/(AG339:AT339&lt;&gt;""),AG339:AT339))</t>
        </is>
      </c>
      <c r="AC339" s="38" t="inlineStr">
        <is>
          <t>IF(OR(E339="",COUNT(AG339:AT339)&lt;2),"",LOOKUP(2,1/(AG339:AT339&lt;&gt;""),AG339:AT339)-MIN(AG339:AT339))</t>
        </is>
      </c>
      <c r="AD339" s="38" t="inlineStr">
        <is>
          <t>IF(OR(AB339="",AA339="Not started",AA339=""),"",IFERROR(AB339-IF(VLOOKUP(AA339,'04_Status_Pipeline'!$B$3:$E$20,4,FALSE)="",0,VLOOKUP(AA339,'04_Status_Pipeline'!$B$3:$E$20,4,FALSE)),""))</t>
        </is>
      </c>
      <c r="AE339" s="32" t="inlineStr">
        <is>
          <t>IF(E339="","",IF(OR(Y339="Cancelled",AA339="Cancelled"),"Cancelled",IF(OR(AA339="Completed / Handover",W339&lt;&gt;"",X339&gt;=100),"Completed — on track",IF(L339="Remaining",IF(S339="",IF(V339="","No planned date",IF(TODAY()&gt;V339,"Behind — past planned date",IF(V339-TODAY()&lt;=30,"At risk — close to off track","On track"))),IF(TODAY()&gt;S339,"Behind — award date passed",IF(S339-TODAY()&lt;=30,"At risk — close to off track","On track"))),IF(V339="","No planned date",IF(AND(TODAY()&gt;V339,OR(X339="",X339&lt;100)),"Behind — past end date",IF(AND(R339&lt;&gt;"",V339&lt;&gt;"",X339&lt;&gt;"",(X339&lt;100),((TODAY()-R339)/MAX(V339-R339,1)*100)-X339&gt;15),"Behind — progress lag",IF(AND(V339-TODAY()&lt;=30,V339-TODAY()&gt;=0,OR(X339="",X339&lt;90)),"At risk — close to off track","On track"))))))))</t>
        </is>
      </c>
      <c r="AF339" s="38" t="inlineStr">
        <is>
          <t>IF(OR(E339="",AA339="Completed / Handover",AA339="Cancelled"),"",IF(L339="Remaining",IF(S339&lt;&gt;"",S339-TODAY(),IF(V339="","",V339-TODAY())),IF(V339="","",V339-TODAY())))</t>
        </is>
      </c>
      <c r="AG339" s="44" t="n"/>
      <c r="AH339" s="44" t="n"/>
      <c r="AI339" s="44" t="n"/>
      <c r="AJ339" s="44" t="n"/>
      <c r="AK339" s="44" t="n"/>
      <c r="AL339" s="44" t="n"/>
      <c r="AM339" s="44" t="n"/>
      <c r="AN339" s="44" t="n"/>
      <c r="AO339" s="44" t="n"/>
      <c r="AP339" s="44" t="n"/>
      <c r="AQ339" s="44" t="n"/>
      <c r="AR339" s="40" t="n"/>
      <c r="AS339" s="40" t="n"/>
      <c r="AT339" s="40" t="n"/>
      <c r="AU339" s="38" t="inlineStr">
        <is>
          <t>IF(OR(E339="",AH339=""),"",IF(COUNT(AG339:AG339)=0,"",AH339-LOOKUP(2,1/(AG339:AG339&lt;&gt;""),AG339:AG339)))</t>
        </is>
      </c>
      <c r="AV339" s="38" t="inlineStr">
        <is>
          <t>IF(OR(E339="",AI339=""),"",IF(COUNT(AG339:AH339)=0,"",AI339-LOOKUP(2,1/(AG339:AH339&lt;&gt;""),AG339:AH339)))</t>
        </is>
      </c>
      <c r="AW339" s="38" t="inlineStr">
        <is>
          <t>IF(OR(E339="",AJ339=""),"",IF(COUNT(AG339:AI339)=0,"",AJ339-LOOKUP(2,1/(AG339:AI339&lt;&gt;""),AG339:AI339)))</t>
        </is>
      </c>
      <c r="AX339" s="38" t="inlineStr">
        <is>
          <t>IF(OR(E339="",AK339=""),"",IF(COUNT(AG339:AJ339)=0,"",AK339-LOOKUP(2,1/(AG339:AJ339&lt;&gt;""),AG339:AJ339)))</t>
        </is>
      </c>
      <c r="AY339" s="38" t="inlineStr">
        <is>
          <t>IF(OR(E339="",AL339=""),"",IF(COUNT(AG339:AK339)=0,"",AL339-LOOKUP(2,1/(AG339:AK339&lt;&gt;""),AG339:AK339)))</t>
        </is>
      </c>
      <c r="AZ339" s="38" t="inlineStr">
        <is>
          <t>IF(OR(E339="",AM339=""),"",IF(COUNT(AG339:AL339)=0,"",AM339-LOOKUP(2,1/(AG339:AL339&lt;&gt;""),AG339:AL339)))</t>
        </is>
      </c>
      <c r="BA339" s="38" t="inlineStr">
        <is>
          <t>IF(OR(E339="",AN339=""),"",IF(COUNT(AG339:AM339)=0,"",AN339-LOOKUP(2,1/(AG339:AM339&lt;&gt;""),AG339:AM339)))</t>
        </is>
      </c>
      <c r="BB339" s="38" t="inlineStr">
        <is>
          <t>IF(OR(E339="",AO339=""),"",IF(COUNT(AG339:AN339)=0,"",AO339-LOOKUP(2,1/(AG339:AN339&lt;&gt;""),AG339:AN339)))</t>
        </is>
      </c>
      <c r="BC339" s="38" t="inlineStr">
        <is>
          <t>IF(OR(E339="",AP339=""),"",IF(COUNT(AG339:AO339)=0,"",AP339-LOOKUP(2,1/(AG339:AO339&lt;&gt;""),AG339:AO339)))</t>
        </is>
      </c>
      <c r="BD339" s="38" t="inlineStr">
        <is>
          <t>IF(OR(E339="",AQ339=""),"",IF(COUNT(AG339:AP339)=0,"",AQ339-LOOKUP(2,1/(AG339:AP339&lt;&gt;""),AG339:AP339)))</t>
        </is>
      </c>
      <c r="BE339" s="38" t="inlineStr">
        <is>
          <t>IF(OR(E339="",AR339=""),"",IF(COUNT(AG339:AQ339)=0,"",AR339-LOOKUP(2,1/(AG339:AQ339&lt;&gt;""),AG339:AQ339)))</t>
        </is>
      </c>
      <c r="BF339" s="38" t="inlineStr">
        <is>
          <t>IF(OR(E339="",AS339=""),"",IF(COUNT(AG339:AR339)=0,"",AS339-LOOKUP(2,1/(AG339:AR339&lt;&gt;""),AG339:AR339)))</t>
        </is>
      </c>
      <c r="BG339" s="38" t="inlineStr">
        <is>
          <t>IF(OR(E339="",AT339=""),"",IF(COUNT(AG339:AS339)=0,"",AT339-LOOKUP(2,1/(AG339:AS339&lt;&gt;""),AG339:AS339)))</t>
        </is>
      </c>
      <c r="BH339" s="41" t="inlineStr">
        <is>
          <t>IF(G339="","All_Provinces",IFERROR(VLOOKUP(G339,'07_Lookups'!$A$4:$B$20,2,FALSE),"All_Provinces"))</t>
        </is>
      </c>
      <c r="BI339" s="41" t="inlineStr">
        <is>
          <t>IF(H339="","All_Districts",IFERROR(VLOOKUP(H339,'07_Lookups'!$E$4:$F$42,2,FALSE),"All_Districts"))</t>
        </is>
      </c>
    </row>
    <row r="340" ht="18" customHeight="1">
      <c r="A340" s="32" t="inlineStr">
        <is>
          <t>IF(E340="","",ROW()-3)</t>
        </is>
      </c>
      <c r="B340" s="33" t="n"/>
      <c r="C340" s="33" t="n"/>
      <c r="D340" s="33" t="n"/>
      <c r="E340" s="33" t="n"/>
      <c r="F340" s="33" t="n"/>
      <c r="G340" s="33" t="n"/>
      <c r="H340" s="33" t="n"/>
      <c r="I340" s="33" t="n"/>
      <c r="J340" s="33" t="n"/>
      <c r="K340" s="33" t="n"/>
      <c r="L340" s="33" t="n"/>
      <c r="M340" s="33" t="n"/>
      <c r="N340" s="33" t="n"/>
      <c r="O340" s="33" t="n"/>
      <c r="P340" s="33" t="n"/>
      <c r="Q340" s="34" t="n"/>
      <c r="R340" s="35" t="inlineStr">
        <is>
          <t>IF(AO340="","",AO340)</t>
        </is>
      </c>
      <c r="S340" s="36" t="n"/>
      <c r="T340" s="37" t="n"/>
      <c r="U340" s="36" t="n"/>
      <c r="V340" s="35" t="inlineStr">
        <is>
          <t>IF(U340&lt;&gt;"",U340,IF(OR(R340="",T340=""),"",EDATE(R340,T340)))</t>
        </is>
      </c>
      <c r="W340" s="36" t="n"/>
      <c r="X340" s="37" t="n"/>
      <c r="Y340" s="33" t="n"/>
      <c r="Z340" s="33" t="n"/>
      <c r="AA340" s="32" t="inlineStr">
        <is>
          <t>IF(E340="","",IF(COUNT(AG340:AT340)=0,IF(Y340="","Not started",Y340),SUBSTITUTE(LOOKUP(2,1/(AG340:AT340&lt;&gt;""),$AG$3:$AT$3),"Date: ","")))</t>
        </is>
      </c>
      <c r="AB340" s="38" t="inlineStr">
        <is>
          <t>IF(OR(E340="",COUNT(AG340:AT340)=0),"",TODAY()-LOOKUP(2,1/(AG340:AT340&lt;&gt;""),AG340:AT340))</t>
        </is>
      </c>
      <c r="AC340" s="38" t="inlineStr">
        <is>
          <t>IF(OR(E340="",COUNT(AG340:AT340)&lt;2),"",LOOKUP(2,1/(AG340:AT340&lt;&gt;""),AG340:AT340)-MIN(AG340:AT340))</t>
        </is>
      </c>
      <c r="AD340" s="38" t="inlineStr">
        <is>
          <t>IF(OR(AB340="",AA340="Not started",AA340=""),"",IFERROR(AB340-IF(VLOOKUP(AA340,'04_Status_Pipeline'!$B$3:$E$20,4,FALSE)="",0,VLOOKUP(AA340,'04_Status_Pipeline'!$B$3:$E$20,4,FALSE)),""))</t>
        </is>
      </c>
      <c r="AE340" s="32" t="inlineStr">
        <is>
          <t>IF(E340="","",IF(OR(Y340="Cancelled",AA340="Cancelled"),"Cancelled",IF(OR(AA340="Completed / Handover",W340&lt;&gt;"",X340&gt;=100),"Completed — on track",IF(L340="Remaining",IF(S340="",IF(V340="","No planned date",IF(TODAY()&gt;V340,"Behind — past planned date",IF(V340-TODAY()&lt;=30,"At risk — close to off track","On track"))),IF(TODAY()&gt;S340,"Behind — award date passed",IF(S340-TODAY()&lt;=30,"At risk — close to off track","On track"))),IF(V340="","No planned date",IF(AND(TODAY()&gt;V340,OR(X340="",X340&lt;100)),"Behind — past end date",IF(AND(R340&lt;&gt;"",V340&lt;&gt;"",X340&lt;&gt;"",(X340&lt;100),((TODAY()-R340)/MAX(V340-R340,1)*100)-X340&gt;15),"Behind — progress lag",IF(AND(V340-TODAY()&lt;=30,V340-TODAY()&gt;=0,OR(X340="",X340&lt;90)),"At risk — close to off track","On track"))))))))</t>
        </is>
      </c>
      <c r="AF340" s="38" t="inlineStr">
        <is>
          <t>IF(OR(E340="",AA340="Completed / Handover",AA340="Cancelled"),"",IF(L340="Remaining",IF(S340&lt;&gt;"",S340-TODAY(),IF(V340="","",V340-TODAY())),IF(V340="","",V340-TODAY())))</t>
        </is>
      </c>
      <c r="AG340" s="36" t="n"/>
      <c r="AH340" s="36" t="n"/>
      <c r="AI340" s="36" t="n"/>
      <c r="AJ340" s="36" t="n"/>
      <c r="AK340" s="36" t="n"/>
      <c r="AL340" s="36" t="n"/>
      <c r="AM340" s="36" t="n"/>
      <c r="AN340" s="36" t="n"/>
      <c r="AO340" s="36" t="n"/>
      <c r="AP340" s="36" t="n"/>
      <c r="AQ340" s="36" t="n"/>
      <c r="AR340" s="40" t="n"/>
      <c r="AS340" s="40" t="n"/>
      <c r="AT340" s="40" t="n"/>
      <c r="AU340" s="38" t="inlineStr">
        <is>
          <t>IF(OR(E340="",AH340=""),"",IF(COUNT(AG340:AG340)=0,"",AH340-LOOKUP(2,1/(AG340:AG340&lt;&gt;""),AG340:AG340)))</t>
        </is>
      </c>
      <c r="AV340" s="38" t="inlineStr">
        <is>
          <t>IF(OR(E340="",AI340=""),"",IF(COUNT(AG340:AH340)=0,"",AI340-LOOKUP(2,1/(AG340:AH340&lt;&gt;""),AG340:AH340)))</t>
        </is>
      </c>
      <c r="AW340" s="38" t="inlineStr">
        <is>
          <t>IF(OR(E340="",AJ340=""),"",IF(COUNT(AG340:AI340)=0,"",AJ340-LOOKUP(2,1/(AG340:AI340&lt;&gt;""),AG340:AI340)))</t>
        </is>
      </c>
      <c r="AX340" s="38" t="inlineStr">
        <is>
          <t>IF(OR(E340="",AK340=""),"",IF(COUNT(AG340:AJ340)=0,"",AK340-LOOKUP(2,1/(AG340:AJ340&lt;&gt;""),AG340:AJ340)))</t>
        </is>
      </c>
      <c r="AY340" s="38" t="inlineStr">
        <is>
          <t>IF(OR(E340="",AL340=""),"",IF(COUNT(AG340:AK340)=0,"",AL340-LOOKUP(2,1/(AG340:AK340&lt;&gt;""),AG340:AK340)))</t>
        </is>
      </c>
      <c r="AZ340" s="38" t="inlineStr">
        <is>
          <t>IF(OR(E340="",AM340=""),"",IF(COUNT(AG340:AL340)=0,"",AM340-LOOKUP(2,1/(AG340:AL340&lt;&gt;""),AG340:AL340)))</t>
        </is>
      </c>
      <c r="BA340" s="38" t="inlineStr">
        <is>
          <t>IF(OR(E340="",AN340=""),"",IF(COUNT(AG340:AM340)=0,"",AN340-LOOKUP(2,1/(AG340:AM340&lt;&gt;""),AG340:AM340)))</t>
        </is>
      </c>
      <c r="BB340" s="38" t="inlineStr">
        <is>
          <t>IF(OR(E340="",AO340=""),"",IF(COUNT(AG340:AN340)=0,"",AO340-LOOKUP(2,1/(AG340:AN340&lt;&gt;""),AG340:AN340)))</t>
        </is>
      </c>
      <c r="BC340" s="38" t="inlineStr">
        <is>
          <t>IF(OR(E340="",AP340=""),"",IF(COUNT(AG340:AO340)=0,"",AP340-LOOKUP(2,1/(AG340:AO340&lt;&gt;""),AG340:AO340)))</t>
        </is>
      </c>
      <c r="BD340" s="38" t="inlineStr">
        <is>
          <t>IF(OR(E340="",AQ340=""),"",IF(COUNT(AG340:AP340)=0,"",AQ340-LOOKUP(2,1/(AG340:AP340&lt;&gt;""),AG340:AP340)))</t>
        </is>
      </c>
      <c r="BE340" s="38" t="inlineStr">
        <is>
          <t>IF(OR(E340="",AR340=""),"",IF(COUNT(AG340:AQ340)=0,"",AR340-LOOKUP(2,1/(AG340:AQ340&lt;&gt;""),AG340:AQ340)))</t>
        </is>
      </c>
      <c r="BF340" s="38" t="inlineStr">
        <is>
          <t>IF(OR(E340="",AS340=""),"",IF(COUNT(AG340:AR340)=0,"",AS340-LOOKUP(2,1/(AG340:AR340&lt;&gt;""),AG340:AR340)))</t>
        </is>
      </c>
      <c r="BG340" s="38" t="inlineStr">
        <is>
          <t>IF(OR(E340="",AT340=""),"",IF(COUNT(AG340:AS340)=0,"",AT340-LOOKUP(2,1/(AG340:AS340&lt;&gt;""),AG340:AS340)))</t>
        </is>
      </c>
      <c r="BH340" s="41" t="inlineStr">
        <is>
          <t>IF(G340="","All_Provinces",IFERROR(VLOOKUP(G340,'07_Lookups'!$A$4:$B$20,2,FALSE),"All_Provinces"))</t>
        </is>
      </c>
      <c r="BI340" s="41" t="inlineStr">
        <is>
          <t>IF(H340="","All_Districts",IFERROR(VLOOKUP(H340,'07_Lookups'!$E$4:$F$42,2,FALSE),"All_Districts"))</t>
        </is>
      </c>
    </row>
    <row r="341" ht="18" customHeight="1">
      <c r="A341" s="32" t="inlineStr">
        <is>
          <t>IF(E341="","",ROW()-3)</t>
        </is>
      </c>
      <c r="B341" s="42" t="n"/>
      <c r="C341" s="42" t="n"/>
      <c r="D341" s="42" t="n"/>
      <c r="E341" s="42" t="n"/>
      <c r="F341" s="42" t="n"/>
      <c r="G341" s="42" t="n"/>
      <c r="H341" s="42" t="n"/>
      <c r="I341" s="42" t="n"/>
      <c r="J341" s="42" t="n"/>
      <c r="K341" s="42" t="n"/>
      <c r="L341" s="42" t="n"/>
      <c r="M341" s="42" t="n"/>
      <c r="N341" s="42" t="n"/>
      <c r="O341" s="42" t="n"/>
      <c r="P341" s="42" t="n"/>
      <c r="Q341" s="43" t="n"/>
      <c r="R341" s="35" t="inlineStr">
        <is>
          <t>IF(AO341="","",AO341)</t>
        </is>
      </c>
      <c r="S341" s="44" t="n"/>
      <c r="T341" s="45" t="n"/>
      <c r="U341" s="44" t="n"/>
      <c r="V341" s="35" t="inlineStr">
        <is>
          <t>IF(U341&lt;&gt;"",U341,IF(OR(R341="",T341=""),"",EDATE(R341,T341)))</t>
        </is>
      </c>
      <c r="W341" s="44" t="n"/>
      <c r="X341" s="45" t="n"/>
      <c r="Y341" s="42" t="n"/>
      <c r="Z341" s="42" t="n"/>
      <c r="AA341" s="32" t="inlineStr">
        <is>
          <t>IF(E341="","",IF(COUNT(AG341:AT341)=0,IF(Y341="","Not started",Y341),SUBSTITUTE(LOOKUP(2,1/(AG341:AT341&lt;&gt;""),$AG$3:$AT$3),"Date: ","")))</t>
        </is>
      </c>
      <c r="AB341" s="38" t="inlineStr">
        <is>
          <t>IF(OR(E341="",COUNT(AG341:AT341)=0),"",TODAY()-LOOKUP(2,1/(AG341:AT341&lt;&gt;""),AG341:AT341))</t>
        </is>
      </c>
      <c r="AC341" s="38" t="inlineStr">
        <is>
          <t>IF(OR(E341="",COUNT(AG341:AT341)&lt;2),"",LOOKUP(2,1/(AG341:AT341&lt;&gt;""),AG341:AT341)-MIN(AG341:AT341))</t>
        </is>
      </c>
      <c r="AD341" s="38" t="inlineStr">
        <is>
          <t>IF(OR(AB341="",AA341="Not started",AA341=""),"",IFERROR(AB341-IF(VLOOKUP(AA341,'04_Status_Pipeline'!$B$3:$E$20,4,FALSE)="",0,VLOOKUP(AA341,'04_Status_Pipeline'!$B$3:$E$20,4,FALSE)),""))</t>
        </is>
      </c>
      <c r="AE341" s="32" t="inlineStr">
        <is>
          <t>IF(E341="","",IF(OR(Y341="Cancelled",AA341="Cancelled"),"Cancelled",IF(OR(AA341="Completed / Handover",W341&lt;&gt;"",X341&gt;=100),"Completed — on track",IF(L341="Remaining",IF(S341="",IF(V341="","No planned date",IF(TODAY()&gt;V341,"Behind — past planned date",IF(V341-TODAY()&lt;=30,"At risk — close to off track","On track"))),IF(TODAY()&gt;S341,"Behind — award date passed",IF(S341-TODAY()&lt;=30,"At risk — close to off track","On track"))),IF(V341="","No planned date",IF(AND(TODAY()&gt;V341,OR(X341="",X341&lt;100)),"Behind — past end date",IF(AND(R341&lt;&gt;"",V341&lt;&gt;"",X341&lt;&gt;"",(X341&lt;100),((TODAY()-R341)/MAX(V341-R341,1)*100)-X341&gt;15),"Behind — progress lag",IF(AND(V341-TODAY()&lt;=30,V341-TODAY()&gt;=0,OR(X341="",X341&lt;90)),"At risk — close to off track","On track"))))))))</t>
        </is>
      </c>
      <c r="AF341" s="38" t="inlineStr">
        <is>
          <t>IF(OR(E341="",AA341="Completed / Handover",AA341="Cancelled"),"",IF(L341="Remaining",IF(S341&lt;&gt;"",S341-TODAY(),IF(V341="","",V341-TODAY())),IF(V341="","",V341-TODAY())))</t>
        </is>
      </c>
      <c r="AG341" s="44" t="n"/>
      <c r="AH341" s="44" t="n"/>
      <c r="AI341" s="44" t="n"/>
      <c r="AJ341" s="44" t="n"/>
      <c r="AK341" s="44" t="n"/>
      <c r="AL341" s="44" t="n"/>
      <c r="AM341" s="44" t="n"/>
      <c r="AN341" s="44" t="n"/>
      <c r="AO341" s="44" t="n"/>
      <c r="AP341" s="44" t="n"/>
      <c r="AQ341" s="44" t="n"/>
      <c r="AR341" s="40" t="n"/>
      <c r="AS341" s="40" t="n"/>
      <c r="AT341" s="40" t="n"/>
      <c r="AU341" s="38" t="inlineStr">
        <is>
          <t>IF(OR(E341="",AH341=""),"",IF(COUNT(AG341:AG341)=0,"",AH341-LOOKUP(2,1/(AG341:AG341&lt;&gt;""),AG341:AG341)))</t>
        </is>
      </c>
      <c r="AV341" s="38" t="inlineStr">
        <is>
          <t>IF(OR(E341="",AI341=""),"",IF(COUNT(AG341:AH341)=0,"",AI341-LOOKUP(2,1/(AG341:AH341&lt;&gt;""),AG341:AH341)))</t>
        </is>
      </c>
      <c r="AW341" s="38" t="inlineStr">
        <is>
          <t>IF(OR(E341="",AJ341=""),"",IF(COUNT(AG341:AI341)=0,"",AJ341-LOOKUP(2,1/(AG341:AI341&lt;&gt;""),AG341:AI341)))</t>
        </is>
      </c>
      <c r="AX341" s="38" t="inlineStr">
        <is>
          <t>IF(OR(E341="",AK341=""),"",IF(COUNT(AG341:AJ341)=0,"",AK341-LOOKUP(2,1/(AG341:AJ341&lt;&gt;""),AG341:AJ341)))</t>
        </is>
      </c>
      <c r="AY341" s="38" t="inlineStr">
        <is>
          <t>IF(OR(E341="",AL341=""),"",IF(COUNT(AG341:AK341)=0,"",AL341-LOOKUP(2,1/(AG341:AK341&lt;&gt;""),AG341:AK341)))</t>
        </is>
      </c>
      <c r="AZ341" s="38" t="inlineStr">
        <is>
          <t>IF(OR(E341="",AM341=""),"",IF(COUNT(AG341:AL341)=0,"",AM341-LOOKUP(2,1/(AG341:AL341&lt;&gt;""),AG341:AL341)))</t>
        </is>
      </c>
      <c r="BA341" s="38" t="inlineStr">
        <is>
          <t>IF(OR(E341="",AN341=""),"",IF(COUNT(AG341:AM341)=0,"",AN341-LOOKUP(2,1/(AG341:AM341&lt;&gt;""),AG341:AM341)))</t>
        </is>
      </c>
      <c r="BB341" s="38" t="inlineStr">
        <is>
          <t>IF(OR(E341="",AO341=""),"",IF(COUNT(AG341:AN341)=0,"",AO341-LOOKUP(2,1/(AG341:AN341&lt;&gt;""),AG341:AN341)))</t>
        </is>
      </c>
      <c r="BC341" s="38" t="inlineStr">
        <is>
          <t>IF(OR(E341="",AP341=""),"",IF(COUNT(AG341:AO341)=0,"",AP341-LOOKUP(2,1/(AG341:AO341&lt;&gt;""),AG341:AO341)))</t>
        </is>
      </c>
      <c r="BD341" s="38" t="inlineStr">
        <is>
          <t>IF(OR(E341="",AQ341=""),"",IF(COUNT(AG341:AP341)=0,"",AQ341-LOOKUP(2,1/(AG341:AP341&lt;&gt;""),AG341:AP341)))</t>
        </is>
      </c>
      <c r="BE341" s="38" t="inlineStr">
        <is>
          <t>IF(OR(E341="",AR341=""),"",IF(COUNT(AG341:AQ341)=0,"",AR341-LOOKUP(2,1/(AG341:AQ341&lt;&gt;""),AG341:AQ341)))</t>
        </is>
      </c>
      <c r="BF341" s="38" t="inlineStr">
        <is>
          <t>IF(OR(E341="",AS341=""),"",IF(COUNT(AG341:AR341)=0,"",AS341-LOOKUP(2,1/(AG341:AR341&lt;&gt;""),AG341:AR341)))</t>
        </is>
      </c>
      <c r="BG341" s="38" t="inlineStr">
        <is>
          <t>IF(OR(E341="",AT341=""),"",IF(COUNT(AG341:AS341)=0,"",AT341-LOOKUP(2,1/(AG341:AS341&lt;&gt;""),AG341:AS341)))</t>
        </is>
      </c>
      <c r="BH341" s="41" t="inlineStr">
        <is>
          <t>IF(G341="","All_Provinces",IFERROR(VLOOKUP(G341,'07_Lookups'!$A$4:$B$20,2,FALSE),"All_Provinces"))</t>
        </is>
      </c>
      <c r="BI341" s="41" t="inlineStr">
        <is>
          <t>IF(H341="","All_Districts",IFERROR(VLOOKUP(H341,'07_Lookups'!$E$4:$F$42,2,FALSE),"All_Districts"))</t>
        </is>
      </c>
    </row>
    <row r="342" ht="18" customHeight="1">
      <c r="A342" s="32" t="inlineStr">
        <is>
          <t>IF(E342="","",ROW()-3)</t>
        </is>
      </c>
      <c r="B342" s="33" t="n"/>
      <c r="C342" s="33" t="n"/>
      <c r="D342" s="33" t="n"/>
      <c r="E342" s="33" t="n"/>
      <c r="F342" s="33" t="n"/>
      <c r="G342" s="33" t="n"/>
      <c r="H342" s="33" t="n"/>
      <c r="I342" s="33" t="n"/>
      <c r="J342" s="33" t="n"/>
      <c r="K342" s="33" t="n"/>
      <c r="L342" s="33" t="n"/>
      <c r="M342" s="33" t="n"/>
      <c r="N342" s="33" t="n"/>
      <c r="O342" s="33" t="n"/>
      <c r="P342" s="33" t="n"/>
      <c r="Q342" s="34" t="n"/>
      <c r="R342" s="35" t="inlineStr">
        <is>
          <t>IF(AO342="","",AO342)</t>
        </is>
      </c>
      <c r="S342" s="36" t="n"/>
      <c r="T342" s="37" t="n"/>
      <c r="U342" s="36" t="n"/>
      <c r="V342" s="35" t="inlineStr">
        <is>
          <t>IF(U342&lt;&gt;"",U342,IF(OR(R342="",T342=""),"",EDATE(R342,T342)))</t>
        </is>
      </c>
      <c r="W342" s="36" t="n"/>
      <c r="X342" s="37" t="n"/>
      <c r="Y342" s="33" t="n"/>
      <c r="Z342" s="33" t="n"/>
      <c r="AA342" s="32" t="inlineStr">
        <is>
          <t>IF(E342="","",IF(COUNT(AG342:AT342)=0,IF(Y342="","Not started",Y342),SUBSTITUTE(LOOKUP(2,1/(AG342:AT342&lt;&gt;""),$AG$3:$AT$3),"Date: ","")))</t>
        </is>
      </c>
      <c r="AB342" s="38" t="inlineStr">
        <is>
          <t>IF(OR(E342="",COUNT(AG342:AT342)=0),"",TODAY()-LOOKUP(2,1/(AG342:AT342&lt;&gt;""),AG342:AT342))</t>
        </is>
      </c>
      <c r="AC342" s="38" t="inlineStr">
        <is>
          <t>IF(OR(E342="",COUNT(AG342:AT342)&lt;2),"",LOOKUP(2,1/(AG342:AT342&lt;&gt;""),AG342:AT342)-MIN(AG342:AT342))</t>
        </is>
      </c>
      <c r="AD342" s="38" t="inlineStr">
        <is>
          <t>IF(OR(AB342="",AA342="Not started",AA342=""),"",IFERROR(AB342-IF(VLOOKUP(AA342,'04_Status_Pipeline'!$B$3:$E$20,4,FALSE)="",0,VLOOKUP(AA342,'04_Status_Pipeline'!$B$3:$E$20,4,FALSE)),""))</t>
        </is>
      </c>
      <c r="AE342" s="32" t="inlineStr">
        <is>
          <t>IF(E342="","",IF(OR(Y342="Cancelled",AA342="Cancelled"),"Cancelled",IF(OR(AA342="Completed / Handover",W342&lt;&gt;"",X342&gt;=100),"Completed — on track",IF(L342="Remaining",IF(S342="",IF(V342="","No planned date",IF(TODAY()&gt;V342,"Behind — past planned date",IF(V342-TODAY()&lt;=30,"At risk — close to off track","On track"))),IF(TODAY()&gt;S342,"Behind — award date passed",IF(S342-TODAY()&lt;=30,"At risk — close to off track","On track"))),IF(V342="","No planned date",IF(AND(TODAY()&gt;V342,OR(X342="",X342&lt;100)),"Behind — past end date",IF(AND(R342&lt;&gt;"",V342&lt;&gt;"",X342&lt;&gt;"",(X342&lt;100),((TODAY()-R342)/MAX(V342-R342,1)*100)-X342&gt;15),"Behind — progress lag",IF(AND(V342-TODAY()&lt;=30,V342-TODAY()&gt;=0,OR(X342="",X342&lt;90)),"At risk — close to off track","On track"))))))))</t>
        </is>
      </c>
      <c r="AF342" s="38" t="inlineStr">
        <is>
          <t>IF(OR(E342="",AA342="Completed / Handover",AA342="Cancelled"),"",IF(L342="Remaining",IF(S342&lt;&gt;"",S342-TODAY(),IF(V342="","",V342-TODAY())),IF(V342="","",V342-TODAY())))</t>
        </is>
      </c>
      <c r="AG342" s="36" t="n"/>
      <c r="AH342" s="36" t="n"/>
      <c r="AI342" s="36" t="n"/>
      <c r="AJ342" s="36" t="n"/>
      <c r="AK342" s="36" t="n"/>
      <c r="AL342" s="36" t="n"/>
      <c r="AM342" s="36" t="n"/>
      <c r="AN342" s="36" t="n"/>
      <c r="AO342" s="36" t="n"/>
      <c r="AP342" s="36" t="n"/>
      <c r="AQ342" s="36" t="n"/>
      <c r="AR342" s="40" t="n"/>
      <c r="AS342" s="40" t="n"/>
      <c r="AT342" s="40" t="n"/>
      <c r="AU342" s="38" t="inlineStr">
        <is>
          <t>IF(OR(E342="",AH342=""),"",IF(COUNT(AG342:AG342)=0,"",AH342-LOOKUP(2,1/(AG342:AG342&lt;&gt;""),AG342:AG342)))</t>
        </is>
      </c>
      <c r="AV342" s="38" t="inlineStr">
        <is>
          <t>IF(OR(E342="",AI342=""),"",IF(COUNT(AG342:AH342)=0,"",AI342-LOOKUP(2,1/(AG342:AH342&lt;&gt;""),AG342:AH342)))</t>
        </is>
      </c>
      <c r="AW342" s="38" t="inlineStr">
        <is>
          <t>IF(OR(E342="",AJ342=""),"",IF(COUNT(AG342:AI342)=0,"",AJ342-LOOKUP(2,1/(AG342:AI342&lt;&gt;""),AG342:AI342)))</t>
        </is>
      </c>
      <c r="AX342" s="38" t="inlineStr">
        <is>
          <t>IF(OR(E342="",AK342=""),"",IF(COUNT(AG342:AJ342)=0,"",AK342-LOOKUP(2,1/(AG342:AJ342&lt;&gt;""),AG342:AJ342)))</t>
        </is>
      </c>
      <c r="AY342" s="38" t="inlineStr">
        <is>
          <t>IF(OR(E342="",AL342=""),"",IF(COUNT(AG342:AK342)=0,"",AL342-LOOKUP(2,1/(AG342:AK342&lt;&gt;""),AG342:AK342)))</t>
        </is>
      </c>
      <c r="AZ342" s="38" t="inlineStr">
        <is>
          <t>IF(OR(E342="",AM342=""),"",IF(COUNT(AG342:AL342)=0,"",AM342-LOOKUP(2,1/(AG342:AL342&lt;&gt;""),AG342:AL342)))</t>
        </is>
      </c>
      <c r="BA342" s="38" t="inlineStr">
        <is>
          <t>IF(OR(E342="",AN342=""),"",IF(COUNT(AG342:AM342)=0,"",AN342-LOOKUP(2,1/(AG342:AM342&lt;&gt;""),AG342:AM342)))</t>
        </is>
      </c>
      <c r="BB342" s="38" t="inlineStr">
        <is>
          <t>IF(OR(E342="",AO342=""),"",IF(COUNT(AG342:AN342)=0,"",AO342-LOOKUP(2,1/(AG342:AN342&lt;&gt;""),AG342:AN342)))</t>
        </is>
      </c>
      <c r="BC342" s="38" t="inlineStr">
        <is>
          <t>IF(OR(E342="",AP342=""),"",IF(COUNT(AG342:AO342)=0,"",AP342-LOOKUP(2,1/(AG342:AO342&lt;&gt;""),AG342:AO342)))</t>
        </is>
      </c>
      <c r="BD342" s="38" t="inlineStr">
        <is>
          <t>IF(OR(E342="",AQ342=""),"",IF(COUNT(AG342:AP342)=0,"",AQ342-LOOKUP(2,1/(AG342:AP342&lt;&gt;""),AG342:AP342)))</t>
        </is>
      </c>
      <c r="BE342" s="38" t="inlineStr">
        <is>
          <t>IF(OR(E342="",AR342=""),"",IF(COUNT(AG342:AQ342)=0,"",AR342-LOOKUP(2,1/(AG342:AQ342&lt;&gt;""),AG342:AQ342)))</t>
        </is>
      </c>
      <c r="BF342" s="38" t="inlineStr">
        <is>
          <t>IF(OR(E342="",AS342=""),"",IF(COUNT(AG342:AR342)=0,"",AS342-LOOKUP(2,1/(AG342:AR342&lt;&gt;""),AG342:AR342)))</t>
        </is>
      </c>
      <c r="BG342" s="38" t="inlineStr">
        <is>
          <t>IF(OR(E342="",AT342=""),"",IF(COUNT(AG342:AS342)=0,"",AT342-LOOKUP(2,1/(AG342:AS342&lt;&gt;""),AG342:AS342)))</t>
        </is>
      </c>
      <c r="BH342" s="41" t="inlineStr">
        <is>
          <t>IF(G342="","All_Provinces",IFERROR(VLOOKUP(G342,'07_Lookups'!$A$4:$B$20,2,FALSE),"All_Provinces"))</t>
        </is>
      </c>
      <c r="BI342" s="41" t="inlineStr">
        <is>
          <t>IF(H342="","All_Districts",IFERROR(VLOOKUP(H342,'07_Lookups'!$E$4:$F$42,2,FALSE),"All_Districts"))</t>
        </is>
      </c>
    </row>
    <row r="343" ht="18" customHeight="1">
      <c r="A343" s="32" t="inlineStr">
        <is>
          <t>IF(E343="","",ROW()-3)</t>
        </is>
      </c>
      <c r="B343" s="42" t="n"/>
      <c r="C343" s="42" t="n"/>
      <c r="D343" s="42" t="n"/>
      <c r="E343" s="42" t="n"/>
      <c r="F343" s="42" t="n"/>
      <c r="G343" s="42" t="n"/>
      <c r="H343" s="42" t="n"/>
      <c r="I343" s="42" t="n"/>
      <c r="J343" s="42" t="n"/>
      <c r="K343" s="42" t="n"/>
      <c r="L343" s="42" t="n"/>
      <c r="M343" s="42" t="n"/>
      <c r="N343" s="42" t="n"/>
      <c r="O343" s="42" t="n"/>
      <c r="P343" s="42" t="n"/>
      <c r="Q343" s="43" t="n"/>
      <c r="R343" s="35" t="inlineStr">
        <is>
          <t>IF(AO343="","",AO343)</t>
        </is>
      </c>
      <c r="S343" s="44" t="n"/>
      <c r="T343" s="45" t="n"/>
      <c r="U343" s="44" t="n"/>
      <c r="V343" s="35" t="inlineStr">
        <is>
          <t>IF(U343&lt;&gt;"",U343,IF(OR(R343="",T343=""),"",EDATE(R343,T343)))</t>
        </is>
      </c>
      <c r="W343" s="44" t="n"/>
      <c r="X343" s="45" t="n"/>
      <c r="Y343" s="42" t="n"/>
      <c r="Z343" s="42" t="n"/>
      <c r="AA343" s="32" t="inlineStr">
        <is>
          <t>IF(E343="","",IF(COUNT(AG343:AT343)=0,IF(Y343="","Not started",Y343),SUBSTITUTE(LOOKUP(2,1/(AG343:AT343&lt;&gt;""),$AG$3:$AT$3),"Date: ","")))</t>
        </is>
      </c>
      <c r="AB343" s="38" t="inlineStr">
        <is>
          <t>IF(OR(E343="",COUNT(AG343:AT343)=0),"",TODAY()-LOOKUP(2,1/(AG343:AT343&lt;&gt;""),AG343:AT343))</t>
        </is>
      </c>
      <c r="AC343" s="38" t="inlineStr">
        <is>
          <t>IF(OR(E343="",COUNT(AG343:AT343)&lt;2),"",LOOKUP(2,1/(AG343:AT343&lt;&gt;""),AG343:AT343)-MIN(AG343:AT343))</t>
        </is>
      </c>
      <c r="AD343" s="38" t="inlineStr">
        <is>
          <t>IF(OR(AB343="",AA343="Not started",AA343=""),"",IFERROR(AB343-IF(VLOOKUP(AA343,'04_Status_Pipeline'!$B$3:$E$20,4,FALSE)="",0,VLOOKUP(AA343,'04_Status_Pipeline'!$B$3:$E$20,4,FALSE)),""))</t>
        </is>
      </c>
      <c r="AE343" s="32" t="inlineStr">
        <is>
          <t>IF(E343="","",IF(OR(Y343="Cancelled",AA343="Cancelled"),"Cancelled",IF(OR(AA343="Completed / Handover",W343&lt;&gt;"",X343&gt;=100),"Completed — on track",IF(L343="Remaining",IF(S343="",IF(V343="","No planned date",IF(TODAY()&gt;V343,"Behind — past planned date",IF(V343-TODAY()&lt;=30,"At risk — close to off track","On track"))),IF(TODAY()&gt;S343,"Behind — award date passed",IF(S343-TODAY()&lt;=30,"At risk — close to off track","On track"))),IF(V343="","No planned date",IF(AND(TODAY()&gt;V343,OR(X343="",X343&lt;100)),"Behind — past end date",IF(AND(R343&lt;&gt;"",V343&lt;&gt;"",X343&lt;&gt;"",(X343&lt;100),((TODAY()-R343)/MAX(V343-R343,1)*100)-X343&gt;15),"Behind — progress lag",IF(AND(V343-TODAY()&lt;=30,V343-TODAY()&gt;=0,OR(X343="",X343&lt;90)),"At risk — close to off track","On track"))))))))</t>
        </is>
      </c>
      <c r="AF343" s="38" t="inlineStr">
        <is>
          <t>IF(OR(E343="",AA343="Completed / Handover",AA343="Cancelled"),"",IF(L343="Remaining",IF(S343&lt;&gt;"",S343-TODAY(),IF(V343="","",V343-TODAY())),IF(V343="","",V343-TODAY())))</t>
        </is>
      </c>
      <c r="AG343" s="44" t="n"/>
      <c r="AH343" s="44" t="n"/>
      <c r="AI343" s="44" t="n"/>
      <c r="AJ343" s="44" t="n"/>
      <c r="AK343" s="44" t="n"/>
      <c r="AL343" s="44" t="n"/>
      <c r="AM343" s="44" t="n"/>
      <c r="AN343" s="44" t="n"/>
      <c r="AO343" s="44" t="n"/>
      <c r="AP343" s="44" t="n"/>
      <c r="AQ343" s="44" t="n"/>
      <c r="AR343" s="40" t="n"/>
      <c r="AS343" s="40" t="n"/>
      <c r="AT343" s="40" t="n"/>
      <c r="AU343" s="38" t="inlineStr">
        <is>
          <t>IF(OR(E343="",AH343=""),"",IF(COUNT(AG343:AG343)=0,"",AH343-LOOKUP(2,1/(AG343:AG343&lt;&gt;""),AG343:AG343)))</t>
        </is>
      </c>
      <c r="AV343" s="38" t="inlineStr">
        <is>
          <t>IF(OR(E343="",AI343=""),"",IF(COUNT(AG343:AH343)=0,"",AI343-LOOKUP(2,1/(AG343:AH343&lt;&gt;""),AG343:AH343)))</t>
        </is>
      </c>
      <c r="AW343" s="38" t="inlineStr">
        <is>
          <t>IF(OR(E343="",AJ343=""),"",IF(COUNT(AG343:AI343)=0,"",AJ343-LOOKUP(2,1/(AG343:AI343&lt;&gt;""),AG343:AI343)))</t>
        </is>
      </c>
      <c r="AX343" s="38" t="inlineStr">
        <is>
          <t>IF(OR(E343="",AK343=""),"",IF(COUNT(AG343:AJ343)=0,"",AK343-LOOKUP(2,1/(AG343:AJ343&lt;&gt;""),AG343:AJ343)))</t>
        </is>
      </c>
      <c r="AY343" s="38" t="inlineStr">
        <is>
          <t>IF(OR(E343="",AL343=""),"",IF(COUNT(AG343:AK343)=0,"",AL343-LOOKUP(2,1/(AG343:AK343&lt;&gt;""),AG343:AK343)))</t>
        </is>
      </c>
      <c r="AZ343" s="38" t="inlineStr">
        <is>
          <t>IF(OR(E343="",AM343=""),"",IF(COUNT(AG343:AL343)=0,"",AM343-LOOKUP(2,1/(AG343:AL343&lt;&gt;""),AG343:AL343)))</t>
        </is>
      </c>
      <c r="BA343" s="38" t="inlineStr">
        <is>
          <t>IF(OR(E343="",AN343=""),"",IF(COUNT(AG343:AM343)=0,"",AN343-LOOKUP(2,1/(AG343:AM343&lt;&gt;""),AG343:AM343)))</t>
        </is>
      </c>
      <c r="BB343" s="38" t="inlineStr">
        <is>
          <t>IF(OR(E343="",AO343=""),"",IF(COUNT(AG343:AN343)=0,"",AO343-LOOKUP(2,1/(AG343:AN343&lt;&gt;""),AG343:AN343)))</t>
        </is>
      </c>
      <c r="BC343" s="38" t="inlineStr">
        <is>
          <t>IF(OR(E343="",AP343=""),"",IF(COUNT(AG343:AO343)=0,"",AP343-LOOKUP(2,1/(AG343:AO343&lt;&gt;""),AG343:AO343)))</t>
        </is>
      </c>
      <c r="BD343" s="38" t="inlineStr">
        <is>
          <t>IF(OR(E343="",AQ343=""),"",IF(COUNT(AG343:AP343)=0,"",AQ343-LOOKUP(2,1/(AG343:AP343&lt;&gt;""),AG343:AP343)))</t>
        </is>
      </c>
      <c r="BE343" s="38" t="inlineStr">
        <is>
          <t>IF(OR(E343="",AR343=""),"",IF(COUNT(AG343:AQ343)=0,"",AR343-LOOKUP(2,1/(AG343:AQ343&lt;&gt;""),AG343:AQ343)))</t>
        </is>
      </c>
      <c r="BF343" s="38" t="inlineStr">
        <is>
          <t>IF(OR(E343="",AS343=""),"",IF(COUNT(AG343:AR343)=0,"",AS343-LOOKUP(2,1/(AG343:AR343&lt;&gt;""),AG343:AR343)))</t>
        </is>
      </c>
      <c r="BG343" s="38" t="inlineStr">
        <is>
          <t>IF(OR(E343="",AT343=""),"",IF(COUNT(AG343:AS343)=0,"",AT343-LOOKUP(2,1/(AG343:AS343&lt;&gt;""),AG343:AS343)))</t>
        </is>
      </c>
      <c r="BH343" s="41" t="inlineStr">
        <is>
          <t>IF(G343="","All_Provinces",IFERROR(VLOOKUP(G343,'07_Lookups'!$A$4:$B$20,2,FALSE),"All_Provinces"))</t>
        </is>
      </c>
      <c r="BI343" s="41" t="inlineStr">
        <is>
          <t>IF(H343="","All_Districts",IFERROR(VLOOKUP(H343,'07_Lookups'!$E$4:$F$42,2,FALSE),"All_Districts"))</t>
        </is>
      </c>
    </row>
    <row r="344" ht="18" customHeight="1">
      <c r="A344" s="32" t="inlineStr">
        <is>
          <t>IF(E344="","",ROW()-3)</t>
        </is>
      </c>
      <c r="B344" s="33" t="n"/>
      <c r="C344" s="33" t="n"/>
      <c r="D344" s="33" t="n"/>
      <c r="E344" s="33" t="n"/>
      <c r="F344" s="33" t="n"/>
      <c r="G344" s="33" t="n"/>
      <c r="H344" s="33" t="n"/>
      <c r="I344" s="33" t="n"/>
      <c r="J344" s="33" t="n"/>
      <c r="K344" s="33" t="n"/>
      <c r="L344" s="33" t="n"/>
      <c r="M344" s="33" t="n"/>
      <c r="N344" s="33" t="n"/>
      <c r="O344" s="33" t="n"/>
      <c r="P344" s="33" t="n"/>
      <c r="Q344" s="34" t="n"/>
      <c r="R344" s="35" t="inlineStr">
        <is>
          <t>IF(AO344="","",AO344)</t>
        </is>
      </c>
      <c r="S344" s="36" t="n"/>
      <c r="T344" s="37" t="n"/>
      <c r="U344" s="36" t="n"/>
      <c r="V344" s="35" t="inlineStr">
        <is>
          <t>IF(U344&lt;&gt;"",U344,IF(OR(R344="",T344=""),"",EDATE(R344,T344)))</t>
        </is>
      </c>
      <c r="W344" s="36" t="n"/>
      <c r="X344" s="37" t="n"/>
      <c r="Y344" s="33" t="n"/>
      <c r="Z344" s="33" t="n"/>
      <c r="AA344" s="32" t="inlineStr">
        <is>
          <t>IF(E344="","",IF(COUNT(AG344:AT344)=0,IF(Y344="","Not started",Y344),SUBSTITUTE(LOOKUP(2,1/(AG344:AT344&lt;&gt;""),$AG$3:$AT$3),"Date: ","")))</t>
        </is>
      </c>
      <c r="AB344" s="38" t="inlineStr">
        <is>
          <t>IF(OR(E344="",COUNT(AG344:AT344)=0),"",TODAY()-LOOKUP(2,1/(AG344:AT344&lt;&gt;""),AG344:AT344))</t>
        </is>
      </c>
      <c r="AC344" s="38" t="inlineStr">
        <is>
          <t>IF(OR(E344="",COUNT(AG344:AT344)&lt;2),"",LOOKUP(2,1/(AG344:AT344&lt;&gt;""),AG344:AT344)-MIN(AG344:AT344))</t>
        </is>
      </c>
      <c r="AD344" s="38" t="inlineStr">
        <is>
          <t>IF(OR(AB344="",AA344="Not started",AA344=""),"",IFERROR(AB344-IF(VLOOKUP(AA344,'04_Status_Pipeline'!$B$3:$E$20,4,FALSE)="",0,VLOOKUP(AA344,'04_Status_Pipeline'!$B$3:$E$20,4,FALSE)),""))</t>
        </is>
      </c>
      <c r="AE344" s="32" t="inlineStr">
        <is>
          <t>IF(E344="","",IF(OR(Y344="Cancelled",AA344="Cancelled"),"Cancelled",IF(OR(AA344="Completed / Handover",W344&lt;&gt;"",X344&gt;=100),"Completed — on track",IF(L344="Remaining",IF(S344="",IF(V344="","No planned date",IF(TODAY()&gt;V344,"Behind — past planned date",IF(V344-TODAY()&lt;=30,"At risk — close to off track","On track"))),IF(TODAY()&gt;S344,"Behind — award date passed",IF(S344-TODAY()&lt;=30,"At risk — close to off track","On track"))),IF(V344="","No planned date",IF(AND(TODAY()&gt;V344,OR(X344="",X344&lt;100)),"Behind — past end date",IF(AND(R344&lt;&gt;"",V344&lt;&gt;"",X344&lt;&gt;"",(X344&lt;100),((TODAY()-R344)/MAX(V344-R344,1)*100)-X344&gt;15),"Behind — progress lag",IF(AND(V344-TODAY()&lt;=30,V344-TODAY()&gt;=0,OR(X344="",X344&lt;90)),"At risk — close to off track","On track"))))))))</t>
        </is>
      </c>
      <c r="AF344" s="38" t="inlineStr">
        <is>
          <t>IF(OR(E344="",AA344="Completed / Handover",AA344="Cancelled"),"",IF(L344="Remaining",IF(S344&lt;&gt;"",S344-TODAY(),IF(V344="","",V344-TODAY())),IF(V344="","",V344-TODAY())))</t>
        </is>
      </c>
      <c r="AG344" s="36" t="n"/>
      <c r="AH344" s="36" t="n"/>
      <c r="AI344" s="36" t="n"/>
      <c r="AJ344" s="36" t="n"/>
      <c r="AK344" s="36" t="n"/>
      <c r="AL344" s="36" t="n"/>
      <c r="AM344" s="36" t="n"/>
      <c r="AN344" s="36" t="n"/>
      <c r="AO344" s="36" t="n"/>
      <c r="AP344" s="36" t="n"/>
      <c r="AQ344" s="36" t="n"/>
      <c r="AR344" s="40" t="n"/>
      <c r="AS344" s="40" t="n"/>
      <c r="AT344" s="40" t="n"/>
      <c r="AU344" s="38" t="inlineStr">
        <is>
          <t>IF(OR(E344="",AH344=""),"",IF(COUNT(AG344:AG344)=0,"",AH344-LOOKUP(2,1/(AG344:AG344&lt;&gt;""),AG344:AG344)))</t>
        </is>
      </c>
      <c r="AV344" s="38" t="inlineStr">
        <is>
          <t>IF(OR(E344="",AI344=""),"",IF(COUNT(AG344:AH344)=0,"",AI344-LOOKUP(2,1/(AG344:AH344&lt;&gt;""),AG344:AH344)))</t>
        </is>
      </c>
      <c r="AW344" s="38" t="inlineStr">
        <is>
          <t>IF(OR(E344="",AJ344=""),"",IF(COUNT(AG344:AI344)=0,"",AJ344-LOOKUP(2,1/(AG344:AI344&lt;&gt;""),AG344:AI344)))</t>
        </is>
      </c>
      <c r="AX344" s="38" t="inlineStr">
        <is>
          <t>IF(OR(E344="",AK344=""),"",IF(COUNT(AG344:AJ344)=0,"",AK344-LOOKUP(2,1/(AG344:AJ344&lt;&gt;""),AG344:AJ344)))</t>
        </is>
      </c>
      <c r="AY344" s="38" t="inlineStr">
        <is>
          <t>IF(OR(E344="",AL344=""),"",IF(COUNT(AG344:AK344)=0,"",AL344-LOOKUP(2,1/(AG344:AK344&lt;&gt;""),AG344:AK344)))</t>
        </is>
      </c>
      <c r="AZ344" s="38" t="inlineStr">
        <is>
          <t>IF(OR(E344="",AM344=""),"",IF(COUNT(AG344:AL344)=0,"",AM344-LOOKUP(2,1/(AG344:AL344&lt;&gt;""),AG344:AL344)))</t>
        </is>
      </c>
      <c r="BA344" s="38" t="inlineStr">
        <is>
          <t>IF(OR(E344="",AN344=""),"",IF(COUNT(AG344:AM344)=0,"",AN344-LOOKUP(2,1/(AG344:AM344&lt;&gt;""),AG344:AM344)))</t>
        </is>
      </c>
      <c r="BB344" s="38" t="inlineStr">
        <is>
          <t>IF(OR(E344="",AO344=""),"",IF(COUNT(AG344:AN344)=0,"",AO344-LOOKUP(2,1/(AG344:AN344&lt;&gt;""),AG344:AN344)))</t>
        </is>
      </c>
      <c r="BC344" s="38" t="inlineStr">
        <is>
          <t>IF(OR(E344="",AP344=""),"",IF(COUNT(AG344:AO344)=0,"",AP344-LOOKUP(2,1/(AG344:AO344&lt;&gt;""),AG344:AO344)))</t>
        </is>
      </c>
      <c r="BD344" s="38" t="inlineStr">
        <is>
          <t>IF(OR(E344="",AQ344=""),"",IF(COUNT(AG344:AP344)=0,"",AQ344-LOOKUP(2,1/(AG344:AP344&lt;&gt;""),AG344:AP344)))</t>
        </is>
      </c>
      <c r="BE344" s="38" t="inlineStr">
        <is>
          <t>IF(OR(E344="",AR344=""),"",IF(COUNT(AG344:AQ344)=0,"",AR344-LOOKUP(2,1/(AG344:AQ344&lt;&gt;""),AG344:AQ344)))</t>
        </is>
      </c>
      <c r="BF344" s="38" t="inlineStr">
        <is>
          <t>IF(OR(E344="",AS344=""),"",IF(COUNT(AG344:AR344)=0,"",AS344-LOOKUP(2,1/(AG344:AR344&lt;&gt;""),AG344:AR344)))</t>
        </is>
      </c>
      <c r="BG344" s="38" t="inlineStr">
        <is>
          <t>IF(OR(E344="",AT344=""),"",IF(COUNT(AG344:AS344)=0,"",AT344-LOOKUP(2,1/(AG344:AS344&lt;&gt;""),AG344:AS344)))</t>
        </is>
      </c>
      <c r="BH344" s="41" t="inlineStr">
        <is>
          <t>IF(G344="","All_Provinces",IFERROR(VLOOKUP(G344,'07_Lookups'!$A$4:$B$20,2,FALSE),"All_Provinces"))</t>
        </is>
      </c>
      <c r="BI344" s="41" t="inlineStr">
        <is>
          <t>IF(H344="","All_Districts",IFERROR(VLOOKUP(H344,'07_Lookups'!$E$4:$F$42,2,FALSE),"All_Districts"))</t>
        </is>
      </c>
    </row>
    <row r="345" ht="18" customHeight="1">
      <c r="A345" s="32" t="inlineStr">
        <is>
          <t>IF(E345="","",ROW()-3)</t>
        </is>
      </c>
      <c r="B345" s="42" t="n"/>
      <c r="C345" s="42" t="n"/>
      <c r="D345" s="42" t="n"/>
      <c r="E345" s="42" t="n"/>
      <c r="F345" s="42" t="n"/>
      <c r="G345" s="42" t="n"/>
      <c r="H345" s="42" t="n"/>
      <c r="I345" s="42" t="n"/>
      <c r="J345" s="42" t="n"/>
      <c r="K345" s="42" t="n"/>
      <c r="L345" s="42" t="n"/>
      <c r="M345" s="42" t="n"/>
      <c r="N345" s="42" t="n"/>
      <c r="O345" s="42" t="n"/>
      <c r="P345" s="42" t="n"/>
      <c r="Q345" s="43" t="n"/>
      <c r="R345" s="35" t="inlineStr">
        <is>
          <t>IF(AO345="","",AO345)</t>
        </is>
      </c>
      <c r="S345" s="44" t="n"/>
      <c r="T345" s="45" t="n"/>
      <c r="U345" s="44" t="n"/>
      <c r="V345" s="35" t="inlineStr">
        <is>
          <t>IF(U345&lt;&gt;"",U345,IF(OR(R345="",T345=""),"",EDATE(R345,T345)))</t>
        </is>
      </c>
      <c r="W345" s="44" t="n"/>
      <c r="X345" s="45" t="n"/>
      <c r="Y345" s="42" t="n"/>
      <c r="Z345" s="42" t="n"/>
      <c r="AA345" s="32" t="inlineStr">
        <is>
          <t>IF(E345="","",IF(COUNT(AG345:AT345)=0,IF(Y345="","Not started",Y345),SUBSTITUTE(LOOKUP(2,1/(AG345:AT345&lt;&gt;""),$AG$3:$AT$3),"Date: ","")))</t>
        </is>
      </c>
      <c r="AB345" s="38" t="inlineStr">
        <is>
          <t>IF(OR(E345="",COUNT(AG345:AT345)=0),"",TODAY()-LOOKUP(2,1/(AG345:AT345&lt;&gt;""),AG345:AT345))</t>
        </is>
      </c>
      <c r="AC345" s="38" t="inlineStr">
        <is>
          <t>IF(OR(E345="",COUNT(AG345:AT345)&lt;2),"",LOOKUP(2,1/(AG345:AT345&lt;&gt;""),AG345:AT345)-MIN(AG345:AT345))</t>
        </is>
      </c>
      <c r="AD345" s="38" t="inlineStr">
        <is>
          <t>IF(OR(AB345="",AA345="Not started",AA345=""),"",IFERROR(AB345-IF(VLOOKUP(AA345,'04_Status_Pipeline'!$B$3:$E$20,4,FALSE)="",0,VLOOKUP(AA345,'04_Status_Pipeline'!$B$3:$E$20,4,FALSE)),""))</t>
        </is>
      </c>
      <c r="AE345" s="32" t="inlineStr">
        <is>
          <t>IF(E345="","",IF(OR(Y345="Cancelled",AA345="Cancelled"),"Cancelled",IF(OR(AA345="Completed / Handover",W345&lt;&gt;"",X345&gt;=100),"Completed — on track",IF(L345="Remaining",IF(S345="",IF(V345="","No planned date",IF(TODAY()&gt;V345,"Behind — past planned date",IF(V345-TODAY()&lt;=30,"At risk — close to off track","On track"))),IF(TODAY()&gt;S345,"Behind — award date passed",IF(S345-TODAY()&lt;=30,"At risk — close to off track","On track"))),IF(V345="","No planned date",IF(AND(TODAY()&gt;V345,OR(X345="",X345&lt;100)),"Behind — past end date",IF(AND(R345&lt;&gt;"",V345&lt;&gt;"",X345&lt;&gt;"",(X345&lt;100),((TODAY()-R345)/MAX(V345-R345,1)*100)-X345&gt;15),"Behind — progress lag",IF(AND(V345-TODAY()&lt;=30,V345-TODAY()&gt;=0,OR(X345="",X345&lt;90)),"At risk — close to off track","On track"))))))))</t>
        </is>
      </c>
      <c r="AF345" s="38" t="inlineStr">
        <is>
          <t>IF(OR(E345="",AA345="Completed / Handover",AA345="Cancelled"),"",IF(L345="Remaining",IF(S345&lt;&gt;"",S345-TODAY(),IF(V345="","",V345-TODAY())),IF(V345="","",V345-TODAY())))</t>
        </is>
      </c>
      <c r="AG345" s="44" t="n"/>
      <c r="AH345" s="44" t="n"/>
      <c r="AI345" s="44" t="n"/>
      <c r="AJ345" s="44" t="n"/>
      <c r="AK345" s="44" t="n"/>
      <c r="AL345" s="44" t="n"/>
      <c r="AM345" s="44" t="n"/>
      <c r="AN345" s="44" t="n"/>
      <c r="AO345" s="44" t="n"/>
      <c r="AP345" s="44" t="n"/>
      <c r="AQ345" s="44" t="n"/>
      <c r="AR345" s="40" t="n"/>
      <c r="AS345" s="40" t="n"/>
      <c r="AT345" s="40" t="n"/>
      <c r="AU345" s="38" t="inlineStr">
        <is>
          <t>IF(OR(E345="",AH345=""),"",IF(COUNT(AG345:AG345)=0,"",AH345-LOOKUP(2,1/(AG345:AG345&lt;&gt;""),AG345:AG345)))</t>
        </is>
      </c>
      <c r="AV345" s="38" t="inlineStr">
        <is>
          <t>IF(OR(E345="",AI345=""),"",IF(COUNT(AG345:AH345)=0,"",AI345-LOOKUP(2,1/(AG345:AH345&lt;&gt;""),AG345:AH345)))</t>
        </is>
      </c>
      <c r="AW345" s="38" t="inlineStr">
        <is>
          <t>IF(OR(E345="",AJ345=""),"",IF(COUNT(AG345:AI345)=0,"",AJ345-LOOKUP(2,1/(AG345:AI345&lt;&gt;""),AG345:AI345)))</t>
        </is>
      </c>
      <c r="AX345" s="38" t="inlineStr">
        <is>
          <t>IF(OR(E345="",AK345=""),"",IF(COUNT(AG345:AJ345)=0,"",AK345-LOOKUP(2,1/(AG345:AJ345&lt;&gt;""),AG345:AJ345)))</t>
        </is>
      </c>
      <c r="AY345" s="38" t="inlineStr">
        <is>
          <t>IF(OR(E345="",AL345=""),"",IF(COUNT(AG345:AK345)=0,"",AL345-LOOKUP(2,1/(AG345:AK345&lt;&gt;""),AG345:AK345)))</t>
        </is>
      </c>
      <c r="AZ345" s="38" t="inlineStr">
        <is>
          <t>IF(OR(E345="",AM345=""),"",IF(COUNT(AG345:AL345)=0,"",AM345-LOOKUP(2,1/(AG345:AL345&lt;&gt;""),AG345:AL345)))</t>
        </is>
      </c>
      <c r="BA345" s="38" t="inlineStr">
        <is>
          <t>IF(OR(E345="",AN345=""),"",IF(COUNT(AG345:AM345)=0,"",AN345-LOOKUP(2,1/(AG345:AM345&lt;&gt;""),AG345:AM345)))</t>
        </is>
      </c>
      <c r="BB345" s="38" t="inlineStr">
        <is>
          <t>IF(OR(E345="",AO345=""),"",IF(COUNT(AG345:AN345)=0,"",AO345-LOOKUP(2,1/(AG345:AN345&lt;&gt;""),AG345:AN345)))</t>
        </is>
      </c>
      <c r="BC345" s="38" t="inlineStr">
        <is>
          <t>IF(OR(E345="",AP345=""),"",IF(COUNT(AG345:AO345)=0,"",AP345-LOOKUP(2,1/(AG345:AO345&lt;&gt;""),AG345:AO345)))</t>
        </is>
      </c>
      <c r="BD345" s="38" t="inlineStr">
        <is>
          <t>IF(OR(E345="",AQ345=""),"",IF(COUNT(AG345:AP345)=0,"",AQ345-LOOKUP(2,1/(AG345:AP345&lt;&gt;""),AG345:AP345)))</t>
        </is>
      </c>
      <c r="BE345" s="38" t="inlineStr">
        <is>
          <t>IF(OR(E345="",AR345=""),"",IF(COUNT(AG345:AQ345)=0,"",AR345-LOOKUP(2,1/(AG345:AQ345&lt;&gt;""),AG345:AQ345)))</t>
        </is>
      </c>
      <c r="BF345" s="38" t="inlineStr">
        <is>
          <t>IF(OR(E345="",AS345=""),"",IF(COUNT(AG345:AR345)=0,"",AS345-LOOKUP(2,1/(AG345:AR345&lt;&gt;""),AG345:AR345)))</t>
        </is>
      </c>
      <c r="BG345" s="38" t="inlineStr">
        <is>
          <t>IF(OR(E345="",AT345=""),"",IF(COUNT(AG345:AS345)=0,"",AT345-LOOKUP(2,1/(AG345:AS345&lt;&gt;""),AG345:AS345)))</t>
        </is>
      </c>
      <c r="BH345" s="41" t="inlineStr">
        <is>
          <t>IF(G345="","All_Provinces",IFERROR(VLOOKUP(G345,'07_Lookups'!$A$4:$B$20,2,FALSE),"All_Provinces"))</t>
        </is>
      </c>
      <c r="BI345" s="41" t="inlineStr">
        <is>
          <t>IF(H345="","All_Districts",IFERROR(VLOOKUP(H345,'07_Lookups'!$E$4:$F$42,2,FALSE),"All_Districts"))</t>
        </is>
      </c>
    </row>
    <row r="346" ht="18" customHeight="1">
      <c r="A346" s="32" t="inlineStr">
        <is>
          <t>IF(E346="","",ROW()-3)</t>
        </is>
      </c>
      <c r="B346" s="33" t="n"/>
      <c r="C346" s="33" t="n"/>
      <c r="D346" s="33" t="n"/>
      <c r="E346" s="33" t="n"/>
      <c r="F346" s="33" t="n"/>
      <c r="G346" s="33" t="n"/>
      <c r="H346" s="33" t="n"/>
      <c r="I346" s="33" t="n"/>
      <c r="J346" s="33" t="n"/>
      <c r="K346" s="33" t="n"/>
      <c r="L346" s="33" t="n"/>
      <c r="M346" s="33" t="n"/>
      <c r="N346" s="33" t="n"/>
      <c r="O346" s="33" t="n"/>
      <c r="P346" s="33" t="n"/>
      <c r="Q346" s="34" t="n"/>
      <c r="R346" s="35" t="inlineStr">
        <is>
          <t>IF(AO346="","",AO346)</t>
        </is>
      </c>
      <c r="S346" s="36" t="n"/>
      <c r="T346" s="37" t="n"/>
      <c r="U346" s="36" t="n"/>
      <c r="V346" s="35" t="inlineStr">
        <is>
          <t>IF(U346&lt;&gt;"",U346,IF(OR(R346="",T346=""),"",EDATE(R346,T346)))</t>
        </is>
      </c>
      <c r="W346" s="36" t="n"/>
      <c r="X346" s="37" t="n"/>
      <c r="Y346" s="33" t="n"/>
      <c r="Z346" s="33" t="n"/>
      <c r="AA346" s="32" t="inlineStr">
        <is>
          <t>IF(E346="","",IF(COUNT(AG346:AT346)=0,IF(Y346="","Not started",Y346),SUBSTITUTE(LOOKUP(2,1/(AG346:AT346&lt;&gt;""),$AG$3:$AT$3),"Date: ","")))</t>
        </is>
      </c>
      <c r="AB346" s="38" t="inlineStr">
        <is>
          <t>IF(OR(E346="",COUNT(AG346:AT346)=0),"",TODAY()-LOOKUP(2,1/(AG346:AT346&lt;&gt;""),AG346:AT346))</t>
        </is>
      </c>
      <c r="AC346" s="38" t="inlineStr">
        <is>
          <t>IF(OR(E346="",COUNT(AG346:AT346)&lt;2),"",LOOKUP(2,1/(AG346:AT346&lt;&gt;""),AG346:AT346)-MIN(AG346:AT346))</t>
        </is>
      </c>
      <c r="AD346" s="38" t="inlineStr">
        <is>
          <t>IF(OR(AB346="",AA346="Not started",AA346=""),"",IFERROR(AB346-IF(VLOOKUP(AA346,'04_Status_Pipeline'!$B$3:$E$20,4,FALSE)="",0,VLOOKUP(AA346,'04_Status_Pipeline'!$B$3:$E$20,4,FALSE)),""))</t>
        </is>
      </c>
      <c r="AE346" s="32" t="inlineStr">
        <is>
          <t>IF(E346="","",IF(OR(Y346="Cancelled",AA346="Cancelled"),"Cancelled",IF(OR(AA346="Completed / Handover",W346&lt;&gt;"",X346&gt;=100),"Completed — on track",IF(L346="Remaining",IF(S346="",IF(V346="","No planned date",IF(TODAY()&gt;V346,"Behind — past planned date",IF(V346-TODAY()&lt;=30,"At risk — close to off track","On track"))),IF(TODAY()&gt;S346,"Behind — award date passed",IF(S346-TODAY()&lt;=30,"At risk — close to off track","On track"))),IF(V346="","No planned date",IF(AND(TODAY()&gt;V346,OR(X346="",X346&lt;100)),"Behind — past end date",IF(AND(R346&lt;&gt;"",V346&lt;&gt;"",X346&lt;&gt;"",(X346&lt;100),((TODAY()-R346)/MAX(V346-R346,1)*100)-X346&gt;15),"Behind — progress lag",IF(AND(V346-TODAY()&lt;=30,V346-TODAY()&gt;=0,OR(X346="",X346&lt;90)),"At risk — close to off track","On track"))))))))</t>
        </is>
      </c>
      <c r="AF346" s="38" t="inlineStr">
        <is>
          <t>IF(OR(E346="",AA346="Completed / Handover",AA346="Cancelled"),"",IF(L346="Remaining",IF(S346&lt;&gt;"",S346-TODAY(),IF(V346="","",V346-TODAY())),IF(V346="","",V346-TODAY())))</t>
        </is>
      </c>
      <c r="AG346" s="36" t="n"/>
      <c r="AH346" s="36" t="n"/>
      <c r="AI346" s="36" t="n"/>
      <c r="AJ346" s="36" t="n"/>
      <c r="AK346" s="36" t="n"/>
      <c r="AL346" s="36" t="n"/>
      <c r="AM346" s="36" t="n"/>
      <c r="AN346" s="36" t="n"/>
      <c r="AO346" s="36" t="n"/>
      <c r="AP346" s="36" t="n"/>
      <c r="AQ346" s="36" t="n"/>
      <c r="AR346" s="40" t="n"/>
      <c r="AS346" s="40" t="n"/>
      <c r="AT346" s="40" t="n"/>
      <c r="AU346" s="38" t="inlineStr">
        <is>
          <t>IF(OR(E346="",AH346=""),"",IF(COUNT(AG346:AG346)=0,"",AH346-LOOKUP(2,1/(AG346:AG346&lt;&gt;""),AG346:AG346)))</t>
        </is>
      </c>
      <c r="AV346" s="38" t="inlineStr">
        <is>
          <t>IF(OR(E346="",AI346=""),"",IF(COUNT(AG346:AH346)=0,"",AI346-LOOKUP(2,1/(AG346:AH346&lt;&gt;""),AG346:AH346)))</t>
        </is>
      </c>
      <c r="AW346" s="38" t="inlineStr">
        <is>
          <t>IF(OR(E346="",AJ346=""),"",IF(COUNT(AG346:AI346)=0,"",AJ346-LOOKUP(2,1/(AG346:AI346&lt;&gt;""),AG346:AI346)))</t>
        </is>
      </c>
      <c r="AX346" s="38" t="inlineStr">
        <is>
          <t>IF(OR(E346="",AK346=""),"",IF(COUNT(AG346:AJ346)=0,"",AK346-LOOKUP(2,1/(AG346:AJ346&lt;&gt;""),AG346:AJ346)))</t>
        </is>
      </c>
      <c r="AY346" s="38" t="inlineStr">
        <is>
          <t>IF(OR(E346="",AL346=""),"",IF(COUNT(AG346:AK346)=0,"",AL346-LOOKUP(2,1/(AG346:AK346&lt;&gt;""),AG346:AK346)))</t>
        </is>
      </c>
      <c r="AZ346" s="38" t="inlineStr">
        <is>
          <t>IF(OR(E346="",AM346=""),"",IF(COUNT(AG346:AL346)=0,"",AM346-LOOKUP(2,1/(AG346:AL346&lt;&gt;""),AG346:AL346)))</t>
        </is>
      </c>
      <c r="BA346" s="38" t="inlineStr">
        <is>
          <t>IF(OR(E346="",AN346=""),"",IF(COUNT(AG346:AM346)=0,"",AN346-LOOKUP(2,1/(AG346:AM346&lt;&gt;""),AG346:AM346)))</t>
        </is>
      </c>
      <c r="BB346" s="38" t="inlineStr">
        <is>
          <t>IF(OR(E346="",AO346=""),"",IF(COUNT(AG346:AN346)=0,"",AO346-LOOKUP(2,1/(AG346:AN346&lt;&gt;""),AG346:AN346)))</t>
        </is>
      </c>
      <c r="BC346" s="38" t="inlineStr">
        <is>
          <t>IF(OR(E346="",AP346=""),"",IF(COUNT(AG346:AO346)=0,"",AP346-LOOKUP(2,1/(AG346:AO346&lt;&gt;""),AG346:AO346)))</t>
        </is>
      </c>
      <c r="BD346" s="38" t="inlineStr">
        <is>
          <t>IF(OR(E346="",AQ346=""),"",IF(COUNT(AG346:AP346)=0,"",AQ346-LOOKUP(2,1/(AG346:AP346&lt;&gt;""),AG346:AP346)))</t>
        </is>
      </c>
      <c r="BE346" s="38" t="inlineStr">
        <is>
          <t>IF(OR(E346="",AR346=""),"",IF(COUNT(AG346:AQ346)=0,"",AR346-LOOKUP(2,1/(AG346:AQ346&lt;&gt;""),AG346:AQ346)))</t>
        </is>
      </c>
      <c r="BF346" s="38" t="inlineStr">
        <is>
          <t>IF(OR(E346="",AS346=""),"",IF(COUNT(AG346:AR346)=0,"",AS346-LOOKUP(2,1/(AG346:AR346&lt;&gt;""),AG346:AR346)))</t>
        </is>
      </c>
      <c r="BG346" s="38" t="inlineStr">
        <is>
          <t>IF(OR(E346="",AT346=""),"",IF(COUNT(AG346:AS346)=0,"",AT346-LOOKUP(2,1/(AG346:AS346&lt;&gt;""),AG346:AS346)))</t>
        </is>
      </c>
      <c r="BH346" s="41" t="inlineStr">
        <is>
          <t>IF(G346="","All_Provinces",IFERROR(VLOOKUP(G346,'07_Lookups'!$A$4:$B$20,2,FALSE),"All_Provinces"))</t>
        </is>
      </c>
      <c r="BI346" s="41" t="inlineStr">
        <is>
          <t>IF(H346="","All_Districts",IFERROR(VLOOKUP(H346,'07_Lookups'!$E$4:$F$42,2,FALSE),"All_Districts"))</t>
        </is>
      </c>
    </row>
    <row r="347" ht="18" customHeight="1">
      <c r="A347" s="32" t="inlineStr">
        <is>
          <t>IF(E347="","",ROW()-3)</t>
        </is>
      </c>
      <c r="B347" s="42" t="n"/>
      <c r="C347" s="42" t="n"/>
      <c r="D347" s="42" t="n"/>
      <c r="E347" s="42" t="n"/>
      <c r="F347" s="42" t="n"/>
      <c r="G347" s="42" t="n"/>
      <c r="H347" s="42" t="n"/>
      <c r="I347" s="42" t="n"/>
      <c r="J347" s="42" t="n"/>
      <c r="K347" s="42" t="n"/>
      <c r="L347" s="42" t="n"/>
      <c r="M347" s="42" t="n"/>
      <c r="N347" s="42" t="n"/>
      <c r="O347" s="42" t="n"/>
      <c r="P347" s="42" t="n"/>
      <c r="Q347" s="43" t="n"/>
      <c r="R347" s="35" t="inlineStr">
        <is>
          <t>IF(AO347="","",AO347)</t>
        </is>
      </c>
      <c r="S347" s="44" t="n"/>
      <c r="T347" s="45" t="n"/>
      <c r="U347" s="44" t="n"/>
      <c r="V347" s="35" t="inlineStr">
        <is>
          <t>IF(U347&lt;&gt;"",U347,IF(OR(R347="",T347=""),"",EDATE(R347,T347)))</t>
        </is>
      </c>
      <c r="W347" s="44" t="n"/>
      <c r="X347" s="45" t="n"/>
      <c r="Y347" s="42" t="n"/>
      <c r="Z347" s="42" t="n"/>
      <c r="AA347" s="32" t="inlineStr">
        <is>
          <t>IF(E347="","",IF(COUNT(AG347:AT347)=0,IF(Y347="","Not started",Y347),SUBSTITUTE(LOOKUP(2,1/(AG347:AT347&lt;&gt;""),$AG$3:$AT$3),"Date: ","")))</t>
        </is>
      </c>
      <c r="AB347" s="38" t="inlineStr">
        <is>
          <t>IF(OR(E347="",COUNT(AG347:AT347)=0),"",TODAY()-LOOKUP(2,1/(AG347:AT347&lt;&gt;""),AG347:AT347))</t>
        </is>
      </c>
      <c r="AC347" s="38" t="inlineStr">
        <is>
          <t>IF(OR(E347="",COUNT(AG347:AT347)&lt;2),"",LOOKUP(2,1/(AG347:AT347&lt;&gt;""),AG347:AT347)-MIN(AG347:AT347))</t>
        </is>
      </c>
      <c r="AD347" s="38" t="inlineStr">
        <is>
          <t>IF(OR(AB347="",AA347="Not started",AA347=""),"",IFERROR(AB347-IF(VLOOKUP(AA347,'04_Status_Pipeline'!$B$3:$E$20,4,FALSE)="",0,VLOOKUP(AA347,'04_Status_Pipeline'!$B$3:$E$20,4,FALSE)),""))</t>
        </is>
      </c>
      <c r="AE347" s="32" t="inlineStr">
        <is>
          <t>IF(E347="","",IF(OR(Y347="Cancelled",AA347="Cancelled"),"Cancelled",IF(OR(AA347="Completed / Handover",W347&lt;&gt;"",X347&gt;=100),"Completed — on track",IF(L347="Remaining",IF(S347="",IF(V347="","No planned date",IF(TODAY()&gt;V347,"Behind — past planned date",IF(V347-TODAY()&lt;=30,"At risk — close to off track","On track"))),IF(TODAY()&gt;S347,"Behind — award date passed",IF(S347-TODAY()&lt;=30,"At risk — close to off track","On track"))),IF(V347="","No planned date",IF(AND(TODAY()&gt;V347,OR(X347="",X347&lt;100)),"Behind — past end date",IF(AND(R347&lt;&gt;"",V347&lt;&gt;"",X347&lt;&gt;"",(X347&lt;100),((TODAY()-R347)/MAX(V347-R347,1)*100)-X347&gt;15),"Behind — progress lag",IF(AND(V347-TODAY()&lt;=30,V347-TODAY()&gt;=0,OR(X347="",X347&lt;90)),"At risk — close to off track","On track"))))))))</t>
        </is>
      </c>
      <c r="AF347" s="38" t="inlineStr">
        <is>
          <t>IF(OR(E347="",AA347="Completed / Handover",AA347="Cancelled"),"",IF(L347="Remaining",IF(S347&lt;&gt;"",S347-TODAY(),IF(V347="","",V347-TODAY())),IF(V347="","",V347-TODAY())))</t>
        </is>
      </c>
      <c r="AG347" s="44" t="n"/>
      <c r="AH347" s="44" t="n"/>
      <c r="AI347" s="44" t="n"/>
      <c r="AJ347" s="44" t="n"/>
      <c r="AK347" s="44" t="n"/>
      <c r="AL347" s="44" t="n"/>
      <c r="AM347" s="44" t="n"/>
      <c r="AN347" s="44" t="n"/>
      <c r="AO347" s="44" t="n"/>
      <c r="AP347" s="44" t="n"/>
      <c r="AQ347" s="44" t="n"/>
      <c r="AR347" s="40" t="n"/>
      <c r="AS347" s="40" t="n"/>
      <c r="AT347" s="40" t="n"/>
      <c r="AU347" s="38" t="inlineStr">
        <is>
          <t>IF(OR(E347="",AH347=""),"",IF(COUNT(AG347:AG347)=0,"",AH347-LOOKUP(2,1/(AG347:AG347&lt;&gt;""),AG347:AG347)))</t>
        </is>
      </c>
      <c r="AV347" s="38" t="inlineStr">
        <is>
          <t>IF(OR(E347="",AI347=""),"",IF(COUNT(AG347:AH347)=0,"",AI347-LOOKUP(2,1/(AG347:AH347&lt;&gt;""),AG347:AH347)))</t>
        </is>
      </c>
      <c r="AW347" s="38" t="inlineStr">
        <is>
          <t>IF(OR(E347="",AJ347=""),"",IF(COUNT(AG347:AI347)=0,"",AJ347-LOOKUP(2,1/(AG347:AI347&lt;&gt;""),AG347:AI347)))</t>
        </is>
      </c>
      <c r="AX347" s="38" t="inlineStr">
        <is>
          <t>IF(OR(E347="",AK347=""),"",IF(COUNT(AG347:AJ347)=0,"",AK347-LOOKUP(2,1/(AG347:AJ347&lt;&gt;""),AG347:AJ347)))</t>
        </is>
      </c>
      <c r="AY347" s="38" t="inlineStr">
        <is>
          <t>IF(OR(E347="",AL347=""),"",IF(COUNT(AG347:AK347)=0,"",AL347-LOOKUP(2,1/(AG347:AK347&lt;&gt;""),AG347:AK347)))</t>
        </is>
      </c>
      <c r="AZ347" s="38" t="inlineStr">
        <is>
          <t>IF(OR(E347="",AM347=""),"",IF(COUNT(AG347:AL347)=0,"",AM347-LOOKUP(2,1/(AG347:AL347&lt;&gt;""),AG347:AL347)))</t>
        </is>
      </c>
      <c r="BA347" s="38" t="inlineStr">
        <is>
          <t>IF(OR(E347="",AN347=""),"",IF(COUNT(AG347:AM347)=0,"",AN347-LOOKUP(2,1/(AG347:AM347&lt;&gt;""),AG347:AM347)))</t>
        </is>
      </c>
      <c r="BB347" s="38" t="inlineStr">
        <is>
          <t>IF(OR(E347="",AO347=""),"",IF(COUNT(AG347:AN347)=0,"",AO347-LOOKUP(2,1/(AG347:AN347&lt;&gt;""),AG347:AN347)))</t>
        </is>
      </c>
      <c r="BC347" s="38" t="inlineStr">
        <is>
          <t>IF(OR(E347="",AP347=""),"",IF(COUNT(AG347:AO347)=0,"",AP347-LOOKUP(2,1/(AG347:AO347&lt;&gt;""),AG347:AO347)))</t>
        </is>
      </c>
      <c r="BD347" s="38" t="inlineStr">
        <is>
          <t>IF(OR(E347="",AQ347=""),"",IF(COUNT(AG347:AP347)=0,"",AQ347-LOOKUP(2,1/(AG347:AP347&lt;&gt;""),AG347:AP347)))</t>
        </is>
      </c>
      <c r="BE347" s="38" t="inlineStr">
        <is>
          <t>IF(OR(E347="",AR347=""),"",IF(COUNT(AG347:AQ347)=0,"",AR347-LOOKUP(2,1/(AG347:AQ347&lt;&gt;""),AG347:AQ347)))</t>
        </is>
      </c>
      <c r="BF347" s="38" t="inlineStr">
        <is>
          <t>IF(OR(E347="",AS347=""),"",IF(COUNT(AG347:AR347)=0,"",AS347-LOOKUP(2,1/(AG347:AR347&lt;&gt;""),AG347:AR347)))</t>
        </is>
      </c>
      <c r="BG347" s="38" t="inlineStr">
        <is>
          <t>IF(OR(E347="",AT347=""),"",IF(COUNT(AG347:AS347)=0,"",AT347-LOOKUP(2,1/(AG347:AS347&lt;&gt;""),AG347:AS347)))</t>
        </is>
      </c>
      <c r="BH347" s="41" t="inlineStr">
        <is>
          <t>IF(G347="","All_Provinces",IFERROR(VLOOKUP(G347,'07_Lookups'!$A$4:$B$20,2,FALSE),"All_Provinces"))</t>
        </is>
      </c>
      <c r="BI347" s="41" t="inlineStr">
        <is>
          <t>IF(H347="","All_Districts",IFERROR(VLOOKUP(H347,'07_Lookups'!$E$4:$F$42,2,FALSE),"All_Districts"))</t>
        </is>
      </c>
    </row>
    <row r="348" ht="18" customHeight="1">
      <c r="A348" s="32" t="inlineStr">
        <is>
          <t>IF(E348="","",ROW()-3)</t>
        </is>
      </c>
      <c r="B348" s="33" t="n"/>
      <c r="C348" s="33" t="n"/>
      <c r="D348" s="33" t="n"/>
      <c r="E348" s="33" t="n"/>
      <c r="F348" s="33" t="n"/>
      <c r="G348" s="33" t="n"/>
      <c r="H348" s="33" t="n"/>
      <c r="I348" s="33" t="n"/>
      <c r="J348" s="33" t="n"/>
      <c r="K348" s="33" t="n"/>
      <c r="L348" s="33" t="n"/>
      <c r="M348" s="33" t="n"/>
      <c r="N348" s="33" t="n"/>
      <c r="O348" s="33" t="n"/>
      <c r="P348" s="33" t="n"/>
      <c r="Q348" s="34" t="n"/>
      <c r="R348" s="35" t="inlineStr">
        <is>
          <t>IF(AO348="","",AO348)</t>
        </is>
      </c>
      <c r="S348" s="36" t="n"/>
      <c r="T348" s="37" t="n"/>
      <c r="U348" s="36" t="n"/>
      <c r="V348" s="35" t="inlineStr">
        <is>
          <t>IF(U348&lt;&gt;"",U348,IF(OR(R348="",T348=""),"",EDATE(R348,T348)))</t>
        </is>
      </c>
      <c r="W348" s="36" t="n"/>
      <c r="X348" s="37" t="n"/>
      <c r="Y348" s="33" t="n"/>
      <c r="Z348" s="33" t="n"/>
      <c r="AA348" s="32" t="inlineStr">
        <is>
          <t>IF(E348="","",IF(COUNT(AG348:AT348)=0,IF(Y348="","Not started",Y348),SUBSTITUTE(LOOKUP(2,1/(AG348:AT348&lt;&gt;""),$AG$3:$AT$3),"Date: ","")))</t>
        </is>
      </c>
      <c r="AB348" s="38" t="inlineStr">
        <is>
          <t>IF(OR(E348="",COUNT(AG348:AT348)=0),"",TODAY()-LOOKUP(2,1/(AG348:AT348&lt;&gt;""),AG348:AT348))</t>
        </is>
      </c>
      <c r="AC348" s="38" t="inlineStr">
        <is>
          <t>IF(OR(E348="",COUNT(AG348:AT348)&lt;2),"",LOOKUP(2,1/(AG348:AT348&lt;&gt;""),AG348:AT348)-MIN(AG348:AT348))</t>
        </is>
      </c>
      <c r="AD348" s="38" t="inlineStr">
        <is>
          <t>IF(OR(AB348="",AA348="Not started",AA348=""),"",IFERROR(AB348-IF(VLOOKUP(AA348,'04_Status_Pipeline'!$B$3:$E$20,4,FALSE)="",0,VLOOKUP(AA348,'04_Status_Pipeline'!$B$3:$E$20,4,FALSE)),""))</t>
        </is>
      </c>
      <c r="AE348" s="32" t="inlineStr">
        <is>
          <t>IF(E348="","",IF(OR(Y348="Cancelled",AA348="Cancelled"),"Cancelled",IF(OR(AA348="Completed / Handover",W348&lt;&gt;"",X348&gt;=100),"Completed — on track",IF(L348="Remaining",IF(S348="",IF(V348="","No planned date",IF(TODAY()&gt;V348,"Behind — past planned date",IF(V348-TODAY()&lt;=30,"At risk — close to off track","On track"))),IF(TODAY()&gt;S348,"Behind — award date passed",IF(S348-TODAY()&lt;=30,"At risk — close to off track","On track"))),IF(V348="","No planned date",IF(AND(TODAY()&gt;V348,OR(X348="",X348&lt;100)),"Behind — past end date",IF(AND(R348&lt;&gt;"",V348&lt;&gt;"",X348&lt;&gt;"",(X348&lt;100),((TODAY()-R348)/MAX(V348-R348,1)*100)-X348&gt;15),"Behind — progress lag",IF(AND(V348-TODAY()&lt;=30,V348-TODAY()&gt;=0,OR(X348="",X348&lt;90)),"At risk — close to off track","On track"))))))))</t>
        </is>
      </c>
      <c r="AF348" s="38" t="inlineStr">
        <is>
          <t>IF(OR(E348="",AA348="Completed / Handover",AA348="Cancelled"),"",IF(L348="Remaining",IF(S348&lt;&gt;"",S348-TODAY(),IF(V348="","",V348-TODAY())),IF(V348="","",V348-TODAY())))</t>
        </is>
      </c>
      <c r="AG348" s="36" t="n"/>
      <c r="AH348" s="36" t="n"/>
      <c r="AI348" s="36" t="n"/>
      <c r="AJ348" s="36" t="n"/>
      <c r="AK348" s="36" t="n"/>
      <c r="AL348" s="36" t="n"/>
      <c r="AM348" s="36" t="n"/>
      <c r="AN348" s="36" t="n"/>
      <c r="AO348" s="36" t="n"/>
      <c r="AP348" s="36" t="n"/>
      <c r="AQ348" s="36" t="n"/>
      <c r="AR348" s="40" t="n"/>
      <c r="AS348" s="40" t="n"/>
      <c r="AT348" s="40" t="n"/>
      <c r="AU348" s="38" t="inlineStr">
        <is>
          <t>IF(OR(E348="",AH348=""),"",IF(COUNT(AG348:AG348)=0,"",AH348-LOOKUP(2,1/(AG348:AG348&lt;&gt;""),AG348:AG348)))</t>
        </is>
      </c>
      <c r="AV348" s="38" t="inlineStr">
        <is>
          <t>IF(OR(E348="",AI348=""),"",IF(COUNT(AG348:AH348)=0,"",AI348-LOOKUP(2,1/(AG348:AH348&lt;&gt;""),AG348:AH348)))</t>
        </is>
      </c>
      <c r="AW348" s="38" t="inlineStr">
        <is>
          <t>IF(OR(E348="",AJ348=""),"",IF(COUNT(AG348:AI348)=0,"",AJ348-LOOKUP(2,1/(AG348:AI348&lt;&gt;""),AG348:AI348)))</t>
        </is>
      </c>
      <c r="AX348" s="38" t="inlineStr">
        <is>
          <t>IF(OR(E348="",AK348=""),"",IF(COUNT(AG348:AJ348)=0,"",AK348-LOOKUP(2,1/(AG348:AJ348&lt;&gt;""),AG348:AJ348)))</t>
        </is>
      </c>
      <c r="AY348" s="38" t="inlineStr">
        <is>
          <t>IF(OR(E348="",AL348=""),"",IF(COUNT(AG348:AK348)=0,"",AL348-LOOKUP(2,1/(AG348:AK348&lt;&gt;""),AG348:AK348)))</t>
        </is>
      </c>
      <c r="AZ348" s="38" t="inlineStr">
        <is>
          <t>IF(OR(E348="",AM348=""),"",IF(COUNT(AG348:AL348)=0,"",AM348-LOOKUP(2,1/(AG348:AL348&lt;&gt;""),AG348:AL348)))</t>
        </is>
      </c>
      <c r="BA348" s="38" t="inlineStr">
        <is>
          <t>IF(OR(E348="",AN348=""),"",IF(COUNT(AG348:AM348)=0,"",AN348-LOOKUP(2,1/(AG348:AM348&lt;&gt;""),AG348:AM348)))</t>
        </is>
      </c>
      <c r="BB348" s="38" t="inlineStr">
        <is>
          <t>IF(OR(E348="",AO348=""),"",IF(COUNT(AG348:AN348)=0,"",AO348-LOOKUP(2,1/(AG348:AN348&lt;&gt;""),AG348:AN348)))</t>
        </is>
      </c>
      <c r="BC348" s="38" t="inlineStr">
        <is>
          <t>IF(OR(E348="",AP348=""),"",IF(COUNT(AG348:AO348)=0,"",AP348-LOOKUP(2,1/(AG348:AO348&lt;&gt;""),AG348:AO348)))</t>
        </is>
      </c>
      <c r="BD348" s="38" t="inlineStr">
        <is>
          <t>IF(OR(E348="",AQ348=""),"",IF(COUNT(AG348:AP348)=0,"",AQ348-LOOKUP(2,1/(AG348:AP348&lt;&gt;""),AG348:AP348)))</t>
        </is>
      </c>
      <c r="BE348" s="38" t="inlineStr">
        <is>
          <t>IF(OR(E348="",AR348=""),"",IF(COUNT(AG348:AQ348)=0,"",AR348-LOOKUP(2,1/(AG348:AQ348&lt;&gt;""),AG348:AQ348)))</t>
        </is>
      </c>
      <c r="BF348" s="38" t="inlineStr">
        <is>
          <t>IF(OR(E348="",AS348=""),"",IF(COUNT(AG348:AR348)=0,"",AS348-LOOKUP(2,1/(AG348:AR348&lt;&gt;""),AG348:AR348)))</t>
        </is>
      </c>
      <c r="BG348" s="38" t="inlineStr">
        <is>
          <t>IF(OR(E348="",AT348=""),"",IF(COUNT(AG348:AS348)=0,"",AT348-LOOKUP(2,1/(AG348:AS348&lt;&gt;""),AG348:AS348)))</t>
        </is>
      </c>
      <c r="BH348" s="41" t="inlineStr">
        <is>
          <t>IF(G348="","All_Provinces",IFERROR(VLOOKUP(G348,'07_Lookups'!$A$4:$B$20,2,FALSE),"All_Provinces"))</t>
        </is>
      </c>
      <c r="BI348" s="41" t="inlineStr">
        <is>
          <t>IF(H348="","All_Districts",IFERROR(VLOOKUP(H348,'07_Lookups'!$E$4:$F$42,2,FALSE),"All_Districts"))</t>
        </is>
      </c>
    </row>
    <row r="349" ht="18" customHeight="1">
      <c r="A349" s="32" t="inlineStr">
        <is>
          <t>IF(E349="","",ROW()-3)</t>
        </is>
      </c>
      <c r="B349" s="42" t="n"/>
      <c r="C349" s="42" t="n"/>
      <c r="D349" s="42" t="n"/>
      <c r="E349" s="42" t="n"/>
      <c r="F349" s="42" t="n"/>
      <c r="G349" s="42" t="n"/>
      <c r="H349" s="42" t="n"/>
      <c r="I349" s="42" t="n"/>
      <c r="J349" s="42" t="n"/>
      <c r="K349" s="42" t="n"/>
      <c r="L349" s="42" t="n"/>
      <c r="M349" s="42" t="n"/>
      <c r="N349" s="42" t="n"/>
      <c r="O349" s="42" t="n"/>
      <c r="P349" s="42" t="n"/>
      <c r="Q349" s="43" t="n"/>
      <c r="R349" s="35" t="inlineStr">
        <is>
          <t>IF(AO349="","",AO349)</t>
        </is>
      </c>
      <c r="S349" s="44" t="n"/>
      <c r="T349" s="45" t="n"/>
      <c r="U349" s="44" t="n"/>
      <c r="V349" s="35" t="inlineStr">
        <is>
          <t>IF(U349&lt;&gt;"",U349,IF(OR(R349="",T349=""),"",EDATE(R349,T349)))</t>
        </is>
      </c>
      <c r="W349" s="44" t="n"/>
      <c r="X349" s="45" t="n"/>
      <c r="Y349" s="42" t="n"/>
      <c r="Z349" s="42" t="n"/>
      <c r="AA349" s="32" t="inlineStr">
        <is>
          <t>IF(E349="","",IF(COUNT(AG349:AT349)=0,IF(Y349="","Not started",Y349),SUBSTITUTE(LOOKUP(2,1/(AG349:AT349&lt;&gt;""),$AG$3:$AT$3),"Date: ","")))</t>
        </is>
      </c>
      <c r="AB349" s="38" t="inlineStr">
        <is>
          <t>IF(OR(E349="",COUNT(AG349:AT349)=0),"",TODAY()-LOOKUP(2,1/(AG349:AT349&lt;&gt;""),AG349:AT349))</t>
        </is>
      </c>
      <c r="AC349" s="38" t="inlineStr">
        <is>
          <t>IF(OR(E349="",COUNT(AG349:AT349)&lt;2),"",LOOKUP(2,1/(AG349:AT349&lt;&gt;""),AG349:AT349)-MIN(AG349:AT349))</t>
        </is>
      </c>
      <c r="AD349" s="38" t="inlineStr">
        <is>
          <t>IF(OR(AB349="",AA349="Not started",AA349=""),"",IFERROR(AB349-IF(VLOOKUP(AA349,'04_Status_Pipeline'!$B$3:$E$20,4,FALSE)="",0,VLOOKUP(AA349,'04_Status_Pipeline'!$B$3:$E$20,4,FALSE)),""))</t>
        </is>
      </c>
      <c r="AE349" s="32" t="inlineStr">
        <is>
          <t>IF(E349="","",IF(OR(Y349="Cancelled",AA349="Cancelled"),"Cancelled",IF(OR(AA349="Completed / Handover",W349&lt;&gt;"",X349&gt;=100),"Completed — on track",IF(L349="Remaining",IF(S349="",IF(V349="","No planned date",IF(TODAY()&gt;V349,"Behind — past planned date",IF(V349-TODAY()&lt;=30,"At risk — close to off track","On track"))),IF(TODAY()&gt;S349,"Behind — award date passed",IF(S349-TODAY()&lt;=30,"At risk — close to off track","On track"))),IF(V349="","No planned date",IF(AND(TODAY()&gt;V349,OR(X349="",X349&lt;100)),"Behind — past end date",IF(AND(R349&lt;&gt;"",V349&lt;&gt;"",X349&lt;&gt;"",(X349&lt;100),((TODAY()-R349)/MAX(V349-R349,1)*100)-X349&gt;15),"Behind — progress lag",IF(AND(V349-TODAY()&lt;=30,V349-TODAY()&gt;=0,OR(X349="",X349&lt;90)),"At risk — close to off track","On track"))))))))</t>
        </is>
      </c>
      <c r="AF349" s="38" t="inlineStr">
        <is>
          <t>IF(OR(E349="",AA349="Completed / Handover",AA349="Cancelled"),"",IF(L349="Remaining",IF(S349&lt;&gt;"",S349-TODAY(),IF(V349="","",V349-TODAY())),IF(V349="","",V349-TODAY())))</t>
        </is>
      </c>
      <c r="AG349" s="44" t="n"/>
      <c r="AH349" s="44" t="n"/>
      <c r="AI349" s="44" t="n"/>
      <c r="AJ349" s="44" t="n"/>
      <c r="AK349" s="44" t="n"/>
      <c r="AL349" s="44" t="n"/>
      <c r="AM349" s="44" t="n"/>
      <c r="AN349" s="44" t="n"/>
      <c r="AO349" s="44" t="n"/>
      <c r="AP349" s="44" t="n"/>
      <c r="AQ349" s="44" t="n"/>
      <c r="AR349" s="40" t="n"/>
      <c r="AS349" s="40" t="n"/>
      <c r="AT349" s="40" t="n"/>
      <c r="AU349" s="38" t="inlineStr">
        <is>
          <t>IF(OR(E349="",AH349=""),"",IF(COUNT(AG349:AG349)=0,"",AH349-LOOKUP(2,1/(AG349:AG349&lt;&gt;""),AG349:AG349)))</t>
        </is>
      </c>
      <c r="AV349" s="38" t="inlineStr">
        <is>
          <t>IF(OR(E349="",AI349=""),"",IF(COUNT(AG349:AH349)=0,"",AI349-LOOKUP(2,1/(AG349:AH349&lt;&gt;""),AG349:AH349)))</t>
        </is>
      </c>
      <c r="AW349" s="38" t="inlineStr">
        <is>
          <t>IF(OR(E349="",AJ349=""),"",IF(COUNT(AG349:AI349)=0,"",AJ349-LOOKUP(2,1/(AG349:AI349&lt;&gt;""),AG349:AI349)))</t>
        </is>
      </c>
      <c r="AX349" s="38" t="inlineStr">
        <is>
          <t>IF(OR(E349="",AK349=""),"",IF(COUNT(AG349:AJ349)=0,"",AK349-LOOKUP(2,1/(AG349:AJ349&lt;&gt;""),AG349:AJ349)))</t>
        </is>
      </c>
      <c r="AY349" s="38" t="inlineStr">
        <is>
          <t>IF(OR(E349="",AL349=""),"",IF(COUNT(AG349:AK349)=0,"",AL349-LOOKUP(2,1/(AG349:AK349&lt;&gt;""),AG349:AK349)))</t>
        </is>
      </c>
      <c r="AZ349" s="38" t="inlineStr">
        <is>
          <t>IF(OR(E349="",AM349=""),"",IF(COUNT(AG349:AL349)=0,"",AM349-LOOKUP(2,1/(AG349:AL349&lt;&gt;""),AG349:AL349)))</t>
        </is>
      </c>
      <c r="BA349" s="38" t="inlineStr">
        <is>
          <t>IF(OR(E349="",AN349=""),"",IF(COUNT(AG349:AM349)=0,"",AN349-LOOKUP(2,1/(AG349:AM349&lt;&gt;""),AG349:AM349)))</t>
        </is>
      </c>
      <c r="BB349" s="38" t="inlineStr">
        <is>
          <t>IF(OR(E349="",AO349=""),"",IF(COUNT(AG349:AN349)=0,"",AO349-LOOKUP(2,1/(AG349:AN349&lt;&gt;""),AG349:AN349)))</t>
        </is>
      </c>
      <c r="BC349" s="38" t="inlineStr">
        <is>
          <t>IF(OR(E349="",AP349=""),"",IF(COUNT(AG349:AO349)=0,"",AP349-LOOKUP(2,1/(AG349:AO349&lt;&gt;""),AG349:AO349)))</t>
        </is>
      </c>
      <c r="BD349" s="38" t="inlineStr">
        <is>
          <t>IF(OR(E349="",AQ349=""),"",IF(COUNT(AG349:AP349)=0,"",AQ349-LOOKUP(2,1/(AG349:AP349&lt;&gt;""),AG349:AP349)))</t>
        </is>
      </c>
      <c r="BE349" s="38" t="inlineStr">
        <is>
          <t>IF(OR(E349="",AR349=""),"",IF(COUNT(AG349:AQ349)=0,"",AR349-LOOKUP(2,1/(AG349:AQ349&lt;&gt;""),AG349:AQ349)))</t>
        </is>
      </c>
      <c r="BF349" s="38" t="inlineStr">
        <is>
          <t>IF(OR(E349="",AS349=""),"",IF(COUNT(AG349:AR349)=0,"",AS349-LOOKUP(2,1/(AG349:AR349&lt;&gt;""),AG349:AR349)))</t>
        </is>
      </c>
      <c r="BG349" s="38" t="inlineStr">
        <is>
          <t>IF(OR(E349="",AT349=""),"",IF(COUNT(AG349:AS349)=0,"",AT349-LOOKUP(2,1/(AG349:AS349&lt;&gt;""),AG349:AS349)))</t>
        </is>
      </c>
      <c r="BH349" s="41" t="inlineStr">
        <is>
          <t>IF(G349="","All_Provinces",IFERROR(VLOOKUP(G349,'07_Lookups'!$A$4:$B$20,2,FALSE),"All_Provinces"))</t>
        </is>
      </c>
      <c r="BI349" s="41" t="inlineStr">
        <is>
          <t>IF(H349="","All_Districts",IFERROR(VLOOKUP(H349,'07_Lookups'!$E$4:$F$42,2,FALSE),"All_Districts"))</t>
        </is>
      </c>
    </row>
    <row r="350" ht="18" customHeight="1">
      <c r="A350" s="32" t="inlineStr">
        <is>
          <t>IF(E350="","",ROW()-3)</t>
        </is>
      </c>
      <c r="B350" s="33" t="n"/>
      <c r="C350" s="33" t="n"/>
      <c r="D350" s="33" t="n"/>
      <c r="E350" s="33" t="n"/>
      <c r="F350" s="33" t="n"/>
      <c r="G350" s="33" t="n"/>
      <c r="H350" s="33" t="n"/>
      <c r="I350" s="33" t="n"/>
      <c r="J350" s="33" t="n"/>
      <c r="K350" s="33" t="n"/>
      <c r="L350" s="33" t="n"/>
      <c r="M350" s="33" t="n"/>
      <c r="N350" s="33" t="n"/>
      <c r="O350" s="33" t="n"/>
      <c r="P350" s="33" t="n"/>
      <c r="Q350" s="34" t="n"/>
      <c r="R350" s="35" t="inlineStr">
        <is>
          <t>IF(AO350="","",AO350)</t>
        </is>
      </c>
      <c r="S350" s="36" t="n"/>
      <c r="T350" s="37" t="n"/>
      <c r="U350" s="36" t="n"/>
      <c r="V350" s="35" t="inlineStr">
        <is>
          <t>IF(U350&lt;&gt;"",U350,IF(OR(R350="",T350=""),"",EDATE(R350,T350)))</t>
        </is>
      </c>
      <c r="W350" s="36" t="n"/>
      <c r="X350" s="37" t="n"/>
      <c r="Y350" s="33" t="n"/>
      <c r="Z350" s="33" t="n"/>
      <c r="AA350" s="32" t="inlineStr">
        <is>
          <t>IF(E350="","",IF(COUNT(AG350:AT350)=0,IF(Y350="","Not started",Y350),SUBSTITUTE(LOOKUP(2,1/(AG350:AT350&lt;&gt;""),$AG$3:$AT$3),"Date: ","")))</t>
        </is>
      </c>
      <c r="AB350" s="38" t="inlineStr">
        <is>
          <t>IF(OR(E350="",COUNT(AG350:AT350)=0),"",TODAY()-LOOKUP(2,1/(AG350:AT350&lt;&gt;""),AG350:AT350))</t>
        </is>
      </c>
      <c r="AC350" s="38" t="inlineStr">
        <is>
          <t>IF(OR(E350="",COUNT(AG350:AT350)&lt;2),"",LOOKUP(2,1/(AG350:AT350&lt;&gt;""),AG350:AT350)-MIN(AG350:AT350))</t>
        </is>
      </c>
      <c r="AD350" s="38" t="inlineStr">
        <is>
          <t>IF(OR(AB350="",AA350="Not started",AA350=""),"",IFERROR(AB350-IF(VLOOKUP(AA350,'04_Status_Pipeline'!$B$3:$E$20,4,FALSE)="",0,VLOOKUP(AA350,'04_Status_Pipeline'!$B$3:$E$20,4,FALSE)),""))</t>
        </is>
      </c>
      <c r="AE350" s="32" t="inlineStr">
        <is>
          <t>IF(E350="","",IF(OR(Y350="Cancelled",AA350="Cancelled"),"Cancelled",IF(OR(AA350="Completed / Handover",W350&lt;&gt;"",X350&gt;=100),"Completed — on track",IF(L350="Remaining",IF(S350="",IF(V350="","No planned date",IF(TODAY()&gt;V350,"Behind — past planned date",IF(V350-TODAY()&lt;=30,"At risk — close to off track","On track"))),IF(TODAY()&gt;S350,"Behind — award date passed",IF(S350-TODAY()&lt;=30,"At risk — close to off track","On track"))),IF(V350="","No planned date",IF(AND(TODAY()&gt;V350,OR(X350="",X350&lt;100)),"Behind — past end date",IF(AND(R350&lt;&gt;"",V350&lt;&gt;"",X350&lt;&gt;"",(X350&lt;100),((TODAY()-R350)/MAX(V350-R350,1)*100)-X350&gt;15),"Behind — progress lag",IF(AND(V350-TODAY()&lt;=30,V350-TODAY()&gt;=0,OR(X350="",X350&lt;90)),"At risk — close to off track","On track"))))))))</t>
        </is>
      </c>
      <c r="AF350" s="38" t="inlineStr">
        <is>
          <t>IF(OR(E350="",AA350="Completed / Handover",AA350="Cancelled"),"",IF(L350="Remaining",IF(S350&lt;&gt;"",S350-TODAY(),IF(V350="","",V350-TODAY())),IF(V350="","",V350-TODAY())))</t>
        </is>
      </c>
      <c r="AG350" s="36" t="n"/>
      <c r="AH350" s="36" t="n"/>
      <c r="AI350" s="36" t="n"/>
      <c r="AJ350" s="36" t="n"/>
      <c r="AK350" s="36" t="n"/>
      <c r="AL350" s="36" t="n"/>
      <c r="AM350" s="36" t="n"/>
      <c r="AN350" s="36" t="n"/>
      <c r="AO350" s="36" t="n"/>
      <c r="AP350" s="36" t="n"/>
      <c r="AQ350" s="36" t="n"/>
      <c r="AR350" s="40" t="n"/>
      <c r="AS350" s="40" t="n"/>
      <c r="AT350" s="40" t="n"/>
      <c r="AU350" s="38" t="inlineStr">
        <is>
          <t>IF(OR(E350="",AH350=""),"",IF(COUNT(AG350:AG350)=0,"",AH350-LOOKUP(2,1/(AG350:AG350&lt;&gt;""),AG350:AG350)))</t>
        </is>
      </c>
      <c r="AV350" s="38" t="inlineStr">
        <is>
          <t>IF(OR(E350="",AI350=""),"",IF(COUNT(AG350:AH350)=0,"",AI350-LOOKUP(2,1/(AG350:AH350&lt;&gt;""),AG350:AH350)))</t>
        </is>
      </c>
      <c r="AW350" s="38" t="inlineStr">
        <is>
          <t>IF(OR(E350="",AJ350=""),"",IF(COUNT(AG350:AI350)=0,"",AJ350-LOOKUP(2,1/(AG350:AI350&lt;&gt;""),AG350:AI350)))</t>
        </is>
      </c>
      <c r="AX350" s="38" t="inlineStr">
        <is>
          <t>IF(OR(E350="",AK350=""),"",IF(COUNT(AG350:AJ350)=0,"",AK350-LOOKUP(2,1/(AG350:AJ350&lt;&gt;""),AG350:AJ350)))</t>
        </is>
      </c>
      <c r="AY350" s="38" t="inlineStr">
        <is>
          <t>IF(OR(E350="",AL350=""),"",IF(COUNT(AG350:AK350)=0,"",AL350-LOOKUP(2,1/(AG350:AK350&lt;&gt;""),AG350:AK350)))</t>
        </is>
      </c>
      <c r="AZ350" s="38" t="inlineStr">
        <is>
          <t>IF(OR(E350="",AM350=""),"",IF(COUNT(AG350:AL350)=0,"",AM350-LOOKUP(2,1/(AG350:AL350&lt;&gt;""),AG350:AL350)))</t>
        </is>
      </c>
      <c r="BA350" s="38" t="inlineStr">
        <is>
          <t>IF(OR(E350="",AN350=""),"",IF(COUNT(AG350:AM350)=0,"",AN350-LOOKUP(2,1/(AG350:AM350&lt;&gt;""),AG350:AM350)))</t>
        </is>
      </c>
      <c r="BB350" s="38" t="inlineStr">
        <is>
          <t>IF(OR(E350="",AO350=""),"",IF(COUNT(AG350:AN350)=0,"",AO350-LOOKUP(2,1/(AG350:AN350&lt;&gt;""),AG350:AN350)))</t>
        </is>
      </c>
      <c r="BC350" s="38" t="inlineStr">
        <is>
          <t>IF(OR(E350="",AP350=""),"",IF(COUNT(AG350:AO350)=0,"",AP350-LOOKUP(2,1/(AG350:AO350&lt;&gt;""),AG350:AO350)))</t>
        </is>
      </c>
      <c r="BD350" s="38" t="inlineStr">
        <is>
          <t>IF(OR(E350="",AQ350=""),"",IF(COUNT(AG350:AP350)=0,"",AQ350-LOOKUP(2,1/(AG350:AP350&lt;&gt;""),AG350:AP350)))</t>
        </is>
      </c>
      <c r="BE350" s="38" t="inlineStr">
        <is>
          <t>IF(OR(E350="",AR350=""),"",IF(COUNT(AG350:AQ350)=0,"",AR350-LOOKUP(2,1/(AG350:AQ350&lt;&gt;""),AG350:AQ350)))</t>
        </is>
      </c>
      <c r="BF350" s="38" t="inlineStr">
        <is>
          <t>IF(OR(E350="",AS350=""),"",IF(COUNT(AG350:AR350)=0,"",AS350-LOOKUP(2,1/(AG350:AR350&lt;&gt;""),AG350:AR350)))</t>
        </is>
      </c>
      <c r="BG350" s="38" t="inlineStr">
        <is>
          <t>IF(OR(E350="",AT350=""),"",IF(COUNT(AG350:AS350)=0,"",AT350-LOOKUP(2,1/(AG350:AS350&lt;&gt;""),AG350:AS350)))</t>
        </is>
      </c>
      <c r="BH350" s="41" t="inlineStr">
        <is>
          <t>IF(G350="","All_Provinces",IFERROR(VLOOKUP(G350,'07_Lookups'!$A$4:$B$20,2,FALSE),"All_Provinces"))</t>
        </is>
      </c>
      <c r="BI350" s="41" t="inlineStr">
        <is>
          <t>IF(H350="","All_Districts",IFERROR(VLOOKUP(H350,'07_Lookups'!$E$4:$F$42,2,FALSE),"All_Districts"))</t>
        </is>
      </c>
    </row>
    <row r="351" ht="18" customHeight="1">
      <c r="A351" s="32" t="inlineStr">
        <is>
          <t>IF(E351="","",ROW()-3)</t>
        </is>
      </c>
      <c r="B351" s="42" t="n"/>
      <c r="C351" s="42" t="n"/>
      <c r="D351" s="42" t="n"/>
      <c r="E351" s="42" t="n"/>
      <c r="F351" s="42" t="n"/>
      <c r="G351" s="42" t="n"/>
      <c r="H351" s="42" t="n"/>
      <c r="I351" s="42" t="n"/>
      <c r="J351" s="42" t="n"/>
      <c r="K351" s="42" t="n"/>
      <c r="L351" s="42" t="n"/>
      <c r="M351" s="42" t="n"/>
      <c r="N351" s="42" t="n"/>
      <c r="O351" s="42" t="n"/>
      <c r="P351" s="42" t="n"/>
      <c r="Q351" s="43" t="n"/>
      <c r="R351" s="35" t="inlineStr">
        <is>
          <t>IF(AO351="","",AO351)</t>
        </is>
      </c>
      <c r="S351" s="44" t="n"/>
      <c r="T351" s="45" t="n"/>
      <c r="U351" s="44" t="n"/>
      <c r="V351" s="35" t="inlineStr">
        <is>
          <t>IF(U351&lt;&gt;"",U351,IF(OR(R351="",T351=""),"",EDATE(R351,T351)))</t>
        </is>
      </c>
      <c r="W351" s="44" t="n"/>
      <c r="X351" s="45" t="n"/>
      <c r="Y351" s="42" t="n"/>
      <c r="Z351" s="42" t="n"/>
      <c r="AA351" s="32" t="inlineStr">
        <is>
          <t>IF(E351="","",IF(COUNT(AG351:AT351)=0,IF(Y351="","Not started",Y351),SUBSTITUTE(LOOKUP(2,1/(AG351:AT351&lt;&gt;""),$AG$3:$AT$3),"Date: ","")))</t>
        </is>
      </c>
      <c r="AB351" s="38" t="inlineStr">
        <is>
          <t>IF(OR(E351="",COUNT(AG351:AT351)=0),"",TODAY()-LOOKUP(2,1/(AG351:AT351&lt;&gt;""),AG351:AT351))</t>
        </is>
      </c>
      <c r="AC351" s="38" t="inlineStr">
        <is>
          <t>IF(OR(E351="",COUNT(AG351:AT351)&lt;2),"",LOOKUP(2,1/(AG351:AT351&lt;&gt;""),AG351:AT351)-MIN(AG351:AT351))</t>
        </is>
      </c>
      <c r="AD351" s="38" t="inlineStr">
        <is>
          <t>IF(OR(AB351="",AA351="Not started",AA351=""),"",IFERROR(AB351-IF(VLOOKUP(AA351,'04_Status_Pipeline'!$B$3:$E$20,4,FALSE)="",0,VLOOKUP(AA351,'04_Status_Pipeline'!$B$3:$E$20,4,FALSE)),""))</t>
        </is>
      </c>
      <c r="AE351" s="32" t="inlineStr">
        <is>
          <t>IF(E351="","",IF(OR(Y351="Cancelled",AA351="Cancelled"),"Cancelled",IF(OR(AA351="Completed / Handover",W351&lt;&gt;"",X351&gt;=100),"Completed — on track",IF(L351="Remaining",IF(S351="",IF(V351="","No planned date",IF(TODAY()&gt;V351,"Behind — past planned date",IF(V351-TODAY()&lt;=30,"At risk — close to off track","On track"))),IF(TODAY()&gt;S351,"Behind — award date passed",IF(S351-TODAY()&lt;=30,"At risk — close to off track","On track"))),IF(V351="","No planned date",IF(AND(TODAY()&gt;V351,OR(X351="",X351&lt;100)),"Behind — past end date",IF(AND(R351&lt;&gt;"",V351&lt;&gt;"",X351&lt;&gt;"",(X351&lt;100),((TODAY()-R351)/MAX(V351-R351,1)*100)-X351&gt;15),"Behind — progress lag",IF(AND(V351-TODAY()&lt;=30,V351-TODAY()&gt;=0,OR(X351="",X351&lt;90)),"At risk — close to off track","On track"))))))))</t>
        </is>
      </c>
      <c r="AF351" s="38" t="inlineStr">
        <is>
          <t>IF(OR(E351="",AA351="Completed / Handover",AA351="Cancelled"),"",IF(L351="Remaining",IF(S351&lt;&gt;"",S351-TODAY(),IF(V351="","",V351-TODAY())),IF(V351="","",V351-TODAY())))</t>
        </is>
      </c>
      <c r="AG351" s="44" t="n"/>
      <c r="AH351" s="44" t="n"/>
      <c r="AI351" s="44" t="n"/>
      <c r="AJ351" s="44" t="n"/>
      <c r="AK351" s="44" t="n"/>
      <c r="AL351" s="44" t="n"/>
      <c r="AM351" s="44" t="n"/>
      <c r="AN351" s="44" t="n"/>
      <c r="AO351" s="44" t="n"/>
      <c r="AP351" s="44" t="n"/>
      <c r="AQ351" s="44" t="n"/>
      <c r="AR351" s="40" t="n"/>
      <c r="AS351" s="40" t="n"/>
      <c r="AT351" s="40" t="n"/>
      <c r="AU351" s="38" t="inlineStr">
        <is>
          <t>IF(OR(E351="",AH351=""),"",IF(COUNT(AG351:AG351)=0,"",AH351-LOOKUP(2,1/(AG351:AG351&lt;&gt;""),AG351:AG351)))</t>
        </is>
      </c>
      <c r="AV351" s="38" t="inlineStr">
        <is>
          <t>IF(OR(E351="",AI351=""),"",IF(COUNT(AG351:AH351)=0,"",AI351-LOOKUP(2,1/(AG351:AH351&lt;&gt;""),AG351:AH351)))</t>
        </is>
      </c>
      <c r="AW351" s="38" t="inlineStr">
        <is>
          <t>IF(OR(E351="",AJ351=""),"",IF(COUNT(AG351:AI351)=0,"",AJ351-LOOKUP(2,1/(AG351:AI351&lt;&gt;""),AG351:AI351)))</t>
        </is>
      </c>
      <c r="AX351" s="38" t="inlineStr">
        <is>
          <t>IF(OR(E351="",AK351=""),"",IF(COUNT(AG351:AJ351)=0,"",AK351-LOOKUP(2,1/(AG351:AJ351&lt;&gt;""),AG351:AJ351)))</t>
        </is>
      </c>
      <c r="AY351" s="38" t="inlineStr">
        <is>
          <t>IF(OR(E351="",AL351=""),"",IF(COUNT(AG351:AK351)=0,"",AL351-LOOKUP(2,1/(AG351:AK351&lt;&gt;""),AG351:AK351)))</t>
        </is>
      </c>
      <c r="AZ351" s="38" t="inlineStr">
        <is>
          <t>IF(OR(E351="",AM351=""),"",IF(COUNT(AG351:AL351)=0,"",AM351-LOOKUP(2,1/(AG351:AL351&lt;&gt;""),AG351:AL351)))</t>
        </is>
      </c>
      <c r="BA351" s="38" t="inlineStr">
        <is>
          <t>IF(OR(E351="",AN351=""),"",IF(COUNT(AG351:AM351)=0,"",AN351-LOOKUP(2,1/(AG351:AM351&lt;&gt;""),AG351:AM351)))</t>
        </is>
      </c>
      <c r="BB351" s="38" t="inlineStr">
        <is>
          <t>IF(OR(E351="",AO351=""),"",IF(COUNT(AG351:AN351)=0,"",AO351-LOOKUP(2,1/(AG351:AN351&lt;&gt;""),AG351:AN351)))</t>
        </is>
      </c>
      <c r="BC351" s="38" t="inlineStr">
        <is>
          <t>IF(OR(E351="",AP351=""),"",IF(COUNT(AG351:AO351)=0,"",AP351-LOOKUP(2,1/(AG351:AO351&lt;&gt;""),AG351:AO351)))</t>
        </is>
      </c>
      <c r="BD351" s="38" t="inlineStr">
        <is>
          <t>IF(OR(E351="",AQ351=""),"",IF(COUNT(AG351:AP351)=0,"",AQ351-LOOKUP(2,1/(AG351:AP351&lt;&gt;""),AG351:AP351)))</t>
        </is>
      </c>
      <c r="BE351" s="38" t="inlineStr">
        <is>
          <t>IF(OR(E351="",AR351=""),"",IF(COUNT(AG351:AQ351)=0,"",AR351-LOOKUP(2,1/(AG351:AQ351&lt;&gt;""),AG351:AQ351)))</t>
        </is>
      </c>
      <c r="BF351" s="38" t="inlineStr">
        <is>
          <t>IF(OR(E351="",AS351=""),"",IF(COUNT(AG351:AR351)=0,"",AS351-LOOKUP(2,1/(AG351:AR351&lt;&gt;""),AG351:AR351)))</t>
        </is>
      </c>
      <c r="BG351" s="38" t="inlineStr">
        <is>
          <t>IF(OR(E351="",AT351=""),"",IF(COUNT(AG351:AS351)=0,"",AT351-LOOKUP(2,1/(AG351:AS351&lt;&gt;""),AG351:AS351)))</t>
        </is>
      </c>
      <c r="BH351" s="41" t="inlineStr">
        <is>
          <t>IF(G351="","All_Provinces",IFERROR(VLOOKUP(G351,'07_Lookups'!$A$4:$B$20,2,FALSE),"All_Provinces"))</t>
        </is>
      </c>
      <c r="BI351" s="41" t="inlineStr">
        <is>
          <t>IF(H351="","All_Districts",IFERROR(VLOOKUP(H351,'07_Lookups'!$E$4:$F$42,2,FALSE),"All_Districts"))</t>
        </is>
      </c>
    </row>
    <row r="352" ht="18" customHeight="1">
      <c r="A352" s="32" t="inlineStr">
        <is>
          <t>IF(E352="","",ROW()-3)</t>
        </is>
      </c>
      <c r="B352" s="33" t="n"/>
      <c r="C352" s="33" t="n"/>
      <c r="D352" s="33" t="n"/>
      <c r="E352" s="33" t="n"/>
      <c r="F352" s="33" t="n"/>
      <c r="G352" s="33" t="n"/>
      <c r="H352" s="33" t="n"/>
      <c r="I352" s="33" t="n"/>
      <c r="J352" s="33" t="n"/>
      <c r="K352" s="33" t="n"/>
      <c r="L352" s="33" t="n"/>
      <c r="M352" s="33" t="n"/>
      <c r="N352" s="33" t="n"/>
      <c r="O352" s="33" t="n"/>
      <c r="P352" s="33" t="n"/>
      <c r="Q352" s="34" t="n"/>
      <c r="R352" s="35" t="inlineStr">
        <is>
          <t>IF(AO352="","",AO352)</t>
        </is>
      </c>
      <c r="S352" s="36" t="n"/>
      <c r="T352" s="37" t="n"/>
      <c r="U352" s="36" t="n"/>
      <c r="V352" s="35" t="inlineStr">
        <is>
          <t>IF(U352&lt;&gt;"",U352,IF(OR(R352="",T352=""),"",EDATE(R352,T352)))</t>
        </is>
      </c>
      <c r="W352" s="36" t="n"/>
      <c r="X352" s="37" t="n"/>
      <c r="Y352" s="33" t="n"/>
      <c r="Z352" s="33" t="n"/>
      <c r="AA352" s="32" t="inlineStr">
        <is>
          <t>IF(E352="","",IF(COUNT(AG352:AT352)=0,IF(Y352="","Not started",Y352),SUBSTITUTE(LOOKUP(2,1/(AG352:AT352&lt;&gt;""),$AG$3:$AT$3),"Date: ","")))</t>
        </is>
      </c>
      <c r="AB352" s="38" t="inlineStr">
        <is>
          <t>IF(OR(E352="",COUNT(AG352:AT352)=0),"",TODAY()-LOOKUP(2,1/(AG352:AT352&lt;&gt;""),AG352:AT352))</t>
        </is>
      </c>
      <c r="AC352" s="38" t="inlineStr">
        <is>
          <t>IF(OR(E352="",COUNT(AG352:AT352)&lt;2),"",LOOKUP(2,1/(AG352:AT352&lt;&gt;""),AG352:AT352)-MIN(AG352:AT352))</t>
        </is>
      </c>
      <c r="AD352" s="38" t="inlineStr">
        <is>
          <t>IF(OR(AB352="",AA352="Not started",AA352=""),"",IFERROR(AB352-IF(VLOOKUP(AA352,'04_Status_Pipeline'!$B$3:$E$20,4,FALSE)="",0,VLOOKUP(AA352,'04_Status_Pipeline'!$B$3:$E$20,4,FALSE)),""))</t>
        </is>
      </c>
      <c r="AE352" s="32" t="inlineStr">
        <is>
          <t>IF(E352="","",IF(OR(Y352="Cancelled",AA352="Cancelled"),"Cancelled",IF(OR(AA352="Completed / Handover",W352&lt;&gt;"",X352&gt;=100),"Completed — on track",IF(L352="Remaining",IF(S352="",IF(V352="","No planned date",IF(TODAY()&gt;V352,"Behind — past planned date",IF(V352-TODAY()&lt;=30,"At risk — close to off track","On track"))),IF(TODAY()&gt;S352,"Behind — award date passed",IF(S352-TODAY()&lt;=30,"At risk — close to off track","On track"))),IF(V352="","No planned date",IF(AND(TODAY()&gt;V352,OR(X352="",X352&lt;100)),"Behind — past end date",IF(AND(R352&lt;&gt;"",V352&lt;&gt;"",X352&lt;&gt;"",(X352&lt;100),((TODAY()-R352)/MAX(V352-R352,1)*100)-X352&gt;15),"Behind — progress lag",IF(AND(V352-TODAY()&lt;=30,V352-TODAY()&gt;=0,OR(X352="",X352&lt;90)),"At risk — close to off track","On track"))))))))</t>
        </is>
      </c>
      <c r="AF352" s="38" t="inlineStr">
        <is>
          <t>IF(OR(E352="",AA352="Completed / Handover",AA352="Cancelled"),"",IF(L352="Remaining",IF(S352&lt;&gt;"",S352-TODAY(),IF(V352="","",V352-TODAY())),IF(V352="","",V352-TODAY())))</t>
        </is>
      </c>
      <c r="AG352" s="36" t="n"/>
      <c r="AH352" s="36" t="n"/>
      <c r="AI352" s="36" t="n"/>
      <c r="AJ352" s="36" t="n"/>
      <c r="AK352" s="36" t="n"/>
      <c r="AL352" s="36" t="n"/>
      <c r="AM352" s="36" t="n"/>
      <c r="AN352" s="36" t="n"/>
      <c r="AO352" s="36" t="n"/>
      <c r="AP352" s="36" t="n"/>
      <c r="AQ352" s="36" t="n"/>
      <c r="AR352" s="40" t="n"/>
      <c r="AS352" s="40" t="n"/>
      <c r="AT352" s="40" t="n"/>
      <c r="AU352" s="38" t="inlineStr">
        <is>
          <t>IF(OR(E352="",AH352=""),"",IF(COUNT(AG352:AG352)=0,"",AH352-LOOKUP(2,1/(AG352:AG352&lt;&gt;""),AG352:AG352)))</t>
        </is>
      </c>
      <c r="AV352" s="38" t="inlineStr">
        <is>
          <t>IF(OR(E352="",AI352=""),"",IF(COUNT(AG352:AH352)=0,"",AI352-LOOKUP(2,1/(AG352:AH352&lt;&gt;""),AG352:AH352)))</t>
        </is>
      </c>
      <c r="AW352" s="38" t="inlineStr">
        <is>
          <t>IF(OR(E352="",AJ352=""),"",IF(COUNT(AG352:AI352)=0,"",AJ352-LOOKUP(2,1/(AG352:AI352&lt;&gt;""),AG352:AI352)))</t>
        </is>
      </c>
      <c r="AX352" s="38" t="inlineStr">
        <is>
          <t>IF(OR(E352="",AK352=""),"",IF(COUNT(AG352:AJ352)=0,"",AK352-LOOKUP(2,1/(AG352:AJ352&lt;&gt;""),AG352:AJ352)))</t>
        </is>
      </c>
      <c r="AY352" s="38" t="inlineStr">
        <is>
          <t>IF(OR(E352="",AL352=""),"",IF(COUNT(AG352:AK352)=0,"",AL352-LOOKUP(2,1/(AG352:AK352&lt;&gt;""),AG352:AK352)))</t>
        </is>
      </c>
      <c r="AZ352" s="38" t="inlineStr">
        <is>
          <t>IF(OR(E352="",AM352=""),"",IF(COUNT(AG352:AL352)=0,"",AM352-LOOKUP(2,1/(AG352:AL352&lt;&gt;""),AG352:AL352)))</t>
        </is>
      </c>
      <c r="BA352" s="38" t="inlineStr">
        <is>
          <t>IF(OR(E352="",AN352=""),"",IF(COUNT(AG352:AM352)=0,"",AN352-LOOKUP(2,1/(AG352:AM352&lt;&gt;""),AG352:AM352)))</t>
        </is>
      </c>
      <c r="BB352" s="38" t="inlineStr">
        <is>
          <t>IF(OR(E352="",AO352=""),"",IF(COUNT(AG352:AN352)=0,"",AO352-LOOKUP(2,1/(AG352:AN352&lt;&gt;""),AG352:AN352)))</t>
        </is>
      </c>
      <c r="BC352" s="38" t="inlineStr">
        <is>
          <t>IF(OR(E352="",AP352=""),"",IF(COUNT(AG352:AO352)=0,"",AP352-LOOKUP(2,1/(AG352:AO352&lt;&gt;""),AG352:AO352)))</t>
        </is>
      </c>
      <c r="BD352" s="38" t="inlineStr">
        <is>
          <t>IF(OR(E352="",AQ352=""),"",IF(COUNT(AG352:AP352)=0,"",AQ352-LOOKUP(2,1/(AG352:AP352&lt;&gt;""),AG352:AP352)))</t>
        </is>
      </c>
      <c r="BE352" s="38" t="inlineStr">
        <is>
          <t>IF(OR(E352="",AR352=""),"",IF(COUNT(AG352:AQ352)=0,"",AR352-LOOKUP(2,1/(AG352:AQ352&lt;&gt;""),AG352:AQ352)))</t>
        </is>
      </c>
      <c r="BF352" s="38" t="inlineStr">
        <is>
          <t>IF(OR(E352="",AS352=""),"",IF(COUNT(AG352:AR352)=0,"",AS352-LOOKUP(2,1/(AG352:AR352&lt;&gt;""),AG352:AR352)))</t>
        </is>
      </c>
      <c r="BG352" s="38" t="inlineStr">
        <is>
          <t>IF(OR(E352="",AT352=""),"",IF(COUNT(AG352:AS352)=0,"",AT352-LOOKUP(2,1/(AG352:AS352&lt;&gt;""),AG352:AS352)))</t>
        </is>
      </c>
      <c r="BH352" s="41" t="inlineStr">
        <is>
          <t>IF(G352="","All_Provinces",IFERROR(VLOOKUP(G352,'07_Lookups'!$A$4:$B$20,2,FALSE),"All_Provinces"))</t>
        </is>
      </c>
      <c r="BI352" s="41" t="inlineStr">
        <is>
          <t>IF(H352="","All_Districts",IFERROR(VLOOKUP(H352,'07_Lookups'!$E$4:$F$42,2,FALSE),"All_Districts"))</t>
        </is>
      </c>
    </row>
    <row r="353" ht="18" customHeight="1">
      <c r="A353" s="32" t="inlineStr">
        <is>
          <t>IF(E353="","",ROW()-3)</t>
        </is>
      </c>
      <c r="B353" s="42" t="n"/>
      <c r="C353" s="42" t="n"/>
      <c r="D353" s="42" t="n"/>
      <c r="E353" s="42" t="n"/>
      <c r="F353" s="42" t="n"/>
      <c r="G353" s="42" t="n"/>
      <c r="H353" s="42" t="n"/>
      <c r="I353" s="42" t="n"/>
      <c r="J353" s="42" t="n"/>
      <c r="K353" s="42" t="n"/>
      <c r="L353" s="42" t="n"/>
      <c r="M353" s="42" t="n"/>
      <c r="N353" s="42" t="n"/>
      <c r="O353" s="42" t="n"/>
      <c r="P353" s="42" t="n"/>
      <c r="Q353" s="43" t="n"/>
      <c r="R353" s="35" t="inlineStr">
        <is>
          <t>IF(AO353="","",AO353)</t>
        </is>
      </c>
      <c r="S353" s="44" t="n"/>
      <c r="T353" s="45" t="n"/>
      <c r="U353" s="44" t="n"/>
      <c r="V353" s="35" t="inlineStr">
        <is>
          <t>IF(U353&lt;&gt;"",U353,IF(OR(R353="",T353=""),"",EDATE(R353,T353)))</t>
        </is>
      </c>
      <c r="W353" s="44" t="n"/>
      <c r="X353" s="45" t="n"/>
      <c r="Y353" s="42" t="n"/>
      <c r="Z353" s="42" t="n"/>
      <c r="AA353" s="32" t="inlineStr">
        <is>
          <t>IF(E353="","",IF(COUNT(AG353:AT353)=0,IF(Y353="","Not started",Y353),SUBSTITUTE(LOOKUP(2,1/(AG353:AT353&lt;&gt;""),$AG$3:$AT$3),"Date: ","")))</t>
        </is>
      </c>
      <c r="AB353" s="38" t="inlineStr">
        <is>
          <t>IF(OR(E353="",COUNT(AG353:AT353)=0),"",TODAY()-LOOKUP(2,1/(AG353:AT353&lt;&gt;""),AG353:AT353))</t>
        </is>
      </c>
      <c r="AC353" s="38" t="inlineStr">
        <is>
          <t>IF(OR(E353="",COUNT(AG353:AT353)&lt;2),"",LOOKUP(2,1/(AG353:AT353&lt;&gt;""),AG353:AT353)-MIN(AG353:AT353))</t>
        </is>
      </c>
      <c r="AD353" s="38" t="inlineStr">
        <is>
          <t>IF(OR(AB353="",AA353="Not started",AA353=""),"",IFERROR(AB353-IF(VLOOKUP(AA353,'04_Status_Pipeline'!$B$3:$E$20,4,FALSE)="",0,VLOOKUP(AA353,'04_Status_Pipeline'!$B$3:$E$20,4,FALSE)),""))</t>
        </is>
      </c>
      <c r="AE353" s="32" t="inlineStr">
        <is>
          <t>IF(E353="","",IF(OR(Y353="Cancelled",AA353="Cancelled"),"Cancelled",IF(OR(AA353="Completed / Handover",W353&lt;&gt;"",X353&gt;=100),"Completed — on track",IF(L353="Remaining",IF(S353="",IF(V353="","No planned date",IF(TODAY()&gt;V353,"Behind — past planned date",IF(V353-TODAY()&lt;=30,"At risk — close to off track","On track"))),IF(TODAY()&gt;S353,"Behind — award date passed",IF(S353-TODAY()&lt;=30,"At risk — close to off track","On track"))),IF(V353="","No planned date",IF(AND(TODAY()&gt;V353,OR(X353="",X353&lt;100)),"Behind — past end date",IF(AND(R353&lt;&gt;"",V353&lt;&gt;"",X353&lt;&gt;"",(X353&lt;100),((TODAY()-R353)/MAX(V353-R353,1)*100)-X353&gt;15),"Behind — progress lag",IF(AND(V353-TODAY()&lt;=30,V353-TODAY()&gt;=0,OR(X353="",X353&lt;90)),"At risk — close to off track","On track"))))))))</t>
        </is>
      </c>
      <c r="AF353" s="38" t="inlineStr">
        <is>
          <t>IF(OR(E353="",AA353="Completed / Handover",AA353="Cancelled"),"",IF(L353="Remaining",IF(S353&lt;&gt;"",S353-TODAY(),IF(V353="","",V353-TODAY())),IF(V353="","",V353-TODAY())))</t>
        </is>
      </c>
      <c r="AG353" s="44" t="n"/>
      <c r="AH353" s="44" t="n"/>
      <c r="AI353" s="44" t="n"/>
      <c r="AJ353" s="44" t="n"/>
      <c r="AK353" s="44" t="n"/>
      <c r="AL353" s="44" t="n"/>
      <c r="AM353" s="44" t="n"/>
      <c r="AN353" s="44" t="n"/>
      <c r="AO353" s="44" t="n"/>
      <c r="AP353" s="44" t="n"/>
      <c r="AQ353" s="44" t="n"/>
      <c r="AR353" s="40" t="n"/>
      <c r="AS353" s="40" t="n"/>
      <c r="AT353" s="40" t="n"/>
      <c r="AU353" s="38" t="inlineStr">
        <is>
          <t>IF(OR(E353="",AH353=""),"",IF(COUNT(AG353:AG353)=0,"",AH353-LOOKUP(2,1/(AG353:AG353&lt;&gt;""),AG353:AG353)))</t>
        </is>
      </c>
      <c r="AV353" s="38" t="inlineStr">
        <is>
          <t>IF(OR(E353="",AI353=""),"",IF(COUNT(AG353:AH353)=0,"",AI353-LOOKUP(2,1/(AG353:AH353&lt;&gt;""),AG353:AH353)))</t>
        </is>
      </c>
      <c r="AW353" s="38" t="inlineStr">
        <is>
          <t>IF(OR(E353="",AJ353=""),"",IF(COUNT(AG353:AI353)=0,"",AJ353-LOOKUP(2,1/(AG353:AI353&lt;&gt;""),AG353:AI353)))</t>
        </is>
      </c>
      <c r="AX353" s="38" t="inlineStr">
        <is>
          <t>IF(OR(E353="",AK353=""),"",IF(COUNT(AG353:AJ353)=0,"",AK353-LOOKUP(2,1/(AG353:AJ353&lt;&gt;""),AG353:AJ353)))</t>
        </is>
      </c>
      <c r="AY353" s="38" t="inlineStr">
        <is>
          <t>IF(OR(E353="",AL353=""),"",IF(COUNT(AG353:AK353)=0,"",AL353-LOOKUP(2,1/(AG353:AK353&lt;&gt;""),AG353:AK353)))</t>
        </is>
      </c>
      <c r="AZ353" s="38" t="inlineStr">
        <is>
          <t>IF(OR(E353="",AM353=""),"",IF(COUNT(AG353:AL353)=0,"",AM353-LOOKUP(2,1/(AG353:AL353&lt;&gt;""),AG353:AL353)))</t>
        </is>
      </c>
      <c r="BA353" s="38" t="inlineStr">
        <is>
          <t>IF(OR(E353="",AN353=""),"",IF(COUNT(AG353:AM353)=0,"",AN353-LOOKUP(2,1/(AG353:AM353&lt;&gt;""),AG353:AM353)))</t>
        </is>
      </c>
      <c r="BB353" s="38" t="inlineStr">
        <is>
          <t>IF(OR(E353="",AO353=""),"",IF(COUNT(AG353:AN353)=0,"",AO353-LOOKUP(2,1/(AG353:AN353&lt;&gt;""),AG353:AN353)))</t>
        </is>
      </c>
      <c r="BC353" s="38" t="inlineStr">
        <is>
          <t>IF(OR(E353="",AP353=""),"",IF(COUNT(AG353:AO353)=0,"",AP353-LOOKUP(2,1/(AG353:AO353&lt;&gt;""),AG353:AO353)))</t>
        </is>
      </c>
      <c r="BD353" s="38" t="inlineStr">
        <is>
          <t>IF(OR(E353="",AQ353=""),"",IF(COUNT(AG353:AP353)=0,"",AQ353-LOOKUP(2,1/(AG353:AP353&lt;&gt;""),AG353:AP353)))</t>
        </is>
      </c>
      <c r="BE353" s="38" t="inlineStr">
        <is>
          <t>IF(OR(E353="",AR353=""),"",IF(COUNT(AG353:AQ353)=0,"",AR353-LOOKUP(2,1/(AG353:AQ353&lt;&gt;""),AG353:AQ353)))</t>
        </is>
      </c>
      <c r="BF353" s="38" t="inlineStr">
        <is>
          <t>IF(OR(E353="",AS353=""),"",IF(COUNT(AG353:AR353)=0,"",AS353-LOOKUP(2,1/(AG353:AR353&lt;&gt;""),AG353:AR353)))</t>
        </is>
      </c>
      <c r="BG353" s="38" t="inlineStr">
        <is>
          <t>IF(OR(E353="",AT353=""),"",IF(COUNT(AG353:AS353)=0,"",AT353-LOOKUP(2,1/(AG353:AS353&lt;&gt;""),AG353:AS353)))</t>
        </is>
      </c>
      <c r="BH353" s="41" t="inlineStr">
        <is>
          <t>IF(G353="","All_Provinces",IFERROR(VLOOKUP(G353,'07_Lookups'!$A$4:$B$20,2,FALSE),"All_Provinces"))</t>
        </is>
      </c>
      <c r="BI353" s="41" t="inlineStr">
        <is>
          <t>IF(H353="","All_Districts",IFERROR(VLOOKUP(H353,'07_Lookups'!$E$4:$F$42,2,FALSE),"All_Districts"))</t>
        </is>
      </c>
    </row>
    <row r="354" ht="18" customHeight="1">
      <c r="A354" s="32" t="inlineStr">
        <is>
          <t>IF(E354="","",ROW()-3)</t>
        </is>
      </c>
      <c r="B354" s="33" t="n"/>
      <c r="C354" s="33" t="n"/>
      <c r="D354" s="33" t="n"/>
      <c r="E354" s="33" t="n"/>
      <c r="F354" s="33" t="n"/>
      <c r="G354" s="33" t="n"/>
      <c r="H354" s="33" t="n"/>
      <c r="I354" s="33" t="n"/>
      <c r="J354" s="33" t="n"/>
      <c r="K354" s="33" t="n"/>
      <c r="L354" s="33" t="n"/>
      <c r="M354" s="33" t="n"/>
      <c r="N354" s="33" t="n"/>
      <c r="O354" s="33" t="n"/>
      <c r="P354" s="33" t="n"/>
      <c r="Q354" s="34" t="n"/>
      <c r="R354" s="35" t="inlineStr">
        <is>
          <t>IF(AO354="","",AO354)</t>
        </is>
      </c>
      <c r="S354" s="36" t="n"/>
      <c r="T354" s="37" t="n"/>
      <c r="U354" s="36" t="n"/>
      <c r="V354" s="35" t="inlineStr">
        <is>
          <t>IF(U354&lt;&gt;"",U354,IF(OR(R354="",T354=""),"",EDATE(R354,T354)))</t>
        </is>
      </c>
      <c r="W354" s="36" t="n"/>
      <c r="X354" s="37" t="n"/>
      <c r="Y354" s="33" t="n"/>
      <c r="Z354" s="33" t="n"/>
      <c r="AA354" s="32" t="inlineStr">
        <is>
          <t>IF(E354="","",IF(COUNT(AG354:AT354)=0,IF(Y354="","Not started",Y354),SUBSTITUTE(LOOKUP(2,1/(AG354:AT354&lt;&gt;""),$AG$3:$AT$3),"Date: ","")))</t>
        </is>
      </c>
      <c r="AB354" s="38" t="inlineStr">
        <is>
          <t>IF(OR(E354="",COUNT(AG354:AT354)=0),"",TODAY()-LOOKUP(2,1/(AG354:AT354&lt;&gt;""),AG354:AT354))</t>
        </is>
      </c>
      <c r="AC354" s="38" t="inlineStr">
        <is>
          <t>IF(OR(E354="",COUNT(AG354:AT354)&lt;2),"",LOOKUP(2,1/(AG354:AT354&lt;&gt;""),AG354:AT354)-MIN(AG354:AT354))</t>
        </is>
      </c>
      <c r="AD354" s="38" t="inlineStr">
        <is>
          <t>IF(OR(AB354="",AA354="Not started",AA354=""),"",IFERROR(AB354-IF(VLOOKUP(AA354,'04_Status_Pipeline'!$B$3:$E$20,4,FALSE)="",0,VLOOKUP(AA354,'04_Status_Pipeline'!$B$3:$E$20,4,FALSE)),""))</t>
        </is>
      </c>
      <c r="AE354" s="32" t="inlineStr">
        <is>
          <t>IF(E354="","",IF(OR(Y354="Cancelled",AA354="Cancelled"),"Cancelled",IF(OR(AA354="Completed / Handover",W354&lt;&gt;"",X354&gt;=100),"Completed — on track",IF(L354="Remaining",IF(S354="",IF(V354="","No planned date",IF(TODAY()&gt;V354,"Behind — past planned date",IF(V354-TODAY()&lt;=30,"At risk — close to off track","On track"))),IF(TODAY()&gt;S354,"Behind — award date passed",IF(S354-TODAY()&lt;=30,"At risk — close to off track","On track"))),IF(V354="","No planned date",IF(AND(TODAY()&gt;V354,OR(X354="",X354&lt;100)),"Behind — past end date",IF(AND(R354&lt;&gt;"",V354&lt;&gt;"",X354&lt;&gt;"",(X354&lt;100),((TODAY()-R354)/MAX(V354-R354,1)*100)-X354&gt;15),"Behind — progress lag",IF(AND(V354-TODAY()&lt;=30,V354-TODAY()&gt;=0,OR(X354="",X354&lt;90)),"At risk — close to off track","On track"))))))))</t>
        </is>
      </c>
      <c r="AF354" s="38" t="inlineStr">
        <is>
          <t>IF(OR(E354="",AA354="Completed / Handover",AA354="Cancelled"),"",IF(L354="Remaining",IF(S354&lt;&gt;"",S354-TODAY(),IF(V354="","",V354-TODAY())),IF(V354="","",V354-TODAY())))</t>
        </is>
      </c>
      <c r="AG354" s="36" t="n"/>
      <c r="AH354" s="36" t="n"/>
      <c r="AI354" s="36" t="n"/>
      <c r="AJ354" s="36" t="n"/>
      <c r="AK354" s="36" t="n"/>
      <c r="AL354" s="36" t="n"/>
      <c r="AM354" s="36" t="n"/>
      <c r="AN354" s="36" t="n"/>
      <c r="AO354" s="36" t="n"/>
      <c r="AP354" s="36" t="n"/>
      <c r="AQ354" s="36" t="n"/>
      <c r="AR354" s="40" t="n"/>
      <c r="AS354" s="40" t="n"/>
      <c r="AT354" s="40" t="n"/>
      <c r="AU354" s="38" t="inlineStr">
        <is>
          <t>IF(OR(E354="",AH354=""),"",IF(COUNT(AG354:AG354)=0,"",AH354-LOOKUP(2,1/(AG354:AG354&lt;&gt;""),AG354:AG354)))</t>
        </is>
      </c>
      <c r="AV354" s="38" t="inlineStr">
        <is>
          <t>IF(OR(E354="",AI354=""),"",IF(COUNT(AG354:AH354)=0,"",AI354-LOOKUP(2,1/(AG354:AH354&lt;&gt;""),AG354:AH354)))</t>
        </is>
      </c>
      <c r="AW354" s="38" t="inlineStr">
        <is>
          <t>IF(OR(E354="",AJ354=""),"",IF(COUNT(AG354:AI354)=0,"",AJ354-LOOKUP(2,1/(AG354:AI354&lt;&gt;""),AG354:AI354)))</t>
        </is>
      </c>
      <c r="AX354" s="38" t="inlineStr">
        <is>
          <t>IF(OR(E354="",AK354=""),"",IF(COUNT(AG354:AJ354)=0,"",AK354-LOOKUP(2,1/(AG354:AJ354&lt;&gt;""),AG354:AJ354)))</t>
        </is>
      </c>
      <c r="AY354" s="38" t="inlineStr">
        <is>
          <t>IF(OR(E354="",AL354=""),"",IF(COUNT(AG354:AK354)=0,"",AL354-LOOKUP(2,1/(AG354:AK354&lt;&gt;""),AG354:AK354)))</t>
        </is>
      </c>
      <c r="AZ354" s="38" t="inlineStr">
        <is>
          <t>IF(OR(E354="",AM354=""),"",IF(COUNT(AG354:AL354)=0,"",AM354-LOOKUP(2,1/(AG354:AL354&lt;&gt;""),AG354:AL354)))</t>
        </is>
      </c>
      <c r="BA354" s="38" t="inlineStr">
        <is>
          <t>IF(OR(E354="",AN354=""),"",IF(COUNT(AG354:AM354)=0,"",AN354-LOOKUP(2,1/(AG354:AM354&lt;&gt;""),AG354:AM354)))</t>
        </is>
      </c>
      <c r="BB354" s="38" t="inlineStr">
        <is>
          <t>IF(OR(E354="",AO354=""),"",IF(COUNT(AG354:AN354)=0,"",AO354-LOOKUP(2,1/(AG354:AN354&lt;&gt;""),AG354:AN354)))</t>
        </is>
      </c>
      <c r="BC354" s="38" t="inlineStr">
        <is>
          <t>IF(OR(E354="",AP354=""),"",IF(COUNT(AG354:AO354)=0,"",AP354-LOOKUP(2,1/(AG354:AO354&lt;&gt;""),AG354:AO354)))</t>
        </is>
      </c>
      <c r="BD354" s="38" t="inlineStr">
        <is>
          <t>IF(OR(E354="",AQ354=""),"",IF(COUNT(AG354:AP354)=0,"",AQ354-LOOKUP(2,1/(AG354:AP354&lt;&gt;""),AG354:AP354)))</t>
        </is>
      </c>
      <c r="BE354" s="38" t="inlineStr">
        <is>
          <t>IF(OR(E354="",AR354=""),"",IF(COUNT(AG354:AQ354)=0,"",AR354-LOOKUP(2,1/(AG354:AQ354&lt;&gt;""),AG354:AQ354)))</t>
        </is>
      </c>
      <c r="BF354" s="38" t="inlineStr">
        <is>
          <t>IF(OR(E354="",AS354=""),"",IF(COUNT(AG354:AR354)=0,"",AS354-LOOKUP(2,1/(AG354:AR354&lt;&gt;""),AG354:AR354)))</t>
        </is>
      </c>
      <c r="BG354" s="38" t="inlineStr">
        <is>
          <t>IF(OR(E354="",AT354=""),"",IF(COUNT(AG354:AS354)=0,"",AT354-LOOKUP(2,1/(AG354:AS354&lt;&gt;""),AG354:AS354)))</t>
        </is>
      </c>
      <c r="BH354" s="41" t="inlineStr">
        <is>
          <t>IF(G354="","All_Provinces",IFERROR(VLOOKUP(G354,'07_Lookups'!$A$4:$B$20,2,FALSE),"All_Provinces"))</t>
        </is>
      </c>
      <c r="BI354" s="41" t="inlineStr">
        <is>
          <t>IF(H354="","All_Districts",IFERROR(VLOOKUP(H354,'07_Lookups'!$E$4:$F$42,2,FALSE),"All_Districts"))</t>
        </is>
      </c>
    </row>
    <row r="355" ht="18" customHeight="1">
      <c r="A355" s="32" t="inlineStr">
        <is>
          <t>IF(E355="","",ROW()-3)</t>
        </is>
      </c>
      <c r="B355" s="42" t="n"/>
      <c r="C355" s="42" t="n"/>
      <c r="D355" s="42" t="n"/>
      <c r="E355" s="42" t="n"/>
      <c r="F355" s="42" t="n"/>
      <c r="G355" s="42" t="n"/>
      <c r="H355" s="42" t="n"/>
      <c r="I355" s="42" t="n"/>
      <c r="J355" s="42" t="n"/>
      <c r="K355" s="42" t="n"/>
      <c r="L355" s="42" t="n"/>
      <c r="M355" s="42" t="n"/>
      <c r="N355" s="42" t="n"/>
      <c r="O355" s="42" t="n"/>
      <c r="P355" s="42" t="n"/>
      <c r="Q355" s="43" t="n"/>
      <c r="R355" s="35" t="inlineStr">
        <is>
          <t>IF(AO355="","",AO355)</t>
        </is>
      </c>
      <c r="S355" s="44" t="n"/>
      <c r="T355" s="45" t="n"/>
      <c r="U355" s="44" t="n"/>
      <c r="V355" s="35" t="inlineStr">
        <is>
          <t>IF(U355&lt;&gt;"",U355,IF(OR(R355="",T355=""),"",EDATE(R355,T355)))</t>
        </is>
      </c>
      <c r="W355" s="44" t="n"/>
      <c r="X355" s="45" t="n"/>
      <c r="Y355" s="42" t="n"/>
      <c r="Z355" s="42" t="n"/>
      <c r="AA355" s="32" t="inlineStr">
        <is>
          <t>IF(E355="","",IF(COUNT(AG355:AT355)=0,IF(Y355="","Not started",Y355),SUBSTITUTE(LOOKUP(2,1/(AG355:AT355&lt;&gt;""),$AG$3:$AT$3),"Date: ","")))</t>
        </is>
      </c>
      <c r="AB355" s="38" t="inlineStr">
        <is>
          <t>IF(OR(E355="",COUNT(AG355:AT355)=0),"",TODAY()-LOOKUP(2,1/(AG355:AT355&lt;&gt;""),AG355:AT355))</t>
        </is>
      </c>
      <c r="AC355" s="38" t="inlineStr">
        <is>
          <t>IF(OR(E355="",COUNT(AG355:AT355)&lt;2),"",LOOKUP(2,1/(AG355:AT355&lt;&gt;""),AG355:AT355)-MIN(AG355:AT355))</t>
        </is>
      </c>
      <c r="AD355" s="38" t="inlineStr">
        <is>
          <t>IF(OR(AB355="",AA355="Not started",AA355=""),"",IFERROR(AB355-IF(VLOOKUP(AA355,'04_Status_Pipeline'!$B$3:$E$20,4,FALSE)="",0,VLOOKUP(AA355,'04_Status_Pipeline'!$B$3:$E$20,4,FALSE)),""))</t>
        </is>
      </c>
      <c r="AE355" s="32" t="inlineStr">
        <is>
          <t>IF(E355="","",IF(OR(Y355="Cancelled",AA355="Cancelled"),"Cancelled",IF(OR(AA355="Completed / Handover",W355&lt;&gt;"",X355&gt;=100),"Completed — on track",IF(L355="Remaining",IF(S355="",IF(V355="","No planned date",IF(TODAY()&gt;V355,"Behind — past planned date",IF(V355-TODAY()&lt;=30,"At risk — close to off track","On track"))),IF(TODAY()&gt;S355,"Behind — award date passed",IF(S355-TODAY()&lt;=30,"At risk — close to off track","On track"))),IF(V355="","No planned date",IF(AND(TODAY()&gt;V355,OR(X355="",X355&lt;100)),"Behind — past end date",IF(AND(R355&lt;&gt;"",V355&lt;&gt;"",X355&lt;&gt;"",(X355&lt;100),((TODAY()-R355)/MAX(V355-R355,1)*100)-X355&gt;15),"Behind — progress lag",IF(AND(V355-TODAY()&lt;=30,V355-TODAY()&gt;=0,OR(X355="",X355&lt;90)),"At risk — close to off track","On track"))))))))</t>
        </is>
      </c>
      <c r="AF355" s="38" t="inlineStr">
        <is>
          <t>IF(OR(E355="",AA355="Completed / Handover",AA355="Cancelled"),"",IF(L355="Remaining",IF(S355&lt;&gt;"",S355-TODAY(),IF(V355="","",V355-TODAY())),IF(V355="","",V355-TODAY())))</t>
        </is>
      </c>
      <c r="AG355" s="44" t="n"/>
      <c r="AH355" s="44" t="n"/>
      <c r="AI355" s="44" t="n"/>
      <c r="AJ355" s="44" t="n"/>
      <c r="AK355" s="44" t="n"/>
      <c r="AL355" s="44" t="n"/>
      <c r="AM355" s="44" t="n"/>
      <c r="AN355" s="44" t="n"/>
      <c r="AO355" s="44" t="n"/>
      <c r="AP355" s="44" t="n"/>
      <c r="AQ355" s="44" t="n"/>
      <c r="AR355" s="40" t="n"/>
      <c r="AS355" s="40" t="n"/>
      <c r="AT355" s="40" t="n"/>
      <c r="AU355" s="38" t="inlineStr">
        <is>
          <t>IF(OR(E355="",AH355=""),"",IF(COUNT(AG355:AG355)=0,"",AH355-LOOKUP(2,1/(AG355:AG355&lt;&gt;""),AG355:AG355)))</t>
        </is>
      </c>
      <c r="AV355" s="38" t="inlineStr">
        <is>
          <t>IF(OR(E355="",AI355=""),"",IF(COUNT(AG355:AH355)=0,"",AI355-LOOKUP(2,1/(AG355:AH355&lt;&gt;""),AG355:AH355)))</t>
        </is>
      </c>
      <c r="AW355" s="38" t="inlineStr">
        <is>
          <t>IF(OR(E355="",AJ355=""),"",IF(COUNT(AG355:AI355)=0,"",AJ355-LOOKUP(2,1/(AG355:AI355&lt;&gt;""),AG355:AI355)))</t>
        </is>
      </c>
      <c r="AX355" s="38" t="inlineStr">
        <is>
          <t>IF(OR(E355="",AK355=""),"",IF(COUNT(AG355:AJ355)=0,"",AK355-LOOKUP(2,1/(AG355:AJ355&lt;&gt;""),AG355:AJ355)))</t>
        </is>
      </c>
      <c r="AY355" s="38" t="inlineStr">
        <is>
          <t>IF(OR(E355="",AL355=""),"",IF(COUNT(AG355:AK355)=0,"",AL355-LOOKUP(2,1/(AG355:AK355&lt;&gt;""),AG355:AK355)))</t>
        </is>
      </c>
      <c r="AZ355" s="38" t="inlineStr">
        <is>
          <t>IF(OR(E355="",AM355=""),"",IF(COUNT(AG355:AL355)=0,"",AM355-LOOKUP(2,1/(AG355:AL355&lt;&gt;""),AG355:AL355)))</t>
        </is>
      </c>
      <c r="BA355" s="38" t="inlineStr">
        <is>
          <t>IF(OR(E355="",AN355=""),"",IF(COUNT(AG355:AM355)=0,"",AN355-LOOKUP(2,1/(AG355:AM355&lt;&gt;""),AG355:AM355)))</t>
        </is>
      </c>
      <c r="BB355" s="38" t="inlineStr">
        <is>
          <t>IF(OR(E355="",AO355=""),"",IF(COUNT(AG355:AN355)=0,"",AO355-LOOKUP(2,1/(AG355:AN355&lt;&gt;""),AG355:AN355)))</t>
        </is>
      </c>
      <c r="BC355" s="38" t="inlineStr">
        <is>
          <t>IF(OR(E355="",AP355=""),"",IF(COUNT(AG355:AO355)=0,"",AP355-LOOKUP(2,1/(AG355:AO355&lt;&gt;""),AG355:AO355)))</t>
        </is>
      </c>
      <c r="BD355" s="38" t="inlineStr">
        <is>
          <t>IF(OR(E355="",AQ355=""),"",IF(COUNT(AG355:AP355)=0,"",AQ355-LOOKUP(2,1/(AG355:AP355&lt;&gt;""),AG355:AP355)))</t>
        </is>
      </c>
      <c r="BE355" s="38" t="inlineStr">
        <is>
          <t>IF(OR(E355="",AR355=""),"",IF(COUNT(AG355:AQ355)=0,"",AR355-LOOKUP(2,1/(AG355:AQ355&lt;&gt;""),AG355:AQ355)))</t>
        </is>
      </c>
      <c r="BF355" s="38" t="inlineStr">
        <is>
          <t>IF(OR(E355="",AS355=""),"",IF(COUNT(AG355:AR355)=0,"",AS355-LOOKUP(2,1/(AG355:AR355&lt;&gt;""),AG355:AR355)))</t>
        </is>
      </c>
      <c r="BG355" s="38" t="inlineStr">
        <is>
          <t>IF(OR(E355="",AT355=""),"",IF(COUNT(AG355:AS355)=0,"",AT355-LOOKUP(2,1/(AG355:AS355&lt;&gt;""),AG355:AS355)))</t>
        </is>
      </c>
      <c r="BH355" s="41" t="inlineStr">
        <is>
          <t>IF(G355="","All_Provinces",IFERROR(VLOOKUP(G355,'07_Lookups'!$A$4:$B$20,2,FALSE),"All_Provinces"))</t>
        </is>
      </c>
      <c r="BI355" s="41" t="inlineStr">
        <is>
          <t>IF(H355="","All_Districts",IFERROR(VLOOKUP(H355,'07_Lookups'!$E$4:$F$42,2,FALSE),"All_Districts"))</t>
        </is>
      </c>
    </row>
    <row r="356" ht="18" customHeight="1">
      <c r="A356" s="32" t="inlineStr">
        <is>
          <t>IF(E356="","",ROW()-3)</t>
        </is>
      </c>
      <c r="B356" s="33" t="n"/>
      <c r="C356" s="33" t="n"/>
      <c r="D356" s="33" t="n"/>
      <c r="E356" s="33" t="n"/>
      <c r="F356" s="33" t="n"/>
      <c r="G356" s="33" t="n"/>
      <c r="H356" s="33" t="n"/>
      <c r="I356" s="33" t="n"/>
      <c r="J356" s="33" t="n"/>
      <c r="K356" s="33" t="n"/>
      <c r="L356" s="33" t="n"/>
      <c r="M356" s="33" t="n"/>
      <c r="N356" s="33" t="n"/>
      <c r="O356" s="33" t="n"/>
      <c r="P356" s="33" t="n"/>
      <c r="Q356" s="34" t="n"/>
      <c r="R356" s="35" t="inlineStr">
        <is>
          <t>IF(AO356="","",AO356)</t>
        </is>
      </c>
      <c r="S356" s="36" t="n"/>
      <c r="T356" s="37" t="n"/>
      <c r="U356" s="36" t="n"/>
      <c r="V356" s="35" t="inlineStr">
        <is>
          <t>IF(U356&lt;&gt;"",U356,IF(OR(R356="",T356=""),"",EDATE(R356,T356)))</t>
        </is>
      </c>
      <c r="W356" s="36" t="n"/>
      <c r="X356" s="37" t="n"/>
      <c r="Y356" s="33" t="n"/>
      <c r="Z356" s="33" t="n"/>
      <c r="AA356" s="32" t="inlineStr">
        <is>
          <t>IF(E356="","",IF(COUNT(AG356:AT356)=0,IF(Y356="","Not started",Y356),SUBSTITUTE(LOOKUP(2,1/(AG356:AT356&lt;&gt;""),$AG$3:$AT$3),"Date: ","")))</t>
        </is>
      </c>
      <c r="AB356" s="38" t="inlineStr">
        <is>
          <t>IF(OR(E356="",COUNT(AG356:AT356)=0),"",TODAY()-LOOKUP(2,1/(AG356:AT356&lt;&gt;""),AG356:AT356))</t>
        </is>
      </c>
      <c r="AC356" s="38" t="inlineStr">
        <is>
          <t>IF(OR(E356="",COUNT(AG356:AT356)&lt;2),"",LOOKUP(2,1/(AG356:AT356&lt;&gt;""),AG356:AT356)-MIN(AG356:AT356))</t>
        </is>
      </c>
      <c r="AD356" s="38" t="inlineStr">
        <is>
          <t>IF(OR(AB356="",AA356="Not started",AA356=""),"",IFERROR(AB356-IF(VLOOKUP(AA356,'04_Status_Pipeline'!$B$3:$E$20,4,FALSE)="",0,VLOOKUP(AA356,'04_Status_Pipeline'!$B$3:$E$20,4,FALSE)),""))</t>
        </is>
      </c>
      <c r="AE356" s="32" t="inlineStr">
        <is>
          <t>IF(E356="","",IF(OR(Y356="Cancelled",AA356="Cancelled"),"Cancelled",IF(OR(AA356="Completed / Handover",W356&lt;&gt;"",X356&gt;=100),"Completed — on track",IF(L356="Remaining",IF(S356="",IF(V356="","No planned date",IF(TODAY()&gt;V356,"Behind — past planned date",IF(V356-TODAY()&lt;=30,"At risk — close to off track","On track"))),IF(TODAY()&gt;S356,"Behind — award date passed",IF(S356-TODAY()&lt;=30,"At risk — close to off track","On track"))),IF(V356="","No planned date",IF(AND(TODAY()&gt;V356,OR(X356="",X356&lt;100)),"Behind — past end date",IF(AND(R356&lt;&gt;"",V356&lt;&gt;"",X356&lt;&gt;"",(X356&lt;100),((TODAY()-R356)/MAX(V356-R356,1)*100)-X356&gt;15),"Behind — progress lag",IF(AND(V356-TODAY()&lt;=30,V356-TODAY()&gt;=0,OR(X356="",X356&lt;90)),"At risk — close to off track","On track"))))))))</t>
        </is>
      </c>
      <c r="AF356" s="38" t="inlineStr">
        <is>
          <t>IF(OR(E356="",AA356="Completed / Handover",AA356="Cancelled"),"",IF(L356="Remaining",IF(S356&lt;&gt;"",S356-TODAY(),IF(V356="","",V356-TODAY())),IF(V356="","",V356-TODAY())))</t>
        </is>
      </c>
      <c r="AG356" s="36" t="n"/>
      <c r="AH356" s="36" t="n"/>
      <c r="AI356" s="36" t="n"/>
      <c r="AJ356" s="36" t="n"/>
      <c r="AK356" s="36" t="n"/>
      <c r="AL356" s="36" t="n"/>
      <c r="AM356" s="36" t="n"/>
      <c r="AN356" s="36" t="n"/>
      <c r="AO356" s="36" t="n"/>
      <c r="AP356" s="36" t="n"/>
      <c r="AQ356" s="36" t="n"/>
      <c r="AR356" s="40" t="n"/>
      <c r="AS356" s="40" t="n"/>
      <c r="AT356" s="40" t="n"/>
      <c r="AU356" s="38" t="inlineStr">
        <is>
          <t>IF(OR(E356="",AH356=""),"",IF(COUNT(AG356:AG356)=0,"",AH356-LOOKUP(2,1/(AG356:AG356&lt;&gt;""),AG356:AG356)))</t>
        </is>
      </c>
      <c r="AV356" s="38" t="inlineStr">
        <is>
          <t>IF(OR(E356="",AI356=""),"",IF(COUNT(AG356:AH356)=0,"",AI356-LOOKUP(2,1/(AG356:AH356&lt;&gt;""),AG356:AH356)))</t>
        </is>
      </c>
      <c r="AW356" s="38" t="inlineStr">
        <is>
          <t>IF(OR(E356="",AJ356=""),"",IF(COUNT(AG356:AI356)=0,"",AJ356-LOOKUP(2,1/(AG356:AI356&lt;&gt;""),AG356:AI356)))</t>
        </is>
      </c>
      <c r="AX356" s="38" t="inlineStr">
        <is>
          <t>IF(OR(E356="",AK356=""),"",IF(COUNT(AG356:AJ356)=0,"",AK356-LOOKUP(2,1/(AG356:AJ356&lt;&gt;""),AG356:AJ356)))</t>
        </is>
      </c>
      <c r="AY356" s="38" t="inlineStr">
        <is>
          <t>IF(OR(E356="",AL356=""),"",IF(COUNT(AG356:AK356)=0,"",AL356-LOOKUP(2,1/(AG356:AK356&lt;&gt;""),AG356:AK356)))</t>
        </is>
      </c>
      <c r="AZ356" s="38" t="inlineStr">
        <is>
          <t>IF(OR(E356="",AM356=""),"",IF(COUNT(AG356:AL356)=0,"",AM356-LOOKUP(2,1/(AG356:AL356&lt;&gt;""),AG356:AL356)))</t>
        </is>
      </c>
      <c r="BA356" s="38" t="inlineStr">
        <is>
          <t>IF(OR(E356="",AN356=""),"",IF(COUNT(AG356:AM356)=0,"",AN356-LOOKUP(2,1/(AG356:AM356&lt;&gt;""),AG356:AM356)))</t>
        </is>
      </c>
      <c r="BB356" s="38" t="inlineStr">
        <is>
          <t>IF(OR(E356="",AO356=""),"",IF(COUNT(AG356:AN356)=0,"",AO356-LOOKUP(2,1/(AG356:AN356&lt;&gt;""),AG356:AN356)))</t>
        </is>
      </c>
      <c r="BC356" s="38" t="inlineStr">
        <is>
          <t>IF(OR(E356="",AP356=""),"",IF(COUNT(AG356:AO356)=0,"",AP356-LOOKUP(2,1/(AG356:AO356&lt;&gt;""),AG356:AO356)))</t>
        </is>
      </c>
      <c r="BD356" s="38" t="inlineStr">
        <is>
          <t>IF(OR(E356="",AQ356=""),"",IF(COUNT(AG356:AP356)=0,"",AQ356-LOOKUP(2,1/(AG356:AP356&lt;&gt;""),AG356:AP356)))</t>
        </is>
      </c>
      <c r="BE356" s="38" t="inlineStr">
        <is>
          <t>IF(OR(E356="",AR356=""),"",IF(COUNT(AG356:AQ356)=0,"",AR356-LOOKUP(2,1/(AG356:AQ356&lt;&gt;""),AG356:AQ356)))</t>
        </is>
      </c>
      <c r="BF356" s="38" t="inlineStr">
        <is>
          <t>IF(OR(E356="",AS356=""),"",IF(COUNT(AG356:AR356)=0,"",AS356-LOOKUP(2,1/(AG356:AR356&lt;&gt;""),AG356:AR356)))</t>
        </is>
      </c>
      <c r="BG356" s="38" t="inlineStr">
        <is>
          <t>IF(OR(E356="",AT356=""),"",IF(COUNT(AG356:AS356)=0,"",AT356-LOOKUP(2,1/(AG356:AS356&lt;&gt;""),AG356:AS356)))</t>
        </is>
      </c>
      <c r="BH356" s="41" t="inlineStr">
        <is>
          <t>IF(G356="","All_Provinces",IFERROR(VLOOKUP(G356,'07_Lookups'!$A$4:$B$20,2,FALSE),"All_Provinces"))</t>
        </is>
      </c>
      <c r="BI356" s="41" t="inlineStr">
        <is>
          <t>IF(H356="","All_Districts",IFERROR(VLOOKUP(H356,'07_Lookups'!$E$4:$F$42,2,FALSE),"All_Districts"))</t>
        </is>
      </c>
    </row>
    <row r="357" ht="18" customHeight="1">
      <c r="A357" s="32" t="inlineStr">
        <is>
          <t>IF(E357="","",ROW()-3)</t>
        </is>
      </c>
      <c r="B357" s="42" t="n"/>
      <c r="C357" s="42" t="n"/>
      <c r="D357" s="42" t="n"/>
      <c r="E357" s="42" t="n"/>
      <c r="F357" s="42" t="n"/>
      <c r="G357" s="42" t="n"/>
      <c r="H357" s="42" t="n"/>
      <c r="I357" s="42" t="n"/>
      <c r="J357" s="42" t="n"/>
      <c r="K357" s="42" t="n"/>
      <c r="L357" s="42" t="n"/>
      <c r="M357" s="42" t="n"/>
      <c r="N357" s="42" t="n"/>
      <c r="O357" s="42" t="n"/>
      <c r="P357" s="42" t="n"/>
      <c r="Q357" s="43" t="n"/>
      <c r="R357" s="35" t="inlineStr">
        <is>
          <t>IF(AO357="","",AO357)</t>
        </is>
      </c>
      <c r="S357" s="44" t="n"/>
      <c r="T357" s="45" t="n"/>
      <c r="U357" s="44" t="n"/>
      <c r="V357" s="35" t="inlineStr">
        <is>
          <t>IF(U357&lt;&gt;"",U357,IF(OR(R357="",T357=""),"",EDATE(R357,T357)))</t>
        </is>
      </c>
      <c r="W357" s="44" t="n"/>
      <c r="X357" s="45" t="n"/>
      <c r="Y357" s="42" t="n"/>
      <c r="Z357" s="42" t="n"/>
      <c r="AA357" s="32" t="inlineStr">
        <is>
          <t>IF(E357="","",IF(COUNT(AG357:AT357)=0,IF(Y357="","Not started",Y357),SUBSTITUTE(LOOKUP(2,1/(AG357:AT357&lt;&gt;""),$AG$3:$AT$3),"Date: ","")))</t>
        </is>
      </c>
      <c r="AB357" s="38" t="inlineStr">
        <is>
          <t>IF(OR(E357="",COUNT(AG357:AT357)=0),"",TODAY()-LOOKUP(2,1/(AG357:AT357&lt;&gt;""),AG357:AT357))</t>
        </is>
      </c>
      <c r="AC357" s="38" t="inlineStr">
        <is>
          <t>IF(OR(E357="",COUNT(AG357:AT357)&lt;2),"",LOOKUP(2,1/(AG357:AT357&lt;&gt;""),AG357:AT357)-MIN(AG357:AT357))</t>
        </is>
      </c>
      <c r="AD357" s="38" t="inlineStr">
        <is>
          <t>IF(OR(AB357="",AA357="Not started",AA357=""),"",IFERROR(AB357-IF(VLOOKUP(AA357,'04_Status_Pipeline'!$B$3:$E$20,4,FALSE)="",0,VLOOKUP(AA357,'04_Status_Pipeline'!$B$3:$E$20,4,FALSE)),""))</t>
        </is>
      </c>
      <c r="AE357" s="32" t="inlineStr">
        <is>
          <t>IF(E357="","",IF(OR(Y357="Cancelled",AA357="Cancelled"),"Cancelled",IF(OR(AA357="Completed / Handover",W357&lt;&gt;"",X357&gt;=100),"Completed — on track",IF(L357="Remaining",IF(S357="",IF(V357="","No planned date",IF(TODAY()&gt;V357,"Behind — past planned date",IF(V357-TODAY()&lt;=30,"At risk — close to off track","On track"))),IF(TODAY()&gt;S357,"Behind — award date passed",IF(S357-TODAY()&lt;=30,"At risk — close to off track","On track"))),IF(V357="","No planned date",IF(AND(TODAY()&gt;V357,OR(X357="",X357&lt;100)),"Behind — past end date",IF(AND(R357&lt;&gt;"",V357&lt;&gt;"",X357&lt;&gt;"",(X357&lt;100),((TODAY()-R357)/MAX(V357-R357,1)*100)-X357&gt;15),"Behind — progress lag",IF(AND(V357-TODAY()&lt;=30,V357-TODAY()&gt;=0,OR(X357="",X357&lt;90)),"At risk — close to off track","On track"))))))))</t>
        </is>
      </c>
      <c r="AF357" s="38" t="inlineStr">
        <is>
          <t>IF(OR(E357="",AA357="Completed / Handover",AA357="Cancelled"),"",IF(L357="Remaining",IF(S357&lt;&gt;"",S357-TODAY(),IF(V357="","",V357-TODAY())),IF(V357="","",V357-TODAY())))</t>
        </is>
      </c>
      <c r="AG357" s="44" t="n"/>
      <c r="AH357" s="44" t="n"/>
      <c r="AI357" s="44" t="n"/>
      <c r="AJ357" s="44" t="n"/>
      <c r="AK357" s="44" t="n"/>
      <c r="AL357" s="44" t="n"/>
      <c r="AM357" s="44" t="n"/>
      <c r="AN357" s="44" t="n"/>
      <c r="AO357" s="44" t="n"/>
      <c r="AP357" s="44" t="n"/>
      <c r="AQ357" s="44" t="n"/>
      <c r="AR357" s="40" t="n"/>
      <c r="AS357" s="40" t="n"/>
      <c r="AT357" s="40" t="n"/>
      <c r="AU357" s="38" t="inlineStr">
        <is>
          <t>IF(OR(E357="",AH357=""),"",IF(COUNT(AG357:AG357)=0,"",AH357-LOOKUP(2,1/(AG357:AG357&lt;&gt;""),AG357:AG357)))</t>
        </is>
      </c>
      <c r="AV357" s="38" t="inlineStr">
        <is>
          <t>IF(OR(E357="",AI357=""),"",IF(COUNT(AG357:AH357)=0,"",AI357-LOOKUP(2,1/(AG357:AH357&lt;&gt;""),AG357:AH357)))</t>
        </is>
      </c>
      <c r="AW357" s="38" t="inlineStr">
        <is>
          <t>IF(OR(E357="",AJ357=""),"",IF(COUNT(AG357:AI357)=0,"",AJ357-LOOKUP(2,1/(AG357:AI357&lt;&gt;""),AG357:AI357)))</t>
        </is>
      </c>
      <c r="AX357" s="38" t="inlineStr">
        <is>
          <t>IF(OR(E357="",AK357=""),"",IF(COUNT(AG357:AJ357)=0,"",AK357-LOOKUP(2,1/(AG357:AJ357&lt;&gt;""),AG357:AJ357)))</t>
        </is>
      </c>
      <c r="AY357" s="38" t="inlineStr">
        <is>
          <t>IF(OR(E357="",AL357=""),"",IF(COUNT(AG357:AK357)=0,"",AL357-LOOKUP(2,1/(AG357:AK357&lt;&gt;""),AG357:AK357)))</t>
        </is>
      </c>
      <c r="AZ357" s="38" t="inlineStr">
        <is>
          <t>IF(OR(E357="",AM357=""),"",IF(COUNT(AG357:AL357)=0,"",AM357-LOOKUP(2,1/(AG357:AL357&lt;&gt;""),AG357:AL357)))</t>
        </is>
      </c>
      <c r="BA357" s="38" t="inlineStr">
        <is>
          <t>IF(OR(E357="",AN357=""),"",IF(COUNT(AG357:AM357)=0,"",AN357-LOOKUP(2,1/(AG357:AM357&lt;&gt;""),AG357:AM357)))</t>
        </is>
      </c>
      <c r="BB357" s="38" t="inlineStr">
        <is>
          <t>IF(OR(E357="",AO357=""),"",IF(COUNT(AG357:AN357)=0,"",AO357-LOOKUP(2,1/(AG357:AN357&lt;&gt;""),AG357:AN357)))</t>
        </is>
      </c>
      <c r="BC357" s="38" t="inlineStr">
        <is>
          <t>IF(OR(E357="",AP357=""),"",IF(COUNT(AG357:AO357)=0,"",AP357-LOOKUP(2,1/(AG357:AO357&lt;&gt;""),AG357:AO357)))</t>
        </is>
      </c>
      <c r="BD357" s="38" t="inlineStr">
        <is>
          <t>IF(OR(E357="",AQ357=""),"",IF(COUNT(AG357:AP357)=0,"",AQ357-LOOKUP(2,1/(AG357:AP357&lt;&gt;""),AG357:AP357)))</t>
        </is>
      </c>
      <c r="BE357" s="38" t="inlineStr">
        <is>
          <t>IF(OR(E357="",AR357=""),"",IF(COUNT(AG357:AQ357)=0,"",AR357-LOOKUP(2,1/(AG357:AQ357&lt;&gt;""),AG357:AQ357)))</t>
        </is>
      </c>
      <c r="BF357" s="38" t="inlineStr">
        <is>
          <t>IF(OR(E357="",AS357=""),"",IF(COUNT(AG357:AR357)=0,"",AS357-LOOKUP(2,1/(AG357:AR357&lt;&gt;""),AG357:AR357)))</t>
        </is>
      </c>
      <c r="BG357" s="38" t="inlineStr">
        <is>
          <t>IF(OR(E357="",AT357=""),"",IF(COUNT(AG357:AS357)=0,"",AT357-LOOKUP(2,1/(AG357:AS357&lt;&gt;""),AG357:AS357)))</t>
        </is>
      </c>
      <c r="BH357" s="41" t="inlineStr">
        <is>
          <t>IF(G357="","All_Provinces",IFERROR(VLOOKUP(G357,'07_Lookups'!$A$4:$B$20,2,FALSE),"All_Provinces"))</t>
        </is>
      </c>
      <c r="BI357" s="41" t="inlineStr">
        <is>
          <t>IF(H357="","All_Districts",IFERROR(VLOOKUP(H357,'07_Lookups'!$E$4:$F$42,2,FALSE),"All_Districts"))</t>
        </is>
      </c>
    </row>
    <row r="358" ht="18" customHeight="1">
      <c r="A358" s="32" t="inlineStr">
        <is>
          <t>IF(E358="","",ROW()-3)</t>
        </is>
      </c>
      <c r="B358" s="33" t="n"/>
      <c r="C358" s="33" t="n"/>
      <c r="D358" s="33" t="n"/>
      <c r="E358" s="33" t="n"/>
      <c r="F358" s="33" t="n"/>
      <c r="G358" s="33" t="n"/>
      <c r="H358" s="33" t="n"/>
      <c r="I358" s="33" t="n"/>
      <c r="J358" s="33" t="n"/>
      <c r="K358" s="33" t="n"/>
      <c r="L358" s="33" t="n"/>
      <c r="M358" s="33" t="n"/>
      <c r="N358" s="33" t="n"/>
      <c r="O358" s="33" t="n"/>
      <c r="P358" s="33" t="n"/>
      <c r="Q358" s="34" t="n"/>
      <c r="R358" s="35" t="inlineStr">
        <is>
          <t>IF(AO358="","",AO358)</t>
        </is>
      </c>
      <c r="S358" s="36" t="n"/>
      <c r="T358" s="37" t="n"/>
      <c r="U358" s="36" t="n"/>
      <c r="V358" s="35" t="inlineStr">
        <is>
          <t>IF(U358&lt;&gt;"",U358,IF(OR(R358="",T358=""),"",EDATE(R358,T358)))</t>
        </is>
      </c>
      <c r="W358" s="36" t="n"/>
      <c r="X358" s="37" t="n"/>
      <c r="Y358" s="33" t="n"/>
      <c r="Z358" s="33" t="n"/>
      <c r="AA358" s="32" t="inlineStr">
        <is>
          <t>IF(E358="","",IF(COUNT(AG358:AT358)=0,IF(Y358="","Not started",Y358),SUBSTITUTE(LOOKUP(2,1/(AG358:AT358&lt;&gt;""),$AG$3:$AT$3),"Date: ","")))</t>
        </is>
      </c>
      <c r="AB358" s="38" t="inlineStr">
        <is>
          <t>IF(OR(E358="",COUNT(AG358:AT358)=0),"",TODAY()-LOOKUP(2,1/(AG358:AT358&lt;&gt;""),AG358:AT358))</t>
        </is>
      </c>
      <c r="AC358" s="38" t="inlineStr">
        <is>
          <t>IF(OR(E358="",COUNT(AG358:AT358)&lt;2),"",LOOKUP(2,1/(AG358:AT358&lt;&gt;""),AG358:AT358)-MIN(AG358:AT358))</t>
        </is>
      </c>
      <c r="AD358" s="38" t="inlineStr">
        <is>
          <t>IF(OR(AB358="",AA358="Not started",AA358=""),"",IFERROR(AB358-IF(VLOOKUP(AA358,'04_Status_Pipeline'!$B$3:$E$20,4,FALSE)="",0,VLOOKUP(AA358,'04_Status_Pipeline'!$B$3:$E$20,4,FALSE)),""))</t>
        </is>
      </c>
      <c r="AE358" s="32" t="inlineStr">
        <is>
          <t>IF(E358="","",IF(OR(Y358="Cancelled",AA358="Cancelled"),"Cancelled",IF(OR(AA358="Completed / Handover",W358&lt;&gt;"",X358&gt;=100),"Completed — on track",IF(L358="Remaining",IF(S358="",IF(V358="","No planned date",IF(TODAY()&gt;V358,"Behind — past planned date",IF(V358-TODAY()&lt;=30,"At risk — close to off track","On track"))),IF(TODAY()&gt;S358,"Behind — award date passed",IF(S358-TODAY()&lt;=30,"At risk — close to off track","On track"))),IF(V358="","No planned date",IF(AND(TODAY()&gt;V358,OR(X358="",X358&lt;100)),"Behind — past end date",IF(AND(R358&lt;&gt;"",V358&lt;&gt;"",X358&lt;&gt;"",(X358&lt;100),((TODAY()-R358)/MAX(V358-R358,1)*100)-X358&gt;15),"Behind — progress lag",IF(AND(V358-TODAY()&lt;=30,V358-TODAY()&gt;=0,OR(X358="",X358&lt;90)),"At risk — close to off track","On track"))))))))</t>
        </is>
      </c>
      <c r="AF358" s="38" t="inlineStr">
        <is>
          <t>IF(OR(E358="",AA358="Completed / Handover",AA358="Cancelled"),"",IF(L358="Remaining",IF(S358&lt;&gt;"",S358-TODAY(),IF(V358="","",V358-TODAY())),IF(V358="","",V358-TODAY())))</t>
        </is>
      </c>
      <c r="AG358" s="36" t="n"/>
      <c r="AH358" s="36" t="n"/>
      <c r="AI358" s="36" t="n"/>
      <c r="AJ358" s="36" t="n"/>
      <c r="AK358" s="36" t="n"/>
      <c r="AL358" s="36" t="n"/>
      <c r="AM358" s="36" t="n"/>
      <c r="AN358" s="36" t="n"/>
      <c r="AO358" s="36" t="n"/>
      <c r="AP358" s="36" t="n"/>
      <c r="AQ358" s="36" t="n"/>
      <c r="AR358" s="40" t="n"/>
      <c r="AS358" s="40" t="n"/>
      <c r="AT358" s="40" t="n"/>
      <c r="AU358" s="38" t="inlineStr">
        <is>
          <t>IF(OR(E358="",AH358=""),"",IF(COUNT(AG358:AG358)=0,"",AH358-LOOKUP(2,1/(AG358:AG358&lt;&gt;""),AG358:AG358)))</t>
        </is>
      </c>
      <c r="AV358" s="38" t="inlineStr">
        <is>
          <t>IF(OR(E358="",AI358=""),"",IF(COUNT(AG358:AH358)=0,"",AI358-LOOKUP(2,1/(AG358:AH358&lt;&gt;""),AG358:AH358)))</t>
        </is>
      </c>
      <c r="AW358" s="38" t="inlineStr">
        <is>
          <t>IF(OR(E358="",AJ358=""),"",IF(COUNT(AG358:AI358)=0,"",AJ358-LOOKUP(2,1/(AG358:AI358&lt;&gt;""),AG358:AI358)))</t>
        </is>
      </c>
      <c r="AX358" s="38" t="inlineStr">
        <is>
          <t>IF(OR(E358="",AK358=""),"",IF(COUNT(AG358:AJ358)=0,"",AK358-LOOKUP(2,1/(AG358:AJ358&lt;&gt;""),AG358:AJ358)))</t>
        </is>
      </c>
      <c r="AY358" s="38" t="inlineStr">
        <is>
          <t>IF(OR(E358="",AL358=""),"",IF(COUNT(AG358:AK358)=0,"",AL358-LOOKUP(2,1/(AG358:AK358&lt;&gt;""),AG358:AK358)))</t>
        </is>
      </c>
      <c r="AZ358" s="38" t="inlineStr">
        <is>
          <t>IF(OR(E358="",AM358=""),"",IF(COUNT(AG358:AL358)=0,"",AM358-LOOKUP(2,1/(AG358:AL358&lt;&gt;""),AG358:AL358)))</t>
        </is>
      </c>
      <c r="BA358" s="38" t="inlineStr">
        <is>
          <t>IF(OR(E358="",AN358=""),"",IF(COUNT(AG358:AM358)=0,"",AN358-LOOKUP(2,1/(AG358:AM358&lt;&gt;""),AG358:AM358)))</t>
        </is>
      </c>
      <c r="BB358" s="38" t="inlineStr">
        <is>
          <t>IF(OR(E358="",AO358=""),"",IF(COUNT(AG358:AN358)=0,"",AO358-LOOKUP(2,1/(AG358:AN358&lt;&gt;""),AG358:AN358)))</t>
        </is>
      </c>
      <c r="BC358" s="38" t="inlineStr">
        <is>
          <t>IF(OR(E358="",AP358=""),"",IF(COUNT(AG358:AO358)=0,"",AP358-LOOKUP(2,1/(AG358:AO358&lt;&gt;""),AG358:AO358)))</t>
        </is>
      </c>
      <c r="BD358" s="38" t="inlineStr">
        <is>
          <t>IF(OR(E358="",AQ358=""),"",IF(COUNT(AG358:AP358)=0,"",AQ358-LOOKUP(2,1/(AG358:AP358&lt;&gt;""),AG358:AP358)))</t>
        </is>
      </c>
      <c r="BE358" s="38" t="inlineStr">
        <is>
          <t>IF(OR(E358="",AR358=""),"",IF(COUNT(AG358:AQ358)=0,"",AR358-LOOKUP(2,1/(AG358:AQ358&lt;&gt;""),AG358:AQ358)))</t>
        </is>
      </c>
      <c r="BF358" s="38" t="inlineStr">
        <is>
          <t>IF(OR(E358="",AS358=""),"",IF(COUNT(AG358:AR358)=0,"",AS358-LOOKUP(2,1/(AG358:AR358&lt;&gt;""),AG358:AR358)))</t>
        </is>
      </c>
      <c r="BG358" s="38" t="inlineStr">
        <is>
          <t>IF(OR(E358="",AT358=""),"",IF(COUNT(AG358:AS358)=0,"",AT358-LOOKUP(2,1/(AG358:AS358&lt;&gt;""),AG358:AS358)))</t>
        </is>
      </c>
      <c r="BH358" s="41" t="inlineStr">
        <is>
          <t>IF(G358="","All_Provinces",IFERROR(VLOOKUP(G358,'07_Lookups'!$A$4:$B$20,2,FALSE),"All_Provinces"))</t>
        </is>
      </c>
      <c r="BI358" s="41" t="inlineStr">
        <is>
          <t>IF(H358="","All_Districts",IFERROR(VLOOKUP(H358,'07_Lookups'!$E$4:$F$42,2,FALSE),"All_Districts"))</t>
        </is>
      </c>
    </row>
    <row r="359" ht="18" customHeight="1">
      <c r="A359" s="32" t="inlineStr">
        <is>
          <t>IF(E359="","",ROW()-3)</t>
        </is>
      </c>
      <c r="B359" s="42" t="n"/>
      <c r="C359" s="42" t="n"/>
      <c r="D359" s="42" t="n"/>
      <c r="E359" s="42" t="n"/>
      <c r="F359" s="42" t="n"/>
      <c r="G359" s="42" t="n"/>
      <c r="H359" s="42" t="n"/>
      <c r="I359" s="42" t="n"/>
      <c r="J359" s="42" t="n"/>
      <c r="K359" s="42" t="n"/>
      <c r="L359" s="42" t="n"/>
      <c r="M359" s="42" t="n"/>
      <c r="N359" s="42" t="n"/>
      <c r="O359" s="42" t="n"/>
      <c r="P359" s="42" t="n"/>
      <c r="Q359" s="43" t="n"/>
      <c r="R359" s="35" t="inlineStr">
        <is>
          <t>IF(AO359="","",AO359)</t>
        </is>
      </c>
      <c r="S359" s="44" t="n"/>
      <c r="T359" s="45" t="n"/>
      <c r="U359" s="44" t="n"/>
      <c r="V359" s="35" t="inlineStr">
        <is>
          <t>IF(U359&lt;&gt;"",U359,IF(OR(R359="",T359=""),"",EDATE(R359,T359)))</t>
        </is>
      </c>
      <c r="W359" s="44" t="n"/>
      <c r="X359" s="45" t="n"/>
      <c r="Y359" s="42" t="n"/>
      <c r="Z359" s="42" t="n"/>
      <c r="AA359" s="32" t="inlineStr">
        <is>
          <t>IF(E359="","",IF(COUNT(AG359:AT359)=0,IF(Y359="","Not started",Y359),SUBSTITUTE(LOOKUP(2,1/(AG359:AT359&lt;&gt;""),$AG$3:$AT$3),"Date: ","")))</t>
        </is>
      </c>
      <c r="AB359" s="38" t="inlineStr">
        <is>
          <t>IF(OR(E359="",COUNT(AG359:AT359)=0),"",TODAY()-LOOKUP(2,1/(AG359:AT359&lt;&gt;""),AG359:AT359))</t>
        </is>
      </c>
      <c r="AC359" s="38" t="inlineStr">
        <is>
          <t>IF(OR(E359="",COUNT(AG359:AT359)&lt;2),"",LOOKUP(2,1/(AG359:AT359&lt;&gt;""),AG359:AT359)-MIN(AG359:AT359))</t>
        </is>
      </c>
      <c r="AD359" s="38" t="inlineStr">
        <is>
          <t>IF(OR(AB359="",AA359="Not started",AA359=""),"",IFERROR(AB359-IF(VLOOKUP(AA359,'04_Status_Pipeline'!$B$3:$E$20,4,FALSE)="",0,VLOOKUP(AA359,'04_Status_Pipeline'!$B$3:$E$20,4,FALSE)),""))</t>
        </is>
      </c>
      <c r="AE359" s="32" t="inlineStr">
        <is>
          <t>IF(E359="","",IF(OR(Y359="Cancelled",AA359="Cancelled"),"Cancelled",IF(OR(AA359="Completed / Handover",W359&lt;&gt;"",X359&gt;=100),"Completed — on track",IF(L359="Remaining",IF(S359="",IF(V359="","No planned date",IF(TODAY()&gt;V359,"Behind — past planned date",IF(V359-TODAY()&lt;=30,"At risk — close to off track","On track"))),IF(TODAY()&gt;S359,"Behind — award date passed",IF(S359-TODAY()&lt;=30,"At risk — close to off track","On track"))),IF(V359="","No planned date",IF(AND(TODAY()&gt;V359,OR(X359="",X359&lt;100)),"Behind — past end date",IF(AND(R359&lt;&gt;"",V359&lt;&gt;"",X359&lt;&gt;"",(X359&lt;100),((TODAY()-R359)/MAX(V359-R359,1)*100)-X359&gt;15),"Behind — progress lag",IF(AND(V359-TODAY()&lt;=30,V359-TODAY()&gt;=0,OR(X359="",X359&lt;90)),"At risk — close to off track","On track"))))))))</t>
        </is>
      </c>
      <c r="AF359" s="38" t="inlineStr">
        <is>
          <t>IF(OR(E359="",AA359="Completed / Handover",AA359="Cancelled"),"",IF(L359="Remaining",IF(S359&lt;&gt;"",S359-TODAY(),IF(V359="","",V359-TODAY())),IF(V359="","",V359-TODAY())))</t>
        </is>
      </c>
      <c r="AG359" s="44" t="n"/>
      <c r="AH359" s="44" t="n"/>
      <c r="AI359" s="44" t="n"/>
      <c r="AJ359" s="44" t="n"/>
      <c r="AK359" s="44" t="n"/>
      <c r="AL359" s="44" t="n"/>
      <c r="AM359" s="44" t="n"/>
      <c r="AN359" s="44" t="n"/>
      <c r="AO359" s="44" t="n"/>
      <c r="AP359" s="44" t="n"/>
      <c r="AQ359" s="44" t="n"/>
      <c r="AR359" s="40" t="n"/>
      <c r="AS359" s="40" t="n"/>
      <c r="AT359" s="40" t="n"/>
      <c r="AU359" s="38" t="inlineStr">
        <is>
          <t>IF(OR(E359="",AH359=""),"",IF(COUNT(AG359:AG359)=0,"",AH359-LOOKUP(2,1/(AG359:AG359&lt;&gt;""),AG359:AG359)))</t>
        </is>
      </c>
      <c r="AV359" s="38" t="inlineStr">
        <is>
          <t>IF(OR(E359="",AI359=""),"",IF(COUNT(AG359:AH359)=0,"",AI359-LOOKUP(2,1/(AG359:AH359&lt;&gt;""),AG359:AH359)))</t>
        </is>
      </c>
      <c r="AW359" s="38" t="inlineStr">
        <is>
          <t>IF(OR(E359="",AJ359=""),"",IF(COUNT(AG359:AI359)=0,"",AJ359-LOOKUP(2,1/(AG359:AI359&lt;&gt;""),AG359:AI359)))</t>
        </is>
      </c>
      <c r="AX359" s="38" t="inlineStr">
        <is>
          <t>IF(OR(E359="",AK359=""),"",IF(COUNT(AG359:AJ359)=0,"",AK359-LOOKUP(2,1/(AG359:AJ359&lt;&gt;""),AG359:AJ359)))</t>
        </is>
      </c>
      <c r="AY359" s="38" t="inlineStr">
        <is>
          <t>IF(OR(E359="",AL359=""),"",IF(COUNT(AG359:AK359)=0,"",AL359-LOOKUP(2,1/(AG359:AK359&lt;&gt;""),AG359:AK359)))</t>
        </is>
      </c>
      <c r="AZ359" s="38" t="inlineStr">
        <is>
          <t>IF(OR(E359="",AM359=""),"",IF(COUNT(AG359:AL359)=0,"",AM359-LOOKUP(2,1/(AG359:AL359&lt;&gt;""),AG359:AL359)))</t>
        </is>
      </c>
      <c r="BA359" s="38" t="inlineStr">
        <is>
          <t>IF(OR(E359="",AN359=""),"",IF(COUNT(AG359:AM359)=0,"",AN359-LOOKUP(2,1/(AG359:AM359&lt;&gt;""),AG359:AM359)))</t>
        </is>
      </c>
      <c r="BB359" s="38" t="inlineStr">
        <is>
          <t>IF(OR(E359="",AO359=""),"",IF(COUNT(AG359:AN359)=0,"",AO359-LOOKUP(2,1/(AG359:AN359&lt;&gt;""),AG359:AN359)))</t>
        </is>
      </c>
      <c r="BC359" s="38" t="inlineStr">
        <is>
          <t>IF(OR(E359="",AP359=""),"",IF(COUNT(AG359:AO359)=0,"",AP359-LOOKUP(2,1/(AG359:AO359&lt;&gt;""),AG359:AO359)))</t>
        </is>
      </c>
      <c r="BD359" s="38" t="inlineStr">
        <is>
          <t>IF(OR(E359="",AQ359=""),"",IF(COUNT(AG359:AP359)=0,"",AQ359-LOOKUP(2,1/(AG359:AP359&lt;&gt;""),AG359:AP359)))</t>
        </is>
      </c>
      <c r="BE359" s="38" t="inlineStr">
        <is>
          <t>IF(OR(E359="",AR359=""),"",IF(COUNT(AG359:AQ359)=0,"",AR359-LOOKUP(2,1/(AG359:AQ359&lt;&gt;""),AG359:AQ359)))</t>
        </is>
      </c>
      <c r="BF359" s="38" t="inlineStr">
        <is>
          <t>IF(OR(E359="",AS359=""),"",IF(COUNT(AG359:AR359)=0,"",AS359-LOOKUP(2,1/(AG359:AR359&lt;&gt;""),AG359:AR359)))</t>
        </is>
      </c>
      <c r="BG359" s="38" t="inlineStr">
        <is>
          <t>IF(OR(E359="",AT359=""),"",IF(COUNT(AG359:AS359)=0,"",AT359-LOOKUP(2,1/(AG359:AS359&lt;&gt;""),AG359:AS359)))</t>
        </is>
      </c>
      <c r="BH359" s="41" t="inlineStr">
        <is>
          <t>IF(G359="","All_Provinces",IFERROR(VLOOKUP(G359,'07_Lookups'!$A$4:$B$20,2,FALSE),"All_Provinces"))</t>
        </is>
      </c>
      <c r="BI359" s="41" t="inlineStr">
        <is>
          <t>IF(H359="","All_Districts",IFERROR(VLOOKUP(H359,'07_Lookups'!$E$4:$F$42,2,FALSE),"All_Districts"))</t>
        </is>
      </c>
    </row>
    <row r="360" ht="18" customHeight="1">
      <c r="A360" s="32" t="inlineStr">
        <is>
          <t>IF(E360="","",ROW()-3)</t>
        </is>
      </c>
      <c r="B360" s="33" t="n"/>
      <c r="C360" s="33" t="n"/>
      <c r="D360" s="33" t="n"/>
      <c r="E360" s="33" t="n"/>
      <c r="F360" s="33" t="n"/>
      <c r="G360" s="33" t="n"/>
      <c r="H360" s="33" t="n"/>
      <c r="I360" s="33" t="n"/>
      <c r="J360" s="33" t="n"/>
      <c r="K360" s="33" t="n"/>
      <c r="L360" s="33" t="n"/>
      <c r="M360" s="33" t="n"/>
      <c r="N360" s="33" t="n"/>
      <c r="O360" s="33" t="n"/>
      <c r="P360" s="33" t="n"/>
      <c r="Q360" s="34" t="n"/>
      <c r="R360" s="35" t="inlineStr">
        <is>
          <t>IF(AO360="","",AO360)</t>
        </is>
      </c>
      <c r="S360" s="36" t="n"/>
      <c r="T360" s="37" t="n"/>
      <c r="U360" s="36" t="n"/>
      <c r="V360" s="35" t="inlineStr">
        <is>
          <t>IF(U360&lt;&gt;"",U360,IF(OR(R360="",T360=""),"",EDATE(R360,T360)))</t>
        </is>
      </c>
      <c r="W360" s="36" t="n"/>
      <c r="X360" s="37" t="n"/>
      <c r="Y360" s="33" t="n"/>
      <c r="Z360" s="33" t="n"/>
      <c r="AA360" s="32" t="inlineStr">
        <is>
          <t>IF(E360="","",IF(COUNT(AG360:AT360)=0,IF(Y360="","Not started",Y360),SUBSTITUTE(LOOKUP(2,1/(AG360:AT360&lt;&gt;""),$AG$3:$AT$3),"Date: ","")))</t>
        </is>
      </c>
      <c r="AB360" s="38" t="inlineStr">
        <is>
          <t>IF(OR(E360="",COUNT(AG360:AT360)=0),"",TODAY()-LOOKUP(2,1/(AG360:AT360&lt;&gt;""),AG360:AT360))</t>
        </is>
      </c>
      <c r="AC360" s="38" t="inlineStr">
        <is>
          <t>IF(OR(E360="",COUNT(AG360:AT360)&lt;2),"",LOOKUP(2,1/(AG360:AT360&lt;&gt;""),AG360:AT360)-MIN(AG360:AT360))</t>
        </is>
      </c>
      <c r="AD360" s="38" t="inlineStr">
        <is>
          <t>IF(OR(AB360="",AA360="Not started",AA360=""),"",IFERROR(AB360-IF(VLOOKUP(AA360,'04_Status_Pipeline'!$B$3:$E$20,4,FALSE)="",0,VLOOKUP(AA360,'04_Status_Pipeline'!$B$3:$E$20,4,FALSE)),""))</t>
        </is>
      </c>
      <c r="AE360" s="32" t="inlineStr">
        <is>
          <t>IF(E360="","",IF(OR(Y360="Cancelled",AA360="Cancelled"),"Cancelled",IF(OR(AA360="Completed / Handover",W360&lt;&gt;"",X360&gt;=100),"Completed — on track",IF(L360="Remaining",IF(S360="",IF(V360="","No planned date",IF(TODAY()&gt;V360,"Behind — past planned date",IF(V360-TODAY()&lt;=30,"At risk — close to off track","On track"))),IF(TODAY()&gt;S360,"Behind — award date passed",IF(S360-TODAY()&lt;=30,"At risk — close to off track","On track"))),IF(V360="","No planned date",IF(AND(TODAY()&gt;V360,OR(X360="",X360&lt;100)),"Behind — past end date",IF(AND(R360&lt;&gt;"",V360&lt;&gt;"",X360&lt;&gt;"",(X360&lt;100),((TODAY()-R360)/MAX(V360-R360,1)*100)-X360&gt;15),"Behind — progress lag",IF(AND(V360-TODAY()&lt;=30,V360-TODAY()&gt;=0,OR(X360="",X360&lt;90)),"At risk — close to off track","On track"))))))))</t>
        </is>
      </c>
      <c r="AF360" s="38" t="inlineStr">
        <is>
          <t>IF(OR(E360="",AA360="Completed / Handover",AA360="Cancelled"),"",IF(L360="Remaining",IF(S360&lt;&gt;"",S360-TODAY(),IF(V360="","",V360-TODAY())),IF(V360="","",V360-TODAY())))</t>
        </is>
      </c>
      <c r="AG360" s="36" t="n"/>
      <c r="AH360" s="36" t="n"/>
      <c r="AI360" s="36" t="n"/>
      <c r="AJ360" s="36" t="n"/>
      <c r="AK360" s="36" t="n"/>
      <c r="AL360" s="36" t="n"/>
      <c r="AM360" s="36" t="n"/>
      <c r="AN360" s="36" t="n"/>
      <c r="AO360" s="36" t="n"/>
      <c r="AP360" s="36" t="n"/>
      <c r="AQ360" s="36" t="n"/>
      <c r="AR360" s="40" t="n"/>
      <c r="AS360" s="40" t="n"/>
      <c r="AT360" s="40" t="n"/>
      <c r="AU360" s="38" t="inlineStr">
        <is>
          <t>IF(OR(E360="",AH360=""),"",IF(COUNT(AG360:AG360)=0,"",AH360-LOOKUP(2,1/(AG360:AG360&lt;&gt;""),AG360:AG360)))</t>
        </is>
      </c>
      <c r="AV360" s="38" t="inlineStr">
        <is>
          <t>IF(OR(E360="",AI360=""),"",IF(COUNT(AG360:AH360)=0,"",AI360-LOOKUP(2,1/(AG360:AH360&lt;&gt;""),AG360:AH360)))</t>
        </is>
      </c>
      <c r="AW360" s="38" t="inlineStr">
        <is>
          <t>IF(OR(E360="",AJ360=""),"",IF(COUNT(AG360:AI360)=0,"",AJ360-LOOKUP(2,1/(AG360:AI360&lt;&gt;""),AG360:AI360)))</t>
        </is>
      </c>
      <c r="AX360" s="38" t="inlineStr">
        <is>
          <t>IF(OR(E360="",AK360=""),"",IF(COUNT(AG360:AJ360)=0,"",AK360-LOOKUP(2,1/(AG360:AJ360&lt;&gt;""),AG360:AJ360)))</t>
        </is>
      </c>
      <c r="AY360" s="38" t="inlineStr">
        <is>
          <t>IF(OR(E360="",AL360=""),"",IF(COUNT(AG360:AK360)=0,"",AL360-LOOKUP(2,1/(AG360:AK360&lt;&gt;""),AG360:AK360)))</t>
        </is>
      </c>
      <c r="AZ360" s="38" t="inlineStr">
        <is>
          <t>IF(OR(E360="",AM360=""),"",IF(COUNT(AG360:AL360)=0,"",AM360-LOOKUP(2,1/(AG360:AL360&lt;&gt;""),AG360:AL360)))</t>
        </is>
      </c>
      <c r="BA360" s="38" t="inlineStr">
        <is>
          <t>IF(OR(E360="",AN360=""),"",IF(COUNT(AG360:AM360)=0,"",AN360-LOOKUP(2,1/(AG360:AM360&lt;&gt;""),AG360:AM360)))</t>
        </is>
      </c>
      <c r="BB360" s="38" t="inlineStr">
        <is>
          <t>IF(OR(E360="",AO360=""),"",IF(COUNT(AG360:AN360)=0,"",AO360-LOOKUP(2,1/(AG360:AN360&lt;&gt;""),AG360:AN360)))</t>
        </is>
      </c>
      <c r="BC360" s="38" t="inlineStr">
        <is>
          <t>IF(OR(E360="",AP360=""),"",IF(COUNT(AG360:AO360)=0,"",AP360-LOOKUP(2,1/(AG360:AO360&lt;&gt;""),AG360:AO360)))</t>
        </is>
      </c>
      <c r="BD360" s="38" t="inlineStr">
        <is>
          <t>IF(OR(E360="",AQ360=""),"",IF(COUNT(AG360:AP360)=0,"",AQ360-LOOKUP(2,1/(AG360:AP360&lt;&gt;""),AG360:AP360)))</t>
        </is>
      </c>
      <c r="BE360" s="38" t="inlineStr">
        <is>
          <t>IF(OR(E360="",AR360=""),"",IF(COUNT(AG360:AQ360)=0,"",AR360-LOOKUP(2,1/(AG360:AQ360&lt;&gt;""),AG360:AQ360)))</t>
        </is>
      </c>
      <c r="BF360" s="38" t="inlineStr">
        <is>
          <t>IF(OR(E360="",AS360=""),"",IF(COUNT(AG360:AR360)=0,"",AS360-LOOKUP(2,1/(AG360:AR360&lt;&gt;""),AG360:AR360)))</t>
        </is>
      </c>
      <c r="BG360" s="38" t="inlineStr">
        <is>
          <t>IF(OR(E360="",AT360=""),"",IF(COUNT(AG360:AS360)=0,"",AT360-LOOKUP(2,1/(AG360:AS360&lt;&gt;""),AG360:AS360)))</t>
        </is>
      </c>
      <c r="BH360" s="41" t="inlineStr">
        <is>
          <t>IF(G360="","All_Provinces",IFERROR(VLOOKUP(G360,'07_Lookups'!$A$4:$B$20,2,FALSE),"All_Provinces"))</t>
        </is>
      </c>
      <c r="BI360" s="41" t="inlineStr">
        <is>
          <t>IF(H360="","All_Districts",IFERROR(VLOOKUP(H360,'07_Lookups'!$E$4:$F$42,2,FALSE),"All_Districts"))</t>
        </is>
      </c>
    </row>
    <row r="361" ht="18" customHeight="1">
      <c r="A361" s="32" t="inlineStr">
        <is>
          <t>IF(E361="","",ROW()-3)</t>
        </is>
      </c>
      <c r="B361" s="42" t="n"/>
      <c r="C361" s="42" t="n"/>
      <c r="D361" s="42" t="n"/>
      <c r="E361" s="42" t="n"/>
      <c r="F361" s="42" t="n"/>
      <c r="G361" s="42" t="n"/>
      <c r="H361" s="42" t="n"/>
      <c r="I361" s="42" t="n"/>
      <c r="J361" s="42" t="n"/>
      <c r="K361" s="42" t="n"/>
      <c r="L361" s="42" t="n"/>
      <c r="M361" s="42" t="n"/>
      <c r="N361" s="42" t="n"/>
      <c r="O361" s="42" t="n"/>
      <c r="P361" s="42" t="n"/>
      <c r="Q361" s="43" t="n"/>
      <c r="R361" s="35" t="inlineStr">
        <is>
          <t>IF(AO361="","",AO361)</t>
        </is>
      </c>
      <c r="S361" s="44" t="n"/>
      <c r="T361" s="45" t="n"/>
      <c r="U361" s="44" t="n"/>
      <c r="V361" s="35" t="inlineStr">
        <is>
          <t>IF(U361&lt;&gt;"",U361,IF(OR(R361="",T361=""),"",EDATE(R361,T361)))</t>
        </is>
      </c>
      <c r="W361" s="44" t="n"/>
      <c r="X361" s="45" t="n"/>
      <c r="Y361" s="42" t="n"/>
      <c r="Z361" s="42" t="n"/>
      <c r="AA361" s="32" t="inlineStr">
        <is>
          <t>IF(E361="","",IF(COUNT(AG361:AT361)=0,IF(Y361="","Not started",Y361),SUBSTITUTE(LOOKUP(2,1/(AG361:AT361&lt;&gt;""),$AG$3:$AT$3),"Date: ","")))</t>
        </is>
      </c>
      <c r="AB361" s="38" t="inlineStr">
        <is>
          <t>IF(OR(E361="",COUNT(AG361:AT361)=0),"",TODAY()-LOOKUP(2,1/(AG361:AT361&lt;&gt;""),AG361:AT361))</t>
        </is>
      </c>
      <c r="AC361" s="38" t="inlineStr">
        <is>
          <t>IF(OR(E361="",COUNT(AG361:AT361)&lt;2),"",LOOKUP(2,1/(AG361:AT361&lt;&gt;""),AG361:AT361)-MIN(AG361:AT361))</t>
        </is>
      </c>
      <c r="AD361" s="38" t="inlineStr">
        <is>
          <t>IF(OR(AB361="",AA361="Not started",AA361=""),"",IFERROR(AB361-IF(VLOOKUP(AA361,'04_Status_Pipeline'!$B$3:$E$20,4,FALSE)="",0,VLOOKUP(AA361,'04_Status_Pipeline'!$B$3:$E$20,4,FALSE)),""))</t>
        </is>
      </c>
      <c r="AE361" s="32" t="inlineStr">
        <is>
          <t>IF(E361="","",IF(OR(Y361="Cancelled",AA361="Cancelled"),"Cancelled",IF(OR(AA361="Completed / Handover",W361&lt;&gt;"",X361&gt;=100),"Completed — on track",IF(L361="Remaining",IF(S361="",IF(V361="","No planned date",IF(TODAY()&gt;V361,"Behind — past planned date",IF(V361-TODAY()&lt;=30,"At risk — close to off track","On track"))),IF(TODAY()&gt;S361,"Behind — award date passed",IF(S361-TODAY()&lt;=30,"At risk — close to off track","On track"))),IF(V361="","No planned date",IF(AND(TODAY()&gt;V361,OR(X361="",X361&lt;100)),"Behind — past end date",IF(AND(R361&lt;&gt;"",V361&lt;&gt;"",X361&lt;&gt;"",(X361&lt;100),((TODAY()-R361)/MAX(V361-R361,1)*100)-X361&gt;15),"Behind — progress lag",IF(AND(V361-TODAY()&lt;=30,V361-TODAY()&gt;=0,OR(X361="",X361&lt;90)),"At risk — close to off track","On track"))))))))</t>
        </is>
      </c>
      <c r="AF361" s="38" t="inlineStr">
        <is>
          <t>IF(OR(E361="",AA361="Completed / Handover",AA361="Cancelled"),"",IF(L361="Remaining",IF(S361&lt;&gt;"",S361-TODAY(),IF(V361="","",V361-TODAY())),IF(V361="","",V361-TODAY())))</t>
        </is>
      </c>
      <c r="AG361" s="44" t="n"/>
      <c r="AH361" s="44" t="n"/>
      <c r="AI361" s="44" t="n"/>
      <c r="AJ361" s="44" t="n"/>
      <c r="AK361" s="44" t="n"/>
      <c r="AL361" s="44" t="n"/>
      <c r="AM361" s="44" t="n"/>
      <c r="AN361" s="44" t="n"/>
      <c r="AO361" s="44" t="n"/>
      <c r="AP361" s="44" t="n"/>
      <c r="AQ361" s="44" t="n"/>
      <c r="AR361" s="40" t="n"/>
      <c r="AS361" s="40" t="n"/>
      <c r="AT361" s="40" t="n"/>
      <c r="AU361" s="38" t="inlineStr">
        <is>
          <t>IF(OR(E361="",AH361=""),"",IF(COUNT(AG361:AG361)=0,"",AH361-LOOKUP(2,1/(AG361:AG361&lt;&gt;""),AG361:AG361)))</t>
        </is>
      </c>
      <c r="AV361" s="38" t="inlineStr">
        <is>
          <t>IF(OR(E361="",AI361=""),"",IF(COUNT(AG361:AH361)=0,"",AI361-LOOKUP(2,1/(AG361:AH361&lt;&gt;""),AG361:AH361)))</t>
        </is>
      </c>
      <c r="AW361" s="38" t="inlineStr">
        <is>
          <t>IF(OR(E361="",AJ361=""),"",IF(COUNT(AG361:AI361)=0,"",AJ361-LOOKUP(2,1/(AG361:AI361&lt;&gt;""),AG361:AI361)))</t>
        </is>
      </c>
      <c r="AX361" s="38" t="inlineStr">
        <is>
          <t>IF(OR(E361="",AK361=""),"",IF(COUNT(AG361:AJ361)=0,"",AK361-LOOKUP(2,1/(AG361:AJ361&lt;&gt;""),AG361:AJ361)))</t>
        </is>
      </c>
      <c r="AY361" s="38" t="inlineStr">
        <is>
          <t>IF(OR(E361="",AL361=""),"",IF(COUNT(AG361:AK361)=0,"",AL361-LOOKUP(2,1/(AG361:AK361&lt;&gt;""),AG361:AK361)))</t>
        </is>
      </c>
      <c r="AZ361" s="38" t="inlineStr">
        <is>
          <t>IF(OR(E361="",AM361=""),"",IF(COUNT(AG361:AL361)=0,"",AM361-LOOKUP(2,1/(AG361:AL361&lt;&gt;""),AG361:AL361)))</t>
        </is>
      </c>
      <c r="BA361" s="38" t="inlineStr">
        <is>
          <t>IF(OR(E361="",AN361=""),"",IF(COUNT(AG361:AM361)=0,"",AN361-LOOKUP(2,1/(AG361:AM361&lt;&gt;""),AG361:AM361)))</t>
        </is>
      </c>
      <c r="BB361" s="38" t="inlineStr">
        <is>
          <t>IF(OR(E361="",AO361=""),"",IF(COUNT(AG361:AN361)=0,"",AO361-LOOKUP(2,1/(AG361:AN361&lt;&gt;""),AG361:AN361)))</t>
        </is>
      </c>
      <c r="BC361" s="38" t="inlineStr">
        <is>
          <t>IF(OR(E361="",AP361=""),"",IF(COUNT(AG361:AO361)=0,"",AP361-LOOKUP(2,1/(AG361:AO361&lt;&gt;""),AG361:AO361)))</t>
        </is>
      </c>
      <c r="BD361" s="38" t="inlineStr">
        <is>
          <t>IF(OR(E361="",AQ361=""),"",IF(COUNT(AG361:AP361)=0,"",AQ361-LOOKUP(2,1/(AG361:AP361&lt;&gt;""),AG361:AP361)))</t>
        </is>
      </c>
      <c r="BE361" s="38" t="inlineStr">
        <is>
          <t>IF(OR(E361="",AR361=""),"",IF(COUNT(AG361:AQ361)=0,"",AR361-LOOKUP(2,1/(AG361:AQ361&lt;&gt;""),AG361:AQ361)))</t>
        </is>
      </c>
      <c r="BF361" s="38" t="inlineStr">
        <is>
          <t>IF(OR(E361="",AS361=""),"",IF(COUNT(AG361:AR361)=0,"",AS361-LOOKUP(2,1/(AG361:AR361&lt;&gt;""),AG361:AR361)))</t>
        </is>
      </c>
      <c r="BG361" s="38" t="inlineStr">
        <is>
          <t>IF(OR(E361="",AT361=""),"",IF(COUNT(AG361:AS361)=0,"",AT361-LOOKUP(2,1/(AG361:AS361&lt;&gt;""),AG361:AS361)))</t>
        </is>
      </c>
      <c r="BH361" s="41" t="inlineStr">
        <is>
          <t>IF(G361="","All_Provinces",IFERROR(VLOOKUP(G361,'07_Lookups'!$A$4:$B$20,2,FALSE),"All_Provinces"))</t>
        </is>
      </c>
      <c r="BI361" s="41" t="inlineStr">
        <is>
          <t>IF(H361="","All_Districts",IFERROR(VLOOKUP(H361,'07_Lookups'!$E$4:$F$42,2,FALSE),"All_Districts"))</t>
        </is>
      </c>
    </row>
    <row r="362" ht="18" customHeight="1">
      <c r="A362" s="32" t="inlineStr">
        <is>
          <t>IF(E362="","",ROW()-3)</t>
        </is>
      </c>
      <c r="B362" s="33" t="n"/>
      <c r="C362" s="33" t="n"/>
      <c r="D362" s="33" t="n"/>
      <c r="E362" s="33" t="n"/>
      <c r="F362" s="33" t="n"/>
      <c r="G362" s="33" t="n"/>
      <c r="H362" s="33" t="n"/>
      <c r="I362" s="33" t="n"/>
      <c r="J362" s="33" t="n"/>
      <c r="K362" s="33" t="n"/>
      <c r="L362" s="33" t="n"/>
      <c r="M362" s="33" t="n"/>
      <c r="N362" s="33" t="n"/>
      <c r="O362" s="33" t="n"/>
      <c r="P362" s="33" t="n"/>
      <c r="Q362" s="34" t="n"/>
      <c r="R362" s="35" t="inlineStr">
        <is>
          <t>IF(AO362="","",AO362)</t>
        </is>
      </c>
      <c r="S362" s="36" t="n"/>
      <c r="T362" s="37" t="n"/>
      <c r="U362" s="36" t="n"/>
      <c r="V362" s="35" t="inlineStr">
        <is>
          <t>IF(U362&lt;&gt;"",U362,IF(OR(R362="",T362=""),"",EDATE(R362,T362)))</t>
        </is>
      </c>
      <c r="W362" s="36" t="n"/>
      <c r="X362" s="37" t="n"/>
      <c r="Y362" s="33" t="n"/>
      <c r="Z362" s="33" t="n"/>
      <c r="AA362" s="32" t="inlineStr">
        <is>
          <t>IF(E362="","",IF(COUNT(AG362:AT362)=0,IF(Y362="","Not started",Y362),SUBSTITUTE(LOOKUP(2,1/(AG362:AT362&lt;&gt;""),$AG$3:$AT$3),"Date: ","")))</t>
        </is>
      </c>
      <c r="AB362" s="38" t="inlineStr">
        <is>
          <t>IF(OR(E362="",COUNT(AG362:AT362)=0),"",TODAY()-LOOKUP(2,1/(AG362:AT362&lt;&gt;""),AG362:AT362))</t>
        </is>
      </c>
      <c r="AC362" s="38" t="inlineStr">
        <is>
          <t>IF(OR(E362="",COUNT(AG362:AT362)&lt;2),"",LOOKUP(2,1/(AG362:AT362&lt;&gt;""),AG362:AT362)-MIN(AG362:AT362))</t>
        </is>
      </c>
      <c r="AD362" s="38" t="inlineStr">
        <is>
          <t>IF(OR(AB362="",AA362="Not started",AA362=""),"",IFERROR(AB362-IF(VLOOKUP(AA362,'04_Status_Pipeline'!$B$3:$E$20,4,FALSE)="",0,VLOOKUP(AA362,'04_Status_Pipeline'!$B$3:$E$20,4,FALSE)),""))</t>
        </is>
      </c>
      <c r="AE362" s="32" t="inlineStr">
        <is>
          <t>IF(E362="","",IF(OR(Y362="Cancelled",AA362="Cancelled"),"Cancelled",IF(OR(AA362="Completed / Handover",W362&lt;&gt;"",X362&gt;=100),"Completed — on track",IF(L362="Remaining",IF(S362="",IF(V362="","No planned date",IF(TODAY()&gt;V362,"Behind — past planned date",IF(V362-TODAY()&lt;=30,"At risk — close to off track","On track"))),IF(TODAY()&gt;S362,"Behind — award date passed",IF(S362-TODAY()&lt;=30,"At risk — close to off track","On track"))),IF(V362="","No planned date",IF(AND(TODAY()&gt;V362,OR(X362="",X362&lt;100)),"Behind — past end date",IF(AND(R362&lt;&gt;"",V362&lt;&gt;"",X362&lt;&gt;"",(X362&lt;100),((TODAY()-R362)/MAX(V362-R362,1)*100)-X362&gt;15),"Behind — progress lag",IF(AND(V362-TODAY()&lt;=30,V362-TODAY()&gt;=0,OR(X362="",X362&lt;90)),"At risk — close to off track","On track"))))))))</t>
        </is>
      </c>
      <c r="AF362" s="38" t="inlineStr">
        <is>
          <t>IF(OR(E362="",AA362="Completed / Handover",AA362="Cancelled"),"",IF(L362="Remaining",IF(S362&lt;&gt;"",S362-TODAY(),IF(V362="","",V362-TODAY())),IF(V362="","",V362-TODAY())))</t>
        </is>
      </c>
      <c r="AG362" s="36" t="n"/>
      <c r="AH362" s="36" t="n"/>
      <c r="AI362" s="36" t="n"/>
      <c r="AJ362" s="36" t="n"/>
      <c r="AK362" s="36" t="n"/>
      <c r="AL362" s="36" t="n"/>
      <c r="AM362" s="36" t="n"/>
      <c r="AN362" s="36" t="n"/>
      <c r="AO362" s="36" t="n"/>
      <c r="AP362" s="36" t="n"/>
      <c r="AQ362" s="36" t="n"/>
      <c r="AR362" s="40" t="n"/>
      <c r="AS362" s="40" t="n"/>
      <c r="AT362" s="40" t="n"/>
      <c r="AU362" s="38" t="inlineStr">
        <is>
          <t>IF(OR(E362="",AH362=""),"",IF(COUNT(AG362:AG362)=0,"",AH362-LOOKUP(2,1/(AG362:AG362&lt;&gt;""),AG362:AG362)))</t>
        </is>
      </c>
      <c r="AV362" s="38" t="inlineStr">
        <is>
          <t>IF(OR(E362="",AI362=""),"",IF(COUNT(AG362:AH362)=0,"",AI362-LOOKUP(2,1/(AG362:AH362&lt;&gt;""),AG362:AH362)))</t>
        </is>
      </c>
      <c r="AW362" s="38" t="inlineStr">
        <is>
          <t>IF(OR(E362="",AJ362=""),"",IF(COUNT(AG362:AI362)=0,"",AJ362-LOOKUP(2,1/(AG362:AI362&lt;&gt;""),AG362:AI362)))</t>
        </is>
      </c>
      <c r="AX362" s="38" t="inlineStr">
        <is>
          <t>IF(OR(E362="",AK362=""),"",IF(COUNT(AG362:AJ362)=0,"",AK362-LOOKUP(2,1/(AG362:AJ362&lt;&gt;""),AG362:AJ362)))</t>
        </is>
      </c>
      <c r="AY362" s="38" t="inlineStr">
        <is>
          <t>IF(OR(E362="",AL362=""),"",IF(COUNT(AG362:AK362)=0,"",AL362-LOOKUP(2,1/(AG362:AK362&lt;&gt;""),AG362:AK362)))</t>
        </is>
      </c>
      <c r="AZ362" s="38" t="inlineStr">
        <is>
          <t>IF(OR(E362="",AM362=""),"",IF(COUNT(AG362:AL362)=0,"",AM362-LOOKUP(2,1/(AG362:AL362&lt;&gt;""),AG362:AL362)))</t>
        </is>
      </c>
      <c r="BA362" s="38" t="inlineStr">
        <is>
          <t>IF(OR(E362="",AN362=""),"",IF(COUNT(AG362:AM362)=0,"",AN362-LOOKUP(2,1/(AG362:AM362&lt;&gt;""),AG362:AM362)))</t>
        </is>
      </c>
      <c r="BB362" s="38" t="inlineStr">
        <is>
          <t>IF(OR(E362="",AO362=""),"",IF(COUNT(AG362:AN362)=0,"",AO362-LOOKUP(2,1/(AG362:AN362&lt;&gt;""),AG362:AN362)))</t>
        </is>
      </c>
      <c r="BC362" s="38" t="inlineStr">
        <is>
          <t>IF(OR(E362="",AP362=""),"",IF(COUNT(AG362:AO362)=0,"",AP362-LOOKUP(2,1/(AG362:AO362&lt;&gt;""),AG362:AO362)))</t>
        </is>
      </c>
      <c r="BD362" s="38" t="inlineStr">
        <is>
          <t>IF(OR(E362="",AQ362=""),"",IF(COUNT(AG362:AP362)=0,"",AQ362-LOOKUP(2,1/(AG362:AP362&lt;&gt;""),AG362:AP362)))</t>
        </is>
      </c>
      <c r="BE362" s="38" t="inlineStr">
        <is>
          <t>IF(OR(E362="",AR362=""),"",IF(COUNT(AG362:AQ362)=0,"",AR362-LOOKUP(2,1/(AG362:AQ362&lt;&gt;""),AG362:AQ362)))</t>
        </is>
      </c>
      <c r="BF362" s="38" t="inlineStr">
        <is>
          <t>IF(OR(E362="",AS362=""),"",IF(COUNT(AG362:AR362)=0,"",AS362-LOOKUP(2,1/(AG362:AR362&lt;&gt;""),AG362:AR362)))</t>
        </is>
      </c>
      <c r="BG362" s="38" t="inlineStr">
        <is>
          <t>IF(OR(E362="",AT362=""),"",IF(COUNT(AG362:AS362)=0,"",AT362-LOOKUP(2,1/(AG362:AS362&lt;&gt;""),AG362:AS362)))</t>
        </is>
      </c>
      <c r="BH362" s="41" t="inlineStr">
        <is>
          <t>IF(G362="","All_Provinces",IFERROR(VLOOKUP(G362,'07_Lookups'!$A$4:$B$20,2,FALSE),"All_Provinces"))</t>
        </is>
      </c>
      <c r="BI362" s="41" t="inlineStr">
        <is>
          <t>IF(H362="","All_Districts",IFERROR(VLOOKUP(H362,'07_Lookups'!$E$4:$F$42,2,FALSE),"All_Districts"))</t>
        </is>
      </c>
    </row>
    <row r="363" ht="18" customHeight="1">
      <c r="A363" s="32" t="inlineStr">
        <is>
          <t>IF(E363="","",ROW()-3)</t>
        </is>
      </c>
      <c r="B363" s="42" t="n"/>
      <c r="C363" s="42" t="n"/>
      <c r="D363" s="42" t="n"/>
      <c r="E363" s="42" t="n"/>
      <c r="F363" s="42" t="n"/>
      <c r="G363" s="42" t="n"/>
      <c r="H363" s="42" t="n"/>
      <c r="I363" s="42" t="n"/>
      <c r="J363" s="42" t="n"/>
      <c r="K363" s="42" t="n"/>
      <c r="L363" s="42" t="n"/>
      <c r="M363" s="42" t="n"/>
      <c r="N363" s="42" t="n"/>
      <c r="O363" s="42" t="n"/>
      <c r="P363" s="42" t="n"/>
      <c r="Q363" s="43" t="n"/>
      <c r="R363" s="35" t="inlineStr">
        <is>
          <t>IF(AO363="","",AO363)</t>
        </is>
      </c>
      <c r="S363" s="44" t="n"/>
      <c r="T363" s="45" t="n"/>
      <c r="U363" s="44" t="n"/>
      <c r="V363" s="35" t="inlineStr">
        <is>
          <t>IF(U363&lt;&gt;"",U363,IF(OR(R363="",T363=""),"",EDATE(R363,T363)))</t>
        </is>
      </c>
      <c r="W363" s="44" t="n"/>
      <c r="X363" s="45" t="n"/>
      <c r="Y363" s="42" t="n"/>
      <c r="Z363" s="42" t="n"/>
      <c r="AA363" s="32" t="inlineStr">
        <is>
          <t>IF(E363="","",IF(COUNT(AG363:AT363)=0,IF(Y363="","Not started",Y363),SUBSTITUTE(LOOKUP(2,1/(AG363:AT363&lt;&gt;""),$AG$3:$AT$3),"Date: ","")))</t>
        </is>
      </c>
      <c r="AB363" s="38" t="inlineStr">
        <is>
          <t>IF(OR(E363="",COUNT(AG363:AT363)=0),"",TODAY()-LOOKUP(2,1/(AG363:AT363&lt;&gt;""),AG363:AT363))</t>
        </is>
      </c>
      <c r="AC363" s="38" t="inlineStr">
        <is>
          <t>IF(OR(E363="",COUNT(AG363:AT363)&lt;2),"",LOOKUP(2,1/(AG363:AT363&lt;&gt;""),AG363:AT363)-MIN(AG363:AT363))</t>
        </is>
      </c>
      <c r="AD363" s="38" t="inlineStr">
        <is>
          <t>IF(OR(AB363="",AA363="Not started",AA363=""),"",IFERROR(AB363-IF(VLOOKUP(AA363,'04_Status_Pipeline'!$B$3:$E$20,4,FALSE)="",0,VLOOKUP(AA363,'04_Status_Pipeline'!$B$3:$E$20,4,FALSE)),""))</t>
        </is>
      </c>
      <c r="AE363" s="32" t="inlineStr">
        <is>
          <t>IF(E363="","",IF(OR(Y363="Cancelled",AA363="Cancelled"),"Cancelled",IF(OR(AA363="Completed / Handover",W363&lt;&gt;"",X363&gt;=100),"Completed — on track",IF(L363="Remaining",IF(S363="",IF(V363="","No planned date",IF(TODAY()&gt;V363,"Behind — past planned date",IF(V363-TODAY()&lt;=30,"At risk — close to off track","On track"))),IF(TODAY()&gt;S363,"Behind — award date passed",IF(S363-TODAY()&lt;=30,"At risk — close to off track","On track"))),IF(V363="","No planned date",IF(AND(TODAY()&gt;V363,OR(X363="",X363&lt;100)),"Behind — past end date",IF(AND(R363&lt;&gt;"",V363&lt;&gt;"",X363&lt;&gt;"",(X363&lt;100),((TODAY()-R363)/MAX(V363-R363,1)*100)-X363&gt;15),"Behind — progress lag",IF(AND(V363-TODAY()&lt;=30,V363-TODAY()&gt;=0,OR(X363="",X363&lt;90)),"At risk — close to off track","On track"))))))))</t>
        </is>
      </c>
      <c r="AF363" s="38" t="inlineStr">
        <is>
          <t>IF(OR(E363="",AA363="Completed / Handover",AA363="Cancelled"),"",IF(L363="Remaining",IF(S363&lt;&gt;"",S363-TODAY(),IF(V363="","",V363-TODAY())),IF(V363="","",V363-TODAY())))</t>
        </is>
      </c>
      <c r="AG363" s="44" t="n"/>
      <c r="AH363" s="44" t="n"/>
      <c r="AI363" s="44" t="n"/>
      <c r="AJ363" s="44" t="n"/>
      <c r="AK363" s="44" t="n"/>
      <c r="AL363" s="44" t="n"/>
      <c r="AM363" s="44" t="n"/>
      <c r="AN363" s="44" t="n"/>
      <c r="AO363" s="44" t="n"/>
      <c r="AP363" s="44" t="n"/>
      <c r="AQ363" s="44" t="n"/>
      <c r="AR363" s="40" t="n"/>
      <c r="AS363" s="40" t="n"/>
      <c r="AT363" s="40" t="n"/>
      <c r="AU363" s="38" t="inlineStr">
        <is>
          <t>IF(OR(E363="",AH363=""),"",IF(COUNT(AG363:AG363)=0,"",AH363-LOOKUP(2,1/(AG363:AG363&lt;&gt;""),AG363:AG363)))</t>
        </is>
      </c>
      <c r="AV363" s="38" t="inlineStr">
        <is>
          <t>IF(OR(E363="",AI363=""),"",IF(COUNT(AG363:AH363)=0,"",AI363-LOOKUP(2,1/(AG363:AH363&lt;&gt;""),AG363:AH363)))</t>
        </is>
      </c>
      <c r="AW363" s="38" t="inlineStr">
        <is>
          <t>IF(OR(E363="",AJ363=""),"",IF(COUNT(AG363:AI363)=0,"",AJ363-LOOKUP(2,1/(AG363:AI363&lt;&gt;""),AG363:AI363)))</t>
        </is>
      </c>
      <c r="AX363" s="38" t="inlineStr">
        <is>
          <t>IF(OR(E363="",AK363=""),"",IF(COUNT(AG363:AJ363)=0,"",AK363-LOOKUP(2,1/(AG363:AJ363&lt;&gt;""),AG363:AJ363)))</t>
        </is>
      </c>
      <c r="AY363" s="38" t="inlineStr">
        <is>
          <t>IF(OR(E363="",AL363=""),"",IF(COUNT(AG363:AK363)=0,"",AL363-LOOKUP(2,1/(AG363:AK363&lt;&gt;""),AG363:AK363)))</t>
        </is>
      </c>
      <c r="AZ363" s="38" t="inlineStr">
        <is>
          <t>IF(OR(E363="",AM363=""),"",IF(COUNT(AG363:AL363)=0,"",AM363-LOOKUP(2,1/(AG363:AL363&lt;&gt;""),AG363:AL363)))</t>
        </is>
      </c>
      <c r="BA363" s="38" t="inlineStr">
        <is>
          <t>IF(OR(E363="",AN363=""),"",IF(COUNT(AG363:AM363)=0,"",AN363-LOOKUP(2,1/(AG363:AM363&lt;&gt;""),AG363:AM363)))</t>
        </is>
      </c>
      <c r="BB363" s="38" t="inlineStr">
        <is>
          <t>IF(OR(E363="",AO363=""),"",IF(COUNT(AG363:AN363)=0,"",AO363-LOOKUP(2,1/(AG363:AN363&lt;&gt;""),AG363:AN363)))</t>
        </is>
      </c>
      <c r="BC363" s="38" t="inlineStr">
        <is>
          <t>IF(OR(E363="",AP363=""),"",IF(COUNT(AG363:AO363)=0,"",AP363-LOOKUP(2,1/(AG363:AO363&lt;&gt;""),AG363:AO363)))</t>
        </is>
      </c>
      <c r="BD363" s="38" t="inlineStr">
        <is>
          <t>IF(OR(E363="",AQ363=""),"",IF(COUNT(AG363:AP363)=0,"",AQ363-LOOKUP(2,1/(AG363:AP363&lt;&gt;""),AG363:AP363)))</t>
        </is>
      </c>
      <c r="BE363" s="38" t="inlineStr">
        <is>
          <t>IF(OR(E363="",AR363=""),"",IF(COUNT(AG363:AQ363)=0,"",AR363-LOOKUP(2,1/(AG363:AQ363&lt;&gt;""),AG363:AQ363)))</t>
        </is>
      </c>
      <c r="BF363" s="38" t="inlineStr">
        <is>
          <t>IF(OR(E363="",AS363=""),"",IF(COUNT(AG363:AR363)=0,"",AS363-LOOKUP(2,1/(AG363:AR363&lt;&gt;""),AG363:AR363)))</t>
        </is>
      </c>
      <c r="BG363" s="38" t="inlineStr">
        <is>
          <t>IF(OR(E363="",AT363=""),"",IF(COUNT(AG363:AS363)=0,"",AT363-LOOKUP(2,1/(AG363:AS363&lt;&gt;""),AG363:AS363)))</t>
        </is>
      </c>
      <c r="BH363" s="41" t="inlineStr">
        <is>
          <t>IF(G363="","All_Provinces",IFERROR(VLOOKUP(G363,'07_Lookups'!$A$4:$B$20,2,FALSE),"All_Provinces"))</t>
        </is>
      </c>
      <c r="BI363" s="41" t="inlineStr">
        <is>
          <t>IF(H363="","All_Districts",IFERROR(VLOOKUP(H363,'07_Lookups'!$E$4:$F$42,2,FALSE),"All_Districts"))</t>
        </is>
      </c>
    </row>
    <row r="364" ht="18" customHeight="1">
      <c r="A364" s="32" t="inlineStr">
        <is>
          <t>IF(E364="","",ROW()-3)</t>
        </is>
      </c>
      <c r="B364" s="33" t="n"/>
      <c r="C364" s="33" t="n"/>
      <c r="D364" s="33" t="n"/>
      <c r="E364" s="33" t="n"/>
      <c r="F364" s="33" t="n"/>
      <c r="G364" s="33" t="n"/>
      <c r="H364" s="33" t="n"/>
      <c r="I364" s="33" t="n"/>
      <c r="J364" s="33" t="n"/>
      <c r="K364" s="33" t="n"/>
      <c r="L364" s="33" t="n"/>
      <c r="M364" s="33" t="n"/>
      <c r="N364" s="33" t="n"/>
      <c r="O364" s="33" t="n"/>
      <c r="P364" s="33" t="n"/>
      <c r="Q364" s="34" t="n"/>
      <c r="R364" s="35" t="inlineStr">
        <is>
          <t>IF(AO364="","",AO364)</t>
        </is>
      </c>
      <c r="S364" s="36" t="n"/>
      <c r="T364" s="37" t="n"/>
      <c r="U364" s="36" t="n"/>
      <c r="V364" s="35" t="inlineStr">
        <is>
          <t>IF(U364&lt;&gt;"",U364,IF(OR(R364="",T364=""),"",EDATE(R364,T364)))</t>
        </is>
      </c>
      <c r="W364" s="36" t="n"/>
      <c r="X364" s="37" t="n"/>
      <c r="Y364" s="33" t="n"/>
      <c r="Z364" s="33" t="n"/>
      <c r="AA364" s="32" t="inlineStr">
        <is>
          <t>IF(E364="","",IF(COUNT(AG364:AT364)=0,IF(Y364="","Not started",Y364),SUBSTITUTE(LOOKUP(2,1/(AG364:AT364&lt;&gt;""),$AG$3:$AT$3),"Date: ","")))</t>
        </is>
      </c>
      <c r="AB364" s="38" t="inlineStr">
        <is>
          <t>IF(OR(E364="",COUNT(AG364:AT364)=0),"",TODAY()-LOOKUP(2,1/(AG364:AT364&lt;&gt;""),AG364:AT364))</t>
        </is>
      </c>
      <c r="AC364" s="38" t="inlineStr">
        <is>
          <t>IF(OR(E364="",COUNT(AG364:AT364)&lt;2),"",LOOKUP(2,1/(AG364:AT364&lt;&gt;""),AG364:AT364)-MIN(AG364:AT364))</t>
        </is>
      </c>
      <c r="AD364" s="38" t="inlineStr">
        <is>
          <t>IF(OR(AB364="",AA364="Not started",AA364=""),"",IFERROR(AB364-IF(VLOOKUP(AA364,'04_Status_Pipeline'!$B$3:$E$20,4,FALSE)="",0,VLOOKUP(AA364,'04_Status_Pipeline'!$B$3:$E$20,4,FALSE)),""))</t>
        </is>
      </c>
      <c r="AE364" s="32" t="inlineStr">
        <is>
          <t>IF(E364="","",IF(OR(Y364="Cancelled",AA364="Cancelled"),"Cancelled",IF(OR(AA364="Completed / Handover",W364&lt;&gt;"",X364&gt;=100),"Completed — on track",IF(L364="Remaining",IF(S364="",IF(V364="","No planned date",IF(TODAY()&gt;V364,"Behind — past planned date",IF(V364-TODAY()&lt;=30,"At risk — close to off track","On track"))),IF(TODAY()&gt;S364,"Behind — award date passed",IF(S364-TODAY()&lt;=30,"At risk — close to off track","On track"))),IF(V364="","No planned date",IF(AND(TODAY()&gt;V364,OR(X364="",X364&lt;100)),"Behind — past end date",IF(AND(R364&lt;&gt;"",V364&lt;&gt;"",X364&lt;&gt;"",(X364&lt;100),((TODAY()-R364)/MAX(V364-R364,1)*100)-X364&gt;15),"Behind — progress lag",IF(AND(V364-TODAY()&lt;=30,V364-TODAY()&gt;=0,OR(X364="",X364&lt;90)),"At risk — close to off track","On track"))))))))</t>
        </is>
      </c>
      <c r="AF364" s="38" t="inlineStr">
        <is>
          <t>IF(OR(E364="",AA364="Completed / Handover",AA364="Cancelled"),"",IF(L364="Remaining",IF(S364&lt;&gt;"",S364-TODAY(),IF(V364="","",V364-TODAY())),IF(V364="","",V364-TODAY())))</t>
        </is>
      </c>
      <c r="AG364" s="36" t="n"/>
      <c r="AH364" s="36" t="n"/>
      <c r="AI364" s="36" t="n"/>
      <c r="AJ364" s="36" t="n"/>
      <c r="AK364" s="36" t="n"/>
      <c r="AL364" s="36" t="n"/>
      <c r="AM364" s="36" t="n"/>
      <c r="AN364" s="36" t="n"/>
      <c r="AO364" s="36" t="n"/>
      <c r="AP364" s="36" t="n"/>
      <c r="AQ364" s="36" t="n"/>
      <c r="AR364" s="40" t="n"/>
      <c r="AS364" s="40" t="n"/>
      <c r="AT364" s="40" t="n"/>
      <c r="AU364" s="38" t="inlineStr">
        <is>
          <t>IF(OR(E364="",AH364=""),"",IF(COUNT(AG364:AG364)=0,"",AH364-LOOKUP(2,1/(AG364:AG364&lt;&gt;""),AG364:AG364)))</t>
        </is>
      </c>
      <c r="AV364" s="38" t="inlineStr">
        <is>
          <t>IF(OR(E364="",AI364=""),"",IF(COUNT(AG364:AH364)=0,"",AI364-LOOKUP(2,1/(AG364:AH364&lt;&gt;""),AG364:AH364)))</t>
        </is>
      </c>
      <c r="AW364" s="38" t="inlineStr">
        <is>
          <t>IF(OR(E364="",AJ364=""),"",IF(COUNT(AG364:AI364)=0,"",AJ364-LOOKUP(2,1/(AG364:AI364&lt;&gt;""),AG364:AI364)))</t>
        </is>
      </c>
      <c r="AX364" s="38" t="inlineStr">
        <is>
          <t>IF(OR(E364="",AK364=""),"",IF(COUNT(AG364:AJ364)=0,"",AK364-LOOKUP(2,1/(AG364:AJ364&lt;&gt;""),AG364:AJ364)))</t>
        </is>
      </c>
      <c r="AY364" s="38" t="inlineStr">
        <is>
          <t>IF(OR(E364="",AL364=""),"",IF(COUNT(AG364:AK364)=0,"",AL364-LOOKUP(2,1/(AG364:AK364&lt;&gt;""),AG364:AK364)))</t>
        </is>
      </c>
      <c r="AZ364" s="38" t="inlineStr">
        <is>
          <t>IF(OR(E364="",AM364=""),"",IF(COUNT(AG364:AL364)=0,"",AM364-LOOKUP(2,1/(AG364:AL364&lt;&gt;""),AG364:AL364)))</t>
        </is>
      </c>
      <c r="BA364" s="38" t="inlineStr">
        <is>
          <t>IF(OR(E364="",AN364=""),"",IF(COUNT(AG364:AM364)=0,"",AN364-LOOKUP(2,1/(AG364:AM364&lt;&gt;""),AG364:AM364)))</t>
        </is>
      </c>
      <c r="BB364" s="38" t="inlineStr">
        <is>
          <t>IF(OR(E364="",AO364=""),"",IF(COUNT(AG364:AN364)=0,"",AO364-LOOKUP(2,1/(AG364:AN364&lt;&gt;""),AG364:AN364)))</t>
        </is>
      </c>
      <c r="BC364" s="38" t="inlineStr">
        <is>
          <t>IF(OR(E364="",AP364=""),"",IF(COUNT(AG364:AO364)=0,"",AP364-LOOKUP(2,1/(AG364:AO364&lt;&gt;""),AG364:AO364)))</t>
        </is>
      </c>
      <c r="BD364" s="38" t="inlineStr">
        <is>
          <t>IF(OR(E364="",AQ364=""),"",IF(COUNT(AG364:AP364)=0,"",AQ364-LOOKUP(2,1/(AG364:AP364&lt;&gt;""),AG364:AP364)))</t>
        </is>
      </c>
      <c r="BE364" s="38" t="inlineStr">
        <is>
          <t>IF(OR(E364="",AR364=""),"",IF(COUNT(AG364:AQ364)=0,"",AR364-LOOKUP(2,1/(AG364:AQ364&lt;&gt;""),AG364:AQ364)))</t>
        </is>
      </c>
      <c r="BF364" s="38" t="inlineStr">
        <is>
          <t>IF(OR(E364="",AS364=""),"",IF(COUNT(AG364:AR364)=0,"",AS364-LOOKUP(2,1/(AG364:AR364&lt;&gt;""),AG364:AR364)))</t>
        </is>
      </c>
      <c r="BG364" s="38" t="inlineStr">
        <is>
          <t>IF(OR(E364="",AT364=""),"",IF(COUNT(AG364:AS364)=0,"",AT364-LOOKUP(2,1/(AG364:AS364&lt;&gt;""),AG364:AS364)))</t>
        </is>
      </c>
      <c r="BH364" s="41" t="inlineStr">
        <is>
          <t>IF(G364="","All_Provinces",IFERROR(VLOOKUP(G364,'07_Lookups'!$A$4:$B$20,2,FALSE),"All_Provinces"))</t>
        </is>
      </c>
      <c r="BI364" s="41" t="inlineStr">
        <is>
          <t>IF(H364="","All_Districts",IFERROR(VLOOKUP(H364,'07_Lookups'!$E$4:$F$42,2,FALSE),"All_Districts"))</t>
        </is>
      </c>
    </row>
    <row r="365" ht="18" customHeight="1">
      <c r="A365" s="32" t="inlineStr">
        <is>
          <t>IF(E365="","",ROW()-3)</t>
        </is>
      </c>
      <c r="B365" s="42" t="n"/>
      <c r="C365" s="42" t="n"/>
      <c r="D365" s="42" t="n"/>
      <c r="E365" s="42" t="n"/>
      <c r="F365" s="42" t="n"/>
      <c r="G365" s="42" t="n"/>
      <c r="H365" s="42" t="n"/>
      <c r="I365" s="42" t="n"/>
      <c r="J365" s="42" t="n"/>
      <c r="K365" s="42" t="n"/>
      <c r="L365" s="42" t="n"/>
      <c r="M365" s="42" t="n"/>
      <c r="N365" s="42" t="n"/>
      <c r="O365" s="42" t="n"/>
      <c r="P365" s="42" t="n"/>
      <c r="Q365" s="43" t="n"/>
      <c r="R365" s="35" t="inlineStr">
        <is>
          <t>IF(AO365="","",AO365)</t>
        </is>
      </c>
      <c r="S365" s="44" t="n"/>
      <c r="T365" s="45" t="n"/>
      <c r="U365" s="44" t="n"/>
      <c r="V365" s="35" t="inlineStr">
        <is>
          <t>IF(U365&lt;&gt;"",U365,IF(OR(R365="",T365=""),"",EDATE(R365,T365)))</t>
        </is>
      </c>
      <c r="W365" s="44" t="n"/>
      <c r="X365" s="45" t="n"/>
      <c r="Y365" s="42" t="n"/>
      <c r="Z365" s="42" t="n"/>
      <c r="AA365" s="32" t="inlineStr">
        <is>
          <t>IF(E365="","",IF(COUNT(AG365:AT365)=0,IF(Y365="","Not started",Y365),SUBSTITUTE(LOOKUP(2,1/(AG365:AT365&lt;&gt;""),$AG$3:$AT$3),"Date: ","")))</t>
        </is>
      </c>
      <c r="AB365" s="38" t="inlineStr">
        <is>
          <t>IF(OR(E365="",COUNT(AG365:AT365)=0),"",TODAY()-LOOKUP(2,1/(AG365:AT365&lt;&gt;""),AG365:AT365))</t>
        </is>
      </c>
      <c r="AC365" s="38" t="inlineStr">
        <is>
          <t>IF(OR(E365="",COUNT(AG365:AT365)&lt;2),"",LOOKUP(2,1/(AG365:AT365&lt;&gt;""),AG365:AT365)-MIN(AG365:AT365))</t>
        </is>
      </c>
      <c r="AD365" s="38" t="inlineStr">
        <is>
          <t>IF(OR(AB365="",AA365="Not started",AA365=""),"",IFERROR(AB365-IF(VLOOKUP(AA365,'04_Status_Pipeline'!$B$3:$E$20,4,FALSE)="",0,VLOOKUP(AA365,'04_Status_Pipeline'!$B$3:$E$20,4,FALSE)),""))</t>
        </is>
      </c>
      <c r="AE365" s="32" t="inlineStr">
        <is>
          <t>IF(E365="","",IF(OR(Y365="Cancelled",AA365="Cancelled"),"Cancelled",IF(OR(AA365="Completed / Handover",W365&lt;&gt;"",X365&gt;=100),"Completed — on track",IF(L365="Remaining",IF(S365="",IF(V365="","No planned date",IF(TODAY()&gt;V365,"Behind — past planned date",IF(V365-TODAY()&lt;=30,"At risk — close to off track","On track"))),IF(TODAY()&gt;S365,"Behind — award date passed",IF(S365-TODAY()&lt;=30,"At risk — close to off track","On track"))),IF(V365="","No planned date",IF(AND(TODAY()&gt;V365,OR(X365="",X365&lt;100)),"Behind — past end date",IF(AND(R365&lt;&gt;"",V365&lt;&gt;"",X365&lt;&gt;"",(X365&lt;100),((TODAY()-R365)/MAX(V365-R365,1)*100)-X365&gt;15),"Behind — progress lag",IF(AND(V365-TODAY()&lt;=30,V365-TODAY()&gt;=0,OR(X365="",X365&lt;90)),"At risk — close to off track","On track"))))))))</t>
        </is>
      </c>
      <c r="AF365" s="38" t="inlineStr">
        <is>
          <t>IF(OR(E365="",AA365="Completed / Handover",AA365="Cancelled"),"",IF(L365="Remaining",IF(S365&lt;&gt;"",S365-TODAY(),IF(V365="","",V365-TODAY())),IF(V365="","",V365-TODAY())))</t>
        </is>
      </c>
      <c r="AG365" s="44" t="n"/>
      <c r="AH365" s="44" t="n"/>
      <c r="AI365" s="44" t="n"/>
      <c r="AJ365" s="44" t="n"/>
      <c r="AK365" s="44" t="n"/>
      <c r="AL365" s="44" t="n"/>
      <c r="AM365" s="44" t="n"/>
      <c r="AN365" s="44" t="n"/>
      <c r="AO365" s="44" t="n"/>
      <c r="AP365" s="44" t="n"/>
      <c r="AQ365" s="44" t="n"/>
      <c r="AR365" s="40" t="n"/>
      <c r="AS365" s="40" t="n"/>
      <c r="AT365" s="40" t="n"/>
      <c r="AU365" s="38" t="inlineStr">
        <is>
          <t>IF(OR(E365="",AH365=""),"",IF(COUNT(AG365:AG365)=0,"",AH365-LOOKUP(2,1/(AG365:AG365&lt;&gt;""),AG365:AG365)))</t>
        </is>
      </c>
      <c r="AV365" s="38" t="inlineStr">
        <is>
          <t>IF(OR(E365="",AI365=""),"",IF(COUNT(AG365:AH365)=0,"",AI365-LOOKUP(2,1/(AG365:AH365&lt;&gt;""),AG365:AH365)))</t>
        </is>
      </c>
      <c r="AW365" s="38" t="inlineStr">
        <is>
          <t>IF(OR(E365="",AJ365=""),"",IF(COUNT(AG365:AI365)=0,"",AJ365-LOOKUP(2,1/(AG365:AI365&lt;&gt;""),AG365:AI365)))</t>
        </is>
      </c>
      <c r="AX365" s="38" t="inlineStr">
        <is>
          <t>IF(OR(E365="",AK365=""),"",IF(COUNT(AG365:AJ365)=0,"",AK365-LOOKUP(2,1/(AG365:AJ365&lt;&gt;""),AG365:AJ365)))</t>
        </is>
      </c>
      <c r="AY365" s="38" t="inlineStr">
        <is>
          <t>IF(OR(E365="",AL365=""),"",IF(COUNT(AG365:AK365)=0,"",AL365-LOOKUP(2,1/(AG365:AK365&lt;&gt;""),AG365:AK365)))</t>
        </is>
      </c>
      <c r="AZ365" s="38" t="inlineStr">
        <is>
          <t>IF(OR(E365="",AM365=""),"",IF(COUNT(AG365:AL365)=0,"",AM365-LOOKUP(2,1/(AG365:AL365&lt;&gt;""),AG365:AL365)))</t>
        </is>
      </c>
      <c r="BA365" s="38" t="inlineStr">
        <is>
          <t>IF(OR(E365="",AN365=""),"",IF(COUNT(AG365:AM365)=0,"",AN365-LOOKUP(2,1/(AG365:AM365&lt;&gt;""),AG365:AM365)))</t>
        </is>
      </c>
      <c r="BB365" s="38" t="inlineStr">
        <is>
          <t>IF(OR(E365="",AO365=""),"",IF(COUNT(AG365:AN365)=0,"",AO365-LOOKUP(2,1/(AG365:AN365&lt;&gt;""),AG365:AN365)))</t>
        </is>
      </c>
      <c r="BC365" s="38" t="inlineStr">
        <is>
          <t>IF(OR(E365="",AP365=""),"",IF(COUNT(AG365:AO365)=0,"",AP365-LOOKUP(2,1/(AG365:AO365&lt;&gt;""),AG365:AO365)))</t>
        </is>
      </c>
      <c r="BD365" s="38" t="inlineStr">
        <is>
          <t>IF(OR(E365="",AQ365=""),"",IF(COUNT(AG365:AP365)=0,"",AQ365-LOOKUP(2,1/(AG365:AP365&lt;&gt;""),AG365:AP365)))</t>
        </is>
      </c>
      <c r="BE365" s="38" t="inlineStr">
        <is>
          <t>IF(OR(E365="",AR365=""),"",IF(COUNT(AG365:AQ365)=0,"",AR365-LOOKUP(2,1/(AG365:AQ365&lt;&gt;""),AG365:AQ365)))</t>
        </is>
      </c>
      <c r="BF365" s="38" t="inlineStr">
        <is>
          <t>IF(OR(E365="",AS365=""),"",IF(COUNT(AG365:AR365)=0,"",AS365-LOOKUP(2,1/(AG365:AR365&lt;&gt;""),AG365:AR365)))</t>
        </is>
      </c>
      <c r="BG365" s="38" t="inlineStr">
        <is>
          <t>IF(OR(E365="",AT365=""),"",IF(COUNT(AG365:AS365)=0,"",AT365-LOOKUP(2,1/(AG365:AS365&lt;&gt;""),AG365:AS365)))</t>
        </is>
      </c>
      <c r="BH365" s="41" t="inlineStr">
        <is>
          <t>IF(G365="","All_Provinces",IFERROR(VLOOKUP(G365,'07_Lookups'!$A$4:$B$20,2,FALSE),"All_Provinces"))</t>
        </is>
      </c>
      <c r="BI365" s="41" t="inlineStr">
        <is>
          <t>IF(H365="","All_Districts",IFERROR(VLOOKUP(H365,'07_Lookups'!$E$4:$F$42,2,FALSE),"All_Districts"))</t>
        </is>
      </c>
    </row>
    <row r="366" ht="18" customHeight="1">
      <c r="A366" s="32" t="inlineStr">
        <is>
          <t>IF(E366="","",ROW()-3)</t>
        </is>
      </c>
      <c r="B366" s="33" t="n"/>
      <c r="C366" s="33" t="n"/>
      <c r="D366" s="33" t="n"/>
      <c r="E366" s="33" t="n"/>
      <c r="F366" s="33" t="n"/>
      <c r="G366" s="33" t="n"/>
      <c r="H366" s="33" t="n"/>
      <c r="I366" s="33" t="n"/>
      <c r="J366" s="33" t="n"/>
      <c r="K366" s="33" t="n"/>
      <c r="L366" s="33" t="n"/>
      <c r="M366" s="33" t="n"/>
      <c r="N366" s="33" t="n"/>
      <c r="O366" s="33" t="n"/>
      <c r="P366" s="33" t="n"/>
      <c r="Q366" s="34" t="n"/>
      <c r="R366" s="35" t="inlineStr">
        <is>
          <t>IF(AO366="","",AO366)</t>
        </is>
      </c>
      <c r="S366" s="36" t="n"/>
      <c r="T366" s="37" t="n"/>
      <c r="U366" s="36" t="n"/>
      <c r="V366" s="35" t="inlineStr">
        <is>
          <t>IF(U366&lt;&gt;"",U366,IF(OR(R366="",T366=""),"",EDATE(R366,T366)))</t>
        </is>
      </c>
      <c r="W366" s="36" t="n"/>
      <c r="X366" s="37" t="n"/>
      <c r="Y366" s="33" t="n"/>
      <c r="Z366" s="33" t="n"/>
      <c r="AA366" s="32" t="inlineStr">
        <is>
          <t>IF(E366="","",IF(COUNT(AG366:AT366)=0,IF(Y366="","Not started",Y366),SUBSTITUTE(LOOKUP(2,1/(AG366:AT366&lt;&gt;""),$AG$3:$AT$3),"Date: ","")))</t>
        </is>
      </c>
      <c r="AB366" s="38" t="inlineStr">
        <is>
          <t>IF(OR(E366="",COUNT(AG366:AT366)=0),"",TODAY()-LOOKUP(2,1/(AG366:AT366&lt;&gt;""),AG366:AT366))</t>
        </is>
      </c>
      <c r="AC366" s="38" t="inlineStr">
        <is>
          <t>IF(OR(E366="",COUNT(AG366:AT366)&lt;2),"",LOOKUP(2,1/(AG366:AT366&lt;&gt;""),AG366:AT366)-MIN(AG366:AT366))</t>
        </is>
      </c>
      <c r="AD366" s="38" t="inlineStr">
        <is>
          <t>IF(OR(AB366="",AA366="Not started",AA366=""),"",IFERROR(AB366-IF(VLOOKUP(AA366,'04_Status_Pipeline'!$B$3:$E$20,4,FALSE)="",0,VLOOKUP(AA366,'04_Status_Pipeline'!$B$3:$E$20,4,FALSE)),""))</t>
        </is>
      </c>
      <c r="AE366" s="32" t="inlineStr">
        <is>
          <t>IF(E366="","",IF(OR(Y366="Cancelled",AA366="Cancelled"),"Cancelled",IF(OR(AA366="Completed / Handover",W366&lt;&gt;"",X366&gt;=100),"Completed — on track",IF(L366="Remaining",IF(S366="",IF(V366="","No planned date",IF(TODAY()&gt;V366,"Behind — past planned date",IF(V366-TODAY()&lt;=30,"At risk — close to off track","On track"))),IF(TODAY()&gt;S366,"Behind — award date passed",IF(S366-TODAY()&lt;=30,"At risk — close to off track","On track"))),IF(V366="","No planned date",IF(AND(TODAY()&gt;V366,OR(X366="",X366&lt;100)),"Behind — past end date",IF(AND(R366&lt;&gt;"",V366&lt;&gt;"",X366&lt;&gt;"",(X366&lt;100),((TODAY()-R366)/MAX(V366-R366,1)*100)-X366&gt;15),"Behind — progress lag",IF(AND(V366-TODAY()&lt;=30,V366-TODAY()&gt;=0,OR(X366="",X366&lt;90)),"At risk — close to off track","On track"))))))))</t>
        </is>
      </c>
      <c r="AF366" s="38" t="inlineStr">
        <is>
          <t>IF(OR(E366="",AA366="Completed / Handover",AA366="Cancelled"),"",IF(L366="Remaining",IF(S366&lt;&gt;"",S366-TODAY(),IF(V366="","",V366-TODAY())),IF(V366="","",V366-TODAY())))</t>
        </is>
      </c>
      <c r="AG366" s="36" t="n"/>
      <c r="AH366" s="36" t="n"/>
      <c r="AI366" s="36" t="n"/>
      <c r="AJ366" s="36" t="n"/>
      <c r="AK366" s="36" t="n"/>
      <c r="AL366" s="36" t="n"/>
      <c r="AM366" s="36" t="n"/>
      <c r="AN366" s="36" t="n"/>
      <c r="AO366" s="36" t="n"/>
      <c r="AP366" s="36" t="n"/>
      <c r="AQ366" s="36" t="n"/>
      <c r="AR366" s="40" t="n"/>
      <c r="AS366" s="40" t="n"/>
      <c r="AT366" s="40" t="n"/>
      <c r="AU366" s="38" t="inlineStr">
        <is>
          <t>IF(OR(E366="",AH366=""),"",IF(COUNT(AG366:AG366)=0,"",AH366-LOOKUP(2,1/(AG366:AG366&lt;&gt;""),AG366:AG366)))</t>
        </is>
      </c>
      <c r="AV366" s="38" t="inlineStr">
        <is>
          <t>IF(OR(E366="",AI366=""),"",IF(COUNT(AG366:AH366)=0,"",AI366-LOOKUP(2,1/(AG366:AH366&lt;&gt;""),AG366:AH366)))</t>
        </is>
      </c>
      <c r="AW366" s="38" t="inlineStr">
        <is>
          <t>IF(OR(E366="",AJ366=""),"",IF(COUNT(AG366:AI366)=0,"",AJ366-LOOKUP(2,1/(AG366:AI366&lt;&gt;""),AG366:AI366)))</t>
        </is>
      </c>
      <c r="AX366" s="38" t="inlineStr">
        <is>
          <t>IF(OR(E366="",AK366=""),"",IF(COUNT(AG366:AJ366)=0,"",AK366-LOOKUP(2,1/(AG366:AJ366&lt;&gt;""),AG366:AJ366)))</t>
        </is>
      </c>
      <c r="AY366" s="38" t="inlineStr">
        <is>
          <t>IF(OR(E366="",AL366=""),"",IF(COUNT(AG366:AK366)=0,"",AL366-LOOKUP(2,1/(AG366:AK366&lt;&gt;""),AG366:AK366)))</t>
        </is>
      </c>
      <c r="AZ366" s="38" t="inlineStr">
        <is>
          <t>IF(OR(E366="",AM366=""),"",IF(COUNT(AG366:AL366)=0,"",AM366-LOOKUP(2,1/(AG366:AL366&lt;&gt;""),AG366:AL366)))</t>
        </is>
      </c>
      <c r="BA366" s="38" t="inlineStr">
        <is>
          <t>IF(OR(E366="",AN366=""),"",IF(COUNT(AG366:AM366)=0,"",AN366-LOOKUP(2,1/(AG366:AM366&lt;&gt;""),AG366:AM366)))</t>
        </is>
      </c>
      <c r="BB366" s="38" t="inlineStr">
        <is>
          <t>IF(OR(E366="",AO366=""),"",IF(COUNT(AG366:AN366)=0,"",AO366-LOOKUP(2,1/(AG366:AN366&lt;&gt;""),AG366:AN366)))</t>
        </is>
      </c>
      <c r="BC366" s="38" t="inlineStr">
        <is>
          <t>IF(OR(E366="",AP366=""),"",IF(COUNT(AG366:AO366)=0,"",AP366-LOOKUP(2,1/(AG366:AO366&lt;&gt;""),AG366:AO366)))</t>
        </is>
      </c>
      <c r="BD366" s="38" t="inlineStr">
        <is>
          <t>IF(OR(E366="",AQ366=""),"",IF(COUNT(AG366:AP366)=0,"",AQ366-LOOKUP(2,1/(AG366:AP366&lt;&gt;""),AG366:AP366)))</t>
        </is>
      </c>
      <c r="BE366" s="38" t="inlineStr">
        <is>
          <t>IF(OR(E366="",AR366=""),"",IF(COUNT(AG366:AQ366)=0,"",AR366-LOOKUP(2,1/(AG366:AQ366&lt;&gt;""),AG366:AQ366)))</t>
        </is>
      </c>
      <c r="BF366" s="38" t="inlineStr">
        <is>
          <t>IF(OR(E366="",AS366=""),"",IF(COUNT(AG366:AR366)=0,"",AS366-LOOKUP(2,1/(AG366:AR366&lt;&gt;""),AG366:AR366)))</t>
        </is>
      </c>
      <c r="BG366" s="38" t="inlineStr">
        <is>
          <t>IF(OR(E366="",AT366=""),"",IF(COUNT(AG366:AS366)=0,"",AT366-LOOKUP(2,1/(AG366:AS366&lt;&gt;""),AG366:AS366)))</t>
        </is>
      </c>
      <c r="BH366" s="41" t="inlineStr">
        <is>
          <t>IF(G366="","All_Provinces",IFERROR(VLOOKUP(G366,'07_Lookups'!$A$4:$B$20,2,FALSE),"All_Provinces"))</t>
        </is>
      </c>
      <c r="BI366" s="41" t="inlineStr">
        <is>
          <t>IF(H366="","All_Districts",IFERROR(VLOOKUP(H366,'07_Lookups'!$E$4:$F$42,2,FALSE),"All_Districts"))</t>
        </is>
      </c>
    </row>
    <row r="367" ht="18" customHeight="1">
      <c r="A367" s="32" t="inlineStr">
        <is>
          <t>IF(E367="","",ROW()-3)</t>
        </is>
      </c>
      <c r="B367" s="42" t="n"/>
      <c r="C367" s="42" t="n"/>
      <c r="D367" s="42" t="n"/>
      <c r="E367" s="42" t="n"/>
      <c r="F367" s="42" t="n"/>
      <c r="G367" s="42" t="n"/>
      <c r="H367" s="42" t="n"/>
      <c r="I367" s="42" t="n"/>
      <c r="J367" s="42" t="n"/>
      <c r="K367" s="42" t="n"/>
      <c r="L367" s="42" t="n"/>
      <c r="M367" s="42" t="n"/>
      <c r="N367" s="42" t="n"/>
      <c r="O367" s="42" t="n"/>
      <c r="P367" s="42" t="n"/>
      <c r="Q367" s="43" t="n"/>
      <c r="R367" s="35" t="inlineStr">
        <is>
          <t>IF(AO367="","",AO367)</t>
        </is>
      </c>
      <c r="S367" s="44" t="n"/>
      <c r="T367" s="45" t="n"/>
      <c r="U367" s="44" t="n"/>
      <c r="V367" s="35" t="inlineStr">
        <is>
          <t>IF(U367&lt;&gt;"",U367,IF(OR(R367="",T367=""),"",EDATE(R367,T367)))</t>
        </is>
      </c>
      <c r="W367" s="44" t="n"/>
      <c r="X367" s="45" t="n"/>
      <c r="Y367" s="42" t="n"/>
      <c r="Z367" s="42" t="n"/>
      <c r="AA367" s="32" t="inlineStr">
        <is>
          <t>IF(E367="","",IF(COUNT(AG367:AT367)=0,IF(Y367="","Not started",Y367),SUBSTITUTE(LOOKUP(2,1/(AG367:AT367&lt;&gt;""),$AG$3:$AT$3),"Date: ","")))</t>
        </is>
      </c>
      <c r="AB367" s="38" t="inlineStr">
        <is>
          <t>IF(OR(E367="",COUNT(AG367:AT367)=0),"",TODAY()-LOOKUP(2,1/(AG367:AT367&lt;&gt;""),AG367:AT367))</t>
        </is>
      </c>
      <c r="AC367" s="38" t="inlineStr">
        <is>
          <t>IF(OR(E367="",COUNT(AG367:AT367)&lt;2),"",LOOKUP(2,1/(AG367:AT367&lt;&gt;""),AG367:AT367)-MIN(AG367:AT367))</t>
        </is>
      </c>
      <c r="AD367" s="38" t="inlineStr">
        <is>
          <t>IF(OR(AB367="",AA367="Not started",AA367=""),"",IFERROR(AB367-IF(VLOOKUP(AA367,'04_Status_Pipeline'!$B$3:$E$20,4,FALSE)="",0,VLOOKUP(AA367,'04_Status_Pipeline'!$B$3:$E$20,4,FALSE)),""))</t>
        </is>
      </c>
      <c r="AE367" s="32" t="inlineStr">
        <is>
          <t>IF(E367="","",IF(OR(Y367="Cancelled",AA367="Cancelled"),"Cancelled",IF(OR(AA367="Completed / Handover",W367&lt;&gt;"",X367&gt;=100),"Completed — on track",IF(L367="Remaining",IF(S367="",IF(V367="","No planned date",IF(TODAY()&gt;V367,"Behind — past planned date",IF(V367-TODAY()&lt;=30,"At risk — close to off track","On track"))),IF(TODAY()&gt;S367,"Behind — award date passed",IF(S367-TODAY()&lt;=30,"At risk — close to off track","On track"))),IF(V367="","No planned date",IF(AND(TODAY()&gt;V367,OR(X367="",X367&lt;100)),"Behind — past end date",IF(AND(R367&lt;&gt;"",V367&lt;&gt;"",X367&lt;&gt;"",(X367&lt;100),((TODAY()-R367)/MAX(V367-R367,1)*100)-X367&gt;15),"Behind — progress lag",IF(AND(V367-TODAY()&lt;=30,V367-TODAY()&gt;=0,OR(X367="",X367&lt;90)),"At risk — close to off track","On track"))))))))</t>
        </is>
      </c>
      <c r="AF367" s="38" t="inlineStr">
        <is>
          <t>IF(OR(E367="",AA367="Completed / Handover",AA367="Cancelled"),"",IF(L367="Remaining",IF(S367&lt;&gt;"",S367-TODAY(),IF(V367="","",V367-TODAY())),IF(V367="","",V367-TODAY())))</t>
        </is>
      </c>
      <c r="AG367" s="44" t="n"/>
      <c r="AH367" s="44" t="n"/>
      <c r="AI367" s="44" t="n"/>
      <c r="AJ367" s="44" t="n"/>
      <c r="AK367" s="44" t="n"/>
      <c r="AL367" s="44" t="n"/>
      <c r="AM367" s="44" t="n"/>
      <c r="AN367" s="44" t="n"/>
      <c r="AO367" s="44" t="n"/>
      <c r="AP367" s="44" t="n"/>
      <c r="AQ367" s="44" t="n"/>
      <c r="AR367" s="40" t="n"/>
      <c r="AS367" s="40" t="n"/>
      <c r="AT367" s="40" t="n"/>
      <c r="AU367" s="38" t="inlineStr">
        <is>
          <t>IF(OR(E367="",AH367=""),"",IF(COUNT(AG367:AG367)=0,"",AH367-LOOKUP(2,1/(AG367:AG367&lt;&gt;""),AG367:AG367)))</t>
        </is>
      </c>
      <c r="AV367" s="38" t="inlineStr">
        <is>
          <t>IF(OR(E367="",AI367=""),"",IF(COUNT(AG367:AH367)=0,"",AI367-LOOKUP(2,1/(AG367:AH367&lt;&gt;""),AG367:AH367)))</t>
        </is>
      </c>
      <c r="AW367" s="38" t="inlineStr">
        <is>
          <t>IF(OR(E367="",AJ367=""),"",IF(COUNT(AG367:AI367)=0,"",AJ367-LOOKUP(2,1/(AG367:AI367&lt;&gt;""),AG367:AI367)))</t>
        </is>
      </c>
      <c r="AX367" s="38" t="inlineStr">
        <is>
          <t>IF(OR(E367="",AK367=""),"",IF(COUNT(AG367:AJ367)=0,"",AK367-LOOKUP(2,1/(AG367:AJ367&lt;&gt;""),AG367:AJ367)))</t>
        </is>
      </c>
      <c r="AY367" s="38" t="inlineStr">
        <is>
          <t>IF(OR(E367="",AL367=""),"",IF(COUNT(AG367:AK367)=0,"",AL367-LOOKUP(2,1/(AG367:AK367&lt;&gt;""),AG367:AK367)))</t>
        </is>
      </c>
      <c r="AZ367" s="38" t="inlineStr">
        <is>
          <t>IF(OR(E367="",AM367=""),"",IF(COUNT(AG367:AL367)=0,"",AM367-LOOKUP(2,1/(AG367:AL367&lt;&gt;""),AG367:AL367)))</t>
        </is>
      </c>
      <c r="BA367" s="38" t="inlineStr">
        <is>
          <t>IF(OR(E367="",AN367=""),"",IF(COUNT(AG367:AM367)=0,"",AN367-LOOKUP(2,1/(AG367:AM367&lt;&gt;""),AG367:AM367)))</t>
        </is>
      </c>
      <c r="BB367" s="38" t="inlineStr">
        <is>
          <t>IF(OR(E367="",AO367=""),"",IF(COUNT(AG367:AN367)=0,"",AO367-LOOKUP(2,1/(AG367:AN367&lt;&gt;""),AG367:AN367)))</t>
        </is>
      </c>
      <c r="BC367" s="38" t="inlineStr">
        <is>
          <t>IF(OR(E367="",AP367=""),"",IF(COUNT(AG367:AO367)=0,"",AP367-LOOKUP(2,1/(AG367:AO367&lt;&gt;""),AG367:AO367)))</t>
        </is>
      </c>
      <c r="BD367" s="38" t="inlineStr">
        <is>
          <t>IF(OR(E367="",AQ367=""),"",IF(COUNT(AG367:AP367)=0,"",AQ367-LOOKUP(2,1/(AG367:AP367&lt;&gt;""),AG367:AP367)))</t>
        </is>
      </c>
      <c r="BE367" s="38" t="inlineStr">
        <is>
          <t>IF(OR(E367="",AR367=""),"",IF(COUNT(AG367:AQ367)=0,"",AR367-LOOKUP(2,1/(AG367:AQ367&lt;&gt;""),AG367:AQ367)))</t>
        </is>
      </c>
      <c r="BF367" s="38" t="inlineStr">
        <is>
          <t>IF(OR(E367="",AS367=""),"",IF(COUNT(AG367:AR367)=0,"",AS367-LOOKUP(2,1/(AG367:AR367&lt;&gt;""),AG367:AR367)))</t>
        </is>
      </c>
      <c r="BG367" s="38" t="inlineStr">
        <is>
          <t>IF(OR(E367="",AT367=""),"",IF(COUNT(AG367:AS367)=0,"",AT367-LOOKUP(2,1/(AG367:AS367&lt;&gt;""),AG367:AS367)))</t>
        </is>
      </c>
      <c r="BH367" s="41" t="inlineStr">
        <is>
          <t>IF(G367="","All_Provinces",IFERROR(VLOOKUP(G367,'07_Lookups'!$A$4:$B$20,2,FALSE),"All_Provinces"))</t>
        </is>
      </c>
      <c r="BI367" s="41" t="inlineStr">
        <is>
          <t>IF(H367="","All_Districts",IFERROR(VLOOKUP(H367,'07_Lookups'!$E$4:$F$42,2,FALSE),"All_Districts"))</t>
        </is>
      </c>
    </row>
    <row r="368" ht="18" customHeight="1">
      <c r="A368" s="32" t="inlineStr">
        <is>
          <t>IF(E368="","",ROW()-3)</t>
        </is>
      </c>
      <c r="B368" s="33" t="n"/>
      <c r="C368" s="33" t="n"/>
      <c r="D368" s="33" t="n"/>
      <c r="E368" s="33" t="n"/>
      <c r="F368" s="33" t="n"/>
      <c r="G368" s="33" t="n"/>
      <c r="H368" s="33" t="n"/>
      <c r="I368" s="33" t="n"/>
      <c r="J368" s="33" t="n"/>
      <c r="K368" s="33" t="n"/>
      <c r="L368" s="33" t="n"/>
      <c r="M368" s="33" t="n"/>
      <c r="N368" s="33" t="n"/>
      <c r="O368" s="33" t="n"/>
      <c r="P368" s="33" t="n"/>
      <c r="Q368" s="34" t="n"/>
      <c r="R368" s="35" t="inlineStr">
        <is>
          <t>IF(AO368="","",AO368)</t>
        </is>
      </c>
      <c r="S368" s="36" t="n"/>
      <c r="T368" s="37" t="n"/>
      <c r="U368" s="36" t="n"/>
      <c r="V368" s="35" t="inlineStr">
        <is>
          <t>IF(U368&lt;&gt;"",U368,IF(OR(R368="",T368=""),"",EDATE(R368,T368)))</t>
        </is>
      </c>
      <c r="W368" s="36" t="n"/>
      <c r="X368" s="37" t="n"/>
      <c r="Y368" s="33" t="n"/>
      <c r="Z368" s="33" t="n"/>
      <c r="AA368" s="32" t="inlineStr">
        <is>
          <t>IF(E368="","",IF(COUNT(AG368:AT368)=0,IF(Y368="","Not started",Y368),SUBSTITUTE(LOOKUP(2,1/(AG368:AT368&lt;&gt;""),$AG$3:$AT$3),"Date: ","")))</t>
        </is>
      </c>
      <c r="AB368" s="38" t="inlineStr">
        <is>
          <t>IF(OR(E368="",COUNT(AG368:AT368)=0),"",TODAY()-LOOKUP(2,1/(AG368:AT368&lt;&gt;""),AG368:AT368))</t>
        </is>
      </c>
      <c r="AC368" s="38" t="inlineStr">
        <is>
          <t>IF(OR(E368="",COUNT(AG368:AT368)&lt;2),"",LOOKUP(2,1/(AG368:AT368&lt;&gt;""),AG368:AT368)-MIN(AG368:AT368))</t>
        </is>
      </c>
      <c r="AD368" s="38" t="inlineStr">
        <is>
          <t>IF(OR(AB368="",AA368="Not started",AA368=""),"",IFERROR(AB368-IF(VLOOKUP(AA368,'04_Status_Pipeline'!$B$3:$E$20,4,FALSE)="",0,VLOOKUP(AA368,'04_Status_Pipeline'!$B$3:$E$20,4,FALSE)),""))</t>
        </is>
      </c>
      <c r="AE368" s="32" t="inlineStr">
        <is>
          <t>IF(E368="","",IF(OR(Y368="Cancelled",AA368="Cancelled"),"Cancelled",IF(OR(AA368="Completed / Handover",W368&lt;&gt;"",X368&gt;=100),"Completed — on track",IF(L368="Remaining",IF(S368="",IF(V368="","No planned date",IF(TODAY()&gt;V368,"Behind — past planned date",IF(V368-TODAY()&lt;=30,"At risk — close to off track","On track"))),IF(TODAY()&gt;S368,"Behind — award date passed",IF(S368-TODAY()&lt;=30,"At risk — close to off track","On track"))),IF(V368="","No planned date",IF(AND(TODAY()&gt;V368,OR(X368="",X368&lt;100)),"Behind — past end date",IF(AND(R368&lt;&gt;"",V368&lt;&gt;"",X368&lt;&gt;"",(X368&lt;100),((TODAY()-R368)/MAX(V368-R368,1)*100)-X368&gt;15),"Behind — progress lag",IF(AND(V368-TODAY()&lt;=30,V368-TODAY()&gt;=0,OR(X368="",X368&lt;90)),"At risk — close to off track","On track"))))))))</t>
        </is>
      </c>
      <c r="AF368" s="38" t="inlineStr">
        <is>
          <t>IF(OR(E368="",AA368="Completed / Handover",AA368="Cancelled"),"",IF(L368="Remaining",IF(S368&lt;&gt;"",S368-TODAY(),IF(V368="","",V368-TODAY())),IF(V368="","",V368-TODAY())))</t>
        </is>
      </c>
      <c r="AG368" s="36" t="n"/>
      <c r="AH368" s="36" t="n"/>
      <c r="AI368" s="36" t="n"/>
      <c r="AJ368" s="36" t="n"/>
      <c r="AK368" s="36" t="n"/>
      <c r="AL368" s="36" t="n"/>
      <c r="AM368" s="36" t="n"/>
      <c r="AN368" s="36" t="n"/>
      <c r="AO368" s="36" t="n"/>
      <c r="AP368" s="36" t="n"/>
      <c r="AQ368" s="36" t="n"/>
      <c r="AR368" s="40" t="n"/>
      <c r="AS368" s="40" t="n"/>
      <c r="AT368" s="40" t="n"/>
      <c r="AU368" s="38" t="inlineStr">
        <is>
          <t>IF(OR(E368="",AH368=""),"",IF(COUNT(AG368:AG368)=0,"",AH368-LOOKUP(2,1/(AG368:AG368&lt;&gt;""),AG368:AG368)))</t>
        </is>
      </c>
      <c r="AV368" s="38" t="inlineStr">
        <is>
          <t>IF(OR(E368="",AI368=""),"",IF(COUNT(AG368:AH368)=0,"",AI368-LOOKUP(2,1/(AG368:AH368&lt;&gt;""),AG368:AH368)))</t>
        </is>
      </c>
      <c r="AW368" s="38" t="inlineStr">
        <is>
          <t>IF(OR(E368="",AJ368=""),"",IF(COUNT(AG368:AI368)=0,"",AJ368-LOOKUP(2,1/(AG368:AI368&lt;&gt;""),AG368:AI368)))</t>
        </is>
      </c>
      <c r="AX368" s="38" t="inlineStr">
        <is>
          <t>IF(OR(E368="",AK368=""),"",IF(COUNT(AG368:AJ368)=0,"",AK368-LOOKUP(2,1/(AG368:AJ368&lt;&gt;""),AG368:AJ368)))</t>
        </is>
      </c>
      <c r="AY368" s="38" t="inlineStr">
        <is>
          <t>IF(OR(E368="",AL368=""),"",IF(COUNT(AG368:AK368)=0,"",AL368-LOOKUP(2,1/(AG368:AK368&lt;&gt;""),AG368:AK368)))</t>
        </is>
      </c>
      <c r="AZ368" s="38" t="inlineStr">
        <is>
          <t>IF(OR(E368="",AM368=""),"",IF(COUNT(AG368:AL368)=0,"",AM368-LOOKUP(2,1/(AG368:AL368&lt;&gt;""),AG368:AL368)))</t>
        </is>
      </c>
      <c r="BA368" s="38" t="inlineStr">
        <is>
          <t>IF(OR(E368="",AN368=""),"",IF(COUNT(AG368:AM368)=0,"",AN368-LOOKUP(2,1/(AG368:AM368&lt;&gt;""),AG368:AM368)))</t>
        </is>
      </c>
      <c r="BB368" s="38" t="inlineStr">
        <is>
          <t>IF(OR(E368="",AO368=""),"",IF(COUNT(AG368:AN368)=0,"",AO368-LOOKUP(2,1/(AG368:AN368&lt;&gt;""),AG368:AN368)))</t>
        </is>
      </c>
      <c r="BC368" s="38" t="inlineStr">
        <is>
          <t>IF(OR(E368="",AP368=""),"",IF(COUNT(AG368:AO368)=0,"",AP368-LOOKUP(2,1/(AG368:AO368&lt;&gt;""),AG368:AO368)))</t>
        </is>
      </c>
      <c r="BD368" s="38" t="inlineStr">
        <is>
          <t>IF(OR(E368="",AQ368=""),"",IF(COUNT(AG368:AP368)=0,"",AQ368-LOOKUP(2,1/(AG368:AP368&lt;&gt;""),AG368:AP368)))</t>
        </is>
      </c>
      <c r="BE368" s="38" t="inlineStr">
        <is>
          <t>IF(OR(E368="",AR368=""),"",IF(COUNT(AG368:AQ368)=0,"",AR368-LOOKUP(2,1/(AG368:AQ368&lt;&gt;""),AG368:AQ368)))</t>
        </is>
      </c>
      <c r="BF368" s="38" t="inlineStr">
        <is>
          <t>IF(OR(E368="",AS368=""),"",IF(COUNT(AG368:AR368)=0,"",AS368-LOOKUP(2,1/(AG368:AR368&lt;&gt;""),AG368:AR368)))</t>
        </is>
      </c>
      <c r="BG368" s="38" t="inlineStr">
        <is>
          <t>IF(OR(E368="",AT368=""),"",IF(COUNT(AG368:AS368)=0,"",AT368-LOOKUP(2,1/(AG368:AS368&lt;&gt;""),AG368:AS368)))</t>
        </is>
      </c>
      <c r="BH368" s="41" t="inlineStr">
        <is>
          <t>IF(G368="","All_Provinces",IFERROR(VLOOKUP(G368,'07_Lookups'!$A$4:$B$20,2,FALSE),"All_Provinces"))</t>
        </is>
      </c>
      <c r="BI368" s="41" t="inlineStr">
        <is>
          <t>IF(H368="","All_Districts",IFERROR(VLOOKUP(H368,'07_Lookups'!$E$4:$F$42,2,FALSE),"All_Districts"))</t>
        </is>
      </c>
    </row>
    <row r="369" ht="18" customHeight="1">
      <c r="A369" s="32" t="inlineStr">
        <is>
          <t>IF(E369="","",ROW()-3)</t>
        </is>
      </c>
      <c r="B369" s="42" t="n"/>
      <c r="C369" s="42" t="n"/>
      <c r="D369" s="42" t="n"/>
      <c r="E369" s="42" t="n"/>
      <c r="F369" s="42" t="n"/>
      <c r="G369" s="42" t="n"/>
      <c r="H369" s="42" t="n"/>
      <c r="I369" s="42" t="n"/>
      <c r="J369" s="42" t="n"/>
      <c r="K369" s="42" t="n"/>
      <c r="L369" s="42" t="n"/>
      <c r="M369" s="42" t="n"/>
      <c r="N369" s="42" t="n"/>
      <c r="O369" s="42" t="n"/>
      <c r="P369" s="42" t="n"/>
      <c r="Q369" s="43" t="n"/>
      <c r="R369" s="35" t="inlineStr">
        <is>
          <t>IF(AO369="","",AO369)</t>
        </is>
      </c>
      <c r="S369" s="44" t="n"/>
      <c r="T369" s="45" t="n"/>
      <c r="U369" s="44" t="n"/>
      <c r="V369" s="35" t="inlineStr">
        <is>
          <t>IF(U369&lt;&gt;"",U369,IF(OR(R369="",T369=""),"",EDATE(R369,T369)))</t>
        </is>
      </c>
      <c r="W369" s="44" t="n"/>
      <c r="X369" s="45" t="n"/>
      <c r="Y369" s="42" t="n"/>
      <c r="Z369" s="42" t="n"/>
      <c r="AA369" s="32" t="inlineStr">
        <is>
          <t>IF(E369="","",IF(COUNT(AG369:AT369)=0,IF(Y369="","Not started",Y369),SUBSTITUTE(LOOKUP(2,1/(AG369:AT369&lt;&gt;""),$AG$3:$AT$3),"Date: ","")))</t>
        </is>
      </c>
      <c r="AB369" s="38" t="inlineStr">
        <is>
          <t>IF(OR(E369="",COUNT(AG369:AT369)=0),"",TODAY()-LOOKUP(2,1/(AG369:AT369&lt;&gt;""),AG369:AT369))</t>
        </is>
      </c>
      <c r="AC369" s="38" t="inlineStr">
        <is>
          <t>IF(OR(E369="",COUNT(AG369:AT369)&lt;2),"",LOOKUP(2,1/(AG369:AT369&lt;&gt;""),AG369:AT369)-MIN(AG369:AT369))</t>
        </is>
      </c>
      <c r="AD369" s="38" t="inlineStr">
        <is>
          <t>IF(OR(AB369="",AA369="Not started",AA369=""),"",IFERROR(AB369-IF(VLOOKUP(AA369,'04_Status_Pipeline'!$B$3:$E$20,4,FALSE)="",0,VLOOKUP(AA369,'04_Status_Pipeline'!$B$3:$E$20,4,FALSE)),""))</t>
        </is>
      </c>
      <c r="AE369" s="32" t="inlineStr">
        <is>
          <t>IF(E369="","",IF(OR(Y369="Cancelled",AA369="Cancelled"),"Cancelled",IF(OR(AA369="Completed / Handover",W369&lt;&gt;"",X369&gt;=100),"Completed — on track",IF(L369="Remaining",IF(S369="",IF(V369="","No planned date",IF(TODAY()&gt;V369,"Behind — past planned date",IF(V369-TODAY()&lt;=30,"At risk — close to off track","On track"))),IF(TODAY()&gt;S369,"Behind — award date passed",IF(S369-TODAY()&lt;=30,"At risk — close to off track","On track"))),IF(V369="","No planned date",IF(AND(TODAY()&gt;V369,OR(X369="",X369&lt;100)),"Behind — past end date",IF(AND(R369&lt;&gt;"",V369&lt;&gt;"",X369&lt;&gt;"",(X369&lt;100),((TODAY()-R369)/MAX(V369-R369,1)*100)-X369&gt;15),"Behind — progress lag",IF(AND(V369-TODAY()&lt;=30,V369-TODAY()&gt;=0,OR(X369="",X369&lt;90)),"At risk — close to off track","On track"))))))))</t>
        </is>
      </c>
      <c r="AF369" s="38" t="inlineStr">
        <is>
          <t>IF(OR(E369="",AA369="Completed / Handover",AA369="Cancelled"),"",IF(L369="Remaining",IF(S369&lt;&gt;"",S369-TODAY(),IF(V369="","",V369-TODAY())),IF(V369="","",V369-TODAY())))</t>
        </is>
      </c>
      <c r="AG369" s="44" t="n"/>
      <c r="AH369" s="44" t="n"/>
      <c r="AI369" s="44" t="n"/>
      <c r="AJ369" s="44" t="n"/>
      <c r="AK369" s="44" t="n"/>
      <c r="AL369" s="44" t="n"/>
      <c r="AM369" s="44" t="n"/>
      <c r="AN369" s="44" t="n"/>
      <c r="AO369" s="44" t="n"/>
      <c r="AP369" s="44" t="n"/>
      <c r="AQ369" s="44" t="n"/>
      <c r="AR369" s="40" t="n"/>
      <c r="AS369" s="40" t="n"/>
      <c r="AT369" s="40" t="n"/>
      <c r="AU369" s="38" t="inlineStr">
        <is>
          <t>IF(OR(E369="",AH369=""),"",IF(COUNT(AG369:AG369)=0,"",AH369-LOOKUP(2,1/(AG369:AG369&lt;&gt;""),AG369:AG369)))</t>
        </is>
      </c>
      <c r="AV369" s="38" t="inlineStr">
        <is>
          <t>IF(OR(E369="",AI369=""),"",IF(COUNT(AG369:AH369)=0,"",AI369-LOOKUP(2,1/(AG369:AH369&lt;&gt;""),AG369:AH369)))</t>
        </is>
      </c>
      <c r="AW369" s="38" t="inlineStr">
        <is>
          <t>IF(OR(E369="",AJ369=""),"",IF(COUNT(AG369:AI369)=0,"",AJ369-LOOKUP(2,1/(AG369:AI369&lt;&gt;""),AG369:AI369)))</t>
        </is>
      </c>
      <c r="AX369" s="38" t="inlineStr">
        <is>
          <t>IF(OR(E369="",AK369=""),"",IF(COUNT(AG369:AJ369)=0,"",AK369-LOOKUP(2,1/(AG369:AJ369&lt;&gt;""),AG369:AJ369)))</t>
        </is>
      </c>
      <c r="AY369" s="38" t="inlineStr">
        <is>
          <t>IF(OR(E369="",AL369=""),"",IF(COUNT(AG369:AK369)=0,"",AL369-LOOKUP(2,1/(AG369:AK369&lt;&gt;""),AG369:AK369)))</t>
        </is>
      </c>
      <c r="AZ369" s="38" t="inlineStr">
        <is>
          <t>IF(OR(E369="",AM369=""),"",IF(COUNT(AG369:AL369)=0,"",AM369-LOOKUP(2,1/(AG369:AL369&lt;&gt;""),AG369:AL369)))</t>
        </is>
      </c>
      <c r="BA369" s="38" t="inlineStr">
        <is>
          <t>IF(OR(E369="",AN369=""),"",IF(COUNT(AG369:AM369)=0,"",AN369-LOOKUP(2,1/(AG369:AM369&lt;&gt;""),AG369:AM369)))</t>
        </is>
      </c>
      <c r="BB369" s="38" t="inlineStr">
        <is>
          <t>IF(OR(E369="",AO369=""),"",IF(COUNT(AG369:AN369)=0,"",AO369-LOOKUP(2,1/(AG369:AN369&lt;&gt;""),AG369:AN369)))</t>
        </is>
      </c>
      <c r="BC369" s="38" t="inlineStr">
        <is>
          <t>IF(OR(E369="",AP369=""),"",IF(COUNT(AG369:AO369)=0,"",AP369-LOOKUP(2,1/(AG369:AO369&lt;&gt;""),AG369:AO369)))</t>
        </is>
      </c>
      <c r="BD369" s="38" t="inlineStr">
        <is>
          <t>IF(OR(E369="",AQ369=""),"",IF(COUNT(AG369:AP369)=0,"",AQ369-LOOKUP(2,1/(AG369:AP369&lt;&gt;""),AG369:AP369)))</t>
        </is>
      </c>
      <c r="BE369" s="38" t="inlineStr">
        <is>
          <t>IF(OR(E369="",AR369=""),"",IF(COUNT(AG369:AQ369)=0,"",AR369-LOOKUP(2,1/(AG369:AQ369&lt;&gt;""),AG369:AQ369)))</t>
        </is>
      </c>
      <c r="BF369" s="38" t="inlineStr">
        <is>
          <t>IF(OR(E369="",AS369=""),"",IF(COUNT(AG369:AR369)=0,"",AS369-LOOKUP(2,1/(AG369:AR369&lt;&gt;""),AG369:AR369)))</t>
        </is>
      </c>
      <c r="BG369" s="38" t="inlineStr">
        <is>
          <t>IF(OR(E369="",AT369=""),"",IF(COUNT(AG369:AS369)=0,"",AT369-LOOKUP(2,1/(AG369:AS369&lt;&gt;""),AG369:AS369)))</t>
        </is>
      </c>
      <c r="BH369" s="41" t="inlineStr">
        <is>
          <t>IF(G369="","All_Provinces",IFERROR(VLOOKUP(G369,'07_Lookups'!$A$4:$B$20,2,FALSE),"All_Provinces"))</t>
        </is>
      </c>
      <c r="BI369" s="41" t="inlineStr">
        <is>
          <t>IF(H369="","All_Districts",IFERROR(VLOOKUP(H369,'07_Lookups'!$E$4:$F$42,2,FALSE),"All_Districts"))</t>
        </is>
      </c>
    </row>
    <row r="370" ht="18" customHeight="1">
      <c r="A370" s="32" t="inlineStr">
        <is>
          <t>IF(E370="","",ROW()-3)</t>
        </is>
      </c>
      <c r="B370" s="33" t="n"/>
      <c r="C370" s="33" t="n"/>
      <c r="D370" s="33" t="n"/>
      <c r="E370" s="33" t="n"/>
      <c r="F370" s="33" t="n"/>
      <c r="G370" s="33" t="n"/>
      <c r="H370" s="33" t="n"/>
      <c r="I370" s="33" t="n"/>
      <c r="J370" s="33" t="n"/>
      <c r="K370" s="33" t="n"/>
      <c r="L370" s="33" t="n"/>
      <c r="M370" s="33" t="n"/>
      <c r="N370" s="33" t="n"/>
      <c r="O370" s="33" t="n"/>
      <c r="P370" s="33" t="n"/>
      <c r="Q370" s="34" t="n"/>
      <c r="R370" s="35" t="inlineStr">
        <is>
          <t>IF(AO370="","",AO370)</t>
        </is>
      </c>
      <c r="S370" s="36" t="n"/>
      <c r="T370" s="37" t="n"/>
      <c r="U370" s="36" t="n"/>
      <c r="V370" s="35" t="inlineStr">
        <is>
          <t>IF(U370&lt;&gt;"",U370,IF(OR(R370="",T370=""),"",EDATE(R370,T370)))</t>
        </is>
      </c>
      <c r="W370" s="36" t="n"/>
      <c r="X370" s="37" t="n"/>
      <c r="Y370" s="33" t="n"/>
      <c r="Z370" s="33" t="n"/>
      <c r="AA370" s="32" t="inlineStr">
        <is>
          <t>IF(E370="","",IF(COUNT(AG370:AT370)=0,IF(Y370="","Not started",Y370),SUBSTITUTE(LOOKUP(2,1/(AG370:AT370&lt;&gt;""),$AG$3:$AT$3),"Date: ","")))</t>
        </is>
      </c>
      <c r="AB370" s="38" t="inlineStr">
        <is>
          <t>IF(OR(E370="",COUNT(AG370:AT370)=0),"",TODAY()-LOOKUP(2,1/(AG370:AT370&lt;&gt;""),AG370:AT370))</t>
        </is>
      </c>
      <c r="AC370" s="38" t="inlineStr">
        <is>
          <t>IF(OR(E370="",COUNT(AG370:AT370)&lt;2),"",LOOKUP(2,1/(AG370:AT370&lt;&gt;""),AG370:AT370)-MIN(AG370:AT370))</t>
        </is>
      </c>
      <c r="AD370" s="38" t="inlineStr">
        <is>
          <t>IF(OR(AB370="",AA370="Not started",AA370=""),"",IFERROR(AB370-IF(VLOOKUP(AA370,'04_Status_Pipeline'!$B$3:$E$20,4,FALSE)="",0,VLOOKUP(AA370,'04_Status_Pipeline'!$B$3:$E$20,4,FALSE)),""))</t>
        </is>
      </c>
      <c r="AE370" s="32" t="inlineStr">
        <is>
          <t>IF(E370="","",IF(OR(Y370="Cancelled",AA370="Cancelled"),"Cancelled",IF(OR(AA370="Completed / Handover",W370&lt;&gt;"",X370&gt;=100),"Completed — on track",IF(L370="Remaining",IF(S370="",IF(V370="","No planned date",IF(TODAY()&gt;V370,"Behind — past planned date",IF(V370-TODAY()&lt;=30,"At risk — close to off track","On track"))),IF(TODAY()&gt;S370,"Behind — award date passed",IF(S370-TODAY()&lt;=30,"At risk — close to off track","On track"))),IF(V370="","No planned date",IF(AND(TODAY()&gt;V370,OR(X370="",X370&lt;100)),"Behind — past end date",IF(AND(R370&lt;&gt;"",V370&lt;&gt;"",X370&lt;&gt;"",(X370&lt;100),((TODAY()-R370)/MAX(V370-R370,1)*100)-X370&gt;15),"Behind — progress lag",IF(AND(V370-TODAY()&lt;=30,V370-TODAY()&gt;=0,OR(X370="",X370&lt;90)),"At risk — close to off track","On track"))))))))</t>
        </is>
      </c>
      <c r="AF370" s="38" t="inlineStr">
        <is>
          <t>IF(OR(E370="",AA370="Completed / Handover",AA370="Cancelled"),"",IF(L370="Remaining",IF(S370&lt;&gt;"",S370-TODAY(),IF(V370="","",V370-TODAY())),IF(V370="","",V370-TODAY())))</t>
        </is>
      </c>
      <c r="AG370" s="36" t="n"/>
      <c r="AH370" s="36" t="n"/>
      <c r="AI370" s="36" t="n"/>
      <c r="AJ370" s="36" t="n"/>
      <c r="AK370" s="36" t="n"/>
      <c r="AL370" s="36" t="n"/>
      <c r="AM370" s="36" t="n"/>
      <c r="AN370" s="36" t="n"/>
      <c r="AO370" s="36" t="n"/>
      <c r="AP370" s="36" t="n"/>
      <c r="AQ370" s="36" t="n"/>
      <c r="AR370" s="40" t="n"/>
      <c r="AS370" s="40" t="n"/>
      <c r="AT370" s="40" t="n"/>
      <c r="AU370" s="38" t="inlineStr">
        <is>
          <t>IF(OR(E370="",AH370=""),"",IF(COUNT(AG370:AG370)=0,"",AH370-LOOKUP(2,1/(AG370:AG370&lt;&gt;""),AG370:AG370)))</t>
        </is>
      </c>
      <c r="AV370" s="38" t="inlineStr">
        <is>
          <t>IF(OR(E370="",AI370=""),"",IF(COUNT(AG370:AH370)=0,"",AI370-LOOKUP(2,1/(AG370:AH370&lt;&gt;""),AG370:AH370)))</t>
        </is>
      </c>
      <c r="AW370" s="38" t="inlineStr">
        <is>
          <t>IF(OR(E370="",AJ370=""),"",IF(COUNT(AG370:AI370)=0,"",AJ370-LOOKUP(2,1/(AG370:AI370&lt;&gt;""),AG370:AI370)))</t>
        </is>
      </c>
      <c r="AX370" s="38" t="inlineStr">
        <is>
          <t>IF(OR(E370="",AK370=""),"",IF(COUNT(AG370:AJ370)=0,"",AK370-LOOKUP(2,1/(AG370:AJ370&lt;&gt;""),AG370:AJ370)))</t>
        </is>
      </c>
      <c r="AY370" s="38" t="inlineStr">
        <is>
          <t>IF(OR(E370="",AL370=""),"",IF(COUNT(AG370:AK370)=0,"",AL370-LOOKUP(2,1/(AG370:AK370&lt;&gt;""),AG370:AK370)))</t>
        </is>
      </c>
      <c r="AZ370" s="38" t="inlineStr">
        <is>
          <t>IF(OR(E370="",AM370=""),"",IF(COUNT(AG370:AL370)=0,"",AM370-LOOKUP(2,1/(AG370:AL370&lt;&gt;""),AG370:AL370)))</t>
        </is>
      </c>
      <c r="BA370" s="38" t="inlineStr">
        <is>
          <t>IF(OR(E370="",AN370=""),"",IF(COUNT(AG370:AM370)=0,"",AN370-LOOKUP(2,1/(AG370:AM370&lt;&gt;""),AG370:AM370)))</t>
        </is>
      </c>
      <c r="BB370" s="38" t="inlineStr">
        <is>
          <t>IF(OR(E370="",AO370=""),"",IF(COUNT(AG370:AN370)=0,"",AO370-LOOKUP(2,1/(AG370:AN370&lt;&gt;""),AG370:AN370)))</t>
        </is>
      </c>
      <c r="BC370" s="38" t="inlineStr">
        <is>
          <t>IF(OR(E370="",AP370=""),"",IF(COUNT(AG370:AO370)=0,"",AP370-LOOKUP(2,1/(AG370:AO370&lt;&gt;""),AG370:AO370)))</t>
        </is>
      </c>
      <c r="BD370" s="38" t="inlineStr">
        <is>
          <t>IF(OR(E370="",AQ370=""),"",IF(COUNT(AG370:AP370)=0,"",AQ370-LOOKUP(2,1/(AG370:AP370&lt;&gt;""),AG370:AP370)))</t>
        </is>
      </c>
      <c r="BE370" s="38" t="inlineStr">
        <is>
          <t>IF(OR(E370="",AR370=""),"",IF(COUNT(AG370:AQ370)=0,"",AR370-LOOKUP(2,1/(AG370:AQ370&lt;&gt;""),AG370:AQ370)))</t>
        </is>
      </c>
      <c r="BF370" s="38" t="inlineStr">
        <is>
          <t>IF(OR(E370="",AS370=""),"",IF(COUNT(AG370:AR370)=0,"",AS370-LOOKUP(2,1/(AG370:AR370&lt;&gt;""),AG370:AR370)))</t>
        </is>
      </c>
      <c r="BG370" s="38" t="inlineStr">
        <is>
          <t>IF(OR(E370="",AT370=""),"",IF(COUNT(AG370:AS370)=0,"",AT370-LOOKUP(2,1/(AG370:AS370&lt;&gt;""),AG370:AS370)))</t>
        </is>
      </c>
      <c r="BH370" s="41" t="inlineStr">
        <is>
          <t>IF(G370="","All_Provinces",IFERROR(VLOOKUP(G370,'07_Lookups'!$A$4:$B$20,2,FALSE),"All_Provinces"))</t>
        </is>
      </c>
      <c r="BI370" s="41" t="inlineStr">
        <is>
          <t>IF(H370="","All_Districts",IFERROR(VLOOKUP(H370,'07_Lookups'!$E$4:$F$42,2,FALSE),"All_Districts"))</t>
        </is>
      </c>
    </row>
    <row r="371" ht="18" customHeight="1">
      <c r="A371" s="32" t="inlineStr">
        <is>
          <t>IF(E371="","",ROW()-3)</t>
        </is>
      </c>
      <c r="B371" s="42" t="n"/>
      <c r="C371" s="42" t="n"/>
      <c r="D371" s="42" t="n"/>
      <c r="E371" s="42" t="n"/>
      <c r="F371" s="42" t="n"/>
      <c r="G371" s="42" t="n"/>
      <c r="H371" s="42" t="n"/>
      <c r="I371" s="42" t="n"/>
      <c r="J371" s="42" t="n"/>
      <c r="K371" s="42" t="n"/>
      <c r="L371" s="42" t="n"/>
      <c r="M371" s="42" t="n"/>
      <c r="N371" s="42" t="n"/>
      <c r="O371" s="42" t="n"/>
      <c r="P371" s="42" t="n"/>
      <c r="Q371" s="43" t="n"/>
      <c r="R371" s="35" t="inlineStr">
        <is>
          <t>IF(AO371="","",AO371)</t>
        </is>
      </c>
      <c r="S371" s="44" t="n"/>
      <c r="T371" s="45" t="n"/>
      <c r="U371" s="44" t="n"/>
      <c r="V371" s="35" t="inlineStr">
        <is>
          <t>IF(U371&lt;&gt;"",U371,IF(OR(R371="",T371=""),"",EDATE(R371,T371)))</t>
        </is>
      </c>
      <c r="W371" s="44" t="n"/>
      <c r="X371" s="45" t="n"/>
      <c r="Y371" s="42" t="n"/>
      <c r="Z371" s="42" t="n"/>
      <c r="AA371" s="32" t="inlineStr">
        <is>
          <t>IF(E371="","",IF(COUNT(AG371:AT371)=0,IF(Y371="","Not started",Y371),SUBSTITUTE(LOOKUP(2,1/(AG371:AT371&lt;&gt;""),$AG$3:$AT$3),"Date: ","")))</t>
        </is>
      </c>
      <c r="AB371" s="38" t="inlineStr">
        <is>
          <t>IF(OR(E371="",COUNT(AG371:AT371)=0),"",TODAY()-LOOKUP(2,1/(AG371:AT371&lt;&gt;""),AG371:AT371))</t>
        </is>
      </c>
      <c r="AC371" s="38" t="inlineStr">
        <is>
          <t>IF(OR(E371="",COUNT(AG371:AT371)&lt;2),"",LOOKUP(2,1/(AG371:AT371&lt;&gt;""),AG371:AT371)-MIN(AG371:AT371))</t>
        </is>
      </c>
      <c r="AD371" s="38" t="inlineStr">
        <is>
          <t>IF(OR(AB371="",AA371="Not started",AA371=""),"",IFERROR(AB371-IF(VLOOKUP(AA371,'04_Status_Pipeline'!$B$3:$E$20,4,FALSE)="",0,VLOOKUP(AA371,'04_Status_Pipeline'!$B$3:$E$20,4,FALSE)),""))</t>
        </is>
      </c>
      <c r="AE371" s="32" t="inlineStr">
        <is>
          <t>IF(E371="","",IF(OR(Y371="Cancelled",AA371="Cancelled"),"Cancelled",IF(OR(AA371="Completed / Handover",W371&lt;&gt;"",X371&gt;=100),"Completed — on track",IF(L371="Remaining",IF(S371="",IF(V371="","No planned date",IF(TODAY()&gt;V371,"Behind — past planned date",IF(V371-TODAY()&lt;=30,"At risk — close to off track","On track"))),IF(TODAY()&gt;S371,"Behind — award date passed",IF(S371-TODAY()&lt;=30,"At risk — close to off track","On track"))),IF(V371="","No planned date",IF(AND(TODAY()&gt;V371,OR(X371="",X371&lt;100)),"Behind — past end date",IF(AND(R371&lt;&gt;"",V371&lt;&gt;"",X371&lt;&gt;"",(X371&lt;100),((TODAY()-R371)/MAX(V371-R371,1)*100)-X371&gt;15),"Behind — progress lag",IF(AND(V371-TODAY()&lt;=30,V371-TODAY()&gt;=0,OR(X371="",X371&lt;90)),"At risk — close to off track","On track"))))))))</t>
        </is>
      </c>
      <c r="AF371" s="38" t="inlineStr">
        <is>
          <t>IF(OR(E371="",AA371="Completed / Handover",AA371="Cancelled"),"",IF(L371="Remaining",IF(S371&lt;&gt;"",S371-TODAY(),IF(V371="","",V371-TODAY())),IF(V371="","",V371-TODAY())))</t>
        </is>
      </c>
      <c r="AG371" s="44" t="n"/>
      <c r="AH371" s="44" t="n"/>
      <c r="AI371" s="44" t="n"/>
      <c r="AJ371" s="44" t="n"/>
      <c r="AK371" s="44" t="n"/>
      <c r="AL371" s="44" t="n"/>
      <c r="AM371" s="44" t="n"/>
      <c r="AN371" s="44" t="n"/>
      <c r="AO371" s="44" t="n"/>
      <c r="AP371" s="44" t="n"/>
      <c r="AQ371" s="44" t="n"/>
      <c r="AR371" s="40" t="n"/>
      <c r="AS371" s="40" t="n"/>
      <c r="AT371" s="40" t="n"/>
      <c r="AU371" s="38" t="inlineStr">
        <is>
          <t>IF(OR(E371="",AH371=""),"",IF(COUNT(AG371:AG371)=0,"",AH371-LOOKUP(2,1/(AG371:AG371&lt;&gt;""),AG371:AG371)))</t>
        </is>
      </c>
      <c r="AV371" s="38" t="inlineStr">
        <is>
          <t>IF(OR(E371="",AI371=""),"",IF(COUNT(AG371:AH371)=0,"",AI371-LOOKUP(2,1/(AG371:AH371&lt;&gt;""),AG371:AH371)))</t>
        </is>
      </c>
      <c r="AW371" s="38" t="inlineStr">
        <is>
          <t>IF(OR(E371="",AJ371=""),"",IF(COUNT(AG371:AI371)=0,"",AJ371-LOOKUP(2,1/(AG371:AI371&lt;&gt;""),AG371:AI371)))</t>
        </is>
      </c>
      <c r="AX371" s="38" t="inlineStr">
        <is>
          <t>IF(OR(E371="",AK371=""),"",IF(COUNT(AG371:AJ371)=0,"",AK371-LOOKUP(2,1/(AG371:AJ371&lt;&gt;""),AG371:AJ371)))</t>
        </is>
      </c>
      <c r="AY371" s="38" t="inlineStr">
        <is>
          <t>IF(OR(E371="",AL371=""),"",IF(COUNT(AG371:AK371)=0,"",AL371-LOOKUP(2,1/(AG371:AK371&lt;&gt;""),AG371:AK371)))</t>
        </is>
      </c>
      <c r="AZ371" s="38" t="inlineStr">
        <is>
          <t>IF(OR(E371="",AM371=""),"",IF(COUNT(AG371:AL371)=0,"",AM371-LOOKUP(2,1/(AG371:AL371&lt;&gt;""),AG371:AL371)))</t>
        </is>
      </c>
      <c r="BA371" s="38" t="inlineStr">
        <is>
          <t>IF(OR(E371="",AN371=""),"",IF(COUNT(AG371:AM371)=0,"",AN371-LOOKUP(2,1/(AG371:AM371&lt;&gt;""),AG371:AM371)))</t>
        </is>
      </c>
      <c r="BB371" s="38" t="inlineStr">
        <is>
          <t>IF(OR(E371="",AO371=""),"",IF(COUNT(AG371:AN371)=0,"",AO371-LOOKUP(2,1/(AG371:AN371&lt;&gt;""),AG371:AN371)))</t>
        </is>
      </c>
      <c r="BC371" s="38" t="inlineStr">
        <is>
          <t>IF(OR(E371="",AP371=""),"",IF(COUNT(AG371:AO371)=0,"",AP371-LOOKUP(2,1/(AG371:AO371&lt;&gt;""),AG371:AO371)))</t>
        </is>
      </c>
      <c r="BD371" s="38" t="inlineStr">
        <is>
          <t>IF(OR(E371="",AQ371=""),"",IF(COUNT(AG371:AP371)=0,"",AQ371-LOOKUP(2,1/(AG371:AP371&lt;&gt;""),AG371:AP371)))</t>
        </is>
      </c>
      <c r="BE371" s="38" t="inlineStr">
        <is>
          <t>IF(OR(E371="",AR371=""),"",IF(COUNT(AG371:AQ371)=0,"",AR371-LOOKUP(2,1/(AG371:AQ371&lt;&gt;""),AG371:AQ371)))</t>
        </is>
      </c>
      <c r="BF371" s="38" t="inlineStr">
        <is>
          <t>IF(OR(E371="",AS371=""),"",IF(COUNT(AG371:AR371)=0,"",AS371-LOOKUP(2,1/(AG371:AR371&lt;&gt;""),AG371:AR371)))</t>
        </is>
      </c>
      <c r="BG371" s="38" t="inlineStr">
        <is>
          <t>IF(OR(E371="",AT371=""),"",IF(COUNT(AG371:AS371)=0,"",AT371-LOOKUP(2,1/(AG371:AS371&lt;&gt;""),AG371:AS371)))</t>
        </is>
      </c>
      <c r="BH371" s="41" t="inlineStr">
        <is>
          <t>IF(G371="","All_Provinces",IFERROR(VLOOKUP(G371,'07_Lookups'!$A$4:$B$20,2,FALSE),"All_Provinces"))</t>
        </is>
      </c>
      <c r="BI371" s="41" t="inlineStr">
        <is>
          <t>IF(H371="","All_Districts",IFERROR(VLOOKUP(H371,'07_Lookups'!$E$4:$F$42,2,FALSE),"All_Districts"))</t>
        </is>
      </c>
    </row>
    <row r="372" ht="18" customHeight="1">
      <c r="A372" s="32" t="inlineStr">
        <is>
          <t>IF(E372="","",ROW()-3)</t>
        </is>
      </c>
      <c r="B372" s="33" t="n"/>
      <c r="C372" s="33" t="n"/>
      <c r="D372" s="33" t="n"/>
      <c r="E372" s="33" t="n"/>
      <c r="F372" s="33" t="n"/>
      <c r="G372" s="33" t="n"/>
      <c r="H372" s="33" t="n"/>
      <c r="I372" s="33" t="n"/>
      <c r="J372" s="33" t="n"/>
      <c r="K372" s="33" t="n"/>
      <c r="L372" s="33" t="n"/>
      <c r="M372" s="33" t="n"/>
      <c r="N372" s="33" t="n"/>
      <c r="O372" s="33" t="n"/>
      <c r="P372" s="33" t="n"/>
      <c r="Q372" s="34" t="n"/>
      <c r="R372" s="35" t="inlineStr">
        <is>
          <t>IF(AO372="","",AO372)</t>
        </is>
      </c>
      <c r="S372" s="36" t="n"/>
      <c r="T372" s="37" t="n"/>
      <c r="U372" s="36" t="n"/>
      <c r="V372" s="35" t="inlineStr">
        <is>
          <t>IF(U372&lt;&gt;"",U372,IF(OR(R372="",T372=""),"",EDATE(R372,T372)))</t>
        </is>
      </c>
      <c r="W372" s="36" t="n"/>
      <c r="X372" s="37" t="n"/>
      <c r="Y372" s="33" t="n"/>
      <c r="Z372" s="33" t="n"/>
      <c r="AA372" s="32" t="inlineStr">
        <is>
          <t>IF(E372="","",IF(COUNT(AG372:AT372)=0,IF(Y372="","Not started",Y372),SUBSTITUTE(LOOKUP(2,1/(AG372:AT372&lt;&gt;""),$AG$3:$AT$3),"Date: ","")))</t>
        </is>
      </c>
      <c r="AB372" s="38" t="inlineStr">
        <is>
          <t>IF(OR(E372="",COUNT(AG372:AT372)=0),"",TODAY()-LOOKUP(2,1/(AG372:AT372&lt;&gt;""),AG372:AT372))</t>
        </is>
      </c>
      <c r="AC372" s="38" t="inlineStr">
        <is>
          <t>IF(OR(E372="",COUNT(AG372:AT372)&lt;2),"",LOOKUP(2,1/(AG372:AT372&lt;&gt;""),AG372:AT372)-MIN(AG372:AT372))</t>
        </is>
      </c>
      <c r="AD372" s="38" t="inlineStr">
        <is>
          <t>IF(OR(AB372="",AA372="Not started",AA372=""),"",IFERROR(AB372-IF(VLOOKUP(AA372,'04_Status_Pipeline'!$B$3:$E$20,4,FALSE)="",0,VLOOKUP(AA372,'04_Status_Pipeline'!$B$3:$E$20,4,FALSE)),""))</t>
        </is>
      </c>
      <c r="AE372" s="32" t="inlineStr">
        <is>
          <t>IF(E372="","",IF(OR(Y372="Cancelled",AA372="Cancelled"),"Cancelled",IF(OR(AA372="Completed / Handover",W372&lt;&gt;"",X372&gt;=100),"Completed — on track",IF(L372="Remaining",IF(S372="",IF(V372="","No planned date",IF(TODAY()&gt;V372,"Behind — past planned date",IF(V372-TODAY()&lt;=30,"At risk — close to off track","On track"))),IF(TODAY()&gt;S372,"Behind — award date passed",IF(S372-TODAY()&lt;=30,"At risk — close to off track","On track"))),IF(V372="","No planned date",IF(AND(TODAY()&gt;V372,OR(X372="",X372&lt;100)),"Behind — past end date",IF(AND(R372&lt;&gt;"",V372&lt;&gt;"",X372&lt;&gt;"",(X372&lt;100),((TODAY()-R372)/MAX(V372-R372,1)*100)-X372&gt;15),"Behind — progress lag",IF(AND(V372-TODAY()&lt;=30,V372-TODAY()&gt;=0,OR(X372="",X372&lt;90)),"At risk — close to off track","On track"))))))))</t>
        </is>
      </c>
      <c r="AF372" s="38" t="inlineStr">
        <is>
          <t>IF(OR(E372="",AA372="Completed / Handover",AA372="Cancelled"),"",IF(L372="Remaining",IF(S372&lt;&gt;"",S372-TODAY(),IF(V372="","",V372-TODAY())),IF(V372="","",V372-TODAY())))</t>
        </is>
      </c>
      <c r="AG372" s="36" t="n"/>
      <c r="AH372" s="36" t="n"/>
      <c r="AI372" s="36" t="n"/>
      <c r="AJ372" s="36" t="n"/>
      <c r="AK372" s="36" t="n"/>
      <c r="AL372" s="36" t="n"/>
      <c r="AM372" s="36" t="n"/>
      <c r="AN372" s="36" t="n"/>
      <c r="AO372" s="36" t="n"/>
      <c r="AP372" s="36" t="n"/>
      <c r="AQ372" s="36" t="n"/>
      <c r="AR372" s="40" t="n"/>
      <c r="AS372" s="40" t="n"/>
      <c r="AT372" s="40" t="n"/>
      <c r="AU372" s="38" t="inlineStr">
        <is>
          <t>IF(OR(E372="",AH372=""),"",IF(COUNT(AG372:AG372)=0,"",AH372-LOOKUP(2,1/(AG372:AG372&lt;&gt;""),AG372:AG372)))</t>
        </is>
      </c>
      <c r="AV372" s="38" t="inlineStr">
        <is>
          <t>IF(OR(E372="",AI372=""),"",IF(COUNT(AG372:AH372)=0,"",AI372-LOOKUP(2,1/(AG372:AH372&lt;&gt;""),AG372:AH372)))</t>
        </is>
      </c>
      <c r="AW372" s="38" t="inlineStr">
        <is>
          <t>IF(OR(E372="",AJ372=""),"",IF(COUNT(AG372:AI372)=0,"",AJ372-LOOKUP(2,1/(AG372:AI372&lt;&gt;""),AG372:AI372)))</t>
        </is>
      </c>
      <c r="AX372" s="38" t="inlineStr">
        <is>
          <t>IF(OR(E372="",AK372=""),"",IF(COUNT(AG372:AJ372)=0,"",AK372-LOOKUP(2,1/(AG372:AJ372&lt;&gt;""),AG372:AJ372)))</t>
        </is>
      </c>
      <c r="AY372" s="38" t="inlineStr">
        <is>
          <t>IF(OR(E372="",AL372=""),"",IF(COUNT(AG372:AK372)=0,"",AL372-LOOKUP(2,1/(AG372:AK372&lt;&gt;""),AG372:AK372)))</t>
        </is>
      </c>
      <c r="AZ372" s="38" t="inlineStr">
        <is>
          <t>IF(OR(E372="",AM372=""),"",IF(COUNT(AG372:AL372)=0,"",AM372-LOOKUP(2,1/(AG372:AL372&lt;&gt;""),AG372:AL372)))</t>
        </is>
      </c>
      <c r="BA372" s="38" t="inlineStr">
        <is>
          <t>IF(OR(E372="",AN372=""),"",IF(COUNT(AG372:AM372)=0,"",AN372-LOOKUP(2,1/(AG372:AM372&lt;&gt;""),AG372:AM372)))</t>
        </is>
      </c>
      <c r="BB372" s="38" t="inlineStr">
        <is>
          <t>IF(OR(E372="",AO372=""),"",IF(COUNT(AG372:AN372)=0,"",AO372-LOOKUP(2,1/(AG372:AN372&lt;&gt;""),AG372:AN372)))</t>
        </is>
      </c>
      <c r="BC372" s="38" t="inlineStr">
        <is>
          <t>IF(OR(E372="",AP372=""),"",IF(COUNT(AG372:AO372)=0,"",AP372-LOOKUP(2,1/(AG372:AO372&lt;&gt;""),AG372:AO372)))</t>
        </is>
      </c>
      <c r="BD372" s="38" t="inlineStr">
        <is>
          <t>IF(OR(E372="",AQ372=""),"",IF(COUNT(AG372:AP372)=0,"",AQ372-LOOKUP(2,1/(AG372:AP372&lt;&gt;""),AG372:AP372)))</t>
        </is>
      </c>
      <c r="BE372" s="38" t="inlineStr">
        <is>
          <t>IF(OR(E372="",AR372=""),"",IF(COUNT(AG372:AQ372)=0,"",AR372-LOOKUP(2,1/(AG372:AQ372&lt;&gt;""),AG372:AQ372)))</t>
        </is>
      </c>
      <c r="BF372" s="38" t="inlineStr">
        <is>
          <t>IF(OR(E372="",AS372=""),"",IF(COUNT(AG372:AR372)=0,"",AS372-LOOKUP(2,1/(AG372:AR372&lt;&gt;""),AG372:AR372)))</t>
        </is>
      </c>
      <c r="BG372" s="38" t="inlineStr">
        <is>
          <t>IF(OR(E372="",AT372=""),"",IF(COUNT(AG372:AS372)=0,"",AT372-LOOKUP(2,1/(AG372:AS372&lt;&gt;""),AG372:AS372)))</t>
        </is>
      </c>
      <c r="BH372" s="41" t="inlineStr">
        <is>
          <t>IF(G372="","All_Provinces",IFERROR(VLOOKUP(G372,'07_Lookups'!$A$4:$B$20,2,FALSE),"All_Provinces"))</t>
        </is>
      </c>
      <c r="BI372" s="41" t="inlineStr">
        <is>
          <t>IF(H372="","All_Districts",IFERROR(VLOOKUP(H372,'07_Lookups'!$E$4:$F$42,2,FALSE),"All_Districts"))</t>
        </is>
      </c>
    </row>
    <row r="373" ht="18" customHeight="1">
      <c r="A373" s="32" t="inlineStr">
        <is>
          <t>IF(E373="","",ROW()-3)</t>
        </is>
      </c>
      <c r="B373" s="42" t="n"/>
      <c r="C373" s="42" t="n"/>
      <c r="D373" s="42" t="n"/>
      <c r="E373" s="42" t="n"/>
      <c r="F373" s="42" t="n"/>
      <c r="G373" s="42" t="n"/>
      <c r="H373" s="42" t="n"/>
      <c r="I373" s="42" t="n"/>
      <c r="J373" s="42" t="n"/>
      <c r="K373" s="42" t="n"/>
      <c r="L373" s="42" t="n"/>
      <c r="M373" s="42" t="n"/>
      <c r="N373" s="42" t="n"/>
      <c r="O373" s="42" t="n"/>
      <c r="P373" s="42" t="n"/>
      <c r="Q373" s="43" t="n"/>
      <c r="R373" s="35" t="inlineStr">
        <is>
          <t>IF(AO373="","",AO373)</t>
        </is>
      </c>
      <c r="S373" s="44" t="n"/>
      <c r="T373" s="45" t="n"/>
      <c r="U373" s="44" t="n"/>
      <c r="V373" s="35" t="inlineStr">
        <is>
          <t>IF(U373&lt;&gt;"",U373,IF(OR(R373="",T373=""),"",EDATE(R373,T373)))</t>
        </is>
      </c>
      <c r="W373" s="44" t="n"/>
      <c r="X373" s="45" t="n"/>
      <c r="Y373" s="42" t="n"/>
      <c r="Z373" s="42" t="n"/>
      <c r="AA373" s="32" t="inlineStr">
        <is>
          <t>IF(E373="","",IF(COUNT(AG373:AT373)=0,IF(Y373="","Not started",Y373),SUBSTITUTE(LOOKUP(2,1/(AG373:AT373&lt;&gt;""),$AG$3:$AT$3),"Date: ","")))</t>
        </is>
      </c>
      <c r="AB373" s="38" t="inlineStr">
        <is>
          <t>IF(OR(E373="",COUNT(AG373:AT373)=0),"",TODAY()-LOOKUP(2,1/(AG373:AT373&lt;&gt;""),AG373:AT373))</t>
        </is>
      </c>
      <c r="AC373" s="38" t="inlineStr">
        <is>
          <t>IF(OR(E373="",COUNT(AG373:AT373)&lt;2),"",LOOKUP(2,1/(AG373:AT373&lt;&gt;""),AG373:AT373)-MIN(AG373:AT373))</t>
        </is>
      </c>
      <c r="AD373" s="38" t="inlineStr">
        <is>
          <t>IF(OR(AB373="",AA373="Not started",AA373=""),"",IFERROR(AB373-IF(VLOOKUP(AA373,'04_Status_Pipeline'!$B$3:$E$20,4,FALSE)="",0,VLOOKUP(AA373,'04_Status_Pipeline'!$B$3:$E$20,4,FALSE)),""))</t>
        </is>
      </c>
      <c r="AE373" s="32" t="inlineStr">
        <is>
          <t>IF(E373="","",IF(OR(Y373="Cancelled",AA373="Cancelled"),"Cancelled",IF(OR(AA373="Completed / Handover",W373&lt;&gt;"",X373&gt;=100),"Completed — on track",IF(L373="Remaining",IF(S373="",IF(V373="","No planned date",IF(TODAY()&gt;V373,"Behind — past planned date",IF(V373-TODAY()&lt;=30,"At risk — close to off track","On track"))),IF(TODAY()&gt;S373,"Behind — award date passed",IF(S373-TODAY()&lt;=30,"At risk — close to off track","On track"))),IF(V373="","No planned date",IF(AND(TODAY()&gt;V373,OR(X373="",X373&lt;100)),"Behind — past end date",IF(AND(R373&lt;&gt;"",V373&lt;&gt;"",X373&lt;&gt;"",(X373&lt;100),((TODAY()-R373)/MAX(V373-R373,1)*100)-X373&gt;15),"Behind — progress lag",IF(AND(V373-TODAY()&lt;=30,V373-TODAY()&gt;=0,OR(X373="",X373&lt;90)),"At risk — close to off track","On track"))))))))</t>
        </is>
      </c>
      <c r="AF373" s="38" t="inlineStr">
        <is>
          <t>IF(OR(E373="",AA373="Completed / Handover",AA373="Cancelled"),"",IF(L373="Remaining",IF(S373&lt;&gt;"",S373-TODAY(),IF(V373="","",V373-TODAY())),IF(V373="","",V373-TODAY())))</t>
        </is>
      </c>
      <c r="AG373" s="44" t="n"/>
      <c r="AH373" s="44" t="n"/>
      <c r="AI373" s="44" t="n"/>
      <c r="AJ373" s="44" t="n"/>
      <c r="AK373" s="44" t="n"/>
      <c r="AL373" s="44" t="n"/>
      <c r="AM373" s="44" t="n"/>
      <c r="AN373" s="44" t="n"/>
      <c r="AO373" s="44" t="n"/>
      <c r="AP373" s="44" t="n"/>
      <c r="AQ373" s="44" t="n"/>
      <c r="AR373" s="40" t="n"/>
      <c r="AS373" s="40" t="n"/>
      <c r="AT373" s="40" t="n"/>
      <c r="AU373" s="38" t="inlineStr">
        <is>
          <t>IF(OR(E373="",AH373=""),"",IF(COUNT(AG373:AG373)=0,"",AH373-LOOKUP(2,1/(AG373:AG373&lt;&gt;""),AG373:AG373)))</t>
        </is>
      </c>
      <c r="AV373" s="38" t="inlineStr">
        <is>
          <t>IF(OR(E373="",AI373=""),"",IF(COUNT(AG373:AH373)=0,"",AI373-LOOKUP(2,1/(AG373:AH373&lt;&gt;""),AG373:AH373)))</t>
        </is>
      </c>
      <c r="AW373" s="38" t="inlineStr">
        <is>
          <t>IF(OR(E373="",AJ373=""),"",IF(COUNT(AG373:AI373)=0,"",AJ373-LOOKUP(2,1/(AG373:AI373&lt;&gt;""),AG373:AI373)))</t>
        </is>
      </c>
      <c r="AX373" s="38" t="inlineStr">
        <is>
          <t>IF(OR(E373="",AK373=""),"",IF(COUNT(AG373:AJ373)=0,"",AK373-LOOKUP(2,1/(AG373:AJ373&lt;&gt;""),AG373:AJ373)))</t>
        </is>
      </c>
      <c r="AY373" s="38" t="inlineStr">
        <is>
          <t>IF(OR(E373="",AL373=""),"",IF(COUNT(AG373:AK373)=0,"",AL373-LOOKUP(2,1/(AG373:AK373&lt;&gt;""),AG373:AK373)))</t>
        </is>
      </c>
      <c r="AZ373" s="38" t="inlineStr">
        <is>
          <t>IF(OR(E373="",AM373=""),"",IF(COUNT(AG373:AL373)=0,"",AM373-LOOKUP(2,1/(AG373:AL373&lt;&gt;""),AG373:AL373)))</t>
        </is>
      </c>
      <c r="BA373" s="38" t="inlineStr">
        <is>
          <t>IF(OR(E373="",AN373=""),"",IF(COUNT(AG373:AM373)=0,"",AN373-LOOKUP(2,1/(AG373:AM373&lt;&gt;""),AG373:AM373)))</t>
        </is>
      </c>
      <c r="BB373" s="38" t="inlineStr">
        <is>
          <t>IF(OR(E373="",AO373=""),"",IF(COUNT(AG373:AN373)=0,"",AO373-LOOKUP(2,1/(AG373:AN373&lt;&gt;""),AG373:AN373)))</t>
        </is>
      </c>
      <c r="BC373" s="38" t="inlineStr">
        <is>
          <t>IF(OR(E373="",AP373=""),"",IF(COUNT(AG373:AO373)=0,"",AP373-LOOKUP(2,1/(AG373:AO373&lt;&gt;""),AG373:AO373)))</t>
        </is>
      </c>
      <c r="BD373" s="38" t="inlineStr">
        <is>
          <t>IF(OR(E373="",AQ373=""),"",IF(COUNT(AG373:AP373)=0,"",AQ373-LOOKUP(2,1/(AG373:AP373&lt;&gt;""),AG373:AP373)))</t>
        </is>
      </c>
      <c r="BE373" s="38" t="inlineStr">
        <is>
          <t>IF(OR(E373="",AR373=""),"",IF(COUNT(AG373:AQ373)=0,"",AR373-LOOKUP(2,1/(AG373:AQ373&lt;&gt;""),AG373:AQ373)))</t>
        </is>
      </c>
      <c r="BF373" s="38" t="inlineStr">
        <is>
          <t>IF(OR(E373="",AS373=""),"",IF(COUNT(AG373:AR373)=0,"",AS373-LOOKUP(2,1/(AG373:AR373&lt;&gt;""),AG373:AR373)))</t>
        </is>
      </c>
      <c r="BG373" s="38" t="inlineStr">
        <is>
          <t>IF(OR(E373="",AT373=""),"",IF(COUNT(AG373:AS373)=0,"",AT373-LOOKUP(2,1/(AG373:AS373&lt;&gt;""),AG373:AS373)))</t>
        </is>
      </c>
      <c r="BH373" s="41" t="inlineStr">
        <is>
          <t>IF(G373="","All_Provinces",IFERROR(VLOOKUP(G373,'07_Lookups'!$A$4:$B$20,2,FALSE),"All_Provinces"))</t>
        </is>
      </c>
      <c r="BI373" s="41" t="inlineStr">
        <is>
          <t>IF(H373="","All_Districts",IFERROR(VLOOKUP(H373,'07_Lookups'!$E$4:$F$42,2,FALSE),"All_Districts"))</t>
        </is>
      </c>
    </row>
    <row r="374" ht="18" customHeight="1">
      <c r="A374" s="32" t="inlineStr">
        <is>
          <t>IF(E374="","",ROW()-3)</t>
        </is>
      </c>
      <c r="B374" s="33" t="n"/>
      <c r="C374" s="33" t="n"/>
      <c r="D374" s="33" t="n"/>
      <c r="E374" s="33" t="n"/>
      <c r="F374" s="33" t="n"/>
      <c r="G374" s="33" t="n"/>
      <c r="H374" s="33" t="n"/>
      <c r="I374" s="33" t="n"/>
      <c r="J374" s="33" t="n"/>
      <c r="K374" s="33" t="n"/>
      <c r="L374" s="33" t="n"/>
      <c r="M374" s="33" t="n"/>
      <c r="N374" s="33" t="n"/>
      <c r="O374" s="33" t="n"/>
      <c r="P374" s="33" t="n"/>
      <c r="Q374" s="34" t="n"/>
      <c r="R374" s="35" t="inlineStr">
        <is>
          <t>IF(AO374="","",AO374)</t>
        </is>
      </c>
      <c r="S374" s="36" t="n"/>
      <c r="T374" s="37" t="n"/>
      <c r="U374" s="36" t="n"/>
      <c r="V374" s="35" t="inlineStr">
        <is>
          <t>IF(U374&lt;&gt;"",U374,IF(OR(R374="",T374=""),"",EDATE(R374,T374)))</t>
        </is>
      </c>
      <c r="W374" s="36" t="n"/>
      <c r="X374" s="37" t="n"/>
      <c r="Y374" s="33" t="n"/>
      <c r="Z374" s="33" t="n"/>
      <c r="AA374" s="32" t="inlineStr">
        <is>
          <t>IF(E374="","",IF(COUNT(AG374:AT374)=0,IF(Y374="","Not started",Y374),SUBSTITUTE(LOOKUP(2,1/(AG374:AT374&lt;&gt;""),$AG$3:$AT$3),"Date: ","")))</t>
        </is>
      </c>
      <c r="AB374" s="38" t="inlineStr">
        <is>
          <t>IF(OR(E374="",COUNT(AG374:AT374)=0),"",TODAY()-LOOKUP(2,1/(AG374:AT374&lt;&gt;""),AG374:AT374))</t>
        </is>
      </c>
      <c r="AC374" s="38" t="inlineStr">
        <is>
          <t>IF(OR(E374="",COUNT(AG374:AT374)&lt;2),"",LOOKUP(2,1/(AG374:AT374&lt;&gt;""),AG374:AT374)-MIN(AG374:AT374))</t>
        </is>
      </c>
      <c r="AD374" s="38" t="inlineStr">
        <is>
          <t>IF(OR(AB374="",AA374="Not started",AA374=""),"",IFERROR(AB374-IF(VLOOKUP(AA374,'04_Status_Pipeline'!$B$3:$E$20,4,FALSE)="",0,VLOOKUP(AA374,'04_Status_Pipeline'!$B$3:$E$20,4,FALSE)),""))</t>
        </is>
      </c>
      <c r="AE374" s="32" t="inlineStr">
        <is>
          <t>IF(E374="","",IF(OR(Y374="Cancelled",AA374="Cancelled"),"Cancelled",IF(OR(AA374="Completed / Handover",W374&lt;&gt;"",X374&gt;=100),"Completed — on track",IF(L374="Remaining",IF(S374="",IF(V374="","No planned date",IF(TODAY()&gt;V374,"Behind — past planned date",IF(V374-TODAY()&lt;=30,"At risk — close to off track","On track"))),IF(TODAY()&gt;S374,"Behind — award date passed",IF(S374-TODAY()&lt;=30,"At risk — close to off track","On track"))),IF(V374="","No planned date",IF(AND(TODAY()&gt;V374,OR(X374="",X374&lt;100)),"Behind — past end date",IF(AND(R374&lt;&gt;"",V374&lt;&gt;"",X374&lt;&gt;"",(X374&lt;100),((TODAY()-R374)/MAX(V374-R374,1)*100)-X374&gt;15),"Behind — progress lag",IF(AND(V374-TODAY()&lt;=30,V374-TODAY()&gt;=0,OR(X374="",X374&lt;90)),"At risk — close to off track","On track"))))))))</t>
        </is>
      </c>
      <c r="AF374" s="38" t="inlineStr">
        <is>
          <t>IF(OR(E374="",AA374="Completed / Handover",AA374="Cancelled"),"",IF(L374="Remaining",IF(S374&lt;&gt;"",S374-TODAY(),IF(V374="","",V374-TODAY())),IF(V374="","",V374-TODAY())))</t>
        </is>
      </c>
      <c r="AG374" s="36" t="n"/>
      <c r="AH374" s="36" t="n"/>
      <c r="AI374" s="36" t="n"/>
      <c r="AJ374" s="36" t="n"/>
      <c r="AK374" s="36" t="n"/>
      <c r="AL374" s="36" t="n"/>
      <c r="AM374" s="36" t="n"/>
      <c r="AN374" s="36" t="n"/>
      <c r="AO374" s="36" t="n"/>
      <c r="AP374" s="36" t="n"/>
      <c r="AQ374" s="36" t="n"/>
      <c r="AR374" s="40" t="n"/>
      <c r="AS374" s="40" t="n"/>
      <c r="AT374" s="40" t="n"/>
      <c r="AU374" s="38" t="inlineStr">
        <is>
          <t>IF(OR(E374="",AH374=""),"",IF(COUNT(AG374:AG374)=0,"",AH374-LOOKUP(2,1/(AG374:AG374&lt;&gt;""),AG374:AG374)))</t>
        </is>
      </c>
      <c r="AV374" s="38" t="inlineStr">
        <is>
          <t>IF(OR(E374="",AI374=""),"",IF(COUNT(AG374:AH374)=0,"",AI374-LOOKUP(2,1/(AG374:AH374&lt;&gt;""),AG374:AH374)))</t>
        </is>
      </c>
      <c r="AW374" s="38" t="inlineStr">
        <is>
          <t>IF(OR(E374="",AJ374=""),"",IF(COUNT(AG374:AI374)=0,"",AJ374-LOOKUP(2,1/(AG374:AI374&lt;&gt;""),AG374:AI374)))</t>
        </is>
      </c>
      <c r="AX374" s="38" t="inlineStr">
        <is>
          <t>IF(OR(E374="",AK374=""),"",IF(COUNT(AG374:AJ374)=0,"",AK374-LOOKUP(2,1/(AG374:AJ374&lt;&gt;""),AG374:AJ374)))</t>
        </is>
      </c>
      <c r="AY374" s="38" t="inlineStr">
        <is>
          <t>IF(OR(E374="",AL374=""),"",IF(COUNT(AG374:AK374)=0,"",AL374-LOOKUP(2,1/(AG374:AK374&lt;&gt;""),AG374:AK374)))</t>
        </is>
      </c>
      <c r="AZ374" s="38" t="inlineStr">
        <is>
          <t>IF(OR(E374="",AM374=""),"",IF(COUNT(AG374:AL374)=0,"",AM374-LOOKUP(2,1/(AG374:AL374&lt;&gt;""),AG374:AL374)))</t>
        </is>
      </c>
      <c r="BA374" s="38" t="inlineStr">
        <is>
          <t>IF(OR(E374="",AN374=""),"",IF(COUNT(AG374:AM374)=0,"",AN374-LOOKUP(2,1/(AG374:AM374&lt;&gt;""),AG374:AM374)))</t>
        </is>
      </c>
      <c r="BB374" s="38" t="inlineStr">
        <is>
          <t>IF(OR(E374="",AO374=""),"",IF(COUNT(AG374:AN374)=0,"",AO374-LOOKUP(2,1/(AG374:AN374&lt;&gt;""),AG374:AN374)))</t>
        </is>
      </c>
      <c r="BC374" s="38" t="inlineStr">
        <is>
          <t>IF(OR(E374="",AP374=""),"",IF(COUNT(AG374:AO374)=0,"",AP374-LOOKUP(2,1/(AG374:AO374&lt;&gt;""),AG374:AO374)))</t>
        </is>
      </c>
      <c r="BD374" s="38" t="inlineStr">
        <is>
          <t>IF(OR(E374="",AQ374=""),"",IF(COUNT(AG374:AP374)=0,"",AQ374-LOOKUP(2,1/(AG374:AP374&lt;&gt;""),AG374:AP374)))</t>
        </is>
      </c>
      <c r="BE374" s="38" t="inlineStr">
        <is>
          <t>IF(OR(E374="",AR374=""),"",IF(COUNT(AG374:AQ374)=0,"",AR374-LOOKUP(2,1/(AG374:AQ374&lt;&gt;""),AG374:AQ374)))</t>
        </is>
      </c>
      <c r="BF374" s="38" t="inlineStr">
        <is>
          <t>IF(OR(E374="",AS374=""),"",IF(COUNT(AG374:AR374)=0,"",AS374-LOOKUP(2,1/(AG374:AR374&lt;&gt;""),AG374:AR374)))</t>
        </is>
      </c>
      <c r="BG374" s="38" t="inlineStr">
        <is>
          <t>IF(OR(E374="",AT374=""),"",IF(COUNT(AG374:AS374)=0,"",AT374-LOOKUP(2,1/(AG374:AS374&lt;&gt;""),AG374:AS374)))</t>
        </is>
      </c>
      <c r="BH374" s="41" t="inlineStr">
        <is>
          <t>IF(G374="","All_Provinces",IFERROR(VLOOKUP(G374,'07_Lookups'!$A$4:$B$20,2,FALSE),"All_Provinces"))</t>
        </is>
      </c>
      <c r="BI374" s="41" t="inlineStr">
        <is>
          <t>IF(H374="","All_Districts",IFERROR(VLOOKUP(H374,'07_Lookups'!$E$4:$F$42,2,FALSE),"All_Districts"))</t>
        </is>
      </c>
    </row>
    <row r="375" ht="18" customHeight="1">
      <c r="A375" s="32" t="inlineStr">
        <is>
          <t>IF(E375="","",ROW()-3)</t>
        </is>
      </c>
      <c r="B375" s="42" t="n"/>
      <c r="C375" s="42" t="n"/>
      <c r="D375" s="42" t="n"/>
      <c r="E375" s="42" t="n"/>
      <c r="F375" s="42" t="n"/>
      <c r="G375" s="42" t="n"/>
      <c r="H375" s="42" t="n"/>
      <c r="I375" s="42" t="n"/>
      <c r="J375" s="42" t="n"/>
      <c r="K375" s="42" t="n"/>
      <c r="L375" s="42" t="n"/>
      <c r="M375" s="42" t="n"/>
      <c r="N375" s="42" t="n"/>
      <c r="O375" s="42" t="n"/>
      <c r="P375" s="42" t="n"/>
      <c r="Q375" s="43" t="n"/>
      <c r="R375" s="35" t="inlineStr">
        <is>
          <t>IF(AO375="","",AO375)</t>
        </is>
      </c>
      <c r="S375" s="44" t="n"/>
      <c r="T375" s="45" t="n"/>
      <c r="U375" s="44" t="n"/>
      <c r="V375" s="35" t="inlineStr">
        <is>
          <t>IF(U375&lt;&gt;"",U375,IF(OR(R375="",T375=""),"",EDATE(R375,T375)))</t>
        </is>
      </c>
      <c r="W375" s="44" t="n"/>
      <c r="X375" s="45" t="n"/>
      <c r="Y375" s="42" t="n"/>
      <c r="Z375" s="42" t="n"/>
      <c r="AA375" s="32" t="inlineStr">
        <is>
          <t>IF(E375="","",IF(COUNT(AG375:AT375)=0,IF(Y375="","Not started",Y375),SUBSTITUTE(LOOKUP(2,1/(AG375:AT375&lt;&gt;""),$AG$3:$AT$3),"Date: ","")))</t>
        </is>
      </c>
      <c r="AB375" s="38" t="inlineStr">
        <is>
          <t>IF(OR(E375="",COUNT(AG375:AT375)=0),"",TODAY()-LOOKUP(2,1/(AG375:AT375&lt;&gt;""),AG375:AT375))</t>
        </is>
      </c>
      <c r="AC375" s="38" t="inlineStr">
        <is>
          <t>IF(OR(E375="",COUNT(AG375:AT375)&lt;2),"",LOOKUP(2,1/(AG375:AT375&lt;&gt;""),AG375:AT375)-MIN(AG375:AT375))</t>
        </is>
      </c>
      <c r="AD375" s="38" t="inlineStr">
        <is>
          <t>IF(OR(AB375="",AA375="Not started",AA375=""),"",IFERROR(AB375-IF(VLOOKUP(AA375,'04_Status_Pipeline'!$B$3:$E$20,4,FALSE)="",0,VLOOKUP(AA375,'04_Status_Pipeline'!$B$3:$E$20,4,FALSE)),""))</t>
        </is>
      </c>
      <c r="AE375" s="32" t="inlineStr">
        <is>
          <t>IF(E375="","",IF(OR(Y375="Cancelled",AA375="Cancelled"),"Cancelled",IF(OR(AA375="Completed / Handover",W375&lt;&gt;"",X375&gt;=100),"Completed — on track",IF(L375="Remaining",IF(S375="",IF(V375="","No planned date",IF(TODAY()&gt;V375,"Behind — past planned date",IF(V375-TODAY()&lt;=30,"At risk — close to off track","On track"))),IF(TODAY()&gt;S375,"Behind — award date passed",IF(S375-TODAY()&lt;=30,"At risk — close to off track","On track"))),IF(V375="","No planned date",IF(AND(TODAY()&gt;V375,OR(X375="",X375&lt;100)),"Behind — past end date",IF(AND(R375&lt;&gt;"",V375&lt;&gt;"",X375&lt;&gt;"",(X375&lt;100),((TODAY()-R375)/MAX(V375-R375,1)*100)-X375&gt;15),"Behind — progress lag",IF(AND(V375-TODAY()&lt;=30,V375-TODAY()&gt;=0,OR(X375="",X375&lt;90)),"At risk — close to off track","On track"))))))))</t>
        </is>
      </c>
      <c r="AF375" s="38" t="inlineStr">
        <is>
          <t>IF(OR(E375="",AA375="Completed / Handover",AA375="Cancelled"),"",IF(L375="Remaining",IF(S375&lt;&gt;"",S375-TODAY(),IF(V375="","",V375-TODAY())),IF(V375="","",V375-TODAY())))</t>
        </is>
      </c>
      <c r="AG375" s="44" t="n"/>
      <c r="AH375" s="44" t="n"/>
      <c r="AI375" s="44" t="n"/>
      <c r="AJ375" s="44" t="n"/>
      <c r="AK375" s="44" t="n"/>
      <c r="AL375" s="44" t="n"/>
      <c r="AM375" s="44" t="n"/>
      <c r="AN375" s="44" t="n"/>
      <c r="AO375" s="44" t="n"/>
      <c r="AP375" s="44" t="n"/>
      <c r="AQ375" s="44" t="n"/>
      <c r="AR375" s="40" t="n"/>
      <c r="AS375" s="40" t="n"/>
      <c r="AT375" s="40" t="n"/>
      <c r="AU375" s="38" t="inlineStr">
        <is>
          <t>IF(OR(E375="",AH375=""),"",IF(COUNT(AG375:AG375)=0,"",AH375-LOOKUP(2,1/(AG375:AG375&lt;&gt;""),AG375:AG375)))</t>
        </is>
      </c>
      <c r="AV375" s="38" t="inlineStr">
        <is>
          <t>IF(OR(E375="",AI375=""),"",IF(COUNT(AG375:AH375)=0,"",AI375-LOOKUP(2,1/(AG375:AH375&lt;&gt;""),AG375:AH375)))</t>
        </is>
      </c>
      <c r="AW375" s="38" t="inlineStr">
        <is>
          <t>IF(OR(E375="",AJ375=""),"",IF(COUNT(AG375:AI375)=0,"",AJ375-LOOKUP(2,1/(AG375:AI375&lt;&gt;""),AG375:AI375)))</t>
        </is>
      </c>
      <c r="AX375" s="38" t="inlineStr">
        <is>
          <t>IF(OR(E375="",AK375=""),"",IF(COUNT(AG375:AJ375)=0,"",AK375-LOOKUP(2,1/(AG375:AJ375&lt;&gt;""),AG375:AJ375)))</t>
        </is>
      </c>
      <c r="AY375" s="38" t="inlineStr">
        <is>
          <t>IF(OR(E375="",AL375=""),"",IF(COUNT(AG375:AK375)=0,"",AL375-LOOKUP(2,1/(AG375:AK375&lt;&gt;""),AG375:AK375)))</t>
        </is>
      </c>
      <c r="AZ375" s="38" t="inlineStr">
        <is>
          <t>IF(OR(E375="",AM375=""),"",IF(COUNT(AG375:AL375)=0,"",AM375-LOOKUP(2,1/(AG375:AL375&lt;&gt;""),AG375:AL375)))</t>
        </is>
      </c>
      <c r="BA375" s="38" t="inlineStr">
        <is>
          <t>IF(OR(E375="",AN375=""),"",IF(COUNT(AG375:AM375)=0,"",AN375-LOOKUP(2,1/(AG375:AM375&lt;&gt;""),AG375:AM375)))</t>
        </is>
      </c>
      <c r="BB375" s="38" t="inlineStr">
        <is>
          <t>IF(OR(E375="",AO375=""),"",IF(COUNT(AG375:AN375)=0,"",AO375-LOOKUP(2,1/(AG375:AN375&lt;&gt;""),AG375:AN375)))</t>
        </is>
      </c>
      <c r="BC375" s="38" t="inlineStr">
        <is>
          <t>IF(OR(E375="",AP375=""),"",IF(COUNT(AG375:AO375)=0,"",AP375-LOOKUP(2,1/(AG375:AO375&lt;&gt;""),AG375:AO375)))</t>
        </is>
      </c>
      <c r="BD375" s="38" t="inlineStr">
        <is>
          <t>IF(OR(E375="",AQ375=""),"",IF(COUNT(AG375:AP375)=0,"",AQ375-LOOKUP(2,1/(AG375:AP375&lt;&gt;""),AG375:AP375)))</t>
        </is>
      </c>
      <c r="BE375" s="38" t="inlineStr">
        <is>
          <t>IF(OR(E375="",AR375=""),"",IF(COUNT(AG375:AQ375)=0,"",AR375-LOOKUP(2,1/(AG375:AQ375&lt;&gt;""),AG375:AQ375)))</t>
        </is>
      </c>
      <c r="BF375" s="38" t="inlineStr">
        <is>
          <t>IF(OR(E375="",AS375=""),"",IF(COUNT(AG375:AR375)=0,"",AS375-LOOKUP(2,1/(AG375:AR375&lt;&gt;""),AG375:AR375)))</t>
        </is>
      </c>
      <c r="BG375" s="38" t="inlineStr">
        <is>
          <t>IF(OR(E375="",AT375=""),"",IF(COUNT(AG375:AS375)=0,"",AT375-LOOKUP(2,1/(AG375:AS375&lt;&gt;""),AG375:AS375)))</t>
        </is>
      </c>
      <c r="BH375" s="41" t="inlineStr">
        <is>
          <t>IF(G375="","All_Provinces",IFERROR(VLOOKUP(G375,'07_Lookups'!$A$4:$B$20,2,FALSE),"All_Provinces"))</t>
        </is>
      </c>
      <c r="BI375" s="41" t="inlineStr">
        <is>
          <t>IF(H375="","All_Districts",IFERROR(VLOOKUP(H375,'07_Lookups'!$E$4:$F$42,2,FALSE),"All_Districts"))</t>
        </is>
      </c>
    </row>
    <row r="376" ht="18" customHeight="1">
      <c r="A376" s="32" t="inlineStr">
        <is>
          <t>IF(E376="","",ROW()-3)</t>
        </is>
      </c>
      <c r="B376" s="33" t="n"/>
      <c r="C376" s="33" t="n"/>
      <c r="D376" s="33" t="n"/>
      <c r="E376" s="33" t="n"/>
      <c r="F376" s="33" t="n"/>
      <c r="G376" s="33" t="n"/>
      <c r="H376" s="33" t="n"/>
      <c r="I376" s="33" t="n"/>
      <c r="J376" s="33" t="n"/>
      <c r="K376" s="33" t="n"/>
      <c r="L376" s="33" t="n"/>
      <c r="M376" s="33" t="n"/>
      <c r="N376" s="33" t="n"/>
      <c r="O376" s="33" t="n"/>
      <c r="P376" s="33" t="n"/>
      <c r="Q376" s="34" t="n"/>
      <c r="R376" s="35" t="inlineStr">
        <is>
          <t>IF(AO376="","",AO376)</t>
        </is>
      </c>
      <c r="S376" s="36" t="n"/>
      <c r="T376" s="37" t="n"/>
      <c r="U376" s="36" t="n"/>
      <c r="V376" s="35" t="inlineStr">
        <is>
          <t>IF(U376&lt;&gt;"",U376,IF(OR(R376="",T376=""),"",EDATE(R376,T376)))</t>
        </is>
      </c>
      <c r="W376" s="36" t="n"/>
      <c r="X376" s="37" t="n"/>
      <c r="Y376" s="33" t="n"/>
      <c r="Z376" s="33" t="n"/>
      <c r="AA376" s="32" t="inlineStr">
        <is>
          <t>IF(E376="","",IF(COUNT(AG376:AT376)=0,IF(Y376="","Not started",Y376),SUBSTITUTE(LOOKUP(2,1/(AG376:AT376&lt;&gt;""),$AG$3:$AT$3),"Date: ","")))</t>
        </is>
      </c>
      <c r="AB376" s="38" t="inlineStr">
        <is>
          <t>IF(OR(E376="",COUNT(AG376:AT376)=0),"",TODAY()-LOOKUP(2,1/(AG376:AT376&lt;&gt;""),AG376:AT376))</t>
        </is>
      </c>
      <c r="AC376" s="38" t="inlineStr">
        <is>
          <t>IF(OR(E376="",COUNT(AG376:AT376)&lt;2),"",LOOKUP(2,1/(AG376:AT376&lt;&gt;""),AG376:AT376)-MIN(AG376:AT376))</t>
        </is>
      </c>
      <c r="AD376" s="38" t="inlineStr">
        <is>
          <t>IF(OR(AB376="",AA376="Not started",AA376=""),"",IFERROR(AB376-IF(VLOOKUP(AA376,'04_Status_Pipeline'!$B$3:$E$20,4,FALSE)="",0,VLOOKUP(AA376,'04_Status_Pipeline'!$B$3:$E$20,4,FALSE)),""))</t>
        </is>
      </c>
      <c r="AE376" s="32" t="inlineStr">
        <is>
          <t>IF(E376="","",IF(OR(Y376="Cancelled",AA376="Cancelled"),"Cancelled",IF(OR(AA376="Completed / Handover",W376&lt;&gt;"",X376&gt;=100),"Completed — on track",IF(L376="Remaining",IF(S376="",IF(V376="","No planned date",IF(TODAY()&gt;V376,"Behind — past planned date",IF(V376-TODAY()&lt;=30,"At risk — close to off track","On track"))),IF(TODAY()&gt;S376,"Behind — award date passed",IF(S376-TODAY()&lt;=30,"At risk — close to off track","On track"))),IF(V376="","No planned date",IF(AND(TODAY()&gt;V376,OR(X376="",X376&lt;100)),"Behind — past end date",IF(AND(R376&lt;&gt;"",V376&lt;&gt;"",X376&lt;&gt;"",(X376&lt;100),((TODAY()-R376)/MAX(V376-R376,1)*100)-X376&gt;15),"Behind — progress lag",IF(AND(V376-TODAY()&lt;=30,V376-TODAY()&gt;=0,OR(X376="",X376&lt;90)),"At risk — close to off track","On track"))))))))</t>
        </is>
      </c>
      <c r="AF376" s="38" t="inlineStr">
        <is>
          <t>IF(OR(E376="",AA376="Completed / Handover",AA376="Cancelled"),"",IF(L376="Remaining",IF(S376&lt;&gt;"",S376-TODAY(),IF(V376="","",V376-TODAY())),IF(V376="","",V376-TODAY())))</t>
        </is>
      </c>
      <c r="AG376" s="36" t="n"/>
      <c r="AH376" s="36" t="n"/>
      <c r="AI376" s="36" t="n"/>
      <c r="AJ376" s="36" t="n"/>
      <c r="AK376" s="36" t="n"/>
      <c r="AL376" s="36" t="n"/>
      <c r="AM376" s="36" t="n"/>
      <c r="AN376" s="36" t="n"/>
      <c r="AO376" s="36" t="n"/>
      <c r="AP376" s="36" t="n"/>
      <c r="AQ376" s="36" t="n"/>
      <c r="AR376" s="40" t="n"/>
      <c r="AS376" s="40" t="n"/>
      <c r="AT376" s="40" t="n"/>
      <c r="AU376" s="38" t="inlineStr">
        <is>
          <t>IF(OR(E376="",AH376=""),"",IF(COUNT(AG376:AG376)=0,"",AH376-LOOKUP(2,1/(AG376:AG376&lt;&gt;""),AG376:AG376)))</t>
        </is>
      </c>
      <c r="AV376" s="38" t="inlineStr">
        <is>
          <t>IF(OR(E376="",AI376=""),"",IF(COUNT(AG376:AH376)=0,"",AI376-LOOKUP(2,1/(AG376:AH376&lt;&gt;""),AG376:AH376)))</t>
        </is>
      </c>
      <c r="AW376" s="38" t="inlineStr">
        <is>
          <t>IF(OR(E376="",AJ376=""),"",IF(COUNT(AG376:AI376)=0,"",AJ376-LOOKUP(2,1/(AG376:AI376&lt;&gt;""),AG376:AI376)))</t>
        </is>
      </c>
      <c r="AX376" s="38" t="inlineStr">
        <is>
          <t>IF(OR(E376="",AK376=""),"",IF(COUNT(AG376:AJ376)=0,"",AK376-LOOKUP(2,1/(AG376:AJ376&lt;&gt;""),AG376:AJ376)))</t>
        </is>
      </c>
      <c r="AY376" s="38" t="inlineStr">
        <is>
          <t>IF(OR(E376="",AL376=""),"",IF(COUNT(AG376:AK376)=0,"",AL376-LOOKUP(2,1/(AG376:AK376&lt;&gt;""),AG376:AK376)))</t>
        </is>
      </c>
      <c r="AZ376" s="38" t="inlineStr">
        <is>
          <t>IF(OR(E376="",AM376=""),"",IF(COUNT(AG376:AL376)=0,"",AM376-LOOKUP(2,1/(AG376:AL376&lt;&gt;""),AG376:AL376)))</t>
        </is>
      </c>
      <c r="BA376" s="38" t="inlineStr">
        <is>
          <t>IF(OR(E376="",AN376=""),"",IF(COUNT(AG376:AM376)=0,"",AN376-LOOKUP(2,1/(AG376:AM376&lt;&gt;""),AG376:AM376)))</t>
        </is>
      </c>
      <c r="BB376" s="38" t="inlineStr">
        <is>
          <t>IF(OR(E376="",AO376=""),"",IF(COUNT(AG376:AN376)=0,"",AO376-LOOKUP(2,1/(AG376:AN376&lt;&gt;""),AG376:AN376)))</t>
        </is>
      </c>
      <c r="BC376" s="38" t="inlineStr">
        <is>
          <t>IF(OR(E376="",AP376=""),"",IF(COUNT(AG376:AO376)=0,"",AP376-LOOKUP(2,1/(AG376:AO376&lt;&gt;""),AG376:AO376)))</t>
        </is>
      </c>
      <c r="BD376" s="38" t="inlineStr">
        <is>
          <t>IF(OR(E376="",AQ376=""),"",IF(COUNT(AG376:AP376)=0,"",AQ376-LOOKUP(2,1/(AG376:AP376&lt;&gt;""),AG376:AP376)))</t>
        </is>
      </c>
      <c r="BE376" s="38" t="inlineStr">
        <is>
          <t>IF(OR(E376="",AR376=""),"",IF(COUNT(AG376:AQ376)=0,"",AR376-LOOKUP(2,1/(AG376:AQ376&lt;&gt;""),AG376:AQ376)))</t>
        </is>
      </c>
      <c r="BF376" s="38" t="inlineStr">
        <is>
          <t>IF(OR(E376="",AS376=""),"",IF(COUNT(AG376:AR376)=0,"",AS376-LOOKUP(2,1/(AG376:AR376&lt;&gt;""),AG376:AR376)))</t>
        </is>
      </c>
      <c r="BG376" s="38" t="inlineStr">
        <is>
          <t>IF(OR(E376="",AT376=""),"",IF(COUNT(AG376:AS376)=0,"",AT376-LOOKUP(2,1/(AG376:AS376&lt;&gt;""),AG376:AS376)))</t>
        </is>
      </c>
      <c r="BH376" s="41" t="inlineStr">
        <is>
          <t>IF(G376="","All_Provinces",IFERROR(VLOOKUP(G376,'07_Lookups'!$A$4:$B$20,2,FALSE),"All_Provinces"))</t>
        </is>
      </c>
      <c r="BI376" s="41" t="inlineStr">
        <is>
          <t>IF(H376="","All_Districts",IFERROR(VLOOKUP(H376,'07_Lookups'!$E$4:$F$42,2,FALSE),"All_Districts"))</t>
        </is>
      </c>
    </row>
    <row r="377" ht="18" customHeight="1">
      <c r="A377" s="32" t="inlineStr">
        <is>
          <t>IF(E377="","",ROW()-3)</t>
        </is>
      </c>
      <c r="B377" s="42" t="n"/>
      <c r="C377" s="42" t="n"/>
      <c r="D377" s="42" t="n"/>
      <c r="E377" s="42" t="n"/>
      <c r="F377" s="42" t="n"/>
      <c r="G377" s="42" t="n"/>
      <c r="H377" s="42" t="n"/>
      <c r="I377" s="42" t="n"/>
      <c r="J377" s="42" t="n"/>
      <c r="K377" s="42" t="n"/>
      <c r="L377" s="42" t="n"/>
      <c r="M377" s="42" t="n"/>
      <c r="N377" s="42" t="n"/>
      <c r="O377" s="42" t="n"/>
      <c r="P377" s="42" t="n"/>
      <c r="Q377" s="43" t="n"/>
      <c r="R377" s="35" t="inlineStr">
        <is>
          <t>IF(AO377="","",AO377)</t>
        </is>
      </c>
      <c r="S377" s="44" t="n"/>
      <c r="T377" s="45" t="n"/>
      <c r="U377" s="44" t="n"/>
      <c r="V377" s="35" t="inlineStr">
        <is>
          <t>IF(U377&lt;&gt;"",U377,IF(OR(R377="",T377=""),"",EDATE(R377,T377)))</t>
        </is>
      </c>
      <c r="W377" s="44" t="n"/>
      <c r="X377" s="45" t="n"/>
      <c r="Y377" s="42" t="n"/>
      <c r="Z377" s="42" t="n"/>
      <c r="AA377" s="32" t="inlineStr">
        <is>
          <t>IF(E377="","",IF(COUNT(AG377:AT377)=0,IF(Y377="","Not started",Y377),SUBSTITUTE(LOOKUP(2,1/(AG377:AT377&lt;&gt;""),$AG$3:$AT$3),"Date: ","")))</t>
        </is>
      </c>
      <c r="AB377" s="38" t="inlineStr">
        <is>
          <t>IF(OR(E377="",COUNT(AG377:AT377)=0),"",TODAY()-LOOKUP(2,1/(AG377:AT377&lt;&gt;""),AG377:AT377))</t>
        </is>
      </c>
      <c r="AC377" s="38" t="inlineStr">
        <is>
          <t>IF(OR(E377="",COUNT(AG377:AT377)&lt;2),"",LOOKUP(2,1/(AG377:AT377&lt;&gt;""),AG377:AT377)-MIN(AG377:AT377))</t>
        </is>
      </c>
      <c r="AD377" s="38" t="inlineStr">
        <is>
          <t>IF(OR(AB377="",AA377="Not started",AA377=""),"",IFERROR(AB377-IF(VLOOKUP(AA377,'04_Status_Pipeline'!$B$3:$E$20,4,FALSE)="",0,VLOOKUP(AA377,'04_Status_Pipeline'!$B$3:$E$20,4,FALSE)),""))</t>
        </is>
      </c>
      <c r="AE377" s="32" t="inlineStr">
        <is>
          <t>IF(E377="","",IF(OR(Y377="Cancelled",AA377="Cancelled"),"Cancelled",IF(OR(AA377="Completed / Handover",W377&lt;&gt;"",X377&gt;=100),"Completed — on track",IF(L377="Remaining",IF(S377="",IF(V377="","No planned date",IF(TODAY()&gt;V377,"Behind — past planned date",IF(V377-TODAY()&lt;=30,"At risk — close to off track","On track"))),IF(TODAY()&gt;S377,"Behind — award date passed",IF(S377-TODAY()&lt;=30,"At risk — close to off track","On track"))),IF(V377="","No planned date",IF(AND(TODAY()&gt;V377,OR(X377="",X377&lt;100)),"Behind — past end date",IF(AND(R377&lt;&gt;"",V377&lt;&gt;"",X377&lt;&gt;"",(X377&lt;100),((TODAY()-R377)/MAX(V377-R377,1)*100)-X377&gt;15),"Behind — progress lag",IF(AND(V377-TODAY()&lt;=30,V377-TODAY()&gt;=0,OR(X377="",X377&lt;90)),"At risk — close to off track","On track"))))))))</t>
        </is>
      </c>
      <c r="AF377" s="38" t="inlineStr">
        <is>
          <t>IF(OR(E377="",AA377="Completed / Handover",AA377="Cancelled"),"",IF(L377="Remaining",IF(S377&lt;&gt;"",S377-TODAY(),IF(V377="","",V377-TODAY())),IF(V377="","",V377-TODAY())))</t>
        </is>
      </c>
      <c r="AG377" s="44" t="n"/>
      <c r="AH377" s="44" t="n"/>
      <c r="AI377" s="44" t="n"/>
      <c r="AJ377" s="44" t="n"/>
      <c r="AK377" s="44" t="n"/>
      <c r="AL377" s="44" t="n"/>
      <c r="AM377" s="44" t="n"/>
      <c r="AN377" s="44" t="n"/>
      <c r="AO377" s="44" t="n"/>
      <c r="AP377" s="44" t="n"/>
      <c r="AQ377" s="44" t="n"/>
      <c r="AR377" s="40" t="n"/>
      <c r="AS377" s="40" t="n"/>
      <c r="AT377" s="40" t="n"/>
      <c r="AU377" s="38" t="inlineStr">
        <is>
          <t>IF(OR(E377="",AH377=""),"",IF(COUNT(AG377:AG377)=0,"",AH377-LOOKUP(2,1/(AG377:AG377&lt;&gt;""),AG377:AG377)))</t>
        </is>
      </c>
      <c r="AV377" s="38" t="inlineStr">
        <is>
          <t>IF(OR(E377="",AI377=""),"",IF(COUNT(AG377:AH377)=0,"",AI377-LOOKUP(2,1/(AG377:AH377&lt;&gt;""),AG377:AH377)))</t>
        </is>
      </c>
      <c r="AW377" s="38" t="inlineStr">
        <is>
          <t>IF(OR(E377="",AJ377=""),"",IF(COUNT(AG377:AI377)=0,"",AJ377-LOOKUP(2,1/(AG377:AI377&lt;&gt;""),AG377:AI377)))</t>
        </is>
      </c>
      <c r="AX377" s="38" t="inlineStr">
        <is>
          <t>IF(OR(E377="",AK377=""),"",IF(COUNT(AG377:AJ377)=0,"",AK377-LOOKUP(2,1/(AG377:AJ377&lt;&gt;""),AG377:AJ377)))</t>
        </is>
      </c>
      <c r="AY377" s="38" t="inlineStr">
        <is>
          <t>IF(OR(E377="",AL377=""),"",IF(COUNT(AG377:AK377)=0,"",AL377-LOOKUP(2,1/(AG377:AK377&lt;&gt;""),AG377:AK377)))</t>
        </is>
      </c>
      <c r="AZ377" s="38" t="inlineStr">
        <is>
          <t>IF(OR(E377="",AM377=""),"",IF(COUNT(AG377:AL377)=0,"",AM377-LOOKUP(2,1/(AG377:AL377&lt;&gt;""),AG377:AL377)))</t>
        </is>
      </c>
      <c r="BA377" s="38" t="inlineStr">
        <is>
          <t>IF(OR(E377="",AN377=""),"",IF(COUNT(AG377:AM377)=0,"",AN377-LOOKUP(2,1/(AG377:AM377&lt;&gt;""),AG377:AM377)))</t>
        </is>
      </c>
      <c r="BB377" s="38" t="inlineStr">
        <is>
          <t>IF(OR(E377="",AO377=""),"",IF(COUNT(AG377:AN377)=0,"",AO377-LOOKUP(2,1/(AG377:AN377&lt;&gt;""),AG377:AN377)))</t>
        </is>
      </c>
      <c r="BC377" s="38" t="inlineStr">
        <is>
          <t>IF(OR(E377="",AP377=""),"",IF(COUNT(AG377:AO377)=0,"",AP377-LOOKUP(2,1/(AG377:AO377&lt;&gt;""),AG377:AO377)))</t>
        </is>
      </c>
      <c r="BD377" s="38" t="inlineStr">
        <is>
          <t>IF(OR(E377="",AQ377=""),"",IF(COUNT(AG377:AP377)=0,"",AQ377-LOOKUP(2,1/(AG377:AP377&lt;&gt;""),AG377:AP377)))</t>
        </is>
      </c>
      <c r="BE377" s="38" t="inlineStr">
        <is>
          <t>IF(OR(E377="",AR377=""),"",IF(COUNT(AG377:AQ377)=0,"",AR377-LOOKUP(2,1/(AG377:AQ377&lt;&gt;""),AG377:AQ377)))</t>
        </is>
      </c>
      <c r="BF377" s="38" t="inlineStr">
        <is>
          <t>IF(OR(E377="",AS377=""),"",IF(COUNT(AG377:AR377)=0,"",AS377-LOOKUP(2,1/(AG377:AR377&lt;&gt;""),AG377:AR377)))</t>
        </is>
      </c>
      <c r="BG377" s="38" t="inlineStr">
        <is>
          <t>IF(OR(E377="",AT377=""),"",IF(COUNT(AG377:AS377)=0,"",AT377-LOOKUP(2,1/(AG377:AS377&lt;&gt;""),AG377:AS377)))</t>
        </is>
      </c>
      <c r="BH377" s="41" t="inlineStr">
        <is>
          <t>IF(G377="","All_Provinces",IFERROR(VLOOKUP(G377,'07_Lookups'!$A$4:$B$20,2,FALSE),"All_Provinces"))</t>
        </is>
      </c>
      <c r="BI377" s="41" t="inlineStr">
        <is>
          <t>IF(H377="","All_Districts",IFERROR(VLOOKUP(H377,'07_Lookups'!$E$4:$F$42,2,FALSE),"All_Districts"))</t>
        </is>
      </c>
    </row>
    <row r="378" ht="18" customHeight="1">
      <c r="A378" s="32" t="inlineStr">
        <is>
          <t>IF(E378="","",ROW()-3)</t>
        </is>
      </c>
      <c r="B378" s="33" t="n"/>
      <c r="C378" s="33" t="n"/>
      <c r="D378" s="33" t="n"/>
      <c r="E378" s="33" t="n"/>
      <c r="F378" s="33" t="n"/>
      <c r="G378" s="33" t="n"/>
      <c r="H378" s="33" t="n"/>
      <c r="I378" s="33" t="n"/>
      <c r="J378" s="33" t="n"/>
      <c r="K378" s="33" t="n"/>
      <c r="L378" s="33" t="n"/>
      <c r="M378" s="33" t="n"/>
      <c r="N378" s="33" t="n"/>
      <c r="O378" s="33" t="n"/>
      <c r="P378" s="33" t="n"/>
      <c r="Q378" s="34" t="n"/>
      <c r="R378" s="35" t="inlineStr">
        <is>
          <t>IF(AO378="","",AO378)</t>
        </is>
      </c>
      <c r="S378" s="36" t="n"/>
      <c r="T378" s="37" t="n"/>
      <c r="U378" s="36" t="n"/>
      <c r="V378" s="35" t="inlineStr">
        <is>
          <t>IF(U378&lt;&gt;"",U378,IF(OR(R378="",T378=""),"",EDATE(R378,T378)))</t>
        </is>
      </c>
      <c r="W378" s="36" t="n"/>
      <c r="X378" s="37" t="n"/>
      <c r="Y378" s="33" t="n"/>
      <c r="Z378" s="33" t="n"/>
      <c r="AA378" s="32" t="inlineStr">
        <is>
          <t>IF(E378="","",IF(COUNT(AG378:AT378)=0,IF(Y378="","Not started",Y378),SUBSTITUTE(LOOKUP(2,1/(AG378:AT378&lt;&gt;""),$AG$3:$AT$3),"Date: ","")))</t>
        </is>
      </c>
      <c r="AB378" s="38" t="inlineStr">
        <is>
          <t>IF(OR(E378="",COUNT(AG378:AT378)=0),"",TODAY()-LOOKUP(2,1/(AG378:AT378&lt;&gt;""),AG378:AT378))</t>
        </is>
      </c>
      <c r="AC378" s="38" t="inlineStr">
        <is>
          <t>IF(OR(E378="",COUNT(AG378:AT378)&lt;2),"",LOOKUP(2,1/(AG378:AT378&lt;&gt;""),AG378:AT378)-MIN(AG378:AT378))</t>
        </is>
      </c>
      <c r="AD378" s="38" t="inlineStr">
        <is>
          <t>IF(OR(AB378="",AA378="Not started",AA378=""),"",IFERROR(AB378-IF(VLOOKUP(AA378,'04_Status_Pipeline'!$B$3:$E$20,4,FALSE)="",0,VLOOKUP(AA378,'04_Status_Pipeline'!$B$3:$E$20,4,FALSE)),""))</t>
        </is>
      </c>
      <c r="AE378" s="32" t="inlineStr">
        <is>
          <t>IF(E378="","",IF(OR(Y378="Cancelled",AA378="Cancelled"),"Cancelled",IF(OR(AA378="Completed / Handover",W378&lt;&gt;"",X378&gt;=100),"Completed — on track",IF(L378="Remaining",IF(S378="",IF(V378="","No planned date",IF(TODAY()&gt;V378,"Behind — past planned date",IF(V378-TODAY()&lt;=30,"At risk — close to off track","On track"))),IF(TODAY()&gt;S378,"Behind — award date passed",IF(S378-TODAY()&lt;=30,"At risk — close to off track","On track"))),IF(V378="","No planned date",IF(AND(TODAY()&gt;V378,OR(X378="",X378&lt;100)),"Behind — past end date",IF(AND(R378&lt;&gt;"",V378&lt;&gt;"",X378&lt;&gt;"",(X378&lt;100),((TODAY()-R378)/MAX(V378-R378,1)*100)-X378&gt;15),"Behind — progress lag",IF(AND(V378-TODAY()&lt;=30,V378-TODAY()&gt;=0,OR(X378="",X378&lt;90)),"At risk — close to off track","On track"))))))))</t>
        </is>
      </c>
      <c r="AF378" s="38" t="inlineStr">
        <is>
          <t>IF(OR(E378="",AA378="Completed / Handover",AA378="Cancelled"),"",IF(L378="Remaining",IF(S378&lt;&gt;"",S378-TODAY(),IF(V378="","",V378-TODAY())),IF(V378="","",V378-TODAY())))</t>
        </is>
      </c>
      <c r="AG378" s="36" t="n"/>
      <c r="AH378" s="36" t="n"/>
      <c r="AI378" s="36" t="n"/>
      <c r="AJ378" s="36" t="n"/>
      <c r="AK378" s="36" t="n"/>
      <c r="AL378" s="36" t="n"/>
      <c r="AM378" s="36" t="n"/>
      <c r="AN378" s="36" t="n"/>
      <c r="AO378" s="36" t="n"/>
      <c r="AP378" s="36" t="n"/>
      <c r="AQ378" s="36" t="n"/>
      <c r="AR378" s="40" t="n"/>
      <c r="AS378" s="40" t="n"/>
      <c r="AT378" s="40" t="n"/>
      <c r="AU378" s="38" t="inlineStr">
        <is>
          <t>IF(OR(E378="",AH378=""),"",IF(COUNT(AG378:AG378)=0,"",AH378-LOOKUP(2,1/(AG378:AG378&lt;&gt;""),AG378:AG378)))</t>
        </is>
      </c>
      <c r="AV378" s="38" t="inlineStr">
        <is>
          <t>IF(OR(E378="",AI378=""),"",IF(COUNT(AG378:AH378)=0,"",AI378-LOOKUP(2,1/(AG378:AH378&lt;&gt;""),AG378:AH378)))</t>
        </is>
      </c>
      <c r="AW378" s="38" t="inlineStr">
        <is>
          <t>IF(OR(E378="",AJ378=""),"",IF(COUNT(AG378:AI378)=0,"",AJ378-LOOKUP(2,1/(AG378:AI378&lt;&gt;""),AG378:AI378)))</t>
        </is>
      </c>
      <c r="AX378" s="38" t="inlineStr">
        <is>
          <t>IF(OR(E378="",AK378=""),"",IF(COUNT(AG378:AJ378)=0,"",AK378-LOOKUP(2,1/(AG378:AJ378&lt;&gt;""),AG378:AJ378)))</t>
        </is>
      </c>
      <c r="AY378" s="38" t="inlineStr">
        <is>
          <t>IF(OR(E378="",AL378=""),"",IF(COUNT(AG378:AK378)=0,"",AL378-LOOKUP(2,1/(AG378:AK378&lt;&gt;""),AG378:AK378)))</t>
        </is>
      </c>
      <c r="AZ378" s="38" t="inlineStr">
        <is>
          <t>IF(OR(E378="",AM378=""),"",IF(COUNT(AG378:AL378)=0,"",AM378-LOOKUP(2,1/(AG378:AL378&lt;&gt;""),AG378:AL378)))</t>
        </is>
      </c>
      <c r="BA378" s="38" t="inlineStr">
        <is>
          <t>IF(OR(E378="",AN378=""),"",IF(COUNT(AG378:AM378)=0,"",AN378-LOOKUP(2,1/(AG378:AM378&lt;&gt;""),AG378:AM378)))</t>
        </is>
      </c>
      <c r="BB378" s="38" t="inlineStr">
        <is>
          <t>IF(OR(E378="",AO378=""),"",IF(COUNT(AG378:AN378)=0,"",AO378-LOOKUP(2,1/(AG378:AN378&lt;&gt;""),AG378:AN378)))</t>
        </is>
      </c>
      <c r="BC378" s="38" t="inlineStr">
        <is>
          <t>IF(OR(E378="",AP378=""),"",IF(COUNT(AG378:AO378)=0,"",AP378-LOOKUP(2,1/(AG378:AO378&lt;&gt;""),AG378:AO378)))</t>
        </is>
      </c>
      <c r="BD378" s="38" t="inlineStr">
        <is>
          <t>IF(OR(E378="",AQ378=""),"",IF(COUNT(AG378:AP378)=0,"",AQ378-LOOKUP(2,1/(AG378:AP378&lt;&gt;""),AG378:AP378)))</t>
        </is>
      </c>
      <c r="BE378" s="38" t="inlineStr">
        <is>
          <t>IF(OR(E378="",AR378=""),"",IF(COUNT(AG378:AQ378)=0,"",AR378-LOOKUP(2,1/(AG378:AQ378&lt;&gt;""),AG378:AQ378)))</t>
        </is>
      </c>
      <c r="BF378" s="38" t="inlineStr">
        <is>
          <t>IF(OR(E378="",AS378=""),"",IF(COUNT(AG378:AR378)=0,"",AS378-LOOKUP(2,1/(AG378:AR378&lt;&gt;""),AG378:AR378)))</t>
        </is>
      </c>
      <c r="BG378" s="38" t="inlineStr">
        <is>
          <t>IF(OR(E378="",AT378=""),"",IF(COUNT(AG378:AS378)=0,"",AT378-LOOKUP(2,1/(AG378:AS378&lt;&gt;""),AG378:AS378)))</t>
        </is>
      </c>
      <c r="BH378" s="41" t="inlineStr">
        <is>
          <t>IF(G378="","All_Provinces",IFERROR(VLOOKUP(G378,'07_Lookups'!$A$4:$B$20,2,FALSE),"All_Provinces"))</t>
        </is>
      </c>
      <c r="BI378" s="41" t="inlineStr">
        <is>
          <t>IF(H378="","All_Districts",IFERROR(VLOOKUP(H378,'07_Lookups'!$E$4:$F$42,2,FALSE),"All_Districts"))</t>
        </is>
      </c>
    </row>
    <row r="379" ht="18" customHeight="1">
      <c r="A379" s="32" t="inlineStr">
        <is>
          <t>IF(E379="","",ROW()-3)</t>
        </is>
      </c>
      <c r="B379" s="42" t="n"/>
      <c r="C379" s="42" t="n"/>
      <c r="D379" s="42" t="n"/>
      <c r="E379" s="42" t="n"/>
      <c r="F379" s="42" t="n"/>
      <c r="G379" s="42" t="n"/>
      <c r="H379" s="42" t="n"/>
      <c r="I379" s="42" t="n"/>
      <c r="J379" s="42" t="n"/>
      <c r="K379" s="42" t="n"/>
      <c r="L379" s="42" t="n"/>
      <c r="M379" s="42" t="n"/>
      <c r="N379" s="42" t="n"/>
      <c r="O379" s="42" t="n"/>
      <c r="P379" s="42" t="n"/>
      <c r="Q379" s="43" t="n"/>
      <c r="R379" s="35" t="inlineStr">
        <is>
          <t>IF(AO379="","",AO379)</t>
        </is>
      </c>
      <c r="S379" s="44" t="n"/>
      <c r="T379" s="45" t="n"/>
      <c r="U379" s="44" t="n"/>
      <c r="V379" s="35" t="inlineStr">
        <is>
          <t>IF(U379&lt;&gt;"",U379,IF(OR(R379="",T379=""),"",EDATE(R379,T379)))</t>
        </is>
      </c>
      <c r="W379" s="44" t="n"/>
      <c r="X379" s="45" t="n"/>
      <c r="Y379" s="42" t="n"/>
      <c r="Z379" s="42" t="n"/>
      <c r="AA379" s="32" t="inlineStr">
        <is>
          <t>IF(E379="","",IF(COUNT(AG379:AT379)=0,IF(Y379="","Not started",Y379),SUBSTITUTE(LOOKUP(2,1/(AG379:AT379&lt;&gt;""),$AG$3:$AT$3),"Date: ","")))</t>
        </is>
      </c>
      <c r="AB379" s="38" t="inlineStr">
        <is>
          <t>IF(OR(E379="",COUNT(AG379:AT379)=0),"",TODAY()-LOOKUP(2,1/(AG379:AT379&lt;&gt;""),AG379:AT379))</t>
        </is>
      </c>
      <c r="AC379" s="38" t="inlineStr">
        <is>
          <t>IF(OR(E379="",COUNT(AG379:AT379)&lt;2),"",LOOKUP(2,1/(AG379:AT379&lt;&gt;""),AG379:AT379)-MIN(AG379:AT379))</t>
        </is>
      </c>
      <c r="AD379" s="38" t="inlineStr">
        <is>
          <t>IF(OR(AB379="",AA379="Not started",AA379=""),"",IFERROR(AB379-IF(VLOOKUP(AA379,'04_Status_Pipeline'!$B$3:$E$20,4,FALSE)="",0,VLOOKUP(AA379,'04_Status_Pipeline'!$B$3:$E$20,4,FALSE)),""))</t>
        </is>
      </c>
      <c r="AE379" s="32" t="inlineStr">
        <is>
          <t>IF(E379="","",IF(OR(Y379="Cancelled",AA379="Cancelled"),"Cancelled",IF(OR(AA379="Completed / Handover",W379&lt;&gt;"",X379&gt;=100),"Completed — on track",IF(L379="Remaining",IF(S379="",IF(V379="","No planned date",IF(TODAY()&gt;V379,"Behind — past planned date",IF(V379-TODAY()&lt;=30,"At risk — close to off track","On track"))),IF(TODAY()&gt;S379,"Behind — award date passed",IF(S379-TODAY()&lt;=30,"At risk — close to off track","On track"))),IF(V379="","No planned date",IF(AND(TODAY()&gt;V379,OR(X379="",X379&lt;100)),"Behind — past end date",IF(AND(R379&lt;&gt;"",V379&lt;&gt;"",X379&lt;&gt;"",(X379&lt;100),((TODAY()-R379)/MAX(V379-R379,1)*100)-X379&gt;15),"Behind — progress lag",IF(AND(V379-TODAY()&lt;=30,V379-TODAY()&gt;=0,OR(X379="",X379&lt;90)),"At risk — close to off track","On track"))))))))</t>
        </is>
      </c>
      <c r="AF379" s="38" t="inlineStr">
        <is>
          <t>IF(OR(E379="",AA379="Completed / Handover",AA379="Cancelled"),"",IF(L379="Remaining",IF(S379&lt;&gt;"",S379-TODAY(),IF(V379="","",V379-TODAY())),IF(V379="","",V379-TODAY())))</t>
        </is>
      </c>
      <c r="AG379" s="44" t="n"/>
      <c r="AH379" s="44" t="n"/>
      <c r="AI379" s="44" t="n"/>
      <c r="AJ379" s="44" t="n"/>
      <c r="AK379" s="44" t="n"/>
      <c r="AL379" s="44" t="n"/>
      <c r="AM379" s="44" t="n"/>
      <c r="AN379" s="44" t="n"/>
      <c r="AO379" s="44" t="n"/>
      <c r="AP379" s="44" t="n"/>
      <c r="AQ379" s="44" t="n"/>
      <c r="AR379" s="40" t="n"/>
      <c r="AS379" s="40" t="n"/>
      <c r="AT379" s="40" t="n"/>
      <c r="AU379" s="38" t="inlineStr">
        <is>
          <t>IF(OR(E379="",AH379=""),"",IF(COUNT(AG379:AG379)=0,"",AH379-LOOKUP(2,1/(AG379:AG379&lt;&gt;""),AG379:AG379)))</t>
        </is>
      </c>
      <c r="AV379" s="38" t="inlineStr">
        <is>
          <t>IF(OR(E379="",AI379=""),"",IF(COUNT(AG379:AH379)=0,"",AI379-LOOKUP(2,1/(AG379:AH379&lt;&gt;""),AG379:AH379)))</t>
        </is>
      </c>
      <c r="AW379" s="38" t="inlineStr">
        <is>
          <t>IF(OR(E379="",AJ379=""),"",IF(COUNT(AG379:AI379)=0,"",AJ379-LOOKUP(2,1/(AG379:AI379&lt;&gt;""),AG379:AI379)))</t>
        </is>
      </c>
      <c r="AX379" s="38" t="inlineStr">
        <is>
          <t>IF(OR(E379="",AK379=""),"",IF(COUNT(AG379:AJ379)=0,"",AK379-LOOKUP(2,1/(AG379:AJ379&lt;&gt;""),AG379:AJ379)))</t>
        </is>
      </c>
      <c r="AY379" s="38" t="inlineStr">
        <is>
          <t>IF(OR(E379="",AL379=""),"",IF(COUNT(AG379:AK379)=0,"",AL379-LOOKUP(2,1/(AG379:AK379&lt;&gt;""),AG379:AK379)))</t>
        </is>
      </c>
      <c r="AZ379" s="38" t="inlineStr">
        <is>
          <t>IF(OR(E379="",AM379=""),"",IF(COUNT(AG379:AL379)=0,"",AM379-LOOKUP(2,1/(AG379:AL379&lt;&gt;""),AG379:AL379)))</t>
        </is>
      </c>
      <c r="BA379" s="38" t="inlineStr">
        <is>
          <t>IF(OR(E379="",AN379=""),"",IF(COUNT(AG379:AM379)=0,"",AN379-LOOKUP(2,1/(AG379:AM379&lt;&gt;""),AG379:AM379)))</t>
        </is>
      </c>
      <c r="BB379" s="38" t="inlineStr">
        <is>
          <t>IF(OR(E379="",AO379=""),"",IF(COUNT(AG379:AN379)=0,"",AO379-LOOKUP(2,1/(AG379:AN379&lt;&gt;""),AG379:AN379)))</t>
        </is>
      </c>
      <c r="BC379" s="38" t="inlineStr">
        <is>
          <t>IF(OR(E379="",AP379=""),"",IF(COUNT(AG379:AO379)=0,"",AP379-LOOKUP(2,1/(AG379:AO379&lt;&gt;""),AG379:AO379)))</t>
        </is>
      </c>
      <c r="BD379" s="38" t="inlineStr">
        <is>
          <t>IF(OR(E379="",AQ379=""),"",IF(COUNT(AG379:AP379)=0,"",AQ379-LOOKUP(2,1/(AG379:AP379&lt;&gt;""),AG379:AP379)))</t>
        </is>
      </c>
      <c r="BE379" s="38" t="inlineStr">
        <is>
          <t>IF(OR(E379="",AR379=""),"",IF(COUNT(AG379:AQ379)=0,"",AR379-LOOKUP(2,1/(AG379:AQ379&lt;&gt;""),AG379:AQ379)))</t>
        </is>
      </c>
      <c r="BF379" s="38" t="inlineStr">
        <is>
          <t>IF(OR(E379="",AS379=""),"",IF(COUNT(AG379:AR379)=0,"",AS379-LOOKUP(2,1/(AG379:AR379&lt;&gt;""),AG379:AR379)))</t>
        </is>
      </c>
      <c r="BG379" s="38" t="inlineStr">
        <is>
          <t>IF(OR(E379="",AT379=""),"",IF(COUNT(AG379:AS379)=0,"",AT379-LOOKUP(2,1/(AG379:AS379&lt;&gt;""),AG379:AS379)))</t>
        </is>
      </c>
      <c r="BH379" s="41" t="inlineStr">
        <is>
          <t>IF(G379="","All_Provinces",IFERROR(VLOOKUP(G379,'07_Lookups'!$A$4:$B$20,2,FALSE),"All_Provinces"))</t>
        </is>
      </c>
      <c r="BI379" s="41" t="inlineStr">
        <is>
          <t>IF(H379="","All_Districts",IFERROR(VLOOKUP(H379,'07_Lookups'!$E$4:$F$42,2,FALSE),"All_Districts"))</t>
        </is>
      </c>
    </row>
    <row r="380" ht="18" customHeight="1">
      <c r="A380" s="32" t="inlineStr">
        <is>
          <t>IF(E380="","",ROW()-3)</t>
        </is>
      </c>
      <c r="B380" s="33" t="n"/>
      <c r="C380" s="33" t="n"/>
      <c r="D380" s="33" t="n"/>
      <c r="E380" s="33" t="n"/>
      <c r="F380" s="33" t="n"/>
      <c r="G380" s="33" t="n"/>
      <c r="H380" s="33" t="n"/>
      <c r="I380" s="33" t="n"/>
      <c r="J380" s="33" t="n"/>
      <c r="K380" s="33" t="n"/>
      <c r="L380" s="33" t="n"/>
      <c r="M380" s="33" t="n"/>
      <c r="N380" s="33" t="n"/>
      <c r="O380" s="33" t="n"/>
      <c r="P380" s="33" t="n"/>
      <c r="Q380" s="34" t="n"/>
      <c r="R380" s="35" t="inlineStr">
        <is>
          <t>IF(AO380="","",AO380)</t>
        </is>
      </c>
      <c r="S380" s="36" t="n"/>
      <c r="T380" s="37" t="n"/>
      <c r="U380" s="36" t="n"/>
      <c r="V380" s="35" t="inlineStr">
        <is>
          <t>IF(U380&lt;&gt;"",U380,IF(OR(R380="",T380=""),"",EDATE(R380,T380)))</t>
        </is>
      </c>
      <c r="W380" s="36" t="n"/>
      <c r="X380" s="37" t="n"/>
      <c r="Y380" s="33" t="n"/>
      <c r="Z380" s="33" t="n"/>
      <c r="AA380" s="32" t="inlineStr">
        <is>
          <t>IF(E380="","",IF(COUNT(AG380:AT380)=0,IF(Y380="","Not started",Y380),SUBSTITUTE(LOOKUP(2,1/(AG380:AT380&lt;&gt;""),$AG$3:$AT$3),"Date: ","")))</t>
        </is>
      </c>
      <c r="AB380" s="38" t="inlineStr">
        <is>
          <t>IF(OR(E380="",COUNT(AG380:AT380)=0),"",TODAY()-LOOKUP(2,1/(AG380:AT380&lt;&gt;""),AG380:AT380))</t>
        </is>
      </c>
      <c r="AC380" s="38" t="inlineStr">
        <is>
          <t>IF(OR(E380="",COUNT(AG380:AT380)&lt;2),"",LOOKUP(2,1/(AG380:AT380&lt;&gt;""),AG380:AT380)-MIN(AG380:AT380))</t>
        </is>
      </c>
      <c r="AD380" s="38" t="inlineStr">
        <is>
          <t>IF(OR(AB380="",AA380="Not started",AA380=""),"",IFERROR(AB380-IF(VLOOKUP(AA380,'04_Status_Pipeline'!$B$3:$E$20,4,FALSE)="",0,VLOOKUP(AA380,'04_Status_Pipeline'!$B$3:$E$20,4,FALSE)),""))</t>
        </is>
      </c>
      <c r="AE380" s="32" t="inlineStr">
        <is>
          <t>IF(E380="","",IF(OR(Y380="Cancelled",AA380="Cancelled"),"Cancelled",IF(OR(AA380="Completed / Handover",W380&lt;&gt;"",X380&gt;=100),"Completed — on track",IF(L380="Remaining",IF(S380="",IF(V380="","No planned date",IF(TODAY()&gt;V380,"Behind — past planned date",IF(V380-TODAY()&lt;=30,"At risk — close to off track","On track"))),IF(TODAY()&gt;S380,"Behind — award date passed",IF(S380-TODAY()&lt;=30,"At risk — close to off track","On track"))),IF(V380="","No planned date",IF(AND(TODAY()&gt;V380,OR(X380="",X380&lt;100)),"Behind — past end date",IF(AND(R380&lt;&gt;"",V380&lt;&gt;"",X380&lt;&gt;"",(X380&lt;100),((TODAY()-R380)/MAX(V380-R380,1)*100)-X380&gt;15),"Behind — progress lag",IF(AND(V380-TODAY()&lt;=30,V380-TODAY()&gt;=0,OR(X380="",X380&lt;90)),"At risk — close to off track","On track"))))))))</t>
        </is>
      </c>
      <c r="AF380" s="38" t="inlineStr">
        <is>
          <t>IF(OR(E380="",AA380="Completed / Handover",AA380="Cancelled"),"",IF(L380="Remaining",IF(S380&lt;&gt;"",S380-TODAY(),IF(V380="","",V380-TODAY())),IF(V380="","",V380-TODAY())))</t>
        </is>
      </c>
      <c r="AG380" s="36" t="n"/>
      <c r="AH380" s="36" t="n"/>
      <c r="AI380" s="36" t="n"/>
      <c r="AJ380" s="36" t="n"/>
      <c r="AK380" s="36" t="n"/>
      <c r="AL380" s="36" t="n"/>
      <c r="AM380" s="36" t="n"/>
      <c r="AN380" s="36" t="n"/>
      <c r="AO380" s="36" t="n"/>
      <c r="AP380" s="36" t="n"/>
      <c r="AQ380" s="36" t="n"/>
      <c r="AR380" s="40" t="n"/>
      <c r="AS380" s="40" t="n"/>
      <c r="AT380" s="40" t="n"/>
      <c r="AU380" s="38" t="inlineStr">
        <is>
          <t>IF(OR(E380="",AH380=""),"",IF(COUNT(AG380:AG380)=0,"",AH380-LOOKUP(2,1/(AG380:AG380&lt;&gt;""),AG380:AG380)))</t>
        </is>
      </c>
      <c r="AV380" s="38" t="inlineStr">
        <is>
          <t>IF(OR(E380="",AI380=""),"",IF(COUNT(AG380:AH380)=0,"",AI380-LOOKUP(2,1/(AG380:AH380&lt;&gt;""),AG380:AH380)))</t>
        </is>
      </c>
      <c r="AW380" s="38" t="inlineStr">
        <is>
          <t>IF(OR(E380="",AJ380=""),"",IF(COUNT(AG380:AI380)=0,"",AJ380-LOOKUP(2,1/(AG380:AI380&lt;&gt;""),AG380:AI380)))</t>
        </is>
      </c>
      <c r="AX380" s="38" t="inlineStr">
        <is>
          <t>IF(OR(E380="",AK380=""),"",IF(COUNT(AG380:AJ380)=0,"",AK380-LOOKUP(2,1/(AG380:AJ380&lt;&gt;""),AG380:AJ380)))</t>
        </is>
      </c>
      <c r="AY380" s="38" t="inlineStr">
        <is>
          <t>IF(OR(E380="",AL380=""),"",IF(COUNT(AG380:AK380)=0,"",AL380-LOOKUP(2,1/(AG380:AK380&lt;&gt;""),AG380:AK380)))</t>
        </is>
      </c>
      <c r="AZ380" s="38" t="inlineStr">
        <is>
          <t>IF(OR(E380="",AM380=""),"",IF(COUNT(AG380:AL380)=0,"",AM380-LOOKUP(2,1/(AG380:AL380&lt;&gt;""),AG380:AL380)))</t>
        </is>
      </c>
      <c r="BA380" s="38" t="inlineStr">
        <is>
          <t>IF(OR(E380="",AN380=""),"",IF(COUNT(AG380:AM380)=0,"",AN380-LOOKUP(2,1/(AG380:AM380&lt;&gt;""),AG380:AM380)))</t>
        </is>
      </c>
      <c r="BB380" s="38" t="inlineStr">
        <is>
          <t>IF(OR(E380="",AO380=""),"",IF(COUNT(AG380:AN380)=0,"",AO380-LOOKUP(2,1/(AG380:AN380&lt;&gt;""),AG380:AN380)))</t>
        </is>
      </c>
      <c r="BC380" s="38" t="inlineStr">
        <is>
          <t>IF(OR(E380="",AP380=""),"",IF(COUNT(AG380:AO380)=0,"",AP380-LOOKUP(2,1/(AG380:AO380&lt;&gt;""),AG380:AO380)))</t>
        </is>
      </c>
      <c r="BD380" s="38" t="inlineStr">
        <is>
          <t>IF(OR(E380="",AQ380=""),"",IF(COUNT(AG380:AP380)=0,"",AQ380-LOOKUP(2,1/(AG380:AP380&lt;&gt;""),AG380:AP380)))</t>
        </is>
      </c>
      <c r="BE380" s="38" t="inlineStr">
        <is>
          <t>IF(OR(E380="",AR380=""),"",IF(COUNT(AG380:AQ380)=0,"",AR380-LOOKUP(2,1/(AG380:AQ380&lt;&gt;""),AG380:AQ380)))</t>
        </is>
      </c>
      <c r="BF380" s="38" t="inlineStr">
        <is>
          <t>IF(OR(E380="",AS380=""),"",IF(COUNT(AG380:AR380)=0,"",AS380-LOOKUP(2,1/(AG380:AR380&lt;&gt;""),AG380:AR380)))</t>
        </is>
      </c>
      <c r="BG380" s="38" t="inlineStr">
        <is>
          <t>IF(OR(E380="",AT380=""),"",IF(COUNT(AG380:AS380)=0,"",AT380-LOOKUP(2,1/(AG380:AS380&lt;&gt;""),AG380:AS380)))</t>
        </is>
      </c>
      <c r="BH380" s="41" t="inlineStr">
        <is>
          <t>IF(G380="","All_Provinces",IFERROR(VLOOKUP(G380,'07_Lookups'!$A$4:$B$20,2,FALSE),"All_Provinces"))</t>
        </is>
      </c>
      <c r="BI380" s="41" t="inlineStr">
        <is>
          <t>IF(H380="","All_Districts",IFERROR(VLOOKUP(H380,'07_Lookups'!$E$4:$F$42,2,FALSE),"All_Districts"))</t>
        </is>
      </c>
    </row>
    <row r="381" ht="18" customHeight="1">
      <c r="A381" s="32" t="inlineStr">
        <is>
          <t>IF(E381="","",ROW()-3)</t>
        </is>
      </c>
      <c r="B381" s="42" t="n"/>
      <c r="C381" s="42" t="n"/>
      <c r="D381" s="42" t="n"/>
      <c r="E381" s="42" t="n"/>
      <c r="F381" s="42" t="n"/>
      <c r="G381" s="42" t="n"/>
      <c r="H381" s="42" t="n"/>
      <c r="I381" s="42" t="n"/>
      <c r="J381" s="42" t="n"/>
      <c r="K381" s="42" t="n"/>
      <c r="L381" s="42" t="n"/>
      <c r="M381" s="42" t="n"/>
      <c r="N381" s="42" t="n"/>
      <c r="O381" s="42" t="n"/>
      <c r="P381" s="42" t="n"/>
      <c r="Q381" s="43" t="n"/>
      <c r="R381" s="35" t="inlineStr">
        <is>
          <t>IF(AO381="","",AO381)</t>
        </is>
      </c>
      <c r="S381" s="44" t="n"/>
      <c r="T381" s="45" t="n"/>
      <c r="U381" s="44" t="n"/>
      <c r="V381" s="35" t="inlineStr">
        <is>
          <t>IF(U381&lt;&gt;"",U381,IF(OR(R381="",T381=""),"",EDATE(R381,T381)))</t>
        </is>
      </c>
      <c r="W381" s="44" t="n"/>
      <c r="X381" s="45" t="n"/>
      <c r="Y381" s="42" t="n"/>
      <c r="Z381" s="42" t="n"/>
      <c r="AA381" s="32" t="inlineStr">
        <is>
          <t>IF(E381="","",IF(COUNT(AG381:AT381)=0,IF(Y381="","Not started",Y381),SUBSTITUTE(LOOKUP(2,1/(AG381:AT381&lt;&gt;""),$AG$3:$AT$3),"Date: ","")))</t>
        </is>
      </c>
      <c r="AB381" s="38" t="inlineStr">
        <is>
          <t>IF(OR(E381="",COUNT(AG381:AT381)=0),"",TODAY()-LOOKUP(2,1/(AG381:AT381&lt;&gt;""),AG381:AT381))</t>
        </is>
      </c>
      <c r="AC381" s="38" t="inlineStr">
        <is>
          <t>IF(OR(E381="",COUNT(AG381:AT381)&lt;2),"",LOOKUP(2,1/(AG381:AT381&lt;&gt;""),AG381:AT381)-MIN(AG381:AT381))</t>
        </is>
      </c>
      <c r="AD381" s="38" t="inlineStr">
        <is>
          <t>IF(OR(AB381="",AA381="Not started",AA381=""),"",IFERROR(AB381-IF(VLOOKUP(AA381,'04_Status_Pipeline'!$B$3:$E$20,4,FALSE)="",0,VLOOKUP(AA381,'04_Status_Pipeline'!$B$3:$E$20,4,FALSE)),""))</t>
        </is>
      </c>
      <c r="AE381" s="32" t="inlineStr">
        <is>
          <t>IF(E381="","",IF(OR(Y381="Cancelled",AA381="Cancelled"),"Cancelled",IF(OR(AA381="Completed / Handover",W381&lt;&gt;"",X381&gt;=100),"Completed — on track",IF(L381="Remaining",IF(S381="",IF(V381="","No planned date",IF(TODAY()&gt;V381,"Behind — past planned date",IF(V381-TODAY()&lt;=30,"At risk — close to off track","On track"))),IF(TODAY()&gt;S381,"Behind — award date passed",IF(S381-TODAY()&lt;=30,"At risk — close to off track","On track"))),IF(V381="","No planned date",IF(AND(TODAY()&gt;V381,OR(X381="",X381&lt;100)),"Behind — past end date",IF(AND(R381&lt;&gt;"",V381&lt;&gt;"",X381&lt;&gt;"",(X381&lt;100),((TODAY()-R381)/MAX(V381-R381,1)*100)-X381&gt;15),"Behind — progress lag",IF(AND(V381-TODAY()&lt;=30,V381-TODAY()&gt;=0,OR(X381="",X381&lt;90)),"At risk — close to off track","On track"))))))))</t>
        </is>
      </c>
      <c r="AF381" s="38" t="inlineStr">
        <is>
          <t>IF(OR(E381="",AA381="Completed / Handover",AA381="Cancelled"),"",IF(L381="Remaining",IF(S381&lt;&gt;"",S381-TODAY(),IF(V381="","",V381-TODAY())),IF(V381="","",V381-TODAY())))</t>
        </is>
      </c>
      <c r="AG381" s="44" t="n"/>
      <c r="AH381" s="44" t="n"/>
      <c r="AI381" s="44" t="n"/>
      <c r="AJ381" s="44" t="n"/>
      <c r="AK381" s="44" t="n"/>
      <c r="AL381" s="44" t="n"/>
      <c r="AM381" s="44" t="n"/>
      <c r="AN381" s="44" t="n"/>
      <c r="AO381" s="44" t="n"/>
      <c r="AP381" s="44" t="n"/>
      <c r="AQ381" s="44" t="n"/>
      <c r="AR381" s="40" t="n"/>
      <c r="AS381" s="40" t="n"/>
      <c r="AT381" s="40" t="n"/>
      <c r="AU381" s="38" t="inlineStr">
        <is>
          <t>IF(OR(E381="",AH381=""),"",IF(COUNT(AG381:AG381)=0,"",AH381-LOOKUP(2,1/(AG381:AG381&lt;&gt;""),AG381:AG381)))</t>
        </is>
      </c>
      <c r="AV381" s="38" t="inlineStr">
        <is>
          <t>IF(OR(E381="",AI381=""),"",IF(COUNT(AG381:AH381)=0,"",AI381-LOOKUP(2,1/(AG381:AH381&lt;&gt;""),AG381:AH381)))</t>
        </is>
      </c>
      <c r="AW381" s="38" t="inlineStr">
        <is>
          <t>IF(OR(E381="",AJ381=""),"",IF(COUNT(AG381:AI381)=0,"",AJ381-LOOKUP(2,1/(AG381:AI381&lt;&gt;""),AG381:AI381)))</t>
        </is>
      </c>
      <c r="AX381" s="38" t="inlineStr">
        <is>
          <t>IF(OR(E381="",AK381=""),"",IF(COUNT(AG381:AJ381)=0,"",AK381-LOOKUP(2,1/(AG381:AJ381&lt;&gt;""),AG381:AJ381)))</t>
        </is>
      </c>
      <c r="AY381" s="38" t="inlineStr">
        <is>
          <t>IF(OR(E381="",AL381=""),"",IF(COUNT(AG381:AK381)=0,"",AL381-LOOKUP(2,1/(AG381:AK381&lt;&gt;""),AG381:AK381)))</t>
        </is>
      </c>
      <c r="AZ381" s="38" t="inlineStr">
        <is>
          <t>IF(OR(E381="",AM381=""),"",IF(COUNT(AG381:AL381)=0,"",AM381-LOOKUP(2,1/(AG381:AL381&lt;&gt;""),AG381:AL381)))</t>
        </is>
      </c>
      <c r="BA381" s="38" t="inlineStr">
        <is>
          <t>IF(OR(E381="",AN381=""),"",IF(COUNT(AG381:AM381)=0,"",AN381-LOOKUP(2,1/(AG381:AM381&lt;&gt;""),AG381:AM381)))</t>
        </is>
      </c>
      <c r="BB381" s="38" t="inlineStr">
        <is>
          <t>IF(OR(E381="",AO381=""),"",IF(COUNT(AG381:AN381)=0,"",AO381-LOOKUP(2,1/(AG381:AN381&lt;&gt;""),AG381:AN381)))</t>
        </is>
      </c>
      <c r="BC381" s="38" t="inlineStr">
        <is>
          <t>IF(OR(E381="",AP381=""),"",IF(COUNT(AG381:AO381)=0,"",AP381-LOOKUP(2,1/(AG381:AO381&lt;&gt;""),AG381:AO381)))</t>
        </is>
      </c>
      <c r="BD381" s="38" t="inlineStr">
        <is>
          <t>IF(OR(E381="",AQ381=""),"",IF(COUNT(AG381:AP381)=0,"",AQ381-LOOKUP(2,1/(AG381:AP381&lt;&gt;""),AG381:AP381)))</t>
        </is>
      </c>
      <c r="BE381" s="38" t="inlineStr">
        <is>
          <t>IF(OR(E381="",AR381=""),"",IF(COUNT(AG381:AQ381)=0,"",AR381-LOOKUP(2,1/(AG381:AQ381&lt;&gt;""),AG381:AQ381)))</t>
        </is>
      </c>
      <c r="BF381" s="38" t="inlineStr">
        <is>
          <t>IF(OR(E381="",AS381=""),"",IF(COUNT(AG381:AR381)=0,"",AS381-LOOKUP(2,1/(AG381:AR381&lt;&gt;""),AG381:AR381)))</t>
        </is>
      </c>
      <c r="BG381" s="38" t="inlineStr">
        <is>
          <t>IF(OR(E381="",AT381=""),"",IF(COUNT(AG381:AS381)=0,"",AT381-LOOKUP(2,1/(AG381:AS381&lt;&gt;""),AG381:AS381)))</t>
        </is>
      </c>
      <c r="BH381" s="41" t="inlineStr">
        <is>
          <t>IF(G381="","All_Provinces",IFERROR(VLOOKUP(G381,'07_Lookups'!$A$4:$B$20,2,FALSE),"All_Provinces"))</t>
        </is>
      </c>
      <c r="BI381" s="41" t="inlineStr">
        <is>
          <t>IF(H381="","All_Districts",IFERROR(VLOOKUP(H381,'07_Lookups'!$E$4:$F$42,2,FALSE),"All_Districts"))</t>
        </is>
      </c>
    </row>
    <row r="382" ht="18" customHeight="1">
      <c r="A382" s="32" t="inlineStr">
        <is>
          <t>IF(E382="","",ROW()-3)</t>
        </is>
      </c>
      <c r="B382" s="33" t="n"/>
      <c r="C382" s="33" t="n"/>
      <c r="D382" s="33" t="n"/>
      <c r="E382" s="33" t="n"/>
      <c r="F382" s="33" t="n"/>
      <c r="G382" s="33" t="n"/>
      <c r="H382" s="33" t="n"/>
      <c r="I382" s="33" t="n"/>
      <c r="J382" s="33" t="n"/>
      <c r="K382" s="33" t="n"/>
      <c r="L382" s="33" t="n"/>
      <c r="M382" s="33" t="n"/>
      <c r="N382" s="33" t="n"/>
      <c r="O382" s="33" t="n"/>
      <c r="P382" s="33" t="n"/>
      <c r="Q382" s="34" t="n"/>
      <c r="R382" s="35" t="inlineStr">
        <is>
          <t>IF(AO382="","",AO382)</t>
        </is>
      </c>
      <c r="S382" s="36" t="n"/>
      <c r="T382" s="37" t="n"/>
      <c r="U382" s="36" t="n"/>
      <c r="V382" s="35" t="inlineStr">
        <is>
          <t>IF(U382&lt;&gt;"",U382,IF(OR(R382="",T382=""),"",EDATE(R382,T382)))</t>
        </is>
      </c>
      <c r="W382" s="36" t="n"/>
      <c r="X382" s="37" t="n"/>
      <c r="Y382" s="33" t="n"/>
      <c r="Z382" s="33" t="n"/>
      <c r="AA382" s="32" t="inlineStr">
        <is>
          <t>IF(E382="","",IF(COUNT(AG382:AT382)=0,IF(Y382="","Not started",Y382),SUBSTITUTE(LOOKUP(2,1/(AG382:AT382&lt;&gt;""),$AG$3:$AT$3),"Date: ","")))</t>
        </is>
      </c>
      <c r="AB382" s="38" t="inlineStr">
        <is>
          <t>IF(OR(E382="",COUNT(AG382:AT382)=0),"",TODAY()-LOOKUP(2,1/(AG382:AT382&lt;&gt;""),AG382:AT382))</t>
        </is>
      </c>
      <c r="AC382" s="38" t="inlineStr">
        <is>
          <t>IF(OR(E382="",COUNT(AG382:AT382)&lt;2),"",LOOKUP(2,1/(AG382:AT382&lt;&gt;""),AG382:AT382)-MIN(AG382:AT382))</t>
        </is>
      </c>
      <c r="AD382" s="38" t="inlineStr">
        <is>
          <t>IF(OR(AB382="",AA382="Not started",AA382=""),"",IFERROR(AB382-IF(VLOOKUP(AA382,'04_Status_Pipeline'!$B$3:$E$20,4,FALSE)="",0,VLOOKUP(AA382,'04_Status_Pipeline'!$B$3:$E$20,4,FALSE)),""))</t>
        </is>
      </c>
      <c r="AE382" s="32" t="inlineStr">
        <is>
          <t>IF(E382="","",IF(OR(Y382="Cancelled",AA382="Cancelled"),"Cancelled",IF(OR(AA382="Completed / Handover",W382&lt;&gt;"",X382&gt;=100),"Completed — on track",IF(L382="Remaining",IF(S382="",IF(V382="","No planned date",IF(TODAY()&gt;V382,"Behind — past planned date",IF(V382-TODAY()&lt;=30,"At risk — close to off track","On track"))),IF(TODAY()&gt;S382,"Behind — award date passed",IF(S382-TODAY()&lt;=30,"At risk — close to off track","On track"))),IF(V382="","No planned date",IF(AND(TODAY()&gt;V382,OR(X382="",X382&lt;100)),"Behind — past end date",IF(AND(R382&lt;&gt;"",V382&lt;&gt;"",X382&lt;&gt;"",(X382&lt;100),((TODAY()-R382)/MAX(V382-R382,1)*100)-X382&gt;15),"Behind — progress lag",IF(AND(V382-TODAY()&lt;=30,V382-TODAY()&gt;=0,OR(X382="",X382&lt;90)),"At risk — close to off track","On track"))))))))</t>
        </is>
      </c>
      <c r="AF382" s="38" t="inlineStr">
        <is>
          <t>IF(OR(E382="",AA382="Completed / Handover",AA382="Cancelled"),"",IF(L382="Remaining",IF(S382&lt;&gt;"",S382-TODAY(),IF(V382="","",V382-TODAY())),IF(V382="","",V382-TODAY())))</t>
        </is>
      </c>
      <c r="AG382" s="36" t="n"/>
      <c r="AH382" s="36" t="n"/>
      <c r="AI382" s="36" t="n"/>
      <c r="AJ382" s="36" t="n"/>
      <c r="AK382" s="36" t="n"/>
      <c r="AL382" s="36" t="n"/>
      <c r="AM382" s="36" t="n"/>
      <c r="AN382" s="36" t="n"/>
      <c r="AO382" s="36" t="n"/>
      <c r="AP382" s="36" t="n"/>
      <c r="AQ382" s="36" t="n"/>
      <c r="AR382" s="40" t="n"/>
      <c r="AS382" s="40" t="n"/>
      <c r="AT382" s="40" t="n"/>
      <c r="AU382" s="38" t="inlineStr">
        <is>
          <t>IF(OR(E382="",AH382=""),"",IF(COUNT(AG382:AG382)=0,"",AH382-LOOKUP(2,1/(AG382:AG382&lt;&gt;""),AG382:AG382)))</t>
        </is>
      </c>
      <c r="AV382" s="38" t="inlineStr">
        <is>
          <t>IF(OR(E382="",AI382=""),"",IF(COUNT(AG382:AH382)=0,"",AI382-LOOKUP(2,1/(AG382:AH382&lt;&gt;""),AG382:AH382)))</t>
        </is>
      </c>
      <c r="AW382" s="38" t="inlineStr">
        <is>
          <t>IF(OR(E382="",AJ382=""),"",IF(COUNT(AG382:AI382)=0,"",AJ382-LOOKUP(2,1/(AG382:AI382&lt;&gt;""),AG382:AI382)))</t>
        </is>
      </c>
      <c r="AX382" s="38" t="inlineStr">
        <is>
          <t>IF(OR(E382="",AK382=""),"",IF(COUNT(AG382:AJ382)=0,"",AK382-LOOKUP(2,1/(AG382:AJ382&lt;&gt;""),AG382:AJ382)))</t>
        </is>
      </c>
      <c r="AY382" s="38" t="inlineStr">
        <is>
          <t>IF(OR(E382="",AL382=""),"",IF(COUNT(AG382:AK382)=0,"",AL382-LOOKUP(2,1/(AG382:AK382&lt;&gt;""),AG382:AK382)))</t>
        </is>
      </c>
      <c r="AZ382" s="38" t="inlineStr">
        <is>
          <t>IF(OR(E382="",AM382=""),"",IF(COUNT(AG382:AL382)=0,"",AM382-LOOKUP(2,1/(AG382:AL382&lt;&gt;""),AG382:AL382)))</t>
        </is>
      </c>
      <c r="BA382" s="38" t="inlineStr">
        <is>
          <t>IF(OR(E382="",AN382=""),"",IF(COUNT(AG382:AM382)=0,"",AN382-LOOKUP(2,1/(AG382:AM382&lt;&gt;""),AG382:AM382)))</t>
        </is>
      </c>
      <c r="BB382" s="38" t="inlineStr">
        <is>
          <t>IF(OR(E382="",AO382=""),"",IF(COUNT(AG382:AN382)=0,"",AO382-LOOKUP(2,1/(AG382:AN382&lt;&gt;""),AG382:AN382)))</t>
        </is>
      </c>
      <c r="BC382" s="38" t="inlineStr">
        <is>
          <t>IF(OR(E382="",AP382=""),"",IF(COUNT(AG382:AO382)=0,"",AP382-LOOKUP(2,1/(AG382:AO382&lt;&gt;""),AG382:AO382)))</t>
        </is>
      </c>
      <c r="BD382" s="38" t="inlineStr">
        <is>
          <t>IF(OR(E382="",AQ382=""),"",IF(COUNT(AG382:AP382)=0,"",AQ382-LOOKUP(2,1/(AG382:AP382&lt;&gt;""),AG382:AP382)))</t>
        </is>
      </c>
      <c r="BE382" s="38" t="inlineStr">
        <is>
          <t>IF(OR(E382="",AR382=""),"",IF(COUNT(AG382:AQ382)=0,"",AR382-LOOKUP(2,1/(AG382:AQ382&lt;&gt;""),AG382:AQ382)))</t>
        </is>
      </c>
      <c r="BF382" s="38" t="inlineStr">
        <is>
          <t>IF(OR(E382="",AS382=""),"",IF(COUNT(AG382:AR382)=0,"",AS382-LOOKUP(2,1/(AG382:AR382&lt;&gt;""),AG382:AR382)))</t>
        </is>
      </c>
      <c r="BG382" s="38" t="inlineStr">
        <is>
          <t>IF(OR(E382="",AT382=""),"",IF(COUNT(AG382:AS382)=0,"",AT382-LOOKUP(2,1/(AG382:AS382&lt;&gt;""),AG382:AS382)))</t>
        </is>
      </c>
      <c r="BH382" s="41" t="inlineStr">
        <is>
          <t>IF(G382="","All_Provinces",IFERROR(VLOOKUP(G382,'07_Lookups'!$A$4:$B$20,2,FALSE),"All_Provinces"))</t>
        </is>
      </c>
      <c r="BI382" s="41" t="inlineStr">
        <is>
          <t>IF(H382="","All_Districts",IFERROR(VLOOKUP(H382,'07_Lookups'!$E$4:$F$42,2,FALSE),"All_Districts"))</t>
        </is>
      </c>
    </row>
    <row r="383" ht="18" customHeight="1">
      <c r="A383" s="32" t="inlineStr">
        <is>
          <t>IF(E383="","",ROW()-3)</t>
        </is>
      </c>
      <c r="B383" s="42" t="n"/>
      <c r="C383" s="42" t="n"/>
      <c r="D383" s="42" t="n"/>
      <c r="E383" s="42" t="n"/>
      <c r="F383" s="42" t="n"/>
      <c r="G383" s="42" t="n"/>
      <c r="H383" s="42" t="n"/>
      <c r="I383" s="42" t="n"/>
      <c r="J383" s="42" t="n"/>
      <c r="K383" s="42" t="n"/>
      <c r="L383" s="42" t="n"/>
      <c r="M383" s="42" t="n"/>
      <c r="N383" s="42" t="n"/>
      <c r="O383" s="42" t="n"/>
      <c r="P383" s="42" t="n"/>
      <c r="Q383" s="43" t="n"/>
      <c r="R383" s="35" t="inlineStr">
        <is>
          <t>IF(AO383="","",AO383)</t>
        </is>
      </c>
      <c r="S383" s="44" t="n"/>
      <c r="T383" s="45" t="n"/>
      <c r="U383" s="44" t="n"/>
      <c r="V383" s="35" t="inlineStr">
        <is>
          <t>IF(U383&lt;&gt;"",U383,IF(OR(R383="",T383=""),"",EDATE(R383,T383)))</t>
        </is>
      </c>
      <c r="W383" s="44" t="n"/>
      <c r="X383" s="45" t="n"/>
      <c r="Y383" s="42" t="n"/>
      <c r="Z383" s="42" t="n"/>
      <c r="AA383" s="32" t="inlineStr">
        <is>
          <t>IF(E383="","",IF(COUNT(AG383:AT383)=0,IF(Y383="","Not started",Y383),SUBSTITUTE(LOOKUP(2,1/(AG383:AT383&lt;&gt;""),$AG$3:$AT$3),"Date: ","")))</t>
        </is>
      </c>
      <c r="AB383" s="38" t="inlineStr">
        <is>
          <t>IF(OR(E383="",COUNT(AG383:AT383)=0),"",TODAY()-LOOKUP(2,1/(AG383:AT383&lt;&gt;""),AG383:AT383))</t>
        </is>
      </c>
      <c r="AC383" s="38" t="inlineStr">
        <is>
          <t>IF(OR(E383="",COUNT(AG383:AT383)&lt;2),"",LOOKUP(2,1/(AG383:AT383&lt;&gt;""),AG383:AT383)-MIN(AG383:AT383))</t>
        </is>
      </c>
      <c r="AD383" s="38" t="inlineStr">
        <is>
          <t>IF(OR(AB383="",AA383="Not started",AA383=""),"",IFERROR(AB383-IF(VLOOKUP(AA383,'04_Status_Pipeline'!$B$3:$E$20,4,FALSE)="",0,VLOOKUP(AA383,'04_Status_Pipeline'!$B$3:$E$20,4,FALSE)),""))</t>
        </is>
      </c>
      <c r="AE383" s="32" t="inlineStr">
        <is>
          <t>IF(E383="","",IF(OR(Y383="Cancelled",AA383="Cancelled"),"Cancelled",IF(OR(AA383="Completed / Handover",W383&lt;&gt;"",X383&gt;=100),"Completed — on track",IF(L383="Remaining",IF(S383="",IF(V383="","No planned date",IF(TODAY()&gt;V383,"Behind — past planned date",IF(V383-TODAY()&lt;=30,"At risk — close to off track","On track"))),IF(TODAY()&gt;S383,"Behind — award date passed",IF(S383-TODAY()&lt;=30,"At risk — close to off track","On track"))),IF(V383="","No planned date",IF(AND(TODAY()&gt;V383,OR(X383="",X383&lt;100)),"Behind — past end date",IF(AND(R383&lt;&gt;"",V383&lt;&gt;"",X383&lt;&gt;"",(X383&lt;100),((TODAY()-R383)/MAX(V383-R383,1)*100)-X383&gt;15),"Behind — progress lag",IF(AND(V383-TODAY()&lt;=30,V383-TODAY()&gt;=0,OR(X383="",X383&lt;90)),"At risk — close to off track","On track"))))))))</t>
        </is>
      </c>
      <c r="AF383" s="38" t="inlineStr">
        <is>
          <t>IF(OR(E383="",AA383="Completed / Handover",AA383="Cancelled"),"",IF(L383="Remaining",IF(S383&lt;&gt;"",S383-TODAY(),IF(V383="","",V383-TODAY())),IF(V383="","",V383-TODAY())))</t>
        </is>
      </c>
      <c r="AG383" s="44" t="n"/>
      <c r="AH383" s="44" t="n"/>
      <c r="AI383" s="44" t="n"/>
      <c r="AJ383" s="44" t="n"/>
      <c r="AK383" s="44" t="n"/>
      <c r="AL383" s="44" t="n"/>
      <c r="AM383" s="44" t="n"/>
      <c r="AN383" s="44" t="n"/>
      <c r="AO383" s="44" t="n"/>
      <c r="AP383" s="44" t="n"/>
      <c r="AQ383" s="44" t="n"/>
      <c r="AR383" s="40" t="n"/>
      <c r="AS383" s="40" t="n"/>
      <c r="AT383" s="40" t="n"/>
      <c r="AU383" s="38" t="inlineStr">
        <is>
          <t>IF(OR(E383="",AH383=""),"",IF(COUNT(AG383:AG383)=0,"",AH383-LOOKUP(2,1/(AG383:AG383&lt;&gt;""),AG383:AG383)))</t>
        </is>
      </c>
      <c r="AV383" s="38" t="inlineStr">
        <is>
          <t>IF(OR(E383="",AI383=""),"",IF(COUNT(AG383:AH383)=0,"",AI383-LOOKUP(2,1/(AG383:AH383&lt;&gt;""),AG383:AH383)))</t>
        </is>
      </c>
      <c r="AW383" s="38" t="inlineStr">
        <is>
          <t>IF(OR(E383="",AJ383=""),"",IF(COUNT(AG383:AI383)=0,"",AJ383-LOOKUP(2,1/(AG383:AI383&lt;&gt;""),AG383:AI383)))</t>
        </is>
      </c>
      <c r="AX383" s="38" t="inlineStr">
        <is>
          <t>IF(OR(E383="",AK383=""),"",IF(COUNT(AG383:AJ383)=0,"",AK383-LOOKUP(2,1/(AG383:AJ383&lt;&gt;""),AG383:AJ383)))</t>
        </is>
      </c>
      <c r="AY383" s="38" t="inlineStr">
        <is>
          <t>IF(OR(E383="",AL383=""),"",IF(COUNT(AG383:AK383)=0,"",AL383-LOOKUP(2,1/(AG383:AK383&lt;&gt;""),AG383:AK383)))</t>
        </is>
      </c>
      <c r="AZ383" s="38" t="inlineStr">
        <is>
          <t>IF(OR(E383="",AM383=""),"",IF(COUNT(AG383:AL383)=0,"",AM383-LOOKUP(2,1/(AG383:AL383&lt;&gt;""),AG383:AL383)))</t>
        </is>
      </c>
      <c r="BA383" s="38" t="inlineStr">
        <is>
          <t>IF(OR(E383="",AN383=""),"",IF(COUNT(AG383:AM383)=0,"",AN383-LOOKUP(2,1/(AG383:AM383&lt;&gt;""),AG383:AM383)))</t>
        </is>
      </c>
      <c r="BB383" s="38" t="inlineStr">
        <is>
          <t>IF(OR(E383="",AO383=""),"",IF(COUNT(AG383:AN383)=0,"",AO383-LOOKUP(2,1/(AG383:AN383&lt;&gt;""),AG383:AN383)))</t>
        </is>
      </c>
      <c r="BC383" s="38" t="inlineStr">
        <is>
          <t>IF(OR(E383="",AP383=""),"",IF(COUNT(AG383:AO383)=0,"",AP383-LOOKUP(2,1/(AG383:AO383&lt;&gt;""),AG383:AO383)))</t>
        </is>
      </c>
      <c r="BD383" s="38" t="inlineStr">
        <is>
          <t>IF(OR(E383="",AQ383=""),"",IF(COUNT(AG383:AP383)=0,"",AQ383-LOOKUP(2,1/(AG383:AP383&lt;&gt;""),AG383:AP383)))</t>
        </is>
      </c>
      <c r="BE383" s="38" t="inlineStr">
        <is>
          <t>IF(OR(E383="",AR383=""),"",IF(COUNT(AG383:AQ383)=0,"",AR383-LOOKUP(2,1/(AG383:AQ383&lt;&gt;""),AG383:AQ383)))</t>
        </is>
      </c>
      <c r="BF383" s="38" t="inlineStr">
        <is>
          <t>IF(OR(E383="",AS383=""),"",IF(COUNT(AG383:AR383)=0,"",AS383-LOOKUP(2,1/(AG383:AR383&lt;&gt;""),AG383:AR383)))</t>
        </is>
      </c>
      <c r="BG383" s="38" t="inlineStr">
        <is>
          <t>IF(OR(E383="",AT383=""),"",IF(COUNT(AG383:AS383)=0,"",AT383-LOOKUP(2,1/(AG383:AS383&lt;&gt;""),AG383:AS383)))</t>
        </is>
      </c>
      <c r="BH383" s="41" t="inlineStr">
        <is>
          <t>IF(G383="","All_Provinces",IFERROR(VLOOKUP(G383,'07_Lookups'!$A$4:$B$20,2,FALSE),"All_Provinces"))</t>
        </is>
      </c>
      <c r="BI383" s="41" t="inlineStr">
        <is>
          <t>IF(H383="","All_Districts",IFERROR(VLOOKUP(H383,'07_Lookups'!$E$4:$F$42,2,FALSE),"All_Districts"))</t>
        </is>
      </c>
    </row>
    <row r="384" ht="18" customHeight="1">
      <c r="A384" s="32" t="inlineStr">
        <is>
          <t>IF(E384="","",ROW()-3)</t>
        </is>
      </c>
      <c r="B384" s="33" t="n"/>
      <c r="C384" s="33" t="n"/>
      <c r="D384" s="33" t="n"/>
      <c r="E384" s="33" t="n"/>
      <c r="F384" s="33" t="n"/>
      <c r="G384" s="33" t="n"/>
      <c r="H384" s="33" t="n"/>
      <c r="I384" s="33" t="n"/>
      <c r="J384" s="33" t="n"/>
      <c r="K384" s="33" t="n"/>
      <c r="L384" s="33" t="n"/>
      <c r="M384" s="33" t="n"/>
      <c r="N384" s="33" t="n"/>
      <c r="O384" s="33" t="n"/>
      <c r="P384" s="33" t="n"/>
      <c r="Q384" s="34" t="n"/>
      <c r="R384" s="35" t="inlineStr">
        <is>
          <t>IF(AO384="","",AO384)</t>
        </is>
      </c>
      <c r="S384" s="36" t="n"/>
      <c r="T384" s="37" t="n"/>
      <c r="U384" s="36" t="n"/>
      <c r="V384" s="35" t="inlineStr">
        <is>
          <t>IF(U384&lt;&gt;"",U384,IF(OR(R384="",T384=""),"",EDATE(R384,T384)))</t>
        </is>
      </c>
      <c r="W384" s="36" t="n"/>
      <c r="X384" s="37" t="n"/>
      <c r="Y384" s="33" t="n"/>
      <c r="Z384" s="33" t="n"/>
      <c r="AA384" s="32" t="inlineStr">
        <is>
          <t>IF(E384="","",IF(COUNT(AG384:AT384)=0,IF(Y384="","Not started",Y384),SUBSTITUTE(LOOKUP(2,1/(AG384:AT384&lt;&gt;""),$AG$3:$AT$3),"Date: ","")))</t>
        </is>
      </c>
      <c r="AB384" s="38" t="inlineStr">
        <is>
          <t>IF(OR(E384="",COUNT(AG384:AT384)=0),"",TODAY()-LOOKUP(2,1/(AG384:AT384&lt;&gt;""),AG384:AT384))</t>
        </is>
      </c>
      <c r="AC384" s="38" t="inlineStr">
        <is>
          <t>IF(OR(E384="",COUNT(AG384:AT384)&lt;2),"",LOOKUP(2,1/(AG384:AT384&lt;&gt;""),AG384:AT384)-MIN(AG384:AT384))</t>
        </is>
      </c>
      <c r="AD384" s="38" t="inlineStr">
        <is>
          <t>IF(OR(AB384="",AA384="Not started",AA384=""),"",IFERROR(AB384-IF(VLOOKUP(AA384,'04_Status_Pipeline'!$B$3:$E$20,4,FALSE)="",0,VLOOKUP(AA384,'04_Status_Pipeline'!$B$3:$E$20,4,FALSE)),""))</t>
        </is>
      </c>
      <c r="AE384" s="32" t="inlineStr">
        <is>
          <t>IF(E384="","",IF(OR(Y384="Cancelled",AA384="Cancelled"),"Cancelled",IF(OR(AA384="Completed / Handover",W384&lt;&gt;"",X384&gt;=100),"Completed — on track",IF(L384="Remaining",IF(S384="",IF(V384="","No planned date",IF(TODAY()&gt;V384,"Behind — past planned date",IF(V384-TODAY()&lt;=30,"At risk — close to off track","On track"))),IF(TODAY()&gt;S384,"Behind — award date passed",IF(S384-TODAY()&lt;=30,"At risk — close to off track","On track"))),IF(V384="","No planned date",IF(AND(TODAY()&gt;V384,OR(X384="",X384&lt;100)),"Behind — past end date",IF(AND(R384&lt;&gt;"",V384&lt;&gt;"",X384&lt;&gt;"",(X384&lt;100),((TODAY()-R384)/MAX(V384-R384,1)*100)-X384&gt;15),"Behind — progress lag",IF(AND(V384-TODAY()&lt;=30,V384-TODAY()&gt;=0,OR(X384="",X384&lt;90)),"At risk — close to off track","On track"))))))))</t>
        </is>
      </c>
      <c r="AF384" s="38" t="inlineStr">
        <is>
          <t>IF(OR(E384="",AA384="Completed / Handover",AA384="Cancelled"),"",IF(L384="Remaining",IF(S384&lt;&gt;"",S384-TODAY(),IF(V384="","",V384-TODAY())),IF(V384="","",V384-TODAY())))</t>
        </is>
      </c>
      <c r="AG384" s="36" t="n"/>
      <c r="AH384" s="36" t="n"/>
      <c r="AI384" s="36" t="n"/>
      <c r="AJ384" s="36" t="n"/>
      <c r="AK384" s="36" t="n"/>
      <c r="AL384" s="36" t="n"/>
      <c r="AM384" s="36" t="n"/>
      <c r="AN384" s="36" t="n"/>
      <c r="AO384" s="36" t="n"/>
      <c r="AP384" s="36" t="n"/>
      <c r="AQ384" s="36" t="n"/>
      <c r="AR384" s="40" t="n"/>
      <c r="AS384" s="40" t="n"/>
      <c r="AT384" s="40" t="n"/>
      <c r="AU384" s="38" t="inlineStr">
        <is>
          <t>IF(OR(E384="",AH384=""),"",IF(COUNT(AG384:AG384)=0,"",AH384-LOOKUP(2,1/(AG384:AG384&lt;&gt;""),AG384:AG384)))</t>
        </is>
      </c>
      <c r="AV384" s="38" t="inlineStr">
        <is>
          <t>IF(OR(E384="",AI384=""),"",IF(COUNT(AG384:AH384)=0,"",AI384-LOOKUP(2,1/(AG384:AH384&lt;&gt;""),AG384:AH384)))</t>
        </is>
      </c>
      <c r="AW384" s="38" t="inlineStr">
        <is>
          <t>IF(OR(E384="",AJ384=""),"",IF(COUNT(AG384:AI384)=0,"",AJ384-LOOKUP(2,1/(AG384:AI384&lt;&gt;""),AG384:AI384)))</t>
        </is>
      </c>
      <c r="AX384" s="38" t="inlineStr">
        <is>
          <t>IF(OR(E384="",AK384=""),"",IF(COUNT(AG384:AJ384)=0,"",AK384-LOOKUP(2,1/(AG384:AJ384&lt;&gt;""),AG384:AJ384)))</t>
        </is>
      </c>
      <c r="AY384" s="38" t="inlineStr">
        <is>
          <t>IF(OR(E384="",AL384=""),"",IF(COUNT(AG384:AK384)=0,"",AL384-LOOKUP(2,1/(AG384:AK384&lt;&gt;""),AG384:AK384)))</t>
        </is>
      </c>
      <c r="AZ384" s="38" t="inlineStr">
        <is>
          <t>IF(OR(E384="",AM384=""),"",IF(COUNT(AG384:AL384)=0,"",AM384-LOOKUP(2,1/(AG384:AL384&lt;&gt;""),AG384:AL384)))</t>
        </is>
      </c>
      <c r="BA384" s="38" t="inlineStr">
        <is>
          <t>IF(OR(E384="",AN384=""),"",IF(COUNT(AG384:AM384)=0,"",AN384-LOOKUP(2,1/(AG384:AM384&lt;&gt;""),AG384:AM384)))</t>
        </is>
      </c>
      <c r="BB384" s="38" t="inlineStr">
        <is>
          <t>IF(OR(E384="",AO384=""),"",IF(COUNT(AG384:AN384)=0,"",AO384-LOOKUP(2,1/(AG384:AN384&lt;&gt;""),AG384:AN384)))</t>
        </is>
      </c>
      <c r="BC384" s="38" t="inlineStr">
        <is>
          <t>IF(OR(E384="",AP384=""),"",IF(COUNT(AG384:AO384)=0,"",AP384-LOOKUP(2,1/(AG384:AO384&lt;&gt;""),AG384:AO384)))</t>
        </is>
      </c>
      <c r="BD384" s="38" t="inlineStr">
        <is>
          <t>IF(OR(E384="",AQ384=""),"",IF(COUNT(AG384:AP384)=0,"",AQ384-LOOKUP(2,1/(AG384:AP384&lt;&gt;""),AG384:AP384)))</t>
        </is>
      </c>
      <c r="BE384" s="38" t="inlineStr">
        <is>
          <t>IF(OR(E384="",AR384=""),"",IF(COUNT(AG384:AQ384)=0,"",AR384-LOOKUP(2,1/(AG384:AQ384&lt;&gt;""),AG384:AQ384)))</t>
        </is>
      </c>
      <c r="BF384" s="38" t="inlineStr">
        <is>
          <t>IF(OR(E384="",AS384=""),"",IF(COUNT(AG384:AR384)=0,"",AS384-LOOKUP(2,1/(AG384:AR384&lt;&gt;""),AG384:AR384)))</t>
        </is>
      </c>
      <c r="BG384" s="38" t="inlineStr">
        <is>
          <t>IF(OR(E384="",AT384=""),"",IF(COUNT(AG384:AS384)=0,"",AT384-LOOKUP(2,1/(AG384:AS384&lt;&gt;""),AG384:AS384)))</t>
        </is>
      </c>
      <c r="BH384" s="41" t="inlineStr">
        <is>
          <t>IF(G384="","All_Provinces",IFERROR(VLOOKUP(G384,'07_Lookups'!$A$4:$B$20,2,FALSE),"All_Provinces"))</t>
        </is>
      </c>
      <c r="BI384" s="41" t="inlineStr">
        <is>
          <t>IF(H384="","All_Districts",IFERROR(VLOOKUP(H384,'07_Lookups'!$E$4:$F$42,2,FALSE),"All_Districts"))</t>
        </is>
      </c>
    </row>
    <row r="385" ht="18" customHeight="1">
      <c r="A385" s="32" t="inlineStr">
        <is>
          <t>IF(E385="","",ROW()-3)</t>
        </is>
      </c>
      <c r="B385" s="42" t="n"/>
      <c r="C385" s="42" t="n"/>
      <c r="D385" s="42" t="n"/>
      <c r="E385" s="42" t="n"/>
      <c r="F385" s="42" t="n"/>
      <c r="G385" s="42" t="n"/>
      <c r="H385" s="42" t="n"/>
      <c r="I385" s="42" t="n"/>
      <c r="J385" s="42" t="n"/>
      <c r="K385" s="42" t="n"/>
      <c r="L385" s="42" t="n"/>
      <c r="M385" s="42" t="n"/>
      <c r="N385" s="42" t="n"/>
      <c r="O385" s="42" t="n"/>
      <c r="P385" s="42" t="n"/>
      <c r="Q385" s="43" t="n"/>
      <c r="R385" s="35" t="inlineStr">
        <is>
          <t>IF(AO385="","",AO385)</t>
        </is>
      </c>
      <c r="S385" s="44" t="n"/>
      <c r="T385" s="45" t="n"/>
      <c r="U385" s="44" t="n"/>
      <c r="V385" s="35" t="inlineStr">
        <is>
          <t>IF(U385&lt;&gt;"",U385,IF(OR(R385="",T385=""),"",EDATE(R385,T385)))</t>
        </is>
      </c>
      <c r="W385" s="44" t="n"/>
      <c r="X385" s="45" t="n"/>
      <c r="Y385" s="42" t="n"/>
      <c r="Z385" s="42" t="n"/>
      <c r="AA385" s="32" t="inlineStr">
        <is>
          <t>IF(E385="","",IF(COUNT(AG385:AT385)=0,IF(Y385="","Not started",Y385),SUBSTITUTE(LOOKUP(2,1/(AG385:AT385&lt;&gt;""),$AG$3:$AT$3),"Date: ","")))</t>
        </is>
      </c>
      <c r="AB385" s="38" t="inlineStr">
        <is>
          <t>IF(OR(E385="",COUNT(AG385:AT385)=0),"",TODAY()-LOOKUP(2,1/(AG385:AT385&lt;&gt;""),AG385:AT385))</t>
        </is>
      </c>
      <c r="AC385" s="38" t="inlineStr">
        <is>
          <t>IF(OR(E385="",COUNT(AG385:AT385)&lt;2),"",LOOKUP(2,1/(AG385:AT385&lt;&gt;""),AG385:AT385)-MIN(AG385:AT385))</t>
        </is>
      </c>
      <c r="AD385" s="38" t="inlineStr">
        <is>
          <t>IF(OR(AB385="",AA385="Not started",AA385=""),"",IFERROR(AB385-IF(VLOOKUP(AA385,'04_Status_Pipeline'!$B$3:$E$20,4,FALSE)="",0,VLOOKUP(AA385,'04_Status_Pipeline'!$B$3:$E$20,4,FALSE)),""))</t>
        </is>
      </c>
      <c r="AE385" s="32" t="inlineStr">
        <is>
          <t>IF(E385="","",IF(OR(Y385="Cancelled",AA385="Cancelled"),"Cancelled",IF(OR(AA385="Completed / Handover",W385&lt;&gt;"",X385&gt;=100),"Completed — on track",IF(L385="Remaining",IF(S385="",IF(V385="","No planned date",IF(TODAY()&gt;V385,"Behind — past planned date",IF(V385-TODAY()&lt;=30,"At risk — close to off track","On track"))),IF(TODAY()&gt;S385,"Behind — award date passed",IF(S385-TODAY()&lt;=30,"At risk — close to off track","On track"))),IF(V385="","No planned date",IF(AND(TODAY()&gt;V385,OR(X385="",X385&lt;100)),"Behind — past end date",IF(AND(R385&lt;&gt;"",V385&lt;&gt;"",X385&lt;&gt;"",(X385&lt;100),((TODAY()-R385)/MAX(V385-R385,1)*100)-X385&gt;15),"Behind — progress lag",IF(AND(V385-TODAY()&lt;=30,V385-TODAY()&gt;=0,OR(X385="",X385&lt;90)),"At risk — close to off track","On track"))))))))</t>
        </is>
      </c>
      <c r="AF385" s="38" t="inlineStr">
        <is>
          <t>IF(OR(E385="",AA385="Completed / Handover",AA385="Cancelled"),"",IF(L385="Remaining",IF(S385&lt;&gt;"",S385-TODAY(),IF(V385="","",V385-TODAY())),IF(V385="","",V385-TODAY())))</t>
        </is>
      </c>
      <c r="AG385" s="44" t="n"/>
      <c r="AH385" s="44" t="n"/>
      <c r="AI385" s="44" t="n"/>
      <c r="AJ385" s="44" t="n"/>
      <c r="AK385" s="44" t="n"/>
      <c r="AL385" s="44" t="n"/>
      <c r="AM385" s="44" t="n"/>
      <c r="AN385" s="44" t="n"/>
      <c r="AO385" s="44" t="n"/>
      <c r="AP385" s="44" t="n"/>
      <c r="AQ385" s="44" t="n"/>
      <c r="AR385" s="40" t="n"/>
      <c r="AS385" s="40" t="n"/>
      <c r="AT385" s="40" t="n"/>
      <c r="AU385" s="38" t="inlineStr">
        <is>
          <t>IF(OR(E385="",AH385=""),"",IF(COUNT(AG385:AG385)=0,"",AH385-LOOKUP(2,1/(AG385:AG385&lt;&gt;""),AG385:AG385)))</t>
        </is>
      </c>
      <c r="AV385" s="38" t="inlineStr">
        <is>
          <t>IF(OR(E385="",AI385=""),"",IF(COUNT(AG385:AH385)=0,"",AI385-LOOKUP(2,1/(AG385:AH385&lt;&gt;""),AG385:AH385)))</t>
        </is>
      </c>
      <c r="AW385" s="38" t="inlineStr">
        <is>
          <t>IF(OR(E385="",AJ385=""),"",IF(COUNT(AG385:AI385)=0,"",AJ385-LOOKUP(2,1/(AG385:AI385&lt;&gt;""),AG385:AI385)))</t>
        </is>
      </c>
      <c r="AX385" s="38" t="inlineStr">
        <is>
          <t>IF(OR(E385="",AK385=""),"",IF(COUNT(AG385:AJ385)=0,"",AK385-LOOKUP(2,1/(AG385:AJ385&lt;&gt;""),AG385:AJ385)))</t>
        </is>
      </c>
      <c r="AY385" s="38" t="inlineStr">
        <is>
          <t>IF(OR(E385="",AL385=""),"",IF(COUNT(AG385:AK385)=0,"",AL385-LOOKUP(2,1/(AG385:AK385&lt;&gt;""),AG385:AK385)))</t>
        </is>
      </c>
      <c r="AZ385" s="38" t="inlineStr">
        <is>
          <t>IF(OR(E385="",AM385=""),"",IF(COUNT(AG385:AL385)=0,"",AM385-LOOKUP(2,1/(AG385:AL385&lt;&gt;""),AG385:AL385)))</t>
        </is>
      </c>
      <c r="BA385" s="38" t="inlineStr">
        <is>
          <t>IF(OR(E385="",AN385=""),"",IF(COUNT(AG385:AM385)=0,"",AN385-LOOKUP(2,1/(AG385:AM385&lt;&gt;""),AG385:AM385)))</t>
        </is>
      </c>
      <c r="BB385" s="38" t="inlineStr">
        <is>
          <t>IF(OR(E385="",AO385=""),"",IF(COUNT(AG385:AN385)=0,"",AO385-LOOKUP(2,1/(AG385:AN385&lt;&gt;""),AG385:AN385)))</t>
        </is>
      </c>
      <c r="BC385" s="38" t="inlineStr">
        <is>
          <t>IF(OR(E385="",AP385=""),"",IF(COUNT(AG385:AO385)=0,"",AP385-LOOKUP(2,1/(AG385:AO385&lt;&gt;""),AG385:AO385)))</t>
        </is>
      </c>
      <c r="BD385" s="38" t="inlineStr">
        <is>
          <t>IF(OR(E385="",AQ385=""),"",IF(COUNT(AG385:AP385)=0,"",AQ385-LOOKUP(2,1/(AG385:AP385&lt;&gt;""),AG385:AP385)))</t>
        </is>
      </c>
      <c r="BE385" s="38" t="inlineStr">
        <is>
          <t>IF(OR(E385="",AR385=""),"",IF(COUNT(AG385:AQ385)=0,"",AR385-LOOKUP(2,1/(AG385:AQ385&lt;&gt;""),AG385:AQ385)))</t>
        </is>
      </c>
      <c r="BF385" s="38" t="inlineStr">
        <is>
          <t>IF(OR(E385="",AS385=""),"",IF(COUNT(AG385:AR385)=0,"",AS385-LOOKUP(2,1/(AG385:AR385&lt;&gt;""),AG385:AR385)))</t>
        </is>
      </c>
      <c r="BG385" s="38" t="inlineStr">
        <is>
          <t>IF(OR(E385="",AT385=""),"",IF(COUNT(AG385:AS385)=0,"",AT385-LOOKUP(2,1/(AG385:AS385&lt;&gt;""),AG385:AS385)))</t>
        </is>
      </c>
      <c r="BH385" s="41" t="inlineStr">
        <is>
          <t>IF(G385="","All_Provinces",IFERROR(VLOOKUP(G385,'07_Lookups'!$A$4:$B$20,2,FALSE),"All_Provinces"))</t>
        </is>
      </c>
      <c r="BI385" s="41" t="inlineStr">
        <is>
          <t>IF(H385="","All_Districts",IFERROR(VLOOKUP(H385,'07_Lookups'!$E$4:$F$42,2,FALSE),"All_Districts"))</t>
        </is>
      </c>
    </row>
    <row r="386" ht="18" customHeight="1">
      <c r="A386" s="32" t="inlineStr">
        <is>
          <t>IF(E386="","",ROW()-3)</t>
        </is>
      </c>
      <c r="B386" s="33" t="n"/>
      <c r="C386" s="33" t="n"/>
      <c r="D386" s="33" t="n"/>
      <c r="E386" s="33" t="n"/>
      <c r="F386" s="33" t="n"/>
      <c r="G386" s="33" t="n"/>
      <c r="H386" s="33" t="n"/>
      <c r="I386" s="33" t="n"/>
      <c r="J386" s="33" t="n"/>
      <c r="K386" s="33" t="n"/>
      <c r="L386" s="33" t="n"/>
      <c r="M386" s="33" t="n"/>
      <c r="N386" s="33" t="n"/>
      <c r="O386" s="33" t="n"/>
      <c r="P386" s="33" t="n"/>
      <c r="Q386" s="34" t="n"/>
      <c r="R386" s="35" t="inlineStr">
        <is>
          <t>IF(AO386="","",AO386)</t>
        </is>
      </c>
      <c r="S386" s="36" t="n"/>
      <c r="T386" s="37" t="n"/>
      <c r="U386" s="36" t="n"/>
      <c r="V386" s="35" t="inlineStr">
        <is>
          <t>IF(U386&lt;&gt;"",U386,IF(OR(R386="",T386=""),"",EDATE(R386,T386)))</t>
        </is>
      </c>
      <c r="W386" s="36" t="n"/>
      <c r="X386" s="37" t="n"/>
      <c r="Y386" s="33" t="n"/>
      <c r="Z386" s="33" t="n"/>
      <c r="AA386" s="32" t="inlineStr">
        <is>
          <t>IF(E386="","",IF(COUNT(AG386:AT386)=0,IF(Y386="","Not started",Y386),SUBSTITUTE(LOOKUP(2,1/(AG386:AT386&lt;&gt;""),$AG$3:$AT$3),"Date: ","")))</t>
        </is>
      </c>
      <c r="AB386" s="38" t="inlineStr">
        <is>
          <t>IF(OR(E386="",COUNT(AG386:AT386)=0),"",TODAY()-LOOKUP(2,1/(AG386:AT386&lt;&gt;""),AG386:AT386))</t>
        </is>
      </c>
      <c r="AC386" s="38" t="inlineStr">
        <is>
          <t>IF(OR(E386="",COUNT(AG386:AT386)&lt;2),"",LOOKUP(2,1/(AG386:AT386&lt;&gt;""),AG386:AT386)-MIN(AG386:AT386))</t>
        </is>
      </c>
      <c r="AD386" s="38" t="inlineStr">
        <is>
          <t>IF(OR(AB386="",AA386="Not started",AA386=""),"",IFERROR(AB386-IF(VLOOKUP(AA386,'04_Status_Pipeline'!$B$3:$E$20,4,FALSE)="",0,VLOOKUP(AA386,'04_Status_Pipeline'!$B$3:$E$20,4,FALSE)),""))</t>
        </is>
      </c>
      <c r="AE386" s="32" t="inlineStr">
        <is>
          <t>IF(E386="","",IF(OR(Y386="Cancelled",AA386="Cancelled"),"Cancelled",IF(OR(AA386="Completed / Handover",W386&lt;&gt;"",X386&gt;=100),"Completed — on track",IF(L386="Remaining",IF(S386="",IF(V386="","No planned date",IF(TODAY()&gt;V386,"Behind — past planned date",IF(V386-TODAY()&lt;=30,"At risk — close to off track","On track"))),IF(TODAY()&gt;S386,"Behind — award date passed",IF(S386-TODAY()&lt;=30,"At risk — close to off track","On track"))),IF(V386="","No planned date",IF(AND(TODAY()&gt;V386,OR(X386="",X386&lt;100)),"Behind — past end date",IF(AND(R386&lt;&gt;"",V386&lt;&gt;"",X386&lt;&gt;"",(X386&lt;100),((TODAY()-R386)/MAX(V386-R386,1)*100)-X386&gt;15),"Behind — progress lag",IF(AND(V386-TODAY()&lt;=30,V386-TODAY()&gt;=0,OR(X386="",X386&lt;90)),"At risk — close to off track","On track"))))))))</t>
        </is>
      </c>
      <c r="AF386" s="38" t="inlineStr">
        <is>
          <t>IF(OR(E386="",AA386="Completed / Handover",AA386="Cancelled"),"",IF(L386="Remaining",IF(S386&lt;&gt;"",S386-TODAY(),IF(V386="","",V386-TODAY())),IF(V386="","",V386-TODAY())))</t>
        </is>
      </c>
      <c r="AG386" s="36" t="n"/>
      <c r="AH386" s="36" t="n"/>
      <c r="AI386" s="36" t="n"/>
      <c r="AJ386" s="36" t="n"/>
      <c r="AK386" s="36" t="n"/>
      <c r="AL386" s="36" t="n"/>
      <c r="AM386" s="36" t="n"/>
      <c r="AN386" s="36" t="n"/>
      <c r="AO386" s="36" t="n"/>
      <c r="AP386" s="36" t="n"/>
      <c r="AQ386" s="36" t="n"/>
      <c r="AR386" s="40" t="n"/>
      <c r="AS386" s="40" t="n"/>
      <c r="AT386" s="40" t="n"/>
      <c r="AU386" s="38" t="inlineStr">
        <is>
          <t>IF(OR(E386="",AH386=""),"",IF(COUNT(AG386:AG386)=0,"",AH386-LOOKUP(2,1/(AG386:AG386&lt;&gt;""),AG386:AG386)))</t>
        </is>
      </c>
      <c r="AV386" s="38" t="inlineStr">
        <is>
          <t>IF(OR(E386="",AI386=""),"",IF(COUNT(AG386:AH386)=0,"",AI386-LOOKUP(2,1/(AG386:AH386&lt;&gt;""),AG386:AH386)))</t>
        </is>
      </c>
      <c r="AW386" s="38" t="inlineStr">
        <is>
          <t>IF(OR(E386="",AJ386=""),"",IF(COUNT(AG386:AI386)=0,"",AJ386-LOOKUP(2,1/(AG386:AI386&lt;&gt;""),AG386:AI386)))</t>
        </is>
      </c>
      <c r="AX386" s="38" t="inlineStr">
        <is>
          <t>IF(OR(E386="",AK386=""),"",IF(COUNT(AG386:AJ386)=0,"",AK386-LOOKUP(2,1/(AG386:AJ386&lt;&gt;""),AG386:AJ386)))</t>
        </is>
      </c>
      <c r="AY386" s="38" t="inlineStr">
        <is>
          <t>IF(OR(E386="",AL386=""),"",IF(COUNT(AG386:AK386)=0,"",AL386-LOOKUP(2,1/(AG386:AK386&lt;&gt;""),AG386:AK386)))</t>
        </is>
      </c>
      <c r="AZ386" s="38" t="inlineStr">
        <is>
          <t>IF(OR(E386="",AM386=""),"",IF(COUNT(AG386:AL386)=0,"",AM386-LOOKUP(2,1/(AG386:AL386&lt;&gt;""),AG386:AL386)))</t>
        </is>
      </c>
      <c r="BA386" s="38" t="inlineStr">
        <is>
          <t>IF(OR(E386="",AN386=""),"",IF(COUNT(AG386:AM386)=0,"",AN386-LOOKUP(2,1/(AG386:AM386&lt;&gt;""),AG386:AM386)))</t>
        </is>
      </c>
      <c r="BB386" s="38" t="inlineStr">
        <is>
          <t>IF(OR(E386="",AO386=""),"",IF(COUNT(AG386:AN386)=0,"",AO386-LOOKUP(2,1/(AG386:AN386&lt;&gt;""),AG386:AN386)))</t>
        </is>
      </c>
      <c r="BC386" s="38" t="inlineStr">
        <is>
          <t>IF(OR(E386="",AP386=""),"",IF(COUNT(AG386:AO386)=0,"",AP386-LOOKUP(2,1/(AG386:AO386&lt;&gt;""),AG386:AO386)))</t>
        </is>
      </c>
      <c r="BD386" s="38" t="inlineStr">
        <is>
          <t>IF(OR(E386="",AQ386=""),"",IF(COUNT(AG386:AP386)=0,"",AQ386-LOOKUP(2,1/(AG386:AP386&lt;&gt;""),AG386:AP386)))</t>
        </is>
      </c>
      <c r="BE386" s="38" t="inlineStr">
        <is>
          <t>IF(OR(E386="",AR386=""),"",IF(COUNT(AG386:AQ386)=0,"",AR386-LOOKUP(2,1/(AG386:AQ386&lt;&gt;""),AG386:AQ386)))</t>
        </is>
      </c>
      <c r="BF386" s="38" t="inlineStr">
        <is>
          <t>IF(OR(E386="",AS386=""),"",IF(COUNT(AG386:AR386)=0,"",AS386-LOOKUP(2,1/(AG386:AR386&lt;&gt;""),AG386:AR386)))</t>
        </is>
      </c>
      <c r="BG386" s="38" t="inlineStr">
        <is>
          <t>IF(OR(E386="",AT386=""),"",IF(COUNT(AG386:AS386)=0,"",AT386-LOOKUP(2,1/(AG386:AS386&lt;&gt;""),AG386:AS386)))</t>
        </is>
      </c>
      <c r="BH386" s="41" t="inlineStr">
        <is>
          <t>IF(G386="","All_Provinces",IFERROR(VLOOKUP(G386,'07_Lookups'!$A$4:$B$20,2,FALSE),"All_Provinces"))</t>
        </is>
      </c>
      <c r="BI386" s="41" t="inlineStr">
        <is>
          <t>IF(H386="","All_Districts",IFERROR(VLOOKUP(H386,'07_Lookups'!$E$4:$F$42,2,FALSE),"All_Districts"))</t>
        </is>
      </c>
    </row>
    <row r="387" ht="18" customHeight="1">
      <c r="A387" s="32" t="inlineStr">
        <is>
          <t>IF(E387="","",ROW()-3)</t>
        </is>
      </c>
      <c r="B387" s="42" t="n"/>
      <c r="C387" s="42" t="n"/>
      <c r="D387" s="42" t="n"/>
      <c r="E387" s="42" t="n"/>
      <c r="F387" s="42" t="n"/>
      <c r="G387" s="42" t="n"/>
      <c r="H387" s="42" t="n"/>
      <c r="I387" s="42" t="n"/>
      <c r="J387" s="42" t="n"/>
      <c r="K387" s="42" t="n"/>
      <c r="L387" s="42" t="n"/>
      <c r="M387" s="42" t="n"/>
      <c r="N387" s="42" t="n"/>
      <c r="O387" s="42" t="n"/>
      <c r="P387" s="42" t="n"/>
      <c r="Q387" s="43" t="n"/>
      <c r="R387" s="35" t="inlineStr">
        <is>
          <t>IF(AO387="","",AO387)</t>
        </is>
      </c>
      <c r="S387" s="44" t="n"/>
      <c r="T387" s="45" t="n"/>
      <c r="U387" s="44" t="n"/>
      <c r="V387" s="35" t="inlineStr">
        <is>
          <t>IF(U387&lt;&gt;"",U387,IF(OR(R387="",T387=""),"",EDATE(R387,T387)))</t>
        </is>
      </c>
      <c r="W387" s="44" t="n"/>
      <c r="X387" s="45" t="n"/>
      <c r="Y387" s="42" t="n"/>
      <c r="Z387" s="42" t="n"/>
      <c r="AA387" s="32" t="inlineStr">
        <is>
          <t>IF(E387="","",IF(COUNT(AG387:AT387)=0,IF(Y387="","Not started",Y387),SUBSTITUTE(LOOKUP(2,1/(AG387:AT387&lt;&gt;""),$AG$3:$AT$3),"Date: ","")))</t>
        </is>
      </c>
      <c r="AB387" s="38" t="inlineStr">
        <is>
          <t>IF(OR(E387="",COUNT(AG387:AT387)=0),"",TODAY()-LOOKUP(2,1/(AG387:AT387&lt;&gt;""),AG387:AT387))</t>
        </is>
      </c>
      <c r="AC387" s="38" t="inlineStr">
        <is>
          <t>IF(OR(E387="",COUNT(AG387:AT387)&lt;2),"",LOOKUP(2,1/(AG387:AT387&lt;&gt;""),AG387:AT387)-MIN(AG387:AT387))</t>
        </is>
      </c>
      <c r="AD387" s="38" t="inlineStr">
        <is>
          <t>IF(OR(AB387="",AA387="Not started",AA387=""),"",IFERROR(AB387-IF(VLOOKUP(AA387,'04_Status_Pipeline'!$B$3:$E$20,4,FALSE)="",0,VLOOKUP(AA387,'04_Status_Pipeline'!$B$3:$E$20,4,FALSE)),""))</t>
        </is>
      </c>
      <c r="AE387" s="32" t="inlineStr">
        <is>
          <t>IF(E387="","",IF(OR(Y387="Cancelled",AA387="Cancelled"),"Cancelled",IF(OR(AA387="Completed / Handover",W387&lt;&gt;"",X387&gt;=100),"Completed — on track",IF(L387="Remaining",IF(S387="",IF(V387="","No planned date",IF(TODAY()&gt;V387,"Behind — past planned date",IF(V387-TODAY()&lt;=30,"At risk — close to off track","On track"))),IF(TODAY()&gt;S387,"Behind — award date passed",IF(S387-TODAY()&lt;=30,"At risk — close to off track","On track"))),IF(V387="","No planned date",IF(AND(TODAY()&gt;V387,OR(X387="",X387&lt;100)),"Behind — past end date",IF(AND(R387&lt;&gt;"",V387&lt;&gt;"",X387&lt;&gt;"",(X387&lt;100),((TODAY()-R387)/MAX(V387-R387,1)*100)-X387&gt;15),"Behind — progress lag",IF(AND(V387-TODAY()&lt;=30,V387-TODAY()&gt;=0,OR(X387="",X387&lt;90)),"At risk — close to off track","On track"))))))))</t>
        </is>
      </c>
      <c r="AF387" s="38" t="inlineStr">
        <is>
          <t>IF(OR(E387="",AA387="Completed / Handover",AA387="Cancelled"),"",IF(L387="Remaining",IF(S387&lt;&gt;"",S387-TODAY(),IF(V387="","",V387-TODAY())),IF(V387="","",V387-TODAY())))</t>
        </is>
      </c>
      <c r="AG387" s="44" t="n"/>
      <c r="AH387" s="44" t="n"/>
      <c r="AI387" s="44" t="n"/>
      <c r="AJ387" s="44" t="n"/>
      <c r="AK387" s="44" t="n"/>
      <c r="AL387" s="44" t="n"/>
      <c r="AM387" s="44" t="n"/>
      <c r="AN387" s="44" t="n"/>
      <c r="AO387" s="44" t="n"/>
      <c r="AP387" s="44" t="n"/>
      <c r="AQ387" s="44" t="n"/>
      <c r="AR387" s="40" t="n"/>
      <c r="AS387" s="40" t="n"/>
      <c r="AT387" s="40" t="n"/>
      <c r="AU387" s="38" t="inlineStr">
        <is>
          <t>IF(OR(E387="",AH387=""),"",IF(COUNT(AG387:AG387)=0,"",AH387-LOOKUP(2,1/(AG387:AG387&lt;&gt;""),AG387:AG387)))</t>
        </is>
      </c>
      <c r="AV387" s="38" t="inlineStr">
        <is>
          <t>IF(OR(E387="",AI387=""),"",IF(COUNT(AG387:AH387)=0,"",AI387-LOOKUP(2,1/(AG387:AH387&lt;&gt;""),AG387:AH387)))</t>
        </is>
      </c>
      <c r="AW387" s="38" t="inlineStr">
        <is>
          <t>IF(OR(E387="",AJ387=""),"",IF(COUNT(AG387:AI387)=0,"",AJ387-LOOKUP(2,1/(AG387:AI387&lt;&gt;""),AG387:AI387)))</t>
        </is>
      </c>
      <c r="AX387" s="38" t="inlineStr">
        <is>
          <t>IF(OR(E387="",AK387=""),"",IF(COUNT(AG387:AJ387)=0,"",AK387-LOOKUP(2,1/(AG387:AJ387&lt;&gt;""),AG387:AJ387)))</t>
        </is>
      </c>
      <c r="AY387" s="38" t="inlineStr">
        <is>
          <t>IF(OR(E387="",AL387=""),"",IF(COUNT(AG387:AK387)=0,"",AL387-LOOKUP(2,1/(AG387:AK387&lt;&gt;""),AG387:AK387)))</t>
        </is>
      </c>
      <c r="AZ387" s="38" t="inlineStr">
        <is>
          <t>IF(OR(E387="",AM387=""),"",IF(COUNT(AG387:AL387)=0,"",AM387-LOOKUP(2,1/(AG387:AL387&lt;&gt;""),AG387:AL387)))</t>
        </is>
      </c>
      <c r="BA387" s="38" t="inlineStr">
        <is>
          <t>IF(OR(E387="",AN387=""),"",IF(COUNT(AG387:AM387)=0,"",AN387-LOOKUP(2,1/(AG387:AM387&lt;&gt;""),AG387:AM387)))</t>
        </is>
      </c>
      <c r="BB387" s="38" t="inlineStr">
        <is>
          <t>IF(OR(E387="",AO387=""),"",IF(COUNT(AG387:AN387)=0,"",AO387-LOOKUP(2,1/(AG387:AN387&lt;&gt;""),AG387:AN387)))</t>
        </is>
      </c>
      <c r="BC387" s="38" t="inlineStr">
        <is>
          <t>IF(OR(E387="",AP387=""),"",IF(COUNT(AG387:AO387)=0,"",AP387-LOOKUP(2,1/(AG387:AO387&lt;&gt;""),AG387:AO387)))</t>
        </is>
      </c>
      <c r="BD387" s="38" t="inlineStr">
        <is>
          <t>IF(OR(E387="",AQ387=""),"",IF(COUNT(AG387:AP387)=0,"",AQ387-LOOKUP(2,1/(AG387:AP387&lt;&gt;""),AG387:AP387)))</t>
        </is>
      </c>
      <c r="BE387" s="38" t="inlineStr">
        <is>
          <t>IF(OR(E387="",AR387=""),"",IF(COUNT(AG387:AQ387)=0,"",AR387-LOOKUP(2,1/(AG387:AQ387&lt;&gt;""),AG387:AQ387)))</t>
        </is>
      </c>
      <c r="BF387" s="38" t="inlineStr">
        <is>
          <t>IF(OR(E387="",AS387=""),"",IF(COUNT(AG387:AR387)=0,"",AS387-LOOKUP(2,1/(AG387:AR387&lt;&gt;""),AG387:AR387)))</t>
        </is>
      </c>
      <c r="BG387" s="38" t="inlineStr">
        <is>
          <t>IF(OR(E387="",AT387=""),"",IF(COUNT(AG387:AS387)=0,"",AT387-LOOKUP(2,1/(AG387:AS387&lt;&gt;""),AG387:AS387)))</t>
        </is>
      </c>
      <c r="BH387" s="41" t="inlineStr">
        <is>
          <t>IF(G387="","All_Provinces",IFERROR(VLOOKUP(G387,'07_Lookups'!$A$4:$B$20,2,FALSE),"All_Provinces"))</t>
        </is>
      </c>
      <c r="BI387" s="41" t="inlineStr">
        <is>
          <t>IF(H387="","All_Districts",IFERROR(VLOOKUP(H387,'07_Lookups'!$E$4:$F$42,2,FALSE),"All_Districts"))</t>
        </is>
      </c>
    </row>
    <row r="388" ht="18" customHeight="1">
      <c r="A388" s="32" t="inlineStr">
        <is>
          <t>IF(E388="","",ROW()-3)</t>
        </is>
      </c>
      <c r="B388" s="33" t="n"/>
      <c r="C388" s="33" t="n"/>
      <c r="D388" s="33" t="n"/>
      <c r="E388" s="33" t="n"/>
      <c r="F388" s="33" t="n"/>
      <c r="G388" s="33" t="n"/>
      <c r="H388" s="33" t="n"/>
      <c r="I388" s="33" t="n"/>
      <c r="J388" s="33" t="n"/>
      <c r="K388" s="33" t="n"/>
      <c r="L388" s="33" t="n"/>
      <c r="M388" s="33" t="n"/>
      <c r="N388" s="33" t="n"/>
      <c r="O388" s="33" t="n"/>
      <c r="P388" s="33" t="n"/>
      <c r="Q388" s="34" t="n"/>
      <c r="R388" s="35" t="inlineStr">
        <is>
          <t>IF(AO388="","",AO388)</t>
        </is>
      </c>
      <c r="S388" s="36" t="n"/>
      <c r="T388" s="37" t="n"/>
      <c r="U388" s="36" t="n"/>
      <c r="V388" s="35" t="inlineStr">
        <is>
          <t>IF(U388&lt;&gt;"",U388,IF(OR(R388="",T388=""),"",EDATE(R388,T388)))</t>
        </is>
      </c>
      <c r="W388" s="36" t="n"/>
      <c r="X388" s="37" t="n"/>
      <c r="Y388" s="33" t="n"/>
      <c r="Z388" s="33" t="n"/>
      <c r="AA388" s="32" t="inlineStr">
        <is>
          <t>IF(E388="","",IF(COUNT(AG388:AT388)=0,IF(Y388="","Not started",Y388),SUBSTITUTE(LOOKUP(2,1/(AG388:AT388&lt;&gt;""),$AG$3:$AT$3),"Date: ","")))</t>
        </is>
      </c>
      <c r="AB388" s="38" t="inlineStr">
        <is>
          <t>IF(OR(E388="",COUNT(AG388:AT388)=0),"",TODAY()-LOOKUP(2,1/(AG388:AT388&lt;&gt;""),AG388:AT388))</t>
        </is>
      </c>
      <c r="AC388" s="38" t="inlineStr">
        <is>
          <t>IF(OR(E388="",COUNT(AG388:AT388)&lt;2),"",LOOKUP(2,1/(AG388:AT388&lt;&gt;""),AG388:AT388)-MIN(AG388:AT388))</t>
        </is>
      </c>
      <c r="AD388" s="38" t="inlineStr">
        <is>
          <t>IF(OR(AB388="",AA388="Not started",AA388=""),"",IFERROR(AB388-IF(VLOOKUP(AA388,'04_Status_Pipeline'!$B$3:$E$20,4,FALSE)="",0,VLOOKUP(AA388,'04_Status_Pipeline'!$B$3:$E$20,4,FALSE)),""))</t>
        </is>
      </c>
      <c r="AE388" s="32" t="inlineStr">
        <is>
          <t>IF(E388="","",IF(OR(Y388="Cancelled",AA388="Cancelled"),"Cancelled",IF(OR(AA388="Completed / Handover",W388&lt;&gt;"",X388&gt;=100),"Completed — on track",IF(L388="Remaining",IF(S388="",IF(V388="","No planned date",IF(TODAY()&gt;V388,"Behind — past planned date",IF(V388-TODAY()&lt;=30,"At risk — close to off track","On track"))),IF(TODAY()&gt;S388,"Behind — award date passed",IF(S388-TODAY()&lt;=30,"At risk — close to off track","On track"))),IF(V388="","No planned date",IF(AND(TODAY()&gt;V388,OR(X388="",X388&lt;100)),"Behind — past end date",IF(AND(R388&lt;&gt;"",V388&lt;&gt;"",X388&lt;&gt;"",(X388&lt;100),((TODAY()-R388)/MAX(V388-R388,1)*100)-X388&gt;15),"Behind — progress lag",IF(AND(V388-TODAY()&lt;=30,V388-TODAY()&gt;=0,OR(X388="",X388&lt;90)),"At risk — close to off track","On track"))))))))</t>
        </is>
      </c>
      <c r="AF388" s="38" t="inlineStr">
        <is>
          <t>IF(OR(E388="",AA388="Completed / Handover",AA388="Cancelled"),"",IF(L388="Remaining",IF(S388&lt;&gt;"",S388-TODAY(),IF(V388="","",V388-TODAY())),IF(V388="","",V388-TODAY())))</t>
        </is>
      </c>
      <c r="AG388" s="36" t="n"/>
      <c r="AH388" s="36" t="n"/>
      <c r="AI388" s="36" t="n"/>
      <c r="AJ388" s="36" t="n"/>
      <c r="AK388" s="36" t="n"/>
      <c r="AL388" s="36" t="n"/>
      <c r="AM388" s="36" t="n"/>
      <c r="AN388" s="36" t="n"/>
      <c r="AO388" s="36" t="n"/>
      <c r="AP388" s="36" t="n"/>
      <c r="AQ388" s="36" t="n"/>
      <c r="AR388" s="40" t="n"/>
      <c r="AS388" s="40" t="n"/>
      <c r="AT388" s="40" t="n"/>
      <c r="AU388" s="38" t="inlineStr">
        <is>
          <t>IF(OR(E388="",AH388=""),"",IF(COUNT(AG388:AG388)=0,"",AH388-LOOKUP(2,1/(AG388:AG388&lt;&gt;""),AG388:AG388)))</t>
        </is>
      </c>
      <c r="AV388" s="38" t="inlineStr">
        <is>
          <t>IF(OR(E388="",AI388=""),"",IF(COUNT(AG388:AH388)=0,"",AI388-LOOKUP(2,1/(AG388:AH388&lt;&gt;""),AG388:AH388)))</t>
        </is>
      </c>
      <c r="AW388" s="38" t="inlineStr">
        <is>
          <t>IF(OR(E388="",AJ388=""),"",IF(COUNT(AG388:AI388)=0,"",AJ388-LOOKUP(2,1/(AG388:AI388&lt;&gt;""),AG388:AI388)))</t>
        </is>
      </c>
      <c r="AX388" s="38" t="inlineStr">
        <is>
          <t>IF(OR(E388="",AK388=""),"",IF(COUNT(AG388:AJ388)=0,"",AK388-LOOKUP(2,1/(AG388:AJ388&lt;&gt;""),AG388:AJ388)))</t>
        </is>
      </c>
      <c r="AY388" s="38" t="inlineStr">
        <is>
          <t>IF(OR(E388="",AL388=""),"",IF(COUNT(AG388:AK388)=0,"",AL388-LOOKUP(2,1/(AG388:AK388&lt;&gt;""),AG388:AK388)))</t>
        </is>
      </c>
      <c r="AZ388" s="38" t="inlineStr">
        <is>
          <t>IF(OR(E388="",AM388=""),"",IF(COUNT(AG388:AL388)=0,"",AM388-LOOKUP(2,1/(AG388:AL388&lt;&gt;""),AG388:AL388)))</t>
        </is>
      </c>
      <c r="BA388" s="38" t="inlineStr">
        <is>
          <t>IF(OR(E388="",AN388=""),"",IF(COUNT(AG388:AM388)=0,"",AN388-LOOKUP(2,1/(AG388:AM388&lt;&gt;""),AG388:AM388)))</t>
        </is>
      </c>
      <c r="BB388" s="38" t="inlineStr">
        <is>
          <t>IF(OR(E388="",AO388=""),"",IF(COUNT(AG388:AN388)=0,"",AO388-LOOKUP(2,1/(AG388:AN388&lt;&gt;""),AG388:AN388)))</t>
        </is>
      </c>
      <c r="BC388" s="38" t="inlineStr">
        <is>
          <t>IF(OR(E388="",AP388=""),"",IF(COUNT(AG388:AO388)=0,"",AP388-LOOKUP(2,1/(AG388:AO388&lt;&gt;""),AG388:AO388)))</t>
        </is>
      </c>
      <c r="BD388" s="38" t="inlineStr">
        <is>
          <t>IF(OR(E388="",AQ388=""),"",IF(COUNT(AG388:AP388)=0,"",AQ388-LOOKUP(2,1/(AG388:AP388&lt;&gt;""),AG388:AP388)))</t>
        </is>
      </c>
      <c r="BE388" s="38" t="inlineStr">
        <is>
          <t>IF(OR(E388="",AR388=""),"",IF(COUNT(AG388:AQ388)=0,"",AR388-LOOKUP(2,1/(AG388:AQ388&lt;&gt;""),AG388:AQ388)))</t>
        </is>
      </c>
      <c r="BF388" s="38" t="inlineStr">
        <is>
          <t>IF(OR(E388="",AS388=""),"",IF(COUNT(AG388:AR388)=0,"",AS388-LOOKUP(2,1/(AG388:AR388&lt;&gt;""),AG388:AR388)))</t>
        </is>
      </c>
      <c r="BG388" s="38" t="inlineStr">
        <is>
          <t>IF(OR(E388="",AT388=""),"",IF(COUNT(AG388:AS388)=0,"",AT388-LOOKUP(2,1/(AG388:AS388&lt;&gt;""),AG388:AS388)))</t>
        </is>
      </c>
      <c r="BH388" s="41" t="inlineStr">
        <is>
          <t>IF(G388="","All_Provinces",IFERROR(VLOOKUP(G388,'07_Lookups'!$A$4:$B$20,2,FALSE),"All_Provinces"))</t>
        </is>
      </c>
      <c r="BI388" s="41" t="inlineStr">
        <is>
          <t>IF(H388="","All_Districts",IFERROR(VLOOKUP(H388,'07_Lookups'!$E$4:$F$42,2,FALSE),"All_Districts"))</t>
        </is>
      </c>
    </row>
    <row r="389" ht="18" customHeight="1">
      <c r="A389" s="32" t="inlineStr">
        <is>
          <t>IF(E389="","",ROW()-3)</t>
        </is>
      </c>
      <c r="B389" s="42" t="n"/>
      <c r="C389" s="42" t="n"/>
      <c r="D389" s="42" t="n"/>
      <c r="E389" s="42" t="n"/>
      <c r="F389" s="42" t="n"/>
      <c r="G389" s="42" t="n"/>
      <c r="H389" s="42" t="n"/>
      <c r="I389" s="42" t="n"/>
      <c r="J389" s="42" t="n"/>
      <c r="K389" s="42" t="n"/>
      <c r="L389" s="42" t="n"/>
      <c r="M389" s="42" t="n"/>
      <c r="N389" s="42" t="n"/>
      <c r="O389" s="42" t="n"/>
      <c r="P389" s="42" t="n"/>
      <c r="Q389" s="43" t="n"/>
      <c r="R389" s="35" t="inlineStr">
        <is>
          <t>IF(AO389="","",AO389)</t>
        </is>
      </c>
      <c r="S389" s="44" t="n"/>
      <c r="T389" s="45" t="n"/>
      <c r="U389" s="44" t="n"/>
      <c r="V389" s="35" t="inlineStr">
        <is>
          <t>IF(U389&lt;&gt;"",U389,IF(OR(R389="",T389=""),"",EDATE(R389,T389)))</t>
        </is>
      </c>
      <c r="W389" s="44" t="n"/>
      <c r="X389" s="45" t="n"/>
      <c r="Y389" s="42" t="n"/>
      <c r="Z389" s="42" t="n"/>
      <c r="AA389" s="32" t="inlineStr">
        <is>
          <t>IF(E389="","",IF(COUNT(AG389:AT389)=0,IF(Y389="","Not started",Y389),SUBSTITUTE(LOOKUP(2,1/(AG389:AT389&lt;&gt;""),$AG$3:$AT$3),"Date: ","")))</t>
        </is>
      </c>
      <c r="AB389" s="38" t="inlineStr">
        <is>
          <t>IF(OR(E389="",COUNT(AG389:AT389)=0),"",TODAY()-LOOKUP(2,1/(AG389:AT389&lt;&gt;""),AG389:AT389))</t>
        </is>
      </c>
      <c r="AC389" s="38" t="inlineStr">
        <is>
          <t>IF(OR(E389="",COUNT(AG389:AT389)&lt;2),"",LOOKUP(2,1/(AG389:AT389&lt;&gt;""),AG389:AT389)-MIN(AG389:AT389))</t>
        </is>
      </c>
      <c r="AD389" s="38" t="inlineStr">
        <is>
          <t>IF(OR(AB389="",AA389="Not started",AA389=""),"",IFERROR(AB389-IF(VLOOKUP(AA389,'04_Status_Pipeline'!$B$3:$E$20,4,FALSE)="",0,VLOOKUP(AA389,'04_Status_Pipeline'!$B$3:$E$20,4,FALSE)),""))</t>
        </is>
      </c>
      <c r="AE389" s="32" t="inlineStr">
        <is>
          <t>IF(E389="","",IF(OR(Y389="Cancelled",AA389="Cancelled"),"Cancelled",IF(OR(AA389="Completed / Handover",W389&lt;&gt;"",X389&gt;=100),"Completed — on track",IF(L389="Remaining",IF(S389="",IF(V389="","No planned date",IF(TODAY()&gt;V389,"Behind — past planned date",IF(V389-TODAY()&lt;=30,"At risk — close to off track","On track"))),IF(TODAY()&gt;S389,"Behind — award date passed",IF(S389-TODAY()&lt;=30,"At risk — close to off track","On track"))),IF(V389="","No planned date",IF(AND(TODAY()&gt;V389,OR(X389="",X389&lt;100)),"Behind — past end date",IF(AND(R389&lt;&gt;"",V389&lt;&gt;"",X389&lt;&gt;"",(X389&lt;100),((TODAY()-R389)/MAX(V389-R389,1)*100)-X389&gt;15),"Behind — progress lag",IF(AND(V389-TODAY()&lt;=30,V389-TODAY()&gt;=0,OR(X389="",X389&lt;90)),"At risk — close to off track","On track"))))))))</t>
        </is>
      </c>
      <c r="AF389" s="38" t="inlineStr">
        <is>
          <t>IF(OR(E389="",AA389="Completed / Handover",AA389="Cancelled"),"",IF(L389="Remaining",IF(S389&lt;&gt;"",S389-TODAY(),IF(V389="","",V389-TODAY())),IF(V389="","",V389-TODAY())))</t>
        </is>
      </c>
      <c r="AG389" s="44" t="n"/>
      <c r="AH389" s="44" t="n"/>
      <c r="AI389" s="44" t="n"/>
      <c r="AJ389" s="44" t="n"/>
      <c r="AK389" s="44" t="n"/>
      <c r="AL389" s="44" t="n"/>
      <c r="AM389" s="44" t="n"/>
      <c r="AN389" s="44" t="n"/>
      <c r="AO389" s="44" t="n"/>
      <c r="AP389" s="44" t="n"/>
      <c r="AQ389" s="44" t="n"/>
      <c r="AR389" s="40" t="n"/>
      <c r="AS389" s="40" t="n"/>
      <c r="AT389" s="40" t="n"/>
      <c r="AU389" s="38" t="inlineStr">
        <is>
          <t>IF(OR(E389="",AH389=""),"",IF(COUNT(AG389:AG389)=0,"",AH389-LOOKUP(2,1/(AG389:AG389&lt;&gt;""),AG389:AG389)))</t>
        </is>
      </c>
      <c r="AV389" s="38" t="inlineStr">
        <is>
          <t>IF(OR(E389="",AI389=""),"",IF(COUNT(AG389:AH389)=0,"",AI389-LOOKUP(2,1/(AG389:AH389&lt;&gt;""),AG389:AH389)))</t>
        </is>
      </c>
      <c r="AW389" s="38" t="inlineStr">
        <is>
          <t>IF(OR(E389="",AJ389=""),"",IF(COUNT(AG389:AI389)=0,"",AJ389-LOOKUP(2,1/(AG389:AI389&lt;&gt;""),AG389:AI389)))</t>
        </is>
      </c>
      <c r="AX389" s="38" t="inlineStr">
        <is>
          <t>IF(OR(E389="",AK389=""),"",IF(COUNT(AG389:AJ389)=0,"",AK389-LOOKUP(2,1/(AG389:AJ389&lt;&gt;""),AG389:AJ389)))</t>
        </is>
      </c>
      <c r="AY389" s="38" t="inlineStr">
        <is>
          <t>IF(OR(E389="",AL389=""),"",IF(COUNT(AG389:AK389)=0,"",AL389-LOOKUP(2,1/(AG389:AK389&lt;&gt;""),AG389:AK389)))</t>
        </is>
      </c>
      <c r="AZ389" s="38" t="inlineStr">
        <is>
          <t>IF(OR(E389="",AM389=""),"",IF(COUNT(AG389:AL389)=0,"",AM389-LOOKUP(2,1/(AG389:AL389&lt;&gt;""),AG389:AL389)))</t>
        </is>
      </c>
      <c r="BA389" s="38" t="inlineStr">
        <is>
          <t>IF(OR(E389="",AN389=""),"",IF(COUNT(AG389:AM389)=0,"",AN389-LOOKUP(2,1/(AG389:AM389&lt;&gt;""),AG389:AM389)))</t>
        </is>
      </c>
      <c r="BB389" s="38" t="inlineStr">
        <is>
          <t>IF(OR(E389="",AO389=""),"",IF(COUNT(AG389:AN389)=0,"",AO389-LOOKUP(2,1/(AG389:AN389&lt;&gt;""),AG389:AN389)))</t>
        </is>
      </c>
      <c r="BC389" s="38" t="inlineStr">
        <is>
          <t>IF(OR(E389="",AP389=""),"",IF(COUNT(AG389:AO389)=0,"",AP389-LOOKUP(2,1/(AG389:AO389&lt;&gt;""),AG389:AO389)))</t>
        </is>
      </c>
      <c r="BD389" s="38" t="inlineStr">
        <is>
          <t>IF(OR(E389="",AQ389=""),"",IF(COUNT(AG389:AP389)=0,"",AQ389-LOOKUP(2,1/(AG389:AP389&lt;&gt;""),AG389:AP389)))</t>
        </is>
      </c>
      <c r="BE389" s="38" t="inlineStr">
        <is>
          <t>IF(OR(E389="",AR389=""),"",IF(COUNT(AG389:AQ389)=0,"",AR389-LOOKUP(2,1/(AG389:AQ389&lt;&gt;""),AG389:AQ389)))</t>
        </is>
      </c>
      <c r="BF389" s="38" t="inlineStr">
        <is>
          <t>IF(OR(E389="",AS389=""),"",IF(COUNT(AG389:AR389)=0,"",AS389-LOOKUP(2,1/(AG389:AR389&lt;&gt;""),AG389:AR389)))</t>
        </is>
      </c>
      <c r="BG389" s="38" t="inlineStr">
        <is>
          <t>IF(OR(E389="",AT389=""),"",IF(COUNT(AG389:AS389)=0,"",AT389-LOOKUP(2,1/(AG389:AS389&lt;&gt;""),AG389:AS389)))</t>
        </is>
      </c>
      <c r="BH389" s="41" t="inlineStr">
        <is>
          <t>IF(G389="","All_Provinces",IFERROR(VLOOKUP(G389,'07_Lookups'!$A$4:$B$20,2,FALSE),"All_Provinces"))</t>
        </is>
      </c>
      <c r="BI389" s="41" t="inlineStr">
        <is>
          <t>IF(H389="","All_Districts",IFERROR(VLOOKUP(H389,'07_Lookups'!$E$4:$F$42,2,FALSE),"All_Districts"))</t>
        </is>
      </c>
    </row>
    <row r="390" ht="18" customHeight="1">
      <c r="A390" s="32" t="inlineStr">
        <is>
          <t>IF(E390="","",ROW()-3)</t>
        </is>
      </c>
      <c r="B390" s="33" t="n"/>
      <c r="C390" s="33" t="n"/>
      <c r="D390" s="33" t="n"/>
      <c r="E390" s="33" t="n"/>
      <c r="F390" s="33" t="n"/>
      <c r="G390" s="33" t="n"/>
      <c r="H390" s="33" t="n"/>
      <c r="I390" s="33" t="n"/>
      <c r="J390" s="33" t="n"/>
      <c r="K390" s="33" t="n"/>
      <c r="L390" s="33" t="n"/>
      <c r="M390" s="33" t="n"/>
      <c r="N390" s="33" t="n"/>
      <c r="O390" s="33" t="n"/>
      <c r="P390" s="33" t="n"/>
      <c r="Q390" s="34" t="n"/>
      <c r="R390" s="35" t="inlineStr">
        <is>
          <t>IF(AO390="","",AO390)</t>
        </is>
      </c>
      <c r="S390" s="36" t="n"/>
      <c r="T390" s="37" t="n"/>
      <c r="U390" s="36" t="n"/>
      <c r="V390" s="35" t="inlineStr">
        <is>
          <t>IF(U390&lt;&gt;"",U390,IF(OR(R390="",T390=""),"",EDATE(R390,T390)))</t>
        </is>
      </c>
      <c r="W390" s="36" t="n"/>
      <c r="X390" s="37" t="n"/>
      <c r="Y390" s="33" t="n"/>
      <c r="Z390" s="33" t="n"/>
      <c r="AA390" s="32" t="inlineStr">
        <is>
          <t>IF(E390="","",IF(COUNT(AG390:AT390)=0,IF(Y390="","Not started",Y390),SUBSTITUTE(LOOKUP(2,1/(AG390:AT390&lt;&gt;""),$AG$3:$AT$3),"Date: ","")))</t>
        </is>
      </c>
      <c r="AB390" s="38" t="inlineStr">
        <is>
          <t>IF(OR(E390="",COUNT(AG390:AT390)=0),"",TODAY()-LOOKUP(2,1/(AG390:AT390&lt;&gt;""),AG390:AT390))</t>
        </is>
      </c>
      <c r="AC390" s="38" t="inlineStr">
        <is>
          <t>IF(OR(E390="",COUNT(AG390:AT390)&lt;2),"",LOOKUP(2,1/(AG390:AT390&lt;&gt;""),AG390:AT390)-MIN(AG390:AT390))</t>
        </is>
      </c>
      <c r="AD390" s="38" t="inlineStr">
        <is>
          <t>IF(OR(AB390="",AA390="Not started",AA390=""),"",IFERROR(AB390-IF(VLOOKUP(AA390,'04_Status_Pipeline'!$B$3:$E$20,4,FALSE)="",0,VLOOKUP(AA390,'04_Status_Pipeline'!$B$3:$E$20,4,FALSE)),""))</t>
        </is>
      </c>
      <c r="AE390" s="32" t="inlineStr">
        <is>
          <t>IF(E390="","",IF(OR(Y390="Cancelled",AA390="Cancelled"),"Cancelled",IF(OR(AA390="Completed / Handover",W390&lt;&gt;"",X390&gt;=100),"Completed — on track",IF(L390="Remaining",IF(S390="",IF(V390="","No planned date",IF(TODAY()&gt;V390,"Behind — past planned date",IF(V390-TODAY()&lt;=30,"At risk — close to off track","On track"))),IF(TODAY()&gt;S390,"Behind — award date passed",IF(S390-TODAY()&lt;=30,"At risk — close to off track","On track"))),IF(V390="","No planned date",IF(AND(TODAY()&gt;V390,OR(X390="",X390&lt;100)),"Behind — past end date",IF(AND(R390&lt;&gt;"",V390&lt;&gt;"",X390&lt;&gt;"",(X390&lt;100),((TODAY()-R390)/MAX(V390-R390,1)*100)-X390&gt;15),"Behind — progress lag",IF(AND(V390-TODAY()&lt;=30,V390-TODAY()&gt;=0,OR(X390="",X390&lt;90)),"At risk — close to off track","On track"))))))))</t>
        </is>
      </c>
      <c r="AF390" s="38" t="inlineStr">
        <is>
          <t>IF(OR(E390="",AA390="Completed / Handover",AA390="Cancelled"),"",IF(L390="Remaining",IF(S390&lt;&gt;"",S390-TODAY(),IF(V390="","",V390-TODAY())),IF(V390="","",V390-TODAY())))</t>
        </is>
      </c>
      <c r="AG390" s="36" t="n"/>
      <c r="AH390" s="36" t="n"/>
      <c r="AI390" s="36" t="n"/>
      <c r="AJ390" s="36" t="n"/>
      <c r="AK390" s="36" t="n"/>
      <c r="AL390" s="36" t="n"/>
      <c r="AM390" s="36" t="n"/>
      <c r="AN390" s="36" t="n"/>
      <c r="AO390" s="36" t="n"/>
      <c r="AP390" s="36" t="n"/>
      <c r="AQ390" s="36" t="n"/>
      <c r="AR390" s="40" t="n"/>
      <c r="AS390" s="40" t="n"/>
      <c r="AT390" s="40" t="n"/>
      <c r="AU390" s="38" t="inlineStr">
        <is>
          <t>IF(OR(E390="",AH390=""),"",IF(COUNT(AG390:AG390)=0,"",AH390-LOOKUP(2,1/(AG390:AG390&lt;&gt;""),AG390:AG390)))</t>
        </is>
      </c>
      <c r="AV390" s="38" t="inlineStr">
        <is>
          <t>IF(OR(E390="",AI390=""),"",IF(COUNT(AG390:AH390)=0,"",AI390-LOOKUP(2,1/(AG390:AH390&lt;&gt;""),AG390:AH390)))</t>
        </is>
      </c>
      <c r="AW390" s="38" t="inlineStr">
        <is>
          <t>IF(OR(E390="",AJ390=""),"",IF(COUNT(AG390:AI390)=0,"",AJ390-LOOKUP(2,1/(AG390:AI390&lt;&gt;""),AG390:AI390)))</t>
        </is>
      </c>
      <c r="AX390" s="38" t="inlineStr">
        <is>
          <t>IF(OR(E390="",AK390=""),"",IF(COUNT(AG390:AJ390)=0,"",AK390-LOOKUP(2,1/(AG390:AJ390&lt;&gt;""),AG390:AJ390)))</t>
        </is>
      </c>
      <c r="AY390" s="38" t="inlineStr">
        <is>
          <t>IF(OR(E390="",AL390=""),"",IF(COUNT(AG390:AK390)=0,"",AL390-LOOKUP(2,1/(AG390:AK390&lt;&gt;""),AG390:AK390)))</t>
        </is>
      </c>
      <c r="AZ390" s="38" t="inlineStr">
        <is>
          <t>IF(OR(E390="",AM390=""),"",IF(COUNT(AG390:AL390)=0,"",AM390-LOOKUP(2,1/(AG390:AL390&lt;&gt;""),AG390:AL390)))</t>
        </is>
      </c>
      <c r="BA390" s="38" t="inlineStr">
        <is>
          <t>IF(OR(E390="",AN390=""),"",IF(COUNT(AG390:AM390)=0,"",AN390-LOOKUP(2,1/(AG390:AM390&lt;&gt;""),AG390:AM390)))</t>
        </is>
      </c>
      <c r="BB390" s="38" t="inlineStr">
        <is>
          <t>IF(OR(E390="",AO390=""),"",IF(COUNT(AG390:AN390)=0,"",AO390-LOOKUP(2,1/(AG390:AN390&lt;&gt;""),AG390:AN390)))</t>
        </is>
      </c>
      <c r="BC390" s="38" t="inlineStr">
        <is>
          <t>IF(OR(E390="",AP390=""),"",IF(COUNT(AG390:AO390)=0,"",AP390-LOOKUP(2,1/(AG390:AO390&lt;&gt;""),AG390:AO390)))</t>
        </is>
      </c>
      <c r="BD390" s="38" t="inlineStr">
        <is>
          <t>IF(OR(E390="",AQ390=""),"",IF(COUNT(AG390:AP390)=0,"",AQ390-LOOKUP(2,1/(AG390:AP390&lt;&gt;""),AG390:AP390)))</t>
        </is>
      </c>
      <c r="BE390" s="38" t="inlineStr">
        <is>
          <t>IF(OR(E390="",AR390=""),"",IF(COUNT(AG390:AQ390)=0,"",AR390-LOOKUP(2,1/(AG390:AQ390&lt;&gt;""),AG390:AQ390)))</t>
        </is>
      </c>
      <c r="BF390" s="38" t="inlineStr">
        <is>
          <t>IF(OR(E390="",AS390=""),"",IF(COUNT(AG390:AR390)=0,"",AS390-LOOKUP(2,1/(AG390:AR390&lt;&gt;""),AG390:AR390)))</t>
        </is>
      </c>
      <c r="BG390" s="38" t="inlineStr">
        <is>
          <t>IF(OR(E390="",AT390=""),"",IF(COUNT(AG390:AS390)=0,"",AT390-LOOKUP(2,1/(AG390:AS390&lt;&gt;""),AG390:AS390)))</t>
        </is>
      </c>
      <c r="BH390" s="41" t="inlineStr">
        <is>
          <t>IF(G390="","All_Provinces",IFERROR(VLOOKUP(G390,'07_Lookups'!$A$4:$B$20,2,FALSE),"All_Provinces"))</t>
        </is>
      </c>
      <c r="BI390" s="41" t="inlineStr">
        <is>
          <t>IF(H390="","All_Districts",IFERROR(VLOOKUP(H390,'07_Lookups'!$E$4:$F$42,2,FALSE),"All_Districts"))</t>
        </is>
      </c>
    </row>
    <row r="391" ht="18" customHeight="1">
      <c r="A391" s="32" t="inlineStr">
        <is>
          <t>IF(E391="","",ROW()-3)</t>
        </is>
      </c>
      <c r="B391" s="42" t="n"/>
      <c r="C391" s="42" t="n"/>
      <c r="D391" s="42" t="n"/>
      <c r="E391" s="42" t="n"/>
      <c r="F391" s="42" t="n"/>
      <c r="G391" s="42" t="n"/>
      <c r="H391" s="42" t="n"/>
      <c r="I391" s="42" t="n"/>
      <c r="J391" s="42" t="n"/>
      <c r="K391" s="42" t="n"/>
      <c r="L391" s="42" t="n"/>
      <c r="M391" s="42" t="n"/>
      <c r="N391" s="42" t="n"/>
      <c r="O391" s="42" t="n"/>
      <c r="P391" s="42" t="n"/>
      <c r="Q391" s="43" t="n"/>
      <c r="R391" s="35" t="inlineStr">
        <is>
          <t>IF(AO391="","",AO391)</t>
        </is>
      </c>
      <c r="S391" s="44" t="n"/>
      <c r="T391" s="45" t="n"/>
      <c r="U391" s="44" t="n"/>
      <c r="V391" s="35" t="inlineStr">
        <is>
          <t>IF(U391&lt;&gt;"",U391,IF(OR(R391="",T391=""),"",EDATE(R391,T391)))</t>
        </is>
      </c>
      <c r="W391" s="44" t="n"/>
      <c r="X391" s="45" t="n"/>
      <c r="Y391" s="42" t="n"/>
      <c r="Z391" s="42" t="n"/>
      <c r="AA391" s="32" t="inlineStr">
        <is>
          <t>IF(E391="","",IF(COUNT(AG391:AT391)=0,IF(Y391="","Not started",Y391),SUBSTITUTE(LOOKUP(2,1/(AG391:AT391&lt;&gt;""),$AG$3:$AT$3),"Date: ","")))</t>
        </is>
      </c>
      <c r="AB391" s="38" t="inlineStr">
        <is>
          <t>IF(OR(E391="",COUNT(AG391:AT391)=0),"",TODAY()-LOOKUP(2,1/(AG391:AT391&lt;&gt;""),AG391:AT391))</t>
        </is>
      </c>
      <c r="AC391" s="38" t="inlineStr">
        <is>
          <t>IF(OR(E391="",COUNT(AG391:AT391)&lt;2),"",LOOKUP(2,1/(AG391:AT391&lt;&gt;""),AG391:AT391)-MIN(AG391:AT391))</t>
        </is>
      </c>
      <c r="AD391" s="38" t="inlineStr">
        <is>
          <t>IF(OR(AB391="",AA391="Not started",AA391=""),"",IFERROR(AB391-IF(VLOOKUP(AA391,'04_Status_Pipeline'!$B$3:$E$20,4,FALSE)="",0,VLOOKUP(AA391,'04_Status_Pipeline'!$B$3:$E$20,4,FALSE)),""))</t>
        </is>
      </c>
      <c r="AE391" s="32" t="inlineStr">
        <is>
          <t>IF(E391="","",IF(OR(Y391="Cancelled",AA391="Cancelled"),"Cancelled",IF(OR(AA391="Completed / Handover",W391&lt;&gt;"",X391&gt;=100),"Completed — on track",IF(L391="Remaining",IF(S391="",IF(V391="","No planned date",IF(TODAY()&gt;V391,"Behind — past planned date",IF(V391-TODAY()&lt;=30,"At risk — close to off track","On track"))),IF(TODAY()&gt;S391,"Behind — award date passed",IF(S391-TODAY()&lt;=30,"At risk — close to off track","On track"))),IF(V391="","No planned date",IF(AND(TODAY()&gt;V391,OR(X391="",X391&lt;100)),"Behind — past end date",IF(AND(R391&lt;&gt;"",V391&lt;&gt;"",X391&lt;&gt;"",(X391&lt;100),((TODAY()-R391)/MAX(V391-R391,1)*100)-X391&gt;15),"Behind — progress lag",IF(AND(V391-TODAY()&lt;=30,V391-TODAY()&gt;=0,OR(X391="",X391&lt;90)),"At risk — close to off track","On track"))))))))</t>
        </is>
      </c>
      <c r="AF391" s="38" t="inlineStr">
        <is>
          <t>IF(OR(E391="",AA391="Completed / Handover",AA391="Cancelled"),"",IF(L391="Remaining",IF(S391&lt;&gt;"",S391-TODAY(),IF(V391="","",V391-TODAY())),IF(V391="","",V391-TODAY())))</t>
        </is>
      </c>
      <c r="AG391" s="44" t="n"/>
      <c r="AH391" s="44" t="n"/>
      <c r="AI391" s="44" t="n"/>
      <c r="AJ391" s="44" t="n"/>
      <c r="AK391" s="44" t="n"/>
      <c r="AL391" s="44" t="n"/>
      <c r="AM391" s="44" t="n"/>
      <c r="AN391" s="44" t="n"/>
      <c r="AO391" s="44" t="n"/>
      <c r="AP391" s="44" t="n"/>
      <c r="AQ391" s="44" t="n"/>
      <c r="AR391" s="40" t="n"/>
      <c r="AS391" s="40" t="n"/>
      <c r="AT391" s="40" t="n"/>
      <c r="AU391" s="38" t="inlineStr">
        <is>
          <t>IF(OR(E391="",AH391=""),"",IF(COUNT(AG391:AG391)=0,"",AH391-LOOKUP(2,1/(AG391:AG391&lt;&gt;""),AG391:AG391)))</t>
        </is>
      </c>
      <c r="AV391" s="38" t="inlineStr">
        <is>
          <t>IF(OR(E391="",AI391=""),"",IF(COUNT(AG391:AH391)=0,"",AI391-LOOKUP(2,1/(AG391:AH391&lt;&gt;""),AG391:AH391)))</t>
        </is>
      </c>
      <c r="AW391" s="38" t="inlineStr">
        <is>
          <t>IF(OR(E391="",AJ391=""),"",IF(COUNT(AG391:AI391)=0,"",AJ391-LOOKUP(2,1/(AG391:AI391&lt;&gt;""),AG391:AI391)))</t>
        </is>
      </c>
      <c r="AX391" s="38" t="inlineStr">
        <is>
          <t>IF(OR(E391="",AK391=""),"",IF(COUNT(AG391:AJ391)=0,"",AK391-LOOKUP(2,1/(AG391:AJ391&lt;&gt;""),AG391:AJ391)))</t>
        </is>
      </c>
      <c r="AY391" s="38" t="inlineStr">
        <is>
          <t>IF(OR(E391="",AL391=""),"",IF(COUNT(AG391:AK391)=0,"",AL391-LOOKUP(2,1/(AG391:AK391&lt;&gt;""),AG391:AK391)))</t>
        </is>
      </c>
      <c r="AZ391" s="38" t="inlineStr">
        <is>
          <t>IF(OR(E391="",AM391=""),"",IF(COUNT(AG391:AL391)=0,"",AM391-LOOKUP(2,1/(AG391:AL391&lt;&gt;""),AG391:AL391)))</t>
        </is>
      </c>
      <c r="BA391" s="38" t="inlineStr">
        <is>
          <t>IF(OR(E391="",AN391=""),"",IF(COUNT(AG391:AM391)=0,"",AN391-LOOKUP(2,1/(AG391:AM391&lt;&gt;""),AG391:AM391)))</t>
        </is>
      </c>
      <c r="BB391" s="38" t="inlineStr">
        <is>
          <t>IF(OR(E391="",AO391=""),"",IF(COUNT(AG391:AN391)=0,"",AO391-LOOKUP(2,1/(AG391:AN391&lt;&gt;""),AG391:AN391)))</t>
        </is>
      </c>
      <c r="BC391" s="38" t="inlineStr">
        <is>
          <t>IF(OR(E391="",AP391=""),"",IF(COUNT(AG391:AO391)=0,"",AP391-LOOKUP(2,1/(AG391:AO391&lt;&gt;""),AG391:AO391)))</t>
        </is>
      </c>
      <c r="BD391" s="38" t="inlineStr">
        <is>
          <t>IF(OR(E391="",AQ391=""),"",IF(COUNT(AG391:AP391)=0,"",AQ391-LOOKUP(2,1/(AG391:AP391&lt;&gt;""),AG391:AP391)))</t>
        </is>
      </c>
      <c r="BE391" s="38" t="inlineStr">
        <is>
          <t>IF(OR(E391="",AR391=""),"",IF(COUNT(AG391:AQ391)=0,"",AR391-LOOKUP(2,1/(AG391:AQ391&lt;&gt;""),AG391:AQ391)))</t>
        </is>
      </c>
      <c r="BF391" s="38" t="inlineStr">
        <is>
          <t>IF(OR(E391="",AS391=""),"",IF(COUNT(AG391:AR391)=0,"",AS391-LOOKUP(2,1/(AG391:AR391&lt;&gt;""),AG391:AR391)))</t>
        </is>
      </c>
      <c r="BG391" s="38" t="inlineStr">
        <is>
          <t>IF(OR(E391="",AT391=""),"",IF(COUNT(AG391:AS391)=0,"",AT391-LOOKUP(2,1/(AG391:AS391&lt;&gt;""),AG391:AS391)))</t>
        </is>
      </c>
      <c r="BH391" s="41" t="inlineStr">
        <is>
          <t>IF(G391="","All_Provinces",IFERROR(VLOOKUP(G391,'07_Lookups'!$A$4:$B$20,2,FALSE),"All_Provinces"))</t>
        </is>
      </c>
      <c r="BI391" s="41" t="inlineStr">
        <is>
          <t>IF(H391="","All_Districts",IFERROR(VLOOKUP(H391,'07_Lookups'!$E$4:$F$42,2,FALSE),"All_Districts"))</t>
        </is>
      </c>
    </row>
    <row r="392" ht="18" customHeight="1">
      <c r="A392" s="32" t="inlineStr">
        <is>
          <t>IF(E392="","",ROW()-3)</t>
        </is>
      </c>
      <c r="B392" s="33" t="n"/>
      <c r="C392" s="33" t="n"/>
      <c r="D392" s="33" t="n"/>
      <c r="E392" s="33" t="n"/>
      <c r="F392" s="33" t="n"/>
      <c r="G392" s="33" t="n"/>
      <c r="H392" s="33" t="n"/>
      <c r="I392" s="33" t="n"/>
      <c r="J392" s="33" t="n"/>
      <c r="K392" s="33" t="n"/>
      <c r="L392" s="33" t="n"/>
      <c r="M392" s="33" t="n"/>
      <c r="N392" s="33" t="n"/>
      <c r="O392" s="33" t="n"/>
      <c r="P392" s="33" t="n"/>
      <c r="Q392" s="34" t="n"/>
      <c r="R392" s="35" t="inlineStr">
        <is>
          <t>IF(AO392="","",AO392)</t>
        </is>
      </c>
      <c r="S392" s="36" t="n"/>
      <c r="T392" s="37" t="n"/>
      <c r="U392" s="36" t="n"/>
      <c r="V392" s="35" t="inlineStr">
        <is>
          <t>IF(U392&lt;&gt;"",U392,IF(OR(R392="",T392=""),"",EDATE(R392,T392)))</t>
        </is>
      </c>
      <c r="W392" s="36" t="n"/>
      <c r="X392" s="37" t="n"/>
      <c r="Y392" s="33" t="n"/>
      <c r="Z392" s="33" t="n"/>
      <c r="AA392" s="32" t="inlineStr">
        <is>
          <t>IF(E392="","",IF(COUNT(AG392:AT392)=0,IF(Y392="","Not started",Y392),SUBSTITUTE(LOOKUP(2,1/(AG392:AT392&lt;&gt;""),$AG$3:$AT$3),"Date: ","")))</t>
        </is>
      </c>
      <c r="AB392" s="38" t="inlineStr">
        <is>
          <t>IF(OR(E392="",COUNT(AG392:AT392)=0),"",TODAY()-LOOKUP(2,1/(AG392:AT392&lt;&gt;""),AG392:AT392))</t>
        </is>
      </c>
      <c r="AC392" s="38" t="inlineStr">
        <is>
          <t>IF(OR(E392="",COUNT(AG392:AT392)&lt;2),"",LOOKUP(2,1/(AG392:AT392&lt;&gt;""),AG392:AT392)-MIN(AG392:AT392))</t>
        </is>
      </c>
      <c r="AD392" s="38" t="inlineStr">
        <is>
          <t>IF(OR(AB392="",AA392="Not started",AA392=""),"",IFERROR(AB392-IF(VLOOKUP(AA392,'04_Status_Pipeline'!$B$3:$E$20,4,FALSE)="",0,VLOOKUP(AA392,'04_Status_Pipeline'!$B$3:$E$20,4,FALSE)),""))</t>
        </is>
      </c>
      <c r="AE392" s="32" t="inlineStr">
        <is>
          <t>IF(E392="","",IF(OR(Y392="Cancelled",AA392="Cancelled"),"Cancelled",IF(OR(AA392="Completed / Handover",W392&lt;&gt;"",X392&gt;=100),"Completed — on track",IF(L392="Remaining",IF(S392="",IF(V392="","No planned date",IF(TODAY()&gt;V392,"Behind — past planned date",IF(V392-TODAY()&lt;=30,"At risk — close to off track","On track"))),IF(TODAY()&gt;S392,"Behind — award date passed",IF(S392-TODAY()&lt;=30,"At risk — close to off track","On track"))),IF(V392="","No planned date",IF(AND(TODAY()&gt;V392,OR(X392="",X392&lt;100)),"Behind — past end date",IF(AND(R392&lt;&gt;"",V392&lt;&gt;"",X392&lt;&gt;"",(X392&lt;100),((TODAY()-R392)/MAX(V392-R392,1)*100)-X392&gt;15),"Behind — progress lag",IF(AND(V392-TODAY()&lt;=30,V392-TODAY()&gt;=0,OR(X392="",X392&lt;90)),"At risk — close to off track","On track"))))))))</t>
        </is>
      </c>
      <c r="AF392" s="38" t="inlineStr">
        <is>
          <t>IF(OR(E392="",AA392="Completed / Handover",AA392="Cancelled"),"",IF(L392="Remaining",IF(S392&lt;&gt;"",S392-TODAY(),IF(V392="","",V392-TODAY())),IF(V392="","",V392-TODAY())))</t>
        </is>
      </c>
      <c r="AG392" s="36" t="n"/>
      <c r="AH392" s="36" t="n"/>
      <c r="AI392" s="36" t="n"/>
      <c r="AJ392" s="36" t="n"/>
      <c r="AK392" s="36" t="n"/>
      <c r="AL392" s="36" t="n"/>
      <c r="AM392" s="36" t="n"/>
      <c r="AN392" s="36" t="n"/>
      <c r="AO392" s="36" t="n"/>
      <c r="AP392" s="36" t="n"/>
      <c r="AQ392" s="36" t="n"/>
      <c r="AR392" s="40" t="n"/>
      <c r="AS392" s="40" t="n"/>
      <c r="AT392" s="40" t="n"/>
      <c r="AU392" s="38" t="inlineStr">
        <is>
          <t>IF(OR(E392="",AH392=""),"",IF(COUNT(AG392:AG392)=0,"",AH392-LOOKUP(2,1/(AG392:AG392&lt;&gt;""),AG392:AG392)))</t>
        </is>
      </c>
      <c r="AV392" s="38" t="inlineStr">
        <is>
          <t>IF(OR(E392="",AI392=""),"",IF(COUNT(AG392:AH392)=0,"",AI392-LOOKUP(2,1/(AG392:AH392&lt;&gt;""),AG392:AH392)))</t>
        </is>
      </c>
      <c r="AW392" s="38" t="inlineStr">
        <is>
          <t>IF(OR(E392="",AJ392=""),"",IF(COUNT(AG392:AI392)=0,"",AJ392-LOOKUP(2,1/(AG392:AI392&lt;&gt;""),AG392:AI392)))</t>
        </is>
      </c>
      <c r="AX392" s="38" t="inlineStr">
        <is>
          <t>IF(OR(E392="",AK392=""),"",IF(COUNT(AG392:AJ392)=0,"",AK392-LOOKUP(2,1/(AG392:AJ392&lt;&gt;""),AG392:AJ392)))</t>
        </is>
      </c>
      <c r="AY392" s="38" t="inlineStr">
        <is>
          <t>IF(OR(E392="",AL392=""),"",IF(COUNT(AG392:AK392)=0,"",AL392-LOOKUP(2,1/(AG392:AK392&lt;&gt;""),AG392:AK392)))</t>
        </is>
      </c>
      <c r="AZ392" s="38" t="inlineStr">
        <is>
          <t>IF(OR(E392="",AM392=""),"",IF(COUNT(AG392:AL392)=0,"",AM392-LOOKUP(2,1/(AG392:AL392&lt;&gt;""),AG392:AL392)))</t>
        </is>
      </c>
      <c r="BA392" s="38" t="inlineStr">
        <is>
          <t>IF(OR(E392="",AN392=""),"",IF(COUNT(AG392:AM392)=0,"",AN392-LOOKUP(2,1/(AG392:AM392&lt;&gt;""),AG392:AM392)))</t>
        </is>
      </c>
      <c r="BB392" s="38" t="inlineStr">
        <is>
          <t>IF(OR(E392="",AO392=""),"",IF(COUNT(AG392:AN392)=0,"",AO392-LOOKUP(2,1/(AG392:AN392&lt;&gt;""),AG392:AN392)))</t>
        </is>
      </c>
      <c r="BC392" s="38" t="inlineStr">
        <is>
          <t>IF(OR(E392="",AP392=""),"",IF(COUNT(AG392:AO392)=0,"",AP392-LOOKUP(2,1/(AG392:AO392&lt;&gt;""),AG392:AO392)))</t>
        </is>
      </c>
      <c r="BD392" s="38" t="inlineStr">
        <is>
          <t>IF(OR(E392="",AQ392=""),"",IF(COUNT(AG392:AP392)=0,"",AQ392-LOOKUP(2,1/(AG392:AP392&lt;&gt;""),AG392:AP392)))</t>
        </is>
      </c>
      <c r="BE392" s="38" t="inlineStr">
        <is>
          <t>IF(OR(E392="",AR392=""),"",IF(COUNT(AG392:AQ392)=0,"",AR392-LOOKUP(2,1/(AG392:AQ392&lt;&gt;""),AG392:AQ392)))</t>
        </is>
      </c>
      <c r="BF392" s="38" t="inlineStr">
        <is>
          <t>IF(OR(E392="",AS392=""),"",IF(COUNT(AG392:AR392)=0,"",AS392-LOOKUP(2,1/(AG392:AR392&lt;&gt;""),AG392:AR392)))</t>
        </is>
      </c>
      <c r="BG392" s="38" t="inlineStr">
        <is>
          <t>IF(OR(E392="",AT392=""),"",IF(COUNT(AG392:AS392)=0,"",AT392-LOOKUP(2,1/(AG392:AS392&lt;&gt;""),AG392:AS392)))</t>
        </is>
      </c>
      <c r="BH392" s="41" t="inlineStr">
        <is>
          <t>IF(G392="","All_Provinces",IFERROR(VLOOKUP(G392,'07_Lookups'!$A$4:$B$20,2,FALSE),"All_Provinces"))</t>
        </is>
      </c>
      <c r="BI392" s="41" t="inlineStr">
        <is>
          <t>IF(H392="","All_Districts",IFERROR(VLOOKUP(H392,'07_Lookups'!$E$4:$F$42,2,FALSE),"All_Districts"))</t>
        </is>
      </c>
    </row>
    <row r="393" ht="18" customHeight="1">
      <c r="A393" s="32" t="inlineStr">
        <is>
          <t>IF(E393="","",ROW()-3)</t>
        </is>
      </c>
      <c r="B393" s="42" t="n"/>
      <c r="C393" s="42" t="n"/>
      <c r="D393" s="42" t="n"/>
      <c r="E393" s="42" t="n"/>
      <c r="F393" s="42" t="n"/>
      <c r="G393" s="42" t="n"/>
      <c r="H393" s="42" t="n"/>
      <c r="I393" s="42" t="n"/>
      <c r="J393" s="42" t="n"/>
      <c r="K393" s="42" t="n"/>
      <c r="L393" s="42" t="n"/>
      <c r="M393" s="42" t="n"/>
      <c r="N393" s="42" t="n"/>
      <c r="O393" s="42" t="n"/>
      <c r="P393" s="42" t="n"/>
      <c r="Q393" s="43" t="n"/>
      <c r="R393" s="35" t="inlineStr">
        <is>
          <t>IF(AO393="","",AO393)</t>
        </is>
      </c>
      <c r="S393" s="44" t="n"/>
      <c r="T393" s="45" t="n"/>
      <c r="U393" s="44" t="n"/>
      <c r="V393" s="35" t="inlineStr">
        <is>
          <t>IF(U393&lt;&gt;"",U393,IF(OR(R393="",T393=""),"",EDATE(R393,T393)))</t>
        </is>
      </c>
      <c r="W393" s="44" t="n"/>
      <c r="X393" s="45" t="n"/>
      <c r="Y393" s="42" t="n"/>
      <c r="Z393" s="42" t="n"/>
      <c r="AA393" s="32" t="inlineStr">
        <is>
          <t>IF(E393="","",IF(COUNT(AG393:AT393)=0,IF(Y393="","Not started",Y393),SUBSTITUTE(LOOKUP(2,1/(AG393:AT393&lt;&gt;""),$AG$3:$AT$3),"Date: ","")))</t>
        </is>
      </c>
      <c r="AB393" s="38" t="inlineStr">
        <is>
          <t>IF(OR(E393="",COUNT(AG393:AT393)=0),"",TODAY()-LOOKUP(2,1/(AG393:AT393&lt;&gt;""),AG393:AT393))</t>
        </is>
      </c>
      <c r="AC393" s="38" t="inlineStr">
        <is>
          <t>IF(OR(E393="",COUNT(AG393:AT393)&lt;2),"",LOOKUP(2,1/(AG393:AT393&lt;&gt;""),AG393:AT393)-MIN(AG393:AT393))</t>
        </is>
      </c>
      <c r="AD393" s="38" t="inlineStr">
        <is>
          <t>IF(OR(AB393="",AA393="Not started",AA393=""),"",IFERROR(AB393-IF(VLOOKUP(AA393,'04_Status_Pipeline'!$B$3:$E$20,4,FALSE)="",0,VLOOKUP(AA393,'04_Status_Pipeline'!$B$3:$E$20,4,FALSE)),""))</t>
        </is>
      </c>
      <c r="AE393" s="32" t="inlineStr">
        <is>
          <t>IF(E393="","",IF(OR(Y393="Cancelled",AA393="Cancelled"),"Cancelled",IF(OR(AA393="Completed / Handover",W393&lt;&gt;"",X393&gt;=100),"Completed — on track",IF(L393="Remaining",IF(S393="",IF(V393="","No planned date",IF(TODAY()&gt;V393,"Behind — past planned date",IF(V393-TODAY()&lt;=30,"At risk — close to off track","On track"))),IF(TODAY()&gt;S393,"Behind — award date passed",IF(S393-TODAY()&lt;=30,"At risk — close to off track","On track"))),IF(V393="","No planned date",IF(AND(TODAY()&gt;V393,OR(X393="",X393&lt;100)),"Behind — past end date",IF(AND(R393&lt;&gt;"",V393&lt;&gt;"",X393&lt;&gt;"",(X393&lt;100),((TODAY()-R393)/MAX(V393-R393,1)*100)-X393&gt;15),"Behind — progress lag",IF(AND(V393-TODAY()&lt;=30,V393-TODAY()&gt;=0,OR(X393="",X393&lt;90)),"At risk — close to off track","On track"))))))))</t>
        </is>
      </c>
      <c r="AF393" s="38" t="inlineStr">
        <is>
          <t>IF(OR(E393="",AA393="Completed / Handover",AA393="Cancelled"),"",IF(L393="Remaining",IF(S393&lt;&gt;"",S393-TODAY(),IF(V393="","",V393-TODAY())),IF(V393="","",V393-TODAY())))</t>
        </is>
      </c>
      <c r="AG393" s="44" t="n"/>
      <c r="AH393" s="44" t="n"/>
      <c r="AI393" s="44" t="n"/>
      <c r="AJ393" s="44" t="n"/>
      <c r="AK393" s="44" t="n"/>
      <c r="AL393" s="44" t="n"/>
      <c r="AM393" s="44" t="n"/>
      <c r="AN393" s="44" t="n"/>
      <c r="AO393" s="44" t="n"/>
      <c r="AP393" s="44" t="n"/>
      <c r="AQ393" s="44" t="n"/>
      <c r="AR393" s="40" t="n"/>
      <c r="AS393" s="40" t="n"/>
      <c r="AT393" s="40" t="n"/>
      <c r="AU393" s="38" t="inlineStr">
        <is>
          <t>IF(OR(E393="",AH393=""),"",IF(COUNT(AG393:AG393)=0,"",AH393-LOOKUP(2,1/(AG393:AG393&lt;&gt;""),AG393:AG393)))</t>
        </is>
      </c>
      <c r="AV393" s="38" t="inlineStr">
        <is>
          <t>IF(OR(E393="",AI393=""),"",IF(COUNT(AG393:AH393)=0,"",AI393-LOOKUP(2,1/(AG393:AH393&lt;&gt;""),AG393:AH393)))</t>
        </is>
      </c>
      <c r="AW393" s="38" t="inlineStr">
        <is>
          <t>IF(OR(E393="",AJ393=""),"",IF(COUNT(AG393:AI393)=0,"",AJ393-LOOKUP(2,1/(AG393:AI393&lt;&gt;""),AG393:AI393)))</t>
        </is>
      </c>
      <c r="AX393" s="38" t="inlineStr">
        <is>
          <t>IF(OR(E393="",AK393=""),"",IF(COUNT(AG393:AJ393)=0,"",AK393-LOOKUP(2,1/(AG393:AJ393&lt;&gt;""),AG393:AJ393)))</t>
        </is>
      </c>
      <c r="AY393" s="38" t="inlineStr">
        <is>
          <t>IF(OR(E393="",AL393=""),"",IF(COUNT(AG393:AK393)=0,"",AL393-LOOKUP(2,1/(AG393:AK393&lt;&gt;""),AG393:AK393)))</t>
        </is>
      </c>
      <c r="AZ393" s="38" t="inlineStr">
        <is>
          <t>IF(OR(E393="",AM393=""),"",IF(COUNT(AG393:AL393)=0,"",AM393-LOOKUP(2,1/(AG393:AL393&lt;&gt;""),AG393:AL393)))</t>
        </is>
      </c>
      <c r="BA393" s="38" t="inlineStr">
        <is>
          <t>IF(OR(E393="",AN393=""),"",IF(COUNT(AG393:AM393)=0,"",AN393-LOOKUP(2,1/(AG393:AM393&lt;&gt;""),AG393:AM393)))</t>
        </is>
      </c>
      <c r="BB393" s="38" t="inlineStr">
        <is>
          <t>IF(OR(E393="",AO393=""),"",IF(COUNT(AG393:AN393)=0,"",AO393-LOOKUP(2,1/(AG393:AN393&lt;&gt;""),AG393:AN393)))</t>
        </is>
      </c>
      <c r="BC393" s="38" t="inlineStr">
        <is>
          <t>IF(OR(E393="",AP393=""),"",IF(COUNT(AG393:AO393)=0,"",AP393-LOOKUP(2,1/(AG393:AO393&lt;&gt;""),AG393:AO393)))</t>
        </is>
      </c>
      <c r="BD393" s="38" t="inlineStr">
        <is>
          <t>IF(OR(E393="",AQ393=""),"",IF(COUNT(AG393:AP393)=0,"",AQ393-LOOKUP(2,1/(AG393:AP393&lt;&gt;""),AG393:AP393)))</t>
        </is>
      </c>
      <c r="BE393" s="38" t="inlineStr">
        <is>
          <t>IF(OR(E393="",AR393=""),"",IF(COUNT(AG393:AQ393)=0,"",AR393-LOOKUP(2,1/(AG393:AQ393&lt;&gt;""),AG393:AQ393)))</t>
        </is>
      </c>
      <c r="BF393" s="38" t="inlineStr">
        <is>
          <t>IF(OR(E393="",AS393=""),"",IF(COUNT(AG393:AR393)=0,"",AS393-LOOKUP(2,1/(AG393:AR393&lt;&gt;""),AG393:AR393)))</t>
        </is>
      </c>
      <c r="BG393" s="38" t="inlineStr">
        <is>
          <t>IF(OR(E393="",AT393=""),"",IF(COUNT(AG393:AS393)=0,"",AT393-LOOKUP(2,1/(AG393:AS393&lt;&gt;""),AG393:AS393)))</t>
        </is>
      </c>
      <c r="BH393" s="41" t="inlineStr">
        <is>
          <t>IF(G393="","All_Provinces",IFERROR(VLOOKUP(G393,'07_Lookups'!$A$4:$B$20,2,FALSE),"All_Provinces"))</t>
        </is>
      </c>
      <c r="BI393" s="41" t="inlineStr">
        <is>
          <t>IF(H393="","All_Districts",IFERROR(VLOOKUP(H393,'07_Lookups'!$E$4:$F$42,2,FALSE),"All_Districts"))</t>
        </is>
      </c>
    </row>
    <row r="394" ht="18" customHeight="1">
      <c r="A394" s="32" t="inlineStr">
        <is>
          <t>IF(E394="","",ROW()-3)</t>
        </is>
      </c>
      <c r="B394" s="33" t="n"/>
      <c r="C394" s="33" t="n"/>
      <c r="D394" s="33" t="n"/>
      <c r="E394" s="33" t="n"/>
      <c r="F394" s="33" t="n"/>
      <c r="G394" s="33" t="n"/>
      <c r="H394" s="33" t="n"/>
      <c r="I394" s="33" t="n"/>
      <c r="J394" s="33" t="n"/>
      <c r="K394" s="33" t="n"/>
      <c r="L394" s="33" t="n"/>
      <c r="M394" s="33" t="n"/>
      <c r="N394" s="33" t="n"/>
      <c r="O394" s="33" t="n"/>
      <c r="P394" s="33" t="n"/>
      <c r="Q394" s="34" t="n"/>
      <c r="R394" s="35" t="inlineStr">
        <is>
          <t>IF(AO394="","",AO394)</t>
        </is>
      </c>
      <c r="S394" s="36" t="n"/>
      <c r="T394" s="37" t="n"/>
      <c r="U394" s="36" t="n"/>
      <c r="V394" s="35" t="inlineStr">
        <is>
          <t>IF(U394&lt;&gt;"",U394,IF(OR(R394="",T394=""),"",EDATE(R394,T394)))</t>
        </is>
      </c>
      <c r="W394" s="36" t="n"/>
      <c r="X394" s="37" t="n"/>
      <c r="Y394" s="33" t="n"/>
      <c r="Z394" s="33" t="n"/>
      <c r="AA394" s="32" t="inlineStr">
        <is>
          <t>IF(E394="","",IF(COUNT(AG394:AT394)=0,IF(Y394="","Not started",Y394),SUBSTITUTE(LOOKUP(2,1/(AG394:AT394&lt;&gt;""),$AG$3:$AT$3),"Date: ","")))</t>
        </is>
      </c>
      <c r="AB394" s="38" t="inlineStr">
        <is>
          <t>IF(OR(E394="",COUNT(AG394:AT394)=0),"",TODAY()-LOOKUP(2,1/(AG394:AT394&lt;&gt;""),AG394:AT394))</t>
        </is>
      </c>
      <c r="AC394" s="38" t="inlineStr">
        <is>
          <t>IF(OR(E394="",COUNT(AG394:AT394)&lt;2),"",LOOKUP(2,1/(AG394:AT394&lt;&gt;""),AG394:AT394)-MIN(AG394:AT394))</t>
        </is>
      </c>
      <c r="AD394" s="38" t="inlineStr">
        <is>
          <t>IF(OR(AB394="",AA394="Not started",AA394=""),"",IFERROR(AB394-IF(VLOOKUP(AA394,'04_Status_Pipeline'!$B$3:$E$20,4,FALSE)="",0,VLOOKUP(AA394,'04_Status_Pipeline'!$B$3:$E$20,4,FALSE)),""))</t>
        </is>
      </c>
      <c r="AE394" s="32" t="inlineStr">
        <is>
          <t>IF(E394="","",IF(OR(Y394="Cancelled",AA394="Cancelled"),"Cancelled",IF(OR(AA394="Completed / Handover",W394&lt;&gt;"",X394&gt;=100),"Completed — on track",IF(L394="Remaining",IF(S394="",IF(V394="","No planned date",IF(TODAY()&gt;V394,"Behind — past planned date",IF(V394-TODAY()&lt;=30,"At risk — close to off track","On track"))),IF(TODAY()&gt;S394,"Behind — award date passed",IF(S394-TODAY()&lt;=30,"At risk — close to off track","On track"))),IF(V394="","No planned date",IF(AND(TODAY()&gt;V394,OR(X394="",X394&lt;100)),"Behind — past end date",IF(AND(R394&lt;&gt;"",V394&lt;&gt;"",X394&lt;&gt;"",(X394&lt;100),((TODAY()-R394)/MAX(V394-R394,1)*100)-X394&gt;15),"Behind — progress lag",IF(AND(V394-TODAY()&lt;=30,V394-TODAY()&gt;=0,OR(X394="",X394&lt;90)),"At risk — close to off track","On track"))))))))</t>
        </is>
      </c>
      <c r="AF394" s="38" t="inlineStr">
        <is>
          <t>IF(OR(E394="",AA394="Completed / Handover",AA394="Cancelled"),"",IF(L394="Remaining",IF(S394&lt;&gt;"",S394-TODAY(),IF(V394="","",V394-TODAY())),IF(V394="","",V394-TODAY())))</t>
        </is>
      </c>
      <c r="AG394" s="36" t="n"/>
      <c r="AH394" s="36" t="n"/>
      <c r="AI394" s="36" t="n"/>
      <c r="AJ394" s="36" t="n"/>
      <c r="AK394" s="36" t="n"/>
      <c r="AL394" s="36" t="n"/>
      <c r="AM394" s="36" t="n"/>
      <c r="AN394" s="36" t="n"/>
      <c r="AO394" s="36" t="n"/>
      <c r="AP394" s="36" t="n"/>
      <c r="AQ394" s="36" t="n"/>
      <c r="AR394" s="40" t="n"/>
      <c r="AS394" s="40" t="n"/>
      <c r="AT394" s="40" t="n"/>
      <c r="AU394" s="38" t="inlineStr">
        <is>
          <t>IF(OR(E394="",AH394=""),"",IF(COUNT(AG394:AG394)=0,"",AH394-LOOKUP(2,1/(AG394:AG394&lt;&gt;""),AG394:AG394)))</t>
        </is>
      </c>
      <c r="AV394" s="38" t="inlineStr">
        <is>
          <t>IF(OR(E394="",AI394=""),"",IF(COUNT(AG394:AH394)=0,"",AI394-LOOKUP(2,1/(AG394:AH394&lt;&gt;""),AG394:AH394)))</t>
        </is>
      </c>
      <c r="AW394" s="38" t="inlineStr">
        <is>
          <t>IF(OR(E394="",AJ394=""),"",IF(COUNT(AG394:AI394)=0,"",AJ394-LOOKUP(2,1/(AG394:AI394&lt;&gt;""),AG394:AI394)))</t>
        </is>
      </c>
      <c r="AX394" s="38" t="inlineStr">
        <is>
          <t>IF(OR(E394="",AK394=""),"",IF(COUNT(AG394:AJ394)=0,"",AK394-LOOKUP(2,1/(AG394:AJ394&lt;&gt;""),AG394:AJ394)))</t>
        </is>
      </c>
      <c r="AY394" s="38" t="inlineStr">
        <is>
          <t>IF(OR(E394="",AL394=""),"",IF(COUNT(AG394:AK394)=0,"",AL394-LOOKUP(2,1/(AG394:AK394&lt;&gt;""),AG394:AK394)))</t>
        </is>
      </c>
      <c r="AZ394" s="38" t="inlineStr">
        <is>
          <t>IF(OR(E394="",AM394=""),"",IF(COUNT(AG394:AL394)=0,"",AM394-LOOKUP(2,1/(AG394:AL394&lt;&gt;""),AG394:AL394)))</t>
        </is>
      </c>
      <c r="BA394" s="38" t="inlineStr">
        <is>
          <t>IF(OR(E394="",AN394=""),"",IF(COUNT(AG394:AM394)=0,"",AN394-LOOKUP(2,1/(AG394:AM394&lt;&gt;""),AG394:AM394)))</t>
        </is>
      </c>
      <c r="BB394" s="38" t="inlineStr">
        <is>
          <t>IF(OR(E394="",AO394=""),"",IF(COUNT(AG394:AN394)=0,"",AO394-LOOKUP(2,1/(AG394:AN394&lt;&gt;""),AG394:AN394)))</t>
        </is>
      </c>
      <c r="BC394" s="38" t="inlineStr">
        <is>
          <t>IF(OR(E394="",AP394=""),"",IF(COUNT(AG394:AO394)=0,"",AP394-LOOKUP(2,1/(AG394:AO394&lt;&gt;""),AG394:AO394)))</t>
        </is>
      </c>
      <c r="BD394" s="38" t="inlineStr">
        <is>
          <t>IF(OR(E394="",AQ394=""),"",IF(COUNT(AG394:AP394)=0,"",AQ394-LOOKUP(2,1/(AG394:AP394&lt;&gt;""),AG394:AP394)))</t>
        </is>
      </c>
      <c r="BE394" s="38" t="inlineStr">
        <is>
          <t>IF(OR(E394="",AR394=""),"",IF(COUNT(AG394:AQ394)=0,"",AR394-LOOKUP(2,1/(AG394:AQ394&lt;&gt;""),AG394:AQ394)))</t>
        </is>
      </c>
      <c r="BF394" s="38" t="inlineStr">
        <is>
          <t>IF(OR(E394="",AS394=""),"",IF(COUNT(AG394:AR394)=0,"",AS394-LOOKUP(2,1/(AG394:AR394&lt;&gt;""),AG394:AR394)))</t>
        </is>
      </c>
      <c r="BG394" s="38" t="inlineStr">
        <is>
          <t>IF(OR(E394="",AT394=""),"",IF(COUNT(AG394:AS394)=0,"",AT394-LOOKUP(2,1/(AG394:AS394&lt;&gt;""),AG394:AS394)))</t>
        </is>
      </c>
      <c r="BH394" s="41" t="inlineStr">
        <is>
          <t>IF(G394="","All_Provinces",IFERROR(VLOOKUP(G394,'07_Lookups'!$A$4:$B$20,2,FALSE),"All_Provinces"))</t>
        </is>
      </c>
      <c r="BI394" s="41" t="inlineStr">
        <is>
          <t>IF(H394="","All_Districts",IFERROR(VLOOKUP(H394,'07_Lookups'!$E$4:$F$42,2,FALSE),"All_Districts"))</t>
        </is>
      </c>
    </row>
    <row r="395" ht="18" customHeight="1">
      <c r="A395" s="32" t="inlineStr">
        <is>
          <t>IF(E395="","",ROW()-3)</t>
        </is>
      </c>
      <c r="B395" s="42" t="n"/>
      <c r="C395" s="42" t="n"/>
      <c r="D395" s="42" t="n"/>
      <c r="E395" s="42" t="n"/>
      <c r="F395" s="42" t="n"/>
      <c r="G395" s="42" t="n"/>
      <c r="H395" s="42" t="n"/>
      <c r="I395" s="42" t="n"/>
      <c r="J395" s="42" t="n"/>
      <c r="K395" s="42" t="n"/>
      <c r="L395" s="42" t="n"/>
      <c r="M395" s="42" t="n"/>
      <c r="N395" s="42" t="n"/>
      <c r="O395" s="42" t="n"/>
      <c r="P395" s="42" t="n"/>
      <c r="Q395" s="43" t="n"/>
      <c r="R395" s="35" t="inlineStr">
        <is>
          <t>IF(AO395="","",AO395)</t>
        </is>
      </c>
      <c r="S395" s="44" t="n"/>
      <c r="T395" s="45" t="n"/>
      <c r="U395" s="44" t="n"/>
      <c r="V395" s="35" t="inlineStr">
        <is>
          <t>IF(U395&lt;&gt;"",U395,IF(OR(R395="",T395=""),"",EDATE(R395,T395)))</t>
        </is>
      </c>
      <c r="W395" s="44" t="n"/>
      <c r="X395" s="45" t="n"/>
      <c r="Y395" s="42" t="n"/>
      <c r="Z395" s="42" t="n"/>
      <c r="AA395" s="32" t="inlineStr">
        <is>
          <t>IF(E395="","",IF(COUNT(AG395:AT395)=0,IF(Y395="","Not started",Y395),SUBSTITUTE(LOOKUP(2,1/(AG395:AT395&lt;&gt;""),$AG$3:$AT$3),"Date: ","")))</t>
        </is>
      </c>
      <c r="AB395" s="38" t="inlineStr">
        <is>
          <t>IF(OR(E395="",COUNT(AG395:AT395)=0),"",TODAY()-LOOKUP(2,1/(AG395:AT395&lt;&gt;""),AG395:AT395))</t>
        </is>
      </c>
      <c r="AC395" s="38" t="inlineStr">
        <is>
          <t>IF(OR(E395="",COUNT(AG395:AT395)&lt;2),"",LOOKUP(2,1/(AG395:AT395&lt;&gt;""),AG395:AT395)-MIN(AG395:AT395))</t>
        </is>
      </c>
      <c r="AD395" s="38" t="inlineStr">
        <is>
          <t>IF(OR(AB395="",AA395="Not started",AA395=""),"",IFERROR(AB395-IF(VLOOKUP(AA395,'04_Status_Pipeline'!$B$3:$E$20,4,FALSE)="",0,VLOOKUP(AA395,'04_Status_Pipeline'!$B$3:$E$20,4,FALSE)),""))</t>
        </is>
      </c>
      <c r="AE395" s="32" t="inlineStr">
        <is>
          <t>IF(E395="","",IF(OR(Y395="Cancelled",AA395="Cancelled"),"Cancelled",IF(OR(AA395="Completed / Handover",W395&lt;&gt;"",X395&gt;=100),"Completed — on track",IF(L395="Remaining",IF(S395="",IF(V395="","No planned date",IF(TODAY()&gt;V395,"Behind — past planned date",IF(V395-TODAY()&lt;=30,"At risk — close to off track","On track"))),IF(TODAY()&gt;S395,"Behind — award date passed",IF(S395-TODAY()&lt;=30,"At risk — close to off track","On track"))),IF(V395="","No planned date",IF(AND(TODAY()&gt;V395,OR(X395="",X395&lt;100)),"Behind — past end date",IF(AND(R395&lt;&gt;"",V395&lt;&gt;"",X395&lt;&gt;"",(X395&lt;100),((TODAY()-R395)/MAX(V395-R395,1)*100)-X395&gt;15),"Behind — progress lag",IF(AND(V395-TODAY()&lt;=30,V395-TODAY()&gt;=0,OR(X395="",X395&lt;90)),"At risk — close to off track","On track"))))))))</t>
        </is>
      </c>
      <c r="AF395" s="38" t="inlineStr">
        <is>
          <t>IF(OR(E395="",AA395="Completed / Handover",AA395="Cancelled"),"",IF(L395="Remaining",IF(S395&lt;&gt;"",S395-TODAY(),IF(V395="","",V395-TODAY())),IF(V395="","",V395-TODAY())))</t>
        </is>
      </c>
      <c r="AG395" s="44" t="n"/>
      <c r="AH395" s="44" t="n"/>
      <c r="AI395" s="44" t="n"/>
      <c r="AJ395" s="44" t="n"/>
      <c r="AK395" s="44" t="n"/>
      <c r="AL395" s="44" t="n"/>
      <c r="AM395" s="44" t="n"/>
      <c r="AN395" s="44" t="n"/>
      <c r="AO395" s="44" t="n"/>
      <c r="AP395" s="44" t="n"/>
      <c r="AQ395" s="44" t="n"/>
      <c r="AR395" s="40" t="n"/>
      <c r="AS395" s="40" t="n"/>
      <c r="AT395" s="40" t="n"/>
      <c r="AU395" s="38" t="inlineStr">
        <is>
          <t>IF(OR(E395="",AH395=""),"",IF(COUNT(AG395:AG395)=0,"",AH395-LOOKUP(2,1/(AG395:AG395&lt;&gt;""),AG395:AG395)))</t>
        </is>
      </c>
      <c r="AV395" s="38" t="inlineStr">
        <is>
          <t>IF(OR(E395="",AI395=""),"",IF(COUNT(AG395:AH395)=0,"",AI395-LOOKUP(2,1/(AG395:AH395&lt;&gt;""),AG395:AH395)))</t>
        </is>
      </c>
      <c r="AW395" s="38" t="inlineStr">
        <is>
          <t>IF(OR(E395="",AJ395=""),"",IF(COUNT(AG395:AI395)=0,"",AJ395-LOOKUP(2,1/(AG395:AI395&lt;&gt;""),AG395:AI395)))</t>
        </is>
      </c>
      <c r="AX395" s="38" t="inlineStr">
        <is>
          <t>IF(OR(E395="",AK395=""),"",IF(COUNT(AG395:AJ395)=0,"",AK395-LOOKUP(2,1/(AG395:AJ395&lt;&gt;""),AG395:AJ395)))</t>
        </is>
      </c>
      <c r="AY395" s="38" t="inlineStr">
        <is>
          <t>IF(OR(E395="",AL395=""),"",IF(COUNT(AG395:AK395)=0,"",AL395-LOOKUP(2,1/(AG395:AK395&lt;&gt;""),AG395:AK395)))</t>
        </is>
      </c>
      <c r="AZ395" s="38" t="inlineStr">
        <is>
          <t>IF(OR(E395="",AM395=""),"",IF(COUNT(AG395:AL395)=0,"",AM395-LOOKUP(2,1/(AG395:AL395&lt;&gt;""),AG395:AL395)))</t>
        </is>
      </c>
      <c r="BA395" s="38" t="inlineStr">
        <is>
          <t>IF(OR(E395="",AN395=""),"",IF(COUNT(AG395:AM395)=0,"",AN395-LOOKUP(2,1/(AG395:AM395&lt;&gt;""),AG395:AM395)))</t>
        </is>
      </c>
      <c r="BB395" s="38" t="inlineStr">
        <is>
          <t>IF(OR(E395="",AO395=""),"",IF(COUNT(AG395:AN395)=0,"",AO395-LOOKUP(2,1/(AG395:AN395&lt;&gt;""),AG395:AN395)))</t>
        </is>
      </c>
      <c r="BC395" s="38" t="inlineStr">
        <is>
          <t>IF(OR(E395="",AP395=""),"",IF(COUNT(AG395:AO395)=0,"",AP395-LOOKUP(2,1/(AG395:AO395&lt;&gt;""),AG395:AO395)))</t>
        </is>
      </c>
      <c r="BD395" s="38" t="inlineStr">
        <is>
          <t>IF(OR(E395="",AQ395=""),"",IF(COUNT(AG395:AP395)=0,"",AQ395-LOOKUP(2,1/(AG395:AP395&lt;&gt;""),AG395:AP395)))</t>
        </is>
      </c>
      <c r="BE395" s="38" t="inlineStr">
        <is>
          <t>IF(OR(E395="",AR395=""),"",IF(COUNT(AG395:AQ395)=0,"",AR395-LOOKUP(2,1/(AG395:AQ395&lt;&gt;""),AG395:AQ395)))</t>
        </is>
      </c>
      <c r="BF395" s="38" t="inlineStr">
        <is>
          <t>IF(OR(E395="",AS395=""),"",IF(COUNT(AG395:AR395)=0,"",AS395-LOOKUP(2,1/(AG395:AR395&lt;&gt;""),AG395:AR395)))</t>
        </is>
      </c>
      <c r="BG395" s="38" t="inlineStr">
        <is>
          <t>IF(OR(E395="",AT395=""),"",IF(COUNT(AG395:AS395)=0,"",AT395-LOOKUP(2,1/(AG395:AS395&lt;&gt;""),AG395:AS395)))</t>
        </is>
      </c>
      <c r="BH395" s="41" t="inlineStr">
        <is>
          <t>IF(G395="","All_Provinces",IFERROR(VLOOKUP(G395,'07_Lookups'!$A$4:$B$20,2,FALSE),"All_Provinces"))</t>
        </is>
      </c>
      <c r="BI395" s="41" t="inlineStr">
        <is>
          <t>IF(H395="","All_Districts",IFERROR(VLOOKUP(H395,'07_Lookups'!$E$4:$F$42,2,FALSE),"All_Districts"))</t>
        </is>
      </c>
    </row>
    <row r="396" ht="18" customHeight="1">
      <c r="A396" s="32" t="inlineStr">
        <is>
          <t>IF(E396="","",ROW()-3)</t>
        </is>
      </c>
      <c r="B396" s="33" t="n"/>
      <c r="C396" s="33" t="n"/>
      <c r="D396" s="33" t="n"/>
      <c r="E396" s="33" t="n"/>
      <c r="F396" s="33" t="n"/>
      <c r="G396" s="33" t="n"/>
      <c r="H396" s="33" t="n"/>
      <c r="I396" s="33" t="n"/>
      <c r="J396" s="33" t="n"/>
      <c r="K396" s="33" t="n"/>
      <c r="L396" s="33" t="n"/>
      <c r="M396" s="33" t="n"/>
      <c r="N396" s="33" t="n"/>
      <c r="O396" s="33" t="n"/>
      <c r="P396" s="33" t="n"/>
      <c r="Q396" s="34" t="n"/>
      <c r="R396" s="35" t="inlineStr">
        <is>
          <t>IF(AO396="","",AO396)</t>
        </is>
      </c>
      <c r="S396" s="36" t="n"/>
      <c r="T396" s="37" t="n"/>
      <c r="U396" s="36" t="n"/>
      <c r="V396" s="35" t="inlineStr">
        <is>
          <t>IF(U396&lt;&gt;"",U396,IF(OR(R396="",T396=""),"",EDATE(R396,T396)))</t>
        </is>
      </c>
      <c r="W396" s="36" t="n"/>
      <c r="X396" s="37" t="n"/>
      <c r="Y396" s="33" t="n"/>
      <c r="Z396" s="33" t="n"/>
      <c r="AA396" s="32" t="inlineStr">
        <is>
          <t>IF(E396="","",IF(COUNT(AG396:AT396)=0,IF(Y396="","Not started",Y396),SUBSTITUTE(LOOKUP(2,1/(AG396:AT396&lt;&gt;""),$AG$3:$AT$3),"Date: ","")))</t>
        </is>
      </c>
      <c r="AB396" s="38" t="inlineStr">
        <is>
          <t>IF(OR(E396="",COUNT(AG396:AT396)=0),"",TODAY()-LOOKUP(2,1/(AG396:AT396&lt;&gt;""),AG396:AT396))</t>
        </is>
      </c>
      <c r="AC396" s="38" t="inlineStr">
        <is>
          <t>IF(OR(E396="",COUNT(AG396:AT396)&lt;2),"",LOOKUP(2,1/(AG396:AT396&lt;&gt;""),AG396:AT396)-MIN(AG396:AT396))</t>
        </is>
      </c>
      <c r="AD396" s="38" t="inlineStr">
        <is>
          <t>IF(OR(AB396="",AA396="Not started",AA396=""),"",IFERROR(AB396-IF(VLOOKUP(AA396,'04_Status_Pipeline'!$B$3:$E$20,4,FALSE)="",0,VLOOKUP(AA396,'04_Status_Pipeline'!$B$3:$E$20,4,FALSE)),""))</t>
        </is>
      </c>
      <c r="AE396" s="32" t="inlineStr">
        <is>
          <t>IF(E396="","",IF(OR(Y396="Cancelled",AA396="Cancelled"),"Cancelled",IF(OR(AA396="Completed / Handover",W396&lt;&gt;"",X396&gt;=100),"Completed — on track",IF(L396="Remaining",IF(S396="",IF(V396="","No planned date",IF(TODAY()&gt;V396,"Behind — past planned date",IF(V396-TODAY()&lt;=30,"At risk — close to off track","On track"))),IF(TODAY()&gt;S396,"Behind — award date passed",IF(S396-TODAY()&lt;=30,"At risk — close to off track","On track"))),IF(V396="","No planned date",IF(AND(TODAY()&gt;V396,OR(X396="",X396&lt;100)),"Behind — past end date",IF(AND(R396&lt;&gt;"",V396&lt;&gt;"",X396&lt;&gt;"",(X396&lt;100),((TODAY()-R396)/MAX(V396-R396,1)*100)-X396&gt;15),"Behind — progress lag",IF(AND(V396-TODAY()&lt;=30,V396-TODAY()&gt;=0,OR(X396="",X396&lt;90)),"At risk — close to off track","On track"))))))))</t>
        </is>
      </c>
      <c r="AF396" s="38" t="inlineStr">
        <is>
          <t>IF(OR(E396="",AA396="Completed / Handover",AA396="Cancelled"),"",IF(L396="Remaining",IF(S396&lt;&gt;"",S396-TODAY(),IF(V396="","",V396-TODAY())),IF(V396="","",V396-TODAY())))</t>
        </is>
      </c>
      <c r="AG396" s="36" t="n"/>
      <c r="AH396" s="36" t="n"/>
      <c r="AI396" s="36" t="n"/>
      <c r="AJ396" s="36" t="n"/>
      <c r="AK396" s="36" t="n"/>
      <c r="AL396" s="36" t="n"/>
      <c r="AM396" s="36" t="n"/>
      <c r="AN396" s="36" t="n"/>
      <c r="AO396" s="36" t="n"/>
      <c r="AP396" s="36" t="n"/>
      <c r="AQ396" s="36" t="n"/>
      <c r="AR396" s="40" t="n"/>
      <c r="AS396" s="40" t="n"/>
      <c r="AT396" s="40" t="n"/>
      <c r="AU396" s="38" t="inlineStr">
        <is>
          <t>IF(OR(E396="",AH396=""),"",IF(COUNT(AG396:AG396)=0,"",AH396-LOOKUP(2,1/(AG396:AG396&lt;&gt;""),AG396:AG396)))</t>
        </is>
      </c>
      <c r="AV396" s="38" t="inlineStr">
        <is>
          <t>IF(OR(E396="",AI396=""),"",IF(COUNT(AG396:AH396)=0,"",AI396-LOOKUP(2,1/(AG396:AH396&lt;&gt;""),AG396:AH396)))</t>
        </is>
      </c>
      <c r="AW396" s="38" t="inlineStr">
        <is>
          <t>IF(OR(E396="",AJ396=""),"",IF(COUNT(AG396:AI396)=0,"",AJ396-LOOKUP(2,1/(AG396:AI396&lt;&gt;""),AG396:AI396)))</t>
        </is>
      </c>
      <c r="AX396" s="38" t="inlineStr">
        <is>
          <t>IF(OR(E396="",AK396=""),"",IF(COUNT(AG396:AJ396)=0,"",AK396-LOOKUP(2,1/(AG396:AJ396&lt;&gt;""),AG396:AJ396)))</t>
        </is>
      </c>
      <c r="AY396" s="38" t="inlineStr">
        <is>
          <t>IF(OR(E396="",AL396=""),"",IF(COUNT(AG396:AK396)=0,"",AL396-LOOKUP(2,1/(AG396:AK396&lt;&gt;""),AG396:AK396)))</t>
        </is>
      </c>
      <c r="AZ396" s="38" t="inlineStr">
        <is>
          <t>IF(OR(E396="",AM396=""),"",IF(COUNT(AG396:AL396)=0,"",AM396-LOOKUP(2,1/(AG396:AL396&lt;&gt;""),AG396:AL396)))</t>
        </is>
      </c>
      <c r="BA396" s="38" t="inlineStr">
        <is>
          <t>IF(OR(E396="",AN396=""),"",IF(COUNT(AG396:AM396)=0,"",AN396-LOOKUP(2,1/(AG396:AM396&lt;&gt;""),AG396:AM396)))</t>
        </is>
      </c>
      <c r="BB396" s="38" t="inlineStr">
        <is>
          <t>IF(OR(E396="",AO396=""),"",IF(COUNT(AG396:AN396)=0,"",AO396-LOOKUP(2,1/(AG396:AN396&lt;&gt;""),AG396:AN396)))</t>
        </is>
      </c>
      <c r="BC396" s="38" t="inlineStr">
        <is>
          <t>IF(OR(E396="",AP396=""),"",IF(COUNT(AG396:AO396)=0,"",AP396-LOOKUP(2,1/(AG396:AO396&lt;&gt;""),AG396:AO396)))</t>
        </is>
      </c>
      <c r="BD396" s="38" t="inlineStr">
        <is>
          <t>IF(OR(E396="",AQ396=""),"",IF(COUNT(AG396:AP396)=0,"",AQ396-LOOKUP(2,1/(AG396:AP396&lt;&gt;""),AG396:AP396)))</t>
        </is>
      </c>
      <c r="BE396" s="38" t="inlineStr">
        <is>
          <t>IF(OR(E396="",AR396=""),"",IF(COUNT(AG396:AQ396)=0,"",AR396-LOOKUP(2,1/(AG396:AQ396&lt;&gt;""),AG396:AQ396)))</t>
        </is>
      </c>
      <c r="BF396" s="38" t="inlineStr">
        <is>
          <t>IF(OR(E396="",AS396=""),"",IF(COUNT(AG396:AR396)=0,"",AS396-LOOKUP(2,1/(AG396:AR396&lt;&gt;""),AG396:AR396)))</t>
        </is>
      </c>
      <c r="BG396" s="38" t="inlineStr">
        <is>
          <t>IF(OR(E396="",AT396=""),"",IF(COUNT(AG396:AS396)=0,"",AT396-LOOKUP(2,1/(AG396:AS396&lt;&gt;""),AG396:AS396)))</t>
        </is>
      </c>
      <c r="BH396" s="41" t="inlineStr">
        <is>
          <t>IF(G396="","All_Provinces",IFERROR(VLOOKUP(G396,'07_Lookups'!$A$4:$B$20,2,FALSE),"All_Provinces"))</t>
        </is>
      </c>
      <c r="BI396" s="41" t="inlineStr">
        <is>
          <t>IF(H396="","All_Districts",IFERROR(VLOOKUP(H396,'07_Lookups'!$E$4:$F$42,2,FALSE),"All_Districts"))</t>
        </is>
      </c>
    </row>
    <row r="397" ht="18" customHeight="1">
      <c r="A397" s="32" t="inlineStr">
        <is>
          <t>IF(E397="","",ROW()-3)</t>
        </is>
      </c>
      <c r="B397" s="42" t="n"/>
      <c r="C397" s="42" t="n"/>
      <c r="D397" s="42" t="n"/>
      <c r="E397" s="42" t="n"/>
      <c r="F397" s="42" t="n"/>
      <c r="G397" s="42" t="n"/>
      <c r="H397" s="42" t="n"/>
      <c r="I397" s="42" t="n"/>
      <c r="J397" s="42" t="n"/>
      <c r="K397" s="42" t="n"/>
      <c r="L397" s="42" t="n"/>
      <c r="M397" s="42" t="n"/>
      <c r="N397" s="42" t="n"/>
      <c r="O397" s="42" t="n"/>
      <c r="P397" s="42" t="n"/>
      <c r="Q397" s="43" t="n"/>
      <c r="R397" s="35" t="inlineStr">
        <is>
          <t>IF(AO397="","",AO397)</t>
        </is>
      </c>
      <c r="S397" s="44" t="n"/>
      <c r="T397" s="45" t="n"/>
      <c r="U397" s="44" t="n"/>
      <c r="V397" s="35" t="inlineStr">
        <is>
          <t>IF(U397&lt;&gt;"",U397,IF(OR(R397="",T397=""),"",EDATE(R397,T397)))</t>
        </is>
      </c>
      <c r="W397" s="44" t="n"/>
      <c r="X397" s="45" t="n"/>
      <c r="Y397" s="42" t="n"/>
      <c r="Z397" s="42" t="n"/>
      <c r="AA397" s="32" t="inlineStr">
        <is>
          <t>IF(E397="","",IF(COUNT(AG397:AT397)=0,IF(Y397="","Not started",Y397),SUBSTITUTE(LOOKUP(2,1/(AG397:AT397&lt;&gt;""),$AG$3:$AT$3),"Date: ","")))</t>
        </is>
      </c>
      <c r="AB397" s="38" t="inlineStr">
        <is>
          <t>IF(OR(E397="",COUNT(AG397:AT397)=0),"",TODAY()-LOOKUP(2,1/(AG397:AT397&lt;&gt;""),AG397:AT397))</t>
        </is>
      </c>
      <c r="AC397" s="38" t="inlineStr">
        <is>
          <t>IF(OR(E397="",COUNT(AG397:AT397)&lt;2),"",LOOKUP(2,1/(AG397:AT397&lt;&gt;""),AG397:AT397)-MIN(AG397:AT397))</t>
        </is>
      </c>
      <c r="AD397" s="38" t="inlineStr">
        <is>
          <t>IF(OR(AB397="",AA397="Not started",AA397=""),"",IFERROR(AB397-IF(VLOOKUP(AA397,'04_Status_Pipeline'!$B$3:$E$20,4,FALSE)="",0,VLOOKUP(AA397,'04_Status_Pipeline'!$B$3:$E$20,4,FALSE)),""))</t>
        </is>
      </c>
      <c r="AE397" s="32" t="inlineStr">
        <is>
          <t>IF(E397="","",IF(OR(Y397="Cancelled",AA397="Cancelled"),"Cancelled",IF(OR(AA397="Completed / Handover",W397&lt;&gt;"",X397&gt;=100),"Completed — on track",IF(L397="Remaining",IF(S397="",IF(V397="","No planned date",IF(TODAY()&gt;V397,"Behind — past planned date",IF(V397-TODAY()&lt;=30,"At risk — close to off track","On track"))),IF(TODAY()&gt;S397,"Behind — award date passed",IF(S397-TODAY()&lt;=30,"At risk — close to off track","On track"))),IF(V397="","No planned date",IF(AND(TODAY()&gt;V397,OR(X397="",X397&lt;100)),"Behind — past end date",IF(AND(R397&lt;&gt;"",V397&lt;&gt;"",X397&lt;&gt;"",(X397&lt;100),((TODAY()-R397)/MAX(V397-R397,1)*100)-X397&gt;15),"Behind — progress lag",IF(AND(V397-TODAY()&lt;=30,V397-TODAY()&gt;=0,OR(X397="",X397&lt;90)),"At risk — close to off track","On track"))))))))</t>
        </is>
      </c>
      <c r="AF397" s="38" t="inlineStr">
        <is>
          <t>IF(OR(E397="",AA397="Completed / Handover",AA397="Cancelled"),"",IF(L397="Remaining",IF(S397&lt;&gt;"",S397-TODAY(),IF(V397="","",V397-TODAY())),IF(V397="","",V397-TODAY())))</t>
        </is>
      </c>
      <c r="AG397" s="44" t="n"/>
      <c r="AH397" s="44" t="n"/>
      <c r="AI397" s="44" t="n"/>
      <c r="AJ397" s="44" t="n"/>
      <c r="AK397" s="44" t="n"/>
      <c r="AL397" s="44" t="n"/>
      <c r="AM397" s="44" t="n"/>
      <c r="AN397" s="44" t="n"/>
      <c r="AO397" s="44" t="n"/>
      <c r="AP397" s="44" t="n"/>
      <c r="AQ397" s="44" t="n"/>
      <c r="AR397" s="40" t="n"/>
      <c r="AS397" s="40" t="n"/>
      <c r="AT397" s="40" t="n"/>
      <c r="AU397" s="38" t="inlineStr">
        <is>
          <t>IF(OR(E397="",AH397=""),"",IF(COUNT(AG397:AG397)=0,"",AH397-LOOKUP(2,1/(AG397:AG397&lt;&gt;""),AG397:AG397)))</t>
        </is>
      </c>
      <c r="AV397" s="38" t="inlineStr">
        <is>
          <t>IF(OR(E397="",AI397=""),"",IF(COUNT(AG397:AH397)=0,"",AI397-LOOKUP(2,1/(AG397:AH397&lt;&gt;""),AG397:AH397)))</t>
        </is>
      </c>
      <c r="AW397" s="38" t="inlineStr">
        <is>
          <t>IF(OR(E397="",AJ397=""),"",IF(COUNT(AG397:AI397)=0,"",AJ397-LOOKUP(2,1/(AG397:AI397&lt;&gt;""),AG397:AI397)))</t>
        </is>
      </c>
      <c r="AX397" s="38" t="inlineStr">
        <is>
          <t>IF(OR(E397="",AK397=""),"",IF(COUNT(AG397:AJ397)=0,"",AK397-LOOKUP(2,1/(AG397:AJ397&lt;&gt;""),AG397:AJ397)))</t>
        </is>
      </c>
      <c r="AY397" s="38" t="inlineStr">
        <is>
          <t>IF(OR(E397="",AL397=""),"",IF(COUNT(AG397:AK397)=0,"",AL397-LOOKUP(2,1/(AG397:AK397&lt;&gt;""),AG397:AK397)))</t>
        </is>
      </c>
      <c r="AZ397" s="38" t="inlineStr">
        <is>
          <t>IF(OR(E397="",AM397=""),"",IF(COUNT(AG397:AL397)=0,"",AM397-LOOKUP(2,1/(AG397:AL397&lt;&gt;""),AG397:AL397)))</t>
        </is>
      </c>
      <c r="BA397" s="38" t="inlineStr">
        <is>
          <t>IF(OR(E397="",AN397=""),"",IF(COUNT(AG397:AM397)=0,"",AN397-LOOKUP(2,1/(AG397:AM397&lt;&gt;""),AG397:AM397)))</t>
        </is>
      </c>
      <c r="BB397" s="38" t="inlineStr">
        <is>
          <t>IF(OR(E397="",AO397=""),"",IF(COUNT(AG397:AN397)=0,"",AO397-LOOKUP(2,1/(AG397:AN397&lt;&gt;""),AG397:AN397)))</t>
        </is>
      </c>
      <c r="BC397" s="38" t="inlineStr">
        <is>
          <t>IF(OR(E397="",AP397=""),"",IF(COUNT(AG397:AO397)=0,"",AP397-LOOKUP(2,1/(AG397:AO397&lt;&gt;""),AG397:AO397)))</t>
        </is>
      </c>
      <c r="BD397" s="38" t="inlineStr">
        <is>
          <t>IF(OR(E397="",AQ397=""),"",IF(COUNT(AG397:AP397)=0,"",AQ397-LOOKUP(2,1/(AG397:AP397&lt;&gt;""),AG397:AP397)))</t>
        </is>
      </c>
      <c r="BE397" s="38" t="inlineStr">
        <is>
          <t>IF(OR(E397="",AR397=""),"",IF(COUNT(AG397:AQ397)=0,"",AR397-LOOKUP(2,1/(AG397:AQ397&lt;&gt;""),AG397:AQ397)))</t>
        </is>
      </c>
      <c r="BF397" s="38" t="inlineStr">
        <is>
          <t>IF(OR(E397="",AS397=""),"",IF(COUNT(AG397:AR397)=0,"",AS397-LOOKUP(2,1/(AG397:AR397&lt;&gt;""),AG397:AR397)))</t>
        </is>
      </c>
      <c r="BG397" s="38" t="inlineStr">
        <is>
          <t>IF(OR(E397="",AT397=""),"",IF(COUNT(AG397:AS397)=0,"",AT397-LOOKUP(2,1/(AG397:AS397&lt;&gt;""),AG397:AS397)))</t>
        </is>
      </c>
      <c r="BH397" s="41" t="inlineStr">
        <is>
          <t>IF(G397="","All_Provinces",IFERROR(VLOOKUP(G397,'07_Lookups'!$A$4:$B$20,2,FALSE),"All_Provinces"))</t>
        </is>
      </c>
      <c r="BI397" s="41" t="inlineStr">
        <is>
          <t>IF(H397="","All_Districts",IFERROR(VLOOKUP(H397,'07_Lookups'!$E$4:$F$42,2,FALSE),"All_Districts"))</t>
        </is>
      </c>
    </row>
    <row r="398" ht="18" customHeight="1">
      <c r="A398" s="32" t="inlineStr">
        <is>
          <t>IF(E398="","",ROW()-3)</t>
        </is>
      </c>
      <c r="B398" s="33" t="n"/>
      <c r="C398" s="33" t="n"/>
      <c r="D398" s="33" t="n"/>
      <c r="E398" s="33" t="n"/>
      <c r="F398" s="33" t="n"/>
      <c r="G398" s="33" t="n"/>
      <c r="H398" s="33" t="n"/>
      <c r="I398" s="33" t="n"/>
      <c r="J398" s="33" t="n"/>
      <c r="K398" s="33" t="n"/>
      <c r="L398" s="33" t="n"/>
      <c r="M398" s="33" t="n"/>
      <c r="N398" s="33" t="n"/>
      <c r="O398" s="33" t="n"/>
      <c r="P398" s="33" t="n"/>
      <c r="Q398" s="34" t="n"/>
      <c r="R398" s="35" t="inlineStr">
        <is>
          <t>IF(AO398="","",AO398)</t>
        </is>
      </c>
      <c r="S398" s="36" t="n"/>
      <c r="T398" s="37" t="n"/>
      <c r="U398" s="36" t="n"/>
      <c r="V398" s="35" t="inlineStr">
        <is>
          <t>IF(U398&lt;&gt;"",U398,IF(OR(R398="",T398=""),"",EDATE(R398,T398)))</t>
        </is>
      </c>
      <c r="W398" s="36" t="n"/>
      <c r="X398" s="37" t="n"/>
      <c r="Y398" s="33" t="n"/>
      <c r="Z398" s="33" t="n"/>
      <c r="AA398" s="32" t="inlineStr">
        <is>
          <t>IF(E398="","",IF(COUNT(AG398:AT398)=0,IF(Y398="","Not started",Y398),SUBSTITUTE(LOOKUP(2,1/(AG398:AT398&lt;&gt;""),$AG$3:$AT$3),"Date: ","")))</t>
        </is>
      </c>
      <c r="AB398" s="38" t="inlineStr">
        <is>
          <t>IF(OR(E398="",COUNT(AG398:AT398)=0),"",TODAY()-LOOKUP(2,1/(AG398:AT398&lt;&gt;""),AG398:AT398))</t>
        </is>
      </c>
      <c r="AC398" s="38" t="inlineStr">
        <is>
          <t>IF(OR(E398="",COUNT(AG398:AT398)&lt;2),"",LOOKUP(2,1/(AG398:AT398&lt;&gt;""),AG398:AT398)-MIN(AG398:AT398))</t>
        </is>
      </c>
      <c r="AD398" s="38" t="inlineStr">
        <is>
          <t>IF(OR(AB398="",AA398="Not started",AA398=""),"",IFERROR(AB398-IF(VLOOKUP(AA398,'04_Status_Pipeline'!$B$3:$E$20,4,FALSE)="",0,VLOOKUP(AA398,'04_Status_Pipeline'!$B$3:$E$20,4,FALSE)),""))</t>
        </is>
      </c>
      <c r="AE398" s="32" t="inlineStr">
        <is>
          <t>IF(E398="","",IF(OR(Y398="Cancelled",AA398="Cancelled"),"Cancelled",IF(OR(AA398="Completed / Handover",W398&lt;&gt;"",X398&gt;=100),"Completed — on track",IF(L398="Remaining",IF(S398="",IF(V398="","No planned date",IF(TODAY()&gt;V398,"Behind — past planned date",IF(V398-TODAY()&lt;=30,"At risk — close to off track","On track"))),IF(TODAY()&gt;S398,"Behind — award date passed",IF(S398-TODAY()&lt;=30,"At risk — close to off track","On track"))),IF(V398="","No planned date",IF(AND(TODAY()&gt;V398,OR(X398="",X398&lt;100)),"Behind — past end date",IF(AND(R398&lt;&gt;"",V398&lt;&gt;"",X398&lt;&gt;"",(X398&lt;100),((TODAY()-R398)/MAX(V398-R398,1)*100)-X398&gt;15),"Behind — progress lag",IF(AND(V398-TODAY()&lt;=30,V398-TODAY()&gt;=0,OR(X398="",X398&lt;90)),"At risk — close to off track","On track"))))))))</t>
        </is>
      </c>
      <c r="AF398" s="38" t="inlineStr">
        <is>
          <t>IF(OR(E398="",AA398="Completed / Handover",AA398="Cancelled"),"",IF(L398="Remaining",IF(S398&lt;&gt;"",S398-TODAY(),IF(V398="","",V398-TODAY())),IF(V398="","",V398-TODAY())))</t>
        </is>
      </c>
      <c r="AG398" s="36" t="n"/>
      <c r="AH398" s="36" t="n"/>
      <c r="AI398" s="36" t="n"/>
      <c r="AJ398" s="36" t="n"/>
      <c r="AK398" s="36" t="n"/>
      <c r="AL398" s="36" t="n"/>
      <c r="AM398" s="36" t="n"/>
      <c r="AN398" s="36" t="n"/>
      <c r="AO398" s="36" t="n"/>
      <c r="AP398" s="36" t="n"/>
      <c r="AQ398" s="36" t="n"/>
      <c r="AR398" s="40" t="n"/>
      <c r="AS398" s="40" t="n"/>
      <c r="AT398" s="40" t="n"/>
      <c r="AU398" s="38" t="inlineStr">
        <is>
          <t>IF(OR(E398="",AH398=""),"",IF(COUNT(AG398:AG398)=0,"",AH398-LOOKUP(2,1/(AG398:AG398&lt;&gt;""),AG398:AG398)))</t>
        </is>
      </c>
      <c r="AV398" s="38" t="inlineStr">
        <is>
          <t>IF(OR(E398="",AI398=""),"",IF(COUNT(AG398:AH398)=0,"",AI398-LOOKUP(2,1/(AG398:AH398&lt;&gt;""),AG398:AH398)))</t>
        </is>
      </c>
      <c r="AW398" s="38" t="inlineStr">
        <is>
          <t>IF(OR(E398="",AJ398=""),"",IF(COUNT(AG398:AI398)=0,"",AJ398-LOOKUP(2,1/(AG398:AI398&lt;&gt;""),AG398:AI398)))</t>
        </is>
      </c>
      <c r="AX398" s="38" t="inlineStr">
        <is>
          <t>IF(OR(E398="",AK398=""),"",IF(COUNT(AG398:AJ398)=0,"",AK398-LOOKUP(2,1/(AG398:AJ398&lt;&gt;""),AG398:AJ398)))</t>
        </is>
      </c>
      <c r="AY398" s="38" t="inlineStr">
        <is>
          <t>IF(OR(E398="",AL398=""),"",IF(COUNT(AG398:AK398)=0,"",AL398-LOOKUP(2,1/(AG398:AK398&lt;&gt;""),AG398:AK398)))</t>
        </is>
      </c>
      <c r="AZ398" s="38" t="inlineStr">
        <is>
          <t>IF(OR(E398="",AM398=""),"",IF(COUNT(AG398:AL398)=0,"",AM398-LOOKUP(2,1/(AG398:AL398&lt;&gt;""),AG398:AL398)))</t>
        </is>
      </c>
      <c r="BA398" s="38" t="inlineStr">
        <is>
          <t>IF(OR(E398="",AN398=""),"",IF(COUNT(AG398:AM398)=0,"",AN398-LOOKUP(2,1/(AG398:AM398&lt;&gt;""),AG398:AM398)))</t>
        </is>
      </c>
      <c r="BB398" s="38" t="inlineStr">
        <is>
          <t>IF(OR(E398="",AO398=""),"",IF(COUNT(AG398:AN398)=0,"",AO398-LOOKUP(2,1/(AG398:AN398&lt;&gt;""),AG398:AN398)))</t>
        </is>
      </c>
      <c r="BC398" s="38" t="inlineStr">
        <is>
          <t>IF(OR(E398="",AP398=""),"",IF(COUNT(AG398:AO398)=0,"",AP398-LOOKUP(2,1/(AG398:AO398&lt;&gt;""),AG398:AO398)))</t>
        </is>
      </c>
      <c r="BD398" s="38" t="inlineStr">
        <is>
          <t>IF(OR(E398="",AQ398=""),"",IF(COUNT(AG398:AP398)=0,"",AQ398-LOOKUP(2,1/(AG398:AP398&lt;&gt;""),AG398:AP398)))</t>
        </is>
      </c>
      <c r="BE398" s="38" t="inlineStr">
        <is>
          <t>IF(OR(E398="",AR398=""),"",IF(COUNT(AG398:AQ398)=0,"",AR398-LOOKUP(2,1/(AG398:AQ398&lt;&gt;""),AG398:AQ398)))</t>
        </is>
      </c>
      <c r="BF398" s="38" t="inlineStr">
        <is>
          <t>IF(OR(E398="",AS398=""),"",IF(COUNT(AG398:AR398)=0,"",AS398-LOOKUP(2,1/(AG398:AR398&lt;&gt;""),AG398:AR398)))</t>
        </is>
      </c>
      <c r="BG398" s="38" t="inlineStr">
        <is>
          <t>IF(OR(E398="",AT398=""),"",IF(COUNT(AG398:AS398)=0,"",AT398-LOOKUP(2,1/(AG398:AS398&lt;&gt;""),AG398:AS398)))</t>
        </is>
      </c>
      <c r="BH398" s="41" t="inlineStr">
        <is>
          <t>IF(G398="","All_Provinces",IFERROR(VLOOKUP(G398,'07_Lookups'!$A$4:$B$20,2,FALSE),"All_Provinces"))</t>
        </is>
      </c>
      <c r="BI398" s="41" t="inlineStr">
        <is>
          <t>IF(H398="","All_Districts",IFERROR(VLOOKUP(H398,'07_Lookups'!$E$4:$F$42,2,FALSE),"All_Districts"))</t>
        </is>
      </c>
    </row>
    <row r="399" ht="18" customHeight="1">
      <c r="A399" s="32" t="inlineStr">
        <is>
          <t>IF(E399="","",ROW()-3)</t>
        </is>
      </c>
      <c r="B399" s="42" t="n"/>
      <c r="C399" s="42" t="n"/>
      <c r="D399" s="42" t="n"/>
      <c r="E399" s="42" t="n"/>
      <c r="F399" s="42" t="n"/>
      <c r="G399" s="42" t="n"/>
      <c r="H399" s="42" t="n"/>
      <c r="I399" s="42" t="n"/>
      <c r="J399" s="42" t="n"/>
      <c r="K399" s="42" t="n"/>
      <c r="L399" s="42" t="n"/>
      <c r="M399" s="42" t="n"/>
      <c r="N399" s="42" t="n"/>
      <c r="O399" s="42" t="n"/>
      <c r="P399" s="42" t="n"/>
      <c r="Q399" s="43" t="n"/>
      <c r="R399" s="35" t="inlineStr">
        <is>
          <t>IF(AO399="","",AO399)</t>
        </is>
      </c>
      <c r="S399" s="44" t="n"/>
      <c r="T399" s="45" t="n"/>
      <c r="U399" s="44" t="n"/>
      <c r="V399" s="35" t="inlineStr">
        <is>
          <t>IF(U399&lt;&gt;"",U399,IF(OR(R399="",T399=""),"",EDATE(R399,T399)))</t>
        </is>
      </c>
      <c r="W399" s="44" t="n"/>
      <c r="X399" s="45" t="n"/>
      <c r="Y399" s="42" t="n"/>
      <c r="Z399" s="42" t="n"/>
      <c r="AA399" s="32" t="inlineStr">
        <is>
          <t>IF(E399="","",IF(COUNT(AG399:AT399)=0,IF(Y399="","Not started",Y399),SUBSTITUTE(LOOKUP(2,1/(AG399:AT399&lt;&gt;""),$AG$3:$AT$3),"Date: ","")))</t>
        </is>
      </c>
      <c r="AB399" s="38" t="inlineStr">
        <is>
          <t>IF(OR(E399="",COUNT(AG399:AT399)=0),"",TODAY()-LOOKUP(2,1/(AG399:AT399&lt;&gt;""),AG399:AT399))</t>
        </is>
      </c>
      <c r="AC399" s="38" t="inlineStr">
        <is>
          <t>IF(OR(E399="",COUNT(AG399:AT399)&lt;2),"",LOOKUP(2,1/(AG399:AT399&lt;&gt;""),AG399:AT399)-MIN(AG399:AT399))</t>
        </is>
      </c>
      <c r="AD399" s="38" t="inlineStr">
        <is>
          <t>IF(OR(AB399="",AA399="Not started",AA399=""),"",IFERROR(AB399-IF(VLOOKUP(AA399,'04_Status_Pipeline'!$B$3:$E$20,4,FALSE)="",0,VLOOKUP(AA399,'04_Status_Pipeline'!$B$3:$E$20,4,FALSE)),""))</t>
        </is>
      </c>
      <c r="AE399" s="32" t="inlineStr">
        <is>
          <t>IF(E399="","",IF(OR(Y399="Cancelled",AA399="Cancelled"),"Cancelled",IF(OR(AA399="Completed / Handover",W399&lt;&gt;"",X399&gt;=100),"Completed — on track",IF(L399="Remaining",IF(S399="",IF(V399="","No planned date",IF(TODAY()&gt;V399,"Behind — past planned date",IF(V399-TODAY()&lt;=30,"At risk — close to off track","On track"))),IF(TODAY()&gt;S399,"Behind — award date passed",IF(S399-TODAY()&lt;=30,"At risk — close to off track","On track"))),IF(V399="","No planned date",IF(AND(TODAY()&gt;V399,OR(X399="",X399&lt;100)),"Behind — past end date",IF(AND(R399&lt;&gt;"",V399&lt;&gt;"",X399&lt;&gt;"",(X399&lt;100),((TODAY()-R399)/MAX(V399-R399,1)*100)-X399&gt;15),"Behind — progress lag",IF(AND(V399-TODAY()&lt;=30,V399-TODAY()&gt;=0,OR(X399="",X399&lt;90)),"At risk — close to off track","On track"))))))))</t>
        </is>
      </c>
      <c r="AF399" s="38" t="inlineStr">
        <is>
          <t>IF(OR(E399="",AA399="Completed / Handover",AA399="Cancelled"),"",IF(L399="Remaining",IF(S399&lt;&gt;"",S399-TODAY(),IF(V399="","",V399-TODAY())),IF(V399="","",V399-TODAY())))</t>
        </is>
      </c>
      <c r="AG399" s="44" t="n"/>
      <c r="AH399" s="44" t="n"/>
      <c r="AI399" s="44" t="n"/>
      <c r="AJ399" s="44" t="n"/>
      <c r="AK399" s="44" t="n"/>
      <c r="AL399" s="44" t="n"/>
      <c r="AM399" s="44" t="n"/>
      <c r="AN399" s="44" t="n"/>
      <c r="AO399" s="44" t="n"/>
      <c r="AP399" s="44" t="n"/>
      <c r="AQ399" s="44" t="n"/>
      <c r="AR399" s="40" t="n"/>
      <c r="AS399" s="40" t="n"/>
      <c r="AT399" s="40" t="n"/>
      <c r="AU399" s="38" t="inlineStr">
        <is>
          <t>IF(OR(E399="",AH399=""),"",IF(COUNT(AG399:AG399)=0,"",AH399-LOOKUP(2,1/(AG399:AG399&lt;&gt;""),AG399:AG399)))</t>
        </is>
      </c>
      <c r="AV399" s="38" t="inlineStr">
        <is>
          <t>IF(OR(E399="",AI399=""),"",IF(COUNT(AG399:AH399)=0,"",AI399-LOOKUP(2,1/(AG399:AH399&lt;&gt;""),AG399:AH399)))</t>
        </is>
      </c>
      <c r="AW399" s="38" t="inlineStr">
        <is>
          <t>IF(OR(E399="",AJ399=""),"",IF(COUNT(AG399:AI399)=0,"",AJ399-LOOKUP(2,1/(AG399:AI399&lt;&gt;""),AG399:AI399)))</t>
        </is>
      </c>
      <c r="AX399" s="38" t="inlineStr">
        <is>
          <t>IF(OR(E399="",AK399=""),"",IF(COUNT(AG399:AJ399)=0,"",AK399-LOOKUP(2,1/(AG399:AJ399&lt;&gt;""),AG399:AJ399)))</t>
        </is>
      </c>
      <c r="AY399" s="38" t="inlineStr">
        <is>
          <t>IF(OR(E399="",AL399=""),"",IF(COUNT(AG399:AK399)=0,"",AL399-LOOKUP(2,1/(AG399:AK399&lt;&gt;""),AG399:AK399)))</t>
        </is>
      </c>
      <c r="AZ399" s="38" t="inlineStr">
        <is>
          <t>IF(OR(E399="",AM399=""),"",IF(COUNT(AG399:AL399)=0,"",AM399-LOOKUP(2,1/(AG399:AL399&lt;&gt;""),AG399:AL399)))</t>
        </is>
      </c>
      <c r="BA399" s="38" t="inlineStr">
        <is>
          <t>IF(OR(E399="",AN399=""),"",IF(COUNT(AG399:AM399)=0,"",AN399-LOOKUP(2,1/(AG399:AM399&lt;&gt;""),AG399:AM399)))</t>
        </is>
      </c>
      <c r="BB399" s="38" t="inlineStr">
        <is>
          <t>IF(OR(E399="",AO399=""),"",IF(COUNT(AG399:AN399)=0,"",AO399-LOOKUP(2,1/(AG399:AN399&lt;&gt;""),AG399:AN399)))</t>
        </is>
      </c>
      <c r="BC399" s="38" t="inlineStr">
        <is>
          <t>IF(OR(E399="",AP399=""),"",IF(COUNT(AG399:AO399)=0,"",AP399-LOOKUP(2,1/(AG399:AO399&lt;&gt;""),AG399:AO399)))</t>
        </is>
      </c>
      <c r="BD399" s="38" t="inlineStr">
        <is>
          <t>IF(OR(E399="",AQ399=""),"",IF(COUNT(AG399:AP399)=0,"",AQ399-LOOKUP(2,1/(AG399:AP399&lt;&gt;""),AG399:AP399)))</t>
        </is>
      </c>
      <c r="BE399" s="38" t="inlineStr">
        <is>
          <t>IF(OR(E399="",AR399=""),"",IF(COUNT(AG399:AQ399)=0,"",AR399-LOOKUP(2,1/(AG399:AQ399&lt;&gt;""),AG399:AQ399)))</t>
        </is>
      </c>
      <c r="BF399" s="38" t="inlineStr">
        <is>
          <t>IF(OR(E399="",AS399=""),"",IF(COUNT(AG399:AR399)=0,"",AS399-LOOKUP(2,1/(AG399:AR399&lt;&gt;""),AG399:AR399)))</t>
        </is>
      </c>
      <c r="BG399" s="38" t="inlineStr">
        <is>
          <t>IF(OR(E399="",AT399=""),"",IF(COUNT(AG399:AS399)=0,"",AT399-LOOKUP(2,1/(AG399:AS399&lt;&gt;""),AG399:AS399)))</t>
        </is>
      </c>
      <c r="BH399" s="41" t="inlineStr">
        <is>
          <t>IF(G399="","All_Provinces",IFERROR(VLOOKUP(G399,'07_Lookups'!$A$4:$B$20,2,FALSE),"All_Provinces"))</t>
        </is>
      </c>
      <c r="BI399" s="41" t="inlineStr">
        <is>
          <t>IF(H399="","All_Districts",IFERROR(VLOOKUP(H399,'07_Lookups'!$E$4:$F$42,2,FALSE),"All_Districts"))</t>
        </is>
      </c>
    </row>
    <row r="400" ht="18" customHeight="1">
      <c r="A400" s="32" t="inlineStr">
        <is>
          <t>IF(E400="","",ROW()-3)</t>
        </is>
      </c>
      <c r="B400" s="33" t="n"/>
      <c r="C400" s="33" t="n"/>
      <c r="D400" s="33" t="n"/>
      <c r="E400" s="33" t="n"/>
      <c r="F400" s="33" t="n"/>
      <c r="G400" s="33" t="n"/>
      <c r="H400" s="33" t="n"/>
      <c r="I400" s="33" t="n"/>
      <c r="J400" s="33" t="n"/>
      <c r="K400" s="33" t="n"/>
      <c r="L400" s="33" t="n"/>
      <c r="M400" s="33" t="n"/>
      <c r="N400" s="33" t="n"/>
      <c r="O400" s="33" t="n"/>
      <c r="P400" s="33" t="n"/>
      <c r="Q400" s="34" t="n"/>
      <c r="R400" s="35" t="inlineStr">
        <is>
          <t>IF(AO400="","",AO400)</t>
        </is>
      </c>
      <c r="S400" s="36" t="n"/>
      <c r="T400" s="37" t="n"/>
      <c r="U400" s="36" t="n"/>
      <c r="V400" s="35" t="inlineStr">
        <is>
          <t>IF(U400&lt;&gt;"",U400,IF(OR(R400="",T400=""),"",EDATE(R400,T400)))</t>
        </is>
      </c>
      <c r="W400" s="36" t="n"/>
      <c r="X400" s="37" t="n"/>
      <c r="Y400" s="33" t="n"/>
      <c r="Z400" s="33" t="n"/>
      <c r="AA400" s="32" t="inlineStr">
        <is>
          <t>IF(E400="","",IF(COUNT(AG400:AT400)=0,IF(Y400="","Not started",Y400),SUBSTITUTE(LOOKUP(2,1/(AG400:AT400&lt;&gt;""),$AG$3:$AT$3),"Date: ","")))</t>
        </is>
      </c>
      <c r="AB400" s="38" t="inlineStr">
        <is>
          <t>IF(OR(E400="",COUNT(AG400:AT400)=0),"",TODAY()-LOOKUP(2,1/(AG400:AT400&lt;&gt;""),AG400:AT400))</t>
        </is>
      </c>
      <c r="AC400" s="38" t="inlineStr">
        <is>
          <t>IF(OR(E400="",COUNT(AG400:AT400)&lt;2),"",LOOKUP(2,1/(AG400:AT400&lt;&gt;""),AG400:AT400)-MIN(AG400:AT400))</t>
        </is>
      </c>
      <c r="AD400" s="38" t="inlineStr">
        <is>
          <t>IF(OR(AB400="",AA400="Not started",AA400=""),"",IFERROR(AB400-IF(VLOOKUP(AA400,'04_Status_Pipeline'!$B$3:$E$20,4,FALSE)="",0,VLOOKUP(AA400,'04_Status_Pipeline'!$B$3:$E$20,4,FALSE)),""))</t>
        </is>
      </c>
      <c r="AE400" s="32" t="inlineStr">
        <is>
          <t>IF(E400="","",IF(OR(Y400="Cancelled",AA400="Cancelled"),"Cancelled",IF(OR(AA400="Completed / Handover",W400&lt;&gt;"",X400&gt;=100),"Completed — on track",IF(L400="Remaining",IF(S400="",IF(V400="","No planned date",IF(TODAY()&gt;V400,"Behind — past planned date",IF(V400-TODAY()&lt;=30,"At risk — close to off track","On track"))),IF(TODAY()&gt;S400,"Behind — award date passed",IF(S400-TODAY()&lt;=30,"At risk — close to off track","On track"))),IF(V400="","No planned date",IF(AND(TODAY()&gt;V400,OR(X400="",X400&lt;100)),"Behind — past end date",IF(AND(R400&lt;&gt;"",V400&lt;&gt;"",X400&lt;&gt;"",(X400&lt;100),((TODAY()-R400)/MAX(V400-R400,1)*100)-X400&gt;15),"Behind — progress lag",IF(AND(V400-TODAY()&lt;=30,V400-TODAY()&gt;=0,OR(X400="",X400&lt;90)),"At risk — close to off track","On track"))))))))</t>
        </is>
      </c>
      <c r="AF400" s="38" t="inlineStr">
        <is>
          <t>IF(OR(E400="",AA400="Completed / Handover",AA400="Cancelled"),"",IF(L400="Remaining",IF(S400&lt;&gt;"",S400-TODAY(),IF(V400="","",V400-TODAY())),IF(V400="","",V400-TODAY())))</t>
        </is>
      </c>
      <c r="AG400" s="36" t="n"/>
      <c r="AH400" s="36" t="n"/>
      <c r="AI400" s="36" t="n"/>
      <c r="AJ400" s="36" t="n"/>
      <c r="AK400" s="36" t="n"/>
      <c r="AL400" s="36" t="n"/>
      <c r="AM400" s="36" t="n"/>
      <c r="AN400" s="36" t="n"/>
      <c r="AO400" s="36" t="n"/>
      <c r="AP400" s="36" t="n"/>
      <c r="AQ400" s="36" t="n"/>
      <c r="AR400" s="40" t="n"/>
      <c r="AS400" s="40" t="n"/>
      <c r="AT400" s="40" t="n"/>
      <c r="AU400" s="38" t="inlineStr">
        <is>
          <t>IF(OR(E400="",AH400=""),"",IF(COUNT(AG400:AG400)=0,"",AH400-LOOKUP(2,1/(AG400:AG400&lt;&gt;""),AG400:AG400)))</t>
        </is>
      </c>
      <c r="AV400" s="38" t="inlineStr">
        <is>
          <t>IF(OR(E400="",AI400=""),"",IF(COUNT(AG400:AH400)=0,"",AI400-LOOKUP(2,1/(AG400:AH400&lt;&gt;""),AG400:AH400)))</t>
        </is>
      </c>
      <c r="AW400" s="38" t="inlineStr">
        <is>
          <t>IF(OR(E400="",AJ400=""),"",IF(COUNT(AG400:AI400)=0,"",AJ400-LOOKUP(2,1/(AG400:AI400&lt;&gt;""),AG400:AI400)))</t>
        </is>
      </c>
      <c r="AX400" s="38" t="inlineStr">
        <is>
          <t>IF(OR(E400="",AK400=""),"",IF(COUNT(AG400:AJ400)=0,"",AK400-LOOKUP(2,1/(AG400:AJ400&lt;&gt;""),AG400:AJ400)))</t>
        </is>
      </c>
      <c r="AY400" s="38" t="inlineStr">
        <is>
          <t>IF(OR(E400="",AL400=""),"",IF(COUNT(AG400:AK400)=0,"",AL400-LOOKUP(2,1/(AG400:AK400&lt;&gt;""),AG400:AK400)))</t>
        </is>
      </c>
      <c r="AZ400" s="38" t="inlineStr">
        <is>
          <t>IF(OR(E400="",AM400=""),"",IF(COUNT(AG400:AL400)=0,"",AM400-LOOKUP(2,1/(AG400:AL400&lt;&gt;""),AG400:AL400)))</t>
        </is>
      </c>
      <c r="BA400" s="38" t="inlineStr">
        <is>
          <t>IF(OR(E400="",AN400=""),"",IF(COUNT(AG400:AM400)=0,"",AN400-LOOKUP(2,1/(AG400:AM400&lt;&gt;""),AG400:AM400)))</t>
        </is>
      </c>
      <c r="BB400" s="38" t="inlineStr">
        <is>
          <t>IF(OR(E400="",AO400=""),"",IF(COUNT(AG400:AN400)=0,"",AO400-LOOKUP(2,1/(AG400:AN400&lt;&gt;""),AG400:AN400)))</t>
        </is>
      </c>
      <c r="BC400" s="38" t="inlineStr">
        <is>
          <t>IF(OR(E400="",AP400=""),"",IF(COUNT(AG400:AO400)=0,"",AP400-LOOKUP(2,1/(AG400:AO400&lt;&gt;""),AG400:AO400)))</t>
        </is>
      </c>
      <c r="BD400" s="38" t="inlineStr">
        <is>
          <t>IF(OR(E400="",AQ400=""),"",IF(COUNT(AG400:AP400)=0,"",AQ400-LOOKUP(2,1/(AG400:AP400&lt;&gt;""),AG400:AP400)))</t>
        </is>
      </c>
      <c r="BE400" s="38" t="inlineStr">
        <is>
          <t>IF(OR(E400="",AR400=""),"",IF(COUNT(AG400:AQ400)=0,"",AR400-LOOKUP(2,1/(AG400:AQ400&lt;&gt;""),AG400:AQ400)))</t>
        </is>
      </c>
      <c r="BF400" s="38" t="inlineStr">
        <is>
          <t>IF(OR(E400="",AS400=""),"",IF(COUNT(AG400:AR400)=0,"",AS400-LOOKUP(2,1/(AG400:AR400&lt;&gt;""),AG400:AR400)))</t>
        </is>
      </c>
      <c r="BG400" s="38" t="inlineStr">
        <is>
          <t>IF(OR(E400="",AT400=""),"",IF(COUNT(AG400:AS400)=0,"",AT400-LOOKUP(2,1/(AG400:AS400&lt;&gt;""),AG400:AS400)))</t>
        </is>
      </c>
      <c r="BH400" s="41" t="inlineStr">
        <is>
          <t>IF(G400="","All_Provinces",IFERROR(VLOOKUP(G400,'07_Lookups'!$A$4:$B$20,2,FALSE),"All_Provinces"))</t>
        </is>
      </c>
      <c r="BI400" s="41" t="inlineStr">
        <is>
          <t>IF(H400="","All_Districts",IFERROR(VLOOKUP(H400,'07_Lookups'!$E$4:$F$42,2,FALSE),"All_Districts"))</t>
        </is>
      </c>
    </row>
    <row r="401" ht="18" customHeight="1">
      <c r="A401" s="32" t="inlineStr">
        <is>
          <t>IF(E401="","",ROW()-3)</t>
        </is>
      </c>
      <c r="B401" s="42" t="n"/>
      <c r="C401" s="42" t="n"/>
      <c r="D401" s="42" t="n"/>
      <c r="E401" s="42" t="n"/>
      <c r="F401" s="42" t="n"/>
      <c r="G401" s="42" t="n"/>
      <c r="H401" s="42" t="n"/>
      <c r="I401" s="42" t="n"/>
      <c r="J401" s="42" t="n"/>
      <c r="K401" s="42" t="n"/>
      <c r="L401" s="42" t="n"/>
      <c r="M401" s="42" t="n"/>
      <c r="N401" s="42" t="n"/>
      <c r="O401" s="42" t="n"/>
      <c r="P401" s="42" t="n"/>
      <c r="Q401" s="43" t="n"/>
      <c r="R401" s="35" t="inlineStr">
        <is>
          <t>IF(AO401="","",AO401)</t>
        </is>
      </c>
      <c r="S401" s="44" t="n"/>
      <c r="T401" s="45" t="n"/>
      <c r="U401" s="44" t="n"/>
      <c r="V401" s="35" t="inlineStr">
        <is>
          <t>IF(U401&lt;&gt;"",U401,IF(OR(R401="",T401=""),"",EDATE(R401,T401)))</t>
        </is>
      </c>
      <c r="W401" s="44" t="n"/>
      <c r="X401" s="45" t="n"/>
      <c r="Y401" s="42" t="n"/>
      <c r="Z401" s="42" t="n"/>
      <c r="AA401" s="32" t="inlineStr">
        <is>
          <t>IF(E401="","",IF(COUNT(AG401:AT401)=0,IF(Y401="","Not started",Y401),SUBSTITUTE(LOOKUP(2,1/(AG401:AT401&lt;&gt;""),$AG$3:$AT$3),"Date: ","")))</t>
        </is>
      </c>
      <c r="AB401" s="38" t="inlineStr">
        <is>
          <t>IF(OR(E401="",COUNT(AG401:AT401)=0),"",TODAY()-LOOKUP(2,1/(AG401:AT401&lt;&gt;""),AG401:AT401))</t>
        </is>
      </c>
      <c r="AC401" s="38" t="inlineStr">
        <is>
          <t>IF(OR(E401="",COUNT(AG401:AT401)&lt;2),"",LOOKUP(2,1/(AG401:AT401&lt;&gt;""),AG401:AT401)-MIN(AG401:AT401))</t>
        </is>
      </c>
      <c r="AD401" s="38" t="inlineStr">
        <is>
          <t>IF(OR(AB401="",AA401="Not started",AA401=""),"",IFERROR(AB401-IF(VLOOKUP(AA401,'04_Status_Pipeline'!$B$3:$E$20,4,FALSE)="",0,VLOOKUP(AA401,'04_Status_Pipeline'!$B$3:$E$20,4,FALSE)),""))</t>
        </is>
      </c>
      <c r="AE401" s="32" t="inlineStr">
        <is>
          <t>IF(E401="","",IF(OR(Y401="Cancelled",AA401="Cancelled"),"Cancelled",IF(OR(AA401="Completed / Handover",W401&lt;&gt;"",X401&gt;=100),"Completed — on track",IF(L401="Remaining",IF(S401="",IF(V401="","No planned date",IF(TODAY()&gt;V401,"Behind — past planned date",IF(V401-TODAY()&lt;=30,"At risk — close to off track","On track"))),IF(TODAY()&gt;S401,"Behind — award date passed",IF(S401-TODAY()&lt;=30,"At risk — close to off track","On track"))),IF(V401="","No planned date",IF(AND(TODAY()&gt;V401,OR(X401="",X401&lt;100)),"Behind — past end date",IF(AND(R401&lt;&gt;"",V401&lt;&gt;"",X401&lt;&gt;"",(X401&lt;100),((TODAY()-R401)/MAX(V401-R401,1)*100)-X401&gt;15),"Behind — progress lag",IF(AND(V401-TODAY()&lt;=30,V401-TODAY()&gt;=0,OR(X401="",X401&lt;90)),"At risk — close to off track","On track"))))))))</t>
        </is>
      </c>
      <c r="AF401" s="38" t="inlineStr">
        <is>
          <t>IF(OR(E401="",AA401="Completed / Handover",AA401="Cancelled"),"",IF(L401="Remaining",IF(S401&lt;&gt;"",S401-TODAY(),IF(V401="","",V401-TODAY())),IF(V401="","",V401-TODAY())))</t>
        </is>
      </c>
      <c r="AG401" s="44" t="n"/>
      <c r="AH401" s="44" t="n"/>
      <c r="AI401" s="44" t="n"/>
      <c r="AJ401" s="44" t="n"/>
      <c r="AK401" s="44" t="n"/>
      <c r="AL401" s="44" t="n"/>
      <c r="AM401" s="44" t="n"/>
      <c r="AN401" s="44" t="n"/>
      <c r="AO401" s="44" t="n"/>
      <c r="AP401" s="44" t="n"/>
      <c r="AQ401" s="44" t="n"/>
      <c r="AR401" s="40" t="n"/>
      <c r="AS401" s="40" t="n"/>
      <c r="AT401" s="40" t="n"/>
      <c r="AU401" s="38" t="inlineStr">
        <is>
          <t>IF(OR(E401="",AH401=""),"",IF(COUNT(AG401:AG401)=0,"",AH401-LOOKUP(2,1/(AG401:AG401&lt;&gt;""),AG401:AG401)))</t>
        </is>
      </c>
      <c r="AV401" s="38" t="inlineStr">
        <is>
          <t>IF(OR(E401="",AI401=""),"",IF(COUNT(AG401:AH401)=0,"",AI401-LOOKUP(2,1/(AG401:AH401&lt;&gt;""),AG401:AH401)))</t>
        </is>
      </c>
      <c r="AW401" s="38" t="inlineStr">
        <is>
          <t>IF(OR(E401="",AJ401=""),"",IF(COUNT(AG401:AI401)=0,"",AJ401-LOOKUP(2,1/(AG401:AI401&lt;&gt;""),AG401:AI401)))</t>
        </is>
      </c>
      <c r="AX401" s="38" t="inlineStr">
        <is>
          <t>IF(OR(E401="",AK401=""),"",IF(COUNT(AG401:AJ401)=0,"",AK401-LOOKUP(2,1/(AG401:AJ401&lt;&gt;""),AG401:AJ401)))</t>
        </is>
      </c>
      <c r="AY401" s="38" t="inlineStr">
        <is>
          <t>IF(OR(E401="",AL401=""),"",IF(COUNT(AG401:AK401)=0,"",AL401-LOOKUP(2,1/(AG401:AK401&lt;&gt;""),AG401:AK401)))</t>
        </is>
      </c>
      <c r="AZ401" s="38" t="inlineStr">
        <is>
          <t>IF(OR(E401="",AM401=""),"",IF(COUNT(AG401:AL401)=0,"",AM401-LOOKUP(2,1/(AG401:AL401&lt;&gt;""),AG401:AL401)))</t>
        </is>
      </c>
      <c r="BA401" s="38" t="inlineStr">
        <is>
          <t>IF(OR(E401="",AN401=""),"",IF(COUNT(AG401:AM401)=0,"",AN401-LOOKUP(2,1/(AG401:AM401&lt;&gt;""),AG401:AM401)))</t>
        </is>
      </c>
      <c r="BB401" s="38" t="inlineStr">
        <is>
          <t>IF(OR(E401="",AO401=""),"",IF(COUNT(AG401:AN401)=0,"",AO401-LOOKUP(2,1/(AG401:AN401&lt;&gt;""),AG401:AN401)))</t>
        </is>
      </c>
      <c r="BC401" s="38" t="inlineStr">
        <is>
          <t>IF(OR(E401="",AP401=""),"",IF(COUNT(AG401:AO401)=0,"",AP401-LOOKUP(2,1/(AG401:AO401&lt;&gt;""),AG401:AO401)))</t>
        </is>
      </c>
      <c r="BD401" s="38" t="inlineStr">
        <is>
          <t>IF(OR(E401="",AQ401=""),"",IF(COUNT(AG401:AP401)=0,"",AQ401-LOOKUP(2,1/(AG401:AP401&lt;&gt;""),AG401:AP401)))</t>
        </is>
      </c>
      <c r="BE401" s="38" t="inlineStr">
        <is>
          <t>IF(OR(E401="",AR401=""),"",IF(COUNT(AG401:AQ401)=0,"",AR401-LOOKUP(2,1/(AG401:AQ401&lt;&gt;""),AG401:AQ401)))</t>
        </is>
      </c>
      <c r="BF401" s="38" t="inlineStr">
        <is>
          <t>IF(OR(E401="",AS401=""),"",IF(COUNT(AG401:AR401)=0,"",AS401-LOOKUP(2,1/(AG401:AR401&lt;&gt;""),AG401:AR401)))</t>
        </is>
      </c>
      <c r="BG401" s="38" t="inlineStr">
        <is>
          <t>IF(OR(E401="",AT401=""),"",IF(COUNT(AG401:AS401)=0,"",AT401-LOOKUP(2,1/(AG401:AS401&lt;&gt;""),AG401:AS401)))</t>
        </is>
      </c>
      <c r="BH401" s="41" t="inlineStr">
        <is>
          <t>IF(G401="","All_Provinces",IFERROR(VLOOKUP(G401,'07_Lookups'!$A$4:$B$20,2,FALSE),"All_Provinces"))</t>
        </is>
      </c>
      <c r="BI401" s="41" t="inlineStr">
        <is>
          <t>IF(H401="","All_Districts",IFERROR(VLOOKUP(H401,'07_Lookups'!$E$4:$F$42,2,FALSE),"All_Districts"))</t>
        </is>
      </c>
    </row>
    <row r="402" ht="18" customHeight="1">
      <c r="A402" s="32" t="inlineStr">
        <is>
          <t>IF(E402="","",ROW()-3)</t>
        </is>
      </c>
      <c r="B402" s="33" t="n"/>
      <c r="C402" s="33" t="n"/>
      <c r="D402" s="33" t="n"/>
      <c r="E402" s="33" t="n"/>
      <c r="F402" s="33" t="n"/>
      <c r="G402" s="33" t="n"/>
      <c r="H402" s="33" t="n"/>
      <c r="I402" s="33" t="n"/>
      <c r="J402" s="33" t="n"/>
      <c r="K402" s="33" t="n"/>
      <c r="L402" s="33" t="n"/>
      <c r="M402" s="33" t="n"/>
      <c r="N402" s="33" t="n"/>
      <c r="O402" s="33" t="n"/>
      <c r="P402" s="33" t="n"/>
      <c r="Q402" s="34" t="n"/>
      <c r="R402" s="35" t="inlineStr">
        <is>
          <t>IF(AO402="","",AO402)</t>
        </is>
      </c>
      <c r="S402" s="36" t="n"/>
      <c r="T402" s="37" t="n"/>
      <c r="U402" s="36" t="n"/>
      <c r="V402" s="35" t="inlineStr">
        <is>
          <t>IF(U402&lt;&gt;"",U402,IF(OR(R402="",T402=""),"",EDATE(R402,T402)))</t>
        </is>
      </c>
      <c r="W402" s="36" t="n"/>
      <c r="X402" s="37" t="n"/>
      <c r="Y402" s="33" t="n"/>
      <c r="Z402" s="33" t="n"/>
      <c r="AA402" s="32" t="inlineStr">
        <is>
          <t>IF(E402="","",IF(COUNT(AG402:AT402)=0,IF(Y402="","Not started",Y402),SUBSTITUTE(LOOKUP(2,1/(AG402:AT402&lt;&gt;""),$AG$3:$AT$3),"Date: ","")))</t>
        </is>
      </c>
      <c r="AB402" s="38" t="inlineStr">
        <is>
          <t>IF(OR(E402="",COUNT(AG402:AT402)=0),"",TODAY()-LOOKUP(2,1/(AG402:AT402&lt;&gt;""),AG402:AT402))</t>
        </is>
      </c>
      <c r="AC402" s="38" t="inlineStr">
        <is>
          <t>IF(OR(E402="",COUNT(AG402:AT402)&lt;2),"",LOOKUP(2,1/(AG402:AT402&lt;&gt;""),AG402:AT402)-MIN(AG402:AT402))</t>
        </is>
      </c>
      <c r="AD402" s="38" t="inlineStr">
        <is>
          <t>IF(OR(AB402="",AA402="Not started",AA402=""),"",IFERROR(AB402-IF(VLOOKUP(AA402,'04_Status_Pipeline'!$B$3:$E$20,4,FALSE)="",0,VLOOKUP(AA402,'04_Status_Pipeline'!$B$3:$E$20,4,FALSE)),""))</t>
        </is>
      </c>
      <c r="AE402" s="32" t="inlineStr">
        <is>
          <t>IF(E402="","",IF(OR(Y402="Cancelled",AA402="Cancelled"),"Cancelled",IF(OR(AA402="Completed / Handover",W402&lt;&gt;"",X402&gt;=100),"Completed — on track",IF(L402="Remaining",IF(S402="",IF(V402="","No planned date",IF(TODAY()&gt;V402,"Behind — past planned date",IF(V402-TODAY()&lt;=30,"At risk — close to off track","On track"))),IF(TODAY()&gt;S402,"Behind — award date passed",IF(S402-TODAY()&lt;=30,"At risk — close to off track","On track"))),IF(V402="","No planned date",IF(AND(TODAY()&gt;V402,OR(X402="",X402&lt;100)),"Behind — past end date",IF(AND(R402&lt;&gt;"",V402&lt;&gt;"",X402&lt;&gt;"",(X402&lt;100),((TODAY()-R402)/MAX(V402-R402,1)*100)-X402&gt;15),"Behind — progress lag",IF(AND(V402-TODAY()&lt;=30,V402-TODAY()&gt;=0,OR(X402="",X402&lt;90)),"At risk — close to off track","On track"))))))))</t>
        </is>
      </c>
      <c r="AF402" s="38" t="inlineStr">
        <is>
          <t>IF(OR(E402="",AA402="Completed / Handover",AA402="Cancelled"),"",IF(L402="Remaining",IF(S402&lt;&gt;"",S402-TODAY(),IF(V402="","",V402-TODAY())),IF(V402="","",V402-TODAY())))</t>
        </is>
      </c>
      <c r="AG402" s="36" t="n"/>
      <c r="AH402" s="36" t="n"/>
      <c r="AI402" s="36" t="n"/>
      <c r="AJ402" s="36" t="n"/>
      <c r="AK402" s="36" t="n"/>
      <c r="AL402" s="36" t="n"/>
      <c r="AM402" s="36" t="n"/>
      <c r="AN402" s="36" t="n"/>
      <c r="AO402" s="36" t="n"/>
      <c r="AP402" s="36" t="n"/>
      <c r="AQ402" s="36" t="n"/>
      <c r="AR402" s="40" t="n"/>
      <c r="AS402" s="40" t="n"/>
      <c r="AT402" s="40" t="n"/>
      <c r="AU402" s="38" t="inlineStr">
        <is>
          <t>IF(OR(E402="",AH402=""),"",IF(COUNT(AG402:AG402)=0,"",AH402-LOOKUP(2,1/(AG402:AG402&lt;&gt;""),AG402:AG402)))</t>
        </is>
      </c>
      <c r="AV402" s="38" t="inlineStr">
        <is>
          <t>IF(OR(E402="",AI402=""),"",IF(COUNT(AG402:AH402)=0,"",AI402-LOOKUP(2,1/(AG402:AH402&lt;&gt;""),AG402:AH402)))</t>
        </is>
      </c>
      <c r="AW402" s="38" t="inlineStr">
        <is>
          <t>IF(OR(E402="",AJ402=""),"",IF(COUNT(AG402:AI402)=0,"",AJ402-LOOKUP(2,1/(AG402:AI402&lt;&gt;""),AG402:AI402)))</t>
        </is>
      </c>
      <c r="AX402" s="38" t="inlineStr">
        <is>
          <t>IF(OR(E402="",AK402=""),"",IF(COUNT(AG402:AJ402)=0,"",AK402-LOOKUP(2,1/(AG402:AJ402&lt;&gt;""),AG402:AJ402)))</t>
        </is>
      </c>
      <c r="AY402" s="38" t="inlineStr">
        <is>
          <t>IF(OR(E402="",AL402=""),"",IF(COUNT(AG402:AK402)=0,"",AL402-LOOKUP(2,1/(AG402:AK402&lt;&gt;""),AG402:AK402)))</t>
        </is>
      </c>
      <c r="AZ402" s="38" t="inlineStr">
        <is>
          <t>IF(OR(E402="",AM402=""),"",IF(COUNT(AG402:AL402)=0,"",AM402-LOOKUP(2,1/(AG402:AL402&lt;&gt;""),AG402:AL402)))</t>
        </is>
      </c>
      <c r="BA402" s="38" t="inlineStr">
        <is>
          <t>IF(OR(E402="",AN402=""),"",IF(COUNT(AG402:AM402)=0,"",AN402-LOOKUP(2,1/(AG402:AM402&lt;&gt;""),AG402:AM402)))</t>
        </is>
      </c>
      <c r="BB402" s="38" t="inlineStr">
        <is>
          <t>IF(OR(E402="",AO402=""),"",IF(COUNT(AG402:AN402)=0,"",AO402-LOOKUP(2,1/(AG402:AN402&lt;&gt;""),AG402:AN402)))</t>
        </is>
      </c>
      <c r="BC402" s="38" t="inlineStr">
        <is>
          <t>IF(OR(E402="",AP402=""),"",IF(COUNT(AG402:AO402)=0,"",AP402-LOOKUP(2,1/(AG402:AO402&lt;&gt;""),AG402:AO402)))</t>
        </is>
      </c>
      <c r="BD402" s="38" t="inlineStr">
        <is>
          <t>IF(OR(E402="",AQ402=""),"",IF(COUNT(AG402:AP402)=0,"",AQ402-LOOKUP(2,1/(AG402:AP402&lt;&gt;""),AG402:AP402)))</t>
        </is>
      </c>
      <c r="BE402" s="38" t="inlineStr">
        <is>
          <t>IF(OR(E402="",AR402=""),"",IF(COUNT(AG402:AQ402)=0,"",AR402-LOOKUP(2,1/(AG402:AQ402&lt;&gt;""),AG402:AQ402)))</t>
        </is>
      </c>
      <c r="BF402" s="38" t="inlineStr">
        <is>
          <t>IF(OR(E402="",AS402=""),"",IF(COUNT(AG402:AR402)=0,"",AS402-LOOKUP(2,1/(AG402:AR402&lt;&gt;""),AG402:AR402)))</t>
        </is>
      </c>
      <c r="BG402" s="38" t="inlineStr">
        <is>
          <t>IF(OR(E402="",AT402=""),"",IF(COUNT(AG402:AS402)=0,"",AT402-LOOKUP(2,1/(AG402:AS402&lt;&gt;""),AG402:AS402)))</t>
        </is>
      </c>
      <c r="BH402" s="41" t="inlineStr">
        <is>
          <t>IF(G402="","All_Provinces",IFERROR(VLOOKUP(G402,'07_Lookups'!$A$4:$B$20,2,FALSE),"All_Provinces"))</t>
        </is>
      </c>
      <c r="BI402" s="41" t="inlineStr">
        <is>
          <t>IF(H402="","All_Districts",IFERROR(VLOOKUP(H402,'07_Lookups'!$E$4:$F$42,2,FALSE),"All_Districts"))</t>
        </is>
      </c>
    </row>
    <row r="403" ht="18" customHeight="1">
      <c r="A403" s="32" t="inlineStr">
        <is>
          <t>IF(E403="","",ROW()-3)</t>
        </is>
      </c>
      <c r="B403" s="42" t="n"/>
      <c r="C403" s="42" t="n"/>
      <c r="D403" s="42" t="n"/>
      <c r="E403" s="42" t="n"/>
      <c r="F403" s="42" t="n"/>
      <c r="G403" s="42" t="n"/>
      <c r="H403" s="42" t="n"/>
      <c r="I403" s="42" t="n"/>
      <c r="J403" s="42" t="n"/>
      <c r="K403" s="42" t="n"/>
      <c r="L403" s="42" t="n"/>
      <c r="M403" s="42" t="n"/>
      <c r="N403" s="42" t="n"/>
      <c r="O403" s="42" t="n"/>
      <c r="P403" s="42" t="n"/>
      <c r="Q403" s="43" t="n"/>
      <c r="R403" s="35" t="inlineStr">
        <is>
          <t>IF(AO403="","",AO403)</t>
        </is>
      </c>
      <c r="S403" s="44" t="n"/>
      <c r="T403" s="45" t="n"/>
      <c r="U403" s="44" t="n"/>
      <c r="V403" s="35" t="inlineStr">
        <is>
          <t>IF(U403&lt;&gt;"",U403,IF(OR(R403="",T403=""),"",EDATE(R403,T403)))</t>
        </is>
      </c>
      <c r="W403" s="44" t="n"/>
      <c r="X403" s="45" t="n"/>
      <c r="Y403" s="42" t="n"/>
      <c r="Z403" s="42" t="n"/>
      <c r="AA403" s="32" t="inlineStr">
        <is>
          <t>IF(E403="","",IF(COUNT(AG403:AT403)=0,IF(Y403="","Not started",Y403),SUBSTITUTE(LOOKUP(2,1/(AG403:AT403&lt;&gt;""),$AG$3:$AT$3),"Date: ","")))</t>
        </is>
      </c>
      <c r="AB403" s="38" t="inlineStr">
        <is>
          <t>IF(OR(E403="",COUNT(AG403:AT403)=0),"",TODAY()-LOOKUP(2,1/(AG403:AT403&lt;&gt;""),AG403:AT403))</t>
        </is>
      </c>
      <c r="AC403" s="38" t="inlineStr">
        <is>
          <t>IF(OR(E403="",COUNT(AG403:AT403)&lt;2),"",LOOKUP(2,1/(AG403:AT403&lt;&gt;""),AG403:AT403)-MIN(AG403:AT403))</t>
        </is>
      </c>
      <c r="AD403" s="38" t="inlineStr">
        <is>
          <t>IF(OR(AB403="",AA403="Not started",AA403=""),"",IFERROR(AB403-IF(VLOOKUP(AA403,'04_Status_Pipeline'!$B$3:$E$20,4,FALSE)="",0,VLOOKUP(AA403,'04_Status_Pipeline'!$B$3:$E$20,4,FALSE)),""))</t>
        </is>
      </c>
      <c r="AE403" s="32" t="inlineStr">
        <is>
          <t>IF(E403="","",IF(OR(Y403="Cancelled",AA403="Cancelled"),"Cancelled",IF(OR(AA403="Completed / Handover",W403&lt;&gt;"",X403&gt;=100),"Completed — on track",IF(L403="Remaining",IF(S403="",IF(V403="","No planned date",IF(TODAY()&gt;V403,"Behind — past planned date",IF(V403-TODAY()&lt;=30,"At risk — close to off track","On track"))),IF(TODAY()&gt;S403,"Behind — award date passed",IF(S403-TODAY()&lt;=30,"At risk — close to off track","On track"))),IF(V403="","No planned date",IF(AND(TODAY()&gt;V403,OR(X403="",X403&lt;100)),"Behind — past end date",IF(AND(R403&lt;&gt;"",V403&lt;&gt;"",X403&lt;&gt;"",(X403&lt;100),((TODAY()-R403)/MAX(V403-R403,1)*100)-X403&gt;15),"Behind — progress lag",IF(AND(V403-TODAY()&lt;=30,V403-TODAY()&gt;=0,OR(X403="",X403&lt;90)),"At risk — close to off track","On track"))))))))</t>
        </is>
      </c>
      <c r="AF403" s="38" t="inlineStr">
        <is>
          <t>IF(OR(E403="",AA403="Completed / Handover",AA403="Cancelled"),"",IF(L403="Remaining",IF(S403&lt;&gt;"",S403-TODAY(),IF(V403="","",V403-TODAY())),IF(V403="","",V403-TODAY())))</t>
        </is>
      </c>
      <c r="AG403" s="44" t="n"/>
      <c r="AH403" s="44" t="n"/>
      <c r="AI403" s="44" t="n"/>
      <c r="AJ403" s="44" t="n"/>
      <c r="AK403" s="44" t="n"/>
      <c r="AL403" s="44" t="n"/>
      <c r="AM403" s="44" t="n"/>
      <c r="AN403" s="44" t="n"/>
      <c r="AO403" s="44" t="n"/>
      <c r="AP403" s="44" t="n"/>
      <c r="AQ403" s="44" t="n"/>
      <c r="AR403" s="40" t="n"/>
      <c r="AS403" s="40" t="n"/>
      <c r="AT403" s="40" t="n"/>
      <c r="AU403" s="38" t="inlineStr">
        <is>
          <t>IF(OR(E403="",AH403=""),"",IF(COUNT(AG403:AG403)=0,"",AH403-LOOKUP(2,1/(AG403:AG403&lt;&gt;""),AG403:AG403)))</t>
        </is>
      </c>
      <c r="AV403" s="38" t="inlineStr">
        <is>
          <t>IF(OR(E403="",AI403=""),"",IF(COUNT(AG403:AH403)=0,"",AI403-LOOKUP(2,1/(AG403:AH403&lt;&gt;""),AG403:AH403)))</t>
        </is>
      </c>
      <c r="AW403" s="38" t="inlineStr">
        <is>
          <t>IF(OR(E403="",AJ403=""),"",IF(COUNT(AG403:AI403)=0,"",AJ403-LOOKUP(2,1/(AG403:AI403&lt;&gt;""),AG403:AI403)))</t>
        </is>
      </c>
      <c r="AX403" s="38" t="inlineStr">
        <is>
          <t>IF(OR(E403="",AK403=""),"",IF(COUNT(AG403:AJ403)=0,"",AK403-LOOKUP(2,1/(AG403:AJ403&lt;&gt;""),AG403:AJ403)))</t>
        </is>
      </c>
      <c r="AY403" s="38" t="inlineStr">
        <is>
          <t>IF(OR(E403="",AL403=""),"",IF(COUNT(AG403:AK403)=0,"",AL403-LOOKUP(2,1/(AG403:AK403&lt;&gt;""),AG403:AK403)))</t>
        </is>
      </c>
      <c r="AZ403" s="38" t="inlineStr">
        <is>
          <t>IF(OR(E403="",AM403=""),"",IF(COUNT(AG403:AL403)=0,"",AM403-LOOKUP(2,1/(AG403:AL403&lt;&gt;""),AG403:AL403)))</t>
        </is>
      </c>
      <c r="BA403" s="38" t="inlineStr">
        <is>
          <t>IF(OR(E403="",AN403=""),"",IF(COUNT(AG403:AM403)=0,"",AN403-LOOKUP(2,1/(AG403:AM403&lt;&gt;""),AG403:AM403)))</t>
        </is>
      </c>
      <c r="BB403" s="38" t="inlineStr">
        <is>
          <t>IF(OR(E403="",AO403=""),"",IF(COUNT(AG403:AN403)=0,"",AO403-LOOKUP(2,1/(AG403:AN403&lt;&gt;""),AG403:AN403)))</t>
        </is>
      </c>
      <c r="BC403" s="38" t="inlineStr">
        <is>
          <t>IF(OR(E403="",AP403=""),"",IF(COUNT(AG403:AO403)=0,"",AP403-LOOKUP(2,1/(AG403:AO403&lt;&gt;""),AG403:AO403)))</t>
        </is>
      </c>
      <c r="BD403" s="38" t="inlineStr">
        <is>
          <t>IF(OR(E403="",AQ403=""),"",IF(COUNT(AG403:AP403)=0,"",AQ403-LOOKUP(2,1/(AG403:AP403&lt;&gt;""),AG403:AP403)))</t>
        </is>
      </c>
      <c r="BE403" s="38" t="inlineStr">
        <is>
          <t>IF(OR(E403="",AR403=""),"",IF(COUNT(AG403:AQ403)=0,"",AR403-LOOKUP(2,1/(AG403:AQ403&lt;&gt;""),AG403:AQ403)))</t>
        </is>
      </c>
      <c r="BF403" s="38" t="inlineStr">
        <is>
          <t>IF(OR(E403="",AS403=""),"",IF(COUNT(AG403:AR403)=0,"",AS403-LOOKUP(2,1/(AG403:AR403&lt;&gt;""),AG403:AR403)))</t>
        </is>
      </c>
      <c r="BG403" s="38" t="inlineStr">
        <is>
          <t>IF(OR(E403="",AT403=""),"",IF(COUNT(AG403:AS403)=0,"",AT403-LOOKUP(2,1/(AG403:AS403&lt;&gt;""),AG403:AS403)))</t>
        </is>
      </c>
      <c r="BH403" s="41" t="inlineStr">
        <is>
          <t>IF(G403="","All_Provinces",IFERROR(VLOOKUP(G403,'07_Lookups'!$A$4:$B$20,2,FALSE),"All_Provinces"))</t>
        </is>
      </c>
      <c r="BI403" s="41" t="inlineStr">
        <is>
          <t>IF(H403="","All_Districts",IFERROR(VLOOKUP(H403,'07_Lookups'!$E$4:$F$42,2,FALSE),"All_Districts"))</t>
        </is>
      </c>
    </row>
    <row r="404" ht="18" customHeight="1">
      <c r="A404" s="32" t="inlineStr">
        <is>
          <t>IF(E404="","",ROW()-3)</t>
        </is>
      </c>
      <c r="B404" s="33" t="n"/>
      <c r="C404" s="33" t="n"/>
      <c r="D404" s="33" t="n"/>
      <c r="E404" s="33" t="n"/>
      <c r="F404" s="33" t="n"/>
      <c r="G404" s="33" t="n"/>
      <c r="H404" s="33" t="n"/>
      <c r="I404" s="33" t="n"/>
      <c r="J404" s="33" t="n"/>
      <c r="K404" s="33" t="n"/>
      <c r="L404" s="33" t="n"/>
      <c r="M404" s="33" t="n"/>
      <c r="N404" s="33" t="n"/>
      <c r="O404" s="33" t="n"/>
      <c r="P404" s="33" t="n"/>
      <c r="Q404" s="34" t="n"/>
      <c r="R404" s="35" t="inlineStr">
        <is>
          <t>IF(AO404="","",AO404)</t>
        </is>
      </c>
      <c r="S404" s="36" t="n"/>
      <c r="T404" s="37" t="n"/>
      <c r="U404" s="36" t="n"/>
      <c r="V404" s="35" t="inlineStr">
        <is>
          <t>IF(U404&lt;&gt;"",U404,IF(OR(R404="",T404=""),"",EDATE(R404,T404)))</t>
        </is>
      </c>
      <c r="W404" s="36" t="n"/>
      <c r="X404" s="37" t="n"/>
      <c r="Y404" s="33" t="n"/>
      <c r="Z404" s="33" t="n"/>
      <c r="AA404" s="32" t="inlineStr">
        <is>
          <t>IF(E404="","",IF(COUNT(AG404:AT404)=0,IF(Y404="","Not started",Y404),SUBSTITUTE(LOOKUP(2,1/(AG404:AT404&lt;&gt;""),$AG$3:$AT$3),"Date: ","")))</t>
        </is>
      </c>
      <c r="AB404" s="38" t="inlineStr">
        <is>
          <t>IF(OR(E404="",COUNT(AG404:AT404)=0),"",TODAY()-LOOKUP(2,1/(AG404:AT404&lt;&gt;""),AG404:AT404))</t>
        </is>
      </c>
      <c r="AC404" s="38" t="inlineStr">
        <is>
          <t>IF(OR(E404="",COUNT(AG404:AT404)&lt;2),"",LOOKUP(2,1/(AG404:AT404&lt;&gt;""),AG404:AT404)-MIN(AG404:AT404))</t>
        </is>
      </c>
      <c r="AD404" s="38" t="inlineStr">
        <is>
          <t>IF(OR(AB404="",AA404="Not started",AA404=""),"",IFERROR(AB404-IF(VLOOKUP(AA404,'04_Status_Pipeline'!$B$3:$E$20,4,FALSE)="",0,VLOOKUP(AA404,'04_Status_Pipeline'!$B$3:$E$20,4,FALSE)),""))</t>
        </is>
      </c>
      <c r="AE404" s="32" t="inlineStr">
        <is>
          <t>IF(E404="","",IF(OR(Y404="Cancelled",AA404="Cancelled"),"Cancelled",IF(OR(AA404="Completed / Handover",W404&lt;&gt;"",X404&gt;=100),"Completed — on track",IF(L404="Remaining",IF(S404="",IF(V404="","No planned date",IF(TODAY()&gt;V404,"Behind — past planned date",IF(V404-TODAY()&lt;=30,"At risk — close to off track","On track"))),IF(TODAY()&gt;S404,"Behind — award date passed",IF(S404-TODAY()&lt;=30,"At risk — close to off track","On track"))),IF(V404="","No planned date",IF(AND(TODAY()&gt;V404,OR(X404="",X404&lt;100)),"Behind — past end date",IF(AND(R404&lt;&gt;"",V404&lt;&gt;"",X404&lt;&gt;"",(X404&lt;100),((TODAY()-R404)/MAX(V404-R404,1)*100)-X404&gt;15),"Behind — progress lag",IF(AND(V404-TODAY()&lt;=30,V404-TODAY()&gt;=0,OR(X404="",X404&lt;90)),"At risk — close to off track","On track"))))))))</t>
        </is>
      </c>
      <c r="AF404" s="38" t="inlineStr">
        <is>
          <t>IF(OR(E404="",AA404="Completed / Handover",AA404="Cancelled"),"",IF(L404="Remaining",IF(S404&lt;&gt;"",S404-TODAY(),IF(V404="","",V404-TODAY())),IF(V404="","",V404-TODAY())))</t>
        </is>
      </c>
      <c r="AG404" s="36" t="n"/>
      <c r="AH404" s="36" t="n"/>
      <c r="AI404" s="36" t="n"/>
      <c r="AJ404" s="36" t="n"/>
      <c r="AK404" s="36" t="n"/>
      <c r="AL404" s="36" t="n"/>
      <c r="AM404" s="36" t="n"/>
      <c r="AN404" s="36" t="n"/>
      <c r="AO404" s="36" t="n"/>
      <c r="AP404" s="36" t="n"/>
      <c r="AQ404" s="36" t="n"/>
      <c r="AR404" s="40" t="n"/>
      <c r="AS404" s="40" t="n"/>
      <c r="AT404" s="40" t="n"/>
      <c r="AU404" s="38" t="inlineStr">
        <is>
          <t>IF(OR(E404="",AH404=""),"",IF(COUNT(AG404:AG404)=0,"",AH404-LOOKUP(2,1/(AG404:AG404&lt;&gt;""),AG404:AG404)))</t>
        </is>
      </c>
      <c r="AV404" s="38" t="inlineStr">
        <is>
          <t>IF(OR(E404="",AI404=""),"",IF(COUNT(AG404:AH404)=0,"",AI404-LOOKUP(2,1/(AG404:AH404&lt;&gt;""),AG404:AH404)))</t>
        </is>
      </c>
      <c r="AW404" s="38" t="inlineStr">
        <is>
          <t>IF(OR(E404="",AJ404=""),"",IF(COUNT(AG404:AI404)=0,"",AJ404-LOOKUP(2,1/(AG404:AI404&lt;&gt;""),AG404:AI404)))</t>
        </is>
      </c>
      <c r="AX404" s="38" t="inlineStr">
        <is>
          <t>IF(OR(E404="",AK404=""),"",IF(COUNT(AG404:AJ404)=0,"",AK404-LOOKUP(2,1/(AG404:AJ404&lt;&gt;""),AG404:AJ404)))</t>
        </is>
      </c>
      <c r="AY404" s="38" t="inlineStr">
        <is>
          <t>IF(OR(E404="",AL404=""),"",IF(COUNT(AG404:AK404)=0,"",AL404-LOOKUP(2,1/(AG404:AK404&lt;&gt;""),AG404:AK404)))</t>
        </is>
      </c>
      <c r="AZ404" s="38" t="inlineStr">
        <is>
          <t>IF(OR(E404="",AM404=""),"",IF(COUNT(AG404:AL404)=0,"",AM404-LOOKUP(2,1/(AG404:AL404&lt;&gt;""),AG404:AL404)))</t>
        </is>
      </c>
      <c r="BA404" s="38" t="inlineStr">
        <is>
          <t>IF(OR(E404="",AN404=""),"",IF(COUNT(AG404:AM404)=0,"",AN404-LOOKUP(2,1/(AG404:AM404&lt;&gt;""),AG404:AM404)))</t>
        </is>
      </c>
      <c r="BB404" s="38" t="inlineStr">
        <is>
          <t>IF(OR(E404="",AO404=""),"",IF(COUNT(AG404:AN404)=0,"",AO404-LOOKUP(2,1/(AG404:AN404&lt;&gt;""),AG404:AN404)))</t>
        </is>
      </c>
      <c r="BC404" s="38" t="inlineStr">
        <is>
          <t>IF(OR(E404="",AP404=""),"",IF(COUNT(AG404:AO404)=0,"",AP404-LOOKUP(2,1/(AG404:AO404&lt;&gt;""),AG404:AO404)))</t>
        </is>
      </c>
      <c r="BD404" s="38" t="inlineStr">
        <is>
          <t>IF(OR(E404="",AQ404=""),"",IF(COUNT(AG404:AP404)=0,"",AQ404-LOOKUP(2,1/(AG404:AP404&lt;&gt;""),AG404:AP404)))</t>
        </is>
      </c>
      <c r="BE404" s="38" t="inlineStr">
        <is>
          <t>IF(OR(E404="",AR404=""),"",IF(COUNT(AG404:AQ404)=0,"",AR404-LOOKUP(2,1/(AG404:AQ404&lt;&gt;""),AG404:AQ404)))</t>
        </is>
      </c>
      <c r="BF404" s="38" t="inlineStr">
        <is>
          <t>IF(OR(E404="",AS404=""),"",IF(COUNT(AG404:AR404)=0,"",AS404-LOOKUP(2,1/(AG404:AR404&lt;&gt;""),AG404:AR404)))</t>
        </is>
      </c>
      <c r="BG404" s="38" t="inlineStr">
        <is>
          <t>IF(OR(E404="",AT404=""),"",IF(COUNT(AG404:AS404)=0,"",AT404-LOOKUP(2,1/(AG404:AS404&lt;&gt;""),AG404:AS404)))</t>
        </is>
      </c>
      <c r="BH404" s="41" t="inlineStr">
        <is>
          <t>IF(G404="","All_Provinces",IFERROR(VLOOKUP(G404,'07_Lookups'!$A$4:$B$20,2,FALSE),"All_Provinces"))</t>
        </is>
      </c>
      <c r="BI404" s="41" t="inlineStr">
        <is>
          <t>IF(H404="","All_Districts",IFERROR(VLOOKUP(H404,'07_Lookups'!$E$4:$F$42,2,FALSE),"All_Districts"))</t>
        </is>
      </c>
    </row>
    <row r="405" ht="18" customHeight="1">
      <c r="A405" s="32" t="inlineStr">
        <is>
          <t>IF(E405="","",ROW()-3)</t>
        </is>
      </c>
      <c r="B405" s="42" t="n"/>
      <c r="C405" s="42" t="n"/>
      <c r="D405" s="42" t="n"/>
      <c r="E405" s="42" t="n"/>
      <c r="F405" s="42" t="n"/>
      <c r="G405" s="42" t="n"/>
      <c r="H405" s="42" t="n"/>
      <c r="I405" s="42" t="n"/>
      <c r="J405" s="42" t="n"/>
      <c r="K405" s="42" t="n"/>
      <c r="L405" s="42" t="n"/>
      <c r="M405" s="42" t="n"/>
      <c r="N405" s="42" t="n"/>
      <c r="O405" s="42" t="n"/>
      <c r="P405" s="42" t="n"/>
      <c r="Q405" s="43" t="n"/>
      <c r="R405" s="35" t="inlineStr">
        <is>
          <t>IF(AO405="","",AO405)</t>
        </is>
      </c>
      <c r="S405" s="44" t="n"/>
      <c r="T405" s="45" t="n"/>
      <c r="U405" s="44" t="n"/>
      <c r="V405" s="35" t="inlineStr">
        <is>
          <t>IF(U405&lt;&gt;"",U405,IF(OR(R405="",T405=""),"",EDATE(R405,T405)))</t>
        </is>
      </c>
      <c r="W405" s="44" t="n"/>
      <c r="X405" s="45" t="n"/>
      <c r="Y405" s="42" t="n"/>
      <c r="Z405" s="42" t="n"/>
      <c r="AA405" s="32" t="inlineStr">
        <is>
          <t>IF(E405="","",IF(COUNT(AG405:AT405)=0,IF(Y405="","Not started",Y405),SUBSTITUTE(LOOKUP(2,1/(AG405:AT405&lt;&gt;""),$AG$3:$AT$3),"Date: ","")))</t>
        </is>
      </c>
      <c r="AB405" s="38" t="inlineStr">
        <is>
          <t>IF(OR(E405="",COUNT(AG405:AT405)=0),"",TODAY()-LOOKUP(2,1/(AG405:AT405&lt;&gt;""),AG405:AT405))</t>
        </is>
      </c>
      <c r="AC405" s="38" t="inlineStr">
        <is>
          <t>IF(OR(E405="",COUNT(AG405:AT405)&lt;2),"",LOOKUP(2,1/(AG405:AT405&lt;&gt;""),AG405:AT405)-MIN(AG405:AT405))</t>
        </is>
      </c>
      <c r="AD405" s="38" t="inlineStr">
        <is>
          <t>IF(OR(AB405="",AA405="Not started",AA405=""),"",IFERROR(AB405-IF(VLOOKUP(AA405,'04_Status_Pipeline'!$B$3:$E$20,4,FALSE)="",0,VLOOKUP(AA405,'04_Status_Pipeline'!$B$3:$E$20,4,FALSE)),""))</t>
        </is>
      </c>
      <c r="AE405" s="32" t="inlineStr">
        <is>
          <t>IF(E405="","",IF(OR(Y405="Cancelled",AA405="Cancelled"),"Cancelled",IF(OR(AA405="Completed / Handover",W405&lt;&gt;"",X405&gt;=100),"Completed — on track",IF(L405="Remaining",IF(S405="",IF(V405="","No planned date",IF(TODAY()&gt;V405,"Behind — past planned date",IF(V405-TODAY()&lt;=30,"At risk — close to off track","On track"))),IF(TODAY()&gt;S405,"Behind — award date passed",IF(S405-TODAY()&lt;=30,"At risk — close to off track","On track"))),IF(V405="","No planned date",IF(AND(TODAY()&gt;V405,OR(X405="",X405&lt;100)),"Behind — past end date",IF(AND(R405&lt;&gt;"",V405&lt;&gt;"",X405&lt;&gt;"",(X405&lt;100),((TODAY()-R405)/MAX(V405-R405,1)*100)-X405&gt;15),"Behind — progress lag",IF(AND(V405-TODAY()&lt;=30,V405-TODAY()&gt;=0,OR(X405="",X405&lt;90)),"At risk — close to off track","On track"))))))))</t>
        </is>
      </c>
      <c r="AF405" s="38" t="inlineStr">
        <is>
          <t>IF(OR(E405="",AA405="Completed / Handover",AA405="Cancelled"),"",IF(L405="Remaining",IF(S405&lt;&gt;"",S405-TODAY(),IF(V405="","",V405-TODAY())),IF(V405="","",V405-TODAY())))</t>
        </is>
      </c>
      <c r="AG405" s="44" t="n"/>
      <c r="AH405" s="44" t="n"/>
      <c r="AI405" s="44" t="n"/>
      <c r="AJ405" s="44" t="n"/>
      <c r="AK405" s="44" t="n"/>
      <c r="AL405" s="44" t="n"/>
      <c r="AM405" s="44" t="n"/>
      <c r="AN405" s="44" t="n"/>
      <c r="AO405" s="44" t="n"/>
      <c r="AP405" s="44" t="n"/>
      <c r="AQ405" s="44" t="n"/>
      <c r="AR405" s="40" t="n"/>
      <c r="AS405" s="40" t="n"/>
      <c r="AT405" s="40" t="n"/>
      <c r="AU405" s="38" t="inlineStr">
        <is>
          <t>IF(OR(E405="",AH405=""),"",IF(COUNT(AG405:AG405)=0,"",AH405-LOOKUP(2,1/(AG405:AG405&lt;&gt;""),AG405:AG405)))</t>
        </is>
      </c>
      <c r="AV405" s="38" t="inlineStr">
        <is>
          <t>IF(OR(E405="",AI405=""),"",IF(COUNT(AG405:AH405)=0,"",AI405-LOOKUP(2,1/(AG405:AH405&lt;&gt;""),AG405:AH405)))</t>
        </is>
      </c>
      <c r="AW405" s="38" t="inlineStr">
        <is>
          <t>IF(OR(E405="",AJ405=""),"",IF(COUNT(AG405:AI405)=0,"",AJ405-LOOKUP(2,1/(AG405:AI405&lt;&gt;""),AG405:AI405)))</t>
        </is>
      </c>
      <c r="AX405" s="38" t="inlineStr">
        <is>
          <t>IF(OR(E405="",AK405=""),"",IF(COUNT(AG405:AJ405)=0,"",AK405-LOOKUP(2,1/(AG405:AJ405&lt;&gt;""),AG405:AJ405)))</t>
        </is>
      </c>
      <c r="AY405" s="38" t="inlineStr">
        <is>
          <t>IF(OR(E405="",AL405=""),"",IF(COUNT(AG405:AK405)=0,"",AL405-LOOKUP(2,1/(AG405:AK405&lt;&gt;""),AG405:AK405)))</t>
        </is>
      </c>
      <c r="AZ405" s="38" t="inlineStr">
        <is>
          <t>IF(OR(E405="",AM405=""),"",IF(COUNT(AG405:AL405)=0,"",AM405-LOOKUP(2,1/(AG405:AL405&lt;&gt;""),AG405:AL405)))</t>
        </is>
      </c>
      <c r="BA405" s="38" t="inlineStr">
        <is>
          <t>IF(OR(E405="",AN405=""),"",IF(COUNT(AG405:AM405)=0,"",AN405-LOOKUP(2,1/(AG405:AM405&lt;&gt;""),AG405:AM405)))</t>
        </is>
      </c>
      <c r="BB405" s="38" t="inlineStr">
        <is>
          <t>IF(OR(E405="",AO405=""),"",IF(COUNT(AG405:AN405)=0,"",AO405-LOOKUP(2,1/(AG405:AN405&lt;&gt;""),AG405:AN405)))</t>
        </is>
      </c>
      <c r="BC405" s="38" t="inlineStr">
        <is>
          <t>IF(OR(E405="",AP405=""),"",IF(COUNT(AG405:AO405)=0,"",AP405-LOOKUP(2,1/(AG405:AO405&lt;&gt;""),AG405:AO405)))</t>
        </is>
      </c>
      <c r="BD405" s="38" t="inlineStr">
        <is>
          <t>IF(OR(E405="",AQ405=""),"",IF(COUNT(AG405:AP405)=0,"",AQ405-LOOKUP(2,1/(AG405:AP405&lt;&gt;""),AG405:AP405)))</t>
        </is>
      </c>
      <c r="BE405" s="38" t="inlineStr">
        <is>
          <t>IF(OR(E405="",AR405=""),"",IF(COUNT(AG405:AQ405)=0,"",AR405-LOOKUP(2,1/(AG405:AQ405&lt;&gt;""),AG405:AQ405)))</t>
        </is>
      </c>
      <c r="BF405" s="38" t="inlineStr">
        <is>
          <t>IF(OR(E405="",AS405=""),"",IF(COUNT(AG405:AR405)=0,"",AS405-LOOKUP(2,1/(AG405:AR405&lt;&gt;""),AG405:AR405)))</t>
        </is>
      </c>
      <c r="BG405" s="38" t="inlineStr">
        <is>
          <t>IF(OR(E405="",AT405=""),"",IF(COUNT(AG405:AS405)=0,"",AT405-LOOKUP(2,1/(AG405:AS405&lt;&gt;""),AG405:AS405)))</t>
        </is>
      </c>
      <c r="BH405" s="41" t="inlineStr">
        <is>
          <t>IF(G405="","All_Provinces",IFERROR(VLOOKUP(G405,'07_Lookups'!$A$4:$B$20,2,FALSE),"All_Provinces"))</t>
        </is>
      </c>
      <c r="BI405" s="41" t="inlineStr">
        <is>
          <t>IF(H405="","All_Districts",IFERROR(VLOOKUP(H405,'07_Lookups'!$E$4:$F$42,2,FALSE),"All_Districts"))</t>
        </is>
      </c>
    </row>
    <row r="406" ht="18" customHeight="1">
      <c r="A406" s="32" t="inlineStr">
        <is>
          <t>IF(E406="","",ROW()-3)</t>
        </is>
      </c>
      <c r="B406" s="33" t="n"/>
      <c r="C406" s="33" t="n"/>
      <c r="D406" s="33" t="n"/>
      <c r="E406" s="33" t="n"/>
      <c r="F406" s="33" t="n"/>
      <c r="G406" s="33" t="n"/>
      <c r="H406" s="33" t="n"/>
      <c r="I406" s="33" t="n"/>
      <c r="J406" s="33" t="n"/>
      <c r="K406" s="33" t="n"/>
      <c r="L406" s="33" t="n"/>
      <c r="M406" s="33" t="n"/>
      <c r="N406" s="33" t="n"/>
      <c r="O406" s="33" t="n"/>
      <c r="P406" s="33" t="n"/>
      <c r="Q406" s="34" t="n"/>
      <c r="R406" s="35" t="inlineStr">
        <is>
          <t>IF(AO406="","",AO406)</t>
        </is>
      </c>
      <c r="S406" s="36" t="n"/>
      <c r="T406" s="37" t="n"/>
      <c r="U406" s="36" t="n"/>
      <c r="V406" s="35" t="inlineStr">
        <is>
          <t>IF(U406&lt;&gt;"",U406,IF(OR(R406="",T406=""),"",EDATE(R406,T406)))</t>
        </is>
      </c>
      <c r="W406" s="36" t="n"/>
      <c r="X406" s="37" t="n"/>
      <c r="Y406" s="33" t="n"/>
      <c r="Z406" s="33" t="n"/>
      <c r="AA406" s="32" t="inlineStr">
        <is>
          <t>IF(E406="","",IF(COUNT(AG406:AT406)=0,IF(Y406="","Not started",Y406),SUBSTITUTE(LOOKUP(2,1/(AG406:AT406&lt;&gt;""),$AG$3:$AT$3),"Date: ","")))</t>
        </is>
      </c>
      <c r="AB406" s="38" t="inlineStr">
        <is>
          <t>IF(OR(E406="",COUNT(AG406:AT406)=0),"",TODAY()-LOOKUP(2,1/(AG406:AT406&lt;&gt;""),AG406:AT406))</t>
        </is>
      </c>
      <c r="AC406" s="38" t="inlineStr">
        <is>
          <t>IF(OR(E406="",COUNT(AG406:AT406)&lt;2),"",LOOKUP(2,1/(AG406:AT406&lt;&gt;""),AG406:AT406)-MIN(AG406:AT406))</t>
        </is>
      </c>
      <c r="AD406" s="38" t="inlineStr">
        <is>
          <t>IF(OR(AB406="",AA406="Not started",AA406=""),"",IFERROR(AB406-IF(VLOOKUP(AA406,'04_Status_Pipeline'!$B$3:$E$20,4,FALSE)="",0,VLOOKUP(AA406,'04_Status_Pipeline'!$B$3:$E$20,4,FALSE)),""))</t>
        </is>
      </c>
      <c r="AE406" s="32" t="inlineStr">
        <is>
          <t>IF(E406="","",IF(OR(Y406="Cancelled",AA406="Cancelled"),"Cancelled",IF(OR(AA406="Completed / Handover",W406&lt;&gt;"",X406&gt;=100),"Completed — on track",IF(L406="Remaining",IF(S406="",IF(V406="","No planned date",IF(TODAY()&gt;V406,"Behind — past planned date",IF(V406-TODAY()&lt;=30,"At risk — close to off track","On track"))),IF(TODAY()&gt;S406,"Behind — award date passed",IF(S406-TODAY()&lt;=30,"At risk — close to off track","On track"))),IF(V406="","No planned date",IF(AND(TODAY()&gt;V406,OR(X406="",X406&lt;100)),"Behind — past end date",IF(AND(R406&lt;&gt;"",V406&lt;&gt;"",X406&lt;&gt;"",(X406&lt;100),((TODAY()-R406)/MAX(V406-R406,1)*100)-X406&gt;15),"Behind — progress lag",IF(AND(V406-TODAY()&lt;=30,V406-TODAY()&gt;=0,OR(X406="",X406&lt;90)),"At risk — close to off track","On track"))))))))</t>
        </is>
      </c>
      <c r="AF406" s="38" t="inlineStr">
        <is>
          <t>IF(OR(E406="",AA406="Completed / Handover",AA406="Cancelled"),"",IF(L406="Remaining",IF(S406&lt;&gt;"",S406-TODAY(),IF(V406="","",V406-TODAY())),IF(V406="","",V406-TODAY())))</t>
        </is>
      </c>
      <c r="AG406" s="36" t="n"/>
      <c r="AH406" s="36" t="n"/>
      <c r="AI406" s="36" t="n"/>
      <c r="AJ406" s="36" t="n"/>
      <c r="AK406" s="36" t="n"/>
      <c r="AL406" s="36" t="n"/>
      <c r="AM406" s="36" t="n"/>
      <c r="AN406" s="36" t="n"/>
      <c r="AO406" s="36" t="n"/>
      <c r="AP406" s="36" t="n"/>
      <c r="AQ406" s="36" t="n"/>
      <c r="AR406" s="40" t="n"/>
      <c r="AS406" s="40" t="n"/>
      <c r="AT406" s="40" t="n"/>
      <c r="AU406" s="38" t="inlineStr">
        <is>
          <t>IF(OR(E406="",AH406=""),"",IF(COUNT(AG406:AG406)=0,"",AH406-LOOKUP(2,1/(AG406:AG406&lt;&gt;""),AG406:AG406)))</t>
        </is>
      </c>
      <c r="AV406" s="38" t="inlineStr">
        <is>
          <t>IF(OR(E406="",AI406=""),"",IF(COUNT(AG406:AH406)=0,"",AI406-LOOKUP(2,1/(AG406:AH406&lt;&gt;""),AG406:AH406)))</t>
        </is>
      </c>
      <c r="AW406" s="38" t="inlineStr">
        <is>
          <t>IF(OR(E406="",AJ406=""),"",IF(COUNT(AG406:AI406)=0,"",AJ406-LOOKUP(2,1/(AG406:AI406&lt;&gt;""),AG406:AI406)))</t>
        </is>
      </c>
      <c r="AX406" s="38" t="inlineStr">
        <is>
          <t>IF(OR(E406="",AK406=""),"",IF(COUNT(AG406:AJ406)=0,"",AK406-LOOKUP(2,1/(AG406:AJ406&lt;&gt;""),AG406:AJ406)))</t>
        </is>
      </c>
      <c r="AY406" s="38" t="inlineStr">
        <is>
          <t>IF(OR(E406="",AL406=""),"",IF(COUNT(AG406:AK406)=0,"",AL406-LOOKUP(2,1/(AG406:AK406&lt;&gt;""),AG406:AK406)))</t>
        </is>
      </c>
      <c r="AZ406" s="38" t="inlineStr">
        <is>
          <t>IF(OR(E406="",AM406=""),"",IF(COUNT(AG406:AL406)=0,"",AM406-LOOKUP(2,1/(AG406:AL406&lt;&gt;""),AG406:AL406)))</t>
        </is>
      </c>
      <c r="BA406" s="38" t="inlineStr">
        <is>
          <t>IF(OR(E406="",AN406=""),"",IF(COUNT(AG406:AM406)=0,"",AN406-LOOKUP(2,1/(AG406:AM406&lt;&gt;""),AG406:AM406)))</t>
        </is>
      </c>
      <c r="BB406" s="38" t="inlineStr">
        <is>
          <t>IF(OR(E406="",AO406=""),"",IF(COUNT(AG406:AN406)=0,"",AO406-LOOKUP(2,1/(AG406:AN406&lt;&gt;""),AG406:AN406)))</t>
        </is>
      </c>
      <c r="BC406" s="38" t="inlineStr">
        <is>
          <t>IF(OR(E406="",AP406=""),"",IF(COUNT(AG406:AO406)=0,"",AP406-LOOKUP(2,1/(AG406:AO406&lt;&gt;""),AG406:AO406)))</t>
        </is>
      </c>
      <c r="BD406" s="38" t="inlineStr">
        <is>
          <t>IF(OR(E406="",AQ406=""),"",IF(COUNT(AG406:AP406)=0,"",AQ406-LOOKUP(2,1/(AG406:AP406&lt;&gt;""),AG406:AP406)))</t>
        </is>
      </c>
      <c r="BE406" s="38" t="inlineStr">
        <is>
          <t>IF(OR(E406="",AR406=""),"",IF(COUNT(AG406:AQ406)=0,"",AR406-LOOKUP(2,1/(AG406:AQ406&lt;&gt;""),AG406:AQ406)))</t>
        </is>
      </c>
      <c r="BF406" s="38" t="inlineStr">
        <is>
          <t>IF(OR(E406="",AS406=""),"",IF(COUNT(AG406:AR406)=0,"",AS406-LOOKUP(2,1/(AG406:AR406&lt;&gt;""),AG406:AR406)))</t>
        </is>
      </c>
      <c r="BG406" s="38" t="inlineStr">
        <is>
          <t>IF(OR(E406="",AT406=""),"",IF(COUNT(AG406:AS406)=0,"",AT406-LOOKUP(2,1/(AG406:AS406&lt;&gt;""),AG406:AS406)))</t>
        </is>
      </c>
      <c r="BH406" s="41" t="inlineStr">
        <is>
          <t>IF(G406="","All_Provinces",IFERROR(VLOOKUP(G406,'07_Lookups'!$A$4:$B$20,2,FALSE),"All_Provinces"))</t>
        </is>
      </c>
      <c r="BI406" s="41" t="inlineStr">
        <is>
          <t>IF(H406="","All_Districts",IFERROR(VLOOKUP(H406,'07_Lookups'!$E$4:$F$42,2,FALSE),"All_Districts"))</t>
        </is>
      </c>
    </row>
    <row r="407" ht="18" customHeight="1">
      <c r="A407" s="32" t="inlineStr">
        <is>
          <t>IF(E407="","",ROW()-3)</t>
        </is>
      </c>
      <c r="B407" s="42" t="n"/>
      <c r="C407" s="42" t="n"/>
      <c r="D407" s="42" t="n"/>
      <c r="E407" s="42" t="n"/>
      <c r="F407" s="42" t="n"/>
      <c r="G407" s="42" t="n"/>
      <c r="H407" s="42" t="n"/>
      <c r="I407" s="42" t="n"/>
      <c r="J407" s="42" t="n"/>
      <c r="K407" s="42" t="n"/>
      <c r="L407" s="42" t="n"/>
      <c r="M407" s="42" t="n"/>
      <c r="N407" s="42" t="n"/>
      <c r="O407" s="42" t="n"/>
      <c r="P407" s="42" t="n"/>
      <c r="Q407" s="43" t="n"/>
      <c r="R407" s="35" t="inlineStr">
        <is>
          <t>IF(AO407="","",AO407)</t>
        </is>
      </c>
      <c r="S407" s="44" t="n"/>
      <c r="T407" s="45" t="n"/>
      <c r="U407" s="44" t="n"/>
      <c r="V407" s="35" t="inlineStr">
        <is>
          <t>IF(U407&lt;&gt;"",U407,IF(OR(R407="",T407=""),"",EDATE(R407,T407)))</t>
        </is>
      </c>
      <c r="W407" s="44" t="n"/>
      <c r="X407" s="45" t="n"/>
      <c r="Y407" s="42" t="n"/>
      <c r="Z407" s="42" t="n"/>
      <c r="AA407" s="32" t="inlineStr">
        <is>
          <t>IF(E407="","",IF(COUNT(AG407:AT407)=0,IF(Y407="","Not started",Y407),SUBSTITUTE(LOOKUP(2,1/(AG407:AT407&lt;&gt;""),$AG$3:$AT$3),"Date: ","")))</t>
        </is>
      </c>
      <c r="AB407" s="38" t="inlineStr">
        <is>
          <t>IF(OR(E407="",COUNT(AG407:AT407)=0),"",TODAY()-LOOKUP(2,1/(AG407:AT407&lt;&gt;""),AG407:AT407))</t>
        </is>
      </c>
      <c r="AC407" s="38" t="inlineStr">
        <is>
          <t>IF(OR(E407="",COUNT(AG407:AT407)&lt;2),"",LOOKUP(2,1/(AG407:AT407&lt;&gt;""),AG407:AT407)-MIN(AG407:AT407))</t>
        </is>
      </c>
      <c r="AD407" s="38" t="inlineStr">
        <is>
          <t>IF(OR(AB407="",AA407="Not started",AA407=""),"",IFERROR(AB407-IF(VLOOKUP(AA407,'04_Status_Pipeline'!$B$3:$E$20,4,FALSE)="",0,VLOOKUP(AA407,'04_Status_Pipeline'!$B$3:$E$20,4,FALSE)),""))</t>
        </is>
      </c>
      <c r="AE407" s="32" t="inlineStr">
        <is>
          <t>IF(E407="","",IF(OR(Y407="Cancelled",AA407="Cancelled"),"Cancelled",IF(OR(AA407="Completed / Handover",W407&lt;&gt;"",X407&gt;=100),"Completed — on track",IF(L407="Remaining",IF(S407="",IF(V407="","No planned date",IF(TODAY()&gt;V407,"Behind — past planned date",IF(V407-TODAY()&lt;=30,"At risk — close to off track","On track"))),IF(TODAY()&gt;S407,"Behind — award date passed",IF(S407-TODAY()&lt;=30,"At risk — close to off track","On track"))),IF(V407="","No planned date",IF(AND(TODAY()&gt;V407,OR(X407="",X407&lt;100)),"Behind — past end date",IF(AND(R407&lt;&gt;"",V407&lt;&gt;"",X407&lt;&gt;"",(X407&lt;100),((TODAY()-R407)/MAX(V407-R407,1)*100)-X407&gt;15),"Behind — progress lag",IF(AND(V407-TODAY()&lt;=30,V407-TODAY()&gt;=0,OR(X407="",X407&lt;90)),"At risk — close to off track","On track"))))))))</t>
        </is>
      </c>
      <c r="AF407" s="38" t="inlineStr">
        <is>
          <t>IF(OR(E407="",AA407="Completed / Handover",AA407="Cancelled"),"",IF(L407="Remaining",IF(S407&lt;&gt;"",S407-TODAY(),IF(V407="","",V407-TODAY())),IF(V407="","",V407-TODAY())))</t>
        </is>
      </c>
      <c r="AG407" s="44" t="n"/>
      <c r="AH407" s="44" t="n"/>
      <c r="AI407" s="44" t="n"/>
      <c r="AJ407" s="44" t="n"/>
      <c r="AK407" s="44" t="n"/>
      <c r="AL407" s="44" t="n"/>
      <c r="AM407" s="44" t="n"/>
      <c r="AN407" s="44" t="n"/>
      <c r="AO407" s="44" t="n"/>
      <c r="AP407" s="44" t="n"/>
      <c r="AQ407" s="44" t="n"/>
      <c r="AR407" s="40" t="n"/>
      <c r="AS407" s="40" t="n"/>
      <c r="AT407" s="40" t="n"/>
      <c r="AU407" s="38" t="inlineStr">
        <is>
          <t>IF(OR(E407="",AH407=""),"",IF(COUNT(AG407:AG407)=0,"",AH407-LOOKUP(2,1/(AG407:AG407&lt;&gt;""),AG407:AG407)))</t>
        </is>
      </c>
      <c r="AV407" s="38" t="inlineStr">
        <is>
          <t>IF(OR(E407="",AI407=""),"",IF(COUNT(AG407:AH407)=0,"",AI407-LOOKUP(2,1/(AG407:AH407&lt;&gt;""),AG407:AH407)))</t>
        </is>
      </c>
      <c r="AW407" s="38" t="inlineStr">
        <is>
          <t>IF(OR(E407="",AJ407=""),"",IF(COUNT(AG407:AI407)=0,"",AJ407-LOOKUP(2,1/(AG407:AI407&lt;&gt;""),AG407:AI407)))</t>
        </is>
      </c>
      <c r="AX407" s="38" t="inlineStr">
        <is>
          <t>IF(OR(E407="",AK407=""),"",IF(COUNT(AG407:AJ407)=0,"",AK407-LOOKUP(2,1/(AG407:AJ407&lt;&gt;""),AG407:AJ407)))</t>
        </is>
      </c>
      <c r="AY407" s="38" t="inlineStr">
        <is>
          <t>IF(OR(E407="",AL407=""),"",IF(COUNT(AG407:AK407)=0,"",AL407-LOOKUP(2,1/(AG407:AK407&lt;&gt;""),AG407:AK407)))</t>
        </is>
      </c>
      <c r="AZ407" s="38" t="inlineStr">
        <is>
          <t>IF(OR(E407="",AM407=""),"",IF(COUNT(AG407:AL407)=0,"",AM407-LOOKUP(2,1/(AG407:AL407&lt;&gt;""),AG407:AL407)))</t>
        </is>
      </c>
      <c r="BA407" s="38" t="inlineStr">
        <is>
          <t>IF(OR(E407="",AN407=""),"",IF(COUNT(AG407:AM407)=0,"",AN407-LOOKUP(2,1/(AG407:AM407&lt;&gt;""),AG407:AM407)))</t>
        </is>
      </c>
      <c r="BB407" s="38" t="inlineStr">
        <is>
          <t>IF(OR(E407="",AO407=""),"",IF(COUNT(AG407:AN407)=0,"",AO407-LOOKUP(2,1/(AG407:AN407&lt;&gt;""),AG407:AN407)))</t>
        </is>
      </c>
      <c r="BC407" s="38" t="inlineStr">
        <is>
          <t>IF(OR(E407="",AP407=""),"",IF(COUNT(AG407:AO407)=0,"",AP407-LOOKUP(2,1/(AG407:AO407&lt;&gt;""),AG407:AO407)))</t>
        </is>
      </c>
      <c r="BD407" s="38" t="inlineStr">
        <is>
          <t>IF(OR(E407="",AQ407=""),"",IF(COUNT(AG407:AP407)=0,"",AQ407-LOOKUP(2,1/(AG407:AP407&lt;&gt;""),AG407:AP407)))</t>
        </is>
      </c>
      <c r="BE407" s="38" t="inlineStr">
        <is>
          <t>IF(OR(E407="",AR407=""),"",IF(COUNT(AG407:AQ407)=0,"",AR407-LOOKUP(2,1/(AG407:AQ407&lt;&gt;""),AG407:AQ407)))</t>
        </is>
      </c>
      <c r="BF407" s="38" t="inlineStr">
        <is>
          <t>IF(OR(E407="",AS407=""),"",IF(COUNT(AG407:AR407)=0,"",AS407-LOOKUP(2,1/(AG407:AR407&lt;&gt;""),AG407:AR407)))</t>
        </is>
      </c>
      <c r="BG407" s="38" t="inlineStr">
        <is>
          <t>IF(OR(E407="",AT407=""),"",IF(COUNT(AG407:AS407)=0,"",AT407-LOOKUP(2,1/(AG407:AS407&lt;&gt;""),AG407:AS407)))</t>
        </is>
      </c>
      <c r="BH407" s="41" t="inlineStr">
        <is>
          <t>IF(G407="","All_Provinces",IFERROR(VLOOKUP(G407,'07_Lookups'!$A$4:$B$20,2,FALSE),"All_Provinces"))</t>
        </is>
      </c>
      <c r="BI407" s="41" t="inlineStr">
        <is>
          <t>IF(H407="","All_Districts",IFERROR(VLOOKUP(H407,'07_Lookups'!$E$4:$F$42,2,FALSE),"All_Districts"))</t>
        </is>
      </c>
    </row>
    <row r="408" ht="18" customHeight="1">
      <c r="A408" s="32" t="inlineStr">
        <is>
          <t>IF(E408="","",ROW()-3)</t>
        </is>
      </c>
      <c r="B408" s="33" t="n"/>
      <c r="C408" s="33" t="n"/>
      <c r="D408" s="33" t="n"/>
      <c r="E408" s="33" t="n"/>
      <c r="F408" s="33" t="n"/>
      <c r="G408" s="33" t="n"/>
      <c r="H408" s="33" t="n"/>
      <c r="I408" s="33" t="n"/>
      <c r="J408" s="33" t="n"/>
      <c r="K408" s="33" t="n"/>
      <c r="L408" s="33" t="n"/>
      <c r="M408" s="33" t="n"/>
      <c r="N408" s="33" t="n"/>
      <c r="O408" s="33" t="n"/>
      <c r="P408" s="33" t="n"/>
      <c r="Q408" s="34" t="n"/>
      <c r="R408" s="35" t="inlineStr">
        <is>
          <t>IF(AO408="","",AO408)</t>
        </is>
      </c>
      <c r="S408" s="36" t="n"/>
      <c r="T408" s="37" t="n"/>
      <c r="U408" s="36" t="n"/>
      <c r="V408" s="35" t="inlineStr">
        <is>
          <t>IF(U408&lt;&gt;"",U408,IF(OR(R408="",T408=""),"",EDATE(R408,T408)))</t>
        </is>
      </c>
      <c r="W408" s="36" t="n"/>
      <c r="X408" s="37" t="n"/>
      <c r="Y408" s="33" t="n"/>
      <c r="Z408" s="33" t="n"/>
      <c r="AA408" s="32" t="inlineStr">
        <is>
          <t>IF(E408="","",IF(COUNT(AG408:AT408)=0,IF(Y408="","Not started",Y408),SUBSTITUTE(LOOKUP(2,1/(AG408:AT408&lt;&gt;""),$AG$3:$AT$3),"Date: ","")))</t>
        </is>
      </c>
      <c r="AB408" s="38" t="inlineStr">
        <is>
          <t>IF(OR(E408="",COUNT(AG408:AT408)=0),"",TODAY()-LOOKUP(2,1/(AG408:AT408&lt;&gt;""),AG408:AT408))</t>
        </is>
      </c>
      <c r="AC408" s="38" t="inlineStr">
        <is>
          <t>IF(OR(E408="",COUNT(AG408:AT408)&lt;2),"",LOOKUP(2,1/(AG408:AT408&lt;&gt;""),AG408:AT408)-MIN(AG408:AT408))</t>
        </is>
      </c>
      <c r="AD408" s="38" t="inlineStr">
        <is>
          <t>IF(OR(AB408="",AA408="Not started",AA408=""),"",IFERROR(AB408-IF(VLOOKUP(AA408,'04_Status_Pipeline'!$B$3:$E$20,4,FALSE)="",0,VLOOKUP(AA408,'04_Status_Pipeline'!$B$3:$E$20,4,FALSE)),""))</t>
        </is>
      </c>
      <c r="AE408" s="32" t="inlineStr">
        <is>
          <t>IF(E408="","",IF(OR(Y408="Cancelled",AA408="Cancelled"),"Cancelled",IF(OR(AA408="Completed / Handover",W408&lt;&gt;"",X408&gt;=100),"Completed — on track",IF(L408="Remaining",IF(S408="",IF(V408="","No planned date",IF(TODAY()&gt;V408,"Behind — past planned date",IF(V408-TODAY()&lt;=30,"At risk — close to off track","On track"))),IF(TODAY()&gt;S408,"Behind — award date passed",IF(S408-TODAY()&lt;=30,"At risk — close to off track","On track"))),IF(V408="","No planned date",IF(AND(TODAY()&gt;V408,OR(X408="",X408&lt;100)),"Behind — past end date",IF(AND(R408&lt;&gt;"",V408&lt;&gt;"",X408&lt;&gt;"",(X408&lt;100),((TODAY()-R408)/MAX(V408-R408,1)*100)-X408&gt;15),"Behind — progress lag",IF(AND(V408-TODAY()&lt;=30,V408-TODAY()&gt;=0,OR(X408="",X408&lt;90)),"At risk — close to off track","On track"))))))))</t>
        </is>
      </c>
      <c r="AF408" s="38" t="inlineStr">
        <is>
          <t>IF(OR(E408="",AA408="Completed / Handover",AA408="Cancelled"),"",IF(L408="Remaining",IF(S408&lt;&gt;"",S408-TODAY(),IF(V408="","",V408-TODAY())),IF(V408="","",V408-TODAY())))</t>
        </is>
      </c>
      <c r="AG408" s="36" t="n"/>
      <c r="AH408" s="36" t="n"/>
      <c r="AI408" s="36" t="n"/>
      <c r="AJ408" s="36" t="n"/>
      <c r="AK408" s="36" t="n"/>
      <c r="AL408" s="36" t="n"/>
      <c r="AM408" s="36" t="n"/>
      <c r="AN408" s="36" t="n"/>
      <c r="AO408" s="36" t="n"/>
      <c r="AP408" s="36" t="n"/>
      <c r="AQ408" s="36" t="n"/>
      <c r="AR408" s="40" t="n"/>
      <c r="AS408" s="40" t="n"/>
      <c r="AT408" s="40" t="n"/>
      <c r="AU408" s="38" t="inlineStr">
        <is>
          <t>IF(OR(E408="",AH408=""),"",IF(COUNT(AG408:AG408)=0,"",AH408-LOOKUP(2,1/(AG408:AG408&lt;&gt;""),AG408:AG408)))</t>
        </is>
      </c>
      <c r="AV408" s="38" t="inlineStr">
        <is>
          <t>IF(OR(E408="",AI408=""),"",IF(COUNT(AG408:AH408)=0,"",AI408-LOOKUP(2,1/(AG408:AH408&lt;&gt;""),AG408:AH408)))</t>
        </is>
      </c>
      <c r="AW408" s="38" t="inlineStr">
        <is>
          <t>IF(OR(E408="",AJ408=""),"",IF(COUNT(AG408:AI408)=0,"",AJ408-LOOKUP(2,1/(AG408:AI408&lt;&gt;""),AG408:AI408)))</t>
        </is>
      </c>
      <c r="AX408" s="38" t="inlineStr">
        <is>
          <t>IF(OR(E408="",AK408=""),"",IF(COUNT(AG408:AJ408)=0,"",AK408-LOOKUP(2,1/(AG408:AJ408&lt;&gt;""),AG408:AJ408)))</t>
        </is>
      </c>
      <c r="AY408" s="38" t="inlineStr">
        <is>
          <t>IF(OR(E408="",AL408=""),"",IF(COUNT(AG408:AK408)=0,"",AL408-LOOKUP(2,1/(AG408:AK408&lt;&gt;""),AG408:AK408)))</t>
        </is>
      </c>
      <c r="AZ408" s="38" t="inlineStr">
        <is>
          <t>IF(OR(E408="",AM408=""),"",IF(COUNT(AG408:AL408)=0,"",AM408-LOOKUP(2,1/(AG408:AL408&lt;&gt;""),AG408:AL408)))</t>
        </is>
      </c>
      <c r="BA408" s="38" t="inlineStr">
        <is>
          <t>IF(OR(E408="",AN408=""),"",IF(COUNT(AG408:AM408)=0,"",AN408-LOOKUP(2,1/(AG408:AM408&lt;&gt;""),AG408:AM408)))</t>
        </is>
      </c>
      <c r="BB408" s="38" t="inlineStr">
        <is>
          <t>IF(OR(E408="",AO408=""),"",IF(COUNT(AG408:AN408)=0,"",AO408-LOOKUP(2,1/(AG408:AN408&lt;&gt;""),AG408:AN408)))</t>
        </is>
      </c>
      <c r="BC408" s="38" t="inlineStr">
        <is>
          <t>IF(OR(E408="",AP408=""),"",IF(COUNT(AG408:AO408)=0,"",AP408-LOOKUP(2,1/(AG408:AO408&lt;&gt;""),AG408:AO408)))</t>
        </is>
      </c>
      <c r="BD408" s="38" t="inlineStr">
        <is>
          <t>IF(OR(E408="",AQ408=""),"",IF(COUNT(AG408:AP408)=0,"",AQ408-LOOKUP(2,1/(AG408:AP408&lt;&gt;""),AG408:AP408)))</t>
        </is>
      </c>
      <c r="BE408" s="38" t="inlineStr">
        <is>
          <t>IF(OR(E408="",AR408=""),"",IF(COUNT(AG408:AQ408)=0,"",AR408-LOOKUP(2,1/(AG408:AQ408&lt;&gt;""),AG408:AQ408)))</t>
        </is>
      </c>
      <c r="BF408" s="38" t="inlineStr">
        <is>
          <t>IF(OR(E408="",AS408=""),"",IF(COUNT(AG408:AR408)=0,"",AS408-LOOKUP(2,1/(AG408:AR408&lt;&gt;""),AG408:AR408)))</t>
        </is>
      </c>
      <c r="BG408" s="38" t="inlineStr">
        <is>
          <t>IF(OR(E408="",AT408=""),"",IF(COUNT(AG408:AS408)=0,"",AT408-LOOKUP(2,1/(AG408:AS408&lt;&gt;""),AG408:AS408)))</t>
        </is>
      </c>
      <c r="BH408" s="41" t="inlineStr">
        <is>
          <t>IF(G408="","All_Provinces",IFERROR(VLOOKUP(G408,'07_Lookups'!$A$4:$B$20,2,FALSE),"All_Provinces"))</t>
        </is>
      </c>
      <c r="BI408" s="41" t="inlineStr">
        <is>
          <t>IF(H408="","All_Districts",IFERROR(VLOOKUP(H408,'07_Lookups'!$E$4:$F$42,2,FALSE),"All_Districts"))</t>
        </is>
      </c>
    </row>
    <row r="409" ht="18" customHeight="1">
      <c r="A409" s="32" t="inlineStr">
        <is>
          <t>IF(E409="","",ROW()-3)</t>
        </is>
      </c>
      <c r="B409" s="42" t="n"/>
      <c r="C409" s="42" t="n"/>
      <c r="D409" s="42" t="n"/>
      <c r="E409" s="42" t="n"/>
      <c r="F409" s="42" t="n"/>
      <c r="G409" s="42" t="n"/>
      <c r="H409" s="42" t="n"/>
      <c r="I409" s="42" t="n"/>
      <c r="J409" s="42" t="n"/>
      <c r="K409" s="42" t="n"/>
      <c r="L409" s="42" t="n"/>
      <c r="M409" s="42" t="n"/>
      <c r="N409" s="42" t="n"/>
      <c r="O409" s="42" t="n"/>
      <c r="P409" s="42" t="n"/>
      <c r="Q409" s="43" t="n"/>
      <c r="R409" s="35" t="inlineStr">
        <is>
          <t>IF(AO409="","",AO409)</t>
        </is>
      </c>
      <c r="S409" s="44" t="n"/>
      <c r="T409" s="45" t="n"/>
      <c r="U409" s="44" t="n"/>
      <c r="V409" s="35" t="inlineStr">
        <is>
          <t>IF(U409&lt;&gt;"",U409,IF(OR(R409="",T409=""),"",EDATE(R409,T409)))</t>
        </is>
      </c>
      <c r="W409" s="44" t="n"/>
      <c r="X409" s="45" t="n"/>
      <c r="Y409" s="42" t="n"/>
      <c r="Z409" s="42" t="n"/>
      <c r="AA409" s="32" t="inlineStr">
        <is>
          <t>IF(E409="","",IF(COUNT(AG409:AT409)=0,IF(Y409="","Not started",Y409),SUBSTITUTE(LOOKUP(2,1/(AG409:AT409&lt;&gt;""),$AG$3:$AT$3),"Date: ","")))</t>
        </is>
      </c>
      <c r="AB409" s="38" t="inlineStr">
        <is>
          <t>IF(OR(E409="",COUNT(AG409:AT409)=0),"",TODAY()-LOOKUP(2,1/(AG409:AT409&lt;&gt;""),AG409:AT409))</t>
        </is>
      </c>
      <c r="AC409" s="38" t="inlineStr">
        <is>
          <t>IF(OR(E409="",COUNT(AG409:AT409)&lt;2),"",LOOKUP(2,1/(AG409:AT409&lt;&gt;""),AG409:AT409)-MIN(AG409:AT409))</t>
        </is>
      </c>
      <c r="AD409" s="38" t="inlineStr">
        <is>
          <t>IF(OR(AB409="",AA409="Not started",AA409=""),"",IFERROR(AB409-IF(VLOOKUP(AA409,'04_Status_Pipeline'!$B$3:$E$20,4,FALSE)="",0,VLOOKUP(AA409,'04_Status_Pipeline'!$B$3:$E$20,4,FALSE)),""))</t>
        </is>
      </c>
      <c r="AE409" s="32" t="inlineStr">
        <is>
          <t>IF(E409="","",IF(OR(Y409="Cancelled",AA409="Cancelled"),"Cancelled",IF(OR(AA409="Completed / Handover",W409&lt;&gt;"",X409&gt;=100),"Completed — on track",IF(L409="Remaining",IF(S409="",IF(V409="","No planned date",IF(TODAY()&gt;V409,"Behind — past planned date",IF(V409-TODAY()&lt;=30,"At risk — close to off track","On track"))),IF(TODAY()&gt;S409,"Behind — award date passed",IF(S409-TODAY()&lt;=30,"At risk — close to off track","On track"))),IF(V409="","No planned date",IF(AND(TODAY()&gt;V409,OR(X409="",X409&lt;100)),"Behind — past end date",IF(AND(R409&lt;&gt;"",V409&lt;&gt;"",X409&lt;&gt;"",(X409&lt;100),((TODAY()-R409)/MAX(V409-R409,1)*100)-X409&gt;15),"Behind — progress lag",IF(AND(V409-TODAY()&lt;=30,V409-TODAY()&gt;=0,OR(X409="",X409&lt;90)),"At risk — close to off track","On track"))))))))</t>
        </is>
      </c>
      <c r="AF409" s="38" t="inlineStr">
        <is>
          <t>IF(OR(E409="",AA409="Completed / Handover",AA409="Cancelled"),"",IF(L409="Remaining",IF(S409&lt;&gt;"",S409-TODAY(),IF(V409="","",V409-TODAY())),IF(V409="","",V409-TODAY())))</t>
        </is>
      </c>
      <c r="AG409" s="44" t="n"/>
      <c r="AH409" s="44" t="n"/>
      <c r="AI409" s="44" t="n"/>
      <c r="AJ409" s="44" t="n"/>
      <c r="AK409" s="44" t="n"/>
      <c r="AL409" s="44" t="n"/>
      <c r="AM409" s="44" t="n"/>
      <c r="AN409" s="44" t="n"/>
      <c r="AO409" s="44" t="n"/>
      <c r="AP409" s="44" t="n"/>
      <c r="AQ409" s="44" t="n"/>
      <c r="AR409" s="40" t="n"/>
      <c r="AS409" s="40" t="n"/>
      <c r="AT409" s="40" t="n"/>
      <c r="AU409" s="38" t="inlineStr">
        <is>
          <t>IF(OR(E409="",AH409=""),"",IF(COUNT(AG409:AG409)=0,"",AH409-LOOKUP(2,1/(AG409:AG409&lt;&gt;""),AG409:AG409)))</t>
        </is>
      </c>
      <c r="AV409" s="38" t="inlineStr">
        <is>
          <t>IF(OR(E409="",AI409=""),"",IF(COUNT(AG409:AH409)=0,"",AI409-LOOKUP(2,1/(AG409:AH409&lt;&gt;""),AG409:AH409)))</t>
        </is>
      </c>
      <c r="AW409" s="38" t="inlineStr">
        <is>
          <t>IF(OR(E409="",AJ409=""),"",IF(COUNT(AG409:AI409)=0,"",AJ409-LOOKUP(2,1/(AG409:AI409&lt;&gt;""),AG409:AI409)))</t>
        </is>
      </c>
      <c r="AX409" s="38" t="inlineStr">
        <is>
          <t>IF(OR(E409="",AK409=""),"",IF(COUNT(AG409:AJ409)=0,"",AK409-LOOKUP(2,1/(AG409:AJ409&lt;&gt;""),AG409:AJ409)))</t>
        </is>
      </c>
      <c r="AY409" s="38" t="inlineStr">
        <is>
          <t>IF(OR(E409="",AL409=""),"",IF(COUNT(AG409:AK409)=0,"",AL409-LOOKUP(2,1/(AG409:AK409&lt;&gt;""),AG409:AK409)))</t>
        </is>
      </c>
      <c r="AZ409" s="38" t="inlineStr">
        <is>
          <t>IF(OR(E409="",AM409=""),"",IF(COUNT(AG409:AL409)=0,"",AM409-LOOKUP(2,1/(AG409:AL409&lt;&gt;""),AG409:AL409)))</t>
        </is>
      </c>
      <c r="BA409" s="38" t="inlineStr">
        <is>
          <t>IF(OR(E409="",AN409=""),"",IF(COUNT(AG409:AM409)=0,"",AN409-LOOKUP(2,1/(AG409:AM409&lt;&gt;""),AG409:AM409)))</t>
        </is>
      </c>
      <c r="BB409" s="38" t="inlineStr">
        <is>
          <t>IF(OR(E409="",AO409=""),"",IF(COUNT(AG409:AN409)=0,"",AO409-LOOKUP(2,1/(AG409:AN409&lt;&gt;""),AG409:AN409)))</t>
        </is>
      </c>
      <c r="BC409" s="38" t="inlineStr">
        <is>
          <t>IF(OR(E409="",AP409=""),"",IF(COUNT(AG409:AO409)=0,"",AP409-LOOKUP(2,1/(AG409:AO409&lt;&gt;""),AG409:AO409)))</t>
        </is>
      </c>
      <c r="BD409" s="38" t="inlineStr">
        <is>
          <t>IF(OR(E409="",AQ409=""),"",IF(COUNT(AG409:AP409)=0,"",AQ409-LOOKUP(2,1/(AG409:AP409&lt;&gt;""),AG409:AP409)))</t>
        </is>
      </c>
      <c r="BE409" s="38" t="inlineStr">
        <is>
          <t>IF(OR(E409="",AR409=""),"",IF(COUNT(AG409:AQ409)=0,"",AR409-LOOKUP(2,1/(AG409:AQ409&lt;&gt;""),AG409:AQ409)))</t>
        </is>
      </c>
      <c r="BF409" s="38" t="inlineStr">
        <is>
          <t>IF(OR(E409="",AS409=""),"",IF(COUNT(AG409:AR409)=0,"",AS409-LOOKUP(2,1/(AG409:AR409&lt;&gt;""),AG409:AR409)))</t>
        </is>
      </c>
      <c r="BG409" s="38" t="inlineStr">
        <is>
          <t>IF(OR(E409="",AT409=""),"",IF(COUNT(AG409:AS409)=0,"",AT409-LOOKUP(2,1/(AG409:AS409&lt;&gt;""),AG409:AS409)))</t>
        </is>
      </c>
      <c r="BH409" s="41" t="inlineStr">
        <is>
          <t>IF(G409="","All_Provinces",IFERROR(VLOOKUP(G409,'07_Lookups'!$A$4:$B$20,2,FALSE),"All_Provinces"))</t>
        </is>
      </c>
      <c r="BI409" s="41" t="inlineStr">
        <is>
          <t>IF(H409="","All_Districts",IFERROR(VLOOKUP(H409,'07_Lookups'!$E$4:$F$42,2,FALSE),"All_Districts"))</t>
        </is>
      </c>
    </row>
    <row r="410" ht="18" customHeight="1">
      <c r="A410" s="32" t="inlineStr">
        <is>
          <t>IF(E410="","",ROW()-3)</t>
        </is>
      </c>
      <c r="B410" s="33" t="n"/>
      <c r="C410" s="33" t="n"/>
      <c r="D410" s="33" t="n"/>
      <c r="E410" s="33" t="n"/>
      <c r="F410" s="33" t="n"/>
      <c r="G410" s="33" t="n"/>
      <c r="H410" s="33" t="n"/>
      <c r="I410" s="33" t="n"/>
      <c r="J410" s="33" t="n"/>
      <c r="K410" s="33" t="n"/>
      <c r="L410" s="33" t="n"/>
      <c r="M410" s="33" t="n"/>
      <c r="N410" s="33" t="n"/>
      <c r="O410" s="33" t="n"/>
      <c r="P410" s="33" t="n"/>
      <c r="Q410" s="34" t="n"/>
      <c r="R410" s="35" t="inlineStr">
        <is>
          <t>IF(AO410="","",AO410)</t>
        </is>
      </c>
      <c r="S410" s="36" t="n"/>
      <c r="T410" s="37" t="n"/>
      <c r="U410" s="36" t="n"/>
      <c r="V410" s="35" t="inlineStr">
        <is>
          <t>IF(U410&lt;&gt;"",U410,IF(OR(R410="",T410=""),"",EDATE(R410,T410)))</t>
        </is>
      </c>
      <c r="W410" s="36" t="n"/>
      <c r="X410" s="37" t="n"/>
      <c r="Y410" s="33" t="n"/>
      <c r="Z410" s="33" t="n"/>
      <c r="AA410" s="32" t="inlineStr">
        <is>
          <t>IF(E410="","",IF(COUNT(AG410:AT410)=0,IF(Y410="","Not started",Y410),SUBSTITUTE(LOOKUP(2,1/(AG410:AT410&lt;&gt;""),$AG$3:$AT$3),"Date: ","")))</t>
        </is>
      </c>
      <c r="AB410" s="38" t="inlineStr">
        <is>
          <t>IF(OR(E410="",COUNT(AG410:AT410)=0),"",TODAY()-LOOKUP(2,1/(AG410:AT410&lt;&gt;""),AG410:AT410))</t>
        </is>
      </c>
      <c r="AC410" s="38" t="inlineStr">
        <is>
          <t>IF(OR(E410="",COUNT(AG410:AT410)&lt;2),"",LOOKUP(2,1/(AG410:AT410&lt;&gt;""),AG410:AT410)-MIN(AG410:AT410))</t>
        </is>
      </c>
      <c r="AD410" s="38" t="inlineStr">
        <is>
          <t>IF(OR(AB410="",AA410="Not started",AA410=""),"",IFERROR(AB410-IF(VLOOKUP(AA410,'04_Status_Pipeline'!$B$3:$E$20,4,FALSE)="",0,VLOOKUP(AA410,'04_Status_Pipeline'!$B$3:$E$20,4,FALSE)),""))</t>
        </is>
      </c>
      <c r="AE410" s="32" t="inlineStr">
        <is>
          <t>IF(E410="","",IF(OR(Y410="Cancelled",AA410="Cancelled"),"Cancelled",IF(OR(AA410="Completed / Handover",W410&lt;&gt;"",X410&gt;=100),"Completed — on track",IF(L410="Remaining",IF(S410="",IF(V410="","No planned date",IF(TODAY()&gt;V410,"Behind — past planned date",IF(V410-TODAY()&lt;=30,"At risk — close to off track","On track"))),IF(TODAY()&gt;S410,"Behind — award date passed",IF(S410-TODAY()&lt;=30,"At risk — close to off track","On track"))),IF(V410="","No planned date",IF(AND(TODAY()&gt;V410,OR(X410="",X410&lt;100)),"Behind — past end date",IF(AND(R410&lt;&gt;"",V410&lt;&gt;"",X410&lt;&gt;"",(X410&lt;100),((TODAY()-R410)/MAX(V410-R410,1)*100)-X410&gt;15),"Behind — progress lag",IF(AND(V410-TODAY()&lt;=30,V410-TODAY()&gt;=0,OR(X410="",X410&lt;90)),"At risk — close to off track","On track"))))))))</t>
        </is>
      </c>
      <c r="AF410" s="38" t="inlineStr">
        <is>
          <t>IF(OR(E410="",AA410="Completed / Handover",AA410="Cancelled"),"",IF(L410="Remaining",IF(S410&lt;&gt;"",S410-TODAY(),IF(V410="","",V410-TODAY())),IF(V410="","",V410-TODAY())))</t>
        </is>
      </c>
      <c r="AG410" s="36" t="n"/>
      <c r="AH410" s="36" t="n"/>
      <c r="AI410" s="36" t="n"/>
      <c r="AJ410" s="36" t="n"/>
      <c r="AK410" s="36" t="n"/>
      <c r="AL410" s="36" t="n"/>
      <c r="AM410" s="36" t="n"/>
      <c r="AN410" s="36" t="n"/>
      <c r="AO410" s="36" t="n"/>
      <c r="AP410" s="36" t="n"/>
      <c r="AQ410" s="36" t="n"/>
      <c r="AR410" s="40" t="n"/>
      <c r="AS410" s="40" t="n"/>
      <c r="AT410" s="40" t="n"/>
      <c r="AU410" s="38" t="inlineStr">
        <is>
          <t>IF(OR(E410="",AH410=""),"",IF(COUNT(AG410:AG410)=0,"",AH410-LOOKUP(2,1/(AG410:AG410&lt;&gt;""),AG410:AG410)))</t>
        </is>
      </c>
      <c r="AV410" s="38" t="inlineStr">
        <is>
          <t>IF(OR(E410="",AI410=""),"",IF(COUNT(AG410:AH410)=0,"",AI410-LOOKUP(2,1/(AG410:AH410&lt;&gt;""),AG410:AH410)))</t>
        </is>
      </c>
      <c r="AW410" s="38" t="inlineStr">
        <is>
          <t>IF(OR(E410="",AJ410=""),"",IF(COUNT(AG410:AI410)=0,"",AJ410-LOOKUP(2,1/(AG410:AI410&lt;&gt;""),AG410:AI410)))</t>
        </is>
      </c>
      <c r="AX410" s="38" t="inlineStr">
        <is>
          <t>IF(OR(E410="",AK410=""),"",IF(COUNT(AG410:AJ410)=0,"",AK410-LOOKUP(2,1/(AG410:AJ410&lt;&gt;""),AG410:AJ410)))</t>
        </is>
      </c>
      <c r="AY410" s="38" t="inlineStr">
        <is>
          <t>IF(OR(E410="",AL410=""),"",IF(COUNT(AG410:AK410)=0,"",AL410-LOOKUP(2,1/(AG410:AK410&lt;&gt;""),AG410:AK410)))</t>
        </is>
      </c>
      <c r="AZ410" s="38" t="inlineStr">
        <is>
          <t>IF(OR(E410="",AM410=""),"",IF(COUNT(AG410:AL410)=0,"",AM410-LOOKUP(2,1/(AG410:AL410&lt;&gt;""),AG410:AL410)))</t>
        </is>
      </c>
      <c r="BA410" s="38" t="inlineStr">
        <is>
          <t>IF(OR(E410="",AN410=""),"",IF(COUNT(AG410:AM410)=0,"",AN410-LOOKUP(2,1/(AG410:AM410&lt;&gt;""),AG410:AM410)))</t>
        </is>
      </c>
      <c r="BB410" s="38" t="inlineStr">
        <is>
          <t>IF(OR(E410="",AO410=""),"",IF(COUNT(AG410:AN410)=0,"",AO410-LOOKUP(2,1/(AG410:AN410&lt;&gt;""),AG410:AN410)))</t>
        </is>
      </c>
      <c r="BC410" s="38" t="inlineStr">
        <is>
          <t>IF(OR(E410="",AP410=""),"",IF(COUNT(AG410:AO410)=0,"",AP410-LOOKUP(2,1/(AG410:AO410&lt;&gt;""),AG410:AO410)))</t>
        </is>
      </c>
      <c r="BD410" s="38" t="inlineStr">
        <is>
          <t>IF(OR(E410="",AQ410=""),"",IF(COUNT(AG410:AP410)=0,"",AQ410-LOOKUP(2,1/(AG410:AP410&lt;&gt;""),AG410:AP410)))</t>
        </is>
      </c>
      <c r="BE410" s="38" t="inlineStr">
        <is>
          <t>IF(OR(E410="",AR410=""),"",IF(COUNT(AG410:AQ410)=0,"",AR410-LOOKUP(2,1/(AG410:AQ410&lt;&gt;""),AG410:AQ410)))</t>
        </is>
      </c>
      <c r="BF410" s="38" t="inlineStr">
        <is>
          <t>IF(OR(E410="",AS410=""),"",IF(COUNT(AG410:AR410)=0,"",AS410-LOOKUP(2,1/(AG410:AR410&lt;&gt;""),AG410:AR410)))</t>
        </is>
      </c>
      <c r="BG410" s="38" t="inlineStr">
        <is>
          <t>IF(OR(E410="",AT410=""),"",IF(COUNT(AG410:AS410)=0,"",AT410-LOOKUP(2,1/(AG410:AS410&lt;&gt;""),AG410:AS410)))</t>
        </is>
      </c>
      <c r="BH410" s="41" t="inlineStr">
        <is>
          <t>IF(G410="","All_Provinces",IFERROR(VLOOKUP(G410,'07_Lookups'!$A$4:$B$20,2,FALSE),"All_Provinces"))</t>
        </is>
      </c>
      <c r="BI410" s="41" t="inlineStr">
        <is>
          <t>IF(H410="","All_Districts",IFERROR(VLOOKUP(H410,'07_Lookups'!$E$4:$F$42,2,FALSE),"All_Districts"))</t>
        </is>
      </c>
    </row>
    <row r="411" ht="18" customHeight="1">
      <c r="A411" s="32" t="inlineStr">
        <is>
          <t>IF(E411="","",ROW()-3)</t>
        </is>
      </c>
      <c r="B411" s="42" t="n"/>
      <c r="C411" s="42" t="n"/>
      <c r="D411" s="42" t="n"/>
      <c r="E411" s="42" t="n"/>
      <c r="F411" s="42" t="n"/>
      <c r="G411" s="42" t="n"/>
      <c r="H411" s="42" t="n"/>
      <c r="I411" s="42" t="n"/>
      <c r="J411" s="42" t="n"/>
      <c r="K411" s="42" t="n"/>
      <c r="L411" s="42" t="n"/>
      <c r="M411" s="42" t="n"/>
      <c r="N411" s="42" t="n"/>
      <c r="O411" s="42" t="n"/>
      <c r="P411" s="42" t="n"/>
      <c r="Q411" s="43" t="n"/>
      <c r="R411" s="35" t="inlineStr">
        <is>
          <t>IF(AO411="","",AO411)</t>
        </is>
      </c>
      <c r="S411" s="44" t="n"/>
      <c r="T411" s="45" t="n"/>
      <c r="U411" s="44" t="n"/>
      <c r="V411" s="35" t="inlineStr">
        <is>
          <t>IF(U411&lt;&gt;"",U411,IF(OR(R411="",T411=""),"",EDATE(R411,T411)))</t>
        </is>
      </c>
      <c r="W411" s="44" t="n"/>
      <c r="X411" s="45" t="n"/>
      <c r="Y411" s="42" t="n"/>
      <c r="Z411" s="42" t="n"/>
      <c r="AA411" s="32" t="inlineStr">
        <is>
          <t>IF(E411="","",IF(COUNT(AG411:AT411)=0,IF(Y411="","Not started",Y411),SUBSTITUTE(LOOKUP(2,1/(AG411:AT411&lt;&gt;""),$AG$3:$AT$3),"Date: ","")))</t>
        </is>
      </c>
      <c r="AB411" s="38" t="inlineStr">
        <is>
          <t>IF(OR(E411="",COUNT(AG411:AT411)=0),"",TODAY()-LOOKUP(2,1/(AG411:AT411&lt;&gt;""),AG411:AT411))</t>
        </is>
      </c>
      <c r="AC411" s="38" t="inlineStr">
        <is>
          <t>IF(OR(E411="",COUNT(AG411:AT411)&lt;2),"",LOOKUP(2,1/(AG411:AT411&lt;&gt;""),AG411:AT411)-MIN(AG411:AT411))</t>
        </is>
      </c>
      <c r="AD411" s="38" t="inlineStr">
        <is>
          <t>IF(OR(AB411="",AA411="Not started",AA411=""),"",IFERROR(AB411-IF(VLOOKUP(AA411,'04_Status_Pipeline'!$B$3:$E$20,4,FALSE)="",0,VLOOKUP(AA411,'04_Status_Pipeline'!$B$3:$E$20,4,FALSE)),""))</t>
        </is>
      </c>
      <c r="AE411" s="32" t="inlineStr">
        <is>
          <t>IF(E411="","",IF(OR(Y411="Cancelled",AA411="Cancelled"),"Cancelled",IF(OR(AA411="Completed / Handover",W411&lt;&gt;"",X411&gt;=100),"Completed — on track",IF(L411="Remaining",IF(S411="",IF(V411="","No planned date",IF(TODAY()&gt;V411,"Behind — past planned date",IF(V411-TODAY()&lt;=30,"At risk — close to off track","On track"))),IF(TODAY()&gt;S411,"Behind — award date passed",IF(S411-TODAY()&lt;=30,"At risk — close to off track","On track"))),IF(V411="","No planned date",IF(AND(TODAY()&gt;V411,OR(X411="",X411&lt;100)),"Behind — past end date",IF(AND(R411&lt;&gt;"",V411&lt;&gt;"",X411&lt;&gt;"",(X411&lt;100),((TODAY()-R411)/MAX(V411-R411,1)*100)-X411&gt;15),"Behind — progress lag",IF(AND(V411-TODAY()&lt;=30,V411-TODAY()&gt;=0,OR(X411="",X411&lt;90)),"At risk — close to off track","On track"))))))))</t>
        </is>
      </c>
      <c r="AF411" s="38" t="inlineStr">
        <is>
          <t>IF(OR(E411="",AA411="Completed / Handover",AA411="Cancelled"),"",IF(L411="Remaining",IF(S411&lt;&gt;"",S411-TODAY(),IF(V411="","",V411-TODAY())),IF(V411="","",V411-TODAY())))</t>
        </is>
      </c>
      <c r="AG411" s="44" t="n"/>
      <c r="AH411" s="44" t="n"/>
      <c r="AI411" s="44" t="n"/>
      <c r="AJ411" s="44" t="n"/>
      <c r="AK411" s="44" t="n"/>
      <c r="AL411" s="44" t="n"/>
      <c r="AM411" s="44" t="n"/>
      <c r="AN411" s="44" t="n"/>
      <c r="AO411" s="44" t="n"/>
      <c r="AP411" s="44" t="n"/>
      <c r="AQ411" s="44" t="n"/>
      <c r="AR411" s="40" t="n"/>
      <c r="AS411" s="40" t="n"/>
      <c r="AT411" s="40" t="n"/>
      <c r="AU411" s="38" t="inlineStr">
        <is>
          <t>IF(OR(E411="",AH411=""),"",IF(COUNT(AG411:AG411)=0,"",AH411-LOOKUP(2,1/(AG411:AG411&lt;&gt;""),AG411:AG411)))</t>
        </is>
      </c>
      <c r="AV411" s="38" t="inlineStr">
        <is>
          <t>IF(OR(E411="",AI411=""),"",IF(COUNT(AG411:AH411)=0,"",AI411-LOOKUP(2,1/(AG411:AH411&lt;&gt;""),AG411:AH411)))</t>
        </is>
      </c>
      <c r="AW411" s="38" t="inlineStr">
        <is>
          <t>IF(OR(E411="",AJ411=""),"",IF(COUNT(AG411:AI411)=0,"",AJ411-LOOKUP(2,1/(AG411:AI411&lt;&gt;""),AG411:AI411)))</t>
        </is>
      </c>
      <c r="AX411" s="38" t="inlineStr">
        <is>
          <t>IF(OR(E411="",AK411=""),"",IF(COUNT(AG411:AJ411)=0,"",AK411-LOOKUP(2,1/(AG411:AJ411&lt;&gt;""),AG411:AJ411)))</t>
        </is>
      </c>
      <c r="AY411" s="38" t="inlineStr">
        <is>
          <t>IF(OR(E411="",AL411=""),"",IF(COUNT(AG411:AK411)=0,"",AL411-LOOKUP(2,1/(AG411:AK411&lt;&gt;""),AG411:AK411)))</t>
        </is>
      </c>
      <c r="AZ411" s="38" t="inlineStr">
        <is>
          <t>IF(OR(E411="",AM411=""),"",IF(COUNT(AG411:AL411)=0,"",AM411-LOOKUP(2,1/(AG411:AL411&lt;&gt;""),AG411:AL411)))</t>
        </is>
      </c>
      <c r="BA411" s="38" t="inlineStr">
        <is>
          <t>IF(OR(E411="",AN411=""),"",IF(COUNT(AG411:AM411)=0,"",AN411-LOOKUP(2,1/(AG411:AM411&lt;&gt;""),AG411:AM411)))</t>
        </is>
      </c>
      <c r="BB411" s="38" t="inlineStr">
        <is>
          <t>IF(OR(E411="",AO411=""),"",IF(COUNT(AG411:AN411)=0,"",AO411-LOOKUP(2,1/(AG411:AN411&lt;&gt;""),AG411:AN411)))</t>
        </is>
      </c>
      <c r="BC411" s="38" t="inlineStr">
        <is>
          <t>IF(OR(E411="",AP411=""),"",IF(COUNT(AG411:AO411)=0,"",AP411-LOOKUP(2,1/(AG411:AO411&lt;&gt;""),AG411:AO411)))</t>
        </is>
      </c>
      <c r="BD411" s="38" t="inlineStr">
        <is>
          <t>IF(OR(E411="",AQ411=""),"",IF(COUNT(AG411:AP411)=0,"",AQ411-LOOKUP(2,1/(AG411:AP411&lt;&gt;""),AG411:AP411)))</t>
        </is>
      </c>
      <c r="BE411" s="38" t="inlineStr">
        <is>
          <t>IF(OR(E411="",AR411=""),"",IF(COUNT(AG411:AQ411)=0,"",AR411-LOOKUP(2,1/(AG411:AQ411&lt;&gt;""),AG411:AQ411)))</t>
        </is>
      </c>
      <c r="BF411" s="38" t="inlineStr">
        <is>
          <t>IF(OR(E411="",AS411=""),"",IF(COUNT(AG411:AR411)=0,"",AS411-LOOKUP(2,1/(AG411:AR411&lt;&gt;""),AG411:AR411)))</t>
        </is>
      </c>
      <c r="BG411" s="38" t="inlineStr">
        <is>
          <t>IF(OR(E411="",AT411=""),"",IF(COUNT(AG411:AS411)=0,"",AT411-LOOKUP(2,1/(AG411:AS411&lt;&gt;""),AG411:AS411)))</t>
        </is>
      </c>
      <c r="BH411" s="41" t="inlineStr">
        <is>
          <t>IF(G411="","All_Provinces",IFERROR(VLOOKUP(G411,'07_Lookups'!$A$4:$B$20,2,FALSE),"All_Provinces"))</t>
        </is>
      </c>
      <c r="BI411" s="41" t="inlineStr">
        <is>
          <t>IF(H411="","All_Districts",IFERROR(VLOOKUP(H411,'07_Lookups'!$E$4:$F$42,2,FALSE),"All_Districts"))</t>
        </is>
      </c>
    </row>
    <row r="412" ht="18" customHeight="1">
      <c r="A412" s="32" t="inlineStr">
        <is>
          <t>IF(E412="","",ROW()-3)</t>
        </is>
      </c>
      <c r="B412" s="33" t="n"/>
      <c r="C412" s="33" t="n"/>
      <c r="D412" s="33" t="n"/>
      <c r="E412" s="33" t="n"/>
      <c r="F412" s="33" t="n"/>
      <c r="G412" s="33" t="n"/>
      <c r="H412" s="33" t="n"/>
      <c r="I412" s="33" t="n"/>
      <c r="J412" s="33" t="n"/>
      <c r="K412" s="33" t="n"/>
      <c r="L412" s="33" t="n"/>
      <c r="M412" s="33" t="n"/>
      <c r="N412" s="33" t="n"/>
      <c r="O412" s="33" t="n"/>
      <c r="P412" s="33" t="n"/>
      <c r="Q412" s="34" t="n"/>
      <c r="R412" s="35" t="inlineStr">
        <is>
          <t>IF(AO412="","",AO412)</t>
        </is>
      </c>
      <c r="S412" s="36" t="n"/>
      <c r="T412" s="37" t="n"/>
      <c r="U412" s="36" t="n"/>
      <c r="V412" s="35" t="inlineStr">
        <is>
          <t>IF(U412&lt;&gt;"",U412,IF(OR(R412="",T412=""),"",EDATE(R412,T412)))</t>
        </is>
      </c>
      <c r="W412" s="36" t="n"/>
      <c r="X412" s="37" t="n"/>
      <c r="Y412" s="33" t="n"/>
      <c r="Z412" s="33" t="n"/>
      <c r="AA412" s="32" t="inlineStr">
        <is>
          <t>IF(E412="","",IF(COUNT(AG412:AT412)=0,IF(Y412="","Not started",Y412),SUBSTITUTE(LOOKUP(2,1/(AG412:AT412&lt;&gt;""),$AG$3:$AT$3),"Date: ","")))</t>
        </is>
      </c>
      <c r="AB412" s="38" t="inlineStr">
        <is>
          <t>IF(OR(E412="",COUNT(AG412:AT412)=0),"",TODAY()-LOOKUP(2,1/(AG412:AT412&lt;&gt;""),AG412:AT412))</t>
        </is>
      </c>
      <c r="AC412" s="38" t="inlineStr">
        <is>
          <t>IF(OR(E412="",COUNT(AG412:AT412)&lt;2),"",LOOKUP(2,1/(AG412:AT412&lt;&gt;""),AG412:AT412)-MIN(AG412:AT412))</t>
        </is>
      </c>
      <c r="AD412" s="38" t="inlineStr">
        <is>
          <t>IF(OR(AB412="",AA412="Not started",AA412=""),"",IFERROR(AB412-IF(VLOOKUP(AA412,'04_Status_Pipeline'!$B$3:$E$20,4,FALSE)="",0,VLOOKUP(AA412,'04_Status_Pipeline'!$B$3:$E$20,4,FALSE)),""))</t>
        </is>
      </c>
      <c r="AE412" s="32" t="inlineStr">
        <is>
          <t>IF(E412="","",IF(OR(Y412="Cancelled",AA412="Cancelled"),"Cancelled",IF(OR(AA412="Completed / Handover",W412&lt;&gt;"",X412&gt;=100),"Completed — on track",IF(L412="Remaining",IF(S412="",IF(V412="","No planned date",IF(TODAY()&gt;V412,"Behind — past planned date",IF(V412-TODAY()&lt;=30,"At risk — close to off track","On track"))),IF(TODAY()&gt;S412,"Behind — award date passed",IF(S412-TODAY()&lt;=30,"At risk — close to off track","On track"))),IF(V412="","No planned date",IF(AND(TODAY()&gt;V412,OR(X412="",X412&lt;100)),"Behind — past end date",IF(AND(R412&lt;&gt;"",V412&lt;&gt;"",X412&lt;&gt;"",(X412&lt;100),((TODAY()-R412)/MAX(V412-R412,1)*100)-X412&gt;15),"Behind — progress lag",IF(AND(V412-TODAY()&lt;=30,V412-TODAY()&gt;=0,OR(X412="",X412&lt;90)),"At risk — close to off track","On track"))))))))</t>
        </is>
      </c>
      <c r="AF412" s="38" t="inlineStr">
        <is>
          <t>IF(OR(E412="",AA412="Completed / Handover",AA412="Cancelled"),"",IF(L412="Remaining",IF(S412&lt;&gt;"",S412-TODAY(),IF(V412="","",V412-TODAY())),IF(V412="","",V412-TODAY())))</t>
        </is>
      </c>
      <c r="AG412" s="36" t="n"/>
      <c r="AH412" s="36" t="n"/>
      <c r="AI412" s="36" t="n"/>
      <c r="AJ412" s="36" t="n"/>
      <c r="AK412" s="36" t="n"/>
      <c r="AL412" s="36" t="n"/>
      <c r="AM412" s="36" t="n"/>
      <c r="AN412" s="36" t="n"/>
      <c r="AO412" s="36" t="n"/>
      <c r="AP412" s="36" t="n"/>
      <c r="AQ412" s="36" t="n"/>
      <c r="AR412" s="40" t="n"/>
      <c r="AS412" s="40" t="n"/>
      <c r="AT412" s="40" t="n"/>
      <c r="AU412" s="38" t="inlineStr">
        <is>
          <t>IF(OR(E412="",AH412=""),"",IF(COUNT(AG412:AG412)=0,"",AH412-LOOKUP(2,1/(AG412:AG412&lt;&gt;""),AG412:AG412)))</t>
        </is>
      </c>
      <c r="AV412" s="38" t="inlineStr">
        <is>
          <t>IF(OR(E412="",AI412=""),"",IF(COUNT(AG412:AH412)=0,"",AI412-LOOKUP(2,1/(AG412:AH412&lt;&gt;""),AG412:AH412)))</t>
        </is>
      </c>
      <c r="AW412" s="38" t="inlineStr">
        <is>
          <t>IF(OR(E412="",AJ412=""),"",IF(COUNT(AG412:AI412)=0,"",AJ412-LOOKUP(2,1/(AG412:AI412&lt;&gt;""),AG412:AI412)))</t>
        </is>
      </c>
      <c r="AX412" s="38" t="inlineStr">
        <is>
          <t>IF(OR(E412="",AK412=""),"",IF(COUNT(AG412:AJ412)=0,"",AK412-LOOKUP(2,1/(AG412:AJ412&lt;&gt;""),AG412:AJ412)))</t>
        </is>
      </c>
      <c r="AY412" s="38" t="inlineStr">
        <is>
          <t>IF(OR(E412="",AL412=""),"",IF(COUNT(AG412:AK412)=0,"",AL412-LOOKUP(2,1/(AG412:AK412&lt;&gt;""),AG412:AK412)))</t>
        </is>
      </c>
      <c r="AZ412" s="38" t="inlineStr">
        <is>
          <t>IF(OR(E412="",AM412=""),"",IF(COUNT(AG412:AL412)=0,"",AM412-LOOKUP(2,1/(AG412:AL412&lt;&gt;""),AG412:AL412)))</t>
        </is>
      </c>
      <c r="BA412" s="38" t="inlineStr">
        <is>
          <t>IF(OR(E412="",AN412=""),"",IF(COUNT(AG412:AM412)=0,"",AN412-LOOKUP(2,1/(AG412:AM412&lt;&gt;""),AG412:AM412)))</t>
        </is>
      </c>
      <c r="BB412" s="38" t="inlineStr">
        <is>
          <t>IF(OR(E412="",AO412=""),"",IF(COUNT(AG412:AN412)=0,"",AO412-LOOKUP(2,1/(AG412:AN412&lt;&gt;""),AG412:AN412)))</t>
        </is>
      </c>
      <c r="BC412" s="38" t="inlineStr">
        <is>
          <t>IF(OR(E412="",AP412=""),"",IF(COUNT(AG412:AO412)=0,"",AP412-LOOKUP(2,1/(AG412:AO412&lt;&gt;""),AG412:AO412)))</t>
        </is>
      </c>
      <c r="BD412" s="38" t="inlineStr">
        <is>
          <t>IF(OR(E412="",AQ412=""),"",IF(COUNT(AG412:AP412)=0,"",AQ412-LOOKUP(2,1/(AG412:AP412&lt;&gt;""),AG412:AP412)))</t>
        </is>
      </c>
      <c r="BE412" s="38" t="inlineStr">
        <is>
          <t>IF(OR(E412="",AR412=""),"",IF(COUNT(AG412:AQ412)=0,"",AR412-LOOKUP(2,1/(AG412:AQ412&lt;&gt;""),AG412:AQ412)))</t>
        </is>
      </c>
      <c r="BF412" s="38" t="inlineStr">
        <is>
          <t>IF(OR(E412="",AS412=""),"",IF(COUNT(AG412:AR412)=0,"",AS412-LOOKUP(2,1/(AG412:AR412&lt;&gt;""),AG412:AR412)))</t>
        </is>
      </c>
      <c r="BG412" s="38" t="inlineStr">
        <is>
          <t>IF(OR(E412="",AT412=""),"",IF(COUNT(AG412:AS412)=0,"",AT412-LOOKUP(2,1/(AG412:AS412&lt;&gt;""),AG412:AS412)))</t>
        </is>
      </c>
      <c r="BH412" s="41" t="inlineStr">
        <is>
          <t>IF(G412="","All_Provinces",IFERROR(VLOOKUP(G412,'07_Lookups'!$A$4:$B$20,2,FALSE),"All_Provinces"))</t>
        </is>
      </c>
      <c r="BI412" s="41" t="inlineStr">
        <is>
          <t>IF(H412="","All_Districts",IFERROR(VLOOKUP(H412,'07_Lookups'!$E$4:$F$42,2,FALSE),"All_Districts"))</t>
        </is>
      </c>
    </row>
    <row r="413" ht="18" customHeight="1">
      <c r="A413" s="32" t="inlineStr">
        <is>
          <t>IF(E413="","",ROW()-3)</t>
        </is>
      </c>
      <c r="B413" s="42" t="n"/>
      <c r="C413" s="42" t="n"/>
      <c r="D413" s="42" t="n"/>
      <c r="E413" s="42" t="n"/>
      <c r="F413" s="42" t="n"/>
      <c r="G413" s="42" t="n"/>
      <c r="H413" s="42" t="n"/>
      <c r="I413" s="42" t="n"/>
      <c r="J413" s="42" t="n"/>
      <c r="K413" s="42" t="n"/>
      <c r="L413" s="42" t="n"/>
      <c r="M413" s="42" t="n"/>
      <c r="N413" s="42" t="n"/>
      <c r="O413" s="42" t="n"/>
      <c r="P413" s="42" t="n"/>
      <c r="Q413" s="43" t="n"/>
      <c r="R413" s="35" t="inlineStr">
        <is>
          <t>IF(AO413="","",AO413)</t>
        </is>
      </c>
      <c r="S413" s="44" t="n"/>
      <c r="T413" s="45" t="n"/>
      <c r="U413" s="44" t="n"/>
      <c r="V413" s="35" t="inlineStr">
        <is>
          <t>IF(U413&lt;&gt;"",U413,IF(OR(R413="",T413=""),"",EDATE(R413,T413)))</t>
        </is>
      </c>
      <c r="W413" s="44" t="n"/>
      <c r="X413" s="45" t="n"/>
      <c r="Y413" s="42" t="n"/>
      <c r="Z413" s="42" t="n"/>
      <c r="AA413" s="32" t="inlineStr">
        <is>
          <t>IF(E413="","",IF(COUNT(AG413:AT413)=0,IF(Y413="","Not started",Y413),SUBSTITUTE(LOOKUP(2,1/(AG413:AT413&lt;&gt;""),$AG$3:$AT$3),"Date: ","")))</t>
        </is>
      </c>
      <c r="AB413" s="38" t="inlineStr">
        <is>
          <t>IF(OR(E413="",COUNT(AG413:AT413)=0),"",TODAY()-LOOKUP(2,1/(AG413:AT413&lt;&gt;""),AG413:AT413))</t>
        </is>
      </c>
      <c r="AC413" s="38" t="inlineStr">
        <is>
          <t>IF(OR(E413="",COUNT(AG413:AT413)&lt;2),"",LOOKUP(2,1/(AG413:AT413&lt;&gt;""),AG413:AT413)-MIN(AG413:AT413))</t>
        </is>
      </c>
      <c r="AD413" s="38" t="inlineStr">
        <is>
          <t>IF(OR(AB413="",AA413="Not started",AA413=""),"",IFERROR(AB413-IF(VLOOKUP(AA413,'04_Status_Pipeline'!$B$3:$E$20,4,FALSE)="",0,VLOOKUP(AA413,'04_Status_Pipeline'!$B$3:$E$20,4,FALSE)),""))</t>
        </is>
      </c>
      <c r="AE413" s="32" t="inlineStr">
        <is>
          <t>IF(E413="","",IF(OR(Y413="Cancelled",AA413="Cancelled"),"Cancelled",IF(OR(AA413="Completed / Handover",W413&lt;&gt;"",X413&gt;=100),"Completed — on track",IF(L413="Remaining",IF(S413="",IF(V413="","No planned date",IF(TODAY()&gt;V413,"Behind — past planned date",IF(V413-TODAY()&lt;=30,"At risk — close to off track","On track"))),IF(TODAY()&gt;S413,"Behind — award date passed",IF(S413-TODAY()&lt;=30,"At risk — close to off track","On track"))),IF(V413="","No planned date",IF(AND(TODAY()&gt;V413,OR(X413="",X413&lt;100)),"Behind — past end date",IF(AND(R413&lt;&gt;"",V413&lt;&gt;"",X413&lt;&gt;"",(X413&lt;100),((TODAY()-R413)/MAX(V413-R413,1)*100)-X413&gt;15),"Behind — progress lag",IF(AND(V413-TODAY()&lt;=30,V413-TODAY()&gt;=0,OR(X413="",X413&lt;90)),"At risk — close to off track","On track"))))))))</t>
        </is>
      </c>
      <c r="AF413" s="38" t="inlineStr">
        <is>
          <t>IF(OR(E413="",AA413="Completed / Handover",AA413="Cancelled"),"",IF(L413="Remaining",IF(S413&lt;&gt;"",S413-TODAY(),IF(V413="","",V413-TODAY())),IF(V413="","",V413-TODAY())))</t>
        </is>
      </c>
      <c r="AG413" s="44" t="n"/>
      <c r="AH413" s="44" t="n"/>
      <c r="AI413" s="44" t="n"/>
      <c r="AJ413" s="44" t="n"/>
      <c r="AK413" s="44" t="n"/>
      <c r="AL413" s="44" t="n"/>
      <c r="AM413" s="44" t="n"/>
      <c r="AN413" s="44" t="n"/>
      <c r="AO413" s="44" t="n"/>
      <c r="AP413" s="44" t="n"/>
      <c r="AQ413" s="44" t="n"/>
      <c r="AR413" s="40" t="n"/>
      <c r="AS413" s="40" t="n"/>
      <c r="AT413" s="40" t="n"/>
      <c r="AU413" s="38" t="inlineStr">
        <is>
          <t>IF(OR(E413="",AH413=""),"",IF(COUNT(AG413:AG413)=0,"",AH413-LOOKUP(2,1/(AG413:AG413&lt;&gt;""),AG413:AG413)))</t>
        </is>
      </c>
      <c r="AV413" s="38" t="inlineStr">
        <is>
          <t>IF(OR(E413="",AI413=""),"",IF(COUNT(AG413:AH413)=0,"",AI413-LOOKUP(2,1/(AG413:AH413&lt;&gt;""),AG413:AH413)))</t>
        </is>
      </c>
      <c r="AW413" s="38" t="inlineStr">
        <is>
          <t>IF(OR(E413="",AJ413=""),"",IF(COUNT(AG413:AI413)=0,"",AJ413-LOOKUP(2,1/(AG413:AI413&lt;&gt;""),AG413:AI413)))</t>
        </is>
      </c>
      <c r="AX413" s="38" t="inlineStr">
        <is>
          <t>IF(OR(E413="",AK413=""),"",IF(COUNT(AG413:AJ413)=0,"",AK413-LOOKUP(2,1/(AG413:AJ413&lt;&gt;""),AG413:AJ413)))</t>
        </is>
      </c>
      <c r="AY413" s="38" t="inlineStr">
        <is>
          <t>IF(OR(E413="",AL413=""),"",IF(COUNT(AG413:AK413)=0,"",AL413-LOOKUP(2,1/(AG413:AK413&lt;&gt;""),AG413:AK413)))</t>
        </is>
      </c>
      <c r="AZ413" s="38" t="inlineStr">
        <is>
          <t>IF(OR(E413="",AM413=""),"",IF(COUNT(AG413:AL413)=0,"",AM413-LOOKUP(2,1/(AG413:AL413&lt;&gt;""),AG413:AL413)))</t>
        </is>
      </c>
      <c r="BA413" s="38" t="inlineStr">
        <is>
          <t>IF(OR(E413="",AN413=""),"",IF(COUNT(AG413:AM413)=0,"",AN413-LOOKUP(2,1/(AG413:AM413&lt;&gt;""),AG413:AM413)))</t>
        </is>
      </c>
      <c r="BB413" s="38" t="inlineStr">
        <is>
          <t>IF(OR(E413="",AO413=""),"",IF(COUNT(AG413:AN413)=0,"",AO413-LOOKUP(2,1/(AG413:AN413&lt;&gt;""),AG413:AN413)))</t>
        </is>
      </c>
      <c r="BC413" s="38" t="inlineStr">
        <is>
          <t>IF(OR(E413="",AP413=""),"",IF(COUNT(AG413:AO413)=0,"",AP413-LOOKUP(2,1/(AG413:AO413&lt;&gt;""),AG413:AO413)))</t>
        </is>
      </c>
      <c r="BD413" s="38" t="inlineStr">
        <is>
          <t>IF(OR(E413="",AQ413=""),"",IF(COUNT(AG413:AP413)=0,"",AQ413-LOOKUP(2,1/(AG413:AP413&lt;&gt;""),AG413:AP413)))</t>
        </is>
      </c>
      <c r="BE413" s="38" t="inlineStr">
        <is>
          <t>IF(OR(E413="",AR413=""),"",IF(COUNT(AG413:AQ413)=0,"",AR413-LOOKUP(2,1/(AG413:AQ413&lt;&gt;""),AG413:AQ413)))</t>
        </is>
      </c>
      <c r="BF413" s="38" t="inlineStr">
        <is>
          <t>IF(OR(E413="",AS413=""),"",IF(COUNT(AG413:AR413)=0,"",AS413-LOOKUP(2,1/(AG413:AR413&lt;&gt;""),AG413:AR413)))</t>
        </is>
      </c>
      <c r="BG413" s="38" t="inlineStr">
        <is>
          <t>IF(OR(E413="",AT413=""),"",IF(COUNT(AG413:AS413)=0,"",AT413-LOOKUP(2,1/(AG413:AS413&lt;&gt;""),AG413:AS413)))</t>
        </is>
      </c>
      <c r="BH413" s="41" t="inlineStr">
        <is>
          <t>IF(G413="","All_Provinces",IFERROR(VLOOKUP(G413,'07_Lookups'!$A$4:$B$20,2,FALSE),"All_Provinces"))</t>
        </is>
      </c>
      <c r="BI413" s="41" t="inlineStr">
        <is>
          <t>IF(H413="","All_Districts",IFERROR(VLOOKUP(H413,'07_Lookups'!$E$4:$F$42,2,FALSE),"All_Districts"))</t>
        </is>
      </c>
    </row>
    <row r="414" ht="18" customHeight="1">
      <c r="A414" s="32" t="inlineStr">
        <is>
          <t>IF(E414="","",ROW()-3)</t>
        </is>
      </c>
      <c r="B414" s="33" t="n"/>
      <c r="C414" s="33" t="n"/>
      <c r="D414" s="33" t="n"/>
      <c r="E414" s="33" t="n"/>
      <c r="F414" s="33" t="n"/>
      <c r="G414" s="33" t="n"/>
      <c r="H414" s="33" t="n"/>
      <c r="I414" s="33" t="n"/>
      <c r="J414" s="33" t="n"/>
      <c r="K414" s="33" t="n"/>
      <c r="L414" s="33" t="n"/>
      <c r="M414" s="33" t="n"/>
      <c r="N414" s="33" t="n"/>
      <c r="O414" s="33" t="n"/>
      <c r="P414" s="33" t="n"/>
      <c r="Q414" s="34" t="n"/>
      <c r="R414" s="35" t="inlineStr">
        <is>
          <t>IF(AO414="","",AO414)</t>
        </is>
      </c>
      <c r="S414" s="36" t="n"/>
      <c r="T414" s="37" t="n"/>
      <c r="U414" s="36" t="n"/>
      <c r="V414" s="35" t="inlineStr">
        <is>
          <t>IF(U414&lt;&gt;"",U414,IF(OR(R414="",T414=""),"",EDATE(R414,T414)))</t>
        </is>
      </c>
      <c r="W414" s="36" t="n"/>
      <c r="X414" s="37" t="n"/>
      <c r="Y414" s="33" t="n"/>
      <c r="Z414" s="33" t="n"/>
      <c r="AA414" s="32" t="inlineStr">
        <is>
          <t>IF(E414="","",IF(COUNT(AG414:AT414)=0,IF(Y414="","Not started",Y414),SUBSTITUTE(LOOKUP(2,1/(AG414:AT414&lt;&gt;""),$AG$3:$AT$3),"Date: ","")))</t>
        </is>
      </c>
      <c r="AB414" s="38" t="inlineStr">
        <is>
          <t>IF(OR(E414="",COUNT(AG414:AT414)=0),"",TODAY()-LOOKUP(2,1/(AG414:AT414&lt;&gt;""),AG414:AT414))</t>
        </is>
      </c>
      <c r="AC414" s="38" t="inlineStr">
        <is>
          <t>IF(OR(E414="",COUNT(AG414:AT414)&lt;2),"",LOOKUP(2,1/(AG414:AT414&lt;&gt;""),AG414:AT414)-MIN(AG414:AT414))</t>
        </is>
      </c>
      <c r="AD414" s="38" t="inlineStr">
        <is>
          <t>IF(OR(AB414="",AA414="Not started",AA414=""),"",IFERROR(AB414-IF(VLOOKUP(AA414,'04_Status_Pipeline'!$B$3:$E$20,4,FALSE)="",0,VLOOKUP(AA414,'04_Status_Pipeline'!$B$3:$E$20,4,FALSE)),""))</t>
        </is>
      </c>
      <c r="AE414" s="32" t="inlineStr">
        <is>
          <t>IF(E414="","",IF(OR(Y414="Cancelled",AA414="Cancelled"),"Cancelled",IF(OR(AA414="Completed / Handover",W414&lt;&gt;"",X414&gt;=100),"Completed — on track",IF(L414="Remaining",IF(S414="",IF(V414="","No planned date",IF(TODAY()&gt;V414,"Behind — past planned date",IF(V414-TODAY()&lt;=30,"At risk — close to off track","On track"))),IF(TODAY()&gt;S414,"Behind — award date passed",IF(S414-TODAY()&lt;=30,"At risk — close to off track","On track"))),IF(V414="","No planned date",IF(AND(TODAY()&gt;V414,OR(X414="",X414&lt;100)),"Behind — past end date",IF(AND(R414&lt;&gt;"",V414&lt;&gt;"",X414&lt;&gt;"",(X414&lt;100),((TODAY()-R414)/MAX(V414-R414,1)*100)-X414&gt;15),"Behind — progress lag",IF(AND(V414-TODAY()&lt;=30,V414-TODAY()&gt;=0,OR(X414="",X414&lt;90)),"At risk — close to off track","On track"))))))))</t>
        </is>
      </c>
      <c r="AF414" s="38" t="inlineStr">
        <is>
          <t>IF(OR(E414="",AA414="Completed / Handover",AA414="Cancelled"),"",IF(L414="Remaining",IF(S414&lt;&gt;"",S414-TODAY(),IF(V414="","",V414-TODAY())),IF(V414="","",V414-TODAY())))</t>
        </is>
      </c>
      <c r="AG414" s="36" t="n"/>
      <c r="AH414" s="36" t="n"/>
      <c r="AI414" s="36" t="n"/>
      <c r="AJ414" s="36" t="n"/>
      <c r="AK414" s="36" t="n"/>
      <c r="AL414" s="36" t="n"/>
      <c r="AM414" s="36" t="n"/>
      <c r="AN414" s="36" t="n"/>
      <c r="AO414" s="36" t="n"/>
      <c r="AP414" s="36" t="n"/>
      <c r="AQ414" s="36" t="n"/>
      <c r="AR414" s="40" t="n"/>
      <c r="AS414" s="40" t="n"/>
      <c r="AT414" s="40" t="n"/>
      <c r="AU414" s="38" t="inlineStr">
        <is>
          <t>IF(OR(E414="",AH414=""),"",IF(COUNT(AG414:AG414)=0,"",AH414-LOOKUP(2,1/(AG414:AG414&lt;&gt;""),AG414:AG414)))</t>
        </is>
      </c>
      <c r="AV414" s="38" t="inlineStr">
        <is>
          <t>IF(OR(E414="",AI414=""),"",IF(COUNT(AG414:AH414)=0,"",AI414-LOOKUP(2,1/(AG414:AH414&lt;&gt;""),AG414:AH414)))</t>
        </is>
      </c>
      <c r="AW414" s="38" t="inlineStr">
        <is>
          <t>IF(OR(E414="",AJ414=""),"",IF(COUNT(AG414:AI414)=0,"",AJ414-LOOKUP(2,1/(AG414:AI414&lt;&gt;""),AG414:AI414)))</t>
        </is>
      </c>
      <c r="AX414" s="38" t="inlineStr">
        <is>
          <t>IF(OR(E414="",AK414=""),"",IF(COUNT(AG414:AJ414)=0,"",AK414-LOOKUP(2,1/(AG414:AJ414&lt;&gt;""),AG414:AJ414)))</t>
        </is>
      </c>
      <c r="AY414" s="38" t="inlineStr">
        <is>
          <t>IF(OR(E414="",AL414=""),"",IF(COUNT(AG414:AK414)=0,"",AL414-LOOKUP(2,1/(AG414:AK414&lt;&gt;""),AG414:AK414)))</t>
        </is>
      </c>
      <c r="AZ414" s="38" t="inlineStr">
        <is>
          <t>IF(OR(E414="",AM414=""),"",IF(COUNT(AG414:AL414)=0,"",AM414-LOOKUP(2,1/(AG414:AL414&lt;&gt;""),AG414:AL414)))</t>
        </is>
      </c>
      <c r="BA414" s="38" t="inlineStr">
        <is>
          <t>IF(OR(E414="",AN414=""),"",IF(COUNT(AG414:AM414)=0,"",AN414-LOOKUP(2,1/(AG414:AM414&lt;&gt;""),AG414:AM414)))</t>
        </is>
      </c>
      <c r="BB414" s="38" t="inlineStr">
        <is>
          <t>IF(OR(E414="",AO414=""),"",IF(COUNT(AG414:AN414)=0,"",AO414-LOOKUP(2,1/(AG414:AN414&lt;&gt;""),AG414:AN414)))</t>
        </is>
      </c>
      <c r="BC414" s="38" t="inlineStr">
        <is>
          <t>IF(OR(E414="",AP414=""),"",IF(COUNT(AG414:AO414)=0,"",AP414-LOOKUP(2,1/(AG414:AO414&lt;&gt;""),AG414:AO414)))</t>
        </is>
      </c>
      <c r="BD414" s="38" t="inlineStr">
        <is>
          <t>IF(OR(E414="",AQ414=""),"",IF(COUNT(AG414:AP414)=0,"",AQ414-LOOKUP(2,1/(AG414:AP414&lt;&gt;""),AG414:AP414)))</t>
        </is>
      </c>
      <c r="BE414" s="38" t="inlineStr">
        <is>
          <t>IF(OR(E414="",AR414=""),"",IF(COUNT(AG414:AQ414)=0,"",AR414-LOOKUP(2,1/(AG414:AQ414&lt;&gt;""),AG414:AQ414)))</t>
        </is>
      </c>
      <c r="BF414" s="38" t="inlineStr">
        <is>
          <t>IF(OR(E414="",AS414=""),"",IF(COUNT(AG414:AR414)=0,"",AS414-LOOKUP(2,1/(AG414:AR414&lt;&gt;""),AG414:AR414)))</t>
        </is>
      </c>
      <c r="BG414" s="38" t="inlineStr">
        <is>
          <t>IF(OR(E414="",AT414=""),"",IF(COUNT(AG414:AS414)=0,"",AT414-LOOKUP(2,1/(AG414:AS414&lt;&gt;""),AG414:AS414)))</t>
        </is>
      </c>
      <c r="BH414" s="41" t="inlineStr">
        <is>
          <t>IF(G414="","All_Provinces",IFERROR(VLOOKUP(G414,'07_Lookups'!$A$4:$B$20,2,FALSE),"All_Provinces"))</t>
        </is>
      </c>
      <c r="BI414" s="41" t="inlineStr">
        <is>
          <t>IF(H414="","All_Districts",IFERROR(VLOOKUP(H414,'07_Lookups'!$E$4:$F$42,2,FALSE),"All_Districts"))</t>
        </is>
      </c>
    </row>
    <row r="415" ht="18" customHeight="1">
      <c r="A415" s="32" t="inlineStr">
        <is>
          <t>IF(E415="","",ROW()-3)</t>
        </is>
      </c>
      <c r="B415" s="42" t="n"/>
      <c r="C415" s="42" t="n"/>
      <c r="D415" s="42" t="n"/>
      <c r="E415" s="42" t="n"/>
      <c r="F415" s="42" t="n"/>
      <c r="G415" s="42" t="n"/>
      <c r="H415" s="42" t="n"/>
      <c r="I415" s="42" t="n"/>
      <c r="J415" s="42" t="n"/>
      <c r="K415" s="42" t="n"/>
      <c r="L415" s="42" t="n"/>
      <c r="M415" s="42" t="n"/>
      <c r="N415" s="42" t="n"/>
      <c r="O415" s="42" t="n"/>
      <c r="P415" s="42" t="n"/>
      <c r="Q415" s="43" t="n"/>
      <c r="R415" s="35" t="inlineStr">
        <is>
          <t>IF(AO415="","",AO415)</t>
        </is>
      </c>
      <c r="S415" s="44" t="n"/>
      <c r="T415" s="45" t="n"/>
      <c r="U415" s="44" t="n"/>
      <c r="V415" s="35" t="inlineStr">
        <is>
          <t>IF(U415&lt;&gt;"",U415,IF(OR(R415="",T415=""),"",EDATE(R415,T415)))</t>
        </is>
      </c>
      <c r="W415" s="44" t="n"/>
      <c r="X415" s="45" t="n"/>
      <c r="Y415" s="42" t="n"/>
      <c r="Z415" s="42" t="n"/>
      <c r="AA415" s="32" t="inlineStr">
        <is>
          <t>IF(E415="","",IF(COUNT(AG415:AT415)=0,IF(Y415="","Not started",Y415),SUBSTITUTE(LOOKUP(2,1/(AG415:AT415&lt;&gt;""),$AG$3:$AT$3),"Date: ","")))</t>
        </is>
      </c>
      <c r="AB415" s="38" t="inlineStr">
        <is>
          <t>IF(OR(E415="",COUNT(AG415:AT415)=0),"",TODAY()-LOOKUP(2,1/(AG415:AT415&lt;&gt;""),AG415:AT415))</t>
        </is>
      </c>
      <c r="AC415" s="38" t="inlineStr">
        <is>
          <t>IF(OR(E415="",COUNT(AG415:AT415)&lt;2),"",LOOKUP(2,1/(AG415:AT415&lt;&gt;""),AG415:AT415)-MIN(AG415:AT415))</t>
        </is>
      </c>
      <c r="AD415" s="38" t="inlineStr">
        <is>
          <t>IF(OR(AB415="",AA415="Not started",AA415=""),"",IFERROR(AB415-IF(VLOOKUP(AA415,'04_Status_Pipeline'!$B$3:$E$20,4,FALSE)="",0,VLOOKUP(AA415,'04_Status_Pipeline'!$B$3:$E$20,4,FALSE)),""))</t>
        </is>
      </c>
      <c r="AE415" s="32" t="inlineStr">
        <is>
          <t>IF(E415="","",IF(OR(Y415="Cancelled",AA415="Cancelled"),"Cancelled",IF(OR(AA415="Completed / Handover",W415&lt;&gt;"",X415&gt;=100),"Completed — on track",IF(L415="Remaining",IF(S415="",IF(V415="","No planned date",IF(TODAY()&gt;V415,"Behind — past planned date",IF(V415-TODAY()&lt;=30,"At risk — close to off track","On track"))),IF(TODAY()&gt;S415,"Behind — award date passed",IF(S415-TODAY()&lt;=30,"At risk — close to off track","On track"))),IF(V415="","No planned date",IF(AND(TODAY()&gt;V415,OR(X415="",X415&lt;100)),"Behind — past end date",IF(AND(R415&lt;&gt;"",V415&lt;&gt;"",X415&lt;&gt;"",(X415&lt;100),((TODAY()-R415)/MAX(V415-R415,1)*100)-X415&gt;15),"Behind — progress lag",IF(AND(V415-TODAY()&lt;=30,V415-TODAY()&gt;=0,OR(X415="",X415&lt;90)),"At risk — close to off track","On track"))))))))</t>
        </is>
      </c>
      <c r="AF415" s="38" t="inlineStr">
        <is>
          <t>IF(OR(E415="",AA415="Completed / Handover",AA415="Cancelled"),"",IF(L415="Remaining",IF(S415&lt;&gt;"",S415-TODAY(),IF(V415="","",V415-TODAY())),IF(V415="","",V415-TODAY())))</t>
        </is>
      </c>
      <c r="AG415" s="44" t="n"/>
      <c r="AH415" s="44" t="n"/>
      <c r="AI415" s="44" t="n"/>
      <c r="AJ415" s="44" t="n"/>
      <c r="AK415" s="44" t="n"/>
      <c r="AL415" s="44" t="n"/>
      <c r="AM415" s="44" t="n"/>
      <c r="AN415" s="44" t="n"/>
      <c r="AO415" s="44" t="n"/>
      <c r="AP415" s="44" t="n"/>
      <c r="AQ415" s="44" t="n"/>
      <c r="AR415" s="40" t="n"/>
      <c r="AS415" s="40" t="n"/>
      <c r="AT415" s="40" t="n"/>
      <c r="AU415" s="38" t="inlineStr">
        <is>
          <t>IF(OR(E415="",AH415=""),"",IF(COUNT(AG415:AG415)=0,"",AH415-LOOKUP(2,1/(AG415:AG415&lt;&gt;""),AG415:AG415)))</t>
        </is>
      </c>
      <c r="AV415" s="38" t="inlineStr">
        <is>
          <t>IF(OR(E415="",AI415=""),"",IF(COUNT(AG415:AH415)=0,"",AI415-LOOKUP(2,1/(AG415:AH415&lt;&gt;""),AG415:AH415)))</t>
        </is>
      </c>
      <c r="AW415" s="38" t="inlineStr">
        <is>
          <t>IF(OR(E415="",AJ415=""),"",IF(COUNT(AG415:AI415)=0,"",AJ415-LOOKUP(2,1/(AG415:AI415&lt;&gt;""),AG415:AI415)))</t>
        </is>
      </c>
      <c r="AX415" s="38" t="inlineStr">
        <is>
          <t>IF(OR(E415="",AK415=""),"",IF(COUNT(AG415:AJ415)=0,"",AK415-LOOKUP(2,1/(AG415:AJ415&lt;&gt;""),AG415:AJ415)))</t>
        </is>
      </c>
      <c r="AY415" s="38" t="inlineStr">
        <is>
          <t>IF(OR(E415="",AL415=""),"",IF(COUNT(AG415:AK415)=0,"",AL415-LOOKUP(2,1/(AG415:AK415&lt;&gt;""),AG415:AK415)))</t>
        </is>
      </c>
      <c r="AZ415" s="38" t="inlineStr">
        <is>
          <t>IF(OR(E415="",AM415=""),"",IF(COUNT(AG415:AL415)=0,"",AM415-LOOKUP(2,1/(AG415:AL415&lt;&gt;""),AG415:AL415)))</t>
        </is>
      </c>
      <c r="BA415" s="38" t="inlineStr">
        <is>
          <t>IF(OR(E415="",AN415=""),"",IF(COUNT(AG415:AM415)=0,"",AN415-LOOKUP(2,1/(AG415:AM415&lt;&gt;""),AG415:AM415)))</t>
        </is>
      </c>
      <c r="BB415" s="38" t="inlineStr">
        <is>
          <t>IF(OR(E415="",AO415=""),"",IF(COUNT(AG415:AN415)=0,"",AO415-LOOKUP(2,1/(AG415:AN415&lt;&gt;""),AG415:AN415)))</t>
        </is>
      </c>
      <c r="BC415" s="38" t="inlineStr">
        <is>
          <t>IF(OR(E415="",AP415=""),"",IF(COUNT(AG415:AO415)=0,"",AP415-LOOKUP(2,1/(AG415:AO415&lt;&gt;""),AG415:AO415)))</t>
        </is>
      </c>
      <c r="BD415" s="38" t="inlineStr">
        <is>
          <t>IF(OR(E415="",AQ415=""),"",IF(COUNT(AG415:AP415)=0,"",AQ415-LOOKUP(2,1/(AG415:AP415&lt;&gt;""),AG415:AP415)))</t>
        </is>
      </c>
      <c r="BE415" s="38" t="inlineStr">
        <is>
          <t>IF(OR(E415="",AR415=""),"",IF(COUNT(AG415:AQ415)=0,"",AR415-LOOKUP(2,1/(AG415:AQ415&lt;&gt;""),AG415:AQ415)))</t>
        </is>
      </c>
      <c r="BF415" s="38" t="inlineStr">
        <is>
          <t>IF(OR(E415="",AS415=""),"",IF(COUNT(AG415:AR415)=0,"",AS415-LOOKUP(2,1/(AG415:AR415&lt;&gt;""),AG415:AR415)))</t>
        </is>
      </c>
      <c r="BG415" s="38" t="inlineStr">
        <is>
          <t>IF(OR(E415="",AT415=""),"",IF(COUNT(AG415:AS415)=0,"",AT415-LOOKUP(2,1/(AG415:AS415&lt;&gt;""),AG415:AS415)))</t>
        </is>
      </c>
      <c r="BH415" s="41" t="inlineStr">
        <is>
          <t>IF(G415="","All_Provinces",IFERROR(VLOOKUP(G415,'07_Lookups'!$A$4:$B$20,2,FALSE),"All_Provinces"))</t>
        </is>
      </c>
      <c r="BI415" s="41" t="inlineStr">
        <is>
          <t>IF(H415="","All_Districts",IFERROR(VLOOKUP(H415,'07_Lookups'!$E$4:$F$42,2,FALSE),"All_Districts"))</t>
        </is>
      </c>
    </row>
    <row r="416" ht="18" customHeight="1">
      <c r="A416" s="32" t="inlineStr">
        <is>
          <t>IF(E416="","",ROW()-3)</t>
        </is>
      </c>
      <c r="B416" s="33" t="n"/>
      <c r="C416" s="33" t="n"/>
      <c r="D416" s="33" t="n"/>
      <c r="E416" s="33" t="n"/>
      <c r="F416" s="33" t="n"/>
      <c r="G416" s="33" t="n"/>
      <c r="H416" s="33" t="n"/>
      <c r="I416" s="33" t="n"/>
      <c r="J416" s="33" t="n"/>
      <c r="K416" s="33" t="n"/>
      <c r="L416" s="33" t="n"/>
      <c r="M416" s="33" t="n"/>
      <c r="N416" s="33" t="n"/>
      <c r="O416" s="33" t="n"/>
      <c r="P416" s="33" t="n"/>
      <c r="Q416" s="34" t="n"/>
      <c r="R416" s="35" t="inlineStr">
        <is>
          <t>IF(AO416="","",AO416)</t>
        </is>
      </c>
      <c r="S416" s="36" t="n"/>
      <c r="T416" s="37" t="n"/>
      <c r="U416" s="36" t="n"/>
      <c r="V416" s="35" t="inlineStr">
        <is>
          <t>IF(U416&lt;&gt;"",U416,IF(OR(R416="",T416=""),"",EDATE(R416,T416)))</t>
        </is>
      </c>
      <c r="W416" s="36" t="n"/>
      <c r="X416" s="37" t="n"/>
      <c r="Y416" s="33" t="n"/>
      <c r="Z416" s="33" t="n"/>
      <c r="AA416" s="32" t="inlineStr">
        <is>
          <t>IF(E416="","",IF(COUNT(AG416:AT416)=0,IF(Y416="","Not started",Y416),SUBSTITUTE(LOOKUP(2,1/(AG416:AT416&lt;&gt;""),$AG$3:$AT$3),"Date: ","")))</t>
        </is>
      </c>
      <c r="AB416" s="38" t="inlineStr">
        <is>
          <t>IF(OR(E416="",COUNT(AG416:AT416)=0),"",TODAY()-LOOKUP(2,1/(AG416:AT416&lt;&gt;""),AG416:AT416))</t>
        </is>
      </c>
      <c r="AC416" s="38" t="inlineStr">
        <is>
          <t>IF(OR(E416="",COUNT(AG416:AT416)&lt;2),"",LOOKUP(2,1/(AG416:AT416&lt;&gt;""),AG416:AT416)-MIN(AG416:AT416))</t>
        </is>
      </c>
      <c r="AD416" s="38" t="inlineStr">
        <is>
          <t>IF(OR(AB416="",AA416="Not started",AA416=""),"",IFERROR(AB416-IF(VLOOKUP(AA416,'04_Status_Pipeline'!$B$3:$E$20,4,FALSE)="",0,VLOOKUP(AA416,'04_Status_Pipeline'!$B$3:$E$20,4,FALSE)),""))</t>
        </is>
      </c>
      <c r="AE416" s="32" t="inlineStr">
        <is>
          <t>IF(E416="","",IF(OR(Y416="Cancelled",AA416="Cancelled"),"Cancelled",IF(OR(AA416="Completed / Handover",W416&lt;&gt;"",X416&gt;=100),"Completed — on track",IF(L416="Remaining",IF(S416="",IF(V416="","No planned date",IF(TODAY()&gt;V416,"Behind — past planned date",IF(V416-TODAY()&lt;=30,"At risk — close to off track","On track"))),IF(TODAY()&gt;S416,"Behind — award date passed",IF(S416-TODAY()&lt;=30,"At risk — close to off track","On track"))),IF(V416="","No planned date",IF(AND(TODAY()&gt;V416,OR(X416="",X416&lt;100)),"Behind — past end date",IF(AND(R416&lt;&gt;"",V416&lt;&gt;"",X416&lt;&gt;"",(X416&lt;100),((TODAY()-R416)/MAX(V416-R416,1)*100)-X416&gt;15),"Behind — progress lag",IF(AND(V416-TODAY()&lt;=30,V416-TODAY()&gt;=0,OR(X416="",X416&lt;90)),"At risk — close to off track","On track"))))))))</t>
        </is>
      </c>
      <c r="AF416" s="38" t="inlineStr">
        <is>
          <t>IF(OR(E416="",AA416="Completed / Handover",AA416="Cancelled"),"",IF(L416="Remaining",IF(S416&lt;&gt;"",S416-TODAY(),IF(V416="","",V416-TODAY())),IF(V416="","",V416-TODAY())))</t>
        </is>
      </c>
      <c r="AG416" s="36" t="n"/>
      <c r="AH416" s="36" t="n"/>
      <c r="AI416" s="36" t="n"/>
      <c r="AJ416" s="36" t="n"/>
      <c r="AK416" s="36" t="n"/>
      <c r="AL416" s="36" t="n"/>
      <c r="AM416" s="36" t="n"/>
      <c r="AN416" s="36" t="n"/>
      <c r="AO416" s="36" t="n"/>
      <c r="AP416" s="36" t="n"/>
      <c r="AQ416" s="36" t="n"/>
      <c r="AR416" s="40" t="n"/>
      <c r="AS416" s="40" t="n"/>
      <c r="AT416" s="40" t="n"/>
      <c r="AU416" s="38" t="inlineStr">
        <is>
          <t>IF(OR(E416="",AH416=""),"",IF(COUNT(AG416:AG416)=0,"",AH416-LOOKUP(2,1/(AG416:AG416&lt;&gt;""),AG416:AG416)))</t>
        </is>
      </c>
      <c r="AV416" s="38" t="inlineStr">
        <is>
          <t>IF(OR(E416="",AI416=""),"",IF(COUNT(AG416:AH416)=0,"",AI416-LOOKUP(2,1/(AG416:AH416&lt;&gt;""),AG416:AH416)))</t>
        </is>
      </c>
      <c r="AW416" s="38" t="inlineStr">
        <is>
          <t>IF(OR(E416="",AJ416=""),"",IF(COUNT(AG416:AI416)=0,"",AJ416-LOOKUP(2,1/(AG416:AI416&lt;&gt;""),AG416:AI416)))</t>
        </is>
      </c>
      <c r="AX416" s="38" t="inlineStr">
        <is>
          <t>IF(OR(E416="",AK416=""),"",IF(COUNT(AG416:AJ416)=0,"",AK416-LOOKUP(2,1/(AG416:AJ416&lt;&gt;""),AG416:AJ416)))</t>
        </is>
      </c>
      <c r="AY416" s="38" t="inlineStr">
        <is>
          <t>IF(OR(E416="",AL416=""),"",IF(COUNT(AG416:AK416)=0,"",AL416-LOOKUP(2,1/(AG416:AK416&lt;&gt;""),AG416:AK416)))</t>
        </is>
      </c>
      <c r="AZ416" s="38" t="inlineStr">
        <is>
          <t>IF(OR(E416="",AM416=""),"",IF(COUNT(AG416:AL416)=0,"",AM416-LOOKUP(2,1/(AG416:AL416&lt;&gt;""),AG416:AL416)))</t>
        </is>
      </c>
      <c r="BA416" s="38" t="inlineStr">
        <is>
          <t>IF(OR(E416="",AN416=""),"",IF(COUNT(AG416:AM416)=0,"",AN416-LOOKUP(2,1/(AG416:AM416&lt;&gt;""),AG416:AM416)))</t>
        </is>
      </c>
      <c r="BB416" s="38" t="inlineStr">
        <is>
          <t>IF(OR(E416="",AO416=""),"",IF(COUNT(AG416:AN416)=0,"",AO416-LOOKUP(2,1/(AG416:AN416&lt;&gt;""),AG416:AN416)))</t>
        </is>
      </c>
      <c r="BC416" s="38" t="inlineStr">
        <is>
          <t>IF(OR(E416="",AP416=""),"",IF(COUNT(AG416:AO416)=0,"",AP416-LOOKUP(2,1/(AG416:AO416&lt;&gt;""),AG416:AO416)))</t>
        </is>
      </c>
      <c r="BD416" s="38" t="inlineStr">
        <is>
          <t>IF(OR(E416="",AQ416=""),"",IF(COUNT(AG416:AP416)=0,"",AQ416-LOOKUP(2,1/(AG416:AP416&lt;&gt;""),AG416:AP416)))</t>
        </is>
      </c>
      <c r="BE416" s="38" t="inlineStr">
        <is>
          <t>IF(OR(E416="",AR416=""),"",IF(COUNT(AG416:AQ416)=0,"",AR416-LOOKUP(2,1/(AG416:AQ416&lt;&gt;""),AG416:AQ416)))</t>
        </is>
      </c>
      <c r="BF416" s="38" t="inlineStr">
        <is>
          <t>IF(OR(E416="",AS416=""),"",IF(COUNT(AG416:AR416)=0,"",AS416-LOOKUP(2,1/(AG416:AR416&lt;&gt;""),AG416:AR416)))</t>
        </is>
      </c>
      <c r="BG416" s="38" t="inlineStr">
        <is>
          <t>IF(OR(E416="",AT416=""),"",IF(COUNT(AG416:AS416)=0,"",AT416-LOOKUP(2,1/(AG416:AS416&lt;&gt;""),AG416:AS416)))</t>
        </is>
      </c>
      <c r="BH416" s="41" t="inlineStr">
        <is>
          <t>IF(G416="","All_Provinces",IFERROR(VLOOKUP(G416,'07_Lookups'!$A$4:$B$20,2,FALSE),"All_Provinces"))</t>
        </is>
      </c>
      <c r="BI416" s="41" t="inlineStr">
        <is>
          <t>IF(H416="","All_Districts",IFERROR(VLOOKUP(H416,'07_Lookups'!$E$4:$F$42,2,FALSE),"All_Districts"))</t>
        </is>
      </c>
    </row>
    <row r="417" ht="18" customHeight="1">
      <c r="A417" s="32" t="inlineStr">
        <is>
          <t>IF(E417="","",ROW()-3)</t>
        </is>
      </c>
      <c r="B417" s="42" t="n"/>
      <c r="C417" s="42" t="n"/>
      <c r="D417" s="42" t="n"/>
      <c r="E417" s="42" t="n"/>
      <c r="F417" s="42" t="n"/>
      <c r="G417" s="42" t="n"/>
      <c r="H417" s="42" t="n"/>
      <c r="I417" s="42" t="n"/>
      <c r="J417" s="42" t="n"/>
      <c r="K417" s="42" t="n"/>
      <c r="L417" s="42" t="n"/>
      <c r="M417" s="42" t="n"/>
      <c r="N417" s="42" t="n"/>
      <c r="O417" s="42" t="n"/>
      <c r="P417" s="42" t="n"/>
      <c r="Q417" s="43" t="n"/>
      <c r="R417" s="35" t="inlineStr">
        <is>
          <t>IF(AO417="","",AO417)</t>
        </is>
      </c>
      <c r="S417" s="44" t="n"/>
      <c r="T417" s="45" t="n"/>
      <c r="U417" s="44" t="n"/>
      <c r="V417" s="35" t="inlineStr">
        <is>
          <t>IF(U417&lt;&gt;"",U417,IF(OR(R417="",T417=""),"",EDATE(R417,T417)))</t>
        </is>
      </c>
      <c r="W417" s="44" t="n"/>
      <c r="X417" s="45" t="n"/>
      <c r="Y417" s="42" t="n"/>
      <c r="Z417" s="42" t="n"/>
      <c r="AA417" s="32" t="inlineStr">
        <is>
          <t>IF(E417="","",IF(COUNT(AG417:AT417)=0,IF(Y417="","Not started",Y417),SUBSTITUTE(LOOKUP(2,1/(AG417:AT417&lt;&gt;""),$AG$3:$AT$3),"Date: ","")))</t>
        </is>
      </c>
      <c r="AB417" s="38" t="inlineStr">
        <is>
          <t>IF(OR(E417="",COUNT(AG417:AT417)=0),"",TODAY()-LOOKUP(2,1/(AG417:AT417&lt;&gt;""),AG417:AT417))</t>
        </is>
      </c>
      <c r="AC417" s="38" t="inlineStr">
        <is>
          <t>IF(OR(E417="",COUNT(AG417:AT417)&lt;2),"",LOOKUP(2,1/(AG417:AT417&lt;&gt;""),AG417:AT417)-MIN(AG417:AT417))</t>
        </is>
      </c>
      <c r="AD417" s="38" t="inlineStr">
        <is>
          <t>IF(OR(AB417="",AA417="Not started",AA417=""),"",IFERROR(AB417-IF(VLOOKUP(AA417,'04_Status_Pipeline'!$B$3:$E$20,4,FALSE)="",0,VLOOKUP(AA417,'04_Status_Pipeline'!$B$3:$E$20,4,FALSE)),""))</t>
        </is>
      </c>
      <c r="AE417" s="32" t="inlineStr">
        <is>
          <t>IF(E417="","",IF(OR(Y417="Cancelled",AA417="Cancelled"),"Cancelled",IF(OR(AA417="Completed / Handover",W417&lt;&gt;"",X417&gt;=100),"Completed — on track",IF(L417="Remaining",IF(S417="",IF(V417="","No planned date",IF(TODAY()&gt;V417,"Behind — past planned date",IF(V417-TODAY()&lt;=30,"At risk — close to off track","On track"))),IF(TODAY()&gt;S417,"Behind — award date passed",IF(S417-TODAY()&lt;=30,"At risk — close to off track","On track"))),IF(V417="","No planned date",IF(AND(TODAY()&gt;V417,OR(X417="",X417&lt;100)),"Behind — past end date",IF(AND(R417&lt;&gt;"",V417&lt;&gt;"",X417&lt;&gt;"",(X417&lt;100),((TODAY()-R417)/MAX(V417-R417,1)*100)-X417&gt;15),"Behind — progress lag",IF(AND(V417-TODAY()&lt;=30,V417-TODAY()&gt;=0,OR(X417="",X417&lt;90)),"At risk — close to off track","On track"))))))))</t>
        </is>
      </c>
      <c r="AF417" s="38" t="inlineStr">
        <is>
          <t>IF(OR(E417="",AA417="Completed / Handover",AA417="Cancelled"),"",IF(L417="Remaining",IF(S417&lt;&gt;"",S417-TODAY(),IF(V417="","",V417-TODAY())),IF(V417="","",V417-TODAY())))</t>
        </is>
      </c>
      <c r="AG417" s="44" t="n"/>
      <c r="AH417" s="44" t="n"/>
      <c r="AI417" s="44" t="n"/>
      <c r="AJ417" s="44" t="n"/>
      <c r="AK417" s="44" t="n"/>
      <c r="AL417" s="44" t="n"/>
      <c r="AM417" s="44" t="n"/>
      <c r="AN417" s="44" t="n"/>
      <c r="AO417" s="44" t="n"/>
      <c r="AP417" s="44" t="n"/>
      <c r="AQ417" s="44" t="n"/>
      <c r="AR417" s="40" t="n"/>
      <c r="AS417" s="40" t="n"/>
      <c r="AT417" s="40" t="n"/>
      <c r="AU417" s="38" t="inlineStr">
        <is>
          <t>IF(OR(E417="",AH417=""),"",IF(COUNT(AG417:AG417)=0,"",AH417-LOOKUP(2,1/(AG417:AG417&lt;&gt;""),AG417:AG417)))</t>
        </is>
      </c>
      <c r="AV417" s="38" t="inlineStr">
        <is>
          <t>IF(OR(E417="",AI417=""),"",IF(COUNT(AG417:AH417)=0,"",AI417-LOOKUP(2,1/(AG417:AH417&lt;&gt;""),AG417:AH417)))</t>
        </is>
      </c>
      <c r="AW417" s="38" t="inlineStr">
        <is>
          <t>IF(OR(E417="",AJ417=""),"",IF(COUNT(AG417:AI417)=0,"",AJ417-LOOKUP(2,1/(AG417:AI417&lt;&gt;""),AG417:AI417)))</t>
        </is>
      </c>
      <c r="AX417" s="38" t="inlineStr">
        <is>
          <t>IF(OR(E417="",AK417=""),"",IF(COUNT(AG417:AJ417)=0,"",AK417-LOOKUP(2,1/(AG417:AJ417&lt;&gt;""),AG417:AJ417)))</t>
        </is>
      </c>
      <c r="AY417" s="38" t="inlineStr">
        <is>
          <t>IF(OR(E417="",AL417=""),"",IF(COUNT(AG417:AK417)=0,"",AL417-LOOKUP(2,1/(AG417:AK417&lt;&gt;""),AG417:AK417)))</t>
        </is>
      </c>
      <c r="AZ417" s="38" t="inlineStr">
        <is>
          <t>IF(OR(E417="",AM417=""),"",IF(COUNT(AG417:AL417)=0,"",AM417-LOOKUP(2,1/(AG417:AL417&lt;&gt;""),AG417:AL417)))</t>
        </is>
      </c>
      <c r="BA417" s="38" t="inlineStr">
        <is>
          <t>IF(OR(E417="",AN417=""),"",IF(COUNT(AG417:AM417)=0,"",AN417-LOOKUP(2,1/(AG417:AM417&lt;&gt;""),AG417:AM417)))</t>
        </is>
      </c>
      <c r="BB417" s="38" t="inlineStr">
        <is>
          <t>IF(OR(E417="",AO417=""),"",IF(COUNT(AG417:AN417)=0,"",AO417-LOOKUP(2,1/(AG417:AN417&lt;&gt;""),AG417:AN417)))</t>
        </is>
      </c>
      <c r="BC417" s="38" t="inlineStr">
        <is>
          <t>IF(OR(E417="",AP417=""),"",IF(COUNT(AG417:AO417)=0,"",AP417-LOOKUP(2,1/(AG417:AO417&lt;&gt;""),AG417:AO417)))</t>
        </is>
      </c>
      <c r="BD417" s="38" t="inlineStr">
        <is>
          <t>IF(OR(E417="",AQ417=""),"",IF(COUNT(AG417:AP417)=0,"",AQ417-LOOKUP(2,1/(AG417:AP417&lt;&gt;""),AG417:AP417)))</t>
        </is>
      </c>
      <c r="BE417" s="38" t="inlineStr">
        <is>
          <t>IF(OR(E417="",AR417=""),"",IF(COUNT(AG417:AQ417)=0,"",AR417-LOOKUP(2,1/(AG417:AQ417&lt;&gt;""),AG417:AQ417)))</t>
        </is>
      </c>
      <c r="BF417" s="38" t="inlineStr">
        <is>
          <t>IF(OR(E417="",AS417=""),"",IF(COUNT(AG417:AR417)=0,"",AS417-LOOKUP(2,1/(AG417:AR417&lt;&gt;""),AG417:AR417)))</t>
        </is>
      </c>
      <c r="BG417" s="38" t="inlineStr">
        <is>
          <t>IF(OR(E417="",AT417=""),"",IF(COUNT(AG417:AS417)=0,"",AT417-LOOKUP(2,1/(AG417:AS417&lt;&gt;""),AG417:AS417)))</t>
        </is>
      </c>
      <c r="BH417" s="41" t="inlineStr">
        <is>
          <t>IF(G417="","All_Provinces",IFERROR(VLOOKUP(G417,'07_Lookups'!$A$4:$B$20,2,FALSE),"All_Provinces"))</t>
        </is>
      </c>
      <c r="BI417" s="41" t="inlineStr">
        <is>
          <t>IF(H417="","All_Districts",IFERROR(VLOOKUP(H417,'07_Lookups'!$E$4:$F$42,2,FALSE),"All_Districts"))</t>
        </is>
      </c>
    </row>
    <row r="418" ht="18" customHeight="1">
      <c r="A418" s="32" t="inlineStr">
        <is>
          <t>IF(E418="","",ROW()-3)</t>
        </is>
      </c>
      <c r="B418" s="33" t="n"/>
      <c r="C418" s="33" t="n"/>
      <c r="D418" s="33" t="n"/>
      <c r="E418" s="33" t="n"/>
      <c r="F418" s="33" t="n"/>
      <c r="G418" s="33" t="n"/>
      <c r="H418" s="33" t="n"/>
      <c r="I418" s="33" t="n"/>
      <c r="J418" s="33" t="n"/>
      <c r="K418" s="33" t="n"/>
      <c r="L418" s="33" t="n"/>
      <c r="M418" s="33" t="n"/>
      <c r="N418" s="33" t="n"/>
      <c r="O418" s="33" t="n"/>
      <c r="P418" s="33" t="n"/>
      <c r="Q418" s="34" t="n"/>
      <c r="R418" s="35" t="inlineStr">
        <is>
          <t>IF(AO418="","",AO418)</t>
        </is>
      </c>
      <c r="S418" s="36" t="n"/>
      <c r="T418" s="37" t="n"/>
      <c r="U418" s="36" t="n"/>
      <c r="V418" s="35" t="inlineStr">
        <is>
          <t>IF(U418&lt;&gt;"",U418,IF(OR(R418="",T418=""),"",EDATE(R418,T418)))</t>
        </is>
      </c>
      <c r="W418" s="36" t="n"/>
      <c r="X418" s="37" t="n"/>
      <c r="Y418" s="33" t="n"/>
      <c r="Z418" s="33" t="n"/>
      <c r="AA418" s="32" t="inlineStr">
        <is>
          <t>IF(E418="","",IF(COUNT(AG418:AT418)=0,IF(Y418="","Not started",Y418),SUBSTITUTE(LOOKUP(2,1/(AG418:AT418&lt;&gt;""),$AG$3:$AT$3),"Date: ","")))</t>
        </is>
      </c>
      <c r="AB418" s="38" t="inlineStr">
        <is>
          <t>IF(OR(E418="",COUNT(AG418:AT418)=0),"",TODAY()-LOOKUP(2,1/(AG418:AT418&lt;&gt;""),AG418:AT418))</t>
        </is>
      </c>
      <c r="AC418" s="38" t="inlineStr">
        <is>
          <t>IF(OR(E418="",COUNT(AG418:AT418)&lt;2),"",LOOKUP(2,1/(AG418:AT418&lt;&gt;""),AG418:AT418)-MIN(AG418:AT418))</t>
        </is>
      </c>
      <c r="AD418" s="38" t="inlineStr">
        <is>
          <t>IF(OR(AB418="",AA418="Not started",AA418=""),"",IFERROR(AB418-IF(VLOOKUP(AA418,'04_Status_Pipeline'!$B$3:$E$20,4,FALSE)="",0,VLOOKUP(AA418,'04_Status_Pipeline'!$B$3:$E$20,4,FALSE)),""))</t>
        </is>
      </c>
      <c r="AE418" s="32" t="inlineStr">
        <is>
          <t>IF(E418="","",IF(OR(Y418="Cancelled",AA418="Cancelled"),"Cancelled",IF(OR(AA418="Completed / Handover",W418&lt;&gt;"",X418&gt;=100),"Completed — on track",IF(L418="Remaining",IF(S418="",IF(V418="","No planned date",IF(TODAY()&gt;V418,"Behind — past planned date",IF(V418-TODAY()&lt;=30,"At risk — close to off track","On track"))),IF(TODAY()&gt;S418,"Behind — award date passed",IF(S418-TODAY()&lt;=30,"At risk — close to off track","On track"))),IF(V418="","No planned date",IF(AND(TODAY()&gt;V418,OR(X418="",X418&lt;100)),"Behind — past end date",IF(AND(R418&lt;&gt;"",V418&lt;&gt;"",X418&lt;&gt;"",(X418&lt;100),((TODAY()-R418)/MAX(V418-R418,1)*100)-X418&gt;15),"Behind — progress lag",IF(AND(V418-TODAY()&lt;=30,V418-TODAY()&gt;=0,OR(X418="",X418&lt;90)),"At risk — close to off track","On track"))))))))</t>
        </is>
      </c>
      <c r="AF418" s="38" t="inlineStr">
        <is>
          <t>IF(OR(E418="",AA418="Completed / Handover",AA418="Cancelled"),"",IF(L418="Remaining",IF(S418&lt;&gt;"",S418-TODAY(),IF(V418="","",V418-TODAY())),IF(V418="","",V418-TODAY())))</t>
        </is>
      </c>
      <c r="AG418" s="36" t="n"/>
      <c r="AH418" s="36" t="n"/>
      <c r="AI418" s="36" t="n"/>
      <c r="AJ418" s="36" t="n"/>
      <c r="AK418" s="36" t="n"/>
      <c r="AL418" s="36" t="n"/>
      <c r="AM418" s="36" t="n"/>
      <c r="AN418" s="36" t="n"/>
      <c r="AO418" s="36" t="n"/>
      <c r="AP418" s="36" t="n"/>
      <c r="AQ418" s="36" t="n"/>
      <c r="AR418" s="40" t="n"/>
      <c r="AS418" s="40" t="n"/>
      <c r="AT418" s="40" t="n"/>
      <c r="AU418" s="38" t="inlineStr">
        <is>
          <t>IF(OR(E418="",AH418=""),"",IF(COUNT(AG418:AG418)=0,"",AH418-LOOKUP(2,1/(AG418:AG418&lt;&gt;""),AG418:AG418)))</t>
        </is>
      </c>
      <c r="AV418" s="38" t="inlineStr">
        <is>
          <t>IF(OR(E418="",AI418=""),"",IF(COUNT(AG418:AH418)=0,"",AI418-LOOKUP(2,1/(AG418:AH418&lt;&gt;""),AG418:AH418)))</t>
        </is>
      </c>
      <c r="AW418" s="38" t="inlineStr">
        <is>
          <t>IF(OR(E418="",AJ418=""),"",IF(COUNT(AG418:AI418)=0,"",AJ418-LOOKUP(2,1/(AG418:AI418&lt;&gt;""),AG418:AI418)))</t>
        </is>
      </c>
      <c r="AX418" s="38" t="inlineStr">
        <is>
          <t>IF(OR(E418="",AK418=""),"",IF(COUNT(AG418:AJ418)=0,"",AK418-LOOKUP(2,1/(AG418:AJ418&lt;&gt;""),AG418:AJ418)))</t>
        </is>
      </c>
      <c r="AY418" s="38" t="inlineStr">
        <is>
          <t>IF(OR(E418="",AL418=""),"",IF(COUNT(AG418:AK418)=0,"",AL418-LOOKUP(2,1/(AG418:AK418&lt;&gt;""),AG418:AK418)))</t>
        </is>
      </c>
      <c r="AZ418" s="38" t="inlineStr">
        <is>
          <t>IF(OR(E418="",AM418=""),"",IF(COUNT(AG418:AL418)=0,"",AM418-LOOKUP(2,1/(AG418:AL418&lt;&gt;""),AG418:AL418)))</t>
        </is>
      </c>
      <c r="BA418" s="38" t="inlineStr">
        <is>
          <t>IF(OR(E418="",AN418=""),"",IF(COUNT(AG418:AM418)=0,"",AN418-LOOKUP(2,1/(AG418:AM418&lt;&gt;""),AG418:AM418)))</t>
        </is>
      </c>
      <c r="BB418" s="38" t="inlineStr">
        <is>
          <t>IF(OR(E418="",AO418=""),"",IF(COUNT(AG418:AN418)=0,"",AO418-LOOKUP(2,1/(AG418:AN418&lt;&gt;""),AG418:AN418)))</t>
        </is>
      </c>
      <c r="BC418" s="38" t="inlineStr">
        <is>
          <t>IF(OR(E418="",AP418=""),"",IF(COUNT(AG418:AO418)=0,"",AP418-LOOKUP(2,1/(AG418:AO418&lt;&gt;""),AG418:AO418)))</t>
        </is>
      </c>
      <c r="BD418" s="38" t="inlineStr">
        <is>
          <t>IF(OR(E418="",AQ418=""),"",IF(COUNT(AG418:AP418)=0,"",AQ418-LOOKUP(2,1/(AG418:AP418&lt;&gt;""),AG418:AP418)))</t>
        </is>
      </c>
      <c r="BE418" s="38" t="inlineStr">
        <is>
          <t>IF(OR(E418="",AR418=""),"",IF(COUNT(AG418:AQ418)=0,"",AR418-LOOKUP(2,1/(AG418:AQ418&lt;&gt;""),AG418:AQ418)))</t>
        </is>
      </c>
      <c r="BF418" s="38" t="inlineStr">
        <is>
          <t>IF(OR(E418="",AS418=""),"",IF(COUNT(AG418:AR418)=0,"",AS418-LOOKUP(2,1/(AG418:AR418&lt;&gt;""),AG418:AR418)))</t>
        </is>
      </c>
      <c r="BG418" s="38" t="inlineStr">
        <is>
          <t>IF(OR(E418="",AT418=""),"",IF(COUNT(AG418:AS418)=0,"",AT418-LOOKUP(2,1/(AG418:AS418&lt;&gt;""),AG418:AS418)))</t>
        </is>
      </c>
      <c r="BH418" s="41" t="inlineStr">
        <is>
          <t>IF(G418="","All_Provinces",IFERROR(VLOOKUP(G418,'07_Lookups'!$A$4:$B$20,2,FALSE),"All_Provinces"))</t>
        </is>
      </c>
      <c r="BI418" s="41" t="inlineStr">
        <is>
          <t>IF(H418="","All_Districts",IFERROR(VLOOKUP(H418,'07_Lookups'!$E$4:$F$42,2,FALSE),"All_Districts"))</t>
        </is>
      </c>
    </row>
    <row r="419" ht="18" customHeight="1">
      <c r="A419" s="32" t="inlineStr">
        <is>
          <t>IF(E419="","",ROW()-3)</t>
        </is>
      </c>
      <c r="B419" s="42" t="n"/>
      <c r="C419" s="42" t="n"/>
      <c r="D419" s="42" t="n"/>
      <c r="E419" s="42" t="n"/>
      <c r="F419" s="42" t="n"/>
      <c r="G419" s="42" t="n"/>
      <c r="H419" s="42" t="n"/>
      <c r="I419" s="42" t="n"/>
      <c r="J419" s="42" t="n"/>
      <c r="K419" s="42" t="n"/>
      <c r="L419" s="42" t="n"/>
      <c r="M419" s="42" t="n"/>
      <c r="N419" s="42" t="n"/>
      <c r="O419" s="42" t="n"/>
      <c r="P419" s="42" t="n"/>
      <c r="Q419" s="43" t="n"/>
      <c r="R419" s="35" t="inlineStr">
        <is>
          <t>IF(AO419="","",AO419)</t>
        </is>
      </c>
      <c r="S419" s="44" t="n"/>
      <c r="T419" s="45" t="n"/>
      <c r="U419" s="44" t="n"/>
      <c r="V419" s="35" t="inlineStr">
        <is>
          <t>IF(U419&lt;&gt;"",U419,IF(OR(R419="",T419=""),"",EDATE(R419,T419)))</t>
        </is>
      </c>
      <c r="W419" s="44" t="n"/>
      <c r="X419" s="45" t="n"/>
      <c r="Y419" s="42" t="n"/>
      <c r="Z419" s="42" t="n"/>
      <c r="AA419" s="32" t="inlineStr">
        <is>
          <t>IF(E419="","",IF(COUNT(AG419:AT419)=0,IF(Y419="","Not started",Y419),SUBSTITUTE(LOOKUP(2,1/(AG419:AT419&lt;&gt;""),$AG$3:$AT$3),"Date: ","")))</t>
        </is>
      </c>
      <c r="AB419" s="38" t="inlineStr">
        <is>
          <t>IF(OR(E419="",COUNT(AG419:AT419)=0),"",TODAY()-LOOKUP(2,1/(AG419:AT419&lt;&gt;""),AG419:AT419))</t>
        </is>
      </c>
      <c r="AC419" s="38" t="inlineStr">
        <is>
          <t>IF(OR(E419="",COUNT(AG419:AT419)&lt;2),"",LOOKUP(2,1/(AG419:AT419&lt;&gt;""),AG419:AT419)-MIN(AG419:AT419))</t>
        </is>
      </c>
      <c r="AD419" s="38" t="inlineStr">
        <is>
          <t>IF(OR(AB419="",AA419="Not started",AA419=""),"",IFERROR(AB419-IF(VLOOKUP(AA419,'04_Status_Pipeline'!$B$3:$E$20,4,FALSE)="",0,VLOOKUP(AA419,'04_Status_Pipeline'!$B$3:$E$20,4,FALSE)),""))</t>
        </is>
      </c>
      <c r="AE419" s="32" t="inlineStr">
        <is>
          <t>IF(E419="","",IF(OR(Y419="Cancelled",AA419="Cancelled"),"Cancelled",IF(OR(AA419="Completed / Handover",W419&lt;&gt;"",X419&gt;=100),"Completed — on track",IF(L419="Remaining",IF(S419="",IF(V419="","No planned date",IF(TODAY()&gt;V419,"Behind — past planned date",IF(V419-TODAY()&lt;=30,"At risk — close to off track","On track"))),IF(TODAY()&gt;S419,"Behind — award date passed",IF(S419-TODAY()&lt;=30,"At risk — close to off track","On track"))),IF(V419="","No planned date",IF(AND(TODAY()&gt;V419,OR(X419="",X419&lt;100)),"Behind — past end date",IF(AND(R419&lt;&gt;"",V419&lt;&gt;"",X419&lt;&gt;"",(X419&lt;100),((TODAY()-R419)/MAX(V419-R419,1)*100)-X419&gt;15),"Behind — progress lag",IF(AND(V419-TODAY()&lt;=30,V419-TODAY()&gt;=0,OR(X419="",X419&lt;90)),"At risk — close to off track","On track"))))))))</t>
        </is>
      </c>
      <c r="AF419" s="38" t="inlineStr">
        <is>
          <t>IF(OR(E419="",AA419="Completed / Handover",AA419="Cancelled"),"",IF(L419="Remaining",IF(S419&lt;&gt;"",S419-TODAY(),IF(V419="","",V419-TODAY())),IF(V419="","",V419-TODAY())))</t>
        </is>
      </c>
      <c r="AG419" s="44" t="n"/>
      <c r="AH419" s="44" t="n"/>
      <c r="AI419" s="44" t="n"/>
      <c r="AJ419" s="44" t="n"/>
      <c r="AK419" s="44" t="n"/>
      <c r="AL419" s="44" t="n"/>
      <c r="AM419" s="44" t="n"/>
      <c r="AN419" s="44" t="n"/>
      <c r="AO419" s="44" t="n"/>
      <c r="AP419" s="44" t="n"/>
      <c r="AQ419" s="44" t="n"/>
      <c r="AR419" s="40" t="n"/>
      <c r="AS419" s="40" t="n"/>
      <c r="AT419" s="40" t="n"/>
      <c r="AU419" s="38" t="inlineStr">
        <is>
          <t>IF(OR(E419="",AH419=""),"",IF(COUNT(AG419:AG419)=0,"",AH419-LOOKUP(2,1/(AG419:AG419&lt;&gt;""),AG419:AG419)))</t>
        </is>
      </c>
      <c r="AV419" s="38" t="inlineStr">
        <is>
          <t>IF(OR(E419="",AI419=""),"",IF(COUNT(AG419:AH419)=0,"",AI419-LOOKUP(2,1/(AG419:AH419&lt;&gt;""),AG419:AH419)))</t>
        </is>
      </c>
      <c r="AW419" s="38" t="inlineStr">
        <is>
          <t>IF(OR(E419="",AJ419=""),"",IF(COUNT(AG419:AI419)=0,"",AJ419-LOOKUP(2,1/(AG419:AI419&lt;&gt;""),AG419:AI419)))</t>
        </is>
      </c>
      <c r="AX419" s="38" t="inlineStr">
        <is>
          <t>IF(OR(E419="",AK419=""),"",IF(COUNT(AG419:AJ419)=0,"",AK419-LOOKUP(2,1/(AG419:AJ419&lt;&gt;""),AG419:AJ419)))</t>
        </is>
      </c>
      <c r="AY419" s="38" t="inlineStr">
        <is>
          <t>IF(OR(E419="",AL419=""),"",IF(COUNT(AG419:AK419)=0,"",AL419-LOOKUP(2,1/(AG419:AK419&lt;&gt;""),AG419:AK419)))</t>
        </is>
      </c>
      <c r="AZ419" s="38" t="inlineStr">
        <is>
          <t>IF(OR(E419="",AM419=""),"",IF(COUNT(AG419:AL419)=0,"",AM419-LOOKUP(2,1/(AG419:AL419&lt;&gt;""),AG419:AL419)))</t>
        </is>
      </c>
      <c r="BA419" s="38" t="inlineStr">
        <is>
          <t>IF(OR(E419="",AN419=""),"",IF(COUNT(AG419:AM419)=0,"",AN419-LOOKUP(2,1/(AG419:AM419&lt;&gt;""),AG419:AM419)))</t>
        </is>
      </c>
      <c r="BB419" s="38" t="inlineStr">
        <is>
          <t>IF(OR(E419="",AO419=""),"",IF(COUNT(AG419:AN419)=0,"",AO419-LOOKUP(2,1/(AG419:AN419&lt;&gt;""),AG419:AN419)))</t>
        </is>
      </c>
      <c r="BC419" s="38" t="inlineStr">
        <is>
          <t>IF(OR(E419="",AP419=""),"",IF(COUNT(AG419:AO419)=0,"",AP419-LOOKUP(2,1/(AG419:AO419&lt;&gt;""),AG419:AO419)))</t>
        </is>
      </c>
      <c r="BD419" s="38" t="inlineStr">
        <is>
          <t>IF(OR(E419="",AQ419=""),"",IF(COUNT(AG419:AP419)=0,"",AQ419-LOOKUP(2,1/(AG419:AP419&lt;&gt;""),AG419:AP419)))</t>
        </is>
      </c>
      <c r="BE419" s="38" t="inlineStr">
        <is>
          <t>IF(OR(E419="",AR419=""),"",IF(COUNT(AG419:AQ419)=0,"",AR419-LOOKUP(2,1/(AG419:AQ419&lt;&gt;""),AG419:AQ419)))</t>
        </is>
      </c>
      <c r="BF419" s="38" t="inlineStr">
        <is>
          <t>IF(OR(E419="",AS419=""),"",IF(COUNT(AG419:AR419)=0,"",AS419-LOOKUP(2,1/(AG419:AR419&lt;&gt;""),AG419:AR419)))</t>
        </is>
      </c>
      <c r="BG419" s="38" t="inlineStr">
        <is>
          <t>IF(OR(E419="",AT419=""),"",IF(COUNT(AG419:AS419)=0,"",AT419-LOOKUP(2,1/(AG419:AS419&lt;&gt;""),AG419:AS419)))</t>
        </is>
      </c>
      <c r="BH419" s="41" t="inlineStr">
        <is>
          <t>IF(G419="","All_Provinces",IFERROR(VLOOKUP(G419,'07_Lookups'!$A$4:$B$20,2,FALSE),"All_Provinces"))</t>
        </is>
      </c>
      <c r="BI419" s="41" t="inlineStr">
        <is>
          <t>IF(H419="","All_Districts",IFERROR(VLOOKUP(H419,'07_Lookups'!$E$4:$F$42,2,FALSE),"All_Districts"))</t>
        </is>
      </c>
    </row>
    <row r="420" ht="18" customHeight="1">
      <c r="A420" s="32" t="inlineStr">
        <is>
          <t>IF(E420="","",ROW()-3)</t>
        </is>
      </c>
      <c r="B420" s="33" t="n"/>
      <c r="C420" s="33" t="n"/>
      <c r="D420" s="33" t="n"/>
      <c r="E420" s="33" t="n"/>
      <c r="F420" s="33" t="n"/>
      <c r="G420" s="33" t="n"/>
      <c r="H420" s="33" t="n"/>
      <c r="I420" s="33" t="n"/>
      <c r="J420" s="33" t="n"/>
      <c r="K420" s="33" t="n"/>
      <c r="L420" s="33" t="n"/>
      <c r="M420" s="33" t="n"/>
      <c r="N420" s="33" t="n"/>
      <c r="O420" s="33" t="n"/>
      <c r="P420" s="33" t="n"/>
      <c r="Q420" s="34" t="n"/>
      <c r="R420" s="35" t="inlineStr">
        <is>
          <t>IF(AO420="","",AO420)</t>
        </is>
      </c>
      <c r="S420" s="36" t="n"/>
      <c r="T420" s="37" t="n"/>
      <c r="U420" s="36" t="n"/>
      <c r="V420" s="35" t="inlineStr">
        <is>
          <t>IF(U420&lt;&gt;"",U420,IF(OR(R420="",T420=""),"",EDATE(R420,T420)))</t>
        </is>
      </c>
      <c r="W420" s="36" t="n"/>
      <c r="X420" s="37" t="n"/>
      <c r="Y420" s="33" t="n"/>
      <c r="Z420" s="33" t="n"/>
      <c r="AA420" s="32" t="inlineStr">
        <is>
          <t>IF(E420="","",IF(COUNT(AG420:AT420)=0,IF(Y420="","Not started",Y420),SUBSTITUTE(LOOKUP(2,1/(AG420:AT420&lt;&gt;""),$AG$3:$AT$3),"Date: ","")))</t>
        </is>
      </c>
      <c r="AB420" s="38" t="inlineStr">
        <is>
          <t>IF(OR(E420="",COUNT(AG420:AT420)=0),"",TODAY()-LOOKUP(2,1/(AG420:AT420&lt;&gt;""),AG420:AT420))</t>
        </is>
      </c>
      <c r="AC420" s="38" t="inlineStr">
        <is>
          <t>IF(OR(E420="",COUNT(AG420:AT420)&lt;2),"",LOOKUP(2,1/(AG420:AT420&lt;&gt;""),AG420:AT420)-MIN(AG420:AT420))</t>
        </is>
      </c>
      <c r="AD420" s="38" t="inlineStr">
        <is>
          <t>IF(OR(AB420="",AA420="Not started",AA420=""),"",IFERROR(AB420-IF(VLOOKUP(AA420,'04_Status_Pipeline'!$B$3:$E$20,4,FALSE)="",0,VLOOKUP(AA420,'04_Status_Pipeline'!$B$3:$E$20,4,FALSE)),""))</t>
        </is>
      </c>
      <c r="AE420" s="32" t="inlineStr">
        <is>
          <t>IF(E420="","",IF(OR(Y420="Cancelled",AA420="Cancelled"),"Cancelled",IF(OR(AA420="Completed / Handover",W420&lt;&gt;"",X420&gt;=100),"Completed — on track",IF(L420="Remaining",IF(S420="",IF(V420="","No planned date",IF(TODAY()&gt;V420,"Behind — past planned date",IF(V420-TODAY()&lt;=30,"At risk — close to off track","On track"))),IF(TODAY()&gt;S420,"Behind — award date passed",IF(S420-TODAY()&lt;=30,"At risk — close to off track","On track"))),IF(V420="","No planned date",IF(AND(TODAY()&gt;V420,OR(X420="",X420&lt;100)),"Behind — past end date",IF(AND(R420&lt;&gt;"",V420&lt;&gt;"",X420&lt;&gt;"",(X420&lt;100),((TODAY()-R420)/MAX(V420-R420,1)*100)-X420&gt;15),"Behind — progress lag",IF(AND(V420-TODAY()&lt;=30,V420-TODAY()&gt;=0,OR(X420="",X420&lt;90)),"At risk — close to off track","On track"))))))))</t>
        </is>
      </c>
      <c r="AF420" s="38" t="inlineStr">
        <is>
          <t>IF(OR(E420="",AA420="Completed / Handover",AA420="Cancelled"),"",IF(L420="Remaining",IF(S420&lt;&gt;"",S420-TODAY(),IF(V420="","",V420-TODAY())),IF(V420="","",V420-TODAY())))</t>
        </is>
      </c>
      <c r="AG420" s="36" t="n"/>
      <c r="AH420" s="36" t="n"/>
      <c r="AI420" s="36" t="n"/>
      <c r="AJ420" s="36" t="n"/>
      <c r="AK420" s="36" t="n"/>
      <c r="AL420" s="36" t="n"/>
      <c r="AM420" s="36" t="n"/>
      <c r="AN420" s="36" t="n"/>
      <c r="AO420" s="36" t="n"/>
      <c r="AP420" s="36" t="n"/>
      <c r="AQ420" s="36" t="n"/>
      <c r="AR420" s="40" t="n"/>
      <c r="AS420" s="40" t="n"/>
      <c r="AT420" s="40" t="n"/>
      <c r="AU420" s="38" t="inlineStr">
        <is>
          <t>IF(OR(E420="",AH420=""),"",IF(COUNT(AG420:AG420)=0,"",AH420-LOOKUP(2,1/(AG420:AG420&lt;&gt;""),AG420:AG420)))</t>
        </is>
      </c>
      <c r="AV420" s="38" t="inlineStr">
        <is>
          <t>IF(OR(E420="",AI420=""),"",IF(COUNT(AG420:AH420)=0,"",AI420-LOOKUP(2,1/(AG420:AH420&lt;&gt;""),AG420:AH420)))</t>
        </is>
      </c>
      <c r="AW420" s="38" t="inlineStr">
        <is>
          <t>IF(OR(E420="",AJ420=""),"",IF(COUNT(AG420:AI420)=0,"",AJ420-LOOKUP(2,1/(AG420:AI420&lt;&gt;""),AG420:AI420)))</t>
        </is>
      </c>
      <c r="AX420" s="38" t="inlineStr">
        <is>
          <t>IF(OR(E420="",AK420=""),"",IF(COUNT(AG420:AJ420)=0,"",AK420-LOOKUP(2,1/(AG420:AJ420&lt;&gt;""),AG420:AJ420)))</t>
        </is>
      </c>
      <c r="AY420" s="38" t="inlineStr">
        <is>
          <t>IF(OR(E420="",AL420=""),"",IF(COUNT(AG420:AK420)=0,"",AL420-LOOKUP(2,1/(AG420:AK420&lt;&gt;""),AG420:AK420)))</t>
        </is>
      </c>
      <c r="AZ420" s="38" t="inlineStr">
        <is>
          <t>IF(OR(E420="",AM420=""),"",IF(COUNT(AG420:AL420)=0,"",AM420-LOOKUP(2,1/(AG420:AL420&lt;&gt;""),AG420:AL420)))</t>
        </is>
      </c>
      <c r="BA420" s="38" t="inlineStr">
        <is>
          <t>IF(OR(E420="",AN420=""),"",IF(COUNT(AG420:AM420)=0,"",AN420-LOOKUP(2,1/(AG420:AM420&lt;&gt;""),AG420:AM420)))</t>
        </is>
      </c>
      <c r="BB420" s="38" t="inlineStr">
        <is>
          <t>IF(OR(E420="",AO420=""),"",IF(COUNT(AG420:AN420)=0,"",AO420-LOOKUP(2,1/(AG420:AN420&lt;&gt;""),AG420:AN420)))</t>
        </is>
      </c>
      <c r="BC420" s="38" t="inlineStr">
        <is>
          <t>IF(OR(E420="",AP420=""),"",IF(COUNT(AG420:AO420)=0,"",AP420-LOOKUP(2,1/(AG420:AO420&lt;&gt;""),AG420:AO420)))</t>
        </is>
      </c>
      <c r="BD420" s="38" t="inlineStr">
        <is>
          <t>IF(OR(E420="",AQ420=""),"",IF(COUNT(AG420:AP420)=0,"",AQ420-LOOKUP(2,1/(AG420:AP420&lt;&gt;""),AG420:AP420)))</t>
        </is>
      </c>
      <c r="BE420" s="38" t="inlineStr">
        <is>
          <t>IF(OR(E420="",AR420=""),"",IF(COUNT(AG420:AQ420)=0,"",AR420-LOOKUP(2,1/(AG420:AQ420&lt;&gt;""),AG420:AQ420)))</t>
        </is>
      </c>
      <c r="BF420" s="38" t="inlineStr">
        <is>
          <t>IF(OR(E420="",AS420=""),"",IF(COUNT(AG420:AR420)=0,"",AS420-LOOKUP(2,1/(AG420:AR420&lt;&gt;""),AG420:AR420)))</t>
        </is>
      </c>
      <c r="BG420" s="38" t="inlineStr">
        <is>
          <t>IF(OR(E420="",AT420=""),"",IF(COUNT(AG420:AS420)=0,"",AT420-LOOKUP(2,1/(AG420:AS420&lt;&gt;""),AG420:AS420)))</t>
        </is>
      </c>
      <c r="BH420" s="41" t="inlineStr">
        <is>
          <t>IF(G420="","All_Provinces",IFERROR(VLOOKUP(G420,'07_Lookups'!$A$4:$B$20,2,FALSE),"All_Provinces"))</t>
        </is>
      </c>
      <c r="BI420" s="41" t="inlineStr">
        <is>
          <t>IF(H420="","All_Districts",IFERROR(VLOOKUP(H420,'07_Lookups'!$E$4:$F$42,2,FALSE),"All_Districts"))</t>
        </is>
      </c>
    </row>
    <row r="421" ht="18" customHeight="1">
      <c r="A421" s="32" t="inlineStr">
        <is>
          <t>IF(E421="","",ROW()-3)</t>
        </is>
      </c>
      <c r="B421" s="42" t="n"/>
      <c r="C421" s="42" t="n"/>
      <c r="D421" s="42" t="n"/>
      <c r="E421" s="42" t="n"/>
      <c r="F421" s="42" t="n"/>
      <c r="G421" s="42" t="n"/>
      <c r="H421" s="42" t="n"/>
      <c r="I421" s="42" t="n"/>
      <c r="J421" s="42" t="n"/>
      <c r="K421" s="42" t="n"/>
      <c r="L421" s="42" t="n"/>
      <c r="M421" s="42" t="n"/>
      <c r="N421" s="42" t="n"/>
      <c r="O421" s="42" t="n"/>
      <c r="P421" s="42" t="n"/>
      <c r="Q421" s="43" t="n"/>
      <c r="R421" s="35" t="inlineStr">
        <is>
          <t>IF(AO421="","",AO421)</t>
        </is>
      </c>
      <c r="S421" s="44" t="n"/>
      <c r="T421" s="45" t="n"/>
      <c r="U421" s="44" t="n"/>
      <c r="V421" s="35" t="inlineStr">
        <is>
          <t>IF(U421&lt;&gt;"",U421,IF(OR(R421="",T421=""),"",EDATE(R421,T421)))</t>
        </is>
      </c>
      <c r="W421" s="44" t="n"/>
      <c r="X421" s="45" t="n"/>
      <c r="Y421" s="42" t="n"/>
      <c r="Z421" s="42" t="n"/>
      <c r="AA421" s="32" t="inlineStr">
        <is>
          <t>IF(E421="","",IF(COUNT(AG421:AT421)=0,IF(Y421="","Not started",Y421),SUBSTITUTE(LOOKUP(2,1/(AG421:AT421&lt;&gt;""),$AG$3:$AT$3),"Date: ","")))</t>
        </is>
      </c>
      <c r="AB421" s="38" t="inlineStr">
        <is>
          <t>IF(OR(E421="",COUNT(AG421:AT421)=0),"",TODAY()-LOOKUP(2,1/(AG421:AT421&lt;&gt;""),AG421:AT421))</t>
        </is>
      </c>
      <c r="AC421" s="38" t="inlineStr">
        <is>
          <t>IF(OR(E421="",COUNT(AG421:AT421)&lt;2),"",LOOKUP(2,1/(AG421:AT421&lt;&gt;""),AG421:AT421)-MIN(AG421:AT421))</t>
        </is>
      </c>
      <c r="AD421" s="38" t="inlineStr">
        <is>
          <t>IF(OR(AB421="",AA421="Not started",AA421=""),"",IFERROR(AB421-IF(VLOOKUP(AA421,'04_Status_Pipeline'!$B$3:$E$20,4,FALSE)="",0,VLOOKUP(AA421,'04_Status_Pipeline'!$B$3:$E$20,4,FALSE)),""))</t>
        </is>
      </c>
      <c r="AE421" s="32" t="inlineStr">
        <is>
          <t>IF(E421="","",IF(OR(Y421="Cancelled",AA421="Cancelled"),"Cancelled",IF(OR(AA421="Completed / Handover",W421&lt;&gt;"",X421&gt;=100),"Completed — on track",IF(L421="Remaining",IF(S421="",IF(V421="","No planned date",IF(TODAY()&gt;V421,"Behind — past planned date",IF(V421-TODAY()&lt;=30,"At risk — close to off track","On track"))),IF(TODAY()&gt;S421,"Behind — award date passed",IF(S421-TODAY()&lt;=30,"At risk — close to off track","On track"))),IF(V421="","No planned date",IF(AND(TODAY()&gt;V421,OR(X421="",X421&lt;100)),"Behind — past end date",IF(AND(R421&lt;&gt;"",V421&lt;&gt;"",X421&lt;&gt;"",(X421&lt;100),((TODAY()-R421)/MAX(V421-R421,1)*100)-X421&gt;15),"Behind — progress lag",IF(AND(V421-TODAY()&lt;=30,V421-TODAY()&gt;=0,OR(X421="",X421&lt;90)),"At risk — close to off track","On track"))))))))</t>
        </is>
      </c>
      <c r="AF421" s="38" t="inlineStr">
        <is>
          <t>IF(OR(E421="",AA421="Completed / Handover",AA421="Cancelled"),"",IF(L421="Remaining",IF(S421&lt;&gt;"",S421-TODAY(),IF(V421="","",V421-TODAY())),IF(V421="","",V421-TODAY())))</t>
        </is>
      </c>
      <c r="AG421" s="44" t="n"/>
      <c r="AH421" s="44" t="n"/>
      <c r="AI421" s="44" t="n"/>
      <c r="AJ421" s="44" t="n"/>
      <c r="AK421" s="44" t="n"/>
      <c r="AL421" s="44" t="n"/>
      <c r="AM421" s="44" t="n"/>
      <c r="AN421" s="44" t="n"/>
      <c r="AO421" s="44" t="n"/>
      <c r="AP421" s="44" t="n"/>
      <c r="AQ421" s="44" t="n"/>
      <c r="AR421" s="40" t="n"/>
      <c r="AS421" s="40" t="n"/>
      <c r="AT421" s="40" t="n"/>
      <c r="AU421" s="38" t="inlineStr">
        <is>
          <t>IF(OR(E421="",AH421=""),"",IF(COUNT(AG421:AG421)=0,"",AH421-LOOKUP(2,1/(AG421:AG421&lt;&gt;""),AG421:AG421)))</t>
        </is>
      </c>
      <c r="AV421" s="38" t="inlineStr">
        <is>
          <t>IF(OR(E421="",AI421=""),"",IF(COUNT(AG421:AH421)=0,"",AI421-LOOKUP(2,1/(AG421:AH421&lt;&gt;""),AG421:AH421)))</t>
        </is>
      </c>
      <c r="AW421" s="38" t="inlineStr">
        <is>
          <t>IF(OR(E421="",AJ421=""),"",IF(COUNT(AG421:AI421)=0,"",AJ421-LOOKUP(2,1/(AG421:AI421&lt;&gt;""),AG421:AI421)))</t>
        </is>
      </c>
      <c r="AX421" s="38" t="inlineStr">
        <is>
          <t>IF(OR(E421="",AK421=""),"",IF(COUNT(AG421:AJ421)=0,"",AK421-LOOKUP(2,1/(AG421:AJ421&lt;&gt;""),AG421:AJ421)))</t>
        </is>
      </c>
      <c r="AY421" s="38" t="inlineStr">
        <is>
          <t>IF(OR(E421="",AL421=""),"",IF(COUNT(AG421:AK421)=0,"",AL421-LOOKUP(2,1/(AG421:AK421&lt;&gt;""),AG421:AK421)))</t>
        </is>
      </c>
      <c r="AZ421" s="38" t="inlineStr">
        <is>
          <t>IF(OR(E421="",AM421=""),"",IF(COUNT(AG421:AL421)=0,"",AM421-LOOKUP(2,1/(AG421:AL421&lt;&gt;""),AG421:AL421)))</t>
        </is>
      </c>
      <c r="BA421" s="38" t="inlineStr">
        <is>
          <t>IF(OR(E421="",AN421=""),"",IF(COUNT(AG421:AM421)=0,"",AN421-LOOKUP(2,1/(AG421:AM421&lt;&gt;""),AG421:AM421)))</t>
        </is>
      </c>
      <c r="BB421" s="38" t="inlineStr">
        <is>
          <t>IF(OR(E421="",AO421=""),"",IF(COUNT(AG421:AN421)=0,"",AO421-LOOKUP(2,1/(AG421:AN421&lt;&gt;""),AG421:AN421)))</t>
        </is>
      </c>
      <c r="BC421" s="38" t="inlineStr">
        <is>
          <t>IF(OR(E421="",AP421=""),"",IF(COUNT(AG421:AO421)=0,"",AP421-LOOKUP(2,1/(AG421:AO421&lt;&gt;""),AG421:AO421)))</t>
        </is>
      </c>
      <c r="BD421" s="38" t="inlineStr">
        <is>
          <t>IF(OR(E421="",AQ421=""),"",IF(COUNT(AG421:AP421)=0,"",AQ421-LOOKUP(2,1/(AG421:AP421&lt;&gt;""),AG421:AP421)))</t>
        </is>
      </c>
      <c r="BE421" s="38" t="inlineStr">
        <is>
          <t>IF(OR(E421="",AR421=""),"",IF(COUNT(AG421:AQ421)=0,"",AR421-LOOKUP(2,1/(AG421:AQ421&lt;&gt;""),AG421:AQ421)))</t>
        </is>
      </c>
      <c r="BF421" s="38" t="inlineStr">
        <is>
          <t>IF(OR(E421="",AS421=""),"",IF(COUNT(AG421:AR421)=0,"",AS421-LOOKUP(2,1/(AG421:AR421&lt;&gt;""),AG421:AR421)))</t>
        </is>
      </c>
      <c r="BG421" s="38" t="inlineStr">
        <is>
          <t>IF(OR(E421="",AT421=""),"",IF(COUNT(AG421:AS421)=0,"",AT421-LOOKUP(2,1/(AG421:AS421&lt;&gt;""),AG421:AS421)))</t>
        </is>
      </c>
      <c r="BH421" s="41" t="inlineStr">
        <is>
          <t>IF(G421="","All_Provinces",IFERROR(VLOOKUP(G421,'07_Lookups'!$A$4:$B$20,2,FALSE),"All_Provinces"))</t>
        </is>
      </c>
      <c r="BI421" s="41" t="inlineStr">
        <is>
          <t>IF(H421="","All_Districts",IFERROR(VLOOKUP(H421,'07_Lookups'!$E$4:$F$42,2,FALSE),"All_Districts"))</t>
        </is>
      </c>
    </row>
    <row r="422" ht="18" customHeight="1">
      <c r="A422" s="32" t="inlineStr">
        <is>
          <t>IF(E422="","",ROW()-3)</t>
        </is>
      </c>
      <c r="B422" s="33" t="n"/>
      <c r="C422" s="33" t="n"/>
      <c r="D422" s="33" t="n"/>
      <c r="E422" s="33" t="n"/>
      <c r="F422" s="33" t="n"/>
      <c r="G422" s="33" t="n"/>
      <c r="H422" s="33" t="n"/>
      <c r="I422" s="33" t="n"/>
      <c r="J422" s="33" t="n"/>
      <c r="K422" s="33" t="n"/>
      <c r="L422" s="33" t="n"/>
      <c r="M422" s="33" t="n"/>
      <c r="N422" s="33" t="n"/>
      <c r="O422" s="33" t="n"/>
      <c r="P422" s="33" t="n"/>
      <c r="Q422" s="34" t="n"/>
      <c r="R422" s="35" t="inlineStr">
        <is>
          <t>IF(AO422="","",AO422)</t>
        </is>
      </c>
      <c r="S422" s="36" t="n"/>
      <c r="T422" s="37" t="n"/>
      <c r="U422" s="36" t="n"/>
      <c r="V422" s="35" t="inlineStr">
        <is>
          <t>IF(U422&lt;&gt;"",U422,IF(OR(R422="",T422=""),"",EDATE(R422,T422)))</t>
        </is>
      </c>
      <c r="W422" s="36" t="n"/>
      <c r="X422" s="37" t="n"/>
      <c r="Y422" s="33" t="n"/>
      <c r="Z422" s="33" t="n"/>
      <c r="AA422" s="32" t="inlineStr">
        <is>
          <t>IF(E422="","",IF(COUNT(AG422:AT422)=0,IF(Y422="","Not started",Y422),SUBSTITUTE(LOOKUP(2,1/(AG422:AT422&lt;&gt;""),$AG$3:$AT$3),"Date: ","")))</t>
        </is>
      </c>
      <c r="AB422" s="38" t="inlineStr">
        <is>
          <t>IF(OR(E422="",COUNT(AG422:AT422)=0),"",TODAY()-LOOKUP(2,1/(AG422:AT422&lt;&gt;""),AG422:AT422))</t>
        </is>
      </c>
      <c r="AC422" s="38" t="inlineStr">
        <is>
          <t>IF(OR(E422="",COUNT(AG422:AT422)&lt;2),"",LOOKUP(2,1/(AG422:AT422&lt;&gt;""),AG422:AT422)-MIN(AG422:AT422))</t>
        </is>
      </c>
      <c r="AD422" s="38" t="inlineStr">
        <is>
          <t>IF(OR(AB422="",AA422="Not started",AA422=""),"",IFERROR(AB422-IF(VLOOKUP(AA422,'04_Status_Pipeline'!$B$3:$E$20,4,FALSE)="",0,VLOOKUP(AA422,'04_Status_Pipeline'!$B$3:$E$20,4,FALSE)),""))</t>
        </is>
      </c>
      <c r="AE422" s="32" t="inlineStr">
        <is>
          <t>IF(E422="","",IF(OR(Y422="Cancelled",AA422="Cancelled"),"Cancelled",IF(OR(AA422="Completed / Handover",W422&lt;&gt;"",X422&gt;=100),"Completed — on track",IF(L422="Remaining",IF(S422="",IF(V422="","No planned date",IF(TODAY()&gt;V422,"Behind — past planned date",IF(V422-TODAY()&lt;=30,"At risk — close to off track","On track"))),IF(TODAY()&gt;S422,"Behind — award date passed",IF(S422-TODAY()&lt;=30,"At risk — close to off track","On track"))),IF(V422="","No planned date",IF(AND(TODAY()&gt;V422,OR(X422="",X422&lt;100)),"Behind — past end date",IF(AND(R422&lt;&gt;"",V422&lt;&gt;"",X422&lt;&gt;"",(X422&lt;100),((TODAY()-R422)/MAX(V422-R422,1)*100)-X422&gt;15),"Behind — progress lag",IF(AND(V422-TODAY()&lt;=30,V422-TODAY()&gt;=0,OR(X422="",X422&lt;90)),"At risk — close to off track","On track"))))))))</t>
        </is>
      </c>
      <c r="AF422" s="38" t="inlineStr">
        <is>
          <t>IF(OR(E422="",AA422="Completed / Handover",AA422="Cancelled"),"",IF(L422="Remaining",IF(S422&lt;&gt;"",S422-TODAY(),IF(V422="","",V422-TODAY())),IF(V422="","",V422-TODAY())))</t>
        </is>
      </c>
      <c r="AG422" s="36" t="n"/>
      <c r="AH422" s="36" t="n"/>
      <c r="AI422" s="36" t="n"/>
      <c r="AJ422" s="36" t="n"/>
      <c r="AK422" s="36" t="n"/>
      <c r="AL422" s="36" t="n"/>
      <c r="AM422" s="36" t="n"/>
      <c r="AN422" s="36" t="n"/>
      <c r="AO422" s="36" t="n"/>
      <c r="AP422" s="36" t="n"/>
      <c r="AQ422" s="36" t="n"/>
      <c r="AR422" s="40" t="n"/>
      <c r="AS422" s="40" t="n"/>
      <c r="AT422" s="40" t="n"/>
      <c r="AU422" s="38" t="inlineStr">
        <is>
          <t>IF(OR(E422="",AH422=""),"",IF(COUNT(AG422:AG422)=0,"",AH422-LOOKUP(2,1/(AG422:AG422&lt;&gt;""),AG422:AG422)))</t>
        </is>
      </c>
      <c r="AV422" s="38" t="inlineStr">
        <is>
          <t>IF(OR(E422="",AI422=""),"",IF(COUNT(AG422:AH422)=0,"",AI422-LOOKUP(2,1/(AG422:AH422&lt;&gt;""),AG422:AH422)))</t>
        </is>
      </c>
      <c r="AW422" s="38" t="inlineStr">
        <is>
          <t>IF(OR(E422="",AJ422=""),"",IF(COUNT(AG422:AI422)=0,"",AJ422-LOOKUP(2,1/(AG422:AI422&lt;&gt;""),AG422:AI422)))</t>
        </is>
      </c>
      <c r="AX422" s="38" t="inlineStr">
        <is>
          <t>IF(OR(E422="",AK422=""),"",IF(COUNT(AG422:AJ422)=0,"",AK422-LOOKUP(2,1/(AG422:AJ422&lt;&gt;""),AG422:AJ422)))</t>
        </is>
      </c>
      <c r="AY422" s="38" t="inlineStr">
        <is>
          <t>IF(OR(E422="",AL422=""),"",IF(COUNT(AG422:AK422)=0,"",AL422-LOOKUP(2,1/(AG422:AK422&lt;&gt;""),AG422:AK422)))</t>
        </is>
      </c>
      <c r="AZ422" s="38" t="inlineStr">
        <is>
          <t>IF(OR(E422="",AM422=""),"",IF(COUNT(AG422:AL422)=0,"",AM422-LOOKUP(2,1/(AG422:AL422&lt;&gt;""),AG422:AL422)))</t>
        </is>
      </c>
      <c r="BA422" s="38" t="inlineStr">
        <is>
          <t>IF(OR(E422="",AN422=""),"",IF(COUNT(AG422:AM422)=0,"",AN422-LOOKUP(2,1/(AG422:AM422&lt;&gt;""),AG422:AM422)))</t>
        </is>
      </c>
      <c r="BB422" s="38" t="inlineStr">
        <is>
          <t>IF(OR(E422="",AO422=""),"",IF(COUNT(AG422:AN422)=0,"",AO422-LOOKUP(2,1/(AG422:AN422&lt;&gt;""),AG422:AN422)))</t>
        </is>
      </c>
      <c r="BC422" s="38" t="inlineStr">
        <is>
          <t>IF(OR(E422="",AP422=""),"",IF(COUNT(AG422:AO422)=0,"",AP422-LOOKUP(2,1/(AG422:AO422&lt;&gt;""),AG422:AO422)))</t>
        </is>
      </c>
      <c r="BD422" s="38" t="inlineStr">
        <is>
          <t>IF(OR(E422="",AQ422=""),"",IF(COUNT(AG422:AP422)=0,"",AQ422-LOOKUP(2,1/(AG422:AP422&lt;&gt;""),AG422:AP422)))</t>
        </is>
      </c>
      <c r="BE422" s="38" t="inlineStr">
        <is>
          <t>IF(OR(E422="",AR422=""),"",IF(COUNT(AG422:AQ422)=0,"",AR422-LOOKUP(2,1/(AG422:AQ422&lt;&gt;""),AG422:AQ422)))</t>
        </is>
      </c>
      <c r="BF422" s="38" t="inlineStr">
        <is>
          <t>IF(OR(E422="",AS422=""),"",IF(COUNT(AG422:AR422)=0,"",AS422-LOOKUP(2,1/(AG422:AR422&lt;&gt;""),AG422:AR422)))</t>
        </is>
      </c>
      <c r="BG422" s="38" t="inlineStr">
        <is>
          <t>IF(OR(E422="",AT422=""),"",IF(COUNT(AG422:AS422)=0,"",AT422-LOOKUP(2,1/(AG422:AS422&lt;&gt;""),AG422:AS422)))</t>
        </is>
      </c>
      <c r="BH422" s="41" t="inlineStr">
        <is>
          <t>IF(G422="","All_Provinces",IFERROR(VLOOKUP(G422,'07_Lookups'!$A$4:$B$20,2,FALSE),"All_Provinces"))</t>
        </is>
      </c>
      <c r="BI422" s="41" t="inlineStr">
        <is>
          <t>IF(H422="","All_Districts",IFERROR(VLOOKUP(H422,'07_Lookups'!$E$4:$F$42,2,FALSE),"All_Districts"))</t>
        </is>
      </c>
    </row>
    <row r="423" ht="18" customHeight="1">
      <c r="A423" s="32" t="inlineStr">
        <is>
          <t>IF(E423="","",ROW()-3)</t>
        </is>
      </c>
      <c r="B423" s="42" t="n"/>
      <c r="C423" s="42" t="n"/>
      <c r="D423" s="42" t="n"/>
      <c r="E423" s="42" t="n"/>
      <c r="F423" s="42" t="n"/>
      <c r="G423" s="42" t="n"/>
      <c r="H423" s="42" t="n"/>
      <c r="I423" s="42" t="n"/>
      <c r="J423" s="42" t="n"/>
      <c r="K423" s="42" t="n"/>
      <c r="L423" s="42" t="n"/>
      <c r="M423" s="42" t="n"/>
      <c r="N423" s="42" t="n"/>
      <c r="O423" s="42" t="n"/>
      <c r="P423" s="42" t="n"/>
      <c r="Q423" s="43" t="n"/>
      <c r="R423" s="35" t="inlineStr">
        <is>
          <t>IF(AO423="","",AO423)</t>
        </is>
      </c>
      <c r="S423" s="44" t="n"/>
      <c r="T423" s="45" t="n"/>
      <c r="U423" s="44" t="n"/>
      <c r="V423" s="35" t="inlineStr">
        <is>
          <t>IF(U423&lt;&gt;"",U423,IF(OR(R423="",T423=""),"",EDATE(R423,T423)))</t>
        </is>
      </c>
      <c r="W423" s="44" t="n"/>
      <c r="X423" s="45" t="n"/>
      <c r="Y423" s="42" t="n"/>
      <c r="Z423" s="42" t="n"/>
      <c r="AA423" s="32" t="inlineStr">
        <is>
          <t>IF(E423="","",IF(COUNT(AG423:AT423)=0,IF(Y423="","Not started",Y423),SUBSTITUTE(LOOKUP(2,1/(AG423:AT423&lt;&gt;""),$AG$3:$AT$3),"Date: ","")))</t>
        </is>
      </c>
      <c r="AB423" s="38" t="inlineStr">
        <is>
          <t>IF(OR(E423="",COUNT(AG423:AT423)=0),"",TODAY()-LOOKUP(2,1/(AG423:AT423&lt;&gt;""),AG423:AT423))</t>
        </is>
      </c>
      <c r="AC423" s="38" t="inlineStr">
        <is>
          <t>IF(OR(E423="",COUNT(AG423:AT423)&lt;2),"",LOOKUP(2,1/(AG423:AT423&lt;&gt;""),AG423:AT423)-MIN(AG423:AT423))</t>
        </is>
      </c>
      <c r="AD423" s="38" t="inlineStr">
        <is>
          <t>IF(OR(AB423="",AA423="Not started",AA423=""),"",IFERROR(AB423-IF(VLOOKUP(AA423,'04_Status_Pipeline'!$B$3:$E$20,4,FALSE)="",0,VLOOKUP(AA423,'04_Status_Pipeline'!$B$3:$E$20,4,FALSE)),""))</t>
        </is>
      </c>
      <c r="AE423" s="32" t="inlineStr">
        <is>
          <t>IF(E423="","",IF(OR(Y423="Cancelled",AA423="Cancelled"),"Cancelled",IF(OR(AA423="Completed / Handover",W423&lt;&gt;"",X423&gt;=100),"Completed — on track",IF(L423="Remaining",IF(S423="",IF(V423="","No planned date",IF(TODAY()&gt;V423,"Behind — past planned date",IF(V423-TODAY()&lt;=30,"At risk — close to off track","On track"))),IF(TODAY()&gt;S423,"Behind — award date passed",IF(S423-TODAY()&lt;=30,"At risk — close to off track","On track"))),IF(V423="","No planned date",IF(AND(TODAY()&gt;V423,OR(X423="",X423&lt;100)),"Behind — past end date",IF(AND(R423&lt;&gt;"",V423&lt;&gt;"",X423&lt;&gt;"",(X423&lt;100),((TODAY()-R423)/MAX(V423-R423,1)*100)-X423&gt;15),"Behind — progress lag",IF(AND(V423-TODAY()&lt;=30,V423-TODAY()&gt;=0,OR(X423="",X423&lt;90)),"At risk — close to off track","On track"))))))))</t>
        </is>
      </c>
      <c r="AF423" s="38" t="inlineStr">
        <is>
          <t>IF(OR(E423="",AA423="Completed / Handover",AA423="Cancelled"),"",IF(L423="Remaining",IF(S423&lt;&gt;"",S423-TODAY(),IF(V423="","",V423-TODAY())),IF(V423="","",V423-TODAY())))</t>
        </is>
      </c>
      <c r="AG423" s="44" t="n"/>
      <c r="AH423" s="44" t="n"/>
      <c r="AI423" s="44" t="n"/>
      <c r="AJ423" s="44" t="n"/>
      <c r="AK423" s="44" t="n"/>
      <c r="AL423" s="44" t="n"/>
      <c r="AM423" s="44" t="n"/>
      <c r="AN423" s="44" t="n"/>
      <c r="AO423" s="44" t="n"/>
      <c r="AP423" s="44" t="n"/>
      <c r="AQ423" s="44" t="n"/>
      <c r="AR423" s="40" t="n"/>
      <c r="AS423" s="40" t="n"/>
      <c r="AT423" s="40" t="n"/>
      <c r="AU423" s="38" t="inlineStr">
        <is>
          <t>IF(OR(E423="",AH423=""),"",IF(COUNT(AG423:AG423)=0,"",AH423-LOOKUP(2,1/(AG423:AG423&lt;&gt;""),AG423:AG423)))</t>
        </is>
      </c>
      <c r="AV423" s="38" t="inlineStr">
        <is>
          <t>IF(OR(E423="",AI423=""),"",IF(COUNT(AG423:AH423)=0,"",AI423-LOOKUP(2,1/(AG423:AH423&lt;&gt;""),AG423:AH423)))</t>
        </is>
      </c>
      <c r="AW423" s="38" t="inlineStr">
        <is>
          <t>IF(OR(E423="",AJ423=""),"",IF(COUNT(AG423:AI423)=0,"",AJ423-LOOKUP(2,1/(AG423:AI423&lt;&gt;""),AG423:AI423)))</t>
        </is>
      </c>
      <c r="AX423" s="38" t="inlineStr">
        <is>
          <t>IF(OR(E423="",AK423=""),"",IF(COUNT(AG423:AJ423)=0,"",AK423-LOOKUP(2,1/(AG423:AJ423&lt;&gt;""),AG423:AJ423)))</t>
        </is>
      </c>
      <c r="AY423" s="38" t="inlineStr">
        <is>
          <t>IF(OR(E423="",AL423=""),"",IF(COUNT(AG423:AK423)=0,"",AL423-LOOKUP(2,1/(AG423:AK423&lt;&gt;""),AG423:AK423)))</t>
        </is>
      </c>
      <c r="AZ423" s="38" t="inlineStr">
        <is>
          <t>IF(OR(E423="",AM423=""),"",IF(COUNT(AG423:AL423)=0,"",AM423-LOOKUP(2,1/(AG423:AL423&lt;&gt;""),AG423:AL423)))</t>
        </is>
      </c>
      <c r="BA423" s="38" t="inlineStr">
        <is>
          <t>IF(OR(E423="",AN423=""),"",IF(COUNT(AG423:AM423)=0,"",AN423-LOOKUP(2,1/(AG423:AM423&lt;&gt;""),AG423:AM423)))</t>
        </is>
      </c>
      <c r="BB423" s="38" t="inlineStr">
        <is>
          <t>IF(OR(E423="",AO423=""),"",IF(COUNT(AG423:AN423)=0,"",AO423-LOOKUP(2,1/(AG423:AN423&lt;&gt;""),AG423:AN423)))</t>
        </is>
      </c>
      <c r="BC423" s="38" t="inlineStr">
        <is>
          <t>IF(OR(E423="",AP423=""),"",IF(COUNT(AG423:AO423)=0,"",AP423-LOOKUP(2,1/(AG423:AO423&lt;&gt;""),AG423:AO423)))</t>
        </is>
      </c>
      <c r="BD423" s="38" t="inlineStr">
        <is>
          <t>IF(OR(E423="",AQ423=""),"",IF(COUNT(AG423:AP423)=0,"",AQ423-LOOKUP(2,1/(AG423:AP423&lt;&gt;""),AG423:AP423)))</t>
        </is>
      </c>
      <c r="BE423" s="38" t="inlineStr">
        <is>
          <t>IF(OR(E423="",AR423=""),"",IF(COUNT(AG423:AQ423)=0,"",AR423-LOOKUP(2,1/(AG423:AQ423&lt;&gt;""),AG423:AQ423)))</t>
        </is>
      </c>
      <c r="BF423" s="38" t="inlineStr">
        <is>
          <t>IF(OR(E423="",AS423=""),"",IF(COUNT(AG423:AR423)=0,"",AS423-LOOKUP(2,1/(AG423:AR423&lt;&gt;""),AG423:AR423)))</t>
        </is>
      </c>
      <c r="BG423" s="38" t="inlineStr">
        <is>
          <t>IF(OR(E423="",AT423=""),"",IF(COUNT(AG423:AS423)=0,"",AT423-LOOKUP(2,1/(AG423:AS423&lt;&gt;""),AG423:AS423)))</t>
        </is>
      </c>
      <c r="BH423" s="41" t="inlineStr">
        <is>
          <t>IF(G423="","All_Provinces",IFERROR(VLOOKUP(G423,'07_Lookups'!$A$4:$B$20,2,FALSE),"All_Provinces"))</t>
        </is>
      </c>
      <c r="BI423" s="41" t="inlineStr">
        <is>
          <t>IF(H423="","All_Districts",IFERROR(VLOOKUP(H423,'07_Lookups'!$E$4:$F$42,2,FALSE),"All_Districts"))</t>
        </is>
      </c>
    </row>
    <row r="424" ht="18" customHeight="1">
      <c r="A424" s="32" t="inlineStr">
        <is>
          <t>IF(E424="","",ROW()-3)</t>
        </is>
      </c>
      <c r="B424" s="33" t="n"/>
      <c r="C424" s="33" t="n"/>
      <c r="D424" s="33" t="n"/>
      <c r="E424" s="33" t="n"/>
      <c r="F424" s="33" t="n"/>
      <c r="G424" s="33" t="n"/>
      <c r="H424" s="33" t="n"/>
      <c r="I424" s="33" t="n"/>
      <c r="J424" s="33" t="n"/>
      <c r="K424" s="33" t="n"/>
      <c r="L424" s="33" t="n"/>
      <c r="M424" s="33" t="n"/>
      <c r="N424" s="33" t="n"/>
      <c r="O424" s="33" t="n"/>
      <c r="P424" s="33" t="n"/>
      <c r="Q424" s="34" t="n"/>
      <c r="R424" s="35" t="inlineStr">
        <is>
          <t>IF(AO424="","",AO424)</t>
        </is>
      </c>
      <c r="S424" s="36" t="n"/>
      <c r="T424" s="37" t="n"/>
      <c r="U424" s="36" t="n"/>
      <c r="V424" s="35" t="inlineStr">
        <is>
          <t>IF(U424&lt;&gt;"",U424,IF(OR(R424="",T424=""),"",EDATE(R424,T424)))</t>
        </is>
      </c>
      <c r="W424" s="36" t="n"/>
      <c r="X424" s="37" t="n"/>
      <c r="Y424" s="33" t="n"/>
      <c r="Z424" s="33" t="n"/>
      <c r="AA424" s="32" t="inlineStr">
        <is>
          <t>IF(E424="","",IF(COUNT(AG424:AT424)=0,IF(Y424="","Not started",Y424),SUBSTITUTE(LOOKUP(2,1/(AG424:AT424&lt;&gt;""),$AG$3:$AT$3),"Date: ","")))</t>
        </is>
      </c>
      <c r="AB424" s="38" t="inlineStr">
        <is>
          <t>IF(OR(E424="",COUNT(AG424:AT424)=0),"",TODAY()-LOOKUP(2,1/(AG424:AT424&lt;&gt;""),AG424:AT424))</t>
        </is>
      </c>
      <c r="AC424" s="38" t="inlineStr">
        <is>
          <t>IF(OR(E424="",COUNT(AG424:AT424)&lt;2),"",LOOKUP(2,1/(AG424:AT424&lt;&gt;""),AG424:AT424)-MIN(AG424:AT424))</t>
        </is>
      </c>
      <c r="AD424" s="38" t="inlineStr">
        <is>
          <t>IF(OR(AB424="",AA424="Not started",AA424=""),"",IFERROR(AB424-IF(VLOOKUP(AA424,'04_Status_Pipeline'!$B$3:$E$20,4,FALSE)="",0,VLOOKUP(AA424,'04_Status_Pipeline'!$B$3:$E$20,4,FALSE)),""))</t>
        </is>
      </c>
      <c r="AE424" s="32" t="inlineStr">
        <is>
          <t>IF(E424="","",IF(OR(Y424="Cancelled",AA424="Cancelled"),"Cancelled",IF(OR(AA424="Completed / Handover",W424&lt;&gt;"",X424&gt;=100),"Completed — on track",IF(L424="Remaining",IF(S424="",IF(V424="","No planned date",IF(TODAY()&gt;V424,"Behind — past planned date",IF(V424-TODAY()&lt;=30,"At risk — close to off track","On track"))),IF(TODAY()&gt;S424,"Behind — award date passed",IF(S424-TODAY()&lt;=30,"At risk — close to off track","On track"))),IF(V424="","No planned date",IF(AND(TODAY()&gt;V424,OR(X424="",X424&lt;100)),"Behind — past end date",IF(AND(R424&lt;&gt;"",V424&lt;&gt;"",X424&lt;&gt;"",(X424&lt;100),((TODAY()-R424)/MAX(V424-R424,1)*100)-X424&gt;15),"Behind — progress lag",IF(AND(V424-TODAY()&lt;=30,V424-TODAY()&gt;=0,OR(X424="",X424&lt;90)),"At risk — close to off track","On track"))))))))</t>
        </is>
      </c>
      <c r="AF424" s="38" t="inlineStr">
        <is>
          <t>IF(OR(E424="",AA424="Completed / Handover",AA424="Cancelled"),"",IF(L424="Remaining",IF(S424&lt;&gt;"",S424-TODAY(),IF(V424="","",V424-TODAY())),IF(V424="","",V424-TODAY())))</t>
        </is>
      </c>
      <c r="AG424" s="36" t="n"/>
      <c r="AH424" s="36" t="n"/>
      <c r="AI424" s="36" t="n"/>
      <c r="AJ424" s="36" t="n"/>
      <c r="AK424" s="36" t="n"/>
      <c r="AL424" s="36" t="n"/>
      <c r="AM424" s="36" t="n"/>
      <c r="AN424" s="36" t="n"/>
      <c r="AO424" s="36" t="n"/>
      <c r="AP424" s="36" t="n"/>
      <c r="AQ424" s="36" t="n"/>
      <c r="AR424" s="40" t="n"/>
      <c r="AS424" s="40" t="n"/>
      <c r="AT424" s="40" t="n"/>
      <c r="AU424" s="38" t="inlineStr">
        <is>
          <t>IF(OR(E424="",AH424=""),"",IF(COUNT(AG424:AG424)=0,"",AH424-LOOKUP(2,1/(AG424:AG424&lt;&gt;""),AG424:AG424)))</t>
        </is>
      </c>
      <c r="AV424" s="38" t="inlineStr">
        <is>
          <t>IF(OR(E424="",AI424=""),"",IF(COUNT(AG424:AH424)=0,"",AI424-LOOKUP(2,1/(AG424:AH424&lt;&gt;""),AG424:AH424)))</t>
        </is>
      </c>
      <c r="AW424" s="38" t="inlineStr">
        <is>
          <t>IF(OR(E424="",AJ424=""),"",IF(COUNT(AG424:AI424)=0,"",AJ424-LOOKUP(2,1/(AG424:AI424&lt;&gt;""),AG424:AI424)))</t>
        </is>
      </c>
      <c r="AX424" s="38" t="inlineStr">
        <is>
          <t>IF(OR(E424="",AK424=""),"",IF(COUNT(AG424:AJ424)=0,"",AK424-LOOKUP(2,1/(AG424:AJ424&lt;&gt;""),AG424:AJ424)))</t>
        </is>
      </c>
      <c r="AY424" s="38" t="inlineStr">
        <is>
          <t>IF(OR(E424="",AL424=""),"",IF(COUNT(AG424:AK424)=0,"",AL424-LOOKUP(2,1/(AG424:AK424&lt;&gt;""),AG424:AK424)))</t>
        </is>
      </c>
      <c r="AZ424" s="38" t="inlineStr">
        <is>
          <t>IF(OR(E424="",AM424=""),"",IF(COUNT(AG424:AL424)=0,"",AM424-LOOKUP(2,1/(AG424:AL424&lt;&gt;""),AG424:AL424)))</t>
        </is>
      </c>
      <c r="BA424" s="38" t="inlineStr">
        <is>
          <t>IF(OR(E424="",AN424=""),"",IF(COUNT(AG424:AM424)=0,"",AN424-LOOKUP(2,1/(AG424:AM424&lt;&gt;""),AG424:AM424)))</t>
        </is>
      </c>
      <c r="BB424" s="38" t="inlineStr">
        <is>
          <t>IF(OR(E424="",AO424=""),"",IF(COUNT(AG424:AN424)=0,"",AO424-LOOKUP(2,1/(AG424:AN424&lt;&gt;""),AG424:AN424)))</t>
        </is>
      </c>
      <c r="BC424" s="38" t="inlineStr">
        <is>
          <t>IF(OR(E424="",AP424=""),"",IF(COUNT(AG424:AO424)=0,"",AP424-LOOKUP(2,1/(AG424:AO424&lt;&gt;""),AG424:AO424)))</t>
        </is>
      </c>
      <c r="BD424" s="38" t="inlineStr">
        <is>
          <t>IF(OR(E424="",AQ424=""),"",IF(COUNT(AG424:AP424)=0,"",AQ424-LOOKUP(2,1/(AG424:AP424&lt;&gt;""),AG424:AP424)))</t>
        </is>
      </c>
      <c r="BE424" s="38" t="inlineStr">
        <is>
          <t>IF(OR(E424="",AR424=""),"",IF(COUNT(AG424:AQ424)=0,"",AR424-LOOKUP(2,1/(AG424:AQ424&lt;&gt;""),AG424:AQ424)))</t>
        </is>
      </c>
      <c r="BF424" s="38" t="inlineStr">
        <is>
          <t>IF(OR(E424="",AS424=""),"",IF(COUNT(AG424:AR424)=0,"",AS424-LOOKUP(2,1/(AG424:AR424&lt;&gt;""),AG424:AR424)))</t>
        </is>
      </c>
      <c r="BG424" s="38" t="inlineStr">
        <is>
          <t>IF(OR(E424="",AT424=""),"",IF(COUNT(AG424:AS424)=0,"",AT424-LOOKUP(2,1/(AG424:AS424&lt;&gt;""),AG424:AS424)))</t>
        </is>
      </c>
      <c r="BH424" s="41" t="inlineStr">
        <is>
          <t>IF(G424="","All_Provinces",IFERROR(VLOOKUP(G424,'07_Lookups'!$A$4:$B$20,2,FALSE),"All_Provinces"))</t>
        </is>
      </c>
      <c r="BI424" s="41" t="inlineStr">
        <is>
          <t>IF(H424="","All_Districts",IFERROR(VLOOKUP(H424,'07_Lookups'!$E$4:$F$42,2,FALSE),"All_Districts"))</t>
        </is>
      </c>
    </row>
    <row r="425" ht="18" customHeight="1">
      <c r="A425" s="32" t="inlineStr">
        <is>
          <t>IF(E425="","",ROW()-3)</t>
        </is>
      </c>
      <c r="B425" s="42" t="n"/>
      <c r="C425" s="42" t="n"/>
      <c r="D425" s="42" t="n"/>
      <c r="E425" s="42" t="n"/>
      <c r="F425" s="42" t="n"/>
      <c r="G425" s="42" t="n"/>
      <c r="H425" s="42" t="n"/>
      <c r="I425" s="42" t="n"/>
      <c r="J425" s="42" t="n"/>
      <c r="K425" s="42" t="n"/>
      <c r="L425" s="42" t="n"/>
      <c r="M425" s="42" t="n"/>
      <c r="N425" s="42" t="n"/>
      <c r="O425" s="42" t="n"/>
      <c r="P425" s="42" t="n"/>
      <c r="Q425" s="43" t="n"/>
      <c r="R425" s="35" t="inlineStr">
        <is>
          <t>IF(AO425="","",AO425)</t>
        </is>
      </c>
      <c r="S425" s="44" t="n"/>
      <c r="T425" s="45" t="n"/>
      <c r="U425" s="44" t="n"/>
      <c r="V425" s="35" t="inlineStr">
        <is>
          <t>IF(U425&lt;&gt;"",U425,IF(OR(R425="",T425=""),"",EDATE(R425,T425)))</t>
        </is>
      </c>
      <c r="W425" s="44" t="n"/>
      <c r="X425" s="45" t="n"/>
      <c r="Y425" s="42" t="n"/>
      <c r="Z425" s="42" t="n"/>
      <c r="AA425" s="32" t="inlineStr">
        <is>
          <t>IF(E425="","",IF(COUNT(AG425:AT425)=0,IF(Y425="","Not started",Y425),SUBSTITUTE(LOOKUP(2,1/(AG425:AT425&lt;&gt;""),$AG$3:$AT$3),"Date: ","")))</t>
        </is>
      </c>
      <c r="AB425" s="38" t="inlineStr">
        <is>
          <t>IF(OR(E425="",COUNT(AG425:AT425)=0),"",TODAY()-LOOKUP(2,1/(AG425:AT425&lt;&gt;""),AG425:AT425))</t>
        </is>
      </c>
      <c r="AC425" s="38" t="inlineStr">
        <is>
          <t>IF(OR(E425="",COUNT(AG425:AT425)&lt;2),"",LOOKUP(2,1/(AG425:AT425&lt;&gt;""),AG425:AT425)-MIN(AG425:AT425))</t>
        </is>
      </c>
      <c r="AD425" s="38" t="inlineStr">
        <is>
          <t>IF(OR(AB425="",AA425="Not started",AA425=""),"",IFERROR(AB425-IF(VLOOKUP(AA425,'04_Status_Pipeline'!$B$3:$E$20,4,FALSE)="",0,VLOOKUP(AA425,'04_Status_Pipeline'!$B$3:$E$20,4,FALSE)),""))</t>
        </is>
      </c>
      <c r="AE425" s="32" t="inlineStr">
        <is>
          <t>IF(E425="","",IF(OR(Y425="Cancelled",AA425="Cancelled"),"Cancelled",IF(OR(AA425="Completed / Handover",W425&lt;&gt;"",X425&gt;=100),"Completed — on track",IF(L425="Remaining",IF(S425="",IF(V425="","No planned date",IF(TODAY()&gt;V425,"Behind — past planned date",IF(V425-TODAY()&lt;=30,"At risk — close to off track","On track"))),IF(TODAY()&gt;S425,"Behind — award date passed",IF(S425-TODAY()&lt;=30,"At risk — close to off track","On track"))),IF(V425="","No planned date",IF(AND(TODAY()&gt;V425,OR(X425="",X425&lt;100)),"Behind — past end date",IF(AND(R425&lt;&gt;"",V425&lt;&gt;"",X425&lt;&gt;"",(X425&lt;100),((TODAY()-R425)/MAX(V425-R425,1)*100)-X425&gt;15),"Behind — progress lag",IF(AND(V425-TODAY()&lt;=30,V425-TODAY()&gt;=0,OR(X425="",X425&lt;90)),"At risk — close to off track","On track"))))))))</t>
        </is>
      </c>
      <c r="AF425" s="38" t="inlineStr">
        <is>
          <t>IF(OR(E425="",AA425="Completed / Handover",AA425="Cancelled"),"",IF(L425="Remaining",IF(S425&lt;&gt;"",S425-TODAY(),IF(V425="","",V425-TODAY())),IF(V425="","",V425-TODAY())))</t>
        </is>
      </c>
      <c r="AG425" s="44" t="n"/>
      <c r="AH425" s="44" t="n"/>
      <c r="AI425" s="44" t="n"/>
      <c r="AJ425" s="44" t="n"/>
      <c r="AK425" s="44" t="n"/>
      <c r="AL425" s="44" t="n"/>
      <c r="AM425" s="44" t="n"/>
      <c r="AN425" s="44" t="n"/>
      <c r="AO425" s="44" t="n"/>
      <c r="AP425" s="44" t="n"/>
      <c r="AQ425" s="44" t="n"/>
      <c r="AR425" s="40" t="n"/>
      <c r="AS425" s="40" t="n"/>
      <c r="AT425" s="40" t="n"/>
      <c r="AU425" s="38" t="inlineStr">
        <is>
          <t>IF(OR(E425="",AH425=""),"",IF(COUNT(AG425:AG425)=0,"",AH425-LOOKUP(2,1/(AG425:AG425&lt;&gt;""),AG425:AG425)))</t>
        </is>
      </c>
      <c r="AV425" s="38" t="inlineStr">
        <is>
          <t>IF(OR(E425="",AI425=""),"",IF(COUNT(AG425:AH425)=0,"",AI425-LOOKUP(2,1/(AG425:AH425&lt;&gt;""),AG425:AH425)))</t>
        </is>
      </c>
      <c r="AW425" s="38" t="inlineStr">
        <is>
          <t>IF(OR(E425="",AJ425=""),"",IF(COUNT(AG425:AI425)=0,"",AJ425-LOOKUP(2,1/(AG425:AI425&lt;&gt;""),AG425:AI425)))</t>
        </is>
      </c>
      <c r="AX425" s="38" t="inlineStr">
        <is>
          <t>IF(OR(E425="",AK425=""),"",IF(COUNT(AG425:AJ425)=0,"",AK425-LOOKUP(2,1/(AG425:AJ425&lt;&gt;""),AG425:AJ425)))</t>
        </is>
      </c>
      <c r="AY425" s="38" t="inlineStr">
        <is>
          <t>IF(OR(E425="",AL425=""),"",IF(COUNT(AG425:AK425)=0,"",AL425-LOOKUP(2,1/(AG425:AK425&lt;&gt;""),AG425:AK425)))</t>
        </is>
      </c>
      <c r="AZ425" s="38" t="inlineStr">
        <is>
          <t>IF(OR(E425="",AM425=""),"",IF(COUNT(AG425:AL425)=0,"",AM425-LOOKUP(2,1/(AG425:AL425&lt;&gt;""),AG425:AL425)))</t>
        </is>
      </c>
      <c r="BA425" s="38" t="inlineStr">
        <is>
          <t>IF(OR(E425="",AN425=""),"",IF(COUNT(AG425:AM425)=0,"",AN425-LOOKUP(2,1/(AG425:AM425&lt;&gt;""),AG425:AM425)))</t>
        </is>
      </c>
      <c r="BB425" s="38" t="inlineStr">
        <is>
          <t>IF(OR(E425="",AO425=""),"",IF(COUNT(AG425:AN425)=0,"",AO425-LOOKUP(2,1/(AG425:AN425&lt;&gt;""),AG425:AN425)))</t>
        </is>
      </c>
      <c r="BC425" s="38" t="inlineStr">
        <is>
          <t>IF(OR(E425="",AP425=""),"",IF(COUNT(AG425:AO425)=0,"",AP425-LOOKUP(2,1/(AG425:AO425&lt;&gt;""),AG425:AO425)))</t>
        </is>
      </c>
      <c r="BD425" s="38" t="inlineStr">
        <is>
          <t>IF(OR(E425="",AQ425=""),"",IF(COUNT(AG425:AP425)=0,"",AQ425-LOOKUP(2,1/(AG425:AP425&lt;&gt;""),AG425:AP425)))</t>
        </is>
      </c>
      <c r="BE425" s="38" t="inlineStr">
        <is>
          <t>IF(OR(E425="",AR425=""),"",IF(COUNT(AG425:AQ425)=0,"",AR425-LOOKUP(2,1/(AG425:AQ425&lt;&gt;""),AG425:AQ425)))</t>
        </is>
      </c>
      <c r="BF425" s="38" t="inlineStr">
        <is>
          <t>IF(OR(E425="",AS425=""),"",IF(COUNT(AG425:AR425)=0,"",AS425-LOOKUP(2,1/(AG425:AR425&lt;&gt;""),AG425:AR425)))</t>
        </is>
      </c>
      <c r="BG425" s="38" t="inlineStr">
        <is>
          <t>IF(OR(E425="",AT425=""),"",IF(COUNT(AG425:AS425)=0,"",AT425-LOOKUP(2,1/(AG425:AS425&lt;&gt;""),AG425:AS425)))</t>
        </is>
      </c>
      <c r="BH425" s="41" t="inlineStr">
        <is>
          <t>IF(G425="","All_Provinces",IFERROR(VLOOKUP(G425,'07_Lookups'!$A$4:$B$20,2,FALSE),"All_Provinces"))</t>
        </is>
      </c>
      <c r="BI425" s="41" t="inlineStr">
        <is>
          <t>IF(H425="","All_Districts",IFERROR(VLOOKUP(H425,'07_Lookups'!$E$4:$F$42,2,FALSE),"All_Districts"))</t>
        </is>
      </c>
    </row>
    <row r="426" ht="18" customHeight="1">
      <c r="A426" s="32" t="inlineStr">
        <is>
          <t>IF(E426="","",ROW()-3)</t>
        </is>
      </c>
      <c r="B426" s="33" t="n"/>
      <c r="C426" s="33" t="n"/>
      <c r="D426" s="33" t="n"/>
      <c r="E426" s="33" t="n"/>
      <c r="F426" s="33" t="n"/>
      <c r="G426" s="33" t="n"/>
      <c r="H426" s="33" t="n"/>
      <c r="I426" s="33" t="n"/>
      <c r="J426" s="33" t="n"/>
      <c r="K426" s="33" t="n"/>
      <c r="L426" s="33" t="n"/>
      <c r="M426" s="33" t="n"/>
      <c r="N426" s="33" t="n"/>
      <c r="O426" s="33" t="n"/>
      <c r="P426" s="33" t="n"/>
      <c r="Q426" s="34" t="n"/>
      <c r="R426" s="35" t="inlineStr">
        <is>
          <t>IF(AO426="","",AO426)</t>
        </is>
      </c>
      <c r="S426" s="36" t="n"/>
      <c r="T426" s="37" t="n"/>
      <c r="U426" s="36" t="n"/>
      <c r="V426" s="35" t="inlineStr">
        <is>
          <t>IF(U426&lt;&gt;"",U426,IF(OR(R426="",T426=""),"",EDATE(R426,T426)))</t>
        </is>
      </c>
      <c r="W426" s="36" t="n"/>
      <c r="X426" s="37" t="n"/>
      <c r="Y426" s="33" t="n"/>
      <c r="Z426" s="33" t="n"/>
      <c r="AA426" s="32" t="inlineStr">
        <is>
          <t>IF(E426="","",IF(COUNT(AG426:AT426)=0,IF(Y426="","Not started",Y426),SUBSTITUTE(LOOKUP(2,1/(AG426:AT426&lt;&gt;""),$AG$3:$AT$3),"Date: ","")))</t>
        </is>
      </c>
      <c r="AB426" s="38" t="inlineStr">
        <is>
          <t>IF(OR(E426="",COUNT(AG426:AT426)=0),"",TODAY()-LOOKUP(2,1/(AG426:AT426&lt;&gt;""),AG426:AT426))</t>
        </is>
      </c>
      <c r="AC426" s="38" t="inlineStr">
        <is>
          <t>IF(OR(E426="",COUNT(AG426:AT426)&lt;2),"",LOOKUP(2,1/(AG426:AT426&lt;&gt;""),AG426:AT426)-MIN(AG426:AT426))</t>
        </is>
      </c>
      <c r="AD426" s="38" t="inlineStr">
        <is>
          <t>IF(OR(AB426="",AA426="Not started",AA426=""),"",IFERROR(AB426-IF(VLOOKUP(AA426,'04_Status_Pipeline'!$B$3:$E$20,4,FALSE)="",0,VLOOKUP(AA426,'04_Status_Pipeline'!$B$3:$E$20,4,FALSE)),""))</t>
        </is>
      </c>
      <c r="AE426" s="32" t="inlineStr">
        <is>
          <t>IF(E426="","",IF(OR(Y426="Cancelled",AA426="Cancelled"),"Cancelled",IF(OR(AA426="Completed / Handover",W426&lt;&gt;"",X426&gt;=100),"Completed — on track",IF(L426="Remaining",IF(S426="",IF(V426="","No planned date",IF(TODAY()&gt;V426,"Behind — past planned date",IF(V426-TODAY()&lt;=30,"At risk — close to off track","On track"))),IF(TODAY()&gt;S426,"Behind — award date passed",IF(S426-TODAY()&lt;=30,"At risk — close to off track","On track"))),IF(V426="","No planned date",IF(AND(TODAY()&gt;V426,OR(X426="",X426&lt;100)),"Behind — past end date",IF(AND(R426&lt;&gt;"",V426&lt;&gt;"",X426&lt;&gt;"",(X426&lt;100),((TODAY()-R426)/MAX(V426-R426,1)*100)-X426&gt;15),"Behind — progress lag",IF(AND(V426-TODAY()&lt;=30,V426-TODAY()&gt;=0,OR(X426="",X426&lt;90)),"At risk — close to off track","On track"))))))))</t>
        </is>
      </c>
      <c r="AF426" s="38" t="inlineStr">
        <is>
          <t>IF(OR(E426="",AA426="Completed / Handover",AA426="Cancelled"),"",IF(L426="Remaining",IF(S426&lt;&gt;"",S426-TODAY(),IF(V426="","",V426-TODAY())),IF(V426="","",V426-TODAY())))</t>
        </is>
      </c>
      <c r="AG426" s="36" t="n"/>
      <c r="AH426" s="36" t="n"/>
      <c r="AI426" s="36" t="n"/>
      <c r="AJ426" s="36" t="n"/>
      <c r="AK426" s="36" t="n"/>
      <c r="AL426" s="36" t="n"/>
      <c r="AM426" s="36" t="n"/>
      <c r="AN426" s="36" t="n"/>
      <c r="AO426" s="36" t="n"/>
      <c r="AP426" s="36" t="n"/>
      <c r="AQ426" s="36" t="n"/>
      <c r="AR426" s="40" t="n"/>
      <c r="AS426" s="40" t="n"/>
      <c r="AT426" s="40" t="n"/>
      <c r="AU426" s="38" t="inlineStr">
        <is>
          <t>IF(OR(E426="",AH426=""),"",IF(COUNT(AG426:AG426)=0,"",AH426-LOOKUP(2,1/(AG426:AG426&lt;&gt;""),AG426:AG426)))</t>
        </is>
      </c>
      <c r="AV426" s="38" t="inlineStr">
        <is>
          <t>IF(OR(E426="",AI426=""),"",IF(COUNT(AG426:AH426)=0,"",AI426-LOOKUP(2,1/(AG426:AH426&lt;&gt;""),AG426:AH426)))</t>
        </is>
      </c>
      <c r="AW426" s="38" t="inlineStr">
        <is>
          <t>IF(OR(E426="",AJ426=""),"",IF(COUNT(AG426:AI426)=0,"",AJ426-LOOKUP(2,1/(AG426:AI426&lt;&gt;""),AG426:AI426)))</t>
        </is>
      </c>
      <c r="AX426" s="38" t="inlineStr">
        <is>
          <t>IF(OR(E426="",AK426=""),"",IF(COUNT(AG426:AJ426)=0,"",AK426-LOOKUP(2,1/(AG426:AJ426&lt;&gt;""),AG426:AJ426)))</t>
        </is>
      </c>
      <c r="AY426" s="38" t="inlineStr">
        <is>
          <t>IF(OR(E426="",AL426=""),"",IF(COUNT(AG426:AK426)=0,"",AL426-LOOKUP(2,1/(AG426:AK426&lt;&gt;""),AG426:AK426)))</t>
        </is>
      </c>
      <c r="AZ426" s="38" t="inlineStr">
        <is>
          <t>IF(OR(E426="",AM426=""),"",IF(COUNT(AG426:AL426)=0,"",AM426-LOOKUP(2,1/(AG426:AL426&lt;&gt;""),AG426:AL426)))</t>
        </is>
      </c>
      <c r="BA426" s="38" t="inlineStr">
        <is>
          <t>IF(OR(E426="",AN426=""),"",IF(COUNT(AG426:AM426)=0,"",AN426-LOOKUP(2,1/(AG426:AM426&lt;&gt;""),AG426:AM426)))</t>
        </is>
      </c>
      <c r="BB426" s="38" t="inlineStr">
        <is>
          <t>IF(OR(E426="",AO426=""),"",IF(COUNT(AG426:AN426)=0,"",AO426-LOOKUP(2,1/(AG426:AN426&lt;&gt;""),AG426:AN426)))</t>
        </is>
      </c>
      <c r="BC426" s="38" t="inlineStr">
        <is>
          <t>IF(OR(E426="",AP426=""),"",IF(COUNT(AG426:AO426)=0,"",AP426-LOOKUP(2,1/(AG426:AO426&lt;&gt;""),AG426:AO426)))</t>
        </is>
      </c>
      <c r="BD426" s="38" t="inlineStr">
        <is>
          <t>IF(OR(E426="",AQ426=""),"",IF(COUNT(AG426:AP426)=0,"",AQ426-LOOKUP(2,1/(AG426:AP426&lt;&gt;""),AG426:AP426)))</t>
        </is>
      </c>
      <c r="BE426" s="38" t="inlineStr">
        <is>
          <t>IF(OR(E426="",AR426=""),"",IF(COUNT(AG426:AQ426)=0,"",AR426-LOOKUP(2,1/(AG426:AQ426&lt;&gt;""),AG426:AQ426)))</t>
        </is>
      </c>
      <c r="BF426" s="38" t="inlineStr">
        <is>
          <t>IF(OR(E426="",AS426=""),"",IF(COUNT(AG426:AR426)=0,"",AS426-LOOKUP(2,1/(AG426:AR426&lt;&gt;""),AG426:AR426)))</t>
        </is>
      </c>
      <c r="BG426" s="38" t="inlineStr">
        <is>
          <t>IF(OR(E426="",AT426=""),"",IF(COUNT(AG426:AS426)=0,"",AT426-LOOKUP(2,1/(AG426:AS426&lt;&gt;""),AG426:AS426)))</t>
        </is>
      </c>
      <c r="BH426" s="41" t="inlineStr">
        <is>
          <t>IF(G426="","All_Provinces",IFERROR(VLOOKUP(G426,'07_Lookups'!$A$4:$B$20,2,FALSE),"All_Provinces"))</t>
        </is>
      </c>
      <c r="BI426" s="41" t="inlineStr">
        <is>
          <t>IF(H426="","All_Districts",IFERROR(VLOOKUP(H426,'07_Lookups'!$E$4:$F$42,2,FALSE),"All_Districts"))</t>
        </is>
      </c>
    </row>
    <row r="427" ht="18" customHeight="1">
      <c r="A427" s="32" t="inlineStr">
        <is>
          <t>IF(E427="","",ROW()-3)</t>
        </is>
      </c>
      <c r="B427" s="42" t="n"/>
      <c r="C427" s="42" t="n"/>
      <c r="D427" s="42" t="n"/>
      <c r="E427" s="42" t="n"/>
      <c r="F427" s="42" t="n"/>
      <c r="G427" s="42" t="n"/>
      <c r="H427" s="42" t="n"/>
      <c r="I427" s="42" t="n"/>
      <c r="J427" s="42" t="n"/>
      <c r="K427" s="42" t="n"/>
      <c r="L427" s="42" t="n"/>
      <c r="M427" s="42" t="n"/>
      <c r="N427" s="42" t="n"/>
      <c r="O427" s="42" t="n"/>
      <c r="P427" s="42" t="n"/>
      <c r="Q427" s="43" t="n"/>
      <c r="R427" s="35" t="inlineStr">
        <is>
          <t>IF(AO427="","",AO427)</t>
        </is>
      </c>
      <c r="S427" s="44" t="n"/>
      <c r="T427" s="45" t="n"/>
      <c r="U427" s="44" t="n"/>
      <c r="V427" s="35" t="inlineStr">
        <is>
          <t>IF(U427&lt;&gt;"",U427,IF(OR(R427="",T427=""),"",EDATE(R427,T427)))</t>
        </is>
      </c>
      <c r="W427" s="44" t="n"/>
      <c r="X427" s="45" t="n"/>
      <c r="Y427" s="42" t="n"/>
      <c r="Z427" s="42" t="n"/>
      <c r="AA427" s="32" t="inlineStr">
        <is>
          <t>IF(E427="","",IF(COUNT(AG427:AT427)=0,IF(Y427="","Not started",Y427),SUBSTITUTE(LOOKUP(2,1/(AG427:AT427&lt;&gt;""),$AG$3:$AT$3),"Date: ","")))</t>
        </is>
      </c>
      <c r="AB427" s="38" t="inlineStr">
        <is>
          <t>IF(OR(E427="",COUNT(AG427:AT427)=0),"",TODAY()-LOOKUP(2,1/(AG427:AT427&lt;&gt;""),AG427:AT427))</t>
        </is>
      </c>
      <c r="AC427" s="38" t="inlineStr">
        <is>
          <t>IF(OR(E427="",COUNT(AG427:AT427)&lt;2),"",LOOKUP(2,1/(AG427:AT427&lt;&gt;""),AG427:AT427)-MIN(AG427:AT427))</t>
        </is>
      </c>
      <c r="AD427" s="38" t="inlineStr">
        <is>
          <t>IF(OR(AB427="",AA427="Not started",AA427=""),"",IFERROR(AB427-IF(VLOOKUP(AA427,'04_Status_Pipeline'!$B$3:$E$20,4,FALSE)="",0,VLOOKUP(AA427,'04_Status_Pipeline'!$B$3:$E$20,4,FALSE)),""))</t>
        </is>
      </c>
      <c r="AE427" s="32" t="inlineStr">
        <is>
          <t>IF(E427="","",IF(OR(Y427="Cancelled",AA427="Cancelled"),"Cancelled",IF(OR(AA427="Completed / Handover",W427&lt;&gt;"",X427&gt;=100),"Completed — on track",IF(L427="Remaining",IF(S427="",IF(V427="","No planned date",IF(TODAY()&gt;V427,"Behind — past planned date",IF(V427-TODAY()&lt;=30,"At risk — close to off track","On track"))),IF(TODAY()&gt;S427,"Behind — award date passed",IF(S427-TODAY()&lt;=30,"At risk — close to off track","On track"))),IF(V427="","No planned date",IF(AND(TODAY()&gt;V427,OR(X427="",X427&lt;100)),"Behind — past end date",IF(AND(R427&lt;&gt;"",V427&lt;&gt;"",X427&lt;&gt;"",(X427&lt;100),((TODAY()-R427)/MAX(V427-R427,1)*100)-X427&gt;15),"Behind — progress lag",IF(AND(V427-TODAY()&lt;=30,V427-TODAY()&gt;=0,OR(X427="",X427&lt;90)),"At risk — close to off track","On track"))))))))</t>
        </is>
      </c>
      <c r="AF427" s="38" t="inlineStr">
        <is>
          <t>IF(OR(E427="",AA427="Completed / Handover",AA427="Cancelled"),"",IF(L427="Remaining",IF(S427&lt;&gt;"",S427-TODAY(),IF(V427="","",V427-TODAY())),IF(V427="","",V427-TODAY())))</t>
        </is>
      </c>
      <c r="AG427" s="44" t="n"/>
      <c r="AH427" s="44" t="n"/>
      <c r="AI427" s="44" t="n"/>
      <c r="AJ427" s="44" t="n"/>
      <c r="AK427" s="44" t="n"/>
      <c r="AL427" s="44" t="n"/>
      <c r="AM427" s="44" t="n"/>
      <c r="AN427" s="44" t="n"/>
      <c r="AO427" s="44" t="n"/>
      <c r="AP427" s="44" t="n"/>
      <c r="AQ427" s="44" t="n"/>
      <c r="AR427" s="40" t="n"/>
      <c r="AS427" s="40" t="n"/>
      <c r="AT427" s="40" t="n"/>
      <c r="AU427" s="38" t="inlineStr">
        <is>
          <t>IF(OR(E427="",AH427=""),"",IF(COUNT(AG427:AG427)=0,"",AH427-LOOKUP(2,1/(AG427:AG427&lt;&gt;""),AG427:AG427)))</t>
        </is>
      </c>
      <c r="AV427" s="38" t="inlineStr">
        <is>
          <t>IF(OR(E427="",AI427=""),"",IF(COUNT(AG427:AH427)=0,"",AI427-LOOKUP(2,1/(AG427:AH427&lt;&gt;""),AG427:AH427)))</t>
        </is>
      </c>
      <c r="AW427" s="38" t="inlineStr">
        <is>
          <t>IF(OR(E427="",AJ427=""),"",IF(COUNT(AG427:AI427)=0,"",AJ427-LOOKUP(2,1/(AG427:AI427&lt;&gt;""),AG427:AI427)))</t>
        </is>
      </c>
      <c r="AX427" s="38" t="inlineStr">
        <is>
          <t>IF(OR(E427="",AK427=""),"",IF(COUNT(AG427:AJ427)=0,"",AK427-LOOKUP(2,1/(AG427:AJ427&lt;&gt;""),AG427:AJ427)))</t>
        </is>
      </c>
      <c r="AY427" s="38" t="inlineStr">
        <is>
          <t>IF(OR(E427="",AL427=""),"",IF(COUNT(AG427:AK427)=0,"",AL427-LOOKUP(2,1/(AG427:AK427&lt;&gt;""),AG427:AK427)))</t>
        </is>
      </c>
      <c r="AZ427" s="38" t="inlineStr">
        <is>
          <t>IF(OR(E427="",AM427=""),"",IF(COUNT(AG427:AL427)=0,"",AM427-LOOKUP(2,1/(AG427:AL427&lt;&gt;""),AG427:AL427)))</t>
        </is>
      </c>
      <c r="BA427" s="38" t="inlineStr">
        <is>
          <t>IF(OR(E427="",AN427=""),"",IF(COUNT(AG427:AM427)=0,"",AN427-LOOKUP(2,1/(AG427:AM427&lt;&gt;""),AG427:AM427)))</t>
        </is>
      </c>
      <c r="BB427" s="38" t="inlineStr">
        <is>
          <t>IF(OR(E427="",AO427=""),"",IF(COUNT(AG427:AN427)=0,"",AO427-LOOKUP(2,1/(AG427:AN427&lt;&gt;""),AG427:AN427)))</t>
        </is>
      </c>
      <c r="BC427" s="38" t="inlineStr">
        <is>
          <t>IF(OR(E427="",AP427=""),"",IF(COUNT(AG427:AO427)=0,"",AP427-LOOKUP(2,1/(AG427:AO427&lt;&gt;""),AG427:AO427)))</t>
        </is>
      </c>
      <c r="BD427" s="38" t="inlineStr">
        <is>
          <t>IF(OR(E427="",AQ427=""),"",IF(COUNT(AG427:AP427)=0,"",AQ427-LOOKUP(2,1/(AG427:AP427&lt;&gt;""),AG427:AP427)))</t>
        </is>
      </c>
      <c r="BE427" s="38" t="inlineStr">
        <is>
          <t>IF(OR(E427="",AR427=""),"",IF(COUNT(AG427:AQ427)=0,"",AR427-LOOKUP(2,1/(AG427:AQ427&lt;&gt;""),AG427:AQ427)))</t>
        </is>
      </c>
      <c r="BF427" s="38" t="inlineStr">
        <is>
          <t>IF(OR(E427="",AS427=""),"",IF(COUNT(AG427:AR427)=0,"",AS427-LOOKUP(2,1/(AG427:AR427&lt;&gt;""),AG427:AR427)))</t>
        </is>
      </c>
      <c r="BG427" s="38" t="inlineStr">
        <is>
          <t>IF(OR(E427="",AT427=""),"",IF(COUNT(AG427:AS427)=0,"",AT427-LOOKUP(2,1/(AG427:AS427&lt;&gt;""),AG427:AS427)))</t>
        </is>
      </c>
      <c r="BH427" s="41" t="inlineStr">
        <is>
          <t>IF(G427="","All_Provinces",IFERROR(VLOOKUP(G427,'07_Lookups'!$A$4:$B$20,2,FALSE),"All_Provinces"))</t>
        </is>
      </c>
      <c r="BI427" s="41" t="inlineStr">
        <is>
          <t>IF(H427="","All_Districts",IFERROR(VLOOKUP(H427,'07_Lookups'!$E$4:$F$42,2,FALSE),"All_Districts"))</t>
        </is>
      </c>
    </row>
    <row r="428" ht="18" customHeight="1">
      <c r="A428" s="32" t="inlineStr">
        <is>
          <t>IF(E428="","",ROW()-3)</t>
        </is>
      </c>
      <c r="B428" s="33" t="n"/>
      <c r="C428" s="33" t="n"/>
      <c r="D428" s="33" t="n"/>
      <c r="E428" s="33" t="n"/>
      <c r="F428" s="33" t="n"/>
      <c r="G428" s="33" t="n"/>
      <c r="H428" s="33" t="n"/>
      <c r="I428" s="33" t="n"/>
      <c r="J428" s="33" t="n"/>
      <c r="K428" s="33" t="n"/>
      <c r="L428" s="33" t="n"/>
      <c r="M428" s="33" t="n"/>
      <c r="N428" s="33" t="n"/>
      <c r="O428" s="33" t="n"/>
      <c r="P428" s="33" t="n"/>
      <c r="Q428" s="34" t="n"/>
      <c r="R428" s="35" t="inlineStr">
        <is>
          <t>IF(AO428="","",AO428)</t>
        </is>
      </c>
      <c r="S428" s="36" t="n"/>
      <c r="T428" s="37" t="n"/>
      <c r="U428" s="36" t="n"/>
      <c r="V428" s="35" t="inlineStr">
        <is>
          <t>IF(U428&lt;&gt;"",U428,IF(OR(R428="",T428=""),"",EDATE(R428,T428)))</t>
        </is>
      </c>
      <c r="W428" s="36" t="n"/>
      <c r="X428" s="37" t="n"/>
      <c r="Y428" s="33" t="n"/>
      <c r="Z428" s="33" t="n"/>
      <c r="AA428" s="32" t="inlineStr">
        <is>
          <t>IF(E428="","",IF(COUNT(AG428:AT428)=0,IF(Y428="","Not started",Y428),SUBSTITUTE(LOOKUP(2,1/(AG428:AT428&lt;&gt;""),$AG$3:$AT$3),"Date: ","")))</t>
        </is>
      </c>
      <c r="AB428" s="38" t="inlineStr">
        <is>
          <t>IF(OR(E428="",COUNT(AG428:AT428)=0),"",TODAY()-LOOKUP(2,1/(AG428:AT428&lt;&gt;""),AG428:AT428))</t>
        </is>
      </c>
      <c r="AC428" s="38" t="inlineStr">
        <is>
          <t>IF(OR(E428="",COUNT(AG428:AT428)&lt;2),"",LOOKUP(2,1/(AG428:AT428&lt;&gt;""),AG428:AT428)-MIN(AG428:AT428))</t>
        </is>
      </c>
      <c r="AD428" s="38" t="inlineStr">
        <is>
          <t>IF(OR(AB428="",AA428="Not started",AA428=""),"",IFERROR(AB428-IF(VLOOKUP(AA428,'04_Status_Pipeline'!$B$3:$E$20,4,FALSE)="",0,VLOOKUP(AA428,'04_Status_Pipeline'!$B$3:$E$20,4,FALSE)),""))</t>
        </is>
      </c>
      <c r="AE428" s="32" t="inlineStr">
        <is>
          <t>IF(E428="","",IF(OR(Y428="Cancelled",AA428="Cancelled"),"Cancelled",IF(OR(AA428="Completed / Handover",W428&lt;&gt;"",X428&gt;=100),"Completed — on track",IF(L428="Remaining",IF(S428="",IF(V428="","No planned date",IF(TODAY()&gt;V428,"Behind — past planned date",IF(V428-TODAY()&lt;=30,"At risk — close to off track","On track"))),IF(TODAY()&gt;S428,"Behind — award date passed",IF(S428-TODAY()&lt;=30,"At risk — close to off track","On track"))),IF(V428="","No planned date",IF(AND(TODAY()&gt;V428,OR(X428="",X428&lt;100)),"Behind — past end date",IF(AND(R428&lt;&gt;"",V428&lt;&gt;"",X428&lt;&gt;"",(X428&lt;100),((TODAY()-R428)/MAX(V428-R428,1)*100)-X428&gt;15),"Behind — progress lag",IF(AND(V428-TODAY()&lt;=30,V428-TODAY()&gt;=0,OR(X428="",X428&lt;90)),"At risk — close to off track","On track"))))))))</t>
        </is>
      </c>
      <c r="AF428" s="38" t="inlineStr">
        <is>
          <t>IF(OR(E428="",AA428="Completed / Handover",AA428="Cancelled"),"",IF(L428="Remaining",IF(S428&lt;&gt;"",S428-TODAY(),IF(V428="","",V428-TODAY())),IF(V428="","",V428-TODAY())))</t>
        </is>
      </c>
      <c r="AG428" s="36" t="n"/>
      <c r="AH428" s="36" t="n"/>
      <c r="AI428" s="36" t="n"/>
      <c r="AJ428" s="36" t="n"/>
      <c r="AK428" s="36" t="n"/>
      <c r="AL428" s="36" t="n"/>
      <c r="AM428" s="36" t="n"/>
      <c r="AN428" s="36" t="n"/>
      <c r="AO428" s="36" t="n"/>
      <c r="AP428" s="36" t="n"/>
      <c r="AQ428" s="36" t="n"/>
      <c r="AR428" s="40" t="n"/>
      <c r="AS428" s="40" t="n"/>
      <c r="AT428" s="40" t="n"/>
      <c r="AU428" s="38" t="inlineStr">
        <is>
          <t>IF(OR(E428="",AH428=""),"",IF(COUNT(AG428:AG428)=0,"",AH428-LOOKUP(2,1/(AG428:AG428&lt;&gt;""),AG428:AG428)))</t>
        </is>
      </c>
      <c r="AV428" s="38" t="inlineStr">
        <is>
          <t>IF(OR(E428="",AI428=""),"",IF(COUNT(AG428:AH428)=0,"",AI428-LOOKUP(2,1/(AG428:AH428&lt;&gt;""),AG428:AH428)))</t>
        </is>
      </c>
      <c r="AW428" s="38" t="inlineStr">
        <is>
          <t>IF(OR(E428="",AJ428=""),"",IF(COUNT(AG428:AI428)=0,"",AJ428-LOOKUP(2,1/(AG428:AI428&lt;&gt;""),AG428:AI428)))</t>
        </is>
      </c>
      <c r="AX428" s="38" t="inlineStr">
        <is>
          <t>IF(OR(E428="",AK428=""),"",IF(COUNT(AG428:AJ428)=0,"",AK428-LOOKUP(2,1/(AG428:AJ428&lt;&gt;""),AG428:AJ428)))</t>
        </is>
      </c>
      <c r="AY428" s="38" t="inlineStr">
        <is>
          <t>IF(OR(E428="",AL428=""),"",IF(COUNT(AG428:AK428)=0,"",AL428-LOOKUP(2,1/(AG428:AK428&lt;&gt;""),AG428:AK428)))</t>
        </is>
      </c>
      <c r="AZ428" s="38" t="inlineStr">
        <is>
          <t>IF(OR(E428="",AM428=""),"",IF(COUNT(AG428:AL428)=0,"",AM428-LOOKUP(2,1/(AG428:AL428&lt;&gt;""),AG428:AL428)))</t>
        </is>
      </c>
      <c r="BA428" s="38" t="inlineStr">
        <is>
          <t>IF(OR(E428="",AN428=""),"",IF(COUNT(AG428:AM428)=0,"",AN428-LOOKUP(2,1/(AG428:AM428&lt;&gt;""),AG428:AM428)))</t>
        </is>
      </c>
      <c r="BB428" s="38" t="inlineStr">
        <is>
          <t>IF(OR(E428="",AO428=""),"",IF(COUNT(AG428:AN428)=0,"",AO428-LOOKUP(2,1/(AG428:AN428&lt;&gt;""),AG428:AN428)))</t>
        </is>
      </c>
      <c r="BC428" s="38" t="inlineStr">
        <is>
          <t>IF(OR(E428="",AP428=""),"",IF(COUNT(AG428:AO428)=0,"",AP428-LOOKUP(2,1/(AG428:AO428&lt;&gt;""),AG428:AO428)))</t>
        </is>
      </c>
      <c r="BD428" s="38" t="inlineStr">
        <is>
          <t>IF(OR(E428="",AQ428=""),"",IF(COUNT(AG428:AP428)=0,"",AQ428-LOOKUP(2,1/(AG428:AP428&lt;&gt;""),AG428:AP428)))</t>
        </is>
      </c>
      <c r="BE428" s="38" t="inlineStr">
        <is>
          <t>IF(OR(E428="",AR428=""),"",IF(COUNT(AG428:AQ428)=0,"",AR428-LOOKUP(2,1/(AG428:AQ428&lt;&gt;""),AG428:AQ428)))</t>
        </is>
      </c>
      <c r="BF428" s="38" t="inlineStr">
        <is>
          <t>IF(OR(E428="",AS428=""),"",IF(COUNT(AG428:AR428)=0,"",AS428-LOOKUP(2,1/(AG428:AR428&lt;&gt;""),AG428:AR428)))</t>
        </is>
      </c>
      <c r="BG428" s="38" t="inlineStr">
        <is>
          <t>IF(OR(E428="",AT428=""),"",IF(COUNT(AG428:AS428)=0,"",AT428-LOOKUP(2,1/(AG428:AS428&lt;&gt;""),AG428:AS428)))</t>
        </is>
      </c>
      <c r="BH428" s="41" t="inlineStr">
        <is>
          <t>IF(G428="","All_Provinces",IFERROR(VLOOKUP(G428,'07_Lookups'!$A$4:$B$20,2,FALSE),"All_Provinces"))</t>
        </is>
      </c>
      <c r="BI428" s="41" t="inlineStr">
        <is>
          <t>IF(H428="","All_Districts",IFERROR(VLOOKUP(H428,'07_Lookups'!$E$4:$F$42,2,FALSE),"All_Districts"))</t>
        </is>
      </c>
    </row>
    <row r="429" ht="18" customHeight="1">
      <c r="A429" s="32" t="inlineStr">
        <is>
          <t>IF(E429="","",ROW()-3)</t>
        </is>
      </c>
      <c r="B429" s="42" t="n"/>
      <c r="C429" s="42" t="n"/>
      <c r="D429" s="42" t="n"/>
      <c r="E429" s="42" t="n"/>
      <c r="F429" s="42" t="n"/>
      <c r="G429" s="42" t="n"/>
      <c r="H429" s="42" t="n"/>
      <c r="I429" s="42" t="n"/>
      <c r="J429" s="42" t="n"/>
      <c r="K429" s="42" t="n"/>
      <c r="L429" s="42" t="n"/>
      <c r="M429" s="42" t="n"/>
      <c r="N429" s="42" t="n"/>
      <c r="O429" s="42" t="n"/>
      <c r="P429" s="42" t="n"/>
      <c r="Q429" s="43" t="n"/>
      <c r="R429" s="35" t="inlineStr">
        <is>
          <t>IF(AO429="","",AO429)</t>
        </is>
      </c>
      <c r="S429" s="44" t="n"/>
      <c r="T429" s="45" t="n"/>
      <c r="U429" s="44" t="n"/>
      <c r="V429" s="35" t="inlineStr">
        <is>
          <t>IF(U429&lt;&gt;"",U429,IF(OR(R429="",T429=""),"",EDATE(R429,T429)))</t>
        </is>
      </c>
      <c r="W429" s="44" t="n"/>
      <c r="X429" s="45" t="n"/>
      <c r="Y429" s="42" t="n"/>
      <c r="Z429" s="42" t="n"/>
      <c r="AA429" s="32" t="inlineStr">
        <is>
          <t>IF(E429="","",IF(COUNT(AG429:AT429)=0,IF(Y429="","Not started",Y429),SUBSTITUTE(LOOKUP(2,1/(AG429:AT429&lt;&gt;""),$AG$3:$AT$3),"Date: ","")))</t>
        </is>
      </c>
      <c r="AB429" s="38" t="inlineStr">
        <is>
          <t>IF(OR(E429="",COUNT(AG429:AT429)=0),"",TODAY()-LOOKUP(2,1/(AG429:AT429&lt;&gt;""),AG429:AT429))</t>
        </is>
      </c>
      <c r="AC429" s="38" t="inlineStr">
        <is>
          <t>IF(OR(E429="",COUNT(AG429:AT429)&lt;2),"",LOOKUP(2,1/(AG429:AT429&lt;&gt;""),AG429:AT429)-MIN(AG429:AT429))</t>
        </is>
      </c>
      <c r="AD429" s="38" t="inlineStr">
        <is>
          <t>IF(OR(AB429="",AA429="Not started",AA429=""),"",IFERROR(AB429-IF(VLOOKUP(AA429,'04_Status_Pipeline'!$B$3:$E$20,4,FALSE)="",0,VLOOKUP(AA429,'04_Status_Pipeline'!$B$3:$E$20,4,FALSE)),""))</t>
        </is>
      </c>
      <c r="AE429" s="32" t="inlineStr">
        <is>
          <t>IF(E429="","",IF(OR(Y429="Cancelled",AA429="Cancelled"),"Cancelled",IF(OR(AA429="Completed / Handover",W429&lt;&gt;"",X429&gt;=100),"Completed — on track",IF(L429="Remaining",IF(S429="",IF(V429="","No planned date",IF(TODAY()&gt;V429,"Behind — past planned date",IF(V429-TODAY()&lt;=30,"At risk — close to off track","On track"))),IF(TODAY()&gt;S429,"Behind — award date passed",IF(S429-TODAY()&lt;=30,"At risk — close to off track","On track"))),IF(V429="","No planned date",IF(AND(TODAY()&gt;V429,OR(X429="",X429&lt;100)),"Behind — past end date",IF(AND(R429&lt;&gt;"",V429&lt;&gt;"",X429&lt;&gt;"",(X429&lt;100),((TODAY()-R429)/MAX(V429-R429,1)*100)-X429&gt;15),"Behind — progress lag",IF(AND(V429-TODAY()&lt;=30,V429-TODAY()&gt;=0,OR(X429="",X429&lt;90)),"At risk — close to off track","On track"))))))))</t>
        </is>
      </c>
      <c r="AF429" s="38" t="inlineStr">
        <is>
          <t>IF(OR(E429="",AA429="Completed / Handover",AA429="Cancelled"),"",IF(L429="Remaining",IF(S429&lt;&gt;"",S429-TODAY(),IF(V429="","",V429-TODAY())),IF(V429="","",V429-TODAY())))</t>
        </is>
      </c>
      <c r="AG429" s="44" t="n"/>
      <c r="AH429" s="44" t="n"/>
      <c r="AI429" s="44" t="n"/>
      <c r="AJ429" s="44" t="n"/>
      <c r="AK429" s="44" t="n"/>
      <c r="AL429" s="44" t="n"/>
      <c r="AM429" s="44" t="n"/>
      <c r="AN429" s="44" t="n"/>
      <c r="AO429" s="44" t="n"/>
      <c r="AP429" s="44" t="n"/>
      <c r="AQ429" s="44" t="n"/>
      <c r="AR429" s="40" t="n"/>
      <c r="AS429" s="40" t="n"/>
      <c r="AT429" s="40" t="n"/>
      <c r="AU429" s="38" t="inlineStr">
        <is>
          <t>IF(OR(E429="",AH429=""),"",IF(COUNT(AG429:AG429)=0,"",AH429-LOOKUP(2,1/(AG429:AG429&lt;&gt;""),AG429:AG429)))</t>
        </is>
      </c>
      <c r="AV429" s="38" t="inlineStr">
        <is>
          <t>IF(OR(E429="",AI429=""),"",IF(COUNT(AG429:AH429)=0,"",AI429-LOOKUP(2,1/(AG429:AH429&lt;&gt;""),AG429:AH429)))</t>
        </is>
      </c>
      <c r="AW429" s="38" t="inlineStr">
        <is>
          <t>IF(OR(E429="",AJ429=""),"",IF(COUNT(AG429:AI429)=0,"",AJ429-LOOKUP(2,1/(AG429:AI429&lt;&gt;""),AG429:AI429)))</t>
        </is>
      </c>
      <c r="AX429" s="38" t="inlineStr">
        <is>
          <t>IF(OR(E429="",AK429=""),"",IF(COUNT(AG429:AJ429)=0,"",AK429-LOOKUP(2,1/(AG429:AJ429&lt;&gt;""),AG429:AJ429)))</t>
        </is>
      </c>
      <c r="AY429" s="38" t="inlineStr">
        <is>
          <t>IF(OR(E429="",AL429=""),"",IF(COUNT(AG429:AK429)=0,"",AL429-LOOKUP(2,1/(AG429:AK429&lt;&gt;""),AG429:AK429)))</t>
        </is>
      </c>
      <c r="AZ429" s="38" t="inlineStr">
        <is>
          <t>IF(OR(E429="",AM429=""),"",IF(COUNT(AG429:AL429)=0,"",AM429-LOOKUP(2,1/(AG429:AL429&lt;&gt;""),AG429:AL429)))</t>
        </is>
      </c>
      <c r="BA429" s="38" t="inlineStr">
        <is>
          <t>IF(OR(E429="",AN429=""),"",IF(COUNT(AG429:AM429)=0,"",AN429-LOOKUP(2,1/(AG429:AM429&lt;&gt;""),AG429:AM429)))</t>
        </is>
      </c>
      <c r="BB429" s="38" t="inlineStr">
        <is>
          <t>IF(OR(E429="",AO429=""),"",IF(COUNT(AG429:AN429)=0,"",AO429-LOOKUP(2,1/(AG429:AN429&lt;&gt;""),AG429:AN429)))</t>
        </is>
      </c>
      <c r="BC429" s="38" t="inlineStr">
        <is>
          <t>IF(OR(E429="",AP429=""),"",IF(COUNT(AG429:AO429)=0,"",AP429-LOOKUP(2,1/(AG429:AO429&lt;&gt;""),AG429:AO429)))</t>
        </is>
      </c>
      <c r="BD429" s="38" t="inlineStr">
        <is>
          <t>IF(OR(E429="",AQ429=""),"",IF(COUNT(AG429:AP429)=0,"",AQ429-LOOKUP(2,1/(AG429:AP429&lt;&gt;""),AG429:AP429)))</t>
        </is>
      </c>
      <c r="BE429" s="38" t="inlineStr">
        <is>
          <t>IF(OR(E429="",AR429=""),"",IF(COUNT(AG429:AQ429)=0,"",AR429-LOOKUP(2,1/(AG429:AQ429&lt;&gt;""),AG429:AQ429)))</t>
        </is>
      </c>
      <c r="BF429" s="38" t="inlineStr">
        <is>
          <t>IF(OR(E429="",AS429=""),"",IF(COUNT(AG429:AR429)=0,"",AS429-LOOKUP(2,1/(AG429:AR429&lt;&gt;""),AG429:AR429)))</t>
        </is>
      </c>
      <c r="BG429" s="38" t="inlineStr">
        <is>
          <t>IF(OR(E429="",AT429=""),"",IF(COUNT(AG429:AS429)=0,"",AT429-LOOKUP(2,1/(AG429:AS429&lt;&gt;""),AG429:AS429)))</t>
        </is>
      </c>
      <c r="BH429" s="41" t="inlineStr">
        <is>
          <t>IF(G429="","All_Provinces",IFERROR(VLOOKUP(G429,'07_Lookups'!$A$4:$B$20,2,FALSE),"All_Provinces"))</t>
        </is>
      </c>
      <c r="BI429" s="41" t="inlineStr">
        <is>
          <t>IF(H429="","All_Districts",IFERROR(VLOOKUP(H429,'07_Lookups'!$E$4:$F$42,2,FALSE),"All_Districts"))</t>
        </is>
      </c>
    </row>
    <row r="430" ht="18" customHeight="1">
      <c r="A430" s="32" t="inlineStr">
        <is>
          <t>IF(E430="","",ROW()-3)</t>
        </is>
      </c>
      <c r="B430" s="33" t="n"/>
      <c r="C430" s="33" t="n"/>
      <c r="D430" s="33" t="n"/>
      <c r="E430" s="33" t="n"/>
      <c r="F430" s="33" t="n"/>
      <c r="G430" s="33" t="n"/>
      <c r="H430" s="33" t="n"/>
      <c r="I430" s="33" t="n"/>
      <c r="J430" s="33" t="n"/>
      <c r="K430" s="33" t="n"/>
      <c r="L430" s="33" t="n"/>
      <c r="M430" s="33" t="n"/>
      <c r="N430" s="33" t="n"/>
      <c r="O430" s="33" t="n"/>
      <c r="P430" s="33" t="n"/>
      <c r="Q430" s="34" t="n"/>
      <c r="R430" s="35" t="inlineStr">
        <is>
          <t>IF(AO430="","",AO430)</t>
        </is>
      </c>
      <c r="S430" s="36" t="n"/>
      <c r="T430" s="37" t="n"/>
      <c r="U430" s="36" t="n"/>
      <c r="V430" s="35" t="inlineStr">
        <is>
          <t>IF(U430&lt;&gt;"",U430,IF(OR(R430="",T430=""),"",EDATE(R430,T430)))</t>
        </is>
      </c>
      <c r="W430" s="36" t="n"/>
      <c r="X430" s="37" t="n"/>
      <c r="Y430" s="33" t="n"/>
      <c r="Z430" s="33" t="n"/>
      <c r="AA430" s="32" t="inlineStr">
        <is>
          <t>IF(E430="","",IF(COUNT(AG430:AT430)=0,IF(Y430="","Not started",Y430),SUBSTITUTE(LOOKUP(2,1/(AG430:AT430&lt;&gt;""),$AG$3:$AT$3),"Date: ","")))</t>
        </is>
      </c>
      <c r="AB430" s="38" t="inlineStr">
        <is>
          <t>IF(OR(E430="",COUNT(AG430:AT430)=0),"",TODAY()-LOOKUP(2,1/(AG430:AT430&lt;&gt;""),AG430:AT430))</t>
        </is>
      </c>
      <c r="AC430" s="38" t="inlineStr">
        <is>
          <t>IF(OR(E430="",COUNT(AG430:AT430)&lt;2),"",LOOKUP(2,1/(AG430:AT430&lt;&gt;""),AG430:AT430)-MIN(AG430:AT430))</t>
        </is>
      </c>
      <c r="AD430" s="38" t="inlineStr">
        <is>
          <t>IF(OR(AB430="",AA430="Not started",AA430=""),"",IFERROR(AB430-IF(VLOOKUP(AA430,'04_Status_Pipeline'!$B$3:$E$20,4,FALSE)="",0,VLOOKUP(AA430,'04_Status_Pipeline'!$B$3:$E$20,4,FALSE)),""))</t>
        </is>
      </c>
      <c r="AE430" s="32" t="inlineStr">
        <is>
          <t>IF(E430="","",IF(OR(Y430="Cancelled",AA430="Cancelled"),"Cancelled",IF(OR(AA430="Completed / Handover",W430&lt;&gt;"",X430&gt;=100),"Completed — on track",IF(L430="Remaining",IF(S430="",IF(V430="","No planned date",IF(TODAY()&gt;V430,"Behind — past planned date",IF(V430-TODAY()&lt;=30,"At risk — close to off track","On track"))),IF(TODAY()&gt;S430,"Behind — award date passed",IF(S430-TODAY()&lt;=30,"At risk — close to off track","On track"))),IF(V430="","No planned date",IF(AND(TODAY()&gt;V430,OR(X430="",X430&lt;100)),"Behind — past end date",IF(AND(R430&lt;&gt;"",V430&lt;&gt;"",X430&lt;&gt;"",(X430&lt;100),((TODAY()-R430)/MAX(V430-R430,1)*100)-X430&gt;15),"Behind — progress lag",IF(AND(V430-TODAY()&lt;=30,V430-TODAY()&gt;=0,OR(X430="",X430&lt;90)),"At risk — close to off track","On track"))))))))</t>
        </is>
      </c>
      <c r="AF430" s="38" t="inlineStr">
        <is>
          <t>IF(OR(E430="",AA430="Completed / Handover",AA430="Cancelled"),"",IF(L430="Remaining",IF(S430&lt;&gt;"",S430-TODAY(),IF(V430="","",V430-TODAY())),IF(V430="","",V430-TODAY())))</t>
        </is>
      </c>
      <c r="AG430" s="36" t="n"/>
      <c r="AH430" s="36" t="n"/>
      <c r="AI430" s="36" t="n"/>
      <c r="AJ430" s="36" t="n"/>
      <c r="AK430" s="36" t="n"/>
      <c r="AL430" s="36" t="n"/>
      <c r="AM430" s="36" t="n"/>
      <c r="AN430" s="36" t="n"/>
      <c r="AO430" s="36" t="n"/>
      <c r="AP430" s="36" t="n"/>
      <c r="AQ430" s="36" t="n"/>
      <c r="AR430" s="40" t="n"/>
      <c r="AS430" s="40" t="n"/>
      <c r="AT430" s="40" t="n"/>
      <c r="AU430" s="38" t="inlineStr">
        <is>
          <t>IF(OR(E430="",AH430=""),"",IF(COUNT(AG430:AG430)=0,"",AH430-LOOKUP(2,1/(AG430:AG430&lt;&gt;""),AG430:AG430)))</t>
        </is>
      </c>
      <c r="AV430" s="38" t="inlineStr">
        <is>
          <t>IF(OR(E430="",AI430=""),"",IF(COUNT(AG430:AH430)=0,"",AI430-LOOKUP(2,1/(AG430:AH430&lt;&gt;""),AG430:AH430)))</t>
        </is>
      </c>
      <c r="AW430" s="38" t="inlineStr">
        <is>
          <t>IF(OR(E430="",AJ430=""),"",IF(COUNT(AG430:AI430)=0,"",AJ430-LOOKUP(2,1/(AG430:AI430&lt;&gt;""),AG430:AI430)))</t>
        </is>
      </c>
      <c r="AX430" s="38" t="inlineStr">
        <is>
          <t>IF(OR(E430="",AK430=""),"",IF(COUNT(AG430:AJ430)=0,"",AK430-LOOKUP(2,1/(AG430:AJ430&lt;&gt;""),AG430:AJ430)))</t>
        </is>
      </c>
      <c r="AY430" s="38" t="inlineStr">
        <is>
          <t>IF(OR(E430="",AL430=""),"",IF(COUNT(AG430:AK430)=0,"",AL430-LOOKUP(2,1/(AG430:AK430&lt;&gt;""),AG430:AK430)))</t>
        </is>
      </c>
      <c r="AZ430" s="38" t="inlineStr">
        <is>
          <t>IF(OR(E430="",AM430=""),"",IF(COUNT(AG430:AL430)=0,"",AM430-LOOKUP(2,1/(AG430:AL430&lt;&gt;""),AG430:AL430)))</t>
        </is>
      </c>
      <c r="BA430" s="38" t="inlineStr">
        <is>
          <t>IF(OR(E430="",AN430=""),"",IF(COUNT(AG430:AM430)=0,"",AN430-LOOKUP(2,1/(AG430:AM430&lt;&gt;""),AG430:AM430)))</t>
        </is>
      </c>
      <c r="BB430" s="38" t="inlineStr">
        <is>
          <t>IF(OR(E430="",AO430=""),"",IF(COUNT(AG430:AN430)=0,"",AO430-LOOKUP(2,1/(AG430:AN430&lt;&gt;""),AG430:AN430)))</t>
        </is>
      </c>
      <c r="BC430" s="38" t="inlineStr">
        <is>
          <t>IF(OR(E430="",AP430=""),"",IF(COUNT(AG430:AO430)=0,"",AP430-LOOKUP(2,1/(AG430:AO430&lt;&gt;""),AG430:AO430)))</t>
        </is>
      </c>
      <c r="BD430" s="38" t="inlineStr">
        <is>
          <t>IF(OR(E430="",AQ430=""),"",IF(COUNT(AG430:AP430)=0,"",AQ430-LOOKUP(2,1/(AG430:AP430&lt;&gt;""),AG430:AP430)))</t>
        </is>
      </c>
      <c r="BE430" s="38" t="inlineStr">
        <is>
          <t>IF(OR(E430="",AR430=""),"",IF(COUNT(AG430:AQ430)=0,"",AR430-LOOKUP(2,1/(AG430:AQ430&lt;&gt;""),AG430:AQ430)))</t>
        </is>
      </c>
      <c r="BF430" s="38" t="inlineStr">
        <is>
          <t>IF(OR(E430="",AS430=""),"",IF(COUNT(AG430:AR430)=0,"",AS430-LOOKUP(2,1/(AG430:AR430&lt;&gt;""),AG430:AR430)))</t>
        </is>
      </c>
      <c r="BG430" s="38" t="inlineStr">
        <is>
          <t>IF(OR(E430="",AT430=""),"",IF(COUNT(AG430:AS430)=0,"",AT430-LOOKUP(2,1/(AG430:AS430&lt;&gt;""),AG430:AS430)))</t>
        </is>
      </c>
      <c r="BH430" s="41" t="inlineStr">
        <is>
          <t>IF(G430="","All_Provinces",IFERROR(VLOOKUP(G430,'07_Lookups'!$A$4:$B$20,2,FALSE),"All_Provinces"))</t>
        </is>
      </c>
      <c r="BI430" s="41" t="inlineStr">
        <is>
          <t>IF(H430="","All_Districts",IFERROR(VLOOKUP(H430,'07_Lookups'!$E$4:$F$42,2,FALSE),"All_Districts"))</t>
        </is>
      </c>
    </row>
    <row r="431" ht="18" customHeight="1">
      <c r="A431" s="32" t="inlineStr">
        <is>
          <t>IF(E431="","",ROW()-3)</t>
        </is>
      </c>
      <c r="B431" s="42" t="n"/>
      <c r="C431" s="42" t="n"/>
      <c r="D431" s="42" t="n"/>
      <c r="E431" s="42" t="n"/>
      <c r="F431" s="42" t="n"/>
      <c r="G431" s="42" t="n"/>
      <c r="H431" s="42" t="n"/>
      <c r="I431" s="42" t="n"/>
      <c r="J431" s="42" t="n"/>
      <c r="K431" s="42" t="n"/>
      <c r="L431" s="42" t="n"/>
      <c r="M431" s="42" t="n"/>
      <c r="N431" s="42" t="n"/>
      <c r="O431" s="42" t="n"/>
      <c r="P431" s="42" t="n"/>
      <c r="Q431" s="43" t="n"/>
      <c r="R431" s="35" t="inlineStr">
        <is>
          <t>IF(AO431="","",AO431)</t>
        </is>
      </c>
      <c r="S431" s="44" t="n"/>
      <c r="T431" s="45" t="n"/>
      <c r="U431" s="44" t="n"/>
      <c r="V431" s="35" t="inlineStr">
        <is>
          <t>IF(U431&lt;&gt;"",U431,IF(OR(R431="",T431=""),"",EDATE(R431,T431)))</t>
        </is>
      </c>
      <c r="W431" s="44" t="n"/>
      <c r="X431" s="45" t="n"/>
      <c r="Y431" s="42" t="n"/>
      <c r="Z431" s="42" t="n"/>
      <c r="AA431" s="32" t="inlineStr">
        <is>
          <t>IF(E431="","",IF(COUNT(AG431:AT431)=0,IF(Y431="","Not started",Y431),SUBSTITUTE(LOOKUP(2,1/(AG431:AT431&lt;&gt;""),$AG$3:$AT$3),"Date: ","")))</t>
        </is>
      </c>
      <c r="AB431" s="38" t="inlineStr">
        <is>
          <t>IF(OR(E431="",COUNT(AG431:AT431)=0),"",TODAY()-LOOKUP(2,1/(AG431:AT431&lt;&gt;""),AG431:AT431))</t>
        </is>
      </c>
      <c r="AC431" s="38" t="inlineStr">
        <is>
          <t>IF(OR(E431="",COUNT(AG431:AT431)&lt;2),"",LOOKUP(2,1/(AG431:AT431&lt;&gt;""),AG431:AT431)-MIN(AG431:AT431))</t>
        </is>
      </c>
      <c r="AD431" s="38" t="inlineStr">
        <is>
          <t>IF(OR(AB431="",AA431="Not started",AA431=""),"",IFERROR(AB431-IF(VLOOKUP(AA431,'04_Status_Pipeline'!$B$3:$E$20,4,FALSE)="",0,VLOOKUP(AA431,'04_Status_Pipeline'!$B$3:$E$20,4,FALSE)),""))</t>
        </is>
      </c>
      <c r="AE431" s="32" t="inlineStr">
        <is>
          <t>IF(E431="","",IF(OR(Y431="Cancelled",AA431="Cancelled"),"Cancelled",IF(OR(AA431="Completed / Handover",W431&lt;&gt;"",X431&gt;=100),"Completed — on track",IF(L431="Remaining",IF(S431="",IF(V431="","No planned date",IF(TODAY()&gt;V431,"Behind — past planned date",IF(V431-TODAY()&lt;=30,"At risk — close to off track","On track"))),IF(TODAY()&gt;S431,"Behind — award date passed",IF(S431-TODAY()&lt;=30,"At risk — close to off track","On track"))),IF(V431="","No planned date",IF(AND(TODAY()&gt;V431,OR(X431="",X431&lt;100)),"Behind — past end date",IF(AND(R431&lt;&gt;"",V431&lt;&gt;"",X431&lt;&gt;"",(X431&lt;100),((TODAY()-R431)/MAX(V431-R431,1)*100)-X431&gt;15),"Behind — progress lag",IF(AND(V431-TODAY()&lt;=30,V431-TODAY()&gt;=0,OR(X431="",X431&lt;90)),"At risk — close to off track","On track"))))))))</t>
        </is>
      </c>
      <c r="AF431" s="38" t="inlineStr">
        <is>
          <t>IF(OR(E431="",AA431="Completed / Handover",AA431="Cancelled"),"",IF(L431="Remaining",IF(S431&lt;&gt;"",S431-TODAY(),IF(V431="","",V431-TODAY())),IF(V431="","",V431-TODAY())))</t>
        </is>
      </c>
      <c r="AG431" s="44" t="n"/>
      <c r="AH431" s="44" t="n"/>
      <c r="AI431" s="44" t="n"/>
      <c r="AJ431" s="44" t="n"/>
      <c r="AK431" s="44" t="n"/>
      <c r="AL431" s="44" t="n"/>
      <c r="AM431" s="44" t="n"/>
      <c r="AN431" s="44" t="n"/>
      <c r="AO431" s="44" t="n"/>
      <c r="AP431" s="44" t="n"/>
      <c r="AQ431" s="44" t="n"/>
      <c r="AR431" s="40" t="n"/>
      <c r="AS431" s="40" t="n"/>
      <c r="AT431" s="40" t="n"/>
      <c r="AU431" s="38" t="inlineStr">
        <is>
          <t>IF(OR(E431="",AH431=""),"",IF(COUNT(AG431:AG431)=0,"",AH431-LOOKUP(2,1/(AG431:AG431&lt;&gt;""),AG431:AG431)))</t>
        </is>
      </c>
      <c r="AV431" s="38" t="inlineStr">
        <is>
          <t>IF(OR(E431="",AI431=""),"",IF(COUNT(AG431:AH431)=0,"",AI431-LOOKUP(2,1/(AG431:AH431&lt;&gt;""),AG431:AH431)))</t>
        </is>
      </c>
      <c r="AW431" s="38" t="inlineStr">
        <is>
          <t>IF(OR(E431="",AJ431=""),"",IF(COUNT(AG431:AI431)=0,"",AJ431-LOOKUP(2,1/(AG431:AI431&lt;&gt;""),AG431:AI431)))</t>
        </is>
      </c>
      <c r="AX431" s="38" t="inlineStr">
        <is>
          <t>IF(OR(E431="",AK431=""),"",IF(COUNT(AG431:AJ431)=0,"",AK431-LOOKUP(2,1/(AG431:AJ431&lt;&gt;""),AG431:AJ431)))</t>
        </is>
      </c>
      <c r="AY431" s="38" t="inlineStr">
        <is>
          <t>IF(OR(E431="",AL431=""),"",IF(COUNT(AG431:AK431)=0,"",AL431-LOOKUP(2,1/(AG431:AK431&lt;&gt;""),AG431:AK431)))</t>
        </is>
      </c>
      <c r="AZ431" s="38" t="inlineStr">
        <is>
          <t>IF(OR(E431="",AM431=""),"",IF(COUNT(AG431:AL431)=0,"",AM431-LOOKUP(2,1/(AG431:AL431&lt;&gt;""),AG431:AL431)))</t>
        </is>
      </c>
      <c r="BA431" s="38" t="inlineStr">
        <is>
          <t>IF(OR(E431="",AN431=""),"",IF(COUNT(AG431:AM431)=0,"",AN431-LOOKUP(2,1/(AG431:AM431&lt;&gt;""),AG431:AM431)))</t>
        </is>
      </c>
      <c r="BB431" s="38" t="inlineStr">
        <is>
          <t>IF(OR(E431="",AO431=""),"",IF(COUNT(AG431:AN431)=0,"",AO431-LOOKUP(2,1/(AG431:AN431&lt;&gt;""),AG431:AN431)))</t>
        </is>
      </c>
      <c r="BC431" s="38" t="inlineStr">
        <is>
          <t>IF(OR(E431="",AP431=""),"",IF(COUNT(AG431:AO431)=0,"",AP431-LOOKUP(2,1/(AG431:AO431&lt;&gt;""),AG431:AO431)))</t>
        </is>
      </c>
      <c r="BD431" s="38" t="inlineStr">
        <is>
          <t>IF(OR(E431="",AQ431=""),"",IF(COUNT(AG431:AP431)=0,"",AQ431-LOOKUP(2,1/(AG431:AP431&lt;&gt;""),AG431:AP431)))</t>
        </is>
      </c>
      <c r="BE431" s="38" t="inlineStr">
        <is>
          <t>IF(OR(E431="",AR431=""),"",IF(COUNT(AG431:AQ431)=0,"",AR431-LOOKUP(2,1/(AG431:AQ431&lt;&gt;""),AG431:AQ431)))</t>
        </is>
      </c>
      <c r="BF431" s="38" t="inlineStr">
        <is>
          <t>IF(OR(E431="",AS431=""),"",IF(COUNT(AG431:AR431)=0,"",AS431-LOOKUP(2,1/(AG431:AR431&lt;&gt;""),AG431:AR431)))</t>
        </is>
      </c>
      <c r="BG431" s="38" t="inlineStr">
        <is>
          <t>IF(OR(E431="",AT431=""),"",IF(COUNT(AG431:AS431)=0,"",AT431-LOOKUP(2,1/(AG431:AS431&lt;&gt;""),AG431:AS431)))</t>
        </is>
      </c>
      <c r="BH431" s="41" t="inlineStr">
        <is>
          <t>IF(G431="","All_Provinces",IFERROR(VLOOKUP(G431,'07_Lookups'!$A$4:$B$20,2,FALSE),"All_Provinces"))</t>
        </is>
      </c>
      <c r="BI431" s="41" t="inlineStr">
        <is>
          <t>IF(H431="","All_Districts",IFERROR(VLOOKUP(H431,'07_Lookups'!$E$4:$F$42,2,FALSE),"All_Districts"))</t>
        </is>
      </c>
    </row>
    <row r="432" ht="18" customHeight="1">
      <c r="A432" s="32" t="inlineStr">
        <is>
          <t>IF(E432="","",ROW()-3)</t>
        </is>
      </c>
      <c r="B432" s="33" t="n"/>
      <c r="C432" s="33" t="n"/>
      <c r="D432" s="33" t="n"/>
      <c r="E432" s="33" t="n"/>
      <c r="F432" s="33" t="n"/>
      <c r="G432" s="33" t="n"/>
      <c r="H432" s="33" t="n"/>
      <c r="I432" s="33" t="n"/>
      <c r="J432" s="33" t="n"/>
      <c r="K432" s="33" t="n"/>
      <c r="L432" s="33" t="n"/>
      <c r="M432" s="33" t="n"/>
      <c r="N432" s="33" t="n"/>
      <c r="O432" s="33" t="n"/>
      <c r="P432" s="33" t="n"/>
      <c r="Q432" s="34" t="n"/>
      <c r="R432" s="35" t="inlineStr">
        <is>
          <t>IF(AO432="","",AO432)</t>
        </is>
      </c>
      <c r="S432" s="36" t="n"/>
      <c r="T432" s="37" t="n"/>
      <c r="U432" s="36" t="n"/>
      <c r="V432" s="35" t="inlineStr">
        <is>
          <t>IF(U432&lt;&gt;"",U432,IF(OR(R432="",T432=""),"",EDATE(R432,T432)))</t>
        </is>
      </c>
      <c r="W432" s="36" t="n"/>
      <c r="X432" s="37" t="n"/>
      <c r="Y432" s="33" t="n"/>
      <c r="Z432" s="33" t="n"/>
      <c r="AA432" s="32" t="inlineStr">
        <is>
          <t>IF(E432="","",IF(COUNT(AG432:AT432)=0,IF(Y432="","Not started",Y432),SUBSTITUTE(LOOKUP(2,1/(AG432:AT432&lt;&gt;""),$AG$3:$AT$3),"Date: ","")))</t>
        </is>
      </c>
      <c r="AB432" s="38" t="inlineStr">
        <is>
          <t>IF(OR(E432="",COUNT(AG432:AT432)=0),"",TODAY()-LOOKUP(2,1/(AG432:AT432&lt;&gt;""),AG432:AT432))</t>
        </is>
      </c>
      <c r="AC432" s="38" t="inlineStr">
        <is>
          <t>IF(OR(E432="",COUNT(AG432:AT432)&lt;2),"",LOOKUP(2,1/(AG432:AT432&lt;&gt;""),AG432:AT432)-MIN(AG432:AT432))</t>
        </is>
      </c>
      <c r="AD432" s="38" t="inlineStr">
        <is>
          <t>IF(OR(AB432="",AA432="Not started",AA432=""),"",IFERROR(AB432-IF(VLOOKUP(AA432,'04_Status_Pipeline'!$B$3:$E$20,4,FALSE)="",0,VLOOKUP(AA432,'04_Status_Pipeline'!$B$3:$E$20,4,FALSE)),""))</t>
        </is>
      </c>
      <c r="AE432" s="32" t="inlineStr">
        <is>
          <t>IF(E432="","",IF(OR(Y432="Cancelled",AA432="Cancelled"),"Cancelled",IF(OR(AA432="Completed / Handover",W432&lt;&gt;"",X432&gt;=100),"Completed — on track",IF(L432="Remaining",IF(S432="",IF(V432="","No planned date",IF(TODAY()&gt;V432,"Behind — past planned date",IF(V432-TODAY()&lt;=30,"At risk — close to off track","On track"))),IF(TODAY()&gt;S432,"Behind — award date passed",IF(S432-TODAY()&lt;=30,"At risk — close to off track","On track"))),IF(V432="","No planned date",IF(AND(TODAY()&gt;V432,OR(X432="",X432&lt;100)),"Behind — past end date",IF(AND(R432&lt;&gt;"",V432&lt;&gt;"",X432&lt;&gt;"",(X432&lt;100),((TODAY()-R432)/MAX(V432-R432,1)*100)-X432&gt;15),"Behind — progress lag",IF(AND(V432-TODAY()&lt;=30,V432-TODAY()&gt;=0,OR(X432="",X432&lt;90)),"At risk — close to off track","On track"))))))))</t>
        </is>
      </c>
      <c r="AF432" s="38" t="inlineStr">
        <is>
          <t>IF(OR(E432="",AA432="Completed / Handover",AA432="Cancelled"),"",IF(L432="Remaining",IF(S432&lt;&gt;"",S432-TODAY(),IF(V432="","",V432-TODAY())),IF(V432="","",V432-TODAY())))</t>
        </is>
      </c>
      <c r="AG432" s="36" t="n"/>
      <c r="AH432" s="36" t="n"/>
      <c r="AI432" s="36" t="n"/>
      <c r="AJ432" s="36" t="n"/>
      <c r="AK432" s="36" t="n"/>
      <c r="AL432" s="36" t="n"/>
      <c r="AM432" s="36" t="n"/>
      <c r="AN432" s="36" t="n"/>
      <c r="AO432" s="36" t="n"/>
      <c r="AP432" s="36" t="n"/>
      <c r="AQ432" s="36" t="n"/>
      <c r="AR432" s="40" t="n"/>
      <c r="AS432" s="40" t="n"/>
      <c r="AT432" s="40" t="n"/>
      <c r="AU432" s="38" t="inlineStr">
        <is>
          <t>IF(OR(E432="",AH432=""),"",IF(COUNT(AG432:AG432)=0,"",AH432-LOOKUP(2,1/(AG432:AG432&lt;&gt;""),AG432:AG432)))</t>
        </is>
      </c>
      <c r="AV432" s="38" t="inlineStr">
        <is>
          <t>IF(OR(E432="",AI432=""),"",IF(COUNT(AG432:AH432)=0,"",AI432-LOOKUP(2,1/(AG432:AH432&lt;&gt;""),AG432:AH432)))</t>
        </is>
      </c>
      <c r="AW432" s="38" t="inlineStr">
        <is>
          <t>IF(OR(E432="",AJ432=""),"",IF(COUNT(AG432:AI432)=0,"",AJ432-LOOKUP(2,1/(AG432:AI432&lt;&gt;""),AG432:AI432)))</t>
        </is>
      </c>
      <c r="AX432" s="38" t="inlineStr">
        <is>
          <t>IF(OR(E432="",AK432=""),"",IF(COUNT(AG432:AJ432)=0,"",AK432-LOOKUP(2,1/(AG432:AJ432&lt;&gt;""),AG432:AJ432)))</t>
        </is>
      </c>
      <c r="AY432" s="38" t="inlineStr">
        <is>
          <t>IF(OR(E432="",AL432=""),"",IF(COUNT(AG432:AK432)=0,"",AL432-LOOKUP(2,1/(AG432:AK432&lt;&gt;""),AG432:AK432)))</t>
        </is>
      </c>
      <c r="AZ432" s="38" t="inlineStr">
        <is>
          <t>IF(OR(E432="",AM432=""),"",IF(COUNT(AG432:AL432)=0,"",AM432-LOOKUP(2,1/(AG432:AL432&lt;&gt;""),AG432:AL432)))</t>
        </is>
      </c>
      <c r="BA432" s="38" t="inlineStr">
        <is>
          <t>IF(OR(E432="",AN432=""),"",IF(COUNT(AG432:AM432)=0,"",AN432-LOOKUP(2,1/(AG432:AM432&lt;&gt;""),AG432:AM432)))</t>
        </is>
      </c>
      <c r="BB432" s="38" t="inlineStr">
        <is>
          <t>IF(OR(E432="",AO432=""),"",IF(COUNT(AG432:AN432)=0,"",AO432-LOOKUP(2,1/(AG432:AN432&lt;&gt;""),AG432:AN432)))</t>
        </is>
      </c>
      <c r="BC432" s="38" t="inlineStr">
        <is>
          <t>IF(OR(E432="",AP432=""),"",IF(COUNT(AG432:AO432)=0,"",AP432-LOOKUP(2,1/(AG432:AO432&lt;&gt;""),AG432:AO432)))</t>
        </is>
      </c>
      <c r="BD432" s="38" t="inlineStr">
        <is>
          <t>IF(OR(E432="",AQ432=""),"",IF(COUNT(AG432:AP432)=0,"",AQ432-LOOKUP(2,1/(AG432:AP432&lt;&gt;""),AG432:AP432)))</t>
        </is>
      </c>
      <c r="BE432" s="38" t="inlineStr">
        <is>
          <t>IF(OR(E432="",AR432=""),"",IF(COUNT(AG432:AQ432)=0,"",AR432-LOOKUP(2,1/(AG432:AQ432&lt;&gt;""),AG432:AQ432)))</t>
        </is>
      </c>
      <c r="BF432" s="38" t="inlineStr">
        <is>
          <t>IF(OR(E432="",AS432=""),"",IF(COUNT(AG432:AR432)=0,"",AS432-LOOKUP(2,1/(AG432:AR432&lt;&gt;""),AG432:AR432)))</t>
        </is>
      </c>
      <c r="BG432" s="38" t="inlineStr">
        <is>
          <t>IF(OR(E432="",AT432=""),"",IF(COUNT(AG432:AS432)=0,"",AT432-LOOKUP(2,1/(AG432:AS432&lt;&gt;""),AG432:AS432)))</t>
        </is>
      </c>
      <c r="BH432" s="41" t="inlineStr">
        <is>
          <t>IF(G432="","All_Provinces",IFERROR(VLOOKUP(G432,'07_Lookups'!$A$4:$B$20,2,FALSE),"All_Provinces"))</t>
        </is>
      </c>
      <c r="BI432" s="41" t="inlineStr">
        <is>
          <t>IF(H432="","All_Districts",IFERROR(VLOOKUP(H432,'07_Lookups'!$E$4:$F$42,2,FALSE),"All_Districts"))</t>
        </is>
      </c>
    </row>
    <row r="433" ht="18" customHeight="1">
      <c r="A433" s="32" t="inlineStr">
        <is>
          <t>IF(E433="","",ROW()-3)</t>
        </is>
      </c>
      <c r="B433" s="42" t="n"/>
      <c r="C433" s="42" t="n"/>
      <c r="D433" s="42" t="n"/>
      <c r="E433" s="42" t="n"/>
      <c r="F433" s="42" t="n"/>
      <c r="G433" s="42" t="n"/>
      <c r="H433" s="42" t="n"/>
      <c r="I433" s="42" t="n"/>
      <c r="J433" s="42" t="n"/>
      <c r="K433" s="42" t="n"/>
      <c r="L433" s="42" t="n"/>
      <c r="M433" s="42" t="n"/>
      <c r="N433" s="42" t="n"/>
      <c r="O433" s="42" t="n"/>
      <c r="P433" s="42" t="n"/>
      <c r="Q433" s="43" t="n"/>
      <c r="R433" s="35" t="inlineStr">
        <is>
          <t>IF(AO433="","",AO433)</t>
        </is>
      </c>
      <c r="S433" s="44" t="n"/>
      <c r="T433" s="45" t="n"/>
      <c r="U433" s="44" t="n"/>
      <c r="V433" s="35" t="inlineStr">
        <is>
          <t>IF(U433&lt;&gt;"",U433,IF(OR(R433="",T433=""),"",EDATE(R433,T433)))</t>
        </is>
      </c>
      <c r="W433" s="44" t="n"/>
      <c r="X433" s="45" t="n"/>
      <c r="Y433" s="42" t="n"/>
      <c r="Z433" s="42" t="n"/>
      <c r="AA433" s="32" t="inlineStr">
        <is>
          <t>IF(E433="","",IF(COUNT(AG433:AT433)=0,IF(Y433="","Not started",Y433),SUBSTITUTE(LOOKUP(2,1/(AG433:AT433&lt;&gt;""),$AG$3:$AT$3),"Date: ","")))</t>
        </is>
      </c>
      <c r="AB433" s="38" t="inlineStr">
        <is>
          <t>IF(OR(E433="",COUNT(AG433:AT433)=0),"",TODAY()-LOOKUP(2,1/(AG433:AT433&lt;&gt;""),AG433:AT433))</t>
        </is>
      </c>
      <c r="AC433" s="38" t="inlineStr">
        <is>
          <t>IF(OR(E433="",COUNT(AG433:AT433)&lt;2),"",LOOKUP(2,1/(AG433:AT433&lt;&gt;""),AG433:AT433)-MIN(AG433:AT433))</t>
        </is>
      </c>
      <c r="AD433" s="38" t="inlineStr">
        <is>
          <t>IF(OR(AB433="",AA433="Not started",AA433=""),"",IFERROR(AB433-IF(VLOOKUP(AA433,'04_Status_Pipeline'!$B$3:$E$20,4,FALSE)="",0,VLOOKUP(AA433,'04_Status_Pipeline'!$B$3:$E$20,4,FALSE)),""))</t>
        </is>
      </c>
      <c r="AE433" s="32" t="inlineStr">
        <is>
          <t>IF(E433="","",IF(OR(Y433="Cancelled",AA433="Cancelled"),"Cancelled",IF(OR(AA433="Completed / Handover",W433&lt;&gt;"",X433&gt;=100),"Completed — on track",IF(L433="Remaining",IF(S433="",IF(V433="","No planned date",IF(TODAY()&gt;V433,"Behind — past planned date",IF(V433-TODAY()&lt;=30,"At risk — close to off track","On track"))),IF(TODAY()&gt;S433,"Behind — award date passed",IF(S433-TODAY()&lt;=30,"At risk — close to off track","On track"))),IF(V433="","No planned date",IF(AND(TODAY()&gt;V433,OR(X433="",X433&lt;100)),"Behind — past end date",IF(AND(R433&lt;&gt;"",V433&lt;&gt;"",X433&lt;&gt;"",(X433&lt;100),((TODAY()-R433)/MAX(V433-R433,1)*100)-X433&gt;15),"Behind — progress lag",IF(AND(V433-TODAY()&lt;=30,V433-TODAY()&gt;=0,OR(X433="",X433&lt;90)),"At risk — close to off track","On track"))))))))</t>
        </is>
      </c>
      <c r="AF433" s="38" t="inlineStr">
        <is>
          <t>IF(OR(E433="",AA433="Completed / Handover",AA433="Cancelled"),"",IF(L433="Remaining",IF(S433&lt;&gt;"",S433-TODAY(),IF(V433="","",V433-TODAY())),IF(V433="","",V433-TODAY())))</t>
        </is>
      </c>
      <c r="AG433" s="44" t="n"/>
      <c r="AH433" s="44" t="n"/>
      <c r="AI433" s="44" t="n"/>
      <c r="AJ433" s="44" t="n"/>
      <c r="AK433" s="44" t="n"/>
      <c r="AL433" s="44" t="n"/>
      <c r="AM433" s="44" t="n"/>
      <c r="AN433" s="44" t="n"/>
      <c r="AO433" s="44" t="n"/>
      <c r="AP433" s="44" t="n"/>
      <c r="AQ433" s="44" t="n"/>
      <c r="AR433" s="40" t="n"/>
      <c r="AS433" s="40" t="n"/>
      <c r="AT433" s="40" t="n"/>
      <c r="AU433" s="38" t="inlineStr">
        <is>
          <t>IF(OR(E433="",AH433=""),"",IF(COUNT(AG433:AG433)=0,"",AH433-LOOKUP(2,1/(AG433:AG433&lt;&gt;""),AG433:AG433)))</t>
        </is>
      </c>
      <c r="AV433" s="38" t="inlineStr">
        <is>
          <t>IF(OR(E433="",AI433=""),"",IF(COUNT(AG433:AH433)=0,"",AI433-LOOKUP(2,1/(AG433:AH433&lt;&gt;""),AG433:AH433)))</t>
        </is>
      </c>
      <c r="AW433" s="38" t="inlineStr">
        <is>
          <t>IF(OR(E433="",AJ433=""),"",IF(COUNT(AG433:AI433)=0,"",AJ433-LOOKUP(2,1/(AG433:AI433&lt;&gt;""),AG433:AI433)))</t>
        </is>
      </c>
      <c r="AX433" s="38" t="inlineStr">
        <is>
          <t>IF(OR(E433="",AK433=""),"",IF(COUNT(AG433:AJ433)=0,"",AK433-LOOKUP(2,1/(AG433:AJ433&lt;&gt;""),AG433:AJ433)))</t>
        </is>
      </c>
      <c r="AY433" s="38" t="inlineStr">
        <is>
          <t>IF(OR(E433="",AL433=""),"",IF(COUNT(AG433:AK433)=0,"",AL433-LOOKUP(2,1/(AG433:AK433&lt;&gt;""),AG433:AK433)))</t>
        </is>
      </c>
      <c r="AZ433" s="38" t="inlineStr">
        <is>
          <t>IF(OR(E433="",AM433=""),"",IF(COUNT(AG433:AL433)=0,"",AM433-LOOKUP(2,1/(AG433:AL433&lt;&gt;""),AG433:AL433)))</t>
        </is>
      </c>
      <c r="BA433" s="38" t="inlineStr">
        <is>
          <t>IF(OR(E433="",AN433=""),"",IF(COUNT(AG433:AM433)=0,"",AN433-LOOKUP(2,1/(AG433:AM433&lt;&gt;""),AG433:AM433)))</t>
        </is>
      </c>
      <c r="BB433" s="38" t="inlineStr">
        <is>
          <t>IF(OR(E433="",AO433=""),"",IF(COUNT(AG433:AN433)=0,"",AO433-LOOKUP(2,1/(AG433:AN433&lt;&gt;""),AG433:AN433)))</t>
        </is>
      </c>
      <c r="BC433" s="38" t="inlineStr">
        <is>
          <t>IF(OR(E433="",AP433=""),"",IF(COUNT(AG433:AO433)=0,"",AP433-LOOKUP(2,1/(AG433:AO433&lt;&gt;""),AG433:AO433)))</t>
        </is>
      </c>
      <c r="BD433" s="38" t="inlineStr">
        <is>
          <t>IF(OR(E433="",AQ433=""),"",IF(COUNT(AG433:AP433)=0,"",AQ433-LOOKUP(2,1/(AG433:AP433&lt;&gt;""),AG433:AP433)))</t>
        </is>
      </c>
      <c r="BE433" s="38" t="inlineStr">
        <is>
          <t>IF(OR(E433="",AR433=""),"",IF(COUNT(AG433:AQ433)=0,"",AR433-LOOKUP(2,1/(AG433:AQ433&lt;&gt;""),AG433:AQ433)))</t>
        </is>
      </c>
      <c r="BF433" s="38" t="inlineStr">
        <is>
          <t>IF(OR(E433="",AS433=""),"",IF(COUNT(AG433:AR433)=0,"",AS433-LOOKUP(2,1/(AG433:AR433&lt;&gt;""),AG433:AR433)))</t>
        </is>
      </c>
      <c r="BG433" s="38" t="inlineStr">
        <is>
          <t>IF(OR(E433="",AT433=""),"",IF(COUNT(AG433:AS433)=0,"",AT433-LOOKUP(2,1/(AG433:AS433&lt;&gt;""),AG433:AS433)))</t>
        </is>
      </c>
      <c r="BH433" s="41" t="inlineStr">
        <is>
          <t>IF(G433="","All_Provinces",IFERROR(VLOOKUP(G433,'07_Lookups'!$A$4:$B$20,2,FALSE),"All_Provinces"))</t>
        </is>
      </c>
      <c r="BI433" s="41" t="inlineStr">
        <is>
          <t>IF(H433="","All_Districts",IFERROR(VLOOKUP(H433,'07_Lookups'!$E$4:$F$42,2,FALSE),"All_Districts"))</t>
        </is>
      </c>
    </row>
    <row r="434" ht="18" customHeight="1">
      <c r="A434" s="32" t="inlineStr">
        <is>
          <t>IF(E434="","",ROW()-3)</t>
        </is>
      </c>
      <c r="B434" s="33" t="n"/>
      <c r="C434" s="33" t="n"/>
      <c r="D434" s="33" t="n"/>
      <c r="E434" s="33" t="n"/>
      <c r="F434" s="33" t="n"/>
      <c r="G434" s="33" t="n"/>
      <c r="H434" s="33" t="n"/>
      <c r="I434" s="33" t="n"/>
      <c r="J434" s="33" t="n"/>
      <c r="K434" s="33" t="n"/>
      <c r="L434" s="33" t="n"/>
      <c r="M434" s="33" t="n"/>
      <c r="N434" s="33" t="n"/>
      <c r="O434" s="33" t="n"/>
      <c r="P434" s="33" t="n"/>
      <c r="Q434" s="34" t="n"/>
      <c r="R434" s="35" t="inlineStr">
        <is>
          <t>IF(AO434="","",AO434)</t>
        </is>
      </c>
      <c r="S434" s="36" t="n"/>
      <c r="T434" s="37" t="n"/>
      <c r="U434" s="36" t="n"/>
      <c r="V434" s="35" t="inlineStr">
        <is>
          <t>IF(U434&lt;&gt;"",U434,IF(OR(R434="",T434=""),"",EDATE(R434,T434)))</t>
        </is>
      </c>
      <c r="W434" s="36" t="n"/>
      <c r="X434" s="37" t="n"/>
      <c r="Y434" s="33" t="n"/>
      <c r="Z434" s="33" t="n"/>
      <c r="AA434" s="32" t="inlineStr">
        <is>
          <t>IF(E434="","",IF(COUNT(AG434:AT434)=0,IF(Y434="","Not started",Y434),SUBSTITUTE(LOOKUP(2,1/(AG434:AT434&lt;&gt;""),$AG$3:$AT$3),"Date: ","")))</t>
        </is>
      </c>
      <c r="AB434" s="38" t="inlineStr">
        <is>
          <t>IF(OR(E434="",COUNT(AG434:AT434)=0),"",TODAY()-LOOKUP(2,1/(AG434:AT434&lt;&gt;""),AG434:AT434))</t>
        </is>
      </c>
      <c r="AC434" s="38" t="inlineStr">
        <is>
          <t>IF(OR(E434="",COUNT(AG434:AT434)&lt;2),"",LOOKUP(2,1/(AG434:AT434&lt;&gt;""),AG434:AT434)-MIN(AG434:AT434))</t>
        </is>
      </c>
      <c r="AD434" s="38" t="inlineStr">
        <is>
          <t>IF(OR(AB434="",AA434="Not started",AA434=""),"",IFERROR(AB434-IF(VLOOKUP(AA434,'04_Status_Pipeline'!$B$3:$E$20,4,FALSE)="",0,VLOOKUP(AA434,'04_Status_Pipeline'!$B$3:$E$20,4,FALSE)),""))</t>
        </is>
      </c>
      <c r="AE434" s="32" t="inlineStr">
        <is>
          <t>IF(E434="","",IF(OR(Y434="Cancelled",AA434="Cancelled"),"Cancelled",IF(OR(AA434="Completed / Handover",W434&lt;&gt;"",X434&gt;=100),"Completed — on track",IF(L434="Remaining",IF(S434="",IF(V434="","No planned date",IF(TODAY()&gt;V434,"Behind — past planned date",IF(V434-TODAY()&lt;=30,"At risk — close to off track","On track"))),IF(TODAY()&gt;S434,"Behind — award date passed",IF(S434-TODAY()&lt;=30,"At risk — close to off track","On track"))),IF(V434="","No planned date",IF(AND(TODAY()&gt;V434,OR(X434="",X434&lt;100)),"Behind — past end date",IF(AND(R434&lt;&gt;"",V434&lt;&gt;"",X434&lt;&gt;"",(X434&lt;100),((TODAY()-R434)/MAX(V434-R434,1)*100)-X434&gt;15),"Behind — progress lag",IF(AND(V434-TODAY()&lt;=30,V434-TODAY()&gt;=0,OR(X434="",X434&lt;90)),"At risk — close to off track","On track"))))))))</t>
        </is>
      </c>
      <c r="AF434" s="38" t="inlineStr">
        <is>
          <t>IF(OR(E434="",AA434="Completed / Handover",AA434="Cancelled"),"",IF(L434="Remaining",IF(S434&lt;&gt;"",S434-TODAY(),IF(V434="","",V434-TODAY())),IF(V434="","",V434-TODAY())))</t>
        </is>
      </c>
      <c r="AG434" s="36" t="n"/>
      <c r="AH434" s="36" t="n"/>
      <c r="AI434" s="36" t="n"/>
      <c r="AJ434" s="36" t="n"/>
      <c r="AK434" s="36" t="n"/>
      <c r="AL434" s="36" t="n"/>
      <c r="AM434" s="36" t="n"/>
      <c r="AN434" s="36" t="n"/>
      <c r="AO434" s="36" t="n"/>
      <c r="AP434" s="36" t="n"/>
      <c r="AQ434" s="36" t="n"/>
      <c r="AR434" s="40" t="n"/>
      <c r="AS434" s="40" t="n"/>
      <c r="AT434" s="40" t="n"/>
      <c r="AU434" s="38" t="inlineStr">
        <is>
          <t>IF(OR(E434="",AH434=""),"",IF(COUNT(AG434:AG434)=0,"",AH434-LOOKUP(2,1/(AG434:AG434&lt;&gt;""),AG434:AG434)))</t>
        </is>
      </c>
      <c r="AV434" s="38" t="inlineStr">
        <is>
          <t>IF(OR(E434="",AI434=""),"",IF(COUNT(AG434:AH434)=0,"",AI434-LOOKUP(2,1/(AG434:AH434&lt;&gt;""),AG434:AH434)))</t>
        </is>
      </c>
      <c r="AW434" s="38" t="inlineStr">
        <is>
          <t>IF(OR(E434="",AJ434=""),"",IF(COUNT(AG434:AI434)=0,"",AJ434-LOOKUP(2,1/(AG434:AI434&lt;&gt;""),AG434:AI434)))</t>
        </is>
      </c>
      <c r="AX434" s="38" t="inlineStr">
        <is>
          <t>IF(OR(E434="",AK434=""),"",IF(COUNT(AG434:AJ434)=0,"",AK434-LOOKUP(2,1/(AG434:AJ434&lt;&gt;""),AG434:AJ434)))</t>
        </is>
      </c>
      <c r="AY434" s="38" t="inlineStr">
        <is>
          <t>IF(OR(E434="",AL434=""),"",IF(COUNT(AG434:AK434)=0,"",AL434-LOOKUP(2,1/(AG434:AK434&lt;&gt;""),AG434:AK434)))</t>
        </is>
      </c>
      <c r="AZ434" s="38" t="inlineStr">
        <is>
          <t>IF(OR(E434="",AM434=""),"",IF(COUNT(AG434:AL434)=0,"",AM434-LOOKUP(2,1/(AG434:AL434&lt;&gt;""),AG434:AL434)))</t>
        </is>
      </c>
      <c r="BA434" s="38" t="inlineStr">
        <is>
          <t>IF(OR(E434="",AN434=""),"",IF(COUNT(AG434:AM434)=0,"",AN434-LOOKUP(2,1/(AG434:AM434&lt;&gt;""),AG434:AM434)))</t>
        </is>
      </c>
      <c r="BB434" s="38" t="inlineStr">
        <is>
          <t>IF(OR(E434="",AO434=""),"",IF(COUNT(AG434:AN434)=0,"",AO434-LOOKUP(2,1/(AG434:AN434&lt;&gt;""),AG434:AN434)))</t>
        </is>
      </c>
      <c r="BC434" s="38" t="inlineStr">
        <is>
          <t>IF(OR(E434="",AP434=""),"",IF(COUNT(AG434:AO434)=0,"",AP434-LOOKUP(2,1/(AG434:AO434&lt;&gt;""),AG434:AO434)))</t>
        </is>
      </c>
      <c r="BD434" s="38" t="inlineStr">
        <is>
          <t>IF(OR(E434="",AQ434=""),"",IF(COUNT(AG434:AP434)=0,"",AQ434-LOOKUP(2,1/(AG434:AP434&lt;&gt;""),AG434:AP434)))</t>
        </is>
      </c>
      <c r="BE434" s="38" t="inlineStr">
        <is>
          <t>IF(OR(E434="",AR434=""),"",IF(COUNT(AG434:AQ434)=0,"",AR434-LOOKUP(2,1/(AG434:AQ434&lt;&gt;""),AG434:AQ434)))</t>
        </is>
      </c>
      <c r="BF434" s="38" t="inlineStr">
        <is>
          <t>IF(OR(E434="",AS434=""),"",IF(COUNT(AG434:AR434)=0,"",AS434-LOOKUP(2,1/(AG434:AR434&lt;&gt;""),AG434:AR434)))</t>
        </is>
      </c>
      <c r="BG434" s="38" t="inlineStr">
        <is>
          <t>IF(OR(E434="",AT434=""),"",IF(COUNT(AG434:AS434)=0,"",AT434-LOOKUP(2,1/(AG434:AS434&lt;&gt;""),AG434:AS434)))</t>
        </is>
      </c>
      <c r="BH434" s="41" t="inlineStr">
        <is>
          <t>IF(G434="","All_Provinces",IFERROR(VLOOKUP(G434,'07_Lookups'!$A$4:$B$20,2,FALSE),"All_Provinces"))</t>
        </is>
      </c>
      <c r="BI434" s="41" t="inlineStr">
        <is>
          <t>IF(H434="","All_Districts",IFERROR(VLOOKUP(H434,'07_Lookups'!$E$4:$F$42,2,FALSE),"All_Districts"))</t>
        </is>
      </c>
    </row>
    <row r="435" ht="18" customHeight="1">
      <c r="A435" s="32" t="inlineStr">
        <is>
          <t>IF(E435="","",ROW()-3)</t>
        </is>
      </c>
      <c r="B435" s="42" t="n"/>
      <c r="C435" s="42" t="n"/>
      <c r="D435" s="42" t="n"/>
      <c r="E435" s="42" t="n"/>
      <c r="F435" s="42" t="n"/>
      <c r="G435" s="42" t="n"/>
      <c r="H435" s="42" t="n"/>
      <c r="I435" s="42" t="n"/>
      <c r="J435" s="42" t="n"/>
      <c r="K435" s="42" t="n"/>
      <c r="L435" s="42" t="n"/>
      <c r="M435" s="42" t="n"/>
      <c r="N435" s="42" t="n"/>
      <c r="O435" s="42" t="n"/>
      <c r="P435" s="42" t="n"/>
      <c r="Q435" s="43" t="n"/>
      <c r="R435" s="35" t="inlineStr">
        <is>
          <t>IF(AO435="","",AO435)</t>
        </is>
      </c>
      <c r="S435" s="44" t="n"/>
      <c r="T435" s="45" t="n"/>
      <c r="U435" s="44" t="n"/>
      <c r="V435" s="35" t="inlineStr">
        <is>
          <t>IF(U435&lt;&gt;"",U435,IF(OR(R435="",T435=""),"",EDATE(R435,T435)))</t>
        </is>
      </c>
      <c r="W435" s="44" t="n"/>
      <c r="X435" s="45" t="n"/>
      <c r="Y435" s="42" t="n"/>
      <c r="Z435" s="42" t="n"/>
      <c r="AA435" s="32" t="inlineStr">
        <is>
          <t>IF(E435="","",IF(COUNT(AG435:AT435)=0,IF(Y435="","Not started",Y435),SUBSTITUTE(LOOKUP(2,1/(AG435:AT435&lt;&gt;""),$AG$3:$AT$3),"Date: ","")))</t>
        </is>
      </c>
      <c r="AB435" s="38" t="inlineStr">
        <is>
          <t>IF(OR(E435="",COUNT(AG435:AT435)=0),"",TODAY()-LOOKUP(2,1/(AG435:AT435&lt;&gt;""),AG435:AT435))</t>
        </is>
      </c>
      <c r="AC435" s="38" t="inlineStr">
        <is>
          <t>IF(OR(E435="",COUNT(AG435:AT435)&lt;2),"",LOOKUP(2,1/(AG435:AT435&lt;&gt;""),AG435:AT435)-MIN(AG435:AT435))</t>
        </is>
      </c>
      <c r="AD435" s="38" t="inlineStr">
        <is>
          <t>IF(OR(AB435="",AA435="Not started",AA435=""),"",IFERROR(AB435-IF(VLOOKUP(AA435,'04_Status_Pipeline'!$B$3:$E$20,4,FALSE)="",0,VLOOKUP(AA435,'04_Status_Pipeline'!$B$3:$E$20,4,FALSE)),""))</t>
        </is>
      </c>
      <c r="AE435" s="32" t="inlineStr">
        <is>
          <t>IF(E435="","",IF(OR(Y435="Cancelled",AA435="Cancelled"),"Cancelled",IF(OR(AA435="Completed / Handover",W435&lt;&gt;"",X435&gt;=100),"Completed — on track",IF(L435="Remaining",IF(S435="",IF(V435="","No planned date",IF(TODAY()&gt;V435,"Behind — past planned date",IF(V435-TODAY()&lt;=30,"At risk — close to off track","On track"))),IF(TODAY()&gt;S435,"Behind — award date passed",IF(S435-TODAY()&lt;=30,"At risk — close to off track","On track"))),IF(V435="","No planned date",IF(AND(TODAY()&gt;V435,OR(X435="",X435&lt;100)),"Behind — past end date",IF(AND(R435&lt;&gt;"",V435&lt;&gt;"",X435&lt;&gt;"",(X435&lt;100),((TODAY()-R435)/MAX(V435-R435,1)*100)-X435&gt;15),"Behind — progress lag",IF(AND(V435-TODAY()&lt;=30,V435-TODAY()&gt;=0,OR(X435="",X435&lt;90)),"At risk — close to off track","On track"))))))))</t>
        </is>
      </c>
      <c r="AF435" s="38" t="inlineStr">
        <is>
          <t>IF(OR(E435="",AA435="Completed / Handover",AA435="Cancelled"),"",IF(L435="Remaining",IF(S435&lt;&gt;"",S435-TODAY(),IF(V435="","",V435-TODAY())),IF(V435="","",V435-TODAY())))</t>
        </is>
      </c>
      <c r="AG435" s="44" t="n"/>
      <c r="AH435" s="44" t="n"/>
      <c r="AI435" s="44" t="n"/>
      <c r="AJ435" s="44" t="n"/>
      <c r="AK435" s="44" t="n"/>
      <c r="AL435" s="44" t="n"/>
      <c r="AM435" s="44" t="n"/>
      <c r="AN435" s="44" t="n"/>
      <c r="AO435" s="44" t="n"/>
      <c r="AP435" s="44" t="n"/>
      <c r="AQ435" s="44" t="n"/>
      <c r="AR435" s="40" t="n"/>
      <c r="AS435" s="40" t="n"/>
      <c r="AT435" s="40" t="n"/>
      <c r="AU435" s="38" t="inlineStr">
        <is>
          <t>IF(OR(E435="",AH435=""),"",IF(COUNT(AG435:AG435)=0,"",AH435-LOOKUP(2,1/(AG435:AG435&lt;&gt;""),AG435:AG435)))</t>
        </is>
      </c>
      <c r="AV435" s="38" t="inlineStr">
        <is>
          <t>IF(OR(E435="",AI435=""),"",IF(COUNT(AG435:AH435)=0,"",AI435-LOOKUP(2,1/(AG435:AH435&lt;&gt;""),AG435:AH435)))</t>
        </is>
      </c>
      <c r="AW435" s="38" t="inlineStr">
        <is>
          <t>IF(OR(E435="",AJ435=""),"",IF(COUNT(AG435:AI435)=0,"",AJ435-LOOKUP(2,1/(AG435:AI435&lt;&gt;""),AG435:AI435)))</t>
        </is>
      </c>
      <c r="AX435" s="38" t="inlineStr">
        <is>
          <t>IF(OR(E435="",AK435=""),"",IF(COUNT(AG435:AJ435)=0,"",AK435-LOOKUP(2,1/(AG435:AJ435&lt;&gt;""),AG435:AJ435)))</t>
        </is>
      </c>
      <c r="AY435" s="38" t="inlineStr">
        <is>
          <t>IF(OR(E435="",AL435=""),"",IF(COUNT(AG435:AK435)=0,"",AL435-LOOKUP(2,1/(AG435:AK435&lt;&gt;""),AG435:AK435)))</t>
        </is>
      </c>
      <c r="AZ435" s="38" t="inlineStr">
        <is>
          <t>IF(OR(E435="",AM435=""),"",IF(COUNT(AG435:AL435)=0,"",AM435-LOOKUP(2,1/(AG435:AL435&lt;&gt;""),AG435:AL435)))</t>
        </is>
      </c>
      <c r="BA435" s="38" t="inlineStr">
        <is>
          <t>IF(OR(E435="",AN435=""),"",IF(COUNT(AG435:AM435)=0,"",AN435-LOOKUP(2,1/(AG435:AM435&lt;&gt;""),AG435:AM435)))</t>
        </is>
      </c>
      <c r="BB435" s="38" t="inlineStr">
        <is>
          <t>IF(OR(E435="",AO435=""),"",IF(COUNT(AG435:AN435)=0,"",AO435-LOOKUP(2,1/(AG435:AN435&lt;&gt;""),AG435:AN435)))</t>
        </is>
      </c>
      <c r="BC435" s="38" t="inlineStr">
        <is>
          <t>IF(OR(E435="",AP435=""),"",IF(COUNT(AG435:AO435)=0,"",AP435-LOOKUP(2,1/(AG435:AO435&lt;&gt;""),AG435:AO435)))</t>
        </is>
      </c>
      <c r="BD435" s="38" t="inlineStr">
        <is>
          <t>IF(OR(E435="",AQ435=""),"",IF(COUNT(AG435:AP435)=0,"",AQ435-LOOKUP(2,1/(AG435:AP435&lt;&gt;""),AG435:AP435)))</t>
        </is>
      </c>
      <c r="BE435" s="38" t="inlineStr">
        <is>
          <t>IF(OR(E435="",AR435=""),"",IF(COUNT(AG435:AQ435)=0,"",AR435-LOOKUP(2,1/(AG435:AQ435&lt;&gt;""),AG435:AQ435)))</t>
        </is>
      </c>
      <c r="BF435" s="38" t="inlineStr">
        <is>
          <t>IF(OR(E435="",AS435=""),"",IF(COUNT(AG435:AR435)=0,"",AS435-LOOKUP(2,1/(AG435:AR435&lt;&gt;""),AG435:AR435)))</t>
        </is>
      </c>
      <c r="BG435" s="38" t="inlineStr">
        <is>
          <t>IF(OR(E435="",AT435=""),"",IF(COUNT(AG435:AS435)=0,"",AT435-LOOKUP(2,1/(AG435:AS435&lt;&gt;""),AG435:AS435)))</t>
        </is>
      </c>
      <c r="BH435" s="41" t="inlineStr">
        <is>
          <t>IF(G435="","All_Provinces",IFERROR(VLOOKUP(G435,'07_Lookups'!$A$4:$B$20,2,FALSE),"All_Provinces"))</t>
        </is>
      </c>
      <c r="BI435" s="41" t="inlineStr">
        <is>
          <t>IF(H435="","All_Districts",IFERROR(VLOOKUP(H435,'07_Lookups'!$E$4:$F$42,2,FALSE),"All_Districts"))</t>
        </is>
      </c>
    </row>
    <row r="436" ht="18" customHeight="1">
      <c r="A436" s="32" t="inlineStr">
        <is>
          <t>IF(E436="","",ROW()-3)</t>
        </is>
      </c>
      <c r="B436" s="33" t="n"/>
      <c r="C436" s="33" t="n"/>
      <c r="D436" s="33" t="n"/>
      <c r="E436" s="33" t="n"/>
      <c r="F436" s="33" t="n"/>
      <c r="G436" s="33" t="n"/>
      <c r="H436" s="33" t="n"/>
      <c r="I436" s="33" t="n"/>
      <c r="J436" s="33" t="n"/>
      <c r="K436" s="33" t="n"/>
      <c r="L436" s="33" t="n"/>
      <c r="M436" s="33" t="n"/>
      <c r="N436" s="33" t="n"/>
      <c r="O436" s="33" t="n"/>
      <c r="P436" s="33" t="n"/>
      <c r="Q436" s="34" t="n"/>
      <c r="R436" s="35" t="inlineStr">
        <is>
          <t>IF(AO436="","",AO436)</t>
        </is>
      </c>
      <c r="S436" s="36" t="n"/>
      <c r="T436" s="37" t="n"/>
      <c r="U436" s="36" t="n"/>
      <c r="V436" s="35" t="inlineStr">
        <is>
          <t>IF(U436&lt;&gt;"",U436,IF(OR(R436="",T436=""),"",EDATE(R436,T436)))</t>
        </is>
      </c>
      <c r="W436" s="36" t="n"/>
      <c r="X436" s="37" t="n"/>
      <c r="Y436" s="33" t="n"/>
      <c r="Z436" s="33" t="n"/>
      <c r="AA436" s="32" t="inlineStr">
        <is>
          <t>IF(E436="","",IF(COUNT(AG436:AT436)=0,IF(Y436="","Not started",Y436),SUBSTITUTE(LOOKUP(2,1/(AG436:AT436&lt;&gt;""),$AG$3:$AT$3),"Date: ","")))</t>
        </is>
      </c>
      <c r="AB436" s="38" t="inlineStr">
        <is>
          <t>IF(OR(E436="",COUNT(AG436:AT436)=0),"",TODAY()-LOOKUP(2,1/(AG436:AT436&lt;&gt;""),AG436:AT436))</t>
        </is>
      </c>
      <c r="AC436" s="38" t="inlineStr">
        <is>
          <t>IF(OR(E436="",COUNT(AG436:AT436)&lt;2),"",LOOKUP(2,1/(AG436:AT436&lt;&gt;""),AG436:AT436)-MIN(AG436:AT436))</t>
        </is>
      </c>
      <c r="AD436" s="38" t="inlineStr">
        <is>
          <t>IF(OR(AB436="",AA436="Not started",AA436=""),"",IFERROR(AB436-IF(VLOOKUP(AA436,'04_Status_Pipeline'!$B$3:$E$20,4,FALSE)="",0,VLOOKUP(AA436,'04_Status_Pipeline'!$B$3:$E$20,4,FALSE)),""))</t>
        </is>
      </c>
      <c r="AE436" s="32" t="inlineStr">
        <is>
          <t>IF(E436="","",IF(OR(Y436="Cancelled",AA436="Cancelled"),"Cancelled",IF(OR(AA436="Completed / Handover",W436&lt;&gt;"",X436&gt;=100),"Completed — on track",IF(L436="Remaining",IF(S436="",IF(V436="","No planned date",IF(TODAY()&gt;V436,"Behind — past planned date",IF(V436-TODAY()&lt;=30,"At risk — close to off track","On track"))),IF(TODAY()&gt;S436,"Behind — award date passed",IF(S436-TODAY()&lt;=30,"At risk — close to off track","On track"))),IF(V436="","No planned date",IF(AND(TODAY()&gt;V436,OR(X436="",X436&lt;100)),"Behind — past end date",IF(AND(R436&lt;&gt;"",V436&lt;&gt;"",X436&lt;&gt;"",(X436&lt;100),((TODAY()-R436)/MAX(V436-R436,1)*100)-X436&gt;15),"Behind — progress lag",IF(AND(V436-TODAY()&lt;=30,V436-TODAY()&gt;=0,OR(X436="",X436&lt;90)),"At risk — close to off track","On track"))))))))</t>
        </is>
      </c>
      <c r="AF436" s="38" t="inlineStr">
        <is>
          <t>IF(OR(E436="",AA436="Completed / Handover",AA436="Cancelled"),"",IF(L436="Remaining",IF(S436&lt;&gt;"",S436-TODAY(),IF(V436="","",V436-TODAY())),IF(V436="","",V436-TODAY())))</t>
        </is>
      </c>
      <c r="AG436" s="36" t="n"/>
      <c r="AH436" s="36" t="n"/>
      <c r="AI436" s="36" t="n"/>
      <c r="AJ436" s="36" t="n"/>
      <c r="AK436" s="36" t="n"/>
      <c r="AL436" s="36" t="n"/>
      <c r="AM436" s="36" t="n"/>
      <c r="AN436" s="36" t="n"/>
      <c r="AO436" s="36" t="n"/>
      <c r="AP436" s="36" t="n"/>
      <c r="AQ436" s="36" t="n"/>
      <c r="AR436" s="40" t="n"/>
      <c r="AS436" s="40" t="n"/>
      <c r="AT436" s="40" t="n"/>
      <c r="AU436" s="38" t="inlineStr">
        <is>
          <t>IF(OR(E436="",AH436=""),"",IF(COUNT(AG436:AG436)=0,"",AH436-LOOKUP(2,1/(AG436:AG436&lt;&gt;""),AG436:AG436)))</t>
        </is>
      </c>
      <c r="AV436" s="38" t="inlineStr">
        <is>
          <t>IF(OR(E436="",AI436=""),"",IF(COUNT(AG436:AH436)=0,"",AI436-LOOKUP(2,1/(AG436:AH436&lt;&gt;""),AG436:AH436)))</t>
        </is>
      </c>
      <c r="AW436" s="38" t="inlineStr">
        <is>
          <t>IF(OR(E436="",AJ436=""),"",IF(COUNT(AG436:AI436)=0,"",AJ436-LOOKUP(2,1/(AG436:AI436&lt;&gt;""),AG436:AI436)))</t>
        </is>
      </c>
      <c r="AX436" s="38" t="inlineStr">
        <is>
          <t>IF(OR(E436="",AK436=""),"",IF(COUNT(AG436:AJ436)=0,"",AK436-LOOKUP(2,1/(AG436:AJ436&lt;&gt;""),AG436:AJ436)))</t>
        </is>
      </c>
      <c r="AY436" s="38" t="inlineStr">
        <is>
          <t>IF(OR(E436="",AL436=""),"",IF(COUNT(AG436:AK436)=0,"",AL436-LOOKUP(2,1/(AG436:AK436&lt;&gt;""),AG436:AK436)))</t>
        </is>
      </c>
      <c r="AZ436" s="38" t="inlineStr">
        <is>
          <t>IF(OR(E436="",AM436=""),"",IF(COUNT(AG436:AL436)=0,"",AM436-LOOKUP(2,1/(AG436:AL436&lt;&gt;""),AG436:AL436)))</t>
        </is>
      </c>
      <c r="BA436" s="38" t="inlineStr">
        <is>
          <t>IF(OR(E436="",AN436=""),"",IF(COUNT(AG436:AM436)=0,"",AN436-LOOKUP(2,1/(AG436:AM436&lt;&gt;""),AG436:AM436)))</t>
        </is>
      </c>
      <c r="BB436" s="38" t="inlineStr">
        <is>
          <t>IF(OR(E436="",AO436=""),"",IF(COUNT(AG436:AN436)=0,"",AO436-LOOKUP(2,1/(AG436:AN436&lt;&gt;""),AG436:AN436)))</t>
        </is>
      </c>
      <c r="BC436" s="38" t="inlineStr">
        <is>
          <t>IF(OR(E436="",AP436=""),"",IF(COUNT(AG436:AO436)=0,"",AP436-LOOKUP(2,1/(AG436:AO436&lt;&gt;""),AG436:AO436)))</t>
        </is>
      </c>
      <c r="BD436" s="38" t="inlineStr">
        <is>
          <t>IF(OR(E436="",AQ436=""),"",IF(COUNT(AG436:AP436)=0,"",AQ436-LOOKUP(2,1/(AG436:AP436&lt;&gt;""),AG436:AP436)))</t>
        </is>
      </c>
      <c r="BE436" s="38" t="inlineStr">
        <is>
          <t>IF(OR(E436="",AR436=""),"",IF(COUNT(AG436:AQ436)=0,"",AR436-LOOKUP(2,1/(AG436:AQ436&lt;&gt;""),AG436:AQ436)))</t>
        </is>
      </c>
      <c r="BF436" s="38" t="inlineStr">
        <is>
          <t>IF(OR(E436="",AS436=""),"",IF(COUNT(AG436:AR436)=0,"",AS436-LOOKUP(2,1/(AG436:AR436&lt;&gt;""),AG436:AR436)))</t>
        </is>
      </c>
      <c r="BG436" s="38" t="inlineStr">
        <is>
          <t>IF(OR(E436="",AT436=""),"",IF(COUNT(AG436:AS436)=0,"",AT436-LOOKUP(2,1/(AG436:AS436&lt;&gt;""),AG436:AS436)))</t>
        </is>
      </c>
      <c r="BH436" s="41" t="inlineStr">
        <is>
          <t>IF(G436="","All_Provinces",IFERROR(VLOOKUP(G436,'07_Lookups'!$A$4:$B$20,2,FALSE),"All_Provinces"))</t>
        </is>
      </c>
      <c r="BI436" s="41" t="inlineStr">
        <is>
          <t>IF(H436="","All_Districts",IFERROR(VLOOKUP(H436,'07_Lookups'!$E$4:$F$42,2,FALSE),"All_Districts"))</t>
        </is>
      </c>
    </row>
    <row r="437" ht="18" customHeight="1">
      <c r="A437" s="32" t="inlineStr">
        <is>
          <t>IF(E437="","",ROW()-3)</t>
        </is>
      </c>
      <c r="B437" s="42" t="n"/>
      <c r="C437" s="42" t="n"/>
      <c r="D437" s="42" t="n"/>
      <c r="E437" s="42" t="n"/>
      <c r="F437" s="42" t="n"/>
      <c r="G437" s="42" t="n"/>
      <c r="H437" s="42" t="n"/>
      <c r="I437" s="42" t="n"/>
      <c r="J437" s="42" t="n"/>
      <c r="K437" s="42" t="n"/>
      <c r="L437" s="42" t="n"/>
      <c r="M437" s="42" t="n"/>
      <c r="N437" s="42" t="n"/>
      <c r="O437" s="42" t="n"/>
      <c r="P437" s="42" t="n"/>
      <c r="Q437" s="43" t="n"/>
      <c r="R437" s="35" t="inlineStr">
        <is>
          <t>IF(AO437="","",AO437)</t>
        </is>
      </c>
      <c r="S437" s="44" t="n"/>
      <c r="T437" s="45" t="n"/>
      <c r="U437" s="44" t="n"/>
      <c r="V437" s="35" t="inlineStr">
        <is>
          <t>IF(U437&lt;&gt;"",U437,IF(OR(R437="",T437=""),"",EDATE(R437,T437)))</t>
        </is>
      </c>
      <c r="W437" s="44" t="n"/>
      <c r="X437" s="45" t="n"/>
      <c r="Y437" s="42" t="n"/>
      <c r="Z437" s="42" t="n"/>
      <c r="AA437" s="32" t="inlineStr">
        <is>
          <t>IF(E437="","",IF(COUNT(AG437:AT437)=0,IF(Y437="","Not started",Y437),SUBSTITUTE(LOOKUP(2,1/(AG437:AT437&lt;&gt;""),$AG$3:$AT$3),"Date: ","")))</t>
        </is>
      </c>
      <c r="AB437" s="38" t="inlineStr">
        <is>
          <t>IF(OR(E437="",COUNT(AG437:AT437)=0),"",TODAY()-LOOKUP(2,1/(AG437:AT437&lt;&gt;""),AG437:AT437))</t>
        </is>
      </c>
      <c r="AC437" s="38" t="inlineStr">
        <is>
          <t>IF(OR(E437="",COUNT(AG437:AT437)&lt;2),"",LOOKUP(2,1/(AG437:AT437&lt;&gt;""),AG437:AT437)-MIN(AG437:AT437))</t>
        </is>
      </c>
      <c r="AD437" s="38" t="inlineStr">
        <is>
          <t>IF(OR(AB437="",AA437="Not started",AA437=""),"",IFERROR(AB437-IF(VLOOKUP(AA437,'04_Status_Pipeline'!$B$3:$E$20,4,FALSE)="",0,VLOOKUP(AA437,'04_Status_Pipeline'!$B$3:$E$20,4,FALSE)),""))</t>
        </is>
      </c>
      <c r="AE437" s="32" t="inlineStr">
        <is>
          <t>IF(E437="","",IF(OR(Y437="Cancelled",AA437="Cancelled"),"Cancelled",IF(OR(AA437="Completed / Handover",W437&lt;&gt;"",X437&gt;=100),"Completed — on track",IF(L437="Remaining",IF(S437="",IF(V437="","No planned date",IF(TODAY()&gt;V437,"Behind — past planned date",IF(V437-TODAY()&lt;=30,"At risk — close to off track","On track"))),IF(TODAY()&gt;S437,"Behind — award date passed",IF(S437-TODAY()&lt;=30,"At risk — close to off track","On track"))),IF(V437="","No planned date",IF(AND(TODAY()&gt;V437,OR(X437="",X437&lt;100)),"Behind — past end date",IF(AND(R437&lt;&gt;"",V437&lt;&gt;"",X437&lt;&gt;"",(X437&lt;100),((TODAY()-R437)/MAX(V437-R437,1)*100)-X437&gt;15),"Behind — progress lag",IF(AND(V437-TODAY()&lt;=30,V437-TODAY()&gt;=0,OR(X437="",X437&lt;90)),"At risk — close to off track","On track"))))))))</t>
        </is>
      </c>
      <c r="AF437" s="38" t="inlineStr">
        <is>
          <t>IF(OR(E437="",AA437="Completed / Handover",AA437="Cancelled"),"",IF(L437="Remaining",IF(S437&lt;&gt;"",S437-TODAY(),IF(V437="","",V437-TODAY())),IF(V437="","",V437-TODAY())))</t>
        </is>
      </c>
      <c r="AG437" s="44" t="n"/>
      <c r="AH437" s="44" t="n"/>
      <c r="AI437" s="44" t="n"/>
      <c r="AJ437" s="44" t="n"/>
      <c r="AK437" s="44" t="n"/>
      <c r="AL437" s="44" t="n"/>
      <c r="AM437" s="44" t="n"/>
      <c r="AN437" s="44" t="n"/>
      <c r="AO437" s="44" t="n"/>
      <c r="AP437" s="44" t="n"/>
      <c r="AQ437" s="44" t="n"/>
      <c r="AR437" s="40" t="n"/>
      <c r="AS437" s="40" t="n"/>
      <c r="AT437" s="40" t="n"/>
      <c r="AU437" s="38" t="inlineStr">
        <is>
          <t>IF(OR(E437="",AH437=""),"",IF(COUNT(AG437:AG437)=0,"",AH437-LOOKUP(2,1/(AG437:AG437&lt;&gt;""),AG437:AG437)))</t>
        </is>
      </c>
      <c r="AV437" s="38" t="inlineStr">
        <is>
          <t>IF(OR(E437="",AI437=""),"",IF(COUNT(AG437:AH437)=0,"",AI437-LOOKUP(2,1/(AG437:AH437&lt;&gt;""),AG437:AH437)))</t>
        </is>
      </c>
      <c r="AW437" s="38" t="inlineStr">
        <is>
          <t>IF(OR(E437="",AJ437=""),"",IF(COUNT(AG437:AI437)=0,"",AJ437-LOOKUP(2,1/(AG437:AI437&lt;&gt;""),AG437:AI437)))</t>
        </is>
      </c>
      <c r="AX437" s="38" t="inlineStr">
        <is>
          <t>IF(OR(E437="",AK437=""),"",IF(COUNT(AG437:AJ437)=0,"",AK437-LOOKUP(2,1/(AG437:AJ437&lt;&gt;""),AG437:AJ437)))</t>
        </is>
      </c>
      <c r="AY437" s="38" t="inlineStr">
        <is>
          <t>IF(OR(E437="",AL437=""),"",IF(COUNT(AG437:AK437)=0,"",AL437-LOOKUP(2,1/(AG437:AK437&lt;&gt;""),AG437:AK437)))</t>
        </is>
      </c>
      <c r="AZ437" s="38" t="inlineStr">
        <is>
          <t>IF(OR(E437="",AM437=""),"",IF(COUNT(AG437:AL437)=0,"",AM437-LOOKUP(2,1/(AG437:AL437&lt;&gt;""),AG437:AL437)))</t>
        </is>
      </c>
      <c r="BA437" s="38" t="inlineStr">
        <is>
          <t>IF(OR(E437="",AN437=""),"",IF(COUNT(AG437:AM437)=0,"",AN437-LOOKUP(2,1/(AG437:AM437&lt;&gt;""),AG437:AM437)))</t>
        </is>
      </c>
      <c r="BB437" s="38" t="inlineStr">
        <is>
          <t>IF(OR(E437="",AO437=""),"",IF(COUNT(AG437:AN437)=0,"",AO437-LOOKUP(2,1/(AG437:AN437&lt;&gt;""),AG437:AN437)))</t>
        </is>
      </c>
      <c r="BC437" s="38" t="inlineStr">
        <is>
          <t>IF(OR(E437="",AP437=""),"",IF(COUNT(AG437:AO437)=0,"",AP437-LOOKUP(2,1/(AG437:AO437&lt;&gt;""),AG437:AO437)))</t>
        </is>
      </c>
      <c r="BD437" s="38" t="inlineStr">
        <is>
          <t>IF(OR(E437="",AQ437=""),"",IF(COUNT(AG437:AP437)=0,"",AQ437-LOOKUP(2,1/(AG437:AP437&lt;&gt;""),AG437:AP437)))</t>
        </is>
      </c>
      <c r="BE437" s="38" t="inlineStr">
        <is>
          <t>IF(OR(E437="",AR437=""),"",IF(COUNT(AG437:AQ437)=0,"",AR437-LOOKUP(2,1/(AG437:AQ437&lt;&gt;""),AG437:AQ437)))</t>
        </is>
      </c>
      <c r="BF437" s="38" t="inlineStr">
        <is>
          <t>IF(OR(E437="",AS437=""),"",IF(COUNT(AG437:AR437)=0,"",AS437-LOOKUP(2,1/(AG437:AR437&lt;&gt;""),AG437:AR437)))</t>
        </is>
      </c>
      <c r="BG437" s="38" t="inlineStr">
        <is>
          <t>IF(OR(E437="",AT437=""),"",IF(COUNT(AG437:AS437)=0,"",AT437-LOOKUP(2,1/(AG437:AS437&lt;&gt;""),AG437:AS437)))</t>
        </is>
      </c>
      <c r="BH437" s="41" t="inlineStr">
        <is>
          <t>IF(G437="","All_Provinces",IFERROR(VLOOKUP(G437,'07_Lookups'!$A$4:$B$20,2,FALSE),"All_Provinces"))</t>
        </is>
      </c>
      <c r="BI437" s="41" t="inlineStr">
        <is>
          <t>IF(H437="","All_Districts",IFERROR(VLOOKUP(H437,'07_Lookups'!$E$4:$F$42,2,FALSE),"All_Districts"))</t>
        </is>
      </c>
    </row>
    <row r="438" ht="18" customHeight="1">
      <c r="A438" s="32" t="inlineStr">
        <is>
          <t>IF(E438="","",ROW()-3)</t>
        </is>
      </c>
      <c r="B438" s="33" t="n"/>
      <c r="C438" s="33" t="n"/>
      <c r="D438" s="33" t="n"/>
      <c r="E438" s="33" t="n"/>
      <c r="F438" s="33" t="n"/>
      <c r="G438" s="33" t="n"/>
      <c r="H438" s="33" t="n"/>
      <c r="I438" s="33" t="n"/>
      <c r="J438" s="33" t="n"/>
      <c r="K438" s="33" t="n"/>
      <c r="L438" s="33" t="n"/>
      <c r="M438" s="33" t="n"/>
      <c r="N438" s="33" t="n"/>
      <c r="O438" s="33" t="n"/>
      <c r="P438" s="33" t="n"/>
      <c r="Q438" s="34" t="n"/>
      <c r="R438" s="35" t="inlineStr">
        <is>
          <t>IF(AO438="","",AO438)</t>
        </is>
      </c>
      <c r="S438" s="36" t="n"/>
      <c r="T438" s="37" t="n"/>
      <c r="U438" s="36" t="n"/>
      <c r="V438" s="35" t="inlineStr">
        <is>
          <t>IF(U438&lt;&gt;"",U438,IF(OR(R438="",T438=""),"",EDATE(R438,T438)))</t>
        </is>
      </c>
      <c r="W438" s="36" t="n"/>
      <c r="X438" s="37" t="n"/>
      <c r="Y438" s="33" t="n"/>
      <c r="Z438" s="33" t="n"/>
      <c r="AA438" s="32" t="inlineStr">
        <is>
          <t>IF(E438="","",IF(COUNT(AG438:AT438)=0,IF(Y438="","Not started",Y438),SUBSTITUTE(LOOKUP(2,1/(AG438:AT438&lt;&gt;""),$AG$3:$AT$3),"Date: ","")))</t>
        </is>
      </c>
      <c r="AB438" s="38" t="inlineStr">
        <is>
          <t>IF(OR(E438="",COUNT(AG438:AT438)=0),"",TODAY()-LOOKUP(2,1/(AG438:AT438&lt;&gt;""),AG438:AT438))</t>
        </is>
      </c>
      <c r="AC438" s="38" t="inlineStr">
        <is>
          <t>IF(OR(E438="",COUNT(AG438:AT438)&lt;2),"",LOOKUP(2,1/(AG438:AT438&lt;&gt;""),AG438:AT438)-MIN(AG438:AT438))</t>
        </is>
      </c>
      <c r="AD438" s="38" t="inlineStr">
        <is>
          <t>IF(OR(AB438="",AA438="Not started",AA438=""),"",IFERROR(AB438-IF(VLOOKUP(AA438,'04_Status_Pipeline'!$B$3:$E$20,4,FALSE)="",0,VLOOKUP(AA438,'04_Status_Pipeline'!$B$3:$E$20,4,FALSE)),""))</t>
        </is>
      </c>
      <c r="AE438" s="32" t="inlineStr">
        <is>
          <t>IF(E438="","",IF(OR(Y438="Cancelled",AA438="Cancelled"),"Cancelled",IF(OR(AA438="Completed / Handover",W438&lt;&gt;"",X438&gt;=100),"Completed — on track",IF(L438="Remaining",IF(S438="",IF(V438="","No planned date",IF(TODAY()&gt;V438,"Behind — past planned date",IF(V438-TODAY()&lt;=30,"At risk — close to off track","On track"))),IF(TODAY()&gt;S438,"Behind — award date passed",IF(S438-TODAY()&lt;=30,"At risk — close to off track","On track"))),IF(V438="","No planned date",IF(AND(TODAY()&gt;V438,OR(X438="",X438&lt;100)),"Behind — past end date",IF(AND(R438&lt;&gt;"",V438&lt;&gt;"",X438&lt;&gt;"",(X438&lt;100),((TODAY()-R438)/MAX(V438-R438,1)*100)-X438&gt;15),"Behind — progress lag",IF(AND(V438-TODAY()&lt;=30,V438-TODAY()&gt;=0,OR(X438="",X438&lt;90)),"At risk — close to off track","On track"))))))))</t>
        </is>
      </c>
      <c r="AF438" s="38" t="inlineStr">
        <is>
          <t>IF(OR(E438="",AA438="Completed / Handover",AA438="Cancelled"),"",IF(L438="Remaining",IF(S438&lt;&gt;"",S438-TODAY(),IF(V438="","",V438-TODAY())),IF(V438="","",V438-TODAY())))</t>
        </is>
      </c>
      <c r="AG438" s="36" t="n"/>
      <c r="AH438" s="36" t="n"/>
      <c r="AI438" s="36" t="n"/>
      <c r="AJ438" s="36" t="n"/>
      <c r="AK438" s="36" t="n"/>
      <c r="AL438" s="36" t="n"/>
      <c r="AM438" s="36" t="n"/>
      <c r="AN438" s="36" t="n"/>
      <c r="AO438" s="36" t="n"/>
      <c r="AP438" s="36" t="n"/>
      <c r="AQ438" s="36" t="n"/>
      <c r="AR438" s="40" t="n"/>
      <c r="AS438" s="40" t="n"/>
      <c r="AT438" s="40" t="n"/>
      <c r="AU438" s="38" t="inlineStr">
        <is>
          <t>IF(OR(E438="",AH438=""),"",IF(COUNT(AG438:AG438)=0,"",AH438-LOOKUP(2,1/(AG438:AG438&lt;&gt;""),AG438:AG438)))</t>
        </is>
      </c>
      <c r="AV438" s="38" t="inlineStr">
        <is>
          <t>IF(OR(E438="",AI438=""),"",IF(COUNT(AG438:AH438)=0,"",AI438-LOOKUP(2,1/(AG438:AH438&lt;&gt;""),AG438:AH438)))</t>
        </is>
      </c>
      <c r="AW438" s="38" t="inlineStr">
        <is>
          <t>IF(OR(E438="",AJ438=""),"",IF(COUNT(AG438:AI438)=0,"",AJ438-LOOKUP(2,1/(AG438:AI438&lt;&gt;""),AG438:AI438)))</t>
        </is>
      </c>
      <c r="AX438" s="38" t="inlineStr">
        <is>
          <t>IF(OR(E438="",AK438=""),"",IF(COUNT(AG438:AJ438)=0,"",AK438-LOOKUP(2,1/(AG438:AJ438&lt;&gt;""),AG438:AJ438)))</t>
        </is>
      </c>
      <c r="AY438" s="38" t="inlineStr">
        <is>
          <t>IF(OR(E438="",AL438=""),"",IF(COUNT(AG438:AK438)=0,"",AL438-LOOKUP(2,1/(AG438:AK438&lt;&gt;""),AG438:AK438)))</t>
        </is>
      </c>
      <c r="AZ438" s="38" t="inlineStr">
        <is>
          <t>IF(OR(E438="",AM438=""),"",IF(COUNT(AG438:AL438)=0,"",AM438-LOOKUP(2,1/(AG438:AL438&lt;&gt;""),AG438:AL438)))</t>
        </is>
      </c>
      <c r="BA438" s="38" t="inlineStr">
        <is>
          <t>IF(OR(E438="",AN438=""),"",IF(COUNT(AG438:AM438)=0,"",AN438-LOOKUP(2,1/(AG438:AM438&lt;&gt;""),AG438:AM438)))</t>
        </is>
      </c>
      <c r="BB438" s="38" t="inlineStr">
        <is>
          <t>IF(OR(E438="",AO438=""),"",IF(COUNT(AG438:AN438)=0,"",AO438-LOOKUP(2,1/(AG438:AN438&lt;&gt;""),AG438:AN438)))</t>
        </is>
      </c>
      <c r="BC438" s="38" t="inlineStr">
        <is>
          <t>IF(OR(E438="",AP438=""),"",IF(COUNT(AG438:AO438)=0,"",AP438-LOOKUP(2,1/(AG438:AO438&lt;&gt;""),AG438:AO438)))</t>
        </is>
      </c>
      <c r="BD438" s="38" t="inlineStr">
        <is>
          <t>IF(OR(E438="",AQ438=""),"",IF(COUNT(AG438:AP438)=0,"",AQ438-LOOKUP(2,1/(AG438:AP438&lt;&gt;""),AG438:AP438)))</t>
        </is>
      </c>
      <c r="BE438" s="38" t="inlineStr">
        <is>
          <t>IF(OR(E438="",AR438=""),"",IF(COUNT(AG438:AQ438)=0,"",AR438-LOOKUP(2,1/(AG438:AQ438&lt;&gt;""),AG438:AQ438)))</t>
        </is>
      </c>
      <c r="BF438" s="38" t="inlineStr">
        <is>
          <t>IF(OR(E438="",AS438=""),"",IF(COUNT(AG438:AR438)=0,"",AS438-LOOKUP(2,1/(AG438:AR438&lt;&gt;""),AG438:AR438)))</t>
        </is>
      </c>
      <c r="BG438" s="38" t="inlineStr">
        <is>
          <t>IF(OR(E438="",AT438=""),"",IF(COUNT(AG438:AS438)=0,"",AT438-LOOKUP(2,1/(AG438:AS438&lt;&gt;""),AG438:AS438)))</t>
        </is>
      </c>
      <c r="BH438" s="41" t="inlineStr">
        <is>
          <t>IF(G438="","All_Provinces",IFERROR(VLOOKUP(G438,'07_Lookups'!$A$4:$B$20,2,FALSE),"All_Provinces"))</t>
        </is>
      </c>
      <c r="BI438" s="41" t="inlineStr">
        <is>
          <t>IF(H438="","All_Districts",IFERROR(VLOOKUP(H438,'07_Lookups'!$E$4:$F$42,2,FALSE),"All_Districts"))</t>
        </is>
      </c>
    </row>
    <row r="439" ht="18" customHeight="1">
      <c r="A439" s="32" t="inlineStr">
        <is>
          <t>IF(E439="","",ROW()-3)</t>
        </is>
      </c>
      <c r="B439" s="42" t="n"/>
      <c r="C439" s="42" t="n"/>
      <c r="D439" s="42" t="n"/>
      <c r="E439" s="42" t="n"/>
      <c r="F439" s="42" t="n"/>
      <c r="G439" s="42" t="n"/>
      <c r="H439" s="42" t="n"/>
      <c r="I439" s="42" t="n"/>
      <c r="J439" s="42" t="n"/>
      <c r="K439" s="42" t="n"/>
      <c r="L439" s="42" t="n"/>
      <c r="M439" s="42" t="n"/>
      <c r="N439" s="42" t="n"/>
      <c r="O439" s="42" t="n"/>
      <c r="P439" s="42" t="n"/>
      <c r="Q439" s="43" t="n"/>
      <c r="R439" s="35" t="inlineStr">
        <is>
          <t>IF(AO439="","",AO439)</t>
        </is>
      </c>
      <c r="S439" s="44" t="n"/>
      <c r="T439" s="45" t="n"/>
      <c r="U439" s="44" t="n"/>
      <c r="V439" s="35" t="inlineStr">
        <is>
          <t>IF(U439&lt;&gt;"",U439,IF(OR(R439="",T439=""),"",EDATE(R439,T439)))</t>
        </is>
      </c>
      <c r="W439" s="44" t="n"/>
      <c r="X439" s="45" t="n"/>
      <c r="Y439" s="42" t="n"/>
      <c r="Z439" s="42" t="n"/>
      <c r="AA439" s="32" t="inlineStr">
        <is>
          <t>IF(E439="","",IF(COUNT(AG439:AT439)=0,IF(Y439="","Not started",Y439),SUBSTITUTE(LOOKUP(2,1/(AG439:AT439&lt;&gt;""),$AG$3:$AT$3),"Date: ","")))</t>
        </is>
      </c>
      <c r="AB439" s="38" t="inlineStr">
        <is>
          <t>IF(OR(E439="",COUNT(AG439:AT439)=0),"",TODAY()-LOOKUP(2,1/(AG439:AT439&lt;&gt;""),AG439:AT439))</t>
        </is>
      </c>
      <c r="AC439" s="38" t="inlineStr">
        <is>
          <t>IF(OR(E439="",COUNT(AG439:AT439)&lt;2),"",LOOKUP(2,1/(AG439:AT439&lt;&gt;""),AG439:AT439)-MIN(AG439:AT439))</t>
        </is>
      </c>
      <c r="AD439" s="38" t="inlineStr">
        <is>
          <t>IF(OR(AB439="",AA439="Not started",AA439=""),"",IFERROR(AB439-IF(VLOOKUP(AA439,'04_Status_Pipeline'!$B$3:$E$20,4,FALSE)="",0,VLOOKUP(AA439,'04_Status_Pipeline'!$B$3:$E$20,4,FALSE)),""))</t>
        </is>
      </c>
      <c r="AE439" s="32" t="inlineStr">
        <is>
          <t>IF(E439="","",IF(OR(Y439="Cancelled",AA439="Cancelled"),"Cancelled",IF(OR(AA439="Completed / Handover",W439&lt;&gt;"",X439&gt;=100),"Completed — on track",IF(L439="Remaining",IF(S439="",IF(V439="","No planned date",IF(TODAY()&gt;V439,"Behind — past planned date",IF(V439-TODAY()&lt;=30,"At risk — close to off track","On track"))),IF(TODAY()&gt;S439,"Behind — award date passed",IF(S439-TODAY()&lt;=30,"At risk — close to off track","On track"))),IF(V439="","No planned date",IF(AND(TODAY()&gt;V439,OR(X439="",X439&lt;100)),"Behind — past end date",IF(AND(R439&lt;&gt;"",V439&lt;&gt;"",X439&lt;&gt;"",(X439&lt;100),((TODAY()-R439)/MAX(V439-R439,1)*100)-X439&gt;15),"Behind — progress lag",IF(AND(V439-TODAY()&lt;=30,V439-TODAY()&gt;=0,OR(X439="",X439&lt;90)),"At risk — close to off track","On track"))))))))</t>
        </is>
      </c>
      <c r="AF439" s="38" t="inlineStr">
        <is>
          <t>IF(OR(E439="",AA439="Completed / Handover",AA439="Cancelled"),"",IF(L439="Remaining",IF(S439&lt;&gt;"",S439-TODAY(),IF(V439="","",V439-TODAY())),IF(V439="","",V439-TODAY())))</t>
        </is>
      </c>
      <c r="AG439" s="44" t="n"/>
      <c r="AH439" s="44" t="n"/>
      <c r="AI439" s="44" t="n"/>
      <c r="AJ439" s="44" t="n"/>
      <c r="AK439" s="44" t="n"/>
      <c r="AL439" s="44" t="n"/>
      <c r="AM439" s="44" t="n"/>
      <c r="AN439" s="44" t="n"/>
      <c r="AO439" s="44" t="n"/>
      <c r="AP439" s="44" t="n"/>
      <c r="AQ439" s="44" t="n"/>
      <c r="AR439" s="40" t="n"/>
      <c r="AS439" s="40" t="n"/>
      <c r="AT439" s="40" t="n"/>
      <c r="AU439" s="38" t="inlineStr">
        <is>
          <t>IF(OR(E439="",AH439=""),"",IF(COUNT(AG439:AG439)=0,"",AH439-LOOKUP(2,1/(AG439:AG439&lt;&gt;""),AG439:AG439)))</t>
        </is>
      </c>
      <c r="AV439" s="38" t="inlineStr">
        <is>
          <t>IF(OR(E439="",AI439=""),"",IF(COUNT(AG439:AH439)=0,"",AI439-LOOKUP(2,1/(AG439:AH439&lt;&gt;""),AG439:AH439)))</t>
        </is>
      </c>
      <c r="AW439" s="38" t="inlineStr">
        <is>
          <t>IF(OR(E439="",AJ439=""),"",IF(COUNT(AG439:AI439)=0,"",AJ439-LOOKUP(2,1/(AG439:AI439&lt;&gt;""),AG439:AI439)))</t>
        </is>
      </c>
      <c r="AX439" s="38" t="inlineStr">
        <is>
          <t>IF(OR(E439="",AK439=""),"",IF(COUNT(AG439:AJ439)=0,"",AK439-LOOKUP(2,1/(AG439:AJ439&lt;&gt;""),AG439:AJ439)))</t>
        </is>
      </c>
      <c r="AY439" s="38" t="inlineStr">
        <is>
          <t>IF(OR(E439="",AL439=""),"",IF(COUNT(AG439:AK439)=0,"",AL439-LOOKUP(2,1/(AG439:AK439&lt;&gt;""),AG439:AK439)))</t>
        </is>
      </c>
      <c r="AZ439" s="38" t="inlineStr">
        <is>
          <t>IF(OR(E439="",AM439=""),"",IF(COUNT(AG439:AL439)=0,"",AM439-LOOKUP(2,1/(AG439:AL439&lt;&gt;""),AG439:AL439)))</t>
        </is>
      </c>
      <c r="BA439" s="38" t="inlineStr">
        <is>
          <t>IF(OR(E439="",AN439=""),"",IF(COUNT(AG439:AM439)=0,"",AN439-LOOKUP(2,1/(AG439:AM439&lt;&gt;""),AG439:AM439)))</t>
        </is>
      </c>
      <c r="BB439" s="38" t="inlineStr">
        <is>
          <t>IF(OR(E439="",AO439=""),"",IF(COUNT(AG439:AN439)=0,"",AO439-LOOKUP(2,1/(AG439:AN439&lt;&gt;""),AG439:AN439)))</t>
        </is>
      </c>
      <c r="BC439" s="38" t="inlineStr">
        <is>
          <t>IF(OR(E439="",AP439=""),"",IF(COUNT(AG439:AO439)=0,"",AP439-LOOKUP(2,1/(AG439:AO439&lt;&gt;""),AG439:AO439)))</t>
        </is>
      </c>
      <c r="BD439" s="38" t="inlineStr">
        <is>
          <t>IF(OR(E439="",AQ439=""),"",IF(COUNT(AG439:AP439)=0,"",AQ439-LOOKUP(2,1/(AG439:AP439&lt;&gt;""),AG439:AP439)))</t>
        </is>
      </c>
      <c r="BE439" s="38" t="inlineStr">
        <is>
          <t>IF(OR(E439="",AR439=""),"",IF(COUNT(AG439:AQ439)=0,"",AR439-LOOKUP(2,1/(AG439:AQ439&lt;&gt;""),AG439:AQ439)))</t>
        </is>
      </c>
      <c r="BF439" s="38" t="inlineStr">
        <is>
          <t>IF(OR(E439="",AS439=""),"",IF(COUNT(AG439:AR439)=0,"",AS439-LOOKUP(2,1/(AG439:AR439&lt;&gt;""),AG439:AR439)))</t>
        </is>
      </c>
      <c r="BG439" s="38" t="inlineStr">
        <is>
          <t>IF(OR(E439="",AT439=""),"",IF(COUNT(AG439:AS439)=0,"",AT439-LOOKUP(2,1/(AG439:AS439&lt;&gt;""),AG439:AS439)))</t>
        </is>
      </c>
      <c r="BH439" s="41" t="inlineStr">
        <is>
          <t>IF(G439="","All_Provinces",IFERROR(VLOOKUP(G439,'07_Lookups'!$A$4:$B$20,2,FALSE),"All_Provinces"))</t>
        </is>
      </c>
      <c r="BI439" s="41" t="inlineStr">
        <is>
          <t>IF(H439="","All_Districts",IFERROR(VLOOKUP(H439,'07_Lookups'!$E$4:$F$42,2,FALSE),"All_Districts"))</t>
        </is>
      </c>
    </row>
    <row r="440" ht="18" customHeight="1">
      <c r="A440" s="32" t="inlineStr">
        <is>
          <t>IF(E440="","",ROW()-3)</t>
        </is>
      </c>
      <c r="B440" s="33" t="n"/>
      <c r="C440" s="33" t="n"/>
      <c r="D440" s="33" t="n"/>
      <c r="E440" s="33" t="n"/>
      <c r="F440" s="33" t="n"/>
      <c r="G440" s="33" t="n"/>
      <c r="H440" s="33" t="n"/>
      <c r="I440" s="33" t="n"/>
      <c r="J440" s="33" t="n"/>
      <c r="K440" s="33" t="n"/>
      <c r="L440" s="33" t="n"/>
      <c r="M440" s="33" t="n"/>
      <c r="N440" s="33" t="n"/>
      <c r="O440" s="33" t="n"/>
      <c r="P440" s="33" t="n"/>
      <c r="Q440" s="34" t="n"/>
      <c r="R440" s="35" t="inlineStr">
        <is>
          <t>IF(AO440="","",AO440)</t>
        </is>
      </c>
      <c r="S440" s="36" t="n"/>
      <c r="T440" s="37" t="n"/>
      <c r="U440" s="36" t="n"/>
      <c r="V440" s="35" t="inlineStr">
        <is>
          <t>IF(U440&lt;&gt;"",U440,IF(OR(R440="",T440=""),"",EDATE(R440,T440)))</t>
        </is>
      </c>
      <c r="W440" s="36" t="n"/>
      <c r="X440" s="37" t="n"/>
      <c r="Y440" s="33" t="n"/>
      <c r="Z440" s="33" t="n"/>
      <c r="AA440" s="32" t="inlineStr">
        <is>
          <t>IF(E440="","",IF(COUNT(AG440:AT440)=0,IF(Y440="","Not started",Y440),SUBSTITUTE(LOOKUP(2,1/(AG440:AT440&lt;&gt;""),$AG$3:$AT$3),"Date: ","")))</t>
        </is>
      </c>
      <c r="AB440" s="38" t="inlineStr">
        <is>
          <t>IF(OR(E440="",COUNT(AG440:AT440)=0),"",TODAY()-LOOKUP(2,1/(AG440:AT440&lt;&gt;""),AG440:AT440))</t>
        </is>
      </c>
      <c r="AC440" s="38" t="inlineStr">
        <is>
          <t>IF(OR(E440="",COUNT(AG440:AT440)&lt;2),"",LOOKUP(2,1/(AG440:AT440&lt;&gt;""),AG440:AT440)-MIN(AG440:AT440))</t>
        </is>
      </c>
      <c r="AD440" s="38" t="inlineStr">
        <is>
          <t>IF(OR(AB440="",AA440="Not started",AA440=""),"",IFERROR(AB440-IF(VLOOKUP(AA440,'04_Status_Pipeline'!$B$3:$E$20,4,FALSE)="",0,VLOOKUP(AA440,'04_Status_Pipeline'!$B$3:$E$20,4,FALSE)),""))</t>
        </is>
      </c>
      <c r="AE440" s="32" t="inlineStr">
        <is>
          <t>IF(E440="","",IF(OR(Y440="Cancelled",AA440="Cancelled"),"Cancelled",IF(OR(AA440="Completed / Handover",W440&lt;&gt;"",X440&gt;=100),"Completed — on track",IF(L440="Remaining",IF(S440="",IF(V440="","No planned date",IF(TODAY()&gt;V440,"Behind — past planned date",IF(V440-TODAY()&lt;=30,"At risk — close to off track","On track"))),IF(TODAY()&gt;S440,"Behind — award date passed",IF(S440-TODAY()&lt;=30,"At risk — close to off track","On track"))),IF(V440="","No planned date",IF(AND(TODAY()&gt;V440,OR(X440="",X440&lt;100)),"Behind — past end date",IF(AND(R440&lt;&gt;"",V440&lt;&gt;"",X440&lt;&gt;"",(X440&lt;100),((TODAY()-R440)/MAX(V440-R440,1)*100)-X440&gt;15),"Behind — progress lag",IF(AND(V440-TODAY()&lt;=30,V440-TODAY()&gt;=0,OR(X440="",X440&lt;90)),"At risk — close to off track","On track"))))))))</t>
        </is>
      </c>
      <c r="AF440" s="38" t="inlineStr">
        <is>
          <t>IF(OR(E440="",AA440="Completed / Handover",AA440="Cancelled"),"",IF(L440="Remaining",IF(S440&lt;&gt;"",S440-TODAY(),IF(V440="","",V440-TODAY())),IF(V440="","",V440-TODAY())))</t>
        </is>
      </c>
      <c r="AG440" s="36" t="n"/>
      <c r="AH440" s="36" t="n"/>
      <c r="AI440" s="36" t="n"/>
      <c r="AJ440" s="36" t="n"/>
      <c r="AK440" s="36" t="n"/>
      <c r="AL440" s="36" t="n"/>
      <c r="AM440" s="36" t="n"/>
      <c r="AN440" s="36" t="n"/>
      <c r="AO440" s="36" t="n"/>
      <c r="AP440" s="36" t="n"/>
      <c r="AQ440" s="36" t="n"/>
      <c r="AR440" s="40" t="n"/>
      <c r="AS440" s="40" t="n"/>
      <c r="AT440" s="40" t="n"/>
      <c r="AU440" s="38" t="inlineStr">
        <is>
          <t>IF(OR(E440="",AH440=""),"",IF(COUNT(AG440:AG440)=0,"",AH440-LOOKUP(2,1/(AG440:AG440&lt;&gt;""),AG440:AG440)))</t>
        </is>
      </c>
      <c r="AV440" s="38" t="inlineStr">
        <is>
          <t>IF(OR(E440="",AI440=""),"",IF(COUNT(AG440:AH440)=0,"",AI440-LOOKUP(2,1/(AG440:AH440&lt;&gt;""),AG440:AH440)))</t>
        </is>
      </c>
      <c r="AW440" s="38" t="inlineStr">
        <is>
          <t>IF(OR(E440="",AJ440=""),"",IF(COUNT(AG440:AI440)=0,"",AJ440-LOOKUP(2,1/(AG440:AI440&lt;&gt;""),AG440:AI440)))</t>
        </is>
      </c>
      <c r="AX440" s="38" t="inlineStr">
        <is>
          <t>IF(OR(E440="",AK440=""),"",IF(COUNT(AG440:AJ440)=0,"",AK440-LOOKUP(2,1/(AG440:AJ440&lt;&gt;""),AG440:AJ440)))</t>
        </is>
      </c>
      <c r="AY440" s="38" t="inlineStr">
        <is>
          <t>IF(OR(E440="",AL440=""),"",IF(COUNT(AG440:AK440)=0,"",AL440-LOOKUP(2,1/(AG440:AK440&lt;&gt;""),AG440:AK440)))</t>
        </is>
      </c>
      <c r="AZ440" s="38" t="inlineStr">
        <is>
          <t>IF(OR(E440="",AM440=""),"",IF(COUNT(AG440:AL440)=0,"",AM440-LOOKUP(2,1/(AG440:AL440&lt;&gt;""),AG440:AL440)))</t>
        </is>
      </c>
      <c r="BA440" s="38" t="inlineStr">
        <is>
          <t>IF(OR(E440="",AN440=""),"",IF(COUNT(AG440:AM440)=0,"",AN440-LOOKUP(2,1/(AG440:AM440&lt;&gt;""),AG440:AM440)))</t>
        </is>
      </c>
      <c r="BB440" s="38" t="inlineStr">
        <is>
          <t>IF(OR(E440="",AO440=""),"",IF(COUNT(AG440:AN440)=0,"",AO440-LOOKUP(2,1/(AG440:AN440&lt;&gt;""),AG440:AN440)))</t>
        </is>
      </c>
      <c r="BC440" s="38" t="inlineStr">
        <is>
          <t>IF(OR(E440="",AP440=""),"",IF(COUNT(AG440:AO440)=0,"",AP440-LOOKUP(2,1/(AG440:AO440&lt;&gt;""),AG440:AO440)))</t>
        </is>
      </c>
      <c r="BD440" s="38" t="inlineStr">
        <is>
          <t>IF(OR(E440="",AQ440=""),"",IF(COUNT(AG440:AP440)=0,"",AQ440-LOOKUP(2,1/(AG440:AP440&lt;&gt;""),AG440:AP440)))</t>
        </is>
      </c>
      <c r="BE440" s="38" t="inlineStr">
        <is>
          <t>IF(OR(E440="",AR440=""),"",IF(COUNT(AG440:AQ440)=0,"",AR440-LOOKUP(2,1/(AG440:AQ440&lt;&gt;""),AG440:AQ440)))</t>
        </is>
      </c>
      <c r="BF440" s="38" t="inlineStr">
        <is>
          <t>IF(OR(E440="",AS440=""),"",IF(COUNT(AG440:AR440)=0,"",AS440-LOOKUP(2,1/(AG440:AR440&lt;&gt;""),AG440:AR440)))</t>
        </is>
      </c>
      <c r="BG440" s="38" t="inlineStr">
        <is>
          <t>IF(OR(E440="",AT440=""),"",IF(COUNT(AG440:AS440)=0,"",AT440-LOOKUP(2,1/(AG440:AS440&lt;&gt;""),AG440:AS440)))</t>
        </is>
      </c>
      <c r="BH440" s="41" t="inlineStr">
        <is>
          <t>IF(G440="","All_Provinces",IFERROR(VLOOKUP(G440,'07_Lookups'!$A$4:$B$20,2,FALSE),"All_Provinces"))</t>
        </is>
      </c>
      <c r="BI440" s="41" t="inlineStr">
        <is>
          <t>IF(H440="","All_Districts",IFERROR(VLOOKUP(H440,'07_Lookups'!$E$4:$F$42,2,FALSE),"All_Districts"))</t>
        </is>
      </c>
    </row>
    <row r="441" ht="18" customHeight="1">
      <c r="A441" s="32" t="inlineStr">
        <is>
          <t>IF(E441="","",ROW()-3)</t>
        </is>
      </c>
      <c r="B441" s="42" t="n"/>
      <c r="C441" s="42" t="n"/>
      <c r="D441" s="42" t="n"/>
      <c r="E441" s="42" t="n"/>
      <c r="F441" s="42" t="n"/>
      <c r="G441" s="42" t="n"/>
      <c r="H441" s="42" t="n"/>
      <c r="I441" s="42" t="n"/>
      <c r="J441" s="42" t="n"/>
      <c r="K441" s="42" t="n"/>
      <c r="L441" s="42" t="n"/>
      <c r="M441" s="42" t="n"/>
      <c r="N441" s="42" t="n"/>
      <c r="O441" s="42" t="n"/>
      <c r="P441" s="42" t="n"/>
      <c r="Q441" s="43" t="n"/>
      <c r="R441" s="35" t="inlineStr">
        <is>
          <t>IF(AO441="","",AO441)</t>
        </is>
      </c>
      <c r="S441" s="44" t="n"/>
      <c r="T441" s="45" t="n"/>
      <c r="U441" s="44" t="n"/>
      <c r="V441" s="35" t="inlineStr">
        <is>
          <t>IF(U441&lt;&gt;"",U441,IF(OR(R441="",T441=""),"",EDATE(R441,T441)))</t>
        </is>
      </c>
      <c r="W441" s="44" t="n"/>
      <c r="X441" s="45" t="n"/>
      <c r="Y441" s="42" t="n"/>
      <c r="Z441" s="42" t="n"/>
      <c r="AA441" s="32" t="inlineStr">
        <is>
          <t>IF(E441="","",IF(COUNT(AG441:AT441)=0,IF(Y441="","Not started",Y441),SUBSTITUTE(LOOKUP(2,1/(AG441:AT441&lt;&gt;""),$AG$3:$AT$3),"Date: ","")))</t>
        </is>
      </c>
      <c r="AB441" s="38" t="inlineStr">
        <is>
          <t>IF(OR(E441="",COUNT(AG441:AT441)=0),"",TODAY()-LOOKUP(2,1/(AG441:AT441&lt;&gt;""),AG441:AT441))</t>
        </is>
      </c>
      <c r="AC441" s="38" t="inlineStr">
        <is>
          <t>IF(OR(E441="",COUNT(AG441:AT441)&lt;2),"",LOOKUP(2,1/(AG441:AT441&lt;&gt;""),AG441:AT441)-MIN(AG441:AT441))</t>
        </is>
      </c>
      <c r="AD441" s="38" t="inlineStr">
        <is>
          <t>IF(OR(AB441="",AA441="Not started",AA441=""),"",IFERROR(AB441-IF(VLOOKUP(AA441,'04_Status_Pipeline'!$B$3:$E$20,4,FALSE)="",0,VLOOKUP(AA441,'04_Status_Pipeline'!$B$3:$E$20,4,FALSE)),""))</t>
        </is>
      </c>
      <c r="AE441" s="32" t="inlineStr">
        <is>
          <t>IF(E441="","",IF(OR(Y441="Cancelled",AA441="Cancelled"),"Cancelled",IF(OR(AA441="Completed / Handover",W441&lt;&gt;"",X441&gt;=100),"Completed — on track",IF(L441="Remaining",IF(S441="",IF(V441="","No planned date",IF(TODAY()&gt;V441,"Behind — past planned date",IF(V441-TODAY()&lt;=30,"At risk — close to off track","On track"))),IF(TODAY()&gt;S441,"Behind — award date passed",IF(S441-TODAY()&lt;=30,"At risk — close to off track","On track"))),IF(V441="","No planned date",IF(AND(TODAY()&gt;V441,OR(X441="",X441&lt;100)),"Behind — past end date",IF(AND(R441&lt;&gt;"",V441&lt;&gt;"",X441&lt;&gt;"",(X441&lt;100),((TODAY()-R441)/MAX(V441-R441,1)*100)-X441&gt;15),"Behind — progress lag",IF(AND(V441-TODAY()&lt;=30,V441-TODAY()&gt;=0,OR(X441="",X441&lt;90)),"At risk — close to off track","On track"))))))))</t>
        </is>
      </c>
      <c r="AF441" s="38" t="inlineStr">
        <is>
          <t>IF(OR(E441="",AA441="Completed / Handover",AA441="Cancelled"),"",IF(L441="Remaining",IF(S441&lt;&gt;"",S441-TODAY(),IF(V441="","",V441-TODAY())),IF(V441="","",V441-TODAY())))</t>
        </is>
      </c>
      <c r="AG441" s="44" t="n"/>
      <c r="AH441" s="44" t="n"/>
      <c r="AI441" s="44" t="n"/>
      <c r="AJ441" s="44" t="n"/>
      <c r="AK441" s="44" t="n"/>
      <c r="AL441" s="44" t="n"/>
      <c r="AM441" s="44" t="n"/>
      <c r="AN441" s="44" t="n"/>
      <c r="AO441" s="44" t="n"/>
      <c r="AP441" s="44" t="n"/>
      <c r="AQ441" s="44" t="n"/>
      <c r="AR441" s="40" t="n"/>
      <c r="AS441" s="40" t="n"/>
      <c r="AT441" s="40" t="n"/>
      <c r="AU441" s="38" t="inlineStr">
        <is>
          <t>IF(OR(E441="",AH441=""),"",IF(COUNT(AG441:AG441)=0,"",AH441-LOOKUP(2,1/(AG441:AG441&lt;&gt;""),AG441:AG441)))</t>
        </is>
      </c>
      <c r="AV441" s="38" t="inlineStr">
        <is>
          <t>IF(OR(E441="",AI441=""),"",IF(COUNT(AG441:AH441)=0,"",AI441-LOOKUP(2,1/(AG441:AH441&lt;&gt;""),AG441:AH441)))</t>
        </is>
      </c>
      <c r="AW441" s="38" t="inlineStr">
        <is>
          <t>IF(OR(E441="",AJ441=""),"",IF(COUNT(AG441:AI441)=0,"",AJ441-LOOKUP(2,1/(AG441:AI441&lt;&gt;""),AG441:AI441)))</t>
        </is>
      </c>
      <c r="AX441" s="38" t="inlineStr">
        <is>
          <t>IF(OR(E441="",AK441=""),"",IF(COUNT(AG441:AJ441)=0,"",AK441-LOOKUP(2,1/(AG441:AJ441&lt;&gt;""),AG441:AJ441)))</t>
        </is>
      </c>
      <c r="AY441" s="38" t="inlineStr">
        <is>
          <t>IF(OR(E441="",AL441=""),"",IF(COUNT(AG441:AK441)=0,"",AL441-LOOKUP(2,1/(AG441:AK441&lt;&gt;""),AG441:AK441)))</t>
        </is>
      </c>
      <c r="AZ441" s="38" t="inlineStr">
        <is>
          <t>IF(OR(E441="",AM441=""),"",IF(COUNT(AG441:AL441)=0,"",AM441-LOOKUP(2,1/(AG441:AL441&lt;&gt;""),AG441:AL441)))</t>
        </is>
      </c>
      <c r="BA441" s="38" t="inlineStr">
        <is>
          <t>IF(OR(E441="",AN441=""),"",IF(COUNT(AG441:AM441)=0,"",AN441-LOOKUP(2,1/(AG441:AM441&lt;&gt;""),AG441:AM441)))</t>
        </is>
      </c>
      <c r="BB441" s="38" t="inlineStr">
        <is>
          <t>IF(OR(E441="",AO441=""),"",IF(COUNT(AG441:AN441)=0,"",AO441-LOOKUP(2,1/(AG441:AN441&lt;&gt;""),AG441:AN441)))</t>
        </is>
      </c>
      <c r="BC441" s="38" t="inlineStr">
        <is>
          <t>IF(OR(E441="",AP441=""),"",IF(COUNT(AG441:AO441)=0,"",AP441-LOOKUP(2,1/(AG441:AO441&lt;&gt;""),AG441:AO441)))</t>
        </is>
      </c>
      <c r="BD441" s="38" t="inlineStr">
        <is>
          <t>IF(OR(E441="",AQ441=""),"",IF(COUNT(AG441:AP441)=0,"",AQ441-LOOKUP(2,1/(AG441:AP441&lt;&gt;""),AG441:AP441)))</t>
        </is>
      </c>
      <c r="BE441" s="38" t="inlineStr">
        <is>
          <t>IF(OR(E441="",AR441=""),"",IF(COUNT(AG441:AQ441)=0,"",AR441-LOOKUP(2,1/(AG441:AQ441&lt;&gt;""),AG441:AQ441)))</t>
        </is>
      </c>
      <c r="BF441" s="38" t="inlineStr">
        <is>
          <t>IF(OR(E441="",AS441=""),"",IF(COUNT(AG441:AR441)=0,"",AS441-LOOKUP(2,1/(AG441:AR441&lt;&gt;""),AG441:AR441)))</t>
        </is>
      </c>
      <c r="BG441" s="38" t="inlineStr">
        <is>
          <t>IF(OR(E441="",AT441=""),"",IF(COUNT(AG441:AS441)=0,"",AT441-LOOKUP(2,1/(AG441:AS441&lt;&gt;""),AG441:AS441)))</t>
        </is>
      </c>
      <c r="BH441" s="41" t="inlineStr">
        <is>
          <t>IF(G441="","All_Provinces",IFERROR(VLOOKUP(G441,'07_Lookups'!$A$4:$B$20,2,FALSE),"All_Provinces"))</t>
        </is>
      </c>
      <c r="BI441" s="41" t="inlineStr">
        <is>
          <t>IF(H441="","All_Districts",IFERROR(VLOOKUP(H441,'07_Lookups'!$E$4:$F$42,2,FALSE),"All_Districts"))</t>
        </is>
      </c>
    </row>
    <row r="442" ht="18" customHeight="1">
      <c r="A442" s="32" t="inlineStr">
        <is>
          <t>IF(E442="","",ROW()-3)</t>
        </is>
      </c>
      <c r="B442" s="33" t="n"/>
      <c r="C442" s="33" t="n"/>
      <c r="D442" s="33" t="n"/>
      <c r="E442" s="33" t="n"/>
      <c r="F442" s="33" t="n"/>
      <c r="G442" s="33" t="n"/>
      <c r="H442" s="33" t="n"/>
      <c r="I442" s="33" t="n"/>
      <c r="J442" s="33" t="n"/>
      <c r="K442" s="33" t="n"/>
      <c r="L442" s="33" t="n"/>
      <c r="M442" s="33" t="n"/>
      <c r="N442" s="33" t="n"/>
      <c r="O442" s="33" t="n"/>
      <c r="P442" s="33" t="n"/>
      <c r="Q442" s="34" t="n"/>
      <c r="R442" s="35" t="inlineStr">
        <is>
          <t>IF(AO442="","",AO442)</t>
        </is>
      </c>
      <c r="S442" s="36" t="n"/>
      <c r="T442" s="37" t="n"/>
      <c r="U442" s="36" t="n"/>
      <c r="V442" s="35" t="inlineStr">
        <is>
          <t>IF(U442&lt;&gt;"",U442,IF(OR(R442="",T442=""),"",EDATE(R442,T442)))</t>
        </is>
      </c>
      <c r="W442" s="36" t="n"/>
      <c r="X442" s="37" t="n"/>
      <c r="Y442" s="33" t="n"/>
      <c r="Z442" s="33" t="n"/>
      <c r="AA442" s="32" t="inlineStr">
        <is>
          <t>IF(E442="","",IF(COUNT(AG442:AT442)=0,IF(Y442="","Not started",Y442),SUBSTITUTE(LOOKUP(2,1/(AG442:AT442&lt;&gt;""),$AG$3:$AT$3),"Date: ","")))</t>
        </is>
      </c>
      <c r="AB442" s="38" t="inlineStr">
        <is>
          <t>IF(OR(E442="",COUNT(AG442:AT442)=0),"",TODAY()-LOOKUP(2,1/(AG442:AT442&lt;&gt;""),AG442:AT442))</t>
        </is>
      </c>
      <c r="AC442" s="38" t="inlineStr">
        <is>
          <t>IF(OR(E442="",COUNT(AG442:AT442)&lt;2),"",LOOKUP(2,1/(AG442:AT442&lt;&gt;""),AG442:AT442)-MIN(AG442:AT442))</t>
        </is>
      </c>
      <c r="AD442" s="38" t="inlineStr">
        <is>
          <t>IF(OR(AB442="",AA442="Not started",AA442=""),"",IFERROR(AB442-IF(VLOOKUP(AA442,'04_Status_Pipeline'!$B$3:$E$20,4,FALSE)="",0,VLOOKUP(AA442,'04_Status_Pipeline'!$B$3:$E$20,4,FALSE)),""))</t>
        </is>
      </c>
      <c r="AE442" s="32" t="inlineStr">
        <is>
          <t>IF(E442="","",IF(OR(Y442="Cancelled",AA442="Cancelled"),"Cancelled",IF(OR(AA442="Completed / Handover",W442&lt;&gt;"",X442&gt;=100),"Completed — on track",IF(L442="Remaining",IF(S442="",IF(V442="","No planned date",IF(TODAY()&gt;V442,"Behind — past planned date",IF(V442-TODAY()&lt;=30,"At risk — close to off track","On track"))),IF(TODAY()&gt;S442,"Behind — award date passed",IF(S442-TODAY()&lt;=30,"At risk — close to off track","On track"))),IF(V442="","No planned date",IF(AND(TODAY()&gt;V442,OR(X442="",X442&lt;100)),"Behind — past end date",IF(AND(R442&lt;&gt;"",V442&lt;&gt;"",X442&lt;&gt;"",(X442&lt;100),((TODAY()-R442)/MAX(V442-R442,1)*100)-X442&gt;15),"Behind — progress lag",IF(AND(V442-TODAY()&lt;=30,V442-TODAY()&gt;=0,OR(X442="",X442&lt;90)),"At risk — close to off track","On track"))))))))</t>
        </is>
      </c>
      <c r="AF442" s="38" t="inlineStr">
        <is>
          <t>IF(OR(E442="",AA442="Completed / Handover",AA442="Cancelled"),"",IF(L442="Remaining",IF(S442&lt;&gt;"",S442-TODAY(),IF(V442="","",V442-TODAY())),IF(V442="","",V442-TODAY())))</t>
        </is>
      </c>
      <c r="AG442" s="36" t="n"/>
      <c r="AH442" s="36" t="n"/>
      <c r="AI442" s="36" t="n"/>
      <c r="AJ442" s="36" t="n"/>
      <c r="AK442" s="36" t="n"/>
      <c r="AL442" s="36" t="n"/>
      <c r="AM442" s="36" t="n"/>
      <c r="AN442" s="36" t="n"/>
      <c r="AO442" s="36" t="n"/>
      <c r="AP442" s="36" t="n"/>
      <c r="AQ442" s="36" t="n"/>
      <c r="AR442" s="40" t="n"/>
      <c r="AS442" s="40" t="n"/>
      <c r="AT442" s="40" t="n"/>
      <c r="AU442" s="38" t="inlineStr">
        <is>
          <t>IF(OR(E442="",AH442=""),"",IF(COUNT(AG442:AG442)=0,"",AH442-LOOKUP(2,1/(AG442:AG442&lt;&gt;""),AG442:AG442)))</t>
        </is>
      </c>
      <c r="AV442" s="38" t="inlineStr">
        <is>
          <t>IF(OR(E442="",AI442=""),"",IF(COUNT(AG442:AH442)=0,"",AI442-LOOKUP(2,1/(AG442:AH442&lt;&gt;""),AG442:AH442)))</t>
        </is>
      </c>
      <c r="AW442" s="38" t="inlineStr">
        <is>
          <t>IF(OR(E442="",AJ442=""),"",IF(COUNT(AG442:AI442)=0,"",AJ442-LOOKUP(2,1/(AG442:AI442&lt;&gt;""),AG442:AI442)))</t>
        </is>
      </c>
      <c r="AX442" s="38" t="inlineStr">
        <is>
          <t>IF(OR(E442="",AK442=""),"",IF(COUNT(AG442:AJ442)=0,"",AK442-LOOKUP(2,1/(AG442:AJ442&lt;&gt;""),AG442:AJ442)))</t>
        </is>
      </c>
      <c r="AY442" s="38" t="inlineStr">
        <is>
          <t>IF(OR(E442="",AL442=""),"",IF(COUNT(AG442:AK442)=0,"",AL442-LOOKUP(2,1/(AG442:AK442&lt;&gt;""),AG442:AK442)))</t>
        </is>
      </c>
      <c r="AZ442" s="38" t="inlineStr">
        <is>
          <t>IF(OR(E442="",AM442=""),"",IF(COUNT(AG442:AL442)=0,"",AM442-LOOKUP(2,1/(AG442:AL442&lt;&gt;""),AG442:AL442)))</t>
        </is>
      </c>
      <c r="BA442" s="38" t="inlineStr">
        <is>
          <t>IF(OR(E442="",AN442=""),"",IF(COUNT(AG442:AM442)=0,"",AN442-LOOKUP(2,1/(AG442:AM442&lt;&gt;""),AG442:AM442)))</t>
        </is>
      </c>
      <c r="BB442" s="38" t="inlineStr">
        <is>
          <t>IF(OR(E442="",AO442=""),"",IF(COUNT(AG442:AN442)=0,"",AO442-LOOKUP(2,1/(AG442:AN442&lt;&gt;""),AG442:AN442)))</t>
        </is>
      </c>
      <c r="BC442" s="38" t="inlineStr">
        <is>
          <t>IF(OR(E442="",AP442=""),"",IF(COUNT(AG442:AO442)=0,"",AP442-LOOKUP(2,1/(AG442:AO442&lt;&gt;""),AG442:AO442)))</t>
        </is>
      </c>
      <c r="BD442" s="38" t="inlineStr">
        <is>
          <t>IF(OR(E442="",AQ442=""),"",IF(COUNT(AG442:AP442)=0,"",AQ442-LOOKUP(2,1/(AG442:AP442&lt;&gt;""),AG442:AP442)))</t>
        </is>
      </c>
      <c r="BE442" s="38" t="inlineStr">
        <is>
          <t>IF(OR(E442="",AR442=""),"",IF(COUNT(AG442:AQ442)=0,"",AR442-LOOKUP(2,1/(AG442:AQ442&lt;&gt;""),AG442:AQ442)))</t>
        </is>
      </c>
      <c r="BF442" s="38" t="inlineStr">
        <is>
          <t>IF(OR(E442="",AS442=""),"",IF(COUNT(AG442:AR442)=0,"",AS442-LOOKUP(2,1/(AG442:AR442&lt;&gt;""),AG442:AR442)))</t>
        </is>
      </c>
      <c r="BG442" s="38" t="inlineStr">
        <is>
          <t>IF(OR(E442="",AT442=""),"",IF(COUNT(AG442:AS442)=0,"",AT442-LOOKUP(2,1/(AG442:AS442&lt;&gt;""),AG442:AS442)))</t>
        </is>
      </c>
      <c r="BH442" s="41" t="inlineStr">
        <is>
          <t>IF(G442="","All_Provinces",IFERROR(VLOOKUP(G442,'07_Lookups'!$A$4:$B$20,2,FALSE),"All_Provinces"))</t>
        </is>
      </c>
      <c r="BI442" s="41" t="inlineStr">
        <is>
          <t>IF(H442="","All_Districts",IFERROR(VLOOKUP(H442,'07_Lookups'!$E$4:$F$42,2,FALSE),"All_Districts"))</t>
        </is>
      </c>
    </row>
    <row r="443" ht="18" customHeight="1">
      <c r="A443" s="32" t="inlineStr">
        <is>
          <t>IF(E443="","",ROW()-3)</t>
        </is>
      </c>
      <c r="B443" s="42" t="n"/>
      <c r="C443" s="42" t="n"/>
      <c r="D443" s="42" t="n"/>
      <c r="E443" s="42" t="n"/>
      <c r="F443" s="42" t="n"/>
      <c r="G443" s="42" t="n"/>
      <c r="H443" s="42" t="n"/>
      <c r="I443" s="42" t="n"/>
      <c r="J443" s="42" t="n"/>
      <c r="K443" s="42" t="n"/>
      <c r="L443" s="42" t="n"/>
      <c r="M443" s="42" t="n"/>
      <c r="N443" s="42" t="n"/>
      <c r="O443" s="42" t="n"/>
      <c r="P443" s="42" t="n"/>
      <c r="Q443" s="43" t="n"/>
      <c r="R443" s="35" t="inlineStr">
        <is>
          <t>IF(AO443="","",AO443)</t>
        </is>
      </c>
      <c r="S443" s="44" t="n"/>
      <c r="T443" s="45" t="n"/>
      <c r="U443" s="44" t="n"/>
      <c r="V443" s="35" t="inlineStr">
        <is>
          <t>IF(U443&lt;&gt;"",U443,IF(OR(R443="",T443=""),"",EDATE(R443,T443)))</t>
        </is>
      </c>
      <c r="W443" s="44" t="n"/>
      <c r="X443" s="45" t="n"/>
      <c r="Y443" s="42" t="n"/>
      <c r="Z443" s="42" t="n"/>
      <c r="AA443" s="32" t="inlineStr">
        <is>
          <t>IF(E443="","",IF(COUNT(AG443:AT443)=0,IF(Y443="","Not started",Y443),SUBSTITUTE(LOOKUP(2,1/(AG443:AT443&lt;&gt;""),$AG$3:$AT$3),"Date: ","")))</t>
        </is>
      </c>
      <c r="AB443" s="38" t="inlineStr">
        <is>
          <t>IF(OR(E443="",COUNT(AG443:AT443)=0),"",TODAY()-LOOKUP(2,1/(AG443:AT443&lt;&gt;""),AG443:AT443))</t>
        </is>
      </c>
      <c r="AC443" s="38" t="inlineStr">
        <is>
          <t>IF(OR(E443="",COUNT(AG443:AT443)&lt;2),"",LOOKUP(2,1/(AG443:AT443&lt;&gt;""),AG443:AT443)-MIN(AG443:AT443))</t>
        </is>
      </c>
      <c r="AD443" s="38" t="inlineStr">
        <is>
          <t>IF(OR(AB443="",AA443="Not started",AA443=""),"",IFERROR(AB443-IF(VLOOKUP(AA443,'04_Status_Pipeline'!$B$3:$E$20,4,FALSE)="",0,VLOOKUP(AA443,'04_Status_Pipeline'!$B$3:$E$20,4,FALSE)),""))</t>
        </is>
      </c>
      <c r="AE443" s="32" t="inlineStr">
        <is>
          <t>IF(E443="","",IF(OR(Y443="Cancelled",AA443="Cancelled"),"Cancelled",IF(OR(AA443="Completed / Handover",W443&lt;&gt;"",X443&gt;=100),"Completed — on track",IF(L443="Remaining",IF(S443="",IF(V443="","No planned date",IF(TODAY()&gt;V443,"Behind — past planned date",IF(V443-TODAY()&lt;=30,"At risk — close to off track","On track"))),IF(TODAY()&gt;S443,"Behind — award date passed",IF(S443-TODAY()&lt;=30,"At risk — close to off track","On track"))),IF(V443="","No planned date",IF(AND(TODAY()&gt;V443,OR(X443="",X443&lt;100)),"Behind — past end date",IF(AND(R443&lt;&gt;"",V443&lt;&gt;"",X443&lt;&gt;"",(X443&lt;100),((TODAY()-R443)/MAX(V443-R443,1)*100)-X443&gt;15),"Behind — progress lag",IF(AND(V443-TODAY()&lt;=30,V443-TODAY()&gt;=0,OR(X443="",X443&lt;90)),"At risk — close to off track","On track"))))))))</t>
        </is>
      </c>
      <c r="AF443" s="38" t="inlineStr">
        <is>
          <t>IF(OR(E443="",AA443="Completed / Handover",AA443="Cancelled"),"",IF(L443="Remaining",IF(S443&lt;&gt;"",S443-TODAY(),IF(V443="","",V443-TODAY())),IF(V443="","",V443-TODAY())))</t>
        </is>
      </c>
      <c r="AG443" s="44" t="n"/>
      <c r="AH443" s="44" t="n"/>
      <c r="AI443" s="44" t="n"/>
      <c r="AJ443" s="44" t="n"/>
      <c r="AK443" s="44" t="n"/>
      <c r="AL443" s="44" t="n"/>
      <c r="AM443" s="44" t="n"/>
      <c r="AN443" s="44" t="n"/>
      <c r="AO443" s="44" t="n"/>
      <c r="AP443" s="44" t="n"/>
      <c r="AQ443" s="44" t="n"/>
      <c r="AR443" s="40" t="n"/>
      <c r="AS443" s="40" t="n"/>
      <c r="AT443" s="40" t="n"/>
      <c r="AU443" s="38" t="inlineStr">
        <is>
          <t>IF(OR(E443="",AH443=""),"",IF(COUNT(AG443:AG443)=0,"",AH443-LOOKUP(2,1/(AG443:AG443&lt;&gt;""),AG443:AG443)))</t>
        </is>
      </c>
      <c r="AV443" s="38" t="inlineStr">
        <is>
          <t>IF(OR(E443="",AI443=""),"",IF(COUNT(AG443:AH443)=0,"",AI443-LOOKUP(2,1/(AG443:AH443&lt;&gt;""),AG443:AH443)))</t>
        </is>
      </c>
      <c r="AW443" s="38" t="inlineStr">
        <is>
          <t>IF(OR(E443="",AJ443=""),"",IF(COUNT(AG443:AI443)=0,"",AJ443-LOOKUP(2,1/(AG443:AI443&lt;&gt;""),AG443:AI443)))</t>
        </is>
      </c>
      <c r="AX443" s="38" t="inlineStr">
        <is>
          <t>IF(OR(E443="",AK443=""),"",IF(COUNT(AG443:AJ443)=0,"",AK443-LOOKUP(2,1/(AG443:AJ443&lt;&gt;""),AG443:AJ443)))</t>
        </is>
      </c>
      <c r="AY443" s="38" t="inlineStr">
        <is>
          <t>IF(OR(E443="",AL443=""),"",IF(COUNT(AG443:AK443)=0,"",AL443-LOOKUP(2,1/(AG443:AK443&lt;&gt;""),AG443:AK443)))</t>
        </is>
      </c>
      <c r="AZ443" s="38" t="inlineStr">
        <is>
          <t>IF(OR(E443="",AM443=""),"",IF(COUNT(AG443:AL443)=0,"",AM443-LOOKUP(2,1/(AG443:AL443&lt;&gt;""),AG443:AL443)))</t>
        </is>
      </c>
      <c r="BA443" s="38" t="inlineStr">
        <is>
          <t>IF(OR(E443="",AN443=""),"",IF(COUNT(AG443:AM443)=0,"",AN443-LOOKUP(2,1/(AG443:AM443&lt;&gt;""),AG443:AM443)))</t>
        </is>
      </c>
      <c r="BB443" s="38" t="inlineStr">
        <is>
          <t>IF(OR(E443="",AO443=""),"",IF(COUNT(AG443:AN443)=0,"",AO443-LOOKUP(2,1/(AG443:AN443&lt;&gt;""),AG443:AN443)))</t>
        </is>
      </c>
      <c r="BC443" s="38" t="inlineStr">
        <is>
          <t>IF(OR(E443="",AP443=""),"",IF(COUNT(AG443:AO443)=0,"",AP443-LOOKUP(2,1/(AG443:AO443&lt;&gt;""),AG443:AO443)))</t>
        </is>
      </c>
      <c r="BD443" s="38" t="inlineStr">
        <is>
          <t>IF(OR(E443="",AQ443=""),"",IF(COUNT(AG443:AP443)=0,"",AQ443-LOOKUP(2,1/(AG443:AP443&lt;&gt;""),AG443:AP443)))</t>
        </is>
      </c>
      <c r="BE443" s="38" t="inlineStr">
        <is>
          <t>IF(OR(E443="",AR443=""),"",IF(COUNT(AG443:AQ443)=0,"",AR443-LOOKUP(2,1/(AG443:AQ443&lt;&gt;""),AG443:AQ443)))</t>
        </is>
      </c>
      <c r="BF443" s="38" t="inlineStr">
        <is>
          <t>IF(OR(E443="",AS443=""),"",IF(COUNT(AG443:AR443)=0,"",AS443-LOOKUP(2,1/(AG443:AR443&lt;&gt;""),AG443:AR443)))</t>
        </is>
      </c>
      <c r="BG443" s="38" t="inlineStr">
        <is>
          <t>IF(OR(E443="",AT443=""),"",IF(COUNT(AG443:AS443)=0,"",AT443-LOOKUP(2,1/(AG443:AS443&lt;&gt;""),AG443:AS443)))</t>
        </is>
      </c>
      <c r="BH443" s="41" t="inlineStr">
        <is>
          <t>IF(G443="","All_Provinces",IFERROR(VLOOKUP(G443,'07_Lookups'!$A$4:$B$20,2,FALSE),"All_Provinces"))</t>
        </is>
      </c>
      <c r="BI443" s="41" t="inlineStr">
        <is>
          <t>IF(H443="","All_Districts",IFERROR(VLOOKUP(H443,'07_Lookups'!$E$4:$F$42,2,FALSE),"All_Districts"))</t>
        </is>
      </c>
    </row>
    <row r="444" ht="18" customHeight="1">
      <c r="A444" s="32" t="inlineStr">
        <is>
          <t>IF(E444="","",ROW()-3)</t>
        </is>
      </c>
      <c r="B444" s="33" t="n"/>
      <c r="C444" s="33" t="n"/>
      <c r="D444" s="33" t="n"/>
      <c r="E444" s="33" t="n"/>
      <c r="F444" s="33" t="n"/>
      <c r="G444" s="33" t="n"/>
      <c r="H444" s="33" t="n"/>
      <c r="I444" s="33" t="n"/>
      <c r="J444" s="33" t="n"/>
      <c r="K444" s="33" t="n"/>
      <c r="L444" s="33" t="n"/>
      <c r="M444" s="33" t="n"/>
      <c r="N444" s="33" t="n"/>
      <c r="O444" s="33" t="n"/>
      <c r="P444" s="33" t="n"/>
      <c r="Q444" s="34" t="n"/>
      <c r="R444" s="35" t="inlineStr">
        <is>
          <t>IF(AO444="","",AO444)</t>
        </is>
      </c>
      <c r="S444" s="36" t="n"/>
      <c r="T444" s="37" t="n"/>
      <c r="U444" s="36" t="n"/>
      <c r="V444" s="35" t="inlineStr">
        <is>
          <t>IF(U444&lt;&gt;"",U444,IF(OR(R444="",T444=""),"",EDATE(R444,T444)))</t>
        </is>
      </c>
      <c r="W444" s="36" t="n"/>
      <c r="X444" s="37" t="n"/>
      <c r="Y444" s="33" t="n"/>
      <c r="Z444" s="33" t="n"/>
      <c r="AA444" s="32" t="inlineStr">
        <is>
          <t>IF(E444="","",IF(COUNT(AG444:AT444)=0,IF(Y444="","Not started",Y444),SUBSTITUTE(LOOKUP(2,1/(AG444:AT444&lt;&gt;""),$AG$3:$AT$3),"Date: ","")))</t>
        </is>
      </c>
      <c r="AB444" s="38" t="inlineStr">
        <is>
          <t>IF(OR(E444="",COUNT(AG444:AT444)=0),"",TODAY()-LOOKUP(2,1/(AG444:AT444&lt;&gt;""),AG444:AT444))</t>
        </is>
      </c>
      <c r="AC444" s="38" t="inlineStr">
        <is>
          <t>IF(OR(E444="",COUNT(AG444:AT444)&lt;2),"",LOOKUP(2,1/(AG444:AT444&lt;&gt;""),AG444:AT444)-MIN(AG444:AT444))</t>
        </is>
      </c>
      <c r="AD444" s="38" t="inlineStr">
        <is>
          <t>IF(OR(AB444="",AA444="Not started",AA444=""),"",IFERROR(AB444-IF(VLOOKUP(AA444,'04_Status_Pipeline'!$B$3:$E$20,4,FALSE)="",0,VLOOKUP(AA444,'04_Status_Pipeline'!$B$3:$E$20,4,FALSE)),""))</t>
        </is>
      </c>
      <c r="AE444" s="32" t="inlineStr">
        <is>
          <t>IF(E444="","",IF(OR(Y444="Cancelled",AA444="Cancelled"),"Cancelled",IF(OR(AA444="Completed / Handover",W444&lt;&gt;"",X444&gt;=100),"Completed — on track",IF(L444="Remaining",IF(S444="",IF(V444="","No planned date",IF(TODAY()&gt;V444,"Behind — past planned date",IF(V444-TODAY()&lt;=30,"At risk — close to off track","On track"))),IF(TODAY()&gt;S444,"Behind — award date passed",IF(S444-TODAY()&lt;=30,"At risk — close to off track","On track"))),IF(V444="","No planned date",IF(AND(TODAY()&gt;V444,OR(X444="",X444&lt;100)),"Behind — past end date",IF(AND(R444&lt;&gt;"",V444&lt;&gt;"",X444&lt;&gt;"",(X444&lt;100),((TODAY()-R444)/MAX(V444-R444,1)*100)-X444&gt;15),"Behind — progress lag",IF(AND(V444-TODAY()&lt;=30,V444-TODAY()&gt;=0,OR(X444="",X444&lt;90)),"At risk — close to off track","On track"))))))))</t>
        </is>
      </c>
      <c r="AF444" s="38" t="inlineStr">
        <is>
          <t>IF(OR(E444="",AA444="Completed / Handover",AA444="Cancelled"),"",IF(L444="Remaining",IF(S444&lt;&gt;"",S444-TODAY(),IF(V444="","",V444-TODAY())),IF(V444="","",V444-TODAY())))</t>
        </is>
      </c>
      <c r="AG444" s="36" t="n"/>
      <c r="AH444" s="36" t="n"/>
      <c r="AI444" s="36" t="n"/>
      <c r="AJ444" s="36" t="n"/>
      <c r="AK444" s="36" t="n"/>
      <c r="AL444" s="36" t="n"/>
      <c r="AM444" s="36" t="n"/>
      <c r="AN444" s="36" t="n"/>
      <c r="AO444" s="36" t="n"/>
      <c r="AP444" s="36" t="n"/>
      <c r="AQ444" s="36" t="n"/>
      <c r="AR444" s="40" t="n"/>
      <c r="AS444" s="40" t="n"/>
      <c r="AT444" s="40" t="n"/>
      <c r="AU444" s="38" t="inlineStr">
        <is>
          <t>IF(OR(E444="",AH444=""),"",IF(COUNT(AG444:AG444)=0,"",AH444-LOOKUP(2,1/(AG444:AG444&lt;&gt;""),AG444:AG444)))</t>
        </is>
      </c>
      <c r="AV444" s="38" t="inlineStr">
        <is>
          <t>IF(OR(E444="",AI444=""),"",IF(COUNT(AG444:AH444)=0,"",AI444-LOOKUP(2,1/(AG444:AH444&lt;&gt;""),AG444:AH444)))</t>
        </is>
      </c>
      <c r="AW444" s="38" t="inlineStr">
        <is>
          <t>IF(OR(E444="",AJ444=""),"",IF(COUNT(AG444:AI444)=0,"",AJ444-LOOKUP(2,1/(AG444:AI444&lt;&gt;""),AG444:AI444)))</t>
        </is>
      </c>
      <c r="AX444" s="38" t="inlineStr">
        <is>
          <t>IF(OR(E444="",AK444=""),"",IF(COUNT(AG444:AJ444)=0,"",AK444-LOOKUP(2,1/(AG444:AJ444&lt;&gt;""),AG444:AJ444)))</t>
        </is>
      </c>
      <c r="AY444" s="38" t="inlineStr">
        <is>
          <t>IF(OR(E444="",AL444=""),"",IF(COUNT(AG444:AK444)=0,"",AL444-LOOKUP(2,1/(AG444:AK444&lt;&gt;""),AG444:AK444)))</t>
        </is>
      </c>
      <c r="AZ444" s="38" t="inlineStr">
        <is>
          <t>IF(OR(E444="",AM444=""),"",IF(COUNT(AG444:AL444)=0,"",AM444-LOOKUP(2,1/(AG444:AL444&lt;&gt;""),AG444:AL444)))</t>
        </is>
      </c>
      <c r="BA444" s="38" t="inlineStr">
        <is>
          <t>IF(OR(E444="",AN444=""),"",IF(COUNT(AG444:AM444)=0,"",AN444-LOOKUP(2,1/(AG444:AM444&lt;&gt;""),AG444:AM444)))</t>
        </is>
      </c>
      <c r="BB444" s="38" t="inlineStr">
        <is>
          <t>IF(OR(E444="",AO444=""),"",IF(COUNT(AG444:AN444)=0,"",AO444-LOOKUP(2,1/(AG444:AN444&lt;&gt;""),AG444:AN444)))</t>
        </is>
      </c>
      <c r="BC444" s="38" t="inlineStr">
        <is>
          <t>IF(OR(E444="",AP444=""),"",IF(COUNT(AG444:AO444)=0,"",AP444-LOOKUP(2,1/(AG444:AO444&lt;&gt;""),AG444:AO444)))</t>
        </is>
      </c>
      <c r="BD444" s="38" t="inlineStr">
        <is>
          <t>IF(OR(E444="",AQ444=""),"",IF(COUNT(AG444:AP444)=0,"",AQ444-LOOKUP(2,1/(AG444:AP444&lt;&gt;""),AG444:AP444)))</t>
        </is>
      </c>
      <c r="BE444" s="38" t="inlineStr">
        <is>
          <t>IF(OR(E444="",AR444=""),"",IF(COUNT(AG444:AQ444)=0,"",AR444-LOOKUP(2,1/(AG444:AQ444&lt;&gt;""),AG444:AQ444)))</t>
        </is>
      </c>
      <c r="BF444" s="38" t="inlineStr">
        <is>
          <t>IF(OR(E444="",AS444=""),"",IF(COUNT(AG444:AR444)=0,"",AS444-LOOKUP(2,1/(AG444:AR444&lt;&gt;""),AG444:AR444)))</t>
        </is>
      </c>
      <c r="BG444" s="38" t="inlineStr">
        <is>
          <t>IF(OR(E444="",AT444=""),"",IF(COUNT(AG444:AS444)=0,"",AT444-LOOKUP(2,1/(AG444:AS444&lt;&gt;""),AG444:AS444)))</t>
        </is>
      </c>
      <c r="BH444" s="41" t="inlineStr">
        <is>
          <t>IF(G444="","All_Provinces",IFERROR(VLOOKUP(G444,'07_Lookups'!$A$4:$B$20,2,FALSE),"All_Provinces"))</t>
        </is>
      </c>
      <c r="BI444" s="41" t="inlineStr">
        <is>
          <t>IF(H444="","All_Districts",IFERROR(VLOOKUP(H444,'07_Lookups'!$E$4:$F$42,2,FALSE),"All_Districts"))</t>
        </is>
      </c>
    </row>
    <row r="445" ht="18" customHeight="1">
      <c r="A445" s="32" t="inlineStr">
        <is>
          <t>IF(E445="","",ROW()-3)</t>
        </is>
      </c>
      <c r="B445" s="42" t="n"/>
      <c r="C445" s="42" t="n"/>
      <c r="D445" s="42" t="n"/>
      <c r="E445" s="42" t="n"/>
      <c r="F445" s="42" t="n"/>
      <c r="G445" s="42" t="n"/>
      <c r="H445" s="42" t="n"/>
      <c r="I445" s="42" t="n"/>
      <c r="J445" s="42" t="n"/>
      <c r="K445" s="42" t="n"/>
      <c r="L445" s="42" t="n"/>
      <c r="M445" s="42" t="n"/>
      <c r="N445" s="42" t="n"/>
      <c r="O445" s="42" t="n"/>
      <c r="P445" s="42" t="n"/>
      <c r="Q445" s="43" t="n"/>
      <c r="R445" s="35" t="inlineStr">
        <is>
          <t>IF(AO445="","",AO445)</t>
        </is>
      </c>
      <c r="S445" s="44" t="n"/>
      <c r="T445" s="45" t="n"/>
      <c r="U445" s="44" t="n"/>
      <c r="V445" s="35" t="inlineStr">
        <is>
          <t>IF(U445&lt;&gt;"",U445,IF(OR(R445="",T445=""),"",EDATE(R445,T445)))</t>
        </is>
      </c>
      <c r="W445" s="44" t="n"/>
      <c r="X445" s="45" t="n"/>
      <c r="Y445" s="42" t="n"/>
      <c r="Z445" s="42" t="n"/>
      <c r="AA445" s="32" t="inlineStr">
        <is>
          <t>IF(E445="","",IF(COUNT(AG445:AT445)=0,IF(Y445="","Not started",Y445),SUBSTITUTE(LOOKUP(2,1/(AG445:AT445&lt;&gt;""),$AG$3:$AT$3),"Date: ","")))</t>
        </is>
      </c>
      <c r="AB445" s="38" t="inlineStr">
        <is>
          <t>IF(OR(E445="",COUNT(AG445:AT445)=0),"",TODAY()-LOOKUP(2,1/(AG445:AT445&lt;&gt;""),AG445:AT445))</t>
        </is>
      </c>
      <c r="AC445" s="38" t="inlineStr">
        <is>
          <t>IF(OR(E445="",COUNT(AG445:AT445)&lt;2),"",LOOKUP(2,1/(AG445:AT445&lt;&gt;""),AG445:AT445)-MIN(AG445:AT445))</t>
        </is>
      </c>
      <c r="AD445" s="38" t="inlineStr">
        <is>
          <t>IF(OR(AB445="",AA445="Not started",AA445=""),"",IFERROR(AB445-IF(VLOOKUP(AA445,'04_Status_Pipeline'!$B$3:$E$20,4,FALSE)="",0,VLOOKUP(AA445,'04_Status_Pipeline'!$B$3:$E$20,4,FALSE)),""))</t>
        </is>
      </c>
      <c r="AE445" s="32" t="inlineStr">
        <is>
          <t>IF(E445="","",IF(OR(Y445="Cancelled",AA445="Cancelled"),"Cancelled",IF(OR(AA445="Completed / Handover",W445&lt;&gt;"",X445&gt;=100),"Completed — on track",IF(L445="Remaining",IF(S445="",IF(V445="","No planned date",IF(TODAY()&gt;V445,"Behind — past planned date",IF(V445-TODAY()&lt;=30,"At risk — close to off track","On track"))),IF(TODAY()&gt;S445,"Behind — award date passed",IF(S445-TODAY()&lt;=30,"At risk — close to off track","On track"))),IF(V445="","No planned date",IF(AND(TODAY()&gt;V445,OR(X445="",X445&lt;100)),"Behind — past end date",IF(AND(R445&lt;&gt;"",V445&lt;&gt;"",X445&lt;&gt;"",(X445&lt;100),((TODAY()-R445)/MAX(V445-R445,1)*100)-X445&gt;15),"Behind — progress lag",IF(AND(V445-TODAY()&lt;=30,V445-TODAY()&gt;=0,OR(X445="",X445&lt;90)),"At risk — close to off track","On track"))))))))</t>
        </is>
      </c>
      <c r="AF445" s="38" t="inlineStr">
        <is>
          <t>IF(OR(E445="",AA445="Completed / Handover",AA445="Cancelled"),"",IF(L445="Remaining",IF(S445&lt;&gt;"",S445-TODAY(),IF(V445="","",V445-TODAY())),IF(V445="","",V445-TODAY())))</t>
        </is>
      </c>
      <c r="AG445" s="44" t="n"/>
      <c r="AH445" s="44" t="n"/>
      <c r="AI445" s="44" t="n"/>
      <c r="AJ445" s="44" t="n"/>
      <c r="AK445" s="44" t="n"/>
      <c r="AL445" s="44" t="n"/>
      <c r="AM445" s="44" t="n"/>
      <c r="AN445" s="44" t="n"/>
      <c r="AO445" s="44" t="n"/>
      <c r="AP445" s="44" t="n"/>
      <c r="AQ445" s="44" t="n"/>
      <c r="AR445" s="40" t="n"/>
      <c r="AS445" s="40" t="n"/>
      <c r="AT445" s="40" t="n"/>
      <c r="AU445" s="38" t="inlineStr">
        <is>
          <t>IF(OR(E445="",AH445=""),"",IF(COUNT(AG445:AG445)=0,"",AH445-LOOKUP(2,1/(AG445:AG445&lt;&gt;""),AG445:AG445)))</t>
        </is>
      </c>
      <c r="AV445" s="38" t="inlineStr">
        <is>
          <t>IF(OR(E445="",AI445=""),"",IF(COUNT(AG445:AH445)=0,"",AI445-LOOKUP(2,1/(AG445:AH445&lt;&gt;""),AG445:AH445)))</t>
        </is>
      </c>
      <c r="AW445" s="38" t="inlineStr">
        <is>
          <t>IF(OR(E445="",AJ445=""),"",IF(COUNT(AG445:AI445)=0,"",AJ445-LOOKUP(2,1/(AG445:AI445&lt;&gt;""),AG445:AI445)))</t>
        </is>
      </c>
      <c r="AX445" s="38" t="inlineStr">
        <is>
          <t>IF(OR(E445="",AK445=""),"",IF(COUNT(AG445:AJ445)=0,"",AK445-LOOKUP(2,1/(AG445:AJ445&lt;&gt;""),AG445:AJ445)))</t>
        </is>
      </c>
      <c r="AY445" s="38" t="inlineStr">
        <is>
          <t>IF(OR(E445="",AL445=""),"",IF(COUNT(AG445:AK445)=0,"",AL445-LOOKUP(2,1/(AG445:AK445&lt;&gt;""),AG445:AK445)))</t>
        </is>
      </c>
      <c r="AZ445" s="38" t="inlineStr">
        <is>
          <t>IF(OR(E445="",AM445=""),"",IF(COUNT(AG445:AL445)=0,"",AM445-LOOKUP(2,1/(AG445:AL445&lt;&gt;""),AG445:AL445)))</t>
        </is>
      </c>
      <c r="BA445" s="38" t="inlineStr">
        <is>
          <t>IF(OR(E445="",AN445=""),"",IF(COUNT(AG445:AM445)=0,"",AN445-LOOKUP(2,1/(AG445:AM445&lt;&gt;""),AG445:AM445)))</t>
        </is>
      </c>
      <c r="BB445" s="38" t="inlineStr">
        <is>
          <t>IF(OR(E445="",AO445=""),"",IF(COUNT(AG445:AN445)=0,"",AO445-LOOKUP(2,1/(AG445:AN445&lt;&gt;""),AG445:AN445)))</t>
        </is>
      </c>
      <c r="BC445" s="38" t="inlineStr">
        <is>
          <t>IF(OR(E445="",AP445=""),"",IF(COUNT(AG445:AO445)=0,"",AP445-LOOKUP(2,1/(AG445:AO445&lt;&gt;""),AG445:AO445)))</t>
        </is>
      </c>
      <c r="BD445" s="38" t="inlineStr">
        <is>
          <t>IF(OR(E445="",AQ445=""),"",IF(COUNT(AG445:AP445)=0,"",AQ445-LOOKUP(2,1/(AG445:AP445&lt;&gt;""),AG445:AP445)))</t>
        </is>
      </c>
      <c r="BE445" s="38" t="inlineStr">
        <is>
          <t>IF(OR(E445="",AR445=""),"",IF(COUNT(AG445:AQ445)=0,"",AR445-LOOKUP(2,1/(AG445:AQ445&lt;&gt;""),AG445:AQ445)))</t>
        </is>
      </c>
      <c r="BF445" s="38" t="inlineStr">
        <is>
          <t>IF(OR(E445="",AS445=""),"",IF(COUNT(AG445:AR445)=0,"",AS445-LOOKUP(2,1/(AG445:AR445&lt;&gt;""),AG445:AR445)))</t>
        </is>
      </c>
      <c r="BG445" s="38" t="inlineStr">
        <is>
          <t>IF(OR(E445="",AT445=""),"",IF(COUNT(AG445:AS445)=0,"",AT445-LOOKUP(2,1/(AG445:AS445&lt;&gt;""),AG445:AS445)))</t>
        </is>
      </c>
      <c r="BH445" s="41" t="inlineStr">
        <is>
          <t>IF(G445="","All_Provinces",IFERROR(VLOOKUP(G445,'07_Lookups'!$A$4:$B$20,2,FALSE),"All_Provinces"))</t>
        </is>
      </c>
      <c r="BI445" s="41" t="inlineStr">
        <is>
          <t>IF(H445="","All_Districts",IFERROR(VLOOKUP(H445,'07_Lookups'!$E$4:$F$42,2,FALSE),"All_Districts"))</t>
        </is>
      </c>
    </row>
    <row r="446" ht="18" customHeight="1">
      <c r="A446" s="32" t="inlineStr">
        <is>
          <t>IF(E446="","",ROW()-3)</t>
        </is>
      </c>
      <c r="B446" s="33" t="n"/>
      <c r="C446" s="33" t="n"/>
      <c r="D446" s="33" t="n"/>
      <c r="E446" s="33" t="n"/>
      <c r="F446" s="33" t="n"/>
      <c r="G446" s="33" t="n"/>
      <c r="H446" s="33" t="n"/>
      <c r="I446" s="33" t="n"/>
      <c r="J446" s="33" t="n"/>
      <c r="K446" s="33" t="n"/>
      <c r="L446" s="33" t="n"/>
      <c r="M446" s="33" t="n"/>
      <c r="N446" s="33" t="n"/>
      <c r="O446" s="33" t="n"/>
      <c r="P446" s="33" t="n"/>
      <c r="Q446" s="34" t="n"/>
      <c r="R446" s="35" t="inlineStr">
        <is>
          <t>IF(AO446="","",AO446)</t>
        </is>
      </c>
      <c r="S446" s="36" t="n"/>
      <c r="T446" s="37" t="n"/>
      <c r="U446" s="36" t="n"/>
      <c r="V446" s="35" t="inlineStr">
        <is>
          <t>IF(U446&lt;&gt;"",U446,IF(OR(R446="",T446=""),"",EDATE(R446,T446)))</t>
        </is>
      </c>
      <c r="W446" s="36" t="n"/>
      <c r="X446" s="37" t="n"/>
      <c r="Y446" s="33" t="n"/>
      <c r="Z446" s="33" t="n"/>
      <c r="AA446" s="32" t="inlineStr">
        <is>
          <t>IF(E446="","",IF(COUNT(AG446:AT446)=0,IF(Y446="","Not started",Y446),SUBSTITUTE(LOOKUP(2,1/(AG446:AT446&lt;&gt;""),$AG$3:$AT$3),"Date: ","")))</t>
        </is>
      </c>
      <c r="AB446" s="38" t="inlineStr">
        <is>
          <t>IF(OR(E446="",COUNT(AG446:AT446)=0),"",TODAY()-LOOKUP(2,1/(AG446:AT446&lt;&gt;""),AG446:AT446))</t>
        </is>
      </c>
      <c r="AC446" s="38" t="inlineStr">
        <is>
          <t>IF(OR(E446="",COUNT(AG446:AT446)&lt;2),"",LOOKUP(2,1/(AG446:AT446&lt;&gt;""),AG446:AT446)-MIN(AG446:AT446))</t>
        </is>
      </c>
      <c r="AD446" s="38" t="inlineStr">
        <is>
          <t>IF(OR(AB446="",AA446="Not started",AA446=""),"",IFERROR(AB446-IF(VLOOKUP(AA446,'04_Status_Pipeline'!$B$3:$E$20,4,FALSE)="",0,VLOOKUP(AA446,'04_Status_Pipeline'!$B$3:$E$20,4,FALSE)),""))</t>
        </is>
      </c>
      <c r="AE446" s="32" t="inlineStr">
        <is>
          <t>IF(E446="","",IF(OR(Y446="Cancelled",AA446="Cancelled"),"Cancelled",IF(OR(AA446="Completed / Handover",W446&lt;&gt;"",X446&gt;=100),"Completed — on track",IF(L446="Remaining",IF(S446="",IF(V446="","No planned date",IF(TODAY()&gt;V446,"Behind — past planned date",IF(V446-TODAY()&lt;=30,"At risk — close to off track","On track"))),IF(TODAY()&gt;S446,"Behind — award date passed",IF(S446-TODAY()&lt;=30,"At risk — close to off track","On track"))),IF(V446="","No planned date",IF(AND(TODAY()&gt;V446,OR(X446="",X446&lt;100)),"Behind — past end date",IF(AND(R446&lt;&gt;"",V446&lt;&gt;"",X446&lt;&gt;"",(X446&lt;100),((TODAY()-R446)/MAX(V446-R446,1)*100)-X446&gt;15),"Behind — progress lag",IF(AND(V446-TODAY()&lt;=30,V446-TODAY()&gt;=0,OR(X446="",X446&lt;90)),"At risk — close to off track","On track"))))))))</t>
        </is>
      </c>
      <c r="AF446" s="38" t="inlineStr">
        <is>
          <t>IF(OR(E446="",AA446="Completed / Handover",AA446="Cancelled"),"",IF(L446="Remaining",IF(S446&lt;&gt;"",S446-TODAY(),IF(V446="","",V446-TODAY())),IF(V446="","",V446-TODAY())))</t>
        </is>
      </c>
      <c r="AG446" s="36" t="n"/>
      <c r="AH446" s="36" t="n"/>
      <c r="AI446" s="36" t="n"/>
      <c r="AJ446" s="36" t="n"/>
      <c r="AK446" s="36" t="n"/>
      <c r="AL446" s="36" t="n"/>
      <c r="AM446" s="36" t="n"/>
      <c r="AN446" s="36" t="n"/>
      <c r="AO446" s="36" t="n"/>
      <c r="AP446" s="36" t="n"/>
      <c r="AQ446" s="36" t="n"/>
      <c r="AR446" s="40" t="n"/>
      <c r="AS446" s="40" t="n"/>
      <c r="AT446" s="40" t="n"/>
      <c r="AU446" s="38" t="inlineStr">
        <is>
          <t>IF(OR(E446="",AH446=""),"",IF(COUNT(AG446:AG446)=0,"",AH446-LOOKUP(2,1/(AG446:AG446&lt;&gt;""),AG446:AG446)))</t>
        </is>
      </c>
      <c r="AV446" s="38" t="inlineStr">
        <is>
          <t>IF(OR(E446="",AI446=""),"",IF(COUNT(AG446:AH446)=0,"",AI446-LOOKUP(2,1/(AG446:AH446&lt;&gt;""),AG446:AH446)))</t>
        </is>
      </c>
      <c r="AW446" s="38" t="inlineStr">
        <is>
          <t>IF(OR(E446="",AJ446=""),"",IF(COUNT(AG446:AI446)=0,"",AJ446-LOOKUP(2,1/(AG446:AI446&lt;&gt;""),AG446:AI446)))</t>
        </is>
      </c>
      <c r="AX446" s="38" t="inlineStr">
        <is>
          <t>IF(OR(E446="",AK446=""),"",IF(COUNT(AG446:AJ446)=0,"",AK446-LOOKUP(2,1/(AG446:AJ446&lt;&gt;""),AG446:AJ446)))</t>
        </is>
      </c>
      <c r="AY446" s="38" t="inlineStr">
        <is>
          <t>IF(OR(E446="",AL446=""),"",IF(COUNT(AG446:AK446)=0,"",AL446-LOOKUP(2,1/(AG446:AK446&lt;&gt;""),AG446:AK446)))</t>
        </is>
      </c>
      <c r="AZ446" s="38" t="inlineStr">
        <is>
          <t>IF(OR(E446="",AM446=""),"",IF(COUNT(AG446:AL446)=0,"",AM446-LOOKUP(2,1/(AG446:AL446&lt;&gt;""),AG446:AL446)))</t>
        </is>
      </c>
      <c r="BA446" s="38" t="inlineStr">
        <is>
          <t>IF(OR(E446="",AN446=""),"",IF(COUNT(AG446:AM446)=0,"",AN446-LOOKUP(2,1/(AG446:AM446&lt;&gt;""),AG446:AM446)))</t>
        </is>
      </c>
      <c r="BB446" s="38" t="inlineStr">
        <is>
          <t>IF(OR(E446="",AO446=""),"",IF(COUNT(AG446:AN446)=0,"",AO446-LOOKUP(2,1/(AG446:AN446&lt;&gt;""),AG446:AN446)))</t>
        </is>
      </c>
      <c r="BC446" s="38" t="inlineStr">
        <is>
          <t>IF(OR(E446="",AP446=""),"",IF(COUNT(AG446:AO446)=0,"",AP446-LOOKUP(2,1/(AG446:AO446&lt;&gt;""),AG446:AO446)))</t>
        </is>
      </c>
      <c r="BD446" s="38" t="inlineStr">
        <is>
          <t>IF(OR(E446="",AQ446=""),"",IF(COUNT(AG446:AP446)=0,"",AQ446-LOOKUP(2,1/(AG446:AP446&lt;&gt;""),AG446:AP446)))</t>
        </is>
      </c>
      <c r="BE446" s="38" t="inlineStr">
        <is>
          <t>IF(OR(E446="",AR446=""),"",IF(COUNT(AG446:AQ446)=0,"",AR446-LOOKUP(2,1/(AG446:AQ446&lt;&gt;""),AG446:AQ446)))</t>
        </is>
      </c>
      <c r="BF446" s="38" t="inlineStr">
        <is>
          <t>IF(OR(E446="",AS446=""),"",IF(COUNT(AG446:AR446)=0,"",AS446-LOOKUP(2,1/(AG446:AR446&lt;&gt;""),AG446:AR446)))</t>
        </is>
      </c>
      <c r="BG446" s="38" t="inlineStr">
        <is>
          <t>IF(OR(E446="",AT446=""),"",IF(COUNT(AG446:AS446)=0,"",AT446-LOOKUP(2,1/(AG446:AS446&lt;&gt;""),AG446:AS446)))</t>
        </is>
      </c>
      <c r="BH446" s="41" t="inlineStr">
        <is>
          <t>IF(G446="","All_Provinces",IFERROR(VLOOKUP(G446,'07_Lookups'!$A$4:$B$20,2,FALSE),"All_Provinces"))</t>
        </is>
      </c>
      <c r="BI446" s="41" t="inlineStr">
        <is>
          <t>IF(H446="","All_Districts",IFERROR(VLOOKUP(H446,'07_Lookups'!$E$4:$F$42,2,FALSE),"All_Districts"))</t>
        </is>
      </c>
    </row>
    <row r="447" ht="18" customHeight="1">
      <c r="A447" s="32" t="inlineStr">
        <is>
          <t>IF(E447="","",ROW()-3)</t>
        </is>
      </c>
      <c r="B447" s="42" t="n"/>
      <c r="C447" s="42" t="n"/>
      <c r="D447" s="42" t="n"/>
      <c r="E447" s="42" t="n"/>
      <c r="F447" s="42" t="n"/>
      <c r="G447" s="42" t="n"/>
      <c r="H447" s="42" t="n"/>
      <c r="I447" s="42" t="n"/>
      <c r="J447" s="42" t="n"/>
      <c r="K447" s="42" t="n"/>
      <c r="L447" s="42" t="n"/>
      <c r="M447" s="42" t="n"/>
      <c r="N447" s="42" t="n"/>
      <c r="O447" s="42" t="n"/>
      <c r="P447" s="42" t="n"/>
      <c r="Q447" s="43" t="n"/>
      <c r="R447" s="35" t="inlineStr">
        <is>
          <t>IF(AO447="","",AO447)</t>
        </is>
      </c>
      <c r="S447" s="44" t="n"/>
      <c r="T447" s="45" t="n"/>
      <c r="U447" s="44" t="n"/>
      <c r="V447" s="35" t="inlineStr">
        <is>
          <t>IF(U447&lt;&gt;"",U447,IF(OR(R447="",T447=""),"",EDATE(R447,T447)))</t>
        </is>
      </c>
      <c r="W447" s="44" t="n"/>
      <c r="X447" s="45" t="n"/>
      <c r="Y447" s="42" t="n"/>
      <c r="Z447" s="42" t="n"/>
      <c r="AA447" s="32" t="inlineStr">
        <is>
          <t>IF(E447="","",IF(COUNT(AG447:AT447)=0,IF(Y447="","Not started",Y447),SUBSTITUTE(LOOKUP(2,1/(AG447:AT447&lt;&gt;""),$AG$3:$AT$3),"Date: ","")))</t>
        </is>
      </c>
      <c r="AB447" s="38" t="inlineStr">
        <is>
          <t>IF(OR(E447="",COUNT(AG447:AT447)=0),"",TODAY()-LOOKUP(2,1/(AG447:AT447&lt;&gt;""),AG447:AT447))</t>
        </is>
      </c>
      <c r="AC447" s="38" t="inlineStr">
        <is>
          <t>IF(OR(E447="",COUNT(AG447:AT447)&lt;2),"",LOOKUP(2,1/(AG447:AT447&lt;&gt;""),AG447:AT447)-MIN(AG447:AT447))</t>
        </is>
      </c>
      <c r="AD447" s="38" t="inlineStr">
        <is>
          <t>IF(OR(AB447="",AA447="Not started",AA447=""),"",IFERROR(AB447-IF(VLOOKUP(AA447,'04_Status_Pipeline'!$B$3:$E$20,4,FALSE)="",0,VLOOKUP(AA447,'04_Status_Pipeline'!$B$3:$E$20,4,FALSE)),""))</t>
        </is>
      </c>
      <c r="AE447" s="32" t="inlineStr">
        <is>
          <t>IF(E447="","",IF(OR(Y447="Cancelled",AA447="Cancelled"),"Cancelled",IF(OR(AA447="Completed / Handover",W447&lt;&gt;"",X447&gt;=100),"Completed — on track",IF(L447="Remaining",IF(S447="",IF(V447="","No planned date",IF(TODAY()&gt;V447,"Behind — past planned date",IF(V447-TODAY()&lt;=30,"At risk — close to off track","On track"))),IF(TODAY()&gt;S447,"Behind — award date passed",IF(S447-TODAY()&lt;=30,"At risk — close to off track","On track"))),IF(V447="","No planned date",IF(AND(TODAY()&gt;V447,OR(X447="",X447&lt;100)),"Behind — past end date",IF(AND(R447&lt;&gt;"",V447&lt;&gt;"",X447&lt;&gt;"",(X447&lt;100),((TODAY()-R447)/MAX(V447-R447,1)*100)-X447&gt;15),"Behind — progress lag",IF(AND(V447-TODAY()&lt;=30,V447-TODAY()&gt;=0,OR(X447="",X447&lt;90)),"At risk — close to off track","On track"))))))))</t>
        </is>
      </c>
      <c r="AF447" s="38" t="inlineStr">
        <is>
          <t>IF(OR(E447="",AA447="Completed / Handover",AA447="Cancelled"),"",IF(L447="Remaining",IF(S447&lt;&gt;"",S447-TODAY(),IF(V447="","",V447-TODAY())),IF(V447="","",V447-TODAY())))</t>
        </is>
      </c>
      <c r="AG447" s="44" t="n"/>
      <c r="AH447" s="44" t="n"/>
      <c r="AI447" s="44" t="n"/>
      <c r="AJ447" s="44" t="n"/>
      <c r="AK447" s="44" t="n"/>
      <c r="AL447" s="44" t="n"/>
      <c r="AM447" s="44" t="n"/>
      <c r="AN447" s="44" t="n"/>
      <c r="AO447" s="44" t="n"/>
      <c r="AP447" s="44" t="n"/>
      <c r="AQ447" s="44" t="n"/>
      <c r="AR447" s="40" t="n"/>
      <c r="AS447" s="40" t="n"/>
      <c r="AT447" s="40" t="n"/>
      <c r="AU447" s="38" t="inlineStr">
        <is>
          <t>IF(OR(E447="",AH447=""),"",IF(COUNT(AG447:AG447)=0,"",AH447-LOOKUP(2,1/(AG447:AG447&lt;&gt;""),AG447:AG447)))</t>
        </is>
      </c>
      <c r="AV447" s="38" t="inlineStr">
        <is>
          <t>IF(OR(E447="",AI447=""),"",IF(COUNT(AG447:AH447)=0,"",AI447-LOOKUP(2,1/(AG447:AH447&lt;&gt;""),AG447:AH447)))</t>
        </is>
      </c>
      <c r="AW447" s="38" t="inlineStr">
        <is>
          <t>IF(OR(E447="",AJ447=""),"",IF(COUNT(AG447:AI447)=0,"",AJ447-LOOKUP(2,1/(AG447:AI447&lt;&gt;""),AG447:AI447)))</t>
        </is>
      </c>
      <c r="AX447" s="38" t="inlineStr">
        <is>
          <t>IF(OR(E447="",AK447=""),"",IF(COUNT(AG447:AJ447)=0,"",AK447-LOOKUP(2,1/(AG447:AJ447&lt;&gt;""),AG447:AJ447)))</t>
        </is>
      </c>
      <c r="AY447" s="38" t="inlineStr">
        <is>
          <t>IF(OR(E447="",AL447=""),"",IF(COUNT(AG447:AK447)=0,"",AL447-LOOKUP(2,1/(AG447:AK447&lt;&gt;""),AG447:AK447)))</t>
        </is>
      </c>
      <c r="AZ447" s="38" t="inlineStr">
        <is>
          <t>IF(OR(E447="",AM447=""),"",IF(COUNT(AG447:AL447)=0,"",AM447-LOOKUP(2,1/(AG447:AL447&lt;&gt;""),AG447:AL447)))</t>
        </is>
      </c>
      <c r="BA447" s="38" t="inlineStr">
        <is>
          <t>IF(OR(E447="",AN447=""),"",IF(COUNT(AG447:AM447)=0,"",AN447-LOOKUP(2,1/(AG447:AM447&lt;&gt;""),AG447:AM447)))</t>
        </is>
      </c>
      <c r="BB447" s="38" t="inlineStr">
        <is>
          <t>IF(OR(E447="",AO447=""),"",IF(COUNT(AG447:AN447)=0,"",AO447-LOOKUP(2,1/(AG447:AN447&lt;&gt;""),AG447:AN447)))</t>
        </is>
      </c>
      <c r="BC447" s="38" t="inlineStr">
        <is>
          <t>IF(OR(E447="",AP447=""),"",IF(COUNT(AG447:AO447)=0,"",AP447-LOOKUP(2,1/(AG447:AO447&lt;&gt;""),AG447:AO447)))</t>
        </is>
      </c>
      <c r="BD447" s="38" t="inlineStr">
        <is>
          <t>IF(OR(E447="",AQ447=""),"",IF(COUNT(AG447:AP447)=0,"",AQ447-LOOKUP(2,1/(AG447:AP447&lt;&gt;""),AG447:AP447)))</t>
        </is>
      </c>
      <c r="BE447" s="38" t="inlineStr">
        <is>
          <t>IF(OR(E447="",AR447=""),"",IF(COUNT(AG447:AQ447)=0,"",AR447-LOOKUP(2,1/(AG447:AQ447&lt;&gt;""),AG447:AQ447)))</t>
        </is>
      </c>
      <c r="BF447" s="38" t="inlineStr">
        <is>
          <t>IF(OR(E447="",AS447=""),"",IF(COUNT(AG447:AR447)=0,"",AS447-LOOKUP(2,1/(AG447:AR447&lt;&gt;""),AG447:AR447)))</t>
        </is>
      </c>
      <c r="BG447" s="38" t="inlineStr">
        <is>
          <t>IF(OR(E447="",AT447=""),"",IF(COUNT(AG447:AS447)=0,"",AT447-LOOKUP(2,1/(AG447:AS447&lt;&gt;""),AG447:AS447)))</t>
        </is>
      </c>
      <c r="BH447" s="41" t="inlineStr">
        <is>
          <t>IF(G447="","All_Provinces",IFERROR(VLOOKUP(G447,'07_Lookups'!$A$4:$B$20,2,FALSE),"All_Provinces"))</t>
        </is>
      </c>
      <c r="BI447" s="41" t="inlineStr">
        <is>
          <t>IF(H447="","All_Districts",IFERROR(VLOOKUP(H447,'07_Lookups'!$E$4:$F$42,2,FALSE),"All_Districts"))</t>
        </is>
      </c>
    </row>
    <row r="448" ht="18" customHeight="1">
      <c r="A448" s="32" t="inlineStr">
        <is>
          <t>IF(E448="","",ROW()-3)</t>
        </is>
      </c>
      <c r="B448" s="33" t="n"/>
      <c r="C448" s="33" t="n"/>
      <c r="D448" s="33" t="n"/>
      <c r="E448" s="33" t="n"/>
      <c r="F448" s="33" t="n"/>
      <c r="G448" s="33" t="n"/>
      <c r="H448" s="33" t="n"/>
      <c r="I448" s="33" t="n"/>
      <c r="J448" s="33" t="n"/>
      <c r="K448" s="33" t="n"/>
      <c r="L448" s="33" t="n"/>
      <c r="M448" s="33" t="n"/>
      <c r="N448" s="33" t="n"/>
      <c r="O448" s="33" t="n"/>
      <c r="P448" s="33" t="n"/>
      <c r="Q448" s="34" t="n"/>
      <c r="R448" s="35" t="inlineStr">
        <is>
          <t>IF(AO448="","",AO448)</t>
        </is>
      </c>
      <c r="S448" s="36" t="n"/>
      <c r="T448" s="37" t="n"/>
      <c r="U448" s="36" t="n"/>
      <c r="V448" s="35" t="inlineStr">
        <is>
          <t>IF(U448&lt;&gt;"",U448,IF(OR(R448="",T448=""),"",EDATE(R448,T448)))</t>
        </is>
      </c>
      <c r="W448" s="36" t="n"/>
      <c r="X448" s="37" t="n"/>
      <c r="Y448" s="33" t="n"/>
      <c r="Z448" s="33" t="n"/>
      <c r="AA448" s="32" t="inlineStr">
        <is>
          <t>IF(E448="","",IF(COUNT(AG448:AT448)=0,IF(Y448="","Not started",Y448),SUBSTITUTE(LOOKUP(2,1/(AG448:AT448&lt;&gt;""),$AG$3:$AT$3),"Date: ","")))</t>
        </is>
      </c>
      <c r="AB448" s="38" t="inlineStr">
        <is>
          <t>IF(OR(E448="",COUNT(AG448:AT448)=0),"",TODAY()-LOOKUP(2,1/(AG448:AT448&lt;&gt;""),AG448:AT448))</t>
        </is>
      </c>
      <c r="AC448" s="38" t="inlineStr">
        <is>
          <t>IF(OR(E448="",COUNT(AG448:AT448)&lt;2),"",LOOKUP(2,1/(AG448:AT448&lt;&gt;""),AG448:AT448)-MIN(AG448:AT448))</t>
        </is>
      </c>
      <c r="AD448" s="38" t="inlineStr">
        <is>
          <t>IF(OR(AB448="",AA448="Not started",AA448=""),"",IFERROR(AB448-IF(VLOOKUP(AA448,'04_Status_Pipeline'!$B$3:$E$20,4,FALSE)="",0,VLOOKUP(AA448,'04_Status_Pipeline'!$B$3:$E$20,4,FALSE)),""))</t>
        </is>
      </c>
      <c r="AE448" s="32" t="inlineStr">
        <is>
          <t>IF(E448="","",IF(OR(Y448="Cancelled",AA448="Cancelled"),"Cancelled",IF(OR(AA448="Completed / Handover",W448&lt;&gt;"",X448&gt;=100),"Completed — on track",IF(L448="Remaining",IF(S448="",IF(V448="","No planned date",IF(TODAY()&gt;V448,"Behind — past planned date",IF(V448-TODAY()&lt;=30,"At risk — close to off track","On track"))),IF(TODAY()&gt;S448,"Behind — award date passed",IF(S448-TODAY()&lt;=30,"At risk — close to off track","On track"))),IF(V448="","No planned date",IF(AND(TODAY()&gt;V448,OR(X448="",X448&lt;100)),"Behind — past end date",IF(AND(R448&lt;&gt;"",V448&lt;&gt;"",X448&lt;&gt;"",(X448&lt;100),((TODAY()-R448)/MAX(V448-R448,1)*100)-X448&gt;15),"Behind — progress lag",IF(AND(V448-TODAY()&lt;=30,V448-TODAY()&gt;=0,OR(X448="",X448&lt;90)),"At risk — close to off track","On track"))))))))</t>
        </is>
      </c>
      <c r="AF448" s="38" t="inlineStr">
        <is>
          <t>IF(OR(E448="",AA448="Completed / Handover",AA448="Cancelled"),"",IF(L448="Remaining",IF(S448&lt;&gt;"",S448-TODAY(),IF(V448="","",V448-TODAY())),IF(V448="","",V448-TODAY())))</t>
        </is>
      </c>
      <c r="AG448" s="36" t="n"/>
      <c r="AH448" s="36" t="n"/>
      <c r="AI448" s="36" t="n"/>
      <c r="AJ448" s="36" t="n"/>
      <c r="AK448" s="36" t="n"/>
      <c r="AL448" s="36" t="n"/>
      <c r="AM448" s="36" t="n"/>
      <c r="AN448" s="36" t="n"/>
      <c r="AO448" s="36" t="n"/>
      <c r="AP448" s="36" t="n"/>
      <c r="AQ448" s="36" t="n"/>
      <c r="AR448" s="40" t="n"/>
      <c r="AS448" s="40" t="n"/>
      <c r="AT448" s="40" t="n"/>
      <c r="AU448" s="38" t="inlineStr">
        <is>
          <t>IF(OR(E448="",AH448=""),"",IF(COUNT(AG448:AG448)=0,"",AH448-LOOKUP(2,1/(AG448:AG448&lt;&gt;""),AG448:AG448)))</t>
        </is>
      </c>
      <c r="AV448" s="38" t="inlineStr">
        <is>
          <t>IF(OR(E448="",AI448=""),"",IF(COUNT(AG448:AH448)=0,"",AI448-LOOKUP(2,1/(AG448:AH448&lt;&gt;""),AG448:AH448)))</t>
        </is>
      </c>
      <c r="AW448" s="38" t="inlineStr">
        <is>
          <t>IF(OR(E448="",AJ448=""),"",IF(COUNT(AG448:AI448)=0,"",AJ448-LOOKUP(2,1/(AG448:AI448&lt;&gt;""),AG448:AI448)))</t>
        </is>
      </c>
      <c r="AX448" s="38" t="inlineStr">
        <is>
          <t>IF(OR(E448="",AK448=""),"",IF(COUNT(AG448:AJ448)=0,"",AK448-LOOKUP(2,1/(AG448:AJ448&lt;&gt;""),AG448:AJ448)))</t>
        </is>
      </c>
      <c r="AY448" s="38" t="inlineStr">
        <is>
          <t>IF(OR(E448="",AL448=""),"",IF(COUNT(AG448:AK448)=0,"",AL448-LOOKUP(2,1/(AG448:AK448&lt;&gt;""),AG448:AK448)))</t>
        </is>
      </c>
      <c r="AZ448" s="38" t="inlineStr">
        <is>
          <t>IF(OR(E448="",AM448=""),"",IF(COUNT(AG448:AL448)=0,"",AM448-LOOKUP(2,1/(AG448:AL448&lt;&gt;""),AG448:AL448)))</t>
        </is>
      </c>
      <c r="BA448" s="38" t="inlineStr">
        <is>
          <t>IF(OR(E448="",AN448=""),"",IF(COUNT(AG448:AM448)=0,"",AN448-LOOKUP(2,1/(AG448:AM448&lt;&gt;""),AG448:AM448)))</t>
        </is>
      </c>
      <c r="BB448" s="38" t="inlineStr">
        <is>
          <t>IF(OR(E448="",AO448=""),"",IF(COUNT(AG448:AN448)=0,"",AO448-LOOKUP(2,1/(AG448:AN448&lt;&gt;""),AG448:AN448)))</t>
        </is>
      </c>
      <c r="BC448" s="38" t="inlineStr">
        <is>
          <t>IF(OR(E448="",AP448=""),"",IF(COUNT(AG448:AO448)=0,"",AP448-LOOKUP(2,1/(AG448:AO448&lt;&gt;""),AG448:AO448)))</t>
        </is>
      </c>
      <c r="BD448" s="38" t="inlineStr">
        <is>
          <t>IF(OR(E448="",AQ448=""),"",IF(COUNT(AG448:AP448)=0,"",AQ448-LOOKUP(2,1/(AG448:AP448&lt;&gt;""),AG448:AP448)))</t>
        </is>
      </c>
      <c r="BE448" s="38" t="inlineStr">
        <is>
          <t>IF(OR(E448="",AR448=""),"",IF(COUNT(AG448:AQ448)=0,"",AR448-LOOKUP(2,1/(AG448:AQ448&lt;&gt;""),AG448:AQ448)))</t>
        </is>
      </c>
      <c r="BF448" s="38" t="inlineStr">
        <is>
          <t>IF(OR(E448="",AS448=""),"",IF(COUNT(AG448:AR448)=0,"",AS448-LOOKUP(2,1/(AG448:AR448&lt;&gt;""),AG448:AR448)))</t>
        </is>
      </c>
      <c r="BG448" s="38" t="inlineStr">
        <is>
          <t>IF(OR(E448="",AT448=""),"",IF(COUNT(AG448:AS448)=0,"",AT448-LOOKUP(2,1/(AG448:AS448&lt;&gt;""),AG448:AS448)))</t>
        </is>
      </c>
      <c r="BH448" s="41" t="inlineStr">
        <is>
          <t>IF(G448="","All_Provinces",IFERROR(VLOOKUP(G448,'07_Lookups'!$A$4:$B$20,2,FALSE),"All_Provinces"))</t>
        </is>
      </c>
      <c r="BI448" s="41" t="inlineStr">
        <is>
          <t>IF(H448="","All_Districts",IFERROR(VLOOKUP(H448,'07_Lookups'!$E$4:$F$42,2,FALSE),"All_Districts"))</t>
        </is>
      </c>
    </row>
    <row r="449" ht="18" customHeight="1">
      <c r="A449" s="32" t="inlineStr">
        <is>
          <t>IF(E449="","",ROW()-3)</t>
        </is>
      </c>
      <c r="B449" s="42" t="n"/>
      <c r="C449" s="42" t="n"/>
      <c r="D449" s="42" t="n"/>
      <c r="E449" s="42" t="n"/>
      <c r="F449" s="42" t="n"/>
      <c r="G449" s="42" t="n"/>
      <c r="H449" s="42" t="n"/>
      <c r="I449" s="42" t="n"/>
      <c r="J449" s="42" t="n"/>
      <c r="K449" s="42" t="n"/>
      <c r="L449" s="42" t="n"/>
      <c r="M449" s="42" t="n"/>
      <c r="N449" s="42" t="n"/>
      <c r="O449" s="42" t="n"/>
      <c r="P449" s="42" t="n"/>
      <c r="Q449" s="43" t="n"/>
      <c r="R449" s="35" t="inlineStr">
        <is>
          <t>IF(AO449="","",AO449)</t>
        </is>
      </c>
      <c r="S449" s="44" t="n"/>
      <c r="T449" s="45" t="n"/>
      <c r="U449" s="44" t="n"/>
      <c r="V449" s="35" t="inlineStr">
        <is>
          <t>IF(U449&lt;&gt;"",U449,IF(OR(R449="",T449=""),"",EDATE(R449,T449)))</t>
        </is>
      </c>
      <c r="W449" s="44" t="n"/>
      <c r="X449" s="45" t="n"/>
      <c r="Y449" s="42" t="n"/>
      <c r="Z449" s="42" t="n"/>
      <c r="AA449" s="32" t="inlineStr">
        <is>
          <t>IF(E449="","",IF(COUNT(AG449:AT449)=0,IF(Y449="","Not started",Y449),SUBSTITUTE(LOOKUP(2,1/(AG449:AT449&lt;&gt;""),$AG$3:$AT$3),"Date: ","")))</t>
        </is>
      </c>
      <c r="AB449" s="38" t="inlineStr">
        <is>
          <t>IF(OR(E449="",COUNT(AG449:AT449)=0),"",TODAY()-LOOKUP(2,1/(AG449:AT449&lt;&gt;""),AG449:AT449))</t>
        </is>
      </c>
      <c r="AC449" s="38" t="inlineStr">
        <is>
          <t>IF(OR(E449="",COUNT(AG449:AT449)&lt;2),"",LOOKUP(2,1/(AG449:AT449&lt;&gt;""),AG449:AT449)-MIN(AG449:AT449))</t>
        </is>
      </c>
      <c r="AD449" s="38" t="inlineStr">
        <is>
          <t>IF(OR(AB449="",AA449="Not started",AA449=""),"",IFERROR(AB449-IF(VLOOKUP(AA449,'04_Status_Pipeline'!$B$3:$E$20,4,FALSE)="",0,VLOOKUP(AA449,'04_Status_Pipeline'!$B$3:$E$20,4,FALSE)),""))</t>
        </is>
      </c>
      <c r="AE449" s="32" t="inlineStr">
        <is>
          <t>IF(E449="","",IF(OR(Y449="Cancelled",AA449="Cancelled"),"Cancelled",IF(OR(AA449="Completed / Handover",W449&lt;&gt;"",X449&gt;=100),"Completed — on track",IF(L449="Remaining",IF(S449="",IF(V449="","No planned date",IF(TODAY()&gt;V449,"Behind — past planned date",IF(V449-TODAY()&lt;=30,"At risk — close to off track","On track"))),IF(TODAY()&gt;S449,"Behind — award date passed",IF(S449-TODAY()&lt;=30,"At risk — close to off track","On track"))),IF(V449="","No planned date",IF(AND(TODAY()&gt;V449,OR(X449="",X449&lt;100)),"Behind — past end date",IF(AND(R449&lt;&gt;"",V449&lt;&gt;"",X449&lt;&gt;"",(X449&lt;100),((TODAY()-R449)/MAX(V449-R449,1)*100)-X449&gt;15),"Behind — progress lag",IF(AND(V449-TODAY()&lt;=30,V449-TODAY()&gt;=0,OR(X449="",X449&lt;90)),"At risk — close to off track","On track"))))))))</t>
        </is>
      </c>
      <c r="AF449" s="38" t="inlineStr">
        <is>
          <t>IF(OR(E449="",AA449="Completed / Handover",AA449="Cancelled"),"",IF(L449="Remaining",IF(S449&lt;&gt;"",S449-TODAY(),IF(V449="","",V449-TODAY())),IF(V449="","",V449-TODAY())))</t>
        </is>
      </c>
      <c r="AG449" s="44" t="n"/>
      <c r="AH449" s="44" t="n"/>
      <c r="AI449" s="44" t="n"/>
      <c r="AJ449" s="44" t="n"/>
      <c r="AK449" s="44" t="n"/>
      <c r="AL449" s="44" t="n"/>
      <c r="AM449" s="44" t="n"/>
      <c r="AN449" s="44" t="n"/>
      <c r="AO449" s="44" t="n"/>
      <c r="AP449" s="44" t="n"/>
      <c r="AQ449" s="44" t="n"/>
      <c r="AR449" s="40" t="n"/>
      <c r="AS449" s="40" t="n"/>
      <c r="AT449" s="40" t="n"/>
      <c r="AU449" s="38" t="inlineStr">
        <is>
          <t>IF(OR(E449="",AH449=""),"",IF(COUNT(AG449:AG449)=0,"",AH449-LOOKUP(2,1/(AG449:AG449&lt;&gt;""),AG449:AG449)))</t>
        </is>
      </c>
      <c r="AV449" s="38" t="inlineStr">
        <is>
          <t>IF(OR(E449="",AI449=""),"",IF(COUNT(AG449:AH449)=0,"",AI449-LOOKUP(2,1/(AG449:AH449&lt;&gt;""),AG449:AH449)))</t>
        </is>
      </c>
      <c r="AW449" s="38" t="inlineStr">
        <is>
          <t>IF(OR(E449="",AJ449=""),"",IF(COUNT(AG449:AI449)=0,"",AJ449-LOOKUP(2,1/(AG449:AI449&lt;&gt;""),AG449:AI449)))</t>
        </is>
      </c>
      <c r="AX449" s="38" t="inlineStr">
        <is>
          <t>IF(OR(E449="",AK449=""),"",IF(COUNT(AG449:AJ449)=0,"",AK449-LOOKUP(2,1/(AG449:AJ449&lt;&gt;""),AG449:AJ449)))</t>
        </is>
      </c>
      <c r="AY449" s="38" t="inlineStr">
        <is>
          <t>IF(OR(E449="",AL449=""),"",IF(COUNT(AG449:AK449)=0,"",AL449-LOOKUP(2,1/(AG449:AK449&lt;&gt;""),AG449:AK449)))</t>
        </is>
      </c>
      <c r="AZ449" s="38" t="inlineStr">
        <is>
          <t>IF(OR(E449="",AM449=""),"",IF(COUNT(AG449:AL449)=0,"",AM449-LOOKUP(2,1/(AG449:AL449&lt;&gt;""),AG449:AL449)))</t>
        </is>
      </c>
      <c r="BA449" s="38" t="inlineStr">
        <is>
          <t>IF(OR(E449="",AN449=""),"",IF(COUNT(AG449:AM449)=0,"",AN449-LOOKUP(2,1/(AG449:AM449&lt;&gt;""),AG449:AM449)))</t>
        </is>
      </c>
      <c r="BB449" s="38" t="inlineStr">
        <is>
          <t>IF(OR(E449="",AO449=""),"",IF(COUNT(AG449:AN449)=0,"",AO449-LOOKUP(2,1/(AG449:AN449&lt;&gt;""),AG449:AN449)))</t>
        </is>
      </c>
      <c r="BC449" s="38" t="inlineStr">
        <is>
          <t>IF(OR(E449="",AP449=""),"",IF(COUNT(AG449:AO449)=0,"",AP449-LOOKUP(2,1/(AG449:AO449&lt;&gt;""),AG449:AO449)))</t>
        </is>
      </c>
      <c r="BD449" s="38" t="inlineStr">
        <is>
          <t>IF(OR(E449="",AQ449=""),"",IF(COUNT(AG449:AP449)=0,"",AQ449-LOOKUP(2,1/(AG449:AP449&lt;&gt;""),AG449:AP449)))</t>
        </is>
      </c>
      <c r="BE449" s="38" t="inlineStr">
        <is>
          <t>IF(OR(E449="",AR449=""),"",IF(COUNT(AG449:AQ449)=0,"",AR449-LOOKUP(2,1/(AG449:AQ449&lt;&gt;""),AG449:AQ449)))</t>
        </is>
      </c>
      <c r="BF449" s="38" t="inlineStr">
        <is>
          <t>IF(OR(E449="",AS449=""),"",IF(COUNT(AG449:AR449)=0,"",AS449-LOOKUP(2,1/(AG449:AR449&lt;&gt;""),AG449:AR449)))</t>
        </is>
      </c>
      <c r="BG449" s="38" t="inlineStr">
        <is>
          <t>IF(OR(E449="",AT449=""),"",IF(COUNT(AG449:AS449)=0,"",AT449-LOOKUP(2,1/(AG449:AS449&lt;&gt;""),AG449:AS449)))</t>
        </is>
      </c>
      <c r="BH449" s="41" t="inlineStr">
        <is>
          <t>IF(G449="","All_Provinces",IFERROR(VLOOKUP(G449,'07_Lookups'!$A$4:$B$20,2,FALSE),"All_Provinces"))</t>
        </is>
      </c>
      <c r="BI449" s="41" t="inlineStr">
        <is>
          <t>IF(H449="","All_Districts",IFERROR(VLOOKUP(H449,'07_Lookups'!$E$4:$F$42,2,FALSE),"All_Districts"))</t>
        </is>
      </c>
    </row>
    <row r="450" ht="18" customHeight="1">
      <c r="A450" s="32" t="inlineStr">
        <is>
          <t>IF(E450="","",ROW()-3)</t>
        </is>
      </c>
      <c r="B450" s="33" t="n"/>
      <c r="C450" s="33" t="n"/>
      <c r="D450" s="33" t="n"/>
      <c r="E450" s="33" t="n"/>
      <c r="F450" s="33" t="n"/>
      <c r="G450" s="33" t="n"/>
      <c r="H450" s="33" t="n"/>
      <c r="I450" s="33" t="n"/>
      <c r="J450" s="33" t="n"/>
      <c r="K450" s="33" t="n"/>
      <c r="L450" s="33" t="n"/>
      <c r="M450" s="33" t="n"/>
      <c r="N450" s="33" t="n"/>
      <c r="O450" s="33" t="n"/>
      <c r="P450" s="33" t="n"/>
      <c r="Q450" s="34" t="n"/>
      <c r="R450" s="35" t="inlineStr">
        <is>
          <t>IF(AO450="","",AO450)</t>
        </is>
      </c>
      <c r="S450" s="36" t="n"/>
      <c r="T450" s="37" t="n"/>
      <c r="U450" s="36" t="n"/>
      <c r="V450" s="35" t="inlineStr">
        <is>
          <t>IF(U450&lt;&gt;"",U450,IF(OR(R450="",T450=""),"",EDATE(R450,T450)))</t>
        </is>
      </c>
      <c r="W450" s="36" t="n"/>
      <c r="X450" s="37" t="n"/>
      <c r="Y450" s="33" t="n"/>
      <c r="Z450" s="33" t="n"/>
      <c r="AA450" s="32" t="inlineStr">
        <is>
          <t>IF(E450="","",IF(COUNT(AG450:AT450)=0,IF(Y450="","Not started",Y450),SUBSTITUTE(LOOKUP(2,1/(AG450:AT450&lt;&gt;""),$AG$3:$AT$3),"Date: ","")))</t>
        </is>
      </c>
      <c r="AB450" s="38" t="inlineStr">
        <is>
          <t>IF(OR(E450="",COUNT(AG450:AT450)=0),"",TODAY()-LOOKUP(2,1/(AG450:AT450&lt;&gt;""),AG450:AT450))</t>
        </is>
      </c>
      <c r="AC450" s="38" t="inlineStr">
        <is>
          <t>IF(OR(E450="",COUNT(AG450:AT450)&lt;2),"",LOOKUP(2,1/(AG450:AT450&lt;&gt;""),AG450:AT450)-MIN(AG450:AT450))</t>
        </is>
      </c>
      <c r="AD450" s="38" t="inlineStr">
        <is>
          <t>IF(OR(AB450="",AA450="Not started",AA450=""),"",IFERROR(AB450-IF(VLOOKUP(AA450,'04_Status_Pipeline'!$B$3:$E$20,4,FALSE)="",0,VLOOKUP(AA450,'04_Status_Pipeline'!$B$3:$E$20,4,FALSE)),""))</t>
        </is>
      </c>
      <c r="AE450" s="32" t="inlineStr">
        <is>
          <t>IF(E450="","",IF(OR(Y450="Cancelled",AA450="Cancelled"),"Cancelled",IF(OR(AA450="Completed / Handover",W450&lt;&gt;"",X450&gt;=100),"Completed — on track",IF(L450="Remaining",IF(S450="",IF(V450="","No planned date",IF(TODAY()&gt;V450,"Behind — past planned date",IF(V450-TODAY()&lt;=30,"At risk — close to off track","On track"))),IF(TODAY()&gt;S450,"Behind — award date passed",IF(S450-TODAY()&lt;=30,"At risk — close to off track","On track"))),IF(V450="","No planned date",IF(AND(TODAY()&gt;V450,OR(X450="",X450&lt;100)),"Behind — past end date",IF(AND(R450&lt;&gt;"",V450&lt;&gt;"",X450&lt;&gt;"",(X450&lt;100),((TODAY()-R450)/MAX(V450-R450,1)*100)-X450&gt;15),"Behind — progress lag",IF(AND(V450-TODAY()&lt;=30,V450-TODAY()&gt;=0,OR(X450="",X450&lt;90)),"At risk — close to off track","On track"))))))))</t>
        </is>
      </c>
      <c r="AF450" s="38" t="inlineStr">
        <is>
          <t>IF(OR(E450="",AA450="Completed / Handover",AA450="Cancelled"),"",IF(L450="Remaining",IF(S450&lt;&gt;"",S450-TODAY(),IF(V450="","",V450-TODAY())),IF(V450="","",V450-TODAY())))</t>
        </is>
      </c>
      <c r="AG450" s="36" t="n"/>
      <c r="AH450" s="36" t="n"/>
      <c r="AI450" s="36" t="n"/>
      <c r="AJ450" s="36" t="n"/>
      <c r="AK450" s="36" t="n"/>
      <c r="AL450" s="36" t="n"/>
      <c r="AM450" s="36" t="n"/>
      <c r="AN450" s="36" t="n"/>
      <c r="AO450" s="36" t="n"/>
      <c r="AP450" s="36" t="n"/>
      <c r="AQ450" s="36" t="n"/>
      <c r="AR450" s="40" t="n"/>
      <c r="AS450" s="40" t="n"/>
      <c r="AT450" s="40" t="n"/>
      <c r="AU450" s="38" t="inlineStr">
        <is>
          <t>IF(OR(E450="",AH450=""),"",IF(COUNT(AG450:AG450)=0,"",AH450-LOOKUP(2,1/(AG450:AG450&lt;&gt;""),AG450:AG450)))</t>
        </is>
      </c>
      <c r="AV450" s="38" t="inlineStr">
        <is>
          <t>IF(OR(E450="",AI450=""),"",IF(COUNT(AG450:AH450)=0,"",AI450-LOOKUP(2,1/(AG450:AH450&lt;&gt;""),AG450:AH450)))</t>
        </is>
      </c>
      <c r="AW450" s="38" t="inlineStr">
        <is>
          <t>IF(OR(E450="",AJ450=""),"",IF(COUNT(AG450:AI450)=0,"",AJ450-LOOKUP(2,1/(AG450:AI450&lt;&gt;""),AG450:AI450)))</t>
        </is>
      </c>
      <c r="AX450" s="38" t="inlineStr">
        <is>
          <t>IF(OR(E450="",AK450=""),"",IF(COUNT(AG450:AJ450)=0,"",AK450-LOOKUP(2,1/(AG450:AJ450&lt;&gt;""),AG450:AJ450)))</t>
        </is>
      </c>
      <c r="AY450" s="38" t="inlineStr">
        <is>
          <t>IF(OR(E450="",AL450=""),"",IF(COUNT(AG450:AK450)=0,"",AL450-LOOKUP(2,1/(AG450:AK450&lt;&gt;""),AG450:AK450)))</t>
        </is>
      </c>
      <c r="AZ450" s="38" t="inlineStr">
        <is>
          <t>IF(OR(E450="",AM450=""),"",IF(COUNT(AG450:AL450)=0,"",AM450-LOOKUP(2,1/(AG450:AL450&lt;&gt;""),AG450:AL450)))</t>
        </is>
      </c>
      <c r="BA450" s="38" t="inlineStr">
        <is>
          <t>IF(OR(E450="",AN450=""),"",IF(COUNT(AG450:AM450)=0,"",AN450-LOOKUP(2,1/(AG450:AM450&lt;&gt;""),AG450:AM450)))</t>
        </is>
      </c>
      <c r="BB450" s="38" t="inlineStr">
        <is>
          <t>IF(OR(E450="",AO450=""),"",IF(COUNT(AG450:AN450)=0,"",AO450-LOOKUP(2,1/(AG450:AN450&lt;&gt;""),AG450:AN450)))</t>
        </is>
      </c>
      <c r="BC450" s="38" t="inlineStr">
        <is>
          <t>IF(OR(E450="",AP450=""),"",IF(COUNT(AG450:AO450)=0,"",AP450-LOOKUP(2,1/(AG450:AO450&lt;&gt;""),AG450:AO450)))</t>
        </is>
      </c>
      <c r="BD450" s="38" t="inlineStr">
        <is>
          <t>IF(OR(E450="",AQ450=""),"",IF(COUNT(AG450:AP450)=0,"",AQ450-LOOKUP(2,1/(AG450:AP450&lt;&gt;""),AG450:AP450)))</t>
        </is>
      </c>
      <c r="BE450" s="38" t="inlineStr">
        <is>
          <t>IF(OR(E450="",AR450=""),"",IF(COUNT(AG450:AQ450)=0,"",AR450-LOOKUP(2,1/(AG450:AQ450&lt;&gt;""),AG450:AQ450)))</t>
        </is>
      </c>
      <c r="BF450" s="38" t="inlineStr">
        <is>
          <t>IF(OR(E450="",AS450=""),"",IF(COUNT(AG450:AR450)=0,"",AS450-LOOKUP(2,1/(AG450:AR450&lt;&gt;""),AG450:AR450)))</t>
        </is>
      </c>
      <c r="BG450" s="38" t="inlineStr">
        <is>
          <t>IF(OR(E450="",AT450=""),"",IF(COUNT(AG450:AS450)=0,"",AT450-LOOKUP(2,1/(AG450:AS450&lt;&gt;""),AG450:AS450)))</t>
        </is>
      </c>
      <c r="BH450" s="41" t="inlineStr">
        <is>
          <t>IF(G450="","All_Provinces",IFERROR(VLOOKUP(G450,'07_Lookups'!$A$4:$B$20,2,FALSE),"All_Provinces"))</t>
        </is>
      </c>
      <c r="BI450" s="41" t="inlineStr">
        <is>
          <t>IF(H450="","All_Districts",IFERROR(VLOOKUP(H450,'07_Lookups'!$E$4:$F$42,2,FALSE),"All_Districts"))</t>
        </is>
      </c>
    </row>
    <row r="451" ht="18" customHeight="1">
      <c r="A451" s="32" t="inlineStr">
        <is>
          <t>IF(E451="","",ROW()-3)</t>
        </is>
      </c>
      <c r="B451" s="42" t="n"/>
      <c r="C451" s="42" t="n"/>
      <c r="D451" s="42" t="n"/>
      <c r="E451" s="42" t="n"/>
      <c r="F451" s="42" t="n"/>
      <c r="G451" s="42" t="n"/>
      <c r="H451" s="42" t="n"/>
      <c r="I451" s="42" t="n"/>
      <c r="J451" s="42" t="n"/>
      <c r="K451" s="42" t="n"/>
      <c r="L451" s="42" t="n"/>
      <c r="M451" s="42" t="n"/>
      <c r="N451" s="42" t="n"/>
      <c r="O451" s="42" t="n"/>
      <c r="P451" s="42" t="n"/>
      <c r="Q451" s="43" t="n"/>
      <c r="R451" s="35" t="inlineStr">
        <is>
          <t>IF(AO451="","",AO451)</t>
        </is>
      </c>
      <c r="S451" s="44" t="n"/>
      <c r="T451" s="45" t="n"/>
      <c r="U451" s="44" t="n"/>
      <c r="V451" s="35" t="inlineStr">
        <is>
          <t>IF(U451&lt;&gt;"",U451,IF(OR(R451="",T451=""),"",EDATE(R451,T451)))</t>
        </is>
      </c>
      <c r="W451" s="44" t="n"/>
      <c r="X451" s="45" t="n"/>
      <c r="Y451" s="42" t="n"/>
      <c r="Z451" s="42" t="n"/>
      <c r="AA451" s="32" t="inlineStr">
        <is>
          <t>IF(E451="","",IF(COUNT(AG451:AT451)=0,IF(Y451="","Not started",Y451),SUBSTITUTE(LOOKUP(2,1/(AG451:AT451&lt;&gt;""),$AG$3:$AT$3),"Date: ","")))</t>
        </is>
      </c>
      <c r="AB451" s="38" t="inlineStr">
        <is>
          <t>IF(OR(E451="",COUNT(AG451:AT451)=0),"",TODAY()-LOOKUP(2,1/(AG451:AT451&lt;&gt;""),AG451:AT451))</t>
        </is>
      </c>
      <c r="AC451" s="38" t="inlineStr">
        <is>
          <t>IF(OR(E451="",COUNT(AG451:AT451)&lt;2),"",LOOKUP(2,1/(AG451:AT451&lt;&gt;""),AG451:AT451)-MIN(AG451:AT451))</t>
        </is>
      </c>
      <c r="AD451" s="38" t="inlineStr">
        <is>
          <t>IF(OR(AB451="",AA451="Not started",AA451=""),"",IFERROR(AB451-IF(VLOOKUP(AA451,'04_Status_Pipeline'!$B$3:$E$20,4,FALSE)="",0,VLOOKUP(AA451,'04_Status_Pipeline'!$B$3:$E$20,4,FALSE)),""))</t>
        </is>
      </c>
      <c r="AE451" s="32" t="inlineStr">
        <is>
          <t>IF(E451="","",IF(OR(Y451="Cancelled",AA451="Cancelled"),"Cancelled",IF(OR(AA451="Completed / Handover",W451&lt;&gt;"",X451&gt;=100),"Completed — on track",IF(L451="Remaining",IF(S451="",IF(V451="","No planned date",IF(TODAY()&gt;V451,"Behind — past planned date",IF(V451-TODAY()&lt;=30,"At risk — close to off track","On track"))),IF(TODAY()&gt;S451,"Behind — award date passed",IF(S451-TODAY()&lt;=30,"At risk — close to off track","On track"))),IF(V451="","No planned date",IF(AND(TODAY()&gt;V451,OR(X451="",X451&lt;100)),"Behind — past end date",IF(AND(R451&lt;&gt;"",V451&lt;&gt;"",X451&lt;&gt;"",(X451&lt;100),((TODAY()-R451)/MAX(V451-R451,1)*100)-X451&gt;15),"Behind — progress lag",IF(AND(V451-TODAY()&lt;=30,V451-TODAY()&gt;=0,OR(X451="",X451&lt;90)),"At risk — close to off track","On track"))))))))</t>
        </is>
      </c>
      <c r="AF451" s="38" t="inlineStr">
        <is>
          <t>IF(OR(E451="",AA451="Completed / Handover",AA451="Cancelled"),"",IF(L451="Remaining",IF(S451&lt;&gt;"",S451-TODAY(),IF(V451="","",V451-TODAY())),IF(V451="","",V451-TODAY())))</t>
        </is>
      </c>
      <c r="AG451" s="44" t="n"/>
      <c r="AH451" s="44" t="n"/>
      <c r="AI451" s="44" t="n"/>
      <c r="AJ451" s="44" t="n"/>
      <c r="AK451" s="44" t="n"/>
      <c r="AL451" s="44" t="n"/>
      <c r="AM451" s="44" t="n"/>
      <c r="AN451" s="44" t="n"/>
      <c r="AO451" s="44" t="n"/>
      <c r="AP451" s="44" t="n"/>
      <c r="AQ451" s="44" t="n"/>
      <c r="AR451" s="40" t="n"/>
      <c r="AS451" s="40" t="n"/>
      <c r="AT451" s="40" t="n"/>
      <c r="AU451" s="38" t="inlineStr">
        <is>
          <t>IF(OR(E451="",AH451=""),"",IF(COUNT(AG451:AG451)=0,"",AH451-LOOKUP(2,1/(AG451:AG451&lt;&gt;""),AG451:AG451)))</t>
        </is>
      </c>
      <c r="AV451" s="38" t="inlineStr">
        <is>
          <t>IF(OR(E451="",AI451=""),"",IF(COUNT(AG451:AH451)=0,"",AI451-LOOKUP(2,1/(AG451:AH451&lt;&gt;""),AG451:AH451)))</t>
        </is>
      </c>
      <c r="AW451" s="38" t="inlineStr">
        <is>
          <t>IF(OR(E451="",AJ451=""),"",IF(COUNT(AG451:AI451)=0,"",AJ451-LOOKUP(2,1/(AG451:AI451&lt;&gt;""),AG451:AI451)))</t>
        </is>
      </c>
      <c r="AX451" s="38" t="inlineStr">
        <is>
          <t>IF(OR(E451="",AK451=""),"",IF(COUNT(AG451:AJ451)=0,"",AK451-LOOKUP(2,1/(AG451:AJ451&lt;&gt;""),AG451:AJ451)))</t>
        </is>
      </c>
      <c r="AY451" s="38" t="inlineStr">
        <is>
          <t>IF(OR(E451="",AL451=""),"",IF(COUNT(AG451:AK451)=0,"",AL451-LOOKUP(2,1/(AG451:AK451&lt;&gt;""),AG451:AK451)))</t>
        </is>
      </c>
      <c r="AZ451" s="38" t="inlineStr">
        <is>
          <t>IF(OR(E451="",AM451=""),"",IF(COUNT(AG451:AL451)=0,"",AM451-LOOKUP(2,1/(AG451:AL451&lt;&gt;""),AG451:AL451)))</t>
        </is>
      </c>
      <c r="BA451" s="38" t="inlineStr">
        <is>
          <t>IF(OR(E451="",AN451=""),"",IF(COUNT(AG451:AM451)=0,"",AN451-LOOKUP(2,1/(AG451:AM451&lt;&gt;""),AG451:AM451)))</t>
        </is>
      </c>
      <c r="BB451" s="38" t="inlineStr">
        <is>
          <t>IF(OR(E451="",AO451=""),"",IF(COUNT(AG451:AN451)=0,"",AO451-LOOKUP(2,1/(AG451:AN451&lt;&gt;""),AG451:AN451)))</t>
        </is>
      </c>
      <c r="BC451" s="38" t="inlineStr">
        <is>
          <t>IF(OR(E451="",AP451=""),"",IF(COUNT(AG451:AO451)=0,"",AP451-LOOKUP(2,1/(AG451:AO451&lt;&gt;""),AG451:AO451)))</t>
        </is>
      </c>
      <c r="BD451" s="38" t="inlineStr">
        <is>
          <t>IF(OR(E451="",AQ451=""),"",IF(COUNT(AG451:AP451)=0,"",AQ451-LOOKUP(2,1/(AG451:AP451&lt;&gt;""),AG451:AP451)))</t>
        </is>
      </c>
      <c r="BE451" s="38" t="inlineStr">
        <is>
          <t>IF(OR(E451="",AR451=""),"",IF(COUNT(AG451:AQ451)=0,"",AR451-LOOKUP(2,1/(AG451:AQ451&lt;&gt;""),AG451:AQ451)))</t>
        </is>
      </c>
      <c r="BF451" s="38" t="inlineStr">
        <is>
          <t>IF(OR(E451="",AS451=""),"",IF(COUNT(AG451:AR451)=0,"",AS451-LOOKUP(2,1/(AG451:AR451&lt;&gt;""),AG451:AR451)))</t>
        </is>
      </c>
      <c r="BG451" s="38" t="inlineStr">
        <is>
          <t>IF(OR(E451="",AT451=""),"",IF(COUNT(AG451:AS451)=0,"",AT451-LOOKUP(2,1/(AG451:AS451&lt;&gt;""),AG451:AS451)))</t>
        </is>
      </c>
      <c r="BH451" s="41" t="inlineStr">
        <is>
          <t>IF(G451="","All_Provinces",IFERROR(VLOOKUP(G451,'07_Lookups'!$A$4:$B$20,2,FALSE),"All_Provinces"))</t>
        </is>
      </c>
      <c r="BI451" s="41" t="inlineStr">
        <is>
          <t>IF(H451="","All_Districts",IFERROR(VLOOKUP(H451,'07_Lookups'!$E$4:$F$42,2,FALSE),"All_Districts"))</t>
        </is>
      </c>
    </row>
    <row r="452" ht="18" customHeight="1">
      <c r="A452" s="32" t="inlineStr">
        <is>
          <t>IF(E452="","",ROW()-3)</t>
        </is>
      </c>
      <c r="B452" s="33" t="n"/>
      <c r="C452" s="33" t="n"/>
      <c r="D452" s="33" t="n"/>
      <c r="E452" s="33" t="n"/>
      <c r="F452" s="33" t="n"/>
      <c r="G452" s="33" t="n"/>
      <c r="H452" s="33" t="n"/>
      <c r="I452" s="33" t="n"/>
      <c r="J452" s="33" t="n"/>
      <c r="K452" s="33" t="n"/>
      <c r="L452" s="33" t="n"/>
      <c r="M452" s="33" t="n"/>
      <c r="N452" s="33" t="n"/>
      <c r="O452" s="33" t="n"/>
      <c r="P452" s="33" t="n"/>
      <c r="Q452" s="34" t="n"/>
      <c r="R452" s="35" t="inlineStr">
        <is>
          <t>IF(AO452="","",AO452)</t>
        </is>
      </c>
      <c r="S452" s="36" t="n"/>
      <c r="T452" s="37" t="n"/>
      <c r="U452" s="36" t="n"/>
      <c r="V452" s="35" t="inlineStr">
        <is>
          <t>IF(U452&lt;&gt;"",U452,IF(OR(R452="",T452=""),"",EDATE(R452,T452)))</t>
        </is>
      </c>
      <c r="W452" s="36" t="n"/>
      <c r="X452" s="37" t="n"/>
      <c r="Y452" s="33" t="n"/>
      <c r="Z452" s="33" t="n"/>
      <c r="AA452" s="32" t="inlineStr">
        <is>
          <t>IF(E452="","",IF(COUNT(AG452:AT452)=0,IF(Y452="","Not started",Y452),SUBSTITUTE(LOOKUP(2,1/(AG452:AT452&lt;&gt;""),$AG$3:$AT$3),"Date: ","")))</t>
        </is>
      </c>
      <c r="AB452" s="38" t="inlineStr">
        <is>
          <t>IF(OR(E452="",COUNT(AG452:AT452)=0),"",TODAY()-LOOKUP(2,1/(AG452:AT452&lt;&gt;""),AG452:AT452))</t>
        </is>
      </c>
      <c r="AC452" s="38" t="inlineStr">
        <is>
          <t>IF(OR(E452="",COUNT(AG452:AT452)&lt;2),"",LOOKUP(2,1/(AG452:AT452&lt;&gt;""),AG452:AT452)-MIN(AG452:AT452))</t>
        </is>
      </c>
      <c r="AD452" s="38" t="inlineStr">
        <is>
          <t>IF(OR(AB452="",AA452="Not started",AA452=""),"",IFERROR(AB452-IF(VLOOKUP(AA452,'04_Status_Pipeline'!$B$3:$E$20,4,FALSE)="",0,VLOOKUP(AA452,'04_Status_Pipeline'!$B$3:$E$20,4,FALSE)),""))</t>
        </is>
      </c>
      <c r="AE452" s="32" t="inlineStr">
        <is>
          <t>IF(E452="","",IF(OR(Y452="Cancelled",AA452="Cancelled"),"Cancelled",IF(OR(AA452="Completed / Handover",W452&lt;&gt;"",X452&gt;=100),"Completed — on track",IF(L452="Remaining",IF(S452="",IF(V452="","No planned date",IF(TODAY()&gt;V452,"Behind — past planned date",IF(V452-TODAY()&lt;=30,"At risk — close to off track","On track"))),IF(TODAY()&gt;S452,"Behind — award date passed",IF(S452-TODAY()&lt;=30,"At risk — close to off track","On track"))),IF(V452="","No planned date",IF(AND(TODAY()&gt;V452,OR(X452="",X452&lt;100)),"Behind — past end date",IF(AND(R452&lt;&gt;"",V452&lt;&gt;"",X452&lt;&gt;"",(X452&lt;100),((TODAY()-R452)/MAX(V452-R452,1)*100)-X452&gt;15),"Behind — progress lag",IF(AND(V452-TODAY()&lt;=30,V452-TODAY()&gt;=0,OR(X452="",X452&lt;90)),"At risk — close to off track","On track"))))))))</t>
        </is>
      </c>
      <c r="AF452" s="38" t="inlineStr">
        <is>
          <t>IF(OR(E452="",AA452="Completed / Handover",AA452="Cancelled"),"",IF(L452="Remaining",IF(S452&lt;&gt;"",S452-TODAY(),IF(V452="","",V452-TODAY())),IF(V452="","",V452-TODAY())))</t>
        </is>
      </c>
      <c r="AG452" s="36" t="n"/>
      <c r="AH452" s="36" t="n"/>
      <c r="AI452" s="36" t="n"/>
      <c r="AJ452" s="36" t="n"/>
      <c r="AK452" s="36" t="n"/>
      <c r="AL452" s="36" t="n"/>
      <c r="AM452" s="36" t="n"/>
      <c r="AN452" s="36" t="n"/>
      <c r="AO452" s="36" t="n"/>
      <c r="AP452" s="36" t="n"/>
      <c r="AQ452" s="36" t="n"/>
      <c r="AR452" s="40" t="n"/>
      <c r="AS452" s="40" t="n"/>
      <c r="AT452" s="40" t="n"/>
      <c r="AU452" s="38" t="inlineStr">
        <is>
          <t>IF(OR(E452="",AH452=""),"",IF(COUNT(AG452:AG452)=0,"",AH452-LOOKUP(2,1/(AG452:AG452&lt;&gt;""),AG452:AG452)))</t>
        </is>
      </c>
      <c r="AV452" s="38" t="inlineStr">
        <is>
          <t>IF(OR(E452="",AI452=""),"",IF(COUNT(AG452:AH452)=0,"",AI452-LOOKUP(2,1/(AG452:AH452&lt;&gt;""),AG452:AH452)))</t>
        </is>
      </c>
      <c r="AW452" s="38" t="inlineStr">
        <is>
          <t>IF(OR(E452="",AJ452=""),"",IF(COUNT(AG452:AI452)=0,"",AJ452-LOOKUP(2,1/(AG452:AI452&lt;&gt;""),AG452:AI452)))</t>
        </is>
      </c>
      <c r="AX452" s="38" t="inlineStr">
        <is>
          <t>IF(OR(E452="",AK452=""),"",IF(COUNT(AG452:AJ452)=0,"",AK452-LOOKUP(2,1/(AG452:AJ452&lt;&gt;""),AG452:AJ452)))</t>
        </is>
      </c>
      <c r="AY452" s="38" t="inlineStr">
        <is>
          <t>IF(OR(E452="",AL452=""),"",IF(COUNT(AG452:AK452)=0,"",AL452-LOOKUP(2,1/(AG452:AK452&lt;&gt;""),AG452:AK452)))</t>
        </is>
      </c>
      <c r="AZ452" s="38" t="inlineStr">
        <is>
          <t>IF(OR(E452="",AM452=""),"",IF(COUNT(AG452:AL452)=0,"",AM452-LOOKUP(2,1/(AG452:AL452&lt;&gt;""),AG452:AL452)))</t>
        </is>
      </c>
      <c r="BA452" s="38" t="inlineStr">
        <is>
          <t>IF(OR(E452="",AN452=""),"",IF(COUNT(AG452:AM452)=0,"",AN452-LOOKUP(2,1/(AG452:AM452&lt;&gt;""),AG452:AM452)))</t>
        </is>
      </c>
      <c r="BB452" s="38" t="inlineStr">
        <is>
          <t>IF(OR(E452="",AO452=""),"",IF(COUNT(AG452:AN452)=0,"",AO452-LOOKUP(2,1/(AG452:AN452&lt;&gt;""),AG452:AN452)))</t>
        </is>
      </c>
      <c r="BC452" s="38" t="inlineStr">
        <is>
          <t>IF(OR(E452="",AP452=""),"",IF(COUNT(AG452:AO452)=0,"",AP452-LOOKUP(2,1/(AG452:AO452&lt;&gt;""),AG452:AO452)))</t>
        </is>
      </c>
      <c r="BD452" s="38" t="inlineStr">
        <is>
          <t>IF(OR(E452="",AQ452=""),"",IF(COUNT(AG452:AP452)=0,"",AQ452-LOOKUP(2,1/(AG452:AP452&lt;&gt;""),AG452:AP452)))</t>
        </is>
      </c>
      <c r="BE452" s="38" t="inlineStr">
        <is>
          <t>IF(OR(E452="",AR452=""),"",IF(COUNT(AG452:AQ452)=0,"",AR452-LOOKUP(2,1/(AG452:AQ452&lt;&gt;""),AG452:AQ452)))</t>
        </is>
      </c>
      <c r="BF452" s="38" t="inlineStr">
        <is>
          <t>IF(OR(E452="",AS452=""),"",IF(COUNT(AG452:AR452)=0,"",AS452-LOOKUP(2,1/(AG452:AR452&lt;&gt;""),AG452:AR452)))</t>
        </is>
      </c>
      <c r="BG452" s="38" t="inlineStr">
        <is>
          <t>IF(OR(E452="",AT452=""),"",IF(COUNT(AG452:AS452)=0,"",AT452-LOOKUP(2,1/(AG452:AS452&lt;&gt;""),AG452:AS452)))</t>
        </is>
      </c>
      <c r="BH452" s="41" t="inlineStr">
        <is>
          <t>IF(G452="","All_Provinces",IFERROR(VLOOKUP(G452,'07_Lookups'!$A$4:$B$20,2,FALSE),"All_Provinces"))</t>
        </is>
      </c>
      <c r="BI452" s="41" t="inlineStr">
        <is>
          <t>IF(H452="","All_Districts",IFERROR(VLOOKUP(H452,'07_Lookups'!$E$4:$F$42,2,FALSE),"All_Districts"))</t>
        </is>
      </c>
    </row>
    <row r="453" ht="18" customHeight="1">
      <c r="A453" s="32" t="inlineStr">
        <is>
          <t>IF(E453="","",ROW()-3)</t>
        </is>
      </c>
      <c r="B453" s="42" t="n"/>
      <c r="C453" s="42" t="n"/>
      <c r="D453" s="42" t="n"/>
      <c r="E453" s="42" t="n"/>
      <c r="F453" s="42" t="n"/>
      <c r="G453" s="42" t="n"/>
      <c r="H453" s="42" t="n"/>
      <c r="I453" s="42" t="n"/>
      <c r="J453" s="42" t="n"/>
      <c r="K453" s="42" t="n"/>
      <c r="L453" s="42" t="n"/>
      <c r="M453" s="42" t="n"/>
      <c r="N453" s="42" t="n"/>
      <c r="O453" s="42" t="n"/>
      <c r="P453" s="42" t="n"/>
      <c r="Q453" s="43" t="n"/>
      <c r="R453" s="35" t="inlineStr">
        <is>
          <t>IF(AO453="","",AO453)</t>
        </is>
      </c>
      <c r="S453" s="44" t="n"/>
      <c r="T453" s="45" t="n"/>
      <c r="U453" s="44" t="n"/>
      <c r="V453" s="35" t="inlineStr">
        <is>
          <t>IF(U453&lt;&gt;"",U453,IF(OR(R453="",T453=""),"",EDATE(R453,T453)))</t>
        </is>
      </c>
      <c r="W453" s="44" t="n"/>
      <c r="X453" s="45" t="n"/>
      <c r="Y453" s="42" t="n"/>
      <c r="Z453" s="42" t="n"/>
      <c r="AA453" s="32" t="inlineStr">
        <is>
          <t>IF(E453="","",IF(COUNT(AG453:AT453)=0,IF(Y453="","Not started",Y453),SUBSTITUTE(LOOKUP(2,1/(AG453:AT453&lt;&gt;""),$AG$3:$AT$3),"Date: ","")))</t>
        </is>
      </c>
      <c r="AB453" s="38" t="inlineStr">
        <is>
          <t>IF(OR(E453="",COUNT(AG453:AT453)=0),"",TODAY()-LOOKUP(2,1/(AG453:AT453&lt;&gt;""),AG453:AT453))</t>
        </is>
      </c>
      <c r="AC453" s="38" t="inlineStr">
        <is>
          <t>IF(OR(E453="",COUNT(AG453:AT453)&lt;2),"",LOOKUP(2,1/(AG453:AT453&lt;&gt;""),AG453:AT453)-MIN(AG453:AT453))</t>
        </is>
      </c>
      <c r="AD453" s="38" t="inlineStr">
        <is>
          <t>IF(OR(AB453="",AA453="Not started",AA453=""),"",IFERROR(AB453-IF(VLOOKUP(AA453,'04_Status_Pipeline'!$B$3:$E$20,4,FALSE)="",0,VLOOKUP(AA453,'04_Status_Pipeline'!$B$3:$E$20,4,FALSE)),""))</t>
        </is>
      </c>
      <c r="AE453" s="32" t="inlineStr">
        <is>
          <t>IF(E453="","",IF(OR(Y453="Cancelled",AA453="Cancelled"),"Cancelled",IF(OR(AA453="Completed / Handover",W453&lt;&gt;"",X453&gt;=100),"Completed — on track",IF(L453="Remaining",IF(S453="",IF(V453="","No planned date",IF(TODAY()&gt;V453,"Behind — past planned date",IF(V453-TODAY()&lt;=30,"At risk — close to off track","On track"))),IF(TODAY()&gt;S453,"Behind — award date passed",IF(S453-TODAY()&lt;=30,"At risk — close to off track","On track"))),IF(V453="","No planned date",IF(AND(TODAY()&gt;V453,OR(X453="",X453&lt;100)),"Behind — past end date",IF(AND(R453&lt;&gt;"",V453&lt;&gt;"",X453&lt;&gt;"",(X453&lt;100),((TODAY()-R453)/MAX(V453-R453,1)*100)-X453&gt;15),"Behind — progress lag",IF(AND(V453-TODAY()&lt;=30,V453-TODAY()&gt;=0,OR(X453="",X453&lt;90)),"At risk — close to off track","On track"))))))))</t>
        </is>
      </c>
      <c r="AF453" s="38" t="inlineStr">
        <is>
          <t>IF(OR(E453="",AA453="Completed / Handover",AA453="Cancelled"),"",IF(L453="Remaining",IF(S453&lt;&gt;"",S453-TODAY(),IF(V453="","",V453-TODAY())),IF(V453="","",V453-TODAY())))</t>
        </is>
      </c>
      <c r="AG453" s="44" t="n"/>
      <c r="AH453" s="44" t="n"/>
      <c r="AI453" s="44" t="n"/>
      <c r="AJ453" s="44" t="n"/>
      <c r="AK453" s="44" t="n"/>
      <c r="AL453" s="44" t="n"/>
      <c r="AM453" s="44" t="n"/>
      <c r="AN453" s="44" t="n"/>
      <c r="AO453" s="44" t="n"/>
      <c r="AP453" s="44" t="n"/>
      <c r="AQ453" s="44" t="n"/>
      <c r="AR453" s="40" t="n"/>
      <c r="AS453" s="40" t="n"/>
      <c r="AT453" s="40" t="n"/>
      <c r="AU453" s="38" t="inlineStr">
        <is>
          <t>IF(OR(E453="",AH453=""),"",IF(COUNT(AG453:AG453)=0,"",AH453-LOOKUP(2,1/(AG453:AG453&lt;&gt;""),AG453:AG453)))</t>
        </is>
      </c>
      <c r="AV453" s="38" t="inlineStr">
        <is>
          <t>IF(OR(E453="",AI453=""),"",IF(COUNT(AG453:AH453)=0,"",AI453-LOOKUP(2,1/(AG453:AH453&lt;&gt;""),AG453:AH453)))</t>
        </is>
      </c>
      <c r="AW453" s="38" t="inlineStr">
        <is>
          <t>IF(OR(E453="",AJ453=""),"",IF(COUNT(AG453:AI453)=0,"",AJ453-LOOKUP(2,1/(AG453:AI453&lt;&gt;""),AG453:AI453)))</t>
        </is>
      </c>
      <c r="AX453" s="38" t="inlineStr">
        <is>
          <t>IF(OR(E453="",AK453=""),"",IF(COUNT(AG453:AJ453)=0,"",AK453-LOOKUP(2,1/(AG453:AJ453&lt;&gt;""),AG453:AJ453)))</t>
        </is>
      </c>
      <c r="AY453" s="38" t="inlineStr">
        <is>
          <t>IF(OR(E453="",AL453=""),"",IF(COUNT(AG453:AK453)=0,"",AL453-LOOKUP(2,1/(AG453:AK453&lt;&gt;""),AG453:AK453)))</t>
        </is>
      </c>
      <c r="AZ453" s="38" t="inlineStr">
        <is>
          <t>IF(OR(E453="",AM453=""),"",IF(COUNT(AG453:AL453)=0,"",AM453-LOOKUP(2,1/(AG453:AL453&lt;&gt;""),AG453:AL453)))</t>
        </is>
      </c>
      <c r="BA453" s="38" t="inlineStr">
        <is>
          <t>IF(OR(E453="",AN453=""),"",IF(COUNT(AG453:AM453)=0,"",AN453-LOOKUP(2,1/(AG453:AM453&lt;&gt;""),AG453:AM453)))</t>
        </is>
      </c>
      <c r="BB453" s="38" t="inlineStr">
        <is>
          <t>IF(OR(E453="",AO453=""),"",IF(COUNT(AG453:AN453)=0,"",AO453-LOOKUP(2,1/(AG453:AN453&lt;&gt;""),AG453:AN453)))</t>
        </is>
      </c>
      <c r="BC453" s="38" t="inlineStr">
        <is>
          <t>IF(OR(E453="",AP453=""),"",IF(COUNT(AG453:AO453)=0,"",AP453-LOOKUP(2,1/(AG453:AO453&lt;&gt;""),AG453:AO453)))</t>
        </is>
      </c>
      <c r="BD453" s="38" t="inlineStr">
        <is>
          <t>IF(OR(E453="",AQ453=""),"",IF(COUNT(AG453:AP453)=0,"",AQ453-LOOKUP(2,1/(AG453:AP453&lt;&gt;""),AG453:AP453)))</t>
        </is>
      </c>
      <c r="BE453" s="38" t="inlineStr">
        <is>
          <t>IF(OR(E453="",AR453=""),"",IF(COUNT(AG453:AQ453)=0,"",AR453-LOOKUP(2,1/(AG453:AQ453&lt;&gt;""),AG453:AQ453)))</t>
        </is>
      </c>
      <c r="BF453" s="38" t="inlineStr">
        <is>
          <t>IF(OR(E453="",AS453=""),"",IF(COUNT(AG453:AR453)=0,"",AS453-LOOKUP(2,1/(AG453:AR453&lt;&gt;""),AG453:AR453)))</t>
        </is>
      </c>
      <c r="BG453" s="38" t="inlineStr">
        <is>
          <t>IF(OR(E453="",AT453=""),"",IF(COUNT(AG453:AS453)=0,"",AT453-LOOKUP(2,1/(AG453:AS453&lt;&gt;""),AG453:AS453)))</t>
        </is>
      </c>
      <c r="BH453" s="41" t="inlineStr">
        <is>
          <t>IF(G453="","All_Provinces",IFERROR(VLOOKUP(G453,'07_Lookups'!$A$4:$B$20,2,FALSE),"All_Provinces"))</t>
        </is>
      </c>
      <c r="BI453" s="41" t="inlineStr">
        <is>
          <t>IF(H453="","All_Districts",IFERROR(VLOOKUP(H453,'07_Lookups'!$E$4:$F$42,2,FALSE),"All_Districts"))</t>
        </is>
      </c>
    </row>
  </sheetData>
  <autoFilter ref="A3:BG453"/>
  <mergeCells count="6">
    <mergeCell ref="O2:Z2"/>
    <mergeCell ref="AA2:AF2"/>
    <mergeCell ref="AU2:BG2"/>
    <mergeCell ref="A1:BI1"/>
    <mergeCell ref="A2:N2"/>
    <mergeCell ref="AG2:AT2"/>
  </mergeCells>
  <conditionalFormatting sqref="AA4:AA45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"PR to be Raised"</formula>
    </cfRule>
    <cfRule type="cellIs" priority="5" operator="equal" dxfId="4">
      <formula>"ITB Launched"</formula>
    </cfRule>
    <cfRule type="cellIs" priority="6" operator="equal" dxfId="4">
      <formula>"Retendered (Re-ITB)"</formula>
    </cfRule>
    <cfRule type="cellIs" priority="7" operator="equal" dxfId="5">
      <formula>"Under Technical Evaluation"</formula>
    </cfRule>
    <cfRule type="cellIs" priority="8" operator="equal" dxfId="6">
      <formula>"Under Awarding"</formula>
    </cfRule>
    <cfRule type="cellIs" priority="9" operator="equal" dxfId="7">
      <formula>"Awarded"</formula>
    </cfRule>
    <cfRule type="cellIs" priority="10" operator="equal" dxfId="8">
      <formula>"Under Construction"</formula>
    </cfRule>
    <cfRule type="cellIs" priority="11" operator="equal" dxfId="9">
      <formula>"Completed / Handover"</formula>
    </cfRule>
    <cfRule type="cellIs" priority="12" operator="equal" dxfId="10">
      <formula>"Cancelled"</formula>
    </cfRule>
    <cfRule type="cellIs" priority="13" operator="equal" dxfId="11">
      <formula>"Not started"</formula>
    </cfRule>
  </conditionalFormatting>
  <conditionalFormatting sqref="AB4:AB453">
    <cfRule type="cellIs" priority="14" operator="greaterThan" dxfId="12">
      <formula>30</formula>
    </cfRule>
  </conditionalFormatting>
  <conditionalFormatting sqref="AD4:AD453">
    <cfRule type="cellIs" priority="15" operator="greaterThan" dxfId="13">
      <formula>0</formula>
    </cfRule>
  </conditionalFormatting>
  <conditionalFormatting sqref="X4:X453">
    <cfRule type="dataBar" priority="16">
      <dataBar showValue="1">
        <cfvo type="num" val="0"/>
        <cfvo type="num" val="100"/>
        <color rgb="003D5A3D"/>
      </dataBar>
    </cfRule>
  </conditionalFormatting>
  <conditionalFormatting sqref="AE4:AE453">
    <cfRule type="cellIs" priority="17" operator="equal" dxfId="14">
      <formula>"On track"</formula>
    </cfRule>
    <cfRule type="cellIs" priority="18" operator="equal" dxfId="14">
      <formula>"Completed — on track"</formula>
    </cfRule>
    <cfRule type="cellIs" priority="19" operator="equal" dxfId="15">
      <formula>"At risk — close to off track"</formula>
    </cfRule>
    <cfRule type="cellIs" priority="20" operator="equal" dxfId="16">
      <formula>"Behind — past end date"</formula>
    </cfRule>
    <cfRule type="cellIs" priority="21" operator="equal" dxfId="16">
      <formula>"Behind — past planned date"</formula>
    </cfRule>
    <cfRule type="cellIs" priority="22" operator="equal" dxfId="16">
      <formula>"Behind — award date passed"</formula>
    </cfRule>
    <cfRule type="cellIs" priority="23" operator="equal" dxfId="16">
      <formula>"Behind — progress lag"</formula>
    </cfRule>
    <cfRule type="cellIs" priority="24" operator="equal" dxfId="10">
      <formula>"Cancelled"</formula>
    </cfRule>
  </conditionalFormatting>
  <conditionalFormatting sqref="AF4:AF453">
    <cfRule type="cellIs" priority="25" operator="lessThan" dxfId="16">
      <formula>0</formula>
    </cfRule>
    <cfRule type="cellIs" priority="26" operator="between" dxfId="15">
      <formula>0</formula>
      <formula>30</formula>
    </cfRule>
    <cfRule type="cellIs" priority="27" operator="greaterThan" dxfId="14">
      <formula>30</formula>
    </cfRule>
  </conditionalFormatting>
  <conditionalFormatting sqref="AU4:BG453">
    <cfRule type="cellIs" priority="28" operator="lessThan" dxfId="13">
      <formula>0</formula>
    </cfRule>
  </conditionalFormatting>
  <dataValidations count="12">
    <dataValidation sqref="C4:C453" showDropDown="0" showInputMessage="0" showErrorMessage="1" allowBlank="1" errorTitle="Not in list" error="Choose a value from the list, or add it on the Domains / Geography sheet first." type="list">
      <formula1>=Projects</formula1>
    </dataValidation>
    <dataValidation sqref="F4:F453" showDropDown="0" showInputMessage="0" showErrorMessage="1" allowBlank="1" errorTitle="Not in list" error="Choose a value from the list, or add it on the Domains / Geography sheet first." type="list">
      <formula1>=Interventions</formula1>
    </dataValidation>
    <dataValidation sqref="G4:G453" showDropDown="0" showInputMessage="0" showErrorMessage="1" allowBlank="1" errorTitle="Not in list" error="Choose a value from the list, or add it on the Domains / Geography sheet first." type="list">
      <formula1>=Regions</formula1>
    </dataValidation>
    <dataValidation sqref="K4:K453" showDropDown="0" showInputMessage="0" showErrorMessage="1" allowBlank="1" errorTitle="Not in list" error="Choose a value from the list, or add it on the Domains / Geography sheet first." type="list">
      <formula1>=Donors</formula1>
    </dataValidation>
    <dataValidation sqref="Y4:Y453" showDropDown="0" showInputMessage="0" showErrorMessage="1" allowBlank="1" errorTitle="Not in list" error="Choose a value from the list, or add it on the Domains / Geography sheet first." type="list">
      <formula1>=Statuses</formula1>
    </dataValidation>
    <dataValidation sqref="L4:L453" showDropDown="0" showInputMessage="0" showErrorMessage="1" allowBlank="1" errorTitle="Not in list" error="Choose a value from the list, or add it on the Domains / Geography sheet first." type="list">
      <formula1>=AwardGroups</formula1>
    </dataValidation>
    <dataValidation sqref="M4:M453" showDropDown="0" showInputMessage="0" showErrorMessage="1" allowBlank="1" errorTitle="Not in list" error="Choose a value from the list, or add it on the Domains / Geography sheet first." type="list">
      <formula1>=Families</formula1>
    </dataValidation>
    <dataValidation sqref="R4:R453 S4:S453 U4:U453 W4:W453 AG4:AT453" showDropDown="0" showInputMessage="0" showErrorMessage="1" allowBlank="1" errorTitle="Date required" error="Enter a calendar date (for example 15-Mar-2026)." type="date" operator="greaterThanOrEqual">
      <formula1>DATE(2018,1,1)</formula1>
    </dataValidation>
    <dataValidation sqref="X4:X453" showDropDown="0" showInputMessage="0" showErrorMessage="1" allowBlank="1" errorTitle="0–100" error="Physical progress must be between 0 and 100." type="decimal" operator="between">
      <formula1>0</formula1>
      <formula2>100</formula2>
    </dataValidation>
    <dataValidation sqref="T4:T453" showDropDown="0" showInputMessage="0" showErrorMessage="1" allowBlank="1" errorTitle="Months" error="Enter contract duration in months (for example 5)." type="decimal" operator="greaterThanOrEqual">
      <formula1>0</formula1>
    </dataValidation>
    <dataValidation sqref="H4:H453" showDropDown="0" showInputMessage="0" showErrorMessage="1" allowBlank="1" errorTitle="Province" error="Select a province for the chosen region (add new ones on 06_Geography)." type="list">
      <formula1>=03_Example_Filled_ThisProvList</formula1>
    </dataValidation>
    <dataValidation sqref="I4:I453" showDropDown="0" showInputMessage="0" showErrorMessage="1" allowBlank="1" errorTitle="District" error="Select a district for the chosen province (add new ones on 06_Geography)." type="list">
      <formula1>=03_Example_Filled_ThisDistList</formula1>
    </dataValidation>
  </dataValidations>
  <pageMargins left="0.75" right="0.75" top="1" bottom="1" header="0.5" footer="0.5"/>
  <pageSetup orientation="landscape" paperSize="3" fitToHeight="0" fitToWidth="1"/>
  <headerFooter>
    <oddHeader/>
    <oddFooter>&amp;LEXAMPLE ONLY — two worked schemes so you can see day counts. Do not use for reporting.&amp;RPage &amp;P of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E5984"/>
    <outlinePr summaryBelow="1" summaryRight="1"/>
    <pageSetUpPr/>
  </sheetPr>
  <dimension ref="A1:F16"/>
  <sheetViews>
    <sheetView showGridLines="0" workbookViewId="0">
      <pane ySplit="2" topLeftCell="A3" activePane="bottomLeft" state="frozen"/>
      <selection pane="bottomLeft" activeCell="A1" sqref="A1"/>
    </sheetView>
  </sheetViews>
  <sheetFormatPr baseColWidth="8" defaultRowHeight="15"/>
  <cols>
    <col width="10" customWidth="1" min="1" max="1"/>
    <col width="36" customWidth="1" min="2" max="2"/>
    <col width="16" customWidth="1" min="3" max="3"/>
    <col width="72" customWidth="1" min="4" max="4"/>
    <col width="14" customWidth="1" min="5" max="5"/>
    <col width="44" customWidth="1" min="6" max="6"/>
  </cols>
  <sheetData>
    <row r="1" ht="26" customHeight="1">
      <c r="A1" s="21" t="inlineStr">
        <is>
          <t>Status pipeline — add a name in a spare slot to create a new step on the tracker</t>
        </is>
      </c>
      <c r="B1" s="22" t="n"/>
      <c r="C1" s="22" t="n"/>
      <c r="D1" s="22" t="n"/>
      <c r="E1" s="22" t="n"/>
      <c r="F1" s="22" t="n"/>
    </row>
    <row r="2">
      <c r="A2" s="9" t="inlineStr">
        <is>
          <t>Slot</t>
        </is>
      </c>
      <c r="B2" s="9" t="inlineStr">
        <is>
          <t>Status name (edit / add here)</t>
        </is>
      </c>
      <c r="C2" s="9" t="inlineStr">
        <is>
          <t>Short name</t>
        </is>
      </c>
      <c r="D2" s="9" t="inlineStr">
        <is>
          <t>Description</t>
        </is>
      </c>
      <c r="E2" s="9" t="inlineStr">
        <is>
          <t>Target days</t>
        </is>
      </c>
      <c r="F2" s="9" t="inlineStr">
        <is>
          <t>Notes</t>
        </is>
      </c>
    </row>
    <row r="3" ht="22" customHeight="1">
      <c r="A3" s="60" t="n">
        <v>1</v>
      </c>
      <c r="B3" s="11" t="inlineStr">
        <is>
          <t>Under Design</t>
        </is>
      </c>
      <c r="C3" s="33" t="inlineStr">
        <is>
          <t>Design</t>
        </is>
      </c>
      <c r="D3" s="33" t="inlineStr">
        <is>
          <t>Detailed design, surveys, and drawings are being prepared.</t>
        </is>
      </c>
      <c r="E3" s="37" t="n">
        <v>30</v>
      </c>
      <c r="F3" s="61" t="inlineStr">
        <is>
          <t>Used by tracker date headers and duration labels.</t>
        </is>
      </c>
    </row>
    <row r="4" ht="22" customHeight="1">
      <c r="A4" s="60" t="n">
        <v>2</v>
      </c>
      <c r="B4" s="12" t="inlineStr">
        <is>
          <t>Under Review of WRI</t>
        </is>
      </c>
      <c r="C4" s="33" t="inlineStr">
        <is>
          <t>WRI Review</t>
        </is>
      </c>
      <c r="D4" s="33" t="inlineStr">
        <is>
          <t>Water Resources / WRI is reviewing the design package.</t>
        </is>
      </c>
      <c r="E4" s="37" t="n">
        <v>14</v>
      </c>
      <c r="F4" s="61" t="inlineStr">
        <is>
          <t>Used by tracker date headers and duration labels.</t>
        </is>
      </c>
    </row>
    <row r="5" ht="22" customHeight="1">
      <c r="A5" s="60" t="n">
        <v>3</v>
      </c>
      <c r="B5" s="13" t="inlineStr">
        <is>
          <t>Under LTO Review</t>
        </is>
      </c>
      <c r="C5" s="33" t="inlineStr">
        <is>
          <t>LTO Review</t>
        </is>
      </c>
      <c r="D5" s="33" t="inlineStr">
        <is>
          <t>Legal / LTO clearance of the package.</t>
        </is>
      </c>
      <c r="E5" s="37" t="n">
        <v>10</v>
      </c>
      <c r="F5" s="61" t="inlineStr">
        <is>
          <t>Used by tracker date headers and duration labels.</t>
        </is>
      </c>
    </row>
    <row r="6" ht="22" customHeight="1">
      <c r="A6" s="60" t="n">
        <v>4</v>
      </c>
      <c r="B6" s="14" t="inlineStr">
        <is>
          <t>PR to be Raised</t>
        </is>
      </c>
      <c r="C6" s="33" t="inlineStr">
        <is>
          <t>PR</t>
        </is>
      </c>
      <c r="D6" s="33" t="inlineStr">
        <is>
          <t>Purchase request / procurement request still to be raised.</t>
        </is>
      </c>
      <c r="E6" s="37" t="n">
        <v>10</v>
      </c>
      <c r="F6" s="61" t="inlineStr">
        <is>
          <t>Used by tracker date headers and duration labels.</t>
        </is>
      </c>
    </row>
    <row r="7" ht="22" customHeight="1">
      <c r="A7" s="60" t="n">
        <v>5</v>
      </c>
      <c r="B7" s="15" t="inlineStr">
        <is>
          <t>ITB Launched</t>
        </is>
      </c>
      <c r="C7" s="33" t="inlineStr">
        <is>
          <t>ITB</t>
        </is>
      </c>
      <c r="D7" s="33" t="inlineStr">
        <is>
          <t>Invitation to Bid has been issued.</t>
        </is>
      </c>
      <c r="E7" s="37" t="n">
        <v>21</v>
      </c>
      <c r="F7" s="61" t="inlineStr">
        <is>
          <t>Used by tracker date headers and duration labels.</t>
        </is>
      </c>
    </row>
    <row r="8" ht="22" customHeight="1">
      <c r="A8" s="60" t="n">
        <v>6</v>
      </c>
      <c r="B8" s="15" t="inlineStr">
        <is>
          <t>Retendered (Re-ITB)</t>
        </is>
      </c>
      <c r="C8" s="33" t="inlineStr">
        <is>
          <t>Re-ITB</t>
        </is>
      </c>
      <c r="D8" s="33" t="inlineStr">
        <is>
          <t>Previous bid failed or was cancelled; invitation re-issued.</t>
        </is>
      </c>
      <c r="E8" s="37" t="n">
        <v>21</v>
      </c>
      <c r="F8" s="61" t="inlineStr">
        <is>
          <t>Used by tracker date headers and duration labels.</t>
        </is>
      </c>
    </row>
    <row r="9" ht="22" customHeight="1">
      <c r="A9" s="60" t="n">
        <v>7</v>
      </c>
      <c r="B9" s="16" t="inlineStr">
        <is>
          <t>Under Technical Evaluation</t>
        </is>
      </c>
      <c r="C9" s="33" t="inlineStr">
        <is>
          <t>Tech Eval</t>
        </is>
      </c>
      <c r="D9" s="33" t="inlineStr">
        <is>
          <t>Bids are under technical evaluation.</t>
        </is>
      </c>
      <c r="E9" s="37" t="n">
        <v>14</v>
      </c>
      <c r="F9" s="61" t="inlineStr">
        <is>
          <t>Used by tracker date headers and duration labels.</t>
        </is>
      </c>
    </row>
    <row r="10" ht="22" customHeight="1">
      <c r="A10" s="60" t="n">
        <v>8</v>
      </c>
      <c r="B10" s="17" t="inlineStr">
        <is>
          <t>Under Awarding</t>
        </is>
      </c>
      <c r="C10" s="33" t="inlineStr">
        <is>
          <t>Awarding</t>
        </is>
      </c>
      <c r="D10" s="33" t="inlineStr">
        <is>
          <t>Award recommendation, negotiations, and approval.</t>
        </is>
      </c>
      <c r="E10" s="37" t="n">
        <v>14</v>
      </c>
      <c r="F10" s="61" t="inlineStr">
        <is>
          <t>Used by tracker date headers and duration labels.</t>
        </is>
      </c>
    </row>
    <row r="11" ht="22" customHeight="1">
      <c r="A11" s="60" t="n">
        <v>9</v>
      </c>
      <c r="B11" s="18" t="inlineStr">
        <is>
          <t>Awarded</t>
        </is>
      </c>
      <c r="C11" s="33" t="inlineStr">
        <is>
          <t>Awarded</t>
        </is>
      </c>
      <c r="D11" s="33" t="inlineStr">
        <is>
          <t>Contract signed / notice of award issued.</t>
        </is>
      </c>
      <c r="E11" s="37" t="n">
        <v>0</v>
      </c>
      <c r="F11" s="61" t="inlineStr">
        <is>
          <t>Used by tracker date headers and duration labels.</t>
        </is>
      </c>
    </row>
    <row r="12" ht="22" customHeight="1">
      <c r="A12" s="60" t="n">
        <v>10</v>
      </c>
      <c r="B12" s="19" t="inlineStr">
        <is>
          <t>Under Construction</t>
        </is>
      </c>
      <c r="C12" s="33" t="inlineStr">
        <is>
          <t>Construction</t>
        </is>
      </c>
      <c r="D12" s="33" t="inlineStr">
        <is>
          <t>Contractor is mobilised and physical works are ongoing.</t>
        </is>
      </c>
      <c r="E12" s="37" t="n">
        <v>150</v>
      </c>
      <c r="F12" s="61" t="inlineStr">
        <is>
          <t>Used by tracker date headers and duration labels.</t>
        </is>
      </c>
    </row>
    <row r="13" ht="22" customHeight="1">
      <c r="A13" s="60" t="n">
        <v>11</v>
      </c>
      <c r="B13" s="20" t="inlineStr">
        <is>
          <t>Completed / Handover</t>
        </is>
      </c>
      <c r="C13" s="33" t="inlineStr">
        <is>
          <t>Completed</t>
        </is>
      </c>
      <c r="D13" s="33" t="inlineStr">
        <is>
          <t>Works completed and handed over.</t>
        </is>
      </c>
      <c r="E13" s="37" t="n">
        <v>0</v>
      </c>
      <c r="F13" s="61" t="inlineStr">
        <is>
          <t>Used by tracker date headers and duration labels.</t>
        </is>
      </c>
    </row>
    <row r="14" ht="22" customHeight="1">
      <c r="A14" s="62" t="n">
        <v>12</v>
      </c>
      <c r="B14" s="63" t="inlineStr"/>
      <c r="C14" s="63" t="inlineStr"/>
      <c r="D14" s="63" t="inlineStr">
        <is>
          <t>Spare slot — type a status name here to add a step.</t>
        </is>
      </c>
      <c r="E14" s="64" t="n"/>
      <c r="F14" s="41" t="inlineStr">
        <is>
          <t>Type a status name in column B to activate this date column on the tracker.</t>
        </is>
      </c>
    </row>
    <row r="15" ht="22" customHeight="1">
      <c r="A15" s="62" t="n">
        <v>13</v>
      </c>
      <c r="B15" s="63" t="inlineStr"/>
      <c r="C15" s="63" t="inlineStr"/>
      <c r="D15" s="63" t="inlineStr">
        <is>
          <t>Spare slot — type a status name here to add a step.</t>
        </is>
      </c>
      <c r="E15" s="64" t="n"/>
      <c r="F15" s="41" t="inlineStr">
        <is>
          <t>Type a status name in column B to activate this date column on the tracker.</t>
        </is>
      </c>
    </row>
    <row r="16" ht="22" customHeight="1">
      <c r="A16" s="62" t="n">
        <v>14</v>
      </c>
      <c r="B16" s="63" t="inlineStr"/>
      <c r="C16" s="63" t="inlineStr"/>
      <c r="D16" s="63" t="inlineStr">
        <is>
          <t>Spare slot — type a status name here to add a step.</t>
        </is>
      </c>
      <c r="E16" s="64" t="n"/>
      <c r="F16" s="41" t="inlineStr">
        <is>
          <t>Type a status name in column B to activate this date column on the tracker.</t>
        </is>
      </c>
    </row>
  </sheetData>
  <mergeCells count="1">
    <mergeCell ref="A1:F1"/>
  </mergeCells>
  <dataValidations count="1">
    <dataValidation sqref="E3:E20" showDropDown="0" showInputMessage="0" showErrorMessage="0" allowBlank="1" type="whole"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tabColor rgb="008A6D3B"/>
    <outlinePr summaryBelow="1" summaryRight="1"/>
    <pageSetUpPr/>
  </sheetPr>
  <dimension ref="A1:I362"/>
  <sheetViews>
    <sheetView showGridLines="0" workbookViewId="0">
      <pane ySplit="2" topLeftCell="A3" activePane="bottomLeft" state="frozen"/>
      <selection pane="bottomLeft" activeCell="A1" sqref="A1"/>
    </sheetView>
  </sheetViews>
  <sheetFormatPr baseColWidth="8" defaultRowHeight="15"/>
  <cols>
    <col width="28" customWidth="1" min="1" max="1"/>
    <col width="28" customWidth="1" min="2" max="2"/>
    <col width="52" customWidth="1" min="3" max="3"/>
    <col width="28" customWidth="1" min="4" max="4"/>
    <col width="28" customWidth="1" min="5" max="5"/>
    <col width="22" customWidth="1" min="6" max="6"/>
    <col width="28" customWidth="1" min="7" max="7"/>
    <col width="16" customWidth="1" min="8" max="8"/>
    <col width="24" customWidth="1" min="9" max="9"/>
  </cols>
  <sheetData>
    <row r="1" ht="26" customHeight="1">
      <c r="A1" s="21" t="inlineStr">
        <is>
          <t>Domains — type a new value in the first empty cell of a column to add it to the dropdowns</t>
        </is>
      </c>
      <c r="B1" s="22" t="n"/>
      <c r="C1" s="22" t="n"/>
      <c r="D1" s="22" t="n"/>
      <c r="E1" s="22" t="n"/>
      <c r="F1" s="22" t="n"/>
      <c r="G1" s="22" t="n"/>
      <c r="H1" s="22" t="n"/>
    </row>
    <row r="2">
      <c r="A2" s="9" t="inlineStr">
        <is>
          <t>Interventions</t>
        </is>
      </c>
      <c r="B2" s="9" t="inlineStr">
        <is>
          <t>Donors</t>
        </is>
      </c>
      <c r="C2" s="9" t="inlineStr">
        <is>
          <t>Projects</t>
        </is>
      </c>
      <c r="D2" s="9" t="inlineStr">
        <is>
          <t>Regions</t>
        </is>
      </c>
      <c r="E2" s="9" t="inlineStr">
        <is>
          <t>Statuses</t>
        </is>
      </c>
      <c r="F2" s="9" t="inlineStr">
        <is>
          <t>All_Provinces</t>
        </is>
      </c>
      <c r="G2" s="9" t="inlineStr">
        <is>
          <t>All_Districts</t>
        </is>
      </c>
      <c r="H2" s="9" t="inlineStr">
        <is>
          <t>AwardGroups</t>
        </is>
      </c>
      <c r="I2" s="9" t="inlineStr">
        <is>
          <t>Families</t>
        </is>
      </c>
    </row>
    <row r="3">
      <c r="A3" s="33" t="inlineStr">
        <is>
          <t>Check Dam</t>
        </is>
      </c>
      <c r="B3" s="33" t="inlineStr">
        <is>
          <t>World Bank (WBK/AF-2)</t>
        </is>
      </c>
      <c r="C3" s="33" t="inlineStr">
        <is>
          <t>Emergency Food Security Project (EFSP) – WBK/AF-2</t>
        </is>
      </c>
      <c r="D3" s="33" t="inlineStr">
        <is>
          <t>West / Herat</t>
        </is>
      </c>
      <c r="E3" s="33" t="inlineStr">
        <is>
          <t>Under Design</t>
        </is>
      </c>
      <c r="F3" s="33" t="inlineStr">
        <is>
          <t>Herat</t>
        </is>
      </c>
      <c r="G3" s="33" t="inlineStr">
        <is>
          <t>Herat</t>
        </is>
      </c>
      <c r="H3" s="33" t="inlineStr">
        <is>
          <t>Awarded</t>
        </is>
      </c>
      <c r="I3" s="33" t="inlineStr">
        <is>
          <t>On/off-farm irrigation</t>
        </is>
      </c>
    </row>
    <row r="4">
      <c r="A4" s="33" t="inlineStr">
        <is>
          <t>Boulder Check Dam</t>
        </is>
      </c>
      <c r="B4" s="33" t="inlineStr">
        <is>
          <t>World Bank (WBK)</t>
        </is>
      </c>
      <c r="C4" s="33" t="inlineStr">
        <is>
          <t>Emergency Food Security Project (EFSP)</t>
        </is>
      </c>
      <c r="D4" s="33" t="inlineStr">
        <is>
          <t>East / Jalalabad</t>
        </is>
      </c>
      <c r="E4" s="33" t="inlineStr">
        <is>
          <t>Under Review of WRI</t>
        </is>
      </c>
      <c r="F4" s="33" t="inlineStr">
        <is>
          <t>Badghis</t>
        </is>
      </c>
      <c r="G4" s="33" t="inlineStr">
        <is>
          <t>Injil</t>
        </is>
      </c>
      <c r="H4" s="33" t="inlineStr">
        <is>
          <t>Remaining</t>
        </is>
      </c>
      <c r="I4" s="33" t="inlineStr">
        <is>
          <t>Watershed / Check dam</t>
        </is>
      </c>
    </row>
    <row r="5">
      <c r="A5" s="33" t="inlineStr">
        <is>
          <t>Check Dam and Water Pond</t>
        </is>
      </c>
      <c r="B5" s="33" t="inlineStr">
        <is>
          <t>WFP</t>
        </is>
      </c>
      <c r="C5" s="33" t="inlineStr">
        <is>
          <t>WBK/AF-2 Component 2: Water and Resilience Services</t>
        </is>
      </c>
      <c r="D5" s="33" t="inlineStr">
        <is>
          <t>Central / Kabul</t>
        </is>
      </c>
      <c r="E5" s="33" t="inlineStr">
        <is>
          <t>Under LTO Review</t>
        </is>
      </c>
      <c r="F5" s="33" t="inlineStr">
        <is>
          <t>Farah</t>
        </is>
      </c>
      <c r="G5" s="33" t="inlineStr">
        <is>
          <t>Guzara</t>
        </is>
      </c>
      <c r="H5" s="65" t="n"/>
      <c r="I5" s="33" t="inlineStr">
        <is>
          <t>Drip irrigation</t>
        </is>
      </c>
    </row>
    <row r="6">
      <c r="A6" s="33" t="inlineStr">
        <is>
          <t>Watershed Management</t>
        </is>
      </c>
      <c r="B6" s="33" t="inlineStr">
        <is>
          <t>FAO</t>
        </is>
      </c>
      <c r="C6" s="65" t="n"/>
      <c r="D6" s="33" t="inlineStr">
        <is>
          <t>Central Highland / Bamyan</t>
        </is>
      </c>
      <c r="E6" s="33" t="inlineStr">
        <is>
          <t>PR to be Raised</t>
        </is>
      </c>
      <c r="F6" s="33" t="inlineStr">
        <is>
          <t>Ghor</t>
        </is>
      </c>
      <c r="G6" s="33" t="inlineStr">
        <is>
          <t>Karukh</t>
        </is>
      </c>
      <c r="H6" s="65" t="n"/>
      <c r="I6" s="33" t="inlineStr">
        <is>
          <t>LLL supply</t>
        </is>
      </c>
    </row>
    <row r="7">
      <c r="A7" s="33" t="inlineStr">
        <is>
          <t>Irrigation Canal</t>
        </is>
      </c>
      <c r="B7" s="33" t="inlineStr">
        <is>
          <t>UNICEF</t>
        </is>
      </c>
      <c r="C7" s="65" t="n"/>
      <c r="D7" s="33" t="inlineStr">
        <is>
          <t>Southeast / Gardez</t>
        </is>
      </c>
      <c r="E7" s="33" t="inlineStr">
        <is>
          <t>ITB Launched</t>
        </is>
      </c>
      <c r="F7" s="33" t="inlineStr">
        <is>
          <t>Nangarhar</t>
        </is>
      </c>
      <c r="G7" s="33" t="inlineStr">
        <is>
          <t>Pashtun Zarghun</t>
        </is>
      </c>
      <c r="H7" s="65" t="n"/>
      <c r="I7" s="33" t="inlineStr">
        <is>
          <t>Agroforestry</t>
        </is>
      </c>
    </row>
    <row r="8">
      <c r="A8" s="33" t="inlineStr">
        <is>
          <t>Drip Irrigation</t>
        </is>
      </c>
      <c r="B8" s="33" t="inlineStr">
        <is>
          <t>ADB</t>
        </is>
      </c>
      <c r="C8" s="65" t="n"/>
      <c r="D8" s="33" t="inlineStr">
        <is>
          <t>South / Kandahar</t>
        </is>
      </c>
      <c r="E8" s="33" t="inlineStr">
        <is>
          <t>Retendered (Re-ITB)</t>
        </is>
      </c>
      <c r="F8" s="33" t="inlineStr">
        <is>
          <t>Kunar</t>
        </is>
      </c>
      <c r="G8" s="33" t="inlineStr">
        <is>
          <t>Zindajan</t>
        </is>
      </c>
      <c r="H8" s="65" t="n"/>
      <c r="I8" s="65" t="n"/>
    </row>
    <row r="9">
      <c r="A9" s="33" t="inlineStr">
        <is>
          <t>Laser Land Leveler (LLL)</t>
        </is>
      </c>
      <c r="B9" s="33" t="inlineStr">
        <is>
          <t>Government</t>
        </is>
      </c>
      <c r="C9" s="65" t="n"/>
      <c r="D9" s="33" t="inlineStr">
        <is>
          <t>North / Mazar</t>
        </is>
      </c>
      <c r="E9" s="33" t="inlineStr">
        <is>
          <t>Under Technical Evaluation</t>
        </is>
      </c>
      <c r="F9" s="33" t="inlineStr">
        <is>
          <t>Laghman</t>
        </is>
      </c>
      <c r="G9" s="33" t="inlineStr">
        <is>
          <t>Gulran</t>
        </is>
      </c>
      <c r="H9" s="65" t="n"/>
      <c r="I9" s="65" t="n"/>
    </row>
    <row r="10">
      <c r="A10" s="33" t="inlineStr">
        <is>
          <t>Agroforestry saplings / seeds</t>
        </is>
      </c>
      <c r="B10" s="33" t="inlineStr">
        <is>
          <t>Other</t>
        </is>
      </c>
      <c r="C10" s="65" t="n"/>
      <c r="D10" s="33" t="inlineStr">
        <is>
          <t>Northeast / Kunduz</t>
        </is>
      </c>
      <c r="E10" s="33" t="inlineStr">
        <is>
          <t>Under Awarding</t>
        </is>
      </c>
      <c r="F10" s="33" t="inlineStr">
        <is>
          <t>Nuristan</t>
        </is>
      </c>
      <c r="G10" s="33" t="inlineStr">
        <is>
          <t>Kohsan</t>
        </is>
      </c>
      <c r="H10" s="65" t="n"/>
      <c r="I10" s="65" t="n"/>
    </row>
    <row r="11">
      <c r="A11" s="33" t="inlineStr">
        <is>
          <t>Protection Wall</t>
        </is>
      </c>
      <c r="B11" s="65" t="n"/>
      <c r="C11" s="65" t="n"/>
      <c r="D11" s="65" t="n"/>
      <c r="E11" s="33" t="inlineStr">
        <is>
          <t>Awarded</t>
        </is>
      </c>
      <c r="F11" s="33" t="inlineStr">
        <is>
          <t>Kabul</t>
        </is>
      </c>
      <c r="G11" s="33" t="inlineStr">
        <is>
          <t>Ghoryan</t>
        </is>
      </c>
      <c r="H11" s="65" t="n"/>
      <c r="I11" s="65" t="n"/>
    </row>
    <row r="12">
      <c r="A12" s="33" t="inlineStr">
        <is>
          <t>Karez Rehabilitation</t>
        </is>
      </c>
      <c r="B12" s="65" t="n"/>
      <c r="C12" s="65" t="n"/>
      <c r="D12" s="65" t="n"/>
      <c r="E12" s="33" t="inlineStr">
        <is>
          <t>Under Construction</t>
        </is>
      </c>
      <c r="F12" s="33" t="inlineStr">
        <is>
          <t>Parwan</t>
        </is>
      </c>
      <c r="G12" s="33" t="inlineStr">
        <is>
          <t>Obe</t>
        </is>
      </c>
      <c r="H12" s="65" t="n"/>
      <c r="I12" s="65" t="n"/>
    </row>
    <row r="13">
      <c r="A13" s="33" t="inlineStr">
        <is>
          <t>Intake / Diversion</t>
        </is>
      </c>
      <c r="B13" s="65" t="n"/>
      <c r="C13" s="65" t="n"/>
      <c r="D13" s="65" t="n"/>
      <c r="E13" s="33" t="inlineStr">
        <is>
          <t>Completed / Handover</t>
        </is>
      </c>
      <c r="F13" s="33" t="inlineStr">
        <is>
          <t>Kapisa</t>
        </is>
      </c>
      <c r="G13" s="33" t="inlineStr">
        <is>
          <t>Chishti Sharif</t>
        </is>
      </c>
      <c r="H13" s="65" t="n"/>
      <c r="I13" s="65" t="n"/>
    </row>
    <row r="14">
      <c r="A14" s="33" t="inlineStr">
        <is>
          <t>Water Supply Scheme</t>
        </is>
      </c>
      <c r="B14" s="65" t="n"/>
      <c r="C14" s="65" t="n"/>
      <c r="D14" s="65" t="n"/>
      <c r="E14" s="33" t="inlineStr">
        <is>
          <t>Not started</t>
        </is>
      </c>
      <c r="F14" s="33" t="inlineStr">
        <is>
          <t>Logar</t>
        </is>
      </c>
      <c r="G14" s="33" t="inlineStr">
        <is>
          <t>Shindand</t>
        </is>
      </c>
      <c r="H14" s="65" t="n"/>
      <c r="I14" s="65" t="n"/>
    </row>
    <row r="15">
      <c r="A15" s="33" t="inlineStr">
        <is>
          <t>Flood Protection</t>
        </is>
      </c>
      <c r="B15" s="65" t="n"/>
      <c r="C15" s="65" t="n"/>
      <c r="D15" s="65" t="n"/>
      <c r="E15" s="33" t="inlineStr">
        <is>
          <t>Cancelled</t>
        </is>
      </c>
      <c r="F15" s="33" t="inlineStr">
        <is>
          <t>Maidan Wardak</t>
        </is>
      </c>
      <c r="G15" s="33" t="inlineStr">
        <is>
          <t>Adraskan</t>
        </is>
      </c>
      <c r="H15" s="65" t="n"/>
      <c r="I15" s="65" t="n"/>
    </row>
    <row r="16">
      <c r="A16" s="33" t="inlineStr">
        <is>
          <t>Gabion Structure</t>
        </is>
      </c>
      <c r="B16" s="65" t="n"/>
      <c r="C16" s="65" t="n"/>
      <c r="D16" s="65" t="n"/>
      <c r="E16" s="65" t="n"/>
      <c r="F16" s="33" t="inlineStr">
        <is>
          <t>Panjshir</t>
        </is>
      </c>
      <c r="G16" s="33" t="inlineStr">
        <is>
          <t>Farsi</t>
        </is>
      </c>
      <c r="H16" s="65" t="n"/>
      <c r="I16" s="65" t="n"/>
    </row>
    <row r="17">
      <c r="A17" s="33" t="inlineStr">
        <is>
          <t>Other</t>
        </is>
      </c>
      <c r="B17" s="65" t="n"/>
      <c r="C17" s="65" t="n"/>
      <c r="D17" s="65" t="n"/>
      <c r="E17" s="65" t="n"/>
      <c r="F17" s="33" t="inlineStr">
        <is>
          <t>Bamyan</t>
        </is>
      </c>
      <c r="G17" s="33" t="inlineStr">
        <is>
          <t>Qala-e-Naw</t>
        </is>
      </c>
      <c r="I17" s="65" t="n"/>
    </row>
    <row r="18">
      <c r="A18" s="65" t="n"/>
      <c r="B18" s="65" t="n"/>
      <c r="D18" s="65" t="n"/>
      <c r="E18" s="65" t="n"/>
      <c r="F18" s="33" t="inlineStr">
        <is>
          <t>Daykundi</t>
        </is>
      </c>
      <c r="G18" s="33" t="inlineStr">
        <is>
          <t>Qadis</t>
        </is>
      </c>
      <c r="I18" s="65" t="n"/>
    </row>
    <row r="19">
      <c r="A19" s="65" t="n"/>
      <c r="B19" s="65" t="n"/>
      <c r="D19" s="65" t="n"/>
      <c r="E19" s="65" t="n"/>
      <c r="F19" s="33" t="inlineStr">
        <is>
          <t>Paktya</t>
        </is>
      </c>
      <c r="G19" s="33" t="inlineStr">
        <is>
          <t>Muqur</t>
        </is>
      </c>
      <c r="I19" s="65" t="n"/>
    </row>
    <row r="20">
      <c r="A20" s="65" t="n"/>
      <c r="B20" s="65" t="n"/>
      <c r="D20" s="65" t="n"/>
      <c r="E20" s="65" t="n"/>
      <c r="F20" s="33" t="inlineStr">
        <is>
          <t>Paktika</t>
        </is>
      </c>
      <c r="G20" s="33" t="inlineStr">
        <is>
          <t>Bala Murghab</t>
        </is>
      </c>
    </row>
    <row r="21">
      <c r="A21" s="65" t="n"/>
      <c r="B21" s="65" t="n"/>
      <c r="D21" s="65" t="n"/>
      <c r="E21" s="65" t="n"/>
      <c r="F21" s="33" t="inlineStr">
        <is>
          <t>Khost</t>
        </is>
      </c>
      <c r="G21" s="33" t="inlineStr">
        <is>
          <t>Jawand</t>
        </is>
      </c>
    </row>
    <row r="22">
      <c r="A22" s="65" t="n"/>
      <c r="B22" s="65" t="n"/>
      <c r="D22" s="65" t="n"/>
      <c r="E22" s="65" t="n"/>
      <c r="F22" s="33" t="inlineStr">
        <is>
          <t>Ghazni</t>
        </is>
      </c>
      <c r="G22" s="33" t="inlineStr">
        <is>
          <t>Ab Kamari</t>
        </is>
      </c>
    </row>
    <row r="23">
      <c r="A23" s="65" t="n"/>
      <c r="E23" s="65" t="n"/>
      <c r="F23" s="33" t="inlineStr">
        <is>
          <t>Kandahar</t>
        </is>
      </c>
      <c r="G23" s="33" t="inlineStr">
        <is>
          <t>Ghormach</t>
        </is>
      </c>
    </row>
    <row r="24">
      <c r="A24" s="65" t="n"/>
      <c r="E24" s="65" t="n"/>
      <c r="F24" s="33" t="inlineStr">
        <is>
          <t>Helmand</t>
        </is>
      </c>
      <c r="G24" s="33" t="inlineStr">
        <is>
          <t>Farah</t>
        </is>
      </c>
    </row>
    <row r="25">
      <c r="A25" s="65" t="n"/>
      <c r="E25" s="65" t="n"/>
      <c r="F25" s="33" t="inlineStr">
        <is>
          <t>Zabul</t>
        </is>
      </c>
      <c r="G25" s="33" t="inlineStr">
        <is>
          <t>Pusht Rod</t>
        </is>
      </c>
    </row>
    <row r="26">
      <c r="A26" s="65" t="n"/>
      <c r="E26" s="65" t="n"/>
      <c r="F26" s="33" t="inlineStr">
        <is>
          <t>Uruzgan</t>
        </is>
      </c>
      <c r="G26" s="33" t="inlineStr">
        <is>
          <t>Khaki Safed</t>
        </is>
      </c>
    </row>
    <row r="27">
      <c r="A27" s="65" t="n"/>
      <c r="E27" s="65" t="n"/>
      <c r="F27" s="33" t="inlineStr">
        <is>
          <t>Nimroz</t>
        </is>
      </c>
      <c r="G27" s="33" t="inlineStr">
        <is>
          <t>Qala-e-Kah</t>
        </is>
      </c>
    </row>
    <row r="28">
      <c r="A28" s="65" t="n"/>
      <c r="F28" s="33" t="inlineStr">
        <is>
          <t>Balkh</t>
        </is>
      </c>
      <c r="G28" s="33" t="inlineStr">
        <is>
          <t>Shib Koh</t>
        </is>
      </c>
    </row>
    <row r="29">
      <c r="A29" s="65" t="n"/>
      <c r="F29" s="33" t="inlineStr">
        <is>
          <t>Samangan</t>
        </is>
      </c>
      <c r="G29" s="33" t="inlineStr">
        <is>
          <t>Bala Buluk</t>
        </is>
      </c>
    </row>
    <row r="30">
      <c r="F30" s="33" t="inlineStr">
        <is>
          <t>Jawzjan</t>
        </is>
      </c>
      <c r="G30" s="33" t="inlineStr">
        <is>
          <t>Gulistan</t>
        </is>
      </c>
    </row>
    <row r="31">
      <c r="F31" s="33" t="inlineStr">
        <is>
          <t>Sar-e-Pul</t>
        </is>
      </c>
      <c r="G31" s="33" t="inlineStr">
        <is>
          <t>Pur Chaman</t>
        </is>
      </c>
    </row>
    <row r="32">
      <c r="F32" s="33" t="inlineStr">
        <is>
          <t>Faryab</t>
        </is>
      </c>
      <c r="G32" s="33" t="inlineStr">
        <is>
          <t>Bakwa</t>
        </is>
      </c>
    </row>
    <row r="33">
      <c r="F33" s="33" t="inlineStr">
        <is>
          <t>Kunduz</t>
        </is>
      </c>
      <c r="G33" s="33" t="inlineStr">
        <is>
          <t>Lash wa Juwayn</t>
        </is>
      </c>
    </row>
    <row r="34">
      <c r="F34" s="33" t="inlineStr">
        <is>
          <t>Baghlan</t>
        </is>
      </c>
      <c r="G34" s="33" t="inlineStr">
        <is>
          <t>Anar Dara</t>
        </is>
      </c>
    </row>
    <row r="35">
      <c r="F35" s="33" t="inlineStr">
        <is>
          <t>Takhar</t>
        </is>
      </c>
      <c r="G35" s="33" t="inlineStr">
        <is>
          <t>Firozkoh</t>
        </is>
      </c>
    </row>
    <row r="36">
      <c r="F36" s="33" t="inlineStr">
        <is>
          <t>Badakhshan</t>
        </is>
      </c>
      <c r="G36" s="33" t="inlineStr">
        <is>
          <t>Lal wa Sarjangal</t>
        </is>
      </c>
    </row>
    <row r="37">
      <c r="F37" s="65" t="n"/>
      <c r="G37" s="33" t="inlineStr">
        <is>
          <t>Tulak</t>
        </is>
      </c>
    </row>
    <row r="38">
      <c r="F38" s="65" t="n"/>
      <c r="G38" s="33" t="inlineStr">
        <is>
          <t>Shahrak</t>
        </is>
      </c>
    </row>
    <row r="39">
      <c r="F39" s="65" t="n"/>
      <c r="G39" s="33" t="inlineStr">
        <is>
          <t>Dawlat Yar</t>
        </is>
      </c>
    </row>
    <row r="40">
      <c r="F40" s="65" t="n"/>
      <c r="G40" s="33" t="inlineStr">
        <is>
          <t>Charsada</t>
        </is>
      </c>
    </row>
    <row r="41">
      <c r="F41" s="65" t="n"/>
      <c r="G41" s="33" t="inlineStr">
        <is>
          <t>Pasaband</t>
        </is>
      </c>
    </row>
    <row r="42">
      <c r="F42" s="65" t="n"/>
      <c r="G42" s="33" t="inlineStr">
        <is>
          <t>Saghar</t>
        </is>
      </c>
    </row>
    <row r="43">
      <c r="F43" s="65" t="n"/>
      <c r="G43" s="33" t="inlineStr">
        <is>
          <t>Taywara</t>
        </is>
      </c>
    </row>
    <row r="44">
      <c r="F44" s="65" t="n"/>
      <c r="G44" s="33" t="inlineStr">
        <is>
          <t>Du Layna</t>
        </is>
      </c>
    </row>
    <row r="45">
      <c r="F45" s="65" t="n"/>
      <c r="G45" s="33" t="inlineStr">
        <is>
          <t>Jalalabad</t>
        </is>
      </c>
    </row>
    <row r="46">
      <c r="F46" s="65" t="n"/>
      <c r="G46" s="33" t="inlineStr">
        <is>
          <t>Behsud</t>
        </is>
      </c>
    </row>
    <row r="47">
      <c r="F47" s="65" t="n"/>
      <c r="G47" s="33" t="inlineStr">
        <is>
          <t>Surkh Rod</t>
        </is>
      </c>
    </row>
    <row r="48">
      <c r="F48" s="65" t="n"/>
      <c r="G48" s="33" t="inlineStr">
        <is>
          <t>Kama</t>
        </is>
      </c>
    </row>
    <row r="49">
      <c r="G49" s="33" t="inlineStr">
        <is>
          <t>Kuz Kunar</t>
        </is>
      </c>
    </row>
    <row r="50">
      <c r="G50" s="33" t="inlineStr">
        <is>
          <t>Rodat</t>
        </is>
      </c>
    </row>
    <row r="51">
      <c r="G51" s="33" t="inlineStr">
        <is>
          <t>Bati Kot</t>
        </is>
      </c>
    </row>
    <row r="52">
      <c r="G52" s="33" t="inlineStr">
        <is>
          <t>Shinwar</t>
        </is>
      </c>
    </row>
    <row r="53">
      <c r="G53" s="33" t="inlineStr">
        <is>
          <t>Achin</t>
        </is>
      </c>
    </row>
    <row r="54">
      <c r="G54" s="33" t="inlineStr">
        <is>
          <t>Nazyan</t>
        </is>
      </c>
    </row>
    <row r="55">
      <c r="G55" s="33" t="inlineStr">
        <is>
          <t>Dur Baba</t>
        </is>
      </c>
    </row>
    <row r="56">
      <c r="G56" s="33" t="inlineStr">
        <is>
          <t>Mohmand Dara</t>
        </is>
      </c>
    </row>
    <row r="57">
      <c r="G57" s="33" t="inlineStr">
        <is>
          <t>Lal Pur</t>
        </is>
      </c>
    </row>
    <row r="58">
      <c r="G58" s="33" t="inlineStr">
        <is>
          <t>Goshta</t>
        </is>
      </c>
    </row>
    <row r="59">
      <c r="G59" s="33" t="inlineStr">
        <is>
          <t>Chaparhar</t>
        </is>
      </c>
    </row>
    <row r="60">
      <c r="G60" s="33" t="inlineStr">
        <is>
          <t>Khogyani</t>
        </is>
      </c>
    </row>
    <row r="61">
      <c r="G61" s="33" t="inlineStr">
        <is>
          <t>Pachir wa Agam</t>
        </is>
      </c>
    </row>
    <row r="62">
      <c r="G62" s="33" t="inlineStr">
        <is>
          <t>Sherzad</t>
        </is>
      </c>
    </row>
    <row r="63">
      <c r="G63" s="33" t="inlineStr">
        <is>
          <t>Hesarak</t>
        </is>
      </c>
    </row>
    <row r="64">
      <c r="G64" s="33" t="inlineStr">
        <is>
          <t>Darah-i-Nur</t>
        </is>
      </c>
    </row>
    <row r="65">
      <c r="G65" s="33" t="inlineStr">
        <is>
          <t>Asadabad</t>
        </is>
      </c>
    </row>
    <row r="66">
      <c r="G66" s="33" t="inlineStr">
        <is>
          <t>Narang</t>
        </is>
      </c>
    </row>
    <row r="67">
      <c r="G67" s="33" t="inlineStr">
        <is>
          <t>Sawkai</t>
        </is>
      </c>
    </row>
    <row r="68">
      <c r="G68" s="33" t="inlineStr">
        <is>
          <t>Khas Kunar</t>
        </is>
      </c>
    </row>
    <row r="69">
      <c r="G69" s="33" t="inlineStr">
        <is>
          <t>Nurgal</t>
        </is>
      </c>
    </row>
    <row r="70">
      <c r="G70" s="33" t="inlineStr">
        <is>
          <t>Chawkay</t>
        </is>
      </c>
    </row>
    <row r="71">
      <c r="G71" s="33" t="inlineStr">
        <is>
          <t>Dangam</t>
        </is>
      </c>
    </row>
    <row r="72">
      <c r="G72" s="33" t="inlineStr">
        <is>
          <t>Ghaziabad</t>
        </is>
      </c>
    </row>
    <row r="73">
      <c r="G73" s="33" t="inlineStr">
        <is>
          <t>Marawara</t>
        </is>
      </c>
    </row>
    <row r="74">
      <c r="G74" s="33" t="inlineStr">
        <is>
          <t>Shigal</t>
        </is>
      </c>
    </row>
    <row r="75">
      <c r="G75" s="33" t="inlineStr">
        <is>
          <t>Wata Pur</t>
        </is>
      </c>
    </row>
    <row r="76">
      <c r="G76" s="33" t="inlineStr">
        <is>
          <t>Naray</t>
        </is>
      </c>
    </row>
    <row r="77">
      <c r="G77" s="33" t="inlineStr">
        <is>
          <t>Dara-i-Pech</t>
        </is>
      </c>
    </row>
    <row r="78">
      <c r="G78" s="33" t="inlineStr">
        <is>
          <t>Mihtarlam</t>
        </is>
      </c>
    </row>
    <row r="79">
      <c r="G79" s="33" t="inlineStr">
        <is>
          <t>Qarghayi</t>
        </is>
      </c>
    </row>
    <row r="80">
      <c r="G80" s="33" t="inlineStr">
        <is>
          <t>Alishing</t>
        </is>
      </c>
    </row>
    <row r="81">
      <c r="G81" s="33" t="inlineStr">
        <is>
          <t>Alingar</t>
        </is>
      </c>
    </row>
    <row r="82">
      <c r="G82" s="33" t="inlineStr">
        <is>
          <t>Dawlat Shah</t>
        </is>
      </c>
    </row>
    <row r="83">
      <c r="G83" s="33" t="inlineStr">
        <is>
          <t>Parun</t>
        </is>
      </c>
    </row>
    <row r="84">
      <c r="G84" s="33" t="inlineStr">
        <is>
          <t>Wama</t>
        </is>
      </c>
    </row>
    <row r="85">
      <c r="G85" s="33" t="inlineStr">
        <is>
          <t>Kamdesh</t>
        </is>
      </c>
    </row>
    <row r="86">
      <c r="G86" s="33" t="inlineStr">
        <is>
          <t>Barg-i-Matal</t>
        </is>
      </c>
    </row>
    <row r="87">
      <c r="G87" s="33" t="inlineStr">
        <is>
          <t>Mandol</t>
        </is>
      </c>
    </row>
    <row r="88">
      <c r="G88" s="33" t="inlineStr">
        <is>
          <t>Du Ab</t>
        </is>
      </c>
    </row>
    <row r="89">
      <c r="G89" s="33" t="inlineStr">
        <is>
          <t>Nurgaram</t>
        </is>
      </c>
    </row>
    <row r="90">
      <c r="G90" s="33" t="inlineStr">
        <is>
          <t>Waygal</t>
        </is>
      </c>
    </row>
    <row r="91">
      <c r="G91" s="33" t="inlineStr">
        <is>
          <t>PD#13 Kabul</t>
        </is>
      </c>
    </row>
    <row r="92">
      <c r="G92" s="33" t="inlineStr">
        <is>
          <t>Deh Sabz</t>
        </is>
      </c>
    </row>
    <row r="93">
      <c r="G93" s="33" t="inlineStr">
        <is>
          <t>Bagrami</t>
        </is>
      </c>
    </row>
    <row r="94">
      <c r="G94" s="33" t="inlineStr">
        <is>
          <t>Paghman</t>
        </is>
      </c>
    </row>
    <row r="95">
      <c r="G95" s="33" t="inlineStr">
        <is>
          <t>Char Asiab</t>
        </is>
      </c>
    </row>
    <row r="96">
      <c r="G96" s="33" t="inlineStr">
        <is>
          <t>Shakardara</t>
        </is>
      </c>
    </row>
    <row r="97">
      <c r="G97" s="33" t="inlineStr">
        <is>
          <t>Musayi</t>
        </is>
      </c>
    </row>
    <row r="98">
      <c r="G98" s="33" t="inlineStr">
        <is>
          <t>Kalakan</t>
        </is>
      </c>
    </row>
    <row r="99">
      <c r="G99" s="33" t="inlineStr">
        <is>
          <t>Qarabagh</t>
        </is>
      </c>
    </row>
    <row r="100">
      <c r="G100" s="33" t="inlineStr">
        <is>
          <t>Istalif</t>
        </is>
      </c>
    </row>
    <row r="101">
      <c r="G101" s="33" t="inlineStr">
        <is>
          <t>Farza</t>
        </is>
      </c>
    </row>
    <row r="102">
      <c r="G102" s="33" t="inlineStr">
        <is>
          <t>Guldara</t>
        </is>
      </c>
    </row>
    <row r="103">
      <c r="G103" s="33" t="inlineStr">
        <is>
          <t>Khak-e-Jabbar</t>
        </is>
      </c>
    </row>
    <row r="104">
      <c r="G104" s="33" t="inlineStr">
        <is>
          <t>Surobi</t>
        </is>
      </c>
    </row>
    <row r="105">
      <c r="G105" s="33" t="inlineStr">
        <is>
          <t>Charikar</t>
        </is>
      </c>
    </row>
    <row r="106">
      <c r="G106" s="33" t="inlineStr">
        <is>
          <t>Bagram</t>
        </is>
      </c>
    </row>
    <row r="107">
      <c r="G107" s="33" t="inlineStr">
        <is>
          <t>Jabal Saraj</t>
        </is>
      </c>
    </row>
    <row r="108">
      <c r="G108" s="33" t="inlineStr">
        <is>
          <t>Salang</t>
        </is>
      </c>
    </row>
    <row r="109">
      <c r="G109" s="33" t="inlineStr">
        <is>
          <t>Shinwari</t>
        </is>
      </c>
    </row>
    <row r="110">
      <c r="G110" s="33" t="inlineStr">
        <is>
          <t>Sayed Khel</t>
        </is>
      </c>
    </row>
    <row r="111">
      <c r="G111" s="33" t="inlineStr">
        <is>
          <t>Koh-i-Safi</t>
        </is>
      </c>
    </row>
    <row r="112">
      <c r="G112" s="33" t="inlineStr">
        <is>
          <t>Surkhi Parsa</t>
        </is>
      </c>
    </row>
    <row r="113">
      <c r="G113" s="33" t="inlineStr">
        <is>
          <t>Shekh Ali</t>
        </is>
      </c>
    </row>
    <row r="114">
      <c r="G114" s="33" t="inlineStr">
        <is>
          <t>Ghorband</t>
        </is>
      </c>
    </row>
    <row r="115">
      <c r="G115" s="33" t="inlineStr">
        <is>
          <t>Mahmud Raqi</t>
        </is>
      </c>
    </row>
    <row r="116">
      <c r="G116" s="33" t="inlineStr">
        <is>
          <t>Hisa-i-Awal Kohistan</t>
        </is>
      </c>
    </row>
    <row r="117">
      <c r="G117" s="33" t="inlineStr">
        <is>
          <t>Hisa-i-Duwum Kohistan</t>
        </is>
      </c>
    </row>
    <row r="118">
      <c r="G118" s="33" t="inlineStr">
        <is>
          <t>Koh Band</t>
        </is>
      </c>
    </row>
    <row r="119">
      <c r="G119" s="33" t="inlineStr">
        <is>
          <t>Nijrab</t>
        </is>
      </c>
    </row>
    <row r="120">
      <c r="G120" s="33" t="inlineStr">
        <is>
          <t>Tagab</t>
        </is>
      </c>
    </row>
    <row r="121">
      <c r="G121" s="33" t="inlineStr">
        <is>
          <t>Alasay</t>
        </is>
      </c>
    </row>
    <row r="122">
      <c r="G122" s="33" t="inlineStr">
        <is>
          <t>Puli Alam</t>
        </is>
      </c>
    </row>
    <row r="123">
      <c r="G123" s="33" t="inlineStr">
        <is>
          <t>Muhammad Agha</t>
        </is>
      </c>
    </row>
    <row r="124">
      <c r="G124" s="33" t="inlineStr">
        <is>
          <t>Kharwar</t>
        </is>
      </c>
    </row>
    <row r="125">
      <c r="G125" s="33" t="inlineStr">
        <is>
          <t>Khoshi</t>
        </is>
      </c>
    </row>
    <row r="126">
      <c r="G126" s="33" t="inlineStr">
        <is>
          <t>Baraki Barak</t>
        </is>
      </c>
    </row>
    <row r="127">
      <c r="G127" s="33" t="inlineStr">
        <is>
          <t>Azra</t>
        </is>
      </c>
    </row>
    <row r="128">
      <c r="G128" s="33" t="inlineStr">
        <is>
          <t>Charkh</t>
        </is>
      </c>
    </row>
    <row r="129">
      <c r="G129" s="33" t="inlineStr">
        <is>
          <t>Maidan Shahr</t>
        </is>
      </c>
    </row>
    <row r="130">
      <c r="G130" s="33" t="inlineStr">
        <is>
          <t>Nirkh</t>
        </is>
      </c>
    </row>
    <row r="131">
      <c r="G131" s="33" t="inlineStr">
        <is>
          <t>Jalrez</t>
        </is>
      </c>
    </row>
    <row r="132">
      <c r="G132" s="33" t="inlineStr">
        <is>
          <t>Hisa-i-Awal Behsud</t>
        </is>
      </c>
    </row>
    <row r="133">
      <c r="G133" s="33" t="inlineStr">
        <is>
          <t>Markazi Behsud</t>
        </is>
      </c>
    </row>
    <row r="134">
      <c r="G134" s="33" t="inlineStr">
        <is>
          <t>Day Mirdad</t>
        </is>
      </c>
    </row>
    <row r="135">
      <c r="G135" s="33" t="inlineStr">
        <is>
          <t>Chaki Wardak</t>
        </is>
      </c>
    </row>
    <row r="136">
      <c r="G136" s="33" t="inlineStr">
        <is>
          <t>Saydabad</t>
        </is>
      </c>
    </row>
    <row r="137">
      <c r="G137" s="33" t="inlineStr">
        <is>
          <t>Jaghatu</t>
        </is>
      </c>
    </row>
    <row r="138">
      <c r="G138" s="33" t="inlineStr">
        <is>
          <t>Bazarak</t>
        </is>
      </c>
    </row>
    <row r="139">
      <c r="G139" s="33" t="inlineStr">
        <is>
          <t>Rokha</t>
        </is>
      </c>
    </row>
    <row r="140">
      <c r="G140" s="33" t="inlineStr">
        <is>
          <t>Shotul</t>
        </is>
      </c>
    </row>
    <row r="141">
      <c r="G141" s="33" t="inlineStr">
        <is>
          <t>Darah</t>
        </is>
      </c>
    </row>
    <row r="142">
      <c r="G142" s="33" t="inlineStr">
        <is>
          <t>Hisa-i-Awal</t>
        </is>
      </c>
    </row>
    <row r="143">
      <c r="G143" s="33" t="inlineStr">
        <is>
          <t>Hisa-i-Duwum</t>
        </is>
      </c>
    </row>
    <row r="144">
      <c r="G144" s="33" t="inlineStr">
        <is>
          <t>Paryan</t>
        </is>
      </c>
    </row>
    <row r="145">
      <c r="G145" s="33" t="inlineStr">
        <is>
          <t>Bamyan</t>
        </is>
      </c>
    </row>
    <row r="146">
      <c r="G146" s="33" t="inlineStr">
        <is>
          <t>Shibar</t>
        </is>
      </c>
    </row>
    <row r="147">
      <c r="G147" s="33" t="inlineStr">
        <is>
          <t>Kahmard</t>
        </is>
      </c>
    </row>
    <row r="148">
      <c r="G148" s="33" t="inlineStr">
        <is>
          <t>Yakawlang</t>
        </is>
      </c>
    </row>
    <row r="149">
      <c r="G149" s="33" t="inlineStr">
        <is>
          <t>Panjab</t>
        </is>
      </c>
    </row>
    <row r="150">
      <c r="G150" s="33" t="inlineStr">
        <is>
          <t>Waras</t>
        </is>
      </c>
    </row>
    <row r="151">
      <c r="G151" s="33" t="inlineStr">
        <is>
          <t>Saighan</t>
        </is>
      </c>
    </row>
    <row r="152">
      <c r="G152" s="33" t="inlineStr">
        <is>
          <t>Nili</t>
        </is>
      </c>
    </row>
    <row r="153">
      <c r="G153" s="33" t="inlineStr">
        <is>
          <t>Ashtarlay</t>
        </is>
      </c>
    </row>
    <row r="154">
      <c r="G154" s="33" t="inlineStr">
        <is>
          <t>Sang Takht wa Bandar</t>
        </is>
      </c>
    </row>
    <row r="155">
      <c r="G155" s="33" t="inlineStr">
        <is>
          <t>Khadir</t>
        </is>
      </c>
    </row>
    <row r="156">
      <c r="G156" s="33" t="inlineStr">
        <is>
          <t>Kiti</t>
        </is>
      </c>
    </row>
    <row r="157">
      <c r="G157" s="33" t="inlineStr">
        <is>
          <t>Miramor</t>
        </is>
      </c>
    </row>
    <row r="158">
      <c r="G158" s="33" t="inlineStr">
        <is>
          <t>Shahristan</t>
        </is>
      </c>
    </row>
    <row r="159">
      <c r="G159" s="33" t="inlineStr">
        <is>
          <t>Gizab</t>
        </is>
      </c>
    </row>
    <row r="160">
      <c r="G160" s="33" t="inlineStr">
        <is>
          <t>Gardez</t>
        </is>
      </c>
    </row>
    <row r="161">
      <c r="G161" s="33" t="inlineStr">
        <is>
          <t>Sayed Karam</t>
        </is>
      </c>
    </row>
    <row r="162">
      <c r="G162" s="33" t="inlineStr">
        <is>
          <t>Ahmadabad</t>
        </is>
      </c>
    </row>
    <row r="163">
      <c r="G163" s="33" t="inlineStr">
        <is>
          <t>Jaji</t>
        </is>
      </c>
    </row>
    <row r="164">
      <c r="G164" s="33" t="inlineStr">
        <is>
          <t>Zurmat</t>
        </is>
      </c>
    </row>
    <row r="165">
      <c r="G165" s="33" t="inlineStr">
        <is>
          <t>Dand wa Patan</t>
        </is>
      </c>
    </row>
    <row r="166">
      <c r="G166" s="33" t="inlineStr">
        <is>
          <t>Gerda Serai</t>
        </is>
      </c>
    </row>
    <row r="167">
      <c r="G167" s="33" t="inlineStr">
        <is>
          <t>Laja Ahmad Khel</t>
        </is>
      </c>
    </row>
    <row r="168">
      <c r="G168" s="33" t="inlineStr">
        <is>
          <t>Mirzaka</t>
        </is>
      </c>
    </row>
    <row r="169">
      <c r="G169" s="33" t="inlineStr">
        <is>
          <t>Shwak</t>
        </is>
      </c>
    </row>
    <row r="170">
      <c r="G170" s="33" t="inlineStr">
        <is>
          <t>Sharana</t>
        </is>
      </c>
    </row>
    <row r="171">
      <c r="G171" s="33" t="inlineStr">
        <is>
          <t>Sarubi</t>
        </is>
      </c>
    </row>
    <row r="172">
      <c r="G172" s="33" t="inlineStr">
        <is>
          <t>Urgun</t>
        </is>
      </c>
    </row>
    <row r="173">
      <c r="G173" s="33" t="inlineStr">
        <is>
          <t>Barmal</t>
        </is>
      </c>
    </row>
    <row r="174">
      <c r="G174" s="33" t="inlineStr">
        <is>
          <t>Gomal</t>
        </is>
      </c>
    </row>
    <row r="175">
      <c r="G175" s="33" t="inlineStr">
        <is>
          <t>Mata Khan</t>
        </is>
      </c>
    </row>
    <row r="176">
      <c r="G176" s="33" t="inlineStr">
        <is>
          <t>Omna</t>
        </is>
      </c>
    </row>
    <row r="177">
      <c r="G177" s="33" t="inlineStr">
        <is>
          <t>Sar Hawza</t>
        </is>
      </c>
    </row>
    <row r="178">
      <c r="G178" s="33" t="inlineStr">
        <is>
          <t>Terwa</t>
        </is>
      </c>
    </row>
    <row r="179">
      <c r="G179" s="33" t="inlineStr">
        <is>
          <t>Waza Khwa</t>
        </is>
      </c>
    </row>
    <row r="180">
      <c r="G180" s="33" t="inlineStr">
        <is>
          <t>Yosuf Khel</t>
        </is>
      </c>
    </row>
    <row r="181">
      <c r="G181" s="33" t="inlineStr">
        <is>
          <t>Ziruk</t>
        </is>
      </c>
    </row>
    <row r="182">
      <c r="G182" s="33" t="inlineStr">
        <is>
          <t>Gayan</t>
        </is>
      </c>
    </row>
    <row r="183">
      <c r="G183" s="33" t="inlineStr">
        <is>
          <t>Dila</t>
        </is>
      </c>
    </row>
    <row r="184">
      <c r="G184" s="33" t="inlineStr">
        <is>
          <t>Nika</t>
        </is>
      </c>
    </row>
    <row r="185">
      <c r="G185" s="33" t="inlineStr">
        <is>
          <t>Khost</t>
        </is>
      </c>
    </row>
    <row r="186">
      <c r="G186" s="33" t="inlineStr">
        <is>
          <t>Zazai Maidan</t>
        </is>
      </c>
    </row>
    <row r="187">
      <c r="G187" s="33" t="inlineStr">
        <is>
          <t>Mandozai</t>
        </is>
      </c>
    </row>
    <row r="188">
      <c r="G188" s="33" t="inlineStr">
        <is>
          <t>Tani</t>
        </is>
      </c>
    </row>
    <row r="189">
      <c r="G189" s="33" t="inlineStr">
        <is>
          <t>Spera</t>
        </is>
      </c>
    </row>
    <row r="190">
      <c r="G190" s="33" t="inlineStr">
        <is>
          <t>Nadir Shah Kot</t>
        </is>
      </c>
    </row>
    <row r="191">
      <c r="G191" s="33" t="inlineStr">
        <is>
          <t>Musa Khel</t>
        </is>
      </c>
    </row>
    <row r="192">
      <c r="G192" s="33" t="inlineStr">
        <is>
          <t>Qalandar</t>
        </is>
      </c>
    </row>
    <row r="193">
      <c r="G193" s="33" t="inlineStr">
        <is>
          <t>Sabari</t>
        </is>
      </c>
    </row>
    <row r="194">
      <c r="G194" s="33" t="inlineStr">
        <is>
          <t>Bak</t>
        </is>
      </c>
    </row>
    <row r="195">
      <c r="G195" s="33" t="inlineStr">
        <is>
          <t>Jaji Maidan</t>
        </is>
      </c>
    </row>
    <row r="196">
      <c r="G196" s="33" t="inlineStr">
        <is>
          <t>Gurbuz</t>
        </is>
      </c>
    </row>
    <row r="197">
      <c r="G197" s="33" t="inlineStr">
        <is>
          <t>Shamul</t>
        </is>
      </c>
    </row>
    <row r="198">
      <c r="G198" s="33" t="inlineStr">
        <is>
          <t>Ghazni</t>
        </is>
      </c>
    </row>
    <row r="199">
      <c r="G199" s="33" t="inlineStr">
        <is>
          <t>Andar</t>
        </is>
      </c>
    </row>
    <row r="200">
      <c r="G200" s="33" t="inlineStr">
        <is>
          <t>Deh Yak</t>
        </is>
      </c>
    </row>
    <row r="201">
      <c r="G201" s="33" t="inlineStr">
        <is>
          <t>Gelan</t>
        </is>
      </c>
    </row>
    <row r="202">
      <c r="G202" s="33" t="inlineStr">
        <is>
          <t>Giro</t>
        </is>
      </c>
    </row>
    <row r="203">
      <c r="G203" s="33" t="inlineStr">
        <is>
          <t>Jaghori</t>
        </is>
      </c>
    </row>
    <row r="204">
      <c r="G204" s="33" t="inlineStr">
        <is>
          <t>Malistan</t>
        </is>
      </c>
    </row>
    <row r="205">
      <c r="G205" s="33" t="inlineStr">
        <is>
          <t>Nawa</t>
        </is>
      </c>
    </row>
    <row r="206">
      <c r="G206" s="33" t="inlineStr">
        <is>
          <t>Nawur</t>
        </is>
      </c>
    </row>
    <row r="207">
      <c r="G207" s="33" t="inlineStr">
        <is>
          <t>Rashidan</t>
        </is>
      </c>
    </row>
    <row r="208">
      <c r="G208" s="33" t="inlineStr">
        <is>
          <t>Waghaz</t>
        </is>
      </c>
    </row>
    <row r="209">
      <c r="G209" s="33" t="inlineStr">
        <is>
          <t>Zana Khan</t>
        </is>
      </c>
    </row>
    <row r="210">
      <c r="G210" s="33" t="inlineStr">
        <is>
          <t>Kandahar</t>
        </is>
      </c>
    </row>
    <row r="211">
      <c r="G211" s="33" t="inlineStr">
        <is>
          <t>Ghorak</t>
        </is>
      </c>
    </row>
    <row r="212">
      <c r="G212" s="33" t="inlineStr">
        <is>
          <t>Nesh</t>
        </is>
      </c>
    </row>
    <row r="213">
      <c r="G213" s="33" t="inlineStr">
        <is>
          <t>Arghandab</t>
        </is>
      </c>
    </row>
    <row r="214">
      <c r="G214" s="33" t="inlineStr">
        <is>
          <t>Daman</t>
        </is>
      </c>
    </row>
    <row r="215">
      <c r="G215" s="33" t="inlineStr">
        <is>
          <t>Panjwayi</t>
        </is>
      </c>
    </row>
    <row r="216">
      <c r="G216" s="33" t="inlineStr">
        <is>
          <t>Spin Boldak</t>
        </is>
      </c>
    </row>
    <row r="217">
      <c r="G217" s="33" t="inlineStr">
        <is>
          <t>Khakrez</t>
        </is>
      </c>
    </row>
    <row r="218">
      <c r="G218" s="33" t="inlineStr">
        <is>
          <t>Shah Wali Kot</t>
        </is>
      </c>
    </row>
    <row r="219">
      <c r="G219" s="33" t="inlineStr">
        <is>
          <t>Maiwand</t>
        </is>
      </c>
    </row>
    <row r="220">
      <c r="G220" s="33" t="inlineStr">
        <is>
          <t>Zhari</t>
        </is>
      </c>
    </row>
    <row r="221">
      <c r="G221" s="33" t="inlineStr">
        <is>
          <t>Arghistan</t>
        </is>
      </c>
    </row>
    <row r="222">
      <c r="G222" s="33" t="inlineStr">
        <is>
          <t>Maruf</t>
        </is>
      </c>
    </row>
    <row r="223">
      <c r="G223" s="33" t="inlineStr">
        <is>
          <t>Reg</t>
        </is>
      </c>
    </row>
    <row r="224">
      <c r="G224" s="33" t="inlineStr">
        <is>
          <t>Shorabak</t>
        </is>
      </c>
    </row>
    <row r="225">
      <c r="G225" s="33" t="inlineStr">
        <is>
          <t>Lashkar Gah</t>
        </is>
      </c>
    </row>
    <row r="226">
      <c r="G226" s="33" t="inlineStr">
        <is>
          <t>Nawzad</t>
        </is>
      </c>
    </row>
    <row r="227">
      <c r="G227" s="33" t="inlineStr">
        <is>
          <t>Washer</t>
        </is>
      </c>
    </row>
    <row r="228">
      <c r="G228" s="33" t="inlineStr">
        <is>
          <t>Nad Ali</t>
        </is>
      </c>
    </row>
    <row r="229">
      <c r="G229" s="33" t="inlineStr">
        <is>
          <t>Nahr-e-Saraj</t>
        </is>
      </c>
    </row>
    <row r="230">
      <c r="G230" s="33" t="inlineStr">
        <is>
          <t>Sangin</t>
        </is>
      </c>
    </row>
    <row r="231">
      <c r="G231" s="33" t="inlineStr">
        <is>
          <t>Musa Qala</t>
        </is>
      </c>
    </row>
    <row r="232">
      <c r="G232" s="33" t="inlineStr">
        <is>
          <t>Kajaki</t>
        </is>
      </c>
    </row>
    <row r="233">
      <c r="G233" s="33" t="inlineStr">
        <is>
          <t>Garmser</t>
        </is>
      </c>
    </row>
    <row r="234">
      <c r="G234" s="33" t="inlineStr">
        <is>
          <t>Dishu</t>
        </is>
      </c>
    </row>
    <row r="235">
      <c r="G235" s="33" t="inlineStr">
        <is>
          <t>Khanashin</t>
        </is>
      </c>
    </row>
    <row r="236">
      <c r="G236" s="33" t="inlineStr">
        <is>
          <t>Baghran</t>
        </is>
      </c>
    </row>
    <row r="237">
      <c r="G237" s="33" t="inlineStr">
        <is>
          <t>Nawa-i-Barakzayi</t>
        </is>
      </c>
    </row>
    <row r="238">
      <c r="G238" s="33" t="inlineStr">
        <is>
          <t>Qalat</t>
        </is>
      </c>
    </row>
    <row r="239">
      <c r="G239" s="33" t="inlineStr">
        <is>
          <t>Mizana</t>
        </is>
      </c>
    </row>
    <row r="240">
      <c r="G240" s="33" t="inlineStr">
        <is>
          <t>Shahjoy</t>
        </is>
      </c>
    </row>
    <row r="241">
      <c r="G241" s="33" t="inlineStr">
        <is>
          <t>Shamulzayi</t>
        </is>
      </c>
    </row>
    <row r="242">
      <c r="G242" s="33" t="inlineStr">
        <is>
          <t>Atghar</t>
        </is>
      </c>
    </row>
    <row r="243">
      <c r="G243" s="33" t="inlineStr">
        <is>
          <t>Daychopan</t>
        </is>
      </c>
    </row>
    <row r="244">
      <c r="G244" s="33" t="inlineStr">
        <is>
          <t>Kakar</t>
        </is>
      </c>
    </row>
    <row r="245">
      <c r="G245" s="33" t="inlineStr">
        <is>
          <t>Naw Bahar</t>
        </is>
      </c>
    </row>
    <row r="246">
      <c r="G246" s="33" t="inlineStr">
        <is>
          <t>Shinkay</t>
        </is>
      </c>
    </row>
    <row r="247">
      <c r="G247" s="33" t="inlineStr">
        <is>
          <t>Tarnak wa Jaldak</t>
        </is>
      </c>
    </row>
    <row r="248">
      <c r="G248" s="33" t="inlineStr">
        <is>
          <t>Tarin Kot</t>
        </is>
      </c>
    </row>
    <row r="249">
      <c r="G249" s="33" t="inlineStr">
        <is>
          <t>Deh Rawud</t>
        </is>
      </c>
    </row>
    <row r="250">
      <c r="G250" s="33" t="inlineStr">
        <is>
          <t>Chora</t>
        </is>
      </c>
    </row>
    <row r="251">
      <c r="G251" s="33" t="inlineStr">
        <is>
          <t>Shahidi Hassas</t>
        </is>
      </c>
    </row>
    <row r="252">
      <c r="G252" s="33" t="inlineStr">
        <is>
          <t>Khas Uruzgan</t>
        </is>
      </c>
    </row>
    <row r="253">
      <c r="G253" s="33" t="inlineStr">
        <is>
          <t>Zaranj</t>
        </is>
      </c>
    </row>
    <row r="254">
      <c r="G254" s="33" t="inlineStr">
        <is>
          <t>Kang</t>
        </is>
      </c>
    </row>
    <row r="255">
      <c r="G255" s="33" t="inlineStr">
        <is>
          <t>Chakhansur</t>
        </is>
      </c>
    </row>
    <row r="256">
      <c r="G256" s="33" t="inlineStr">
        <is>
          <t>Chahar Burjak</t>
        </is>
      </c>
    </row>
    <row r="257">
      <c r="G257" s="33" t="inlineStr">
        <is>
          <t>Khash Rod</t>
        </is>
      </c>
    </row>
    <row r="258">
      <c r="G258" s="33" t="inlineStr">
        <is>
          <t>Mazar-e-Sharif</t>
        </is>
      </c>
    </row>
    <row r="259">
      <c r="G259" s="33" t="inlineStr">
        <is>
          <t>Alburz</t>
        </is>
      </c>
    </row>
    <row r="260">
      <c r="G260" s="33" t="inlineStr">
        <is>
          <t>Dehdadi</t>
        </is>
      </c>
    </row>
    <row r="261">
      <c r="G261" s="33" t="inlineStr">
        <is>
          <t>Nahr-e-Shahi</t>
        </is>
      </c>
    </row>
    <row r="262">
      <c r="G262" s="33" t="inlineStr">
        <is>
          <t>Chimtal</t>
        </is>
      </c>
    </row>
    <row r="263">
      <c r="G263" s="33" t="inlineStr">
        <is>
          <t>Dawlatabad</t>
        </is>
      </c>
    </row>
    <row r="264">
      <c r="G264" s="33" t="inlineStr">
        <is>
          <t>Sholgara</t>
        </is>
      </c>
    </row>
    <row r="265">
      <c r="G265" s="33" t="inlineStr">
        <is>
          <t>Kishindih</t>
        </is>
      </c>
    </row>
    <row r="266">
      <c r="G266" s="33" t="inlineStr">
        <is>
          <t>Zari</t>
        </is>
      </c>
    </row>
    <row r="267">
      <c r="G267" s="33" t="inlineStr">
        <is>
          <t>Shortepa</t>
        </is>
      </c>
    </row>
    <row r="268">
      <c r="G268" s="33" t="inlineStr">
        <is>
          <t>Kaldar</t>
        </is>
      </c>
    </row>
    <row r="269">
      <c r="G269" s="33" t="inlineStr">
        <is>
          <t>Khulm</t>
        </is>
      </c>
    </row>
    <row r="270">
      <c r="G270" s="33" t="inlineStr">
        <is>
          <t>Marmul</t>
        </is>
      </c>
    </row>
    <row r="271">
      <c r="G271" s="33" t="inlineStr">
        <is>
          <t>Aybak</t>
        </is>
      </c>
    </row>
    <row r="272">
      <c r="G272" s="33" t="inlineStr">
        <is>
          <t>Hazrati Sultan</t>
        </is>
      </c>
    </row>
    <row r="273">
      <c r="G273" s="33" t="inlineStr">
        <is>
          <t>Khuram wa Sarbagh</t>
        </is>
      </c>
    </row>
    <row r="274">
      <c r="G274" s="33" t="inlineStr">
        <is>
          <t>Ruyi Du Ab</t>
        </is>
      </c>
    </row>
    <row r="275">
      <c r="G275" s="33" t="inlineStr">
        <is>
          <t>Dara-i-Sufi Payin</t>
        </is>
      </c>
    </row>
    <row r="276">
      <c r="G276" s="33" t="inlineStr">
        <is>
          <t>Dara-i-Sufi Bala</t>
        </is>
      </c>
    </row>
    <row r="277">
      <c r="G277" s="33" t="inlineStr">
        <is>
          <t>Feroz Nakhchir</t>
        </is>
      </c>
    </row>
    <row r="278">
      <c r="G278" s="33" t="inlineStr">
        <is>
          <t>Sheberghan</t>
        </is>
      </c>
    </row>
    <row r="279">
      <c r="G279" s="33" t="inlineStr">
        <is>
          <t>Aqcha</t>
        </is>
      </c>
    </row>
    <row r="280">
      <c r="G280" s="33" t="inlineStr">
        <is>
          <t>Faizabad</t>
        </is>
      </c>
    </row>
    <row r="281">
      <c r="G281" s="33" t="inlineStr">
        <is>
          <t>Khamyab</t>
        </is>
      </c>
    </row>
    <row r="282">
      <c r="G282" s="33" t="inlineStr">
        <is>
          <t>Khwaja Du Koh</t>
        </is>
      </c>
    </row>
    <row r="283">
      <c r="G283" s="33" t="inlineStr">
        <is>
          <t>Mardyan</t>
        </is>
      </c>
    </row>
    <row r="284">
      <c r="G284" s="33" t="inlineStr">
        <is>
          <t>Mingajik</t>
        </is>
      </c>
    </row>
    <row r="285">
      <c r="G285" s="33" t="inlineStr">
        <is>
          <t>Qarqin</t>
        </is>
      </c>
    </row>
    <row r="286">
      <c r="G286" s="33" t="inlineStr">
        <is>
          <t>Qush Tepa</t>
        </is>
      </c>
    </row>
    <row r="287">
      <c r="G287" s="33" t="inlineStr">
        <is>
          <t>Darzab</t>
        </is>
      </c>
    </row>
    <row r="288">
      <c r="G288" s="33" t="inlineStr">
        <is>
          <t>Shibirghan</t>
        </is>
      </c>
    </row>
    <row r="289">
      <c r="G289" s="33" t="inlineStr">
        <is>
          <t>Sar-e-Pul</t>
        </is>
      </c>
    </row>
    <row r="290">
      <c r="G290" s="33" t="inlineStr">
        <is>
          <t>Balkhab</t>
        </is>
      </c>
    </row>
    <row r="291">
      <c r="G291" s="33" t="inlineStr">
        <is>
          <t>Gosfandi</t>
        </is>
      </c>
    </row>
    <row r="292">
      <c r="G292" s="33" t="inlineStr">
        <is>
          <t>Kohistanat</t>
        </is>
      </c>
    </row>
    <row r="293">
      <c r="G293" s="33" t="inlineStr">
        <is>
          <t>Sangcharak</t>
        </is>
      </c>
    </row>
    <row r="294">
      <c r="G294" s="33" t="inlineStr">
        <is>
          <t>Sayyad</t>
        </is>
      </c>
    </row>
    <row r="295">
      <c r="G295" s="33" t="inlineStr">
        <is>
          <t>Sozma Qala</t>
        </is>
      </c>
    </row>
    <row r="296">
      <c r="G296" s="33" t="inlineStr">
        <is>
          <t>Maymana</t>
        </is>
      </c>
    </row>
    <row r="297">
      <c r="G297" s="33" t="inlineStr">
        <is>
          <t>Andkhoy</t>
        </is>
      </c>
    </row>
    <row r="298">
      <c r="G298" s="33" t="inlineStr">
        <is>
          <t>Almar</t>
        </is>
      </c>
    </row>
    <row r="299">
      <c r="G299" s="33" t="inlineStr">
        <is>
          <t>Bilchiragh</t>
        </is>
      </c>
    </row>
    <row r="300">
      <c r="G300" s="33" t="inlineStr">
        <is>
          <t>Gurziwan</t>
        </is>
      </c>
    </row>
    <row r="301">
      <c r="G301" s="33" t="inlineStr">
        <is>
          <t>Khwaja Sabz Posh</t>
        </is>
      </c>
    </row>
    <row r="302">
      <c r="G302" s="33" t="inlineStr">
        <is>
          <t>Kohistan</t>
        </is>
      </c>
    </row>
    <row r="303">
      <c r="G303" s="33" t="inlineStr">
        <is>
          <t>Pashtun Kot</t>
        </is>
      </c>
    </row>
    <row r="304">
      <c r="G304" s="33" t="inlineStr">
        <is>
          <t>Qaramqol</t>
        </is>
      </c>
    </row>
    <row r="305">
      <c r="G305" s="33" t="inlineStr">
        <is>
          <t>Qaysar</t>
        </is>
      </c>
    </row>
    <row r="306">
      <c r="G306" s="33" t="inlineStr">
        <is>
          <t>Shirin Tagab</t>
        </is>
      </c>
    </row>
    <row r="307">
      <c r="G307" s="33" t="inlineStr">
        <is>
          <t>Kunduz</t>
        </is>
      </c>
    </row>
    <row r="308">
      <c r="G308" s="33" t="inlineStr">
        <is>
          <t>Ali Abad</t>
        </is>
      </c>
    </row>
    <row r="309">
      <c r="G309" s="33" t="inlineStr">
        <is>
          <t>Kalbad</t>
        </is>
      </c>
    </row>
    <row r="310">
      <c r="G310" s="33" t="inlineStr">
        <is>
          <t>Qala-e-Zal</t>
        </is>
      </c>
    </row>
    <row r="311">
      <c r="G311" s="33" t="inlineStr">
        <is>
          <t>Imam Sahib</t>
        </is>
      </c>
    </row>
    <row r="312">
      <c r="G312" s="33" t="inlineStr">
        <is>
          <t>Khanabad</t>
        </is>
      </c>
    </row>
    <row r="313">
      <c r="G313" s="33" t="inlineStr">
        <is>
          <t>Chahar Dara</t>
        </is>
      </c>
    </row>
    <row r="314">
      <c r="G314" s="33" t="inlineStr">
        <is>
          <t>Dasht-e-Archi</t>
        </is>
      </c>
    </row>
    <row r="315">
      <c r="G315" s="33" t="inlineStr">
        <is>
          <t>Puli Khumri</t>
        </is>
      </c>
    </row>
    <row r="316">
      <c r="G316" s="33" t="inlineStr">
        <is>
          <t>Baghlan</t>
        </is>
      </c>
    </row>
    <row r="317">
      <c r="G317" s="33" t="inlineStr">
        <is>
          <t>Dahana-i-Ghori</t>
        </is>
      </c>
    </row>
    <row r="318">
      <c r="G318" s="33" t="inlineStr">
        <is>
          <t>Dushi</t>
        </is>
      </c>
    </row>
    <row r="319">
      <c r="G319" s="33" t="inlineStr">
        <is>
          <t>Khinjan</t>
        </is>
      </c>
    </row>
    <row r="320">
      <c r="G320" s="33" t="inlineStr">
        <is>
          <t>Khost wa Firing</t>
        </is>
      </c>
    </row>
    <row r="321">
      <c r="G321" s="33" t="inlineStr">
        <is>
          <t>Nahrin</t>
        </is>
      </c>
    </row>
    <row r="322">
      <c r="G322" s="33" t="inlineStr">
        <is>
          <t>Andarab</t>
        </is>
      </c>
    </row>
    <row r="323">
      <c r="G323" s="33" t="inlineStr">
        <is>
          <t>Tala wa Barfak</t>
        </is>
      </c>
    </row>
    <row r="324">
      <c r="G324" s="33" t="inlineStr">
        <is>
          <t>Burka</t>
        </is>
      </c>
    </row>
    <row r="325">
      <c r="G325" s="33" t="inlineStr">
        <is>
          <t>Taloqan</t>
        </is>
      </c>
    </row>
    <row r="326">
      <c r="G326" s="33" t="inlineStr">
        <is>
          <t>Baharak</t>
        </is>
      </c>
    </row>
    <row r="327">
      <c r="G327" s="33" t="inlineStr">
        <is>
          <t>Bangi</t>
        </is>
      </c>
    </row>
    <row r="328">
      <c r="G328" s="33" t="inlineStr">
        <is>
          <t>Chah Ab</t>
        </is>
      </c>
    </row>
    <row r="329">
      <c r="G329" s="33" t="inlineStr">
        <is>
          <t>Chal</t>
        </is>
      </c>
    </row>
    <row r="330">
      <c r="G330" s="33" t="inlineStr">
        <is>
          <t>Darqad</t>
        </is>
      </c>
    </row>
    <row r="331">
      <c r="G331" s="33" t="inlineStr">
        <is>
          <t>Dashti Qala</t>
        </is>
      </c>
    </row>
    <row r="332">
      <c r="G332" s="33" t="inlineStr">
        <is>
          <t>Farkhar</t>
        </is>
      </c>
    </row>
    <row r="333">
      <c r="G333" s="33" t="inlineStr">
        <is>
          <t>Ishkamish</t>
        </is>
      </c>
    </row>
    <row r="334">
      <c r="G334" s="33" t="inlineStr">
        <is>
          <t>Kalafgan</t>
        </is>
      </c>
    </row>
    <row r="335">
      <c r="G335" s="33" t="inlineStr">
        <is>
          <t>Khwaja Ghar</t>
        </is>
      </c>
    </row>
    <row r="336">
      <c r="G336" s="33" t="inlineStr">
        <is>
          <t>Rustaq</t>
        </is>
      </c>
    </row>
    <row r="337">
      <c r="G337" s="33" t="inlineStr">
        <is>
          <t>Warsaj</t>
        </is>
      </c>
    </row>
    <row r="338">
      <c r="G338" s="33" t="inlineStr">
        <is>
          <t>Yangi Qala</t>
        </is>
      </c>
    </row>
    <row r="339">
      <c r="G339" s="33" t="inlineStr">
        <is>
          <t>Fayzabad</t>
        </is>
      </c>
    </row>
    <row r="340">
      <c r="G340" s="33" t="inlineStr">
        <is>
          <t>Jurm</t>
        </is>
      </c>
    </row>
    <row r="341">
      <c r="G341" s="33" t="inlineStr">
        <is>
          <t>Kishim</t>
        </is>
      </c>
    </row>
    <row r="342">
      <c r="G342" s="33" t="inlineStr">
        <is>
          <t>Yaftal</t>
        </is>
      </c>
    </row>
    <row r="343">
      <c r="G343" s="33" t="inlineStr">
        <is>
          <t>Arghanj Khwa</t>
        </is>
      </c>
    </row>
    <row r="344">
      <c r="G344" s="33" t="inlineStr">
        <is>
          <t>Darwaz</t>
        </is>
      </c>
    </row>
    <row r="345">
      <c r="G345" s="33" t="inlineStr">
        <is>
          <t>Ishkashim</t>
        </is>
      </c>
    </row>
    <row r="346">
      <c r="G346" s="33" t="inlineStr">
        <is>
          <t>Kuf Ab</t>
        </is>
      </c>
    </row>
    <row r="347">
      <c r="G347" s="33" t="inlineStr">
        <is>
          <t>Raghistan</t>
        </is>
      </c>
    </row>
    <row r="348">
      <c r="G348" s="33" t="inlineStr">
        <is>
          <t>Shighnan</t>
        </is>
      </c>
    </row>
    <row r="349">
      <c r="G349" s="33" t="inlineStr">
        <is>
          <t>Wakhan</t>
        </is>
      </c>
    </row>
    <row r="350">
      <c r="G350" s="33" t="inlineStr">
        <is>
          <t>Zebak</t>
        </is>
      </c>
    </row>
    <row r="351">
      <c r="G351" s="65" t="n"/>
    </row>
    <row r="352">
      <c r="G352" s="65" t="n"/>
    </row>
    <row r="353">
      <c r="G353" s="65" t="n"/>
    </row>
    <row r="354">
      <c r="G354" s="65" t="n"/>
    </row>
    <row r="355">
      <c r="G355" s="65" t="n"/>
    </row>
    <row r="356">
      <c r="G356" s="65" t="n"/>
    </row>
    <row r="357">
      <c r="G357" s="65" t="n"/>
    </row>
    <row r="358">
      <c r="G358" s="65" t="n"/>
    </row>
    <row r="359">
      <c r="G359" s="65" t="n"/>
    </row>
    <row r="360">
      <c r="G360" s="65" t="n"/>
    </row>
    <row r="361">
      <c r="G361" s="65" t="n"/>
    </row>
    <row r="362">
      <c r="G362" s="65" t="n"/>
    </row>
  </sheetData>
  <autoFilter ref="A2:I2"/>
  <mergeCells count="1">
    <mergeCell ref="A1:H1"/>
  </mergeCells>
  <pageMargins left="0.75" right="0.75" top="1" bottom="1" header="0.5" footer="0.5"/>
</worksheet>
</file>

<file path=xl/worksheets/sheet7.xml><?xml version="1.0" encoding="utf-8"?>
<worksheet xmlns="http://schemas.openxmlformats.org/spreadsheetml/2006/main">
  <sheetPr>
    <tabColor rgb="003D5A3D"/>
    <outlinePr summaryBelow="1" summaryRight="1"/>
    <pageSetUpPr/>
  </sheetPr>
  <dimension ref="A1:AH50"/>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28" customHeight="1">
      <c r="A1" s="21" t="inlineStr">
        <is>
          <t>Geography lists — add a province under its region code, or a district under its province column. Do not leave blank cells in the middle of a list.</t>
        </is>
      </c>
      <c r="B1" s="22" t="n"/>
      <c r="C1" s="22" t="n"/>
      <c r="D1" s="22" t="n"/>
      <c r="E1" s="22" t="n"/>
      <c r="F1" s="22" t="n"/>
      <c r="G1" s="22" t="n"/>
      <c r="H1" s="22" t="n"/>
      <c r="I1" s="22" t="n"/>
      <c r="J1" s="22" t="n"/>
      <c r="K1" s="22" t="n"/>
      <c r="L1" s="22" t="n"/>
      <c r="M1" s="22" t="n"/>
      <c r="N1" s="22" t="n"/>
      <c r="O1" s="22" t="n"/>
      <c r="P1" s="22" t="n"/>
    </row>
    <row r="3">
      <c r="A3" s="66" t="inlineStr">
        <is>
          <t>PROVINCES BY REGION (column header is the region code used in named ranges)</t>
        </is>
      </c>
    </row>
    <row r="4">
      <c r="A4" s="24" t="inlineStr">
        <is>
          <t>West_Herat</t>
        </is>
      </c>
      <c r="B4" s="24" t="inlineStr">
        <is>
          <t>East_Jalalabad</t>
        </is>
      </c>
      <c r="C4" s="24" t="inlineStr">
        <is>
          <t>Central_Kabul</t>
        </is>
      </c>
      <c r="D4" s="24" t="inlineStr">
        <is>
          <t>Central_Highland_Bamyan</t>
        </is>
      </c>
      <c r="E4" s="24" t="inlineStr">
        <is>
          <t>Southeast_Gardez</t>
        </is>
      </c>
      <c r="F4" s="24" t="inlineStr">
        <is>
          <t>South_Kandahar</t>
        </is>
      </c>
      <c r="G4" s="24" t="inlineStr">
        <is>
          <t>North_Mazar</t>
        </is>
      </c>
      <c r="H4" s="24" t="inlineStr">
        <is>
          <t>Northeast_Kunduz</t>
        </is>
      </c>
    </row>
    <row r="5">
      <c r="A5" s="5" t="inlineStr">
        <is>
          <t>Herat</t>
        </is>
      </c>
      <c r="B5" s="5" t="inlineStr">
        <is>
          <t>Nangarhar</t>
        </is>
      </c>
      <c r="C5" s="5" t="inlineStr">
        <is>
          <t>Kabul</t>
        </is>
      </c>
      <c r="D5" s="5" t="inlineStr">
        <is>
          <t>Bamyan</t>
        </is>
      </c>
      <c r="E5" s="5" t="inlineStr">
        <is>
          <t>Paktya</t>
        </is>
      </c>
      <c r="F5" s="5" t="inlineStr">
        <is>
          <t>Kandahar</t>
        </is>
      </c>
      <c r="G5" s="5" t="inlineStr">
        <is>
          <t>Balkh</t>
        </is>
      </c>
      <c r="H5" s="5" t="inlineStr">
        <is>
          <t>Kunduz</t>
        </is>
      </c>
    </row>
    <row r="6">
      <c r="A6" s="5" t="inlineStr">
        <is>
          <t>Badghis</t>
        </is>
      </c>
      <c r="B6" s="5" t="inlineStr">
        <is>
          <t>Kunar</t>
        </is>
      </c>
      <c r="C6" s="5" t="inlineStr">
        <is>
          <t>Parwan</t>
        </is>
      </c>
      <c r="D6" s="5" t="inlineStr">
        <is>
          <t>Daykundi</t>
        </is>
      </c>
      <c r="E6" s="5" t="inlineStr">
        <is>
          <t>Paktika</t>
        </is>
      </c>
      <c r="F6" s="5" t="inlineStr">
        <is>
          <t>Helmand</t>
        </is>
      </c>
      <c r="G6" s="5" t="inlineStr">
        <is>
          <t>Samangan</t>
        </is>
      </c>
      <c r="H6" s="5" t="inlineStr">
        <is>
          <t>Baghlan</t>
        </is>
      </c>
    </row>
    <row r="7">
      <c r="A7" s="5" t="inlineStr">
        <is>
          <t>Farah</t>
        </is>
      </c>
      <c r="B7" s="5" t="inlineStr">
        <is>
          <t>Laghman</t>
        </is>
      </c>
      <c r="C7" s="5" t="inlineStr">
        <is>
          <t>Kapisa</t>
        </is>
      </c>
      <c r="D7" s="65" t="n"/>
      <c r="E7" s="5" t="inlineStr">
        <is>
          <t>Khost</t>
        </is>
      </c>
      <c r="F7" s="5" t="inlineStr">
        <is>
          <t>Zabul</t>
        </is>
      </c>
      <c r="G7" s="5" t="inlineStr">
        <is>
          <t>Jawzjan</t>
        </is>
      </c>
      <c r="H7" s="5" t="inlineStr">
        <is>
          <t>Takhar</t>
        </is>
      </c>
    </row>
    <row r="8">
      <c r="A8" s="5" t="inlineStr">
        <is>
          <t>Ghor</t>
        </is>
      </c>
      <c r="B8" s="5" t="inlineStr">
        <is>
          <t>Nuristan</t>
        </is>
      </c>
      <c r="C8" s="5" t="inlineStr">
        <is>
          <t>Logar</t>
        </is>
      </c>
      <c r="D8" s="65" t="n"/>
      <c r="E8" s="5" t="inlineStr">
        <is>
          <t>Ghazni</t>
        </is>
      </c>
      <c r="F8" s="5" t="inlineStr">
        <is>
          <t>Uruzgan</t>
        </is>
      </c>
      <c r="G8" s="5" t="inlineStr">
        <is>
          <t>Sar-e-Pul</t>
        </is>
      </c>
      <c r="H8" s="5" t="inlineStr">
        <is>
          <t>Badakhshan</t>
        </is>
      </c>
    </row>
    <row r="9">
      <c r="A9" s="65" t="n"/>
      <c r="B9" s="65" t="n"/>
      <c r="C9" s="5" t="inlineStr">
        <is>
          <t>Maidan Wardak</t>
        </is>
      </c>
      <c r="D9" s="65" t="n"/>
      <c r="E9" s="65" t="n"/>
      <c r="F9" s="5" t="inlineStr">
        <is>
          <t>Nimroz</t>
        </is>
      </c>
      <c r="G9" s="5" t="inlineStr">
        <is>
          <t>Faryab</t>
        </is>
      </c>
      <c r="H9" s="65" t="n"/>
    </row>
    <row r="10">
      <c r="A10" s="65" t="n"/>
      <c r="B10" s="65" t="n"/>
      <c r="C10" s="5" t="inlineStr">
        <is>
          <t>Panjshir</t>
        </is>
      </c>
      <c r="D10" s="65" t="n"/>
      <c r="E10" s="65" t="n"/>
      <c r="F10" s="65" t="n"/>
      <c r="G10" s="65" t="n"/>
      <c r="H10" s="65" t="n"/>
    </row>
    <row r="11">
      <c r="A11" s="65" t="n"/>
      <c r="B11" s="65" t="n"/>
      <c r="C11" s="65" t="n"/>
      <c r="D11" s="65" t="n"/>
      <c r="E11" s="65" t="n"/>
      <c r="F11" s="65" t="n"/>
      <c r="G11" s="65" t="n"/>
      <c r="H11" s="65" t="n"/>
    </row>
    <row r="12">
      <c r="A12" s="65" t="n"/>
      <c r="B12" s="65" t="n"/>
      <c r="C12" s="65" t="n"/>
      <c r="D12" s="65" t="n"/>
      <c r="E12" s="65" t="n"/>
      <c r="F12" s="65" t="n"/>
      <c r="G12" s="65" t="n"/>
      <c r="H12" s="65" t="n"/>
    </row>
    <row r="13">
      <c r="A13" s="65" t="n"/>
      <c r="B13" s="65" t="n"/>
      <c r="C13" s="65" t="n"/>
      <c r="D13" s="65" t="n"/>
      <c r="E13" s="65" t="n"/>
      <c r="F13" s="65" t="n"/>
      <c r="G13" s="65" t="n"/>
      <c r="H13" s="65" t="n"/>
    </row>
    <row r="14">
      <c r="A14" s="65" t="n"/>
      <c r="B14" s="65" t="n"/>
      <c r="C14" s="65" t="n"/>
      <c r="D14" s="65" t="n"/>
      <c r="E14" s="65" t="n"/>
      <c r="F14" s="65" t="n"/>
      <c r="G14" s="65" t="n"/>
      <c r="H14" s="65" t="n"/>
    </row>
    <row r="15">
      <c r="A15" s="65" t="n"/>
      <c r="B15" s="65" t="n"/>
      <c r="C15" s="65" t="n"/>
      <c r="E15" s="65" t="n"/>
      <c r="F15" s="65" t="n"/>
      <c r="G15" s="65" t="n"/>
      <c r="H15" s="65" t="n"/>
    </row>
    <row r="16">
      <c r="A16" s="65" t="n"/>
      <c r="B16" s="65" t="n"/>
      <c r="C16" s="65" t="n"/>
      <c r="E16" s="65" t="n"/>
      <c r="F16" s="65" t="n"/>
      <c r="G16" s="65" t="n"/>
      <c r="H16" s="65" t="n"/>
    </row>
    <row r="17">
      <c r="C17" s="65" t="n"/>
      <c r="F17" s="65" t="n"/>
      <c r="G17" s="65" t="n"/>
    </row>
    <row r="18">
      <c r="C18" s="65" t="n"/>
    </row>
    <row r="21">
      <c r="A21" s="67" t="inlineStr">
        <is>
          <t>DISTRICTS BY PROVINCE (column header is the province; add districts below)</t>
        </is>
      </c>
    </row>
    <row r="22">
      <c r="A22" s="26" t="inlineStr">
        <is>
          <t>Herat</t>
        </is>
      </c>
      <c r="B22" s="26" t="inlineStr">
        <is>
          <t>Badghis</t>
        </is>
      </c>
      <c r="C22" s="26" t="inlineStr">
        <is>
          <t>Farah</t>
        </is>
      </c>
      <c r="D22" s="26" t="inlineStr">
        <is>
          <t>Ghor</t>
        </is>
      </c>
      <c r="E22" s="26" t="inlineStr">
        <is>
          <t>Nangarhar</t>
        </is>
      </c>
      <c r="F22" s="26" t="inlineStr">
        <is>
          <t>Kunar</t>
        </is>
      </c>
      <c r="G22" s="26" t="inlineStr">
        <is>
          <t>Laghman</t>
        </is>
      </c>
      <c r="H22" s="26" t="inlineStr">
        <is>
          <t>Nuristan</t>
        </is>
      </c>
      <c r="I22" s="26" t="inlineStr">
        <is>
          <t>Kabul</t>
        </is>
      </c>
      <c r="J22" s="26" t="inlineStr">
        <is>
          <t>Parwan</t>
        </is>
      </c>
      <c r="K22" s="26" t="inlineStr">
        <is>
          <t>Kapisa</t>
        </is>
      </c>
      <c r="L22" s="26" t="inlineStr">
        <is>
          <t>Logar</t>
        </is>
      </c>
      <c r="M22" s="26" t="inlineStr">
        <is>
          <t>Maidan Wardak</t>
        </is>
      </c>
      <c r="N22" s="26" t="inlineStr">
        <is>
          <t>Panjshir</t>
        </is>
      </c>
      <c r="O22" s="26" t="inlineStr">
        <is>
          <t>Bamyan</t>
        </is>
      </c>
      <c r="P22" s="26" t="inlineStr">
        <is>
          <t>Daykundi</t>
        </is>
      </c>
      <c r="Q22" s="26" t="inlineStr">
        <is>
          <t>Paktya</t>
        </is>
      </c>
      <c r="R22" s="26" t="inlineStr">
        <is>
          <t>Paktika</t>
        </is>
      </c>
      <c r="S22" s="26" t="inlineStr">
        <is>
          <t>Khost</t>
        </is>
      </c>
      <c r="T22" s="26" t="inlineStr">
        <is>
          <t>Ghazni</t>
        </is>
      </c>
      <c r="U22" s="26" t="inlineStr">
        <is>
          <t>Kandahar</t>
        </is>
      </c>
      <c r="V22" s="26" t="inlineStr">
        <is>
          <t>Helmand</t>
        </is>
      </c>
      <c r="W22" s="26" t="inlineStr">
        <is>
          <t>Zabul</t>
        </is>
      </c>
      <c r="X22" s="26" t="inlineStr">
        <is>
          <t>Uruzgan</t>
        </is>
      </c>
      <c r="Y22" s="26" t="inlineStr">
        <is>
          <t>Nimroz</t>
        </is>
      </c>
      <c r="Z22" s="26" t="inlineStr">
        <is>
          <t>Balkh</t>
        </is>
      </c>
      <c r="AA22" s="26" t="inlineStr">
        <is>
          <t>Samangan</t>
        </is>
      </c>
      <c r="AB22" s="26" t="inlineStr">
        <is>
          <t>Jawzjan</t>
        </is>
      </c>
      <c r="AC22" s="26" t="inlineStr">
        <is>
          <t>Sar-e-Pul</t>
        </is>
      </c>
      <c r="AD22" s="26" t="inlineStr">
        <is>
          <t>Faryab</t>
        </is>
      </c>
      <c r="AE22" s="26" t="inlineStr">
        <is>
          <t>Kunduz</t>
        </is>
      </c>
      <c r="AF22" s="26" t="inlineStr">
        <is>
          <t>Baghlan</t>
        </is>
      </c>
      <c r="AG22" s="26" t="inlineStr">
        <is>
          <t>Takhar</t>
        </is>
      </c>
      <c r="AH22" s="26" t="inlineStr">
        <is>
          <t>Badakhshan</t>
        </is>
      </c>
    </row>
    <row r="23">
      <c r="A23" s="5" t="inlineStr">
        <is>
          <t>Herat</t>
        </is>
      </c>
      <c r="B23" s="5" t="inlineStr">
        <is>
          <t>Qala-e-Naw</t>
        </is>
      </c>
      <c r="C23" s="5" t="inlineStr">
        <is>
          <t>Farah</t>
        </is>
      </c>
      <c r="D23" s="5" t="inlineStr">
        <is>
          <t>Firozkoh</t>
        </is>
      </c>
      <c r="E23" s="5" t="inlineStr">
        <is>
          <t>Jalalabad</t>
        </is>
      </c>
      <c r="F23" s="5" t="inlineStr">
        <is>
          <t>Asadabad</t>
        </is>
      </c>
      <c r="G23" s="5" t="inlineStr">
        <is>
          <t>Mihtarlam</t>
        </is>
      </c>
      <c r="H23" s="5" t="inlineStr">
        <is>
          <t>Parun</t>
        </is>
      </c>
      <c r="I23" s="5" t="inlineStr">
        <is>
          <t>PD#13 Kabul</t>
        </is>
      </c>
      <c r="J23" s="5" t="inlineStr">
        <is>
          <t>Charikar</t>
        </is>
      </c>
      <c r="K23" s="5" t="inlineStr">
        <is>
          <t>Mahmud Raqi</t>
        </is>
      </c>
      <c r="L23" s="5" t="inlineStr">
        <is>
          <t>Puli Alam</t>
        </is>
      </c>
      <c r="M23" s="5" t="inlineStr">
        <is>
          <t>Maidan Shahr</t>
        </is>
      </c>
      <c r="N23" s="5" t="inlineStr">
        <is>
          <t>Bazarak</t>
        </is>
      </c>
      <c r="O23" s="5" t="inlineStr">
        <is>
          <t>Bamyan</t>
        </is>
      </c>
      <c r="P23" s="5" t="inlineStr">
        <is>
          <t>Nili</t>
        </is>
      </c>
      <c r="Q23" s="5" t="inlineStr">
        <is>
          <t>Gardez</t>
        </is>
      </c>
      <c r="R23" s="5" t="inlineStr">
        <is>
          <t>Sharana</t>
        </is>
      </c>
      <c r="S23" s="5" t="inlineStr">
        <is>
          <t>Khost</t>
        </is>
      </c>
      <c r="T23" s="5" t="inlineStr">
        <is>
          <t>Ghazni</t>
        </is>
      </c>
      <c r="U23" s="5" t="inlineStr">
        <is>
          <t>Kandahar</t>
        </is>
      </c>
      <c r="V23" s="5" t="inlineStr">
        <is>
          <t>Lashkar Gah</t>
        </is>
      </c>
      <c r="W23" s="5" t="inlineStr">
        <is>
          <t>Qalat</t>
        </is>
      </c>
      <c r="X23" s="5" t="inlineStr">
        <is>
          <t>Tarin Kot</t>
        </is>
      </c>
      <c r="Y23" s="5" t="inlineStr">
        <is>
          <t>Zaranj</t>
        </is>
      </c>
      <c r="Z23" s="5" t="inlineStr">
        <is>
          <t>Mazar-e-Sharif</t>
        </is>
      </c>
      <c r="AA23" s="5" t="inlineStr">
        <is>
          <t>Aybak</t>
        </is>
      </c>
      <c r="AB23" s="5" t="inlineStr">
        <is>
          <t>Sheberghan</t>
        </is>
      </c>
      <c r="AC23" s="5" t="inlineStr">
        <is>
          <t>Sar-e-Pul</t>
        </is>
      </c>
      <c r="AD23" s="5" t="inlineStr">
        <is>
          <t>Maymana</t>
        </is>
      </c>
      <c r="AE23" s="5" t="inlineStr">
        <is>
          <t>Kunduz</t>
        </is>
      </c>
      <c r="AF23" s="5" t="inlineStr">
        <is>
          <t>Puli Khumri</t>
        </is>
      </c>
      <c r="AG23" s="5" t="inlineStr">
        <is>
          <t>Taloqan</t>
        </is>
      </c>
      <c r="AH23" s="5" t="inlineStr">
        <is>
          <t>Fayzabad</t>
        </is>
      </c>
    </row>
    <row r="24">
      <c r="A24" s="5" t="inlineStr">
        <is>
          <t>Injil</t>
        </is>
      </c>
      <c r="B24" s="5" t="inlineStr">
        <is>
          <t>Qadis</t>
        </is>
      </c>
      <c r="C24" s="5" t="inlineStr">
        <is>
          <t>Pusht Rod</t>
        </is>
      </c>
      <c r="D24" s="5" t="inlineStr">
        <is>
          <t>Lal wa Sarjangal</t>
        </is>
      </c>
      <c r="E24" s="5" t="inlineStr">
        <is>
          <t>Behsud</t>
        </is>
      </c>
      <c r="F24" s="5" t="inlineStr">
        <is>
          <t>Narang</t>
        </is>
      </c>
      <c r="G24" s="5" t="inlineStr">
        <is>
          <t>Qarghayi</t>
        </is>
      </c>
      <c r="H24" s="5" t="inlineStr">
        <is>
          <t>Wama</t>
        </is>
      </c>
      <c r="I24" s="5" t="inlineStr">
        <is>
          <t>Deh Sabz</t>
        </is>
      </c>
      <c r="J24" s="5" t="inlineStr">
        <is>
          <t>Bagram</t>
        </is>
      </c>
      <c r="K24" s="5" t="inlineStr">
        <is>
          <t>Hisa-i-Awal Kohistan</t>
        </is>
      </c>
      <c r="L24" s="5" t="inlineStr">
        <is>
          <t>Muhammad Agha</t>
        </is>
      </c>
      <c r="M24" s="5" t="inlineStr">
        <is>
          <t>Nirkh</t>
        </is>
      </c>
      <c r="N24" s="5" t="inlineStr">
        <is>
          <t>Rokha</t>
        </is>
      </c>
      <c r="O24" s="5" t="inlineStr">
        <is>
          <t>Shibar</t>
        </is>
      </c>
      <c r="P24" s="5" t="inlineStr">
        <is>
          <t>Ashtarlay</t>
        </is>
      </c>
      <c r="Q24" s="5" t="inlineStr">
        <is>
          <t>Sayed Karam</t>
        </is>
      </c>
      <c r="R24" s="5" t="inlineStr">
        <is>
          <t>Sarubi</t>
        </is>
      </c>
      <c r="S24" s="5" t="inlineStr">
        <is>
          <t>Zazai Maidan</t>
        </is>
      </c>
      <c r="T24" s="5" t="inlineStr">
        <is>
          <t>Andar</t>
        </is>
      </c>
      <c r="U24" s="5" t="inlineStr">
        <is>
          <t>Ghorak</t>
        </is>
      </c>
      <c r="V24" s="5" t="inlineStr">
        <is>
          <t>Nawzad</t>
        </is>
      </c>
      <c r="W24" s="5" t="inlineStr">
        <is>
          <t>Mizana</t>
        </is>
      </c>
      <c r="X24" s="5" t="inlineStr">
        <is>
          <t>Deh Rawud</t>
        </is>
      </c>
      <c r="Y24" s="5" t="inlineStr">
        <is>
          <t>Kang</t>
        </is>
      </c>
      <c r="Z24" s="5" t="inlineStr">
        <is>
          <t>Alburz</t>
        </is>
      </c>
      <c r="AA24" s="5" t="inlineStr">
        <is>
          <t>Hazrati Sultan</t>
        </is>
      </c>
      <c r="AB24" s="5" t="inlineStr">
        <is>
          <t>Aqcha</t>
        </is>
      </c>
      <c r="AC24" s="5" t="inlineStr">
        <is>
          <t>Balkhab</t>
        </is>
      </c>
      <c r="AD24" s="5" t="inlineStr">
        <is>
          <t>Andkhoy</t>
        </is>
      </c>
      <c r="AE24" s="5" t="inlineStr">
        <is>
          <t>Ali Abad</t>
        </is>
      </c>
      <c r="AF24" s="5" t="inlineStr">
        <is>
          <t>Baghlan</t>
        </is>
      </c>
      <c r="AG24" s="5" t="inlineStr">
        <is>
          <t>Baharak</t>
        </is>
      </c>
      <c r="AH24" s="5" t="inlineStr">
        <is>
          <t>Jurm</t>
        </is>
      </c>
    </row>
    <row r="25">
      <c r="A25" s="5" t="inlineStr">
        <is>
          <t>Guzara</t>
        </is>
      </c>
      <c r="B25" s="5" t="inlineStr">
        <is>
          <t>Muqur</t>
        </is>
      </c>
      <c r="C25" s="5" t="inlineStr">
        <is>
          <t>Khaki Safed</t>
        </is>
      </c>
      <c r="D25" s="5" t="inlineStr">
        <is>
          <t>Tulak</t>
        </is>
      </c>
      <c r="E25" s="5" t="inlineStr">
        <is>
          <t>Surkh Rod</t>
        </is>
      </c>
      <c r="F25" s="5" t="inlineStr">
        <is>
          <t>Sawkai</t>
        </is>
      </c>
      <c r="G25" s="5" t="inlineStr">
        <is>
          <t>Alishing</t>
        </is>
      </c>
      <c r="H25" s="5" t="inlineStr">
        <is>
          <t>Kamdesh</t>
        </is>
      </c>
      <c r="I25" s="5" t="inlineStr">
        <is>
          <t>Bagrami</t>
        </is>
      </c>
      <c r="J25" s="5" t="inlineStr">
        <is>
          <t>Jabal Saraj</t>
        </is>
      </c>
      <c r="K25" s="5" t="inlineStr">
        <is>
          <t>Hisa-i-Duwum Kohistan</t>
        </is>
      </c>
      <c r="L25" s="5" t="inlineStr">
        <is>
          <t>Kharwar</t>
        </is>
      </c>
      <c r="M25" s="5" t="inlineStr">
        <is>
          <t>Jalrez</t>
        </is>
      </c>
      <c r="N25" s="5" t="inlineStr">
        <is>
          <t>Shotul</t>
        </is>
      </c>
      <c r="O25" s="5" t="inlineStr">
        <is>
          <t>Kahmard</t>
        </is>
      </c>
      <c r="P25" s="5" t="inlineStr">
        <is>
          <t>Sang Takht wa Bandar</t>
        </is>
      </c>
      <c r="Q25" s="5" t="inlineStr">
        <is>
          <t>Ahmadabad</t>
        </is>
      </c>
      <c r="R25" s="5" t="inlineStr">
        <is>
          <t>Urgun</t>
        </is>
      </c>
      <c r="S25" s="5" t="inlineStr">
        <is>
          <t>Mandozai</t>
        </is>
      </c>
      <c r="T25" s="5" t="inlineStr">
        <is>
          <t>Deh Yak</t>
        </is>
      </c>
      <c r="U25" s="5" t="inlineStr">
        <is>
          <t>Nesh</t>
        </is>
      </c>
      <c r="V25" s="5" t="inlineStr">
        <is>
          <t>Washer</t>
        </is>
      </c>
      <c r="W25" s="5" t="inlineStr">
        <is>
          <t>Shahjoy</t>
        </is>
      </c>
      <c r="X25" s="5" t="inlineStr">
        <is>
          <t>Chora</t>
        </is>
      </c>
      <c r="Y25" s="5" t="inlineStr">
        <is>
          <t>Chakhansur</t>
        </is>
      </c>
      <c r="Z25" s="5" t="inlineStr">
        <is>
          <t>Dehdadi</t>
        </is>
      </c>
      <c r="AA25" s="5" t="inlineStr">
        <is>
          <t>Khuram wa Sarbagh</t>
        </is>
      </c>
      <c r="AB25" s="5" t="inlineStr">
        <is>
          <t>Faizabad</t>
        </is>
      </c>
      <c r="AC25" s="5" t="inlineStr">
        <is>
          <t>Gosfandi</t>
        </is>
      </c>
      <c r="AD25" s="5" t="inlineStr">
        <is>
          <t>Almar</t>
        </is>
      </c>
      <c r="AE25" s="5" t="inlineStr">
        <is>
          <t>Kalbad</t>
        </is>
      </c>
      <c r="AF25" s="5" t="inlineStr">
        <is>
          <t>Dahana-i-Ghori</t>
        </is>
      </c>
      <c r="AG25" s="5" t="inlineStr">
        <is>
          <t>Bangi</t>
        </is>
      </c>
      <c r="AH25" s="5" t="inlineStr">
        <is>
          <t>Baharak</t>
        </is>
      </c>
    </row>
    <row r="26">
      <c r="A26" s="5" t="inlineStr">
        <is>
          <t>Karukh</t>
        </is>
      </c>
      <c r="B26" s="5" t="inlineStr">
        <is>
          <t>Bala Murghab</t>
        </is>
      </c>
      <c r="C26" s="5" t="inlineStr">
        <is>
          <t>Qala-e-Kah</t>
        </is>
      </c>
      <c r="D26" s="5" t="inlineStr">
        <is>
          <t>Shahrak</t>
        </is>
      </c>
      <c r="E26" s="5" t="inlineStr">
        <is>
          <t>Kama</t>
        </is>
      </c>
      <c r="F26" s="5" t="inlineStr">
        <is>
          <t>Khas Kunar</t>
        </is>
      </c>
      <c r="G26" s="5" t="inlineStr">
        <is>
          <t>Alingar</t>
        </is>
      </c>
      <c r="H26" s="5" t="inlineStr">
        <is>
          <t>Barg-i-Matal</t>
        </is>
      </c>
      <c r="I26" s="5" t="inlineStr">
        <is>
          <t>Paghman</t>
        </is>
      </c>
      <c r="J26" s="5" t="inlineStr">
        <is>
          <t>Salang</t>
        </is>
      </c>
      <c r="K26" s="5" t="inlineStr">
        <is>
          <t>Koh Band</t>
        </is>
      </c>
      <c r="L26" s="5" t="inlineStr">
        <is>
          <t>Khoshi</t>
        </is>
      </c>
      <c r="M26" s="5" t="inlineStr">
        <is>
          <t>Hisa-i-Awal Behsud</t>
        </is>
      </c>
      <c r="N26" s="5" t="inlineStr">
        <is>
          <t>Darah</t>
        </is>
      </c>
      <c r="O26" s="5" t="inlineStr">
        <is>
          <t>Yakawlang</t>
        </is>
      </c>
      <c r="P26" s="5" t="inlineStr">
        <is>
          <t>Khadir</t>
        </is>
      </c>
      <c r="Q26" s="5" t="inlineStr">
        <is>
          <t>Jaji</t>
        </is>
      </c>
      <c r="R26" s="5" t="inlineStr">
        <is>
          <t>Barmal</t>
        </is>
      </c>
      <c r="S26" s="5" t="inlineStr">
        <is>
          <t>Tani</t>
        </is>
      </c>
      <c r="T26" s="5" t="inlineStr">
        <is>
          <t>Gelan</t>
        </is>
      </c>
      <c r="U26" s="5" t="inlineStr">
        <is>
          <t>Arghandab</t>
        </is>
      </c>
      <c r="V26" s="5" t="inlineStr">
        <is>
          <t>Nad Ali</t>
        </is>
      </c>
      <c r="W26" s="5" t="inlineStr">
        <is>
          <t>Shamulzayi</t>
        </is>
      </c>
      <c r="X26" s="5" t="inlineStr">
        <is>
          <t>Shahidi Hassas</t>
        </is>
      </c>
      <c r="Y26" s="5" t="inlineStr">
        <is>
          <t>Chahar Burjak</t>
        </is>
      </c>
      <c r="Z26" s="5" t="inlineStr">
        <is>
          <t>Nahr-e-Shahi</t>
        </is>
      </c>
      <c r="AA26" s="5" t="inlineStr">
        <is>
          <t>Ruyi Du Ab</t>
        </is>
      </c>
      <c r="AB26" s="5" t="inlineStr">
        <is>
          <t>Khamyab</t>
        </is>
      </c>
      <c r="AC26" s="5" t="inlineStr">
        <is>
          <t>Kohistanat</t>
        </is>
      </c>
      <c r="AD26" s="5" t="inlineStr">
        <is>
          <t>Bilchiragh</t>
        </is>
      </c>
      <c r="AE26" s="5" t="inlineStr">
        <is>
          <t>Qala-e-Zal</t>
        </is>
      </c>
      <c r="AF26" s="5" t="inlineStr">
        <is>
          <t>Dushi</t>
        </is>
      </c>
      <c r="AG26" s="5" t="inlineStr">
        <is>
          <t>Chah Ab</t>
        </is>
      </c>
      <c r="AH26" s="5" t="inlineStr">
        <is>
          <t>Kishim</t>
        </is>
      </c>
    </row>
    <row r="27">
      <c r="A27" s="5" t="inlineStr">
        <is>
          <t>Pashtun Zarghun</t>
        </is>
      </c>
      <c r="B27" s="5" t="inlineStr">
        <is>
          <t>Jawand</t>
        </is>
      </c>
      <c r="C27" s="5" t="inlineStr">
        <is>
          <t>Shib Koh</t>
        </is>
      </c>
      <c r="D27" s="5" t="inlineStr">
        <is>
          <t>Dawlat Yar</t>
        </is>
      </c>
      <c r="E27" s="5" t="inlineStr">
        <is>
          <t>Kuz Kunar</t>
        </is>
      </c>
      <c r="F27" s="5" t="inlineStr">
        <is>
          <t>Nurgal</t>
        </is>
      </c>
      <c r="G27" s="5" t="inlineStr">
        <is>
          <t>Dawlat Shah</t>
        </is>
      </c>
      <c r="H27" s="5" t="inlineStr">
        <is>
          <t>Mandol</t>
        </is>
      </c>
      <c r="I27" s="5" t="inlineStr">
        <is>
          <t>Char Asiab</t>
        </is>
      </c>
      <c r="J27" s="5" t="inlineStr">
        <is>
          <t>Shinwari</t>
        </is>
      </c>
      <c r="K27" s="5" t="inlineStr">
        <is>
          <t>Nijrab</t>
        </is>
      </c>
      <c r="L27" s="5" t="inlineStr">
        <is>
          <t>Baraki Barak</t>
        </is>
      </c>
      <c r="M27" s="5" t="inlineStr">
        <is>
          <t>Markazi Behsud</t>
        </is>
      </c>
      <c r="N27" s="5" t="inlineStr">
        <is>
          <t>Hisa-i-Awal</t>
        </is>
      </c>
      <c r="O27" s="5" t="inlineStr">
        <is>
          <t>Panjab</t>
        </is>
      </c>
      <c r="P27" s="5" t="inlineStr">
        <is>
          <t>Kiti</t>
        </is>
      </c>
      <c r="Q27" s="5" t="inlineStr">
        <is>
          <t>Zurmat</t>
        </is>
      </c>
      <c r="R27" s="5" t="inlineStr">
        <is>
          <t>Gomal</t>
        </is>
      </c>
      <c r="S27" s="5" t="inlineStr">
        <is>
          <t>Spera</t>
        </is>
      </c>
      <c r="T27" s="5" t="inlineStr">
        <is>
          <t>Giro</t>
        </is>
      </c>
      <c r="U27" s="5" t="inlineStr">
        <is>
          <t>Daman</t>
        </is>
      </c>
      <c r="V27" s="5" t="inlineStr">
        <is>
          <t>Nahr-e-Saraj</t>
        </is>
      </c>
      <c r="W27" s="5" t="inlineStr">
        <is>
          <t>Arghandab</t>
        </is>
      </c>
      <c r="X27" s="5" t="inlineStr">
        <is>
          <t>Khas Uruzgan</t>
        </is>
      </c>
      <c r="Y27" s="5" t="inlineStr">
        <is>
          <t>Khash Rod</t>
        </is>
      </c>
      <c r="Z27" s="5" t="inlineStr">
        <is>
          <t>Chimtal</t>
        </is>
      </c>
      <c r="AA27" s="5" t="inlineStr">
        <is>
          <t>Dara-i-Sufi Payin</t>
        </is>
      </c>
      <c r="AB27" s="5" t="inlineStr">
        <is>
          <t>Khwaja Du Koh</t>
        </is>
      </c>
      <c r="AC27" s="5" t="inlineStr">
        <is>
          <t>Sangcharak</t>
        </is>
      </c>
      <c r="AD27" s="5" t="inlineStr">
        <is>
          <t>Dawlatabad</t>
        </is>
      </c>
      <c r="AE27" s="5" t="inlineStr">
        <is>
          <t>Imam Sahib</t>
        </is>
      </c>
      <c r="AF27" s="5" t="inlineStr">
        <is>
          <t>Khinjan</t>
        </is>
      </c>
      <c r="AG27" s="5" t="inlineStr">
        <is>
          <t>Chal</t>
        </is>
      </c>
      <c r="AH27" s="5" t="inlineStr">
        <is>
          <t>Yaftal</t>
        </is>
      </c>
    </row>
    <row r="28">
      <c r="A28" s="5" t="inlineStr">
        <is>
          <t>Zindajan</t>
        </is>
      </c>
      <c r="B28" s="5" t="inlineStr">
        <is>
          <t>Ab Kamari</t>
        </is>
      </c>
      <c r="C28" s="5" t="inlineStr">
        <is>
          <t>Bala Buluk</t>
        </is>
      </c>
      <c r="D28" s="5" t="inlineStr">
        <is>
          <t>Charsada</t>
        </is>
      </c>
      <c r="E28" s="5" t="inlineStr">
        <is>
          <t>Rodat</t>
        </is>
      </c>
      <c r="F28" s="5" t="inlineStr">
        <is>
          <t>Chawkay</t>
        </is>
      </c>
      <c r="G28" s="65" t="n"/>
      <c r="H28" s="5" t="inlineStr">
        <is>
          <t>Du Ab</t>
        </is>
      </c>
      <c r="I28" s="5" t="inlineStr">
        <is>
          <t>Shakardara</t>
        </is>
      </c>
      <c r="J28" s="5" t="inlineStr">
        <is>
          <t>Sayed Khel</t>
        </is>
      </c>
      <c r="K28" s="5" t="inlineStr">
        <is>
          <t>Tagab</t>
        </is>
      </c>
      <c r="L28" s="5" t="inlineStr">
        <is>
          <t>Azra</t>
        </is>
      </c>
      <c r="M28" s="5" t="inlineStr">
        <is>
          <t>Day Mirdad</t>
        </is>
      </c>
      <c r="N28" s="5" t="inlineStr">
        <is>
          <t>Hisa-i-Duwum</t>
        </is>
      </c>
      <c r="O28" s="5" t="inlineStr">
        <is>
          <t>Waras</t>
        </is>
      </c>
      <c r="P28" s="5" t="inlineStr">
        <is>
          <t>Miramor</t>
        </is>
      </c>
      <c r="Q28" s="5" t="inlineStr">
        <is>
          <t>Dand wa Patan</t>
        </is>
      </c>
      <c r="R28" s="5" t="inlineStr">
        <is>
          <t>Mata Khan</t>
        </is>
      </c>
      <c r="S28" s="5" t="inlineStr">
        <is>
          <t>Nadir Shah Kot</t>
        </is>
      </c>
      <c r="T28" s="5" t="inlineStr">
        <is>
          <t>Jaghatu</t>
        </is>
      </c>
      <c r="U28" s="5" t="inlineStr">
        <is>
          <t>Panjwayi</t>
        </is>
      </c>
      <c r="V28" s="5" t="inlineStr">
        <is>
          <t>Sangin</t>
        </is>
      </c>
      <c r="W28" s="5" t="inlineStr">
        <is>
          <t>Atghar</t>
        </is>
      </c>
      <c r="X28" s="5" t="inlineStr">
        <is>
          <t>Gizab</t>
        </is>
      </c>
      <c r="Y28" s="65" t="n"/>
      <c r="Z28" s="5" t="inlineStr">
        <is>
          <t>Dawlatabad</t>
        </is>
      </c>
      <c r="AA28" s="5" t="inlineStr">
        <is>
          <t>Dara-i-Sufi Bala</t>
        </is>
      </c>
      <c r="AB28" s="5" t="inlineStr">
        <is>
          <t>Mardyan</t>
        </is>
      </c>
      <c r="AC28" s="5" t="inlineStr">
        <is>
          <t>Sayyad</t>
        </is>
      </c>
      <c r="AD28" s="5" t="inlineStr">
        <is>
          <t>Gurziwan</t>
        </is>
      </c>
      <c r="AE28" s="5" t="inlineStr">
        <is>
          <t>Khanabad</t>
        </is>
      </c>
      <c r="AF28" s="5" t="inlineStr">
        <is>
          <t>Khost wa Firing</t>
        </is>
      </c>
      <c r="AG28" s="5" t="inlineStr">
        <is>
          <t>Darqad</t>
        </is>
      </c>
      <c r="AH28" s="5" t="inlineStr">
        <is>
          <t>Arghanj Khwa</t>
        </is>
      </c>
    </row>
    <row r="29">
      <c r="A29" s="5" t="inlineStr">
        <is>
          <t>Gulran</t>
        </is>
      </c>
      <c r="B29" s="5" t="inlineStr">
        <is>
          <t>Ghormach</t>
        </is>
      </c>
      <c r="C29" s="5" t="inlineStr">
        <is>
          <t>Gulistan</t>
        </is>
      </c>
      <c r="D29" s="5" t="inlineStr">
        <is>
          <t>Pasaband</t>
        </is>
      </c>
      <c r="E29" s="5" t="inlineStr">
        <is>
          <t>Bati Kot</t>
        </is>
      </c>
      <c r="F29" s="5" t="inlineStr">
        <is>
          <t>Dangam</t>
        </is>
      </c>
      <c r="G29" s="65" t="n"/>
      <c r="H29" s="5" t="inlineStr">
        <is>
          <t>Nurgaram</t>
        </is>
      </c>
      <c r="I29" s="5" t="inlineStr">
        <is>
          <t>Musayi</t>
        </is>
      </c>
      <c r="J29" s="5" t="inlineStr">
        <is>
          <t>Koh-i-Safi</t>
        </is>
      </c>
      <c r="K29" s="5" t="inlineStr">
        <is>
          <t>Alasay</t>
        </is>
      </c>
      <c r="L29" s="5" t="inlineStr">
        <is>
          <t>Charkh</t>
        </is>
      </c>
      <c r="M29" s="5" t="inlineStr">
        <is>
          <t>Chaki Wardak</t>
        </is>
      </c>
      <c r="N29" s="5" t="inlineStr">
        <is>
          <t>Paryan</t>
        </is>
      </c>
      <c r="O29" s="5" t="inlineStr">
        <is>
          <t>Saighan</t>
        </is>
      </c>
      <c r="P29" s="5" t="inlineStr">
        <is>
          <t>Shahristan</t>
        </is>
      </c>
      <c r="Q29" s="5" t="inlineStr">
        <is>
          <t>Gerda Serai</t>
        </is>
      </c>
      <c r="R29" s="5" t="inlineStr">
        <is>
          <t>Omna</t>
        </is>
      </c>
      <c r="S29" s="5" t="inlineStr">
        <is>
          <t>Musa Khel</t>
        </is>
      </c>
      <c r="T29" s="5" t="inlineStr">
        <is>
          <t>Jaghori</t>
        </is>
      </c>
      <c r="U29" s="5" t="inlineStr">
        <is>
          <t>Spin Boldak</t>
        </is>
      </c>
      <c r="V29" s="5" t="inlineStr">
        <is>
          <t>Musa Qala</t>
        </is>
      </c>
      <c r="W29" s="5" t="inlineStr">
        <is>
          <t>Daychopan</t>
        </is>
      </c>
      <c r="X29" s="65" t="n"/>
      <c r="Y29" s="65" t="n"/>
      <c r="Z29" s="5" t="inlineStr">
        <is>
          <t>Sholgara</t>
        </is>
      </c>
      <c r="AA29" s="5" t="inlineStr">
        <is>
          <t>Feroz Nakhchir</t>
        </is>
      </c>
      <c r="AB29" s="5" t="inlineStr">
        <is>
          <t>Mingajik</t>
        </is>
      </c>
      <c r="AC29" s="5" t="inlineStr">
        <is>
          <t>Sozma Qala</t>
        </is>
      </c>
      <c r="AD29" s="5" t="inlineStr">
        <is>
          <t>Khwaja Sabz Posh</t>
        </is>
      </c>
      <c r="AE29" s="5" t="inlineStr">
        <is>
          <t>Chahar Dara</t>
        </is>
      </c>
      <c r="AF29" s="5" t="inlineStr">
        <is>
          <t>Nahrin</t>
        </is>
      </c>
      <c r="AG29" s="5" t="inlineStr">
        <is>
          <t>Dashti Qala</t>
        </is>
      </c>
      <c r="AH29" s="5" t="inlineStr">
        <is>
          <t>Darwaz</t>
        </is>
      </c>
    </row>
    <row r="30">
      <c r="A30" s="5" t="inlineStr">
        <is>
          <t>Kohsan</t>
        </is>
      </c>
      <c r="B30" s="65" t="n"/>
      <c r="C30" s="5" t="inlineStr">
        <is>
          <t>Pur Chaman</t>
        </is>
      </c>
      <c r="D30" s="5" t="inlineStr">
        <is>
          <t>Saghar</t>
        </is>
      </c>
      <c r="E30" s="5" t="inlineStr">
        <is>
          <t>Shinwar</t>
        </is>
      </c>
      <c r="F30" s="5" t="inlineStr">
        <is>
          <t>Ghaziabad</t>
        </is>
      </c>
      <c r="G30" s="65" t="n"/>
      <c r="H30" s="5" t="inlineStr">
        <is>
          <t>Waygal</t>
        </is>
      </c>
      <c r="I30" s="5" t="inlineStr">
        <is>
          <t>Kalakan</t>
        </is>
      </c>
      <c r="J30" s="5" t="inlineStr">
        <is>
          <t>Surkhi Parsa</t>
        </is>
      </c>
      <c r="K30" s="65" t="n"/>
      <c r="L30" s="65" t="n"/>
      <c r="M30" s="5" t="inlineStr">
        <is>
          <t>Saydabad</t>
        </is>
      </c>
      <c r="N30" s="65" t="n"/>
      <c r="O30" s="65" t="n"/>
      <c r="P30" s="5" t="inlineStr">
        <is>
          <t>Gizab</t>
        </is>
      </c>
      <c r="Q30" s="5" t="inlineStr">
        <is>
          <t>Laja Ahmad Khel</t>
        </is>
      </c>
      <c r="R30" s="5" t="inlineStr">
        <is>
          <t>Sar Hawza</t>
        </is>
      </c>
      <c r="S30" s="5" t="inlineStr">
        <is>
          <t>Qalandar</t>
        </is>
      </c>
      <c r="T30" s="5" t="inlineStr">
        <is>
          <t>Malistan</t>
        </is>
      </c>
      <c r="U30" s="5" t="inlineStr">
        <is>
          <t>Khakrez</t>
        </is>
      </c>
      <c r="V30" s="5" t="inlineStr">
        <is>
          <t>Kajaki</t>
        </is>
      </c>
      <c r="W30" s="5" t="inlineStr">
        <is>
          <t>Kakar</t>
        </is>
      </c>
      <c r="X30" s="65" t="n"/>
      <c r="Y30" s="65" t="n"/>
      <c r="Z30" s="5" t="inlineStr">
        <is>
          <t>Kishindih</t>
        </is>
      </c>
      <c r="AA30" s="65" t="n"/>
      <c r="AB30" s="5" t="inlineStr">
        <is>
          <t>Qarqin</t>
        </is>
      </c>
      <c r="AC30" s="65" t="n"/>
      <c r="AD30" s="5" t="inlineStr">
        <is>
          <t>Kohistan</t>
        </is>
      </c>
      <c r="AE30" s="5" t="inlineStr">
        <is>
          <t>Dasht-e-Archi</t>
        </is>
      </c>
      <c r="AF30" s="5" t="inlineStr">
        <is>
          <t>Andarab</t>
        </is>
      </c>
      <c r="AG30" s="5" t="inlineStr">
        <is>
          <t>Farkhar</t>
        </is>
      </c>
      <c r="AH30" s="5" t="inlineStr">
        <is>
          <t>Ishkashim</t>
        </is>
      </c>
    </row>
    <row r="31">
      <c r="A31" s="5" t="inlineStr">
        <is>
          <t>Ghoryan</t>
        </is>
      </c>
      <c r="B31" s="65" t="n"/>
      <c r="C31" s="5" t="inlineStr">
        <is>
          <t>Bakwa</t>
        </is>
      </c>
      <c r="D31" s="5" t="inlineStr">
        <is>
          <t>Taywara</t>
        </is>
      </c>
      <c r="E31" s="5" t="inlineStr">
        <is>
          <t>Achin</t>
        </is>
      </c>
      <c r="F31" s="5" t="inlineStr">
        <is>
          <t>Marawara</t>
        </is>
      </c>
      <c r="G31" s="65" t="n"/>
      <c r="H31" s="65" t="n"/>
      <c r="I31" s="5" t="inlineStr">
        <is>
          <t>Qarabagh</t>
        </is>
      </c>
      <c r="J31" s="5" t="inlineStr">
        <is>
          <t>Shekh Ali</t>
        </is>
      </c>
      <c r="K31" s="65" t="n"/>
      <c r="L31" s="65" t="n"/>
      <c r="M31" s="5" t="inlineStr">
        <is>
          <t>Jaghatu</t>
        </is>
      </c>
      <c r="N31" s="65" t="n"/>
      <c r="O31" s="65" t="n"/>
      <c r="P31" s="65" t="n"/>
      <c r="Q31" s="5" t="inlineStr">
        <is>
          <t>Mirzaka</t>
        </is>
      </c>
      <c r="R31" s="5" t="inlineStr">
        <is>
          <t>Terwa</t>
        </is>
      </c>
      <c r="S31" s="5" t="inlineStr">
        <is>
          <t>Sabari</t>
        </is>
      </c>
      <c r="T31" s="5" t="inlineStr">
        <is>
          <t>Muqur</t>
        </is>
      </c>
      <c r="U31" s="5" t="inlineStr">
        <is>
          <t>Shah Wali Kot</t>
        </is>
      </c>
      <c r="V31" s="5" t="inlineStr">
        <is>
          <t>Garmser</t>
        </is>
      </c>
      <c r="W31" s="5" t="inlineStr">
        <is>
          <t>Naw Bahar</t>
        </is>
      </c>
      <c r="X31" s="65" t="n"/>
      <c r="Y31" s="65" t="n"/>
      <c r="Z31" s="5" t="inlineStr">
        <is>
          <t>Zari</t>
        </is>
      </c>
      <c r="AA31" s="65" t="n"/>
      <c r="AB31" s="5" t="inlineStr">
        <is>
          <t>Qush Tepa</t>
        </is>
      </c>
      <c r="AC31" s="65" t="n"/>
      <c r="AD31" s="5" t="inlineStr">
        <is>
          <t>Pashtun Kot</t>
        </is>
      </c>
      <c r="AE31" s="65" t="n"/>
      <c r="AF31" s="5" t="inlineStr">
        <is>
          <t>Tala wa Barfak</t>
        </is>
      </c>
      <c r="AG31" s="5" t="inlineStr">
        <is>
          <t>Ishkamish</t>
        </is>
      </c>
      <c r="AH31" s="5" t="inlineStr">
        <is>
          <t>Kuf Ab</t>
        </is>
      </c>
    </row>
    <row r="32">
      <c r="A32" s="5" t="inlineStr">
        <is>
          <t>Obe</t>
        </is>
      </c>
      <c r="B32" s="65" t="n"/>
      <c r="C32" s="5" t="inlineStr">
        <is>
          <t>Lash wa Juwayn</t>
        </is>
      </c>
      <c r="D32" s="5" t="inlineStr">
        <is>
          <t>Du Layna</t>
        </is>
      </c>
      <c r="E32" s="5" t="inlineStr">
        <is>
          <t>Nazyan</t>
        </is>
      </c>
      <c r="F32" s="5" t="inlineStr">
        <is>
          <t>Shigal</t>
        </is>
      </c>
      <c r="G32" s="65" t="n"/>
      <c r="H32" s="65" t="n"/>
      <c r="I32" s="5" t="inlineStr">
        <is>
          <t>Istalif</t>
        </is>
      </c>
      <c r="J32" s="5" t="inlineStr">
        <is>
          <t>Ghorband</t>
        </is>
      </c>
      <c r="K32" s="65" t="n"/>
      <c r="L32" s="65" t="n"/>
      <c r="M32" s="65" t="n"/>
      <c r="N32" s="65" t="n"/>
      <c r="O32" s="65" t="n"/>
      <c r="P32" s="65" t="n"/>
      <c r="Q32" s="5" t="inlineStr">
        <is>
          <t>Shwak</t>
        </is>
      </c>
      <c r="R32" s="5" t="inlineStr">
        <is>
          <t>Waza Khwa</t>
        </is>
      </c>
      <c r="S32" s="5" t="inlineStr">
        <is>
          <t>Bak</t>
        </is>
      </c>
      <c r="T32" s="5" t="inlineStr">
        <is>
          <t>Nawa</t>
        </is>
      </c>
      <c r="U32" s="5" t="inlineStr">
        <is>
          <t>Maiwand</t>
        </is>
      </c>
      <c r="V32" s="5" t="inlineStr">
        <is>
          <t>Dishu</t>
        </is>
      </c>
      <c r="W32" s="5" t="inlineStr">
        <is>
          <t>Shinkay</t>
        </is>
      </c>
      <c r="X32" s="65" t="n"/>
      <c r="Y32" s="65" t="n"/>
      <c r="Z32" s="5" t="inlineStr">
        <is>
          <t>Shortepa</t>
        </is>
      </c>
      <c r="AA32" s="65" t="n"/>
      <c r="AB32" s="5" t="inlineStr">
        <is>
          <t>Darzab</t>
        </is>
      </c>
      <c r="AC32" s="65" t="n"/>
      <c r="AD32" s="5" t="inlineStr">
        <is>
          <t>Qaramqol</t>
        </is>
      </c>
      <c r="AE32" s="65" t="n"/>
      <c r="AF32" s="5" t="inlineStr">
        <is>
          <t>Burka</t>
        </is>
      </c>
      <c r="AG32" s="5" t="inlineStr">
        <is>
          <t>Kalafgan</t>
        </is>
      </c>
      <c r="AH32" s="5" t="inlineStr">
        <is>
          <t>Raghistan</t>
        </is>
      </c>
    </row>
    <row r="33">
      <c r="A33" s="5" t="inlineStr">
        <is>
          <t>Chishti Sharif</t>
        </is>
      </c>
      <c r="B33" s="65" t="n"/>
      <c r="C33" s="5" t="inlineStr">
        <is>
          <t>Anar Dara</t>
        </is>
      </c>
      <c r="D33" s="65" t="n"/>
      <c r="E33" s="5" t="inlineStr">
        <is>
          <t>Dur Baba</t>
        </is>
      </c>
      <c r="F33" s="5" t="inlineStr">
        <is>
          <t>Wata Pur</t>
        </is>
      </c>
      <c r="G33" s="65" t="n"/>
      <c r="H33" s="65" t="n"/>
      <c r="I33" s="5" t="inlineStr">
        <is>
          <t>Farza</t>
        </is>
      </c>
      <c r="J33" s="65" t="n"/>
      <c r="K33" s="65" t="n"/>
      <c r="L33" s="65" t="n"/>
      <c r="M33" s="65" t="n"/>
      <c r="N33" s="65" t="n"/>
      <c r="O33" s="65" t="n"/>
      <c r="P33" s="65" t="n"/>
      <c r="Q33" s="65" t="n"/>
      <c r="R33" s="5" t="inlineStr">
        <is>
          <t>Yosuf Khel</t>
        </is>
      </c>
      <c r="S33" s="5" t="inlineStr">
        <is>
          <t>Jaji Maidan</t>
        </is>
      </c>
      <c r="T33" s="5" t="inlineStr">
        <is>
          <t>Nawur</t>
        </is>
      </c>
      <c r="U33" s="5" t="inlineStr">
        <is>
          <t>Zhari</t>
        </is>
      </c>
      <c r="V33" s="5" t="inlineStr">
        <is>
          <t>Khanashin</t>
        </is>
      </c>
      <c r="W33" s="5" t="inlineStr">
        <is>
          <t>Tarnak wa Jaldak</t>
        </is>
      </c>
      <c r="X33" s="65" t="n"/>
      <c r="Y33" s="65" t="n"/>
      <c r="Z33" s="5" t="inlineStr">
        <is>
          <t>Kaldar</t>
        </is>
      </c>
      <c r="AA33" s="65" t="n"/>
      <c r="AB33" s="5" t="inlineStr">
        <is>
          <t>Shibirghan</t>
        </is>
      </c>
      <c r="AC33" s="65" t="n"/>
      <c r="AD33" s="5" t="inlineStr">
        <is>
          <t>Qaysar</t>
        </is>
      </c>
      <c r="AE33" s="65" t="n"/>
      <c r="AF33" s="65" t="n"/>
      <c r="AG33" s="5" t="inlineStr">
        <is>
          <t>Khwaja Ghar</t>
        </is>
      </c>
      <c r="AH33" s="5" t="inlineStr">
        <is>
          <t>Shighnan</t>
        </is>
      </c>
    </row>
    <row r="34">
      <c r="A34" s="5" t="inlineStr">
        <is>
          <t>Shindand</t>
        </is>
      </c>
      <c r="B34" s="65" t="n"/>
      <c r="C34" s="65" t="n"/>
      <c r="D34" s="65" t="n"/>
      <c r="E34" s="5" t="inlineStr">
        <is>
          <t>Mohmand Dara</t>
        </is>
      </c>
      <c r="F34" s="5" t="inlineStr">
        <is>
          <t>Naray</t>
        </is>
      </c>
      <c r="G34" s="65" t="n"/>
      <c r="H34" s="65" t="n"/>
      <c r="I34" s="5" t="inlineStr">
        <is>
          <t>Guldara</t>
        </is>
      </c>
      <c r="J34" s="65" t="n"/>
      <c r="K34" s="65" t="n"/>
      <c r="L34" s="65" t="n"/>
      <c r="M34" s="65" t="n"/>
      <c r="N34" s="65" t="n"/>
      <c r="O34" s="65" t="n"/>
      <c r="P34" s="65" t="n"/>
      <c r="Q34" s="65" t="n"/>
      <c r="R34" s="5" t="inlineStr">
        <is>
          <t>Ziruk</t>
        </is>
      </c>
      <c r="S34" s="5" t="inlineStr">
        <is>
          <t>Gurbuz</t>
        </is>
      </c>
      <c r="T34" s="5" t="inlineStr">
        <is>
          <t>Qarabagh</t>
        </is>
      </c>
      <c r="U34" s="5" t="inlineStr">
        <is>
          <t>Arghistan</t>
        </is>
      </c>
      <c r="V34" s="5" t="inlineStr">
        <is>
          <t>Baghran</t>
        </is>
      </c>
      <c r="W34" s="65" t="n"/>
      <c r="X34" s="65" t="n"/>
      <c r="Y34" s="65" t="n"/>
      <c r="Z34" s="5" t="inlineStr">
        <is>
          <t>Khulm</t>
        </is>
      </c>
      <c r="AA34" s="65" t="n"/>
      <c r="AB34" s="65" t="n"/>
      <c r="AC34" s="65" t="n"/>
      <c r="AD34" s="5" t="inlineStr">
        <is>
          <t>Shirin Tagab</t>
        </is>
      </c>
      <c r="AE34" s="65" t="n"/>
      <c r="AF34" s="65" t="n"/>
      <c r="AG34" s="5" t="inlineStr">
        <is>
          <t>Rustaq</t>
        </is>
      </c>
      <c r="AH34" s="5" t="inlineStr">
        <is>
          <t>Wakhan</t>
        </is>
      </c>
    </row>
    <row r="35">
      <c r="A35" s="5" t="inlineStr">
        <is>
          <t>Adraskan</t>
        </is>
      </c>
      <c r="B35" s="65" t="n"/>
      <c r="C35" s="65" t="n"/>
      <c r="D35" s="65" t="n"/>
      <c r="E35" s="5" t="inlineStr">
        <is>
          <t>Lal Pur</t>
        </is>
      </c>
      <c r="F35" s="5" t="inlineStr">
        <is>
          <t>Dara-i-Pech</t>
        </is>
      </c>
      <c r="G35" s="65" t="n"/>
      <c r="H35" s="65" t="n"/>
      <c r="I35" s="5" t="inlineStr">
        <is>
          <t>Khak-e-Jabbar</t>
        </is>
      </c>
      <c r="J35" s="65" t="n"/>
      <c r="K35" s="65" t="n"/>
      <c r="L35" s="65" t="n"/>
      <c r="M35" s="65" t="n"/>
      <c r="N35" s="65" t="n"/>
      <c r="O35" s="65" t="n"/>
      <c r="P35" s="65" t="n"/>
      <c r="Q35" s="65" t="n"/>
      <c r="R35" s="5" t="inlineStr">
        <is>
          <t>Gayan</t>
        </is>
      </c>
      <c r="S35" s="5" t="inlineStr">
        <is>
          <t>Shamul</t>
        </is>
      </c>
      <c r="T35" s="5" t="inlineStr">
        <is>
          <t>Rashidan</t>
        </is>
      </c>
      <c r="U35" s="5" t="inlineStr">
        <is>
          <t>Maruf</t>
        </is>
      </c>
      <c r="V35" s="5" t="inlineStr">
        <is>
          <t>Nawa-i-Barakzayi</t>
        </is>
      </c>
      <c r="W35" s="65" t="n"/>
      <c r="X35" s="65" t="n"/>
      <c r="Y35" s="65" t="n"/>
      <c r="Z35" s="5" t="inlineStr">
        <is>
          <t>Marmul</t>
        </is>
      </c>
      <c r="AA35" s="65" t="n"/>
      <c r="AB35" s="65" t="n"/>
      <c r="AC35" s="65" t="n"/>
      <c r="AD35" s="65" t="n"/>
      <c r="AE35" s="65" t="n"/>
      <c r="AF35" s="65" t="n"/>
      <c r="AG35" s="5" t="inlineStr">
        <is>
          <t>Warsaj</t>
        </is>
      </c>
      <c r="AH35" s="5" t="inlineStr">
        <is>
          <t>Zebak</t>
        </is>
      </c>
    </row>
    <row r="36">
      <c r="A36" s="5" t="inlineStr">
        <is>
          <t>Farsi</t>
        </is>
      </c>
      <c r="B36" s="65" t="n"/>
      <c r="C36" s="65" t="n"/>
      <c r="D36" s="65" t="n"/>
      <c r="E36" s="5" t="inlineStr">
        <is>
          <t>Goshta</t>
        </is>
      </c>
      <c r="F36" s="65" t="n"/>
      <c r="H36" s="65" t="n"/>
      <c r="I36" s="5" t="inlineStr">
        <is>
          <t>Surobi</t>
        </is>
      </c>
      <c r="J36" s="65" t="n"/>
      <c r="K36" s="65" t="n"/>
      <c r="L36" s="65" t="n"/>
      <c r="M36" s="65" t="n"/>
      <c r="N36" s="65" t="n"/>
      <c r="O36" s="65" t="n"/>
      <c r="P36" s="65" t="n"/>
      <c r="Q36" s="65" t="n"/>
      <c r="R36" s="5" t="inlineStr">
        <is>
          <t>Dila</t>
        </is>
      </c>
      <c r="S36" s="65" t="n"/>
      <c r="T36" s="5" t="inlineStr">
        <is>
          <t>Waghaz</t>
        </is>
      </c>
      <c r="U36" s="5" t="inlineStr">
        <is>
          <t>Reg</t>
        </is>
      </c>
      <c r="V36" s="65" t="n"/>
      <c r="W36" s="65" t="n"/>
      <c r="X36" s="65" t="n"/>
      <c r="Z36" s="65" t="n"/>
      <c r="AA36" s="65" t="n"/>
      <c r="AB36" s="65" t="n"/>
      <c r="AC36" s="65" t="n"/>
      <c r="AD36" s="65" t="n"/>
      <c r="AE36" s="65" t="n"/>
      <c r="AF36" s="65" t="n"/>
      <c r="AG36" s="5" t="inlineStr">
        <is>
          <t>Yangi Qala</t>
        </is>
      </c>
      <c r="AH36" s="65" t="n"/>
    </row>
    <row r="37">
      <c r="A37" s="65" t="n"/>
      <c r="B37" s="65" t="n"/>
      <c r="C37" s="65" t="n"/>
      <c r="D37" s="65" t="n"/>
      <c r="E37" s="5" t="inlineStr">
        <is>
          <t>Chaparhar</t>
        </is>
      </c>
      <c r="F37" s="65" t="n"/>
      <c r="H37" s="65" t="n"/>
      <c r="I37" s="65" t="n"/>
      <c r="J37" s="65" t="n"/>
      <c r="K37" s="65" t="n"/>
      <c r="L37" s="65" t="n"/>
      <c r="M37" s="65" t="n"/>
      <c r="N37" s="65" t="n"/>
      <c r="O37" s="65" t="n"/>
      <c r="P37" s="65" t="n"/>
      <c r="Q37" s="65" t="n"/>
      <c r="R37" s="5" t="inlineStr">
        <is>
          <t>Nika</t>
        </is>
      </c>
      <c r="S37" s="65" t="n"/>
      <c r="T37" s="5" t="inlineStr">
        <is>
          <t>Zana Khan</t>
        </is>
      </c>
      <c r="U37" s="5" t="inlineStr">
        <is>
          <t>Shorabak</t>
        </is>
      </c>
      <c r="V37" s="65" t="n"/>
      <c r="W37" s="65" t="n"/>
      <c r="Z37" s="65" t="n"/>
      <c r="AA37" s="65" t="n"/>
      <c r="AB37" s="65" t="n"/>
      <c r="AC37" s="65" t="n"/>
      <c r="AD37" s="65" t="n"/>
      <c r="AE37" s="65" t="n"/>
      <c r="AF37" s="65" t="n"/>
      <c r="AG37" s="65" t="n"/>
      <c r="AH37" s="65" t="n"/>
    </row>
    <row r="38">
      <c r="A38" s="65" t="n"/>
      <c r="C38" s="65" t="n"/>
      <c r="D38" s="65" t="n"/>
      <c r="E38" s="5" t="inlineStr">
        <is>
          <t>Khogyani</t>
        </is>
      </c>
      <c r="F38" s="65" t="n"/>
      <c r="H38" s="65" t="n"/>
      <c r="I38" s="65" t="n"/>
      <c r="J38" s="65" t="n"/>
      <c r="M38" s="65" t="n"/>
      <c r="P38" s="65" t="n"/>
      <c r="Q38" s="65" t="n"/>
      <c r="R38" s="65" t="n"/>
      <c r="S38" s="65" t="n"/>
      <c r="T38" s="65" t="n"/>
      <c r="U38" s="65" t="n"/>
      <c r="V38" s="65" t="n"/>
      <c r="W38" s="65" t="n"/>
      <c r="Z38" s="65" t="n"/>
      <c r="AB38" s="65" t="n"/>
      <c r="AD38" s="65" t="n"/>
      <c r="AE38" s="65" t="n"/>
      <c r="AF38" s="65" t="n"/>
      <c r="AG38" s="65" t="n"/>
      <c r="AH38" s="65" t="n"/>
    </row>
    <row r="39">
      <c r="A39" s="65" t="n"/>
      <c r="C39" s="65" t="n"/>
      <c r="D39" s="65" t="n"/>
      <c r="E39" s="5" t="inlineStr">
        <is>
          <t>Pachir wa Agam</t>
        </is>
      </c>
      <c r="F39" s="65" t="n"/>
      <c r="I39" s="65" t="n"/>
      <c r="J39" s="65" t="n"/>
      <c r="M39" s="65" t="n"/>
      <c r="Q39" s="65" t="n"/>
      <c r="R39" s="65" t="n"/>
      <c r="S39" s="65" t="n"/>
      <c r="T39" s="65" t="n"/>
      <c r="U39" s="65" t="n"/>
      <c r="V39" s="65" t="n"/>
      <c r="W39" s="65" t="n"/>
      <c r="Z39" s="65" t="n"/>
      <c r="AB39" s="65" t="n"/>
      <c r="AD39" s="65" t="n"/>
      <c r="AF39" s="65" t="n"/>
      <c r="AG39" s="65" t="n"/>
      <c r="AH39" s="65" t="n"/>
    </row>
    <row r="40">
      <c r="A40" s="65" t="n"/>
      <c r="C40" s="65" t="n"/>
      <c r="D40" s="65" t="n"/>
      <c r="E40" s="5" t="inlineStr">
        <is>
          <t>Sherzad</t>
        </is>
      </c>
      <c r="F40" s="65" t="n"/>
      <c r="I40" s="65" t="n"/>
      <c r="J40" s="65" t="n"/>
      <c r="Q40" s="65" t="n"/>
      <c r="R40" s="65" t="n"/>
      <c r="S40" s="65" t="n"/>
      <c r="T40" s="65" t="n"/>
      <c r="U40" s="65" t="n"/>
      <c r="V40" s="65" t="n"/>
      <c r="W40" s="65" t="n"/>
      <c r="Z40" s="65" t="n"/>
      <c r="AB40" s="65" t="n"/>
      <c r="AD40" s="65" t="n"/>
      <c r="AF40" s="65" t="n"/>
      <c r="AG40" s="65" t="n"/>
      <c r="AH40" s="65" t="n"/>
    </row>
    <row r="41">
      <c r="A41" s="65" t="n"/>
      <c r="C41" s="65" t="n"/>
      <c r="E41" s="5" t="inlineStr">
        <is>
          <t>Hesarak</t>
        </is>
      </c>
      <c r="F41" s="65" t="n"/>
      <c r="I41" s="65" t="n"/>
      <c r="R41" s="65" t="n"/>
      <c r="S41" s="65" t="n"/>
      <c r="T41" s="65" t="n"/>
      <c r="U41" s="65" t="n"/>
      <c r="V41" s="65" t="n"/>
      <c r="W41" s="65" t="n"/>
      <c r="Z41" s="65" t="n"/>
      <c r="AB41" s="65" t="n"/>
      <c r="AD41" s="65" t="n"/>
      <c r="AG41" s="65" t="n"/>
      <c r="AH41" s="65" t="n"/>
    </row>
    <row r="42">
      <c r="A42" s="65" t="n"/>
      <c r="E42" s="5" t="inlineStr">
        <is>
          <t>Darah-i-Nur</t>
        </is>
      </c>
      <c r="F42" s="65" t="n"/>
      <c r="I42" s="65" t="n"/>
      <c r="R42" s="65" t="n"/>
      <c r="S42" s="65" t="n"/>
      <c r="T42" s="65" t="n"/>
      <c r="U42" s="65" t="n"/>
      <c r="V42" s="65" t="n"/>
      <c r="Z42" s="65" t="n"/>
      <c r="AD42" s="65" t="n"/>
      <c r="AG42" s="65" t="n"/>
      <c r="AH42" s="65" t="n"/>
    </row>
    <row r="43">
      <c r="A43" s="65" t="n"/>
      <c r="E43" s="65" t="n"/>
      <c r="F43" s="65" t="n"/>
      <c r="I43" s="65" t="n"/>
      <c r="R43" s="65" t="n"/>
      <c r="S43" s="65" t="n"/>
      <c r="T43" s="65" t="n"/>
      <c r="U43" s="65" t="n"/>
      <c r="V43" s="65" t="n"/>
      <c r="Z43" s="65" t="n"/>
      <c r="AG43" s="65" t="n"/>
      <c r="AH43" s="65" t="n"/>
    </row>
    <row r="44">
      <c r="A44" s="65" t="n"/>
      <c r="E44" s="65" t="n"/>
      <c r="I44" s="65" t="n"/>
      <c r="R44" s="65" t="n"/>
      <c r="T44" s="65" t="n"/>
      <c r="U44" s="65" t="n"/>
      <c r="AG44" s="65" t="n"/>
    </row>
    <row r="45">
      <c r="E45" s="65" t="n"/>
      <c r="R45" s="65" t="n"/>
      <c r="T45" s="65" t="n"/>
      <c r="U45" s="65" t="n"/>
    </row>
    <row r="46">
      <c r="E46" s="65" t="n"/>
    </row>
    <row r="47">
      <c r="E47" s="65" t="n"/>
    </row>
    <row r="48">
      <c r="E48" s="65" t="n"/>
    </row>
    <row r="49">
      <c r="E49" s="65" t="n"/>
    </row>
    <row r="50">
      <c r="E50" s="65" t="n"/>
    </row>
  </sheetData>
  <mergeCells count="3">
    <mergeCell ref="A1:P1"/>
    <mergeCell ref="A3:H3"/>
    <mergeCell ref="A21:H21"/>
  </mergeCells>
  <pageMargins left="0.75" right="0.75" top="1" bottom="1" header="0.5" footer="0.5"/>
</worksheet>
</file>

<file path=xl/worksheets/sheet8.xml><?xml version="1.0" encoding="utf-8"?>
<worksheet xmlns="http://schemas.openxmlformats.org/spreadsheetml/2006/main">
  <sheetPr>
    <tabColor rgb="004A5560"/>
    <outlinePr summaryBelow="1" summaryRight="1"/>
    <pageSetUpPr/>
  </sheetPr>
  <dimension ref="A1:F37"/>
  <sheetViews>
    <sheetView workbookViewId="0">
      <pane ySplit="3" topLeftCell="A4" activePane="bottomLeft" state="frozen"/>
      <selection pane="bottomLeft" activeCell="A1" sqref="A1"/>
    </sheetView>
  </sheetViews>
  <sheetFormatPr baseColWidth="8" defaultRowHeight="15"/>
  <cols>
    <col width="32" customWidth="1" min="1" max="1"/>
    <col width="28" customWidth="1" min="2" max="2"/>
    <col width="28" customWidth="1" min="3" max="3"/>
    <col width="4" customWidth="1" min="4" max="4"/>
    <col width="22" customWidth="1" min="5" max="5"/>
    <col width="28" customWidth="1" min="6" max="6"/>
  </cols>
  <sheetData>
    <row r="1" ht="26" customHeight="1">
      <c r="A1" s="21" t="inlineStr">
        <is>
          <t>Lookups used by cascading dropdowns — add a row when you add a region or province</t>
        </is>
      </c>
      <c r="B1" s="22" t="n"/>
      <c r="C1" s="22" t="n"/>
      <c r="D1" s="22" t="n"/>
    </row>
    <row r="3">
      <c r="A3" s="9" t="inlineStr">
        <is>
          <t>Region display name</t>
        </is>
      </c>
      <c r="B3" s="9" t="inlineStr">
        <is>
          <t>Province named range</t>
        </is>
      </c>
      <c r="C3" s="9" t="inlineStr">
        <is>
          <t>Region code</t>
        </is>
      </c>
      <c r="E3" s="24" t="inlineStr">
        <is>
          <t>Province</t>
        </is>
      </c>
      <c r="F3" s="24" t="inlineStr">
        <is>
          <t>District named range</t>
        </is>
      </c>
    </row>
    <row r="4">
      <c r="A4" s="5" t="inlineStr">
        <is>
          <t>West / Herat</t>
        </is>
      </c>
      <c r="B4" s="5" t="inlineStr">
        <is>
          <t>Prov_West_Herat</t>
        </is>
      </c>
      <c r="C4" s="5" t="inlineStr">
        <is>
          <t>West_Herat</t>
        </is>
      </c>
      <c r="E4" s="5" t="inlineStr">
        <is>
          <t>Herat</t>
        </is>
      </c>
      <c r="F4" s="5" t="inlineStr">
        <is>
          <t>Dist_Herat</t>
        </is>
      </c>
    </row>
    <row r="5">
      <c r="A5" s="5" t="inlineStr">
        <is>
          <t>East / Jalalabad</t>
        </is>
      </c>
      <c r="B5" s="5" t="inlineStr">
        <is>
          <t>Prov_East_Jalalabad</t>
        </is>
      </c>
      <c r="C5" s="5" t="inlineStr">
        <is>
          <t>East_Jalalabad</t>
        </is>
      </c>
      <c r="E5" s="5" t="inlineStr">
        <is>
          <t>Badghis</t>
        </is>
      </c>
      <c r="F5" s="5" t="inlineStr">
        <is>
          <t>Dist_Badghis</t>
        </is>
      </c>
    </row>
    <row r="6">
      <c r="A6" s="5" t="inlineStr">
        <is>
          <t>Central / Kabul</t>
        </is>
      </c>
      <c r="B6" s="5" t="inlineStr">
        <is>
          <t>Prov_Central_Kabul</t>
        </is>
      </c>
      <c r="C6" s="5" t="inlineStr">
        <is>
          <t>Central_Kabul</t>
        </is>
      </c>
      <c r="E6" s="5" t="inlineStr">
        <is>
          <t>Farah</t>
        </is>
      </c>
      <c r="F6" s="5" t="inlineStr">
        <is>
          <t>Dist_Farah</t>
        </is>
      </c>
    </row>
    <row r="7">
      <c r="A7" s="5" t="inlineStr">
        <is>
          <t>Central Highland / Bamyan</t>
        </is>
      </c>
      <c r="B7" s="5" t="inlineStr">
        <is>
          <t>Prov_Central_Highland_Bamyan</t>
        </is>
      </c>
      <c r="C7" s="5" t="inlineStr">
        <is>
          <t>Central_Highland_Bamyan</t>
        </is>
      </c>
      <c r="E7" s="5" t="inlineStr">
        <is>
          <t>Ghor</t>
        </is>
      </c>
      <c r="F7" s="5" t="inlineStr">
        <is>
          <t>Dist_Ghor</t>
        </is>
      </c>
    </row>
    <row r="8">
      <c r="A8" s="5" t="inlineStr">
        <is>
          <t>Southeast / Gardez</t>
        </is>
      </c>
      <c r="B8" s="5" t="inlineStr">
        <is>
          <t>Prov_Southeast_Gardez</t>
        </is>
      </c>
      <c r="C8" s="5" t="inlineStr">
        <is>
          <t>Southeast_Gardez</t>
        </is>
      </c>
      <c r="E8" s="5" t="inlineStr">
        <is>
          <t>Nangarhar</t>
        </is>
      </c>
      <c r="F8" s="5" t="inlineStr">
        <is>
          <t>Dist_Nangarhar</t>
        </is>
      </c>
    </row>
    <row r="9">
      <c r="A9" s="5" t="inlineStr">
        <is>
          <t>South / Kandahar</t>
        </is>
      </c>
      <c r="B9" s="5" t="inlineStr">
        <is>
          <t>Prov_South_Kandahar</t>
        </is>
      </c>
      <c r="C9" s="5" t="inlineStr">
        <is>
          <t>South_Kandahar</t>
        </is>
      </c>
      <c r="E9" s="5" t="inlineStr">
        <is>
          <t>Kunar</t>
        </is>
      </c>
      <c r="F9" s="5" t="inlineStr">
        <is>
          <t>Dist_Kunar</t>
        </is>
      </c>
    </row>
    <row r="10">
      <c r="A10" s="5" t="inlineStr">
        <is>
          <t>North / Mazar</t>
        </is>
      </c>
      <c r="B10" s="5" t="inlineStr">
        <is>
          <t>Prov_North_Mazar</t>
        </is>
      </c>
      <c r="C10" s="5" t="inlineStr">
        <is>
          <t>North_Mazar</t>
        </is>
      </c>
      <c r="E10" s="5" t="inlineStr">
        <is>
          <t>Laghman</t>
        </is>
      </c>
      <c r="F10" s="5" t="inlineStr">
        <is>
          <t>Dist_Laghman</t>
        </is>
      </c>
    </row>
    <row r="11">
      <c r="A11" s="5" t="inlineStr">
        <is>
          <t>Northeast / Kunduz</t>
        </is>
      </c>
      <c r="B11" s="5" t="inlineStr">
        <is>
          <t>Prov_Northeast_Kunduz</t>
        </is>
      </c>
      <c r="C11" s="5" t="inlineStr">
        <is>
          <t>Northeast_Kunduz</t>
        </is>
      </c>
      <c r="E11" s="5" t="inlineStr">
        <is>
          <t>Nuristan</t>
        </is>
      </c>
      <c r="F11" s="5" t="inlineStr">
        <is>
          <t>Dist_Nuristan</t>
        </is>
      </c>
    </row>
    <row r="12">
      <c r="E12" s="5" t="inlineStr">
        <is>
          <t>Kabul</t>
        </is>
      </c>
      <c r="F12" s="5" t="inlineStr">
        <is>
          <t>Dist_Kabul</t>
        </is>
      </c>
    </row>
    <row r="13">
      <c r="E13" s="5" t="inlineStr">
        <is>
          <t>Parwan</t>
        </is>
      </c>
      <c r="F13" s="5" t="inlineStr">
        <is>
          <t>Dist_Parwan</t>
        </is>
      </c>
    </row>
    <row r="14">
      <c r="E14" s="5" t="inlineStr">
        <is>
          <t>Kapisa</t>
        </is>
      </c>
      <c r="F14" s="5" t="inlineStr">
        <is>
          <t>Dist_Kapisa</t>
        </is>
      </c>
    </row>
    <row r="15">
      <c r="E15" s="5" t="inlineStr">
        <is>
          <t>Logar</t>
        </is>
      </c>
      <c r="F15" s="5" t="inlineStr">
        <is>
          <t>Dist_Logar</t>
        </is>
      </c>
    </row>
    <row r="16">
      <c r="E16" s="5" t="inlineStr">
        <is>
          <t>Maidan Wardak</t>
        </is>
      </c>
      <c r="F16" s="5" t="inlineStr">
        <is>
          <t>Dist_Maidan_Wardak</t>
        </is>
      </c>
    </row>
    <row r="17">
      <c r="E17" s="5" t="inlineStr">
        <is>
          <t>Panjshir</t>
        </is>
      </c>
      <c r="F17" s="5" t="inlineStr">
        <is>
          <t>Dist_Panjshir</t>
        </is>
      </c>
    </row>
    <row r="18">
      <c r="E18" s="5" t="inlineStr">
        <is>
          <t>Bamyan</t>
        </is>
      </c>
      <c r="F18" s="5" t="inlineStr">
        <is>
          <t>Dist_Bamyan</t>
        </is>
      </c>
    </row>
    <row r="19">
      <c r="E19" s="5" t="inlineStr">
        <is>
          <t>Daykundi</t>
        </is>
      </c>
      <c r="F19" s="5" t="inlineStr">
        <is>
          <t>Dist_Daykundi</t>
        </is>
      </c>
    </row>
    <row r="20">
      <c r="E20" s="5" t="inlineStr">
        <is>
          <t>Paktya</t>
        </is>
      </c>
      <c r="F20" s="5" t="inlineStr">
        <is>
          <t>Dist_Paktya</t>
        </is>
      </c>
    </row>
    <row r="21">
      <c r="E21" s="5" t="inlineStr">
        <is>
          <t>Paktika</t>
        </is>
      </c>
      <c r="F21" s="5" t="inlineStr">
        <is>
          <t>Dist_Paktika</t>
        </is>
      </c>
    </row>
    <row r="22">
      <c r="E22" s="5" t="inlineStr">
        <is>
          <t>Khost</t>
        </is>
      </c>
      <c r="F22" s="5" t="inlineStr">
        <is>
          <t>Dist_Khost</t>
        </is>
      </c>
    </row>
    <row r="23">
      <c r="E23" s="5" t="inlineStr">
        <is>
          <t>Ghazni</t>
        </is>
      </c>
      <c r="F23" s="5" t="inlineStr">
        <is>
          <t>Dist_Ghazni</t>
        </is>
      </c>
    </row>
    <row r="24">
      <c r="E24" s="5" t="inlineStr">
        <is>
          <t>Kandahar</t>
        </is>
      </c>
      <c r="F24" s="5" t="inlineStr">
        <is>
          <t>Dist_Kandahar</t>
        </is>
      </c>
    </row>
    <row r="25">
      <c r="E25" s="5" t="inlineStr">
        <is>
          <t>Helmand</t>
        </is>
      </c>
      <c r="F25" s="5" t="inlineStr">
        <is>
          <t>Dist_Helmand</t>
        </is>
      </c>
    </row>
    <row r="26">
      <c r="E26" s="5" t="inlineStr">
        <is>
          <t>Zabul</t>
        </is>
      </c>
      <c r="F26" s="5" t="inlineStr">
        <is>
          <t>Dist_Zabul</t>
        </is>
      </c>
    </row>
    <row r="27">
      <c r="E27" s="5" t="inlineStr">
        <is>
          <t>Uruzgan</t>
        </is>
      </c>
      <c r="F27" s="5" t="inlineStr">
        <is>
          <t>Dist_Uruzgan</t>
        </is>
      </c>
    </row>
    <row r="28">
      <c r="E28" s="5" t="inlineStr">
        <is>
          <t>Nimroz</t>
        </is>
      </c>
      <c r="F28" s="5" t="inlineStr">
        <is>
          <t>Dist_Nimroz</t>
        </is>
      </c>
    </row>
    <row r="29">
      <c r="E29" s="5" t="inlineStr">
        <is>
          <t>Balkh</t>
        </is>
      </c>
      <c r="F29" s="5" t="inlineStr">
        <is>
          <t>Dist_Balkh</t>
        </is>
      </c>
    </row>
    <row r="30">
      <c r="E30" s="5" t="inlineStr">
        <is>
          <t>Samangan</t>
        </is>
      </c>
      <c r="F30" s="5" t="inlineStr">
        <is>
          <t>Dist_Samangan</t>
        </is>
      </c>
    </row>
    <row r="31">
      <c r="E31" s="5" t="inlineStr">
        <is>
          <t>Jawzjan</t>
        </is>
      </c>
      <c r="F31" s="5" t="inlineStr">
        <is>
          <t>Dist_Jawzjan</t>
        </is>
      </c>
    </row>
    <row r="32">
      <c r="E32" s="5" t="inlineStr">
        <is>
          <t>Sar-e-Pul</t>
        </is>
      </c>
      <c r="F32" s="5" t="inlineStr">
        <is>
          <t>Dist_Sar_e_Pul</t>
        </is>
      </c>
    </row>
    <row r="33">
      <c r="E33" s="5" t="inlineStr">
        <is>
          <t>Faryab</t>
        </is>
      </c>
      <c r="F33" s="5" t="inlineStr">
        <is>
          <t>Dist_Faryab</t>
        </is>
      </c>
    </row>
    <row r="34">
      <c r="E34" s="5" t="inlineStr">
        <is>
          <t>Kunduz</t>
        </is>
      </c>
      <c r="F34" s="5" t="inlineStr">
        <is>
          <t>Dist_Kunduz</t>
        </is>
      </c>
    </row>
    <row r="35">
      <c r="E35" s="5" t="inlineStr">
        <is>
          <t>Baghlan</t>
        </is>
      </c>
      <c r="F35" s="5" t="inlineStr">
        <is>
          <t>Dist_Baghlan</t>
        </is>
      </c>
    </row>
    <row r="36">
      <c r="E36" s="5" t="inlineStr">
        <is>
          <t>Takhar</t>
        </is>
      </c>
      <c r="F36" s="5" t="inlineStr">
        <is>
          <t>Dist_Takhar</t>
        </is>
      </c>
    </row>
    <row r="37">
      <c r="E37" s="5" t="inlineStr">
        <is>
          <t>Badakhshan</t>
        </is>
      </c>
      <c r="F37" s="5" t="inlineStr">
        <is>
          <t>Dist_Badakhshan</t>
        </is>
      </c>
    </row>
  </sheetData>
  <mergeCells count="1">
    <mergeCell ref="A1:D1"/>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Construction Works Tracker</dc:creator>
  <dc:title>Construction Works Scheme Tracker</dc:title>
  <dc:description>Scheme-level construction tracker with status dates, duration between steps, and editable domains.</dc:description>
  <dc:subject>Emergency Food Security Project (EFSP) · Component 2: Water and Resilience Services · WBK/AF-2</dc:subject>
  <dcterms:created xsi:type="dcterms:W3CDTF">2026-10-17T19:12:55Z</dcterms:created>
  <dcterms:modified xsi:type="dcterms:W3CDTF">2026-10-17T19:12:57Z</dcterms:modified>
</cp:coreProperties>
</file>