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Example_Filled" sheetId="4" state="visible" r:id="rId4"/>
    <sheet name="04_Status_Pipeline" sheetId="5" state="visible" r:id="rId5"/>
    <sheet name="05_Domains" sheetId="6" state="visible" r:id="rId6"/>
    <sheet name="06_Geography" sheetId="7" state="visible" r:id="rId7"/>
    <sheet name="07_Lookups" sheetId="8" state="visible" r:id="rId8"/>
  </sheets>
  <definedNames>
    <definedName name="Interventions">OFFSET('05_Domains'!$A$3,0,0,COUNTA('05_Domains'!$A$3:$A$400),1)</definedName>
    <definedName name="Donors">OFFSET('05_Domains'!$B$3,0,0,COUNTA('05_Domains'!$B$3:$B$400),1)</definedName>
    <definedName name="Projects">OFFSET('05_Domains'!$C$3,0,0,COUNTA('05_Domains'!$C$3:$C$400),1)</definedName>
    <definedName name="Regions">OFFSET('05_Domains'!$D$3,0,0,COUNTA('05_Domains'!$D$3:$D$400),1)</definedName>
    <definedName name="Statuses">OFFSET('05_Domains'!$E$3,0,0,COUNTA('05_Domains'!$E$3:$E$400),1)</definedName>
    <definedName name="All_Provinces">OFFSET('05_Domains'!$F$3,0,0,COUNTA('05_Domains'!$F$3:$F$400),1)</definedName>
    <definedName name="All_Districts">OFFSET('05_Domains'!$G$3,0,0,COUNTA('05_Domains'!$G$3:$G$400),1)</definedName>
    <definedName name="Prov_West_Herat">OFFSET('06_Geography'!$A$5,0,0,COUNTA('06_Geography'!$A$5:$A$80),1)</definedName>
    <definedName name="Prov_East_Jalalabad">OFFSET('06_Geography'!$B$5,0,0,COUNTA('06_Geography'!$B$5:$B$80),1)</definedName>
    <definedName name="Prov_Central_Kabul">OFFSET('06_Geography'!$C$5,0,0,COUNTA('06_Geography'!$C$5:$C$80),1)</definedName>
    <definedName name="Prov_Central_Highland_Bamyan">OFFSET('06_Geography'!$D$5,0,0,COUNTA('06_Geography'!$D$5:$D$80),1)</definedName>
    <definedName name="Prov_Southeast_Gardez">OFFSET('06_Geography'!$E$5,0,0,COUNTA('06_Geography'!$E$5:$E$80),1)</definedName>
    <definedName name="Prov_South_Kandahar">OFFSET('06_Geography'!$F$5,0,0,COUNTA('06_Geography'!$F$5:$F$80),1)</definedName>
    <definedName name="Prov_North_Mazar">OFFSET('06_Geography'!$G$5,0,0,COUNTA('06_Geography'!$G$5:$G$80),1)</definedName>
    <definedName name="Prov_Northeast_Kunduz">OFFSET('06_Geography'!$H$5,0,0,COUNTA('06_Geography'!$H$5:$H$80),1)</definedName>
    <definedName name="Dist_Herat">OFFSET('06_Geography'!$A$23,0,0,COUNTA('06_Geography'!$A$23:$A$80),1)</definedName>
    <definedName name="Dist_Badghis">OFFSET('06_Geography'!$B$23,0,0,COUNTA('06_Geography'!$B$23:$B$80),1)</definedName>
    <definedName name="Dist_Farah">OFFSET('06_Geography'!$C$23,0,0,COUNTA('06_Geography'!$C$23:$C$80),1)</definedName>
    <definedName name="Dist_Ghor">OFFSET('06_Geography'!$D$23,0,0,COUNTA('06_Geography'!$D$23:$D$80),1)</definedName>
    <definedName name="Dist_Nangarhar">OFFSET('06_Geography'!$E$23,0,0,COUNTA('06_Geography'!$E$23:$E$80),1)</definedName>
    <definedName name="Dist_Kunar">OFFSET('06_Geography'!$F$23,0,0,COUNTA('06_Geography'!$F$23:$F$80),1)</definedName>
    <definedName name="Dist_Laghman">OFFSET('06_Geography'!$G$23,0,0,COUNTA('06_Geography'!$G$23:$G$80),1)</definedName>
    <definedName name="Dist_Nuristan">OFFSET('06_Geography'!$H$23,0,0,COUNTA('06_Geography'!$H$23:$H$80),1)</definedName>
    <definedName name="Dist_Kabul">OFFSET('06_Geography'!$I$23,0,0,COUNTA('06_Geography'!$I$23:$I$80),1)</definedName>
    <definedName name="Dist_Parwan">OFFSET('06_Geography'!$J$23,0,0,COUNTA('06_Geography'!$J$23:$J$80),1)</definedName>
    <definedName name="Dist_Kapisa">OFFSET('06_Geography'!$K$23,0,0,COUNTA('06_Geography'!$K$23:$K$80),1)</definedName>
    <definedName name="Dist_Logar">OFFSET('06_Geography'!$L$23,0,0,COUNTA('06_Geography'!$L$23:$L$80),1)</definedName>
    <definedName name="Dist_Maidan_Wardak">OFFSET('06_Geography'!$M$23,0,0,COUNTA('06_Geography'!$M$23:$M$80),1)</definedName>
    <definedName name="Dist_Panjshir">OFFSET('06_Geography'!$N$23,0,0,COUNTA('06_Geography'!$N$23:$N$80),1)</definedName>
    <definedName name="Dist_Bamyan">OFFSET('06_Geography'!$O$23,0,0,COUNTA('06_Geography'!$O$23:$O$80),1)</definedName>
    <definedName name="Dist_Daykundi">OFFSET('06_Geography'!$P$23,0,0,COUNTA('06_Geography'!$P$23:$P$80),1)</definedName>
    <definedName name="Dist_Paktya">OFFSET('06_Geography'!$Q$23,0,0,COUNTA('06_Geography'!$Q$23:$Q$80),1)</definedName>
    <definedName name="Dist_Paktika">OFFSET('06_Geography'!$R$23,0,0,COUNTA('06_Geography'!$R$23:$R$80),1)</definedName>
    <definedName name="Dist_Khost">OFFSET('06_Geography'!$S$23,0,0,COUNTA('06_Geography'!$S$23:$S$80),1)</definedName>
    <definedName name="Dist_Ghazni">OFFSET('06_Geography'!$T$23,0,0,COUNTA('06_Geography'!$T$23:$T$80),1)</definedName>
    <definedName name="Dist_Kandahar">OFFSET('06_Geography'!$U$23,0,0,COUNTA('06_Geography'!$U$23:$U$80),1)</definedName>
    <definedName name="Dist_Helmand">OFFSET('06_Geography'!$V$23,0,0,COUNTA('06_Geography'!$V$23:$V$80),1)</definedName>
    <definedName name="Dist_Zabul">OFFSET('06_Geography'!$W$23,0,0,COUNTA('06_Geography'!$W$23:$W$80),1)</definedName>
    <definedName name="Dist_Uruzgan">OFFSET('06_Geography'!$X$23,0,0,COUNTA('06_Geography'!$X$23:$X$80),1)</definedName>
    <definedName name="Dist_Nimroz">OFFSET('06_Geography'!$Y$23,0,0,COUNTA('06_Geography'!$Y$23:$Y$80),1)</definedName>
    <definedName name="Dist_Balkh">OFFSET('06_Geography'!$Z$23,0,0,COUNTA('06_Geography'!$Z$23:$Z$80),1)</definedName>
    <definedName name="Dist_Samangan">OFFSET('06_Geography'!$AA$23,0,0,COUNTA('06_Geography'!$AA$23:$AA$80),1)</definedName>
    <definedName name="Dist_Jawzjan">OFFSET('06_Geography'!$AB$23,0,0,COUNTA('06_Geography'!$AB$23:$AB$80),1)</definedName>
    <definedName name="Dist_Sar_e_Pul">OFFSET('06_Geography'!$AC$23,0,0,COUNTA('06_Geography'!$AC$23:$AC$80),1)</definedName>
    <definedName name="Dist_Faryab">OFFSET('06_Geography'!$AD$23,0,0,COUNTA('06_Geography'!$AD$23:$AD$80),1)</definedName>
    <definedName name="Dist_Kunduz">OFFSET('06_Geography'!$AE$23,0,0,COUNTA('06_Geography'!$AE$23:$AE$80),1)</definedName>
    <definedName name="Dist_Baghlan">OFFSET('06_Geography'!$AF$23,0,0,COUNTA('06_Geography'!$AF$23:$AF$80),1)</definedName>
    <definedName name="Dist_Takhar">OFFSET('06_Geography'!$AG$23,0,0,COUNTA('06_Geography'!$AG$23:$AG$80),1)</definedName>
    <definedName name="Dist_Badakhshan">OFFSET('06_Geography'!$AH$23,0,0,COUNTA('06_Geography'!$AH$23:$AH$80),1)</definedName>
    <definedName name="01_Scheme_Tracker_ThisProvList">INDIRECT('01_Scheme_Tracker'!$AV4)</definedName>
    <definedName name="01_Scheme_Tracker_ThisDistList">INDIRECT('01_Scheme_Tracker'!$AW4)</definedName>
    <definedName name="03_Example_Filled_ThisProvList">INDIRECT('03_Example_Filled'!$AV4)</definedName>
    <definedName name="03_Example_Filled_ThisDistList">INDIRECT('03_Example_Filled'!$AW4)</definedName>
    <definedName name="_xlnm.Print_Titles" localSheetId="0">'00_How_to_Use'!$1:$2</definedName>
    <definedName name="_xlnm._FilterDatabase" localSheetId="1" hidden="1">'01_Scheme_Tracker'!$A$3:$AU$203</definedName>
    <definedName name="_xlnm.Print_Titles" localSheetId="1">'01_Scheme_Tracker'!$1:$3,'01_Scheme_Tracker'!$A:$E</definedName>
    <definedName name="_xlnm._FilterDatabase" localSheetId="3" hidden="1">'03_Example_Filled'!$A$3:$AU$203</definedName>
    <definedName name="_xlnm.Print_Titles" localSheetId="3">'03_Example_Filled'!$1:$3,'03_Example_Filled'!$A:$E</definedName>
    <definedName name="_xlnm._FilterDatabase" localSheetId="5" hidden="1">'05_Domains'!$A$2:$G$2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1">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B365D"/>
      <sz val="18"/>
    </font>
  </fonts>
  <fills count="24">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F7F1E3"/>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s>
  <borders count="6">
    <border>
      <left/>
      <right/>
      <top/>
      <bottom/>
      <diagonal/>
    </border>
    <border>
      <left style="thin">
        <color rgb="00C5CDD6"/>
      </left>
      <right style="thin">
        <color rgb="00C5CDD6"/>
      </right>
      <top style="thin">
        <color rgb="00C5CDD6"/>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7" borderId="1" applyAlignment="1" pivotButton="0" quotePrefix="0" xfId="0">
      <alignment horizontal="center" vertical="center" wrapText="1"/>
    </xf>
    <xf numFmtId="0" fontId="0"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1" applyAlignment="1" pivotButton="0" quotePrefix="0" xfId="0">
      <alignment horizontal="center" vertical="center" wrapText="1"/>
    </xf>
    <xf numFmtId="0" fontId="4" fillId="13" borderId="1" applyAlignment="1" pivotButton="0" quotePrefix="0" xfId="0">
      <alignment horizontal="left" vertical="center" wrapText="1"/>
    </xf>
    <xf numFmtId="3" fontId="4" fillId="13" borderId="1" applyAlignment="1" pivotButton="0" quotePrefix="0" xfId="0">
      <alignment horizontal="center" vertical="center" wrapText="1"/>
    </xf>
    <xf numFmtId="164" fontId="9" fillId="22" borderId="1" applyAlignment="1" pivotButton="0" quotePrefix="0" xfId="0">
      <alignment horizontal="center" vertical="center" wrapText="1"/>
    </xf>
    <xf numFmtId="1" fontId="4" fillId="13"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13" borderId="1" applyAlignment="1" pivotButton="0" quotePrefix="0" xfId="0">
      <alignment horizontal="center" vertical="center" wrapText="1"/>
    </xf>
    <xf numFmtId="164" fontId="4" fillId="14" borderId="1" applyAlignment="1" pivotButton="0" quotePrefix="0" xfId="0">
      <alignment horizontal="center" vertical="center" wrapText="1"/>
    </xf>
    <xf numFmtId="0" fontId="5" fillId="14"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164" fontId="4" fillId="23"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0" fillId="3" borderId="1" applyAlignment="1" pivotButton="0" quotePrefix="0" xfId="0">
      <alignment horizontal="center" vertical="center" wrapText="1"/>
    </xf>
    <xf numFmtId="0" fontId="0" fillId="3" borderId="1" applyAlignment="1" pivotButton="0" quotePrefix="0" xfId="0">
      <alignment horizontal="center" vertical="center" wrapText="1"/>
    </xf>
    <xf numFmtId="166" fontId="10" fillId="3" borderId="1" applyAlignment="1" pivotButton="0" quotePrefix="0" xfId="0">
      <alignment horizontal="center" vertical="center" wrapText="1"/>
    </xf>
    <xf numFmtId="0" fontId="6" fillId="16" borderId="0" applyAlignment="1" pivotButton="0" quotePrefix="0" xfId="0">
      <alignment horizontal="left" vertical="center" wrapText="1"/>
    </xf>
    <xf numFmtId="0" fontId="6" fillId="1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0" fontId="0" fillId="0" borderId="4" pivotButton="0" quotePrefix="0" xfId="0"/>
    <xf numFmtId="0" fontId="0" fillId="0" borderId="5"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164" fontId="4" fillId="4" borderId="1" applyAlignment="1" pivotButton="0" quotePrefix="0" xfId="0">
      <alignment horizontal="center" vertical="center" wrapText="1"/>
    </xf>
    <xf numFmtId="0" fontId="4" fillId="13" borderId="1" applyAlignment="1" pivotButton="0" quotePrefix="0" xfId="0">
      <alignment horizontal="center" vertical="center" wrapText="1"/>
    </xf>
    <xf numFmtId="0" fontId="5" fillId="13" borderId="1" applyAlignment="1" pivotButton="0" quotePrefix="0" xfId="0">
      <alignment horizontal="left" vertical="center" wrapText="1"/>
    </xf>
    <xf numFmtId="0" fontId="4" fillId="14" borderId="1" applyAlignment="1" pivotButton="0" quotePrefix="0" xfId="0">
      <alignment horizontal="center" vertical="center" wrapText="1"/>
    </xf>
    <xf numFmtId="0" fontId="4" fillId="14" borderId="1" applyAlignment="1" pivotButton="0" quotePrefix="0" xfId="0">
      <alignment horizontal="left" vertical="center" wrapText="1"/>
    </xf>
    <xf numFmtId="1" fontId="4" fillId="14" borderId="1" applyAlignment="1" pivotButton="0" quotePrefix="0" xfId="0">
      <alignment horizontal="center" vertical="center" wrapText="1"/>
    </xf>
    <xf numFmtId="0" fontId="4" fillId="15" borderId="1" applyAlignment="1" pivotButton="0" quotePrefix="0" xfId="0">
      <alignment horizontal="left" vertical="center" wrapText="1"/>
    </xf>
    <xf numFmtId="0" fontId="8" fillId="16" borderId="0" applyAlignment="1" pivotButton="0" quotePrefix="0" xfId="0">
      <alignment horizontal="left" vertical="center" wrapText="1"/>
    </xf>
    <xf numFmtId="0" fontId="8" fillId="18" borderId="0" applyAlignment="1" pivotButton="0" quotePrefix="0" xfId="0">
      <alignment horizontal="left" vertical="center" wrapText="1"/>
    </xf>
  </cellXfs>
  <cellStyles count="1">
    <cellStyle name="Normal" xfId="0" builtinId="0" hidden="0"/>
  </cellStyles>
  <dxfs count="12">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'02_Dashboard'!$A$9:$A$18</f>
            </numRef>
          </cat>
          <val>
            <numRef>
              <f>'02_Dashboard'!$B$9:$B$18</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O3" authorId="0" shapeId="0">
      <text>
        <t>Copies Date: Awarded. Enter the contract signature date in the Awarded status-date column.</t>
      </text>
    </comment>
    <comment ref="S3" authorId="0" shapeId="0">
      <text>
        <t>Use this until official step dates are entered. Current Status follows dates once they exist.</t>
      </text>
    </comment>
    <comment ref="U3" authorId="0" shapeId="0">
      <text>
        <t>Latest step that has a date. If no dates are entered, uses Reported Status.</t>
      </text>
    </comment>
    <comment ref="V3" authorId="0" shapeId="0">
      <text>
        <t>TODAY minus the latest status date. Turns red after 30 days.</t>
      </text>
    </comment>
  </commentList>
</comments>
</file>

<file path=xl/comments/comment2.xml><?xml version="1.0" encoding="utf-8"?>
<comments xmlns="http://schemas.openxmlformats.org/spreadsheetml/2006/main">
  <authors>
    <author>Tracker</author>
  </authors>
  <commentList>
    <comment ref="O3" authorId="0" shapeId="0">
      <text>
        <t>Copies Date: Awarded. Enter the contract signature date in the Awarded status-date column.</t>
      </text>
    </comment>
    <comment ref="S3" authorId="0" shapeId="0">
      <text>
        <t>Use this until official step dates are entered. Current Status follows dates once they exist.</t>
      </text>
    </comment>
    <comment ref="U3" authorId="0" shapeId="0">
      <text>
        <t>Latest step that has a date. If no dates are entered, uses Reported Status.</t>
      </text>
    </comment>
    <comment ref="V3" authorId="0" shapeId="0">
      <text>
        <t>TODAY minus the latest status date. Turns red after 30 days.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(type here). 02_Dashboard summarises counts and average durations. 03_Example_Filled shows two worked examples so you can see the day-count formulas. 04_Status_Pipeline is the ordered list of steps. 05_Domains holds dropdown lists (intervention, donor, project, region). 06_Geography holds province and district lists. 07_Lookups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Dropdowns are already attached for Project, Intervention Type, Region, Province, District, Donor, and Reported Status. Choose Region first, then Province, then District (the province list follows the region).</t>
        </is>
      </c>
      <c r="D10" s="6" t="inlineStr">
        <is>
          <t>01_Scheme_Tracker</t>
        </is>
      </c>
    </row>
    <row r="11" ht="64" customHeight="1">
      <c r="B11" s="4" t="inlineStr">
        <is>
          <t>Enter status dates</t>
        </is>
      </c>
      <c r="C11"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1" s="6" t="inlineStr">
        <is>
          <t>Section 4 of the tracker</t>
        </is>
      </c>
    </row>
    <row r="12" ht="64" customHeight="1">
      <c r="B12" s="4" t="inlineStr">
        <is>
          <t>Awarded date and contract duration</t>
        </is>
      </c>
      <c r="C12"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2" s="6" t="inlineStr">
        <is>
          <t>Sections 2 and 4 of the tracker</t>
        </is>
      </c>
    </row>
    <row r="13" ht="64" customHeight="1">
      <c r="B13" s="4" t="inlineStr">
        <is>
          <t>Reading the day counts</t>
        </is>
      </c>
      <c r="C13"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04_Status_Pipeline (blank if there is no target).</t>
        </is>
      </c>
      <c r="D13" s="6" t="inlineStr">
        <is>
          <t>Sections 3 and 5</t>
        </is>
      </c>
    </row>
    <row r="15" ht="22" customHeight="1">
      <c r="B15" s="7" t="inlineStr">
        <is>
          <t>Add or remove domains (dropdown values)</t>
        </is>
      </c>
      <c r="C15" s="8" t="n"/>
      <c r="D15" s="8" t="n"/>
    </row>
    <row r="16" ht="64" customHeight="1">
      <c r="B16" s="4" t="inlineStr">
        <is>
          <t>Add an intervention type, donor, project, or region</t>
        </is>
      </c>
      <c r="C16" s="5" t="inlineStr">
        <is>
          <t>Open 05_Domains. Type the new value in the first empty cell at the bottom of that column. Do not leave a blank row in the middle of the list. The dropdowns expand automatically (named ranges use COUNTA). You do not need to re-run the generator for this.</t>
        </is>
      </c>
      <c r="D16" s="6" t="inlineStr">
        <is>
          <t>05_Domains</t>
        </is>
      </c>
    </row>
    <row r="17" ht="64" customHeight="1">
      <c r="B17" s="4" t="inlineStr">
        <is>
          <t>Remove a domain value</t>
        </is>
      </c>
      <c r="C17" s="5" t="inlineStr">
        <is>
          <t>Delete the cell on 05_Domains (or 06_Geography). Existing scheme rows that already use that value keep showing it; new rows will no longer offer it in the dropdown.</t>
        </is>
      </c>
      <c r="D17" s="6" t="inlineStr">
        <is>
          <t>05_Domains / 06_Geography</t>
        </is>
      </c>
    </row>
    <row r="18" ht="64" customHeight="1">
      <c r="B18" s="4" t="inlineStr">
        <is>
          <t>Add a province</t>
        </is>
      </c>
      <c r="C18" s="5" t="inlineStr">
        <is>
          <t>1) On 06_Geography, under the correct region code column in the province block, type the province name. 2) Add a new district column for that province in the district block (copy an adjacent column). 3) On 07_Lookups, add a row: Province name | Dist_&lt;Province&gt; named range. 4) Define the named range Dist_&lt;Province&gt; (Formulas → Name Manager) pointing at the district cells. The reliable alternative is to add the province in tracker_config.py GEOGRAPHY and run generate_tracker.py.</t>
        </is>
      </c>
      <c r="D18" s="6" t="inlineStr">
        <is>
          <t>06_Geography + 07_Lookups</t>
        </is>
      </c>
    </row>
    <row r="19" ht="64" customHeight="1">
      <c r="B19" s="4" t="inlineStr">
        <is>
          <t>Add a district</t>
        </is>
      </c>
      <c r="C19" s="5" t="inlineStr">
        <is>
          <t>On 06_Geography find the province column in the district block and type the district in the next empty cell. The Dist_ named range grows automatically. No other change is required.</t>
        </is>
      </c>
      <c r="D19" s="6" t="inlineStr">
        <is>
          <t>06_Geography</t>
        </is>
      </c>
    </row>
    <row r="21" ht="22" customHeight="1">
      <c r="B21" s="7" t="inlineStr">
        <is>
          <t>Add or remove status steps (the tracking pipeline)</t>
        </is>
      </c>
      <c r="C21" s="8" t="n"/>
      <c r="D21" s="8" t="n"/>
    </row>
    <row r="22" ht="64" customHeight="1">
      <c r="B22" s="4" t="inlineStr">
        <is>
          <t>Add a step at the end (no script)</t>
        </is>
      </c>
      <c r="C22" s="5" t="inlineStr">
        <is>
          <t>Open 04_Status_Pipeline.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2" s="6" t="inlineStr">
        <is>
          <t>04_Status_Pipeline spare slots</t>
        </is>
      </c>
    </row>
    <row r="23" ht="64" customHeight="1">
      <c r="B23" s="4" t="inlineStr">
        <is>
          <t>Add a step in the middle, or remove a step</t>
        </is>
      </c>
      <c r="C23"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3" s="6" t="inlineStr">
        <is>
          <t>tracker_config.py</t>
        </is>
      </c>
    </row>
    <row r="24" ht="64" customHeight="1">
      <c r="B24" s="4" t="inlineStr">
        <is>
          <t>Hide a column you do not need</t>
        </is>
      </c>
      <c r="C24" s="5" t="inlineStr">
        <is>
          <t>On 01_Scheme_Tracker, select the column → right-click → Hide. Do not delete formula columns (sections 3 and 5) or the tracker will break. Hidden columns can be unhidden later.</t>
        </is>
      </c>
      <c r="D24" s="6" t="inlineStr">
        <is>
          <t>01_Scheme_Tracker</t>
        </is>
      </c>
    </row>
    <row r="25" ht="64" customHeight="1">
      <c r="B25" s="4" t="inlineStr">
        <is>
          <t>Add an extra data column (GPS, engineer, photo link, …)</t>
        </is>
      </c>
      <c r="C25"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5" s="6" t="inlineStr">
        <is>
          <t>01_Scheme_Tracker / tracker_config.py</t>
        </is>
      </c>
    </row>
    <row r="27" ht="22" customHeight="1">
      <c r="B27" s="7" t="inlineStr">
        <is>
          <t>Rules that keep the numbers honest</t>
        </is>
      </c>
      <c r="C27" s="8" t="n"/>
      <c r="D27" s="8" t="n"/>
    </row>
    <row r="28" ht="64" customHeight="1">
      <c r="B28" s="4" t="inlineStr">
        <is>
          <t>Dates must move forward</t>
        </is>
      </c>
      <c r="C28" s="5" t="inlineStr">
        <is>
          <t>A later step should not have an earlier date than a previous step. Negative day-counts mean the dates need checking.</t>
        </is>
      </c>
      <c r="D28" s="6" t="inlineStr"/>
    </row>
    <row r="29" ht="64" customHeight="1">
      <c r="B29" s="4" t="inlineStr">
        <is>
          <t>One row = one scheme</t>
        </is>
      </c>
      <c r="C29" s="5" t="inlineStr">
        <is>
          <t>If a package has three check dams, use three rows (as in the pre-loaded AF-2 list). Package-level cost can sit on the first scheme of the package and stay blank on the others.</t>
        </is>
      </c>
      <c r="D29" s="6" t="inlineStr"/>
    </row>
    <row r="30" ht="64" customHeight="1">
      <c r="B30" s="4" t="inlineStr">
        <is>
          <t>Grey cells are formulas</t>
        </is>
      </c>
      <c r="C30" s="5" t="inlineStr">
        <is>
          <t>Do not type over Current Status, Planned End Date, day-count columns, or helper columns. White cells are inputs.</t>
        </is>
      </c>
      <c r="D30" s="6" t="inlineStr"/>
    </row>
    <row r="31" ht="64" customHeight="1">
      <c r="B31" s="4" t="inlineStr">
        <is>
          <t>DEMO rows</t>
        </is>
      </c>
      <c r="C31" s="5" t="inlineStr">
        <is>
          <t>03_Example_Filled is for learning. Do not copy those dates into official reports.</t>
        </is>
      </c>
      <c r="D31" s="6" t="inlineStr">
        <is>
          <t>03_Example_Filled</t>
        </is>
      </c>
    </row>
    <row r="33">
      <c r="B33" s="7" t="inlineStr">
        <is>
          <t>Status pipeline (default)</t>
        </is>
      </c>
    </row>
    <row r="34">
      <c r="B34" s="9" t="inlineStr">
        <is>
          <t>Step</t>
        </is>
      </c>
      <c r="C34" s="9" t="inlineStr">
        <is>
          <t>Status</t>
        </is>
      </c>
      <c r="D34" s="9" t="inlineStr">
        <is>
          <t>What it means</t>
        </is>
      </c>
      <c r="E34" s="9" t="inlineStr">
        <is>
          <t>Target days</t>
        </is>
      </c>
    </row>
    <row r="35">
      <c r="B35" s="10" t="n">
        <v>1</v>
      </c>
      <c r="C35" s="11" t="inlineStr">
        <is>
          <t>Under Design</t>
        </is>
      </c>
      <c r="D35" s="5" t="inlineStr">
        <is>
          <t>Detailed design, surveys, and drawings are being prepared.</t>
        </is>
      </c>
      <c r="E35" s="10" t="n">
        <v>30</v>
      </c>
    </row>
    <row r="36">
      <c r="B36" s="10" t="n">
        <v>2</v>
      </c>
      <c r="C36" s="12" t="inlineStr">
        <is>
          <t>Under Review of WRI</t>
        </is>
      </c>
      <c r="D36" s="5" t="inlineStr">
        <is>
          <t>Water Resources / WRI is reviewing the design package.</t>
        </is>
      </c>
      <c r="E36" s="10" t="n">
        <v>14</v>
      </c>
    </row>
    <row r="37">
      <c r="B37" s="10" t="n">
        <v>3</v>
      </c>
      <c r="C37" s="13" t="inlineStr">
        <is>
          <t>Under LTO Review</t>
        </is>
      </c>
      <c r="D37" s="5" t="inlineStr">
        <is>
          <t>Legal / LTO clearance of the package.</t>
        </is>
      </c>
      <c r="E37" s="10" t="n">
        <v>10</v>
      </c>
    </row>
    <row r="38">
      <c r="B38" s="10" t="n">
        <v>4</v>
      </c>
      <c r="C38" s="14" t="inlineStr">
        <is>
          <t>ITB Launched</t>
        </is>
      </c>
      <c r="D38" s="5" t="inlineStr">
        <is>
          <t>Invitation to Bid has been issued.</t>
        </is>
      </c>
      <c r="E38" s="10" t="n">
        <v>21</v>
      </c>
    </row>
    <row r="39">
      <c r="B39" s="10" t="n">
        <v>5</v>
      </c>
      <c r="C39" s="15" t="inlineStr">
        <is>
          <t>Under Technical Evaluation</t>
        </is>
      </c>
      <c r="D39" s="5" t="inlineStr">
        <is>
          <t>Bids are under technical evaluation.</t>
        </is>
      </c>
      <c r="E39" s="10" t="n">
        <v>14</v>
      </c>
    </row>
    <row r="40">
      <c r="B40" s="10" t="n">
        <v>6</v>
      </c>
      <c r="C40" s="16" t="inlineStr">
        <is>
          <t>Under Awarding</t>
        </is>
      </c>
      <c r="D40" s="5" t="inlineStr">
        <is>
          <t>Award recommendation, negotiations, and approval.</t>
        </is>
      </c>
      <c r="E40" s="10" t="n">
        <v>14</v>
      </c>
    </row>
    <row r="41">
      <c r="B41" s="10" t="n">
        <v>7</v>
      </c>
      <c r="C41" s="17" t="inlineStr">
        <is>
          <t>Awarded</t>
        </is>
      </c>
      <c r="D41" s="5" t="inlineStr">
        <is>
          <t>Contract signed / notice of award issued.</t>
        </is>
      </c>
      <c r="E41" s="10" t="inlineStr">
        <is>
          <t>—</t>
        </is>
      </c>
    </row>
    <row r="42">
      <c r="B42" s="10" t="n">
        <v>8</v>
      </c>
      <c r="C42" s="18" t="inlineStr">
        <is>
          <t>Under Construction</t>
        </is>
      </c>
      <c r="D42" s="5" t="inlineStr">
        <is>
          <t>Contractor is mobilised and physical works are ongoing.</t>
        </is>
      </c>
      <c r="E42" s="10" t="n">
        <v>150</v>
      </c>
    </row>
    <row r="43">
      <c r="B43" s="10" t="n">
        <v>9</v>
      </c>
      <c r="C43" s="19" t="inlineStr">
        <is>
          <t>Completed / Handover</t>
        </is>
      </c>
      <c r="D43" s="5" t="inlineStr">
        <is>
          <t>Works completed and handed over.</t>
        </is>
      </c>
      <c r="E43" s="10" t="inlineStr">
        <is>
          <t>—</t>
        </is>
      </c>
    </row>
  </sheetData>
  <mergeCells count="27">
    <mergeCell ref="C23"/>
    <mergeCell ref="C17"/>
    <mergeCell ref="B1:D1"/>
    <mergeCell ref="C7"/>
    <mergeCell ref="C28"/>
    <mergeCell ref="C19"/>
    <mergeCell ref="C13"/>
    <mergeCell ref="C18"/>
    <mergeCell ref="C3"/>
    <mergeCell ref="C30"/>
    <mergeCell ref="B9:D9"/>
    <mergeCell ref="C6"/>
    <mergeCell ref="C24"/>
    <mergeCell ref="B15:D15"/>
    <mergeCell ref="B33:D33"/>
    <mergeCell ref="B5:D5"/>
    <mergeCell ref="C29"/>
    <mergeCell ref="C25"/>
    <mergeCell ref="C10"/>
    <mergeCell ref="C16"/>
    <mergeCell ref="C22"/>
    <mergeCell ref="C31"/>
    <mergeCell ref="C12"/>
    <mergeCell ref="B27:D27"/>
    <mergeCell ref="C11"/>
    <mergeCell ref="B21:D21"/>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1" summaryRight="1"/>
    <pageSetUpPr fitToPage="1"/>
  </sheetPr>
  <dimension ref="A1:AW203"/>
  <sheetViews>
    <sheetView zoomScale="90" workbookViewId="0">
      <pane xSplit="24" ySplit="3" topLeftCell="Y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22" customWidth="1" min="12" max="12"/>
    <col width="16" customWidth="1" min="13" max="13"/>
    <col width="16" customWidth="1" min="14" max="14"/>
    <col width="14" customWidth="1" min="15" max="15"/>
    <col width="14" customWidth="1" min="16" max="16"/>
    <col width="14" customWidth="1" min="17" max="17"/>
    <col width="14" customWidth="1" min="18" max="18"/>
    <col width="24" customWidth="1" min="19" max="19"/>
    <col width="28" customWidth="1" min="20" max="20"/>
    <col width="24" customWidth="1" min="21" max="21"/>
    <col width="12" customWidth="1" min="22" max="22"/>
    <col width="12" customWidth="1" min="23" max="23"/>
    <col width="12"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hidden="1" width="14" customWidth="1" min="48" max="48"/>
    <col hidden="1" width="14" customWidth="1" min="49" max="49"/>
  </cols>
  <sheetData>
    <row r="1" ht="24" customHeight="1">
      <c r="A1" s="20" t="inlineStr">
        <is>
          <t>Construction Works Scheme Tracker  ·  live register — type dates in section 4</t>
        </is>
      </c>
      <c r="B1" s="21" t="n"/>
      <c r="C1" s="21" t="n"/>
      <c r="D1" s="21" t="n"/>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c r="AA1" s="21" t="n"/>
      <c r="AB1" s="21" t="n"/>
      <c r="AC1" s="21" t="n"/>
      <c r="AD1" s="21" t="n"/>
      <c r="AE1" s="21" t="n"/>
      <c r="AF1" s="21" t="n"/>
      <c r="AG1" s="21" t="n"/>
      <c r="AH1" s="21" t="n"/>
      <c r="AI1" s="21" t="n"/>
      <c r="AJ1" s="21" t="n"/>
      <c r="AK1" s="21" t="n"/>
      <c r="AL1" s="21" t="n"/>
      <c r="AM1" s="21" t="n"/>
      <c r="AN1" s="21" t="n"/>
      <c r="AO1" s="21" t="n"/>
      <c r="AP1" s="21" t="n"/>
      <c r="AQ1" s="21" t="n"/>
      <c r="AR1" s="21" t="n"/>
      <c r="AS1" s="21" t="n"/>
      <c r="AT1" s="21" t="n"/>
      <c r="AU1" s="21" t="n"/>
      <c r="AV1" s="21" t="n"/>
      <c r="AW1" s="21" t="n"/>
    </row>
    <row r="2" ht="20" customHeight="1">
      <c r="A2" s="22" t="inlineStr">
        <is>
          <t>1. Scheme identity</t>
        </is>
      </c>
      <c r="B2" s="21" t="n"/>
      <c r="C2" s="21" t="n"/>
      <c r="D2" s="21" t="n"/>
      <c r="E2" s="21" t="n"/>
      <c r="F2" s="21" t="n"/>
      <c r="G2" s="21" t="n"/>
      <c r="H2" s="21" t="n"/>
      <c r="I2" s="21" t="n"/>
      <c r="J2" s="21" t="n"/>
      <c r="K2" s="21" t="n"/>
      <c r="L2" s="23" t="inlineStr">
        <is>
          <t>2. Contract and physical progress</t>
        </is>
      </c>
      <c r="M2" s="24" t="n"/>
      <c r="N2" s="24" t="n"/>
      <c r="O2" s="24" t="n"/>
      <c r="P2" s="24" t="n"/>
      <c r="Q2" s="24" t="n"/>
      <c r="R2" s="24" t="n"/>
      <c r="S2" s="24" t="n"/>
      <c r="T2" s="24" t="n"/>
      <c r="U2" s="25" t="inlineStr">
        <is>
          <t>3. Live status (calculated)</t>
        </is>
      </c>
      <c r="V2" s="26" t="n"/>
      <c r="W2" s="26" t="n"/>
      <c r="X2" s="26" t="n"/>
      <c r="Y2" s="9" t="inlineStr">
        <is>
          <t>4. Status dates — enter the date each step was reached</t>
        </is>
      </c>
      <c r="Z2" s="27" t="n"/>
      <c r="AA2" s="27" t="n"/>
      <c r="AB2" s="27" t="n"/>
      <c r="AC2" s="27" t="n"/>
      <c r="AD2" s="27" t="n"/>
      <c r="AE2" s="27" t="n"/>
      <c r="AF2" s="27" t="n"/>
      <c r="AG2" s="27" t="n"/>
      <c r="AH2" s="27" t="n"/>
      <c r="AI2" s="27" t="n"/>
      <c r="AJ2" s="27" t="n"/>
      <c r="AK2" s="28" t="inlineStr">
        <is>
          <t>5. Days between steps (calculated)</t>
        </is>
      </c>
      <c r="AL2" s="29" t="n"/>
      <c r="AM2" s="29" t="n"/>
      <c r="AN2" s="29" t="n"/>
      <c r="AO2" s="29" t="n"/>
      <c r="AP2" s="29" t="n"/>
      <c r="AQ2" s="29" t="n"/>
      <c r="AR2" s="29" t="n"/>
      <c r="AS2" s="29" t="n"/>
      <c r="AT2" s="29" t="n"/>
      <c r="AU2" s="29" t="n"/>
    </row>
    <row r="3" ht="36" customHeight="1">
      <c r="A3" s="22" t="inlineStr">
        <is>
          <t>SN</t>
        </is>
      </c>
      <c r="B3" s="22" t="inlineStr">
        <is>
          <t>Scheme ID</t>
        </is>
      </c>
      <c r="C3" s="22" t="inlineStr">
        <is>
          <t>Project Name</t>
        </is>
      </c>
      <c r="D3" s="22" t="inlineStr">
        <is>
          <t>Package / Contract Name</t>
        </is>
      </c>
      <c r="E3" s="22" t="inlineStr">
        <is>
          <t>Scheme Name</t>
        </is>
      </c>
      <c r="F3" s="22" t="inlineStr">
        <is>
          <t>Intervention Type</t>
        </is>
      </c>
      <c r="G3" s="22" t="inlineStr">
        <is>
          <t>Region</t>
        </is>
      </c>
      <c r="H3" s="22" t="inlineStr">
        <is>
          <t>Province</t>
        </is>
      </c>
      <c r="I3" s="22" t="inlineStr">
        <is>
          <t>District</t>
        </is>
      </c>
      <c r="J3" s="22" t="inlineStr">
        <is>
          <t>Village</t>
        </is>
      </c>
      <c r="K3" s="22" t="inlineStr">
        <is>
          <t>Donor</t>
        </is>
      </c>
      <c r="L3" s="23" t="inlineStr">
        <is>
          <t>Contractor Name</t>
        </is>
      </c>
      <c r="M3" s="23" t="inlineStr">
        <is>
          <t>Contract Number</t>
        </is>
      </c>
      <c r="N3" s="23" t="inlineStr">
        <is>
          <t>Contract Cost (USD)</t>
        </is>
      </c>
      <c r="O3" s="23" t="inlineStr">
        <is>
          <t>Awarded Date</t>
        </is>
      </c>
      <c r="P3" s="23" t="inlineStr">
        <is>
          <t>Contract Duration (months)</t>
        </is>
      </c>
      <c r="Q3" s="23" t="inlineStr">
        <is>
          <t>Planned End Date</t>
        </is>
      </c>
      <c r="R3" s="23" t="inlineStr">
        <is>
          <t>Physical Works Progress %</t>
        </is>
      </c>
      <c r="S3" s="23" t="inlineStr">
        <is>
          <t>Reported Status</t>
        </is>
      </c>
      <c r="T3" s="23" t="inlineStr">
        <is>
          <t>Remarks</t>
        </is>
      </c>
      <c r="U3" s="25" t="inlineStr">
        <is>
          <t>Current Status (auto)</t>
        </is>
      </c>
      <c r="V3" s="25" t="inlineStr">
        <is>
          <t>Days in current status</t>
        </is>
      </c>
      <c r="W3" s="25" t="inlineStr">
        <is>
          <t>Total days first → last step</t>
        </is>
      </c>
      <c r="X3" s="25" t="inlineStr">
        <is>
          <t>Days over target this step</t>
        </is>
      </c>
      <c r="Y3" s="9" t="inlineStr">
        <is>
          <t>IF('04_Status_Pipeline'!B3="","(spare slot 1)","Date: "&amp;'04_Status_Pipeline'!B3)</t>
        </is>
      </c>
      <c r="Z3" s="9" t="inlineStr">
        <is>
          <t>IF('04_Status_Pipeline'!B4="","(spare slot 2)","Date: "&amp;'04_Status_Pipeline'!B4)</t>
        </is>
      </c>
      <c r="AA3" s="9" t="inlineStr">
        <is>
          <t>IF('04_Status_Pipeline'!B5="","(spare slot 3)","Date: "&amp;'04_Status_Pipeline'!B5)</t>
        </is>
      </c>
      <c r="AB3" s="9" t="inlineStr">
        <is>
          <t>IF('04_Status_Pipeline'!B6="","(spare slot 4)","Date: "&amp;'04_Status_Pipeline'!B6)</t>
        </is>
      </c>
      <c r="AC3" s="9" t="inlineStr">
        <is>
          <t>IF('04_Status_Pipeline'!B7="","(spare slot 5)","Date: "&amp;'04_Status_Pipeline'!B7)</t>
        </is>
      </c>
      <c r="AD3" s="9" t="inlineStr">
        <is>
          <t>IF('04_Status_Pipeline'!B8="","(spare slot 6)","Date: "&amp;'04_Status_Pipeline'!B8)</t>
        </is>
      </c>
      <c r="AE3" s="9" t="inlineStr">
        <is>
          <t>IF('04_Status_Pipeline'!B9="","(spare slot 7)","Date: "&amp;'04_Status_Pipeline'!B9)</t>
        </is>
      </c>
      <c r="AF3" s="9" t="inlineStr">
        <is>
          <t>IF('04_Status_Pipeline'!B10="","(spare slot 8)","Date: "&amp;'04_Status_Pipeline'!B10)</t>
        </is>
      </c>
      <c r="AG3" s="9" t="inlineStr">
        <is>
          <t>IF('04_Status_Pipeline'!B11="","(spare slot 9)","Date: "&amp;'04_Status_Pipeline'!B11)</t>
        </is>
      </c>
      <c r="AH3" s="9" t="inlineStr">
        <is>
          <t>IF('04_Status_Pipeline'!B12="","(spare slot 10)","Date: "&amp;'04_Status_Pipeline'!B12)</t>
        </is>
      </c>
      <c r="AI3" s="9" t="inlineStr">
        <is>
          <t>IF('04_Status_Pipeline'!B13="","(spare slot 11)","Date: "&amp;'04_Status_Pipeline'!B13)</t>
        </is>
      </c>
      <c r="AJ3" s="9" t="inlineStr">
        <is>
          <t>IF('04_Status_Pipeline'!B14="","(spare slot 12)","Date: "&amp;'04_Status_Pipeline'!B14)</t>
        </is>
      </c>
      <c r="AK3" s="28" t="inlineStr">
        <is>
          <t>IF(AND('04_Status_Pipeline'!B3="",'04_Status_Pipeline'!B4=""),"(spare)","Days: "&amp;IF('04_Status_Pipeline'!B3="","(prev)",'04_Status_Pipeline'!B3)&amp;" → "&amp;IF('04_Status_Pipeline'!B4="","(next)",'04_Status_Pipeline'!B4))</t>
        </is>
      </c>
      <c r="AL3" s="28" t="inlineStr">
        <is>
          <t>IF(AND('04_Status_Pipeline'!B4="",'04_Status_Pipeline'!B5=""),"(spare)","Days: "&amp;IF('04_Status_Pipeline'!B4="","(prev)",'04_Status_Pipeline'!B4)&amp;" → "&amp;IF('04_Status_Pipeline'!B5="","(next)",'04_Status_Pipeline'!B5))</t>
        </is>
      </c>
      <c r="AM3" s="28" t="inlineStr">
        <is>
          <t>IF(AND('04_Status_Pipeline'!B5="",'04_Status_Pipeline'!B6=""),"(spare)","Days: "&amp;IF('04_Status_Pipeline'!B5="","(prev)",'04_Status_Pipeline'!B5)&amp;" → "&amp;IF('04_Status_Pipeline'!B6="","(next)",'04_Status_Pipeline'!B6))</t>
        </is>
      </c>
      <c r="AN3" s="28" t="inlineStr">
        <is>
          <t>IF(AND('04_Status_Pipeline'!B6="",'04_Status_Pipeline'!B7=""),"(spare)","Days: "&amp;IF('04_Status_Pipeline'!B6="","(prev)",'04_Status_Pipeline'!B6)&amp;" → "&amp;IF('04_Status_Pipeline'!B7="","(next)",'04_Status_Pipeline'!B7))</t>
        </is>
      </c>
      <c r="AO3" s="28" t="inlineStr">
        <is>
          <t>IF(AND('04_Status_Pipeline'!B7="",'04_Status_Pipeline'!B8=""),"(spare)","Days: "&amp;IF('04_Status_Pipeline'!B7="","(prev)",'04_Status_Pipeline'!B7)&amp;" → "&amp;IF('04_Status_Pipeline'!B8="","(next)",'04_Status_Pipeline'!B8))</t>
        </is>
      </c>
      <c r="AP3" s="28" t="inlineStr">
        <is>
          <t>IF(AND('04_Status_Pipeline'!B8="",'04_Status_Pipeline'!B9=""),"(spare)","Days: "&amp;IF('04_Status_Pipeline'!B8="","(prev)",'04_Status_Pipeline'!B8)&amp;" → "&amp;IF('04_Status_Pipeline'!B9="","(next)",'04_Status_Pipeline'!B9))</t>
        </is>
      </c>
      <c r="AQ3" s="28" t="inlineStr">
        <is>
          <t>IF(AND('04_Status_Pipeline'!B9="",'04_Status_Pipeline'!B10=""),"(spare)","Days: "&amp;IF('04_Status_Pipeline'!B9="","(prev)",'04_Status_Pipeline'!B9)&amp;" → "&amp;IF('04_Status_Pipeline'!B10="","(next)",'04_Status_Pipeline'!B10))</t>
        </is>
      </c>
      <c r="AR3" s="28" t="inlineStr">
        <is>
          <t>IF(AND('04_Status_Pipeline'!B10="",'04_Status_Pipeline'!B11=""),"(spare)","Days: "&amp;IF('04_Status_Pipeline'!B10="","(prev)",'04_Status_Pipeline'!B10)&amp;" → "&amp;IF('04_Status_Pipeline'!B11="","(next)",'04_Status_Pipeline'!B11))</t>
        </is>
      </c>
      <c r="AS3" s="28" t="inlineStr">
        <is>
          <t>IF(AND('04_Status_Pipeline'!B11="",'04_Status_Pipeline'!B12=""),"(spare)","Days: "&amp;IF('04_Status_Pipeline'!B11="","(prev)",'04_Status_Pipeline'!B11)&amp;" → "&amp;IF('04_Status_Pipeline'!B12="","(next)",'04_Status_Pipeline'!B12))</t>
        </is>
      </c>
      <c r="AT3" s="28" t="inlineStr">
        <is>
          <t>IF(AND('04_Status_Pipeline'!B12="",'04_Status_Pipeline'!B13=""),"(spare)","Days: "&amp;IF('04_Status_Pipeline'!B12="","(prev)",'04_Status_Pipeline'!B12)&amp;" → "&amp;IF('04_Status_Pipeline'!B13="","(next)",'04_Status_Pipeline'!B13))</t>
        </is>
      </c>
      <c r="AU3" s="28" t="inlineStr">
        <is>
          <t>IF(AND('04_Status_Pipeline'!B13="",'04_Status_Pipeline'!B14=""),"(spare)","Days: "&amp;IF('04_Status_Pipeline'!B13="","(prev)",'04_Status_Pipeline'!B13)&amp;" → "&amp;IF('04_Status_Pipeline'!B14="","(next)",'04_Status_Pipeline'!B14))</t>
        </is>
      </c>
      <c r="AV3" s="30" t="inlineStr">
        <is>
          <t>_ProvinceList</t>
        </is>
      </c>
      <c r="AW3" s="30" t="inlineStr">
        <is>
          <t>_DistrictList</t>
        </is>
      </c>
    </row>
    <row r="4" ht="18" customHeight="1">
      <c r="A4" s="31" t="inlineStr">
        <is>
          <t>IF(E4="","",ROW()-3)</t>
        </is>
      </c>
      <c r="B4" s="32" t="inlineStr">
        <is>
          <t>AF2-P01-01</t>
        </is>
      </c>
      <c r="C4" s="32" t="inlineStr">
        <is>
          <t>Emergency Food Security Project (EFSP) – WBK/AF-2</t>
        </is>
      </c>
      <c r="D4" s="32" t="inlineStr">
        <is>
          <t>Package #1-AF2 WSM: Construction of Dara Garmak Check dam, Qadis, Badghis</t>
        </is>
      </c>
      <c r="E4" s="32" t="inlineStr">
        <is>
          <t>Dara Garmak Check dam</t>
        </is>
      </c>
      <c r="F4" s="32" t="inlineStr">
        <is>
          <t>Check Dam</t>
        </is>
      </c>
      <c r="G4" s="32" t="inlineStr">
        <is>
          <t>West / Herat</t>
        </is>
      </c>
      <c r="H4" s="32" t="inlineStr">
        <is>
          <t>Badghis</t>
        </is>
      </c>
      <c r="I4" s="32" t="inlineStr">
        <is>
          <t>Qadis</t>
        </is>
      </c>
      <c r="J4" s="32" t="inlineStr">
        <is>
          <t>Langar</t>
        </is>
      </c>
      <c r="K4" s="32" t="inlineStr">
        <is>
          <t>World Bank (WBK/AF-2)</t>
        </is>
      </c>
      <c r="L4" s="32" t="inlineStr">
        <is>
          <t>TBA</t>
        </is>
      </c>
      <c r="M4" s="32" t="inlineStr">
        <is>
          <t>TBA</t>
        </is>
      </c>
      <c r="N4" s="33" t="n">
        <v>131000</v>
      </c>
      <c r="O4" s="34" t="inlineStr">
        <is>
          <t>IF(AE4="","",AE4)</t>
        </is>
      </c>
      <c r="P4" s="35" t="n"/>
      <c r="Q4" s="34" t="inlineStr">
        <is>
          <t>IF(OR(O4="",P4=""),"",EDATE(O4,P4))</t>
        </is>
      </c>
      <c r="R4" s="35" t="n"/>
      <c r="S4" s="32" t="inlineStr">
        <is>
          <t>Under Review of WRI</t>
        </is>
      </c>
      <c r="T4" s="32" t="inlineStr">
        <is>
          <t>Source list marked PR</t>
        </is>
      </c>
      <c r="U4" s="31" t="inlineStr">
        <is>
          <t>IF(E4="","",IF(COUNT(Y4:AJ4)=0,IF(S4="","Not started",S4),SUBSTITUTE(LOOKUP(2,1/(Y4:AJ4&lt;&gt;""),$Y$3:$AJ$3),"Date: ","")))</t>
        </is>
      </c>
      <c r="V4" s="36" t="inlineStr">
        <is>
          <t>IF(OR(E4="",COUNT(Y4:AJ4)=0),"",TODAY()-LOOKUP(2,1/(Y4:AJ4&lt;&gt;""),Y4:AJ4))</t>
        </is>
      </c>
      <c r="W4" s="36" t="inlineStr">
        <is>
          <t>IF(OR(E4="",COUNT(Y4:AJ4)&lt;2),"",LOOKUP(2,1/(Y4:AJ4&lt;&gt;""),Y4:AJ4)-MIN(Y4:AJ4))</t>
        </is>
      </c>
      <c r="X4" s="36" t="inlineStr">
        <is>
          <t>IF(OR(V4="",U4="Not started",U4=""),"",IFERROR(V4-IF(VLOOKUP(U4,'04_Status_Pipeline'!$B$3:$E$20,4,FALSE)="",0,VLOOKUP(U4,'04_Status_Pipeline'!$B$3:$E$20,4,FALSE)),""))</t>
        </is>
      </c>
      <c r="Y4" s="37" t="n"/>
      <c r="Z4" s="37" t="n"/>
      <c r="AA4" s="37" t="n"/>
      <c r="AB4" s="37" t="n"/>
      <c r="AC4" s="37" t="n"/>
      <c r="AD4" s="37" t="n"/>
      <c r="AE4" s="37" t="n"/>
      <c r="AF4" s="37" t="n"/>
      <c r="AG4" s="37" t="n"/>
      <c r="AH4" s="38" t="n"/>
      <c r="AI4" s="38" t="n"/>
      <c r="AJ4" s="38" t="n"/>
      <c r="AK4" s="36" t="inlineStr">
        <is>
          <t>IF(OR(E4="",Z4=""),"",IF(COUNT(Y4:Y4)=0,"",Z4-LOOKUP(2,1/(Y4:Y4&lt;&gt;""),Y4:Y4)))</t>
        </is>
      </c>
      <c r="AL4" s="36" t="inlineStr">
        <is>
          <t>IF(OR(E4="",AA4=""),"",IF(COUNT(Y4:Z4)=0,"",AA4-LOOKUP(2,1/(Y4:Z4&lt;&gt;""),Y4:Z4)))</t>
        </is>
      </c>
      <c r="AM4" s="36" t="inlineStr">
        <is>
          <t>IF(OR(E4="",AB4=""),"",IF(COUNT(Y4:AA4)=0,"",AB4-LOOKUP(2,1/(Y4:AA4&lt;&gt;""),Y4:AA4)))</t>
        </is>
      </c>
      <c r="AN4" s="36" t="inlineStr">
        <is>
          <t>IF(OR(E4="",AC4=""),"",IF(COUNT(Y4:AB4)=0,"",AC4-LOOKUP(2,1/(Y4:AB4&lt;&gt;""),Y4:AB4)))</t>
        </is>
      </c>
      <c r="AO4" s="36" t="inlineStr">
        <is>
          <t>IF(OR(E4="",AD4=""),"",IF(COUNT(Y4:AC4)=0,"",AD4-LOOKUP(2,1/(Y4:AC4&lt;&gt;""),Y4:AC4)))</t>
        </is>
      </c>
      <c r="AP4" s="36" t="inlineStr">
        <is>
          <t>IF(OR(E4="",AE4=""),"",IF(COUNT(Y4:AD4)=0,"",AE4-LOOKUP(2,1/(Y4:AD4&lt;&gt;""),Y4:AD4)))</t>
        </is>
      </c>
      <c r="AQ4" s="36" t="inlineStr">
        <is>
          <t>IF(OR(E4="",AF4=""),"",IF(COUNT(Y4:AE4)=0,"",AF4-LOOKUP(2,1/(Y4:AE4&lt;&gt;""),Y4:AE4)))</t>
        </is>
      </c>
      <c r="AR4" s="36" t="inlineStr">
        <is>
          <t>IF(OR(E4="",AG4=""),"",IF(COUNT(Y4:AF4)=0,"",AG4-LOOKUP(2,1/(Y4:AF4&lt;&gt;""),Y4:AF4)))</t>
        </is>
      </c>
      <c r="AS4" s="36" t="inlineStr">
        <is>
          <t>IF(OR(E4="",AH4=""),"",IF(COUNT(Y4:AG4)=0,"",AH4-LOOKUP(2,1/(Y4:AG4&lt;&gt;""),Y4:AG4)))</t>
        </is>
      </c>
      <c r="AT4" s="36" t="inlineStr">
        <is>
          <t>IF(OR(E4="",AI4=""),"",IF(COUNT(Y4:AH4)=0,"",AI4-LOOKUP(2,1/(Y4:AH4&lt;&gt;""),Y4:AH4)))</t>
        </is>
      </c>
      <c r="AU4" s="36" t="inlineStr">
        <is>
          <t>IF(OR(E4="",AJ4=""),"",IF(COUNT(Y4:AI4)=0,"",AJ4-LOOKUP(2,1/(Y4:AI4&lt;&gt;""),Y4:AI4)))</t>
        </is>
      </c>
      <c r="AV4" s="39" t="inlineStr">
        <is>
          <t>IF(G4="","All_Provinces",IFERROR(VLOOKUP(G4,'07_Lookups'!$A$4:$B$20,2,FALSE),"All_Provinces"))</t>
        </is>
      </c>
      <c r="AW4" s="39" t="inlineStr">
        <is>
          <t>IF(H4="","All_Districts",IFERROR(VLOOKUP(H4,'07_Lookups'!$E$4:$F$42,2,FALSE),"All_Districts"))</t>
        </is>
      </c>
    </row>
    <row r="5" ht="18" customHeight="1">
      <c r="A5" s="31" t="inlineStr">
        <is>
          <t>IF(E5="","",ROW()-3)</t>
        </is>
      </c>
      <c r="B5" s="40" t="inlineStr">
        <is>
          <t>AF2-P04-01</t>
        </is>
      </c>
      <c r="C5" s="40" t="inlineStr">
        <is>
          <t>Emergency Food Security Project (EFSP) – WBK/AF-2</t>
        </is>
      </c>
      <c r="D5" s="40" t="inlineStr">
        <is>
          <t>Package #4-AF2 WSM: Construction of Qalai Gerd check dam, Firozkoh, Ghor</t>
        </is>
      </c>
      <c r="E5" s="40" t="inlineStr">
        <is>
          <t>Qalai Gerd Check dam</t>
        </is>
      </c>
      <c r="F5" s="40" t="inlineStr">
        <is>
          <t>Check Dam</t>
        </is>
      </c>
      <c r="G5" s="40" t="inlineStr">
        <is>
          <t>West / Herat</t>
        </is>
      </c>
      <c r="H5" s="40" t="inlineStr">
        <is>
          <t>Ghor</t>
        </is>
      </c>
      <c r="I5" s="40" t="inlineStr">
        <is>
          <t>Firozkoh</t>
        </is>
      </c>
      <c r="J5" s="40" t="inlineStr">
        <is>
          <t>Qalai Gerd</t>
        </is>
      </c>
      <c r="K5" s="40" t="inlineStr">
        <is>
          <t>World Bank (WBK/AF-2)</t>
        </is>
      </c>
      <c r="L5" s="40" t="inlineStr">
        <is>
          <t>TBA</t>
        </is>
      </c>
      <c r="M5" s="40" t="inlineStr">
        <is>
          <t>TBA</t>
        </is>
      </c>
      <c r="N5" s="41" t="n">
        <v>219000</v>
      </c>
      <c r="O5" s="34" t="inlineStr">
        <is>
          <t>IF(AE5="","",AE5)</t>
        </is>
      </c>
      <c r="P5" s="42" t="n"/>
      <c r="Q5" s="34" t="inlineStr">
        <is>
          <t>IF(OR(O5="",P5=""),"",EDATE(O5,P5))</t>
        </is>
      </c>
      <c r="R5" s="42" t="n"/>
      <c r="S5" s="40" t="inlineStr">
        <is>
          <t>Under Review of WRI</t>
        </is>
      </c>
      <c r="T5" s="40" t="inlineStr">
        <is>
          <t>Source list marked PR</t>
        </is>
      </c>
      <c r="U5" s="31" t="inlineStr">
        <is>
          <t>IF(E5="","",IF(COUNT(Y5:AJ5)=0,IF(S5="","Not started",S5),SUBSTITUTE(LOOKUP(2,1/(Y5:AJ5&lt;&gt;""),$Y$3:$AJ$3),"Date: ","")))</t>
        </is>
      </c>
      <c r="V5" s="36" t="inlineStr">
        <is>
          <t>IF(OR(E5="",COUNT(Y5:AJ5)=0),"",TODAY()-LOOKUP(2,1/(Y5:AJ5&lt;&gt;""),Y5:AJ5))</t>
        </is>
      </c>
      <c r="W5" s="36" t="inlineStr">
        <is>
          <t>IF(OR(E5="",COUNT(Y5:AJ5)&lt;2),"",LOOKUP(2,1/(Y5:AJ5&lt;&gt;""),Y5:AJ5)-MIN(Y5:AJ5))</t>
        </is>
      </c>
      <c r="X5" s="36" t="inlineStr">
        <is>
          <t>IF(OR(V5="",U5="Not started",U5=""),"",IFERROR(V5-IF(VLOOKUP(U5,'04_Status_Pipeline'!$B$3:$E$20,4,FALSE)="",0,VLOOKUP(U5,'04_Status_Pipeline'!$B$3:$E$20,4,FALSE)),""))</t>
        </is>
      </c>
      <c r="Y5" s="43" t="n"/>
      <c r="Z5" s="43" t="n"/>
      <c r="AA5" s="43" t="n"/>
      <c r="AB5" s="43" t="n"/>
      <c r="AC5" s="43" t="n"/>
      <c r="AD5" s="43" t="n"/>
      <c r="AE5" s="43" t="n"/>
      <c r="AF5" s="43" t="n"/>
      <c r="AG5" s="43" t="n"/>
      <c r="AH5" s="38" t="n"/>
      <c r="AI5" s="38" t="n"/>
      <c r="AJ5" s="38" t="n"/>
      <c r="AK5" s="36" t="inlineStr">
        <is>
          <t>IF(OR(E5="",Z5=""),"",IF(COUNT(Y5:Y5)=0,"",Z5-LOOKUP(2,1/(Y5:Y5&lt;&gt;""),Y5:Y5)))</t>
        </is>
      </c>
      <c r="AL5" s="36" t="inlineStr">
        <is>
          <t>IF(OR(E5="",AA5=""),"",IF(COUNT(Y5:Z5)=0,"",AA5-LOOKUP(2,1/(Y5:Z5&lt;&gt;""),Y5:Z5)))</t>
        </is>
      </c>
      <c r="AM5" s="36" t="inlineStr">
        <is>
          <t>IF(OR(E5="",AB5=""),"",IF(COUNT(Y5:AA5)=0,"",AB5-LOOKUP(2,1/(Y5:AA5&lt;&gt;""),Y5:AA5)))</t>
        </is>
      </c>
      <c r="AN5" s="36" t="inlineStr">
        <is>
          <t>IF(OR(E5="",AC5=""),"",IF(COUNT(Y5:AB5)=0,"",AC5-LOOKUP(2,1/(Y5:AB5&lt;&gt;""),Y5:AB5)))</t>
        </is>
      </c>
      <c r="AO5" s="36" t="inlineStr">
        <is>
          <t>IF(OR(E5="",AD5=""),"",IF(COUNT(Y5:AC5)=0,"",AD5-LOOKUP(2,1/(Y5:AC5&lt;&gt;""),Y5:AC5)))</t>
        </is>
      </c>
      <c r="AP5" s="36" t="inlineStr">
        <is>
          <t>IF(OR(E5="",AE5=""),"",IF(COUNT(Y5:AD5)=0,"",AE5-LOOKUP(2,1/(Y5:AD5&lt;&gt;""),Y5:AD5)))</t>
        </is>
      </c>
      <c r="AQ5" s="36" t="inlineStr">
        <is>
          <t>IF(OR(E5="",AF5=""),"",IF(COUNT(Y5:AE5)=0,"",AF5-LOOKUP(2,1/(Y5:AE5&lt;&gt;""),Y5:AE5)))</t>
        </is>
      </c>
      <c r="AR5" s="36" t="inlineStr">
        <is>
          <t>IF(OR(E5="",AG5=""),"",IF(COUNT(Y5:AF5)=0,"",AG5-LOOKUP(2,1/(Y5:AF5&lt;&gt;""),Y5:AF5)))</t>
        </is>
      </c>
      <c r="AS5" s="36" t="inlineStr">
        <is>
          <t>IF(OR(E5="",AH5=""),"",IF(COUNT(Y5:AG5)=0,"",AH5-LOOKUP(2,1/(Y5:AG5&lt;&gt;""),Y5:AG5)))</t>
        </is>
      </c>
      <c r="AT5" s="36" t="inlineStr">
        <is>
          <t>IF(OR(E5="",AI5=""),"",IF(COUNT(Y5:AH5)=0,"",AI5-LOOKUP(2,1/(Y5:AH5&lt;&gt;""),Y5:AH5)))</t>
        </is>
      </c>
      <c r="AU5" s="36" t="inlineStr">
        <is>
          <t>IF(OR(E5="",AJ5=""),"",IF(COUNT(Y5:AI5)=0,"",AJ5-LOOKUP(2,1/(Y5:AI5&lt;&gt;""),Y5:AI5)))</t>
        </is>
      </c>
      <c r="AV5" s="39" t="inlineStr">
        <is>
          <t>IF(G5="","All_Provinces",IFERROR(VLOOKUP(G5,'07_Lookups'!$A$4:$B$20,2,FALSE),"All_Provinces"))</t>
        </is>
      </c>
      <c r="AW5" s="39" t="inlineStr">
        <is>
          <t>IF(H5="","All_Districts",IFERROR(VLOOKUP(H5,'07_Lookups'!$E$4:$F$42,2,FALSE),"All_Districts"))</t>
        </is>
      </c>
    </row>
    <row r="6" ht="18" customHeight="1">
      <c r="A6" s="31" t="inlineStr">
        <is>
          <t>IF(E6="","",ROW()-3)</t>
        </is>
      </c>
      <c r="B6" s="32" t="inlineStr">
        <is>
          <t>AF2-P07-01</t>
        </is>
      </c>
      <c r="C6" s="32" t="inlineStr">
        <is>
          <t>Emergency Food Security Project (EFSP) – WBK/AF-2</t>
        </is>
      </c>
      <c r="D6" s="32" t="inlineStr">
        <is>
          <t>Package #7-AF2 WSM: Construction of 3 Check dams, Kunar</t>
        </is>
      </c>
      <c r="E6" s="32" t="inlineStr">
        <is>
          <t>Lachagali Boulder Check Dam and Water Pond</t>
        </is>
      </c>
      <c r="F6" s="32" t="inlineStr">
        <is>
          <t>Check Dam and Water Pond</t>
        </is>
      </c>
      <c r="G6" s="32" t="inlineStr">
        <is>
          <t>East / Jalalabad</t>
        </is>
      </c>
      <c r="H6" s="32" t="inlineStr">
        <is>
          <t>Kunar</t>
        </is>
      </c>
      <c r="I6" s="32" t="inlineStr">
        <is>
          <t>Narang</t>
        </is>
      </c>
      <c r="J6" s="32" t="inlineStr">
        <is>
          <t>Lachagali / Jaroobi</t>
        </is>
      </c>
      <c r="K6" s="32" t="inlineStr">
        <is>
          <t>World Bank (WBK/AF-2)</t>
        </is>
      </c>
      <c r="L6" s="32" t="inlineStr">
        <is>
          <t>TBA</t>
        </is>
      </c>
      <c r="M6" s="32" t="inlineStr">
        <is>
          <t>TBA</t>
        </is>
      </c>
      <c r="N6" s="33" t="n">
        <v>101269</v>
      </c>
      <c r="O6" s="34" t="inlineStr">
        <is>
          <t>IF(AE6="","",AE6)</t>
        </is>
      </c>
      <c r="P6" s="35" t="n"/>
      <c r="Q6" s="34" t="inlineStr">
        <is>
          <t>IF(OR(O6="",P6=""),"",EDATE(O6,P6))</t>
        </is>
      </c>
      <c r="R6" s="35" t="n"/>
      <c r="S6" s="32" t="inlineStr">
        <is>
          <t>Under Technical Evaluation</t>
        </is>
      </c>
      <c r="T6" s="32" t="inlineStr">
        <is>
          <t>Source list: LTO for clearance / TE completed</t>
        </is>
      </c>
      <c r="U6" s="31" t="inlineStr">
        <is>
          <t>IF(E6="","",IF(COUNT(Y6:AJ6)=0,IF(S6="","Not started",S6),SUBSTITUTE(LOOKUP(2,1/(Y6:AJ6&lt;&gt;""),$Y$3:$AJ$3),"Date: ","")))</t>
        </is>
      </c>
      <c r="V6" s="36" t="inlineStr">
        <is>
          <t>IF(OR(E6="",COUNT(Y6:AJ6)=0),"",TODAY()-LOOKUP(2,1/(Y6:AJ6&lt;&gt;""),Y6:AJ6))</t>
        </is>
      </c>
      <c r="W6" s="36" t="inlineStr">
        <is>
          <t>IF(OR(E6="",COUNT(Y6:AJ6)&lt;2),"",LOOKUP(2,1/(Y6:AJ6&lt;&gt;""),Y6:AJ6)-MIN(Y6:AJ6))</t>
        </is>
      </c>
      <c r="X6" s="36" t="inlineStr">
        <is>
          <t>IF(OR(V6="",U6="Not started",U6=""),"",IFERROR(V6-IF(VLOOKUP(U6,'04_Status_Pipeline'!$B$3:$E$20,4,FALSE)="",0,VLOOKUP(U6,'04_Status_Pipeline'!$B$3:$E$20,4,FALSE)),""))</t>
        </is>
      </c>
      <c r="Y6" s="37" t="n"/>
      <c r="Z6" s="37" t="n"/>
      <c r="AA6" s="37" t="n"/>
      <c r="AB6" s="37" t="n"/>
      <c r="AC6" s="37" t="n"/>
      <c r="AD6" s="37" t="n"/>
      <c r="AE6" s="37" t="n"/>
      <c r="AF6" s="37" t="n"/>
      <c r="AG6" s="37" t="n"/>
      <c r="AH6" s="38" t="n"/>
      <c r="AI6" s="38" t="n"/>
      <c r="AJ6" s="38" t="n"/>
      <c r="AK6" s="36" t="inlineStr">
        <is>
          <t>IF(OR(E6="",Z6=""),"",IF(COUNT(Y6:Y6)=0,"",Z6-LOOKUP(2,1/(Y6:Y6&lt;&gt;""),Y6:Y6)))</t>
        </is>
      </c>
      <c r="AL6" s="36" t="inlineStr">
        <is>
          <t>IF(OR(E6="",AA6=""),"",IF(COUNT(Y6:Z6)=0,"",AA6-LOOKUP(2,1/(Y6:Z6&lt;&gt;""),Y6:Z6)))</t>
        </is>
      </c>
      <c r="AM6" s="36" t="inlineStr">
        <is>
          <t>IF(OR(E6="",AB6=""),"",IF(COUNT(Y6:AA6)=0,"",AB6-LOOKUP(2,1/(Y6:AA6&lt;&gt;""),Y6:AA6)))</t>
        </is>
      </c>
      <c r="AN6" s="36" t="inlineStr">
        <is>
          <t>IF(OR(E6="",AC6=""),"",IF(COUNT(Y6:AB6)=0,"",AC6-LOOKUP(2,1/(Y6:AB6&lt;&gt;""),Y6:AB6)))</t>
        </is>
      </c>
      <c r="AO6" s="36" t="inlineStr">
        <is>
          <t>IF(OR(E6="",AD6=""),"",IF(COUNT(Y6:AC6)=0,"",AD6-LOOKUP(2,1/(Y6:AC6&lt;&gt;""),Y6:AC6)))</t>
        </is>
      </c>
      <c r="AP6" s="36" t="inlineStr">
        <is>
          <t>IF(OR(E6="",AE6=""),"",IF(COUNT(Y6:AD6)=0,"",AE6-LOOKUP(2,1/(Y6:AD6&lt;&gt;""),Y6:AD6)))</t>
        </is>
      </c>
      <c r="AQ6" s="36" t="inlineStr">
        <is>
          <t>IF(OR(E6="",AF6=""),"",IF(COUNT(Y6:AE6)=0,"",AF6-LOOKUP(2,1/(Y6:AE6&lt;&gt;""),Y6:AE6)))</t>
        </is>
      </c>
      <c r="AR6" s="36" t="inlineStr">
        <is>
          <t>IF(OR(E6="",AG6=""),"",IF(COUNT(Y6:AF6)=0,"",AG6-LOOKUP(2,1/(Y6:AF6&lt;&gt;""),Y6:AF6)))</t>
        </is>
      </c>
      <c r="AS6" s="36" t="inlineStr">
        <is>
          <t>IF(OR(E6="",AH6=""),"",IF(COUNT(Y6:AG6)=0,"",AH6-LOOKUP(2,1/(Y6:AG6&lt;&gt;""),Y6:AG6)))</t>
        </is>
      </c>
      <c r="AT6" s="36" t="inlineStr">
        <is>
          <t>IF(OR(E6="",AI6=""),"",IF(COUNT(Y6:AH6)=0,"",AI6-LOOKUP(2,1/(Y6:AH6&lt;&gt;""),Y6:AH6)))</t>
        </is>
      </c>
      <c r="AU6" s="36" t="inlineStr">
        <is>
          <t>IF(OR(E6="",AJ6=""),"",IF(COUNT(Y6:AI6)=0,"",AJ6-LOOKUP(2,1/(Y6:AI6&lt;&gt;""),Y6:AI6)))</t>
        </is>
      </c>
      <c r="AV6" s="39" t="inlineStr">
        <is>
          <t>IF(G6="","All_Provinces",IFERROR(VLOOKUP(G6,'07_Lookups'!$A$4:$B$20,2,FALSE),"All_Provinces"))</t>
        </is>
      </c>
      <c r="AW6" s="39" t="inlineStr">
        <is>
          <t>IF(H6="","All_Districts",IFERROR(VLOOKUP(H6,'07_Lookups'!$E$4:$F$42,2,FALSE),"All_Districts"))</t>
        </is>
      </c>
    </row>
    <row r="7" ht="18" customHeight="1">
      <c r="A7" s="31" t="inlineStr">
        <is>
          <t>IF(E7="","",ROW()-3)</t>
        </is>
      </c>
      <c r="B7" s="40" t="inlineStr">
        <is>
          <t>AF2-P07-02</t>
        </is>
      </c>
      <c r="C7" s="40" t="inlineStr">
        <is>
          <t>Emergency Food Security Project (EFSP) – WBK/AF-2</t>
        </is>
      </c>
      <c r="D7" s="40" t="inlineStr">
        <is>
          <t>Package #7-AF2 WSM: Construction of 3 Check dams, Kunar</t>
        </is>
      </c>
      <c r="E7" s="40" t="inlineStr">
        <is>
          <t>Dargarak Check Dam</t>
        </is>
      </c>
      <c r="F7" s="40" t="inlineStr">
        <is>
          <t>Check Dam</t>
        </is>
      </c>
      <c r="G7" s="40" t="inlineStr">
        <is>
          <t>East / Jalalabad</t>
        </is>
      </c>
      <c r="H7" s="40" t="inlineStr">
        <is>
          <t>Kunar</t>
        </is>
      </c>
      <c r="I7" s="40" t="inlineStr">
        <is>
          <t>Sawkai</t>
        </is>
      </c>
      <c r="J7" s="40" t="inlineStr">
        <is>
          <t>Daar Garak</t>
        </is>
      </c>
      <c r="K7" s="40" t="inlineStr">
        <is>
          <t>World Bank (WBK/AF-2)</t>
        </is>
      </c>
      <c r="L7" s="40" t="n"/>
      <c r="M7" s="40" t="n"/>
      <c r="N7" s="41" t="n"/>
      <c r="O7" s="34" t="inlineStr">
        <is>
          <t>IF(AE7="","",AE7)</t>
        </is>
      </c>
      <c r="P7" s="42" t="n"/>
      <c r="Q7" s="34" t="inlineStr">
        <is>
          <t>IF(OR(O7="",P7=""),"",EDATE(O7,P7))</t>
        </is>
      </c>
      <c r="R7" s="42" t="n"/>
      <c r="S7" s="40" t="inlineStr">
        <is>
          <t>Under Technical Evaluation</t>
        </is>
      </c>
      <c r="T7" s="40" t="inlineStr">
        <is>
          <t>Same package as Lachagali</t>
        </is>
      </c>
      <c r="U7" s="31" t="inlineStr">
        <is>
          <t>IF(E7="","",IF(COUNT(Y7:AJ7)=0,IF(S7="","Not started",S7),SUBSTITUTE(LOOKUP(2,1/(Y7:AJ7&lt;&gt;""),$Y$3:$AJ$3),"Date: ","")))</t>
        </is>
      </c>
      <c r="V7" s="36" t="inlineStr">
        <is>
          <t>IF(OR(E7="",COUNT(Y7:AJ7)=0),"",TODAY()-LOOKUP(2,1/(Y7:AJ7&lt;&gt;""),Y7:AJ7))</t>
        </is>
      </c>
      <c r="W7" s="36" t="inlineStr">
        <is>
          <t>IF(OR(E7="",COUNT(Y7:AJ7)&lt;2),"",LOOKUP(2,1/(Y7:AJ7&lt;&gt;""),Y7:AJ7)-MIN(Y7:AJ7))</t>
        </is>
      </c>
      <c r="X7" s="36" t="inlineStr">
        <is>
          <t>IF(OR(V7="",U7="Not started",U7=""),"",IFERROR(V7-IF(VLOOKUP(U7,'04_Status_Pipeline'!$B$3:$E$20,4,FALSE)="",0,VLOOKUP(U7,'04_Status_Pipeline'!$B$3:$E$20,4,FALSE)),""))</t>
        </is>
      </c>
      <c r="Y7" s="43" t="n"/>
      <c r="Z7" s="43" t="n"/>
      <c r="AA7" s="43" t="n"/>
      <c r="AB7" s="43" t="n"/>
      <c r="AC7" s="43" t="n"/>
      <c r="AD7" s="43" t="n"/>
      <c r="AE7" s="43" t="n"/>
      <c r="AF7" s="43" t="n"/>
      <c r="AG7" s="43" t="n"/>
      <c r="AH7" s="38" t="n"/>
      <c r="AI7" s="38" t="n"/>
      <c r="AJ7" s="38" t="n"/>
      <c r="AK7" s="36" t="inlineStr">
        <is>
          <t>IF(OR(E7="",Z7=""),"",IF(COUNT(Y7:Y7)=0,"",Z7-LOOKUP(2,1/(Y7:Y7&lt;&gt;""),Y7:Y7)))</t>
        </is>
      </c>
      <c r="AL7" s="36" t="inlineStr">
        <is>
          <t>IF(OR(E7="",AA7=""),"",IF(COUNT(Y7:Z7)=0,"",AA7-LOOKUP(2,1/(Y7:Z7&lt;&gt;""),Y7:Z7)))</t>
        </is>
      </c>
      <c r="AM7" s="36" t="inlineStr">
        <is>
          <t>IF(OR(E7="",AB7=""),"",IF(COUNT(Y7:AA7)=0,"",AB7-LOOKUP(2,1/(Y7:AA7&lt;&gt;""),Y7:AA7)))</t>
        </is>
      </c>
      <c r="AN7" s="36" t="inlineStr">
        <is>
          <t>IF(OR(E7="",AC7=""),"",IF(COUNT(Y7:AB7)=0,"",AC7-LOOKUP(2,1/(Y7:AB7&lt;&gt;""),Y7:AB7)))</t>
        </is>
      </c>
      <c r="AO7" s="36" t="inlineStr">
        <is>
          <t>IF(OR(E7="",AD7=""),"",IF(COUNT(Y7:AC7)=0,"",AD7-LOOKUP(2,1/(Y7:AC7&lt;&gt;""),Y7:AC7)))</t>
        </is>
      </c>
      <c r="AP7" s="36" t="inlineStr">
        <is>
          <t>IF(OR(E7="",AE7=""),"",IF(COUNT(Y7:AD7)=0,"",AE7-LOOKUP(2,1/(Y7:AD7&lt;&gt;""),Y7:AD7)))</t>
        </is>
      </c>
      <c r="AQ7" s="36" t="inlineStr">
        <is>
          <t>IF(OR(E7="",AF7=""),"",IF(COUNT(Y7:AE7)=0,"",AF7-LOOKUP(2,1/(Y7:AE7&lt;&gt;""),Y7:AE7)))</t>
        </is>
      </c>
      <c r="AR7" s="36" t="inlineStr">
        <is>
          <t>IF(OR(E7="",AG7=""),"",IF(COUNT(Y7:AF7)=0,"",AG7-LOOKUP(2,1/(Y7:AF7&lt;&gt;""),Y7:AF7)))</t>
        </is>
      </c>
      <c r="AS7" s="36" t="inlineStr">
        <is>
          <t>IF(OR(E7="",AH7=""),"",IF(COUNT(Y7:AG7)=0,"",AH7-LOOKUP(2,1/(Y7:AG7&lt;&gt;""),Y7:AG7)))</t>
        </is>
      </c>
      <c r="AT7" s="36" t="inlineStr">
        <is>
          <t>IF(OR(E7="",AI7=""),"",IF(COUNT(Y7:AH7)=0,"",AI7-LOOKUP(2,1/(Y7:AH7&lt;&gt;""),Y7:AH7)))</t>
        </is>
      </c>
      <c r="AU7" s="36" t="inlineStr">
        <is>
          <t>IF(OR(E7="",AJ7=""),"",IF(COUNT(Y7:AI7)=0,"",AJ7-LOOKUP(2,1/(Y7:AI7&lt;&gt;""),Y7:AI7)))</t>
        </is>
      </c>
      <c r="AV7" s="39" t="inlineStr">
        <is>
          <t>IF(G7="","All_Provinces",IFERROR(VLOOKUP(G7,'07_Lookups'!$A$4:$B$20,2,FALSE),"All_Provinces"))</t>
        </is>
      </c>
      <c r="AW7" s="39" t="inlineStr">
        <is>
          <t>IF(H7="","All_Districts",IFERROR(VLOOKUP(H7,'07_Lookups'!$E$4:$F$42,2,FALSE),"All_Districts"))</t>
        </is>
      </c>
    </row>
    <row r="8" ht="18" customHeight="1">
      <c r="A8" s="31" t="inlineStr">
        <is>
          <t>IF(E8="","",ROW()-3)</t>
        </is>
      </c>
      <c r="B8" s="32" t="inlineStr">
        <is>
          <t>AF2-P07-03</t>
        </is>
      </c>
      <c r="C8" s="32" t="inlineStr">
        <is>
          <t>Emergency Food Security Project (EFSP) – WBK/AF-2</t>
        </is>
      </c>
      <c r="D8" s="32" t="inlineStr">
        <is>
          <t>Package #7-AF2 WSM: Construction of 3 Check dams, Kunar</t>
        </is>
      </c>
      <c r="E8" s="32" t="inlineStr">
        <is>
          <t>Miagan Check Dam</t>
        </is>
      </c>
      <c r="F8" s="32" t="inlineStr">
        <is>
          <t>Check Dam</t>
        </is>
      </c>
      <c r="G8" s="32" t="inlineStr">
        <is>
          <t>East / Jalalabad</t>
        </is>
      </c>
      <c r="H8" s="32" t="inlineStr">
        <is>
          <t>Kunar</t>
        </is>
      </c>
      <c r="I8" s="32" t="inlineStr">
        <is>
          <t>Khas Kunar</t>
        </is>
      </c>
      <c r="J8" s="32" t="inlineStr">
        <is>
          <t>Miagan Kali</t>
        </is>
      </c>
      <c r="K8" s="32" t="inlineStr">
        <is>
          <t>World Bank (WBK/AF-2)</t>
        </is>
      </c>
      <c r="L8" s="32" t="n"/>
      <c r="M8" s="32" t="n"/>
      <c r="N8" s="33" t="n"/>
      <c r="O8" s="34" t="inlineStr">
        <is>
          <t>IF(AE8="","",AE8)</t>
        </is>
      </c>
      <c r="P8" s="35" t="n"/>
      <c r="Q8" s="34" t="inlineStr">
        <is>
          <t>IF(OR(O8="",P8=""),"",EDATE(O8,P8))</t>
        </is>
      </c>
      <c r="R8" s="35" t="n"/>
      <c r="S8" s="32" t="inlineStr">
        <is>
          <t>Under Technical Evaluation</t>
        </is>
      </c>
      <c r="T8" s="32" t="inlineStr">
        <is>
          <t>Same package as Lachagali</t>
        </is>
      </c>
      <c r="U8" s="31" t="inlineStr">
        <is>
          <t>IF(E8="","",IF(COUNT(Y8:AJ8)=0,IF(S8="","Not started",S8),SUBSTITUTE(LOOKUP(2,1/(Y8:AJ8&lt;&gt;""),$Y$3:$AJ$3),"Date: ","")))</t>
        </is>
      </c>
      <c r="V8" s="36" t="inlineStr">
        <is>
          <t>IF(OR(E8="",COUNT(Y8:AJ8)=0),"",TODAY()-LOOKUP(2,1/(Y8:AJ8&lt;&gt;""),Y8:AJ8))</t>
        </is>
      </c>
      <c r="W8" s="36" t="inlineStr">
        <is>
          <t>IF(OR(E8="",COUNT(Y8:AJ8)&lt;2),"",LOOKUP(2,1/(Y8:AJ8&lt;&gt;""),Y8:AJ8)-MIN(Y8:AJ8))</t>
        </is>
      </c>
      <c r="X8" s="36" t="inlineStr">
        <is>
          <t>IF(OR(V8="",U8="Not started",U8=""),"",IFERROR(V8-IF(VLOOKUP(U8,'04_Status_Pipeline'!$B$3:$E$20,4,FALSE)="",0,VLOOKUP(U8,'04_Status_Pipeline'!$B$3:$E$20,4,FALSE)),""))</t>
        </is>
      </c>
      <c r="Y8" s="37" t="n"/>
      <c r="Z8" s="37" t="n"/>
      <c r="AA8" s="37" t="n"/>
      <c r="AB8" s="37" t="n"/>
      <c r="AC8" s="37" t="n"/>
      <c r="AD8" s="37" t="n"/>
      <c r="AE8" s="37" t="n"/>
      <c r="AF8" s="37" t="n"/>
      <c r="AG8" s="37" t="n"/>
      <c r="AH8" s="38" t="n"/>
      <c r="AI8" s="38" t="n"/>
      <c r="AJ8" s="38" t="n"/>
      <c r="AK8" s="36" t="inlineStr">
        <is>
          <t>IF(OR(E8="",Z8=""),"",IF(COUNT(Y8:Y8)=0,"",Z8-LOOKUP(2,1/(Y8:Y8&lt;&gt;""),Y8:Y8)))</t>
        </is>
      </c>
      <c r="AL8" s="36" t="inlineStr">
        <is>
          <t>IF(OR(E8="",AA8=""),"",IF(COUNT(Y8:Z8)=0,"",AA8-LOOKUP(2,1/(Y8:Z8&lt;&gt;""),Y8:Z8)))</t>
        </is>
      </c>
      <c r="AM8" s="36" t="inlineStr">
        <is>
          <t>IF(OR(E8="",AB8=""),"",IF(COUNT(Y8:AA8)=0,"",AB8-LOOKUP(2,1/(Y8:AA8&lt;&gt;""),Y8:AA8)))</t>
        </is>
      </c>
      <c r="AN8" s="36" t="inlineStr">
        <is>
          <t>IF(OR(E8="",AC8=""),"",IF(COUNT(Y8:AB8)=0,"",AC8-LOOKUP(2,1/(Y8:AB8&lt;&gt;""),Y8:AB8)))</t>
        </is>
      </c>
      <c r="AO8" s="36" t="inlineStr">
        <is>
          <t>IF(OR(E8="",AD8=""),"",IF(COUNT(Y8:AC8)=0,"",AD8-LOOKUP(2,1/(Y8:AC8&lt;&gt;""),Y8:AC8)))</t>
        </is>
      </c>
      <c r="AP8" s="36" t="inlineStr">
        <is>
          <t>IF(OR(E8="",AE8=""),"",IF(COUNT(Y8:AD8)=0,"",AE8-LOOKUP(2,1/(Y8:AD8&lt;&gt;""),Y8:AD8)))</t>
        </is>
      </c>
      <c r="AQ8" s="36" t="inlineStr">
        <is>
          <t>IF(OR(E8="",AF8=""),"",IF(COUNT(Y8:AE8)=0,"",AF8-LOOKUP(2,1/(Y8:AE8&lt;&gt;""),Y8:AE8)))</t>
        </is>
      </c>
      <c r="AR8" s="36" t="inlineStr">
        <is>
          <t>IF(OR(E8="",AG8=""),"",IF(COUNT(Y8:AF8)=0,"",AG8-LOOKUP(2,1/(Y8:AF8&lt;&gt;""),Y8:AF8)))</t>
        </is>
      </c>
      <c r="AS8" s="36" t="inlineStr">
        <is>
          <t>IF(OR(E8="",AH8=""),"",IF(COUNT(Y8:AG8)=0,"",AH8-LOOKUP(2,1/(Y8:AG8&lt;&gt;""),Y8:AG8)))</t>
        </is>
      </c>
      <c r="AT8" s="36" t="inlineStr">
        <is>
          <t>IF(OR(E8="",AI8=""),"",IF(COUNT(Y8:AH8)=0,"",AI8-LOOKUP(2,1/(Y8:AH8&lt;&gt;""),Y8:AH8)))</t>
        </is>
      </c>
      <c r="AU8" s="36" t="inlineStr">
        <is>
          <t>IF(OR(E8="",AJ8=""),"",IF(COUNT(Y8:AI8)=0,"",AJ8-LOOKUP(2,1/(Y8:AI8&lt;&gt;""),Y8:AI8)))</t>
        </is>
      </c>
      <c r="AV8" s="39" t="inlineStr">
        <is>
          <t>IF(G8="","All_Provinces",IFERROR(VLOOKUP(G8,'07_Lookups'!$A$4:$B$20,2,FALSE),"All_Provinces"))</t>
        </is>
      </c>
      <c r="AW8" s="39" t="inlineStr">
        <is>
          <t>IF(H8="","All_Districts",IFERROR(VLOOKUP(H8,'07_Lookups'!$E$4:$F$42,2,FALSE),"All_Districts"))</t>
        </is>
      </c>
    </row>
    <row r="9" ht="18" customHeight="1">
      <c r="A9" s="31" t="inlineStr">
        <is>
          <t>IF(E9="","",ROW()-3)</t>
        </is>
      </c>
      <c r="B9" s="40" t="inlineStr">
        <is>
          <t>AF2-P12-01</t>
        </is>
      </c>
      <c r="C9" s="40" t="inlineStr">
        <is>
          <t>Emergency Food Security Project (EFSP) – WBK/AF-2</t>
        </is>
      </c>
      <c r="D9" s="40" t="inlineStr">
        <is>
          <t>Package #12-AF2 WSM: Construction of 4 Check dams, Kabul</t>
        </is>
      </c>
      <c r="E9" s="40" t="inlineStr">
        <is>
          <t>Qoli Ghafoor and Dara-e-Qala-e-Qazi Check dams</t>
        </is>
      </c>
      <c r="F9" s="40" t="inlineStr">
        <is>
          <t>Check Dam</t>
        </is>
      </c>
      <c r="G9" s="40" t="inlineStr">
        <is>
          <t>Central / Kabul</t>
        </is>
      </c>
      <c r="H9" s="40" t="inlineStr">
        <is>
          <t>Kabul</t>
        </is>
      </c>
      <c r="I9" s="40" t="inlineStr">
        <is>
          <t>PD#13 Kabul</t>
        </is>
      </c>
      <c r="J9" s="40" t="inlineStr">
        <is>
          <t>Qoli Ghafoor, Dara-e-Qala-e-Qazi</t>
        </is>
      </c>
      <c r="K9" s="40" t="inlineStr">
        <is>
          <t>World Bank (WBK/AF-2)</t>
        </is>
      </c>
      <c r="L9" s="40" t="inlineStr">
        <is>
          <t>TBA</t>
        </is>
      </c>
      <c r="M9" s="40" t="inlineStr">
        <is>
          <t>TBA</t>
        </is>
      </c>
      <c r="N9" s="41" t="n">
        <v>197430</v>
      </c>
      <c r="O9" s="34" t="inlineStr">
        <is>
          <t>IF(AE9="","",AE9)</t>
        </is>
      </c>
      <c r="P9" s="42" t="n"/>
      <c r="Q9" s="34" t="inlineStr">
        <is>
          <t>IF(OR(O9="",P9=""),"",EDATE(O9,P9))</t>
        </is>
      </c>
      <c r="R9" s="42" t="n"/>
      <c r="S9" s="40" t="inlineStr">
        <is>
          <t>Under Review of WRI</t>
        </is>
      </c>
      <c r="T9" s="40" t="inlineStr">
        <is>
          <t>Source list marked PR</t>
        </is>
      </c>
      <c r="U9" s="31" t="inlineStr">
        <is>
          <t>IF(E9="","",IF(COUNT(Y9:AJ9)=0,IF(S9="","Not started",S9),SUBSTITUTE(LOOKUP(2,1/(Y9:AJ9&lt;&gt;""),$Y$3:$AJ$3),"Date: ","")))</t>
        </is>
      </c>
      <c r="V9" s="36" t="inlineStr">
        <is>
          <t>IF(OR(E9="",COUNT(Y9:AJ9)=0),"",TODAY()-LOOKUP(2,1/(Y9:AJ9&lt;&gt;""),Y9:AJ9))</t>
        </is>
      </c>
      <c r="W9" s="36" t="inlineStr">
        <is>
          <t>IF(OR(E9="",COUNT(Y9:AJ9)&lt;2),"",LOOKUP(2,1/(Y9:AJ9&lt;&gt;""),Y9:AJ9)-MIN(Y9:AJ9))</t>
        </is>
      </c>
      <c r="X9" s="36" t="inlineStr">
        <is>
          <t>IF(OR(V9="",U9="Not started",U9=""),"",IFERROR(V9-IF(VLOOKUP(U9,'04_Status_Pipeline'!$B$3:$E$20,4,FALSE)="",0,VLOOKUP(U9,'04_Status_Pipeline'!$B$3:$E$20,4,FALSE)),""))</t>
        </is>
      </c>
      <c r="Y9" s="43" t="n"/>
      <c r="Z9" s="43" t="n"/>
      <c r="AA9" s="43" t="n"/>
      <c r="AB9" s="43" t="n"/>
      <c r="AC9" s="43" t="n"/>
      <c r="AD9" s="43" t="n"/>
      <c r="AE9" s="43" t="n"/>
      <c r="AF9" s="43" t="n"/>
      <c r="AG9" s="43" t="n"/>
      <c r="AH9" s="38" t="n"/>
      <c r="AI9" s="38" t="n"/>
      <c r="AJ9" s="38" t="n"/>
      <c r="AK9" s="36" t="inlineStr">
        <is>
          <t>IF(OR(E9="",Z9=""),"",IF(COUNT(Y9:Y9)=0,"",Z9-LOOKUP(2,1/(Y9:Y9&lt;&gt;""),Y9:Y9)))</t>
        </is>
      </c>
      <c r="AL9" s="36" t="inlineStr">
        <is>
          <t>IF(OR(E9="",AA9=""),"",IF(COUNT(Y9:Z9)=0,"",AA9-LOOKUP(2,1/(Y9:Z9&lt;&gt;""),Y9:Z9)))</t>
        </is>
      </c>
      <c r="AM9" s="36" t="inlineStr">
        <is>
          <t>IF(OR(E9="",AB9=""),"",IF(COUNT(Y9:AA9)=0,"",AB9-LOOKUP(2,1/(Y9:AA9&lt;&gt;""),Y9:AA9)))</t>
        </is>
      </c>
      <c r="AN9" s="36" t="inlineStr">
        <is>
          <t>IF(OR(E9="",AC9=""),"",IF(COUNT(Y9:AB9)=0,"",AC9-LOOKUP(2,1/(Y9:AB9&lt;&gt;""),Y9:AB9)))</t>
        </is>
      </c>
      <c r="AO9" s="36" t="inlineStr">
        <is>
          <t>IF(OR(E9="",AD9=""),"",IF(COUNT(Y9:AC9)=0,"",AD9-LOOKUP(2,1/(Y9:AC9&lt;&gt;""),Y9:AC9)))</t>
        </is>
      </c>
      <c r="AP9" s="36" t="inlineStr">
        <is>
          <t>IF(OR(E9="",AE9=""),"",IF(COUNT(Y9:AD9)=0,"",AE9-LOOKUP(2,1/(Y9:AD9&lt;&gt;""),Y9:AD9)))</t>
        </is>
      </c>
      <c r="AQ9" s="36" t="inlineStr">
        <is>
          <t>IF(OR(E9="",AF9=""),"",IF(COUNT(Y9:AE9)=0,"",AF9-LOOKUP(2,1/(Y9:AE9&lt;&gt;""),Y9:AE9)))</t>
        </is>
      </c>
      <c r="AR9" s="36" t="inlineStr">
        <is>
          <t>IF(OR(E9="",AG9=""),"",IF(COUNT(Y9:AF9)=0,"",AG9-LOOKUP(2,1/(Y9:AF9&lt;&gt;""),Y9:AF9)))</t>
        </is>
      </c>
      <c r="AS9" s="36" t="inlineStr">
        <is>
          <t>IF(OR(E9="",AH9=""),"",IF(COUNT(Y9:AG9)=0,"",AH9-LOOKUP(2,1/(Y9:AG9&lt;&gt;""),Y9:AG9)))</t>
        </is>
      </c>
      <c r="AT9" s="36" t="inlineStr">
        <is>
          <t>IF(OR(E9="",AI9=""),"",IF(COUNT(Y9:AH9)=0,"",AI9-LOOKUP(2,1/(Y9:AH9&lt;&gt;""),Y9:AH9)))</t>
        </is>
      </c>
      <c r="AU9" s="36" t="inlineStr">
        <is>
          <t>IF(OR(E9="",AJ9=""),"",IF(COUNT(Y9:AI9)=0,"",AJ9-LOOKUP(2,1/(Y9:AI9&lt;&gt;""),Y9:AI9)))</t>
        </is>
      </c>
      <c r="AV9" s="39" t="inlineStr">
        <is>
          <t>IF(G9="","All_Provinces",IFERROR(VLOOKUP(G9,'07_Lookups'!$A$4:$B$20,2,FALSE),"All_Provinces"))</t>
        </is>
      </c>
      <c r="AW9" s="39" t="inlineStr">
        <is>
          <t>IF(H9="","All_Districts",IFERROR(VLOOKUP(H9,'07_Lookups'!$E$4:$F$42,2,FALSE),"All_Districts"))</t>
        </is>
      </c>
    </row>
    <row r="10" ht="18" customHeight="1">
      <c r="A10" s="31" t="inlineStr">
        <is>
          <t>IF(E10="","",ROW()-3)</t>
        </is>
      </c>
      <c r="B10" s="32" t="inlineStr">
        <is>
          <t>AF2-P12-02</t>
        </is>
      </c>
      <c r="C10" s="32" t="inlineStr">
        <is>
          <t>Emergency Food Security Project (EFSP) – WBK/AF-2</t>
        </is>
      </c>
      <c r="D10" s="32" t="inlineStr">
        <is>
          <t>Package #12-AF2 WSM: Construction of 4 Check dams, Kabul</t>
        </is>
      </c>
      <c r="E10" s="32" t="inlineStr">
        <is>
          <t>Gul Mohammad and Qala-e-Shah Mahmood Check dams</t>
        </is>
      </c>
      <c r="F10" s="32" t="inlineStr">
        <is>
          <t>Check Dam</t>
        </is>
      </c>
      <c r="G10" s="32" t="inlineStr">
        <is>
          <t>Central / Kabul</t>
        </is>
      </c>
      <c r="H10" s="32" t="inlineStr">
        <is>
          <t>Kabul</t>
        </is>
      </c>
      <c r="I10" s="32" t="inlineStr">
        <is>
          <t>Deh Sabz</t>
        </is>
      </c>
      <c r="J10" s="32" t="inlineStr">
        <is>
          <t>Gul Mohammad, Qalai e Shah mohammad</t>
        </is>
      </c>
      <c r="K10" s="32" t="inlineStr">
        <is>
          <t>World Bank (WBK/AF-2)</t>
        </is>
      </c>
      <c r="L10" s="32" t="n"/>
      <c r="M10" s="32" t="n"/>
      <c r="N10" s="33" t="n"/>
      <c r="O10" s="34" t="inlineStr">
        <is>
          <t>IF(AE10="","",AE10)</t>
        </is>
      </c>
      <c r="P10" s="35" t="n"/>
      <c r="Q10" s="34" t="inlineStr">
        <is>
          <t>IF(OR(O10="",P10=""),"",EDATE(O10,P10))</t>
        </is>
      </c>
      <c r="R10" s="35" t="n"/>
      <c r="S10" s="32" t="inlineStr">
        <is>
          <t>Under Review of WRI</t>
        </is>
      </c>
      <c r="T10" s="32" t="inlineStr">
        <is>
          <t>Same package as Qoli Ghafoor</t>
        </is>
      </c>
      <c r="U10" s="31" t="inlineStr">
        <is>
          <t>IF(E10="","",IF(COUNT(Y10:AJ10)=0,IF(S10="","Not started",S10),SUBSTITUTE(LOOKUP(2,1/(Y10:AJ10&lt;&gt;""),$Y$3:$AJ$3),"Date: ","")))</t>
        </is>
      </c>
      <c r="V10" s="36" t="inlineStr">
        <is>
          <t>IF(OR(E10="",COUNT(Y10:AJ10)=0),"",TODAY()-LOOKUP(2,1/(Y10:AJ10&lt;&gt;""),Y10:AJ10))</t>
        </is>
      </c>
      <c r="W10" s="36" t="inlineStr">
        <is>
          <t>IF(OR(E10="",COUNT(Y10:AJ10)&lt;2),"",LOOKUP(2,1/(Y10:AJ10&lt;&gt;""),Y10:AJ10)-MIN(Y10:AJ10))</t>
        </is>
      </c>
      <c r="X10" s="36" t="inlineStr">
        <is>
          <t>IF(OR(V10="",U10="Not started",U10=""),"",IFERROR(V10-IF(VLOOKUP(U10,'04_Status_Pipeline'!$B$3:$E$20,4,FALSE)="",0,VLOOKUP(U10,'04_Status_Pipeline'!$B$3:$E$20,4,FALSE)),""))</t>
        </is>
      </c>
      <c r="Y10" s="37" t="n"/>
      <c r="Z10" s="37" t="n"/>
      <c r="AA10" s="37" t="n"/>
      <c r="AB10" s="37" t="n"/>
      <c r="AC10" s="37" t="n"/>
      <c r="AD10" s="37" t="n"/>
      <c r="AE10" s="37" t="n"/>
      <c r="AF10" s="37" t="n"/>
      <c r="AG10" s="37" t="n"/>
      <c r="AH10" s="38" t="n"/>
      <c r="AI10" s="38" t="n"/>
      <c r="AJ10" s="38" t="n"/>
      <c r="AK10" s="36" t="inlineStr">
        <is>
          <t>IF(OR(E10="",Z10=""),"",IF(COUNT(Y10:Y10)=0,"",Z10-LOOKUP(2,1/(Y10:Y10&lt;&gt;""),Y10:Y10)))</t>
        </is>
      </c>
      <c r="AL10" s="36" t="inlineStr">
        <is>
          <t>IF(OR(E10="",AA10=""),"",IF(COUNT(Y10:Z10)=0,"",AA10-LOOKUP(2,1/(Y10:Z10&lt;&gt;""),Y10:Z10)))</t>
        </is>
      </c>
      <c r="AM10" s="36" t="inlineStr">
        <is>
          <t>IF(OR(E10="",AB10=""),"",IF(COUNT(Y10:AA10)=0,"",AB10-LOOKUP(2,1/(Y10:AA10&lt;&gt;""),Y10:AA10)))</t>
        </is>
      </c>
      <c r="AN10" s="36" t="inlineStr">
        <is>
          <t>IF(OR(E10="",AC10=""),"",IF(COUNT(Y10:AB10)=0,"",AC10-LOOKUP(2,1/(Y10:AB10&lt;&gt;""),Y10:AB10)))</t>
        </is>
      </c>
      <c r="AO10" s="36" t="inlineStr">
        <is>
          <t>IF(OR(E10="",AD10=""),"",IF(COUNT(Y10:AC10)=0,"",AD10-LOOKUP(2,1/(Y10:AC10&lt;&gt;""),Y10:AC10)))</t>
        </is>
      </c>
      <c r="AP10" s="36" t="inlineStr">
        <is>
          <t>IF(OR(E10="",AE10=""),"",IF(COUNT(Y10:AD10)=0,"",AE10-LOOKUP(2,1/(Y10:AD10&lt;&gt;""),Y10:AD10)))</t>
        </is>
      </c>
      <c r="AQ10" s="36" t="inlineStr">
        <is>
          <t>IF(OR(E10="",AF10=""),"",IF(COUNT(Y10:AE10)=0,"",AF10-LOOKUP(2,1/(Y10:AE10&lt;&gt;""),Y10:AE10)))</t>
        </is>
      </c>
      <c r="AR10" s="36" t="inlineStr">
        <is>
          <t>IF(OR(E10="",AG10=""),"",IF(COUNT(Y10:AF10)=0,"",AG10-LOOKUP(2,1/(Y10:AF10&lt;&gt;""),Y10:AF10)))</t>
        </is>
      </c>
      <c r="AS10" s="36" t="inlineStr">
        <is>
          <t>IF(OR(E10="",AH10=""),"",IF(COUNT(Y10:AG10)=0,"",AH10-LOOKUP(2,1/(Y10:AG10&lt;&gt;""),Y10:AG10)))</t>
        </is>
      </c>
      <c r="AT10" s="36" t="inlineStr">
        <is>
          <t>IF(OR(E10="",AI10=""),"",IF(COUNT(Y10:AH10)=0,"",AI10-LOOKUP(2,1/(Y10:AH10&lt;&gt;""),Y10:AH10)))</t>
        </is>
      </c>
      <c r="AU10" s="36" t="inlineStr">
        <is>
          <t>IF(OR(E10="",AJ10=""),"",IF(COUNT(Y10:AI10)=0,"",AJ10-LOOKUP(2,1/(Y10:AI10&lt;&gt;""),Y10:AI10)))</t>
        </is>
      </c>
      <c r="AV10" s="39" t="inlineStr">
        <is>
          <t>IF(G10="","All_Provinces",IFERROR(VLOOKUP(G10,'07_Lookups'!$A$4:$B$20,2,FALSE),"All_Provinces"))</t>
        </is>
      </c>
      <c r="AW10" s="39" t="inlineStr">
        <is>
          <t>IF(H10="","All_Districts",IFERROR(VLOOKUP(H10,'07_Lookups'!$E$4:$F$42,2,FALSE),"All_Districts"))</t>
        </is>
      </c>
    </row>
    <row r="11" ht="18" customHeight="1">
      <c r="A11" s="31" t="inlineStr">
        <is>
          <t>IF(E11="","",ROW()-3)</t>
        </is>
      </c>
      <c r="B11" s="40" t="inlineStr">
        <is>
          <t>AF2-P15-01</t>
        </is>
      </c>
      <c r="C11" s="40" t="inlineStr">
        <is>
          <t>Emergency Food Security Project (EFSP) – WBK/AF-2</t>
        </is>
      </c>
      <c r="D11" s="40" t="inlineStr">
        <is>
          <t>Package #15-AF2 WSM: Construction of 3 Check dams, Daykundi</t>
        </is>
      </c>
      <c r="E11" s="40" t="inlineStr">
        <is>
          <t>Sangmom Check dam</t>
        </is>
      </c>
      <c r="F11" s="40" t="inlineStr">
        <is>
          <t>Check Dam</t>
        </is>
      </c>
      <c r="G11" s="40" t="inlineStr">
        <is>
          <t>Central Highland / Bamyan</t>
        </is>
      </c>
      <c r="H11" s="40" t="inlineStr">
        <is>
          <t>Daykundi</t>
        </is>
      </c>
      <c r="I11" s="40" t="inlineStr">
        <is>
          <t>Nili</t>
        </is>
      </c>
      <c r="J11" s="40" t="inlineStr">
        <is>
          <t>Sangmom</t>
        </is>
      </c>
      <c r="K11" s="40" t="inlineStr">
        <is>
          <t>World Bank (WBK/AF-2)</t>
        </is>
      </c>
      <c r="L11" s="40" t="inlineStr">
        <is>
          <t>TBA</t>
        </is>
      </c>
      <c r="M11" s="40" t="inlineStr">
        <is>
          <t>TBA</t>
        </is>
      </c>
      <c r="N11" s="41" t="n"/>
      <c r="O11" s="34" t="inlineStr">
        <is>
          <t>IF(AE11="","",AE11)</t>
        </is>
      </c>
      <c r="P11" s="42" t="n">
        <v>5</v>
      </c>
      <c r="Q11" s="34" t="inlineStr">
        <is>
          <t>IF(OR(O11="",P11=""),"",EDATE(O11,P11))</t>
        </is>
      </c>
      <c r="R11" s="42" t="n"/>
      <c r="S11" s="40" t="inlineStr">
        <is>
          <t>Awarded</t>
        </is>
      </c>
      <c r="T11" s="40" t="inlineStr">
        <is>
          <t>Source list marked Awarded / ITB</t>
        </is>
      </c>
      <c r="U11" s="31" t="inlineStr">
        <is>
          <t>IF(E11="","",IF(COUNT(Y11:AJ11)=0,IF(S11="","Not started",S11),SUBSTITUTE(LOOKUP(2,1/(Y11:AJ11&lt;&gt;""),$Y$3:$AJ$3),"Date: ","")))</t>
        </is>
      </c>
      <c r="V11" s="36" t="inlineStr">
        <is>
          <t>IF(OR(E11="",COUNT(Y11:AJ11)=0),"",TODAY()-LOOKUP(2,1/(Y11:AJ11&lt;&gt;""),Y11:AJ11))</t>
        </is>
      </c>
      <c r="W11" s="36" t="inlineStr">
        <is>
          <t>IF(OR(E11="",COUNT(Y11:AJ11)&lt;2),"",LOOKUP(2,1/(Y11:AJ11&lt;&gt;""),Y11:AJ11)-MIN(Y11:AJ11))</t>
        </is>
      </c>
      <c r="X11" s="36" t="inlineStr">
        <is>
          <t>IF(OR(V11="",U11="Not started",U11=""),"",IFERROR(V11-IF(VLOOKUP(U11,'04_Status_Pipeline'!$B$3:$E$20,4,FALSE)="",0,VLOOKUP(U11,'04_Status_Pipeline'!$B$3:$E$20,4,FALSE)),""))</t>
        </is>
      </c>
      <c r="Y11" s="43" t="n"/>
      <c r="Z11" s="43" t="n"/>
      <c r="AA11" s="43" t="n"/>
      <c r="AB11" s="43" t="n"/>
      <c r="AC11" s="43" t="n"/>
      <c r="AD11" s="43" t="n"/>
      <c r="AE11" s="43" t="n"/>
      <c r="AF11" s="43" t="n"/>
      <c r="AG11" s="43" t="n"/>
      <c r="AH11" s="38" t="n"/>
      <c r="AI11" s="38" t="n"/>
      <c r="AJ11" s="38" t="n"/>
      <c r="AK11" s="36" t="inlineStr">
        <is>
          <t>IF(OR(E11="",Z11=""),"",IF(COUNT(Y11:Y11)=0,"",Z11-LOOKUP(2,1/(Y11:Y11&lt;&gt;""),Y11:Y11)))</t>
        </is>
      </c>
      <c r="AL11" s="36" t="inlineStr">
        <is>
          <t>IF(OR(E11="",AA11=""),"",IF(COUNT(Y11:Z11)=0,"",AA11-LOOKUP(2,1/(Y11:Z11&lt;&gt;""),Y11:Z11)))</t>
        </is>
      </c>
      <c r="AM11" s="36" t="inlineStr">
        <is>
          <t>IF(OR(E11="",AB11=""),"",IF(COUNT(Y11:AA11)=0,"",AB11-LOOKUP(2,1/(Y11:AA11&lt;&gt;""),Y11:AA11)))</t>
        </is>
      </c>
      <c r="AN11" s="36" t="inlineStr">
        <is>
          <t>IF(OR(E11="",AC11=""),"",IF(COUNT(Y11:AB11)=0,"",AC11-LOOKUP(2,1/(Y11:AB11&lt;&gt;""),Y11:AB11)))</t>
        </is>
      </c>
      <c r="AO11" s="36" t="inlineStr">
        <is>
          <t>IF(OR(E11="",AD11=""),"",IF(COUNT(Y11:AC11)=0,"",AD11-LOOKUP(2,1/(Y11:AC11&lt;&gt;""),Y11:AC11)))</t>
        </is>
      </c>
      <c r="AP11" s="36" t="inlineStr">
        <is>
          <t>IF(OR(E11="",AE11=""),"",IF(COUNT(Y11:AD11)=0,"",AE11-LOOKUP(2,1/(Y11:AD11&lt;&gt;""),Y11:AD11)))</t>
        </is>
      </c>
      <c r="AQ11" s="36" t="inlineStr">
        <is>
          <t>IF(OR(E11="",AF11=""),"",IF(COUNT(Y11:AE11)=0,"",AF11-LOOKUP(2,1/(Y11:AE11&lt;&gt;""),Y11:AE11)))</t>
        </is>
      </c>
      <c r="AR11" s="36" t="inlineStr">
        <is>
          <t>IF(OR(E11="",AG11=""),"",IF(COUNT(Y11:AF11)=0,"",AG11-LOOKUP(2,1/(Y11:AF11&lt;&gt;""),Y11:AF11)))</t>
        </is>
      </c>
      <c r="AS11" s="36" t="inlineStr">
        <is>
          <t>IF(OR(E11="",AH11=""),"",IF(COUNT(Y11:AG11)=0,"",AH11-LOOKUP(2,1/(Y11:AG11&lt;&gt;""),Y11:AG11)))</t>
        </is>
      </c>
      <c r="AT11" s="36" t="inlineStr">
        <is>
          <t>IF(OR(E11="",AI11=""),"",IF(COUNT(Y11:AH11)=0,"",AI11-LOOKUP(2,1/(Y11:AH11&lt;&gt;""),Y11:AH11)))</t>
        </is>
      </c>
      <c r="AU11" s="36" t="inlineStr">
        <is>
          <t>IF(OR(E11="",AJ11=""),"",IF(COUNT(Y11:AI11)=0,"",AJ11-LOOKUP(2,1/(Y11:AI11&lt;&gt;""),Y11:AI11)))</t>
        </is>
      </c>
      <c r="AV11" s="39" t="inlineStr">
        <is>
          <t>IF(G11="","All_Provinces",IFERROR(VLOOKUP(G11,'07_Lookups'!$A$4:$B$20,2,FALSE),"All_Provinces"))</t>
        </is>
      </c>
      <c r="AW11" s="39" t="inlineStr">
        <is>
          <t>IF(H11="","All_Districts",IFERROR(VLOOKUP(H11,'07_Lookups'!$E$4:$F$42,2,FALSE),"All_Districts"))</t>
        </is>
      </c>
    </row>
    <row r="12" ht="18" customHeight="1">
      <c r="A12" s="31" t="inlineStr">
        <is>
          <t>IF(E12="","",ROW()-3)</t>
        </is>
      </c>
      <c r="B12" s="32" t="inlineStr">
        <is>
          <t>AF2-P15-02</t>
        </is>
      </c>
      <c r="C12" s="32" t="inlineStr">
        <is>
          <t>Emergency Food Security Project (EFSP) – WBK/AF-2</t>
        </is>
      </c>
      <c r="D12" s="32" t="inlineStr">
        <is>
          <t>Package #15-AF2 WSM: Construction of 3 Check dams, Daykundi</t>
        </is>
      </c>
      <c r="E12" s="32" t="inlineStr">
        <is>
          <t>Shilan Korga Check dam</t>
        </is>
      </c>
      <c r="F12" s="32" t="inlineStr">
        <is>
          <t>Check Dam</t>
        </is>
      </c>
      <c r="G12" s="32" t="inlineStr">
        <is>
          <t>Central Highland / Bamyan</t>
        </is>
      </c>
      <c r="H12" s="32" t="inlineStr">
        <is>
          <t>Daykundi</t>
        </is>
      </c>
      <c r="I12" s="32" t="inlineStr">
        <is>
          <t>Ashtarlay</t>
        </is>
      </c>
      <c r="J12" s="32" t="inlineStr">
        <is>
          <t>Korga-e Shelan, Naiak-e Shelan</t>
        </is>
      </c>
      <c r="K12" s="32" t="inlineStr">
        <is>
          <t>World Bank (WBK/AF-2)</t>
        </is>
      </c>
      <c r="L12" s="32" t="n"/>
      <c r="M12" s="32" t="n"/>
      <c r="N12" s="33" t="n"/>
      <c r="O12" s="34" t="inlineStr">
        <is>
          <t>IF(AE12="","",AE12)</t>
        </is>
      </c>
      <c r="P12" s="35" t="n">
        <v>5</v>
      </c>
      <c r="Q12" s="34" t="inlineStr">
        <is>
          <t>IF(OR(O12="",P12=""),"",EDATE(O12,P12))</t>
        </is>
      </c>
      <c r="R12" s="35" t="n"/>
      <c r="S12" s="32" t="inlineStr">
        <is>
          <t>Awarded</t>
        </is>
      </c>
      <c r="T12" s="32" t="inlineStr">
        <is>
          <t>Same package as Sangmom</t>
        </is>
      </c>
      <c r="U12" s="31" t="inlineStr">
        <is>
          <t>IF(E12="","",IF(COUNT(Y12:AJ12)=0,IF(S12="","Not started",S12),SUBSTITUTE(LOOKUP(2,1/(Y12:AJ12&lt;&gt;""),$Y$3:$AJ$3),"Date: ","")))</t>
        </is>
      </c>
      <c r="V12" s="36" t="inlineStr">
        <is>
          <t>IF(OR(E12="",COUNT(Y12:AJ12)=0),"",TODAY()-LOOKUP(2,1/(Y12:AJ12&lt;&gt;""),Y12:AJ12))</t>
        </is>
      </c>
      <c r="W12" s="36" t="inlineStr">
        <is>
          <t>IF(OR(E12="",COUNT(Y12:AJ12)&lt;2),"",LOOKUP(2,1/(Y12:AJ12&lt;&gt;""),Y12:AJ12)-MIN(Y12:AJ12))</t>
        </is>
      </c>
      <c r="X12" s="36" t="inlineStr">
        <is>
          <t>IF(OR(V12="",U12="Not started",U12=""),"",IFERROR(V12-IF(VLOOKUP(U12,'04_Status_Pipeline'!$B$3:$E$20,4,FALSE)="",0,VLOOKUP(U12,'04_Status_Pipeline'!$B$3:$E$20,4,FALSE)),""))</t>
        </is>
      </c>
      <c r="Y12" s="37" t="n"/>
      <c r="Z12" s="37" t="n"/>
      <c r="AA12" s="37" t="n"/>
      <c r="AB12" s="37" t="n"/>
      <c r="AC12" s="37" t="n"/>
      <c r="AD12" s="37" t="n"/>
      <c r="AE12" s="37" t="n"/>
      <c r="AF12" s="37" t="n"/>
      <c r="AG12" s="37" t="n"/>
      <c r="AH12" s="38" t="n"/>
      <c r="AI12" s="38" t="n"/>
      <c r="AJ12" s="38" t="n"/>
      <c r="AK12" s="36" t="inlineStr">
        <is>
          <t>IF(OR(E12="",Z12=""),"",IF(COUNT(Y12:Y12)=0,"",Z12-LOOKUP(2,1/(Y12:Y12&lt;&gt;""),Y12:Y12)))</t>
        </is>
      </c>
      <c r="AL12" s="36" t="inlineStr">
        <is>
          <t>IF(OR(E12="",AA12=""),"",IF(COUNT(Y12:Z12)=0,"",AA12-LOOKUP(2,1/(Y12:Z12&lt;&gt;""),Y12:Z12)))</t>
        </is>
      </c>
      <c r="AM12" s="36" t="inlineStr">
        <is>
          <t>IF(OR(E12="",AB12=""),"",IF(COUNT(Y12:AA12)=0,"",AB12-LOOKUP(2,1/(Y12:AA12&lt;&gt;""),Y12:AA12)))</t>
        </is>
      </c>
      <c r="AN12" s="36" t="inlineStr">
        <is>
          <t>IF(OR(E12="",AC12=""),"",IF(COUNT(Y12:AB12)=0,"",AC12-LOOKUP(2,1/(Y12:AB12&lt;&gt;""),Y12:AB12)))</t>
        </is>
      </c>
      <c r="AO12" s="36" t="inlineStr">
        <is>
          <t>IF(OR(E12="",AD12=""),"",IF(COUNT(Y12:AC12)=0,"",AD12-LOOKUP(2,1/(Y12:AC12&lt;&gt;""),Y12:AC12)))</t>
        </is>
      </c>
      <c r="AP12" s="36" t="inlineStr">
        <is>
          <t>IF(OR(E12="",AE12=""),"",IF(COUNT(Y12:AD12)=0,"",AE12-LOOKUP(2,1/(Y12:AD12&lt;&gt;""),Y12:AD12)))</t>
        </is>
      </c>
      <c r="AQ12" s="36" t="inlineStr">
        <is>
          <t>IF(OR(E12="",AF12=""),"",IF(COUNT(Y12:AE12)=0,"",AF12-LOOKUP(2,1/(Y12:AE12&lt;&gt;""),Y12:AE12)))</t>
        </is>
      </c>
      <c r="AR12" s="36" t="inlineStr">
        <is>
          <t>IF(OR(E12="",AG12=""),"",IF(COUNT(Y12:AF12)=0,"",AG12-LOOKUP(2,1/(Y12:AF12&lt;&gt;""),Y12:AF12)))</t>
        </is>
      </c>
      <c r="AS12" s="36" t="inlineStr">
        <is>
          <t>IF(OR(E12="",AH12=""),"",IF(COUNT(Y12:AG12)=0,"",AH12-LOOKUP(2,1/(Y12:AG12&lt;&gt;""),Y12:AG12)))</t>
        </is>
      </c>
      <c r="AT12" s="36" t="inlineStr">
        <is>
          <t>IF(OR(E12="",AI12=""),"",IF(COUNT(Y12:AH12)=0,"",AI12-LOOKUP(2,1/(Y12:AH12&lt;&gt;""),Y12:AH12)))</t>
        </is>
      </c>
      <c r="AU12" s="36" t="inlineStr">
        <is>
          <t>IF(OR(E12="",AJ12=""),"",IF(COUNT(Y12:AI12)=0,"",AJ12-LOOKUP(2,1/(Y12:AI12&lt;&gt;""),Y12:AI12)))</t>
        </is>
      </c>
      <c r="AV12" s="39" t="inlineStr">
        <is>
          <t>IF(G12="","All_Provinces",IFERROR(VLOOKUP(G12,'07_Lookups'!$A$4:$B$20,2,FALSE),"All_Provinces"))</t>
        </is>
      </c>
      <c r="AW12" s="39" t="inlineStr">
        <is>
          <t>IF(H12="","All_Districts",IFERROR(VLOOKUP(H12,'07_Lookups'!$E$4:$F$42,2,FALSE),"All_Districts"))</t>
        </is>
      </c>
    </row>
    <row r="13" ht="18" customHeight="1">
      <c r="A13" s="31" t="inlineStr">
        <is>
          <t>IF(E13="","",ROW()-3)</t>
        </is>
      </c>
      <c r="B13" s="40" t="inlineStr">
        <is>
          <t>AF2-P15-03</t>
        </is>
      </c>
      <c r="C13" s="40" t="inlineStr">
        <is>
          <t>Emergency Food Security Project (EFSP) – WBK/AF-2</t>
        </is>
      </c>
      <c r="D13" s="40" t="inlineStr">
        <is>
          <t>Package #15-AF2 WSM: Construction of 3 Check dams, Daykundi</t>
        </is>
      </c>
      <c r="E13" s="40" t="inlineStr">
        <is>
          <t>Khulbarg Check dam</t>
        </is>
      </c>
      <c r="F13" s="40" t="inlineStr">
        <is>
          <t>Check Dam</t>
        </is>
      </c>
      <c r="G13" s="40" t="inlineStr">
        <is>
          <t>Central Highland / Bamyan</t>
        </is>
      </c>
      <c r="H13" s="40" t="inlineStr">
        <is>
          <t>Daykundi</t>
        </is>
      </c>
      <c r="I13" s="40" t="inlineStr">
        <is>
          <t>Sang Takht wa Bandar</t>
        </is>
      </c>
      <c r="J13" s="40" t="inlineStr">
        <is>
          <t>Shamshir Sang, Dughur Ulya &amp; Sufla</t>
        </is>
      </c>
      <c r="K13" s="40" t="inlineStr">
        <is>
          <t>World Bank (WBK/AF-2)</t>
        </is>
      </c>
      <c r="L13" s="40" t="n"/>
      <c r="M13" s="40" t="n"/>
      <c r="N13" s="41" t="n"/>
      <c r="O13" s="34" t="inlineStr">
        <is>
          <t>IF(AE13="","",AE13)</t>
        </is>
      </c>
      <c r="P13" s="42" t="n">
        <v>5</v>
      </c>
      <c r="Q13" s="34" t="inlineStr">
        <is>
          <t>IF(OR(O13="",P13=""),"",EDATE(O13,P13))</t>
        </is>
      </c>
      <c r="R13" s="42" t="n"/>
      <c r="S13" s="40" t="inlineStr">
        <is>
          <t>Awarded</t>
        </is>
      </c>
      <c r="T13" s="40" t="inlineStr">
        <is>
          <t>Same package as Sangmom</t>
        </is>
      </c>
      <c r="U13" s="31" t="inlineStr">
        <is>
          <t>IF(E13="","",IF(COUNT(Y13:AJ13)=0,IF(S13="","Not started",S13),SUBSTITUTE(LOOKUP(2,1/(Y13:AJ13&lt;&gt;""),$Y$3:$AJ$3),"Date: ","")))</t>
        </is>
      </c>
      <c r="V13" s="36" t="inlineStr">
        <is>
          <t>IF(OR(E13="",COUNT(Y13:AJ13)=0),"",TODAY()-LOOKUP(2,1/(Y13:AJ13&lt;&gt;""),Y13:AJ13))</t>
        </is>
      </c>
      <c r="W13" s="36" t="inlineStr">
        <is>
          <t>IF(OR(E13="",COUNT(Y13:AJ13)&lt;2),"",LOOKUP(2,1/(Y13:AJ13&lt;&gt;""),Y13:AJ13)-MIN(Y13:AJ13))</t>
        </is>
      </c>
      <c r="X13" s="36" t="inlineStr">
        <is>
          <t>IF(OR(V13="",U13="Not started",U13=""),"",IFERROR(V13-IF(VLOOKUP(U13,'04_Status_Pipeline'!$B$3:$E$20,4,FALSE)="",0,VLOOKUP(U13,'04_Status_Pipeline'!$B$3:$E$20,4,FALSE)),""))</t>
        </is>
      </c>
      <c r="Y13" s="43" t="n"/>
      <c r="Z13" s="43" t="n"/>
      <c r="AA13" s="43" t="n"/>
      <c r="AB13" s="43" t="n"/>
      <c r="AC13" s="43" t="n"/>
      <c r="AD13" s="43" t="n"/>
      <c r="AE13" s="43" t="n"/>
      <c r="AF13" s="43" t="n"/>
      <c r="AG13" s="43" t="n"/>
      <c r="AH13" s="38" t="n"/>
      <c r="AI13" s="38" t="n"/>
      <c r="AJ13" s="38" t="n"/>
      <c r="AK13" s="36" t="inlineStr">
        <is>
          <t>IF(OR(E13="",Z13=""),"",IF(COUNT(Y13:Y13)=0,"",Z13-LOOKUP(2,1/(Y13:Y13&lt;&gt;""),Y13:Y13)))</t>
        </is>
      </c>
      <c r="AL13" s="36" t="inlineStr">
        <is>
          <t>IF(OR(E13="",AA13=""),"",IF(COUNT(Y13:Z13)=0,"",AA13-LOOKUP(2,1/(Y13:Z13&lt;&gt;""),Y13:Z13)))</t>
        </is>
      </c>
      <c r="AM13" s="36" t="inlineStr">
        <is>
          <t>IF(OR(E13="",AB13=""),"",IF(COUNT(Y13:AA13)=0,"",AB13-LOOKUP(2,1/(Y13:AA13&lt;&gt;""),Y13:AA13)))</t>
        </is>
      </c>
      <c r="AN13" s="36" t="inlineStr">
        <is>
          <t>IF(OR(E13="",AC13=""),"",IF(COUNT(Y13:AB13)=0,"",AC13-LOOKUP(2,1/(Y13:AB13&lt;&gt;""),Y13:AB13)))</t>
        </is>
      </c>
      <c r="AO13" s="36" t="inlineStr">
        <is>
          <t>IF(OR(E13="",AD13=""),"",IF(COUNT(Y13:AC13)=0,"",AD13-LOOKUP(2,1/(Y13:AC13&lt;&gt;""),Y13:AC13)))</t>
        </is>
      </c>
      <c r="AP13" s="36" t="inlineStr">
        <is>
          <t>IF(OR(E13="",AE13=""),"",IF(COUNT(Y13:AD13)=0,"",AE13-LOOKUP(2,1/(Y13:AD13&lt;&gt;""),Y13:AD13)))</t>
        </is>
      </c>
      <c r="AQ13" s="36" t="inlineStr">
        <is>
          <t>IF(OR(E13="",AF13=""),"",IF(COUNT(Y13:AE13)=0,"",AF13-LOOKUP(2,1/(Y13:AE13&lt;&gt;""),Y13:AE13)))</t>
        </is>
      </c>
      <c r="AR13" s="36" t="inlineStr">
        <is>
          <t>IF(OR(E13="",AG13=""),"",IF(COUNT(Y13:AF13)=0,"",AG13-LOOKUP(2,1/(Y13:AF13&lt;&gt;""),Y13:AF13)))</t>
        </is>
      </c>
      <c r="AS13" s="36" t="inlineStr">
        <is>
          <t>IF(OR(E13="",AH13=""),"",IF(COUNT(Y13:AG13)=0,"",AH13-LOOKUP(2,1/(Y13:AG13&lt;&gt;""),Y13:AG13)))</t>
        </is>
      </c>
      <c r="AT13" s="36" t="inlineStr">
        <is>
          <t>IF(OR(E13="",AI13=""),"",IF(COUNT(Y13:AH13)=0,"",AI13-LOOKUP(2,1/(Y13:AH13&lt;&gt;""),Y13:AH13)))</t>
        </is>
      </c>
      <c r="AU13" s="36" t="inlineStr">
        <is>
          <t>IF(OR(E13="",AJ13=""),"",IF(COUNT(Y13:AI13)=0,"",AJ13-LOOKUP(2,1/(Y13:AI13&lt;&gt;""),Y13:AI13)))</t>
        </is>
      </c>
      <c r="AV13" s="39" t="inlineStr">
        <is>
          <t>IF(G13="","All_Provinces",IFERROR(VLOOKUP(G13,'07_Lookups'!$A$4:$B$20,2,FALSE),"All_Provinces"))</t>
        </is>
      </c>
      <c r="AW13" s="39" t="inlineStr">
        <is>
          <t>IF(H13="","All_Districts",IFERROR(VLOOKUP(H13,'07_Lookups'!$E$4:$F$42,2,FALSE),"All_Districts"))</t>
        </is>
      </c>
    </row>
    <row r="14" ht="18" customHeight="1">
      <c r="A14" s="31" t="inlineStr">
        <is>
          <t>IF(E14="","",ROW()-3)</t>
        </is>
      </c>
      <c r="B14" s="32" t="inlineStr">
        <is>
          <t>AF2-P17-01</t>
        </is>
      </c>
      <c r="C14" s="32" t="inlineStr">
        <is>
          <t>Emergency Food Security Project (EFSP) – WBK/AF-2</t>
        </is>
      </c>
      <c r="D14" s="32" t="inlineStr">
        <is>
          <t>Package #17-AF2 WSM: Construction of Ghoriza Check dams, Sayed Karam, Paktya</t>
        </is>
      </c>
      <c r="E14" s="32" t="inlineStr">
        <is>
          <t>Ghawreza Check dam</t>
        </is>
      </c>
      <c r="F14" s="32" t="inlineStr">
        <is>
          <t>Check Dam</t>
        </is>
      </c>
      <c r="G14" s="32" t="inlineStr">
        <is>
          <t>Southeast / Gardez</t>
        </is>
      </c>
      <c r="H14" s="32" t="inlineStr">
        <is>
          <t>Paktya</t>
        </is>
      </c>
      <c r="I14" s="32" t="inlineStr">
        <is>
          <t>Sayed Karam</t>
        </is>
      </c>
      <c r="J14" s="32" t="inlineStr">
        <is>
          <t>Bara Ghoriza</t>
        </is>
      </c>
      <c r="K14" s="32" t="inlineStr">
        <is>
          <t>World Bank (WBK/AF-2)</t>
        </is>
      </c>
      <c r="L14" s="32" t="inlineStr">
        <is>
          <t>TBA</t>
        </is>
      </c>
      <c r="M14" s="32" t="inlineStr">
        <is>
          <t>TBA</t>
        </is>
      </c>
      <c r="N14" s="33" t="n">
        <v>86330</v>
      </c>
      <c r="O14" s="34" t="inlineStr">
        <is>
          <t>IF(AE14="","",AE14)</t>
        </is>
      </c>
      <c r="P14" s="35" t="n"/>
      <c r="Q14" s="34" t="inlineStr">
        <is>
          <t>IF(OR(O14="",P14=""),"",EDATE(O14,P14))</t>
        </is>
      </c>
      <c r="R14" s="35" t="n"/>
      <c r="S14" s="32" t="inlineStr">
        <is>
          <t>Under Review of WRI</t>
        </is>
      </c>
      <c r="T14" s="32" t="inlineStr">
        <is>
          <t>Source list marked PR</t>
        </is>
      </c>
      <c r="U14" s="31" t="inlineStr">
        <is>
          <t>IF(E14="","",IF(COUNT(Y14:AJ14)=0,IF(S14="","Not started",S14),SUBSTITUTE(LOOKUP(2,1/(Y14:AJ14&lt;&gt;""),$Y$3:$AJ$3),"Date: ","")))</t>
        </is>
      </c>
      <c r="V14" s="36" t="inlineStr">
        <is>
          <t>IF(OR(E14="",COUNT(Y14:AJ14)=0),"",TODAY()-LOOKUP(2,1/(Y14:AJ14&lt;&gt;""),Y14:AJ14))</t>
        </is>
      </c>
      <c r="W14" s="36" t="inlineStr">
        <is>
          <t>IF(OR(E14="",COUNT(Y14:AJ14)&lt;2),"",LOOKUP(2,1/(Y14:AJ14&lt;&gt;""),Y14:AJ14)-MIN(Y14:AJ14))</t>
        </is>
      </c>
      <c r="X14" s="36" t="inlineStr">
        <is>
          <t>IF(OR(V14="",U14="Not started",U14=""),"",IFERROR(V14-IF(VLOOKUP(U14,'04_Status_Pipeline'!$B$3:$E$20,4,FALSE)="",0,VLOOKUP(U14,'04_Status_Pipeline'!$B$3:$E$20,4,FALSE)),""))</t>
        </is>
      </c>
      <c r="Y14" s="37" t="n"/>
      <c r="Z14" s="37" t="n"/>
      <c r="AA14" s="37" t="n"/>
      <c r="AB14" s="37" t="n"/>
      <c r="AC14" s="37" t="n"/>
      <c r="AD14" s="37" t="n"/>
      <c r="AE14" s="37" t="n"/>
      <c r="AF14" s="37" t="n"/>
      <c r="AG14" s="37" t="n"/>
      <c r="AH14" s="38" t="n"/>
      <c r="AI14" s="38" t="n"/>
      <c r="AJ14" s="38" t="n"/>
      <c r="AK14" s="36" t="inlineStr">
        <is>
          <t>IF(OR(E14="",Z14=""),"",IF(COUNT(Y14:Y14)=0,"",Z14-LOOKUP(2,1/(Y14:Y14&lt;&gt;""),Y14:Y14)))</t>
        </is>
      </c>
      <c r="AL14" s="36" t="inlineStr">
        <is>
          <t>IF(OR(E14="",AA14=""),"",IF(COUNT(Y14:Z14)=0,"",AA14-LOOKUP(2,1/(Y14:Z14&lt;&gt;""),Y14:Z14)))</t>
        </is>
      </c>
      <c r="AM14" s="36" t="inlineStr">
        <is>
          <t>IF(OR(E14="",AB14=""),"",IF(COUNT(Y14:AA14)=0,"",AB14-LOOKUP(2,1/(Y14:AA14&lt;&gt;""),Y14:AA14)))</t>
        </is>
      </c>
      <c r="AN14" s="36" t="inlineStr">
        <is>
          <t>IF(OR(E14="",AC14=""),"",IF(COUNT(Y14:AB14)=0,"",AC14-LOOKUP(2,1/(Y14:AB14&lt;&gt;""),Y14:AB14)))</t>
        </is>
      </c>
      <c r="AO14" s="36" t="inlineStr">
        <is>
          <t>IF(OR(E14="",AD14=""),"",IF(COUNT(Y14:AC14)=0,"",AD14-LOOKUP(2,1/(Y14:AC14&lt;&gt;""),Y14:AC14)))</t>
        </is>
      </c>
      <c r="AP14" s="36" t="inlineStr">
        <is>
          <t>IF(OR(E14="",AE14=""),"",IF(COUNT(Y14:AD14)=0,"",AE14-LOOKUP(2,1/(Y14:AD14&lt;&gt;""),Y14:AD14)))</t>
        </is>
      </c>
      <c r="AQ14" s="36" t="inlineStr">
        <is>
          <t>IF(OR(E14="",AF14=""),"",IF(COUNT(Y14:AE14)=0,"",AF14-LOOKUP(2,1/(Y14:AE14&lt;&gt;""),Y14:AE14)))</t>
        </is>
      </c>
      <c r="AR14" s="36" t="inlineStr">
        <is>
          <t>IF(OR(E14="",AG14=""),"",IF(COUNT(Y14:AF14)=0,"",AG14-LOOKUP(2,1/(Y14:AF14&lt;&gt;""),Y14:AF14)))</t>
        </is>
      </c>
      <c r="AS14" s="36" t="inlineStr">
        <is>
          <t>IF(OR(E14="",AH14=""),"",IF(COUNT(Y14:AG14)=0,"",AH14-LOOKUP(2,1/(Y14:AG14&lt;&gt;""),Y14:AG14)))</t>
        </is>
      </c>
      <c r="AT14" s="36" t="inlineStr">
        <is>
          <t>IF(OR(E14="",AI14=""),"",IF(COUNT(Y14:AH14)=0,"",AI14-LOOKUP(2,1/(Y14:AH14&lt;&gt;""),Y14:AH14)))</t>
        </is>
      </c>
      <c r="AU14" s="36" t="inlineStr">
        <is>
          <t>IF(OR(E14="",AJ14=""),"",IF(COUNT(Y14:AI14)=0,"",AJ14-LOOKUP(2,1/(Y14:AI14&lt;&gt;""),Y14:AI14)))</t>
        </is>
      </c>
      <c r="AV14" s="39" t="inlineStr">
        <is>
          <t>IF(G14="","All_Provinces",IFERROR(VLOOKUP(G14,'07_Lookups'!$A$4:$B$20,2,FALSE),"All_Provinces"))</t>
        </is>
      </c>
      <c r="AW14" s="39" t="inlineStr">
        <is>
          <t>IF(H14="","All_Districts",IFERROR(VLOOKUP(H14,'07_Lookups'!$E$4:$F$42,2,FALSE),"All_Districts"))</t>
        </is>
      </c>
    </row>
    <row r="15" ht="18" customHeight="1">
      <c r="A15" s="31" t="inlineStr">
        <is>
          <t>IF(E15="","",ROW()-3)</t>
        </is>
      </c>
      <c r="B15" s="40" t="inlineStr">
        <is>
          <t>AF2-P19-01</t>
        </is>
      </c>
      <c r="C15" s="40" t="inlineStr">
        <is>
          <t>Emergency Food Security Project (EFSP) – WBK/AF-2</t>
        </is>
      </c>
      <c r="D15" s="40" t="inlineStr">
        <is>
          <t>Package #19-AF2 WSM: Construction of two Check dams, Zazai Maidan, Khost</t>
        </is>
      </c>
      <c r="E15" s="40" t="inlineStr">
        <is>
          <t>Wozgarai and Chenargai Check dams</t>
        </is>
      </c>
      <c r="F15" s="40" t="inlineStr">
        <is>
          <t>Check Dam</t>
        </is>
      </c>
      <c r="G15" s="40" t="inlineStr">
        <is>
          <t>Southeast / Gardez</t>
        </is>
      </c>
      <c r="H15" s="40" t="inlineStr">
        <is>
          <t>Khost</t>
        </is>
      </c>
      <c r="I15" s="40" t="inlineStr">
        <is>
          <t>Zazai Maidan</t>
        </is>
      </c>
      <c r="J15" s="40" t="inlineStr">
        <is>
          <t>Wozgarai, Majbor Abad and Chenargai</t>
        </is>
      </c>
      <c r="K15" s="40" t="inlineStr">
        <is>
          <t>World Bank (WBK/AF-2)</t>
        </is>
      </c>
      <c r="L15" s="40" t="inlineStr">
        <is>
          <t>TBA</t>
        </is>
      </c>
      <c r="M15" s="40" t="inlineStr">
        <is>
          <t>TBA</t>
        </is>
      </c>
      <c r="N15" s="41" t="n">
        <v>85716</v>
      </c>
      <c r="O15" s="34" t="inlineStr">
        <is>
          <t>IF(AE15="","",AE15)</t>
        </is>
      </c>
      <c r="P15" s="42" t="n">
        <v>5</v>
      </c>
      <c r="Q15" s="34" t="inlineStr">
        <is>
          <t>IF(OR(O15="",P15=""),"",EDATE(O15,P15))</t>
        </is>
      </c>
      <c r="R15" s="42" t="n"/>
      <c r="S15" s="40" t="inlineStr">
        <is>
          <t>Under Technical Evaluation</t>
        </is>
      </c>
      <c r="T15" s="40" t="inlineStr">
        <is>
          <t>Source list: TE Completed / Procurement</t>
        </is>
      </c>
      <c r="U15" s="31" t="inlineStr">
        <is>
          <t>IF(E15="","",IF(COUNT(Y15:AJ15)=0,IF(S15="","Not started",S15),SUBSTITUTE(LOOKUP(2,1/(Y15:AJ15&lt;&gt;""),$Y$3:$AJ$3),"Date: ","")))</t>
        </is>
      </c>
      <c r="V15" s="36" t="inlineStr">
        <is>
          <t>IF(OR(E15="",COUNT(Y15:AJ15)=0),"",TODAY()-LOOKUP(2,1/(Y15:AJ15&lt;&gt;""),Y15:AJ15))</t>
        </is>
      </c>
      <c r="W15" s="36" t="inlineStr">
        <is>
          <t>IF(OR(E15="",COUNT(Y15:AJ15)&lt;2),"",LOOKUP(2,1/(Y15:AJ15&lt;&gt;""),Y15:AJ15)-MIN(Y15:AJ15))</t>
        </is>
      </c>
      <c r="X15" s="36" t="inlineStr">
        <is>
          <t>IF(OR(V15="",U15="Not started",U15=""),"",IFERROR(V15-IF(VLOOKUP(U15,'04_Status_Pipeline'!$B$3:$E$20,4,FALSE)="",0,VLOOKUP(U15,'04_Status_Pipeline'!$B$3:$E$20,4,FALSE)),""))</t>
        </is>
      </c>
      <c r="Y15" s="43" t="n"/>
      <c r="Z15" s="43" t="n"/>
      <c r="AA15" s="43" t="n"/>
      <c r="AB15" s="43" t="n"/>
      <c r="AC15" s="43" t="n"/>
      <c r="AD15" s="43" t="n"/>
      <c r="AE15" s="43" t="n"/>
      <c r="AF15" s="43" t="n"/>
      <c r="AG15" s="43" t="n"/>
      <c r="AH15" s="38" t="n"/>
      <c r="AI15" s="38" t="n"/>
      <c r="AJ15" s="38" t="n"/>
      <c r="AK15" s="36" t="inlineStr">
        <is>
          <t>IF(OR(E15="",Z15=""),"",IF(COUNT(Y15:Y15)=0,"",Z15-LOOKUP(2,1/(Y15:Y15&lt;&gt;""),Y15:Y15)))</t>
        </is>
      </c>
      <c r="AL15" s="36" t="inlineStr">
        <is>
          <t>IF(OR(E15="",AA15=""),"",IF(COUNT(Y15:Z15)=0,"",AA15-LOOKUP(2,1/(Y15:Z15&lt;&gt;""),Y15:Z15)))</t>
        </is>
      </c>
      <c r="AM15" s="36" t="inlineStr">
        <is>
          <t>IF(OR(E15="",AB15=""),"",IF(COUNT(Y15:AA15)=0,"",AB15-LOOKUP(2,1/(Y15:AA15&lt;&gt;""),Y15:AA15)))</t>
        </is>
      </c>
      <c r="AN15" s="36" t="inlineStr">
        <is>
          <t>IF(OR(E15="",AC15=""),"",IF(COUNT(Y15:AB15)=0,"",AC15-LOOKUP(2,1/(Y15:AB15&lt;&gt;""),Y15:AB15)))</t>
        </is>
      </c>
      <c r="AO15" s="36" t="inlineStr">
        <is>
          <t>IF(OR(E15="",AD15=""),"",IF(COUNT(Y15:AC15)=0,"",AD15-LOOKUP(2,1/(Y15:AC15&lt;&gt;""),Y15:AC15)))</t>
        </is>
      </c>
      <c r="AP15" s="36" t="inlineStr">
        <is>
          <t>IF(OR(E15="",AE15=""),"",IF(COUNT(Y15:AD15)=0,"",AE15-LOOKUP(2,1/(Y15:AD15&lt;&gt;""),Y15:AD15)))</t>
        </is>
      </c>
      <c r="AQ15" s="36" t="inlineStr">
        <is>
          <t>IF(OR(E15="",AF15=""),"",IF(COUNT(Y15:AE15)=0,"",AF15-LOOKUP(2,1/(Y15:AE15&lt;&gt;""),Y15:AE15)))</t>
        </is>
      </c>
      <c r="AR15" s="36" t="inlineStr">
        <is>
          <t>IF(OR(E15="",AG15=""),"",IF(COUNT(Y15:AF15)=0,"",AG15-LOOKUP(2,1/(Y15:AF15&lt;&gt;""),Y15:AF15)))</t>
        </is>
      </c>
      <c r="AS15" s="36" t="inlineStr">
        <is>
          <t>IF(OR(E15="",AH15=""),"",IF(COUNT(Y15:AG15)=0,"",AH15-LOOKUP(2,1/(Y15:AG15&lt;&gt;""),Y15:AG15)))</t>
        </is>
      </c>
      <c r="AT15" s="36" t="inlineStr">
        <is>
          <t>IF(OR(E15="",AI15=""),"",IF(COUNT(Y15:AH15)=0,"",AI15-LOOKUP(2,1/(Y15:AH15&lt;&gt;""),Y15:AH15)))</t>
        </is>
      </c>
      <c r="AU15" s="36" t="inlineStr">
        <is>
          <t>IF(OR(E15="",AJ15=""),"",IF(COUNT(Y15:AI15)=0,"",AJ15-LOOKUP(2,1/(Y15:AI15&lt;&gt;""),Y15:AI15)))</t>
        </is>
      </c>
      <c r="AV15" s="39" t="inlineStr">
        <is>
          <t>IF(G15="","All_Provinces",IFERROR(VLOOKUP(G15,'07_Lookups'!$A$4:$B$20,2,FALSE),"All_Provinces"))</t>
        </is>
      </c>
      <c r="AW15" s="39" t="inlineStr">
        <is>
          <t>IF(H15="","All_Districts",IFERROR(VLOOKUP(H15,'07_Lookups'!$E$4:$F$42,2,FALSE),"All_Districts"))</t>
        </is>
      </c>
    </row>
    <row r="16" ht="18" customHeight="1">
      <c r="A16" s="31" t="inlineStr">
        <is>
          <t>IF(E16="","",ROW()-3)</t>
        </is>
      </c>
      <c r="B16" s="32" t="inlineStr">
        <is>
          <t>AF2-P20-01</t>
        </is>
      </c>
      <c r="C16" s="32" t="inlineStr">
        <is>
          <t>Emergency Food Security Project (EFSP) – WBK/AF-2</t>
        </is>
      </c>
      <c r="D16" s="32" t="inlineStr">
        <is>
          <t>Package #20-AF2 WSM: Construction of Sapari Check dam, Sarubi, Paktika</t>
        </is>
      </c>
      <c r="E16" s="32" t="inlineStr">
        <is>
          <t>Sapari Check dam</t>
        </is>
      </c>
      <c r="F16" s="32" t="inlineStr">
        <is>
          <t>Check Dam</t>
        </is>
      </c>
      <c r="G16" s="32" t="inlineStr">
        <is>
          <t>Southeast / Gardez</t>
        </is>
      </c>
      <c r="H16" s="32" t="inlineStr">
        <is>
          <t>Paktika</t>
        </is>
      </c>
      <c r="I16" s="32" t="inlineStr">
        <is>
          <t>Sarubi</t>
        </is>
      </c>
      <c r="J16" s="32" t="inlineStr">
        <is>
          <t>Abas Khil</t>
        </is>
      </c>
      <c r="K16" s="32" t="inlineStr">
        <is>
          <t>World Bank (WBK/AF-2)</t>
        </is>
      </c>
      <c r="L16" s="32" t="inlineStr">
        <is>
          <t>TBA</t>
        </is>
      </c>
      <c r="M16" s="32" t="inlineStr">
        <is>
          <t>TBA</t>
        </is>
      </c>
      <c r="N16" s="33" t="n">
        <v>84683</v>
      </c>
      <c r="O16" s="34" t="inlineStr">
        <is>
          <t>IF(AE16="","",AE16)</t>
        </is>
      </c>
      <c r="P16" s="35" t="n"/>
      <c r="Q16" s="34" t="inlineStr">
        <is>
          <t>IF(OR(O16="",P16=""),"",EDATE(O16,P16))</t>
        </is>
      </c>
      <c r="R16" s="35" t="n"/>
      <c r="S16" s="32" t="inlineStr">
        <is>
          <t>Under Review of WRI</t>
        </is>
      </c>
      <c r="T16" s="32" t="inlineStr">
        <is>
          <t>Source list marked PR</t>
        </is>
      </c>
      <c r="U16" s="31" t="inlineStr">
        <is>
          <t>IF(E16="","",IF(COUNT(Y16:AJ16)=0,IF(S16="","Not started",S16),SUBSTITUTE(LOOKUP(2,1/(Y16:AJ16&lt;&gt;""),$Y$3:$AJ$3),"Date: ","")))</t>
        </is>
      </c>
      <c r="V16" s="36" t="inlineStr">
        <is>
          <t>IF(OR(E16="",COUNT(Y16:AJ16)=0),"",TODAY()-LOOKUP(2,1/(Y16:AJ16&lt;&gt;""),Y16:AJ16))</t>
        </is>
      </c>
      <c r="W16" s="36" t="inlineStr">
        <is>
          <t>IF(OR(E16="",COUNT(Y16:AJ16)&lt;2),"",LOOKUP(2,1/(Y16:AJ16&lt;&gt;""),Y16:AJ16)-MIN(Y16:AJ16))</t>
        </is>
      </c>
      <c r="X16" s="36" t="inlineStr">
        <is>
          <t>IF(OR(V16="",U16="Not started",U16=""),"",IFERROR(V16-IF(VLOOKUP(U16,'04_Status_Pipeline'!$B$3:$E$20,4,FALSE)="",0,VLOOKUP(U16,'04_Status_Pipeline'!$B$3:$E$20,4,FALSE)),""))</t>
        </is>
      </c>
      <c r="Y16" s="37" t="n"/>
      <c r="Z16" s="37" t="n"/>
      <c r="AA16" s="37" t="n"/>
      <c r="AB16" s="37" t="n"/>
      <c r="AC16" s="37" t="n"/>
      <c r="AD16" s="37" t="n"/>
      <c r="AE16" s="37" t="n"/>
      <c r="AF16" s="37" t="n"/>
      <c r="AG16" s="37" t="n"/>
      <c r="AH16" s="38" t="n"/>
      <c r="AI16" s="38" t="n"/>
      <c r="AJ16" s="38" t="n"/>
      <c r="AK16" s="36" t="inlineStr">
        <is>
          <t>IF(OR(E16="",Z16=""),"",IF(COUNT(Y16:Y16)=0,"",Z16-LOOKUP(2,1/(Y16:Y16&lt;&gt;""),Y16:Y16)))</t>
        </is>
      </c>
      <c r="AL16" s="36" t="inlineStr">
        <is>
          <t>IF(OR(E16="",AA16=""),"",IF(COUNT(Y16:Z16)=0,"",AA16-LOOKUP(2,1/(Y16:Z16&lt;&gt;""),Y16:Z16)))</t>
        </is>
      </c>
      <c r="AM16" s="36" t="inlineStr">
        <is>
          <t>IF(OR(E16="",AB16=""),"",IF(COUNT(Y16:AA16)=0,"",AB16-LOOKUP(2,1/(Y16:AA16&lt;&gt;""),Y16:AA16)))</t>
        </is>
      </c>
      <c r="AN16" s="36" t="inlineStr">
        <is>
          <t>IF(OR(E16="",AC16=""),"",IF(COUNT(Y16:AB16)=0,"",AC16-LOOKUP(2,1/(Y16:AB16&lt;&gt;""),Y16:AB16)))</t>
        </is>
      </c>
      <c r="AO16" s="36" t="inlineStr">
        <is>
          <t>IF(OR(E16="",AD16=""),"",IF(COUNT(Y16:AC16)=0,"",AD16-LOOKUP(2,1/(Y16:AC16&lt;&gt;""),Y16:AC16)))</t>
        </is>
      </c>
      <c r="AP16" s="36" t="inlineStr">
        <is>
          <t>IF(OR(E16="",AE16=""),"",IF(COUNT(Y16:AD16)=0,"",AE16-LOOKUP(2,1/(Y16:AD16&lt;&gt;""),Y16:AD16)))</t>
        </is>
      </c>
      <c r="AQ16" s="36" t="inlineStr">
        <is>
          <t>IF(OR(E16="",AF16=""),"",IF(COUNT(Y16:AE16)=0,"",AF16-LOOKUP(2,1/(Y16:AE16&lt;&gt;""),Y16:AE16)))</t>
        </is>
      </c>
      <c r="AR16" s="36" t="inlineStr">
        <is>
          <t>IF(OR(E16="",AG16=""),"",IF(COUNT(Y16:AF16)=0,"",AG16-LOOKUP(2,1/(Y16:AF16&lt;&gt;""),Y16:AF16)))</t>
        </is>
      </c>
      <c r="AS16" s="36" t="inlineStr">
        <is>
          <t>IF(OR(E16="",AH16=""),"",IF(COUNT(Y16:AG16)=0,"",AH16-LOOKUP(2,1/(Y16:AG16&lt;&gt;""),Y16:AG16)))</t>
        </is>
      </c>
      <c r="AT16" s="36" t="inlineStr">
        <is>
          <t>IF(OR(E16="",AI16=""),"",IF(COUNT(Y16:AH16)=0,"",AI16-LOOKUP(2,1/(Y16:AH16&lt;&gt;""),Y16:AH16)))</t>
        </is>
      </c>
      <c r="AU16" s="36" t="inlineStr">
        <is>
          <t>IF(OR(E16="",AJ16=""),"",IF(COUNT(Y16:AI16)=0,"",AJ16-LOOKUP(2,1/(Y16:AI16&lt;&gt;""),Y16:AI16)))</t>
        </is>
      </c>
      <c r="AV16" s="39" t="inlineStr">
        <is>
          <t>IF(G16="","All_Provinces",IFERROR(VLOOKUP(G16,'07_Lookups'!$A$4:$B$20,2,FALSE),"All_Provinces"))</t>
        </is>
      </c>
      <c r="AW16" s="39" t="inlineStr">
        <is>
          <t>IF(H16="","All_Districts",IFERROR(VLOOKUP(H16,'07_Lookups'!$E$4:$F$42,2,FALSE),"All_Districts"))</t>
        </is>
      </c>
    </row>
    <row r="17" ht="18" customHeight="1">
      <c r="A17" s="31" t="inlineStr">
        <is>
          <t>IF(E17="","",ROW()-3)</t>
        </is>
      </c>
      <c r="B17" s="40" t="inlineStr">
        <is>
          <t>AF2-P22-01</t>
        </is>
      </c>
      <c r="C17" s="40" t="inlineStr">
        <is>
          <t>Emergency Food Security Project (EFSP) – WBK/AF-2</t>
        </is>
      </c>
      <c r="D17" s="40" t="inlineStr">
        <is>
          <t>Package #22-AF2 WSM: Construction of 5 Check dams, Kandahar</t>
        </is>
      </c>
      <c r="E17" s="40" t="inlineStr">
        <is>
          <t>Kocni Karez Check Dam</t>
        </is>
      </c>
      <c r="F17" s="40" t="inlineStr">
        <is>
          <t>Check Dam</t>
        </is>
      </c>
      <c r="G17" s="40" t="inlineStr">
        <is>
          <t>South / Kandahar</t>
        </is>
      </c>
      <c r="H17" s="40" t="inlineStr">
        <is>
          <t>Kandahar</t>
        </is>
      </c>
      <c r="I17" s="40" t="inlineStr">
        <is>
          <t>Ghorak</t>
        </is>
      </c>
      <c r="J17" s="40" t="inlineStr">
        <is>
          <t>Kocni Karez Village</t>
        </is>
      </c>
      <c r="K17" s="40" t="inlineStr">
        <is>
          <t>World Bank (WBK/AF-2)</t>
        </is>
      </c>
      <c r="L17" s="40" t="inlineStr">
        <is>
          <t>TBA</t>
        </is>
      </c>
      <c r="M17" s="40" t="inlineStr">
        <is>
          <t>TBA</t>
        </is>
      </c>
      <c r="N17" s="41" t="n">
        <v>135000</v>
      </c>
      <c r="O17" s="34" t="inlineStr">
        <is>
          <t>IF(AE17="","",AE17)</t>
        </is>
      </c>
      <c r="P17" s="42" t="n"/>
      <c r="Q17" s="34" t="inlineStr">
        <is>
          <t>IF(OR(O17="",P17=""),"",EDATE(O17,P17))</t>
        </is>
      </c>
      <c r="R17" s="42" t="n"/>
      <c r="S17" s="40" t="inlineStr">
        <is>
          <t>Under Design</t>
        </is>
      </c>
      <c r="T17" s="40" t="inlineStr">
        <is>
          <t>Source list marked Design</t>
        </is>
      </c>
      <c r="U17" s="31" t="inlineStr">
        <is>
          <t>IF(E17="","",IF(COUNT(Y17:AJ17)=0,IF(S17="","Not started",S17),SUBSTITUTE(LOOKUP(2,1/(Y17:AJ17&lt;&gt;""),$Y$3:$AJ$3),"Date: ","")))</t>
        </is>
      </c>
      <c r="V17" s="36" t="inlineStr">
        <is>
          <t>IF(OR(E17="",COUNT(Y17:AJ17)=0),"",TODAY()-LOOKUP(2,1/(Y17:AJ17&lt;&gt;""),Y17:AJ17))</t>
        </is>
      </c>
      <c r="W17" s="36" t="inlineStr">
        <is>
          <t>IF(OR(E17="",COUNT(Y17:AJ17)&lt;2),"",LOOKUP(2,1/(Y17:AJ17&lt;&gt;""),Y17:AJ17)-MIN(Y17:AJ17))</t>
        </is>
      </c>
      <c r="X17" s="36" t="inlineStr">
        <is>
          <t>IF(OR(V17="",U17="Not started",U17=""),"",IFERROR(V17-IF(VLOOKUP(U17,'04_Status_Pipeline'!$B$3:$E$20,4,FALSE)="",0,VLOOKUP(U17,'04_Status_Pipeline'!$B$3:$E$20,4,FALSE)),""))</t>
        </is>
      </c>
      <c r="Y17" s="43" t="n"/>
      <c r="Z17" s="43" t="n"/>
      <c r="AA17" s="43" t="n"/>
      <c r="AB17" s="43" t="n"/>
      <c r="AC17" s="43" t="n"/>
      <c r="AD17" s="43" t="n"/>
      <c r="AE17" s="43" t="n"/>
      <c r="AF17" s="43" t="n"/>
      <c r="AG17" s="43" t="n"/>
      <c r="AH17" s="38" t="n"/>
      <c r="AI17" s="38" t="n"/>
      <c r="AJ17" s="38" t="n"/>
      <c r="AK17" s="36" t="inlineStr">
        <is>
          <t>IF(OR(E17="",Z17=""),"",IF(COUNT(Y17:Y17)=0,"",Z17-LOOKUP(2,1/(Y17:Y17&lt;&gt;""),Y17:Y17)))</t>
        </is>
      </c>
      <c r="AL17" s="36" t="inlineStr">
        <is>
          <t>IF(OR(E17="",AA17=""),"",IF(COUNT(Y17:Z17)=0,"",AA17-LOOKUP(2,1/(Y17:Z17&lt;&gt;""),Y17:Z17)))</t>
        </is>
      </c>
      <c r="AM17" s="36" t="inlineStr">
        <is>
          <t>IF(OR(E17="",AB17=""),"",IF(COUNT(Y17:AA17)=0,"",AB17-LOOKUP(2,1/(Y17:AA17&lt;&gt;""),Y17:AA17)))</t>
        </is>
      </c>
      <c r="AN17" s="36" t="inlineStr">
        <is>
          <t>IF(OR(E17="",AC17=""),"",IF(COUNT(Y17:AB17)=0,"",AC17-LOOKUP(2,1/(Y17:AB17&lt;&gt;""),Y17:AB17)))</t>
        </is>
      </c>
      <c r="AO17" s="36" t="inlineStr">
        <is>
          <t>IF(OR(E17="",AD17=""),"",IF(COUNT(Y17:AC17)=0,"",AD17-LOOKUP(2,1/(Y17:AC17&lt;&gt;""),Y17:AC17)))</t>
        </is>
      </c>
      <c r="AP17" s="36" t="inlineStr">
        <is>
          <t>IF(OR(E17="",AE17=""),"",IF(COUNT(Y17:AD17)=0,"",AE17-LOOKUP(2,1/(Y17:AD17&lt;&gt;""),Y17:AD17)))</t>
        </is>
      </c>
      <c r="AQ17" s="36" t="inlineStr">
        <is>
          <t>IF(OR(E17="",AF17=""),"",IF(COUNT(Y17:AE17)=0,"",AF17-LOOKUP(2,1/(Y17:AE17&lt;&gt;""),Y17:AE17)))</t>
        </is>
      </c>
      <c r="AR17" s="36" t="inlineStr">
        <is>
          <t>IF(OR(E17="",AG17=""),"",IF(COUNT(Y17:AF17)=0,"",AG17-LOOKUP(2,1/(Y17:AF17&lt;&gt;""),Y17:AF17)))</t>
        </is>
      </c>
      <c r="AS17" s="36" t="inlineStr">
        <is>
          <t>IF(OR(E17="",AH17=""),"",IF(COUNT(Y17:AG17)=0,"",AH17-LOOKUP(2,1/(Y17:AG17&lt;&gt;""),Y17:AG17)))</t>
        </is>
      </c>
      <c r="AT17" s="36" t="inlineStr">
        <is>
          <t>IF(OR(E17="",AI17=""),"",IF(COUNT(Y17:AH17)=0,"",AI17-LOOKUP(2,1/(Y17:AH17&lt;&gt;""),Y17:AH17)))</t>
        </is>
      </c>
      <c r="AU17" s="36" t="inlineStr">
        <is>
          <t>IF(OR(E17="",AJ17=""),"",IF(COUNT(Y17:AI17)=0,"",AJ17-LOOKUP(2,1/(Y17:AI17&lt;&gt;""),Y17:AI17)))</t>
        </is>
      </c>
      <c r="AV17" s="39" t="inlineStr">
        <is>
          <t>IF(G17="","All_Provinces",IFERROR(VLOOKUP(G17,'07_Lookups'!$A$4:$B$20,2,FALSE),"All_Provinces"))</t>
        </is>
      </c>
      <c r="AW17" s="39" t="inlineStr">
        <is>
          <t>IF(H17="","All_Districts",IFERROR(VLOOKUP(H17,'07_Lookups'!$E$4:$F$42,2,FALSE),"All_Districts"))</t>
        </is>
      </c>
    </row>
    <row r="18" ht="18" customHeight="1">
      <c r="A18" s="31" t="inlineStr">
        <is>
          <t>IF(E18="","",ROW()-3)</t>
        </is>
      </c>
      <c r="B18" s="32" t="inlineStr">
        <is>
          <t>AF2-P22-02</t>
        </is>
      </c>
      <c r="C18" s="32" t="inlineStr">
        <is>
          <t>Emergency Food Security Project (EFSP) – WBK/AF-2</t>
        </is>
      </c>
      <c r="D18" s="32" t="inlineStr">
        <is>
          <t>Package #22-AF2 WSM: Construction of 5 Check dams, Kandahar</t>
        </is>
      </c>
      <c r="E18" s="32" t="inlineStr">
        <is>
          <t>By Khosh Dara Check Dam</t>
        </is>
      </c>
      <c r="F18" s="32" t="inlineStr">
        <is>
          <t>Check Dam</t>
        </is>
      </c>
      <c r="G18" s="32" t="inlineStr">
        <is>
          <t>South / Kandahar</t>
        </is>
      </c>
      <c r="H18" s="32" t="inlineStr">
        <is>
          <t>Kandahar</t>
        </is>
      </c>
      <c r="I18" s="32" t="inlineStr">
        <is>
          <t>Ghorak</t>
        </is>
      </c>
      <c r="J18" s="32" t="inlineStr">
        <is>
          <t>By Khosh Village</t>
        </is>
      </c>
      <c r="K18" s="32" t="inlineStr">
        <is>
          <t>World Bank (WBK/AF-2)</t>
        </is>
      </c>
      <c r="L18" s="32" t="n"/>
      <c r="M18" s="32" t="n"/>
      <c r="N18" s="33" t="n"/>
      <c r="O18" s="34" t="inlineStr">
        <is>
          <t>IF(AE18="","",AE18)</t>
        </is>
      </c>
      <c r="P18" s="35" t="n"/>
      <c r="Q18" s="34" t="inlineStr">
        <is>
          <t>IF(OR(O18="",P18=""),"",EDATE(O18,P18))</t>
        </is>
      </c>
      <c r="R18" s="35" t="n"/>
      <c r="S18" s="32" t="inlineStr">
        <is>
          <t>Under Design</t>
        </is>
      </c>
      <c r="T18" s="32" t="inlineStr">
        <is>
          <t>Same package as Kocni Karez</t>
        </is>
      </c>
      <c r="U18" s="31" t="inlineStr">
        <is>
          <t>IF(E18="","",IF(COUNT(Y18:AJ18)=0,IF(S18="","Not started",S18),SUBSTITUTE(LOOKUP(2,1/(Y18:AJ18&lt;&gt;""),$Y$3:$AJ$3),"Date: ","")))</t>
        </is>
      </c>
      <c r="V18" s="36" t="inlineStr">
        <is>
          <t>IF(OR(E18="",COUNT(Y18:AJ18)=0),"",TODAY()-LOOKUP(2,1/(Y18:AJ18&lt;&gt;""),Y18:AJ18))</t>
        </is>
      </c>
      <c r="W18" s="36" t="inlineStr">
        <is>
          <t>IF(OR(E18="",COUNT(Y18:AJ18)&lt;2),"",LOOKUP(2,1/(Y18:AJ18&lt;&gt;""),Y18:AJ18)-MIN(Y18:AJ18))</t>
        </is>
      </c>
      <c r="X18" s="36" t="inlineStr">
        <is>
          <t>IF(OR(V18="",U18="Not started",U18=""),"",IFERROR(V18-IF(VLOOKUP(U18,'04_Status_Pipeline'!$B$3:$E$20,4,FALSE)="",0,VLOOKUP(U18,'04_Status_Pipeline'!$B$3:$E$20,4,FALSE)),""))</t>
        </is>
      </c>
      <c r="Y18" s="37" t="n"/>
      <c r="Z18" s="37" t="n"/>
      <c r="AA18" s="37" t="n"/>
      <c r="AB18" s="37" t="n"/>
      <c r="AC18" s="37" t="n"/>
      <c r="AD18" s="37" t="n"/>
      <c r="AE18" s="37" t="n"/>
      <c r="AF18" s="37" t="n"/>
      <c r="AG18" s="37" t="n"/>
      <c r="AH18" s="38" t="n"/>
      <c r="AI18" s="38" t="n"/>
      <c r="AJ18" s="38" t="n"/>
      <c r="AK18" s="36" t="inlineStr">
        <is>
          <t>IF(OR(E18="",Z18=""),"",IF(COUNT(Y18:Y18)=0,"",Z18-LOOKUP(2,1/(Y18:Y18&lt;&gt;""),Y18:Y18)))</t>
        </is>
      </c>
      <c r="AL18" s="36" t="inlineStr">
        <is>
          <t>IF(OR(E18="",AA18=""),"",IF(COUNT(Y18:Z18)=0,"",AA18-LOOKUP(2,1/(Y18:Z18&lt;&gt;""),Y18:Z18)))</t>
        </is>
      </c>
      <c r="AM18" s="36" t="inlineStr">
        <is>
          <t>IF(OR(E18="",AB18=""),"",IF(COUNT(Y18:AA18)=0,"",AB18-LOOKUP(2,1/(Y18:AA18&lt;&gt;""),Y18:AA18)))</t>
        </is>
      </c>
      <c r="AN18" s="36" t="inlineStr">
        <is>
          <t>IF(OR(E18="",AC18=""),"",IF(COUNT(Y18:AB18)=0,"",AC18-LOOKUP(2,1/(Y18:AB18&lt;&gt;""),Y18:AB18)))</t>
        </is>
      </c>
      <c r="AO18" s="36" t="inlineStr">
        <is>
          <t>IF(OR(E18="",AD18=""),"",IF(COUNT(Y18:AC18)=0,"",AD18-LOOKUP(2,1/(Y18:AC18&lt;&gt;""),Y18:AC18)))</t>
        </is>
      </c>
      <c r="AP18" s="36" t="inlineStr">
        <is>
          <t>IF(OR(E18="",AE18=""),"",IF(COUNT(Y18:AD18)=0,"",AE18-LOOKUP(2,1/(Y18:AD18&lt;&gt;""),Y18:AD18)))</t>
        </is>
      </c>
      <c r="AQ18" s="36" t="inlineStr">
        <is>
          <t>IF(OR(E18="",AF18=""),"",IF(COUNT(Y18:AE18)=0,"",AF18-LOOKUP(2,1/(Y18:AE18&lt;&gt;""),Y18:AE18)))</t>
        </is>
      </c>
      <c r="AR18" s="36" t="inlineStr">
        <is>
          <t>IF(OR(E18="",AG18=""),"",IF(COUNT(Y18:AF18)=0,"",AG18-LOOKUP(2,1/(Y18:AF18&lt;&gt;""),Y18:AF18)))</t>
        </is>
      </c>
      <c r="AS18" s="36" t="inlineStr">
        <is>
          <t>IF(OR(E18="",AH18=""),"",IF(COUNT(Y18:AG18)=0,"",AH18-LOOKUP(2,1/(Y18:AG18&lt;&gt;""),Y18:AG18)))</t>
        </is>
      </c>
      <c r="AT18" s="36" t="inlineStr">
        <is>
          <t>IF(OR(E18="",AI18=""),"",IF(COUNT(Y18:AH18)=0,"",AI18-LOOKUP(2,1/(Y18:AH18&lt;&gt;""),Y18:AH18)))</t>
        </is>
      </c>
      <c r="AU18" s="36" t="inlineStr">
        <is>
          <t>IF(OR(E18="",AJ18=""),"",IF(COUNT(Y18:AI18)=0,"",AJ18-LOOKUP(2,1/(Y18:AI18&lt;&gt;""),Y18:AI18)))</t>
        </is>
      </c>
      <c r="AV18" s="39" t="inlineStr">
        <is>
          <t>IF(G18="","All_Provinces",IFERROR(VLOOKUP(G18,'07_Lookups'!$A$4:$B$20,2,FALSE),"All_Provinces"))</t>
        </is>
      </c>
      <c r="AW18" s="39" t="inlineStr">
        <is>
          <t>IF(H18="","All_Districts",IFERROR(VLOOKUP(H18,'07_Lookups'!$E$4:$F$42,2,FALSE),"All_Districts"))</t>
        </is>
      </c>
    </row>
    <row r="19" ht="18" customHeight="1">
      <c r="A19" s="31" t="inlineStr">
        <is>
          <t>IF(E19="","",ROW()-3)</t>
        </is>
      </c>
      <c r="B19" s="40" t="inlineStr">
        <is>
          <t>AF2-P22-03</t>
        </is>
      </c>
      <c r="C19" s="40" t="inlineStr">
        <is>
          <t>Emergency Food Security Project (EFSP) – WBK/AF-2</t>
        </is>
      </c>
      <c r="D19" s="40" t="inlineStr">
        <is>
          <t>Package #22-AF2 WSM: Construction of 5 Check dams, Kandahar</t>
        </is>
      </c>
      <c r="E19" s="40" t="inlineStr">
        <is>
          <t>Ghul Khani Dara Check Dam</t>
        </is>
      </c>
      <c r="F19" s="40" t="inlineStr">
        <is>
          <t>Check Dam</t>
        </is>
      </c>
      <c r="G19" s="40" t="inlineStr">
        <is>
          <t>South / Kandahar</t>
        </is>
      </c>
      <c r="H19" s="40" t="inlineStr">
        <is>
          <t>Kandahar</t>
        </is>
      </c>
      <c r="I19" s="40" t="inlineStr">
        <is>
          <t>Ghorak</t>
        </is>
      </c>
      <c r="J19" s="40" t="inlineStr">
        <is>
          <t>Ghul Khani Village</t>
        </is>
      </c>
      <c r="K19" s="40" t="inlineStr">
        <is>
          <t>World Bank (WBK/AF-2)</t>
        </is>
      </c>
      <c r="L19" s="40" t="n"/>
      <c r="M19" s="40" t="n"/>
      <c r="N19" s="41" t="n"/>
      <c r="O19" s="34" t="inlineStr">
        <is>
          <t>IF(AE19="","",AE19)</t>
        </is>
      </c>
      <c r="P19" s="42" t="n"/>
      <c r="Q19" s="34" t="inlineStr">
        <is>
          <t>IF(OR(O19="",P19=""),"",EDATE(O19,P19))</t>
        </is>
      </c>
      <c r="R19" s="42" t="n"/>
      <c r="S19" s="40" t="inlineStr">
        <is>
          <t>Under Design</t>
        </is>
      </c>
      <c r="T19" s="40" t="inlineStr">
        <is>
          <t>Same package as Kocni Karez</t>
        </is>
      </c>
      <c r="U19" s="31" t="inlineStr">
        <is>
          <t>IF(E19="","",IF(COUNT(Y19:AJ19)=0,IF(S19="","Not started",S19),SUBSTITUTE(LOOKUP(2,1/(Y19:AJ19&lt;&gt;""),$Y$3:$AJ$3),"Date: ","")))</t>
        </is>
      </c>
      <c r="V19" s="36" t="inlineStr">
        <is>
          <t>IF(OR(E19="",COUNT(Y19:AJ19)=0),"",TODAY()-LOOKUP(2,1/(Y19:AJ19&lt;&gt;""),Y19:AJ19))</t>
        </is>
      </c>
      <c r="W19" s="36" t="inlineStr">
        <is>
          <t>IF(OR(E19="",COUNT(Y19:AJ19)&lt;2),"",LOOKUP(2,1/(Y19:AJ19&lt;&gt;""),Y19:AJ19)-MIN(Y19:AJ19))</t>
        </is>
      </c>
      <c r="X19" s="36" t="inlineStr">
        <is>
          <t>IF(OR(V19="",U19="Not started",U19=""),"",IFERROR(V19-IF(VLOOKUP(U19,'04_Status_Pipeline'!$B$3:$E$20,4,FALSE)="",0,VLOOKUP(U19,'04_Status_Pipeline'!$B$3:$E$20,4,FALSE)),""))</t>
        </is>
      </c>
      <c r="Y19" s="43" t="n"/>
      <c r="Z19" s="43" t="n"/>
      <c r="AA19" s="43" t="n"/>
      <c r="AB19" s="43" t="n"/>
      <c r="AC19" s="43" t="n"/>
      <c r="AD19" s="43" t="n"/>
      <c r="AE19" s="43" t="n"/>
      <c r="AF19" s="43" t="n"/>
      <c r="AG19" s="43" t="n"/>
      <c r="AH19" s="38" t="n"/>
      <c r="AI19" s="38" t="n"/>
      <c r="AJ19" s="38" t="n"/>
      <c r="AK19" s="36" t="inlineStr">
        <is>
          <t>IF(OR(E19="",Z19=""),"",IF(COUNT(Y19:Y19)=0,"",Z19-LOOKUP(2,1/(Y19:Y19&lt;&gt;""),Y19:Y19)))</t>
        </is>
      </c>
      <c r="AL19" s="36" t="inlineStr">
        <is>
          <t>IF(OR(E19="",AA19=""),"",IF(COUNT(Y19:Z19)=0,"",AA19-LOOKUP(2,1/(Y19:Z19&lt;&gt;""),Y19:Z19)))</t>
        </is>
      </c>
      <c r="AM19" s="36" t="inlineStr">
        <is>
          <t>IF(OR(E19="",AB19=""),"",IF(COUNT(Y19:AA19)=0,"",AB19-LOOKUP(2,1/(Y19:AA19&lt;&gt;""),Y19:AA19)))</t>
        </is>
      </c>
      <c r="AN19" s="36" t="inlineStr">
        <is>
          <t>IF(OR(E19="",AC19=""),"",IF(COUNT(Y19:AB19)=0,"",AC19-LOOKUP(2,1/(Y19:AB19&lt;&gt;""),Y19:AB19)))</t>
        </is>
      </c>
      <c r="AO19" s="36" t="inlineStr">
        <is>
          <t>IF(OR(E19="",AD19=""),"",IF(COUNT(Y19:AC19)=0,"",AD19-LOOKUP(2,1/(Y19:AC19&lt;&gt;""),Y19:AC19)))</t>
        </is>
      </c>
      <c r="AP19" s="36" t="inlineStr">
        <is>
          <t>IF(OR(E19="",AE19=""),"",IF(COUNT(Y19:AD19)=0,"",AE19-LOOKUP(2,1/(Y19:AD19&lt;&gt;""),Y19:AD19)))</t>
        </is>
      </c>
      <c r="AQ19" s="36" t="inlineStr">
        <is>
          <t>IF(OR(E19="",AF19=""),"",IF(COUNT(Y19:AE19)=0,"",AF19-LOOKUP(2,1/(Y19:AE19&lt;&gt;""),Y19:AE19)))</t>
        </is>
      </c>
      <c r="AR19" s="36" t="inlineStr">
        <is>
          <t>IF(OR(E19="",AG19=""),"",IF(COUNT(Y19:AF19)=0,"",AG19-LOOKUP(2,1/(Y19:AF19&lt;&gt;""),Y19:AF19)))</t>
        </is>
      </c>
      <c r="AS19" s="36" t="inlineStr">
        <is>
          <t>IF(OR(E19="",AH19=""),"",IF(COUNT(Y19:AG19)=0,"",AH19-LOOKUP(2,1/(Y19:AG19&lt;&gt;""),Y19:AG19)))</t>
        </is>
      </c>
      <c r="AT19" s="36" t="inlineStr">
        <is>
          <t>IF(OR(E19="",AI19=""),"",IF(COUNT(Y19:AH19)=0,"",AI19-LOOKUP(2,1/(Y19:AH19&lt;&gt;""),Y19:AH19)))</t>
        </is>
      </c>
      <c r="AU19" s="36" t="inlineStr">
        <is>
          <t>IF(OR(E19="",AJ19=""),"",IF(COUNT(Y19:AI19)=0,"",AJ19-LOOKUP(2,1/(Y19:AI19&lt;&gt;""),Y19:AI19)))</t>
        </is>
      </c>
      <c r="AV19" s="39" t="inlineStr">
        <is>
          <t>IF(G19="","All_Provinces",IFERROR(VLOOKUP(G19,'07_Lookups'!$A$4:$B$20,2,FALSE),"All_Provinces"))</t>
        </is>
      </c>
      <c r="AW19" s="39" t="inlineStr">
        <is>
          <t>IF(H19="","All_Districts",IFERROR(VLOOKUP(H19,'07_Lookups'!$E$4:$F$42,2,FALSE),"All_Districts"))</t>
        </is>
      </c>
    </row>
    <row r="20" ht="18" customHeight="1">
      <c r="A20" s="31" t="inlineStr">
        <is>
          <t>IF(E20="","",ROW()-3)</t>
        </is>
      </c>
      <c r="B20" s="32" t="inlineStr">
        <is>
          <t>AF2-P22-04</t>
        </is>
      </c>
      <c r="C20" s="32" t="inlineStr">
        <is>
          <t>Emergency Food Security Project (EFSP) – WBK/AF-2</t>
        </is>
      </c>
      <c r="D20" s="32" t="inlineStr">
        <is>
          <t>Package #22-AF2 WSM: Construction of 5 Check dams, Kandahar</t>
        </is>
      </c>
      <c r="E20" s="32" t="inlineStr">
        <is>
          <t>Chy Dara Check Dam</t>
        </is>
      </c>
      <c r="F20" s="32" t="inlineStr">
        <is>
          <t>Check Dam</t>
        </is>
      </c>
      <c r="G20" s="32" t="inlineStr">
        <is>
          <t>South / Kandahar</t>
        </is>
      </c>
      <c r="H20" s="32" t="inlineStr">
        <is>
          <t>Kandahar</t>
        </is>
      </c>
      <c r="I20" s="32" t="inlineStr">
        <is>
          <t>Ghorak</t>
        </is>
      </c>
      <c r="J20" s="32" t="inlineStr">
        <is>
          <t>Chy dar Village</t>
        </is>
      </c>
      <c r="K20" s="32" t="inlineStr">
        <is>
          <t>World Bank (WBK/AF-2)</t>
        </is>
      </c>
      <c r="L20" s="32" t="n"/>
      <c r="M20" s="32" t="n"/>
      <c r="N20" s="33" t="n"/>
      <c r="O20" s="34" t="inlineStr">
        <is>
          <t>IF(AE20="","",AE20)</t>
        </is>
      </c>
      <c r="P20" s="35" t="n"/>
      <c r="Q20" s="34" t="inlineStr">
        <is>
          <t>IF(OR(O20="",P20=""),"",EDATE(O20,P20))</t>
        </is>
      </c>
      <c r="R20" s="35" t="n"/>
      <c r="S20" s="32" t="inlineStr">
        <is>
          <t>Under Design</t>
        </is>
      </c>
      <c r="T20" s="32" t="inlineStr">
        <is>
          <t>Same package as Kocni Karez</t>
        </is>
      </c>
      <c r="U20" s="31" t="inlineStr">
        <is>
          <t>IF(E20="","",IF(COUNT(Y20:AJ20)=0,IF(S20="","Not started",S20),SUBSTITUTE(LOOKUP(2,1/(Y20:AJ20&lt;&gt;""),$Y$3:$AJ$3),"Date: ","")))</t>
        </is>
      </c>
      <c r="V20" s="36" t="inlineStr">
        <is>
          <t>IF(OR(E20="",COUNT(Y20:AJ20)=0),"",TODAY()-LOOKUP(2,1/(Y20:AJ20&lt;&gt;""),Y20:AJ20))</t>
        </is>
      </c>
      <c r="W20" s="36" t="inlineStr">
        <is>
          <t>IF(OR(E20="",COUNT(Y20:AJ20)&lt;2),"",LOOKUP(2,1/(Y20:AJ20&lt;&gt;""),Y20:AJ20)-MIN(Y20:AJ20))</t>
        </is>
      </c>
      <c r="X20" s="36" t="inlineStr">
        <is>
          <t>IF(OR(V20="",U20="Not started",U20=""),"",IFERROR(V20-IF(VLOOKUP(U20,'04_Status_Pipeline'!$B$3:$E$20,4,FALSE)="",0,VLOOKUP(U20,'04_Status_Pipeline'!$B$3:$E$20,4,FALSE)),""))</t>
        </is>
      </c>
      <c r="Y20" s="37" t="n"/>
      <c r="Z20" s="37" t="n"/>
      <c r="AA20" s="37" t="n"/>
      <c r="AB20" s="37" t="n"/>
      <c r="AC20" s="37" t="n"/>
      <c r="AD20" s="37" t="n"/>
      <c r="AE20" s="37" t="n"/>
      <c r="AF20" s="37" t="n"/>
      <c r="AG20" s="37" t="n"/>
      <c r="AH20" s="38" t="n"/>
      <c r="AI20" s="38" t="n"/>
      <c r="AJ20" s="38" t="n"/>
      <c r="AK20" s="36" t="inlineStr">
        <is>
          <t>IF(OR(E20="",Z20=""),"",IF(COUNT(Y20:Y20)=0,"",Z20-LOOKUP(2,1/(Y20:Y20&lt;&gt;""),Y20:Y20)))</t>
        </is>
      </c>
      <c r="AL20" s="36" t="inlineStr">
        <is>
          <t>IF(OR(E20="",AA20=""),"",IF(COUNT(Y20:Z20)=0,"",AA20-LOOKUP(2,1/(Y20:Z20&lt;&gt;""),Y20:Z20)))</t>
        </is>
      </c>
      <c r="AM20" s="36" t="inlineStr">
        <is>
          <t>IF(OR(E20="",AB20=""),"",IF(COUNT(Y20:AA20)=0,"",AB20-LOOKUP(2,1/(Y20:AA20&lt;&gt;""),Y20:AA20)))</t>
        </is>
      </c>
      <c r="AN20" s="36" t="inlineStr">
        <is>
          <t>IF(OR(E20="",AC20=""),"",IF(COUNT(Y20:AB20)=0,"",AC20-LOOKUP(2,1/(Y20:AB20&lt;&gt;""),Y20:AB20)))</t>
        </is>
      </c>
      <c r="AO20" s="36" t="inlineStr">
        <is>
          <t>IF(OR(E20="",AD20=""),"",IF(COUNT(Y20:AC20)=0,"",AD20-LOOKUP(2,1/(Y20:AC20&lt;&gt;""),Y20:AC20)))</t>
        </is>
      </c>
      <c r="AP20" s="36" t="inlineStr">
        <is>
          <t>IF(OR(E20="",AE20=""),"",IF(COUNT(Y20:AD20)=0,"",AE20-LOOKUP(2,1/(Y20:AD20&lt;&gt;""),Y20:AD20)))</t>
        </is>
      </c>
      <c r="AQ20" s="36" t="inlineStr">
        <is>
          <t>IF(OR(E20="",AF20=""),"",IF(COUNT(Y20:AE20)=0,"",AF20-LOOKUP(2,1/(Y20:AE20&lt;&gt;""),Y20:AE20)))</t>
        </is>
      </c>
      <c r="AR20" s="36" t="inlineStr">
        <is>
          <t>IF(OR(E20="",AG20=""),"",IF(COUNT(Y20:AF20)=0,"",AG20-LOOKUP(2,1/(Y20:AF20&lt;&gt;""),Y20:AF20)))</t>
        </is>
      </c>
      <c r="AS20" s="36" t="inlineStr">
        <is>
          <t>IF(OR(E20="",AH20=""),"",IF(COUNT(Y20:AG20)=0,"",AH20-LOOKUP(2,1/(Y20:AG20&lt;&gt;""),Y20:AG20)))</t>
        </is>
      </c>
      <c r="AT20" s="36" t="inlineStr">
        <is>
          <t>IF(OR(E20="",AI20=""),"",IF(COUNT(Y20:AH20)=0,"",AI20-LOOKUP(2,1/(Y20:AH20&lt;&gt;""),Y20:AH20)))</t>
        </is>
      </c>
      <c r="AU20" s="36" t="inlineStr">
        <is>
          <t>IF(OR(E20="",AJ20=""),"",IF(COUNT(Y20:AI20)=0,"",AJ20-LOOKUP(2,1/(Y20:AI20&lt;&gt;""),Y20:AI20)))</t>
        </is>
      </c>
      <c r="AV20" s="39" t="inlineStr">
        <is>
          <t>IF(G20="","All_Provinces",IFERROR(VLOOKUP(G20,'07_Lookups'!$A$4:$B$20,2,FALSE),"All_Provinces"))</t>
        </is>
      </c>
      <c r="AW20" s="39" t="inlineStr">
        <is>
          <t>IF(H20="","All_Districts",IFERROR(VLOOKUP(H20,'07_Lookups'!$E$4:$F$42,2,FALSE),"All_Districts"))</t>
        </is>
      </c>
    </row>
    <row r="21" ht="18" customHeight="1">
      <c r="A21" s="31" t="inlineStr">
        <is>
          <t>IF(E21="","",ROW()-3)</t>
        </is>
      </c>
      <c r="B21" s="40" t="inlineStr">
        <is>
          <t>AF2-P22-05</t>
        </is>
      </c>
      <c r="C21" s="40" t="inlineStr">
        <is>
          <t>Emergency Food Security Project (EFSP) – WBK/AF-2</t>
        </is>
      </c>
      <c r="D21" s="40" t="inlineStr">
        <is>
          <t>Package #22-AF2 WSM: Construction of 5 Check dams, Kandahar</t>
        </is>
      </c>
      <c r="E21" s="40" t="inlineStr">
        <is>
          <t>Khanjak Check Dam</t>
        </is>
      </c>
      <c r="F21" s="40" t="inlineStr">
        <is>
          <t>Check Dam</t>
        </is>
      </c>
      <c r="G21" s="40" t="inlineStr">
        <is>
          <t>South / Kandahar</t>
        </is>
      </c>
      <c r="H21" s="40" t="inlineStr">
        <is>
          <t>Kandahar</t>
        </is>
      </c>
      <c r="I21" s="40" t="inlineStr">
        <is>
          <t>Nesh</t>
        </is>
      </c>
      <c r="J21" s="40" t="inlineStr">
        <is>
          <t>Khanjak Mastan Aka</t>
        </is>
      </c>
      <c r="K21" s="40" t="inlineStr">
        <is>
          <t>World Bank (WBK/AF-2)</t>
        </is>
      </c>
      <c r="L21" s="40" t="n"/>
      <c r="M21" s="40" t="n"/>
      <c r="N21" s="41" t="n"/>
      <c r="O21" s="34" t="inlineStr">
        <is>
          <t>IF(AE21="","",AE21)</t>
        </is>
      </c>
      <c r="P21" s="42" t="n"/>
      <c r="Q21" s="34" t="inlineStr">
        <is>
          <t>IF(OR(O21="",P21=""),"",EDATE(O21,P21))</t>
        </is>
      </c>
      <c r="R21" s="42" t="n"/>
      <c r="S21" s="40" t="inlineStr">
        <is>
          <t>Under Design</t>
        </is>
      </c>
      <c r="T21" s="40" t="inlineStr">
        <is>
          <t>Same package as Kocni Karez</t>
        </is>
      </c>
      <c r="U21" s="31" t="inlineStr">
        <is>
          <t>IF(E21="","",IF(COUNT(Y21:AJ21)=0,IF(S21="","Not started",S21),SUBSTITUTE(LOOKUP(2,1/(Y21:AJ21&lt;&gt;""),$Y$3:$AJ$3),"Date: ","")))</t>
        </is>
      </c>
      <c r="V21" s="36" t="inlineStr">
        <is>
          <t>IF(OR(E21="",COUNT(Y21:AJ21)=0),"",TODAY()-LOOKUP(2,1/(Y21:AJ21&lt;&gt;""),Y21:AJ21))</t>
        </is>
      </c>
      <c r="W21" s="36" t="inlineStr">
        <is>
          <t>IF(OR(E21="",COUNT(Y21:AJ21)&lt;2),"",LOOKUP(2,1/(Y21:AJ21&lt;&gt;""),Y21:AJ21)-MIN(Y21:AJ21))</t>
        </is>
      </c>
      <c r="X21" s="36" t="inlineStr">
        <is>
          <t>IF(OR(V21="",U21="Not started",U21=""),"",IFERROR(V21-IF(VLOOKUP(U21,'04_Status_Pipeline'!$B$3:$E$20,4,FALSE)="",0,VLOOKUP(U21,'04_Status_Pipeline'!$B$3:$E$20,4,FALSE)),""))</t>
        </is>
      </c>
      <c r="Y21" s="43" t="n"/>
      <c r="Z21" s="43" t="n"/>
      <c r="AA21" s="43" t="n"/>
      <c r="AB21" s="43" t="n"/>
      <c r="AC21" s="43" t="n"/>
      <c r="AD21" s="43" t="n"/>
      <c r="AE21" s="43" t="n"/>
      <c r="AF21" s="43" t="n"/>
      <c r="AG21" s="43" t="n"/>
      <c r="AH21" s="38" t="n"/>
      <c r="AI21" s="38" t="n"/>
      <c r="AJ21" s="38" t="n"/>
      <c r="AK21" s="36" t="inlineStr">
        <is>
          <t>IF(OR(E21="",Z21=""),"",IF(COUNT(Y21:Y21)=0,"",Z21-LOOKUP(2,1/(Y21:Y21&lt;&gt;""),Y21:Y21)))</t>
        </is>
      </c>
      <c r="AL21" s="36" t="inlineStr">
        <is>
          <t>IF(OR(E21="",AA21=""),"",IF(COUNT(Y21:Z21)=0,"",AA21-LOOKUP(2,1/(Y21:Z21&lt;&gt;""),Y21:Z21)))</t>
        </is>
      </c>
      <c r="AM21" s="36" t="inlineStr">
        <is>
          <t>IF(OR(E21="",AB21=""),"",IF(COUNT(Y21:AA21)=0,"",AB21-LOOKUP(2,1/(Y21:AA21&lt;&gt;""),Y21:AA21)))</t>
        </is>
      </c>
      <c r="AN21" s="36" t="inlineStr">
        <is>
          <t>IF(OR(E21="",AC21=""),"",IF(COUNT(Y21:AB21)=0,"",AC21-LOOKUP(2,1/(Y21:AB21&lt;&gt;""),Y21:AB21)))</t>
        </is>
      </c>
      <c r="AO21" s="36" t="inlineStr">
        <is>
          <t>IF(OR(E21="",AD21=""),"",IF(COUNT(Y21:AC21)=0,"",AD21-LOOKUP(2,1/(Y21:AC21&lt;&gt;""),Y21:AC21)))</t>
        </is>
      </c>
      <c r="AP21" s="36" t="inlineStr">
        <is>
          <t>IF(OR(E21="",AE21=""),"",IF(COUNT(Y21:AD21)=0,"",AE21-LOOKUP(2,1/(Y21:AD21&lt;&gt;""),Y21:AD21)))</t>
        </is>
      </c>
      <c r="AQ21" s="36" t="inlineStr">
        <is>
          <t>IF(OR(E21="",AF21=""),"",IF(COUNT(Y21:AE21)=0,"",AF21-LOOKUP(2,1/(Y21:AE21&lt;&gt;""),Y21:AE21)))</t>
        </is>
      </c>
      <c r="AR21" s="36" t="inlineStr">
        <is>
          <t>IF(OR(E21="",AG21=""),"",IF(COUNT(Y21:AF21)=0,"",AG21-LOOKUP(2,1/(Y21:AF21&lt;&gt;""),Y21:AF21)))</t>
        </is>
      </c>
      <c r="AS21" s="36" t="inlineStr">
        <is>
          <t>IF(OR(E21="",AH21=""),"",IF(COUNT(Y21:AG21)=0,"",AH21-LOOKUP(2,1/(Y21:AG21&lt;&gt;""),Y21:AG21)))</t>
        </is>
      </c>
      <c r="AT21" s="36" t="inlineStr">
        <is>
          <t>IF(OR(E21="",AI21=""),"",IF(COUNT(Y21:AH21)=0,"",AI21-LOOKUP(2,1/(Y21:AH21&lt;&gt;""),Y21:AH21)))</t>
        </is>
      </c>
      <c r="AU21" s="36" t="inlineStr">
        <is>
          <t>IF(OR(E21="",AJ21=""),"",IF(COUNT(Y21:AI21)=0,"",AJ21-LOOKUP(2,1/(Y21:AI21&lt;&gt;""),Y21:AI21)))</t>
        </is>
      </c>
      <c r="AV21" s="39" t="inlineStr">
        <is>
          <t>IF(G21="","All_Provinces",IFERROR(VLOOKUP(G21,'07_Lookups'!$A$4:$B$20,2,FALSE),"All_Provinces"))</t>
        </is>
      </c>
      <c r="AW21" s="39" t="inlineStr">
        <is>
          <t>IF(H21="","All_Districts",IFERROR(VLOOKUP(H21,'07_Lookups'!$E$4:$F$42,2,FALSE),"All_Districts"))</t>
        </is>
      </c>
    </row>
    <row r="22" ht="18" customHeight="1">
      <c r="A22" s="31" t="inlineStr">
        <is>
          <t>IF(E22="","",ROW()-3)</t>
        </is>
      </c>
      <c r="B22" s="32" t="inlineStr">
        <is>
          <t>AF2-P24-01</t>
        </is>
      </c>
      <c r="C22" s="32" t="inlineStr">
        <is>
          <t>Emergency Food Security Project (EFSP) – WBK/AF-2</t>
        </is>
      </c>
      <c r="D22" s="32" t="inlineStr">
        <is>
          <t>Package #24-AF2 WSM: Construction of 5 Check dams, Helmand</t>
        </is>
      </c>
      <c r="E22" s="32" t="inlineStr">
        <is>
          <t>Kashata Tangi Check Dam</t>
        </is>
      </c>
      <c r="F22" s="32" t="inlineStr">
        <is>
          <t>Check Dam</t>
        </is>
      </c>
      <c r="G22" s="32" t="inlineStr">
        <is>
          <t>South / Kandahar</t>
        </is>
      </c>
      <c r="H22" s="32" t="inlineStr">
        <is>
          <t>Helmand</t>
        </is>
      </c>
      <c r="I22" s="32" t="inlineStr">
        <is>
          <t>Nawzad</t>
        </is>
      </c>
      <c r="J22" s="32" t="inlineStr">
        <is>
          <t>Kashata Tangi Village</t>
        </is>
      </c>
      <c r="K22" s="32" t="inlineStr">
        <is>
          <t>World Bank (WBK/AF-2)</t>
        </is>
      </c>
      <c r="L22" s="32" t="inlineStr">
        <is>
          <t>TBA</t>
        </is>
      </c>
      <c r="M22" s="32" t="inlineStr">
        <is>
          <t>TBA</t>
        </is>
      </c>
      <c r="N22" s="33" t="n">
        <v>125000</v>
      </c>
      <c r="O22" s="34" t="inlineStr">
        <is>
          <t>IF(AE22="","",AE22)</t>
        </is>
      </c>
      <c r="P22" s="35" t="n"/>
      <c r="Q22" s="34" t="inlineStr">
        <is>
          <t>IF(OR(O22="",P22=""),"",EDATE(O22,P22))</t>
        </is>
      </c>
      <c r="R22" s="35" t="n"/>
      <c r="S22" s="32" t="inlineStr">
        <is>
          <t>Under Design</t>
        </is>
      </c>
      <c r="T22" s="32" t="inlineStr">
        <is>
          <t>Source list marked Design</t>
        </is>
      </c>
      <c r="U22" s="31" t="inlineStr">
        <is>
          <t>IF(E22="","",IF(COUNT(Y22:AJ22)=0,IF(S22="","Not started",S22),SUBSTITUTE(LOOKUP(2,1/(Y22:AJ22&lt;&gt;""),$Y$3:$AJ$3),"Date: ","")))</t>
        </is>
      </c>
      <c r="V22" s="36" t="inlineStr">
        <is>
          <t>IF(OR(E22="",COUNT(Y22:AJ22)=0),"",TODAY()-LOOKUP(2,1/(Y22:AJ22&lt;&gt;""),Y22:AJ22))</t>
        </is>
      </c>
      <c r="W22" s="36" t="inlineStr">
        <is>
          <t>IF(OR(E22="",COUNT(Y22:AJ22)&lt;2),"",LOOKUP(2,1/(Y22:AJ22&lt;&gt;""),Y22:AJ22)-MIN(Y22:AJ22))</t>
        </is>
      </c>
      <c r="X22" s="36" t="inlineStr">
        <is>
          <t>IF(OR(V22="",U22="Not started",U22=""),"",IFERROR(V22-IF(VLOOKUP(U22,'04_Status_Pipeline'!$B$3:$E$20,4,FALSE)="",0,VLOOKUP(U22,'04_Status_Pipeline'!$B$3:$E$20,4,FALSE)),""))</t>
        </is>
      </c>
      <c r="Y22" s="37" t="n"/>
      <c r="Z22" s="37" t="n"/>
      <c r="AA22" s="37" t="n"/>
      <c r="AB22" s="37" t="n"/>
      <c r="AC22" s="37" t="n"/>
      <c r="AD22" s="37" t="n"/>
      <c r="AE22" s="37" t="n"/>
      <c r="AF22" s="37" t="n"/>
      <c r="AG22" s="37" t="n"/>
      <c r="AH22" s="38" t="n"/>
      <c r="AI22" s="38" t="n"/>
      <c r="AJ22" s="38" t="n"/>
      <c r="AK22" s="36" t="inlineStr">
        <is>
          <t>IF(OR(E22="",Z22=""),"",IF(COUNT(Y22:Y22)=0,"",Z22-LOOKUP(2,1/(Y22:Y22&lt;&gt;""),Y22:Y22)))</t>
        </is>
      </c>
      <c r="AL22" s="36" t="inlineStr">
        <is>
          <t>IF(OR(E22="",AA22=""),"",IF(COUNT(Y22:Z22)=0,"",AA22-LOOKUP(2,1/(Y22:Z22&lt;&gt;""),Y22:Z22)))</t>
        </is>
      </c>
      <c r="AM22" s="36" t="inlineStr">
        <is>
          <t>IF(OR(E22="",AB22=""),"",IF(COUNT(Y22:AA22)=0,"",AB22-LOOKUP(2,1/(Y22:AA22&lt;&gt;""),Y22:AA22)))</t>
        </is>
      </c>
      <c r="AN22" s="36" t="inlineStr">
        <is>
          <t>IF(OR(E22="",AC22=""),"",IF(COUNT(Y22:AB22)=0,"",AC22-LOOKUP(2,1/(Y22:AB22&lt;&gt;""),Y22:AB22)))</t>
        </is>
      </c>
      <c r="AO22" s="36" t="inlineStr">
        <is>
          <t>IF(OR(E22="",AD22=""),"",IF(COUNT(Y22:AC22)=0,"",AD22-LOOKUP(2,1/(Y22:AC22&lt;&gt;""),Y22:AC22)))</t>
        </is>
      </c>
      <c r="AP22" s="36" t="inlineStr">
        <is>
          <t>IF(OR(E22="",AE22=""),"",IF(COUNT(Y22:AD22)=0,"",AE22-LOOKUP(2,1/(Y22:AD22&lt;&gt;""),Y22:AD22)))</t>
        </is>
      </c>
      <c r="AQ22" s="36" t="inlineStr">
        <is>
          <t>IF(OR(E22="",AF22=""),"",IF(COUNT(Y22:AE22)=0,"",AF22-LOOKUP(2,1/(Y22:AE22&lt;&gt;""),Y22:AE22)))</t>
        </is>
      </c>
      <c r="AR22" s="36" t="inlineStr">
        <is>
          <t>IF(OR(E22="",AG22=""),"",IF(COUNT(Y22:AF22)=0,"",AG22-LOOKUP(2,1/(Y22:AF22&lt;&gt;""),Y22:AF22)))</t>
        </is>
      </c>
      <c r="AS22" s="36" t="inlineStr">
        <is>
          <t>IF(OR(E22="",AH22=""),"",IF(COUNT(Y22:AG22)=0,"",AH22-LOOKUP(2,1/(Y22:AG22&lt;&gt;""),Y22:AG22)))</t>
        </is>
      </c>
      <c r="AT22" s="36" t="inlineStr">
        <is>
          <t>IF(OR(E22="",AI22=""),"",IF(COUNT(Y22:AH22)=0,"",AI22-LOOKUP(2,1/(Y22:AH22&lt;&gt;""),Y22:AH22)))</t>
        </is>
      </c>
      <c r="AU22" s="36" t="inlineStr">
        <is>
          <t>IF(OR(E22="",AJ22=""),"",IF(COUNT(Y22:AI22)=0,"",AJ22-LOOKUP(2,1/(Y22:AI22&lt;&gt;""),Y22:AI22)))</t>
        </is>
      </c>
      <c r="AV22" s="39" t="inlineStr">
        <is>
          <t>IF(G22="","All_Provinces",IFERROR(VLOOKUP(G22,'07_Lookups'!$A$4:$B$20,2,FALSE),"All_Provinces"))</t>
        </is>
      </c>
      <c r="AW22" s="39" t="inlineStr">
        <is>
          <t>IF(H22="","All_Districts",IFERROR(VLOOKUP(H22,'07_Lookups'!$E$4:$F$42,2,FALSE),"All_Districts"))</t>
        </is>
      </c>
    </row>
    <row r="23" ht="18" customHeight="1">
      <c r="A23" s="31" t="inlineStr">
        <is>
          <t>IF(E23="","",ROW()-3)</t>
        </is>
      </c>
      <c r="B23" s="40" t="inlineStr">
        <is>
          <t>AF2-P24-02</t>
        </is>
      </c>
      <c r="C23" s="40" t="inlineStr">
        <is>
          <t>Emergency Food Security Project (EFSP) – WBK/AF-2</t>
        </is>
      </c>
      <c r="D23" s="40" t="inlineStr">
        <is>
          <t>Package #24-AF2 WSM: Construction of 5 Check dams, Helmand</t>
        </is>
      </c>
      <c r="E23" s="40" t="inlineStr">
        <is>
          <t>Forodi Check Dam</t>
        </is>
      </c>
      <c r="F23" s="40" t="inlineStr">
        <is>
          <t>Check Dam</t>
        </is>
      </c>
      <c r="G23" s="40" t="inlineStr">
        <is>
          <t>South / Kandahar</t>
        </is>
      </c>
      <c r="H23" s="40" t="inlineStr">
        <is>
          <t>Helmand</t>
        </is>
      </c>
      <c r="I23" s="40" t="inlineStr">
        <is>
          <t>Nawzad</t>
        </is>
      </c>
      <c r="J23" s="40" t="inlineStr">
        <is>
          <t>Zoroji Village</t>
        </is>
      </c>
      <c r="K23" s="40" t="inlineStr">
        <is>
          <t>World Bank (WBK/AF-2)</t>
        </is>
      </c>
      <c r="L23" s="40" t="n"/>
      <c r="M23" s="40" t="n"/>
      <c r="N23" s="41" t="n"/>
      <c r="O23" s="34" t="inlineStr">
        <is>
          <t>IF(AE23="","",AE23)</t>
        </is>
      </c>
      <c r="P23" s="42" t="n"/>
      <c r="Q23" s="34" t="inlineStr">
        <is>
          <t>IF(OR(O23="",P23=""),"",EDATE(O23,P23))</t>
        </is>
      </c>
      <c r="R23" s="42" t="n"/>
      <c r="S23" s="40" t="inlineStr">
        <is>
          <t>Under Design</t>
        </is>
      </c>
      <c r="T23" s="40" t="inlineStr">
        <is>
          <t>Same package as Kashata Tangi</t>
        </is>
      </c>
      <c r="U23" s="31" t="inlineStr">
        <is>
          <t>IF(E23="","",IF(COUNT(Y23:AJ23)=0,IF(S23="","Not started",S23),SUBSTITUTE(LOOKUP(2,1/(Y23:AJ23&lt;&gt;""),$Y$3:$AJ$3),"Date: ","")))</t>
        </is>
      </c>
      <c r="V23" s="36" t="inlineStr">
        <is>
          <t>IF(OR(E23="",COUNT(Y23:AJ23)=0),"",TODAY()-LOOKUP(2,1/(Y23:AJ23&lt;&gt;""),Y23:AJ23))</t>
        </is>
      </c>
      <c r="W23" s="36" t="inlineStr">
        <is>
          <t>IF(OR(E23="",COUNT(Y23:AJ23)&lt;2),"",LOOKUP(2,1/(Y23:AJ23&lt;&gt;""),Y23:AJ23)-MIN(Y23:AJ23))</t>
        </is>
      </c>
      <c r="X23" s="36" t="inlineStr">
        <is>
          <t>IF(OR(V23="",U23="Not started",U23=""),"",IFERROR(V23-IF(VLOOKUP(U23,'04_Status_Pipeline'!$B$3:$E$20,4,FALSE)="",0,VLOOKUP(U23,'04_Status_Pipeline'!$B$3:$E$20,4,FALSE)),""))</t>
        </is>
      </c>
      <c r="Y23" s="43" t="n"/>
      <c r="Z23" s="43" t="n"/>
      <c r="AA23" s="43" t="n"/>
      <c r="AB23" s="43" t="n"/>
      <c r="AC23" s="43" t="n"/>
      <c r="AD23" s="43" t="n"/>
      <c r="AE23" s="43" t="n"/>
      <c r="AF23" s="43" t="n"/>
      <c r="AG23" s="43" t="n"/>
      <c r="AH23" s="38" t="n"/>
      <c r="AI23" s="38" t="n"/>
      <c r="AJ23" s="38" t="n"/>
      <c r="AK23" s="36" t="inlineStr">
        <is>
          <t>IF(OR(E23="",Z23=""),"",IF(COUNT(Y23:Y23)=0,"",Z23-LOOKUP(2,1/(Y23:Y23&lt;&gt;""),Y23:Y23)))</t>
        </is>
      </c>
      <c r="AL23" s="36" t="inlineStr">
        <is>
          <t>IF(OR(E23="",AA23=""),"",IF(COUNT(Y23:Z23)=0,"",AA23-LOOKUP(2,1/(Y23:Z23&lt;&gt;""),Y23:Z23)))</t>
        </is>
      </c>
      <c r="AM23" s="36" t="inlineStr">
        <is>
          <t>IF(OR(E23="",AB23=""),"",IF(COUNT(Y23:AA23)=0,"",AB23-LOOKUP(2,1/(Y23:AA23&lt;&gt;""),Y23:AA23)))</t>
        </is>
      </c>
      <c r="AN23" s="36" t="inlineStr">
        <is>
          <t>IF(OR(E23="",AC23=""),"",IF(COUNT(Y23:AB23)=0,"",AC23-LOOKUP(2,1/(Y23:AB23&lt;&gt;""),Y23:AB23)))</t>
        </is>
      </c>
      <c r="AO23" s="36" t="inlineStr">
        <is>
          <t>IF(OR(E23="",AD23=""),"",IF(COUNT(Y23:AC23)=0,"",AD23-LOOKUP(2,1/(Y23:AC23&lt;&gt;""),Y23:AC23)))</t>
        </is>
      </c>
      <c r="AP23" s="36" t="inlineStr">
        <is>
          <t>IF(OR(E23="",AE23=""),"",IF(COUNT(Y23:AD23)=0,"",AE23-LOOKUP(2,1/(Y23:AD23&lt;&gt;""),Y23:AD23)))</t>
        </is>
      </c>
      <c r="AQ23" s="36" t="inlineStr">
        <is>
          <t>IF(OR(E23="",AF23=""),"",IF(COUNT(Y23:AE23)=0,"",AF23-LOOKUP(2,1/(Y23:AE23&lt;&gt;""),Y23:AE23)))</t>
        </is>
      </c>
      <c r="AR23" s="36" t="inlineStr">
        <is>
          <t>IF(OR(E23="",AG23=""),"",IF(COUNT(Y23:AF23)=0,"",AG23-LOOKUP(2,1/(Y23:AF23&lt;&gt;""),Y23:AF23)))</t>
        </is>
      </c>
      <c r="AS23" s="36" t="inlineStr">
        <is>
          <t>IF(OR(E23="",AH23=""),"",IF(COUNT(Y23:AG23)=0,"",AH23-LOOKUP(2,1/(Y23:AG23&lt;&gt;""),Y23:AG23)))</t>
        </is>
      </c>
      <c r="AT23" s="36" t="inlineStr">
        <is>
          <t>IF(OR(E23="",AI23=""),"",IF(COUNT(Y23:AH23)=0,"",AI23-LOOKUP(2,1/(Y23:AH23&lt;&gt;""),Y23:AH23)))</t>
        </is>
      </c>
      <c r="AU23" s="36" t="inlineStr">
        <is>
          <t>IF(OR(E23="",AJ23=""),"",IF(COUNT(Y23:AI23)=0,"",AJ23-LOOKUP(2,1/(Y23:AI23&lt;&gt;""),Y23:AI23)))</t>
        </is>
      </c>
      <c r="AV23" s="39" t="inlineStr">
        <is>
          <t>IF(G23="","All_Provinces",IFERROR(VLOOKUP(G23,'07_Lookups'!$A$4:$B$20,2,FALSE),"All_Provinces"))</t>
        </is>
      </c>
      <c r="AW23" s="39" t="inlineStr">
        <is>
          <t>IF(H23="","All_Districts",IFERROR(VLOOKUP(H23,'07_Lookups'!$E$4:$F$42,2,FALSE),"All_Districts"))</t>
        </is>
      </c>
    </row>
    <row r="24" ht="18" customHeight="1">
      <c r="A24" s="31" t="inlineStr">
        <is>
          <t>IF(E24="","",ROW()-3)</t>
        </is>
      </c>
      <c r="B24" s="32" t="inlineStr">
        <is>
          <t>AF2-P24-03</t>
        </is>
      </c>
      <c r="C24" s="32" t="inlineStr">
        <is>
          <t>Emergency Food Security Project (EFSP) – WBK/AF-2</t>
        </is>
      </c>
      <c r="D24" s="32" t="inlineStr">
        <is>
          <t>Package #24-AF2 WSM: Construction of 5 Check dams, Helmand</t>
        </is>
      </c>
      <c r="E24" s="32" t="inlineStr">
        <is>
          <t>Valary Check Dam</t>
        </is>
      </c>
      <c r="F24" s="32" t="inlineStr">
        <is>
          <t>Check Dam</t>
        </is>
      </c>
      <c r="G24" s="32" t="inlineStr">
        <is>
          <t>South / Kandahar</t>
        </is>
      </c>
      <c r="H24" s="32" t="inlineStr">
        <is>
          <t>Helmand</t>
        </is>
      </c>
      <c r="I24" s="32" t="inlineStr">
        <is>
          <t>Nawzad</t>
        </is>
      </c>
      <c r="J24" s="32" t="inlineStr">
        <is>
          <t>Valary village</t>
        </is>
      </c>
      <c r="K24" s="32" t="inlineStr">
        <is>
          <t>World Bank (WBK/AF-2)</t>
        </is>
      </c>
      <c r="L24" s="32" t="n"/>
      <c r="M24" s="32" t="n"/>
      <c r="N24" s="33" t="n"/>
      <c r="O24" s="34" t="inlineStr">
        <is>
          <t>IF(AE24="","",AE24)</t>
        </is>
      </c>
      <c r="P24" s="35" t="n"/>
      <c r="Q24" s="34" t="inlineStr">
        <is>
          <t>IF(OR(O24="",P24=""),"",EDATE(O24,P24))</t>
        </is>
      </c>
      <c r="R24" s="35" t="n"/>
      <c r="S24" s="32" t="inlineStr">
        <is>
          <t>Under Design</t>
        </is>
      </c>
      <c r="T24" s="32" t="inlineStr">
        <is>
          <t>Same package as Kashata Tangi</t>
        </is>
      </c>
      <c r="U24" s="31" t="inlineStr">
        <is>
          <t>IF(E24="","",IF(COUNT(Y24:AJ24)=0,IF(S24="","Not started",S24),SUBSTITUTE(LOOKUP(2,1/(Y24:AJ24&lt;&gt;""),$Y$3:$AJ$3),"Date: ","")))</t>
        </is>
      </c>
      <c r="V24" s="36" t="inlineStr">
        <is>
          <t>IF(OR(E24="",COUNT(Y24:AJ24)=0),"",TODAY()-LOOKUP(2,1/(Y24:AJ24&lt;&gt;""),Y24:AJ24))</t>
        </is>
      </c>
      <c r="W24" s="36" t="inlineStr">
        <is>
          <t>IF(OR(E24="",COUNT(Y24:AJ24)&lt;2),"",LOOKUP(2,1/(Y24:AJ24&lt;&gt;""),Y24:AJ24)-MIN(Y24:AJ24))</t>
        </is>
      </c>
      <c r="X24" s="36" t="inlineStr">
        <is>
          <t>IF(OR(V24="",U24="Not started",U24=""),"",IFERROR(V24-IF(VLOOKUP(U24,'04_Status_Pipeline'!$B$3:$E$20,4,FALSE)="",0,VLOOKUP(U24,'04_Status_Pipeline'!$B$3:$E$20,4,FALSE)),""))</t>
        </is>
      </c>
      <c r="Y24" s="37" t="n"/>
      <c r="Z24" s="37" t="n"/>
      <c r="AA24" s="37" t="n"/>
      <c r="AB24" s="37" t="n"/>
      <c r="AC24" s="37" t="n"/>
      <c r="AD24" s="37" t="n"/>
      <c r="AE24" s="37" t="n"/>
      <c r="AF24" s="37" t="n"/>
      <c r="AG24" s="37" t="n"/>
      <c r="AH24" s="38" t="n"/>
      <c r="AI24" s="38" t="n"/>
      <c r="AJ24" s="38" t="n"/>
      <c r="AK24" s="36" t="inlineStr">
        <is>
          <t>IF(OR(E24="",Z24=""),"",IF(COUNT(Y24:Y24)=0,"",Z24-LOOKUP(2,1/(Y24:Y24&lt;&gt;""),Y24:Y24)))</t>
        </is>
      </c>
      <c r="AL24" s="36" t="inlineStr">
        <is>
          <t>IF(OR(E24="",AA24=""),"",IF(COUNT(Y24:Z24)=0,"",AA24-LOOKUP(2,1/(Y24:Z24&lt;&gt;""),Y24:Z24)))</t>
        </is>
      </c>
      <c r="AM24" s="36" t="inlineStr">
        <is>
          <t>IF(OR(E24="",AB24=""),"",IF(COUNT(Y24:AA24)=0,"",AB24-LOOKUP(2,1/(Y24:AA24&lt;&gt;""),Y24:AA24)))</t>
        </is>
      </c>
      <c r="AN24" s="36" t="inlineStr">
        <is>
          <t>IF(OR(E24="",AC24=""),"",IF(COUNT(Y24:AB24)=0,"",AC24-LOOKUP(2,1/(Y24:AB24&lt;&gt;""),Y24:AB24)))</t>
        </is>
      </c>
      <c r="AO24" s="36" t="inlineStr">
        <is>
          <t>IF(OR(E24="",AD24=""),"",IF(COUNT(Y24:AC24)=0,"",AD24-LOOKUP(2,1/(Y24:AC24&lt;&gt;""),Y24:AC24)))</t>
        </is>
      </c>
      <c r="AP24" s="36" t="inlineStr">
        <is>
          <t>IF(OR(E24="",AE24=""),"",IF(COUNT(Y24:AD24)=0,"",AE24-LOOKUP(2,1/(Y24:AD24&lt;&gt;""),Y24:AD24)))</t>
        </is>
      </c>
      <c r="AQ24" s="36" t="inlineStr">
        <is>
          <t>IF(OR(E24="",AF24=""),"",IF(COUNT(Y24:AE24)=0,"",AF24-LOOKUP(2,1/(Y24:AE24&lt;&gt;""),Y24:AE24)))</t>
        </is>
      </c>
      <c r="AR24" s="36" t="inlineStr">
        <is>
          <t>IF(OR(E24="",AG24=""),"",IF(COUNT(Y24:AF24)=0,"",AG24-LOOKUP(2,1/(Y24:AF24&lt;&gt;""),Y24:AF24)))</t>
        </is>
      </c>
      <c r="AS24" s="36" t="inlineStr">
        <is>
          <t>IF(OR(E24="",AH24=""),"",IF(COUNT(Y24:AG24)=0,"",AH24-LOOKUP(2,1/(Y24:AG24&lt;&gt;""),Y24:AG24)))</t>
        </is>
      </c>
      <c r="AT24" s="36" t="inlineStr">
        <is>
          <t>IF(OR(E24="",AI24=""),"",IF(COUNT(Y24:AH24)=0,"",AI24-LOOKUP(2,1/(Y24:AH24&lt;&gt;""),Y24:AH24)))</t>
        </is>
      </c>
      <c r="AU24" s="36" t="inlineStr">
        <is>
          <t>IF(OR(E24="",AJ24=""),"",IF(COUNT(Y24:AI24)=0,"",AJ24-LOOKUP(2,1/(Y24:AI24&lt;&gt;""),Y24:AI24)))</t>
        </is>
      </c>
      <c r="AV24" s="39" t="inlineStr">
        <is>
          <t>IF(G24="","All_Provinces",IFERROR(VLOOKUP(G24,'07_Lookups'!$A$4:$B$20,2,FALSE),"All_Provinces"))</t>
        </is>
      </c>
      <c r="AW24" s="39" t="inlineStr">
        <is>
          <t>IF(H24="","All_Districts",IFERROR(VLOOKUP(H24,'07_Lookups'!$E$4:$F$42,2,FALSE),"All_Districts"))</t>
        </is>
      </c>
    </row>
    <row r="25" ht="18" customHeight="1">
      <c r="A25" s="31" t="inlineStr">
        <is>
          <t>IF(E25="","",ROW()-3)</t>
        </is>
      </c>
      <c r="B25" s="40" t="inlineStr">
        <is>
          <t>AF2-P24-04</t>
        </is>
      </c>
      <c r="C25" s="40" t="inlineStr">
        <is>
          <t>Emergency Food Security Project (EFSP) – WBK/AF-2</t>
        </is>
      </c>
      <c r="D25" s="40" t="inlineStr">
        <is>
          <t>Package #24-AF2 WSM: Construction of 5 Check dams, Helmand</t>
        </is>
      </c>
      <c r="E25" s="40" t="inlineStr">
        <is>
          <t>Band Khawanin Check Dam</t>
        </is>
      </c>
      <c r="F25" s="40" t="inlineStr">
        <is>
          <t>Check Dam</t>
        </is>
      </c>
      <c r="G25" s="40" t="inlineStr">
        <is>
          <t>South / Kandahar</t>
        </is>
      </c>
      <c r="H25" s="40" t="inlineStr">
        <is>
          <t>Helmand</t>
        </is>
      </c>
      <c r="I25" s="40" t="inlineStr">
        <is>
          <t>Washer</t>
        </is>
      </c>
      <c r="J25" s="40" t="inlineStr">
        <is>
          <t>Shaposhta Village</t>
        </is>
      </c>
      <c r="K25" s="40" t="inlineStr">
        <is>
          <t>World Bank (WBK/AF-2)</t>
        </is>
      </c>
      <c r="L25" s="40" t="n"/>
      <c r="M25" s="40" t="n"/>
      <c r="N25" s="41" t="n"/>
      <c r="O25" s="34" t="inlineStr">
        <is>
          <t>IF(AE25="","",AE25)</t>
        </is>
      </c>
      <c r="P25" s="42" t="n"/>
      <c r="Q25" s="34" t="inlineStr">
        <is>
          <t>IF(OR(O25="",P25=""),"",EDATE(O25,P25))</t>
        </is>
      </c>
      <c r="R25" s="42" t="n"/>
      <c r="S25" s="40" t="inlineStr">
        <is>
          <t>Under Design</t>
        </is>
      </c>
      <c r="T25" s="40" t="inlineStr">
        <is>
          <t>Same package as Kashata Tangi</t>
        </is>
      </c>
      <c r="U25" s="31" t="inlineStr">
        <is>
          <t>IF(E25="","",IF(COUNT(Y25:AJ25)=0,IF(S25="","Not started",S25),SUBSTITUTE(LOOKUP(2,1/(Y25:AJ25&lt;&gt;""),$Y$3:$AJ$3),"Date: ","")))</t>
        </is>
      </c>
      <c r="V25" s="36" t="inlineStr">
        <is>
          <t>IF(OR(E25="",COUNT(Y25:AJ25)=0),"",TODAY()-LOOKUP(2,1/(Y25:AJ25&lt;&gt;""),Y25:AJ25))</t>
        </is>
      </c>
      <c r="W25" s="36" t="inlineStr">
        <is>
          <t>IF(OR(E25="",COUNT(Y25:AJ25)&lt;2),"",LOOKUP(2,1/(Y25:AJ25&lt;&gt;""),Y25:AJ25)-MIN(Y25:AJ25))</t>
        </is>
      </c>
      <c r="X25" s="36" t="inlineStr">
        <is>
          <t>IF(OR(V25="",U25="Not started",U25=""),"",IFERROR(V25-IF(VLOOKUP(U25,'04_Status_Pipeline'!$B$3:$E$20,4,FALSE)="",0,VLOOKUP(U25,'04_Status_Pipeline'!$B$3:$E$20,4,FALSE)),""))</t>
        </is>
      </c>
      <c r="Y25" s="43" t="n"/>
      <c r="Z25" s="43" t="n"/>
      <c r="AA25" s="43" t="n"/>
      <c r="AB25" s="43" t="n"/>
      <c r="AC25" s="43" t="n"/>
      <c r="AD25" s="43" t="n"/>
      <c r="AE25" s="43" t="n"/>
      <c r="AF25" s="43" t="n"/>
      <c r="AG25" s="43" t="n"/>
      <c r="AH25" s="38" t="n"/>
      <c r="AI25" s="38" t="n"/>
      <c r="AJ25" s="38" t="n"/>
      <c r="AK25" s="36" t="inlineStr">
        <is>
          <t>IF(OR(E25="",Z25=""),"",IF(COUNT(Y25:Y25)=0,"",Z25-LOOKUP(2,1/(Y25:Y25&lt;&gt;""),Y25:Y25)))</t>
        </is>
      </c>
      <c r="AL25" s="36" t="inlineStr">
        <is>
          <t>IF(OR(E25="",AA25=""),"",IF(COUNT(Y25:Z25)=0,"",AA25-LOOKUP(2,1/(Y25:Z25&lt;&gt;""),Y25:Z25)))</t>
        </is>
      </c>
      <c r="AM25" s="36" t="inlineStr">
        <is>
          <t>IF(OR(E25="",AB25=""),"",IF(COUNT(Y25:AA25)=0,"",AB25-LOOKUP(2,1/(Y25:AA25&lt;&gt;""),Y25:AA25)))</t>
        </is>
      </c>
      <c r="AN25" s="36" t="inlineStr">
        <is>
          <t>IF(OR(E25="",AC25=""),"",IF(COUNT(Y25:AB25)=0,"",AC25-LOOKUP(2,1/(Y25:AB25&lt;&gt;""),Y25:AB25)))</t>
        </is>
      </c>
      <c r="AO25" s="36" t="inlineStr">
        <is>
          <t>IF(OR(E25="",AD25=""),"",IF(COUNT(Y25:AC25)=0,"",AD25-LOOKUP(2,1/(Y25:AC25&lt;&gt;""),Y25:AC25)))</t>
        </is>
      </c>
      <c r="AP25" s="36" t="inlineStr">
        <is>
          <t>IF(OR(E25="",AE25=""),"",IF(COUNT(Y25:AD25)=0,"",AE25-LOOKUP(2,1/(Y25:AD25&lt;&gt;""),Y25:AD25)))</t>
        </is>
      </c>
      <c r="AQ25" s="36" t="inlineStr">
        <is>
          <t>IF(OR(E25="",AF25=""),"",IF(COUNT(Y25:AE25)=0,"",AF25-LOOKUP(2,1/(Y25:AE25&lt;&gt;""),Y25:AE25)))</t>
        </is>
      </c>
      <c r="AR25" s="36" t="inlineStr">
        <is>
          <t>IF(OR(E25="",AG25=""),"",IF(COUNT(Y25:AF25)=0,"",AG25-LOOKUP(2,1/(Y25:AF25&lt;&gt;""),Y25:AF25)))</t>
        </is>
      </c>
      <c r="AS25" s="36" t="inlineStr">
        <is>
          <t>IF(OR(E25="",AH25=""),"",IF(COUNT(Y25:AG25)=0,"",AH25-LOOKUP(2,1/(Y25:AG25&lt;&gt;""),Y25:AG25)))</t>
        </is>
      </c>
      <c r="AT25" s="36" t="inlineStr">
        <is>
          <t>IF(OR(E25="",AI25=""),"",IF(COUNT(Y25:AH25)=0,"",AI25-LOOKUP(2,1/(Y25:AH25&lt;&gt;""),Y25:AH25)))</t>
        </is>
      </c>
      <c r="AU25" s="36" t="inlineStr">
        <is>
          <t>IF(OR(E25="",AJ25=""),"",IF(COUNT(Y25:AI25)=0,"",AJ25-LOOKUP(2,1/(Y25:AI25&lt;&gt;""),Y25:AI25)))</t>
        </is>
      </c>
      <c r="AV25" s="39" t="inlineStr">
        <is>
          <t>IF(G25="","All_Provinces",IFERROR(VLOOKUP(G25,'07_Lookups'!$A$4:$B$20,2,FALSE),"All_Provinces"))</t>
        </is>
      </c>
      <c r="AW25" s="39" t="inlineStr">
        <is>
          <t>IF(H25="","All_Districts",IFERROR(VLOOKUP(H25,'07_Lookups'!$E$4:$F$42,2,FALSE),"All_Districts"))</t>
        </is>
      </c>
    </row>
    <row r="26" ht="18" customHeight="1">
      <c r="A26" s="31" t="inlineStr">
        <is>
          <t>IF(E26="","",ROW()-3)</t>
        </is>
      </c>
      <c r="B26" s="32" t="inlineStr">
        <is>
          <t>AF2-P24-05</t>
        </is>
      </c>
      <c r="C26" s="32" t="inlineStr">
        <is>
          <t>Emergency Food Security Project (EFSP) – WBK/AF-2</t>
        </is>
      </c>
      <c r="D26" s="32" t="inlineStr">
        <is>
          <t>Package #24-AF2 WSM: Construction of 5 Check dams, Helmand</t>
        </is>
      </c>
      <c r="E26" s="32" t="inlineStr">
        <is>
          <t>Tykhoghi Check Dam</t>
        </is>
      </c>
      <c r="F26" s="32" t="inlineStr">
        <is>
          <t>Check Dam</t>
        </is>
      </c>
      <c r="G26" s="32" t="inlineStr">
        <is>
          <t>South / Kandahar</t>
        </is>
      </c>
      <c r="H26" s="32" t="inlineStr">
        <is>
          <t>Helmand</t>
        </is>
      </c>
      <c r="I26" s="32" t="inlineStr">
        <is>
          <t>Washer</t>
        </is>
      </c>
      <c r="J26" s="32" t="inlineStr">
        <is>
          <t>Koshki Spid Village</t>
        </is>
      </c>
      <c r="K26" s="32" t="inlineStr">
        <is>
          <t>World Bank (WBK/AF-2)</t>
        </is>
      </c>
      <c r="L26" s="32" t="n"/>
      <c r="M26" s="32" t="n"/>
      <c r="N26" s="33" t="n"/>
      <c r="O26" s="34" t="inlineStr">
        <is>
          <t>IF(AE26="","",AE26)</t>
        </is>
      </c>
      <c r="P26" s="35" t="n"/>
      <c r="Q26" s="34" t="inlineStr">
        <is>
          <t>IF(OR(O26="",P26=""),"",EDATE(O26,P26))</t>
        </is>
      </c>
      <c r="R26" s="35" t="n"/>
      <c r="S26" s="32" t="inlineStr">
        <is>
          <t>Under Design</t>
        </is>
      </c>
      <c r="T26" s="32" t="inlineStr">
        <is>
          <t>Same package as Kashata Tangi</t>
        </is>
      </c>
      <c r="U26" s="31" t="inlineStr">
        <is>
          <t>IF(E26="","",IF(COUNT(Y26:AJ26)=0,IF(S26="","Not started",S26),SUBSTITUTE(LOOKUP(2,1/(Y26:AJ26&lt;&gt;""),$Y$3:$AJ$3),"Date: ","")))</t>
        </is>
      </c>
      <c r="V26" s="36" t="inlineStr">
        <is>
          <t>IF(OR(E26="",COUNT(Y26:AJ26)=0),"",TODAY()-LOOKUP(2,1/(Y26:AJ26&lt;&gt;""),Y26:AJ26))</t>
        </is>
      </c>
      <c r="W26" s="36" t="inlineStr">
        <is>
          <t>IF(OR(E26="",COUNT(Y26:AJ26)&lt;2),"",LOOKUP(2,1/(Y26:AJ26&lt;&gt;""),Y26:AJ26)-MIN(Y26:AJ26))</t>
        </is>
      </c>
      <c r="X26" s="36" t="inlineStr">
        <is>
          <t>IF(OR(V26="",U26="Not started",U26=""),"",IFERROR(V26-IF(VLOOKUP(U26,'04_Status_Pipeline'!$B$3:$E$20,4,FALSE)="",0,VLOOKUP(U26,'04_Status_Pipeline'!$B$3:$E$20,4,FALSE)),""))</t>
        </is>
      </c>
      <c r="Y26" s="37" t="n"/>
      <c r="Z26" s="37" t="n"/>
      <c r="AA26" s="37" t="n"/>
      <c r="AB26" s="37" t="n"/>
      <c r="AC26" s="37" t="n"/>
      <c r="AD26" s="37" t="n"/>
      <c r="AE26" s="37" t="n"/>
      <c r="AF26" s="37" t="n"/>
      <c r="AG26" s="37" t="n"/>
      <c r="AH26" s="38" t="n"/>
      <c r="AI26" s="38" t="n"/>
      <c r="AJ26" s="38" t="n"/>
      <c r="AK26" s="36" t="inlineStr">
        <is>
          <t>IF(OR(E26="",Z26=""),"",IF(COUNT(Y26:Y26)=0,"",Z26-LOOKUP(2,1/(Y26:Y26&lt;&gt;""),Y26:Y26)))</t>
        </is>
      </c>
      <c r="AL26" s="36" t="inlineStr">
        <is>
          <t>IF(OR(E26="",AA26=""),"",IF(COUNT(Y26:Z26)=0,"",AA26-LOOKUP(2,1/(Y26:Z26&lt;&gt;""),Y26:Z26)))</t>
        </is>
      </c>
      <c r="AM26" s="36" t="inlineStr">
        <is>
          <t>IF(OR(E26="",AB26=""),"",IF(COUNT(Y26:AA26)=0,"",AB26-LOOKUP(2,1/(Y26:AA26&lt;&gt;""),Y26:AA26)))</t>
        </is>
      </c>
      <c r="AN26" s="36" t="inlineStr">
        <is>
          <t>IF(OR(E26="",AC26=""),"",IF(COUNT(Y26:AB26)=0,"",AC26-LOOKUP(2,1/(Y26:AB26&lt;&gt;""),Y26:AB26)))</t>
        </is>
      </c>
      <c r="AO26" s="36" t="inlineStr">
        <is>
          <t>IF(OR(E26="",AD26=""),"",IF(COUNT(Y26:AC26)=0,"",AD26-LOOKUP(2,1/(Y26:AC26&lt;&gt;""),Y26:AC26)))</t>
        </is>
      </c>
      <c r="AP26" s="36" t="inlineStr">
        <is>
          <t>IF(OR(E26="",AE26=""),"",IF(COUNT(Y26:AD26)=0,"",AE26-LOOKUP(2,1/(Y26:AD26&lt;&gt;""),Y26:AD26)))</t>
        </is>
      </c>
      <c r="AQ26" s="36" t="inlineStr">
        <is>
          <t>IF(OR(E26="",AF26=""),"",IF(COUNT(Y26:AE26)=0,"",AF26-LOOKUP(2,1/(Y26:AE26&lt;&gt;""),Y26:AE26)))</t>
        </is>
      </c>
      <c r="AR26" s="36" t="inlineStr">
        <is>
          <t>IF(OR(E26="",AG26=""),"",IF(COUNT(Y26:AF26)=0,"",AG26-LOOKUP(2,1/(Y26:AF26&lt;&gt;""),Y26:AF26)))</t>
        </is>
      </c>
      <c r="AS26" s="36" t="inlineStr">
        <is>
          <t>IF(OR(E26="",AH26=""),"",IF(COUNT(Y26:AG26)=0,"",AH26-LOOKUP(2,1/(Y26:AG26&lt;&gt;""),Y26:AG26)))</t>
        </is>
      </c>
      <c r="AT26" s="36" t="inlineStr">
        <is>
          <t>IF(OR(E26="",AI26=""),"",IF(COUNT(Y26:AH26)=0,"",AI26-LOOKUP(2,1/(Y26:AH26&lt;&gt;""),Y26:AH26)))</t>
        </is>
      </c>
      <c r="AU26" s="36" t="inlineStr">
        <is>
          <t>IF(OR(E26="",AJ26=""),"",IF(COUNT(Y26:AI26)=0,"",AJ26-LOOKUP(2,1/(Y26:AI26&lt;&gt;""),Y26:AI26)))</t>
        </is>
      </c>
      <c r="AV26" s="39" t="inlineStr">
        <is>
          <t>IF(G26="","All_Provinces",IFERROR(VLOOKUP(G26,'07_Lookups'!$A$4:$B$20,2,FALSE),"All_Provinces"))</t>
        </is>
      </c>
      <c r="AW26" s="39" t="inlineStr">
        <is>
          <t>IF(H26="","All_Districts",IFERROR(VLOOKUP(H26,'07_Lookups'!$E$4:$F$42,2,FALSE),"All_Districts"))</t>
        </is>
      </c>
    </row>
    <row r="27" ht="18" customHeight="1">
      <c r="A27" s="31" t="inlineStr">
        <is>
          <t>IF(E27="","",ROW()-3)</t>
        </is>
      </c>
      <c r="B27" s="40" t="inlineStr">
        <is>
          <t>AF2-P25-01</t>
        </is>
      </c>
      <c r="C27" s="40" t="inlineStr">
        <is>
          <t>Emergency Food Security Project (EFSP) – WBK/AF-2</t>
        </is>
      </c>
      <c r="D27" s="40" t="inlineStr">
        <is>
          <t>Package #25-AF2 WSM: Construction of Qali Gaz, Ghobana, and Nawi Kach, Zabul</t>
        </is>
      </c>
      <c r="E27" s="40" t="inlineStr">
        <is>
          <t>Qali Gaz Check Dam</t>
        </is>
      </c>
      <c r="F27" s="40" t="inlineStr">
        <is>
          <t>Check Dam</t>
        </is>
      </c>
      <c r="G27" s="40" t="inlineStr">
        <is>
          <t>South / Kandahar</t>
        </is>
      </c>
      <c r="H27" s="40" t="inlineStr">
        <is>
          <t>Zabul</t>
        </is>
      </c>
      <c r="I27" s="40" t="inlineStr">
        <is>
          <t>Mizana</t>
        </is>
      </c>
      <c r="J27" s="40" t="inlineStr">
        <is>
          <t>Qali Gaz Village</t>
        </is>
      </c>
      <c r="K27" s="40" t="inlineStr">
        <is>
          <t>World Bank (WBK/AF-2)</t>
        </is>
      </c>
      <c r="L27" s="40" t="inlineStr">
        <is>
          <t>TBA</t>
        </is>
      </c>
      <c r="M27" s="40" t="inlineStr">
        <is>
          <t>TBA</t>
        </is>
      </c>
      <c r="N27" s="41" t="n">
        <v>97679</v>
      </c>
      <c r="O27" s="34" t="inlineStr">
        <is>
          <t>IF(AE27="","",AE27)</t>
        </is>
      </c>
      <c r="P27" s="42" t="n"/>
      <c r="Q27" s="34" t="inlineStr">
        <is>
          <t>IF(OR(O27="",P27=""),"",EDATE(O27,P27))</t>
        </is>
      </c>
      <c r="R27" s="42" t="n"/>
      <c r="S27" s="40" t="inlineStr">
        <is>
          <t>Under Review of WRI</t>
        </is>
      </c>
      <c r="T27" s="40" t="inlineStr">
        <is>
          <t>Source list marked PR</t>
        </is>
      </c>
      <c r="U27" s="31" t="inlineStr">
        <is>
          <t>IF(E27="","",IF(COUNT(Y27:AJ27)=0,IF(S27="","Not started",S27),SUBSTITUTE(LOOKUP(2,1/(Y27:AJ27&lt;&gt;""),$Y$3:$AJ$3),"Date: ","")))</t>
        </is>
      </c>
      <c r="V27" s="36" t="inlineStr">
        <is>
          <t>IF(OR(E27="",COUNT(Y27:AJ27)=0),"",TODAY()-LOOKUP(2,1/(Y27:AJ27&lt;&gt;""),Y27:AJ27))</t>
        </is>
      </c>
      <c r="W27" s="36" t="inlineStr">
        <is>
          <t>IF(OR(E27="",COUNT(Y27:AJ27)&lt;2),"",LOOKUP(2,1/(Y27:AJ27&lt;&gt;""),Y27:AJ27)-MIN(Y27:AJ27))</t>
        </is>
      </c>
      <c r="X27" s="36" t="inlineStr">
        <is>
          <t>IF(OR(V27="",U27="Not started",U27=""),"",IFERROR(V27-IF(VLOOKUP(U27,'04_Status_Pipeline'!$B$3:$E$20,4,FALSE)="",0,VLOOKUP(U27,'04_Status_Pipeline'!$B$3:$E$20,4,FALSE)),""))</t>
        </is>
      </c>
      <c r="Y27" s="43" t="n"/>
      <c r="Z27" s="43" t="n"/>
      <c r="AA27" s="43" t="n"/>
      <c r="AB27" s="43" t="n"/>
      <c r="AC27" s="43" t="n"/>
      <c r="AD27" s="43" t="n"/>
      <c r="AE27" s="43" t="n"/>
      <c r="AF27" s="43" t="n"/>
      <c r="AG27" s="43" t="n"/>
      <c r="AH27" s="38" t="n"/>
      <c r="AI27" s="38" t="n"/>
      <c r="AJ27" s="38" t="n"/>
      <c r="AK27" s="36" t="inlineStr">
        <is>
          <t>IF(OR(E27="",Z27=""),"",IF(COUNT(Y27:Y27)=0,"",Z27-LOOKUP(2,1/(Y27:Y27&lt;&gt;""),Y27:Y27)))</t>
        </is>
      </c>
      <c r="AL27" s="36" t="inlineStr">
        <is>
          <t>IF(OR(E27="",AA27=""),"",IF(COUNT(Y27:Z27)=0,"",AA27-LOOKUP(2,1/(Y27:Z27&lt;&gt;""),Y27:Z27)))</t>
        </is>
      </c>
      <c r="AM27" s="36" t="inlineStr">
        <is>
          <t>IF(OR(E27="",AB27=""),"",IF(COUNT(Y27:AA27)=0,"",AB27-LOOKUP(2,1/(Y27:AA27&lt;&gt;""),Y27:AA27)))</t>
        </is>
      </c>
      <c r="AN27" s="36" t="inlineStr">
        <is>
          <t>IF(OR(E27="",AC27=""),"",IF(COUNT(Y27:AB27)=0,"",AC27-LOOKUP(2,1/(Y27:AB27&lt;&gt;""),Y27:AB27)))</t>
        </is>
      </c>
      <c r="AO27" s="36" t="inlineStr">
        <is>
          <t>IF(OR(E27="",AD27=""),"",IF(COUNT(Y27:AC27)=0,"",AD27-LOOKUP(2,1/(Y27:AC27&lt;&gt;""),Y27:AC27)))</t>
        </is>
      </c>
      <c r="AP27" s="36" t="inlineStr">
        <is>
          <t>IF(OR(E27="",AE27=""),"",IF(COUNT(Y27:AD27)=0,"",AE27-LOOKUP(2,1/(Y27:AD27&lt;&gt;""),Y27:AD27)))</t>
        </is>
      </c>
      <c r="AQ27" s="36" t="inlineStr">
        <is>
          <t>IF(OR(E27="",AF27=""),"",IF(COUNT(Y27:AE27)=0,"",AF27-LOOKUP(2,1/(Y27:AE27&lt;&gt;""),Y27:AE27)))</t>
        </is>
      </c>
      <c r="AR27" s="36" t="inlineStr">
        <is>
          <t>IF(OR(E27="",AG27=""),"",IF(COUNT(Y27:AF27)=0,"",AG27-LOOKUP(2,1/(Y27:AF27&lt;&gt;""),Y27:AF27)))</t>
        </is>
      </c>
      <c r="AS27" s="36" t="inlineStr">
        <is>
          <t>IF(OR(E27="",AH27=""),"",IF(COUNT(Y27:AG27)=0,"",AH27-LOOKUP(2,1/(Y27:AG27&lt;&gt;""),Y27:AG27)))</t>
        </is>
      </c>
      <c r="AT27" s="36" t="inlineStr">
        <is>
          <t>IF(OR(E27="",AI27=""),"",IF(COUNT(Y27:AH27)=0,"",AI27-LOOKUP(2,1/(Y27:AH27&lt;&gt;""),Y27:AH27)))</t>
        </is>
      </c>
      <c r="AU27" s="36" t="inlineStr">
        <is>
          <t>IF(OR(E27="",AJ27=""),"",IF(COUNT(Y27:AI27)=0,"",AJ27-LOOKUP(2,1/(Y27:AI27&lt;&gt;""),Y27:AI27)))</t>
        </is>
      </c>
      <c r="AV27" s="39" t="inlineStr">
        <is>
          <t>IF(G27="","All_Provinces",IFERROR(VLOOKUP(G27,'07_Lookups'!$A$4:$B$20,2,FALSE),"All_Provinces"))</t>
        </is>
      </c>
      <c r="AW27" s="39" t="inlineStr">
        <is>
          <t>IF(H27="","All_Districts",IFERROR(VLOOKUP(H27,'07_Lookups'!$E$4:$F$42,2,FALSE),"All_Districts"))</t>
        </is>
      </c>
    </row>
    <row r="28" ht="18" customHeight="1">
      <c r="A28" s="31" t="inlineStr">
        <is>
          <t>IF(E28="","",ROW()-3)</t>
        </is>
      </c>
      <c r="B28" s="32" t="inlineStr">
        <is>
          <t>AF2-P25-02</t>
        </is>
      </c>
      <c r="C28" s="32" t="inlineStr">
        <is>
          <t>Emergency Food Security Project (EFSP) – WBK/AF-2</t>
        </is>
      </c>
      <c r="D28" s="32" t="inlineStr">
        <is>
          <t>Package #25-AF2 WSM: Construction of Qali Gaz, Ghobana, and Nawi Kach, Zabul</t>
        </is>
      </c>
      <c r="E28" s="32" t="inlineStr">
        <is>
          <t>Ghobana Check Dam</t>
        </is>
      </c>
      <c r="F28" s="32" t="inlineStr">
        <is>
          <t>Check Dam</t>
        </is>
      </c>
      <c r="G28" s="32" t="inlineStr">
        <is>
          <t>South / Kandahar</t>
        </is>
      </c>
      <c r="H28" s="32" t="inlineStr">
        <is>
          <t>Zabul</t>
        </is>
      </c>
      <c r="I28" s="32" t="inlineStr">
        <is>
          <t>Mizana</t>
        </is>
      </c>
      <c r="J28" s="32" t="inlineStr">
        <is>
          <t>Takhom Village</t>
        </is>
      </c>
      <c r="K28" s="32" t="inlineStr">
        <is>
          <t>World Bank (WBK/AF-2)</t>
        </is>
      </c>
      <c r="L28" s="32" t="n"/>
      <c r="M28" s="32" t="n"/>
      <c r="N28" s="33" t="n"/>
      <c r="O28" s="34" t="inlineStr">
        <is>
          <t>IF(AE28="","",AE28)</t>
        </is>
      </c>
      <c r="P28" s="35" t="n"/>
      <c r="Q28" s="34" t="inlineStr">
        <is>
          <t>IF(OR(O28="",P28=""),"",EDATE(O28,P28))</t>
        </is>
      </c>
      <c r="R28" s="35" t="n"/>
      <c r="S28" s="32" t="inlineStr">
        <is>
          <t>Under Review of WRI</t>
        </is>
      </c>
      <c r="T28" s="32" t="inlineStr">
        <is>
          <t>Same package as Qali Gaz</t>
        </is>
      </c>
      <c r="U28" s="31" t="inlineStr">
        <is>
          <t>IF(E28="","",IF(COUNT(Y28:AJ28)=0,IF(S28="","Not started",S28),SUBSTITUTE(LOOKUP(2,1/(Y28:AJ28&lt;&gt;""),$Y$3:$AJ$3),"Date: ","")))</t>
        </is>
      </c>
      <c r="V28" s="36" t="inlineStr">
        <is>
          <t>IF(OR(E28="",COUNT(Y28:AJ28)=0),"",TODAY()-LOOKUP(2,1/(Y28:AJ28&lt;&gt;""),Y28:AJ28))</t>
        </is>
      </c>
      <c r="W28" s="36" t="inlineStr">
        <is>
          <t>IF(OR(E28="",COUNT(Y28:AJ28)&lt;2),"",LOOKUP(2,1/(Y28:AJ28&lt;&gt;""),Y28:AJ28)-MIN(Y28:AJ28))</t>
        </is>
      </c>
      <c r="X28" s="36" t="inlineStr">
        <is>
          <t>IF(OR(V28="",U28="Not started",U28=""),"",IFERROR(V28-IF(VLOOKUP(U28,'04_Status_Pipeline'!$B$3:$E$20,4,FALSE)="",0,VLOOKUP(U28,'04_Status_Pipeline'!$B$3:$E$20,4,FALSE)),""))</t>
        </is>
      </c>
      <c r="Y28" s="37" t="n"/>
      <c r="Z28" s="37" t="n"/>
      <c r="AA28" s="37" t="n"/>
      <c r="AB28" s="37" t="n"/>
      <c r="AC28" s="37" t="n"/>
      <c r="AD28" s="37" t="n"/>
      <c r="AE28" s="37" t="n"/>
      <c r="AF28" s="37" t="n"/>
      <c r="AG28" s="37" t="n"/>
      <c r="AH28" s="38" t="n"/>
      <c r="AI28" s="38" t="n"/>
      <c r="AJ28" s="38" t="n"/>
      <c r="AK28" s="36" t="inlineStr">
        <is>
          <t>IF(OR(E28="",Z28=""),"",IF(COUNT(Y28:Y28)=0,"",Z28-LOOKUP(2,1/(Y28:Y28&lt;&gt;""),Y28:Y28)))</t>
        </is>
      </c>
      <c r="AL28" s="36" t="inlineStr">
        <is>
          <t>IF(OR(E28="",AA28=""),"",IF(COUNT(Y28:Z28)=0,"",AA28-LOOKUP(2,1/(Y28:Z28&lt;&gt;""),Y28:Z28)))</t>
        </is>
      </c>
      <c r="AM28" s="36" t="inlineStr">
        <is>
          <t>IF(OR(E28="",AB28=""),"",IF(COUNT(Y28:AA28)=0,"",AB28-LOOKUP(2,1/(Y28:AA28&lt;&gt;""),Y28:AA28)))</t>
        </is>
      </c>
      <c r="AN28" s="36" t="inlineStr">
        <is>
          <t>IF(OR(E28="",AC28=""),"",IF(COUNT(Y28:AB28)=0,"",AC28-LOOKUP(2,1/(Y28:AB28&lt;&gt;""),Y28:AB28)))</t>
        </is>
      </c>
      <c r="AO28" s="36" t="inlineStr">
        <is>
          <t>IF(OR(E28="",AD28=""),"",IF(COUNT(Y28:AC28)=0,"",AD28-LOOKUP(2,1/(Y28:AC28&lt;&gt;""),Y28:AC28)))</t>
        </is>
      </c>
      <c r="AP28" s="36" t="inlineStr">
        <is>
          <t>IF(OR(E28="",AE28=""),"",IF(COUNT(Y28:AD28)=0,"",AE28-LOOKUP(2,1/(Y28:AD28&lt;&gt;""),Y28:AD28)))</t>
        </is>
      </c>
      <c r="AQ28" s="36" t="inlineStr">
        <is>
          <t>IF(OR(E28="",AF28=""),"",IF(COUNT(Y28:AE28)=0,"",AF28-LOOKUP(2,1/(Y28:AE28&lt;&gt;""),Y28:AE28)))</t>
        </is>
      </c>
      <c r="AR28" s="36" t="inlineStr">
        <is>
          <t>IF(OR(E28="",AG28=""),"",IF(COUNT(Y28:AF28)=0,"",AG28-LOOKUP(2,1/(Y28:AF28&lt;&gt;""),Y28:AF28)))</t>
        </is>
      </c>
      <c r="AS28" s="36" t="inlineStr">
        <is>
          <t>IF(OR(E28="",AH28=""),"",IF(COUNT(Y28:AG28)=0,"",AH28-LOOKUP(2,1/(Y28:AG28&lt;&gt;""),Y28:AG28)))</t>
        </is>
      </c>
      <c r="AT28" s="36" t="inlineStr">
        <is>
          <t>IF(OR(E28="",AI28=""),"",IF(COUNT(Y28:AH28)=0,"",AI28-LOOKUP(2,1/(Y28:AH28&lt;&gt;""),Y28:AH28)))</t>
        </is>
      </c>
      <c r="AU28" s="36" t="inlineStr">
        <is>
          <t>IF(OR(E28="",AJ28=""),"",IF(COUNT(Y28:AI28)=0,"",AJ28-LOOKUP(2,1/(Y28:AI28&lt;&gt;""),Y28:AI28)))</t>
        </is>
      </c>
      <c r="AV28" s="39" t="inlineStr">
        <is>
          <t>IF(G28="","All_Provinces",IFERROR(VLOOKUP(G28,'07_Lookups'!$A$4:$B$20,2,FALSE),"All_Provinces"))</t>
        </is>
      </c>
      <c r="AW28" s="39" t="inlineStr">
        <is>
          <t>IF(H28="","All_Districts",IFERROR(VLOOKUP(H28,'07_Lookups'!$E$4:$F$42,2,FALSE),"All_Districts"))</t>
        </is>
      </c>
    </row>
    <row r="29" ht="18" customHeight="1">
      <c r="A29" s="31" t="inlineStr">
        <is>
          <t>IF(E29="","",ROW()-3)</t>
        </is>
      </c>
      <c r="B29" s="40" t="inlineStr">
        <is>
          <t>AF2-P25-03</t>
        </is>
      </c>
      <c r="C29" s="40" t="inlineStr">
        <is>
          <t>Emergency Food Security Project (EFSP) – WBK/AF-2</t>
        </is>
      </c>
      <c r="D29" s="40" t="inlineStr">
        <is>
          <t>Package #25-AF2 WSM: Construction of Qali Gaz, Ghobana, and Nawi Kach, Zabul</t>
        </is>
      </c>
      <c r="E29" s="40" t="inlineStr">
        <is>
          <t>Nawi Kach Check Dam</t>
        </is>
      </c>
      <c r="F29" s="40" t="inlineStr">
        <is>
          <t>Check Dam</t>
        </is>
      </c>
      <c r="G29" s="40" t="inlineStr">
        <is>
          <t>South / Kandahar</t>
        </is>
      </c>
      <c r="H29" s="40" t="inlineStr">
        <is>
          <t>Zabul</t>
        </is>
      </c>
      <c r="I29" s="40" t="inlineStr">
        <is>
          <t>Mizana</t>
        </is>
      </c>
      <c r="J29" s="40" t="inlineStr">
        <is>
          <t>Landi Nawa Village</t>
        </is>
      </c>
      <c r="K29" s="40" t="inlineStr">
        <is>
          <t>World Bank (WBK/AF-2)</t>
        </is>
      </c>
      <c r="L29" s="40" t="n"/>
      <c r="M29" s="40" t="n"/>
      <c r="N29" s="41" t="n"/>
      <c r="O29" s="34" t="inlineStr">
        <is>
          <t>IF(AE29="","",AE29)</t>
        </is>
      </c>
      <c r="P29" s="42" t="n"/>
      <c r="Q29" s="34" t="inlineStr">
        <is>
          <t>IF(OR(O29="",P29=""),"",EDATE(O29,P29))</t>
        </is>
      </c>
      <c r="R29" s="42" t="n"/>
      <c r="S29" s="40" t="inlineStr">
        <is>
          <t>Under Review of WRI</t>
        </is>
      </c>
      <c r="T29" s="40" t="inlineStr">
        <is>
          <t>Same package as Qali Gaz</t>
        </is>
      </c>
      <c r="U29" s="31" t="inlineStr">
        <is>
          <t>IF(E29="","",IF(COUNT(Y29:AJ29)=0,IF(S29="","Not started",S29),SUBSTITUTE(LOOKUP(2,1/(Y29:AJ29&lt;&gt;""),$Y$3:$AJ$3),"Date: ","")))</t>
        </is>
      </c>
      <c r="V29" s="36" t="inlineStr">
        <is>
          <t>IF(OR(E29="",COUNT(Y29:AJ29)=0),"",TODAY()-LOOKUP(2,1/(Y29:AJ29&lt;&gt;""),Y29:AJ29))</t>
        </is>
      </c>
      <c r="W29" s="36" t="inlineStr">
        <is>
          <t>IF(OR(E29="",COUNT(Y29:AJ29)&lt;2),"",LOOKUP(2,1/(Y29:AJ29&lt;&gt;""),Y29:AJ29)-MIN(Y29:AJ29))</t>
        </is>
      </c>
      <c r="X29" s="36" t="inlineStr">
        <is>
          <t>IF(OR(V29="",U29="Not started",U29=""),"",IFERROR(V29-IF(VLOOKUP(U29,'04_Status_Pipeline'!$B$3:$E$20,4,FALSE)="",0,VLOOKUP(U29,'04_Status_Pipeline'!$B$3:$E$20,4,FALSE)),""))</t>
        </is>
      </c>
      <c r="Y29" s="43" t="n"/>
      <c r="Z29" s="43" t="n"/>
      <c r="AA29" s="43" t="n"/>
      <c r="AB29" s="43" t="n"/>
      <c r="AC29" s="43" t="n"/>
      <c r="AD29" s="43" t="n"/>
      <c r="AE29" s="43" t="n"/>
      <c r="AF29" s="43" t="n"/>
      <c r="AG29" s="43" t="n"/>
      <c r="AH29" s="38" t="n"/>
      <c r="AI29" s="38" t="n"/>
      <c r="AJ29" s="38" t="n"/>
      <c r="AK29" s="36" t="inlineStr">
        <is>
          <t>IF(OR(E29="",Z29=""),"",IF(COUNT(Y29:Y29)=0,"",Z29-LOOKUP(2,1/(Y29:Y29&lt;&gt;""),Y29:Y29)))</t>
        </is>
      </c>
      <c r="AL29" s="36" t="inlineStr">
        <is>
          <t>IF(OR(E29="",AA29=""),"",IF(COUNT(Y29:Z29)=0,"",AA29-LOOKUP(2,1/(Y29:Z29&lt;&gt;""),Y29:Z29)))</t>
        </is>
      </c>
      <c r="AM29" s="36" t="inlineStr">
        <is>
          <t>IF(OR(E29="",AB29=""),"",IF(COUNT(Y29:AA29)=0,"",AB29-LOOKUP(2,1/(Y29:AA29&lt;&gt;""),Y29:AA29)))</t>
        </is>
      </c>
      <c r="AN29" s="36" t="inlineStr">
        <is>
          <t>IF(OR(E29="",AC29=""),"",IF(COUNT(Y29:AB29)=0,"",AC29-LOOKUP(2,1/(Y29:AB29&lt;&gt;""),Y29:AB29)))</t>
        </is>
      </c>
      <c r="AO29" s="36" t="inlineStr">
        <is>
          <t>IF(OR(E29="",AD29=""),"",IF(COUNT(Y29:AC29)=0,"",AD29-LOOKUP(2,1/(Y29:AC29&lt;&gt;""),Y29:AC29)))</t>
        </is>
      </c>
      <c r="AP29" s="36" t="inlineStr">
        <is>
          <t>IF(OR(E29="",AE29=""),"",IF(COUNT(Y29:AD29)=0,"",AE29-LOOKUP(2,1/(Y29:AD29&lt;&gt;""),Y29:AD29)))</t>
        </is>
      </c>
      <c r="AQ29" s="36" t="inlineStr">
        <is>
          <t>IF(OR(E29="",AF29=""),"",IF(COUNT(Y29:AE29)=0,"",AF29-LOOKUP(2,1/(Y29:AE29&lt;&gt;""),Y29:AE29)))</t>
        </is>
      </c>
      <c r="AR29" s="36" t="inlineStr">
        <is>
          <t>IF(OR(E29="",AG29=""),"",IF(COUNT(Y29:AF29)=0,"",AG29-LOOKUP(2,1/(Y29:AF29&lt;&gt;""),Y29:AF29)))</t>
        </is>
      </c>
      <c r="AS29" s="36" t="inlineStr">
        <is>
          <t>IF(OR(E29="",AH29=""),"",IF(COUNT(Y29:AG29)=0,"",AH29-LOOKUP(2,1/(Y29:AG29&lt;&gt;""),Y29:AG29)))</t>
        </is>
      </c>
      <c r="AT29" s="36" t="inlineStr">
        <is>
          <t>IF(OR(E29="",AI29=""),"",IF(COUNT(Y29:AH29)=0,"",AI29-LOOKUP(2,1/(Y29:AH29&lt;&gt;""),Y29:AH29)))</t>
        </is>
      </c>
      <c r="AU29" s="36" t="inlineStr">
        <is>
          <t>IF(OR(E29="",AJ29=""),"",IF(COUNT(Y29:AI29)=0,"",AJ29-LOOKUP(2,1/(Y29:AI29&lt;&gt;""),Y29:AI29)))</t>
        </is>
      </c>
      <c r="AV29" s="39" t="inlineStr">
        <is>
          <t>IF(G29="","All_Provinces",IFERROR(VLOOKUP(G29,'07_Lookups'!$A$4:$B$20,2,FALSE),"All_Provinces"))</t>
        </is>
      </c>
      <c r="AW29" s="39" t="inlineStr">
        <is>
          <t>IF(H29="","All_Districts",IFERROR(VLOOKUP(H29,'07_Lookups'!$E$4:$F$42,2,FALSE),"All_Districts"))</t>
        </is>
      </c>
    </row>
    <row r="30" ht="18" customHeight="1">
      <c r="A30" s="31" t="inlineStr">
        <is>
          <t>IF(E30="","",ROW()-3)</t>
        </is>
      </c>
      <c r="B30" s="32" t="inlineStr">
        <is>
          <t>AF2-P34-01</t>
        </is>
      </c>
      <c r="C30" s="32" t="inlineStr">
        <is>
          <t>Emergency Food Security Project (EFSP) – WBK/AF-2</t>
        </is>
      </c>
      <c r="D30" s="32" t="inlineStr">
        <is>
          <t>Package #34-AF2 WSM: Construction of two Check dams, Kunduz</t>
        </is>
      </c>
      <c r="E30" s="32" t="inlineStr">
        <is>
          <t>Tawqus Sangaw Check Dam</t>
        </is>
      </c>
      <c r="F30" s="32" t="inlineStr">
        <is>
          <t>Check Dam</t>
        </is>
      </c>
      <c r="G30" s="32" t="inlineStr">
        <is>
          <t>Northeast / Kunduz</t>
        </is>
      </c>
      <c r="H30" s="32" t="inlineStr">
        <is>
          <t>Kunduz</t>
        </is>
      </c>
      <c r="I30" s="32" t="inlineStr">
        <is>
          <t>Kalbad</t>
        </is>
      </c>
      <c r="J30" s="32" t="inlineStr">
        <is>
          <t>Tawqus Sangaw</t>
        </is>
      </c>
      <c r="K30" s="32" t="inlineStr">
        <is>
          <t>World Bank (WBK/AF-2)</t>
        </is>
      </c>
      <c r="L30" s="32" t="inlineStr">
        <is>
          <t>TBA</t>
        </is>
      </c>
      <c r="M30" s="32" t="inlineStr">
        <is>
          <t>TBA</t>
        </is>
      </c>
      <c r="N30" s="33" t="n">
        <v>66985</v>
      </c>
      <c r="O30" s="34" t="inlineStr">
        <is>
          <t>IF(AE30="","",AE30)</t>
        </is>
      </c>
      <c r="P30" s="35" t="n">
        <v>4</v>
      </c>
      <c r="Q30" s="34" t="inlineStr">
        <is>
          <t>IF(OR(O30="",P30=""),"",EDATE(O30,P30))</t>
        </is>
      </c>
      <c r="R30" s="35" t="n"/>
      <c r="S30" s="32" t="inlineStr">
        <is>
          <t>Under Technical Evaluation</t>
        </is>
      </c>
      <c r="T30" s="32" t="inlineStr">
        <is>
          <t>Source list marked TE / ITB. Region corrected to Northeast / Kunduz.</t>
        </is>
      </c>
      <c r="U30" s="31" t="inlineStr">
        <is>
          <t>IF(E30="","",IF(COUNT(Y30:AJ30)=0,IF(S30="","Not started",S30),SUBSTITUTE(LOOKUP(2,1/(Y30:AJ30&lt;&gt;""),$Y$3:$AJ$3),"Date: ","")))</t>
        </is>
      </c>
      <c r="V30" s="36" t="inlineStr">
        <is>
          <t>IF(OR(E30="",COUNT(Y30:AJ30)=0),"",TODAY()-LOOKUP(2,1/(Y30:AJ30&lt;&gt;""),Y30:AJ30))</t>
        </is>
      </c>
      <c r="W30" s="36" t="inlineStr">
        <is>
          <t>IF(OR(E30="",COUNT(Y30:AJ30)&lt;2),"",LOOKUP(2,1/(Y30:AJ30&lt;&gt;""),Y30:AJ30)-MIN(Y30:AJ30))</t>
        </is>
      </c>
      <c r="X30" s="36" t="inlineStr">
        <is>
          <t>IF(OR(V30="",U30="Not started",U30=""),"",IFERROR(V30-IF(VLOOKUP(U30,'04_Status_Pipeline'!$B$3:$E$20,4,FALSE)="",0,VLOOKUP(U30,'04_Status_Pipeline'!$B$3:$E$20,4,FALSE)),""))</t>
        </is>
      </c>
      <c r="Y30" s="37" t="n"/>
      <c r="Z30" s="37" t="n"/>
      <c r="AA30" s="37" t="n"/>
      <c r="AB30" s="37" t="n"/>
      <c r="AC30" s="37" t="n"/>
      <c r="AD30" s="37" t="n"/>
      <c r="AE30" s="37" t="n"/>
      <c r="AF30" s="37" t="n"/>
      <c r="AG30" s="37" t="n"/>
      <c r="AH30" s="38" t="n"/>
      <c r="AI30" s="38" t="n"/>
      <c r="AJ30" s="38" t="n"/>
      <c r="AK30" s="36" t="inlineStr">
        <is>
          <t>IF(OR(E30="",Z30=""),"",IF(COUNT(Y30:Y30)=0,"",Z30-LOOKUP(2,1/(Y30:Y30&lt;&gt;""),Y30:Y30)))</t>
        </is>
      </c>
      <c r="AL30" s="36" t="inlineStr">
        <is>
          <t>IF(OR(E30="",AA30=""),"",IF(COUNT(Y30:Z30)=0,"",AA30-LOOKUP(2,1/(Y30:Z30&lt;&gt;""),Y30:Z30)))</t>
        </is>
      </c>
      <c r="AM30" s="36" t="inlineStr">
        <is>
          <t>IF(OR(E30="",AB30=""),"",IF(COUNT(Y30:AA30)=0,"",AB30-LOOKUP(2,1/(Y30:AA30&lt;&gt;""),Y30:AA30)))</t>
        </is>
      </c>
      <c r="AN30" s="36" t="inlineStr">
        <is>
          <t>IF(OR(E30="",AC30=""),"",IF(COUNT(Y30:AB30)=0,"",AC30-LOOKUP(2,1/(Y30:AB30&lt;&gt;""),Y30:AB30)))</t>
        </is>
      </c>
      <c r="AO30" s="36" t="inlineStr">
        <is>
          <t>IF(OR(E30="",AD30=""),"",IF(COUNT(Y30:AC30)=0,"",AD30-LOOKUP(2,1/(Y30:AC30&lt;&gt;""),Y30:AC30)))</t>
        </is>
      </c>
      <c r="AP30" s="36" t="inlineStr">
        <is>
          <t>IF(OR(E30="",AE30=""),"",IF(COUNT(Y30:AD30)=0,"",AE30-LOOKUP(2,1/(Y30:AD30&lt;&gt;""),Y30:AD30)))</t>
        </is>
      </c>
      <c r="AQ30" s="36" t="inlineStr">
        <is>
          <t>IF(OR(E30="",AF30=""),"",IF(COUNT(Y30:AE30)=0,"",AF30-LOOKUP(2,1/(Y30:AE30&lt;&gt;""),Y30:AE30)))</t>
        </is>
      </c>
      <c r="AR30" s="36" t="inlineStr">
        <is>
          <t>IF(OR(E30="",AG30=""),"",IF(COUNT(Y30:AF30)=0,"",AG30-LOOKUP(2,1/(Y30:AF30&lt;&gt;""),Y30:AF30)))</t>
        </is>
      </c>
      <c r="AS30" s="36" t="inlineStr">
        <is>
          <t>IF(OR(E30="",AH30=""),"",IF(COUNT(Y30:AG30)=0,"",AH30-LOOKUP(2,1/(Y30:AG30&lt;&gt;""),Y30:AG30)))</t>
        </is>
      </c>
      <c r="AT30" s="36" t="inlineStr">
        <is>
          <t>IF(OR(E30="",AI30=""),"",IF(COUNT(Y30:AH30)=0,"",AI30-LOOKUP(2,1/(Y30:AH30&lt;&gt;""),Y30:AH30)))</t>
        </is>
      </c>
      <c r="AU30" s="36" t="inlineStr">
        <is>
          <t>IF(OR(E30="",AJ30=""),"",IF(COUNT(Y30:AI30)=0,"",AJ30-LOOKUP(2,1/(Y30:AI30&lt;&gt;""),Y30:AI30)))</t>
        </is>
      </c>
      <c r="AV30" s="39" t="inlineStr">
        <is>
          <t>IF(G30="","All_Provinces",IFERROR(VLOOKUP(G30,'07_Lookups'!$A$4:$B$20,2,FALSE),"All_Provinces"))</t>
        </is>
      </c>
      <c r="AW30" s="39" t="inlineStr">
        <is>
          <t>IF(H30="","All_Districts",IFERROR(VLOOKUP(H30,'07_Lookups'!$E$4:$F$42,2,FALSE),"All_Districts"))</t>
        </is>
      </c>
    </row>
    <row r="31" ht="18" customHeight="1">
      <c r="A31" s="31" t="inlineStr">
        <is>
          <t>IF(E31="","",ROW()-3)</t>
        </is>
      </c>
      <c r="B31" s="40" t="inlineStr">
        <is>
          <t>AF2-P34-02</t>
        </is>
      </c>
      <c r="C31" s="40" t="inlineStr">
        <is>
          <t>Emergency Food Security Project (EFSP) – WBK/AF-2</t>
        </is>
      </c>
      <c r="D31" s="40" t="inlineStr">
        <is>
          <t>Package #34-AF2 WSM: Construction of two Check dams, Kunduz</t>
        </is>
      </c>
      <c r="E31" s="40" t="inlineStr">
        <is>
          <t>Khalkoma Check Dam</t>
        </is>
      </c>
      <c r="F31" s="40" t="inlineStr">
        <is>
          <t>Check Dam</t>
        </is>
      </c>
      <c r="G31" s="40" t="inlineStr">
        <is>
          <t>Northeast / Kunduz</t>
        </is>
      </c>
      <c r="H31" s="40" t="inlineStr">
        <is>
          <t>Kunduz</t>
        </is>
      </c>
      <c r="I31" s="40" t="inlineStr">
        <is>
          <t>Ali Abad</t>
        </is>
      </c>
      <c r="J31" s="40" t="inlineStr">
        <is>
          <t>Khalkoma</t>
        </is>
      </c>
      <c r="K31" s="40" t="inlineStr">
        <is>
          <t>World Bank (WBK/AF-2)</t>
        </is>
      </c>
      <c r="L31" s="40" t="n"/>
      <c r="M31" s="40" t="n"/>
      <c r="N31" s="41" t="n"/>
      <c r="O31" s="34" t="inlineStr">
        <is>
          <t>IF(AE31="","",AE31)</t>
        </is>
      </c>
      <c r="P31" s="42" t="n">
        <v>4</v>
      </c>
      <c r="Q31" s="34" t="inlineStr">
        <is>
          <t>IF(OR(O31="",P31=""),"",EDATE(O31,P31))</t>
        </is>
      </c>
      <c r="R31" s="42" t="n"/>
      <c r="S31" s="40" t="inlineStr">
        <is>
          <t>Under Technical Evaluation</t>
        </is>
      </c>
      <c r="T31" s="40" t="inlineStr">
        <is>
          <t>Same package as Tawqus Sangaw</t>
        </is>
      </c>
      <c r="U31" s="31" t="inlineStr">
        <is>
          <t>IF(E31="","",IF(COUNT(Y31:AJ31)=0,IF(S31="","Not started",S31),SUBSTITUTE(LOOKUP(2,1/(Y31:AJ31&lt;&gt;""),$Y$3:$AJ$3),"Date: ","")))</t>
        </is>
      </c>
      <c r="V31" s="36" t="inlineStr">
        <is>
          <t>IF(OR(E31="",COUNT(Y31:AJ31)=0),"",TODAY()-LOOKUP(2,1/(Y31:AJ31&lt;&gt;""),Y31:AJ31))</t>
        </is>
      </c>
      <c r="W31" s="36" t="inlineStr">
        <is>
          <t>IF(OR(E31="",COUNT(Y31:AJ31)&lt;2),"",LOOKUP(2,1/(Y31:AJ31&lt;&gt;""),Y31:AJ31)-MIN(Y31:AJ31))</t>
        </is>
      </c>
      <c r="X31" s="36" t="inlineStr">
        <is>
          <t>IF(OR(V31="",U31="Not started",U31=""),"",IFERROR(V31-IF(VLOOKUP(U31,'04_Status_Pipeline'!$B$3:$E$20,4,FALSE)="",0,VLOOKUP(U31,'04_Status_Pipeline'!$B$3:$E$20,4,FALSE)),""))</t>
        </is>
      </c>
      <c r="Y31" s="43" t="n"/>
      <c r="Z31" s="43" t="n"/>
      <c r="AA31" s="43" t="n"/>
      <c r="AB31" s="43" t="n"/>
      <c r="AC31" s="43" t="n"/>
      <c r="AD31" s="43" t="n"/>
      <c r="AE31" s="43" t="n"/>
      <c r="AF31" s="43" t="n"/>
      <c r="AG31" s="43" t="n"/>
      <c r="AH31" s="38" t="n"/>
      <c r="AI31" s="38" t="n"/>
      <c r="AJ31" s="38" t="n"/>
      <c r="AK31" s="36" t="inlineStr">
        <is>
          <t>IF(OR(E31="",Z31=""),"",IF(COUNT(Y31:Y31)=0,"",Z31-LOOKUP(2,1/(Y31:Y31&lt;&gt;""),Y31:Y31)))</t>
        </is>
      </c>
      <c r="AL31" s="36" t="inlineStr">
        <is>
          <t>IF(OR(E31="",AA31=""),"",IF(COUNT(Y31:Z31)=0,"",AA31-LOOKUP(2,1/(Y31:Z31&lt;&gt;""),Y31:Z31)))</t>
        </is>
      </c>
      <c r="AM31" s="36" t="inlineStr">
        <is>
          <t>IF(OR(E31="",AB31=""),"",IF(COUNT(Y31:AA31)=0,"",AB31-LOOKUP(2,1/(Y31:AA31&lt;&gt;""),Y31:AA31)))</t>
        </is>
      </c>
      <c r="AN31" s="36" t="inlineStr">
        <is>
          <t>IF(OR(E31="",AC31=""),"",IF(COUNT(Y31:AB31)=0,"",AC31-LOOKUP(2,1/(Y31:AB31&lt;&gt;""),Y31:AB31)))</t>
        </is>
      </c>
      <c r="AO31" s="36" t="inlineStr">
        <is>
          <t>IF(OR(E31="",AD31=""),"",IF(COUNT(Y31:AC31)=0,"",AD31-LOOKUP(2,1/(Y31:AC31&lt;&gt;""),Y31:AC31)))</t>
        </is>
      </c>
      <c r="AP31" s="36" t="inlineStr">
        <is>
          <t>IF(OR(E31="",AE31=""),"",IF(COUNT(Y31:AD31)=0,"",AE31-LOOKUP(2,1/(Y31:AD31&lt;&gt;""),Y31:AD31)))</t>
        </is>
      </c>
      <c r="AQ31" s="36" t="inlineStr">
        <is>
          <t>IF(OR(E31="",AF31=""),"",IF(COUNT(Y31:AE31)=0,"",AF31-LOOKUP(2,1/(Y31:AE31&lt;&gt;""),Y31:AE31)))</t>
        </is>
      </c>
      <c r="AR31" s="36" t="inlineStr">
        <is>
          <t>IF(OR(E31="",AG31=""),"",IF(COUNT(Y31:AF31)=0,"",AG31-LOOKUP(2,1/(Y31:AF31&lt;&gt;""),Y31:AF31)))</t>
        </is>
      </c>
      <c r="AS31" s="36" t="inlineStr">
        <is>
          <t>IF(OR(E31="",AH31=""),"",IF(COUNT(Y31:AG31)=0,"",AH31-LOOKUP(2,1/(Y31:AG31&lt;&gt;""),Y31:AG31)))</t>
        </is>
      </c>
      <c r="AT31" s="36" t="inlineStr">
        <is>
          <t>IF(OR(E31="",AI31=""),"",IF(COUNT(Y31:AH31)=0,"",AI31-LOOKUP(2,1/(Y31:AH31&lt;&gt;""),Y31:AH31)))</t>
        </is>
      </c>
      <c r="AU31" s="36" t="inlineStr">
        <is>
          <t>IF(OR(E31="",AJ31=""),"",IF(COUNT(Y31:AI31)=0,"",AJ31-LOOKUP(2,1/(Y31:AI31&lt;&gt;""),Y31:AI31)))</t>
        </is>
      </c>
      <c r="AV31" s="39" t="inlineStr">
        <is>
          <t>IF(G31="","All_Provinces",IFERROR(VLOOKUP(G31,'07_Lookups'!$A$4:$B$20,2,FALSE),"All_Provinces"))</t>
        </is>
      </c>
      <c r="AW31" s="39" t="inlineStr">
        <is>
          <t>IF(H31="","All_Districts",IFERROR(VLOOKUP(H31,'07_Lookups'!$E$4:$F$42,2,FALSE),"All_Districts"))</t>
        </is>
      </c>
    </row>
    <row r="32" ht="18" customHeight="1">
      <c r="A32" s="31" t="inlineStr">
        <is>
          <t>IF(E32="","",ROW()-3)</t>
        </is>
      </c>
      <c r="B32" s="32" t="inlineStr">
        <is>
          <t>AF2-P33-01</t>
        </is>
      </c>
      <c r="C32" s="32" t="inlineStr">
        <is>
          <t>Emergency Food Security Project (EFSP) – WBK/AF-2</t>
        </is>
      </c>
      <c r="D32" s="32" t="inlineStr">
        <is>
          <t>Package #33-AF2 WSM: Construction of Ala Taba-1 and Ala Taba-2, Alburz, Balkh</t>
        </is>
      </c>
      <c r="E32" s="32" t="inlineStr">
        <is>
          <t>Ala Taba-1</t>
        </is>
      </c>
      <c r="F32" s="32" t="inlineStr">
        <is>
          <t>Check Dam</t>
        </is>
      </c>
      <c r="G32" s="32" t="inlineStr">
        <is>
          <t>North / Mazar</t>
        </is>
      </c>
      <c r="H32" s="32" t="inlineStr">
        <is>
          <t>Balkh</t>
        </is>
      </c>
      <c r="I32" s="32" t="inlineStr">
        <is>
          <t>Alburz</t>
        </is>
      </c>
      <c r="J32" s="32" t="inlineStr">
        <is>
          <t>Chashma Gudar and Ala Tawa</t>
        </is>
      </c>
      <c r="K32" s="32" t="inlineStr">
        <is>
          <t>World Bank (WBK/AF-2)</t>
        </is>
      </c>
      <c r="L32" s="32" t="inlineStr">
        <is>
          <t>TBA</t>
        </is>
      </c>
      <c r="M32" s="32" t="inlineStr">
        <is>
          <t>TBA</t>
        </is>
      </c>
      <c r="N32" s="33" t="n">
        <v>55029</v>
      </c>
      <c r="O32" s="34" t="inlineStr">
        <is>
          <t>IF(AE32="","",AE32)</t>
        </is>
      </c>
      <c r="P32" s="35" t="n"/>
      <c r="Q32" s="34" t="inlineStr">
        <is>
          <t>IF(OR(O32="",P32=""),"",EDATE(O32,P32))</t>
        </is>
      </c>
      <c r="R32" s="35" t="n"/>
      <c r="S32" s="32" t="inlineStr">
        <is>
          <t>Under Review of WRI</t>
        </is>
      </c>
      <c r="T32" s="32" t="inlineStr">
        <is>
          <t>Source list marked PR</t>
        </is>
      </c>
      <c r="U32" s="31" t="inlineStr">
        <is>
          <t>IF(E32="","",IF(COUNT(Y32:AJ32)=0,IF(S32="","Not started",S32),SUBSTITUTE(LOOKUP(2,1/(Y32:AJ32&lt;&gt;""),$Y$3:$AJ$3),"Date: ","")))</t>
        </is>
      </c>
      <c r="V32" s="36" t="inlineStr">
        <is>
          <t>IF(OR(E32="",COUNT(Y32:AJ32)=0),"",TODAY()-LOOKUP(2,1/(Y32:AJ32&lt;&gt;""),Y32:AJ32))</t>
        </is>
      </c>
      <c r="W32" s="36" t="inlineStr">
        <is>
          <t>IF(OR(E32="",COUNT(Y32:AJ32)&lt;2),"",LOOKUP(2,1/(Y32:AJ32&lt;&gt;""),Y32:AJ32)-MIN(Y32:AJ32))</t>
        </is>
      </c>
      <c r="X32" s="36" t="inlineStr">
        <is>
          <t>IF(OR(V32="",U32="Not started",U32=""),"",IFERROR(V32-IF(VLOOKUP(U32,'04_Status_Pipeline'!$B$3:$E$20,4,FALSE)="",0,VLOOKUP(U32,'04_Status_Pipeline'!$B$3:$E$20,4,FALSE)),""))</t>
        </is>
      </c>
      <c r="Y32" s="37" t="n"/>
      <c r="Z32" s="37" t="n"/>
      <c r="AA32" s="37" t="n"/>
      <c r="AB32" s="37" t="n"/>
      <c r="AC32" s="37" t="n"/>
      <c r="AD32" s="37" t="n"/>
      <c r="AE32" s="37" t="n"/>
      <c r="AF32" s="37" t="n"/>
      <c r="AG32" s="37" t="n"/>
      <c r="AH32" s="38" t="n"/>
      <c r="AI32" s="38" t="n"/>
      <c r="AJ32" s="38" t="n"/>
      <c r="AK32" s="36" t="inlineStr">
        <is>
          <t>IF(OR(E32="",Z32=""),"",IF(COUNT(Y32:Y32)=0,"",Z32-LOOKUP(2,1/(Y32:Y32&lt;&gt;""),Y32:Y32)))</t>
        </is>
      </c>
      <c r="AL32" s="36" t="inlineStr">
        <is>
          <t>IF(OR(E32="",AA32=""),"",IF(COUNT(Y32:Z32)=0,"",AA32-LOOKUP(2,1/(Y32:Z32&lt;&gt;""),Y32:Z32)))</t>
        </is>
      </c>
      <c r="AM32" s="36" t="inlineStr">
        <is>
          <t>IF(OR(E32="",AB32=""),"",IF(COUNT(Y32:AA32)=0,"",AB32-LOOKUP(2,1/(Y32:AA32&lt;&gt;""),Y32:AA32)))</t>
        </is>
      </c>
      <c r="AN32" s="36" t="inlineStr">
        <is>
          <t>IF(OR(E32="",AC32=""),"",IF(COUNT(Y32:AB32)=0,"",AC32-LOOKUP(2,1/(Y32:AB32&lt;&gt;""),Y32:AB32)))</t>
        </is>
      </c>
      <c r="AO32" s="36" t="inlineStr">
        <is>
          <t>IF(OR(E32="",AD32=""),"",IF(COUNT(Y32:AC32)=0,"",AD32-LOOKUP(2,1/(Y32:AC32&lt;&gt;""),Y32:AC32)))</t>
        </is>
      </c>
      <c r="AP32" s="36" t="inlineStr">
        <is>
          <t>IF(OR(E32="",AE32=""),"",IF(COUNT(Y32:AD32)=0,"",AE32-LOOKUP(2,1/(Y32:AD32&lt;&gt;""),Y32:AD32)))</t>
        </is>
      </c>
      <c r="AQ32" s="36" t="inlineStr">
        <is>
          <t>IF(OR(E32="",AF32=""),"",IF(COUNT(Y32:AE32)=0,"",AF32-LOOKUP(2,1/(Y32:AE32&lt;&gt;""),Y32:AE32)))</t>
        </is>
      </c>
      <c r="AR32" s="36" t="inlineStr">
        <is>
          <t>IF(OR(E32="",AG32=""),"",IF(COUNT(Y32:AF32)=0,"",AG32-LOOKUP(2,1/(Y32:AF32&lt;&gt;""),Y32:AF32)))</t>
        </is>
      </c>
      <c r="AS32" s="36" t="inlineStr">
        <is>
          <t>IF(OR(E32="",AH32=""),"",IF(COUNT(Y32:AG32)=0,"",AH32-LOOKUP(2,1/(Y32:AG32&lt;&gt;""),Y32:AG32)))</t>
        </is>
      </c>
      <c r="AT32" s="36" t="inlineStr">
        <is>
          <t>IF(OR(E32="",AI32=""),"",IF(COUNT(Y32:AH32)=0,"",AI32-LOOKUP(2,1/(Y32:AH32&lt;&gt;""),Y32:AH32)))</t>
        </is>
      </c>
      <c r="AU32" s="36" t="inlineStr">
        <is>
          <t>IF(OR(E32="",AJ32=""),"",IF(COUNT(Y32:AI32)=0,"",AJ32-LOOKUP(2,1/(Y32:AI32&lt;&gt;""),Y32:AI32)))</t>
        </is>
      </c>
      <c r="AV32" s="39" t="inlineStr">
        <is>
          <t>IF(G32="","All_Provinces",IFERROR(VLOOKUP(G32,'07_Lookups'!$A$4:$B$20,2,FALSE),"All_Provinces"))</t>
        </is>
      </c>
      <c r="AW32" s="39" t="inlineStr">
        <is>
          <t>IF(H32="","All_Districts",IFERROR(VLOOKUP(H32,'07_Lookups'!$E$4:$F$42,2,FALSE),"All_Districts"))</t>
        </is>
      </c>
    </row>
    <row r="33" ht="18" customHeight="1">
      <c r="A33" s="31" t="inlineStr">
        <is>
          <t>IF(E33="","",ROW()-3)</t>
        </is>
      </c>
      <c r="B33" s="40" t="inlineStr">
        <is>
          <t>AF2-P33-02</t>
        </is>
      </c>
      <c r="C33" s="40" t="inlineStr">
        <is>
          <t>Emergency Food Security Project (EFSP) – WBK/AF-2</t>
        </is>
      </c>
      <c r="D33" s="40" t="inlineStr">
        <is>
          <t>Package #33-AF2 WSM: Construction of Ala Taba-1 and Ala Taba-2, Alburz, Balkh</t>
        </is>
      </c>
      <c r="E33" s="40" t="inlineStr">
        <is>
          <t>Ala Taba-2</t>
        </is>
      </c>
      <c r="F33" s="40" t="inlineStr">
        <is>
          <t>Check Dam</t>
        </is>
      </c>
      <c r="G33" s="40" t="inlineStr">
        <is>
          <t>North / Mazar</t>
        </is>
      </c>
      <c r="H33" s="40" t="inlineStr">
        <is>
          <t>Balkh</t>
        </is>
      </c>
      <c r="I33" s="40" t="inlineStr">
        <is>
          <t>Alburz</t>
        </is>
      </c>
      <c r="J33" s="40" t="inlineStr">
        <is>
          <t>Sang Toda and Charso</t>
        </is>
      </c>
      <c r="K33" s="40" t="inlineStr">
        <is>
          <t>World Bank (WBK/AF-2)</t>
        </is>
      </c>
      <c r="L33" s="40" t="n"/>
      <c r="M33" s="40" t="n"/>
      <c r="N33" s="41" t="n"/>
      <c r="O33" s="34" t="inlineStr">
        <is>
          <t>IF(AE33="","",AE33)</t>
        </is>
      </c>
      <c r="P33" s="42" t="n"/>
      <c r="Q33" s="34" t="inlineStr">
        <is>
          <t>IF(OR(O33="",P33=""),"",EDATE(O33,P33))</t>
        </is>
      </c>
      <c r="R33" s="42" t="n"/>
      <c r="S33" s="40" t="inlineStr">
        <is>
          <t>Under Review of WRI</t>
        </is>
      </c>
      <c r="T33" s="40" t="inlineStr">
        <is>
          <t>Same package as Ala Taba-1</t>
        </is>
      </c>
      <c r="U33" s="31" t="inlineStr">
        <is>
          <t>IF(E33="","",IF(COUNT(Y33:AJ33)=0,IF(S33="","Not started",S33),SUBSTITUTE(LOOKUP(2,1/(Y33:AJ33&lt;&gt;""),$Y$3:$AJ$3),"Date: ","")))</t>
        </is>
      </c>
      <c r="V33" s="36" t="inlineStr">
        <is>
          <t>IF(OR(E33="",COUNT(Y33:AJ33)=0),"",TODAY()-LOOKUP(2,1/(Y33:AJ33&lt;&gt;""),Y33:AJ33))</t>
        </is>
      </c>
      <c r="W33" s="36" t="inlineStr">
        <is>
          <t>IF(OR(E33="",COUNT(Y33:AJ33)&lt;2),"",LOOKUP(2,1/(Y33:AJ33&lt;&gt;""),Y33:AJ33)-MIN(Y33:AJ33))</t>
        </is>
      </c>
      <c r="X33" s="36" t="inlineStr">
        <is>
          <t>IF(OR(V33="",U33="Not started",U33=""),"",IFERROR(V33-IF(VLOOKUP(U33,'04_Status_Pipeline'!$B$3:$E$20,4,FALSE)="",0,VLOOKUP(U33,'04_Status_Pipeline'!$B$3:$E$20,4,FALSE)),""))</t>
        </is>
      </c>
      <c r="Y33" s="43" t="n"/>
      <c r="Z33" s="43" t="n"/>
      <c r="AA33" s="43" t="n"/>
      <c r="AB33" s="43" t="n"/>
      <c r="AC33" s="43" t="n"/>
      <c r="AD33" s="43" t="n"/>
      <c r="AE33" s="43" t="n"/>
      <c r="AF33" s="43" t="n"/>
      <c r="AG33" s="43" t="n"/>
      <c r="AH33" s="38" t="n"/>
      <c r="AI33" s="38" t="n"/>
      <c r="AJ33" s="38" t="n"/>
      <c r="AK33" s="36" t="inlineStr">
        <is>
          <t>IF(OR(E33="",Z33=""),"",IF(COUNT(Y33:Y33)=0,"",Z33-LOOKUP(2,1/(Y33:Y33&lt;&gt;""),Y33:Y33)))</t>
        </is>
      </c>
      <c r="AL33" s="36" t="inlineStr">
        <is>
          <t>IF(OR(E33="",AA33=""),"",IF(COUNT(Y33:Z33)=0,"",AA33-LOOKUP(2,1/(Y33:Z33&lt;&gt;""),Y33:Z33)))</t>
        </is>
      </c>
      <c r="AM33" s="36" t="inlineStr">
        <is>
          <t>IF(OR(E33="",AB33=""),"",IF(COUNT(Y33:AA33)=0,"",AB33-LOOKUP(2,1/(Y33:AA33&lt;&gt;""),Y33:AA33)))</t>
        </is>
      </c>
      <c r="AN33" s="36" t="inlineStr">
        <is>
          <t>IF(OR(E33="",AC33=""),"",IF(COUNT(Y33:AB33)=0,"",AC33-LOOKUP(2,1/(Y33:AB33&lt;&gt;""),Y33:AB33)))</t>
        </is>
      </c>
      <c r="AO33" s="36" t="inlineStr">
        <is>
          <t>IF(OR(E33="",AD33=""),"",IF(COUNT(Y33:AC33)=0,"",AD33-LOOKUP(2,1/(Y33:AC33&lt;&gt;""),Y33:AC33)))</t>
        </is>
      </c>
      <c r="AP33" s="36" t="inlineStr">
        <is>
          <t>IF(OR(E33="",AE33=""),"",IF(COUNT(Y33:AD33)=0,"",AE33-LOOKUP(2,1/(Y33:AD33&lt;&gt;""),Y33:AD33)))</t>
        </is>
      </c>
      <c r="AQ33" s="36" t="inlineStr">
        <is>
          <t>IF(OR(E33="",AF33=""),"",IF(COUNT(Y33:AE33)=0,"",AF33-LOOKUP(2,1/(Y33:AE33&lt;&gt;""),Y33:AE33)))</t>
        </is>
      </c>
      <c r="AR33" s="36" t="inlineStr">
        <is>
          <t>IF(OR(E33="",AG33=""),"",IF(COUNT(Y33:AF33)=0,"",AG33-LOOKUP(2,1/(Y33:AF33&lt;&gt;""),Y33:AF33)))</t>
        </is>
      </c>
      <c r="AS33" s="36" t="inlineStr">
        <is>
          <t>IF(OR(E33="",AH33=""),"",IF(COUNT(Y33:AG33)=0,"",AH33-LOOKUP(2,1/(Y33:AG33&lt;&gt;""),Y33:AG33)))</t>
        </is>
      </c>
      <c r="AT33" s="36" t="inlineStr">
        <is>
          <t>IF(OR(E33="",AI33=""),"",IF(COUNT(Y33:AH33)=0,"",AI33-LOOKUP(2,1/(Y33:AH33&lt;&gt;""),Y33:AH33)))</t>
        </is>
      </c>
      <c r="AU33" s="36" t="inlineStr">
        <is>
          <t>IF(OR(E33="",AJ33=""),"",IF(COUNT(Y33:AI33)=0,"",AJ33-LOOKUP(2,1/(Y33:AI33&lt;&gt;""),Y33:AI33)))</t>
        </is>
      </c>
      <c r="AV33" s="39" t="inlineStr">
        <is>
          <t>IF(G33="","All_Provinces",IFERROR(VLOOKUP(G33,'07_Lookups'!$A$4:$B$20,2,FALSE),"All_Provinces"))</t>
        </is>
      </c>
      <c r="AW33" s="39" t="inlineStr">
        <is>
          <t>IF(H33="","All_Districts",IFERROR(VLOOKUP(H33,'07_Lookups'!$E$4:$F$42,2,FALSE),"All_Districts"))</t>
        </is>
      </c>
    </row>
    <row r="34" ht="18" customHeight="1">
      <c r="A34" s="31" t="inlineStr">
        <is>
          <t>IF(E34="","",ROW()-3)</t>
        </is>
      </c>
      <c r="B34" s="32" t="n"/>
      <c r="C34" s="32" t="n"/>
      <c r="D34" s="32" t="n"/>
      <c r="E34" s="32" t="n"/>
      <c r="F34" s="32" t="n"/>
      <c r="G34" s="32" t="n"/>
      <c r="H34" s="32" t="n"/>
      <c r="I34" s="32" t="n"/>
      <c r="J34" s="32" t="n"/>
      <c r="K34" s="32" t="n"/>
      <c r="L34" s="32" t="n"/>
      <c r="M34" s="32" t="n"/>
      <c r="N34" s="33" t="n"/>
      <c r="O34" s="34" t="inlineStr">
        <is>
          <t>IF(AE34="","",AE34)</t>
        </is>
      </c>
      <c r="P34" s="35" t="n"/>
      <c r="Q34" s="34" t="inlineStr">
        <is>
          <t>IF(OR(O34="",P34=""),"",EDATE(O34,P34))</t>
        </is>
      </c>
      <c r="R34" s="35" t="n"/>
      <c r="S34" s="32" t="n"/>
      <c r="T34" s="32" t="n"/>
      <c r="U34" s="31" t="inlineStr">
        <is>
          <t>IF(E34="","",IF(COUNT(Y34:AJ34)=0,IF(S34="","Not started",S34),SUBSTITUTE(LOOKUP(2,1/(Y34:AJ34&lt;&gt;""),$Y$3:$AJ$3),"Date: ","")))</t>
        </is>
      </c>
      <c r="V34" s="36" t="inlineStr">
        <is>
          <t>IF(OR(E34="",COUNT(Y34:AJ34)=0),"",TODAY()-LOOKUP(2,1/(Y34:AJ34&lt;&gt;""),Y34:AJ34))</t>
        </is>
      </c>
      <c r="W34" s="36" t="inlineStr">
        <is>
          <t>IF(OR(E34="",COUNT(Y34:AJ34)&lt;2),"",LOOKUP(2,1/(Y34:AJ34&lt;&gt;""),Y34:AJ34)-MIN(Y34:AJ34))</t>
        </is>
      </c>
      <c r="X34" s="36" t="inlineStr">
        <is>
          <t>IF(OR(V34="",U34="Not started",U34=""),"",IFERROR(V34-IF(VLOOKUP(U34,'04_Status_Pipeline'!$B$3:$E$20,4,FALSE)="",0,VLOOKUP(U34,'04_Status_Pipeline'!$B$3:$E$20,4,FALSE)),""))</t>
        </is>
      </c>
      <c r="Y34" s="37" t="n"/>
      <c r="Z34" s="37" t="n"/>
      <c r="AA34" s="37" t="n"/>
      <c r="AB34" s="37" t="n"/>
      <c r="AC34" s="37" t="n"/>
      <c r="AD34" s="37" t="n"/>
      <c r="AE34" s="37" t="n"/>
      <c r="AF34" s="37" t="n"/>
      <c r="AG34" s="37" t="n"/>
      <c r="AH34" s="38" t="n"/>
      <c r="AI34" s="38" t="n"/>
      <c r="AJ34" s="38" t="n"/>
      <c r="AK34" s="36" t="inlineStr">
        <is>
          <t>IF(OR(E34="",Z34=""),"",IF(COUNT(Y34:Y34)=0,"",Z34-LOOKUP(2,1/(Y34:Y34&lt;&gt;""),Y34:Y34)))</t>
        </is>
      </c>
      <c r="AL34" s="36" t="inlineStr">
        <is>
          <t>IF(OR(E34="",AA34=""),"",IF(COUNT(Y34:Z34)=0,"",AA34-LOOKUP(2,1/(Y34:Z34&lt;&gt;""),Y34:Z34)))</t>
        </is>
      </c>
      <c r="AM34" s="36" t="inlineStr">
        <is>
          <t>IF(OR(E34="",AB34=""),"",IF(COUNT(Y34:AA34)=0,"",AB34-LOOKUP(2,1/(Y34:AA34&lt;&gt;""),Y34:AA34)))</t>
        </is>
      </c>
      <c r="AN34" s="36" t="inlineStr">
        <is>
          <t>IF(OR(E34="",AC34=""),"",IF(COUNT(Y34:AB34)=0,"",AC34-LOOKUP(2,1/(Y34:AB34&lt;&gt;""),Y34:AB34)))</t>
        </is>
      </c>
      <c r="AO34" s="36" t="inlineStr">
        <is>
          <t>IF(OR(E34="",AD34=""),"",IF(COUNT(Y34:AC34)=0,"",AD34-LOOKUP(2,1/(Y34:AC34&lt;&gt;""),Y34:AC34)))</t>
        </is>
      </c>
      <c r="AP34" s="36" t="inlineStr">
        <is>
          <t>IF(OR(E34="",AE34=""),"",IF(COUNT(Y34:AD34)=0,"",AE34-LOOKUP(2,1/(Y34:AD34&lt;&gt;""),Y34:AD34)))</t>
        </is>
      </c>
      <c r="AQ34" s="36" t="inlineStr">
        <is>
          <t>IF(OR(E34="",AF34=""),"",IF(COUNT(Y34:AE34)=0,"",AF34-LOOKUP(2,1/(Y34:AE34&lt;&gt;""),Y34:AE34)))</t>
        </is>
      </c>
      <c r="AR34" s="36" t="inlineStr">
        <is>
          <t>IF(OR(E34="",AG34=""),"",IF(COUNT(Y34:AF34)=0,"",AG34-LOOKUP(2,1/(Y34:AF34&lt;&gt;""),Y34:AF34)))</t>
        </is>
      </c>
      <c r="AS34" s="36" t="inlineStr">
        <is>
          <t>IF(OR(E34="",AH34=""),"",IF(COUNT(Y34:AG34)=0,"",AH34-LOOKUP(2,1/(Y34:AG34&lt;&gt;""),Y34:AG34)))</t>
        </is>
      </c>
      <c r="AT34" s="36" t="inlineStr">
        <is>
          <t>IF(OR(E34="",AI34=""),"",IF(COUNT(Y34:AH34)=0,"",AI34-LOOKUP(2,1/(Y34:AH34&lt;&gt;""),Y34:AH34)))</t>
        </is>
      </c>
      <c r="AU34" s="36" t="inlineStr">
        <is>
          <t>IF(OR(E34="",AJ34=""),"",IF(COUNT(Y34:AI34)=0,"",AJ34-LOOKUP(2,1/(Y34:AI34&lt;&gt;""),Y34:AI34)))</t>
        </is>
      </c>
      <c r="AV34" s="39" t="inlineStr">
        <is>
          <t>IF(G34="","All_Provinces",IFERROR(VLOOKUP(G34,'07_Lookups'!$A$4:$B$20,2,FALSE),"All_Provinces"))</t>
        </is>
      </c>
      <c r="AW34" s="39" t="inlineStr">
        <is>
          <t>IF(H34="","All_Districts",IFERROR(VLOOKUP(H34,'07_Lookups'!$E$4:$F$42,2,FALSE),"All_Districts"))</t>
        </is>
      </c>
    </row>
    <row r="35" ht="18" customHeight="1">
      <c r="A35" s="31" t="inlineStr">
        <is>
          <t>IF(E35="","",ROW()-3)</t>
        </is>
      </c>
      <c r="B35" s="40" t="n"/>
      <c r="C35" s="40" t="n"/>
      <c r="D35" s="40" t="n"/>
      <c r="E35" s="40" t="n"/>
      <c r="F35" s="40" t="n"/>
      <c r="G35" s="40" t="n"/>
      <c r="H35" s="40" t="n"/>
      <c r="I35" s="40" t="n"/>
      <c r="J35" s="40" t="n"/>
      <c r="K35" s="40" t="n"/>
      <c r="L35" s="40" t="n"/>
      <c r="M35" s="40" t="n"/>
      <c r="N35" s="41" t="n"/>
      <c r="O35" s="34" t="inlineStr">
        <is>
          <t>IF(AE35="","",AE35)</t>
        </is>
      </c>
      <c r="P35" s="42" t="n"/>
      <c r="Q35" s="34" t="inlineStr">
        <is>
          <t>IF(OR(O35="",P35=""),"",EDATE(O35,P35))</t>
        </is>
      </c>
      <c r="R35" s="42" t="n"/>
      <c r="S35" s="40" t="n"/>
      <c r="T35" s="40" t="n"/>
      <c r="U35" s="31" t="inlineStr">
        <is>
          <t>IF(E35="","",IF(COUNT(Y35:AJ35)=0,IF(S35="","Not started",S35),SUBSTITUTE(LOOKUP(2,1/(Y35:AJ35&lt;&gt;""),$Y$3:$AJ$3),"Date: ","")))</t>
        </is>
      </c>
      <c r="V35" s="36" t="inlineStr">
        <is>
          <t>IF(OR(E35="",COUNT(Y35:AJ35)=0),"",TODAY()-LOOKUP(2,1/(Y35:AJ35&lt;&gt;""),Y35:AJ35))</t>
        </is>
      </c>
      <c r="W35" s="36" t="inlineStr">
        <is>
          <t>IF(OR(E35="",COUNT(Y35:AJ35)&lt;2),"",LOOKUP(2,1/(Y35:AJ35&lt;&gt;""),Y35:AJ35)-MIN(Y35:AJ35))</t>
        </is>
      </c>
      <c r="X35" s="36" t="inlineStr">
        <is>
          <t>IF(OR(V35="",U35="Not started",U35=""),"",IFERROR(V35-IF(VLOOKUP(U35,'04_Status_Pipeline'!$B$3:$E$20,4,FALSE)="",0,VLOOKUP(U35,'04_Status_Pipeline'!$B$3:$E$20,4,FALSE)),""))</t>
        </is>
      </c>
      <c r="Y35" s="43" t="n"/>
      <c r="Z35" s="43" t="n"/>
      <c r="AA35" s="43" t="n"/>
      <c r="AB35" s="43" t="n"/>
      <c r="AC35" s="43" t="n"/>
      <c r="AD35" s="43" t="n"/>
      <c r="AE35" s="43" t="n"/>
      <c r="AF35" s="43" t="n"/>
      <c r="AG35" s="43" t="n"/>
      <c r="AH35" s="38" t="n"/>
      <c r="AI35" s="38" t="n"/>
      <c r="AJ35" s="38" t="n"/>
      <c r="AK35" s="36" t="inlineStr">
        <is>
          <t>IF(OR(E35="",Z35=""),"",IF(COUNT(Y35:Y35)=0,"",Z35-LOOKUP(2,1/(Y35:Y35&lt;&gt;""),Y35:Y35)))</t>
        </is>
      </c>
      <c r="AL35" s="36" t="inlineStr">
        <is>
          <t>IF(OR(E35="",AA35=""),"",IF(COUNT(Y35:Z35)=0,"",AA35-LOOKUP(2,1/(Y35:Z35&lt;&gt;""),Y35:Z35)))</t>
        </is>
      </c>
      <c r="AM35" s="36" t="inlineStr">
        <is>
          <t>IF(OR(E35="",AB35=""),"",IF(COUNT(Y35:AA35)=0,"",AB35-LOOKUP(2,1/(Y35:AA35&lt;&gt;""),Y35:AA35)))</t>
        </is>
      </c>
      <c r="AN35" s="36" t="inlineStr">
        <is>
          <t>IF(OR(E35="",AC35=""),"",IF(COUNT(Y35:AB35)=0,"",AC35-LOOKUP(2,1/(Y35:AB35&lt;&gt;""),Y35:AB35)))</t>
        </is>
      </c>
      <c r="AO35" s="36" t="inlineStr">
        <is>
          <t>IF(OR(E35="",AD35=""),"",IF(COUNT(Y35:AC35)=0,"",AD35-LOOKUP(2,1/(Y35:AC35&lt;&gt;""),Y35:AC35)))</t>
        </is>
      </c>
      <c r="AP35" s="36" t="inlineStr">
        <is>
          <t>IF(OR(E35="",AE35=""),"",IF(COUNT(Y35:AD35)=0,"",AE35-LOOKUP(2,1/(Y35:AD35&lt;&gt;""),Y35:AD35)))</t>
        </is>
      </c>
      <c r="AQ35" s="36" t="inlineStr">
        <is>
          <t>IF(OR(E35="",AF35=""),"",IF(COUNT(Y35:AE35)=0,"",AF35-LOOKUP(2,1/(Y35:AE35&lt;&gt;""),Y35:AE35)))</t>
        </is>
      </c>
      <c r="AR35" s="36" t="inlineStr">
        <is>
          <t>IF(OR(E35="",AG35=""),"",IF(COUNT(Y35:AF35)=0,"",AG35-LOOKUP(2,1/(Y35:AF35&lt;&gt;""),Y35:AF35)))</t>
        </is>
      </c>
      <c r="AS35" s="36" t="inlineStr">
        <is>
          <t>IF(OR(E35="",AH35=""),"",IF(COUNT(Y35:AG35)=0,"",AH35-LOOKUP(2,1/(Y35:AG35&lt;&gt;""),Y35:AG35)))</t>
        </is>
      </c>
      <c r="AT35" s="36" t="inlineStr">
        <is>
          <t>IF(OR(E35="",AI35=""),"",IF(COUNT(Y35:AH35)=0,"",AI35-LOOKUP(2,1/(Y35:AH35&lt;&gt;""),Y35:AH35)))</t>
        </is>
      </c>
      <c r="AU35" s="36" t="inlineStr">
        <is>
          <t>IF(OR(E35="",AJ35=""),"",IF(COUNT(Y35:AI35)=0,"",AJ35-LOOKUP(2,1/(Y35:AI35&lt;&gt;""),Y35:AI35)))</t>
        </is>
      </c>
      <c r="AV35" s="39" t="inlineStr">
        <is>
          <t>IF(G35="","All_Provinces",IFERROR(VLOOKUP(G35,'07_Lookups'!$A$4:$B$20,2,FALSE),"All_Provinces"))</t>
        </is>
      </c>
      <c r="AW35" s="39" t="inlineStr">
        <is>
          <t>IF(H35="","All_Districts",IFERROR(VLOOKUP(H35,'07_Lookups'!$E$4:$F$42,2,FALSE),"All_Districts"))</t>
        </is>
      </c>
    </row>
    <row r="36" ht="18" customHeight="1">
      <c r="A36" s="31" t="inlineStr">
        <is>
          <t>IF(E36="","",ROW()-3)</t>
        </is>
      </c>
      <c r="B36" s="32" t="n"/>
      <c r="C36" s="32" t="n"/>
      <c r="D36" s="32" t="n"/>
      <c r="E36" s="32" t="n"/>
      <c r="F36" s="32" t="n"/>
      <c r="G36" s="32" t="n"/>
      <c r="H36" s="32" t="n"/>
      <c r="I36" s="32" t="n"/>
      <c r="J36" s="32" t="n"/>
      <c r="K36" s="32" t="n"/>
      <c r="L36" s="32" t="n"/>
      <c r="M36" s="32" t="n"/>
      <c r="N36" s="33" t="n"/>
      <c r="O36" s="34" t="inlineStr">
        <is>
          <t>IF(AE36="","",AE36)</t>
        </is>
      </c>
      <c r="P36" s="35" t="n"/>
      <c r="Q36" s="34" t="inlineStr">
        <is>
          <t>IF(OR(O36="",P36=""),"",EDATE(O36,P36))</t>
        </is>
      </c>
      <c r="R36" s="35" t="n"/>
      <c r="S36" s="32" t="n"/>
      <c r="T36" s="32" t="n"/>
      <c r="U36" s="31" t="inlineStr">
        <is>
          <t>IF(E36="","",IF(COUNT(Y36:AJ36)=0,IF(S36="","Not started",S36),SUBSTITUTE(LOOKUP(2,1/(Y36:AJ36&lt;&gt;""),$Y$3:$AJ$3),"Date: ","")))</t>
        </is>
      </c>
      <c r="V36" s="36" t="inlineStr">
        <is>
          <t>IF(OR(E36="",COUNT(Y36:AJ36)=0),"",TODAY()-LOOKUP(2,1/(Y36:AJ36&lt;&gt;""),Y36:AJ36))</t>
        </is>
      </c>
      <c r="W36" s="36" t="inlineStr">
        <is>
          <t>IF(OR(E36="",COUNT(Y36:AJ36)&lt;2),"",LOOKUP(2,1/(Y36:AJ36&lt;&gt;""),Y36:AJ36)-MIN(Y36:AJ36))</t>
        </is>
      </c>
      <c r="X36" s="36" t="inlineStr">
        <is>
          <t>IF(OR(V36="",U36="Not started",U36=""),"",IFERROR(V36-IF(VLOOKUP(U36,'04_Status_Pipeline'!$B$3:$E$20,4,FALSE)="",0,VLOOKUP(U36,'04_Status_Pipeline'!$B$3:$E$20,4,FALSE)),""))</t>
        </is>
      </c>
      <c r="Y36" s="37" t="n"/>
      <c r="Z36" s="37" t="n"/>
      <c r="AA36" s="37" t="n"/>
      <c r="AB36" s="37" t="n"/>
      <c r="AC36" s="37" t="n"/>
      <c r="AD36" s="37" t="n"/>
      <c r="AE36" s="37" t="n"/>
      <c r="AF36" s="37" t="n"/>
      <c r="AG36" s="37" t="n"/>
      <c r="AH36" s="38" t="n"/>
      <c r="AI36" s="38" t="n"/>
      <c r="AJ36" s="38" t="n"/>
      <c r="AK36" s="36" t="inlineStr">
        <is>
          <t>IF(OR(E36="",Z36=""),"",IF(COUNT(Y36:Y36)=0,"",Z36-LOOKUP(2,1/(Y36:Y36&lt;&gt;""),Y36:Y36)))</t>
        </is>
      </c>
      <c r="AL36" s="36" t="inlineStr">
        <is>
          <t>IF(OR(E36="",AA36=""),"",IF(COUNT(Y36:Z36)=0,"",AA36-LOOKUP(2,1/(Y36:Z36&lt;&gt;""),Y36:Z36)))</t>
        </is>
      </c>
      <c r="AM36" s="36" t="inlineStr">
        <is>
          <t>IF(OR(E36="",AB36=""),"",IF(COUNT(Y36:AA36)=0,"",AB36-LOOKUP(2,1/(Y36:AA36&lt;&gt;""),Y36:AA36)))</t>
        </is>
      </c>
      <c r="AN36" s="36" t="inlineStr">
        <is>
          <t>IF(OR(E36="",AC36=""),"",IF(COUNT(Y36:AB36)=0,"",AC36-LOOKUP(2,1/(Y36:AB36&lt;&gt;""),Y36:AB36)))</t>
        </is>
      </c>
      <c r="AO36" s="36" t="inlineStr">
        <is>
          <t>IF(OR(E36="",AD36=""),"",IF(COUNT(Y36:AC36)=0,"",AD36-LOOKUP(2,1/(Y36:AC36&lt;&gt;""),Y36:AC36)))</t>
        </is>
      </c>
      <c r="AP36" s="36" t="inlineStr">
        <is>
          <t>IF(OR(E36="",AE36=""),"",IF(COUNT(Y36:AD36)=0,"",AE36-LOOKUP(2,1/(Y36:AD36&lt;&gt;""),Y36:AD36)))</t>
        </is>
      </c>
      <c r="AQ36" s="36" t="inlineStr">
        <is>
          <t>IF(OR(E36="",AF36=""),"",IF(COUNT(Y36:AE36)=0,"",AF36-LOOKUP(2,1/(Y36:AE36&lt;&gt;""),Y36:AE36)))</t>
        </is>
      </c>
      <c r="AR36" s="36" t="inlineStr">
        <is>
          <t>IF(OR(E36="",AG36=""),"",IF(COUNT(Y36:AF36)=0,"",AG36-LOOKUP(2,1/(Y36:AF36&lt;&gt;""),Y36:AF36)))</t>
        </is>
      </c>
      <c r="AS36" s="36" t="inlineStr">
        <is>
          <t>IF(OR(E36="",AH36=""),"",IF(COUNT(Y36:AG36)=0,"",AH36-LOOKUP(2,1/(Y36:AG36&lt;&gt;""),Y36:AG36)))</t>
        </is>
      </c>
      <c r="AT36" s="36" t="inlineStr">
        <is>
          <t>IF(OR(E36="",AI36=""),"",IF(COUNT(Y36:AH36)=0,"",AI36-LOOKUP(2,1/(Y36:AH36&lt;&gt;""),Y36:AH36)))</t>
        </is>
      </c>
      <c r="AU36" s="36" t="inlineStr">
        <is>
          <t>IF(OR(E36="",AJ36=""),"",IF(COUNT(Y36:AI36)=0,"",AJ36-LOOKUP(2,1/(Y36:AI36&lt;&gt;""),Y36:AI36)))</t>
        </is>
      </c>
      <c r="AV36" s="39" t="inlineStr">
        <is>
          <t>IF(G36="","All_Provinces",IFERROR(VLOOKUP(G36,'07_Lookups'!$A$4:$B$20,2,FALSE),"All_Provinces"))</t>
        </is>
      </c>
      <c r="AW36" s="39" t="inlineStr">
        <is>
          <t>IF(H36="","All_Districts",IFERROR(VLOOKUP(H36,'07_Lookups'!$E$4:$F$42,2,FALSE),"All_Districts"))</t>
        </is>
      </c>
    </row>
    <row r="37" ht="18" customHeight="1">
      <c r="A37" s="31" t="inlineStr">
        <is>
          <t>IF(E37="","",ROW()-3)</t>
        </is>
      </c>
      <c r="B37" s="40" t="n"/>
      <c r="C37" s="40" t="n"/>
      <c r="D37" s="40" t="n"/>
      <c r="E37" s="40" t="n"/>
      <c r="F37" s="40" t="n"/>
      <c r="G37" s="40" t="n"/>
      <c r="H37" s="40" t="n"/>
      <c r="I37" s="40" t="n"/>
      <c r="J37" s="40" t="n"/>
      <c r="K37" s="40" t="n"/>
      <c r="L37" s="40" t="n"/>
      <c r="M37" s="40" t="n"/>
      <c r="N37" s="41" t="n"/>
      <c r="O37" s="34" t="inlineStr">
        <is>
          <t>IF(AE37="","",AE37)</t>
        </is>
      </c>
      <c r="P37" s="42" t="n"/>
      <c r="Q37" s="34" t="inlineStr">
        <is>
          <t>IF(OR(O37="",P37=""),"",EDATE(O37,P37))</t>
        </is>
      </c>
      <c r="R37" s="42" t="n"/>
      <c r="S37" s="40" t="n"/>
      <c r="T37" s="40" t="n"/>
      <c r="U37" s="31" t="inlineStr">
        <is>
          <t>IF(E37="","",IF(COUNT(Y37:AJ37)=0,IF(S37="","Not started",S37),SUBSTITUTE(LOOKUP(2,1/(Y37:AJ37&lt;&gt;""),$Y$3:$AJ$3),"Date: ","")))</t>
        </is>
      </c>
      <c r="V37" s="36" t="inlineStr">
        <is>
          <t>IF(OR(E37="",COUNT(Y37:AJ37)=0),"",TODAY()-LOOKUP(2,1/(Y37:AJ37&lt;&gt;""),Y37:AJ37))</t>
        </is>
      </c>
      <c r="W37" s="36" t="inlineStr">
        <is>
          <t>IF(OR(E37="",COUNT(Y37:AJ37)&lt;2),"",LOOKUP(2,1/(Y37:AJ37&lt;&gt;""),Y37:AJ37)-MIN(Y37:AJ37))</t>
        </is>
      </c>
      <c r="X37" s="36" t="inlineStr">
        <is>
          <t>IF(OR(V37="",U37="Not started",U37=""),"",IFERROR(V37-IF(VLOOKUP(U37,'04_Status_Pipeline'!$B$3:$E$20,4,FALSE)="",0,VLOOKUP(U37,'04_Status_Pipeline'!$B$3:$E$20,4,FALSE)),""))</t>
        </is>
      </c>
      <c r="Y37" s="43" t="n"/>
      <c r="Z37" s="43" t="n"/>
      <c r="AA37" s="43" t="n"/>
      <c r="AB37" s="43" t="n"/>
      <c r="AC37" s="43" t="n"/>
      <c r="AD37" s="43" t="n"/>
      <c r="AE37" s="43" t="n"/>
      <c r="AF37" s="43" t="n"/>
      <c r="AG37" s="43" t="n"/>
      <c r="AH37" s="38" t="n"/>
      <c r="AI37" s="38" t="n"/>
      <c r="AJ37" s="38" t="n"/>
      <c r="AK37" s="36" t="inlineStr">
        <is>
          <t>IF(OR(E37="",Z37=""),"",IF(COUNT(Y37:Y37)=0,"",Z37-LOOKUP(2,1/(Y37:Y37&lt;&gt;""),Y37:Y37)))</t>
        </is>
      </c>
      <c r="AL37" s="36" t="inlineStr">
        <is>
          <t>IF(OR(E37="",AA37=""),"",IF(COUNT(Y37:Z37)=0,"",AA37-LOOKUP(2,1/(Y37:Z37&lt;&gt;""),Y37:Z37)))</t>
        </is>
      </c>
      <c r="AM37" s="36" t="inlineStr">
        <is>
          <t>IF(OR(E37="",AB37=""),"",IF(COUNT(Y37:AA37)=0,"",AB37-LOOKUP(2,1/(Y37:AA37&lt;&gt;""),Y37:AA37)))</t>
        </is>
      </c>
      <c r="AN37" s="36" t="inlineStr">
        <is>
          <t>IF(OR(E37="",AC37=""),"",IF(COUNT(Y37:AB37)=0,"",AC37-LOOKUP(2,1/(Y37:AB37&lt;&gt;""),Y37:AB37)))</t>
        </is>
      </c>
      <c r="AO37" s="36" t="inlineStr">
        <is>
          <t>IF(OR(E37="",AD37=""),"",IF(COUNT(Y37:AC37)=0,"",AD37-LOOKUP(2,1/(Y37:AC37&lt;&gt;""),Y37:AC37)))</t>
        </is>
      </c>
      <c r="AP37" s="36" t="inlineStr">
        <is>
          <t>IF(OR(E37="",AE37=""),"",IF(COUNT(Y37:AD37)=0,"",AE37-LOOKUP(2,1/(Y37:AD37&lt;&gt;""),Y37:AD37)))</t>
        </is>
      </c>
      <c r="AQ37" s="36" t="inlineStr">
        <is>
          <t>IF(OR(E37="",AF37=""),"",IF(COUNT(Y37:AE37)=0,"",AF37-LOOKUP(2,1/(Y37:AE37&lt;&gt;""),Y37:AE37)))</t>
        </is>
      </c>
      <c r="AR37" s="36" t="inlineStr">
        <is>
          <t>IF(OR(E37="",AG37=""),"",IF(COUNT(Y37:AF37)=0,"",AG37-LOOKUP(2,1/(Y37:AF37&lt;&gt;""),Y37:AF37)))</t>
        </is>
      </c>
      <c r="AS37" s="36" t="inlineStr">
        <is>
          <t>IF(OR(E37="",AH37=""),"",IF(COUNT(Y37:AG37)=0,"",AH37-LOOKUP(2,1/(Y37:AG37&lt;&gt;""),Y37:AG37)))</t>
        </is>
      </c>
      <c r="AT37" s="36" t="inlineStr">
        <is>
          <t>IF(OR(E37="",AI37=""),"",IF(COUNT(Y37:AH37)=0,"",AI37-LOOKUP(2,1/(Y37:AH37&lt;&gt;""),Y37:AH37)))</t>
        </is>
      </c>
      <c r="AU37" s="36" t="inlineStr">
        <is>
          <t>IF(OR(E37="",AJ37=""),"",IF(COUNT(Y37:AI37)=0,"",AJ37-LOOKUP(2,1/(Y37:AI37&lt;&gt;""),Y37:AI37)))</t>
        </is>
      </c>
      <c r="AV37" s="39" t="inlineStr">
        <is>
          <t>IF(G37="","All_Provinces",IFERROR(VLOOKUP(G37,'07_Lookups'!$A$4:$B$20,2,FALSE),"All_Provinces"))</t>
        </is>
      </c>
      <c r="AW37" s="39" t="inlineStr">
        <is>
          <t>IF(H37="","All_Districts",IFERROR(VLOOKUP(H37,'07_Lookups'!$E$4:$F$42,2,FALSE),"All_Districts"))</t>
        </is>
      </c>
    </row>
    <row r="38" ht="18" customHeight="1">
      <c r="A38" s="31" t="inlineStr">
        <is>
          <t>IF(E38="","",ROW()-3)</t>
        </is>
      </c>
      <c r="B38" s="32" t="n"/>
      <c r="C38" s="32" t="n"/>
      <c r="D38" s="32" t="n"/>
      <c r="E38" s="32" t="n"/>
      <c r="F38" s="32" t="n"/>
      <c r="G38" s="32" t="n"/>
      <c r="H38" s="32" t="n"/>
      <c r="I38" s="32" t="n"/>
      <c r="J38" s="32" t="n"/>
      <c r="K38" s="32" t="n"/>
      <c r="L38" s="32" t="n"/>
      <c r="M38" s="32" t="n"/>
      <c r="N38" s="33" t="n"/>
      <c r="O38" s="34" t="inlineStr">
        <is>
          <t>IF(AE38="","",AE38)</t>
        </is>
      </c>
      <c r="P38" s="35" t="n"/>
      <c r="Q38" s="34" t="inlineStr">
        <is>
          <t>IF(OR(O38="",P38=""),"",EDATE(O38,P38))</t>
        </is>
      </c>
      <c r="R38" s="35" t="n"/>
      <c r="S38" s="32" t="n"/>
      <c r="T38" s="32" t="n"/>
      <c r="U38" s="31" t="inlineStr">
        <is>
          <t>IF(E38="","",IF(COUNT(Y38:AJ38)=0,IF(S38="","Not started",S38),SUBSTITUTE(LOOKUP(2,1/(Y38:AJ38&lt;&gt;""),$Y$3:$AJ$3),"Date: ","")))</t>
        </is>
      </c>
      <c r="V38" s="36" t="inlineStr">
        <is>
          <t>IF(OR(E38="",COUNT(Y38:AJ38)=0),"",TODAY()-LOOKUP(2,1/(Y38:AJ38&lt;&gt;""),Y38:AJ38))</t>
        </is>
      </c>
      <c r="W38" s="36" t="inlineStr">
        <is>
          <t>IF(OR(E38="",COUNT(Y38:AJ38)&lt;2),"",LOOKUP(2,1/(Y38:AJ38&lt;&gt;""),Y38:AJ38)-MIN(Y38:AJ38))</t>
        </is>
      </c>
      <c r="X38" s="36" t="inlineStr">
        <is>
          <t>IF(OR(V38="",U38="Not started",U38=""),"",IFERROR(V38-IF(VLOOKUP(U38,'04_Status_Pipeline'!$B$3:$E$20,4,FALSE)="",0,VLOOKUP(U38,'04_Status_Pipeline'!$B$3:$E$20,4,FALSE)),""))</t>
        </is>
      </c>
      <c r="Y38" s="37" t="n"/>
      <c r="Z38" s="37" t="n"/>
      <c r="AA38" s="37" t="n"/>
      <c r="AB38" s="37" t="n"/>
      <c r="AC38" s="37" t="n"/>
      <c r="AD38" s="37" t="n"/>
      <c r="AE38" s="37" t="n"/>
      <c r="AF38" s="37" t="n"/>
      <c r="AG38" s="37" t="n"/>
      <c r="AH38" s="38" t="n"/>
      <c r="AI38" s="38" t="n"/>
      <c r="AJ38" s="38" t="n"/>
      <c r="AK38" s="36" t="inlineStr">
        <is>
          <t>IF(OR(E38="",Z38=""),"",IF(COUNT(Y38:Y38)=0,"",Z38-LOOKUP(2,1/(Y38:Y38&lt;&gt;""),Y38:Y38)))</t>
        </is>
      </c>
      <c r="AL38" s="36" t="inlineStr">
        <is>
          <t>IF(OR(E38="",AA38=""),"",IF(COUNT(Y38:Z38)=0,"",AA38-LOOKUP(2,1/(Y38:Z38&lt;&gt;""),Y38:Z38)))</t>
        </is>
      </c>
      <c r="AM38" s="36" t="inlineStr">
        <is>
          <t>IF(OR(E38="",AB38=""),"",IF(COUNT(Y38:AA38)=0,"",AB38-LOOKUP(2,1/(Y38:AA38&lt;&gt;""),Y38:AA38)))</t>
        </is>
      </c>
      <c r="AN38" s="36" t="inlineStr">
        <is>
          <t>IF(OR(E38="",AC38=""),"",IF(COUNT(Y38:AB38)=0,"",AC38-LOOKUP(2,1/(Y38:AB38&lt;&gt;""),Y38:AB38)))</t>
        </is>
      </c>
      <c r="AO38" s="36" t="inlineStr">
        <is>
          <t>IF(OR(E38="",AD38=""),"",IF(COUNT(Y38:AC38)=0,"",AD38-LOOKUP(2,1/(Y38:AC38&lt;&gt;""),Y38:AC38)))</t>
        </is>
      </c>
      <c r="AP38" s="36" t="inlineStr">
        <is>
          <t>IF(OR(E38="",AE38=""),"",IF(COUNT(Y38:AD38)=0,"",AE38-LOOKUP(2,1/(Y38:AD38&lt;&gt;""),Y38:AD38)))</t>
        </is>
      </c>
      <c r="AQ38" s="36" t="inlineStr">
        <is>
          <t>IF(OR(E38="",AF38=""),"",IF(COUNT(Y38:AE38)=0,"",AF38-LOOKUP(2,1/(Y38:AE38&lt;&gt;""),Y38:AE38)))</t>
        </is>
      </c>
      <c r="AR38" s="36" t="inlineStr">
        <is>
          <t>IF(OR(E38="",AG38=""),"",IF(COUNT(Y38:AF38)=0,"",AG38-LOOKUP(2,1/(Y38:AF38&lt;&gt;""),Y38:AF38)))</t>
        </is>
      </c>
      <c r="AS38" s="36" t="inlineStr">
        <is>
          <t>IF(OR(E38="",AH38=""),"",IF(COUNT(Y38:AG38)=0,"",AH38-LOOKUP(2,1/(Y38:AG38&lt;&gt;""),Y38:AG38)))</t>
        </is>
      </c>
      <c r="AT38" s="36" t="inlineStr">
        <is>
          <t>IF(OR(E38="",AI38=""),"",IF(COUNT(Y38:AH38)=0,"",AI38-LOOKUP(2,1/(Y38:AH38&lt;&gt;""),Y38:AH38)))</t>
        </is>
      </c>
      <c r="AU38" s="36" t="inlineStr">
        <is>
          <t>IF(OR(E38="",AJ38=""),"",IF(COUNT(Y38:AI38)=0,"",AJ38-LOOKUP(2,1/(Y38:AI38&lt;&gt;""),Y38:AI38)))</t>
        </is>
      </c>
      <c r="AV38" s="39" t="inlineStr">
        <is>
          <t>IF(G38="","All_Provinces",IFERROR(VLOOKUP(G38,'07_Lookups'!$A$4:$B$20,2,FALSE),"All_Provinces"))</t>
        </is>
      </c>
      <c r="AW38" s="39" t="inlineStr">
        <is>
          <t>IF(H38="","All_Districts",IFERROR(VLOOKUP(H38,'07_Lookups'!$E$4:$F$42,2,FALSE),"All_Districts"))</t>
        </is>
      </c>
    </row>
    <row r="39" ht="18" customHeight="1">
      <c r="A39" s="31" t="inlineStr">
        <is>
          <t>IF(E39="","",ROW()-3)</t>
        </is>
      </c>
      <c r="B39" s="40" t="n"/>
      <c r="C39" s="40" t="n"/>
      <c r="D39" s="40" t="n"/>
      <c r="E39" s="40" t="n"/>
      <c r="F39" s="40" t="n"/>
      <c r="G39" s="40" t="n"/>
      <c r="H39" s="40" t="n"/>
      <c r="I39" s="40" t="n"/>
      <c r="J39" s="40" t="n"/>
      <c r="K39" s="40" t="n"/>
      <c r="L39" s="40" t="n"/>
      <c r="M39" s="40" t="n"/>
      <c r="N39" s="41" t="n"/>
      <c r="O39" s="34" t="inlineStr">
        <is>
          <t>IF(AE39="","",AE39)</t>
        </is>
      </c>
      <c r="P39" s="42" t="n"/>
      <c r="Q39" s="34" t="inlineStr">
        <is>
          <t>IF(OR(O39="",P39=""),"",EDATE(O39,P39))</t>
        </is>
      </c>
      <c r="R39" s="42" t="n"/>
      <c r="S39" s="40" t="n"/>
      <c r="T39" s="40" t="n"/>
      <c r="U39" s="31" t="inlineStr">
        <is>
          <t>IF(E39="","",IF(COUNT(Y39:AJ39)=0,IF(S39="","Not started",S39),SUBSTITUTE(LOOKUP(2,1/(Y39:AJ39&lt;&gt;""),$Y$3:$AJ$3),"Date: ","")))</t>
        </is>
      </c>
      <c r="V39" s="36" t="inlineStr">
        <is>
          <t>IF(OR(E39="",COUNT(Y39:AJ39)=0),"",TODAY()-LOOKUP(2,1/(Y39:AJ39&lt;&gt;""),Y39:AJ39))</t>
        </is>
      </c>
      <c r="W39" s="36" t="inlineStr">
        <is>
          <t>IF(OR(E39="",COUNT(Y39:AJ39)&lt;2),"",LOOKUP(2,1/(Y39:AJ39&lt;&gt;""),Y39:AJ39)-MIN(Y39:AJ39))</t>
        </is>
      </c>
      <c r="X39" s="36" t="inlineStr">
        <is>
          <t>IF(OR(V39="",U39="Not started",U39=""),"",IFERROR(V39-IF(VLOOKUP(U39,'04_Status_Pipeline'!$B$3:$E$20,4,FALSE)="",0,VLOOKUP(U39,'04_Status_Pipeline'!$B$3:$E$20,4,FALSE)),""))</t>
        </is>
      </c>
      <c r="Y39" s="43" t="n"/>
      <c r="Z39" s="43" t="n"/>
      <c r="AA39" s="43" t="n"/>
      <c r="AB39" s="43" t="n"/>
      <c r="AC39" s="43" t="n"/>
      <c r="AD39" s="43" t="n"/>
      <c r="AE39" s="43" t="n"/>
      <c r="AF39" s="43" t="n"/>
      <c r="AG39" s="43" t="n"/>
      <c r="AH39" s="38" t="n"/>
      <c r="AI39" s="38" t="n"/>
      <c r="AJ39" s="38" t="n"/>
      <c r="AK39" s="36" t="inlineStr">
        <is>
          <t>IF(OR(E39="",Z39=""),"",IF(COUNT(Y39:Y39)=0,"",Z39-LOOKUP(2,1/(Y39:Y39&lt;&gt;""),Y39:Y39)))</t>
        </is>
      </c>
      <c r="AL39" s="36" t="inlineStr">
        <is>
          <t>IF(OR(E39="",AA39=""),"",IF(COUNT(Y39:Z39)=0,"",AA39-LOOKUP(2,1/(Y39:Z39&lt;&gt;""),Y39:Z39)))</t>
        </is>
      </c>
      <c r="AM39" s="36" t="inlineStr">
        <is>
          <t>IF(OR(E39="",AB39=""),"",IF(COUNT(Y39:AA39)=0,"",AB39-LOOKUP(2,1/(Y39:AA39&lt;&gt;""),Y39:AA39)))</t>
        </is>
      </c>
      <c r="AN39" s="36" t="inlineStr">
        <is>
          <t>IF(OR(E39="",AC39=""),"",IF(COUNT(Y39:AB39)=0,"",AC39-LOOKUP(2,1/(Y39:AB39&lt;&gt;""),Y39:AB39)))</t>
        </is>
      </c>
      <c r="AO39" s="36" t="inlineStr">
        <is>
          <t>IF(OR(E39="",AD39=""),"",IF(COUNT(Y39:AC39)=0,"",AD39-LOOKUP(2,1/(Y39:AC39&lt;&gt;""),Y39:AC39)))</t>
        </is>
      </c>
      <c r="AP39" s="36" t="inlineStr">
        <is>
          <t>IF(OR(E39="",AE39=""),"",IF(COUNT(Y39:AD39)=0,"",AE39-LOOKUP(2,1/(Y39:AD39&lt;&gt;""),Y39:AD39)))</t>
        </is>
      </c>
      <c r="AQ39" s="36" t="inlineStr">
        <is>
          <t>IF(OR(E39="",AF39=""),"",IF(COUNT(Y39:AE39)=0,"",AF39-LOOKUP(2,1/(Y39:AE39&lt;&gt;""),Y39:AE39)))</t>
        </is>
      </c>
      <c r="AR39" s="36" t="inlineStr">
        <is>
          <t>IF(OR(E39="",AG39=""),"",IF(COUNT(Y39:AF39)=0,"",AG39-LOOKUP(2,1/(Y39:AF39&lt;&gt;""),Y39:AF39)))</t>
        </is>
      </c>
      <c r="AS39" s="36" t="inlineStr">
        <is>
          <t>IF(OR(E39="",AH39=""),"",IF(COUNT(Y39:AG39)=0,"",AH39-LOOKUP(2,1/(Y39:AG39&lt;&gt;""),Y39:AG39)))</t>
        </is>
      </c>
      <c r="AT39" s="36" t="inlineStr">
        <is>
          <t>IF(OR(E39="",AI39=""),"",IF(COUNT(Y39:AH39)=0,"",AI39-LOOKUP(2,1/(Y39:AH39&lt;&gt;""),Y39:AH39)))</t>
        </is>
      </c>
      <c r="AU39" s="36" t="inlineStr">
        <is>
          <t>IF(OR(E39="",AJ39=""),"",IF(COUNT(Y39:AI39)=0,"",AJ39-LOOKUP(2,1/(Y39:AI39&lt;&gt;""),Y39:AI39)))</t>
        </is>
      </c>
      <c r="AV39" s="39" t="inlineStr">
        <is>
          <t>IF(G39="","All_Provinces",IFERROR(VLOOKUP(G39,'07_Lookups'!$A$4:$B$20,2,FALSE),"All_Provinces"))</t>
        </is>
      </c>
      <c r="AW39" s="39" t="inlineStr">
        <is>
          <t>IF(H39="","All_Districts",IFERROR(VLOOKUP(H39,'07_Lookups'!$E$4:$F$42,2,FALSE),"All_Districts"))</t>
        </is>
      </c>
    </row>
    <row r="40" ht="18" customHeight="1">
      <c r="A40" s="31" t="inlineStr">
        <is>
          <t>IF(E40="","",ROW()-3)</t>
        </is>
      </c>
      <c r="B40" s="32" t="n"/>
      <c r="C40" s="32" t="n"/>
      <c r="D40" s="32" t="n"/>
      <c r="E40" s="32" t="n"/>
      <c r="F40" s="32" t="n"/>
      <c r="G40" s="32" t="n"/>
      <c r="H40" s="32" t="n"/>
      <c r="I40" s="32" t="n"/>
      <c r="J40" s="32" t="n"/>
      <c r="K40" s="32" t="n"/>
      <c r="L40" s="32" t="n"/>
      <c r="M40" s="32" t="n"/>
      <c r="N40" s="33" t="n"/>
      <c r="O40" s="34" t="inlineStr">
        <is>
          <t>IF(AE40="","",AE40)</t>
        </is>
      </c>
      <c r="P40" s="35" t="n"/>
      <c r="Q40" s="34" t="inlineStr">
        <is>
          <t>IF(OR(O40="",P40=""),"",EDATE(O40,P40))</t>
        </is>
      </c>
      <c r="R40" s="35" t="n"/>
      <c r="S40" s="32" t="n"/>
      <c r="T40" s="32" t="n"/>
      <c r="U40" s="31" t="inlineStr">
        <is>
          <t>IF(E40="","",IF(COUNT(Y40:AJ40)=0,IF(S40="","Not started",S40),SUBSTITUTE(LOOKUP(2,1/(Y40:AJ40&lt;&gt;""),$Y$3:$AJ$3),"Date: ","")))</t>
        </is>
      </c>
      <c r="V40" s="36" t="inlineStr">
        <is>
          <t>IF(OR(E40="",COUNT(Y40:AJ40)=0),"",TODAY()-LOOKUP(2,1/(Y40:AJ40&lt;&gt;""),Y40:AJ40))</t>
        </is>
      </c>
      <c r="W40" s="36" t="inlineStr">
        <is>
          <t>IF(OR(E40="",COUNT(Y40:AJ40)&lt;2),"",LOOKUP(2,1/(Y40:AJ40&lt;&gt;""),Y40:AJ40)-MIN(Y40:AJ40))</t>
        </is>
      </c>
      <c r="X40" s="36" t="inlineStr">
        <is>
          <t>IF(OR(V40="",U40="Not started",U40=""),"",IFERROR(V40-IF(VLOOKUP(U40,'04_Status_Pipeline'!$B$3:$E$20,4,FALSE)="",0,VLOOKUP(U40,'04_Status_Pipeline'!$B$3:$E$20,4,FALSE)),""))</t>
        </is>
      </c>
      <c r="Y40" s="37" t="n"/>
      <c r="Z40" s="37" t="n"/>
      <c r="AA40" s="37" t="n"/>
      <c r="AB40" s="37" t="n"/>
      <c r="AC40" s="37" t="n"/>
      <c r="AD40" s="37" t="n"/>
      <c r="AE40" s="37" t="n"/>
      <c r="AF40" s="37" t="n"/>
      <c r="AG40" s="37" t="n"/>
      <c r="AH40" s="38" t="n"/>
      <c r="AI40" s="38" t="n"/>
      <c r="AJ40" s="38" t="n"/>
      <c r="AK40" s="36" t="inlineStr">
        <is>
          <t>IF(OR(E40="",Z40=""),"",IF(COUNT(Y40:Y40)=0,"",Z40-LOOKUP(2,1/(Y40:Y40&lt;&gt;""),Y40:Y40)))</t>
        </is>
      </c>
      <c r="AL40" s="36" t="inlineStr">
        <is>
          <t>IF(OR(E40="",AA40=""),"",IF(COUNT(Y40:Z40)=0,"",AA40-LOOKUP(2,1/(Y40:Z40&lt;&gt;""),Y40:Z40)))</t>
        </is>
      </c>
      <c r="AM40" s="36" t="inlineStr">
        <is>
          <t>IF(OR(E40="",AB40=""),"",IF(COUNT(Y40:AA40)=0,"",AB40-LOOKUP(2,1/(Y40:AA40&lt;&gt;""),Y40:AA40)))</t>
        </is>
      </c>
      <c r="AN40" s="36" t="inlineStr">
        <is>
          <t>IF(OR(E40="",AC40=""),"",IF(COUNT(Y40:AB40)=0,"",AC40-LOOKUP(2,1/(Y40:AB40&lt;&gt;""),Y40:AB40)))</t>
        </is>
      </c>
      <c r="AO40" s="36" t="inlineStr">
        <is>
          <t>IF(OR(E40="",AD40=""),"",IF(COUNT(Y40:AC40)=0,"",AD40-LOOKUP(2,1/(Y40:AC40&lt;&gt;""),Y40:AC40)))</t>
        </is>
      </c>
      <c r="AP40" s="36" t="inlineStr">
        <is>
          <t>IF(OR(E40="",AE40=""),"",IF(COUNT(Y40:AD40)=0,"",AE40-LOOKUP(2,1/(Y40:AD40&lt;&gt;""),Y40:AD40)))</t>
        </is>
      </c>
      <c r="AQ40" s="36" t="inlineStr">
        <is>
          <t>IF(OR(E40="",AF40=""),"",IF(COUNT(Y40:AE40)=0,"",AF40-LOOKUP(2,1/(Y40:AE40&lt;&gt;""),Y40:AE40)))</t>
        </is>
      </c>
      <c r="AR40" s="36" t="inlineStr">
        <is>
          <t>IF(OR(E40="",AG40=""),"",IF(COUNT(Y40:AF40)=0,"",AG40-LOOKUP(2,1/(Y40:AF40&lt;&gt;""),Y40:AF40)))</t>
        </is>
      </c>
      <c r="AS40" s="36" t="inlineStr">
        <is>
          <t>IF(OR(E40="",AH40=""),"",IF(COUNT(Y40:AG40)=0,"",AH40-LOOKUP(2,1/(Y40:AG40&lt;&gt;""),Y40:AG40)))</t>
        </is>
      </c>
      <c r="AT40" s="36" t="inlineStr">
        <is>
          <t>IF(OR(E40="",AI40=""),"",IF(COUNT(Y40:AH40)=0,"",AI40-LOOKUP(2,1/(Y40:AH40&lt;&gt;""),Y40:AH40)))</t>
        </is>
      </c>
      <c r="AU40" s="36" t="inlineStr">
        <is>
          <t>IF(OR(E40="",AJ40=""),"",IF(COUNT(Y40:AI40)=0,"",AJ40-LOOKUP(2,1/(Y40:AI40&lt;&gt;""),Y40:AI40)))</t>
        </is>
      </c>
      <c r="AV40" s="39" t="inlineStr">
        <is>
          <t>IF(G40="","All_Provinces",IFERROR(VLOOKUP(G40,'07_Lookups'!$A$4:$B$20,2,FALSE),"All_Provinces"))</t>
        </is>
      </c>
      <c r="AW40" s="39" t="inlineStr">
        <is>
          <t>IF(H40="","All_Districts",IFERROR(VLOOKUP(H40,'07_Lookups'!$E$4:$F$42,2,FALSE),"All_Districts"))</t>
        </is>
      </c>
    </row>
    <row r="41" ht="18" customHeight="1">
      <c r="A41" s="31" t="inlineStr">
        <is>
          <t>IF(E41="","",ROW()-3)</t>
        </is>
      </c>
      <c r="B41" s="40" t="n"/>
      <c r="C41" s="40" t="n"/>
      <c r="D41" s="40" t="n"/>
      <c r="E41" s="40" t="n"/>
      <c r="F41" s="40" t="n"/>
      <c r="G41" s="40" t="n"/>
      <c r="H41" s="40" t="n"/>
      <c r="I41" s="40" t="n"/>
      <c r="J41" s="40" t="n"/>
      <c r="K41" s="40" t="n"/>
      <c r="L41" s="40" t="n"/>
      <c r="M41" s="40" t="n"/>
      <c r="N41" s="41" t="n"/>
      <c r="O41" s="34" t="inlineStr">
        <is>
          <t>IF(AE41="","",AE41)</t>
        </is>
      </c>
      <c r="P41" s="42" t="n"/>
      <c r="Q41" s="34" t="inlineStr">
        <is>
          <t>IF(OR(O41="",P41=""),"",EDATE(O41,P41))</t>
        </is>
      </c>
      <c r="R41" s="42" t="n"/>
      <c r="S41" s="40" t="n"/>
      <c r="T41" s="40" t="n"/>
      <c r="U41" s="31" t="inlineStr">
        <is>
          <t>IF(E41="","",IF(COUNT(Y41:AJ41)=0,IF(S41="","Not started",S41),SUBSTITUTE(LOOKUP(2,1/(Y41:AJ41&lt;&gt;""),$Y$3:$AJ$3),"Date: ","")))</t>
        </is>
      </c>
      <c r="V41" s="36" t="inlineStr">
        <is>
          <t>IF(OR(E41="",COUNT(Y41:AJ41)=0),"",TODAY()-LOOKUP(2,1/(Y41:AJ41&lt;&gt;""),Y41:AJ41))</t>
        </is>
      </c>
      <c r="W41" s="36" t="inlineStr">
        <is>
          <t>IF(OR(E41="",COUNT(Y41:AJ41)&lt;2),"",LOOKUP(2,1/(Y41:AJ41&lt;&gt;""),Y41:AJ41)-MIN(Y41:AJ41))</t>
        </is>
      </c>
      <c r="X41" s="36" t="inlineStr">
        <is>
          <t>IF(OR(V41="",U41="Not started",U41=""),"",IFERROR(V41-IF(VLOOKUP(U41,'04_Status_Pipeline'!$B$3:$E$20,4,FALSE)="",0,VLOOKUP(U41,'04_Status_Pipeline'!$B$3:$E$20,4,FALSE)),""))</t>
        </is>
      </c>
      <c r="Y41" s="43" t="n"/>
      <c r="Z41" s="43" t="n"/>
      <c r="AA41" s="43" t="n"/>
      <c r="AB41" s="43" t="n"/>
      <c r="AC41" s="43" t="n"/>
      <c r="AD41" s="43" t="n"/>
      <c r="AE41" s="43" t="n"/>
      <c r="AF41" s="43" t="n"/>
      <c r="AG41" s="43" t="n"/>
      <c r="AH41" s="38" t="n"/>
      <c r="AI41" s="38" t="n"/>
      <c r="AJ41" s="38" t="n"/>
      <c r="AK41" s="36" t="inlineStr">
        <is>
          <t>IF(OR(E41="",Z41=""),"",IF(COUNT(Y41:Y41)=0,"",Z41-LOOKUP(2,1/(Y41:Y41&lt;&gt;""),Y41:Y41)))</t>
        </is>
      </c>
      <c r="AL41" s="36" t="inlineStr">
        <is>
          <t>IF(OR(E41="",AA41=""),"",IF(COUNT(Y41:Z41)=0,"",AA41-LOOKUP(2,1/(Y41:Z41&lt;&gt;""),Y41:Z41)))</t>
        </is>
      </c>
      <c r="AM41" s="36" t="inlineStr">
        <is>
          <t>IF(OR(E41="",AB41=""),"",IF(COUNT(Y41:AA41)=0,"",AB41-LOOKUP(2,1/(Y41:AA41&lt;&gt;""),Y41:AA41)))</t>
        </is>
      </c>
      <c r="AN41" s="36" t="inlineStr">
        <is>
          <t>IF(OR(E41="",AC41=""),"",IF(COUNT(Y41:AB41)=0,"",AC41-LOOKUP(2,1/(Y41:AB41&lt;&gt;""),Y41:AB41)))</t>
        </is>
      </c>
      <c r="AO41" s="36" t="inlineStr">
        <is>
          <t>IF(OR(E41="",AD41=""),"",IF(COUNT(Y41:AC41)=0,"",AD41-LOOKUP(2,1/(Y41:AC41&lt;&gt;""),Y41:AC41)))</t>
        </is>
      </c>
      <c r="AP41" s="36" t="inlineStr">
        <is>
          <t>IF(OR(E41="",AE41=""),"",IF(COUNT(Y41:AD41)=0,"",AE41-LOOKUP(2,1/(Y41:AD41&lt;&gt;""),Y41:AD41)))</t>
        </is>
      </c>
      <c r="AQ41" s="36" t="inlineStr">
        <is>
          <t>IF(OR(E41="",AF41=""),"",IF(COUNT(Y41:AE41)=0,"",AF41-LOOKUP(2,1/(Y41:AE41&lt;&gt;""),Y41:AE41)))</t>
        </is>
      </c>
      <c r="AR41" s="36" t="inlineStr">
        <is>
          <t>IF(OR(E41="",AG41=""),"",IF(COUNT(Y41:AF41)=0,"",AG41-LOOKUP(2,1/(Y41:AF41&lt;&gt;""),Y41:AF41)))</t>
        </is>
      </c>
      <c r="AS41" s="36" t="inlineStr">
        <is>
          <t>IF(OR(E41="",AH41=""),"",IF(COUNT(Y41:AG41)=0,"",AH41-LOOKUP(2,1/(Y41:AG41&lt;&gt;""),Y41:AG41)))</t>
        </is>
      </c>
      <c r="AT41" s="36" t="inlineStr">
        <is>
          <t>IF(OR(E41="",AI41=""),"",IF(COUNT(Y41:AH41)=0,"",AI41-LOOKUP(2,1/(Y41:AH41&lt;&gt;""),Y41:AH41)))</t>
        </is>
      </c>
      <c r="AU41" s="36" t="inlineStr">
        <is>
          <t>IF(OR(E41="",AJ41=""),"",IF(COUNT(Y41:AI41)=0,"",AJ41-LOOKUP(2,1/(Y41:AI41&lt;&gt;""),Y41:AI41)))</t>
        </is>
      </c>
      <c r="AV41" s="39" t="inlineStr">
        <is>
          <t>IF(G41="","All_Provinces",IFERROR(VLOOKUP(G41,'07_Lookups'!$A$4:$B$20,2,FALSE),"All_Provinces"))</t>
        </is>
      </c>
      <c r="AW41" s="39" t="inlineStr">
        <is>
          <t>IF(H41="","All_Districts",IFERROR(VLOOKUP(H41,'07_Lookups'!$E$4:$F$42,2,FALSE),"All_Districts"))</t>
        </is>
      </c>
    </row>
    <row r="42" ht="18" customHeight="1">
      <c r="A42" s="31" t="inlineStr">
        <is>
          <t>IF(E42="","",ROW()-3)</t>
        </is>
      </c>
      <c r="B42" s="32" t="n"/>
      <c r="C42" s="32" t="n"/>
      <c r="D42" s="32" t="n"/>
      <c r="E42" s="32" t="n"/>
      <c r="F42" s="32" t="n"/>
      <c r="G42" s="32" t="n"/>
      <c r="H42" s="32" t="n"/>
      <c r="I42" s="32" t="n"/>
      <c r="J42" s="32" t="n"/>
      <c r="K42" s="32" t="n"/>
      <c r="L42" s="32" t="n"/>
      <c r="M42" s="32" t="n"/>
      <c r="N42" s="33" t="n"/>
      <c r="O42" s="34" t="inlineStr">
        <is>
          <t>IF(AE42="","",AE42)</t>
        </is>
      </c>
      <c r="P42" s="35" t="n"/>
      <c r="Q42" s="34" t="inlineStr">
        <is>
          <t>IF(OR(O42="",P42=""),"",EDATE(O42,P42))</t>
        </is>
      </c>
      <c r="R42" s="35" t="n"/>
      <c r="S42" s="32" t="n"/>
      <c r="T42" s="32" t="n"/>
      <c r="U42" s="31" t="inlineStr">
        <is>
          <t>IF(E42="","",IF(COUNT(Y42:AJ42)=0,IF(S42="","Not started",S42),SUBSTITUTE(LOOKUP(2,1/(Y42:AJ42&lt;&gt;""),$Y$3:$AJ$3),"Date: ","")))</t>
        </is>
      </c>
      <c r="V42" s="36" t="inlineStr">
        <is>
          <t>IF(OR(E42="",COUNT(Y42:AJ42)=0),"",TODAY()-LOOKUP(2,1/(Y42:AJ42&lt;&gt;""),Y42:AJ42))</t>
        </is>
      </c>
      <c r="W42" s="36" t="inlineStr">
        <is>
          <t>IF(OR(E42="",COUNT(Y42:AJ42)&lt;2),"",LOOKUP(2,1/(Y42:AJ42&lt;&gt;""),Y42:AJ42)-MIN(Y42:AJ42))</t>
        </is>
      </c>
      <c r="X42" s="36" t="inlineStr">
        <is>
          <t>IF(OR(V42="",U42="Not started",U42=""),"",IFERROR(V42-IF(VLOOKUP(U42,'04_Status_Pipeline'!$B$3:$E$20,4,FALSE)="",0,VLOOKUP(U42,'04_Status_Pipeline'!$B$3:$E$20,4,FALSE)),""))</t>
        </is>
      </c>
      <c r="Y42" s="37" t="n"/>
      <c r="Z42" s="37" t="n"/>
      <c r="AA42" s="37" t="n"/>
      <c r="AB42" s="37" t="n"/>
      <c r="AC42" s="37" t="n"/>
      <c r="AD42" s="37" t="n"/>
      <c r="AE42" s="37" t="n"/>
      <c r="AF42" s="37" t="n"/>
      <c r="AG42" s="37" t="n"/>
      <c r="AH42" s="38" t="n"/>
      <c r="AI42" s="38" t="n"/>
      <c r="AJ42" s="38" t="n"/>
      <c r="AK42" s="36" t="inlineStr">
        <is>
          <t>IF(OR(E42="",Z42=""),"",IF(COUNT(Y42:Y42)=0,"",Z42-LOOKUP(2,1/(Y42:Y42&lt;&gt;""),Y42:Y42)))</t>
        </is>
      </c>
      <c r="AL42" s="36" t="inlineStr">
        <is>
          <t>IF(OR(E42="",AA42=""),"",IF(COUNT(Y42:Z42)=0,"",AA42-LOOKUP(2,1/(Y42:Z42&lt;&gt;""),Y42:Z42)))</t>
        </is>
      </c>
      <c r="AM42" s="36" t="inlineStr">
        <is>
          <t>IF(OR(E42="",AB42=""),"",IF(COUNT(Y42:AA42)=0,"",AB42-LOOKUP(2,1/(Y42:AA42&lt;&gt;""),Y42:AA42)))</t>
        </is>
      </c>
      <c r="AN42" s="36" t="inlineStr">
        <is>
          <t>IF(OR(E42="",AC42=""),"",IF(COUNT(Y42:AB42)=0,"",AC42-LOOKUP(2,1/(Y42:AB42&lt;&gt;""),Y42:AB42)))</t>
        </is>
      </c>
      <c r="AO42" s="36" t="inlineStr">
        <is>
          <t>IF(OR(E42="",AD42=""),"",IF(COUNT(Y42:AC42)=0,"",AD42-LOOKUP(2,1/(Y42:AC42&lt;&gt;""),Y42:AC42)))</t>
        </is>
      </c>
      <c r="AP42" s="36" t="inlineStr">
        <is>
          <t>IF(OR(E42="",AE42=""),"",IF(COUNT(Y42:AD42)=0,"",AE42-LOOKUP(2,1/(Y42:AD42&lt;&gt;""),Y42:AD42)))</t>
        </is>
      </c>
      <c r="AQ42" s="36" t="inlineStr">
        <is>
          <t>IF(OR(E42="",AF42=""),"",IF(COUNT(Y42:AE42)=0,"",AF42-LOOKUP(2,1/(Y42:AE42&lt;&gt;""),Y42:AE42)))</t>
        </is>
      </c>
      <c r="AR42" s="36" t="inlineStr">
        <is>
          <t>IF(OR(E42="",AG42=""),"",IF(COUNT(Y42:AF42)=0,"",AG42-LOOKUP(2,1/(Y42:AF42&lt;&gt;""),Y42:AF42)))</t>
        </is>
      </c>
      <c r="AS42" s="36" t="inlineStr">
        <is>
          <t>IF(OR(E42="",AH42=""),"",IF(COUNT(Y42:AG42)=0,"",AH42-LOOKUP(2,1/(Y42:AG42&lt;&gt;""),Y42:AG42)))</t>
        </is>
      </c>
      <c r="AT42" s="36" t="inlineStr">
        <is>
          <t>IF(OR(E42="",AI42=""),"",IF(COUNT(Y42:AH42)=0,"",AI42-LOOKUP(2,1/(Y42:AH42&lt;&gt;""),Y42:AH42)))</t>
        </is>
      </c>
      <c r="AU42" s="36" t="inlineStr">
        <is>
          <t>IF(OR(E42="",AJ42=""),"",IF(COUNT(Y42:AI42)=0,"",AJ42-LOOKUP(2,1/(Y42:AI42&lt;&gt;""),Y42:AI42)))</t>
        </is>
      </c>
      <c r="AV42" s="39" t="inlineStr">
        <is>
          <t>IF(G42="","All_Provinces",IFERROR(VLOOKUP(G42,'07_Lookups'!$A$4:$B$20,2,FALSE),"All_Provinces"))</t>
        </is>
      </c>
      <c r="AW42" s="39" t="inlineStr">
        <is>
          <t>IF(H42="","All_Districts",IFERROR(VLOOKUP(H42,'07_Lookups'!$E$4:$F$42,2,FALSE),"All_Districts"))</t>
        </is>
      </c>
    </row>
    <row r="43" ht="18" customHeight="1">
      <c r="A43" s="31" t="inlineStr">
        <is>
          <t>IF(E43="","",ROW()-3)</t>
        </is>
      </c>
      <c r="B43" s="40" t="n"/>
      <c r="C43" s="40" t="n"/>
      <c r="D43" s="40" t="n"/>
      <c r="E43" s="40" t="n"/>
      <c r="F43" s="40" t="n"/>
      <c r="G43" s="40" t="n"/>
      <c r="H43" s="40" t="n"/>
      <c r="I43" s="40" t="n"/>
      <c r="J43" s="40" t="n"/>
      <c r="K43" s="40" t="n"/>
      <c r="L43" s="40" t="n"/>
      <c r="M43" s="40" t="n"/>
      <c r="N43" s="41" t="n"/>
      <c r="O43" s="34" t="inlineStr">
        <is>
          <t>IF(AE43="","",AE43)</t>
        </is>
      </c>
      <c r="P43" s="42" t="n"/>
      <c r="Q43" s="34" t="inlineStr">
        <is>
          <t>IF(OR(O43="",P43=""),"",EDATE(O43,P43))</t>
        </is>
      </c>
      <c r="R43" s="42" t="n"/>
      <c r="S43" s="40" t="n"/>
      <c r="T43" s="40" t="n"/>
      <c r="U43" s="31" t="inlineStr">
        <is>
          <t>IF(E43="","",IF(COUNT(Y43:AJ43)=0,IF(S43="","Not started",S43),SUBSTITUTE(LOOKUP(2,1/(Y43:AJ43&lt;&gt;""),$Y$3:$AJ$3),"Date: ","")))</t>
        </is>
      </c>
      <c r="V43" s="36" t="inlineStr">
        <is>
          <t>IF(OR(E43="",COUNT(Y43:AJ43)=0),"",TODAY()-LOOKUP(2,1/(Y43:AJ43&lt;&gt;""),Y43:AJ43))</t>
        </is>
      </c>
      <c r="W43" s="36" t="inlineStr">
        <is>
          <t>IF(OR(E43="",COUNT(Y43:AJ43)&lt;2),"",LOOKUP(2,1/(Y43:AJ43&lt;&gt;""),Y43:AJ43)-MIN(Y43:AJ43))</t>
        </is>
      </c>
      <c r="X43" s="36" t="inlineStr">
        <is>
          <t>IF(OR(V43="",U43="Not started",U43=""),"",IFERROR(V43-IF(VLOOKUP(U43,'04_Status_Pipeline'!$B$3:$E$20,4,FALSE)="",0,VLOOKUP(U43,'04_Status_Pipeline'!$B$3:$E$20,4,FALSE)),""))</t>
        </is>
      </c>
      <c r="Y43" s="43" t="n"/>
      <c r="Z43" s="43" t="n"/>
      <c r="AA43" s="43" t="n"/>
      <c r="AB43" s="43" t="n"/>
      <c r="AC43" s="43" t="n"/>
      <c r="AD43" s="43" t="n"/>
      <c r="AE43" s="43" t="n"/>
      <c r="AF43" s="43" t="n"/>
      <c r="AG43" s="43" t="n"/>
      <c r="AH43" s="38" t="n"/>
      <c r="AI43" s="38" t="n"/>
      <c r="AJ43" s="38" t="n"/>
      <c r="AK43" s="36" t="inlineStr">
        <is>
          <t>IF(OR(E43="",Z43=""),"",IF(COUNT(Y43:Y43)=0,"",Z43-LOOKUP(2,1/(Y43:Y43&lt;&gt;""),Y43:Y43)))</t>
        </is>
      </c>
      <c r="AL43" s="36" t="inlineStr">
        <is>
          <t>IF(OR(E43="",AA43=""),"",IF(COUNT(Y43:Z43)=0,"",AA43-LOOKUP(2,1/(Y43:Z43&lt;&gt;""),Y43:Z43)))</t>
        </is>
      </c>
      <c r="AM43" s="36" t="inlineStr">
        <is>
          <t>IF(OR(E43="",AB43=""),"",IF(COUNT(Y43:AA43)=0,"",AB43-LOOKUP(2,1/(Y43:AA43&lt;&gt;""),Y43:AA43)))</t>
        </is>
      </c>
      <c r="AN43" s="36" t="inlineStr">
        <is>
          <t>IF(OR(E43="",AC43=""),"",IF(COUNT(Y43:AB43)=0,"",AC43-LOOKUP(2,1/(Y43:AB43&lt;&gt;""),Y43:AB43)))</t>
        </is>
      </c>
      <c r="AO43" s="36" t="inlineStr">
        <is>
          <t>IF(OR(E43="",AD43=""),"",IF(COUNT(Y43:AC43)=0,"",AD43-LOOKUP(2,1/(Y43:AC43&lt;&gt;""),Y43:AC43)))</t>
        </is>
      </c>
      <c r="AP43" s="36" t="inlineStr">
        <is>
          <t>IF(OR(E43="",AE43=""),"",IF(COUNT(Y43:AD43)=0,"",AE43-LOOKUP(2,1/(Y43:AD43&lt;&gt;""),Y43:AD43)))</t>
        </is>
      </c>
      <c r="AQ43" s="36" t="inlineStr">
        <is>
          <t>IF(OR(E43="",AF43=""),"",IF(COUNT(Y43:AE43)=0,"",AF43-LOOKUP(2,1/(Y43:AE43&lt;&gt;""),Y43:AE43)))</t>
        </is>
      </c>
      <c r="AR43" s="36" t="inlineStr">
        <is>
          <t>IF(OR(E43="",AG43=""),"",IF(COUNT(Y43:AF43)=0,"",AG43-LOOKUP(2,1/(Y43:AF43&lt;&gt;""),Y43:AF43)))</t>
        </is>
      </c>
      <c r="AS43" s="36" t="inlineStr">
        <is>
          <t>IF(OR(E43="",AH43=""),"",IF(COUNT(Y43:AG43)=0,"",AH43-LOOKUP(2,1/(Y43:AG43&lt;&gt;""),Y43:AG43)))</t>
        </is>
      </c>
      <c r="AT43" s="36" t="inlineStr">
        <is>
          <t>IF(OR(E43="",AI43=""),"",IF(COUNT(Y43:AH43)=0,"",AI43-LOOKUP(2,1/(Y43:AH43&lt;&gt;""),Y43:AH43)))</t>
        </is>
      </c>
      <c r="AU43" s="36" t="inlineStr">
        <is>
          <t>IF(OR(E43="",AJ43=""),"",IF(COUNT(Y43:AI43)=0,"",AJ43-LOOKUP(2,1/(Y43:AI43&lt;&gt;""),Y43:AI43)))</t>
        </is>
      </c>
      <c r="AV43" s="39" t="inlineStr">
        <is>
          <t>IF(G43="","All_Provinces",IFERROR(VLOOKUP(G43,'07_Lookups'!$A$4:$B$20,2,FALSE),"All_Provinces"))</t>
        </is>
      </c>
      <c r="AW43" s="39" t="inlineStr">
        <is>
          <t>IF(H43="","All_Districts",IFERROR(VLOOKUP(H43,'07_Lookups'!$E$4:$F$42,2,FALSE),"All_Districts"))</t>
        </is>
      </c>
    </row>
    <row r="44" ht="18" customHeight="1">
      <c r="A44" s="31" t="inlineStr">
        <is>
          <t>IF(E44="","",ROW()-3)</t>
        </is>
      </c>
      <c r="B44" s="32" t="n"/>
      <c r="C44" s="32" t="n"/>
      <c r="D44" s="32" t="n"/>
      <c r="E44" s="32" t="n"/>
      <c r="F44" s="32" t="n"/>
      <c r="G44" s="32" t="n"/>
      <c r="H44" s="32" t="n"/>
      <c r="I44" s="32" t="n"/>
      <c r="J44" s="32" t="n"/>
      <c r="K44" s="32" t="n"/>
      <c r="L44" s="32" t="n"/>
      <c r="M44" s="32" t="n"/>
      <c r="N44" s="33" t="n"/>
      <c r="O44" s="34" t="inlineStr">
        <is>
          <t>IF(AE44="","",AE44)</t>
        </is>
      </c>
      <c r="P44" s="35" t="n"/>
      <c r="Q44" s="34" t="inlineStr">
        <is>
          <t>IF(OR(O44="",P44=""),"",EDATE(O44,P44))</t>
        </is>
      </c>
      <c r="R44" s="35" t="n"/>
      <c r="S44" s="32" t="n"/>
      <c r="T44" s="32" t="n"/>
      <c r="U44" s="31" t="inlineStr">
        <is>
          <t>IF(E44="","",IF(COUNT(Y44:AJ44)=0,IF(S44="","Not started",S44),SUBSTITUTE(LOOKUP(2,1/(Y44:AJ44&lt;&gt;""),$Y$3:$AJ$3),"Date: ","")))</t>
        </is>
      </c>
      <c r="V44" s="36" t="inlineStr">
        <is>
          <t>IF(OR(E44="",COUNT(Y44:AJ44)=0),"",TODAY()-LOOKUP(2,1/(Y44:AJ44&lt;&gt;""),Y44:AJ44))</t>
        </is>
      </c>
      <c r="W44" s="36" t="inlineStr">
        <is>
          <t>IF(OR(E44="",COUNT(Y44:AJ44)&lt;2),"",LOOKUP(2,1/(Y44:AJ44&lt;&gt;""),Y44:AJ44)-MIN(Y44:AJ44))</t>
        </is>
      </c>
      <c r="X44" s="36" t="inlineStr">
        <is>
          <t>IF(OR(V44="",U44="Not started",U44=""),"",IFERROR(V44-IF(VLOOKUP(U44,'04_Status_Pipeline'!$B$3:$E$20,4,FALSE)="",0,VLOOKUP(U44,'04_Status_Pipeline'!$B$3:$E$20,4,FALSE)),""))</t>
        </is>
      </c>
      <c r="Y44" s="37" t="n"/>
      <c r="Z44" s="37" t="n"/>
      <c r="AA44" s="37" t="n"/>
      <c r="AB44" s="37" t="n"/>
      <c r="AC44" s="37" t="n"/>
      <c r="AD44" s="37" t="n"/>
      <c r="AE44" s="37" t="n"/>
      <c r="AF44" s="37" t="n"/>
      <c r="AG44" s="37" t="n"/>
      <c r="AH44" s="38" t="n"/>
      <c r="AI44" s="38" t="n"/>
      <c r="AJ44" s="38" t="n"/>
      <c r="AK44" s="36" t="inlineStr">
        <is>
          <t>IF(OR(E44="",Z44=""),"",IF(COUNT(Y44:Y44)=0,"",Z44-LOOKUP(2,1/(Y44:Y44&lt;&gt;""),Y44:Y44)))</t>
        </is>
      </c>
      <c r="AL44" s="36" t="inlineStr">
        <is>
          <t>IF(OR(E44="",AA44=""),"",IF(COUNT(Y44:Z44)=0,"",AA44-LOOKUP(2,1/(Y44:Z44&lt;&gt;""),Y44:Z44)))</t>
        </is>
      </c>
      <c r="AM44" s="36" t="inlineStr">
        <is>
          <t>IF(OR(E44="",AB44=""),"",IF(COUNT(Y44:AA44)=0,"",AB44-LOOKUP(2,1/(Y44:AA44&lt;&gt;""),Y44:AA44)))</t>
        </is>
      </c>
      <c r="AN44" s="36" t="inlineStr">
        <is>
          <t>IF(OR(E44="",AC44=""),"",IF(COUNT(Y44:AB44)=0,"",AC44-LOOKUP(2,1/(Y44:AB44&lt;&gt;""),Y44:AB44)))</t>
        </is>
      </c>
      <c r="AO44" s="36" t="inlineStr">
        <is>
          <t>IF(OR(E44="",AD44=""),"",IF(COUNT(Y44:AC44)=0,"",AD44-LOOKUP(2,1/(Y44:AC44&lt;&gt;""),Y44:AC44)))</t>
        </is>
      </c>
      <c r="AP44" s="36" t="inlineStr">
        <is>
          <t>IF(OR(E44="",AE44=""),"",IF(COUNT(Y44:AD44)=0,"",AE44-LOOKUP(2,1/(Y44:AD44&lt;&gt;""),Y44:AD44)))</t>
        </is>
      </c>
      <c r="AQ44" s="36" t="inlineStr">
        <is>
          <t>IF(OR(E44="",AF44=""),"",IF(COUNT(Y44:AE44)=0,"",AF44-LOOKUP(2,1/(Y44:AE44&lt;&gt;""),Y44:AE44)))</t>
        </is>
      </c>
      <c r="AR44" s="36" t="inlineStr">
        <is>
          <t>IF(OR(E44="",AG44=""),"",IF(COUNT(Y44:AF44)=0,"",AG44-LOOKUP(2,1/(Y44:AF44&lt;&gt;""),Y44:AF44)))</t>
        </is>
      </c>
      <c r="AS44" s="36" t="inlineStr">
        <is>
          <t>IF(OR(E44="",AH44=""),"",IF(COUNT(Y44:AG44)=0,"",AH44-LOOKUP(2,1/(Y44:AG44&lt;&gt;""),Y44:AG44)))</t>
        </is>
      </c>
      <c r="AT44" s="36" t="inlineStr">
        <is>
          <t>IF(OR(E44="",AI44=""),"",IF(COUNT(Y44:AH44)=0,"",AI44-LOOKUP(2,1/(Y44:AH44&lt;&gt;""),Y44:AH44)))</t>
        </is>
      </c>
      <c r="AU44" s="36" t="inlineStr">
        <is>
          <t>IF(OR(E44="",AJ44=""),"",IF(COUNT(Y44:AI44)=0,"",AJ44-LOOKUP(2,1/(Y44:AI44&lt;&gt;""),Y44:AI44)))</t>
        </is>
      </c>
      <c r="AV44" s="39" t="inlineStr">
        <is>
          <t>IF(G44="","All_Provinces",IFERROR(VLOOKUP(G44,'07_Lookups'!$A$4:$B$20,2,FALSE),"All_Provinces"))</t>
        </is>
      </c>
      <c r="AW44" s="39" t="inlineStr">
        <is>
          <t>IF(H44="","All_Districts",IFERROR(VLOOKUP(H44,'07_Lookups'!$E$4:$F$42,2,FALSE),"All_Districts"))</t>
        </is>
      </c>
    </row>
    <row r="45" ht="18" customHeight="1">
      <c r="A45" s="31" t="inlineStr">
        <is>
          <t>IF(E45="","",ROW()-3)</t>
        </is>
      </c>
      <c r="B45" s="40" t="n"/>
      <c r="C45" s="40" t="n"/>
      <c r="D45" s="40" t="n"/>
      <c r="E45" s="40" t="n"/>
      <c r="F45" s="40" t="n"/>
      <c r="G45" s="40" t="n"/>
      <c r="H45" s="40" t="n"/>
      <c r="I45" s="40" t="n"/>
      <c r="J45" s="40" t="n"/>
      <c r="K45" s="40" t="n"/>
      <c r="L45" s="40" t="n"/>
      <c r="M45" s="40" t="n"/>
      <c r="N45" s="41" t="n"/>
      <c r="O45" s="34" t="inlineStr">
        <is>
          <t>IF(AE45="","",AE45)</t>
        </is>
      </c>
      <c r="P45" s="42" t="n"/>
      <c r="Q45" s="34" t="inlineStr">
        <is>
          <t>IF(OR(O45="",P45=""),"",EDATE(O45,P45))</t>
        </is>
      </c>
      <c r="R45" s="42" t="n"/>
      <c r="S45" s="40" t="n"/>
      <c r="T45" s="40" t="n"/>
      <c r="U45" s="31" t="inlineStr">
        <is>
          <t>IF(E45="","",IF(COUNT(Y45:AJ45)=0,IF(S45="","Not started",S45),SUBSTITUTE(LOOKUP(2,1/(Y45:AJ45&lt;&gt;""),$Y$3:$AJ$3),"Date: ","")))</t>
        </is>
      </c>
      <c r="V45" s="36" t="inlineStr">
        <is>
          <t>IF(OR(E45="",COUNT(Y45:AJ45)=0),"",TODAY()-LOOKUP(2,1/(Y45:AJ45&lt;&gt;""),Y45:AJ45))</t>
        </is>
      </c>
      <c r="W45" s="36" t="inlineStr">
        <is>
          <t>IF(OR(E45="",COUNT(Y45:AJ45)&lt;2),"",LOOKUP(2,1/(Y45:AJ45&lt;&gt;""),Y45:AJ45)-MIN(Y45:AJ45))</t>
        </is>
      </c>
      <c r="X45" s="36" t="inlineStr">
        <is>
          <t>IF(OR(V45="",U45="Not started",U45=""),"",IFERROR(V45-IF(VLOOKUP(U45,'04_Status_Pipeline'!$B$3:$E$20,4,FALSE)="",0,VLOOKUP(U45,'04_Status_Pipeline'!$B$3:$E$20,4,FALSE)),""))</t>
        </is>
      </c>
      <c r="Y45" s="43" t="n"/>
      <c r="Z45" s="43" t="n"/>
      <c r="AA45" s="43" t="n"/>
      <c r="AB45" s="43" t="n"/>
      <c r="AC45" s="43" t="n"/>
      <c r="AD45" s="43" t="n"/>
      <c r="AE45" s="43" t="n"/>
      <c r="AF45" s="43" t="n"/>
      <c r="AG45" s="43" t="n"/>
      <c r="AH45" s="38" t="n"/>
      <c r="AI45" s="38" t="n"/>
      <c r="AJ45" s="38" t="n"/>
      <c r="AK45" s="36" t="inlineStr">
        <is>
          <t>IF(OR(E45="",Z45=""),"",IF(COUNT(Y45:Y45)=0,"",Z45-LOOKUP(2,1/(Y45:Y45&lt;&gt;""),Y45:Y45)))</t>
        </is>
      </c>
      <c r="AL45" s="36" t="inlineStr">
        <is>
          <t>IF(OR(E45="",AA45=""),"",IF(COUNT(Y45:Z45)=0,"",AA45-LOOKUP(2,1/(Y45:Z45&lt;&gt;""),Y45:Z45)))</t>
        </is>
      </c>
      <c r="AM45" s="36" t="inlineStr">
        <is>
          <t>IF(OR(E45="",AB45=""),"",IF(COUNT(Y45:AA45)=0,"",AB45-LOOKUP(2,1/(Y45:AA45&lt;&gt;""),Y45:AA45)))</t>
        </is>
      </c>
      <c r="AN45" s="36" t="inlineStr">
        <is>
          <t>IF(OR(E45="",AC45=""),"",IF(COUNT(Y45:AB45)=0,"",AC45-LOOKUP(2,1/(Y45:AB45&lt;&gt;""),Y45:AB45)))</t>
        </is>
      </c>
      <c r="AO45" s="36" t="inlineStr">
        <is>
          <t>IF(OR(E45="",AD45=""),"",IF(COUNT(Y45:AC45)=0,"",AD45-LOOKUP(2,1/(Y45:AC45&lt;&gt;""),Y45:AC45)))</t>
        </is>
      </c>
      <c r="AP45" s="36" t="inlineStr">
        <is>
          <t>IF(OR(E45="",AE45=""),"",IF(COUNT(Y45:AD45)=0,"",AE45-LOOKUP(2,1/(Y45:AD45&lt;&gt;""),Y45:AD45)))</t>
        </is>
      </c>
      <c r="AQ45" s="36" t="inlineStr">
        <is>
          <t>IF(OR(E45="",AF45=""),"",IF(COUNT(Y45:AE45)=0,"",AF45-LOOKUP(2,1/(Y45:AE45&lt;&gt;""),Y45:AE45)))</t>
        </is>
      </c>
      <c r="AR45" s="36" t="inlineStr">
        <is>
          <t>IF(OR(E45="",AG45=""),"",IF(COUNT(Y45:AF45)=0,"",AG45-LOOKUP(2,1/(Y45:AF45&lt;&gt;""),Y45:AF45)))</t>
        </is>
      </c>
      <c r="AS45" s="36" t="inlineStr">
        <is>
          <t>IF(OR(E45="",AH45=""),"",IF(COUNT(Y45:AG45)=0,"",AH45-LOOKUP(2,1/(Y45:AG45&lt;&gt;""),Y45:AG45)))</t>
        </is>
      </c>
      <c r="AT45" s="36" t="inlineStr">
        <is>
          <t>IF(OR(E45="",AI45=""),"",IF(COUNT(Y45:AH45)=0,"",AI45-LOOKUP(2,1/(Y45:AH45&lt;&gt;""),Y45:AH45)))</t>
        </is>
      </c>
      <c r="AU45" s="36" t="inlineStr">
        <is>
          <t>IF(OR(E45="",AJ45=""),"",IF(COUNT(Y45:AI45)=0,"",AJ45-LOOKUP(2,1/(Y45:AI45&lt;&gt;""),Y45:AI45)))</t>
        </is>
      </c>
      <c r="AV45" s="39" t="inlineStr">
        <is>
          <t>IF(G45="","All_Provinces",IFERROR(VLOOKUP(G45,'07_Lookups'!$A$4:$B$20,2,FALSE),"All_Provinces"))</t>
        </is>
      </c>
      <c r="AW45" s="39" t="inlineStr">
        <is>
          <t>IF(H45="","All_Districts",IFERROR(VLOOKUP(H45,'07_Lookups'!$E$4:$F$42,2,FALSE),"All_Districts"))</t>
        </is>
      </c>
    </row>
    <row r="46" ht="18" customHeight="1">
      <c r="A46" s="31" t="inlineStr">
        <is>
          <t>IF(E46="","",ROW()-3)</t>
        </is>
      </c>
      <c r="B46" s="32" t="n"/>
      <c r="C46" s="32" t="n"/>
      <c r="D46" s="32" t="n"/>
      <c r="E46" s="32" t="n"/>
      <c r="F46" s="32" t="n"/>
      <c r="G46" s="32" t="n"/>
      <c r="H46" s="32" t="n"/>
      <c r="I46" s="32" t="n"/>
      <c r="J46" s="32" t="n"/>
      <c r="K46" s="32" t="n"/>
      <c r="L46" s="32" t="n"/>
      <c r="M46" s="32" t="n"/>
      <c r="N46" s="33" t="n"/>
      <c r="O46" s="34" t="inlineStr">
        <is>
          <t>IF(AE46="","",AE46)</t>
        </is>
      </c>
      <c r="P46" s="35" t="n"/>
      <c r="Q46" s="34" t="inlineStr">
        <is>
          <t>IF(OR(O46="",P46=""),"",EDATE(O46,P46))</t>
        </is>
      </c>
      <c r="R46" s="35" t="n"/>
      <c r="S46" s="32" t="n"/>
      <c r="T46" s="32" t="n"/>
      <c r="U46" s="31" t="inlineStr">
        <is>
          <t>IF(E46="","",IF(COUNT(Y46:AJ46)=0,IF(S46="","Not started",S46),SUBSTITUTE(LOOKUP(2,1/(Y46:AJ46&lt;&gt;""),$Y$3:$AJ$3),"Date: ","")))</t>
        </is>
      </c>
      <c r="V46" s="36" t="inlineStr">
        <is>
          <t>IF(OR(E46="",COUNT(Y46:AJ46)=0),"",TODAY()-LOOKUP(2,1/(Y46:AJ46&lt;&gt;""),Y46:AJ46))</t>
        </is>
      </c>
      <c r="W46" s="36" t="inlineStr">
        <is>
          <t>IF(OR(E46="",COUNT(Y46:AJ46)&lt;2),"",LOOKUP(2,1/(Y46:AJ46&lt;&gt;""),Y46:AJ46)-MIN(Y46:AJ46))</t>
        </is>
      </c>
      <c r="X46" s="36" t="inlineStr">
        <is>
          <t>IF(OR(V46="",U46="Not started",U46=""),"",IFERROR(V46-IF(VLOOKUP(U46,'04_Status_Pipeline'!$B$3:$E$20,4,FALSE)="",0,VLOOKUP(U46,'04_Status_Pipeline'!$B$3:$E$20,4,FALSE)),""))</t>
        </is>
      </c>
      <c r="Y46" s="37" t="n"/>
      <c r="Z46" s="37" t="n"/>
      <c r="AA46" s="37" t="n"/>
      <c r="AB46" s="37" t="n"/>
      <c r="AC46" s="37" t="n"/>
      <c r="AD46" s="37" t="n"/>
      <c r="AE46" s="37" t="n"/>
      <c r="AF46" s="37" t="n"/>
      <c r="AG46" s="37" t="n"/>
      <c r="AH46" s="38" t="n"/>
      <c r="AI46" s="38" t="n"/>
      <c r="AJ46" s="38" t="n"/>
      <c r="AK46" s="36" t="inlineStr">
        <is>
          <t>IF(OR(E46="",Z46=""),"",IF(COUNT(Y46:Y46)=0,"",Z46-LOOKUP(2,1/(Y46:Y46&lt;&gt;""),Y46:Y46)))</t>
        </is>
      </c>
      <c r="AL46" s="36" t="inlineStr">
        <is>
          <t>IF(OR(E46="",AA46=""),"",IF(COUNT(Y46:Z46)=0,"",AA46-LOOKUP(2,1/(Y46:Z46&lt;&gt;""),Y46:Z46)))</t>
        </is>
      </c>
      <c r="AM46" s="36" t="inlineStr">
        <is>
          <t>IF(OR(E46="",AB46=""),"",IF(COUNT(Y46:AA46)=0,"",AB46-LOOKUP(2,1/(Y46:AA46&lt;&gt;""),Y46:AA46)))</t>
        </is>
      </c>
      <c r="AN46" s="36" t="inlineStr">
        <is>
          <t>IF(OR(E46="",AC46=""),"",IF(COUNT(Y46:AB46)=0,"",AC46-LOOKUP(2,1/(Y46:AB46&lt;&gt;""),Y46:AB46)))</t>
        </is>
      </c>
      <c r="AO46" s="36" t="inlineStr">
        <is>
          <t>IF(OR(E46="",AD46=""),"",IF(COUNT(Y46:AC46)=0,"",AD46-LOOKUP(2,1/(Y46:AC46&lt;&gt;""),Y46:AC46)))</t>
        </is>
      </c>
      <c r="AP46" s="36" t="inlineStr">
        <is>
          <t>IF(OR(E46="",AE46=""),"",IF(COUNT(Y46:AD46)=0,"",AE46-LOOKUP(2,1/(Y46:AD46&lt;&gt;""),Y46:AD46)))</t>
        </is>
      </c>
      <c r="AQ46" s="36" t="inlineStr">
        <is>
          <t>IF(OR(E46="",AF46=""),"",IF(COUNT(Y46:AE46)=0,"",AF46-LOOKUP(2,1/(Y46:AE46&lt;&gt;""),Y46:AE46)))</t>
        </is>
      </c>
      <c r="AR46" s="36" t="inlineStr">
        <is>
          <t>IF(OR(E46="",AG46=""),"",IF(COUNT(Y46:AF46)=0,"",AG46-LOOKUP(2,1/(Y46:AF46&lt;&gt;""),Y46:AF46)))</t>
        </is>
      </c>
      <c r="AS46" s="36" t="inlineStr">
        <is>
          <t>IF(OR(E46="",AH46=""),"",IF(COUNT(Y46:AG46)=0,"",AH46-LOOKUP(2,1/(Y46:AG46&lt;&gt;""),Y46:AG46)))</t>
        </is>
      </c>
      <c r="AT46" s="36" t="inlineStr">
        <is>
          <t>IF(OR(E46="",AI46=""),"",IF(COUNT(Y46:AH46)=0,"",AI46-LOOKUP(2,1/(Y46:AH46&lt;&gt;""),Y46:AH46)))</t>
        </is>
      </c>
      <c r="AU46" s="36" t="inlineStr">
        <is>
          <t>IF(OR(E46="",AJ46=""),"",IF(COUNT(Y46:AI46)=0,"",AJ46-LOOKUP(2,1/(Y46:AI46&lt;&gt;""),Y46:AI46)))</t>
        </is>
      </c>
      <c r="AV46" s="39" t="inlineStr">
        <is>
          <t>IF(G46="","All_Provinces",IFERROR(VLOOKUP(G46,'07_Lookups'!$A$4:$B$20,2,FALSE),"All_Provinces"))</t>
        </is>
      </c>
      <c r="AW46" s="39" t="inlineStr">
        <is>
          <t>IF(H46="","All_Districts",IFERROR(VLOOKUP(H46,'07_Lookups'!$E$4:$F$42,2,FALSE),"All_Districts"))</t>
        </is>
      </c>
    </row>
    <row r="47" ht="18" customHeight="1">
      <c r="A47" s="31" t="inlineStr">
        <is>
          <t>IF(E47="","",ROW()-3)</t>
        </is>
      </c>
      <c r="B47" s="40" t="n"/>
      <c r="C47" s="40" t="n"/>
      <c r="D47" s="40" t="n"/>
      <c r="E47" s="40" t="n"/>
      <c r="F47" s="40" t="n"/>
      <c r="G47" s="40" t="n"/>
      <c r="H47" s="40" t="n"/>
      <c r="I47" s="40" t="n"/>
      <c r="J47" s="40" t="n"/>
      <c r="K47" s="40" t="n"/>
      <c r="L47" s="40" t="n"/>
      <c r="M47" s="40" t="n"/>
      <c r="N47" s="41" t="n"/>
      <c r="O47" s="34" t="inlineStr">
        <is>
          <t>IF(AE47="","",AE47)</t>
        </is>
      </c>
      <c r="P47" s="42" t="n"/>
      <c r="Q47" s="34" t="inlineStr">
        <is>
          <t>IF(OR(O47="",P47=""),"",EDATE(O47,P47))</t>
        </is>
      </c>
      <c r="R47" s="42" t="n"/>
      <c r="S47" s="40" t="n"/>
      <c r="T47" s="40" t="n"/>
      <c r="U47" s="31" t="inlineStr">
        <is>
          <t>IF(E47="","",IF(COUNT(Y47:AJ47)=0,IF(S47="","Not started",S47),SUBSTITUTE(LOOKUP(2,1/(Y47:AJ47&lt;&gt;""),$Y$3:$AJ$3),"Date: ","")))</t>
        </is>
      </c>
      <c r="V47" s="36" t="inlineStr">
        <is>
          <t>IF(OR(E47="",COUNT(Y47:AJ47)=0),"",TODAY()-LOOKUP(2,1/(Y47:AJ47&lt;&gt;""),Y47:AJ47))</t>
        </is>
      </c>
      <c r="W47" s="36" t="inlineStr">
        <is>
          <t>IF(OR(E47="",COUNT(Y47:AJ47)&lt;2),"",LOOKUP(2,1/(Y47:AJ47&lt;&gt;""),Y47:AJ47)-MIN(Y47:AJ47))</t>
        </is>
      </c>
      <c r="X47" s="36" t="inlineStr">
        <is>
          <t>IF(OR(V47="",U47="Not started",U47=""),"",IFERROR(V47-IF(VLOOKUP(U47,'04_Status_Pipeline'!$B$3:$E$20,4,FALSE)="",0,VLOOKUP(U47,'04_Status_Pipeline'!$B$3:$E$20,4,FALSE)),""))</t>
        </is>
      </c>
      <c r="Y47" s="43" t="n"/>
      <c r="Z47" s="43" t="n"/>
      <c r="AA47" s="43" t="n"/>
      <c r="AB47" s="43" t="n"/>
      <c r="AC47" s="43" t="n"/>
      <c r="AD47" s="43" t="n"/>
      <c r="AE47" s="43" t="n"/>
      <c r="AF47" s="43" t="n"/>
      <c r="AG47" s="43" t="n"/>
      <c r="AH47" s="38" t="n"/>
      <c r="AI47" s="38" t="n"/>
      <c r="AJ47" s="38" t="n"/>
      <c r="AK47" s="36" t="inlineStr">
        <is>
          <t>IF(OR(E47="",Z47=""),"",IF(COUNT(Y47:Y47)=0,"",Z47-LOOKUP(2,1/(Y47:Y47&lt;&gt;""),Y47:Y47)))</t>
        </is>
      </c>
      <c r="AL47" s="36" t="inlineStr">
        <is>
          <t>IF(OR(E47="",AA47=""),"",IF(COUNT(Y47:Z47)=0,"",AA47-LOOKUP(2,1/(Y47:Z47&lt;&gt;""),Y47:Z47)))</t>
        </is>
      </c>
      <c r="AM47" s="36" t="inlineStr">
        <is>
          <t>IF(OR(E47="",AB47=""),"",IF(COUNT(Y47:AA47)=0,"",AB47-LOOKUP(2,1/(Y47:AA47&lt;&gt;""),Y47:AA47)))</t>
        </is>
      </c>
      <c r="AN47" s="36" t="inlineStr">
        <is>
          <t>IF(OR(E47="",AC47=""),"",IF(COUNT(Y47:AB47)=0,"",AC47-LOOKUP(2,1/(Y47:AB47&lt;&gt;""),Y47:AB47)))</t>
        </is>
      </c>
      <c r="AO47" s="36" t="inlineStr">
        <is>
          <t>IF(OR(E47="",AD47=""),"",IF(COUNT(Y47:AC47)=0,"",AD47-LOOKUP(2,1/(Y47:AC47&lt;&gt;""),Y47:AC47)))</t>
        </is>
      </c>
      <c r="AP47" s="36" t="inlineStr">
        <is>
          <t>IF(OR(E47="",AE47=""),"",IF(COUNT(Y47:AD47)=0,"",AE47-LOOKUP(2,1/(Y47:AD47&lt;&gt;""),Y47:AD47)))</t>
        </is>
      </c>
      <c r="AQ47" s="36" t="inlineStr">
        <is>
          <t>IF(OR(E47="",AF47=""),"",IF(COUNT(Y47:AE47)=0,"",AF47-LOOKUP(2,1/(Y47:AE47&lt;&gt;""),Y47:AE47)))</t>
        </is>
      </c>
      <c r="AR47" s="36" t="inlineStr">
        <is>
          <t>IF(OR(E47="",AG47=""),"",IF(COUNT(Y47:AF47)=0,"",AG47-LOOKUP(2,1/(Y47:AF47&lt;&gt;""),Y47:AF47)))</t>
        </is>
      </c>
      <c r="AS47" s="36" t="inlineStr">
        <is>
          <t>IF(OR(E47="",AH47=""),"",IF(COUNT(Y47:AG47)=0,"",AH47-LOOKUP(2,1/(Y47:AG47&lt;&gt;""),Y47:AG47)))</t>
        </is>
      </c>
      <c r="AT47" s="36" t="inlineStr">
        <is>
          <t>IF(OR(E47="",AI47=""),"",IF(COUNT(Y47:AH47)=0,"",AI47-LOOKUP(2,1/(Y47:AH47&lt;&gt;""),Y47:AH47)))</t>
        </is>
      </c>
      <c r="AU47" s="36" t="inlineStr">
        <is>
          <t>IF(OR(E47="",AJ47=""),"",IF(COUNT(Y47:AI47)=0,"",AJ47-LOOKUP(2,1/(Y47:AI47&lt;&gt;""),Y47:AI47)))</t>
        </is>
      </c>
      <c r="AV47" s="39" t="inlineStr">
        <is>
          <t>IF(G47="","All_Provinces",IFERROR(VLOOKUP(G47,'07_Lookups'!$A$4:$B$20,2,FALSE),"All_Provinces"))</t>
        </is>
      </c>
      <c r="AW47" s="39" t="inlineStr">
        <is>
          <t>IF(H47="","All_Districts",IFERROR(VLOOKUP(H47,'07_Lookups'!$E$4:$F$42,2,FALSE),"All_Districts"))</t>
        </is>
      </c>
    </row>
    <row r="48" ht="18" customHeight="1">
      <c r="A48" s="31" t="inlineStr">
        <is>
          <t>IF(E48="","",ROW()-3)</t>
        </is>
      </c>
      <c r="B48" s="32" t="n"/>
      <c r="C48" s="32" t="n"/>
      <c r="D48" s="32" t="n"/>
      <c r="E48" s="32" t="n"/>
      <c r="F48" s="32" t="n"/>
      <c r="G48" s="32" t="n"/>
      <c r="H48" s="32" t="n"/>
      <c r="I48" s="32" t="n"/>
      <c r="J48" s="32" t="n"/>
      <c r="K48" s="32" t="n"/>
      <c r="L48" s="32" t="n"/>
      <c r="M48" s="32" t="n"/>
      <c r="N48" s="33" t="n"/>
      <c r="O48" s="34" t="inlineStr">
        <is>
          <t>IF(AE48="","",AE48)</t>
        </is>
      </c>
      <c r="P48" s="35" t="n"/>
      <c r="Q48" s="34" t="inlineStr">
        <is>
          <t>IF(OR(O48="",P48=""),"",EDATE(O48,P48))</t>
        </is>
      </c>
      <c r="R48" s="35" t="n"/>
      <c r="S48" s="32" t="n"/>
      <c r="T48" s="32" t="n"/>
      <c r="U48" s="31" t="inlineStr">
        <is>
          <t>IF(E48="","",IF(COUNT(Y48:AJ48)=0,IF(S48="","Not started",S48),SUBSTITUTE(LOOKUP(2,1/(Y48:AJ48&lt;&gt;""),$Y$3:$AJ$3),"Date: ","")))</t>
        </is>
      </c>
      <c r="V48" s="36" t="inlineStr">
        <is>
          <t>IF(OR(E48="",COUNT(Y48:AJ48)=0),"",TODAY()-LOOKUP(2,1/(Y48:AJ48&lt;&gt;""),Y48:AJ48))</t>
        </is>
      </c>
      <c r="W48" s="36" t="inlineStr">
        <is>
          <t>IF(OR(E48="",COUNT(Y48:AJ48)&lt;2),"",LOOKUP(2,1/(Y48:AJ48&lt;&gt;""),Y48:AJ48)-MIN(Y48:AJ48))</t>
        </is>
      </c>
      <c r="X48" s="36" t="inlineStr">
        <is>
          <t>IF(OR(V48="",U48="Not started",U48=""),"",IFERROR(V48-IF(VLOOKUP(U48,'04_Status_Pipeline'!$B$3:$E$20,4,FALSE)="",0,VLOOKUP(U48,'04_Status_Pipeline'!$B$3:$E$20,4,FALSE)),""))</t>
        </is>
      </c>
      <c r="Y48" s="37" t="n"/>
      <c r="Z48" s="37" t="n"/>
      <c r="AA48" s="37" t="n"/>
      <c r="AB48" s="37" t="n"/>
      <c r="AC48" s="37" t="n"/>
      <c r="AD48" s="37" t="n"/>
      <c r="AE48" s="37" t="n"/>
      <c r="AF48" s="37" t="n"/>
      <c r="AG48" s="37" t="n"/>
      <c r="AH48" s="38" t="n"/>
      <c r="AI48" s="38" t="n"/>
      <c r="AJ48" s="38" t="n"/>
      <c r="AK48" s="36" t="inlineStr">
        <is>
          <t>IF(OR(E48="",Z48=""),"",IF(COUNT(Y48:Y48)=0,"",Z48-LOOKUP(2,1/(Y48:Y48&lt;&gt;""),Y48:Y48)))</t>
        </is>
      </c>
      <c r="AL48" s="36" t="inlineStr">
        <is>
          <t>IF(OR(E48="",AA48=""),"",IF(COUNT(Y48:Z48)=0,"",AA48-LOOKUP(2,1/(Y48:Z48&lt;&gt;""),Y48:Z48)))</t>
        </is>
      </c>
      <c r="AM48" s="36" t="inlineStr">
        <is>
          <t>IF(OR(E48="",AB48=""),"",IF(COUNT(Y48:AA48)=0,"",AB48-LOOKUP(2,1/(Y48:AA48&lt;&gt;""),Y48:AA48)))</t>
        </is>
      </c>
      <c r="AN48" s="36" t="inlineStr">
        <is>
          <t>IF(OR(E48="",AC48=""),"",IF(COUNT(Y48:AB48)=0,"",AC48-LOOKUP(2,1/(Y48:AB48&lt;&gt;""),Y48:AB48)))</t>
        </is>
      </c>
      <c r="AO48" s="36" t="inlineStr">
        <is>
          <t>IF(OR(E48="",AD48=""),"",IF(COUNT(Y48:AC48)=0,"",AD48-LOOKUP(2,1/(Y48:AC48&lt;&gt;""),Y48:AC48)))</t>
        </is>
      </c>
      <c r="AP48" s="36" t="inlineStr">
        <is>
          <t>IF(OR(E48="",AE48=""),"",IF(COUNT(Y48:AD48)=0,"",AE48-LOOKUP(2,1/(Y48:AD48&lt;&gt;""),Y48:AD48)))</t>
        </is>
      </c>
      <c r="AQ48" s="36" t="inlineStr">
        <is>
          <t>IF(OR(E48="",AF48=""),"",IF(COUNT(Y48:AE48)=0,"",AF48-LOOKUP(2,1/(Y48:AE48&lt;&gt;""),Y48:AE48)))</t>
        </is>
      </c>
      <c r="AR48" s="36" t="inlineStr">
        <is>
          <t>IF(OR(E48="",AG48=""),"",IF(COUNT(Y48:AF48)=0,"",AG48-LOOKUP(2,1/(Y48:AF48&lt;&gt;""),Y48:AF48)))</t>
        </is>
      </c>
      <c r="AS48" s="36" t="inlineStr">
        <is>
          <t>IF(OR(E48="",AH48=""),"",IF(COUNT(Y48:AG48)=0,"",AH48-LOOKUP(2,1/(Y48:AG48&lt;&gt;""),Y48:AG48)))</t>
        </is>
      </c>
      <c r="AT48" s="36" t="inlineStr">
        <is>
          <t>IF(OR(E48="",AI48=""),"",IF(COUNT(Y48:AH48)=0,"",AI48-LOOKUP(2,1/(Y48:AH48&lt;&gt;""),Y48:AH48)))</t>
        </is>
      </c>
      <c r="AU48" s="36" t="inlineStr">
        <is>
          <t>IF(OR(E48="",AJ48=""),"",IF(COUNT(Y48:AI48)=0,"",AJ48-LOOKUP(2,1/(Y48:AI48&lt;&gt;""),Y48:AI48)))</t>
        </is>
      </c>
      <c r="AV48" s="39" t="inlineStr">
        <is>
          <t>IF(G48="","All_Provinces",IFERROR(VLOOKUP(G48,'07_Lookups'!$A$4:$B$20,2,FALSE),"All_Provinces"))</t>
        </is>
      </c>
      <c r="AW48" s="39" t="inlineStr">
        <is>
          <t>IF(H48="","All_Districts",IFERROR(VLOOKUP(H48,'07_Lookups'!$E$4:$F$42,2,FALSE),"All_Districts"))</t>
        </is>
      </c>
    </row>
    <row r="49" ht="18" customHeight="1">
      <c r="A49" s="31" t="inlineStr">
        <is>
          <t>IF(E49="","",ROW()-3)</t>
        </is>
      </c>
      <c r="B49" s="40" t="n"/>
      <c r="C49" s="40" t="n"/>
      <c r="D49" s="40" t="n"/>
      <c r="E49" s="40" t="n"/>
      <c r="F49" s="40" t="n"/>
      <c r="G49" s="40" t="n"/>
      <c r="H49" s="40" t="n"/>
      <c r="I49" s="40" t="n"/>
      <c r="J49" s="40" t="n"/>
      <c r="K49" s="40" t="n"/>
      <c r="L49" s="40" t="n"/>
      <c r="M49" s="40" t="n"/>
      <c r="N49" s="41" t="n"/>
      <c r="O49" s="34" t="inlineStr">
        <is>
          <t>IF(AE49="","",AE49)</t>
        </is>
      </c>
      <c r="P49" s="42" t="n"/>
      <c r="Q49" s="34" t="inlineStr">
        <is>
          <t>IF(OR(O49="",P49=""),"",EDATE(O49,P49))</t>
        </is>
      </c>
      <c r="R49" s="42" t="n"/>
      <c r="S49" s="40" t="n"/>
      <c r="T49" s="40" t="n"/>
      <c r="U49" s="31" t="inlineStr">
        <is>
          <t>IF(E49="","",IF(COUNT(Y49:AJ49)=0,IF(S49="","Not started",S49),SUBSTITUTE(LOOKUP(2,1/(Y49:AJ49&lt;&gt;""),$Y$3:$AJ$3),"Date: ","")))</t>
        </is>
      </c>
      <c r="V49" s="36" t="inlineStr">
        <is>
          <t>IF(OR(E49="",COUNT(Y49:AJ49)=0),"",TODAY()-LOOKUP(2,1/(Y49:AJ49&lt;&gt;""),Y49:AJ49))</t>
        </is>
      </c>
      <c r="W49" s="36" t="inlineStr">
        <is>
          <t>IF(OR(E49="",COUNT(Y49:AJ49)&lt;2),"",LOOKUP(2,1/(Y49:AJ49&lt;&gt;""),Y49:AJ49)-MIN(Y49:AJ49))</t>
        </is>
      </c>
      <c r="X49" s="36" t="inlineStr">
        <is>
          <t>IF(OR(V49="",U49="Not started",U49=""),"",IFERROR(V49-IF(VLOOKUP(U49,'04_Status_Pipeline'!$B$3:$E$20,4,FALSE)="",0,VLOOKUP(U49,'04_Status_Pipeline'!$B$3:$E$20,4,FALSE)),""))</t>
        </is>
      </c>
      <c r="Y49" s="43" t="n"/>
      <c r="Z49" s="43" t="n"/>
      <c r="AA49" s="43" t="n"/>
      <c r="AB49" s="43" t="n"/>
      <c r="AC49" s="43" t="n"/>
      <c r="AD49" s="43" t="n"/>
      <c r="AE49" s="43" t="n"/>
      <c r="AF49" s="43" t="n"/>
      <c r="AG49" s="43" t="n"/>
      <c r="AH49" s="38" t="n"/>
      <c r="AI49" s="38" t="n"/>
      <c r="AJ49" s="38" t="n"/>
      <c r="AK49" s="36" t="inlineStr">
        <is>
          <t>IF(OR(E49="",Z49=""),"",IF(COUNT(Y49:Y49)=0,"",Z49-LOOKUP(2,1/(Y49:Y49&lt;&gt;""),Y49:Y49)))</t>
        </is>
      </c>
      <c r="AL49" s="36" t="inlineStr">
        <is>
          <t>IF(OR(E49="",AA49=""),"",IF(COUNT(Y49:Z49)=0,"",AA49-LOOKUP(2,1/(Y49:Z49&lt;&gt;""),Y49:Z49)))</t>
        </is>
      </c>
      <c r="AM49" s="36" t="inlineStr">
        <is>
          <t>IF(OR(E49="",AB49=""),"",IF(COUNT(Y49:AA49)=0,"",AB49-LOOKUP(2,1/(Y49:AA49&lt;&gt;""),Y49:AA49)))</t>
        </is>
      </c>
      <c r="AN49" s="36" t="inlineStr">
        <is>
          <t>IF(OR(E49="",AC49=""),"",IF(COUNT(Y49:AB49)=0,"",AC49-LOOKUP(2,1/(Y49:AB49&lt;&gt;""),Y49:AB49)))</t>
        </is>
      </c>
      <c r="AO49" s="36" t="inlineStr">
        <is>
          <t>IF(OR(E49="",AD49=""),"",IF(COUNT(Y49:AC49)=0,"",AD49-LOOKUP(2,1/(Y49:AC49&lt;&gt;""),Y49:AC49)))</t>
        </is>
      </c>
      <c r="AP49" s="36" t="inlineStr">
        <is>
          <t>IF(OR(E49="",AE49=""),"",IF(COUNT(Y49:AD49)=0,"",AE49-LOOKUP(2,1/(Y49:AD49&lt;&gt;""),Y49:AD49)))</t>
        </is>
      </c>
      <c r="AQ49" s="36" t="inlineStr">
        <is>
          <t>IF(OR(E49="",AF49=""),"",IF(COUNT(Y49:AE49)=0,"",AF49-LOOKUP(2,1/(Y49:AE49&lt;&gt;""),Y49:AE49)))</t>
        </is>
      </c>
      <c r="AR49" s="36" t="inlineStr">
        <is>
          <t>IF(OR(E49="",AG49=""),"",IF(COUNT(Y49:AF49)=0,"",AG49-LOOKUP(2,1/(Y49:AF49&lt;&gt;""),Y49:AF49)))</t>
        </is>
      </c>
      <c r="AS49" s="36" t="inlineStr">
        <is>
          <t>IF(OR(E49="",AH49=""),"",IF(COUNT(Y49:AG49)=0,"",AH49-LOOKUP(2,1/(Y49:AG49&lt;&gt;""),Y49:AG49)))</t>
        </is>
      </c>
      <c r="AT49" s="36" t="inlineStr">
        <is>
          <t>IF(OR(E49="",AI49=""),"",IF(COUNT(Y49:AH49)=0,"",AI49-LOOKUP(2,1/(Y49:AH49&lt;&gt;""),Y49:AH49)))</t>
        </is>
      </c>
      <c r="AU49" s="36" t="inlineStr">
        <is>
          <t>IF(OR(E49="",AJ49=""),"",IF(COUNT(Y49:AI49)=0,"",AJ49-LOOKUP(2,1/(Y49:AI49&lt;&gt;""),Y49:AI49)))</t>
        </is>
      </c>
      <c r="AV49" s="39" t="inlineStr">
        <is>
          <t>IF(G49="","All_Provinces",IFERROR(VLOOKUP(G49,'07_Lookups'!$A$4:$B$20,2,FALSE),"All_Provinces"))</t>
        </is>
      </c>
      <c r="AW49" s="39" t="inlineStr">
        <is>
          <t>IF(H49="","All_Districts",IFERROR(VLOOKUP(H49,'07_Lookups'!$E$4:$F$42,2,FALSE),"All_Districts"))</t>
        </is>
      </c>
    </row>
    <row r="50" ht="18" customHeight="1">
      <c r="A50" s="31" t="inlineStr">
        <is>
          <t>IF(E50="","",ROW()-3)</t>
        </is>
      </c>
      <c r="B50" s="32" t="n"/>
      <c r="C50" s="32" t="n"/>
      <c r="D50" s="32" t="n"/>
      <c r="E50" s="32" t="n"/>
      <c r="F50" s="32" t="n"/>
      <c r="G50" s="32" t="n"/>
      <c r="H50" s="32" t="n"/>
      <c r="I50" s="32" t="n"/>
      <c r="J50" s="32" t="n"/>
      <c r="K50" s="32" t="n"/>
      <c r="L50" s="32" t="n"/>
      <c r="M50" s="32" t="n"/>
      <c r="N50" s="33" t="n"/>
      <c r="O50" s="34" t="inlineStr">
        <is>
          <t>IF(AE50="","",AE50)</t>
        </is>
      </c>
      <c r="P50" s="35" t="n"/>
      <c r="Q50" s="34" t="inlineStr">
        <is>
          <t>IF(OR(O50="",P50=""),"",EDATE(O50,P50))</t>
        </is>
      </c>
      <c r="R50" s="35" t="n"/>
      <c r="S50" s="32" t="n"/>
      <c r="T50" s="32" t="n"/>
      <c r="U50" s="31" t="inlineStr">
        <is>
          <t>IF(E50="","",IF(COUNT(Y50:AJ50)=0,IF(S50="","Not started",S50),SUBSTITUTE(LOOKUP(2,1/(Y50:AJ50&lt;&gt;""),$Y$3:$AJ$3),"Date: ","")))</t>
        </is>
      </c>
      <c r="V50" s="36" t="inlineStr">
        <is>
          <t>IF(OR(E50="",COUNT(Y50:AJ50)=0),"",TODAY()-LOOKUP(2,1/(Y50:AJ50&lt;&gt;""),Y50:AJ50))</t>
        </is>
      </c>
      <c r="W50" s="36" t="inlineStr">
        <is>
          <t>IF(OR(E50="",COUNT(Y50:AJ50)&lt;2),"",LOOKUP(2,1/(Y50:AJ50&lt;&gt;""),Y50:AJ50)-MIN(Y50:AJ50))</t>
        </is>
      </c>
      <c r="X50" s="36" t="inlineStr">
        <is>
          <t>IF(OR(V50="",U50="Not started",U50=""),"",IFERROR(V50-IF(VLOOKUP(U50,'04_Status_Pipeline'!$B$3:$E$20,4,FALSE)="",0,VLOOKUP(U50,'04_Status_Pipeline'!$B$3:$E$20,4,FALSE)),""))</t>
        </is>
      </c>
      <c r="Y50" s="37" t="n"/>
      <c r="Z50" s="37" t="n"/>
      <c r="AA50" s="37" t="n"/>
      <c r="AB50" s="37" t="n"/>
      <c r="AC50" s="37" t="n"/>
      <c r="AD50" s="37" t="n"/>
      <c r="AE50" s="37" t="n"/>
      <c r="AF50" s="37" t="n"/>
      <c r="AG50" s="37" t="n"/>
      <c r="AH50" s="38" t="n"/>
      <c r="AI50" s="38" t="n"/>
      <c r="AJ50" s="38" t="n"/>
      <c r="AK50" s="36" t="inlineStr">
        <is>
          <t>IF(OR(E50="",Z50=""),"",IF(COUNT(Y50:Y50)=0,"",Z50-LOOKUP(2,1/(Y50:Y50&lt;&gt;""),Y50:Y50)))</t>
        </is>
      </c>
      <c r="AL50" s="36" t="inlineStr">
        <is>
          <t>IF(OR(E50="",AA50=""),"",IF(COUNT(Y50:Z50)=0,"",AA50-LOOKUP(2,1/(Y50:Z50&lt;&gt;""),Y50:Z50)))</t>
        </is>
      </c>
      <c r="AM50" s="36" t="inlineStr">
        <is>
          <t>IF(OR(E50="",AB50=""),"",IF(COUNT(Y50:AA50)=0,"",AB50-LOOKUP(2,1/(Y50:AA50&lt;&gt;""),Y50:AA50)))</t>
        </is>
      </c>
      <c r="AN50" s="36" t="inlineStr">
        <is>
          <t>IF(OR(E50="",AC50=""),"",IF(COUNT(Y50:AB50)=0,"",AC50-LOOKUP(2,1/(Y50:AB50&lt;&gt;""),Y50:AB50)))</t>
        </is>
      </c>
      <c r="AO50" s="36" t="inlineStr">
        <is>
          <t>IF(OR(E50="",AD50=""),"",IF(COUNT(Y50:AC50)=0,"",AD50-LOOKUP(2,1/(Y50:AC50&lt;&gt;""),Y50:AC50)))</t>
        </is>
      </c>
      <c r="AP50" s="36" t="inlineStr">
        <is>
          <t>IF(OR(E50="",AE50=""),"",IF(COUNT(Y50:AD50)=0,"",AE50-LOOKUP(2,1/(Y50:AD50&lt;&gt;""),Y50:AD50)))</t>
        </is>
      </c>
      <c r="AQ50" s="36" t="inlineStr">
        <is>
          <t>IF(OR(E50="",AF50=""),"",IF(COUNT(Y50:AE50)=0,"",AF50-LOOKUP(2,1/(Y50:AE50&lt;&gt;""),Y50:AE50)))</t>
        </is>
      </c>
      <c r="AR50" s="36" t="inlineStr">
        <is>
          <t>IF(OR(E50="",AG50=""),"",IF(COUNT(Y50:AF50)=0,"",AG50-LOOKUP(2,1/(Y50:AF50&lt;&gt;""),Y50:AF50)))</t>
        </is>
      </c>
      <c r="AS50" s="36" t="inlineStr">
        <is>
          <t>IF(OR(E50="",AH50=""),"",IF(COUNT(Y50:AG50)=0,"",AH50-LOOKUP(2,1/(Y50:AG50&lt;&gt;""),Y50:AG50)))</t>
        </is>
      </c>
      <c r="AT50" s="36" t="inlineStr">
        <is>
          <t>IF(OR(E50="",AI50=""),"",IF(COUNT(Y50:AH50)=0,"",AI50-LOOKUP(2,1/(Y50:AH50&lt;&gt;""),Y50:AH50)))</t>
        </is>
      </c>
      <c r="AU50" s="36" t="inlineStr">
        <is>
          <t>IF(OR(E50="",AJ50=""),"",IF(COUNT(Y50:AI50)=0,"",AJ50-LOOKUP(2,1/(Y50:AI50&lt;&gt;""),Y50:AI50)))</t>
        </is>
      </c>
      <c r="AV50" s="39" t="inlineStr">
        <is>
          <t>IF(G50="","All_Provinces",IFERROR(VLOOKUP(G50,'07_Lookups'!$A$4:$B$20,2,FALSE),"All_Provinces"))</t>
        </is>
      </c>
      <c r="AW50" s="39" t="inlineStr">
        <is>
          <t>IF(H50="","All_Districts",IFERROR(VLOOKUP(H50,'07_Lookups'!$E$4:$F$42,2,FALSE),"All_Districts"))</t>
        </is>
      </c>
    </row>
    <row r="51" ht="18" customHeight="1">
      <c r="A51" s="31" t="inlineStr">
        <is>
          <t>IF(E51="","",ROW()-3)</t>
        </is>
      </c>
      <c r="B51" s="40" t="n"/>
      <c r="C51" s="40" t="n"/>
      <c r="D51" s="40" t="n"/>
      <c r="E51" s="40" t="n"/>
      <c r="F51" s="40" t="n"/>
      <c r="G51" s="40" t="n"/>
      <c r="H51" s="40" t="n"/>
      <c r="I51" s="40" t="n"/>
      <c r="J51" s="40" t="n"/>
      <c r="K51" s="40" t="n"/>
      <c r="L51" s="40" t="n"/>
      <c r="M51" s="40" t="n"/>
      <c r="N51" s="41" t="n"/>
      <c r="O51" s="34" t="inlineStr">
        <is>
          <t>IF(AE51="","",AE51)</t>
        </is>
      </c>
      <c r="P51" s="42" t="n"/>
      <c r="Q51" s="34" t="inlineStr">
        <is>
          <t>IF(OR(O51="",P51=""),"",EDATE(O51,P51))</t>
        </is>
      </c>
      <c r="R51" s="42" t="n"/>
      <c r="S51" s="40" t="n"/>
      <c r="T51" s="40" t="n"/>
      <c r="U51" s="31" t="inlineStr">
        <is>
          <t>IF(E51="","",IF(COUNT(Y51:AJ51)=0,IF(S51="","Not started",S51),SUBSTITUTE(LOOKUP(2,1/(Y51:AJ51&lt;&gt;""),$Y$3:$AJ$3),"Date: ","")))</t>
        </is>
      </c>
      <c r="V51" s="36" t="inlineStr">
        <is>
          <t>IF(OR(E51="",COUNT(Y51:AJ51)=0),"",TODAY()-LOOKUP(2,1/(Y51:AJ51&lt;&gt;""),Y51:AJ51))</t>
        </is>
      </c>
      <c r="W51" s="36" t="inlineStr">
        <is>
          <t>IF(OR(E51="",COUNT(Y51:AJ51)&lt;2),"",LOOKUP(2,1/(Y51:AJ51&lt;&gt;""),Y51:AJ51)-MIN(Y51:AJ51))</t>
        </is>
      </c>
      <c r="X51" s="36" t="inlineStr">
        <is>
          <t>IF(OR(V51="",U51="Not started",U51=""),"",IFERROR(V51-IF(VLOOKUP(U51,'04_Status_Pipeline'!$B$3:$E$20,4,FALSE)="",0,VLOOKUP(U51,'04_Status_Pipeline'!$B$3:$E$20,4,FALSE)),""))</t>
        </is>
      </c>
      <c r="Y51" s="43" t="n"/>
      <c r="Z51" s="43" t="n"/>
      <c r="AA51" s="43" t="n"/>
      <c r="AB51" s="43" t="n"/>
      <c r="AC51" s="43" t="n"/>
      <c r="AD51" s="43" t="n"/>
      <c r="AE51" s="43" t="n"/>
      <c r="AF51" s="43" t="n"/>
      <c r="AG51" s="43" t="n"/>
      <c r="AH51" s="38" t="n"/>
      <c r="AI51" s="38" t="n"/>
      <c r="AJ51" s="38" t="n"/>
      <c r="AK51" s="36" t="inlineStr">
        <is>
          <t>IF(OR(E51="",Z51=""),"",IF(COUNT(Y51:Y51)=0,"",Z51-LOOKUP(2,1/(Y51:Y51&lt;&gt;""),Y51:Y51)))</t>
        </is>
      </c>
      <c r="AL51" s="36" t="inlineStr">
        <is>
          <t>IF(OR(E51="",AA51=""),"",IF(COUNT(Y51:Z51)=0,"",AA51-LOOKUP(2,1/(Y51:Z51&lt;&gt;""),Y51:Z51)))</t>
        </is>
      </c>
      <c r="AM51" s="36" t="inlineStr">
        <is>
          <t>IF(OR(E51="",AB51=""),"",IF(COUNT(Y51:AA51)=0,"",AB51-LOOKUP(2,1/(Y51:AA51&lt;&gt;""),Y51:AA51)))</t>
        </is>
      </c>
      <c r="AN51" s="36" t="inlineStr">
        <is>
          <t>IF(OR(E51="",AC51=""),"",IF(COUNT(Y51:AB51)=0,"",AC51-LOOKUP(2,1/(Y51:AB51&lt;&gt;""),Y51:AB51)))</t>
        </is>
      </c>
      <c r="AO51" s="36" t="inlineStr">
        <is>
          <t>IF(OR(E51="",AD51=""),"",IF(COUNT(Y51:AC51)=0,"",AD51-LOOKUP(2,1/(Y51:AC51&lt;&gt;""),Y51:AC51)))</t>
        </is>
      </c>
      <c r="AP51" s="36" t="inlineStr">
        <is>
          <t>IF(OR(E51="",AE51=""),"",IF(COUNT(Y51:AD51)=0,"",AE51-LOOKUP(2,1/(Y51:AD51&lt;&gt;""),Y51:AD51)))</t>
        </is>
      </c>
      <c r="AQ51" s="36" t="inlineStr">
        <is>
          <t>IF(OR(E51="",AF51=""),"",IF(COUNT(Y51:AE51)=0,"",AF51-LOOKUP(2,1/(Y51:AE51&lt;&gt;""),Y51:AE51)))</t>
        </is>
      </c>
      <c r="AR51" s="36" t="inlineStr">
        <is>
          <t>IF(OR(E51="",AG51=""),"",IF(COUNT(Y51:AF51)=0,"",AG51-LOOKUP(2,1/(Y51:AF51&lt;&gt;""),Y51:AF51)))</t>
        </is>
      </c>
      <c r="AS51" s="36" t="inlineStr">
        <is>
          <t>IF(OR(E51="",AH51=""),"",IF(COUNT(Y51:AG51)=0,"",AH51-LOOKUP(2,1/(Y51:AG51&lt;&gt;""),Y51:AG51)))</t>
        </is>
      </c>
      <c r="AT51" s="36" t="inlineStr">
        <is>
          <t>IF(OR(E51="",AI51=""),"",IF(COUNT(Y51:AH51)=0,"",AI51-LOOKUP(2,1/(Y51:AH51&lt;&gt;""),Y51:AH51)))</t>
        </is>
      </c>
      <c r="AU51" s="36" t="inlineStr">
        <is>
          <t>IF(OR(E51="",AJ51=""),"",IF(COUNT(Y51:AI51)=0,"",AJ51-LOOKUP(2,1/(Y51:AI51&lt;&gt;""),Y51:AI51)))</t>
        </is>
      </c>
      <c r="AV51" s="39" t="inlineStr">
        <is>
          <t>IF(G51="","All_Provinces",IFERROR(VLOOKUP(G51,'07_Lookups'!$A$4:$B$20,2,FALSE),"All_Provinces"))</t>
        </is>
      </c>
      <c r="AW51" s="39" t="inlineStr">
        <is>
          <t>IF(H51="","All_Districts",IFERROR(VLOOKUP(H51,'07_Lookups'!$E$4:$F$42,2,FALSE),"All_Districts"))</t>
        </is>
      </c>
    </row>
    <row r="52" ht="18" customHeight="1">
      <c r="A52" s="31" t="inlineStr">
        <is>
          <t>IF(E52="","",ROW()-3)</t>
        </is>
      </c>
      <c r="B52" s="32" t="n"/>
      <c r="C52" s="32" t="n"/>
      <c r="D52" s="32" t="n"/>
      <c r="E52" s="32" t="n"/>
      <c r="F52" s="32" t="n"/>
      <c r="G52" s="32" t="n"/>
      <c r="H52" s="32" t="n"/>
      <c r="I52" s="32" t="n"/>
      <c r="J52" s="32" t="n"/>
      <c r="K52" s="32" t="n"/>
      <c r="L52" s="32" t="n"/>
      <c r="M52" s="32" t="n"/>
      <c r="N52" s="33" t="n"/>
      <c r="O52" s="34" t="inlineStr">
        <is>
          <t>IF(AE52="","",AE52)</t>
        </is>
      </c>
      <c r="P52" s="35" t="n"/>
      <c r="Q52" s="34" t="inlineStr">
        <is>
          <t>IF(OR(O52="",P52=""),"",EDATE(O52,P52))</t>
        </is>
      </c>
      <c r="R52" s="35" t="n"/>
      <c r="S52" s="32" t="n"/>
      <c r="T52" s="32" t="n"/>
      <c r="U52" s="31" t="inlineStr">
        <is>
          <t>IF(E52="","",IF(COUNT(Y52:AJ52)=0,IF(S52="","Not started",S52),SUBSTITUTE(LOOKUP(2,1/(Y52:AJ52&lt;&gt;""),$Y$3:$AJ$3),"Date: ","")))</t>
        </is>
      </c>
      <c r="V52" s="36" t="inlineStr">
        <is>
          <t>IF(OR(E52="",COUNT(Y52:AJ52)=0),"",TODAY()-LOOKUP(2,1/(Y52:AJ52&lt;&gt;""),Y52:AJ52))</t>
        </is>
      </c>
      <c r="W52" s="36" t="inlineStr">
        <is>
          <t>IF(OR(E52="",COUNT(Y52:AJ52)&lt;2),"",LOOKUP(2,1/(Y52:AJ52&lt;&gt;""),Y52:AJ52)-MIN(Y52:AJ52))</t>
        </is>
      </c>
      <c r="X52" s="36" t="inlineStr">
        <is>
          <t>IF(OR(V52="",U52="Not started",U52=""),"",IFERROR(V52-IF(VLOOKUP(U52,'04_Status_Pipeline'!$B$3:$E$20,4,FALSE)="",0,VLOOKUP(U52,'04_Status_Pipeline'!$B$3:$E$20,4,FALSE)),""))</t>
        </is>
      </c>
      <c r="Y52" s="37" t="n"/>
      <c r="Z52" s="37" t="n"/>
      <c r="AA52" s="37" t="n"/>
      <c r="AB52" s="37" t="n"/>
      <c r="AC52" s="37" t="n"/>
      <c r="AD52" s="37" t="n"/>
      <c r="AE52" s="37" t="n"/>
      <c r="AF52" s="37" t="n"/>
      <c r="AG52" s="37" t="n"/>
      <c r="AH52" s="38" t="n"/>
      <c r="AI52" s="38" t="n"/>
      <c r="AJ52" s="38" t="n"/>
      <c r="AK52" s="36" t="inlineStr">
        <is>
          <t>IF(OR(E52="",Z52=""),"",IF(COUNT(Y52:Y52)=0,"",Z52-LOOKUP(2,1/(Y52:Y52&lt;&gt;""),Y52:Y52)))</t>
        </is>
      </c>
      <c r="AL52" s="36" t="inlineStr">
        <is>
          <t>IF(OR(E52="",AA52=""),"",IF(COUNT(Y52:Z52)=0,"",AA52-LOOKUP(2,1/(Y52:Z52&lt;&gt;""),Y52:Z52)))</t>
        </is>
      </c>
      <c r="AM52" s="36" t="inlineStr">
        <is>
          <t>IF(OR(E52="",AB52=""),"",IF(COUNT(Y52:AA52)=0,"",AB52-LOOKUP(2,1/(Y52:AA52&lt;&gt;""),Y52:AA52)))</t>
        </is>
      </c>
      <c r="AN52" s="36" t="inlineStr">
        <is>
          <t>IF(OR(E52="",AC52=""),"",IF(COUNT(Y52:AB52)=0,"",AC52-LOOKUP(2,1/(Y52:AB52&lt;&gt;""),Y52:AB52)))</t>
        </is>
      </c>
      <c r="AO52" s="36" t="inlineStr">
        <is>
          <t>IF(OR(E52="",AD52=""),"",IF(COUNT(Y52:AC52)=0,"",AD52-LOOKUP(2,1/(Y52:AC52&lt;&gt;""),Y52:AC52)))</t>
        </is>
      </c>
      <c r="AP52" s="36" t="inlineStr">
        <is>
          <t>IF(OR(E52="",AE52=""),"",IF(COUNT(Y52:AD52)=0,"",AE52-LOOKUP(2,1/(Y52:AD52&lt;&gt;""),Y52:AD52)))</t>
        </is>
      </c>
      <c r="AQ52" s="36" t="inlineStr">
        <is>
          <t>IF(OR(E52="",AF52=""),"",IF(COUNT(Y52:AE52)=0,"",AF52-LOOKUP(2,1/(Y52:AE52&lt;&gt;""),Y52:AE52)))</t>
        </is>
      </c>
      <c r="AR52" s="36" t="inlineStr">
        <is>
          <t>IF(OR(E52="",AG52=""),"",IF(COUNT(Y52:AF52)=0,"",AG52-LOOKUP(2,1/(Y52:AF52&lt;&gt;""),Y52:AF52)))</t>
        </is>
      </c>
      <c r="AS52" s="36" t="inlineStr">
        <is>
          <t>IF(OR(E52="",AH52=""),"",IF(COUNT(Y52:AG52)=0,"",AH52-LOOKUP(2,1/(Y52:AG52&lt;&gt;""),Y52:AG52)))</t>
        </is>
      </c>
      <c r="AT52" s="36" t="inlineStr">
        <is>
          <t>IF(OR(E52="",AI52=""),"",IF(COUNT(Y52:AH52)=0,"",AI52-LOOKUP(2,1/(Y52:AH52&lt;&gt;""),Y52:AH52)))</t>
        </is>
      </c>
      <c r="AU52" s="36" t="inlineStr">
        <is>
          <t>IF(OR(E52="",AJ52=""),"",IF(COUNT(Y52:AI52)=0,"",AJ52-LOOKUP(2,1/(Y52:AI52&lt;&gt;""),Y52:AI52)))</t>
        </is>
      </c>
      <c r="AV52" s="39" t="inlineStr">
        <is>
          <t>IF(G52="","All_Provinces",IFERROR(VLOOKUP(G52,'07_Lookups'!$A$4:$B$20,2,FALSE),"All_Provinces"))</t>
        </is>
      </c>
      <c r="AW52" s="39" t="inlineStr">
        <is>
          <t>IF(H52="","All_Districts",IFERROR(VLOOKUP(H52,'07_Lookups'!$E$4:$F$42,2,FALSE),"All_Districts"))</t>
        </is>
      </c>
    </row>
    <row r="53" ht="18" customHeight="1">
      <c r="A53" s="31" t="inlineStr">
        <is>
          <t>IF(E53="","",ROW()-3)</t>
        </is>
      </c>
      <c r="B53" s="40" t="n"/>
      <c r="C53" s="40" t="n"/>
      <c r="D53" s="40" t="n"/>
      <c r="E53" s="40" t="n"/>
      <c r="F53" s="40" t="n"/>
      <c r="G53" s="40" t="n"/>
      <c r="H53" s="40" t="n"/>
      <c r="I53" s="40" t="n"/>
      <c r="J53" s="40" t="n"/>
      <c r="K53" s="40" t="n"/>
      <c r="L53" s="40" t="n"/>
      <c r="M53" s="40" t="n"/>
      <c r="N53" s="41" t="n"/>
      <c r="O53" s="34" t="inlineStr">
        <is>
          <t>IF(AE53="","",AE53)</t>
        </is>
      </c>
      <c r="P53" s="42" t="n"/>
      <c r="Q53" s="34" t="inlineStr">
        <is>
          <t>IF(OR(O53="",P53=""),"",EDATE(O53,P53))</t>
        </is>
      </c>
      <c r="R53" s="42" t="n"/>
      <c r="S53" s="40" t="n"/>
      <c r="T53" s="40" t="n"/>
      <c r="U53" s="31" t="inlineStr">
        <is>
          <t>IF(E53="","",IF(COUNT(Y53:AJ53)=0,IF(S53="","Not started",S53),SUBSTITUTE(LOOKUP(2,1/(Y53:AJ53&lt;&gt;""),$Y$3:$AJ$3),"Date: ","")))</t>
        </is>
      </c>
      <c r="V53" s="36" t="inlineStr">
        <is>
          <t>IF(OR(E53="",COUNT(Y53:AJ53)=0),"",TODAY()-LOOKUP(2,1/(Y53:AJ53&lt;&gt;""),Y53:AJ53))</t>
        </is>
      </c>
      <c r="W53" s="36" t="inlineStr">
        <is>
          <t>IF(OR(E53="",COUNT(Y53:AJ53)&lt;2),"",LOOKUP(2,1/(Y53:AJ53&lt;&gt;""),Y53:AJ53)-MIN(Y53:AJ53))</t>
        </is>
      </c>
      <c r="X53" s="36" t="inlineStr">
        <is>
          <t>IF(OR(V53="",U53="Not started",U53=""),"",IFERROR(V53-IF(VLOOKUP(U53,'04_Status_Pipeline'!$B$3:$E$20,4,FALSE)="",0,VLOOKUP(U53,'04_Status_Pipeline'!$B$3:$E$20,4,FALSE)),""))</t>
        </is>
      </c>
      <c r="Y53" s="43" t="n"/>
      <c r="Z53" s="43" t="n"/>
      <c r="AA53" s="43" t="n"/>
      <c r="AB53" s="43" t="n"/>
      <c r="AC53" s="43" t="n"/>
      <c r="AD53" s="43" t="n"/>
      <c r="AE53" s="43" t="n"/>
      <c r="AF53" s="43" t="n"/>
      <c r="AG53" s="43" t="n"/>
      <c r="AH53" s="38" t="n"/>
      <c r="AI53" s="38" t="n"/>
      <c r="AJ53" s="38" t="n"/>
      <c r="AK53" s="36" t="inlineStr">
        <is>
          <t>IF(OR(E53="",Z53=""),"",IF(COUNT(Y53:Y53)=0,"",Z53-LOOKUP(2,1/(Y53:Y53&lt;&gt;""),Y53:Y53)))</t>
        </is>
      </c>
      <c r="AL53" s="36" t="inlineStr">
        <is>
          <t>IF(OR(E53="",AA53=""),"",IF(COUNT(Y53:Z53)=0,"",AA53-LOOKUP(2,1/(Y53:Z53&lt;&gt;""),Y53:Z53)))</t>
        </is>
      </c>
      <c r="AM53" s="36" t="inlineStr">
        <is>
          <t>IF(OR(E53="",AB53=""),"",IF(COUNT(Y53:AA53)=0,"",AB53-LOOKUP(2,1/(Y53:AA53&lt;&gt;""),Y53:AA53)))</t>
        </is>
      </c>
      <c r="AN53" s="36" t="inlineStr">
        <is>
          <t>IF(OR(E53="",AC53=""),"",IF(COUNT(Y53:AB53)=0,"",AC53-LOOKUP(2,1/(Y53:AB53&lt;&gt;""),Y53:AB53)))</t>
        </is>
      </c>
      <c r="AO53" s="36" t="inlineStr">
        <is>
          <t>IF(OR(E53="",AD53=""),"",IF(COUNT(Y53:AC53)=0,"",AD53-LOOKUP(2,1/(Y53:AC53&lt;&gt;""),Y53:AC53)))</t>
        </is>
      </c>
      <c r="AP53" s="36" t="inlineStr">
        <is>
          <t>IF(OR(E53="",AE53=""),"",IF(COUNT(Y53:AD53)=0,"",AE53-LOOKUP(2,1/(Y53:AD53&lt;&gt;""),Y53:AD53)))</t>
        </is>
      </c>
      <c r="AQ53" s="36" t="inlineStr">
        <is>
          <t>IF(OR(E53="",AF53=""),"",IF(COUNT(Y53:AE53)=0,"",AF53-LOOKUP(2,1/(Y53:AE53&lt;&gt;""),Y53:AE53)))</t>
        </is>
      </c>
      <c r="AR53" s="36" t="inlineStr">
        <is>
          <t>IF(OR(E53="",AG53=""),"",IF(COUNT(Y53:AF53)=0,"",AG53-LOOKUP(2,1/(Y53:AF53&lt;&gt;""),Y53:AF53)))</t>
        </is>
      </c>
      <c r="AS53" s="36" t="inlineStr">
        <is>
          <t>IF(OR(E53="",AH53=""),"",IF(COUNT(Y53:AG53)=0,"",AH53-LOOKUP(2,1/(Y53:AG53&lt;&gt;""),Y53:AG53)))</t>
        </is>
      </c>
      <c r="AT53" s="36" t="inlineStr">
        <is>
          <t>IF(OR(E53="",AI53=""),"",IF(COUNT(Y53:AH53)=0,"",AI53-LOOKUP(2,1/(Y53:AH53&lt;&gt;""),Y53:AH53)))</t>
        </is>
      </c>
      <c r="AU53" s="36" t="inlineStr">
        <is>
          <t>IF(OR(E53="",AJ53=""),"",IF(COUNT(Y53:AI53)=0,"",AJ53-LOOKUP(2,1/(Y53:AI53&lt;&gt;""),Y53:AI53)))</t>
        </is>
      </c>
      <c r="AV53" s="39" t="inlineStr">
        <is>
          <t>IF(G53="","All_Provinces",IFERROR(VLOOKUP(G53,'07_Lookups'!$A$4:$B$20,2,FALSE),"All_Provinces"))</t>
        </is>
      </c>
      <c r="AW53" s="39" t="inlineStr">
        <is>
          <t>IF(H53="","All_Districts",IFERROR(VLOOKUP(H53,'07_Lookups'!$E$4:$F$42,2,FALSE),"All_Districts"))</t>
        </is>
      </c>
    </row>
    <row r="54" ht="18" customHeight="1">
      <c r="A54" s="31" t="inlineStr">
        <is>
          <t>IF(E54="","",ROW()-3)</t>
        </is>
      </c>
      <c r="B54" s="32" t="n"/>
      <c r="C54" s="32" t="n"/>
      <c r="D54" s="32" t="n"/>
      <c r="E54" s="32" t="n"/>
      <c r="F54" s="32" t="n"/>
      <c r="G54" s="32" t="n"/>
      <c r="H54" s="32" t="n"/>
      <c r="I54" s="32" t="n"/>
      <c r="J54" s="32" t="n"/>
      <c r="K54" s="32" t="n"/>
      <c r="L54" s="32" t="n"/>
      <c r="M54" s="32" t="n"/>
      <c r="N54" s="33" t="n"/>
      <c r="O54" s="34" t="inlineStr">
        <is>
          <t>IF(AE54="","",AE54)</t>
        </is>
      </c>
      <c r="P54" s="35" t="n"/>
      <c r="Q54" s="34" t="inlineStr">
        <is>
          <t>IF(OR(O54="",P54=""),"",EDATE(O54,P54))</t>
        </is>
      </c>
      <c r="R54" s="35" t="n"/>
      <c r="S54" s="32" t="n"/>
      <c r="T54" s="32" t="n"/>
      <c r="U54" s="31" t="inlineStr">
        <is>
          <t>IF(E54="","",IF(COUNT(Y54:AJ54)=0,IF(S54="","Not started",S54),SUBSTITUTE(LOOKUP(2,1/(Y54:AJ54&lt;&gt;""),$Y$3:$AJ$3),"Date: ","")))</t>
        </is>
      </c>
      <c r="V54" s="36" t="inlineStr">
        <is>
          <t>IF(OR(E54="",COUNT(Y54:AJ54)=0),"",TODAY()-LOOKUP(2,1/(Y54:AJ54&lt;&gt;""),Y54:AJ54))</t>
        </is>
      </c>
      <c r="W54" s="36" t="inlineStr">
        <is>
          <t>IF(OR(E54="",COUNT(Y54:AJ54)&lt;2),"",LOOKUP(2,1/(Y54:AJ54&lt;&gt;""),Y54:AJ54)-MIN(Y54:AJ54))</t>
        </is>
      </c>
      <c r="X54" s="36" t="inlineStr">
        <is>
          <t>IF(OR(V54="",U54="Not started",U54=""),"",IFERROR(V54-IF(VLOOKUP(U54,'04_Status_Pipeline'!$B$3:$E$20,4,FALSE)="",0,VLOOKUP(U54,'04_Status_Pipeline'!$B$3:$E$20,4,FALSE)),""))</t>
        </is>
      </c>
      <c r="Y54" s="37" t="n"/>
      <c r="Z54" s="37" t="n"/>
      <c r="AA54" s="37" t="n"/>
      <c r="AB54" s="37" t="n"/>
      <c r="AC54" s="37" t="n"/>
      <c r="AD54" s="37" t="n"/>
      <c r="AE54" s="37" t="n"/>
      <c r="AF54" s="37" t="n"/>
      <c r="AG54" s="37" t="n"/>
      <c r="AH54" s="38" t="n"/>
      <c r="AI54" s="38" t="n"/>
      <c r="AJ54" s="38" t="n"/>
      <c r="AK54" s="36" t="inlineStr">
        <is>
          <t>IF(OR(E54="",Z54=""),"",IF(COUNT(Y54:Y54)=0,"",Z54-LOOKUP(2,1/(Y54:Y54&lt;&gt;""),Y54:Y54)))</t>
        </is>
      </c>
      <c r="AL54" s="36" t="inlineStr">
        <is>
          <t>IF(OR(E54="",AA54=""),"",IF(COUNT(Y54:Z54)=0,"",AA54-LOOKUP(2,1/(Y54:Z54&lt;&gt;""),Y54:Z54)))</t>
        </is>
      </c>
      <c r="AM54" s="36" t="inlineStr">
        <is>
          <t>IF(OR(E54="",AB54=""),"",IF(COUNT(Y54:AA54)=0,"",AB54-LOOKUP(2,1/(Y54:AA54&lt;&gt;""),Y54:AA54)))</t>
        </is>
      </c>
      <c r="AN54" s="36" t="inlineStr">
        <is>
          <t>IF(OR(E54="",AC54=""),"",IF(COUNT(Y54:AB54)=0,"",AC54-LOOKUP(2,1/(Y54:AB54&lt;&gt;""),Y54:AB54)))</t>
        </is>
      </c>
      <c r="AO54" s="36" t="inlineStr">
        <is>
          <t>IF(OR(E54="",AD54=""),"",IF(COUNT(Y54:AC54)=0,"",AD54-LOOKUP(2,1/(Y54:AC54&lt;&gt;""),Y54:AC54)))</t>
        </is>
      </c>
      <c r="AP54" s="36" t="inlineStr">
        <is>
          <t>IF(OR(E54="",AE54=""),"",IF(COUNT(Y54:AD54)=0,"",AE54-LOOKUP(2,1/(Y54:AD54&lt;&gt;""),Y54:AD54)))</t>
        </is>
      </c>
      <c r="AQ54" s="36" t="inlineStr">
        <is>
          <t>IF(OR(E54="",AF54=""),"",IF(COUNT(Y54:AE54)=0,"",AF54-LOOKUP(2,1/(Y54:AE54&lt;&gt;""),Y54:AE54)))</t>
        </is>
      </c>
      <c r="AR54" s="36" t="inlineStr">
        <is>
          <t>IF(OR(E54="",AG54=""),"",IF(COUNT(Y54:AF54)=0,"",AG54-LOOKUP(2,1/(Y54:AF54&lt;&gt;""),Y54:AF54)))</t>
        </is>
      </c>
      <c r="AS54" s="36" t="inlineStr">
        <is>
          <t>IF(OR(E54="",AH54=""),"",IF(COUNT(Y54:AG54)=0,"",AH54-LOOKUP(2,1/(Y54:AG54&lt;&gt;""),Y54:AG54)))</t>
        </is>
      </c>
      <c r="AT54" s="36" t="inlineStr">
        <is>
          <t>IF(OR(E54="",AI54=""),"",IF(COUNT(Y54:AH54)=0,"",AI54-LOOKUP(2,1/(Y54:AH54&lt;&gt;""),Y54:AH54)))</t>
        </is>
      </c>
      <c r="AU54" s="36" t="inlineStr">
        <is>
          <t>IF(OR(E54="",AJ54=""),"",IF(COUNT(Y54:AI54)=0,"",AJ54-LOOKUP(2,1/(Y54:AI54&lt;&gt;""),Y54:AI54)))</t>
        </is>
      </c>
      <c r="AV54" s="39" t="inlineStr">
        <is>
          <t>IF(G54="","All_Provinces",IFERROR(VLOOKUP(G54,'07_Lookups'!$A$4:$B$20,2,FALSE),"All_Provinces"))</t>
        </is>
      </c>
      <c r="AW54" s="39" t="inlineStr">
        <is>
          <t>IF(H54="","All_Districts",IFERROR(VLOOKUP(H54,'07_Lookups'!$E$4:$F$42,2,FALSE),"All_Districts"))</t>
        </is>
      </c>
    </row>
    <row r="55" ht="18" customHeight="1">
      <c r="A55" s="31" t="inlineStr">
        <is>
          <t>IF(E55="","",ROW()-3)</t>
        </is>
      </c>
      <c r="B55" s="40" t="n"/>
      <c r="C55" s="40" t="n"/>
      <c r="D55" s="40" t="n"/>
      <c r="E55" s="40" t="n"/>
      <c r="F55" s="40" t="n"/>
      <c r="G55" s="40" t="n"/>
      <c r="H55" s="40" t="n"/>
      <c r="I55" s="40" t="n"/>
      <c r="J55" s="40" t="n"/>
      <c r="K55" s="40" t="n"/>
      <c r="L55" s="40" t="n"/>
      <c r="M55" s="40" t="n"/>
      <c r="N55" s="41" t="n"/>
      <c r="O55" s="34" t="inlineStr">
        <is>
          <t>IF(AE55="","",AE55)</t>
        </is>
      </c>
      <c r="P55" s="42" t="n"/>
      <c r="Q55" s="34" t="inlineStr">
        <is>
          <t>IF(OR(O55="",P55=""),"",EDATE(O55,P55))</t>
        </is>
      </c>
      <c r="R55" s="42" t="n"/>
      <c r="S55" s="40" t="n"/>
      <c r="T55" s="40" t="n"/>
      <c r="U55" s="31" t="inlineStr">
        <is>
          <t>IF(E55="","",IF(COUNT(Y55:AJ55)=0,IF(S55="","Not started",S55),SUBSTITUTE(LOOKUP(2,1/(Y55:AJ55&lt;&gt;""),$Y$3:$AJ$3),"Date: ","")))</t>
        </is>
      </c>
      <c r="V55" s="36" t="inlineStr">
        <is>
          <t>IF(OR(E55="",COUNT(Y55:AJ55)=0),"",TODAY()-LOOKUP(2,1/(Y55:AJ55&lt;&gt;""),Y55:AJ55))</t>
        </is>
      </c>
      <c r="W55" s="36" t="inlineStr">
        <is>
          <t>IF(OR(E55="",COUNT(Y55:AJ55)&lt;2),"",LOOKUP(2,1/(Y55:AJ55&lt;&gt;""),Y55:AJ55)-MIN(Y55:AJ55))</t>
        </is>
      </c>
      <c r="X55" s="36" t="inlineStr">
        <is>
          <t>IF(OR(V55="",U55="Not started",U55=""),"",IFERROR(V55-IF(VLOOKUP(U55,'04_Status_Pipeline'!$B$3:$E$20,4,FALSE)="",0,VLOOKUP(U55,'04_Status_Pipeline'!$B$3:$E$20,4,FALSE)),""))</t>
        </is>
      </c>
      <c r="Y55" s="43" t="n"/>
      <c r="Z55" s="43" t="n"/>
      <c r="AA55" s="43" t="n"/>
      <c r="AB55" s="43" t="n"/>
      <c r="AC55" s="43" t="n"/>
      <c r="AD55" s="43" t="n"/>
      <c r="AE55" s="43" t="n"/>
      <c r="AF55" s="43" t="n"/>
      <c r="AG55" s="43" t="n"/>
      <c r="AH55" s="38" t="n"/>
      <c r="AI55" s="38" t="n"/>
      <c r="AJ55" s="38" t="n"/>
      <c r="AK55" s="36" t="inlineStr">
        <is>
          <t>IF(OR(E55="",Z55=""),"",IF(COUNT(Y55:Y55)=0,"",Z55-LOOKUP(2,1/(Y55:Y55&lt;&gt;""),Y55:Y55)))</t>
        </is>
      </c>
      <c r="AL55" s="36" t="inlineStr">
        <is>
          <t>IF(OR(E55="",AA55=""),"",IF(COUNT(Y55:Z55)=0,"",AA55-LOOKUP(2,1/(Y55:Z55&lt;&gt;""),Y55:Z55)))</t>
        </is>
      </c>
      <c r="AM55" s="36" t="inlineStr">
        <is>
          <t>IF(OR(E55="",AB55=""),"",IF(COUNT(Y55:AA55)=0,"",AB55-LOOKUP(2,1/(Y55:AA55&lt;&gt;""),Y55:AA55)))</t>
        </is>
      </c>
      <c r="AN55" s="36" t="inlineStr">
        <is>
          <t>IF(OR(E55="",AC55=""),"",IF(COUNT(Y55:AB55)=0,"",AC55-LOOKUP(2,1/(Y55:AB55&lt;&gt;""),Y55:AB55)))</t>
        </is>
      </c>
      <c r="AO55" s="36" t="inlineStr">
        <is>
          <t>IF(OR(E55="",AD55=""),"",IF(COUNT(Y55:AC55)=0,"",AD55-LOOKUP(2,1/(Y55:AC55&lt;&gt;""),Y55:AC55)))</t>
        </is>
      </c>
      <c r="AP55" s="36" t="inlineStr">
        <is>
          <t>IF(OR(E55="",AE55=""),"",IF(COUNT(Y55:AD55)=0,"",AE55-LOOKUP(2,1/(Y55:AD55&lt;&gt;""),Y55:AD55)))</t>
        </is>
      </c>
      <c r="AQ55" s="36" t="inlineStr">
        <is>
          <t>IF(OR(E55="",AF55=""),"",IF(COUNT(Y55:AE55)=0,"",AF55-LOOKUP(2,1/(Y55:AE55&lt;&gt;""),Y55:AE55)))</t>
        </is>
      </c>
      <c r="AR55" s="36" t="inlineStr">
        <is>
          <t>IF(OR(E55="",AG55=""),"",IF(COUNT(Y55:AF55)=0,"",AG55-LOOKUP(2,1/(Y55:AF55&lt;&gt;""),Y55:AF55)))</t>
        </is>
      </c>
      <c r="AS55" s="36" t="inlineStr">
        <is>
          <t>IF(OR(E55="",AH55=""),"",IF(COUNT(Y55:AG55)=0,"",AH55-LOOKUP(2,1/(Y55:AG55&lt;&gt;""),Y55:AG55)))</t>
        </is>
      </c>
      <c r="AT55" s="36" t="inlineStr">
        <is>
          <t>IF(OR(E55="",AI55=""),"",IF(COUNT(Y55:AH55)=0,"",AI55-LOOKUP(2,1/(Y55:AH55&lt;&gt;""),Y55:AH55)))</t>
        </is>
      </c>
      <c r="AU55" s="36" t="inlineStr">
        <is>
          <t>IF(OR(E55="",AJ55=""),"",IF(COUNT(Y55:AI55)=0,"",AJ55-LOOKUP(2,1/(Y55:AI55&lt;&gt;""),Y55:AI55)))</t>
        </is>
      </c>
      <c r="AV55" s="39" t="inlineStr">
        <is>
          <t>IF(G55="","All_Provinces",IFERROR(VLOOKUP(G55,'07_Lookups'!$A$4:$B$20,2,FALSE),"All_Provinces"))</t>
        </is>
      </c>
      <c r="AW55" s="39" t="inlineStr">
        <is>
          <t>IF(H55="","All_Districts",IFERROR(VLOOKUP(H55,'07_Lookups'!$E$4:$F$42,2,FALSE),"All_Districts"))</t>
        </is>
      </c>
    </row>
    <row r="56" ht="18" customHeight="1">
      <c r="A56" s="31" t="inlineStr">
        <is>
          <t>IF(E56="","",ROW()-3)</t>
        </is>
      </c>
      <c r="B56" s="32" t="n"/>
      <c r="C56" s="32" t="n"/>
      <c r="D56" s="32" t="n"/>
      <c r="E56" s="32" t="n"/>
      <c r="F56" s="32" t="n"/>
      <c r="G56" s="32" t="n"/>
      <c r="H56" s="32" t="n"/>
      <c r="I56" s="32" t="n"/>
      <c r="J56" s="32" t="n"/>
      <c r="K56" s="32" t="n"/>
      <c r="L56" s="32" t="n"/>
      <c r="M56" s="32" t="n"/>
      <c r="N56" s="33" t="n"/>
      <c r="O56" s="34" t="inlineStr">
        <is>
          <t>IF(AE56="","",AE56)</t>
        </is>
      </c>
      <c r="P56" s="35" t="n"/>
      <c r="Q56" s="34" t="inlineStr">
        <is>
          <t>IF(OR(O56="",P56=""),"",EDATE(O56,P56))</t>
        </is>
      </c>
      <c r="R56" s="35" t="n"/>
      <c r="S56" s="32" t="n"/>
      <c r="T56" s="32" t="n"/>
      <c r="U56" s="31" t="inlineStr">
        <is>
          <t>IF(E56="","",IF(COUNT(Y56:AJ56)=0,IF(S56="","Not started",S56),SUBSTITUTE(LOOKUP(2,1/(Y56:AJ56&lt;&gt;""),$Y$3:$AJ$3),"Date: ","")))</t>
        </is>
      </c>
      <c r="V56" s="36" t="inlineStr">
        <is>
          <t>IF(OR(E56="",COUNT(Y56:AJ56)=0),"",TODAY()-LOOKUP(2,1/(Y56:AJ56&lt;&gt;""),Y56:AJ56))</t>
        </is>
      </c>
      <c r="W56" s="36" t="inlineStr">
        <is>
          <t>IF(OR(E56="",COUNT(Y56:AJ56)&lt;2),"",LOOKUP(2,1/(Y56:AJ56&lt;&gt;""),Y56:AJ56)-MIN(Y56:AJ56))</t>
        </is>
      </c>
      <c r="X56" s="36" t="inlineStr">
        <is>
          <t>IF(OR(V56="",U56="Not started",U56=""),"",IFERROR(V56-IF(VLOOKUP(U56,'04_Status_Pipeline'!$B$3:$E$20,4,FALSE)="",0,VLOOKUP(U56,'04_Status_Pipeline'!$B$3:$E$20,4,FALSE)),""))</t>
        </is>
      </c>
      <c r="Y56" s="37" t="n"/>
      <c r="Z56" s="37" t="n"/>
      <c r="AA56" s="37" t="n"/>
      <c r="AB56" s="37" t="n"/>
      <c r="AC56" s="37" t="n"/>
      <c r="AD56" s="37" t="n"/>
      <c r="AE56" s="37" t="n"/>
      <c r="AF56" s="37" t="n"/>
      <c r="AG56" s="37" t="n"/>
      <c r="AH56" s="38" t="n"/>
      <c r="AI56" s="38" t="n"/>
      <c r="AJ56" s="38" t="n"/>
      <c r="AK56" s="36" t="inlineStr">
        <is>
          <t>IF(OR(E56="",Z56=""),"",IF(COUNT(Y56:Y56)=0,"",Z56-LOOKUP(2,1/(Y56:Y56&lt;&gt;""),Y56:Y56)))</t>
        </is>
      </c>
      <c r="AL56" s="36" t="inlineStr">
        <is>
          <t>IF(OR(E56="",AA56=""),"",IF(COUNT(Y56:Z56)=0,"",AA56-LOOKUP(2,1/(Y56:Z56&lt;&gt;""),Y56:Z56)))</t>
        </is>
      </c>
      <c r="AM56" s="36" t="inlineStr">
        <is>
          <t>IF(OR(E56="",AB56=""),"",IF(COUNT(Y56:AA56)=0,"",AB56-LOOKUP(2,1/(Y56:AA56&lt;&gt;""),Y56:AA56)))</t>
        </is>
      </c>
      <c r="AN56" s="36" t="inlineStr">
        <is>
          <t>IF(OR(E56="",AC56=""),"",IF(COUNT(Y56:AB56)=0,"",AC56-LOOKUP(2,1/(Y56:AB56&lt;&gt;""),Y56:AB56)))</t>
        </is>
      </c>
      <c r="AO56" s="36" t="inlineStr">
        <is>
          <t>IF(OR(E56="",AD56=""),"",IF(COUNT(Y56:AC56)=0,"",AD56-LOOKUP(2,1/(Y56:AC56&lt;&gt;""),Y56:AC56)))</t>
        </is>
      </c>
      <c r="AP56" s="36" t="inlineStr">
        <is>
          <t>IF(OR(E56="",AE56=""),"",IF(COUNT(Y56:AD56)=0,"",AE56-LOOKUP(2,1/(Y56:AD56&lt;&gt;""),Y56:AD56)))</t>
        </is>
      </c>
      <c r="AQ56" s="36" t="inlineStr">
        <is>
          <t>IF(OR(E56="",AF56=""),"",IF(COUNT(Y56:AE56)=0,"",AF56-LOOKUP(2,1/(Y56:AE56&lt;&gt;""),Y56:AE56)))</t>
        </is>
      </c>
      <c r="AR56" s="36" t="inlineStr">
        <is>
          <t>IF(OR(E56="",AG56=""),"",IF(COUNT(Y56:AF56)=0,"",AG56-LOOKUP(2,1/(Y56:AF56&lt;&gt;""),Y56:AF56)))</t>
        </is>
      </c>
      <c r="AS56" s="36" t="inlineStr">
        <is>
          <t>IF(OR(E56="",AH56=""),"",IF(COUNT(Y56:AG56)=0,"",AH56-LOOKUP(2,1/(Y56:AG56&lt;&gt;""),Y56:AG56)))</t>
        </is>
      </c>
      <c r="AT56" s="36" t="inlineStr">
        <is>
          <t>IF(OR(E56="",AI56=""),"",IF(COUNT(Y56:AH56)=0,"",AI56-LOOKUP(2,1/(Y56:AH56&lt;&gt;""),Y56:AH56)))</t>
        </is>
      </c>
      <c r="AU56" s="36" t="inlineStr">
        <is>
          <t>IF(OR(E56="",AJ56=""),"",IF(COUNT(Y56:AI56)=0,"",AJ56-LOOKUP(2,1/(Y56:AI56&lt;&gt;""),Y56:AI56)))</t>
        </is>
      </c>
      <c r="AV56" s="39" t="inlineStr">
        <is>
          <t>IF(G56="","All_Provinces",IFERROR(VLOOKUP(G56,'07_Lookups'!$A$4:$B$20,2,FALSE),"All_Provinces"))</t>
        </is>
      </c>
      <c r="AW56" s="39" t="inlineStr">
        <is>
          <t>IF(H56="","All_Districts",IFERROR(VLOOKUP(H56,'07_Lookups'!$E$4:$F$42,2,FALSE),"All_Districts"))</t>
        </is>
      </c>
    </row>
    <row r="57" ht="18" customHeight="1">
      <c r="A57" s="31" t="inlineStr">
        <is>
          <t>IF(E57="","",ROW()-3)</t>
        </is>
      </c>
      <c r="B57" s="40" t="n"/>
      <c r="C57" s="40" t="n"/>
      <c r="D57" s="40" t="n"/>
      <c r="E57" s="40" t="n"/>
      <c r="F57" s="40" t="n"/>
      <c r="G57" s="40" t="n"/>
      <c r="H57" s="40" t="n"/>
      <c r="I57" s="40" t="n"/>
      <c r="J57" s="40" t="n"/>
      <c r="K57" s="40" t="n"/>
      <c r="L57" s="40" t="n"/>
      <c r="M57" s="40" t="n"/>
      <c r="N57" s="41" t="n"/>
      <c r="O57" s="34" t="inlineStr">
        <is>
          <t>IF(AE57="","",AE57)</t>
        </is>
      </c>
      <c r="P57" s="42" t="n"/>
      <c r="Q57" s="34" t="inlineStr">
        <is>
          <t>IF(OR(O57="",P57=""),"",EDATE(O57,P57))</t>
        </is>
      </c>
      <c r="R57" s="42" t="n"/>
      <c r="S57" s="40" t="n"/>
      <c r="T57" s="40" t="n"/>
      <c r="U57" s="31" t="inlineStr">
        <is>
          <t>IF(E57="","",IF(COUNT(Y57:AJ57)=0,IF(S57="","Not started",S57),SUBSTITUTE(LOOKUP(2,1/(Y57:AJ57&lt;&gt;""),$Y$3:$AJ$3),"Date: ","")))</t>
        </is>
      </c>
      <c r="V57" s="36" t="inlineStr">
        <is>
          <t>IF(OR(E57="",COUNT(Y57:AJ57)=0),"",TODAY()-LOOKUP(2,1/(Y57:AJ57&lt;&gt;""),Y57:AJ57))</t>
        </is>
      </c>
      <c r="W57" s="36" t="inlineStr">
        <is>
          <t>IF(OR(E57="",COUNT(Y57:AJ57)&lt;2),"",LOOKUP(2,1/(Y57:AJ57&lt;&gt;""),Y57:AJ57)-MIN(Y57:AJ57))</t>
        </is>
      </c>
      <c r="X57" s="36" t="inlineStr">
        <is>
          <t>IF(OR(V57="",U57="Not started",U57=""),"",IFERROR(V57-IF(VLOOKUP(U57,'04_Status_Pipeline'!$B$3:$E$20,4,FALSE)="",0,VLOOKUP(U57,'04_Status_Pipeline'!$B$3:$E$20,4,FALSE)),""))</t>
        </is>
      </c>
      <c r="Y57" s="43" t="n"/>
      <c r="Z57" s="43" t="n"/>
      <c r="AA57" s="43" t="n"/>
      <c r="AB57" s="43" t="n"/>
      <c r="AC57" s="43" t="n"/>
      <c r="AD57" s="43" t="n"/>
      <c r="AE57" s="43" t="n"/>
      <c r="AF57" s="43" t="n"/>
      <c r="AG57" s="43" t="n"/>
      <c r="AH57" s="38" t="n"/>
      <c r="AI57" s="38" t="n"/>
      <c r="AJ57" s="38" t="n"/>
      <c r="AK57" s="36" t="inlineStr">
        <is>
          <t>IF(OR(E57="",Z57=""),"",IF(COUNT(Y57:Y57)=0,"",Z57-LOOKUP(2,1/(Y57:Y57&lt;&gt;""),Y57:Y57)))</t>
        </is>
      </c>
      <c r="AL57" s="36" t="inlineStr">
        <is>
          <t>IF(OR(E57="",AA57=""),"",IF(COUNT(Y57:Z57)=0,"",AA57-LOOKUP(2,1/(Y57:Z57&lt;&gt;""),Y57:Z57)))</t>
        </is>
      </c>
      <c r="AM57" s="36" t="inlineStr">
        <is>
          <t>IF(OR(E57="",AB57=""),"",IF(COUNT(Y57:AA57)=0,"",AB57-LOOKUP(2,1/(Y57:AA57&lt;&gt;""),Y57:AA57)))</t>
        </is>
      </c>
      <c r="AN57" s="36" t="inlineStr">
        <is>
          <t>IF(OR(E57="",AC57=""),"",IF(COUNT(Y57:AB57)=0,"",AC57-LOOKUP(2,1/(Y57:AB57&lt;&gt;""),Y57:AB57)))</t>
        </is>
      </c>
      <c r="AO57" s="36" t="inlineStr">
        <is>
          <t>IF(OR(E57="",AD57=""),"",IF(COUNT(Y57:AC57)=0,"",AD57-LOOKUP(2,1/(Y57:AC57&lt;&gt;""),Y57:AC57)))</t>
        </is>
      </c>
      <c r="AP57" s="36" t="inlineStr">
        <is>
          <t>IF(OR(E57="",AE57=""),"",IF(COUNT(Y57:AD57)=0,"",AE57-LOOKUP(2,1/(Y57:AD57&lt;&gt;""),Y57:AD57)))</t>
        </is>
      </c>
      <c r="AQ57" s="36" t="inlineStr">
        <is>
          <t>IF(OR(E57="",AF57=""),"",IF(COUNT(Y57:AE57)=0,"",AF57-LOOKUP(2,1/(Y57:AE57&lt;&gt;""),Y57:AE57)))</t>
        </is>
      </c>
      <c r="AR57" s="36" t="inlineStr">
        <is>
          <t>IF(OR(E57="",AG57=""),"",IF(COUNT(Y57:AF57)=0,"",AG57-LOOKUP(2,1/(Y57:AF57&lt;&gt;""),Y57:AF57)))</t>
        </is>
      </c>
      <c r="AS57" s="36" t="inlineStr">
        <is>
          <t>IF(OR(E57="",AH57=""),"",IF(COUNT(Y57:AG57)=0,"",AH57-LOOKUP(2,1/(Y57:AG57&lt;&gt;""),Y57:AG57)))</t>
        </is>
      </c>
      <c r="AT57" s="36" t="inlineStr">
        <is>
          <t>IF(OR(E57="",AI57=""),"",IF(COUNT(Y57:AH57)=0,"",AI57-LOOKUP(2,1/(Y57:AH57&lt;&gt;""),Y57:AH57)))</t>
        </is>
      </c>
      <c r="AU57" s="36" t="inlineStr">
        <is>
          <t>IF(OR(E57="",AJ57=""),"",IF(COUNT(Y57:AI57)=0,"",AJ57-LOOKUP(2,1/(Y57:AI57&lt;&gt;""),Y57:AI57)))</t>
        </is>
      </c>
      <c r="AV57" s="39" t="inlineStr">
        <is>
          <t>IF(G57="","All_Provinces",IFERROR(VLOOKUP(G57,'07_Lookups'!$A$4:$B$20,2,FALSE),"All_Provinces"))</t>
        </is>
      </c>
      <c r="AW57" s="39" t="inlineStr">
        <is>
          <t>IF(H57="","All_Districts",IFERROR(VLOOKUP(H57,'07_Lookups'!$E$4:$F$42,2,FALSE),"All_Districts"))</t>
        </is>
      </c>
    </row>
    <row r="58" ht="18" customHeight="1">
      <c r="A58" s="31" t="inlineStr">
        <is>
          <t>IF(E58="","",ROW()-3)</t>
        </is>
      </c>
      <c r="B58" s="32" t="n"/>
      <c r="C58" s="32" t="n"/>
      <c r="D58" s="32" t="n"/>
      <c r="E58" s="32" t="n"/>
      <c r="F58" s="32" t="n"/>
      <c r="G58" s="32" t="n"/>
      <c r="H58" s="32" t="n"/>
      <c r="I58" s="32" t="n"/>
      <c r="J58" s="32" t="n"/>
      <c r="K58" s="32" t="n"/>
      <c r="L58" s="32" t="n"/>
      <c r="M58" s="32" t="n"/>
      <c r="N58" s="33" t="n"/>
      <c r="O58" s="34" t="inlineStr">
        <is>
          <t>IF(AE58="","",AE58)</t>
        </is>
      </c>
      <c r="P58" s="35" t="n"/>
      <c r="Q58" s="34" t="inlineStr">
        <is>
          <t>IF(OR(O58="",P58=""),"",EDATE(O58,P58))</t>
        </is>
      </c>
      <c r="R58" s="35" t="n"/>
      <c r="S58" s="32" t="n"/>
      <c r="T58" s="32" t="n"/>
      <c r="U58" s="31" t="inlineStr">
        <is>
          <t>IF(E58="","",IF(COUNT(Y58:AJ58)=0,IF(S58="","Not started",S58),SUBSTITUTE(LOOKUP(2,1/(Y58:AJ58&lt;&gt;""),$Y$3:$AJ$3),"Date: ","")))</t>
        </is>
      </c>
      <c r="V58" s="36" t="inlineStr">
        <is>
          <t>IF(OR(E58="",COUNT(Y58:AJ58)=0),"",TODAY()-LOOKUP(2,1/(Y58:AJ58&lt;&gt;""),Y58:AJ58))</t>
        </is>
      </c>
      <c r="W58" s="36" t="inlineStr">
        <is>
          <t>IF(OR(E58="",COUNT(Y58:AJ58)&lt;2),"",LOOKUP(2,1/(Y58:AJ58&lt;&gt;""),Y58:AJ58)-MIN(Y58:AJ58))</t>
        </is>
      </c>
      <c r="X58" s="36" t="inlineStr">
        <is>
          <t>IF(OR(V58="",U58="Not started",U58=""),"",IFERROR(V58-IF(VLOOKUP(U58,'04_Status_Pipeline'!$B$3:$E$20,4,FALSE)="",0,VLOOKUP(U58,'04_Status_Pipeline'!$B$3:$E$20,4,FALSE)),""))</t>
        </is>
      </c>
      <c r="Y58" s="37" t="n"/>
      <c r="Z58" s="37" t="n"/>
      <c r="AA58" s="37" t="n"/>
      <c r="AB58" s="37" t="n"/>
      <c r="AC58" s="37" t="n"/>
      <c r="AD58" s="37" t="n"/>
      <c r="AE58" s="37" t="n"/>
      <c r="AF58" s="37" t="n"/>
      <c r="AG58" s="37" t="n"/>
      <c r="AH58" s="38" t="n"/>
      <c r="AI58" s="38" t="n"/>
      <c r="AJ58" s="38" t="n"/>
      <c r="AK58" s="36" t="inlineStr">
        <is>
          <t>IF(OR(E58="",Z58=""),"",IF(COUNT(Y58:Y58)=0,"",Z58-LOOKUP(2,1/(Y58:Y58&lt;&gt;""),Y58:Y58)))</t>
        </is>
      </c>
      <c r="AL58" s="36" t="inlineStr">
        <is>
          <t>IF(OR(E58="",AA58=""),"",IF(COUNT(Y58:Z58)=0,"",AA58-LOOKUP(2,1/(Y58:Z58&lt;&gt;""),Y58:Z58)))</t>
        </is>
      </c>
      <c r="AM58" s="36" t="inlineStr">
        <is>
          <t>IF(OR(E58="",AB58=""),"",IF(COUNT(Y58:AA58)=0,"",AB58-LOOKUP(2,1/(Y58:AA58&lt;&gt;""),Y58:AA58)))</t>
        </is>
      </c>
      <c r="AN58" s="36" t="inlineStr">
        <is>
          <t>IF(OR(E58="",AC58=""),"",IF(COUNT(Y58:AB58)=0,"",AC58-LOOKUP(2,1/(Y58:AB58&lt;&gt;""),Y58:AB58)))</t>
        </is>
      </c>
      <c r="AO58" s="36" t="inlineStr">
        <is>
          <t>IF(OR(E58="",AD58=""),"",IF(COUNT(Y58:AC58)=0,"",AD58-LOOKUP(2,1/(Y58:AC58&lt;&gt;""),Y58:AC58)))</t>
        </is>
      </c>
      <c r="AP58" s="36" t="inlineStr">
        <is>
          <t>IF(OR(E58="",AE58=""),"",IF(COUNT(Y58:AD58)=0,"",AE58-LOOKUP(2,1/(Y58:AD58&lt;&gt;""),Y58:AD58)))</t>
        </is>
      </c>
      <c r="AQ58" s="36" t="inlineStr">
        <is>
          <t>IF(OR(E58="",AF58=""),"",IF(COUNT(Y58:AE58)=0,"",AF58-LOOKUP(2,1/(Y58:AE58&lt;&gt;""),Y58:AE58)))</t>
        </is>
      </c>
      <c r="AR58" s="36" t="inlineStr">
        <is>
          <t>IF(OR(E58="",AG58=""),"",IF(COUNT(Y58:AF58)=0,"",AG58-LOOKUP(2,1/(Y58:AF58&lt;&gt;""),Y58:AF58)))</t>
        </is>
      </c>
      <c r="AS58" s="36" t="inlineStr">
        <is>
          <t>IF(OR(E58="",AH58=""),"",IF(COUNT(Y58:AG58)=0,"",AH58-LOOKUP(2,1/(Y58:AG58&lt;&gt;""),Y58:AG58)))</t>
        </is>
      </c>
      <c r="AT58" s="36" t="inlineStr">
        <is>
          <t>IF(OR(E58="",AI58=""),"",IF(COUNT(Y58:AH58)=0,"",AI58-LOOKUP(2,1/(Y58:AH58&lt;&gt;""),Y58:AH58)))</t>
        </is>
      </c>
      <c r="AU58" s="36" t="inlineStr">
        <is>
          <t>IF(OR(E58="",AJ58=""),"",IF(COUNT(Y58:AI58)=0,"",AJ58-LOOKUP(2,1/(Y58:AI58&lt;&gt;""),Y58:AI58)))</t>
        </is>
      </c>
      <c r="AV58" s="39" t="inlineStr">
        <is>
          <t>IF(G58="","All_Provinces",IFERROR(VLOOKUP(G58,'07_Lookups'!$A$4:$B$20,2,FALSE),"All_Provinces"))</t>
        </is>
      </c>
      <c r="AW58" s="39" t="inlineStr">
        <is>
          <t>IF(H58="","All_Districts",IFERROR(VLOOKUP(H58,'07_Lookups'!$E$4:$F$42,2,FALSE),"All_Districts"))</t>
        </is>
      </c>
    </row>
    <row r="59" ht="18" customHeight="1">
      <c r="A59" s="31" t="inlineStr">
        <is>
          <t>IF(E59="","",ROW()-3)</t>
        </is>
      </c>
      <c r="B59" s="40" t="n"/>
      <c r="C59" s="40" t="n"/>
      <c r="D59" s="40" t="n"/>
      <c r="E59" s="40" t="n"/>
      <c r="F59" s="40" t="n"/>
      <c r="G59" s="40" t="n"/>
      <c r="H59" s="40" t="n"/>
      <c r="I59" s="40" t="n"/>
      <c r="J59" s="40" t="n"/>
      <c r="K59" s="40" t="n"/>
      <c r="L59" s="40" t="n"/>
      <c r="M59" s="40" t="n"/>
      <c r="N59" s="41" t="n"/>
      <c r="O59" s="34" t="inlineStr">
        <is>
          <t>IF(AE59="","",AE59)</t>
        </is>
      </c>
      <c r="P59" s="42" t="n"/>
      <c r="Q59" s="34" t="inlineStr">
        <is>
          <t>IF(OR(O59="",P59=""),"",EDATE(O59,P59))</t>
        </is>
      </c>
      <c r="R59" s="42" t="n"/>
      <c r="S59" s="40" t="n"/>
      <c r="T59" s="40" t="n"/>
      <c r="U59" s="31" t="inlineStr">
        <is>
          <t>IF(E59="","",IF(COUNT(Y59:AJ59)=0,IF(S59="","Not started",S59),SUBSTITUTE(LOOKUP(2,1/(Y59:AJ59&lt;&gt;""),$Y$3:$AJ$3),"Date: ","")))</t>
        </is>
      </c>
      <c r="V59" s="36" t="inlineStr">
        <is>
          <t>IF(OR(E59="",COUNT(Y59:AJ59)=0),"",TODAY()-LOOKUP(2,1/(Y59:AJ59&lt;&gt;""),Y59:AJ59))</t>
        </is>
      </c>
      <c r="W59" s="36" t="inlineStr">
        <is>
          <t>IF(OR(E59="",COUNT(Y59:AJ59)&lt;2),"",LOOKUP(2,1/(Y59:AJ59&lt;&gt;""),Y59:AJ59)-MIN(Y59:AJ59))</t>
        </is>
      </c>
      <c r="X59" s="36" t="inlineStr">
        <is>
          <t>IF(OR(V59="",U59="Not started",U59=""),"",IFERROR(V59-IF(VLOOKUP(U59,'04_Status_Pipeline'!$B$3:$E$20,4,FALSE)="",0,VLOOKUP(U59,'04_Status_Pipeline'!$B$3:$E$20,4,FALSE)),""))</t>
        </is>
      </c>
      <c r="Y59" s="43" t="n"/>
      <c r="Z59" s="43" t="n"/>
      <c r="AA59" s="43" t="n"/>
      <c r="AB59" s="43" t="n"/>
      <c r="AC59" s="43" t="n"/>
      <c r="AD59" s="43" t="n"/>
      <c r="AE59" s="43" t="n"/>
      <c r="AF59" s="43" t="n"/>
      <c r="AG59" s="43" t="n"/>
      <c r="AH59" s="38" t="n"/>
      <c r="AI59" s="38" t="n"/>
      <c r="AJ59" s="38" t="n"/>
      <c r="AK59" s="36" t="inlineStr">
        <is>
          <t>IF(OR(E59="",Z59=""),"",IF(COUNT(Y59:Y59)=0,"",Z59-LOOKUP(2,1/(Y59:Y59&lt;&gt;""),Y59:Y59)))</t>
        </is>
      </c>
      <c r="AL59" s="36" t="inlineStr">
        <is>
          <t>IF(OR(E59="",AA59=""),"",IF(COUNT(Y59:Z59)=0,"",AA59-LOOKUP(2,1/(Y59:Z59&lt;&gt;""),Y59:Z59)))</t>
        </is>
      </c>
      <c r="AM59" s="36" t="inlineStr">
        <is>
          <t>IF(OR(E59="",AB59=""),"",IF(COUNT(Y59:AA59)=0,"",AB59-LOOKUP(2,1/(Y59:AA59&lt;&gt;""),Y59:AA59)))</t>
        </is>
      </c>
      <c r="AN59" s="36" t="inlineStr">
        <is>
          <t>IF(OR(E59="",AC59=""),"",IF(COUNT(Y59:AB59)=0,"",AC59-LOOKUP(2,1/(Y59:AB59&lt;&gt;""),Y59:AB59)))</t>
        </is>
      </c>
      <c r="AO59" s="36" t="inlineStr">
        <is>
          <t>IF(OR(E59="",AD59=""),"",IF(COUNT(Y59:AC59)=0,"",AD59-LOOKUP(2,1/(Y59:AC59&lt;&gt;""),Y59:AC59)))</t>
        </is>
      </c>
      <c r="AP59" s="36" t="inlineStr">
        <is>
          <t>IF(OR(E59="",AE59=""),"",IF(COUNT(Y59:AD59)=0,"",AE59-LOOKUP(2,1/(Y59:AD59&lt;&gt;""),Y59:AD59)))</t>
        </is>
      </c>
      <c r="AQ59" s="36" t="inlineStr">
        <is>
          <t>IF(OR(E59="",AF59=""),"",IF(COUNT(Y59:AE59)=0,"",AF59-LOOKUP(2,1/(Y59:AE59&lt;&gt;""),Y59:AE59)))</t>
        </is>
      </c>
      <c r="AR59" s="36" t="inlineStr">
        <is>
          <t>IF(OR(E59="",AG59=""),"",IF(COUNT(Y59:AF59)=0,"",AG59-LOOKUP(2,1/(Y59:AF59&lt;&gt;""),Y59:AF59)))</t>
        </is>
      </c>
      <c r="AS59" s="36" t="inlineStr">
        <is>
          <t>IF(OR(E59="",AH59=""),"",IF(COUNT(Y59:AG59)=0,"",AH59-LOOKUP(2,1/(Y59:AG59&lt;&gt;""),Y59:AG59)))</t>
        </is>
      </c>
      <c r="AT59" s="36" t="inlineStr">
        <is>
          <t>IF(OR(E59="",AI59=""),"",IF(COUNT(Y59:AH59)=0,"",AI59-LOOKUP(2,1/(Y59:AH59&lt;&gt;""),Y59:AH59)))</t>
        </is>
      </c>
      <c r="AU59" s="36" t="inlineStr">
        <is>
          <t>IF(OR(E59="",AJ59=""),"",IF(COUNT(Y59:AI59)=0,"",AJ59-LOOKUP(2,1/(Y59:AI59&lt;&gt;""),Y59:AI59)))</t>
        </is>
      </c>
      <c r="AV59" s="39" t="inlineStr">
        <is>
          <t>IF(G59="","All_Provinces",IFERROR(VLOOKUP(G59,'07_Lookups'!$A$4:$B$20,2,FALSE),"All_Provinces"))</t>
        </is>
      </c>
      <c r="AW59" s="39" t="inlineStr">
        <is>
          <t>IF(H59="","All_Districts",IFERROR(VLOOKUP(H59,'07_Lookups'!$E$4:$F$42,2,FALSE),"All_Districts"))</t>
        </is>
      </c>
    </row>
    <row r="60" ht="18" customHeight="1">
      <c r="A60" s="31" t="inlineStr">
        <is>
          <t>IF(E60="","",ROW()-3)</t>
        </is>
      </c>
      <c r="B60" s="32" t="n"/>
      <c r="C60" s="32" t="n"/>
      <c r="D60" s="32" t="n"/>
      <c r="E60" s="32" t="n"/>
      <c r="F60" s="32" t="n"/>
      <c r="G60" s="32" t="n"/>
      <c r="H60" s="32" t="n"/>
      <c r="I60" s="32" t="n"/>
      <c r="J60" s="32" t="n"/>
      <c r="K60" s="32" t="n"/>
      <c r="L60" s="32" t="n"/>
      <c r="M60" s="32" t="n"/>
      <c r="N60" s="33" t="n"/>
      <c r="O60" s="34" t="inlineStr">
        <is>
          <t>IF(AE60="","",AE60)</t>
        </is>
      </c>
      <c r="P60" s="35" t="n"/>
      <c r="Q60" s="34" t="inlineStr">
        <is>
          <t>IF(OR(O60="",P60=""),"",EDATE(O60,P60))</t>
        </is>
      </c>
      <c r="R60" s="35" t="n"/>
      <c r="S60" s="32" t="n"/>
      <c r="T60" s="32" t="n"/>
      <c r="U60" s="31" t="inlineStr">
        <is>
          <t>IF(E60="","",IF(COUNT(Y60:AJ60)=0,IF(S60="","Not started",S60),SUBSTITUTE(LOOKUP(2,1/(Y60:AJ60&lt;&gt;""),$Y$3:$AJ$3),"Date: ","")))</t>
        </is>
      </c>
      <c r="V60" s="36" t="inlineStr">
        <is>
          <t>IF(OR(E60="",COUNT(Y60:AJ60)=0),"",TODAY()-LOOKUP(2,1/(Y60:AJ60&lt;&gt;""),Y60:AJ60))</t>
        </is>
      </c>
      <c r="W60" s="36" t="inlineStr">
        <is>
          <t>IF(OR(E60="",COUNT(Y60:AJ60)&lt;2),"",LOOKUP(2,1/(Y60:AJ60&lt;&gt;""),Y60:AJ60)-MIN(Y60:AJ60))</t>
        </is>
      </c>
      <c r="X60" s="36" t="inlineStr">
        <is>
          <t>IF(OR(V60="",U60="Not started",U60=""),"",IFERROR(V60-IF(VLOOKUP(U60,'04_Status_Pipeline'!$B$3:$E$20,4,FALSE)="",0,VLOOKUP(U60,'04_Status_Pipeline'!$B$3:$E$20,4,FALSE)),""))</t>
        </is>
      </c>
      <c r="Y60" s="37" t="n"/>
      <c r="Z60" s="37" t="n"/>
      <c r="AA60" s="37" t="n"/>
      <c r="AB60" s="37" t="n"/>
      <c r="AC60" s="37" t="n"/>
      <c r="AD60" s="37" t="n"/>
      <c r="AE60" s="37" t="n"/>
      <c r="AF60" s="37" t="n"/>
      <c r="AG60" s="37" t="n"/>
      <c r="AH60" s="38" t="n"/>
      <c r="AI60" s="38" t="n"/>
      <c r="AJ60" s="38" t="n"/>
      <c r="AK60" s="36" t="inlineStr">
        <is>
          <t>IF(OR(E60="",Z60=""),"",IF(COUNT(Y60:Y60)=0,"",Z60-LOOKUP(2,1/(Y60:Y60&lt;&gt;""),Y60:Y60)))</t>
        </is>
      </c>
      <c r="AL60" s="36" t="inlineStr">
        <is>
          <t>IF(OR(E60="",AA60=""),"",IF(COUNT(Y60:Z60)=0,"",AA60-LOOKUP(2,1/(Y60:Z60&lt;&gt;""),Y60:Z60)))</t>
        </is>
      </c>
      <c r="AM60" s="36" t="inlineStr">
        <is>
          <t>IF(OR(E60="",AB60=""),"",IF(COUNT(Y60:AA60)=0,"",AB60-LOOKUP(2,1/(Y60:AA60&lt;&gt;""),Y60:AA60)))</t>
        </is>
      </c>
      <c r="AN60" s="36" t="inlineStr">
        <is>
          <t>IF(OR(E60="",AC60=""),"",IF(COUNT(Y60:AB60)=0,"",AC60-LOOKUP(2,1/(Y60:AB60&lt;&gt;""),Y60:AB60)))</t>
        </is>
      </c>
      <c r="AO60" s="36" t="inlineStr">
        <is>
          <t>IF(OR(E60="",AD60=""),"",IF(COUNT(Y60:AC60)=0,"",AD60-LOOKUP(2,1/(Y60:AC60&lt;&gt;""),Y60:AC60)))</t>
        </is>
      </c>
      <c r="AP60" s="36" t="inlineStr">
        <is>
          <t>IF(OR(E60="",AE60=""),"",IF(COUNT(Y60:AD60)=0,"",AE60-LOOKUP(2,1/(Y60:AD60&lt;&gt;""),Y60:AD60)))</t>
        </is>
      </c>
      <c r="AQ60" s="36" t="inlineStr">
        <is>
          <t>IF(OR(E60="",AF60=""),"",IF(COUNT(Y60:AE60)=0,"",AF60-LOOKUP(2,1/(Y60:AE60&lt;&gt;""),Y60:AE60)))</t>
        </is>
      </c>
      <c r="AR60" s="36" t="inlineStr">
        <is>
          <t>IF(OR(E60="",AG60=""),"",IF(COUNT(Y60:AF60)=0,"",AG60-LOOKUP(2,1/(Y60:AF60&lt;&gt;""),Y60:AF60)))</t>
        </is>
      </c>
      <c r="AS60" s="36" t="inlineStr">
        <is>
          <t>IF(OR(E60="",AH60=""),"",IF(COUNT(Y60:AG60)=0,"",AH60-LOOKUP(2,1/(Y60:AG60&lt;&gt;""),Y60:AG60)))</t>
        </is>
      </c>
      <c r="AT60" s="36" t="inlineStr">
        <is>
          <t>IF(OR(E60="",AI60=""),"",IF(COUNT(Y60:AH60)=0,"",AI60-LOOKUP(2,1/(Y60:AH60&lt;&gt;""),Y60:AH60)))</t>
        </is>
      </c>
      <c r="AU60" s="36" t="inlineStr">
        <is>
          <t>IF(OR(E60="",AJ60=""),"",IF(COUNT(Y60:AI60)=0,"",AJ60-LOOKUP(2,1/(Y60:AI60&lt;&gt;""),Y60:AI60)))</t>
        </is>
      </c>
      <c r="AV60" s="39" t="inlineStr">
        <is>
          <t>IF(G60="","All_Provinces",IFERROR(VLOOKUP(G60,'07_Lookups'!$A$4:$B$20,2,FALSE),"All_Provinces"))</t>
        </is>
      </c>
      <c r="AW60" s="39" t="inlineStr">
        <is>
          <t>IF(H60="","All_Districts",IFERROR(VLOOKUP(H60,'07_Lookups'!$E$4:$F$42,2,FALSE),"All_Districts"))</t>
        </is>
      </c>
    </row>
    <row r="61" ht="18" customHeight="1">
      <c r="A61" s="31" t="inlineStr">
        <is>
          <t>IF(E61="","",ROW()-3)</t>
        </is>
      </c>
      <c r="B61" s="40" t="n"/>
      <c r="C61" s="40" t="n"/>
      <c r="D61" s="40" t="n"/>
      <c r="E61" s="40" t="n"/>
      <c r="F61" s="40" t="n"/>
      <c r="G61" s="40" t="n"/>
      <c r="H61" s="40" t="n"/>
      <c r="I61" s="40" t="n"/>
      <c r="J61" s="40" t="n"/>
      <c r="K61" s="40" t="n"/>
      <c r="L61" s="40" t="n"/>
      <c r="M61" s="40" t="n"/>
      <c r="N61" s="41" t="n"/>
      <c r="O61" s="34" t="inlineStr">
        <is>
          <t>IF(AE61="","",AE61)</t>
        </is>
      </c>
      <c r="P61" s="42" t="n"/>
      <c r="Q61" s="34" t="inlineStr">
        <is>
          <t>IF(OR(O61="",P61=""),"",EDATE(O61,P61))</t>
        </is>
      </c>
      <c r="R61" s="42" t="n"/>
      <c r="S61" s="40" t="n"/>
      <c r="T61" s="40" t="n"/>
      <c r="U61" s="31" t="inlineStr">
        <is>
          <t>IF(E61="","",IF(COUNT(Y61:AJ61)=0,IF(S61="","Not started",S61),SUBSTITUTE(LOOKUP(2,1/(Y61:AJ61&lt;&gt;""),$Y$3:$AJ$3),"Date: ","")))</t>
        </is>
      </c>
      <c r="V61" s="36" t="inlineStr">
        <is>
          <t>IF(OR(E61="",COUNT(Y61:AJ61)=0),"",TODAY()-LOOKUP(2,1/(Y61:AJ61&lt;&gt;""),Y61:AJ61))</t>
        </is>
      </c>
      <c r="W61" s="36" t="inlineStr">
        <is>
          <t>IF(OR(E61="",COUNT(Y61:AJ61)&lt;2),"",LOOKUP(2,1/(Y61:AJ61&lt;&gt;""),Y61:AJ61)-MIN(Y61:AJ61))</t>
        </is>
      </c>
      <c r="X61" s="36" t="inlineStr">
        <is>
          <t>IF(OR(V61="",U61="Not started",U61=""),"",IFERROR(V61-IF(VLOOKUP(U61,'04_Status_Pipeline'!$B$3:$E$20,4,FALSE)="",0,VLOOKUP(U61,'04_Status_Pipeline'!$B$3:$E$20,4,FALSE)),""))</t>
        </is>
      </c>
      <c r="Y61" s="43" t="n"/>
      <c r="Z61" s="43" t="n"/>
      <c r="AA61" s="43" t="n"/>
      <c r="AB61" s="43" t="n"/>
      <c r="AC61" s="43" t="n"/>
      <c r="AD61" s="43" t="n"/>
      <c r="AE61" s="43" t="n"/>
      <c r="AF61" s="43" t="n"/>
      <c r="AG61" s="43" t="n"/>
      <c r="AH61" s="38" t="n"/>
      <c r="AI61" s="38" t="n"/>
      <c r="AJ61" s="38" t="n"/>
      <c r="AK61" s="36" t="inlineStr">
        <is>
          <t>IF(OR(E61="",Z61=""),"",IF(COUNT(Y61:Y61)=0,"",Z61-LOOKUP(2,1/(Y61:Y61&lt;&gt;""),Y61:Y61)))</t>
        </is>
      </c>
      <c r="AL61" s="36" t="inlineStr">
        <is>
          <t>IF(OR(E61="",AA61=""),"",IF(COUNT(Y61:Z61)=0,"",AA61-LOOKUP(2,1/(Y61:Z61&lt;&gt;""),Y61:Z61)))</t>
        </is>
      </c>
      <c r="AM61" s="36" t="inlineStr">
        <is>
          <t>IF(OR(E61="",AB61=""),"",IF(COUNT(Y61:AA61)=0,"",AB61-LOOKUP(2,1/(Y61:AA61&lt;&gt;""),Y61:AA61)))</t>
        </is>
      </c>
      <c r="AN61" s="36" t="inlineStr">
        <is>
          <t>IF(OR(E61="",AC61=""),"",IF(COUNT(Y61:AB61)=0,"",AC61-LOOKUP(2,1/(Y61:AB61&lt;&gt;""),Y61:AB61)))</t>
        </is>
      </c>
      <c r="AO61" s="36" t="inlineStr">
        <is>
          <t>IF(OR(E61="",AD61=""),"",IF(COUNT(Y61:AC61)=0,"",AD61-LOOKUP(2,1/(Y61:AC61&lt;&gt;""),Y61:AC61)))</t>
        </is>
      </c>
      <c r="AP61" s="36" t="inlineStr">
        <is>
          <t>IF(OR(E61="",AE61=""),"",IF(COUNT(Y61:AD61)=0,"",AE61-LOOKUP(2,1/(Y61:AD61&lt;&gt;""),Y61:AD61)))</t>
        </is>
      </c>
      <c r="AQ61" s="36" t="inlineStr">
        <is>
          <t>IF(OR(E61="",AF61=""),"",IF(COUNT(Y61:AE61)=0,"",AF61-LOOKUP(2,1/(Y61:AE61&lt;&gt;""),Y61:AE61)))</t>
        </is>
      </c>
      <c r="AR61" s="36" t="inlineStr">
        <is>
          <t>IF(OR(E61="",AG61=""),"",IF(COUNT(Y61:AF61)=0,"",AG61-LOOKUP(2,1/(Y61:AF61&lt;&gt;""),Y61:AF61)))</t>
        </is>
      </c>
      <c r="AS61" s="36" t="inlineStr">
        <is>
          <t>IF(OR(E61="",AH61=""),"",IF(COUNT(Y61:AG61)=0,"",AH61-LOOKUP(2,1/(Y61:AG61&lt;&gt;""),Y61:AG61)))</t>
        </is>
      </c>
      <c r="AT61" s="36" t="inlineStr">
        <is>
          <t>IF(OR(E61="",AI61=""),"",IF(COUNT(Y61:AH61)=0,"",AI61-LOOKUP(2,1/(Y61:AH61&lt;&gt;""),Y61:AH61)))</t>
        </is>
      </c>
      <c r="AU61" s="36" t="inlineStr">
        <is>
          <t>IF(OR(E61="",AJ61=""),"",IF(COUNT(Y61:AI61)=0,"",AJ61-LOOKUP(2,1/(Y61:AI61&lt;&gt;""),Y61:AI61)))</t>
        </is>
      </c>
      <c r="AV61" s="39" t="inlineStr">
        <is>
          <t>IF(G61="","All_Provinces",IFERROR(VLOOKUP(G61,'07_Lookups'!$A$4:$B$20,2,FALSE),"All_Provinces"))</t>
        </is>
      </c>
      <c r="AW61" s="39" t="inlineStr">
        <is>
          <t>IF(H61="","All_Districts",IFERROR(VLOOKUP(H61,'07_Lookups'!$E$4:$F$42,2,FALSE),"All_Districts"))</t>
        </is>
      </c>
    </row>
    <row r="62" ht="18" customHeight="1">
      <c r="A62" s="31" t="inlineStr">
        <is>
          <t>IF(E62="","",ROW()-3)</t>
        </is>
      </c>
      <c r="B62" s="32" t="n"/>
      <c r="C62" s="32" t="n"/>
      <c r="D62" s="32" t="n"/>
      <c r="E62" s="32" t="n"/>
      <c r="F62" s="32" t="n"/>
      <c r="G62" s="32" t="n"/>
      <c r="H62" s="32" t="n"/>
      <c r="I62" s="32" t="n"/>
      <c r="J62" s="32" t="n"/>
      <c r="K62" s="32" t="n"/>
      <c r="L62" s="32" t="n"/>
      <c r="M62" s="32" t="n"/>
      <c r="N62" s="33" t="n"/>
      <c r="O62" s="34" t="inlineStr">
        <is>
          <t>IF(AE62="","",AE62)</t>
        </is>
      </c>
      <c r="P62" s="35" t="n"/>
      <c r="Q62" s="34" t="inlineStr">
        <is>
          <t>IF(OR(O62="",P62=""),"",EDATE(O62,P62))</t>
        </is>
      </c>
      <c r="R62" s="35" t="n"/>
      <c r="S62" s="32" t="n"/>
      <c r="T62" s="32" t="n"/>
      <c r="U62" s="31" t="inlineStr">
        <is>
          <t>IF(E62="","",IF(COUNT(Y62:AJ62)=0,IF(S62="","Not started",S62),SUBSTITUTE(LOOKUP(2,1/(Y62:AJ62&lt;&gt;""),$Y$3:$AJ$3),"Date: ","")))</t>
        </is>
      </c>
      <c r="V62" s="36" t="inlineStr">
        <is>
          <t>IF(OR(E62="",COUNT(Y62:AJ62)=0),"",TODAY()-LOOKUP(2,1/(Y62:AJ62&lt;&gt;""),Y62:AJ62))</t>
        </is>
      </c>
      <c r="W62" s="36" t="inlineStr">
        <is>
          <t>IF(OR(E62="",COUNT(Y62:AJ62)&lt;2),"",LOOKUP(2,1/(Y62:AJ62&lt;&gt;""),Y62:AJ62)-MIN(Y62:AJ62))</t>
        </is>
      </c>
      <c r="X62" s="36" t="inlineStr">
        <is>
          <t>IF(OR(V62="",U62="Not started",U62=""),"",IFERROR(V62-IF(VLOOKUP(U62,'04_Status_Pipeline'!$B$3:$E$20,4,FALSE)="",0,VLOOKUP(U62,'04_Status_Pipeline'!$B$3:$E$20,4,FALSE)),""))</t>
        </is>
      </c>
      <c r="Y62" s="37" t="n"/>
      <c r="Z62" s="37" t="n"/>
      <c r="AA62" s="37" t="n"/>
      <c r="AB62" s="37" t="n"/>
      <c r="AC62" s="37" t="n"/>
      <c r="AD62" s="37" t="n"/>
      <c r="AE62" s="37" t="n"/>
      <c r="AF62" s="37" t="n"/>
      <c r="AG62" s="37" t="n"/>
      <c r="AH62" s="38" t="n"/>
      <c r="AI62" s="38" t="n"/>
      <c r="AJ62" s="38" t="n"/>
      <c r="AK62" s="36" t="inlineStr">
        <is>
          <t>IF(OR(E62="",Z62=""),"",IF(COUNT(Y62:Y62)=0,"",Z62-LOOKUP(2,1/(Y62:Y62&lt;&gt;""),Y62:Y62)))</t>
        </is>
      </c>
      <c r="AL62" s="36" t="inlineStr">
        <is>
          <t>IF(OR(E62="",AA62=""),"",IF(COUNT(Y62:Z62)=0,"",AA62-LOOKUP(2,1/(Y62:Z62&lt;&gt;""),Y62:Z62)))</t>
        </is>
      </c>
      <c r="AM62" s="36" t="inlineStr">
        <is>
          <t>IF(OR(E62="",AB62=""),"",IF(COUNT(Y62:AA62)=0,"",AB62-LOOKUP(2,1/(Y62:AA62&lt;&gt;""),Y62:AA62)))</t>
        </is>
      </c>
      <c r="AN62" s="36" t="inlineStr">
        <is>
          <t>IF(OR(E62="",AC62=""),"",IF(COUNT(Y62:AB62)=0,"",AC62-LOOKUP(2,1/(Y62:AB62&lt;&gt;""),Y62:AB62)))</t>
        </is>
      </c>
      <c r="AO62" s="36" t="inlineStr">
        <is>
          <t>IF(OR(E62="",AD62=""),"",IF(COUNT(Y62:AC62)=0,"",AD62-LOOKUP(2,1/(Y62:AC62&lt;&gt;""),Y62:AC62)))</t>
        </is>
      </c>
      <c r="AP62" s="36" t="inlineStr">
        <is>
          <t>IF(OR(E62="",AE62=""),"",IF(COUNT(Y62:AD62)=0,"",AE62-LOOKUP(2,1/(Y62:AD62&lt;&gt;""),Y62:AD62)))</t>
        </is>
      </c>
      <c r="AQ62" s="36" t="inlineStr">
        <is>
          <t>IF(OR(E62="",AF62=""),"",IF(COUNT(Y62:AE62)=0,"",AF62-LOOKUP(2,1/(Y62:AE62&lt;&gt;""),Y62:AE62)))</t>
        </is>
      </c>
      <c r="AR62" s="36" t="inlineStr">
        <is>
          <t>IF(OR(E62="",AG62=""),"",IF(COUNT(Y62:AF62)=0,"",AG62-LOOKUP(2,1/(Y62:AF62&lt;&gt;""),Y62:AF62)))</t>
        </is>
      </c>
      <c r="AS62" s="36" t="inlineStr">
        <is>
          <t>IF(OR(E62="",AH62=""),"",IF(COUNT(Y62:AG62)=0,"",AH62-LOOKUP(2,1/(Y62:AG62&lt;&gt;""),Y62:AG62)))</t>
        </is>
      </c>
      <c r="AT62" s="36" t="inlineStr">
        <is>
          <t>IF(OR(E62="",AI62=""),"",IF(COUNT(Y62:AH62)=0,"",AI62-LOOKUP(2,1/(Y62:AH62&lt;&gt;""),Y62:AH62)))</t>
        </is>
      </c>
      <c r="AU62" s="36" t="inlineStr">
        <is>
          <t>IF(OR(E62="",AJ62=""),"",IF(COUNT(Y62:AI62)=0,"",AJ62-LOOKUP(2,1/(Y62:AI62&lt;&gt;""),Y62:AI62)))</t>
        </is>
      </c>
      <c r="AV62" s="39" t="inlineStr">
        <is>
          <t>IF(G62="","All_Provinces",IFERROR(VLOOKUP(G62,'07_Lookups'!$A$4:$B$20,2,FALSE),"All_Provinces"))</t>
        </is>
      </c>
      <c r="AW62" s="39" t="inlineStr">
        <is>
          <t>IF(H62="","All_Districts",IFERROR(VLOOKUP(H62,'07_Lookups'!$E$4:$F$42,2,FALSE),"All_Districts"))</t>
        </is>
      </c>
    </row>
    <row r="63" ht="18" customHeight="1">
      <c r="A63" s="31" t="inlineStr">
        <is>
          <t>IF(E63="","",ROW()-3)</t>
        </is>
      </c>
      <c r="B63" s="40" t="n"/>
      <c r="C63" s="40" t="n"/>
      <c r="D63" s="40" t="n"/>
      <c r="E63" s="40" t="n"/>
      <c r="F63" s="40" t="n"/>
      <c r="G63" s="40" t="n"/>
      <c r="H63" s="40" t="n"/>
      <c r="I63" s="40" t="n"/>
      <c r="J63" s="40" t="n"/>
      <c r="K63" s="40" t="n"/>
      <c r="L63" s="40" t="n"/>
      <c r="M63" s="40" t="n"/>
      <c r="N63" s="41" t="n"/>
      <c r="O63" s="34" t="inlineStr">
        <is>
          <t>IF(AE63="","",AE63)</t>
        </is>
      </c>
      <c r="P63" s="42" t="n"/>
      <c r="Q63" s="34" t="inlineStr">
        <is>
          <t>IF(OR(O63="",P63=""),"",EDATE(O63,P63))</t>
        </is>
      </c>
      <c r="R63" s="42" t="n"/>
      <c r="S63" s="40" t="n"/>
      <c r="T63" s="40" t="n"/>
      <c r="U63" s="31" t="inlineStr">
        <is>
          <t>IF(E63="","",IF(COUNT(Y63:AJ63)=0,IF(S63="","Not started",S63),SUBSTITUTE(LOOKUP(2,1/(Y63:AJ63&lt;&gt;""),$Y$3:$AJ$3),"Date: ","")))</t>
        </is>
      </c>
      <c r="V63" s="36" t="inlineStr">
        <is>
          <t>IF(OR(E63="",COUNT(Y63:AJ63)=0),"",TODAY()-LOOKUP(2,1/(Y63:AJ63&lt;&gt;""),Y63:AJ63))</t>
        </is>
      </c>
      <c r="W63" s="36" t="inlineStr">
        <is>
          <t>IF(OR(E63="",COUNT(Y63:AJ63)&lt;2),"",LOOKUP(2,1/(Y63:AJ63&lt;&gt;""),Y63:AJ63)-MIN(Y63:AJ63))</t>
        </is>
      </c>
      <c r="X63" s="36" t="inlineStr">
        <is>
          <t>IF(OR(V63="",U63="Not started",U63=""),"",IFERROR(V63-IF(VLOOKUP(U63,'04_Status_Pipeline'!$B$3:$E$20,4,FALSE)="",0,VLOOKUP(U63,'04_Status_Pipeline'!$B$3:$E$20,4,FALSE)),""))</t>
        </is>
      </c>
      <c r="Y63" s="43" t="n"/>
      <c r="Z63" s="43" t="n"/>
      <c r="AA63" s="43" t="n"/>
      <c r="AB63" s="43" t="n"/>
      <c r="AC63" s="43" t="n"/>
      <c r="AD63" s="43" t="n"/>
      <c r="AE63" s="43" t="n"/>
      <c r="AF63" s="43" t="n"/>
      <c r="AG63" s="43" t="n"/>
      <c r="AH63" s="38" t="n"/>
      <c r="AI63" s="38" t="n"/>
      <c r="AJ63" s="38" t="n"/>
      <c r="AK63" s="36" t="inlineStr">
        <is>
          <t>IF(OR(E63="",Z63=""),"",IF(COUNT(Y63:Y63)=0,"",Z63-LOOKUP(2,1/(Y63:Y63&lt;&gt;""),Y63:Y63)))</t>
        </is>
      </c>
      <c r="AL63" s="36" t="inlineStr">
        <is>
          <t>IF(OR(E63="",AA63=""),"",IF(COUNT(Y63:Z63)=0,"",AA63-LOOKUP(2,1/(Y63:Z63&lt;&gt;""),Y63:Z63)))</t>
        </is>
      </c>
      <c r="AM63" s="36" t="inlineStr">
        <is>
          <t>IF(OR(E63="",AB63=""),"",IF(COUNT(Y63:AA63)=0,"",AB63-LOOKUP(2,1/(Y63:AA63&lt;&gt;""),Y63:AA63)))</t>
        </is>
      </c>
      <c r="AN63" s="36" t="inlineStr">
        <is>
          <t>IF(OR(E63="",AC63=""),"",IF(COUNT(Y63:AB63)=0,"",AC63-LOOKUP(2,1/(Y63:AB63&lt;&gt;""),Y63:AB63)))</t>
        </is>
      </c>
      <c r="AO63" s="36" t="inlineStr">
        <is>
          <t>IF(OR(E63="",AD63=""),"",IF(COUNT(Y63:AC63)=0,"",AD63-LOOKUP(2,1/(Y63:AC63&lt;&gt;""),Y63:AC63)))</t>
        </is>
      </c>
      <c r="AP63" s="36" t="inlineStr">
        <is>
          <t>IF(OR(E63="",AE63=""),"",IF(COUNT(Y63:AD63)=0,"",AE63-LOOKUP(2,1/(Y63:AD63&lt;&gt;""),Y63:AD63)))</t>
        </is>
      </c>
      <c r="AQ63" s="36" t="inlineStr">
        <is>
          <t>IF(OR(E63="",AF63=""),"",IF(COUNT(Y63:AE63)=0,"",AF63-LOOKUP(2,1/(Y63:AE63&lt;&gt;""),Y63:AE63)))</t>
        </is>
      </c>
      <c r="AR63" s="36" t="inlineStr">
        <is>
          <t>IF(OR(E63="",AG63=""),"",IF(COUNT(Y63:AF63)=0,"",AG63-LOOKUP(2,1/(Y63:AF63&lt;&gt;""),Y63:AF63)))</t>
        </is>
      </c>
      <c r="AS63" s="36" t="inlineStr">
        <is>
          <t>IF(OR(E63="",AH63=""),"",IF(COUNT(Y63:AG63)=0,"",AH63-LOOKUP(2,1/(Y63:AG63&lt;&gt;""),Y63:AG63)))</t>
        </is>
      </c>
      <c r="AT63" s="36" t="inlineStr">
        <is>
          <t>IF(OR(E63="",AI63=""),"",IF(COUNT(Y63:AH63)=0,"",AI63-LOOKUP(2,1/(Y63:AH63&lt;&gt;""),Y63:AH63)))</t>
        </is>
      </c>
      <c r="AU63" s="36" t="inlineStr">
        <is>
          <t>IF(OR(E63="",AJ63=""),"",IF(COUNT(Y63:AI63)=0,"",AJ63-LOOKUP(2,1/(Y63:AI63&lt;&gt;""),Y63:AI63)))</t>
        </is>
      </c>
      <c r="AV63" s="39" t="inlineStr">
        <is>
          <t>IF(G63="","All_Provinces",IFERROR(VLOOKUP(G63,'07_Lookups'!$A$4:$B$20,2,FALSE),"All_Provinces"))</t>
        </is>
      </c>
      <c r="AW63" s="39" t="inlineStr">
        <is>
          <t>IF(H63="","All_Districts",IFERROR(VLOOKUP(H63,'07_Lookups'!$E$4:$F$42,2,FALSE),"All_Districts"))</t>
        </is>
      </c>
    </row>
    <row r="64" ht="18" customHeight="1">
      <c r="A64" s="31" t="inlineStr">
        <is>
          <t>IF(E64="","",ROW()-3)</t>
        </is>
      </c>
      <c r="B64" s="32" t="n"/>
      <c r="C64" s="32" t="n"/>
      <c r="D64" s="32" t="n"/>
      <c r="E64" s="32" t="n"/>
      <c r="F64" s="32" t="n"/>
      <c r="G64" s="32" t="n"/>
      <c r="H64" s="32" t="n"/>
      <c r="I64" s="32" t="n"/>
      <c r="J64" s="32" t="n"/>
      <c r="K64" s="32" t="n"/>
      <c r="L64" s="32" t="n"/>
      <c r="M64" s="32" t="n"/>
      <c r="N64" s="33" t="n"/>
      <c r="O64" s="34" t="inlineStr">
        <is>
          <t>IF(AE64="","",AE64)</t>
        </is>
      </c>
      <c r="P64" s="35" t="n"/>
      <c r="Q64" s="34" t="inlineStr">
        <is>
          <t>IF(OR(O64="",P64=""),"",EDATE(O64,P64))</t>
        </is>
      </c>
      <c r="R64" s="35" t="n"/>
      <c r="S64" s="32" t="n"/>
      <c r="T64" s="32" t="n"/>
      <c r="U64" s="31" t="inlineStr">
        <is>
          <t>IF(E64="","",IF(COUNT(Y64:AJ64)=0,IF(S64="","Not started",S64),SUBSTITUTE(LOOKUP(2,1/(Y64:AJ64&lt;&gt;""),$Y$3:$AJ$3),"Date: ","")))</t>
        </is>
      </c>
      <c r="V64" s="36" t="inlineStr">
        <is>
          <t>IF(OR(E64="",COUNT(Y64:AJ64)=0),"",TODAY()-LOOKUP(2,1/(Y64:AJ64&lt;&gt;""),Y64:AJ64))</t>
        </is>
      </c>
      <c r="W64" s="36" t="inlineStr">
        <is>
          <t>IF(OR(E64="",COUNT(Y64:AJ64)&lt;2),"",LOOKUP(2,1/(Y64:AJ64&lt;&gt;""),Y64:AJ64)-MIN(Y64:AJ64))</t>
        </is>
      </c>
      <c r="X64" s="36" t="inlineStr">
        <is>
          <t>IF(OR(V64="",U64="Not started",U64=""),"",IFERROR(V64-IF(VLOOKUP(U64,'04_Status_Pipeline'!$B$3:$E$20,4,FALSE)="",0,VLOOKUP(U64,'04_Status_Pipeline'!$B$3:$E$20,4,FALSE)),""))</t>
        </is>
      </c>
      <c r="Y64" s="37" t="n"/>
      <c r="Z64" s="37" t="n"/>
      <c r="AA64" s="37" t="n"/>
      <c r="AB64" s="37" t="n"/>
      <c r="AC64" s="37" t="n"/>
      <c r="AD64" s="37" t="n"/>
      <c r="AE64" s="37" t="n"/>
      <c r="AF64" s="37" t="n"/>
      <c r="AG64" s="37" t="n"/>
      <c r="AH64" s="38" t="n"/>
      <c r="AI64" s="38" t="n"/>
      <c r="AJ64" s="38" t="n"/>
      <c r="AK64" s="36" t="inlineStr">
        <is>
          <t>IF(OR(E64="",Z64=""),"",IF(COUNT(Y64:Y64)=0,"",Z64-LOOKUP(2,1/(Y64:Y64&lt;&gt;""),Y64:Y64)))</t>
        </is>
      </c>
      <c r="AL64" s="36" t="inlineStr">
        <is>
          <t>IF(OR(E64="",AA64=""),"",IF(COUNT(Y64:Z64)=0,"",AA64-LOOKUP(2,1/(Y64:Z64&lt;&gt;""),Y64:Z64)))</t>
        </is>
      </c>
      <c r="AM64" s="36" t="inlineStr">
        <is>
          <t>IF(OR(E64="",AB64=""),"",IF(COUNT(Y64:AA64)=0,"",AB64-LOOKUP(2,1/(Y64:AA64&lt;&gt;""),Y64:AA64)))</t>
        </is>
      </c>
      <c r="AN64" s="36" t="inlineStr">
        <is>
          <t>IF(OR(E64="",AC64=""),"",IF(COUNT(Y64:AB64)=0,"",AC64-LOOKUP(2,1/(Y64:AB64&lt;&gt;""),Y64:AB64)))</t>
        </is>
      </c>
      <c r="AO64" s="36" t="inlineStr">
        <is>
          <t>IF(OR(E64="",AD64=""),"",IF(COUNT(Y64:AC64)=0,"",AD64-LOOKUP(2,1/(Y64:AC64&lt;&gt;""),Y64:AC64)))</t>
        </is>
      </c>
      <c r="AP64" s="36" t="inlineStr">
        <is>
          <t>IF(OR(E64="",AE64=""),"",IF(COUNT(Y64:AD64)=0,"",AE64-LOOKUP(2,1/(Y64:AD64&lt;&gt;""),Y64:AD64)))</t>
        </is>
      </c>
      <c r="AQ64" s="36" t="inlineStr">
        <is>
          <t>IF(OR(E64="",AF64=""),"",IF(COUNT(Y64:AE64)=0,"",AF64-LOOKUP(2,1/(Y64:AE64&lt;&gt;""),Y64:AE64)))</t>
        </is>
      </c>
      <c r="AR64" s="36" t="inlineStr">
        <is>
          <t>IF(OR(E64="",AG64=""),"",IF(COUNT(Y64:AF64)=0,"",AG64-LOOKUP(2,1/(Y64:AF64&lt;&gt;""),Y64:AF64)))</t>
        </is>
      </c>
      <c r="AS64" s="36" t="inlineStr">
        <is>
          <t>IF(OR(E64="",AH64=""),"",IF(COUNT(Y64:AG64)=0,"",AH64-LOOKUP(2,1/(Y64:AG64&lt;&gt;""),Y64:AG64)))</t>
        </is>
      </c>
      <c r="AT64" s="36" t="inlineStr">
        <is>
          <t>IF(OR(E64="",AI64=""),"",IF(COUNT(Y64:AH64)=0,"",AI64-LOOKUP(2,1/(Y64:AH64&lt;&gt;""),Y64:AH64)))</t>
        </is>
      </c>
      <c r="AU64" s="36" t="inlineStr">
        <is>
          <t>IF(OR(E64="",AJ64=""),"",IF(COUNT(Y64:AI64)=0,"",AJ64-LOOKUP(2,1/(Y64:AI64&lt;&gt;""),Y64:AI64)))</t>
        </is>
      </c>
      <c r="AV64" s="39" t="inlineStr">
        <is>
          <t>IF(G64="","All_Provinces",IFERROR(VLOOKUP(G64,'07_Lookups'!$A$4:$B$20,2,FALSE),"All_Provinces"))</t>
        </is>
      </c>
      <c r="AW64" s="39" t="inlineStr">
        <is>
          <t>IF(H64="","All_Districts",IFERROR(VLOOKUP(H64,'07_Lookups'!$E$4:$F$42,2,FALSE),"All_Districts"))</t>
        </is>
      </c>
    </row>
    <row r="65" ht="18" customHeight="1">
      <c r="A65" s="31" t="inlineStr">
        <is>
          <t>IF(E65="","",ROW()-3)</t>
        </is>
      </c>
      <c r="B65" s="40" t="n"/>
      <c r="C65" s="40" t="n"/>
      <c r="D65" s="40" t="n"/>
      <c r="E65" s="40" t="n"/>
      <c r="F65" s="40" t="n"/>
      <c r="G65" s="40" t="n"/>
      <c r="H65" s="40" t="n"/>
      <c r="I65" s="40" t="n"/>
      <c r="J65" s="40" t="n"/>
      <c r="K65" s="40" t="n"/>
      <c r="L65" s="40" t="n"/>
      <c r="M65" s="40" t="n"/>
      <c r="N65" s="41" t="n"/>
      <c r="O65" s="34" t="inlineStr">
        <is>
          <t>IF(AE65="","",AE65)</t>
        </is>
      </c>
      <c r="P65" s="42" t="n"/>
      <c r="Q65" s="34" t="inlineStr">
        <is>
          <t>IF(OR(O65="",P65=""),"",EDATE(O65,P65))</t>
        </is>
      </c>
      <c r="R65" s="42" t="n"/>
      <c r="S65" s="40" t="n"/>
      <c r="T65" s="40" t="n"/>
      <c r="U65" s="31" t="inlineStr">
        <is>
          <t>IF(E65="","",IF(COUNT(Y65:AJ65)=0,IF(S65="","Not started",S65),SUBSTITUTE(LOOKUP(2,1/(Y65:AJ65&lt;&gt;""),$Y$3:$AJ$3),"Date: ","")))</t>
        </is>
      </c>
      <c r="V65" s="36" t="inlineStr">
        <is>
          <t>IF(OR(E65="",COUNT(Y65:AJ65)=0),"",TODAY()-LOOKUP(2,1/(Y65:AJ65&lt;&gt;""),Y65:AJ65))</t>
        </is>
      </c>
      <c r="W65" s="36" t="inlineStr">
        <is>
          <t>IF(OR(E65="",COUNT(Y65:AJ65)&lt;2),"",LOOKUP(2,1/(Y65:AJ65&lt;&gt;""),Y65:AJ65)-MIN(Y65:AJ65))</t>
        </is>
      </c>
      <c r="X65" s="36" t="inlineStr">
        <is>
          <t>IF(OR(V65="",U65="Not started",U65=""),"",IFERROR(V65-IF(VLOOKUP(U65,'04_Status_Pipeline'!$B$3:$E$20,4,FALSE)="",0,VLOOKUP(U65,'04_Status_Pipeline'!$B$3:$E$20,4,FALSE)),""))</t>
        </is>
      </c>
      <c r="Y65" s="43" t="n"/>
      <c r="Z65" s="43" t="n"/>
      <c r="AA65" s="43" t="n"/>
      <c r="AB65" s="43" t="n"/>
      <c r="AC65" s="43" t="n"/>
      <c r="AD65" s="43" t="n"/>
      <c r="AE65" s="43" t="n"/>
      <c r="AF65" s="43" t="n"/>
      <c r="AG65" s="43" t="n"/>
      <c r="AH65" s="38" t="n"/>
      <c r="AI65" s="38" t="n"/>
      <c r="AJ65" s="38" t="n"/>
      <c r="AK65" s="36" t="inlineStr">
        <is>
          <t>IF(OR(E65="",Z65=""),"",IF(COUNT(Y65:Y65)=0,"",Z65-LOOKUP(2,1/(Y65:Y65&lt;&gt;""),Y65:Y65)))</t>
        </is>
      </c>
      <c r="AL65" s="36" t="inlineStr">
        <is>
          <t>IF(OR(E65="",AA65=""),"",IF(COUNT(Y65:Z65)=0,"",AA65-LOOKUP(2,1/(Y65:Z65&lt;&gt;""),Y65:Z65)))</t>
        </is>
      </c>
      <c r="AM65" s="36" t="inlineStr">
        <is>
          <t>IF(OR(E65="",AB65=""),"",IF(COUNT(Y65:AA65)=0,"",AB65-LOOKUP(2,1/(Y65:AA65&lt;&gt;""),Y65:AA65)))</t>
        </is>
      </c>
      <c r="AN65" s="36" t="inlineStr">
        <is>
          <t>IF(OR(E65="",AC65=""),"",IF(COUNT(Y65:AB65)=0,"",AC65-LOOKUP(2,1/(Y65:AB65&lt;&gt;""),Y65:AB65)))</t>
        </is>
      </c>
      <c r="AO65" s="36" t="inlineStr">
        <is>
          <t>IF(OR(E65="",AD65=""),"",IF(COUNT(Y65:AC65)=0,"",AD65-LOOKUP(2,1/(Y65:AC65&lt;&gt;""),Y65:AC65)))</t>
        </is>
      </c>
      <c r="AP65" s="36" t="inlineStr">
        <is>
          <t>IF(OR(E65="",AE65=""),"",IF(COUNT(Y65:AD65)=0,"",AE65-LOOKUP(2,1/(Y65:AD65&lt;&gt;""),Y65:AD65)))</t>
        </is>
      </c>
      <c r="AQ65" s="36" t="inlineStr">
        <is>
          <t>IF(OR(E65="",AF65=""),"",IF(COUNT(Y65:AE65)=0,"",AF65-LOOKUP(2,1/(Y65:AE65&lt;&gt;""),Y65:AE65)))</t>
        </is>
      </c>
      <c r="AR65" s="36" t="inlineStr">
        <is>
          <t>IF(OR(E65="",AG65=""),"",IF(COUNT(Y65:AF65)=0,"",AG65-LOOKUP(2,1/(Y65:AF65&lt;&gt;""),Y65:AF65)))</t>
        </is>
      </c>
      <c r="AS65" s="36" t="inlineStr">
        <is>
          <t>IF(OR(E65="",AH65=""),"",IF(COUNT(Y65:AG65)=0,"",AH65-LOOKUP(2,1/(Y65:AG65&lt;&gt;""),Y65:AG65)))</t>
        </is>
      </c>
      <c r="AT65" s="36" t="inlineStr">
        <is>
          <t>IF(OR(E65="",AI65=""),"",IF(COUNT(Y65:AH65)=0,"",AI65-LOOKUP(2,1/(Y65:AH65&lt;&gt;""),Y65:AH65)))</t>
        </is>
      </c>
      <c r="AU65" s="36" t="inlineStr">
        <is>
          <t>IF(OR(E65="",AJ65=""),"",IF(COUNT(Y65:AI65)=0,"",AJ65-LOOKUP(2,1/(Y65:AI65&lt;&gt;""),Y65:AI65)))</t>
        </is>
      </c>
      <c r="AV65" s="39" t="inlineStr">
        <is>
          <t>IF(G65="","All_Provinces",IFERROR(VLOOKUP(G65,'07_Lookups'!$A$4:$B$20,2,FALSE),"All_Provinces"))</t>
        </is>
      </c>
      <c r="AW65" s="39" t="inlineStr">
        <is>
          <t>IF(H65="","All_Districts",IFERROR(VLOOKUP(H65,'07_Lookups'!$E$4:$F$42,2,FALSE),"All_Districts"))</t>
        </is>
      </c>
    </row>
    <row r="66" ht="18" customHeight="1">
      <c r="A66" s="31" t="inlineStr">
        <is>
          <t>IF(E66="","",ROW()-3)</t>
        </is>
      </c>
      <c r="B66" s="32" t="n"/>
      <c r="C66" s="32" t="n"/>
      <c r="D66" s="32" t="n"/>
      <c r="E66" s="32" t="n"/>
      <c r="F66" s="32" t="n"/>
      <c r="G66" s="32" t="n"/>
      <c r="H66" s="32" t="n"/>
      <c r="I66" s="32" t="n"/>
      <c r="J66" s="32" t="n"/>
      <c r="K66" s="32" t="n"/>
      <c r="L66" s="32" t="n"/>
      <c r="M66" s="32" t="n"/>
      <c r="N66" s="33" t="n"/>
      <c r="O66" s="34" t="inlineStr">
        <is>
          <t>IF(AE66="","",AE66)</t>
        </is>
      </c>
      <c r="P66" s="35" t="n"/>
      <c r="Q66" s="34" t="inlineStr">
        <is>
          <t>IF(OR(O66="",P66=""),"",EDATE(O66,P66))</t>
        </is>
      </c>
      <c r="R66" s="35" t="n"/>
      <c r="S66" s="32" t="n"/>
      <c r="T66" s="32" t="n"/>
      <c r="U66" s="31" t="inlineStr">
        <is>
          <t>IF(E66="","",IF(COUNT(Y66:AJ66)=0,IF(S66="","Not started",S66),SUBSTITUTE(LOOKUP(2,1/(Y66:AJ66&lt;&gt;""),$Y$3:$AJ$3),"Date: ","")))</t>
        </is>
      </c>
      <c r="V66" s="36" t="inlineStr">
        <is>
          <t>IF(OR(E66="",COUNT(Y66:AJ66)=0),"",TODAY()-LOOKUP(2,1/(Y66:AJ66&lt;&gt;""),Y66:AJ66))</t>
        </is>
      </c>
      <c r="W66" s="36" t="inlineStr">
        <is>
          <t>IF(OR(E66="",COUNT(Y66:AJ66)&lt;2),"",LOOKUP(2,1/(Y66:AJ66&lt;&gt;""),Y66:AJ66)-MIN(Y66:AJ66))</t>
        </is>
      </c>
      <c r="X66" s="36" t="inlineStr">
        <is>
          <t>IF(OR(V66="",U66="Not started",U66=""),"",IFERROR(V66-IF(VLOOKUP(U66,'04_Status_Pipeline'!$B$3:$E$20,4,FALSE)="",0,VLOOKUP(U66,'04_Status_Pipeline'!$B$3:$E$20,4,FALSE)),""))</t>
        </is>
      </c>
      <c r="Y66" s="37" t="n"/>
      <c r="Z66" s="37" t="n"/>
      <c r="AA66" s="37" t="n"/>
      <c r="AB66" s="37" t="n"/>
      <c r="AC66" s="37" t="n"/>
      <c r="AD66" s="37" t="n"/>
      <c r="AE66" s="37" t="n"/>
      <c r="AF66" s="37" t="n"/>
      <c r="AG66" s="37" t="n"/>
      <c r="AH66" s="38" t="n"/>
      <c r="AI66" s="38" t="n"/>
      <c r="AJ66" s="38" t="n"/>
      <c r="AK66" s="36" t="inlineStr">
        <is>
          <t>IF(OR(E66="",Z66=""),"",IF(COUNT(Y66:Y66)=0,"",Z66-LOOKUP(2,1/(Y66:Y66&lt;&gt;""),Y66:Y66)))</t>
        </is>
      </c>
      <c r="AL66" s="36" t="inlineStr">
        <is>
          <t>IF(OR(E66="",AA66=""),"",IF(COUNT(Y66:Z66)=0,"",AA66-LOOKUP(2,1/(Y66:Z66&lt;&gt;""),Y66:Z66)))</t>
        </is>
      </c>
      <c r="AM66" s="36" t="inlineStr">
        <is>
          <t>IF(OR(E66="",AB66=""),"",IF(COUNT(Y66:AA66)=0,"",AB66-LOOKUP(2,1/(Y66:AA66&lt;&gt;""),Y66:AA66)))</t>
        </is>
      </c>
      <c r="AN66" s="36" t="inlineStr">
        <is>
          <t>IF(OR(E66="",AC66=""),"",IF(COUNT(Y66:AB66)=0,"",AC66-LOOKUP(2,1/(Y66:AB66&lt;&gt;""),Y66:AB66)))</t>
        </is>
      </c>
      <c r="AO66" s="36" t="inlineStr">
        <is>
          <t>IF(OR(E66="",AD66=""),"",IF(COUNT(Y66:AC66)=0,"",AD66-LOOKUP(2,1/(Y66:AC66&lt;&gt;""),Y66:AC66)))</t>
        </is>
      </c>
      <c r="AP66" s="36" t="inlineStr">
        <is>
          <t>IF(OR(E66="",AE66=""),"",IF(COUNT(Y66:AD66)=0,"",AE66-LOOKUP(2,1/(Y66:AD66&lt;&gt;""),Y66:AD66)))</t>
        </is>
      </c>
      <c r="AQ66" s="36" t="inlineStr">
        <is>
          <t>IF(OR(E66="",AF66=""),"",IF(COUNT(Y66:AE66)=0,"",AF66-LOOKUP(2,1/(Y66:AE66&lt;&gt;""),Y66:AE66)))</t>
        </is>
      </c>
      <c r="AR66" s="36" t="inlineStr">
        <is>
          <t>IF(OR(E66="",AG66=""),"",IF(COUNT(Y66:AF66)=0,"",AG66-LOOKUP(2,1/(Y66:AF66&lt;&gt;""),Y66:AF66)))</t>
        </is>
      </c>
      <c r="AS66" s="36" t="inlineStr">
        <is>
          <t>IF(OR(E66="",AH66=""),"",IF(COUNT(Y66:AG66)=0,"",AH66-LOOKUP(2,1/(Y66:AG66&lt;&gt;""),Y66:AG66)))</t>
        </is>
      </c>
      <c r="AT66" s="36" t="inlineStr">
        <is>
          <t>IF(OR(E66="",AI66=""),"",IF(COUNT(Y66:AH66)=0,"",AI66-LOOKUP(2,1/(Y66:AH66&lt;&gt;""),Y66:AH66)))</t>
        </is>
      </c>
      <c r="AU66" s="36" t="inlineStr">
        <is>
          <t>IF(OR(E66="",AJ66=""),"",IF(COUNT(Y66:AI66)=0,"",AJ66-LOOKUP(2,1/(Y66:AI66&lt;&gt;""),Y66:AI66)))</t>
        </is>
      </c>
      <c r="AV66" s="39" t="inlineStr">
        <is>
          <t>IF(G66="","All_Provinces",IFERROR(VLOOKUP(G66,'07_Lookups'!$A$4:$B$20,2,FALSE),"All_Provinces"))</t>
        </is>
      </c>
      <c r="AW66" s="39" t="inlineStr">
        <is>
          <t>IF(H66="","All_Districts",IFERROR(VLOOKUP(H66,'07_Lookups'!$E$4:$F$42,2,FALSE),"All_Districts"))</t>
        </is>
      </c>
    </row>
    <row r="67" ht="18" customHeight="1">
      <c r="A67" s="31" t="inlineStr">
        <is>
          <t>IF(E67="","",ROW()-3)</t>
        </is>
      </c>
      <c r="B67" s="40" t="n"/>
      <c r="C67" s="40" t="n"/>
      <c r="D67" s="40" t="n"/>
      <c r="E67" s="40" t="n"/>
      <c r="F67" s="40" t="n"/>
      <c r="G67" s="40" t="n"/>
      <c r="H67" s="40" t="n"/>
      <c r="I67" s="40" t="n"/>
      <c r="J67" s="40" t="n"/>
      <c r="K67" s="40" t="n"/>
      <c r="L67" s="40" t="n"/>
      <c r="M67" s="40" t="n"/>
      <c r="N67" s="41" t="n"/>
      <c r="O67" s="34" t="inlineStr">
        <is>
          <t>IF(AE67="","",AE67)</t>
        </is>
      </c>
      <c r="P67" s="42" t="n"/>
      <c r="Q67" s="34" t="inlineStr">
        <is>
          <t>IF(OR(O67="",P67=""),"",EDATE(O67,P67))</t>
        </is>
      </c>
      <c r="R67" s="42" t="n"/>
      <c r="S67" s="40" t="n"/>
      <c r="T67" s="40" t="n"/>
      <c r="U67" s="31" t="inlineStr">
        <is>
          <t>IF(E67="","",IF(COUNT(Y67:AJ67)=0,IF(S67="","Not started",S67),SUBSTITUTE(LOOKUP(2,1/(Y67:AJ67&lt;&gt;""),$Y$3:$AJ$3),"Date: ","")))</t>
        </is>
      </c>
      <c r="V67" s="36" t="inlineStr">
        <is>
          <t>IF(OR(E67="",COUNT(Y67:AJ67)=0),"",TODAY()-LOOKUP(2,1/(Y67:AJ67&lt;&gt;""),Y67:AJ67))</t>
        </is>
      </c>
      <c r="W67" s="36" t="inlineStr">
        <is>
          <t>IF(OR(E67="",COUNT(Y67:AJ67)&lt;2),"",LOOKUP(2,1/(Y67:AJ67&lt;&gt;""),Y67:AJ67)-MIN(Y67:AJ67))</t>
        </is>
      </c>
      <c r="X67" s="36" t="inlineStr">
        <is>
          <t>IF(OR(V67="",U67="Not started",U67=""),"",IFERROR(V67-IF(VLOOKUP(U67,'04_Status_Pipeline'!$B$3:$E$20,4,FALSE)="",0,VLOOKUP(U67,'04_Status_Pipeline'!$B$3:$E$20,4,FALSE)),""))</t>
        </is>
      </c>
      <c r="Y67" s="43" t="n"/>
      <c r="Z67" s="43" t="n"/>
      <c r="AA67" s="43" t="n"/>
      <c r="AB67" s="43" t="n"/>
      <c r="AC67" s="43" t="n"/>
      <c r="AD67" s="43" t="n"/>
      <c r="AE67" s="43" t="n"/>
      <c r="AF67" s="43" t="n"/>
      <c r="AG67" s="43" t="n"/>
      <c r="AH67" s="38" t="n"/>
      <c r="AI67" s="38" t="n"/>
      <c r="AJ67" s="38" t="n"/>
      <c r="AK67" s="36" t="inlineStr">
        <is>
          <t>IF(OR(E67="",Z67=""),"",IF(COUNT(Y67:Y67)=0,"",Z67-LOOKUP(2,1/(Y67:Y67&lt;&gt;""),Y67:Y67)))</t>
        </is>
      </c>
      <c r="AL67" s="36" t="inlineStr">
        <is>
          <t>IF(OR(E67="",AA67=""),"",IF(COUNT(Y67:Z67)=0,"",AA67-LOOKUP(2,1/(Y67:Z67&lt;&gt;""),Y67:Z67)))</t>
        </is>
      </c>
      <c r="AM67" s="36" t="inlineStr">
        <is>
          <t>IF(OR(E67="",AB67=""),"",IF(COUNT(Y67:AA67)=0,"",AB67-LOOKUP(2,1/(Y67:AA67&lt;&gt;""),Y67:AA67)))</t>
        </is>
      </c>
      <c r="AN67" s="36" t="inlineStr">
        <is>
          <t>IF(OR(E67="",AC67=""),"",IF(COUNT(Y67:AB67)=0,"",AC67-LOOKUP(2,1/(Y67:AB67&lt;&gt;""),Y67:AB67)))</t>
        </is>
      </c>
      <c r="AO67" s="36" t="inlineStr">
        <is>
          <t>IF(OR(E67="",AD67=""),"",IF(COUNT(Y67:AC67)=0,"",AD67-LOOKUP(2,1/(Y67:AC67&lt;&gt;""),Y67:AC67)))</t>
        </is>
      </c>
      <c r="AP67" s="36" t="inlineStr">
        <is>
          <t>IF(OR(E67="",AE67=""),"",IF(COUNT(Y67:AD67)=0,"",AE67-LOOKUP(2,1/(Y67:AD67&lt;&gt;""),Y67:AD67)))</t>
        </is>
      </c>
      <c r="AQ67" s="36" t="inlineStr">
        <is>
          <t>IF(OR(E67="",AF67=""),"",IF(COUNT(Y67:AE67)=0,"",AF67-LOOKUP(2,1/(Y67:AE67&lt;&gt;""),Y67:AE67)))</t>
        </is>
      </c>
      <c r="AR67" s="36" t="inlineStr">
        <is>
          <t>IF(OR(E67="",AG67=""),"",IF(COUNT(Y67:AF67)=0,"",AG67-LOOKUP(2,1/(Y67:AF67&lt;&gt;""),Y67:AF67)))</t>
        </is>
      </c>
      <c r="AS67" s="36" t="inlineStr">
        <is>
          <t>IF(OR(E67="",AH67=""),"",IF(COUNT(Y67:AG67)=0,"",AH67-LOOKUP(2,1/(Y67:AG67&lt;&gt;""),Y67:AG67)))</t>
        </is>
      </c>
      <c r="AT67" s="36" t="inlineStr">
        <is>
          <t>IF(OR(E67="",AI67=""),"",IF(COUNT(Y67:AH67)=0,"",AI67-LOOKUP(2,1/(Y67:AH67&lt;&gt;""),Y67:AH67)))</t>
        </is>
      </c>
      <c r="AU67" s="36" t="inlineStr">
        <is>
          <t>IF(OR(E67="",AJ67=""),"",IF(COUNT(Y67:AI67)=0,"",AJ67-LOOKUP(2,1/(Y67:AI67&lt;&gt;""),Y67:AI67)))</t>
        </is>
      </c>
      <c r="AV67" s="39" t="inlineStr">
        <is>
          <t>IF(G67="","All_Provinces",IFERROR(VLOOKUP(G67,'07_Lookups'!$A$4:$B$20,2,FALSE),"All_Provinces"))</t>
        </is>
      </c>
      <c r="AW67" s="39" t="inlineStr">
        <is>
          <t>IF(H67="","All_Districts",IFERROR(VLOOKUP(H67,'07_Lookups'!$E$4:$F$42,2,FALSE),"All_Districts"))</t>
        </is>
      </c>
    </row>
    <row r="68" ht="18" customHeight="1">
      <c r="A68" s="31" t="inlineStr">
        <is>
          <t>IF(E68="","",ROW()-3)</t>
        </is>
      </c>
      <c r="B68" s="32" t="n"/>
      <c r="C68" s="32" t="n"/>
      <c r="D68" s="32" t="n"/>
      <c r="E68" s="32" t="n"/>
      <c r="F68" s="32" t="n"/>
      <c r="G68" s="32" t="n"/>
      <c r="H68" s="32" t="n"/>
      <c r="I68" s="32" t="n"/>
      <c r="J68" s="32" t="n"/>
      <c r="K68" s="32" t="n"/>
      <c r="L68" s="32" t="n"/>
      <c r="M68" s="32" t="n"/>
      <c r="N68" s="33" t="n"/>
      <c r="O68" s="34" t="inlineStr">
        <is>
          <t>IF(AE68="","",AE68)</t>
        </is>
      </c>
      <c r="P68" s="35" t="n"/>
      <c r="Q68" s="34" t="inlineStr">
        <is>
          <t>IF(OR(O68="",P68=""),"",EDATE(O68,P68))</t>
        </is>
      </c>
      <c r="R68" s="35" t="n"/>
      <c r="S68" s="32" t="n"/>
      <c r="T68" s="32" t="n"/>
      <c r="U68" s="31" t="inlineStr">
        <is>
          <t>IF(E68="","",IF(COUNT(Y68:AJ68)=0,IF(S68="","Not started",S68),SUBSTITUTE(LOOKUP(2,1/(Y68:AJ68&lt;&gt;""),$Y$3:$AJ$3),"Date: ","")))</t>
        </is>
      </c>
      <c r="V68" s="36" t="inlineStr">
        <is>
          <t>IF(OR(E68="",COUNT(Y68:AJ68)=0),"",TODAY()-LOOKUP(2,1/(Y68:AJ68&lt;&gt;""),Y68:AJ68))</t>
        </is>
      </c>
      <c r="W68" s="36" t="inlineStr">
        <is>
          <t>IF(OR(E68="",COUNT(Y68:AJ68)&lt;2),"",LOOKUP(2,1/(Y68:AJ68&lt;&gt;""),Y68:AJ68)-MIN(Y68:AJ68))</t>
        </is>
      </c>
      <c r="X68" s="36" t="inlineStr">
        <is>
          <t>IF(OR(V68="",U68="Not started",U68=""),"",IFERROR(V68-IF(VLOOKUP(U68,'04_Status_Pipeline'!$B$3:$E$20,4,FALSE)="",0,VLOOKUP(U68,'04_Status_Pipeline'!$B$3:$E$20,4,FALSE)),""))</t>
        </is>
      </c>
      <c r="Y68" s="37" t="n"/>
      <c r="Z68" s="37" t="n"/>
      <c r="AA68" s="37" t="n"/>
      <c r="AB68" s="37" t="n"/>
      <c r="AC68" s="37" t="n"/>
      <c r="AD68" s="37" t="n"/>
      <c r="AE68" s="37" t="n"/>
      <c r="AF68" s="37" t="n"/>
      <c r="AG68" s="37" t="n"/>
      <c r="AH68" s="38" t="n"/>
      <c r="AI68" s="38" t="n"/>
      <c r="AJ68" s="38" t="n"/>
      <c r="AK68" s="36" t="inlineStr">
        <is>
          <t>IF(OR(E68="",Z68=""),"",IF(COUNT(Y68:Y68)=0,"",Z68-LOOKUP(2,1/(Y68:Y68&lt;&gt;""),Y68:Y68)))</t>
        </is>
      </c>
      <c r="AL68" s="36" t="inlineStr">
        <is>
          <t>IF(OR(E68="",AA68=""),"",IF(COUNT(Y68:Z68)=0,"",AA68-LOOKUP(2,1/(Y68:Z68&lt;&gt;""),Y68:Z68)))</t>
        </is>
      </c>
      <c r="AM68" s="36" t="inlineStr">
        <is>
          <t>IF(OR(E68="",AB68=""),"",IF(COUNT(Y68:AA68)=0,"",AB68-LOOKUP(2,1/(Y68:AA68&lt;&gt;""),Y68:AA68)))</t>
        </is>
      </c>
      <c r="AN68" s="36" t="inlineStr">
        <is>
          <t>IF(OR(E68="",AC68=""),"",IF(COUNT(Y68:AB68)=0,"",AC68-LOOKUP(2,1/(Y68:AB68&lt;&gt;""),Y68:AB68)))</t>
        </is>
      </c>
      <c r="AO68" s="36" t="inlineStr">
        <is>
          <t>IF(OR(E68="",AD68=""),"",IF(COUNT(Y68:AC68)=0,"",AD68-LOOKUP(2,1/(Y68:AC68&lt;&gt;""),Y68:AC68)))</t>
        </is>
      </c>
      <c r="AP68" s="36" t="inlineStr">
        <is>
          <t>IF(OR(E68="",AE68=""),"",IF(COUNT(Y68:AD68)=0,"",AE68-LOOKUP(2,1/(Y68:AD68&lt;&gt;""),Y68:AD68)))</t>
        </is>
      </c>
      <c r="AQ68" s="36" t="inlineStr">
        <is>
          <t>IF(OR(E68="",AF68=""),"",IF(COUNT(Y68:AE68)=0,"",AF68-LOOKUP(2,1/(Y68:AE68&lt;&gt;""),Y68:AE68)))</t>
        </is>
      </c>
      <c r="AR68" s="36" t="inlineStr">
        <is>
          <t>IF(OR(E68="",AG68=""),"",IF(COUNT(Y68:AF68)=0,"",AG68-LOOKUP(2,1/(Y68:AF68&lt;&gt;""),Y68:AF68)))</t>
        </is>
      </c>
      <c r="AS68" s="36" t="inlineStr">
        <is>
          <t>IF(OR(E68="",AH68=""),"",IF(COUNT(Y68:AG68)=0,"",AH68-LOOKUP(2,1/(Y68:AG68&lt;&gt;""),Y68:AG68)))</t>
        </is>
      </c>
      <c r="AT68" s="36" t="inlineStr">
        <is>
          <t>IF(OR(E68="",AI68=""),"",IF(COUNT(Y68:AH68)=0,"",AI68-LOOKUP(2,1/(Y68:AH68&lt;&gt;""),Y68:AH68)))</t>
        </is>
      </c>
      <c r="AU68" s="36" t="inlineStr">
        <is>
          <t>IF(OR(E68="",AJ68=""),"",IF(COUNT(Y68:AI68)=0,"",AJ68-LOOKUP(2,1/(Y68:AI68&lt;&gt;""),Y68:AI68)))</t>
        </is>
      </c>
      <c r="AV68" s="39" t="inlineStr">
        <is>
          <t>IF(G68="","All_Provinces",IFERROR(VLOOKUP(G68,'07_Lookups'!$A$4:$B$20,2,FALSE),"All_Provinces"))</t>
        </is>
      </c>
      <c r="AW68" s="39" t="inlineStr">
        <is>
          <t>IF(H68="","All_Districts",IFERROR(VLOOKUP(H68,'07_Lookups'!$E$4:$F$42,2,FALSE),"All_Districts"))</t>
        </is>
      </c>
    </row>
    <row r="69" ht="18" customHeight="1">
      <c r="A69" s="31" t="inlineStr">
        <is>
          <t>IF(E69="","",ROW()-3)</t>
        </is>
      </c>
      <c r="B69" s="40" t="n"/>
      <c r="C69" s="40" t="n"/>
      <c r="D69" s="40" t="n"/>
      <c r="E69" s="40" t="n"/>
      <c r="F69" s="40" t="n"/>
      <c r="G69" s="40" t="n"/>
      <c r="H69" s="40" t="n"/>
      <c r="I69" s="40" t="n"/>
      <c r="J69" s="40" t="n"/>
      <c r="K69" s="40" t="n"/>
      <c r="L69" s="40" t="n"/>
      <c r="M69" s="40" t="n"/>
      <c r="N69" s="41" t="n"/>
      <c r="O69" s="34" t="inlineStr">
        <is>
          <t>IF(AE69="","",AE69)</t>
        </is>
      </c>
      <c r="P69" s="42" t="n"/>
      <c r="Q69" s="34" t="inlineStr">
        <is>
          <t>IF(OR(O69="",P69=""),"",EDATE(O69,P69))</t>
        </is>
      </c>
      <c r="R69" s="42" t="n"/>
      <c r="S69" s="40" t="n"/>
      <c r="T69" s="40" t="n"/>
      <c r="U69" s="31" t="inlineStr">
        <is>
          <t>IF(E69="","",IF(COUNT(Y69:AJ69)=0,IF(S69="","Not started",S69),SUBSTITUTE(LOOKUP(2,1/(Y69:AJ69&lt;&gt;""),$Y$3:$AJ$3),"Date: ","")))</t>
        </is>
      </c>
      <c r="V69" s="36" t="inlineStr">
        <is>
          <t>IF(OR(E69="",COUNT(Y69:AJ69)=0),"",TODAY()-LOOKUP(2,1/(Y69:AJ69&lt;&gt;""),Y69:AJ69))</t>
        </is>
      </c>
      <c r="W69" s="36" t="inlineStr">
        <is>
          <t>IF(OR(E69="",COUNT(Y69:AJ69)&lt;2),"",LOOKUP(2,1/(Y69:AJ69&lt;&gt;""),Y69:AJ69)-MIN(Y69:AJ69))</t>
        </is>
      </c>
      <c r="X69" s="36" t="inlineStr">
        <is>
          <t>IF(OR(V69="",U69="Not started",U69=""),"",IFERROR(V69-IF(VLOOKUP(U69,'04_Status_Pipeline'!$B$3:$E$20,4,FALSE)="",0,VLOOKUP(U69,'04_Status_Pipeline'!$B$3:$E$20,4,FALSE)),""))</t>
        </is>
      </c>
      <c r="Y69" s="43" t="n"/>
      <c r="Z69" s="43" t="n"/>
      <c r="AA69" s="43" t="n"/>
      <c r="AB69" s="43" t="n"/>
      <c r="AC69" s="43" t="n"/>
      <c r="AD69" s="43" t="n"/>
      <c r="AE69" s="43" t="n"/>
      <c r="AF69" s="43" t="n"/>
      <c r="AG69" s="43" t="n"/>
      <c r="AH69" s="38" t="n"/>
      <c r="AI69" s="38" t="n"/>
      <c r="AJ69" s="38" t="n"/>
      <c r="AK69" s="36" t="inlineStr">
        <is>
          <t>IF(OR(E69="",Z69=""),"",IF(COUNT(Y69:Y69)=0,"",Z69-LOOKUP(2,1/(Y69:Y69&lt;&gt;""),Y69:Y69)))</t>
        </is>
      </c>
      <c r="AL69" s="36" t="inlineStr">
        <is>
          <t>IF(OR(E69="",AA69=""),"",IF(COUNT(Y69:Z69)=0,"",AA69-LOOKUP(2,1/(Y69:Z69&lt;&gt;""),Y69:Z69)))</t>
        </is>
      </c>
      <c r="AM69" s="36" t="inlineStr">
        <is>
          <t>IF(OR(E69="",AB69=""),"",IF(COUNT(Y69:AA69)=0,"",AB69-LOOKUP(2,1/(Y69:AA69&lt;&gt;""),Y69:AA69)))</t>
        </is>
      </c>
      <c r="AN69" s="36" t="inlineStr">
        <is>
          <t>IF(OR(E69="",AC69=""),"",IF(COUNT(Y69:AB69)=0,"",AC69-LOOKUP(2,1/(Y69:AB69&lt;&gt;""),Y69:AB69)))</t>
        </is>
      </c>
      <c r="AO69" s="36" t="inlineStr">
        <is>
          <t>IF(OR(E69="",AD69=""),"",IF(COUNT(Y69:AC69)=0,"",AD69-LOOKUP(2,1/(Y69:AC69&lt;&gt;""),Y69:AC69)))</t>
        </is>
      </c>
      <c r="AP69" s="36" t="inlineStr">
        <is>
          <t>IF(OR(E69="",AE69=""),"",IF(COUNT(Y69:AD69)=0,"",AE69-LOOKUP(2,1/(Y69:AD69&lt;&gt;""),Y69:AD69)))</t>
        </is>
      </c>
      <c r="AQ69" s="36" t="inlineStr">
        <is>
          <t>IF(OR(E69="",AF69=""),"",IF(COUNT(Y69:AE69)=0,"",AF69-LOOKUP(2,1/(Y69:AE69&lt;&gt;""),Y69:AE69)))</t>
        </is>
      </c>
      <c r="AR69" s="36" t="inlineStr">
        <is>
          <t>IF(OR(E69="",AG69=""),"",IF(COUNT(Y69:AF69)=0,"",AG69-LOOKUP(2,1/(Y69:AF69&lt;&gt;""),Y69:AF69)))</t>
        </is>
      </c>
      <c r="AS69" s="36" t="inlineStr">
        <is>
          <t>IF(OR(E69="",AH69=""),"",IF(COUNT(Y69:AG69)=0,"",AH69-LOOKUP(2,1/(Y69:AG69&lt;&gt;""),Y69:AG69)))</t>
        </is>
      </c>
      <c r="AT69" s="36" t="inlineStr">
        <is>
          <t>IF(OR(E69="",AI69=""),"",IF(COUNT(Y69:AH69)=0,"",AI69-LOOKUP(2,1/(Y69:AH69&lt;&gt;""),Y69:AH69)))</t>
        </is>
      </c>
      <c r="AU69" s="36" t="inlineStr">
        <is>
          <t>IF(OR(E69="",AJ69=""),"",IF(COUNT(Y69:AI69)=0,"",AJ69-LOOKUP(2,1/(Y69:AI69&lt;&gt;""),Y69:AI69)))</t>
        </is>
      </c>
      <c r="AV69" s="39" t="inlineStr">
        <is>
          <t>IF(G69="","All_Provinces",IFERROR(VLOOKUP(G69,'07_Lookups'!$A$4:$B$20,2,FALSE),"All_Provinces"))</t>
        </is>
      </c>
      <c r="AW69" s="39" t="inlineStr">
        <is>
          <t>IF(H69="","All_Districts",IFERROR(VLOOKUP(H69,'07_Lookups'!$E$4:$F$42,2,FALSE),"All_Districts"))</t>
        </is>
      </c>
    </row>
    <row r="70" ht="18" customHeight="1">
      <c r="A70" s="31" t="inlineStr">
        <is>
          <t>IF(E70="","",ROW()-3)</t>
        </is>
      </c>
      <c r="B70" s="32" t="n"/>
      <c r="C70" s="32" t="n"/>
      <c r="D70" s="32" t="n"/>
      <c r="E70" s="32" t="n"/>
      <c r="F70" s="32" t="n"/>
      <c r="G70" s="32" t="n"/>
      <c r="H70" s="32" t="n"/>
      <c r="I70" s="32" t="n"/>
      <c r="J70" s="32" t="n"/>
      <c r="K70" s="32" t="n"/>
      <c r="L70" s="32" t="n"/>
      <c r="M70" s="32" t="n"/>
      <c r="N70" s="33" t="n"/>
      <c r="O70" s="34" t="inlineStr">
        <is>
          <t>IF(AE70="","",AE70)</t>
        </is>
      </c>
      <c r="P70" s="35" t="n"/>
      <c r="Q70" s="34" t="inlineStr">
        <is>
          <t>IF(OR(O70="",P70=""),"",EDATE(O70,P70))</t>
        </is>
      </c>
      <c r="R70" s="35" t="n"/>
      <c r="S70" s="32" t="n"/>
      <c r="T70" s="32" t="n"/>
      <c r="U70" s="31" t="inlineStr">
        <is>
          <t>IF(E70="","",IF(COUNT(Y70:AJ70)=0,IF(S70="","Not started",S70),SUBSTITUTE(LOOKUP(2,1/(Y70:AJ70&lt;&gt;""),$Y$3:$AJ$3),"Date: ","")))</t>
        </is>
      </c>
      <c r="V70" s="36" t="inlineStr">
        <is>
          <t>IF(OR(E70="",COUNT(Y70:AJ70)=0),"",TODAY()-LOOKUP(2,1/(Y70:AJ70&lt;&gt;""),Y70:AJ70))</t>
        </is>
      </c>
      <c r="W70" s="36" t="inlineStr">
        <is>
          <t>IF(OR(E70="",COUNT(Y70:AJ70)&lt;2),"",LOOKUP(2,1/(Y70:AJ70&lt;&gt;""),Y70:AJ70)-MIN(Y70:AJ70))</t>
        </is>
      </c>
      <c r="X70" s="36" t="inlineStr">
        <is>
          <t>IF(OR(V70="",U70="Not started",U70=""),"",IFERROR(V70-IF(VLOOKUP(U70,'04_Status_Pipeline'!$B$3:$E$20,4,FALSE)="",0,VLOOKUP(U70,'04_Status_Pipeline'!$B$3:$E$20,4,FALSE)),""))</t>
        </is>
      </c>
      <c r="Y70" s="37" t="n"/>
      <c r="Z70" s="37" t="n"/>
      <c r="AA70" s="37" t="n"/>
      <c r="AB70" s="37" t="n"/>
      <c r="AC70" s="37" t="n"/>
      <c r="AD70" s="37" t="n"/>
      <c r="AE70" s="37" t="n"/>
      <c r="AF70" s="37" t="n"/>
      <c r="AG70" s="37" t="n"/>
      <c r="AH70" s="38" t="n"/>
      <c r="AI70" s="38" t="n"/>
      <c r="AJ70" s="38" t="n"/>
      <c r="AK70" s="36" t="inlineStr">
        <is>
          <t>IF(OR(E70="",Z70=""),"",IF(COUNT(Y70:Y70)=0,"",Z70-LOOKUP(2,1/(Y70:Y70&lt;&gt;""),Y70:Y70)))</t>
        </is>
      </c>
      <c r="AL70" s="36" t="inlineStr">
        <is>
          <t>IF(OR(E70="",AA70=""),"",IF(COUNT(Y70:Z70)=0,"",AA70-LOOKUP(2,1/(Y70:Z70&lt;&gt;""),Y70:Z70)))</t>
        </is>
      </c>
      <c r="AM70" s="36" t="inlineStr">
        <is>
          <t>IF(OR(E70="",AB70=""),"",IF(COUNT(Y70:AA70)=0,"",AB70-LOOKUP(2,1/(Y70:AA70&lt;&gt;""),Y70:AA70)))</t>
        </is>
      </c>
      <c r="AN70" s="36" t="inlineStr">
        <is>
          <t>IF(OR(E70="",AC70=""),"",IF(COUNT(Y70:AB70)=0,"",AC70-LOOKUP(2,1/(Y70:AB70&lt;&gt;""),Y70:AB70)))</t>
        </is>
      </c>
      <c r="AO70" s="36" t="inlineStr">
        <is>
          <t>IF(OR(E70="",AD70=""),"",IF(COUNT(Y70:AC70)=0,"",AD70-LOOKUP(2,1/(Y70:AC70&lt;&gt;""),Y70:AC70)))</t>
        </is>
      </c>
      <c r="AP70" s="36" t="inlineStr">
        <is>
          <t>IF(OR(E70="",AE70=""),"",IF(COUNT(Y70:AD70)=0,"",AE70-LOOKUP(2,1/(Y70:AD70&lt;&gt;""),Y70:AD70)))</t>
        </is>
      </c>
      <c r="AQ70" s="36" t="inlineStr">
        <is>
          <t>IF(OR(E70="",AF70=""),"",IF(COUNT(Y70:AE70)=0,"",AF70-LOOKUP(2,1/(Y70:AE70&lt;&gt;""),Y70:AE70)))</t>
        </is>
      </c>
      <c r="AR70" s="36" t="inlineStr">
        <is>
          <t>IF(OR(E70="",AG70=""),"",IF(COUNT(Y70:AF70)=0,"",AG70-LOOKUP(2,1/(Y70:AF70&lt;&gt;""),Y70:AF70)))</t>
        </is>
      </c>
      <c r="AS70" s="36" t="inlineStr">
        <is>
          <t>IF(OR(E70="",AH70=""),"",IF(COUNT(Y70:AG70)=0,"",AH70-LOOKUP(2,1/(Y70:AG70&lt;&gt;""),Y70:AG70)))</t>
        </is>
      </c>
      <c r="AT70" s="36" t="inlineStr">
        <is>
          <t>IF(OR(E70="",AI70=""),"",IF(COUNT(Y70:AH70)=0,"",AI70-LOOKUP(2,1/(Y70:AH70&lt;&gt;""),Y70:AH70)))</t>
        </is>
      </c>
      <c r="AU70" s="36" t="inlineStr">
        <is>
          <t>IF(OR(E70="",AJ70=""),"",IF(COUNT(Y70:AI70)=0,"",AJ70-LOOKUP(2,1/(Y70:AI70&lt;&gt;""),Y70:AI70)))</t>
        </is>
      </c>
      <c r="AV70" s="39" t="inlineStr">
        <is>
          <t>IF(G70="","All_Provinces",IFERROR(VLOOKUP(G70,'07_Lookups'!$A$4:$B$20,2,FALSE),"All_Provinces"))</t>
        </is>
      </c>
      <c r="AW70" s="39" t="inlineStr">
        <is>
          <t>IF(H70="","All_Districts",IFERROR(VLOOKUP(H70,'07_Lookups'!$E$4:$F$42,2,FALSE),"All_Districts"))</t>
        </is>
      </c>
    </row>
    <row r="71" ht="18" customHeight="1">
      <c r="A71" s="31" t="inlineStr">
        <is>
          <t>IF(E71="","",ROW()-3)</t>
        </is>
      </c>
      <c r="B71" s="40" t="n"/>
      <c r="C71" s="40" t="n"/>
      <c r="D71" s="40" t="n"/>
      <c r="E71" s="40" t="n"/>
      <c r="F71" s="40" t="n"/>
      <c r="G71" s="40" t="n"/>
      <c r="H71" s="40" t="n"/>
      <c r="I71" s="40" t="n"/>
      <c r="J71" s="40" t="n"/>
      <c r="K71" s="40" t="n"/>
      <c r="L71" s="40" t="n"/>
      <c r="M71" s="40" t="n"/>
      <c r="N71" s="41" t="n"/>
      <c r="O71" s="34" t="inlineStr">
        <is>
          <t>IF(AE71="","",AE71)</t>
        </is>
      </c>
      <c r="P71" s="42" t="n"/>
      <c r="Q71" s="34" t="inlineStr">
        <is>
          <t>IF(OR(O71="",P71=""),"",EDATE(O71,P71))</t>
        </is>
      </c>
      <c r="R71" s="42" t="n"/>
      <c r="S71" s="40" t="n"/>
      <c r="T71" s="40" t="n"/>
      <c r="U71" s="31" t="inlineStr">
        <is>
          <t>IF(E71="","",IF(COUNT(Y71:AJ71)=0,IF(S71="","Not started",S71),SUBSTITUTE(LOOKUP(2,1/(Y71:AJ71&lt;&gt;""),$Y$3:$AJ$3),"Date: ","")))</t>
        </is>
      </c>
      <c r="V71" s="36" t="inlineStr">
        <is>
          <t>IF(OR(E71="",COUNT(Y71:AJ71)=0),"",TODAY()-LOOKUP(2,1/(Y71:AJ71&lt;&gt;""),Y71:AJ71))</t>
        </is>
      </c>
      <c r="W71" s="36" t="inlineStr">
        <is>
          <t>IF(OR(E71="",COUNT(Y71:AJ71)&lt;2),"",LOOKUP(2,1/(Y71:AJ71&lt;&gt;""),Y71:AJ71)-MIN(Y71:AJ71))</t>
        </is>
      </c>
      <c r="X71" s="36" t="inlineStr">
        <is>
          <t>IF(OR(V71="",U71="Not started",U71=""),"",IFERROR(V71-IF(VLOOKUP(U71,'04_Status_Pipeline'!$B$3:$E$20,4,FALSE)="",0,VLOOKUP(U71,'04_Status_Pipeline'!$B$3:$E$20,4,FALSE)),""))</t>
        </is>
      </c>
      <c r="Y71" s="43" t="n"/>
      <c r="Z71" s="43" t="n"/>
      <c r="AA71" s="43" t="n"/>
      <c r="AB71" s="43" t="n"/>
      <c r="AC71" s="43" t="n"/>
      <c r="AD71" s="43" t="n"/>
      <c r="AE71" s="43" t="n"/>
      <c r="AF71" s="43" t="n"/>
      <c r="AG71" s="43" t="n"/>
      <c r="AH71" s="38" t="n"/>
      <c r="AI71" s="38" t="n"/>
      <c r="AJ71" s="38" t="n"/>
      <c r="AK71" s="36" t="inlineStr">
        <is>
          <t>IF(OR(E71="",Z71=""),"",IF(COUNT(Y71:Y71)=0,"",Z71-LOOKUP(2,1/(Y71:Y71&lt;&gt;""),Y71:Y71)))</t>
        </is>
      </c>
      <c r="AL71" s="36" t="inlineStr">
        <is>
          <t>IF(OR(E71="",AA71=""),"",IF(COUNT(Y71:Z71)=0,"",AA71-LOOKUP(2,1/(Y71:Z71&lt;&gt;""),Y71:Z71)))</t>
        </is>
      </c>
      <c r="AM71" s="36" t="inlineStr">
        <is>
          <t>IF(OR(E71="",AB71=""),"",IF(COUNT(Y71:AA71)=0,"",AB71-LOOKUP(2,1/(Y71:AA71&lt;&gt;""),Y71:AA71)))</t>
        </is>
      </c>
      <c r="AN71" s="36" t="inlineStr">
        <is>
          <t>IF(OR(E71="",AC71=""),"",IF(COUNT(Y71:AB71)=0,"",AC71-LOOKUP(2,1/(Y71:AB71&lt;&gt;""),Y71:AB71)))</t>
        </is>
      </c>
      <c r="AO71" s="36" t="inlineStr">
        <is>
          <t>IF(OR(E71="",AD71=""),"",IF(COUNT(Y71:AC71)=0,"",AD71-LOOKUP(2,1/(Y71:AC71&lt;&gt;""),Y71:AC71)))</t>
        </is>
      </c>
      <c r="AP71" s="36" t="inlineStr">
        <is>
          <t>IF(OR(E71="",AE71=""),"",IF(COUNT(Y71:AD71)=0,"",AE71-LOOKUP(2,1/(Y71:AD71&lt;&gt;""),Y71:AD71)))</t>
        </is>
      </c>
      <c r="AQ71" s="36" t="inlineStr">
        <is>
          <t>IF(OR(E71="",AF71=""),"",IF(COUNT(Y71:AE71)=0,"",AF71-LOOKUP(2,1/(Y71:AE71&lt;&gt;""),Y71:AE71)))</t>
        </is>
      </c>
      <c r="AR71" s="36" t="inlineStr">
        <is>
          <t>IF(OR(E71="",AG71=""),"",IF(COUNT(Y71:AF71)=0,"",AG71-LOOKUP(2,1/(Y71:AF71&lt;&gt;""),Y71:AF71)))</t>
        </is>
      </c>
      <c r="AS71" s="36" t="inlineStr">
        <is>
          <t>IF(OR(E71="",AH71=""),"",IF(COUNT(Y71:AG71)=0,"",AH71-LOOKUP(2,1/(Y71:AG71&lt;&gt;""),Y71:AG71)))</t>
        </is>
      </c>
      <c r="AT71" s="36" t="inlineStr">
        <is>
          <t>IF(OR(E71="",AI71=""),"",IF(COUNT(Y71:AH71)=0,"",AI71-LOOKUP(2,1/(Y71:AH71&lt;&gt;""),Y71:AH71)))</t>
        </is>
      </c>
      <c r="AU71" s="36" t="inlineStr">
        <is>
          <t>IF(OR(E71="",AJ71=""),"",IF(COUNT(Y71:AI71)=0,"",AJ71-LOOKUP(2,1/(Y71:AI71&lt;&gt;""),Y71:AI71)))</t>
        </is>
      </c>
      <c r="AV71" s="39" t="inlineStr">
        <is>
          <t>IF(G71="","All_Provinces",IFERROR(VLOOKUP(G71,'07_Lookups'!$A$4:$B$20,2,FALSE),"All_Provinces"))</t>
        </is>
      </c>
      <c r="AW71" s="39" t="inlineStr">
        <is>
          <t>IF(H71="","All_Districts",IFERROR(VLOOKUP(H71,'07_Lookups'!$E$4:$F$42,2,FALSE),"All_Districts"))</t>
        </is>
      </c>
    </row>
    <row r="72" ht="18" customHeight="1">
      <c r="A72" s="31" t="inlineStr">
        <is>
          <t>IF(E72="","",ROW()-3)</t>
        </is>
      </c>
      <c r="B72" s="32" t="n"/>
      <c r="C72" s="32" t="n"/>
      <c r="D72" s="32" t="n"/>
      <c r="E72" s="32" t="n"/>
      <c r="F72" s="32" t="n"/>
      <c r="G72" s="32" t="n"/>
      <c r="H72" s="32" t="n"/>
      <c r="I72" s="32" t="n"/>
      <c r="J72" s="32" t="n"/>
      <c r="K72" s="32" t="n"/>
      <c r="L72" s="32" t="n"/>
      <c r="M72" s="32" t="n"/>
      <c r="N72" s="33" t="n"/>
      <c r="O72" s="34" t="inlineStr">
        <is>
          <t>IF(AE72="","",AE72)</t>
        </is>
      </c>
      <c r="P72" s="35" t="n"/>
      <c r="Q72" s="34" t="inlineStr">
        <is>
          <t>IF(OR(O72="",P72=""),"",EDATE(O72,P72))</t>
        </is>
      </c>
      <c r="R72" s="35" t="n"/>
      <c r="S72" s="32" t="n"/>
      <c r="T72" s="32" t="n"/>
      <c r="U72" s="31" t="inlineStr">
        <is>
          <t>IF(E72="","",IF(COUNT(Y72:AJ72)=0,IF(S72="","Not started",S72),SUBSTITUTE(LOOKUP(2,1/(Y72:AJ72&lt;&gt;""),$Y$3:$AJ$3),"Date: ","")))</t>
        </is>
      </c>
      <c r="V72" s="36" t="inlineStr">
        <is>
          <t>IF(OR(E72="",COUNT(Y72:AJ72)=0),"",TODAY()-LOOKUP(2,1/(Y72:AJ72&lt;&gt;""),Y72:AJ72))</t>
        </is>
      </c>
      <c r="W72" s="36" t="inlineStr">
        <is>
          <t>IF(OR(E72="",COUNT(Y72:AJ72)&lt;2),"",LOOKUP(2,1/(Y72:AJ72&lt;&gt;""),Y72:AJ72)-MIN(Y72:AJ72))</t>
        </is>
      </c>
      <c r="X72" s="36" t="inlineStr">
        <is>
          <t>IF(OR(V72="",U72="Not started",U72=""),"",IFERROR(V72-IF(VLOOKUP(U72,'04_Status_Pipeline'!$B$3:$E$20,4,FALSE)="",0,VLOOKUP(U72,'04_Status_Pipeline'!$B$3:$E$20,4,FALSE)),""))</t>
        </is>
      </c>
      <c r="Y72" s="37" t="n"/>
      <c r="Z72" s="37" t="n"/>
      <c r="AA72" s="37" t="n"/>
      <c r="AB72" s="37" t="n"/>
      <c r="AC72" s="37" t="n"/>
      <c r="AD72" s="37" t="n"/>
      <c r="AE72" s="37" t="n"/>
      <c r="AF72" s="37" t="n"/>
      <c r="AG72" s="37" t="n"/>
      <c r="AH72" s="38" t="n"/>
      <c r="AI72" s="38" t="n"/>
      <c r="AJ72" s="38" t="n"/>
      <c r="AK72" s="36" t="inlineStr">
        <is>
          <t>IF(OR(E72="",Z72=""),"",IF(COUNT(Y72:Y72)=0,"",Z72-LOOKUP(2,1/(Y72:Y72&lt;&gt;""),Y72:Y72)))</t>
        </is>
      </c>
      <c r="AL72" s="36" t="inlineStr">
        <is>
          <t>IF(OR(E72="",AA72=""),"",IF(COUNT(Y72:Z72)=0,"",AA72-LOOKUP(2,1/(Y72:Z72&lt;&gt;""),Y72:Z72)))</t>
        </is>
      </c>
      <c r="AM72" s="36" t="inlineStr">
        <is>
          <t>IF(OR(E72="",AB72=""),"",IF(COUNT(Y72:AA72)=0,"",AB72-LOOKUP(2,1/(Y72:AA72&lt;&gt;""),Y72:AA72)))</t>
        </is>
      </c>
      <c r="AN72" s="36" t="inlineStr">
        <is>
          <t>IF(OR(E72="",AC72=""),"",IF(COUNT(Y72:AB72)=0,"",AC72-LOOKUP(2,1/(Y72:AB72&lt;&gt;""),Y72:AB72)))</t>
        </is>
      </c>
      <c r="AO72" s="36" t="inlineStr">
        <is>
          <t>IF(OR(E72="",AD72=""),"",IF(COUNT(Y72:AC72)=0,"",AD72-LOOKUP(2,1/(Y72:AC72&lt;&gt;""),Y72:AC72)))</t>
        </is>
      </c>
      <c r="AP72" s="36" t="inlineStr">
        <is>
          <t>IF(OR(E72="",AE72=""),"",IF(COUNT(Y72:AD72)=0,"",AE72-LOOKUP(2,1/(Y72:AD72&lt;&gt;""),Y72:AD72)))</t>
        </is>
      </c>
      <c r="AQ72" s="36" t="inlineStr">
        <is>
          <t>IF(OR(E72="",AF72=""),"",IF(COUNT(Y72:AE72)=0,"",AF72-LOOKUP(2,1/(Y72:AE72&lt;&gt;""),Y72:AE72)))</t>
        </is>
      </c>
      <c r="AR72" s="36" t="inlineStr">
        <is>
          <t>IF(OR(E72="",AG72=""),"",IF(COUNT(Y72:AF72)=0,"",AG72-LOOKUP(2,1/(Y72:AF72&lt;&gt;""),Y72:AF72)))</t>
        </is>
      </c>
      <c r="AS72" s="36" t="inlineStr">
        <is>
          <t>IF(OR(E72="",AH72=""),"",IF(COUNT(Y72:AG72)=0,"",AH72-LOOKUP(2,1/(Y72:AG72&lt;&gt;""),Y72:AG72)))</t>
        </is>
      </c>
      <c r="AT72" s="36" t="inlineStr">
        <is>
          <t>IF(OR(E72="",AI72=""),"",IF(COUNT(Y72:AH72)=0,"",AI72-LOOKUP(2,1/(Y72:AH72&lt;&gt;""),Y72:AH72)))</t>
        </is>
      </c>
      <c r="AU72" s="36" t="inlineStr">
        <is>
          <t>IF(OR(E72="",AJ72=""),"",IF(COUNT(Y72:AI72)=0,"",AJ72-LOOKUP(2,1/(Y72:AI72&lt;&gt;""),Y72:AI72)))</t>
        </is>
      </c>
      <c r="AV72" s="39" t="inlineStr">
        <is>
          <t>IF(G72="","All_Provinces",IFERROR(VLOOKUP(G72,'07_Lookups'!$A$4:$B$20,2,FALSE),"All_Provinces"))</t>
        </is>
      </c>
      <c r="AW72" s="39" t="inlineStr">
        <is>
          <t>IF(H72="","All_Districts",IFERROR(VLOOKUP(H72,'07_Lookups'!$E$4:$F$42,2,FALSE),"All_Districts"))</t>
        </is>
      </c>
    </row>
    <row r="73" ht="18" customHeight="1">
      <c r="A73" s="31" t="inlineStr">
        <is>
          <t>IF(E73="","",ROW()-3)</t>
        </is>
      </c>
      <c r="B73" s="40" t="n"/>
      <c r="C73" s="40" t="n"/>
      <c r="D73" s="40" t="n"/>
      <c r="E73" s="40" t="n"/>
      <c r="F73" s="40" t="n"/>
      <c r="G73" s="40" t="n"/>
      <c r="H73" s="40" t="n"/>
      <c r="I73" s="40" t="n"/>
      <c r="J73" s="40" t="n"/>
      <c r="K73" s="40" t="n"/>
      <c r="L73" s="40" t="n"/>
      <c r="M73" s="40" t="n"/>
      <c r="N73" s="41" t="n"/>
      <c r="O73" s="34" t="inlineStr">
        <is>
          <t>IF(AE73="","",AE73)</t>
        </is>
      </c>
      <c r="P73" s="42" t="n"/>
      <c r="Q73" s="34" t="inlineStr">
        <is>
          <t>IF(OR(O73="",P73=""),"",EDATE(O73,P73))</t>
        </is>
      </c>
      <c r="R73" s="42" t="n"/>
      <c r="S73" s="40" t="n"/>
      <c r="T73" s="40" t="n"/>
      <c r="U73" s="31" t="inlineStr">
        <is>
          <t>IF(E73="","",IF(COUNT(Y73:AJ73)=0,IF(S73="","Not started",S73),SUBSTITUTE(LOOKUP(2,1/(Y73:AJ73&lt;&gt;""),$Y$3:$AJ$3),"Date: ","")))</t>
        </is>
      </c>
      <c r="V73" s="36" t="inlineStr">
        <is>
          <t>IF(OR(E73="",COUNT(Y73:AJ73)=0),"",TODAY()-LOOKUP(2,1/(Y73:AJ73&lt;&gt;""),Y73:AJ73))</t>
        </is>
      </c>
      <c r="W73" s="36" t="inlineStr">
        <is>
          <t>IF(OR(E73="",COUNT(Y73:AJ73)&lt;2),"",LOOKUP(2,1/(Y73:AJ73&lt;&gt;""),Y73:AJ73)-MIN(Y73:AJ73))</t>
        </is>
      </c>
      <c r="X73" s="36" t="inlineStr">
        <is>
          <t>IF(OR(V73="",U73="Not started",U73=""),"",IFERROR(V73-IF(VLOOKUP(U73,'04_Status_Pipeline'!$B$3:$E$20,4,FALSE)="",0,VLOOKUP(U73,'04_Status_Pipeline'!$B$3:$E$20,4,FALSE)),""))</t>
        </is>
      </c>
      <c r="Y73" s="43" t="n"/>
      <c r="Z73" s="43" t="n"/>
      <c r="AA73" s="43" t="n"/>
      <c r="AB73" s="43" t="n"/>
      <c r="AC73" s="43" t="n"/>
      <c r="AD73" s="43" t="n"/>
      <c r="AE73" s="43" t="n"/>
      <c r="AF73" s="43" t="n"/>
      <c r="AG73" s="43" t="n"/>
      <c r="AH73" s="38" t="n"/>
      <c r="AI73" s="38" t="n"/>
      <c r="AJ73" s="38" t="n"/>
      <c r="AK73" s="36" t="inlineStr">
        <is>
          <t>IF(OR(E73="",Z73=""),"",IF(COUNT(Y73:Y73)=0,"",Z73-LOOKUP(2,1/(Y73:Y73&lt;&gt;""),Y73:Y73)))</t>
        </is>
      </c>
      <c r="AL73" s="36" t="inlineStr">
        <is>
          <t>IF(OR(E73="",AA73=""),"",IF(COUNT(Y73:Z73)=0,"",AA73-LOOKUP(2,1/(Y73:Z73&lt;&gt;""),Y73:Z73)))</t>
        </is>
      </c>
      <c r="AM73" s="36" t="inlineStr">
        <is>
          <t>IF(OR(E73="",AB73=""),"",IF(COUNT(Y73:AA73)=0,"",AB73-LOOKUP(2,1/(Y73:AA73&lt;&gt;""),Y73:AA73)))</t>
        </is>
      </c>
      <c r="AN73" s="36" t="inlineStr">
        <is>
          <t>IF(OR(E73="",AC73=""),"",IF(COUNT(Y73:AB73)=0,"",AC73-LOOKUP(2,1/(Y73:AB73&lt;&gt;""),Y73:AB73)))</t>
        </is>
      </c>
      <c r="AO73" s="36" t="inlineStr">
        <is>
          <t>IF(OR(E73="",AD73=""),"",IF(COUNT(Y73:AC73)=0,"",AD73-LOOKUP(2,1/(Y73:AC73&lt;&gt;""),Y73:AC73)))</t>
        </is>
      </c>
      <c r="AP73" s="36" t="inlineStr">
        <is>
          <t>IF(OR(E73="",AE73=""),"",IF(COUNT(Y73:AD73)=0,"",AE73-LOOKUP(2,1/(Y73:AD73&lt;&gt;""),Y73:AD73)))</t>
        </is>
      </c>
      <c r="AQ73" s="36" t="inlineStr">
        <is>
          <t>IF(OR(E73="",AF73=""),"",IF(COUNT(Y73:AE73)=0,"",AF73-LOOKUP(2,1/(Y73:AE73&lt;&gt;""),Y73:AE73)))</t>
        </is>
      </c>
      <c r="AR73" s="36" t="inlineStr">
        <is>
          <t>IF(OR(E73="",AG73=""),"",IF(COUNT(Y73:AF73)=0,"",AG73-LOOKUP(2,1/(Y73:AF73&lt;&gt;""),Y73:AF73)))</t>
        </is>
      </c>
      <c r="AS73" s="36" t="inlineStr">
        <is>
          <t>IF(OR(E73="",AH73=""),"",IF(COUNT(Y73:AG73)=0,"",AH73-LOOKUP(2,1/(Y73:AG73&lt;&gt;""),Y73:AG73)))</t>
        </is>
      </c>
      <c r="AT73" s="36" t="inlineStr">
        <is>
          <t>IF(OR(E73="",AI73=""),"",IF(COUNT(Y73:AH73)=0,"",AI73-LOOKUP(2,1/(Y73:AH73&lt;&gt;""),Y73:AH73)))</t>
        </is>
      </c>
      <c r="AU73" s="36" t="inlineStr">
        <is>
          <t>IF(OR(E73="",AJ73=""),"",IF(COUNT(Y73:AI73)=0,"",AJ73-LOOKUP(2,1/(Y73:AI73&lt;&gt;""),Y73:AI73)))</t>
        </is>
      </c>
      <c r="AV73" s="39" t="inlineStr">
        <is>
          <t>IF(G73="","All_Provinces",IFERROR(VLOOKUP(G73,'07_Lookups'!$A$4:$B$20,2,FALSE),"All_Provinces"))</t>
        </is>
      </c>
      <c r="AW73" s="39" t="inlineStr">
        <is>
          <t>IF(H73="","All_Districts",IFERROR(VLOOKUP(H73,'07_Lookups'!$E$4:$F$42,2,FALSE),"All_Districts"))</t>
        </is>
      </c>
    </row>
    <row r="74" ht="18" customHeight="1">
      <c r="A74" s="31" t="inlineStr">
        <is>
          <t>IF(E74="","",ROW()-3)</t>
        </is>
      </c>
      <c r="B74" s="32" t="n"/>
      <c r="C74" s="32" t="n"/>
      <c r="D74" s="32" t="n"/>
      <c r="E74" s="32" t="n"/>
      <c r="F74" s="32" t="n"/>
      <c r="G74" s="32" t="n"/>
      <c r="H74" s="32" t="n"/>
      <c r="I74" s="32" t="n"/>
      <c r="J74" s="32" t="n"/>
      <c r="K74" s="32" t="n"/>
      <c r="L74" s="32" t="n"/>
      <c r="M74" s="32" t="n"/>
      <c r="N74" s="33" t="n"/>
      <c r="O74" s="34" t="inlineStr">
        <is>
          <t>IF(AE74="","",AE74)</t>
        </is>
      </c>
      <c r="P74" s="35" t="n"/>
      <c r="Q74" s="34" t="inlineStr">
        <is>
          <t>IF(OR(O74="",P74=""),"",EDATE(O74,P74))</t>
        </is>
      </c>
      <c r="R74" s="35" t="n"/>
      <c r="S74" s="32" t="n"/>
      <c r="T74" s="32" t="n"/>
      <c r="U74" s="31" t="inlineStr">
        <is>
          <t>IF(E74="","",IF(COUNT(Y74:AJ74)=0,IF(S74="","Not started",S74),SUBSTITUTE(LOOKUP(2,1/(Y74:AJ74&lt;&gt;""),$Y$3:$AJ$3),"Date: ","")))</t>
        </is>
      </c>
      <c r="V74" s="36" t="inlineStr">
        <is>
          <t>IF(OR(E74="",COUNT(Y74:AJ74)=0),"",TODAY()-LOOKUP(2,1/(Y74:AJ74&lt;&gt;""),Y74:AJ74))</t>
        </is>
      </c>
      <c r="W74" s="36" t="inlineStr">
        <is>
          <t>IF(OR(E74="",COUNT(Y74:AJ74)&lt;2),"",LOOKUP(2,1/(Y74:AJ74&lt;&gt;""),Y74:AJ74)-MIN(Y74:AJ74))</t>
        </is>
      </c>
      <c r="X74" s="36" t="inlineStr">
        <is>
          <t>IF(OR(V74="",U74="Not started",U74=""),"",IFERROR(V74-IF(VLOOKUP(U74,'04_Status_Pipeline'!$B$3:$E$20,4,FALSE)="",0,VLOOKUP(U74,'04_Status_Pipeline'!$B$3:$E$20,4,FALSE)),""))</t>
        </is>
      </c>
      <c r="Y74" s="37" t="n"/>
      <c r="Z74" s="37" t="n"/>
      <c r="AA74" s="37" t="n"/>
      <c r="AB74" s="37" t="n"/>
      <c r="AC74" s="37" t="n"/>
      <c r="AD74" s="37" t="n"/>
      <c r="AE74" s="37" t="n"/>
      <c r="AF74" s="37" t="n"/>
      <c r="AG74" s="37" t="n"/>
      <c r="AH74" s="38" t="n"/>
      <c r="AI74" s="38" t="n"/>
      <c r="AJ74" s="38" t="n"/>
      <c r="AK74" s="36" t="inlineStr">
        <is>
          <t>IF(OR(E74="",Z74=""),"",IF(COUNT(Y74:Y74)=0,"",Z74-LOOKUP(2,1/(Y74:Y74&lt;&gt;""),Y74:Y74)))</t>
        </is>
      </c>
      <c r="AL74" s="36" t="inlineStr">
        <is>
          <t>IF(OR(E74="",AA74=""),"",IF(COUNT(Y74:Z74)=0,"",AA74-LOOKUP(2,1/(Y74:Z74&lt;&gt;""),Y74:Z74)))</t>
        </is>
      </c>
      <c r="AM74" s="36" t="inlineStr">
        <is>
          <t>IF(OR(E74="",AB74=""),"",IF(COUNT(Y74:AA74)=0,"",AB74-LOOKUP(2,1/(Y74:AA74&lt;&gt;""),Y74:AA74)))</t>
        </is>
      </c>
      <c r="AN74" s="36" t="inlineStr">
        <is>
          <t>IF(OR(E74="",AC74=""),"",IF(COUNT(Y74:AB74)=0,"",AC74-LOOKUP(2,1/(Y74:AB74&lt;&gt;""),Y74:AB74)))</t>
        </is>
      </c>
      <c r="AO74" s="36" t="inlineStr">
        <is>
          <t>IF(OR(E74="",AD74=""),"",IF(COUNT(Y74:AC74)=0,"",AD74-LOOKUP(2,1/(Y74:AC74&lt;&gt;""),Y74:AC74)))</t>
        </is>
      </c>
      <c r="AP74" s="36" t="inlineStr">
        <is>
          <t>IF(OR(E74="",AE74=""),"",IF(COUNT(Y74:AD74)=0,"",AE74-LOOKUP(2,1/(Y74:AD74&lt;&gt;""),Y74:AD74)))</t>
        </is>
      </c>
      <c r="AQ74" s="36" t="inlineStr">
        <is>
          <t>IF(OR(E74="",AF74=""),"",IF(COUNT(Y74:AE74)=0,"",AF74-LOOKUP(2,1/(Y74:AE74&lt;&gt;""),Y74:AE74)))</t>
        </is>
      </c>
      <c r="AR74" s="36" t="inlineStr">
        <is>
          <t>IF(OR(E74="",AG74=""),"",IF(COUNT(Y74:AF74)=0,"",AG74-LOOKUP(2,1/(Y74:AF74&lt;&gt;""),Y74:AF74)))</t>
        </is>
      </c>
      <c r="AS74" s="36" t="inlineStr">
        <is>
          <t>IF(OR(E74="",AH74=""),"",IF(COUNT(Y74:AG74)=0,"",AH74-LOOKUP(2,1/(Y74:AG74&lt;&gt;""),Y74:AG74)))</t>
        </is>
      </c>
      <c r="AT74" s="36" t="inlineStr">
        <is>
          <t>IF(OR(E74="",AI74=""),"",IF(COUNT(Y74:AH74)=0,"",AI74-LOOKUP(2,1/(Y74:AH74&lt;&gt;""),Y74:AH74)))</t>
        </is>
      </c>
      <c r="AU74" s="36" t="inlineStr">
        <is>
          <t>IF(OR(E74="",AJ74=""),"",IF(COUNT(Y74:AI74)=0,"",AJ74-LOOKUP(2,1/(Y74:AI74&lt;&gt;""),Y74:AI74)))</t>
        </is>
      </c>
      <c r="AV74" s="39" t="inlineStr">
        <is>
          <t>IF(G74="","All_Provinces",IFERROR(VLOOKUP(G74,'07_Lookups'!$A$4:$B$20,2,FALSE),"All_Provinces"))</t>
        </is>
      </c>
      <c r="AW74" s="39" t="inlineStr">
        <is>
          <t>IF(H74="","All_Districts",IFERROR(VLOOKUP(H74,'07_Lookups'!$E$4:$F$42,2,FALSE),"All_Districts"))</t>
        </is>
      </c>
    </row>
    <row r="75" ht="18" customHeight="1">
      <c r="A75" s="31" t="inlineStr">
        <is>
          <t>IF(E75="","",ROW()-3)</t>
        </is>
      </c>
      <c r="B75" s="40" t="n"/>
      <c r="C75" s="40" t="n"/>
      <c r="D75" s="40" t="n"/>
      <c r="E75" s="40" t="n"/>
      <c r="F75" s="40" t="n"/>
      <c r="G75" s="40" t="n"/>
      <c r="H75" s="40" t="n"/>
      <c r="I75" s="40" t="n"/>
      <c r="J75" s="40" t="n"/>
      <c r="K75" s="40" t="n"/>
      <c r="L75" s="40" t="n"/>
      <c r="M75" s="40" t="n"/>
      <c r="N75" s="41" t="n"/>
      <c r="O75" s="34" t="inlineStr">
        <is>
          <t>IF(AE75="","",AE75)</t>
        </is>
      </c>
      <c r="P75" s="42" t="n"/>
      <c r="Q75" s="34" t="inlineStr">
        <is>
          <t>IF(OR(O75="",P75=""),"",EDATE(O75,P75))</t>
        </is>
      </c>
      <c r="R75" s="42" t="n"/>
      <c r="S75" s="40" t="n"/>
      <c r="T75" s="40" t="n"/>
      <c r="U75" s="31" t="inlineStr">
        <is>
          <t>IF(E75="","",IF(COUNT(Y75:AJ75)=0,IF(S75="","Not started",S75),SUBSTITUTE(LOOKUP(2,1/(Y75:AJ75&lt;&gt;""),$Y$3:$AJ$3),"Date: ","")))</t>
        </is>
      </c>
      <c r="V75" s="36" t="inlineStr">
        <is>
          <t>IF(OR(E75="",COUNT(Y75:AJ75)=0),"",TODAY()-LOOKUP(2,1/(Y75:AJ75&lt;&gt;""),Y75:AJ75))</t>
        </is>
      </c>
      <c r="W75" s="36" t="inlineStr">
        <is>
          <t>IF(OR(E75="",COUNT(Y75:AJ75)&lt;2),"",LOOKUP(2,1/(Y75:AJ75&lt;&gt;""),Y75:AJ75)-MIN(Y75:AJ75))</t>
        </is>
      </c>
      <c r="X75" s="36" t="inlineStr">
        <is>
          <t>IF(OR(V75="",U75="Not started",U75=""),"",IFERROR(V75-IF(VLOOKUP(U75,'04_Status_Pipeline'!$B$3:$E$20,4,FALSE)="",0,VLOOKUP(U75,'04_Status_Pipeline'!$B$3:$E$20,4,FALSE)),""))</t>
        </is>
      </c>
      <c r="Y75" s="43" t="n"/>
      <c r="Z75" s="43" t="n"/>
      <c r="AA75" s="43" t="n"/>
      <c r="AB75" s="43" t="n"/>
      <c r="AC75" s="43" t="n"/>
      <c r="AD75" s="43" t="n"/>
      <c r="AE75" s="43" t="n"/>
      <c r="AF75" s="43" t="n"/>
      <c r="AG75" s="43" t="n"/>
      <c r="AH75" s="38" t="n"/>
      <c r="AI75" s="38" t="n"/>
      <c r="AJ75" s="38" t="n"/>
      <c r="AK75" s="36" t="inlineStr">
        <is>
          <t>IF(OR(E75="",Z75=""),"",IF(COUNT(Y75:Y75)=0,"",Z75-LOOKUP(2,1/(Y75:Y75&lt;&gt;""),Y75:Y75)))</t>
        </is>
      </c>
      <c r="AL75" s="36" t="inlineStr">
        <is>
          <t>IF(OR(E75="",AA75=""),"",IF(COUNT(Y75:Z75)=0,"",AA75-LOOKUP(2,1/(Y75:Z75&lt;&gt;""),Y75:Z75)))</t>
        </is>
      </c>
      <c r="AM75" s="36" t="inlineStr">
        <is>
          <t>IF(OR(E75="",AB75=""),"",IF(COUNT(Y75:AA75)=0,"",AB75-LOOKUP(2,1/(Y75:AA75&lt;&gt;""),Y75:AA75)))</t>
        </is>
      </c>
      <c r="AN75" s="36" t="inlineStr">
        <is>
          <t>IF(OR(E75="",AC75=""),"",IF(COUNT(Y75:AB75)=0,"",AC75-LOOKUP(2,1/(Y75:AB75&lt;&gt;""),Y75:AB75)))</t>
        </is>
      </c>
      <c r="AO75" s="36" t="inlineStr">
        <is>
          <t>IF(OR(E75="",AD75=""),"",IF(COUNT(Y75:AC75)=0,"",AD75-LOOKUP(2,1/(Y75:AC75&lt;&gt;""),Y75:AC75)))</t>
        </is>
      </c>
      <c r="AP75" s="36" t="inlineStr">
        <is>
          <t>IF(OR(E75="",AE75=""),"",IF(COUNT(Y75:AD75)=0,"",AE75-LOOKUP(2,1/(Y75:AD75&lt;&gt;""),Y75:AD75)))</t>
        </is>
      </c>
      <c r="AQ75" s="36" t="inlineStr">
        <is>
          <t>IF(OR(E75="",AF75=""),"",IF(COUNT(Y75:AE75)=0,"",AF75-LOOKUP(2,1/(Y75:AE75&lt;&gt;""),Y75:AE75)))</t>
        </is>
      </c>
      <c r="AR75" s="36" t="inlineStr">
        <is>
          <t>IF(OR(E75="",AG75=""),"",IF(COUNT(Y75:AF75)=0,"",AG75-LOOKUP(2,1/(Y75:AF75&lt;&gt;""),Y75:AF75)))</t>
        </is>
      </c>
      <c r="AS75" s="36" t="inlineStr">
        <is>
          <t>IF(OR(E75="",AH75=""),"",IF(COUNT(Y75:AG75)=0,"",AH75-LOOKUP(2,1/(Y75:AG75&lt;&gt;""),Y75:AG75)))</t>
        </is>
      </c>
      <c r="AT75" s="36" t="inlineStr">
        <is>
          <t>IF(OR(E75="",AI75=""),"",IF(COUNT(Y75:AH75)=0,"",AI75-LOOKUP(2,1/(Y75:AH75&lt;&gt;""),Y75:AH75)))</t>
        </is>
      </c>
      <c r="AU75" s="36" t="inlineStr">
        <is>
          <t>IF(OR(E75="",AJ75=""),"",IF(COUNT(Y75:AI75)=0,"",AJ75-LOOKUP(2,1/(Y75:AI75&lt;&gt;""),Y75:AI75)))</t>
        </is>
      </c>
      <c r="AV75" s="39" t="inlineStr">
        <is>
          <t>IF(G75="","All_Provinces",IFERROR(VLOOKUP(G75,'07_Lookups'!$A$4:$B$20,2,FALSE),"All_Provinces"))</t>
        </is>
      </c>
      <c r="AW75" s="39" t="inlineStr">
        <is>
          <t>IF(H75="","All_Districts",IFERROR(VLOOKUP(H75,'07_Lookups'!$E$4:$F$42,2,FALSE),"All_Districts"))</t>
        </is>
      </c>
    </row>
    <row r="76" ht="18" customHeight="1">
      <c r="A76" s="31" t="inlineStr">
        <is>
          <t>IF(E76="","",ROW()-3)</t>
        </is>
      </c>
      <c r="B76" s="32" t="n"/>
      <c r="C76" s="32" t="n"/>
      <c r="D76" s="32" t="n"/>
      <c r="E76" s="32" t="n"/>
      <c r="F76" s="32" t="n"/>
      <c r="G76" s="32" t="n"/>
      <c r="H76" s="32" t="n"/>
      <c r="I76" s="32" t="n"/>
      <c r="J76" s="32" t="n"/>
      <c r="K76" s="32" t="n"/>
      <c r="L76" s="32" t="n"/>
      <c r="M76" s="32" t="n"/>
      <c r="N76" s="33" t="n"/>
      <c r="O76" s="34" t="inlineStr">
        <is>
          <t>IF(AE76="","",AE76)</t>
        </is>
      </c>
      <c r="P76" s="35" t="n"/>
      <c r="Q76" s="34" t="inlineStr">
        <is>
          <t>IF(OR(O76="",P76=""),"",EDATE(O76,P76))</t>
        </is>
      </c>
      <c r="R76" s="35" t="n"/>
      <c r="S76" s="32" t="n"/>
      <c r="T76" s="32" t="n"/>
      <c r="U76" s="31" t="inlineStr">
        <is>
          <t>IF(E76="","",IF(COUNT(Y76:AJ76)=0,IF(S76="","Not started",S76),SUBSTITUTE(LOOKUP(2,1/(Y76:AJ76&lt;&gt;""),$Y$3:$AJ$3),"Date: ","")))</t>
        </is>
      </c>
      <c r="V76" s="36" t="inlineStr">
        <is>
          <t>IF(OR(E76="",COUNT(Y76:AJ76)=0),"",TODAY()-LOOKUP(2,1/(Y76:AJ76&lt;&gt;""),Y76:AJ76))</t>
        </is>
      </c>
      <c r="W76" s="36" t="inlineStr">
        <is>
          <t>IF(OR(E76="",COUNT(Y76:AJ76)&lt;2),"",LOOKUP(2,1/(Y76:AJ76&lt;&gt;""),Y76:AJ76)-MIN(Y76:AJ76))</t>
        </is>
      </c>
      <c r="X76" s="36" t="inlineStr">
        <is>
          <t>IF(OR(V76="",U76="Not started",U76=""),"",IFERROR(V76-IF(VLOOKUP(U76,'04_Status_Pipeline'!$B$3:$E$20,4,FALSE)="",0,VLOOKUP(U76,'04_Status_Pipeline'!$B$3:$E$20,4,FALSE)),""))</t>
        </is>
      </c>
      <c r="Y76" s="37" t="n"/>
      <c r="Z76" s="37" t="n"/>
      <c r="AA76" s="37" t="n"/>
      <c r="AB76" s="37" t="n"/>
      <c r="AC76" s="37" t="n"/>
      <c r="AD76" s="37" t="n"/>
      <c r="AE76" s="37" t="n"/>
      <c r="AF76" s="37" t="n"/>
      <c r="AG76" s="37" t="n"/>
      <c r="AH76" s="38" t="n"/>
      <c r="AI76" s="38" t="n"/>
      <c r="AJ76" s="38" t="n"/>
      <c r="AK76" s="36" t="inlineStr">
        <is>
          <t>IF(OR(E76="",Z76=""),"",IF(COUNT(Y76:Y76)=0,"",Z76-LOOKUP(2,1/(Y76:Y76&lt;&gt;""),Y76:Y76)))</t>
        </is>
      </c>
      <c r="AL76" s="36" t="inlineStr">
        <is>
          <t>IF(OR(E76="",AA76=""),"",IF(COUNT(Y76:Z76)=0,"",AA76-LOOKUP(2,1/(Y76:Z76&lt;&gt;""),Y76:Z76)))</t>
        </is>
      </c>
      <c r="AM76" s="36" t="inlineStr">
        <is>
          <t>IF(OR(E76="",AB76=""),"",IF(COUNT(Y76:AA76)=0,"",AB76-LOOKUP(2,1/(Y76:AA76&lt;&gt;""),Y76:AA76)))</t>
        </is>
      </c>
      <c r="AN76" s="36" t="inlineStr">
        <is>
          <t>IF(OR(E76="",AC76=""),"",IF(COUNT(Y76:AB76)=0,"",AC76-LOOKUP(2,1/(Y76:AB76&lt;&gt;""),Y76:AB76)))</t>
        </is>
      </c>
      <c r="AO76" s="36" t="inlineStr">
        <is>
          <t>IF(OR(E76="",AD76=""),"",IF(COUNT(Y76:AC76)=0,"",AD76-LOOKUP(2,1/(Y76:AC76&lt;&gt;""),Y76:AC76)))</t>
        </is>
      </c>
      <c r="AP76" s="36" t="inlineStr">
        <is>
          <t>IF(OR(E76="",AE76=""),"",IF(COUNT(Y76:AD76)=0,"",AE76-LOOKUP(2,1/(Y76:AD76&lt;&gt;""),Y76:AD76)))</t>
        </is>
      </c>
      <c r="AQ76" s="36" t="inlineStr">
        <is>
          <t>IF(OR(E76="",AF76=""),"",IF(COUNT(Y76:AE76)=0,"",AF76-LOOKUP(2,1/(Y76:AE76&lt;&gt;""),Y76:AE76)))</t>
        </is>
      </c>
      <c r="AR76" s="36" t="inlineStr">
        <is>
          <t>IF(OR(E76="",AG76=""),"",IF(COUNT(Y76:AF76)=0,"",AG76-LOOKUP(2,1/(Y76:AF76&lt;&gt;""),Y76:AF76)))</t>
        </is>
      </c>
      <c r="AS76" s="36" t="inlineStr">
        <is>
          <t>IF(OR(E76="",AH76=""),"",IF(COUNT(Y76:AG76)=0,"",AH76-LOOKUP(2,1/(Y76:AG76&lt;&gt;""),Y76:AG76)))</t>
        </is>
      </c>
      <c r="AT76" s="36" t="inlineStr">
        <is>
          <t>IF(OR(E76="",AI76=""),"",IF(COUNT(Y76:AH76)=0,"",AI76-LOOKUP(2,1/(Y76:AH76&lt;&gt;""),Y76:AH76)))</t>
        </is>
      </c>
      <c r="AU76" s="36" t="inlineStr">
        <is>
          <t>IF(OR(E76="",AJ76=""),"",IF(COUNT(Y76:AI76)=0,"",AJ76-LOOKUP(2,1/(Y76:AI76&lt;&gt;""),Y76:AI76)))</t>
        </is>
      </c>
      <c r="AV76" s="39" t="inlineStr">
        <is>
          <t>IF(G76="","All_Provinces",IFERROR(VLOOKUP(G76,'07_Lookups'!$A$4:$B$20,2,FALSE),"All_Provinces"))</t>
        </is>
      </c>
      <c r="AW76" s="39" t="inlineStr">
        <is>
          <t>IF(H76="","All_Districts",IFERROR(VLOOKUP(H76,'07_Lookups'!$E$4:$F$42,2,FALSE),"All_Districts"))</t>
        </is>
      </c>
    </row>
    <row r="77" ht="18" customHeight="1">
      <c r="A77" s="31" t="inlineStr">
        <is>
          <t>IF(E77="","",ROW()-3)</t>
        </is>
      </c>
      <c r="B77" s="40" t="n"/>
      <c r="C77" s="40" t="n"/>
      <c r="D77" s="40" t="n"/>
      <c r="E77" s="40" t="n"/>
      <c r="F77" s="40" t="n"/>
      <c r="G77" s="40" t="n"/>
      <c r="H77" s="40" t="n"/>
      <c r="I77" s="40" t="n"/>
      <c r="J77" s="40" t="n"/>
      <c r="K77" s="40" t="n"/>
      <c r="L77" s="40" t="n"/>
      <c r="M77" s="40" t="n"/>
      <c r="N77" s="41" t="n"/>
      <c r="O77" s="34" t="inlineStr">
        <is>
          <t>IF(AE77="","",AE77)</t>
        </is>
      </c>
      <c r="P77" s="42" t="n"/>
      <c r="Q77" s="34" t="inlineStr">
        <is>
          <t>IF(OR(O77="",P77=""),"",EDATE(O77,P77))</t>
        </is>
      </c>
      <c r="R77" s="42" t="n"/>
      <c r="S77" s="40" t="n"/>
      <c r="T77" s="40" t="n"/>
      <c r="U77" s="31" t="inlineStr">
        <is>
          <t>IF(E77="","",IF(COUNT(Y77:AJ77)=0,IF(S77="","Not started",S77),SUBSTITUTE(LOOKUP(2,1/(Y77:AJ77&lt;&gt;""),$Y$3:$AJ$3),"Date: ","")))</t>
        </is>
      </c>
      <c r="V77" s="36" t="inlineStr">
        <is>
          <t>IF(OR(E77="",COUNT(Y77:AJ77)=0),"",TODAY()-LOOKUP(2,1/(Y77:AJ77&lt;&gt;""),Y77:AJ77))</t>
        </is>
      </c>
      <c r="W77" s="36" t="inlineStr">
        <is>
          <t>IF(OR(E77="",COUNT(Y77:AJ77)&lt;2),"",LOOKUP(2,1/(Y77:AJ77&lt;&gt;""),Y77:AJ77)-MIN(Y77:AJ77))</t>
        </is>
      </c>
      <c r="X77" s="36" t="inlineStr">
        <is>
          <t>IF(OR(V77="",U77="Not started",U77=""),"",IFERROR(V77-IF(VLOOKUP(U77,'04_Status_Pipeline'!$B$3:$E$20,4,FALSE)="",0,VLOOKUP(U77,'04_Status_Pipeline'!$B$3:$E$20,4,FALSE)),""))</t>
        </is>
      </c>
      <c r="Y77" s="43" t="n"/>
      <c r="Z77" s="43" t="n"/>
      <c r="AA77" s="43" t="n"/>
      <c r="AB77" s="43" t="n"/>
      <c r="AC77" s="43" t="n"/>
      <c r="AD77" s="43" t="n"/>
      <c r="AE77" s="43" t="n"/>
      <c r="AF77" s="43" t="n"/>
      <c r="AG77" s="43" t="n"/>
      <c r="AH77" s="38" t="n"/>
      <c r="AI77" s="38" t="n"/>
      <c r="AJ77" s="38" t="n"/>
      <c r="AK77" s="36" t="inlineStr">
        <is>
          <t>IF(OR(E77="",Z77=""),"",IF(COUNT(Y77:Y77)=0,"",Z77-LOOKUP(2,1/(Y77:Y77&lt;&gt;""),Y77:Y77)))</t>
        </is>
      </c>
      <c r="AL77" s="36" t="inlineStr">
        <is>
          <t>IF(OR(E77="",AA77=""),"",IF(COUNT(Y77:Z77)=0,"",AA77-LOOKUP(2,1/(Y77:Z77&lt;&gt;""),Y77:Z77)))</t>
        </is>
      </c>
      <c r="AM77" s="36" t="inlineStr">
        <is>
          <t>IF(OR(E77="",AB77=""),"",IF(COUNT(Y77:AA77)=0,"",AB77-LOOKUP(2,1/(Y77:AA77&lt;&gt;""),Y77:AA77)))</t>
        </is>
      </c>
      <c r="AN77" s="36" t="inlineStr">
        <is>
          <t>IF(OR(E77="",AC77=""),"",IF(COUNT(Y77:AB77)=0,"",AC77-LOOKUP(2,1/(Y77:AB77&lt;&gt;""),Y77:AB77)))</t>
        </is>
      </c>
      <c r="AO77" s="36" t="inlineStr">
        <is>
          <t>IF(OR(E77="",AD77=""),"",IF(COUNT(Y77:AC77)=0,"",AD77-LOOKUP(2,1/(Y77:AC77&lt;&gt;""),Y77:AC77)))</t>
        </is>
      </c>
      <c r="AP77" s="36" t="inlineStr">
        <is>
          <t>IF(OR(E77="",AE77=""),"",IF(COUNT(Y77:AD77)=0,"",AE77-LOOKUP(2,1/(Y77:AD77&lt;&gt;""),Y77:AD77)))</t>
        </is>
      </c>
      <c r="AQ77" s="36" t="inlineStr">
        <is>
          <t>IF(OR(E77="",AF77=""),"",IF(COUNT(Y77:AE77)=0,"",AF77-LOOKUP(2,1/(Y77:AE77&lt;&gt;""),Y77:AE77)))</t>
        </is>
      </c>
      <c r="AR77" s="36" t="inlineStr">
        <is>
          <t>IF(OR(E77="",AG77=""),"",IF(COUNT(Y77:AF77)=0,"",AG77-LOOKUP(2,1/(Y77:AF77&lt;&gt;""),Y77:AF77)))</t>
        </is>
      </c>
      <c r="AS77" s="36" t="inlineStr">
        <is>
          <t>IF(OR(E77="",AH77=""),"",IF(COUNT(Y77:AG77)=0,"",AH77-LOOKUP(2,1/(Y77:AG77&lt;&gt;""),Y77:AG77)))</t>
        </is>
      </c>
      <c r="AT77" s="36" t="inlineStr">
        <is>
          <t>IF(OR(E77="",AI77=""),"",IF(COUNT(Y77:AH77)=0,"",AI77-LOOKUP(2,1/(Y77:AH77&lt;&gt;""),Y77:AH77)))</t>
        </is>
      </c>
      <c r="AU77" s="36" t="inlineStr">
        <is>
          <t>IF(OR(E77="",AJ77=""),"",IF(COUNT(Y77:AI77)=0,"",AJ77-LOOKUP(2,1/(Y77:AI77&lt;&gt;""),Y77:AI77)))</t>
        </is>
      </c>
      <c r="AV77" s="39" t="inlineStr">
        <is>
          <t>IF(G77="","All_Provinces",IFERROR(VLOOKUP(G77,'07_Lookups'!$A$4:$B$20,2,FALSE),"All_Provinces"))</t>
        </is>
      </c>
      <c r="AW77" s="39" t="inlineStr">
        <is>
          <t>IF(H77="","All_Districts",IFERROR(VLOOKUP(H77,'07_Lookups'!$E$4:$F$42,2,FALSE),"All_Districts"))</t>
        </is>
      </c>
    </row>
    <row r="78" ht="18" customHeight="1">
      <c r="A78" s="31" t="inlineStr">
        <is>
          <t>IF(E78="","",ROW()-3)</t>
        </is>
      </c>
      <c r="B78" s="32" t="n"/>
      <c r="C78" s="32" t="n"/>
      <c r="D78" s="32" t="n"/>
      <c r="E78" s="32" t="n"/>
      <c r="F78" s="32" t="n"/>
      <c r="G78" s="32" t="n"/>
      <c r="H78" s="32" t="n"/>
      <c r="I78" s="32" t="n"/>
      <c r="J78" s="32" t="n"/>
      <c r="K78" s="32" t="n"/>
      <c r="L78" s="32" t="n"/>
      <c r="M78" s="32" t="n"/>
      <c r="N78" s="33" t="n"/>
      <c r="O78" s="34" t="inlineStr">
        <is>
          <t>IF(AE78="","",AE78)</t>
        </is>
      </c>
      <c r="P78" s="35" t="n"/>
      <c r="Q78" s="34" t="inlineStr">
        <is>
          <t>IF(OR(O78="",P78=""),"",EDATE(O78,P78))</t>
        </is>
      </c>
      <c r="R78" s="35" t="n"/>
      <c r="S78" s="32" t="n"/>
      <c r="T78" s="32" t="n"/>
      <c r="U78" s="31" t="inlineStr">
        <is>
          <t>IF(E78="","",IF(COUNT(Y78:AJ78)=0,IF(S78="","Not started",S78),SUBSTITUTE(LOOKUP(2,1/(Y78:AJ78&lt;&gt;""),$Y$3:$AJ$3),"Date: ","")))</t>
        </is>
      </c>
      <c r="V78" s="36" t="inlineStr">
        <is>
          <t>IF(OR(E78="",COUNT(Y78:AJ78)=0),"",TODAY()-LOOKUP(2,1/(Y78:AJ78&lt;&gt;""),Y78:AJ78))</t>
        </is>
      </c>
      <c r="W78" s="36" t="inlineStr">
        <is>
          <t>IF(OR(E78="",COUNT(Y78:AJ78)&lt;2),"",LOOKUP(2,1/(Y78:AJ78&lt;&gt;""),Y78:AJ78)-MIN(Y78:AJ78))</t>
        </is>
      </c>
      <c r="X78" s="36" t="inlineStr">
        <is>
          <t>IF(OR(V78="",U78="Not started",U78=""),"",IFERROR(V78-IF(VLOOKUP(U78,'04_Status_Pipeline'!$B$3:$E$20,4,FALSE)="",0,VLOOKUP(U78,'04_Status_Pipeline'!$B$3:$E$20,4,FALSE)),""))</t>
        </is>
      </c>
      <c r="Y78" s="37" t="n"/>
      <c r="Z78" s="37" t="n"/>
      <c r="AA78" s="37" t="n"/>
      <c r="AB78" s="37" t="n"/>
      <c r="AC78" s="37" t="n"/>
      <c r="AD78" s="37" t="n"/>
      <c r="AE78" s="37" t="n"/>
      <c r="AF78" s="37" t="n"/>
      <c r="AG78" s="37" t="n"/>
      <c r="AH78" s="38" t="n"/>
      <c r="AI78" s="38" t="n"/>
      <c r="AJ78" s="38" t="n"/>
      <c r="AK78" s="36" t="inlineStr">
        <is>
          <t>IF(OR(E78="",Z78=""),"",IF(COUNT(Y78:Y78)=0,"",Z78-LOOKUP(2,1/(Y78:Y78&lt;&gt;""),Y78:Y78)))</t>
        </is>
      </c>
      <c r="AL78" s="36" t="inlineStr">
        <is>
          <t>IF(OR(E78="",AA78=""),"",IF(COUNT(Y78:Z78)=0,"",AA78-LOOKUP(2,1/(Y78:Z78&lt;&gt;""),Y78:Z78)))</t>
        </is>
      </c>
      <c r="AM78" s="36" t="inlineStr">
        <is>
          <t>IF(OR(E78="",AB78=""),"",IF(COUNT(Y78:AA78)=0,"",AB78-LOOKUP(2,1/(Y78:AA78&lt;&gt;""),Y78:AA78)))</t>
        </is>
      </c>
      <c r="AN78" s="36" t="inlineStr">
        <is>
          <t>IF(OR(E78="",AC78=""),"",IF(COUNT(Y78:AB78)=0,"",AC78-LOOKUP(2,1/(Y78:AB78&lt;&gt;""),Y78:AB78)))</t>
        </is>
      </c>
      <c r="AO78" s="36" t="inlineStr">
        <is>
          <t>IF(OR(E78="",AD78=""),"",IF(COUNT(Y78:AC78)=0,"",AD78-LOOKUP(2,1/(Y78:AC78&lt;&gt;""),Y78:AC78)))</t>
        </is>
      </c>
      <c r="AP78" s="36" t="inlineStr">
        <is>
          <t>IF(OR(E78="",AE78=""),"",IF(COUNT(Y78:AD78)=0,"",AE78-LOOKUP(2,1/(Y78:AD78&lt;&gt;""),Y78:AD78)))</t>
        </is>
      </c>
      <c r="AQ78" s="36" t="inlineStr">
        <is>
          <t>IF(OR(E78="",AF78=""),"",IF(COUNT(Y78:AE78)=0,"",AF78-LOOKUP(2,1/(Y78:AE78&lt;&gt;""),Y78:AE78)))</t>
        </is>
      </c>
      <c r="AR78" s="36" t="inlineStr">
        <is>
          <t>IF(OR(E78="",AG78=""),"",IF(COUNT(Y78:AF78)=0,"",AG78-LOOKUP(2,1/(Y78:AF78&lt;&gt;""),Y78:AF78)))</t>
        </is>
      </c>
      <c r="AS78" s="36" t="inlineStr">
        <is>
          <t>IF(OR(E78="",AH78=""),"",IF(COUNT(Y78:AG78)=0,"",AH78-LOOKUP(2,1/(Y78:AG78&lt;&gt;""),Y78:AG78)))</t>
        </is>
      </c>
      <c r="AT78" s="36" t="inlineStr">
        <is>
          <t>IF(OR(E78="",AI78=""),"",IF(COUNT(Y78:AH78)=0,"",AI78-LOOKUP(2,1/(Y78:AH78&lt;&gt;""),Y78:AH78)))</t>
        </is>
      </c>
      <c r="AU78" s="36" t="inlineStr">
        <is>
          <t>IF(OR(E78="",AJ78=""),"",IF(COUNT(Y78:AI78)=0,"",AJ78-LOOKUP(2,1/(Y78:AI78&lt;&gt;""),Y78:AI78)))</t>
        </is>
      </c>
      <c r="AV78" s="39" t="inlineStr">
        <is>
          <t>IF(G78="","All_Provinces",IFERROR(VLOOKUP(G78,'07_Lookups'!$A$4:$B$20,2,FALSE),"All_Provinces"))</t>
        </is>
      </c>
      <c r="AW78" s="39" t="inlineStr">
        <is>
          <t>IF(H78="","All_Districts",IFERROR(VLOOKUP(H78,'07_Lookups'!$E$4:$F$42,2,FALSE),"All_Districts"))</t>
        </is>
      </c>
    </row>
    <row r="79" ht="18" customHeight="1">
      <c r="A79" s="31" t="inlineStr">
        <is>
          <t>IF(E79="","",ROW()-3)</t>
        </is>
      </c>
      <c r="B79" s="40" t="n"/>
      <c r="C79" s="40" t="n"/>
      <c r="D79" s="40" t="n"/>
      <c r="E79" s="40" t="n"/>
      <c r="F79" s="40" t="n"/>
      <c r="G79" s="40" t="n"/>
      <c r="H79" s="40" t="n"/>
      <c r="I79" s="40" t="n"/>
      <c r="J79" s="40" t="n"/>
      <c r="K79" s="40" t="n"/>
      <c r="L79" s="40" t="n"/>
      <c r="M79" s="40" t="n"/>
      <c r="N79" s="41" t="n"/>
      <c r="O79" s="34" t="inlineStr">
        <is>
          <t>IF(AE79="","",AE79)</t>
        </is>
      </c>
      <c r="P79" s="42" t="n"/>
      <c r="Q79" s="34" t="inlineStr">
        <is>
          <t>IF(OR(O79="",P79=""),"",EDATE(O79,P79))</t>
        </is>
      </c>
      <c r="R79" s="42" t="n"/>
      <c r="S79" s="40" t="n"/>
      <c r="T79" s="40" t="n"/>
      <c r="U79" s="31" t="inlineStr">
        <is>
          <t>IF(E79="","",IF(COUNT(Y79:AJ79)=0,IF(S79="","Not started",S79),SUBSTITUTE(LOOKUP(2,1/(Y79:AJ79&lt;&gt;""),$Y$3:$AJ$3),"Date: ","")))</t>
        </is>
      </c>
      <c r="V79" s="36" t="inlineStr">
        <is>
          <t>IF(OR(E79="",COUNT(Y79:AJ79)=0),"",TODAY()-LOOKUP(2,1/(Y79:AJ79&lt;&gt;""),Y79:AJ79))</t>
        </is>
      </c>
      <c r="W79" s="36" t="inlineStr">
        <is>
          <t>IF(OR(E79="",COUNT(Y79:AJ79)&lt;2),"",LOOKUP(2,1/(Y79:AJ79&lt;&gt;""),Y79:AJ79)-MIN(Y79:AJ79))</t>
        </is>
      </c>
      <c r="X79" s="36" t="inlineStr">
        <is>
          <t>IF(OR(V79="",U79="Not started",U79=""),"",IFERROR(V79-IF(VLOOKUP(U79,'04_Status_Pipeline'!$B$3:$E$20,4,FALSE)="",0,VLOOKUP(U79,'04_Status_Pipeline'!$B$3:$E$20,4,FALSE)),""))</t>
        </is>
      </c>
      <c r="Y79" s="43" t="n"/>
      <c r="Z79" s="43" t="n"/>
      <c r="AA79" s="43" t="n"/>
      <c r="AB79" s="43" t="n"/>
      <c r="AC79" s="43" t="n"/>
      <c r="AD79" s="43" t="n"/>
      <c r="AE79" s="43" t="n"/>
      <c r="AF79" s="43" t="n"/>
      <c r="AG79" s="43" t="n"/>
      <c r="AH79" s="38" t="n"/>
      <c r="AI79" s="38" t="n"/>
      <c r="AJ79" s="38" t="n"/>
      <c r="AK79" s="36" t="inlineStr">
        <is>
          <t>IF(OR(E79="",Z79=""),"",IF(COUNT(Y79:Y79)=0,"",Z79-LOOKUP(2,1/(Y79:Y79&lt;&gt;""),Y79:Y79)))</t>
        </is>
      </c>
      <c r="AL79" s="36" t="inlineStr">
        <is>
          <t>IF(OR(E79="",AA79=""),"",IF(COUNT(Y79:Z79)=0,"",AA79-LOOKUP(2,1/(Y79:Z79&lt;&gt;""),Y79:Z79)))</t>
        </is>
      </c>
      <c r="AM79" s="36" t="inlineStr">
        <is>
          <t>IF(OR(E79="",AB79=""),"",IF(COUNT(Y79:AA79)=0,"",AB79-LOOKUP(2,1/(Y79:AA79&lt;&gt;""),Y79:AA79)))</t>
        </is>
      </c>
      <c r="AN79" s="36" t="inlineStr">
        <is>
          <t>IF(OR(E79="",AC79=""),"",IF(COUNT(Y79:AB79)=0,"",AC79-LOOKUP(2,1/(Y79:AB79&lt;&gt;""),Y79:AB79)))</t>
        </is>
      </c>
      <c r="AO79" s="36" t="inlineStr">
        <is>
          <t>IF(OR(E79="",AD79=""),"",IF(COUNT(Y79:AC79)=0,"",AD79-LOOKUP(2,1/(Y79:AC79&lt;&gt;""),Y79:AC79)))</t>
        </is>
      </c>
      <c r="AP79" s="36" t="inlineStr">
        <is>
          <t>IF(OR(E79="",AE79=""),"",IF(COUNT(Y79:AD79)=0,"",AE79-LOOKUP(2,1/(Y79:AD79&lt;&gt;""),Y79:AD79)))</t>
        </is>
      </c>
      <c r="AQ79" s="36" t="inlineStr">
        <is>
          <t>IF(OR(E79="",AF79=""),"",IF(COUNT(Y79:AE79)=0,"",AF79-LOOKUP(2,1/(Y79:AE79&lt;&gt;""),Y79:AE79)))</t>
        </is>
      </c>
      <c r="AR79" s="36" t="inlineStr">
        <is>
          <t>IF(OR(E79="",AG79=""),"",IF(COUNT(Y79:AF79)=0,"",AG79-LOOKUP(2,1/(Y79:AF79&lt;&gt;""),Y79:AF79)))</t>
        </is>
      </c>
      <c r="AS79" s="36" t="inlineStr">
        <is>
          <t>IF(OR(E79="",AH79=""),"",IF(COUNT(Y79:AG79)=0,"",AH79-LOOKUP(2,1/(Y79:AG79&lt;&gt;""),Y79:AG79)))</t>
        </is>
      </c>
      <c r="AT79" s="36" t="inlineStr">
        <is>
          <t>IF(OR(E79="",AI79=""),"",IF(COUNT(Y79:AH79)=0,"",AI79-LOOKUP(2,1/(Y79:AH79&lt;&gt;""),Y79:AH79)))</t>
        </is>
      </c>
      <c r="AU79" s="36" t="inlineStr">
        <is>
          <t>IF(OR(E79="",AJ79=""),"",IF(COUNT(Y79:AI79)=0,"",AJ79-LOOKUP(2,1/(Y79:AI79&lt;&gt;""),Y79:AI79)))</t>
        </is>
      </c>
      <c r="AV79" s="39" t="inlineStr">
        <is>
          <t>IF(G79="","All_Provinces",IFERROR(VLOOKUP(G79,'07_Lookups'!$A$4:$B$20,2,FALSE),"All_Provinces"))</t>
        </is>
      </c>
      <c r="AW79" s="39" t="inlineStr">
        <is>
          <t>IF(H79="","All_Districts",IFERROR(VLOOKUP(H79,'07_Lookups'!$E$4:$F$42,2,FALSE),"All_Districts"))</t>
        </is>
      </c>
    </row>
    <row r="80" ht="18" customHeight="1">
      <c r="A80" s="31" t="inlineStr">
        <is>
          <t>IF(E80="","",ROW()-3)</t>
        </is>
      </c>
      <c r="B80" s="32" t="n"/>
      <c r="C80" s="32" t="n"/>
      <c r="D80" s="32" t="n"/>
      <c r="E80" s="32" t="n"/>
      <c r="F80" s="32" t="n"/>
      <c r="G80" s="32" t="n"/>
      <c r="H80" s="32" t="n"/>
      <c r="I80" s="32" t="n"/>
      <c r="J80" s="32" t="n"/>
      <c r="K80" s="32" t="n"/>
      <c r="L80" s="32" t="n"/>
      <c r="M80" s="32" t="n"/>
      <c r="N80" s="33" t="n"/>
      <c r="O80" s="34" t="inlineStr">
        <is>
          <t>IF(AE80="","",AE80)</t>
        </is>
      </c>
      <c r="P80" s="35" t="n"/>
      <c r="Q80" s="34" t="inlineStr">
        <is>
          <t>IF(OR(O80="",P80=""),"",EDATE(O80,P80))</t>
        </is>
      </c>
      <c r="R80" s="35" t="n"/>
      <c r="S80" s="32" t="n"/>
      <c r="T80" s="32" t="n"/>
      <c r="U80" s="31" t="inlineStr">
        <is>
          <t>IF(E80="","",IF(COUNT(Y80:AJ80)=0,IF(S80="","Not started",S80),SUBSTITUTE(LOOKUP(2,1/(Y80:AJ80&lt;&gt;""),$Y$3:$AJ$3),"Date: ","")))</t>
        </is>
      </c>
      <c r="V80" s="36" t="inlineStr">
        <is>
          <t>IF(OR(E80="",COUNT(Y80:AJ80)=0),"",TODAY()-LOOKUP(2,1/(Y80:AJ80&lt;&gt;""),Y80:AJ80))</t>
        </is>
      </c>
      <c r="W80" s="36" t="inlineStr">
        <is>
          <t>IF(OR(E80="",COUNT(Y80:AJ80)&lt;2),"",LOOKUP(2,1/(Y80:AJ80&lt;&gt;""),Y80:AJ80)-MIN(Y80:AJ80))</t>
        </is>
      </c>
      <c r="X80" s="36" t="inlineStr">
        <is>
          <t>IF(OR(V80="",U80="Not started",U80=""),"",IFERROR(V80-IF(VLOOKUP(U80,'04_Status_Pipeline'!$B$3:$E$20,4,FALSE)="",0,VLOOKUP(U80,'04_Status_Pipeline'!$B$3:$E$20,4,FALSE)),""))</t>
        </is>
      </c>
      <c r="Y80" s="37" t="n"/>
      <c r="Z80" s="37" t="n"/>
      <c r="AA80" s="37" t="n"/>
      <c r="AB80" s="37" t="n"/>
      <c r="AC80" s="37" t="n"/>
      <c r="AD80" s="37" t="n"/>
      <c r="AE80" s="37" t="n"/>
      <c r="AF80" s="37" t="n"/>
      <c r="AG80" s="37" t="n"/>
      <c r="AH80" s="38" t="n"/>
      <c r="AI80" s="38" t="n"/>
      <c r="AJ80" s="38" t="n"/>
      <c r="AK80" s="36" t="inlineStr">
        <is>
          <t>IF(OR(E80="",Z80=""),"",IF(COUNT(Y80:Y80)=0,"",Z80-LOOKUP(2,1/(Y80:Y80&lt;&gt;""),Y80:Y80)))</t>
        </is>
      </c>
      <c r="AL80" s="36" t="inlineStr">
        <is>
          <t>IF(OR(E80="",AA80=""),"",IF(COUNT(Y80:Z80)=0,"",AA80-LOOKUP(2,1/(Y80:Z80&lt;&gt;""),Y80:Z80)))</t>
        </is>
      </c>
      <c r="AM80" s="36" t="inlineStr">
        <is>
          <t>IF(OR(E80="",AB80=""),"",IF(COUNT(Y80:AA80)=0,"",AB80-LOOKUP(2,1/(Y80:AA80&lt;&gt;""),Y80:AA80)))</t>
        </is>
      </c>
      <c r="AN80" s="36" t="inlineStr">
        <is>
          <t>IF(OR(E80="",AC80=""),"",IF(COUNT(Y80:AB80)=0,"",AC80-LOOKUP(2,1/(Y80:AB80&lt;&gt;""),Y80:AB80)))</t>
        </is>
      </c>
      <c r="AO80" s="36" t="inlineStr">
        <is>
          <t>IF(OR(E80="",AD80=""),"",IF(COUNT(Y80:AC80)=0,"",AD80-LOOKUP(2,1/(Y80:AC80&lt;&gt;""),Y80:AC80)))</t>
        </is>
      </c>
      <c r="AP80" s="36" t="inlineStr">
        <is>
          <t>IF(OR(E80="",AE80=""),"",IF(COUNT(Y80:AD80)=0,"",AE80-LOOKUP(2,1/(Y80:AD80&lt;&gt;""),Y80:AD80)))</t>
        </is>
      </c>
      <c r="AQ80" s="36" t="inlineStr">
        <is>
          <t>IF(OR(E80="",AF80=""),"",IF(COUNT(Y80:AE80)=0,"",AF80-LOOKUP(2,1/(Y80:AE80&lt;&gt;""),Y80:AE80)))</t>
        </is>
      </c>
      <c r="AR80" s="36" t="inlineStr">
        <is>
          <t>IF(OR(E80="",AG80=""),"",IF(COUNT(Y80:AF80)=0,"",AG80-LOOKUP(2,1/(Y80:AF80&lt;&gt;""),Y80:AF80)))</t>
        </is>
      </c>
      <c r="AS80" s="36" t="inlineStr">
        <is>
          <t>IF(OR(E80="",AH80=""),"",IF(COUNT(Y80:AG80)=0,"",AH80-LOOKUP(2,1/(Y80:AG80&lt;&gt;""),Y80:AG80)))</t>
        </is>
      </c>
      <c r="AT80" s="36" t="inlineStr">
        <is>
          <t>IF(OR(E80="",AI80=""),"",IF(COUNT(Y80:AH80)=0,"",AI80-LOOKUP(2,1/(Y80:AH80&lt;&gt;""),Y80:AH80)))</t>
        </is>
      </c>
      <c r="AU80" s="36" t="inlineStr">
        <is>
          <t>IF(OR(E80="",AJ80=""),"",IF(COUNT(Y80:AI80)=0,"",AJ80-LOOKUP(2,1/(Y80:AI80&lt;&gt;""),Y80:AI80)))</t>
        </is>
      </c>
      <c r="AV80" s="39" t="inlineStr">
        <is>
          <t>IF(G80="","All_Provinces",IFERROR(VLOOKUP(G80,'07_Lookups'!$A$4:$B$20,2,FALSE),"All_Provinces"))</t>
        </is>
      </c>
      <c r="AW80" s="39" t="inlineStr">
        <is>
          <t>IF(H80="","All_Districts",IFERROR(VLOOKUP(H80,'07_Lookups'!$E$4:$F$42,2,FALSE),"All_Districts"))</t>
        </is>
      </c>
    </row>
    <row r="81" ht="18" customHeight="1">
      <c r="A81" s="31" t="inlineStr">
        <is>
          <t>IF(E81="","",ROW()-3)</t>
        </is>
      </c>
      <c r="B81" s="40" t="n"/>
      <c r="C81" s="40" t="n"/>
      <c r="D81" s="40" t="n"/>
      <c r="E81" s="40" t="n"/>
      <c r="F81" s="40" t="n"/>
      <c r="G81" s="40" t="n"/>
      <c r="H81" s="40" t="n"/>
      <c r="I81" s="40" t="n"/>
      <c r="J81" s="40" t="n"/>
      <c r="K81" s="40" t="n"/>
      <c r="L81" s="40" t="n"/>
      <c r="M81" s="40" t="n"/>
      <c r="N81" s="41" t="n"/>
      <c r="O81" s="34" t="inlineStr">
        <is>
          <t>IF(AE81="","",AE81)</t>
        </is>
      </c>
      <c r="P81" s="42" t="n"/>
      <c r="Q81" s="34" t="inlineStr">
        <is>
          <t>IF(OR(O81="",P81=""),"",EDATE(O81,P81))</t>
        </is>
      </c>
      <c r="R81" s="42" t="n"/>
      <c r="S81" s="40" t="n"/>
      <c r="T81" s="40" t="n"/>
      <c r="U81" s="31" t="inlineStr">
        <is>
          <t>IF(E81="","",IF(COUNT(Y81:AJ81)=0,IF(S81="","Not started",S81),SUBSTITUTE(LOOKUP(2,1/(Y81:AJ81&lt;&gt;""),$Y$3:$AJ$3),"Date: ","")))</t>
        </is>
      </c>
      <c r="V81" s="36" t="inlineStr">
        <is>
          <t>IF(OR(E81="",COUNT(Y81:AJ81)=0),"",TODAY()-LOOKUP(2,1/(Y81:AJ81&lt;&gt;""),Y81:AJ81))</t>
        </is>
      </c>
      <c r="W81" s="36" t="inlineStr">
        <is>
          <t>IF(OR(E81="",COUNT(Y81:AJ81)&lt;2),"",LOOKUP(2,1/(Y81:AJ81&lt;&gt;""),Y81:AJ81)-MIN(Y81:AJ81))</t>
        </is>
      </c>
      <c r="X81" s="36" t="inlineStr">
        <is>
          <t>IF(OR(V81="",U81="Not started",U81=""),"",IFERROR(V81-IF(VLOOKUP(U81,'04_Status_Pipeline'!$B$3:$E$20,4,FALSE)="",0,VLOOKUP(U81,'04_Status_Pipeline'!$B$3:$E$20,4,FALSE)),""))</t>
        </is>
      </c>
      <c r="Y81" s="43" t="n"/>
      <c r="Z81" s="43" t="n"/>
      <c r="AA81" s="43" t="n"/>
      <c r="AB81" s="43" t="n"/>
      <c r="AC81" s="43" t="n"/>
      <c r="AD81" s="43" t="n"/>
      <c r="AE81" s="43" t="n"/>
      <c r="AF81" s="43" t="n"/>
      <c r="AG81" s="43" t="n"/>
      <c r="AH81" s="38" t="n"/>
      <c r="AI81" s="38" t="n"/>
      <c r="AJ81" s="38" t="n"/>
      <c r="AK81" s="36" t="inlineStr">
        <is>
          <t>IF(OR(E81="",Z81=""),"",IF(COUNT(Y81:Y81)=0,"",Z81-LOOKUP(2,1/(Y81:Y81&lt;&gt;""),Y81:Y81)))</t>
        </is>
      </c>
      <c r="AL81" s="36" t="inlineStr">
        <is>
          <t>IF(OR(E81="",AA81=""),"",IF(COUNT(Y81:Z81)=0,"",AA81-LOOKUP(2,1/(Y81:Z81&lt;&gt;""),Y81:Z81)))</t>
        </is>
      </c>
      <c r="AM81" s="36" t="inlineStr">
        <is>
          <t>IF(OR(E81="",AB81=""),"",IF(COUNT(Y81:AA81)=0,"",AB81-LOOKUP(2,1/(Y81:AA81&lt;&gt;""),Y81:AA81)))</t>
        </is>
      </c>
      <c r="AN81" s="36" t="inlineStr">
        <is>
          <t>IF(OR(E81="",AC81=""),"",IF(COUNT(Y81:AB81)=0,"",AC81-LOOKUP(2,1/(Y81:AB81&lt;&gt;""),Y81:AB81)))</t>
        </is>
      </c>
      <c r="AO81" s="36" t="inlineStr">
        <is>
          <t>IF(OR(E81="",AD81=""),"",IF(COUNT(Y81:AC81)=0,"",AD81-LOOKUP(2,1/(Y81:AC81&lt;&gt;""),Y81:AC81)))</t>
        </is>
      </c>
      <c r="AP81" s="36" t="inlineStr">
        <is>
          <t>IF(OR(E81="",AE81=""),"",IF(COUNT(Y81:AD81)=0,"",AE81-LOOKUP(2,1/(Y81:AD81&lt;&gt;""),Y81:AD81)))</t>
        </is>
      </c>
      <c r="AQ81" s="36" t="inlineStr">
        <is>
          <t>IF(OR(E81="",AF81=""),"",IF(COUNT(Y81:AE81)=0,"",AF81-LOOKUP(2,1/(Y81:AE81&lt;&gt;""),Y81:AE81)))</t>
        </is>
      </c>
      <c r="AR81" s="36" t="inlineStr">
        <is>
          <t>IF(OR(E81="",AG81=""),"",IF(COUNT(Y81:AF81)=0,"",AG81-LOOKUP(2,1/(Y81:AF81&lt;&gt;""),Y81:AF81)))</t>
        </is>
      </c>
      <c r="AS81" s="36" t="inlineStr">
        <is>
          <t>IF(OR(E81="",AH81=""),"",IF(COUNT(Y81:AG81)=0,"",AH81-LOOKUP(2,1/(Y81:AG81&lt;&gt;""),Y81:AG81)))</t>
        </is>
      </c>
      <c r="AT81" s="36" t="inlineStr">
        <is>
          <t>IF(OR(E81="",AI81=""),"",IF(COUNT(Y81:AH81)=0,"",AI81-LOOKUP(2,1/(Y81:AH81&lt;&gt;""),Y81:AH81)))</t>
        </is>
      </c>
      <c r="AU81" s="36" t="inlineStr">
        <is>
          <t>IF(OR(E81="",AJ81=""),"",IF(COUNT(Y81:AI81)=0,"",AJ81-LOOKUP(2,1/(Y81:AI81&lt;&gt;""),Y81:AI81)))</t>
        </is>
      </c>
      <c r="AV81" s="39" t="inlineStr">
        <is>
          <t>IF(G81="","All_Provinces",IFERROR(VLOOKUP(G81,'07_Lookups'!$A$4:$B$20,2,FALSE),"All_Provinces"))</t>
        </is>
      </c>
      <c r="AW81" s="39" t="inlineStr">
        <is>
          <t>IF(H81="","All_Districts",IFERROR(VLOOKUP(H81,'07_Lookups'!$E$4:$F$42,2,FALSE),"All_Districts"))</t>
        </is>
      </c>
    </row>
    <row r="82" ht="18" customHeight="1">
      <c r="A82" s="31" t="inlineStr">
        <is>
          <t>IF(E82="","",ROW()-3)</t>
        </is>
      </c>
      <c r="B82" s="32" t="n"/>
      <c r="C82" s="32" t="n"/>
      <c r="D82" s="32" t="n"/>
      <c r="E82" s="32" t="n"/>
      <c r="F82" s="32" t="n"/>
      <c r="G82" s="32" t="n"/>
      <c r="H82" s="32" t="n"/>
      <c r="I82" s="32" t="n"/>
      <c r="J82" s="32" t="n"/>
      <c r="K82" s="32" t="n"/>
      <c r="L82" s="32" t="n"/>
      <c r="M82" s="32" t="n"/>
      <c r="N82" s="33" t="n"/>
      <c r="O82" s="34" t="inlineStr">
        <is>
          <t>IF(AE82="","",AE82)</t>
        </is>
      </c>
      <c r="P82" s="35" t="n"/>
      <c r="Q82" s="34" t="inlineStr">
        <is>
          <t>IF(OR(O82="",P82=""),"",EDATE(O82,P82))</t>
        </is>
      </c>
      <c r="R82" s="35" t="n"/>
      <c r="S82" s="32" t="n"/>
      <c r="T82" s="32" t="n"/>
      <c r="U82" s="31" t="inlineStr">
        <is>
          <t>IF(E82="","",IF(COUNT(Y82:AJ82)=0,IF(S82="","Not started",S82),SUBSTITUTE(LOOKUP(2,1/(Y82:AJ82&lt;&gt;""),$Y$3:$AJ$3),"Date: ","")))</t>
        </is>
      </c>
      <c r="V82" s="36" t="inlineStr">
        <is>
          <t>IF(OR(E82="",COUNT(Y82:AJ82)=0),"",TODAY()-LOOKUP(2,1/(Y82:AJ82&lt;&gt;""),Y82:AJ82))</t>
        </is>
      </c>
      <c r="W82" s="36" t="inlineStr">
        <is>
          <t>IF(OR(E82="",COUNT(Y82:AJ82)&lt;2),"",LOOKUP(2,1/(Y82:AJ82&lt;&gt;""),Y82:AJ82)-MIN(Y82:AJ82))</t>
        </is>
      </c>
      <c r="X82" s="36" t="inlineStr">
        <is>
          <t>IF(OR(V82="",U82="Not started",U82=""),"",IFERROR(V82-IF(VLOOKUP(U82,'04_Status_Pipeline'!$B$3:$E$20,4,FALSE)="",0,VLOOKUP(U82,'04_Status_Pipeline'!$B$3:$E$20,4,FALSE)),""))</t>
        </is>
      </c>
      <c r="Y82" s="37" t="n"/>
      <c r="Z82" s="37" t="n"/>
      <c r="AA82" s="37" t="n"/>
      <c r="AB82" s="37" t="n"/>
      <c r="AC82" s="37" t="n"/>
      <c r="AD82" s="37" t="n"/>
      <c r="AE82" s="37" t="n"/>
      <c r="AF82" s="37" t="n"/>
      <c r="AG82" s="37" t="n"/>
      <c r="AH82" s="38" t="n"/>
      <c r="AI82" s="38" t="n"/>
      <c r="AJ82" s="38" t="n"/>
      <c r="AK82" s="36" t="inlineStr">
        <is>
          <t>IF(OR(E82="",Z82=""),"",IF(COUNT(Y82:Y82)=0,"",Z82-LOOKUP(2,1/(Y82:Y82&lt;&gt;""),Y82:Y82)))</t>
        </is>
      </c>
      <c r="AL82" s="36" t="inlineStr">
        <is>
          <t>IF(OR(E82="",AA82=""),"",IF(COUNT(Y82:Z82)=0,"",AA82-LOOKUP(2,1/(Y82:Z82&lt;&gt;""),Y82:Z82)))</t>
        </is>
      </c>
      <c r="AM82" s="36" t="inlineStr">
        <is>
          <t>IF(OR(E82="",AB82=""),"",IF(COUNT(Y82:AA82)=0,"",AB82-LOOKUP(2,1/(Y82:AA82&lt;&gt;""),Y82:AA82)))</t>
        </is>
      </c>
      <c r="AN82" s="36" t="inlineStr">
        <is>
          <t>IF(OR(E82="",AC82=""),"",IF(COUNT(Y82:AB82)=0,"",AC82-LOOKUP(2,1/(Y82:AB82&lt;&gt;""),Y82:AB82)))</t>
        </is>
      </c>
      <c r="AO82" s="36" t="inlineStr">
        <is>
          <t>IF(OR(E82="",AD82=""),"",IF(COUNT(Y82:AC82)=0,"",AD82-LOOKUP(2,1/(Y82:AC82&lt;&gt;""),Y82:AC82)))</t>
        </is>
      </c>
      <c r="AP82" s="36" t="inlineStr">
        <is>
          <t>IF(OR(E82="",AE82=""),"",IF(COUNT(Y82:AD82)=0,"",AE82-LOOKUP(2,1/(Y82:AD82&lt;&gt;""),Y82:AD82)))</t>
        </is>
      </c>
      <c r="AQ82" s="36" t="inlineStr">
        <is>
          <t>IF(OR(E82="",AF82=""),"",IF(COUNT(Y82:AE82)=0,"",AF82-LOOKUP(2,1/(Y82:AE82&lt;&gt;""),Y82:AE82)))</t>
        </is>
      </c>
      <c r="AR82" s="36" t="inlineStr">
        <is>
          <t>IF(OR(E82="",AG82=""),"",IF(COUNT(Y82:AF82)=0,"",AG82-LOOKUP(2,1/(Y82:AF82&lt;&gt;""),Y82:AF82)))</t>
        </is>
      </c>
      <c r="AS82" s="36" t="inlineStr">
        <is>
          <t>IF(OR(E82="",AH82=""),"",IF(COUNT(Y82:AG82)=0,"",AH82-LOOKUP(2,1/(Y82:AG82&lt;&gt;""),Y82:AG82)))</t>
        </is>
      </c>
      <c r="AT82" s="36" t="inlineStr">
        <is>
          <t>IF(OR(E82="",AI82=""),"",IF(COUNT(Y82:AH82)=0,"",AI82-LOOKUP(2,1/(Y82:AH82&lt;&gt;""),Y82:AH82)))</t>
        </is>
      </c>
      <c r="AU82" s="36" t="inlineStr">
        <is>
          <t>IF(OR(E82="",AJ82=""),"",IF(COUNT(Y82:AI82)=0,"",AJ82-LOOKUP(2,1/(Y82:AI82&lt;&gt;""),Y82:AI82)))</t>
        </is>
      </c>
      <c r="AV82" s="39" t="inlineStr">
        <is>
          <t>IF(G82="","All_Provinces",IFERROR(VLOOKUP(G82,'07_Lookups'!$A$4:$B$20,2,FALSE),"All_Provinces"))</t>
        </is>
      </c>
      <c r="AW82" s="39" t="inlineStr">
        <is>
          <t>IF(H82="","All_Districts",IFERROR(VLOOKUP(H82,'07_Lookups'!$E$4:$F$42,2,FALSE),"All_Districts"))</t>
        </is>
      </c>
    </row>
    <row r="83" ht="18" customHeight="1">
      <c r="A83" s="31" t="inlineStr">
        <is>
          <t>IF(E83="","",ROW()-3)</t>
        </is>
      </c>
      <c r="B83" s="40" t="n"/>
      <c r="C83" s="40" t="n"/>
      <c r="D83" s="40" t="n"/>
      <c r="E83" s="40" t="n"/>
      <c r="F83" s="40" t="n"/>
      <c r="G83" s="40" t="n"/>
      <c r="H83" s="40" t="n"/>
      <c r="I83" s="40" t="n"/>
      <c r="J83" s="40" t="n"/>
      <c r="K83" s="40" t="n"/>
      <c r="L83" s="40" t="n"/>
      <c r="M83" s="40" t="n"/>
      <c r="N83" s="41" t="n"/>
      <c r="O83" s="34" t="inlineStr">
        <is>
          <t>IF(AE83="","",AE83)</t>
        </is>
      </c>
      <c r="P83" s="42" t="n"/>
      <c r="Q83" s="34" t="inlineStr">
        <is>
          <t>IF(OR(O83="",P83=""),"",EDATE(O83,P83))</t>
        </is>
      </c>
      <c r="R83" s="42" t="n"/>
      <c r="S83" s="40" t="n"/>
      <c r="T83" s="40" t="n"/>
      <c r="U83" s="31" t="inlineStr">
        <is>
          <t>IF(E83="","",IF(COUNT(Y83:AJ83)=0,IF(S83="","Not started",S83),SUBSTITUTE(LOOKUP(2,1/(Y83:AJ83&lt;&gt;""),$Y$3:$AJ$3),"Date: ","")))</t>
        </is>
      </c>
      <c r="V83" s="36" t="inlineStr">
        <is>
          <t>IF(OR(E83="",COUNT(Y83:AJ83)=0),"",TODAY()-LOOKUP(2,1/(Y83:AJ83&lt;&gt;""),Y83:AJ83))</t>
        </is>
      </c>
      <c r="W83" s="36" t="inlineStr">
        <is>
          <t>IF(OR(E83="",COUNT(Y83:AJ83)&lt;2),"",LOOKUP(2,1/(Y83:AJ83&lt;&gt;""),Y83:AJ83)-MIN(Y83:AJ83))</t>
        </is>
      </c>
      <c r="X83" s="36" t="inlineStr">
        <is>
          <t>IF(OR(V83="",U83="Not started",U83=""),"",IFERROR(V83-IF(VLOOKUP(U83,'04_Status_Pipeline'!$B$3:$E$20,4,FALSE)="",0,VLOOKUP(U83,'04_Status_Pipeline'!$B$3:$E$20,4,FALSE)),""))</t>
        </is>
      </c>
      <c r="Y83" s="43" t="n"/>
      <c r="Z83" s="43" t="n"/>
      <c r="AA83" s="43" t="n"/>
      <c r="AB83" s="43" t="n"/>
      <c r="AC83" s="43" t="n"/>
      <c r="AD83" s="43" t="n"/>
      <c r="AE83" s="43" t="n"/>
      <c r="AF83" s="43" t="n"/>
      <c r="AG83" s="43" t="n"/>
      <c r="AH83" s="38" t="n"/>
      <c r="AI83" s="38" t="n"/>
      <c r="AJ83" s="38" t="n"/>
      <c r="AK83" s="36" t="inlineStr">
        <is>
          <t>IF(OR(E83="",Z83=""),"",IF(COUNT(Y83:Y83)=0,"",Z83-LOOKUP(2,1/(Y83:Y83&lt;&gt;""),Y83:Y83)))</t>
        </is>
      </c>
      <c r="AL83" s="36" t="inlineStr">
        <is>
          <t>IF(OR(E83="",AA83=""),"",IF(COUNT(Y83:Z83)=0,"",AA83-LOOKUP(2,1/(Y83:Z83&lt;&gt;""),Y83:Z83)))</t>
        </is>
      </c>
      <c r="AM83" s="36" t="inlineStr">
        <is>
          <t>IF(OR(E83="",AB83=""),"",IF(COUNT(Y83:AA83)=0,"",AB83-LOOKUP(2,1/(Y83:AA83&lt;&gt;""),Y83:AA83)))</t>
        </is>
      </c>
      <c r="AN83" s="36" t="inlineStr">
        <is>
          <t>IF(OR(E83="",AC83=""),"",IF(COUNT(Y83:AB83)=0,"",AC83-LOOKUP(2,1/(Y83:AB83&lt;&gt;""),Y83:AB83)))</t>
        </is>
      </c>
      <c r="AO83" s="36" t="inlineStr">
        <is>
          <t>IF(OR(E83="",AD83=""),"",IF(COUNT(Y83:AC83)=0,"",AD83-LOOKUP(2,1/(Y83:AC83&lt;&gt;""),Y83:AC83)))</t>
        </is>
      </c>
      <c r="AP83" s="36" t="inlineStr">
        <is>
          <t>IF(OR(E83="",AE83=""),"",IF(COUNT(Y83:AD83)=0,"",AE83-LOOKUP(2,1/(Y83:AD83&lt;&gt;""),Y83:AD83)))</t>
        </is>
      </c>
      <c r="AQ83" s="36" t="inlineStr">
        <is>
          <t>IF(OR(E83="",AF83=""),"",IF(COUNT(Y83:AE83)=0,"",AF83-LOOKUP(2,1/(Y83:AE83&lt;&gt;""),Y83:AE83)))</t>
        </is>
      </c>
      <c r="AR83" s="36" t="inlineStr">
        <is>
          <t>IF(OR(E83="",AG83=""),"",IF(COUNT(Y83:AF83)=0,"",AG83-LOOKUP(2,1/(Y83:AF83&lt;&gt;""),Y83:AF83)))</t>
        </is>
      </c>
      <c r="AS83" s="36" t="inlineStr">
        <is>
          <t>IF(OR(E83="",AH83=""),"",IF(COUNT(Y83:AG83)=0,"",AH83-LOOKUP(2,1/(Y83:AG83&lt;&gt;""),Y83:AG83)))</t>
        </is>
      </c>
      <c r="AT83" s="36" t="inlineStr">
        <is>
          <t>IF(OR(E83="",AI83=""),"",IF(COUNT(Y83:AH83)=0,"",AI83-LOOKUP(2,1/(Y83:AH83&lt;&gt;""),Y83:AH83)))</t>
        </is>
      </c>
      <c r="AU83" s="36" t="inlineStr">
        <is>
          <t>IF(OR(E83="",AJ83=""),"",IF(COUNT(Y83:AI83)=0,"",AJ83-LOOKUP(2,1/(Y83:AI83&lt;&gt;""),Y83:AI83)))</t>
        </is>
      </c>
      <c r="AV83" s="39" t="inlineStr">
        <is>
          <t>IF(G83="","All_Provinces",IFERROR(VLOOKUP(G83,'07_Lookups'!$A$4:$B$20,2,FALSE),"All_Provinces"))</t>
        </is>
      </c>
      <c r="AW83" s="39" t="inlineStr">
        <is>
          <t>IF(H83="","All_Districts",IFERROR(VLOOKUP(H83,'07_Lookups'!$E$4:$F$42,2,FALSE),"All_Districts"))</t>
        </is>
      </c>
    </row>
    <row r="84" ht="18" customHeight="1">
      <c r="A84" s="31" t="inlineStr">
        <is>
          <t>IF(E84="","",ROW()-3)</t>
        </is>
      </c>
      <c r="B84" s="32" t="n"/>
      <c r="C84" s="32" t="n"/>
      <c r="D84" s="32" t="n"/>
      <c r="E84" s="32" t="n"/>
      <c r="F84" s="32" t="n"/>
      <c r="G84" s="32" t="n"/>
      <c r="H84" s="32" t="n"/>
      <c r="I84" s="32" t="n"/>
      <c r="J84" s="32" t="n"/>
      <c r="K84" s="32" t="n"/>
      <c r="L84" s="32" t="n"/>
      <c r="M84" s="32" t="n"/>
      <c r="N84" s="33" t="n"/>
      <c r="O84" s="34" t="inlineStr">
        <is>
          <t>IF(AE84="","",AE84)</t>
        </is>
      </c>
      <c r="P84" s="35" t="n"/>
      <c r="Q84" s="34" t="inlineStr">
        <is>
          <t>IF(OR(O84="",P84=""),"",EDATE(O84,P84))</t>
        </is>
      </c>
      <c r="R84" s="35" t="n"/>
      <c r="S84" s="32" t="n"/>
      <c r="T84" s="32" t="n"/>
      <c r="U84" s="31" t="inlineStr">
        <is>
          <t>IF(E84="","",IF(COUNT(Y84:AJ84)=0,IF(S84="","Not started",S84),SUBSTITUTE(LOOKUP(2,1/(Y84:AJ84&lt;&gt;""),$Y$3:$AJ$3),"Date: ","")))</t>
        </is>
      </c>
      <c r="V84" s="36" t="inlineStr">
        <is>
          <t>IF(OR(E84="",COUNT(Y84:AJ84)=0),"",TODAY()-LOOKUP(2,1/(Y84:AJ84&lt;&gt;""),Y84:AJ84))</t>
        </is>
      </c>
      <c r="W84" s="36" t="inlineStr">
        <is>
          <t>IF(OR(E84="",COUNT(Y84:AJ84)&lt;2),"",LOOKUP(2,1/(Y84:AJ84&lt;&gt;""),Y84:AJ84)-MIN(Y84:AJ84))</t>
        </is>
      </c>
      <c r="X84" s="36" t="inlineStr">
        <is>
          <t>IF(OR(V84="",U84="Not started",U84=""),"",IFERROR(V84-IF(VLOOKUP(U84,'04_Status_Pipeline'!$B$3:$E$20,4,FALSE)="",0,VLOOKUP(U84,'04_Status_Pipeline'!$B$3:$E$20,4,FALSE)),""))</t>
        </is>
      </c>
      <c r="Y84" s="37" t="n"/>
      <c r="Z84" s="37" t="n"/>
      <c r="AA84" s="37" t="n"/>
      <c r="AB84" s="37" t="n"/>
      <c r="AC84" s="37" t="n"/>
      <c r="AD84" s="37" t="n"/>
      <c r="AE84" s="37" t="n"/>
      <c r="AF84" s="37" t="n"/>
      <c r="AG84" s="37" t="n"/>
      <c r="AH84" s="38" t="n"/>
      <c r="AI84" s="38" t="n"/>
      <c r="AJ84" s="38" t="n"/>
      <c r="AK84" s="36" t="inlineStr">
        <is>
          <t>IF(OR(E84="",Z84=""),"",IF(COUNT(Y84:Y84)=0,"",Z84-LOOKUP(2,1/(Y84:Y84&lt;&gt;""),Y84:Y84)))</t>
        </is>
      </c>
      <c r="AL84" s="36" t="inlineStr">
        <is>
          <t>IF(OR(E84="",AA84=""),"",IF(COUNT(Y84:Z84)=0,"",AA84-LOOKUP(2,1/(Y84:Z84&lt;&gt;""),Y84:Z84)))</t>
        </is>
      </c>
      <c r="AM84" s="36" t="inlineStr">
        <is>
          <t>IF(OR(E84="",AB84=""),"",IF(COUNT(Y84:AA84)=0,"",AB84-LOOKUP(2,1/(Y84:AA84&lt;&gt;""),Y84:AA84)))</t>
        </is>
      </c>
      <c r="AN84" s="36" t="inlineStr">
        <is>
          <t>IF(OR(E84="",AC84=""),"",IF(COUNT(Y84:AB84)=0,"",AC84-LOOKUP(2,1/(Y84:AB84&lt;&gt;""),Y84:AB84)))</t>
        </is>
      </c>
      <c r="AO84" s="36" t="inlineStr">
        <is>
          <t>IF(OR(E84="",AD84=""),"",IF(COUNT(Y84:AC84)=0,"",AD84-LOOKUP(2,1/(Y84:AC84&lt;&gt;""),Y84:AC84)))</t>
        </is>
      </c>
      <c r="AP84" s="36" t="inlineStr">
        <is>
          <t>IF(OR(E84="",AE84=""),"",IF(COUNT(Y84:AD84)=0,"",AE84-LOOKUP(2,1/(Y84:AD84&lt;&gt;""),Y84:AD84)))</t>
        </is>
      </c>
      <c r="AQ84" s="36" t="inlineStr">
        <is>
          <t>IF(OR(E84="",AF84=""),"",IF(COUNT(Y84:AE84)=0,"",AF84-LOOKUP(2,1/(Y84:AE84&lt;&gt;""),Y84:AE84)))</t>
        </is>
      </c>
      <c r="AR84" s="36" t="inlineStr">
        <is>
          <t>IF(OR(E84="",AG84=""),"",IF(COUNT(Y84:AF84)=0,"",AG84-LOOKUP(2,1/(Y84:AF84&lt;&gt;""),Y84:AF84)))</t>
        </is>
      </c>
      <c r="AS84" s="36" t="inlineStr">
        <is>
          <t>IF(OR(E84="",AH84=""),"",IF(COUNT(Y84:AG84)=0,"",AH84-LOOKUP(2,1/(Y84:AG84&lt;&gt;""),Y84:AG84)))</t>
        </is>
      </c>
      <c r="AT84" s="36" t="inlineStr">
        <is>
          <t>IF(OR(E84="",AI84=""),"",IF(COUNT(Y84:AH84)=0,"",AI84-LOOKUP(2,1/(Y84:AH84&lt;&gt;""),Y84:AH84)))</t>
        </is>
      </c>
      <c r="AU84" s="36" t="inlineStr">
        <is>
          <t>IF(OR(E84="",AJ84=""),"",IF(COUNT(Y84:AI84)=0,"",AJ84-LOOKUP(2,1/(Y84:AI84&lt;&gt;""),Y84:AI84)))</t>
        </is>
      </c>
      <c r="AV84" s="39" t="inlineStr">
        <is>
          <t>IF(G84="","All_Provinces",IFERROR(VLOOKUP(G84,'07_Lookups'!$A$4:$B$20,2,FALSE),"All_Provinces"))</t>
        </is>
      </c>
      <c r="AW84" s="39" t="inlineStr">
        <is>
          <t>IF(H84="","All_Districts",IFERROR(VLOOKUP(H84,'07_Lookups'!$E$4:$F$42,2,FALSE),"All_Districts"))</t>
        </is>
      </c>
    </row>
    <row r="85" ht="18" customHeight="1">
      <c r="A85" s="31" t="inlineStr">
        <is>
          <t>IF(E85="","",ROW()-3)</t>
        </is>
      </c>
      <c r="B85" s="40" t="n"/>
      <c r="C85" s="40" t="n"/>
      <c r="D85" s="40" t="n"/>
      <c r="E85" s="40" t="n"/>
      <c r="F85" s="40" t="n"/>
      <c r="G85" s="40" t="n"/>
      <c r="H85" s="40" t="n"/>
      <c r="I85" s="40" t="n"/>
      <c r="J85" s="40" t="n"/>
      <c r="K85" s="40" t="n"/>
      <c r="L85" s="40" t="n"/>
      <c r="M85" s="40" t="n"/>
      <c r="N85" s="41" t="n"/>
      <c r="O85" s="34" t="inlineStr">
        <is>
          <t>IF(AE85="","",AE85)</t>
        </is>
      </c>
      <c r="P85" s="42" t="n"/>
      <c r="Q85" s="34" t="inlineStr">
        <is>
          <t>IF(OR(O85="",P85=""),"",EDATE(O85,P85))</t>
        </is>
      </c>
      <c r="R85" s="42" t="n"/>
      <c r="S85" s="40" t="n"/>
      <c r="T85" s="40" t="n"/>
      <c r="U85" s="31" t="inlineStr">
        <is>
          <t>IF(E85="","",IF(COUNT(Y85:AJ85)=0,IF(S85="","Not started",S85),SUBSTITUTE(LOOKUP(2,1/(Y85:AJ85&lt;&gt;""),$Y$3:$AJ$3),"Date: ","")))</t>
        </is>
      </c>
      <c r="V85" s="36" t="inlineStr">
        <is>
          <t>IF(OR(E85="",COUNT(Y85:AJ85)=0),"",TODAY()-LOOKUP(2,1/(Y85:AJ85&lt;&gt;""),Y85:AJ85))</t>
        </is>
      </c>
      <c r="W85" s="36" t="inlineStr">
        <is>
          <t>IF(OR(E85="",COUNT(Y85:AJ85)&lt;2),"",LOOKUP(2,1/(Y85:AJ85&lt;&gt;""),Y85:AJ85)-MIN(Y85:AJ85))</t>
        </is>
      </c>
      <c r="X85" s="36" t="inlineStr">
        <is>
          <t>IF(OR(V85="",U85="Not started",U85=""),"",IFERROR(V85-IF(VLOOKUP(U85,'04_Status_Pipeline'!$B$3:$E$20,4,FALSE)="",0,VLOOKUP(U85,'04_Status_Pipeline'!$B$3:$E$20,4,FALSE)),""))</t>
        </is>
      </c>
      <c r="Y85" s="43" t="n"/>
      <c r="Z85" s="43" t="n"/>
      <c r="AA85" s="43" t="n"/>
      <c r="AB85" s="43" t="n"/>
      <c r="AC85" s="43" t="n"/>
      <c r="AD85" s="43" t="n"/>
      <c r="AE85" s="43" t="n"/>
      <c r="AF85" s="43" t="n"/>
      <c r="AG85" s="43" t="n"/>
      <c r="AH85" s="38" t="n"/>
      <c r="AI85" s="38" t="n"/>
      <c r="AJ85" s="38" t="n"/>
      <c r="AK85" s="36" t="inlineStr">
        <is>
          <t>IF(OR(E85="",Z85=""),"",IF(COUNT(Y85:Y85)=0,"",Z85-LOOKUP(2,1/(Y85:Y85&lt;&gt;""),Y85:Y85)))</t>
        </is>
      </c>
      <c r="AL85" s="36" t="inlineStr">
        <is>
          <t>IF(OR(E85="",AA85=""),"",IF(COUNT(Y85:Z85)=0,"",AA85-LOOKUP(2,1/(Y85:Z85&lt;&gt;""),Y85:Z85)))</t>
        </is>
      </c>
      <c r="AM85" s="36" t="inlineStr">
        <is>
          <t>IF(OR(E85="",AB85=""),"",IF(COUNT(Y85:AA85)=0,"",AB85-LOOKUP(2,1/(Y85:AA85&lt;&gt;""),Y85:AA85)))</t>
        </is>
      </c>
      <c r="AN85" s="36" t="inlineStr">
        <is>
          <t>IF(OR(E85="",AC85=""),"",IF(COUNT(Y85:AB85)=0,"",AC85-LOOKUP(2,1/(Y85:AB85&lt;&gt;""),Y85:AB85)))</t>
        </is>
      </c>
      <c r="AO85" s="36" t="inlineStr">
        <is>
          <t>IF(OR(E85="",AD85=""),"",IF(COUNT(Y85:AC85)=0,"",AD85-LOOKUP(2,1/(Y85:AC85&lt;&gt;""),Y85:AC85)))</t>
        </is>
      </c>
      <c r="AP85" s="36" t="inlineStr">
        <is>
          <t>IF(OR(E85="",AE85=""),"",IF(COUNT(Y85:AD85)=0,"",AE85-LOOKUP(2,1/(Y85:AD85&lt;&gt;""),Y85:AD85)))</t>
        </is>
      </c>
      <c r="AQ85" s="36" t="inlineStr">
        <is>
          <t>IF(OR(E85="",AF85=""),"",IF(COUNT(Y85:AE85)=0,"",AF85-LOOKUP(2,1/(Y85:AE85&lt;&gt;""),Y85:AE85)))</t>
        </is>
      </c>
      <c r="AR85" s="36" t="inlineStr">
        <is>
          <t>IF(OR(E85="",AG85=""),"",IF(COUNT(Y85:AF85)=0,"",AG85-LOOKUP(2,1/(Y85:AF85&lt;&gt;""),Y85:AF85)))</t>
        </is>
      </c>
      <c r="AS85" s="36" t="inlineStr">
        <is>
          <t>IF(OR(E85="",AH85=""),"",IF(COUNT(Y85:AG85)=0,"",AH85-LOOKUP(2,1/(Y85:AG85&lt;&gt;""),Y85:AG85)))</t>
        </is>
      </c>
      <c r="AT85" s="36" t="inlineStr">
        <is>
          <t>IF(OR(E85="",AI85=""),"",IF(COUNT(Y85:AH85)=0,"",AI85-LOOKUP(2,1/(Y85:AH85&lt;&gt;""),Y85:AH85)))</t>
        </is>
      </c>
      <c r="AU85" s="36" t="inlineStr">
        <is>
          <t>IF(OR(E85="",AJ85=""),"",IF(COUNT(Y85:AI85)=0,"",AJ85-LOOKUP(2,1/(Y85:AI85&lt;&gt;""),Y85:AI85)))</t>
        </is>
      </c>
      <c r="AV85" s="39" t="inlineStr">
        <is>
          <t>IF(G85="","All_Provinces",IFERROR(VLOOKUP(G85,'07_Lookups'!$A$4:$B$20,2,FALSE),"All_Provinces"))</t>
        </is>
      </c>
      <c r="AW85" s="39" t="inlineStr">
        <is>
          <t>IF(H85="","All_Districts",IFERROR(VLOOKUP(H85,'07_Lookups'!$E$4:$F$42,2,FALSE),"All_Districts"))</t>
        </is>
      </c>
    </row>
    <row r="86" ht="18" customHeight="1">
      <c r="A86" s="31" t="inlineStr">
        <is>
          <t>IF(E86="","",ROW()-3)</t>
        </is>
      </c>
      <c r="B86" s="32" t="n"/>
      <c r="C86" s="32" t="n"/>
      <c r="D86" s="32" t="n"/>
      <c r="E86" s="32" t="n"/>
      <c r="F86" s="32" t="n"/>
      <c r="G86" s="32" t="n"/>
      <c r="H86" s="32" t="n"/>
      <c r="I86" s="32" t="n"/>
      <c r="J86" s="32" t="n"/>
      <c r="K86" s="32" t="n"/>
      <c r="L86" s="32" t="n"/>
      <c r="M86" s="32" t="n"/>
      <c r="N86" s="33" t="n"/>
      <c r="O86" s="34" t="inlineStr">
        <is>
          <t>IF(AE86="","",AE86)</t>
        </is>
      </c>
      <c r="P86" s="35" t="n"/>
      <c r="Q86" s="34" t="inlineStr">
        <is>
          <t>IF(OR(O86="",P86=""),"",EDATE(O86,P86))</t>
        </is>
      </c>
      <c r="R86" s="35" t="n"/>
      <c r="S86" s="32" t="n"/>
      <c r="T86" s="32" t="n"/>
      <c r="U86" s="31" t="inlineStr">
        <is>
          <t>IF(E86="","",IF(COUNT(Y86:AJ86)=0,IF(S86="","Not started",S86),SUBSTITUTE(LOOKUP(2,1/(Y86:AJ86&lt;&gt;""),$Y$3:$AJ$3),"Date: ","")))</t>
        </is>
      </c>
      <c r="V86" s="36" t="inlineStr">
        <is>
          <t>IF(OR(E86="",COUNT(Y86:AJ86)=0),"",TODAY()-LOOKUP(2,1/(Y86:AJ86&lt;&gt;""),Y86:AJ86))</t>
        </is>
      </c>
      <c r="W86" s="36" t="inlineStr">
        <is>
          <t>IF(OR(E86="",COUNT(Y86:AJ86)&lt;2),"",LOOKUP(2,1/(Y86:AJ86&lt;&gt;""),Y86:AJ86)-MIN(Y86:AJ86))</t>
        </is>
      </c>
      <c r="X86" s="36" t="inlineStr">
        <is>
          <t>IF(OR(V86="",U86="Not started",U86=""),"",IFERROR(V86-IF(VLOOKUP(U86,'04_Status_Pipeline'!$B$3:$E$20,4,FALSE)="",0,VLOOKUP(U86,'04_Status_Pipeline'!$B$3:$E$20,4,FALSE)),""))</t>
        </is>
      </c>
      <c r="Y86" s="37" t="n"/>
      <c r="Z86" s="37" t="n"/>
      <c r="AA86" s="37" t="n"/>
      <c r="AB86" s="37" t="n"/>
      <c r="AC86" s="37" t="n"/>
      <c r="AD86" s="37" t="n"/>
      <c r="AE86" s="37" t="n"/>
      <c r="AF86" s="37" t="n"/>
      <c r="AG86" s="37" t="n"/>
      <c r="AH86" s="38" t="n"/>
      <c r="AI86" s="38" t="n"/>
      <c r="AJ86" s="38" t="n"/>
      <c r="AK86" s="36" t="inlineStr">
        <is>
          <t>IF(OR(E86="",Z86=""),"",IF(COUNT(Y86:Y86)=0,"",Z86-LOOKUP(2,1/(Y86:Y86&lt;&gt;""),Y86:Y86)))</t>
        </is>
      </c>
      <c r="AL86" s="36" t="inlineStr">
        <is>
          <t>IF(OR(E86="",AA86=""),"",IF(COUNT(Y86:Z86)=0,"",AA86-LOOKUP(2,1/(Y86:Z86&lt;&gt;""),Y86:Z86)))</t>
        </is>
      </c>
      <c r="AM86" s="36" t="inlineStr">
        <is>
          <t>IF(OR(E86="",AB86=""),"",IF(COUNT(Y86:AA86)=0,"",AB86-LOOKUP(2,1/(Y86:AA86&lt;&gt;""),Y86:AA86)))</t>
        </is>
      </c>
      <c r="AN86" s="36" t="inlineStr">
        <is>
          <t>IF(OR(E86="",AC86=""),"",IF(COUNT(Y86:AB86)=0,"",AC86-LOOKUP(2,1/(Y86:AB86&lt;&gt;""),Y86:AB86)))</t>
        </is>
      </c>
      <c r="AO86" s="36" t="inlineStr">
        <is>
          <t>IF(OR(E86="",AD86=""),"",IF(COUNT(Y86:AC86)=0,"",AD86-LOOKUP(2,1/(Y86:AC86&lt;&gt;""),Y86:AC86)))</t>
        </is>
      </c>
      <c r="AP86" s="36" t="inlineStr">
        <is>
          <t>IF(OR(E86="",AE86=""),"",IF(COUNT(Y86:AD86)=0,"",AE86-LOOKUP(2,1/(Y86:AD86&lt;&gt;""),Y86:AD86)))</t>
        </is>
      </c>
      <c r="AQ86" s="36" t="inlineStr">
        <is>
          <t>IF(OR(E86="",AF86=""),"",IF(COUNT(Y86:AE86)=0,"",AF86-LOOKUP(2,1/(Y86:AE86&lt;&gt;""),Y86:AE86)))</t>
        </is>
      </c>
      <c r="AR86" s="36" t="inlineStr">
        <is>
          <t>IF(OR(E86="",AG86=""),"",IF(COUNT(Y86:AF86)=0,"",AG86-LOOKUP(2,1/(Y86:AF86&lt;&gt;""),Y86:AF86)))</t>
        </is>
      </c>
      <c r="AS86" s="36" t="inlineStr">
        <is>
          <t>IF(OR(E86="",AH86=""),"",IF(COUNT(Y86:AG86)=0,"",AH86-LOOKUP(2,1/(Y86:AG86&lt;&gt;""),Y86:AG86)))</t>
        </is>
      </c>
      <c r="AT86" s="36" t="inlineStr">
        <is>
          <t>IF(OR(E86="",AI86=""),"",IF(COUNT(Y86:AH86)=0,"",AI86-LOOKUP(2,1/(Y86:AH86&lt;&gt;""),Y86:AH86)))</t>
        </is>
      </c>
      <c r="AU86" s="36" t="inlineStr">
        <is>
          <t>IF(OR(E86="",AJ86=""),"",IF(COUNT(Y86:AI86)=0,"",AJ86-LOOKUP(2,1/(Y86:AI86&lt;&gt;""),Y86:AI86)))</t>
        </is>
      </c>
      <c r="AV86" s="39" t="inlineStr">
        <is>
          <t>IF(G86="","All_Provinces",IFERROR(VLOOKUP(G86,'07_Lookups'!$A$4:$B$20,2,FALSE),"All_Provinces"))</t>
        </is>
      </c>
      <c r="AW86" s="39" t="inlineStr">
        <is>
          <t>IF(H86="","All_Districts",IFERROR(VLOOKUP(H86,'07_Lookups'!$E$4:$F$42,2,FALSE),"All_Districts"))</t>
        </is>
      </c>
    </row>
    <row r="87" ht="18" customHeight="1">
      <c r="A87" s="31" t="inlineStr">
        <is>
          <t>IF(E87="","",ROW()-3)</t>
        </is>
      </c>
      <c r="B87" s="40" t="n"/>
      <c r="C87" s="40" t="n"/>
      <c r="D87" s="40" t="n"/>
      <c r="E87" s="40" t="n"/>
      <c r="F87" s="40" t="n"/>
      <c r="G87" s="40" t="n"/>
      <c r="H87" s="40" t="n"/>
      <c r="I87" s="40" t="n"/>
      <c r="J87" s="40" t="n"/>
      <c r="K87" s="40" t="n"/>
      <c r="L87" s="40" t="n"/>
      <c r="M87" s="40" t="n"/>
      <c r="N87" s="41" t="n"/>
      <c r="O87" s="34" t="inlineStr">
        <is>
          <t>IF(AE87="","",AE87)</t>
        </is>
      </c>
      <c r="P87" s="42" t="n"/>
      <c r="Q87" s="34" t="inlineStr">
        <is>
          <t>IF(OR(O87="",P87=""),"",EDATE(O87,P87))</t>
        </is>
      </c>
      <c r="R87" s="42" t="n"/>
      <c r="S87" s="40" t="n"/>
      <c r="T87" s="40" t="n"/>
      <c r="U87" s="31" t="inlineStr">
        <is>
          <t>IF(E87="","",IF(COUNT(Y87:AJ87)=0,IF(S87="","Not started",S87),SUBSTITUTE(LOOKUP(2,1/(Y87:AJ87&lt;&gt;""),$Y$3:$AJ$3),"Date: ","")))</t>
        </is>
      </c>
      <c r="V87" s="36" t="inlineStr">
        <is>
          <t>IF(OR(E87="",COUNT(Y87:AJ87)=0),"",TODAY()-LOOKUP(2,1/(Y87:AJ87&lt;&gt;""),Y87:AJ87))</t>
        </is>
      </c>
      <c r="W87" s="36" t="inlineStr">
        <is>
          <t>IF(OR(E87="",COUNT(Y87:AJ87)&lt;2),"",LOOKUP(2,1/(Y87:AJ87&lt;&gt;""),Y87:AJ87)-MIN(Y87:AJ87))</t>
        </is>
      </c>
      <c r="X87" s="36" t="inlineStr">
        <is>
          <t>IF(OR(V87="",U87="Not started",U87=""),"",IFERROR(V87-IF(VLOOKUP(U87,'04_Status_Pipeline'!$B$3:$E$20,4,FALSE)="",0,VLOOKUP(U87,'04_Status_Pipeline'!$B$3:$E$20,4,FALSE)),""))</t>
        </is>
      </c>
      <c r="Y87" s="43" t="n"/>
      <c r="Z87" s="43" t="n"/>
      <c r="AA87" s="43" t="n"/>
      <c r="AB87" s="43" t="n"/>
      <c r="AC87" s="43" t="n"/>
      <c r="AD87" s="43" t="n"/>
      <c r="AE87" s="43" t="n"/>
      <c r="AF87" s="43" t="n"/>
      <c r="AG87" s="43" t="n"/>
      <c r="AH87" s="38" t="n"/>
      <c r="AI87" s="38" t="n"/>
      <c r="AJ87" s="38" t="n"/>
      <c r="AK87" s="36" t="inlineStr">
        <is>
          <t>IF(OR(E87="",Z87=""),"",IF(COUNT(Y87:Y87)=0,"",Z87-LOOKUP(2,1/(Y87:Y87&lt;&gt;""),Y87:Y87)))</t>
        </is>
      </c>
      <c r="AL87" s="36" t="inlineStr">
        <is>
          <t>IF(OR(E87="",AA87=""),"",IF(COUNT(Y87:Z87)=0,"",AA87-LOOKUP(2,1/(Y87:Z87&lt;&gt;""),Y87:Z87)))</t>
        </is>
      </c>
      <c r="AM87" s="36" t="inlineStr">
        <is>
          <t>IF(OR(E87="",AB87=""),"",IF(COUNT(Y87:AA87)=0,"",AB87-LOOKUP(2,1/(Y87:AA87&lt;&gt;""),Y87:AA87)))</t>
        </is>
      </c>
      <c r="AN87" s="36" t="inlineStr">
        <is>
          <t>IF(OR(E87="",AC87=""),"",IF(COUNT(Y87:AB87)=0,"",AC87-LOOKUP(2,1/(Y87:AB87&lt;&gt;""),Y87:AB87)))</t>
        </is>
      </c>
      <c r="AO87" s="36" t="inlineStr">
        <is>
          <t>IF(OR(E87="",AD87=""),"",IF(COUNT(Y87:AC87)=0,"",AD87-LOOKUP(2,1/(Y87:AC87&lt;&gt;""),Y87:AC87)))</t>
        </is>
      </c>
      <c r="AP87" s="36" t="inlineStr">
        <is>
          <t>IF(OR(E87="",AE87=""),"",IF(COUNT(Y87:AD87)=0,"",AE87-LOOKUP(2,1/(Y87:AD87&lt;&gt;""),Y87:AD87)))</t>
        </is>
      </c>
      <c r="AQ87" s="36" t="inlineStr">
        <is>
          <t>IF(OR(E87="",AF87=""),"",IF(COUNT(Y87:AE87)=0,"",AF87-LOOKUP(2,1/(Y87:AE87&lt;&gt;""),Y87:AE87)))</t>
        </is>
      </c>
      <c r="AR87" s="36" t="inlineStr">
        <is>
          <t>IF(OR(E87="",AG87=""),"",IF(COUNT(Y87:AF87)=0,"",AG87-LOOKUP(2,1/(Y87:AF87&lt;&gt;""),Y87:AF87)))</t>
        </is>
      </c>
      <c r="AS87" s="36" t="inlineStr">
        <is>
          <t>IF(OR(E87="",AH87=""),"",IF(COUNT(Y87:AG87)=0,"",AH87-LOOKUP(2,1/(Y87:AG87&lt;&gt;""),Y87:AG87)))</t>
        </is>
      </c>
      <c r="AT87" s="36" t="inlineStr">
        <is>
          <t>IF(OR(E87="",AI87=""),"",IF(COUNT(Y87:AH87)=0,"",AI87-LOOKUP(2,1/(Y87:AH87&lt;&gt;""),Y87:AH87)))</t>
        </is>
      </c>
      <c r="AU87" s="36" t="inlineStr">
        <is>
          <t>IF(OR(E87="",AJ87=""),"",IF(COUNT(Y87:AI87)=0,"",AJ87-LOOKUP(2,1/(Y87:AI87&lt;&gt;""),Y87:AI87)))</t>
        </is>
      </c>
      <c r="AV87" s="39" t="inlineStr">
        <is>
          <t>IF(G87="","All_Provinces",IFERROR(VLOOKUP(G87,'07_Lookups'!$A$4:$B$20,2,FALSE),"All_Provinces"))</t>
        </is>
      </c>
      <c r="AW87" s="39" t="inlineStr">
        <is>
          <t>IF(H87="","All_Districts",IFERROR(VLOOKUP(H87,'07_Lookups'!$E$4:$F$42,2,FALSE),"All_Districts"))</t>
        </is>
      </c>
    </row>
    <row r="88" ht="18" customHeight="1">
      <c r="A88" s="31" t="inlineStr">
        <is>
          <t>IF(E88="","",ROW()-3)</t>
        </is>
      </c>
      <c r="B88" s="32" t="n"/>
      <c r="C88" s="32" t="n"/>
      <c r="D88" s="32" t="n"/>
      <c r="E88" s="32" t="n"/>
      <c r="F88" s="32" t="n"/>
      <c r="G88" s="32" t="n"/>
      <c r="H88" s="32" t="n"/>
      <c r="I88" s="32" t="n"/>
      <c r="J88" s="32" t="n"/>
      <c r="K88" s="32" t="n"/>
      <c r="L88" s="32" t="n"/>
      <c r="M88" s="32" t="n"/>
      <c r="N88" s="33" t="n"/>
      <c r="O88" s="34" t="inlineStr">
        <is>
          <t>IF(AE88="","",AE88)</t>
        </is>
      </c>
      <c r="P88" s="35" t="n"/>
      <c r="Q88" s="34" t="inlineStr">
        <is>
          <t>IF(OR(O88="",P88=""),"",EDATE(O88,P88))</t>
        </is>
      </c>
      <c r="R88" s="35" t="n"/>
      <c r="S88" s="32" t="n"/>
      <c r="T88" s="32" t="n"/>
      <c r="U88" s="31" t="inlineStr">
        <is>
          <t>IF(E88="","",IF(COUNT(Y88:AJ88)=0,IF(S88="","Not started",S88),SUBSTITUTE(LOOKUP(2,1/(Y88:AJ88&lt;&gt;""),$Y$3:$AJ$3),"Date: ","")))</t>
        </is>
      </c>
      <c r="V88" s="36" t="inlineStr">
        <is>
          <t>IF(OR(E88="",COUNT(Y88:AJ88)=0),"",TODAY()-LOOKUP(2,1/(Y88:AJ88&lt;&gt;""),Y88:AJ88))</t>
        </is>
      </c>
      <c r="W88" s="36" t="inlineStr">
        <is>
          <t>IF(OR(E88="",COUNT(Y88:AJ88)&lt;2),"",LOOKUP(2,1/(Y88:AJ88&lt;&gt;""),Y88:AJ88)-MIN(Y88:AJ88))</t>
        </is>
      </c>
      <c r="X88" s="36" t="inlineStr">
        <is>
          <t>IF(OR(V88="",U88="Not started",U88=""),"",IFERROR(V88-IF(VLOOKUP(U88,'04_Status_Pipeline'!$B$3:$E$20,4,FALSE)="",0,VLOOKUP(U88,'04_Status_Pipeline'!$B$3:$E$20,4,FALSE)),""))</t>
        </is>
      </c>
      <c r="Y88" s="37" t="n"/>
      <c r="Z88" s="37" t="n"/>
      <c r="AA88" s="37" t="n"/>
      <c r="AB88" s="37" t="n"/>
      <c r="AC88" s="37" t="n"/>
      <c r="AD88" s="37" t="n"/>
      <c r="AE88" s="37" t="n"/>
      <c r="AF88" s="37" t="n"/>
      <c r="AG88" s="37" t="n"/>
      <c r="AH88" s="38" t="n"/>
      <c r="AI88" s="38" t="n"/>
      <c r="AJ88" s="38" t="n"/>
      <c r="AK88" s="36" t="inlineStr">
        <is>
          <t>IF(OR(E88="",Z88=""),"",IF(COUNT(Y88:Y88)=0,"",Z88-LOOKUP(2,1/(Y88:Y88&lt;&gt;""),Y88:Y88)))</t>
        </is>
      </c>
      <c r="AL88" s="36" t="inlineStr">
        <is>
          <t>IF(OR(E88="",AA88=""),"",IF(COUNT(Y88:Z88)=0,"",AA88-LOOKUP(2,1/(Y88:Z88&lt;&gt;""),Y88:Z88)))</t>
        </is>
      </c>
      <c r="AM88" s="36" t="inlineStr">
        <is>
          <t>IF(OR(E88="",AB88=""),"",IF(COUNT(Y88:AA88)=0,"",AB88-LOOKUP(2,1/(Y88:AA88&lt;&gt;""),Y88:AA88)))</t>
        </is>
      </c>
      <c r="AN88" s="36" t="inlineStr">
        <is>
          <t>IF(OR(E88="",AC88=""),"",IF(COUNT(Y88:AB88)=0,"",AC88-LOOKUP(2,1/(Y88:AB88&lt;&gt;""),Y88:AB88)))</t>
        </is>
      </c>
      <c r="AO88" s="36" t="inlineStr">
        <is>
          <t>IF(OR(E88="",AD88=""),"",IF(COUNT(Y88:AC88)=0,"",AD88-LOOKUP(2,1/(Y88:AC88&lt;&gt;""),Y88:AC88)))</t>
        </is>
      </c>
      <c r="AP88" s="36" t="inlineStr">
        <is>
          <t>IF(OR(E88="",AE88=""),"",IF(COUNT(Y88:AD88)=0,"",AE88-LOOKUP(2,1/(Y88:AD88&lt;&gt;""),Y88:AD88)))</t>
        </is>
      </c>
      <c r="AQ88" s="36" t="inlineStr">
        <is>
          <t>IF(OR(E88="",AF88=""),"",IF(COUNT(Y88:AE88)=0,"",AF88-LOOKUP(2,1/(Y88:AE88&lt;&gt;""),Y88:AE88)))</t>
        </is>
      </c>
      <c r="AR88" s="36" t="inlineStr">
        <is>
          <t>IF(OR(E88="",AG88=""),"",IF(COUNT(Y88:AF88)=0,"",AG88-LOOKUP(2,1/(Y88:AF88&lt;&gt;""),Y88:AF88)))</t>
        </is>
      </c>
      <c r="AS88" s="36" t="inlineStr">
        <is>
          <t>IF(OR(E88="",AH88=""),"",IF(COUNT(Y88:AG88)=0,"",AH88-LOOKUP(2,1/(Y88:AG88&lt;&gt;""),Y88:AG88)))</t>
        </is>
      </c>
      <c r="AT88" s="36" t="inlineStr">
        <is>
          <t>IF(OR(E88="",AI88=""),"",IF(COUNT(Y88:AH88)=0,"",AI88-LOOKUP(2,1/(Y88:AH88&lt;&gt;""),Y88:AH88)))</t>
        </is>
      </c>
      <c r="AU88" s="36" t="inlineStr">
        <is>
          <t>IF(OR(E88="",AJ88=""),"",IF(COUNT(Y88:AI88)=0,"",AJ88-LOOKUP(2,1/(Y88:AI88&lt;&gt;""),Y88:AI88)))</t>
        </is>
      </c>
      <c r="AV88" s="39" t="inlineStr">
        <is>
          <t>IF(G88="","All_Provinces",IFERROR(VLOOKUP(G88,'07_Lookups'!$A$4:$B$20,2,FALSE),"All_Provinces"))</t>
        </is>
      </c>
      <c r="AW88" s="39" t="inlineStr">
        <is>
          <t>IF(H88="","All_Districts",IFERROR(VLOOKUP(H88,'07_Lookups'!$E$4:$F$42,2,FALSE),"All_Districts"))</t>
        </is>
      </c>
    </row>
    <row r="89" ht="18" customHeight="1">
      <c r="A89" s="31" t="inlineStr">
        <is>
          <t>IF(E89="","",ROW()-3)</t>
        </is>
      </c>
      <c r="B89" s="40" t="n"/>
      <c r="C89" s="40" t="n"/>
      <c r="D89" s="40" t="n"/>
      <c r="E89" s="40" t="n"/>
      <c r="F89" s="40" t="n"/>
      <c r="G89" s="40" t="n"/>
      <c r="H89" s="40" t="n"/>
      <c r="I89" s="40" t="n"/>
      <c r="J89" s="40" t="n"/>
      <c r="K89" s="40" t="n"/>
      <c r="L89" s="40" t="n"/>
      <c r="M89" s="40" t="n"/>
      <c r="N89" s="41" t="n"/>
      <c r="O89" s="34" t="inlineStr">
        <is>
          <t>IF(AE89="","",AE89)</t>
        </is>
      </c>
      <c r="P89" s="42" t="n"/>
      <c r="Q89" s="34" t="inlineStr">
        <is>
          <t>IF(OR(O89="",P89=""),"",EDATE(O89,P89))</t>
        </is>
      </c>
      <c r="R89" s="42" t="n"/>
      <c r="S89" s="40" t="n"/>
      <c r="T89" s="40" t="n"/>
      <c r="U89" s="31" t="inlineStr">
        <is>
          <t>IF(E89="","",IF(COUNT(Y89:AJ89)=0,IF(S89="","Not started",S89),SUBSTITUTE(LOOKUP(2,1/(Y89:AJ89&lt;&gt;""),$Y$3:$AJ$3),"Date: ","")))</t>
        </is>
      </c>
      <c r="V89" s="36" t="inlineStr">
        <is>
          <t>IF(OR(E89="",COUNT(Y89:AJ89)=0),"",TODAY()-LOOKUP(2,1/(Y89:AJ89&lt;&gt;""),Y89:AJ89))</t>
        </is>
      </c>
      <c r="W89" s="36" t="inlineStr">
        <is>
          <t>IF(OR(E89="",COUNT(Y89:AJ89)&lt;2),"",LOOKUP(2,1/(Y89:AJ89&lt;&gt;""),Y89:AJ89)-MIN(Y89:AJ89))</t>
        </is>
      </c>
      <c r="X89" s="36" t="inlineStr">
        <is>
          <t>IF(OR(V89="",U89="Not started",U89=""),"",IFERROR(V89-IF(VLOOKUP(U89,'04_Status_Pipeline'!$B$3:$E$20,4,FALSE)="",0,VLOOKUP(U89,'04_Status_Pipeline'!$B$3:$E$20,4,FALSE)),""))</t>
        </is>
      </c>
      <c r="Y89" s="43" t="n"/>
      <c r="Z89" s="43" t="n"/>
      <c r="AA89" s="43" t="n"/>
      <c r="AB89" s="43" t="n"/>
      <c r="AC89" s="43" t="n"/>
      <c r="AD89" s="43" t="n"/>
      <c r="AE89" s="43" t="n"/>
      <c r="AF89" s="43" t="n"/>
      <c r="AG89" s="43" t="n"/>
      <c r="AH89" s="38" t="n"/>
      <c r="AI89" s="38" t="n"/>
      <c r="AJ89" s="38" t="n"/>
      <c r="AK89" s="36" t="inlineStr">
        <is>
          <t>IF(OR(E89="",Z89=""),"",IF(COUNT(Y89:Y89)=0,"",Z89-LOOKUP(2,1/(Y89:Y89&lt;&gt;""),Y89:Y89)))</t>
        </is>
      </c>
      <c r="AL89" s="36" t="inlineStr">
        <is>
          <t>IF(OR(E89="",AA89=""),"",IF(COUNT(Y89:Z89)=0,"",AA89-LOOKUP(2,1/(Y89:Z89&lt;&gt;""),Y89:Z89)))</t>
        </is>
      </c>
      <c r="AM89" s="36" t="inlineStr">
        <is>
          <t>IF(OR(E89="",AB89=""),"",IF(COUNT(Y89:AA89)=0,"",AB89-LOOKUP(2,1/(Y89:AA89&lt;&gt;""),Y89:AA89)))</t>
        </is>
      </c>
      <c r="AN89" s="36" t="inlineStr">
        <is>
          <t>IF(OR(E89="",AC89=""),"",IF(COUNT(Y89:AB89)=0,"",AC89-LOOKUP(2,1/(Y89:AB89&lt;&gt;""),Y89:AB89)))</t>
        </is>
      </c>
      <c r="AO89" s="36" t="inlineStr">
        <is>
          <t>IF(OR(E89="",AD89=""),"",IF(COUNT(Y89:AC89)=0,"",AD89-LOOKUP(2,1/(Y89:AC89&lt;&gt;""),Y89:AC89)))</t>
        </is>
      </c>
      <c r="AP89" s="36" t="inlineStr">
        <is>
          <t>IF(OR(E89="",AE89=""),"",IF(COUNT(Y89:AD89)=0,"",AE89-LOOKUP(2,1/(Y89:AD89&lt;&gt;""),Y89:AD89)))</t>
        </is>
      </c>
      <c r="AQ89" s="36" t="inlineStr">
        <is>
          <t>IF(OR(E89="",AF89=""),"",IF(COUNT(Y89:AE89)=0,"",AF89-LOOKUP(2,1/(Y89:AE89&lt;&gt;""),Y89:AE89)))</t>
        </is>
      </c>
      <c r="AR89" s="36" t="inlineStr">
        <is>
          <t>IF(OR(E89="",AG89=""),"",IF(COUNT(Y89:AF89)=0,"",AG89-LOOKUP(2,1/(Y89:AF89&lt;&gt;""),Y89:AF89)))</t>
        </is>
      </c>
      <c r="AS89" s="36" t="inlineStr">
        <is>
          <t>IF(OR(E89="",AH89=""),"",IF(COUNT(Y89:AG89)=0,"",AH89-LOOKUP(2,1/(Y89:AG89&lt;&gt;""),Y89:AG89)))</t>
        </is>
      </c>
      <c r="AT89" s="36" t="inlineStr">
        <is>
          <t>IF(OR(E89="",AI89=""),"",IF(COUNT(Y89:AH89)=0,"",AI89-LOOKUP(2,1/(Y89:AH89&lt;&gt;""),Y89:AH89)))</t>
        </is>
      </c>
      <c r="AU89" s="36" t="inlineStr">
        <is>
          <t>IF(OR(E89="",AJ89=""),"",IF(COUNT(Y89:AI89)=0,"",AJ89-LOOKUP(2,1/(Y89:AI89&lt;&gt;""),Y89:AI89)))</t>
        </is>
      </c>
      <c r="AV89" s="39" t="inlineStr">
        <is>
          <t>IF(G89="","All_Provinces",IFERROR(VLOOKUP(G89,'07_Lookups'!$A$4:$B$20,2,FALSE),"All_Provinces"))</t>
        </is>
      </c>
      <c r="AW89" s="39" t="inlineStr">
        <is>
          <t>IF(H89="","All_Districts",IFERROR(VLOOKUP(H89,'07_Lookups'!$E$4:$F$42,2,FALSE),"All_Districts"))</t>
        </is>
      </c>
    </row>
    <row r="90" ht="18" customHeight="1">
      <c r="A90" s="31" t="inlineStr">
        <is>
          <t>IF(E90="","",ROW()-3)</t>
        </is>
      </c>
      <c r="B90" s="32" t="n"/>
      <c r="C90" s="32" t="n"/>
      <c r="D90" s="32" t="n"/>
      <c r="E90" s="32" t="n"/>
      <c r="F90" s="32" t="n"/>
      <c r="G90" s="32" t="n"/>
      <c r="H90" s="32" t="n"/>
      <c r="I90" s="32" t="n"/>
      <c r="J90" s="32" t="n"/>
      <c r="K90" s="32" t="n"/>
      <c r="L90" s="32" t="n"/>
      <c r="M90" s="32" t="n"/>
      <c r="N90" s="33" t="n"/>
      <c r="O90" s="34" t="inlineStr">
        <is>
          <t>IF(AE90="","",AE90)</t>
        </is>
      </c>
      <c r="P90" s="35" t="n"/>
      <c r="Q90" s="34" t="inlineStr">
        <is>
          <t>IF(OR(O90="",P90=""),"",EDATE(O90,P90))</t>
        </is>
      </c>
      <c r="R90" s="35" t="n"/>
      <c r="S90" s="32" t="n"/>
      <c r="T90" s="32" t="n"/>
      <c r="U90" s="31" t="inlineStr">
        <is>
          <t>IF(E90="","",IF(COUNT(Y90:AJ90)=0,IF(S90="","Not started",S90),SUBSTITUTE(LOOKUP(2,1/(Y90:AJ90&lt;&gt;""),$Y$3:$AJ$3),"Date: ","")))</t>
        </is>
      </c>
      <c r="V90" s="36" t="inlineStr">
        <is>
          <t>IF(OR(E90="",COUNT(Y90:AJ90)=0),"",TODAY()-LOOKUP(2,1/(Y90:AJ90&lt;&gt;""),Y90:AJ90))</t>
        </is>
      </c>
      <c r="W90" s="36" t="inlineStr">
        <is>
          <t>IF(OR(E90="",COUNT(Y90:AJ90)&lt;2),"",LOOKUP(2,1/(Y90:AJ90&lt;&gt;""),Y90:AJ90)-MIN(Y90:AJ90))</t>
        </is>
      </c>
      <c r="X90" s="36" t="inlineStr">
        <is>
          <t>IF(OR(V90="",U90="Not started",U90=""),"",IFERROR(V90-IF(VLOOKUP(U90,'04_Status_Pipeline'!$B$3:$E$20,4,FALSE)="",0,VLOOKUP(U90,'04_Status_Pipeline'!$B$3:$E$20,4,FALSE)),""))</t>
        </is>
      </c>
      <c r="Y90" s="37" t="n"/>
      <c r="Z90" s="37" t="n"/>
      <c r="AA90" s="37" t="n"/>
      <c r="AB90" s="37" t="n"/>
      <c r="AC90" s="37" t="n"/>
      <c r="AD90" s="37" t="n"/>
      <c r="AE90" s="37" t="n"/>
      <c r="AF90" s="37" t="n"/>
      <c r="AG90" s="37" t="n"/>
      <c r="AH90" s="38" t="n"/>
      <c r="AI90" s="38" t="n"/>
      <c r="AJ90" s="38" t="n"/>
      <c r="AK90" s="36" t="inlineStr">
        <is>
          <t>IF(OR(E90="",Z90=""),"",IF(COUNT(Y90:Y90)=0,"",Z90-LOOKUP(2,1/(Y90:Y90&lt;&gt;""),Y90:Y90)))</t>
        </is>
      </c>
      <c r="AL90" s="36" t="inlineStr">
        <is>
          <t>IF(OR(E90="",AA90=""),"",IF(COUNT(Y90:Z90)=0,"",AA90-LOOKUP(2,1/(Y90:Z90&lt;&gt;""),Y90:Z90)))</t>
        </is>
      </c>
      <c r="AM90" s="36" t="inlineStr">
        <is>
          <t>IF(OR(E90="",AB90=""),"",IF(COUNT(Y90:AA90)=0,"",AB90-LOOKUP(2,1/(Y90:AA90&lt;&gt;""),Y90:AA90)))</t>
        </is>
      </c>
      <c r="AN90" s="36" t="inlineStr">
        <is>
          <t>IF(OR(E90="",AC90=""),"",IF(COUNT(Y90:AB90)=0,"",AC90-LOOKUP(2,1/(Y90:AB90&lt;&gt;""),Y90:AB90)))</t>
        </is>
      </c>
      <c r="AO90" s="36" t="inlineStr">
        <is>
          <t>IF(OR(E90="",AD90=""),"",IF(COUNT(Y90:AC90)=0,"",AD90-LOOKUP(2,1/(Y90:AC90&lt;&gt;""),Y90:AC90)))</t>
        </is>
      </c>
      <c r="AP90" s="36" t="inlineStr">
        <is>
          <t>IF(OR(E90="",AE90=""),"",IF(COUNT(Y90:AD90)=0,"",AE90-LOOKUP(2,1/(Y90:AD90&lt;&gt;""),Y90:AD90)))</t>
        </is>
      </c>
      <c r="AQ90" s="36" t="inlineStr">
        <is>
          <t>IF(OR(E90="",AF90=""),"",IF(COUNT(Y90:AE90)=0,"",AF90-LOOKUP(2,1/(Y90:AE90&lt;&gt;""),Y90:AE90)))</t>
        </is>
      </c>
      <c r="AR90" s="36" t="inlineStr">
        <is>
          <t>IF(OR(E90="",AG90=""),"",IF(COUNT(Y90:AF90)=0,"",AG90-LOOKUP(2,1/(Y90:AF90&lt;&gt;""),Y90:AF90)))</t>
        </is>
      </c>
      <c r="AS90" s="36" t="inlineStr">
        <is>
          <t>IF(OR(E90="",AH90=""),"",IF(COUNT(Y90:AG90)=0,"",AH90-LOOKUP(2,1/(Y90:AG90&lt;&gt;""),Y90:AG90)))</t>
        </is>
      </c>
      <c r="AT90" s="36" t="inlineStr">
        <is>
          <t>IF(OR(E90="",AI90=""),"",IF(COUNT(Y90:AH90)=0,"",AI90-LOOKUP(2,1/(Y90:AH90&lt;&gt;""),Y90:AH90)))</t>
        </is>
      </c>
      <c r="AU90" s="36" t="inlineStr">
        <is>
          <t>IF(OR(E90="",AJ90=""),"",IF(COUNT(Y90:AI90)=0,"",AJ90-LOOKUP(2,1/(Y90:AI90&lt;&gt;""),Y90:AI90)))</t>
        </is>
      </c>
      <c r="AV90" s="39" t="inlineStr">
        <is>
          <t>IF(G90="","All_Provinces",IFERROR(VLOOKUP(G90,'07_Lookups'!$A$4:$B$20,2,FALSE),"All_Provinces"))</t>
        </is>
      </c>
      <c r="AW90" s="39" t="inlineStr">
        <is>
          <t>IF(H90="","All_Districts",IFERROR(VLOOKUP(H90,'07_Lookups'!$E$4:$F$42,2,FALSE),"All_Districts"))</t>
        </is>
      </c>
    </row>
    <row r="91" ht="18" customHeight="1">
      <c r="A91" s="31" t="inlineStr">
        <is>
          <t>IF(E91="","",ROW()-3)</t>
        </is>
      </c>
      <c r="B91" s="40" t="n"/>
      <c r="C91" s="40" t="n"/>
      <c r="D91" s="40" t="n"/>
      <c r="E91" s="40" t="n"/>
      <c r="F91" s="40" t="n"/>
      <c r="G91" s="40" t="n"/>
      <c r="H91" s="40" t="n"/>
      <c r="I91" s="40" t="n"/>
      <c r="J91" s="40" t="n"/>
      <c r="K91" s="40" t="n"/>
      <c r="L91" s="40" t="n"/>
      <c r="M91" s="40" t="n"/>
      <c r="N91" s="41" t="n"/>
      <c r="O91" s="34" t="inlineStr">
        <is>
          <t>IF(AE91="","",AE91)</t>
        </is>
      </c>
      <c r="P91" s="42" t="n"/>
      <c r="Q91" s="34" t="inlineStr">
        <is>
          <t>IF(OR(O91="",P91=""),"",EDATE(O91,P91))</t>
        </is>
      </c>
      <c r="R91" s="42" t="n"/>
      <c r="S91" s="40" t="n"/>
      <c r="T91" s="40" t="n"/>
      <c r="U91" s="31" t="inlineStr">
        <is>
          <t>IF(E91="","",IF(COUNT(Y91:AJ91)=0,IF(S91="","Not started",S91),SUBSTITUTE(LOOKUP(2,1/(Y91:AJ91&lt;&gt;""),$Y$3:$AJ$3),"Date: ","")))</t>
        </is>
      </c>
      <c r="V91" s="36" t="inlineStr">
        <is>
          <t>IF(OR(E91="",COUNT(Y91:AJ91)=0),"",TODAY()-LOOKUP(2,1/(Y91:AJ91&lt;&gt;""),Y91:AJ91))</t>
        </is>
      </c>
      <c r="W91" s="36" t="inlineStr">
        <is>
          <t>IF(OR(E91="",COUNT(Y91:AJ91)&lt;2),"",LOOKUP(2,1/(Y91:AJ91&lt;&gt;""),Y91:AJ91)-MIN(Y91:AJ91))</t>
        </is>
      </c>
      <c r="X91" s="36" t="inlineStr">
        <is>
          <t>IF(OR(V91="",U91="Not started",U91=""),"",IFERROR(V91-IF(VLOOKUP(U91,'04_Status_Pipeline'!$B$3:$E$20,4,FALSE)="",0,VLOOKUP(U91,'04_Status_Pipeline'!$B$3:$E$20,4,FALSE)),""))</t>
        </is>
      </c>
      <c r="Y91" s="43" t="n"/>
      <c r="Z91" s="43" t="n"/>
      <c r="AA91" s="43" t="n"/>
      <c r="AB91" s="43" t="n"/>
      <c r="AC91" s="43" t="n"/>
      <c r="AD91" s="43" t="n"/>
      <c r="AE91" s="43" t="n"/>
      <c r="AF91" s="43" t="n"/>
      <c r="AG91" s="43" t="n"/>
      <c r="AH91" s="38" t="n"/>
      <c r="AI91" s="38" t="n"/>
      <c r="AJ91" s="38" t="n"/>
      <c r="AK91" s="36" t="inlineStr">
        <is>
          <t>IF(OR(E91="",Z91=""),"",IF(COUNT(Y91:Y91)=0,"",Z91-LOOKUP(2,1/(Y91:Y91&lt;&gt;""),Y91:Y91)))</t>
        </is>
      </c>
      <c r="AL91" s="36" t="inlineStr">
        <is>
          <t>IF(OR(E91="",AA91=""),"",IF(COUNT(Y91:Z91)=0,"",AA91-LOOKUP(2,1/(Y91:Z91&lt;&gt;""),Y91:Z91)))</t>
        </is>
      </c>
      <c r="AM91" s="36" t="inlineStr">
        <is>
          <t>IF(OR(E91="",AB91=""),"",IF(COUNT(Y91:AA91)=0,"",AB91-LOOKUP(2,1/(Y91:AA91&lt;&gt;""),Y91:AA91)))</t>
        </is>
      </c>
      <c r="AN91" s="36" t="inlineStr">
        <is>
          <t>IF(OR(E91="",AC91=""),"",IF(COUNT(Y91:AB91)=0,"",AC91-LOOKUP(2,1/(Y91:AB91&lt;&gt;""),Y91:AB91)))</t>
        </is>
      </c>
      <c r="AO91" s="36" t="inlineStr">
        <is>
          <t>IF(OR(E91="",AD91=""),"",IF(COUNT(Y91:AC91)=0,"",AD91-LOOKUP(2,1/(Y91:AC91&lt;&gt;""),Y91:AC91)))</t>
        </is>
      </c>
      <c r="AP91" s="36" t="inlineStr">
        <is>
          <t>IF(OR(E91="",AE91=""),"",IF(COUNT(Y91:AD91)=0,"",AE91-LOOKUP(2,1/(Y91:AD91&lt;&gt;""),Y91:AD91)))</t>
        </is>
      </c>
      <c r="AQ91" s="36" t="inlineStr">
        <is>
          <t>IF(OR(E91="",AF91=""),"",IF(COUNT(Y91:AE91)=0,"",AF91-LOOKUP(2,1/(Y91:AE91&lt;&gt;""),Y91:AE91)))</t>
        </is>
      </c>
      <c r="AR91" s="36" t="inlineStr">
        <is>
          <t>IF(OR(E91="",AG91=""),"",IF(COUNT(Y91:AF91)=0,"",AG91-LOOKUP(2,1/(Y91:AF91&lt;&gt;""),Y91:AF91)))</t>
        </is>
      </c>
      <c r="AS91" s="36" t="inlineStr">
        <is>
          <t>IF(OR(E91="",AH91=""),"",IF(COUNT(Y91:AG91)=0,"",AH91-LOOKUP(2,1/(Y91:AG91&lt;&gt;""),Y91:AG91)))</t>
        </is>
      </c>
      <c r="AT91" s="36" t="inlineStr">
        <is>
          <t>IF(OR(E91="",AI91=""),"",IF(COUNT(Y91:AH91)=0,"",AI91-LOOKUP(2,1/(Y91:AH91&lt;&gt;""),Y91:AH91)))</t>
        </is>
      </c>
      <c r="AU91" s="36" t="inlineStr">
        <is>
          <t>IF(OR(E91="",AJ91=""),"",IF(COUNT(Y91:AI91)=0,"",AJ91-LOOKUP(2,1/(Y91:AI91&lt;&gt;""),Y91:AI91)))</t>
        </is>
      </c>
      <c r="AV91" s="39" t="inlineStr">
        <is>
          <t>IF(G91="","All_Provinces",IFERROR(VLOOKUP(G91,'07_Lookups'!$A$4:$B$20,2,FALSE),"All_Provinces"))</t>
        </is>
      </c>
      <c r="AW91" s="39" t="inlineStr">
        <is>
          <t>IF(H91="","All_Districts",IFERROR(VLOOKUP(H91,'07_Lookups'!$E$4:$F$42,2,FALSE),"All_Districts"))</t>
        </is>
      </c>
    </row>
    <row r="92" ht="18" customHeight="1">
      <c r="A92" s="31" t="inlineStr">
        <is>
          <t>IF(E92="","",ROW()-3)</t>
        </is>
      </c>
      <c r="B92" s="32" t="n"/>
      <c r="C92" s="32" t="n"/>
      <c r="D92" s="32" t="n"/>
      <c r="E92" s="32" t="n"/>
      <c r="F92" s="32" t="n"/>
      <c r="G92" s="32" t="n"/>
      <c r="H92" s="32" t="n"/>
      <c r="I92" s="32" t="n"/>
      <c r="J92" s="32" t="n"/>
      <c r="K92" s="32" t="n"/>
      <c r="L92" s="32" t="n"/>
      <c r="M92" s="32" t="n"/>
      <c r="N92" s="33" t="n"/>
      <c r="O92" s="34" t="inlineStr">
        <is>
          <t>IF(AE92="","",AE92)</t>
        </is>
      </c>
      <c r="P92" s="35" t="n"/>
      <c r="Q92" s="34" t="inlineStr">
        <is>
          <t>IF(OR(O92="",P92=""),"",EDATE(O92,P92))</t>
        </is>
      </c>
      <c r="R92" s="35" t="n"/>
      <c r="S92" s="32" t="n"/>
      <c r="T92" s="32" t="n"/>
      <c r="U92" s="31" t="inlineStr">
        <is>
          <t>IF(E92="","",IF(COUNT(Y92:AJ92)=0,IF(S92="","Not started",S92),SUBSTITUTE(LOOKUP(2,1/(Y92:AJ92&lt;&gt;""),$Y$3:$AJ$3),"Date: ","")))</t>
        </is>
      </c>
      <c r="V92" s="36" t="inlineStr">
        <is>
          <t>IF(OR(E92="",COUNT(Y92:AJ92)=0),"",TODAY()-LOOKUP(2,1/(Y92:AJ92&lt;&gt;""),Y92:AJ92))</t>
        </is>
      </c>
      <c r="W92" s="36" t="inlineStr">
        <is>
          <t>IF(OR(E92="",COUNT(Y92:AJ92)&lt;2),"",LOOKUP(2,1/(Y92:AJ92&lt;&gt;""),Y92:AJ92)-MIN(Y92:AJ92))</t>
        </is>
      </c>
      <c r="X92" s="36" t="inlineStr">
        <is>
          <t>IF(OR(V92="",U92="Not started",U92=""),"",IFERROR(V92-IF(VLOOKUP(U92,'04_Status_Pipeline'!$B$3:$E$20,4,FALSE)="",0,VLOOKUP(U92,'04_Status_Pipeline'!$B$3:$E$20,4,FALSE)),""))</t>
        </is>
      </c>
      <c r="Y92" s="37" t="n"/>
      <c r="Z92" s="37" t="n"/>
      <c r="AA92" s="37" t="n"/>
      <c r="AB92" s="37" t="n"/>
      <c r="AC92" s="37" t="n"/>
      <c r="AD92" s="37" t="n"/>
      <c r="AE92" s="37" t="n"/>
      <c r="AF92" s="37" t="n"/>
      <c r="AG92" s="37" t="n"/>
      <c r="AH92" s="38" t="n"/>
      <c r="AI92" s="38" t="n"/>
      <c r="AJ92" s="38" t="n"/>
      <c r="AK92" s="36" t="inlineStr">
        <is>
          <t>IF(OR(E92="",Z92=""),"",IF(COUNT(Y92:Y92)=0,"",Z92-LOOKUP(2,1/(Y92:Y92&lt;&gt;""),Y92:Y92)))</t>
        </is>
      </c>
      <c r="AL92" s="36" t="inlineStr">
        <is>
          <t>IF(OR(E92="",AA92=""),"",IF(COUNT(Y92:Z92)=0,"",AA92-LOOKUP(2,1/(Y92:Z92&lt;&gt;""),Y92:Z92)))</t>
        </is>
      </c>
      <c r="AM92" s="36" t="inlineStr">
        <is>
          <t>IF(OR(E92="",AB92=""),"",IF(COUNT(Y92:AA92)=0,"",AB92-LOOKUP(2,1/(Y92:AA92&lt;&gt;""),Y92:AA92)))</t>
        </is>
      </c>
      <c r="AN92" s="36" t="inlineStr">
        <is>
          <t>IF(OR(E92="",AC92=""),"",IF(COUNT(Y92:AB92)=0,"",AC92-LOOKUP(2,1/(Y92:AB92&lt;&gt;""),Y92:AB92)))</t>
        </is>
      </c>
      <c r="AO92" s="36" t="inlineStr">
        <is>
          <t>IF(OR(E92="",AD92=""),"",IF(COUNT(Y92:AC92)=0,"",AD92-LOOKUP(2,1/(Y92:AC92&lt;&gt;""),Y92:AC92)))</t>
        </is>
      </c>
      <c r="AP92" s="36" t="inlineStr">
        <is>
          <t>IF(OR(E92="",AE92=""),"",IF(COUNT(Y92:AD92)=0,"",AE92-LOOKUP(2,1/(Y92:AD92&lt;&gt;""),Y92:AD92)))</t>
        </is>
      </c>
      <c r="AQ92" s="36" t="inlineStr">
        <is>
          <t>IF(OR(E92="",AF92=""),"",IF(COUNT(Y92:AE92)=0,"",AF92-LOOKUP(2,1/(Y92:AE92&lt;&gt;""),Y92:AE92)))</t>
        </is>
      </c>
      <c r="AR92" s="36" t="inlineStr">
        <is>
          <t>IF(OR(E92="",AG92=""),"",IF(COUNT(Y92:AF92)=0,"",AG92-LOOKUP(2,1/(Y92:AF92&lt;&gt;""),Y92:AF92)))</t>
        </is>
      </c>
      <c r="AS92" s="36" t="inlineStr">
        <is>
          <t>IF(OR(E92="",AH92=""),"",IF(COUNT(Y92:AG92)=0,"",AH92-LOOKUP(2,1/(Y92:AG92&lt;&gt;""),Y92:AG92)))</t>
        </is>
      </c>
      <c r="AT92" s="36" t="inlineStr">
        <is>
          <t>IF(OR(E92="",AI92=""),"",IF(COUNT(Y92:AH92)=0,"",AI92-LOOKUP(2,1/(Y92:AH92&lt;&gt;""),Y92:AH92)))</t>
        </is>
      </c>
      <c r="AU92" s="36" t="inlineStr">
        <is>
          <t>IF(OR(E92="",AJ92=""),"",IF(COUNT(Y92:AI92)=0,"",AJ92-LOOKUP(2,1/(Y92:AI92&lt;&gt;""),Y92:AI92)))</t>
        </is>
      </c>
      <c r="AV92" s="39" t="inlineStr">
        <is>
          <t>IF(G92="","All_Provinces",IFERROR(VLOOKUP(G92,'07_Lookups'!$A$4:$B$20,2,FALSE),"All_Provinces"))</t>
        </is>
      </c>
      <c r="AW92" s="39" t="inlineStr">
        <is>
          <t>IF(H92="","All_Districts",IFERROR(VLOOKUP(H92,'07_Lookups'!$E$4:$F$42,2,FALSE),"All_Districts"))</t>
        </is>
      </c>
    </row>
    <row r="93" ht="18" customHeight="1">
      <c r="A93" s="31" t="inlineStr">
        <is>
          <t>IF(E93="","",ROW()-3)</t>
        </is>
      </c>
      <c r="B93" s="40" t="n"/>
      <c r="C93" s="40" t="n"/>
      <c r="D93" s="40" t="n"/>
      <c r="E93" s="40" t="n"/>
      <c r="F93" s="40" t="n"/>
      <c r="G93" s="40" t="n"/>
      <c r="H93" s="40" t="n"/>
      <c r="I93" s="40" t="n"/>
      <c r="J93" s="40" t="n"/>
      <c r="K93" s="40" t="n"/>
      <c r="L93" s="40" t="n"/>
      <c r="M93" s="40" t="n"/>
      <c r="N93" s="41" t="n"/>
      <c r="O93" s="34" t="inlineStr">
        <is>
          <t>IF(AE93="","",AE93)</t>
        </is>
      </c>
      <c r="P93" s="42" t="n"/>
      <c r="Q93" s="34" t="inlineStr">
        <is>
          <t>IF(OR(O93="",P93=""),"",EDATE(O93,P93))</t>
        </is>
      </c>
      <c r="R93" s="42" t="n"/>
      <c r="S93" s="40" t="n"/>
      <c r="T93" s="40" t="n"/>
      <c r="U93" s="31" t="inlineStr">
        <is>
          <t>IF(E93="","",IF(COUNT(Y93:AJ93)=0,IF(S93="","Not started",S93),SUBSTITUTE(LOOKUP(2,1/(Y93:AJ93&lt;&gt;""),$Y$3:$AJ$3),"Date: ","")))</t>
        </is>
      </c>
      <c r="V93" s="36" t="inlineStr">
        <is>
          <t>IF(OR(E93="",COUNT(Y93:AJ93)=0),"",TODAY()-LOOKUP(2,1/(Y93:AJ93&lt;&gt;""),Y93:AJ93))</t>
        </is>
      </c>
      <c r="W93" s="36" t="inlineStr">
        <is>
          <t>IF(OR(E93="",COUNT(Y93:AJ93)&lt;2),"",LOOKUP(2,1/(Y93:AJ93&lt;&gt;""),Y93:AJ93)-MIN(Y93:AJ93))</t>
        </is>
      </c>
      <c r="X93" s="36" t="inlineStr">
        <is>
          <t>IF(OR(V93="",U93="Not started",U93=""),"",IFERROR(V93-IF(VLOOKUP(U93,'04_Status_Pipeline'!$B$3:$E$20,4,FALSE)="",0,VLOOKUP(U93,'04_Status_Pipeline'!$B$3:$E$20,4,FALSE)),""))</t>
        </is>
      </c>
      <c r="Y93" s="43" t="n"/>
      <c r="Z93" s="43" t="n"/>
      <c r="AA93" s="43" t="n"/>
      <c r="AB93" s="43" t="n"/>
      <c r="AC93" s="43" t="n"/>
      <c r="AD93" s="43" t="n"/>
      <c r="AE93" s="43" t="n"/>
      <c r="AF93" s="43" t="n"/>
      <c r="AG93" s="43" t="n"/>
      <c r="AH93" s="38" t="n"/>
      <c r="AI93" s="38" t="n"/>
      <c r="AJ93" s="38" t="n"/>
      <c r="AK93" s="36" t="inlineStr">
        <is>
          <t>IF(OR(E93="",Z93=""),"",IF(COUNT(Y93:Y93)=0,"",Z93-LOOKUP(2,1/(Y93:Y93&lt;&gt;""),Y93:Y93)))</t>
        </is>
      </c>
      <c r="AL93" s="36" t="inlineStr">
        <is>
          <t>IF(OR(E93="",AA93=""),"",IF(COUNT(Y93:Z93)=0,"",AA93-LOOKUP(2,1/(Y93:Z93&lt;&gt;""),Y93:Z93)))</t>
        </is>
      </c>
      <c r="AM93" s="36" t="inlineStr">
        <is>
          <t>IF(OR(E93="",AB93=""),"",IF(COUNT(Y93:AA93)=0,"",AB93-LOOKUP(2,1/(Y93:AA93&lt;&gt;""),Y93:AA93)))</t>
        </is>
      </c>
      <c r="AN93" s="36" t="inlineStr">
        <is>
          <t>IF(OR(E93="",AC93=""),"",IF(COUNT(Y93:AB93)=0,"",AC93-LOOKUP(2,1/(Y93:AB93&lt;&gt;""),Y93:AB93)))</t>
        </is>
      </c>
      <c r="AO93" s="36" t="inlineStr">
        <is>
          <t>IF(OR(E93="",AD93=""),"",IF(COUNT(Y93:AC93)=0,"",AD93-LOOKUP(2,1/(Y93:AC93&lt;&gt;""),Y93:AC93)))</t>
        </is>
      </c>
      <c r="AP93" s="36" t="inlineStr">
        <is>
          <t>IF(OR(E93="",AE93=""),"",IF(COUNT(Y93:AD93)=0,"",AE93-LOOKUP(2,1/(Y93:AD93&lt;&gt;""),Y93:AD93)))</t>
        </is>
      </c>
      <c r="AQ93" s="36" t="inlineStr">
        <is>
          <t>IF(OR(E93="",AF93=""),"",IF(COUNT(Y93:AE93)=0,"",AF93-LOOKUP(2,1/(Y93:AE93&lt;&gt;""),Y93:AE93)))</t>
        </is>
      </c>
      <c r="AR93" s="36" t="inlineStr">
        <is>
          <t>IF(OR(E93="",AG93=""),"",IF(COUNT(Y93:AF93)=0,"",AG93-LOOKUP(2,1/(Y93:AF93&lt;&gt;""),Y93:AF93)))</t>
        </is>
      </c>
      <c r="AS93" s="36" t="inlineStr">
        <is>
          <t>IF(OR(E93="",AH93=""),"",IF(COUNT(Y93:AG93)=0,"",AH93-LOOKUP(2,1/(Y93:AG93&lt;&gt;""),Y93:AG93)))</t>
        </is>
      </c>
      <c r="AT93" s="36" t="inlineStr">
        <is>
          <t>IF(OR(E93="",AI93=""),"",IF(COUNT(Y93:AH93)=0,"",AI93-LOOKUP(2,1/(Y93:AH93&lt;&gt;""),Y93:AH93)))</t>
        </is>
      </c>
      <c r="AU93" s="36" t="inlineStr">
        <is>
          <t>IF(OR(E93="",AJ93=""),"",IF(COUNT(Y93:AI93)=0,"",AJ93-LOOKUP(2,1/(Y93:AI93&lt;&gt;""),Y93:AI93)))</t>
        </is>
      </c>
      <c r="AV93" s="39" t="inlineStr">
        <is>
          <t>IF(G93="","All_Provinces",IFERROR(VLOOKUP(G93,'07_Lookups'!$A$4:$B$20,2,FALSE),"All_Provinces"))</t>
        </is>
      </c>
      <c r="AW93" s="39" t="inlineStr">
        <is>
          <t>IF(H93="","All_Districts",IFERROR(VLOOKUP(H93,'07_Lookups'!$E$4:$F$42,2,FALSE),"All_Districts"))</t>
        </is>
      </c>
    </row>
    <row r="94" ht="18" customHeight="1">
      <c r="A94" s="31" t="inlineStr">
        <is>
          <t>IF(E94="","",ROW()-3)</t>
        </is>
      </c>
      <c r="B94" s="32" t="n"/>
      <c r="C94" s="32" t="n"/>
      <c r="D94" s="32" t="n"/>
      <c r="E94" s="32" t="n"/>
      <c r="F94" s="32" t="n"/>
      <c r="G94" s="32" t="n"/>
      <c r="H94" s="32" t="n"/>
      <c r="I94" s="32" t="n"/>
      <c r="J94" s="32" t="n"/>
      <c r="K94" s="32" t="n"/>
      <c r="L94" s="32" t="n"/>
      <c r="M94" s="32" t="n"/>
      <c r="N94" s="33" t="n"/>
      <c r="O94" s="34" t="inlineStr">
        <is>
          <t>IF(AE94="","",AE94)</t>
        </is>
      </c>
      <c r="P94" s="35" t="n"/>
      <c r="Q94" s="34" t="inlineStr">
        <is>
          <t>IF(OR(O94="",P94=""),"",EDATE(O94,P94))</t>
        </is>
      </c>
      <c r="R94" s="35" t="n"/>
      <c r="S94" s="32" t="n"/>
      <c r="T94" s="32" t="n"/>
      <c r="U94" s="31" t="inlineStr">
        <is>
          <t>IF(E94="","",IF(COUNT(Y94:AJ94)=0,IF(S94="","Not started",S94),SUBSTITUTE(LOOKUP(2,1/(Y94:AJ94&lt;&gt;""),$Y$3:$AJ$3),"Date: ","")))</t>
        </is>
      </c>
      <c r="V94" s="36" t="inlineStr">
        <is>
          <t>IF(OR(E94="",COUNT(Y94:AJ94)=0),"",TODAY()-LOOKUP(2,1/(Y94:AJ94&lt;&gt;""),Y94:AJ94))</t>
        </is>
      </c>
      <c r="W94" s="36" t="inlineStr">
        <is>
          <t>IF(OR(E94="",COUNT(Y94:AJ94)&lt;2),"",LOOKUP(2,1/(Y94:AJ94&lt;&gt;""),Y94:AJ94)-MIN(Y94:AJ94))</t>
        </is>
      </c>
      <c r="X94" s="36" t="inlineStr">
        <is>
          <t>IF(OR(V94="",U94="Not started",U94=""),"",IFERROR(V94-IF(VLOOKUP(U94,'04_Status_Pipeline'!$B$3:$E$20,4,FALSE)="",0,VLOOKUP(U94,'04_Status_Pipeline'!$B$3:$E$20,4,FALSE)),""))</t>
        </is>
      </c>
      <c r="Y94" s="37" t="n"/>
      <c r="Z94" s="37" t="n"/>
      <c r="AA94" s="37" t="n"/>
      <c r="AB94" s="37" t="n"/>
      <c r="AC94" s="37" t="n"/>
      <c r="AD94" s="37" t="n"/>
      <c r="AE94" s="37" t="n"/>
      <c r="AF94" s="37" t="n"/>
      <c r="AG94" s="37" t="n"/>
      <c r="AH94" s="38" t="n"/>
      <c r="AI94" s="38" t="n"/>
      <c r="AJ94" s="38" t="n"/>
      <c r="AK94" s="36" t="inlineStr">
        <is>
          <t>IF(OR(E94="",Z94=""),"",IF(COUNT(Y94:Y94)=0,"",Z94-LOOKUP(2,1/(Y94:Y94&lt;&gt;""),Y94:Y94)))</t>
        </is>
      </c>
      <c r="AL94" s="36" t="inlineStr">
        <is>
          <t>IF(OR(E94="",AA94=""),"",IF(COUNT(Y94:Z94)=0,"",AA94-LOOKUP(2,1/(Y94:Z94&lt;&gt;""),Y94:Z94)))</t>
        </is>
      </c>
      <c r="AM94" s="36" t="inlineStr">
        <is>
          <t>IF(OR(E94="",AB94=""),"",IF(COUNT(Y94:AA94)=0,"",AB94-LOOKUP(2,1/(Y94:AA94&lt;&gt;""),Y94:AA94)))</t>
        </is>
      </c>
      <c r="AN94" s="36" t="inlineStr">
        <is>
          <t>IF(OR(E94="",AC94=""),"",IF(COUNT(Y94:AB94)=0,"",AC94-LOOKUP(2,1/(Y94:AB94&lt;&gt;""),Y94:AB94)))</t>
        </is>
      </c>
      <c r="AO94" s="36" t="inlineStr">
        <is>
          <t>IF(OR(E94="",AD94=""),"",IF(COUNT(Y94:AC94)=0,"",AD94-LOOKUP(2,1/(Y94:AC94&lt;&gt;""),Y94:AC94)))</t>
        </is>
      </c>
      <c r="AP94" s="36" t="inlineStr">
        <is>
          <t>IF(OR(E94="",AE94=""),"",IF(COUNT(Y94:AD94)=0,"",AE94-LOOKUP(2,1/(Y94:AD94&lt;&gt;""),Y94:AD94)))</t>
        </is>
      </c>
      <c r="AQ94" s="36" t="inlineStr">
        <is>
          <t>IF(OR(E94="",AF94=""),"",IF(COUNT(Y94:AE94)=0,"",AF94-LOOKUP(2,1/(Y94:AE94&lt;&gt;""),Y94:AE94)))</t>
        </is>
      </c>
      <c r="AR94" s="36" t="inlineStr">
        <is>
          <t>IF(OR(E94="",AG94=""),"",IF(COUNT(Y94:AF94)=0,"",AG94-LOOKUP(2,1/(Y94:AF94&lt;&gt;""),Y94:AF94)))</t>
        </is>
      </c>
      <c r="AS94" s="36" t="inlineStr">
        <is>
          <t>IF(OR(E94="",AH94=""),"",IF(COUNT(Y94:AG94)=0,"",AH94-LOOKUP(2,1/(Y94:AG94&lt;&gt;""),Y94:AG94)))</t>
        </is>
      </c>
      <c r="AT94" s="36" t="inlineStr">
        <is>
          <t>IF(OR(E94="",AI94=""),"",IF(COUNT(Y94:AH94)=0,"",AI94-LOOKUP(2,1/(Y94:AH94&lt;&gt;""),Y94:AH94)))</t>
        </is>
      </c>
      <c r="AU94" s="36" t="inlineStr">
        <is>
          <t>IF(OR(E94="",AJ94=""),"",IF(COUNT(Y94:AI94)=0,"",AJ94-LOOKUP(2,1/(Y94:AI94&lt;&gt;""),Y94:AI94)))</t>
        </is>
      </c>
      <c r="AV94" s="39" t="inlineStr">
        <is>
          <t>IF(G94="","All_Provinces",IFERROR(VLOOKUP(G94,'07_Lookups'!$A$4:$B$20,2,FALSE),"All_Provinces"))</t>
        </is>
      </c>
      <c r="AW94" s="39" t="inlineStr">
        <is>
          <t>IF(H94="","All_Districts",IFERROR(VLOOKUP(H94,'07_Lookups'!$E$4:$F$42,2,FALSE),"All_Districts"))</t>
        </is>
      </c>
    </row>
    <row r="95" ht="18" customHeight="1">
      <c r="A95" s="31" t="inlineStr">
        <is>
          <t>IF(E95="","",ROW()-3)</t>
        </is>
      </c>
      <c r="B95" s="40" t="n"/>
      <c r="C95" s="40" t="n"/>
      <c r="D95" s="40" t="n"/>
      <c r="E95" s="40" t="n"/>
      <c r="F95" s="40" t="n"/>
      <c r="G95" s="40" t="n"/>
      <c r="H95" s="40" t="n"/>
      <c r="I95" s="40" t="n"/>
      <c r="J95" s="40" t="n"/>
      <c r="K95" s="40" t="n"/>
      <c r="L95" s="40" t="n"/>
      <c r="M95" s="40" t="n"/>
      <c r="N95" s="41" t="n"/>
      <c r="O95" s="34" t="inlineStr">
        <is>
          <t>IF(AE95="","",AE95)</t>
        </is>
      </c>
      <c r="P95" s="42" t="n"/>
      <c r="Q95" s="34" t="inlineStr">
        <is>
          <t>IF(OR(O95="",P95=""),"",EDATE(O95,P95))</t>
        </is>
      </c>
      <c r="R95" s="42" t="n"/>
      <c r="S95" s="40" t="n"/>
      <c r="T95" s="40" t="n"/>
      <c r="U95" s="31" t="inlineStr">
        <is>
          <t>IF(E95="","",IF(COUNT(Y95:AJ95)=0,IF(S95="","Not started",S95),SUBSTITUTE(LOOKUP(2,1/(Y95:AJ95&lt;&gt;""),$Y$3:$AJ$3),"Date: ","")))</t>
        </is>
      </c>
      <c r="V95" s="36" t="inlineStr">
        <is>
          <t>IF(OR(E95="",COUNT(Y95:AJ95)=0),"",TODAY()-LOOKUP(2,1/(Y95:AJ95&lt;&gt;""),Y95:AJ95))</t>
        </is>
      </c>
      <c r="W95" s="36" t="inlineStr">
        <is>
          <t>IF(OR(E95="",COUNT(Y95:AJ95)&lt;2),"",LOOKUP(2,1/(Y95:AJ95&lt;&gt;""),Y95:AJ95)-MIN(Y95:AJ95))</t>
        </is>
      </c>
      <c r="X95" s="36" t="inlineStr">
        <is>
          <t>IF(OR(V95="",U95="Not started",U95=""),"",IFERROR(V95-IF(VLOOKUP(U95,'04_Status_Pipeline'!$B$3:$E$20,4,FALSE)="",0,VLOOKUP(U95,'04_Status_Pipeline'!$B$3:$E$20,4,FALSE)),""))</t>
        </is>
      </c>
      <c r="Y95" s="43" t="n"/>
      <c r="Z95" s="43" t="n"/>
      <c r="AA95" s="43" t="n"/>
      <c r="AB95" s="43" t="n"/>
      <c r="AC95" s="43" t="n"/>
      <c r="AD95" s="43" t="n"/>
      <c r="AE95" s="43" t="n"/>
      <c r="AF95" s="43" t="n"/>
      <c r="AG95" s="43" t="n"/>
      <c r="AH95" s="38" t="n"/>
      <c r="AI95" s="38" t="n"/>
      <c r="AJ95" s="38" t="n"/>
      <c r="AK95" s="36" t="inlineStr">
        <is>
          <t>IF(OR(E95="",Z95=""),"",IF(COUNT(Y95:Y95)=0,"",Z95-LOOKUP(2,1/(Y95:Y95&lt;&gt;""),Y95:Y95)))</t>
        </is>
      </c>
      <c r="AL95" s="36" t="inlineStr">
        <is>
          <t>IF(OR(E95="",AA95=""),"",IF(COUNT(Y95:Z95)=0,"",AA95-LOOKUP(2,1/(Y95:Z95&lt;&gt;""),Y95:Z95)))</t>
        </is>
      </c>
      <c r="AM95" s="36" t="inlineStr">
        <is>
          <t>IF(OR(E95="",AB95=""),"",IF(COUNT(Y95:AA95)=0,"",AB95-LOOKUP(2,1/(Y95:AA95&lt;&gt;""),Y95:AA95)))</t>
        </is>
      </c>
      <c r="AN95" s="36" t="inlineStr">
        <is>
          <t>IF(OR(E95="",AC95=""),"",IF(COUNT(Y95:AB95)=0,"",AC95-LOOKUP(2,1/(Y95:AB95&lt;&gt;""),Y95:AB95)))</t>
        </is>
      </c>
      <c r="AO95" s="36" t="inlineStr">
        <is>
          <t>IF(OR(E95="",AD95=""),"",IF(COUNT(Y95:AC95)=0,"",AD95-LOOKUP(2,1/(Y95:AC95&lt;&gt;""),Y95:AC95)))</t>
        </is>
      </c>
      <c r="AP95" s="36" t="inlineStr">
        <is>
          <t>IF(OR(E95="",AE95=""),"",IF(COUNT(Y95:AD95)=0,"",AE95-LOOKUP(2,1/(Y95:AD95&lt;&gt;""),Y95:AD95)))</t>
        </is>
      </c>
      <c r="AQ95" s="36" t="inlineStr">
        <is>
          <t>IF(OR(E95="",AF95=""),"",IF(COUNT(Y95:AE95)=0,"",AF95-LOOKUP(2,1/(Y95:AE95&lt;&gt;""),Y95:AE95)))</t>
        </is>
      </c>
      <c r="AR95" s="36" t="inlineStr">
        <is>
          <t>IF(OR(E95="",AG95=""),"",IF(COUNT(Y95:AF95)=0,"",AG95-LOOKUP(2,1/(Y95:AF95&lt;&gt;""),Y95:AF95)))</t>
        </is>
      </c>
      <c r="AS95" s="36" t="inlineStr">
        <is>
          <t>IF(OR(E95="",AH95=""),"",IF(COUNT(Y95:AG95)=0,"",AH95-LOOKUP(2,1/(Y95:AG95&lt;&gt;""),Y95:AG95)))</t>
        </is>
      </c>
      <c r="AT95" s="36" t="inlineStr">
        <is>
          <t>IF(OR(E95="",AI95=""),"",IF(COUNT(Y95:AH95)=0,"",AI95-LOOKUP(2,1/(Y95:AH95&lt;&gt;""),Y95:AH95)))</t>
        </is>
      </c>
      <c r="AU95" s="36" t="inlineStr">
        <is>
          <t>IF(OR(E95="",AJ95=""),"",IF(COUNT(Y95:AI95)=0,"",AJ95-LOOKUP(2,1/(Y95:AI95&lt;&gt;""),Y95:AI95)))</t>
        </is>
      </c>
      <c r="AV95" s="39" t="inlineStr">
        <is>
          <t>IF(G95="","All_Provinces",IFERROR(VLOOKUP(G95,'07_Lookups'!$A$4:$B$20,2,FALSE),"All_Provinces"))</t>
        </is>
      </c>
      <c r="AW95" s="39" t="inlineStr">
        <is>
          <t>IF(H95="","All_Districts",IFERROR(VLOOKUP(H95,'07_Lookups'!$E$4:$F$42,2,FALSE),"All_Districts"))</t>
        </is>
      </c>
    </row>
    <row r="96" ht="18" customHeight="1">
      <c r="A96" s="31" t="inlineStr">
        <is>
          <t>IF(E96="","",ROW()-3)</t>
        </is>
      </c>
      <c r="B96" s="32" t="n"/>
      <c r="C96" s="32" t="n"/>
      <c r="D96" s="32" t="n"/>
      <c r="E96" s="32" t="n"/>
      <c r="F96" s="32" t="n"/>
      <c r="G96" s="32" t="n"/>
      <c r="H96" s="32" t="n"/>
      <c r="I96" s="32" t="n"/>
      <c r="J96" s="32" t="n"/>
      <c r="K96" s="32" t="n"/>
      <c r="L96" s="32" t="n"/>
      <c r="M96" s="32" t="n"/>
      <c r="N96" s="33" t="n"/>
      <c r="O96" s="34" t="inlineStr">
        <is>
          <t>IF(AE96="","",AE96)</t>
        </is>
      </c>
      <c r="P96" s="35" t="n"/>
      <c r="Q96" s="34" t="inlineStr">
        <is>
          <t>IF(OR(O96="",P96=""),"",EDATE(O96,P96))</t>
        </is>
      </c>
      <c r="R96" s="35" t="n"/>
      <c r="S96" s="32" t="n"/>
      <c r="T96" s="32" t="n"/>
      <c r="U96" s="31" t="inlineStr">
        <is>
          <t>IF(E96="","",IF(COUNT(Y96:AJ96)=0,IF(S96="","Not started",S96),SUBSTITUTE(LOOKUP(2,1/(Y96:AJ96&lt;&gt;""),$Y$3:$AJ$3),"Date: ","")))</t>
        </is>
      </c>
      <c r="V96" s="36" t="inlineStr">
        <is>
          <t>IF(OR(E96="",COUNT(Y96:AJ96)=0),"",TODAY()-LOOKUP(2,1/(Y96:AJ96&lt;&gt;""),Y96:AJ96))</t>
        </is>
      </c>
      <c r="W96" s="36" t="inlineStr">
        <is>
          <t>IF(OR(E96="",COUNT(Y96:AJ96)&lt;2),"",LOOKUP(2,1/(Y96:AJ96&lt;&gt;""),Y96:AJ96)-MIN(Y96:AJ96))</t>
        </is>
      </c>
      <c r="X96" s="36" t="inlineStr">
        <is>
          <t>IF(OR(V96="",U96="Not started",U96=""),"",IFERROR(V96-IF(VLOOKUP(U96,'04_Status_Pipeline'!$B$3:$E$20,4,FALSE)="",0,VLOOKUP(U96,'04_Status_Pipeline'!$B$3:$E$20,4,FALSE)),""))</t>
        </is>
      </c>
      <c r="Y96" s="37" t="n"/>
      <c r="Z96" s="37" t="n"/>
      <c r="AA96" s="37" t="n"/>
      <c r="AB96" s="37" t="n"/>
      <c r="AC96" s="37" t="n"/>
      <c r="AD96" s="37" t="n"/>
      <c r="AE96" s="37" t="n"/>
      <c r="AF96" s="37" t="n"/>
      <c r="AG96" s="37" t="n"/>
      <c r="AH96" s="38" t="n"/>
      <c r="AI96" s="38" t="n"/>
      <c r="AJ96" s="38" t="n"/>
      <c r="AK96" s="36" t="inlineStr">
        <is>
          <t>IF(OR(E96="",Z96=""),"",IF(COUNT(Y96:Y96)=0,"",Z96-LOOKUP(2,1/(Y96:Y96&lt;&gt;""),Y96:Y96)))</t>
        </is>
      </c>
      <c r="AL96" s="36" t="inlineStr">
        <is>
          <t>IF(OR(E96="",AA96=""),"",IF(COUNT(Y96:Z96)=0,"",AA96-LOOKUP(2,1/(Y96:Z96&lt;&gt;""),Y96:Z96)))</t>
        </is>
      </c>
      <c r="AM96" s="36" t="inlineStr">
        <is>
          <t>IF(OR(E96="",AB96=""),"",IF(COUNT(Y96:AA96)=0,"",AB96-LOOKUP(2,1/(Y96:AA96&lt;&gt;""),Y96:AA96)))</t>
        </is>
      </c>
      <c r="AN96" s="36" t="inlineStr">
        <is>
          <t>IF(OR(E96="",AC96=""),"",IF(COUNT(Y96:AB96)=0,"",AC96-LOOKUP(2,1/(Y96:AB96&lt;&gt;""),Y96:AB96)))</t>
        </is>
      </c>
      <c r="AO96" s="36" t="inlineStr">
        <is>
          <t>IF(OR(E96="",AD96=""),"",IF(COUNT(Y96:AC96)=0,"",AD96-LOOKUP(2,1/(Y96:AC96&lt;&gt;""),Y96:AC96)))</t>
        </is>
      </c>
      <c r="AP96" s="36" t="inlineStr">
        <is>
          <t>IF(OR(E96="",AE96=""),"",IF(COUNT(Y96:AD96)=0,"",AE96-LOOKUP(2,1/(Y96:AD96&lt;&gt;""),Y96:AD96)))</t>
        </is>
      </c>
      <c r="AQ96" s="36" t="inlineStr">
        <is>
          <t>IF(OR(E96="",AF96=""),"",IF(COUNT(Y96:AE96)=0,"",AF96-LOOKUP(2,1/(Y96:AE96&lt;&gt;""),Y96:AE96)))</t>
        </is>
      </c>
      <c r="AR96" s="36" t="inlineStr">
        <is>
          <t>IF(OR(E96="",AG96=""),"",IF(COUNT(Y96:AF96)=0,"",AG96-LOOKUP(2,1/(Y96:AF96&lt;&gt;""),Y96:AF96)))</t>
        </is>
      </c>
      <c r="AS96" s="36" t="inlineStr">
        <is>
          <t>IF(OR(E96="",AH96=""),"",IF(COUNT(Y96:AG96)=0,"",AH96-LOOKUP(2,1/(Y96:AG96&lt;&gt;""),Y96:AG96)))</t>
        </is>
      </c>
      <c r="AT96" s="36" t="inlineStr">
        <is>
          <t>IF(OR(E96="",AI96=""),"",IF(COUNT(Y96:AH96)=0,"",AI96-LOOKUP(2,1/(Y96:AH96&lt;&gt;""),Y96:AH96)))</t>
        </is>
      </c>
      <c r="AU96" s="36" t="inlineStr">
        <is>
          <t>IF(OR(E96="",AJ96=""),"",IF(COUNT(Y96:AI96)=0,"",AJ96-LOOKUP(2,1/(Y96:AI96&lt;&gt;""),Y96:AI96)))</t>
        </is>
      </c>
      <c r="AV96" s="39" t="inlineStr">
        <is>
          <t>IF(G96="","All_Provinces",IFERROR(VLOOKUP(G96,'07_Lookups'!$A$4:$B$20,2,FALSE),"All_Provinces"))</t>
        </is>
      </c>
      <c r="AW96" s="39" t="inlineStr">
        <is>
          <t>IF(H96="","All_Districts",IFERROR(VLOOKUP(H96,'07_Lookups'!$E$4:$F$42,2,FALSE),"All_Districts"))</t>
        </is>
      </c>
    </row>
    <row r="97" ht="18" customHeight="1">
      <c r="A97" s="31" t="inlineStr">
        <is>
          <t>IF(E97="","",ROW()-3)</t>
        </is>
      </c>
      <c r="B97" s="40" t="n"/>
      <c r="C97" s="40" t="n"/>
      <c r="D97" s="40" t="n"/>
      <c r="E97" s="40" t="n"/>
      <c r="F97" s="40" t="n"/>
      <c r="G97" s="40" t="n"/>
      <c r="H97" s="40" t="n"/>
      <c r="I97" s="40" t="n"/>
      <c r="J97" s="40" t="n"/>
      <c r="K97" s="40" t="n"/>
      <c r="L97" s="40" t="n"/>
      <c r="M97" s="40" t="n"/>
      <c r="N97" s="41" t="n"/>
      <c r="O97" s="34" t="inlineStr">
        <is>
          <t>IF(AE97="","",AE97)</t>
        </is>
      </c>
      <c r="P97" s="42" t="n"/>
      <c r="Q97" s="34" t="inlineStr">
        <is>
          <t>IF(OR(O97="",P97=""),"",EDATE(O97,P97))</t>
        </is>
      </c>
      <c r="R97" s="42" t="n"/>
      <c r="S97" s="40" t="n"/>
      <c r="T97" s="40" t="n"/>
      <c r="U97" s="31" t="inlineStr">
        <is>
          <t>IF(E97="","",IF(COUNT(Y97:AJ97)=0,IF(S97="","Not started",S97),SUBSTITUTE(LOOKUP(2,1/(Y97:AJ97&lt;&gt;""),$Y$3:$AJ$3),"Date: ","")))</t>
        </is>
      </c>
      <c r="V97" s="36" t="inlineStr">
        <is>
          <t>IF(OR(E97="",COUNT(Y97:AJ97)=0),"",TODAY()-LOOKUP(2,1/(Y97:AJ97&lt;&gt;""),Y97:AJ97))</t>
        </is>
      </c>
      <c r="W97" s="36" t="inlineStr">
        <is>
          <t>IF(OR(E97="",COUNT(Y97:AJ97)&lt;2),"",LOOKUP(2,1/(Y97:AJ97&lt;&gt;""),Y97:AJ97)-MIN(Y97:AJ97))</t>
        </is>
      </c>
      <c r="X97" s="36" t="inlineStr">
        <is>
          <t>IF(OR(V97="",U97="Not started",U97=""),"",IFERROR(V97-IF(VLOOKUP(U97,'04_Status_Pipeline'!$B$3:$E$20,4,FALSE)="",0,VLOOKUP(U97,'04_Status_Pipeline'!$B$3:$E$20,4,FALSE)),""))</t>
        </is>
      </c>
      <c r="Y97" s="43" t="n"/>
      <c r="Z97" s="43" t="n"/>
      <c r="AA97" s="43" t="n"/>
      <c r="AB97" s="43" t="n"/>
      <c r="AC97" s="43" t="n"/>
      <c r="AD97" s="43" t="n"/>
      <c r="AE97" s="43" t="n"/>
      <c r="AF97" s="43" t="n"/>
      <c r="AG97" s="43" t="n"/>
      <c r="AH97" s="38" t="n"/>
      <c r="AI97" s="38" t="n"/>
      <c r="AJ97" s="38" t="n"/>
      <c r="AK97" s="36" t="inlineStr">
        <is>
          <t>IF(OR(E97="",Z97=""),"",IF(COUNT(Y97:Y97)=0,"",Z97-LOOKUP(2,1/(Y97:Y97&lt;&gt;""),Y97:Y97)))</t>
        </is>
      </c>
      <c r="AL97" s="36" t="inlineStr">
        <is>
          <t>IF(OR(E97="",AA97=""),"",IF(COUNT(Y97:Z97)=0,"",AA97-LOOKUP(2,1/(Y97:Z97&lt;&gt;""),Y97:Z97)))</t>
        </is>
      </c>
      <c r="AM97" s="36" t="inlineStr">
        <is>
          <t>IF(OR(E97="",AB97=""),"",IF(COUNT(Y97:AA97)=0,"",AB97-LOOKUP(2,1/(Y97:AA97&lt;&gt;""),Y97:AA97)))</t>
        </is>
      </c>
      <c r="AN97" s="36" t="inlineStr">
        <is>
          <t>IF(OR(E97="",AC97=""),"",IF(COUNT(Y97:AB97)=0,"",AC97-LOOKUP(2,1/(Y97:AB97&lt;&gt;""),Y97:AB97)))</t>
        </is>
      </c>
      <c r="AO97" s="36" t="inlineStr">
        <is>
          <t>IF(OR(E97="",AD97=""),"",IF(COUNT(Y97:AC97)=0,"",AD97-LOOKUP(2,1/(Y97:AC97&lt;&gt;""),Y97:AC97)))</t>
        </is>
      </c>
      <c r="AP97" s="36" t="inlineStr">
        <is>
          <t>IF(OR(E97="",AE97=""),"",IF(COUNT(Y97:AD97)=0,"",AE97-LOOKUP(2,1/(Y97:AD97&lt;&gt;""),Y97:AD97)))</t>
        </is>
      </c>
      <c r="AQ97" s="36" t="inlineStr">
        <is>
          <t>IF(OR(E97="",AF97=""),"",IF(COUNT(Y97:AE97)=0,"",AF97-LOOKUP(2,1/(Y97:AE97&lt;&gt;""),Y97:AE97)))</t>
        </is>
      </c>
      <c r="AR97" s="36" t="inlineStr">
        <is>
          <t>IF(OR(E97="",AG97=""),"",IF(COUNT(Y97:AF97)=0,"",AG97-LOOKUP(2,1/(Y97:AF97&lt;&gt;""),Y97:AF97)))</t>
        </is>
      </c>
      <c r="AS97" s="36" t="inlineStr">
        <is>
          <t>IF(OR(E97="",AH97=""),"",IF(COUNT(Y97:AG97)=0,"",AH97-LOOKUP(2,1/(Y97:AG97&lt;&gt;""),Y97:AG97)))</t>
        </is>
      </c>
      <c r="AT97" s="36" t="inlineStr">
        <is>
          <t>IF(OR(E97="",AI97=""),"",IF(COUNT(Y97:AH97)=0,"",AI97-LOOKUP(2,1/(Y97:AH97&lt;&gt;""),Y97:AH97)))</t>
        </is>
      </c>
      <c r="AU97" s="36" t="inlineStr">
        <is>
          <t>IF(OR(E97="",AJ97=""),"",IF(COUNT(Y97:AI97)=0,"",AJ97-LOOKUP(2,1/(Y97:AI97&lt;&gt;""),Y97:AI97)))</t>
        </is>
      </c>
      <c r="AV97" s="39" t="inlineStr">
        <is>
          <t>IF(G97="","All_Provinces",IFERROR(VLOOKUP(G97,'07_Lookups'!$A$4:$B$20,2,FALSE),"All_Provinces"))</t>
        </is>
      </c>
      <c r="AW97" s="39" t="inlineStr">
        <is>
          <t>IF(H97="","All_Districts",IFERROR(VLOOKUP(H97,'07_Lookups'!$E$4:$F$42,2,FALSE),"All_Districts"))</t>
        </is>
      </c>
    </row>
    <row r="98" ht="18" customHeight="1">
      <c r="A98" s="31" t="inlineStr">
        <is>
          <t>IF(E98="","",ROW()-3)</t>
        </is>
      </c>
      <c r="B98" s="32" t="n"/>
      <c r="C98" s="32" t="n"/>
      <c r="D98" s="32" t="n"/>
      <c r="E98" s="32" t="n"/>
      <c r="F98" s="32" t="n"/>
      <c r="G98" s="32" t="n"/>
      <c r="H98" s="32" t="n"/>
      <c r="I98" s="32" t="n"/>
      <c r="J98" s="32" t="n"/>
      <c r="K98" s="32" t="n"/>
      <c r="L98" s="32" t="n"/>
      <c r="M98" s="32" t="n"/>
      <c r="N98" s="33" t="n"/>
      <c r="O98" s="34" t="inlineStr">
        <is>
          <t>IF(AE98="","",AE98)</t>
        </is>
      </c>
      <c r="P98" s="35" t="n"/>
      <c r="Q98" s="34" t="inlineStr">
        <is>
          <t>IF(OR(O98="",P98=""),"",EDATE(O98,P98))</t>
        </is>
      </c>
      <c r="R98" s="35" t="n"/>
      <c r="S98" s="32" t="n"/>
      <c r="T98" s="32" t="n"/>
      <c r="U98" s="31" t="inlineStr">
        <is>
          <t>IF(E98="","",IF(COUNT(Y98:AJ98)=0,IF(S98="","Not started",S98),SUBSTITUTE(LOOKUP(2,1/(Y98:AJ98&lt;&gt;""),$Y$3:$AJ$3),"Date: ","")))</t>
        </is>
      </c>
      <c r="V98" s="36" t="inlineStr">
        <is>
          <t>IF(OR(E98="",COUNT(Y98:AJ98)=0),"",TODAY()-LOOKUP(2,1/(Y98:AJ98&lt;&gt;""),Y98:AJ98))</t>
        </is>
      </c>
      <c r="W98" s="36" t="inlineStr">
        <is>
          <t>IF(OR(E98="",COUNT(Y98:AJ98)&lt;2),"",LOOKUP(2,1/(Y98:AJ98&lt;&gt;""),Y98:AJ98)-MIN(Y98:AJ98))</t>
        </is>
      </c>
      <c r="X98" s="36" t="inlineStr">
        <is>
          <t>IF(OR(V98="",U98="Not started",U98=""),"",IFERROR(V98-IF(VLOOKUP(U98,'04_Status_Pipeline'!$B$3:$E$20,4,FALSE)="",0,VLOOKUP(U98,'04_Status_Pipeline'!$B$3:$E$20,4,FALSE)),""))</t>
        </is>
      </c>
      <c r="Y98" s="37" t="n"/>
      <c r="Z98" s="37" t="n"/>
      <c r="AA98" s="37" t="n"/>
      <c r="AB98" s="37" t="n"/>
      <c r="AC98" s="37" t="n"/>
      <c r="AD98" s="37" t="n"/>
      <c r="AE98" s="37" t="n"/>
      <c r="AF98" s="37" t="n"/>
      <c r="AG98" s="37" t="n"/>
      <c r="AH98" s="38" t="n"/>
      <c r="AI98" s="38" t="n"/>
      <c r="AJ98" s="38" t="n"/>
      <c r="AK98" s="36" t="inlineStr">
        <is>
          <t>IF(OR(E98="",Z98=""),"",IF(COUNT(Y98:Y98)=0,"",Z98-LOOKUP(2,1/(Y98:Y98&lt;&gt;""),Y98:Y98)))</t>
        </is>
      </c>
      <c r="AL98" s="36" t="inlineStr">
        <is>
          <t>IF(OR(E98="",AA98=""),"",IF(COUNT(Y98:Z98)=0,"",AA98-LOOKUP(2,1/(Y98:Z98&lt;&gt;""),Y98:Z98)))</t>
        </is>
      </c>
      <c r="AM98" s="36" t="inlineStr">
        <is>
          <t>IF(OR(E98="",AB98=""),"",IF(COUNT(Y98:AA98)=0,"",AB98-LOOKUP(2,1/(Y98:AA98&lt;&gt;""),Y98:AA98)))</t>
        </is>
      </c>
      <c r="AN98" s="36" t="inlineStr">
        <is>
          <t>IF(OR(E98="",AC98=""),"",IF(COUNT(Y98:AB98)=0,"",AC98-LOOKUP(2,1/(Y98:AB98&lt;&gt;""),Y98:AB98)))</t>
        </is>
      </c>
      <c r="AO98" s="36" t="inlineStr">
        <is>
          <t>IF(OR(E98="",AD98=""),"",IF(COUNT(Y98:AC98)=0,"",AD98-LOOKUP(2,1/(Y98:AC98&lt;&gt;""),Y98:AC98)))</t>
        </is>
      </c>
      <c r="AP98" s="36" t="inlineStr">
        <is>
          <t>IF(OR(E98="",AE98=""),"",IF(COUNT(Y98:AD98)=0,"",AE98-LOOKUP(2,1/(Y98:AD98&lt;&gt;""),Y98:AD98)))</t>
        </is>
      </c>
      <c r="AQ98" s="36" t="inlineStr">
        <is>
          <t>IF(OR(E98="",AF98=""),"",IF(COUNT(Y98:AE98)=0,"",AF98-LOOKUP(2,1/(Y98:AE98&lt;&gt;""),Y98:AE98)))</t>
        </is>
      </c>
      <c r="AR98" s="36" t="inlineStr">
        <is>
          <t>IF(OR(E98="",AG98=""),"",IF(COUNT(Y98:AF98)=0,"",AG98-LOOKUP(2,1/(Y98:AF98&lt;&gt;""),Y98:AF98)))</t>
        </is>
      </c>
      <c r="AS98" s="36" t="inlineStr">
        <is>
          <t>IF(OR(E98="",AH98=""),"",IF(COUNT(Y98:AG98)=0,"",AH98-LOOKUP(2,1/(Y98:AG98&lt;&gt;""),Y98:AG98)))</t>
        </is>
      </c>
      <c r="AT98" s="36" t="inlineStr">
        <is>
          <t>IF(OR(E98="",AI98=""),"",IF(COUNT(Y98:AH98)=0,"",AI98-LOOKUP(2,1/(Y98:AH98&lt;&gt;""),Y98:AH98)))</t>
        </is>
      </c>
      <c r="AU98" s="36" t="inlineStr">
        <is>
          <t>IF(OR(E98="",AJ98=""),"",IF(COUNT(Y98:AI98)=0,"",AJ98-LOOKUP(2,1/(Y98:AI98&lt;&gt;""),Y98:AI98)))</t>
        </is>
      </c>
      <c r="AV98" s="39" t="inlineStr">
        <is>
          <t>IF(G98="","All_Provinces",IFERROR(VLOOKUP(G98,'07_Lookups'!$A$4:$B$20,2,FALSE),"All_Provinces"))</t>
        </is>
      </c>
      <c r="AW98" s="39" t="inlineStr">
        <is>
          <t>IF(H98="","All_Districts",IFERROR(VLOOKUP(H98,'07_Lookups'!$E$4:$F$42,2,FALSE),"All_Districts"))</t>
        </is>
      </c>
    </row>
    <row r="99" ht="18" customHeight="1">
      <c r="A99" s="31" t="inlineStr">
        <is>
          <t>IF(E99="","",ROW()-3)</t>
        </is>
      </c>
      <c r="B99" s="40" t="n"/>
      <c r="C99" s="40" t="n"/>
      <c r="D99" s="40" t="n"/>
      <c r="E99" s="40" t="n"/>
      <c r="F99" s="40" t="n"/>
      <c r="G99" s="40" t="n"/>
      <c r="H99" s="40" t="n"/>
      <c r="I99" s="40" t="n"/>
      <c r="J99" s="40" t="n"/>
      <c r="K99" s="40" t="n"/>
      <c r="L99" s="40" t="n"/>
      <c r="M99" s="40" t="n"/>
      <c r="N99" s="41" t="n"/>
      <c r="O99" s="34" t="inlineStr">
        <is>
          <t>IF(AE99="","",AE99)</t>
        </is>
      </c>
      <c r="P99" s="42" t="n"/>
      <c r="Q99" s="34" t="inlineStr">
        <is>
          <t>IF(OR(O99="",P99=""),"",EDATE(O99,P99))</t>
        </is>
      </c>
      <c r="R99" s="42" t="n"/>
      <c r="S99" s="40" t="n"/>
      <c r="T99" s="40" t="n"/>
      <c r="U99" s="31" t="inlineStr">
        <is>
          <t>IF(E99="","",IF(COUNT(Y99:AJ99)=0,IF(S99="","Not started",S99),SUBSTITUTE(LOOKUP(2,1/(Y99:AJ99&lt;&gt;""),$Y$3:$AJ$3),"Date: ","")))</t>
        </is>
      </c>
      <c r="V99" s="36" t="inlineStr">
        <is>
          <t>IF(OR(E99="",COUNT(Y99:AJ99)=0),"",TODAY()-LOOKUP(2,1/(Y99:AJ99&lt;&gt;""),Y99:AJ99))</t>
        </is>
      </c>
      <c r="W99" s="36" t="inlineStr">
        <is>
          <t>IF(OR(E99="",COUNT(Y99:AJ99)&lt;2),"",LOOKUP(2,1/(Y99:AJ99&lt;&gt;""),Y99:AJ99)-MIN(Y99:AJ99))</t>
        </is>
      </c>
      <c r="X99" s="36" t="inlineStr">
        <is>
          <t>IF(OR(V99="",U99="Not started",U99=""),"",IFERROR(V99-IF(VLOOKUP(U99,'04_Status_Pipeline'!$B$3:$E$20,4,FALSE)="",0,VLOOKUP(U99,'04_Status_Pipeline'!$B$3:$E$20,4,FALSE)),""))</t>
        </is>
      </c>
      <c r="Y99" s="43" t="n"/>
      <c r="Z99" s="43" t="n"/>
      <c r="AA99" s="43" t="n"/>
      <c r="AB99" s="43" t="n"/>
      <c r="AC99" s="43" t="n"/>
      <c r="AD99" s="43" t="n"/>
      <c r="AE99" s="43" t="n"/>
      <c r="AF99" s="43" t="n"/>
      <c r="AG99" s="43" t="n"/>
      <c r="AH99" s="38" t="n"/>
      <c r="AI99" s="38" t="n"/>
      <c r="AJ99" s="38" t="n"/>
      <c r="AK99" s="36" t="inlineStr">
        <is>
          <t>IF(OR(E99="",Z99=""),"",IF(COUNT(Y99:Y99)=0,"",Z99-LOOKUP(2,1/(Y99:Y99&lt;&gt;""),Y99:Y99)))</t>
        </is>
      </c>
      <c r="AL99" s="36" t="inlineStr">
        <is>
          <t>IF(OR(E99="",AA99=""),"",IF(COUNT(Y99:Z99)=0,"",AA99-LOOKUP(2,1/(Y99:Z99&lt;&gt;""),Y99:Z99)))</t>
        </is>
      </c>
      <c r="AM99" s="36" t="inlineStr">
        <is>
          <t>IF(OR(E99="",AB99=""),"",IF(COUNT(Y99:AA99)=0,"",AB99-LOOKUP(2,1/(Y99:AA99&lt;&gt;""),Y99:AA99)))</t>
        </is>
      </c>
      <c r="AN99" s="36" t="inlineStr">
        <is>
          <t>IF(OR(E99="",AC99=""),"",IF(COUNT(Y99:AB99)=0,"",AC99-LOOKUP(2,1/(Y99:AB99&lt;&gt;""),Y99:AB99)))</t>
        </is>
      </c>
      <c r="AO99" s="36" t="inlineStr">
        <is>
          <t>IF(OR(E99="",AD99=""),"",IF(COUNT(Y99:AC99)=0,"",AD99-LOOKUP(2,1/(Y99:AC99&lt;&gt;""),Y99:AC99)))</t>
        </is>
      </c>
      <c r="AP99" s="36" t="inlineStr">
        <is>
          <t>IF(OR(E99="",AE99=""),"",IF(COUNT(Y99:AD99)=0,"",AE99-LOOKUP(2,1/(Y99:AD99&lt;&gt;""),Y99:AD99)))</t>
        </is>
      </c>
      <c r="AQ99" s="36" t="inlineStr">
        <is>
          <t>IF(OR(E99="",AF99=""),"",IF(COUNT(Y99:AE99)=0,"",AF99-LOOKUP(2,1/(Y99:AE99&lt;&gt;""),Y99:AE99)))</t>
        </is>
      </c>
      <c r="AR99" s="36" t="inlineStr">
        <is>
          <t>IF(OR(E99="",AG99=""),"",IF(COUNT(Y99:AF99)=0,"",AG99-LOOKUP(2,1/(Y99:AF99&lt;&gt;""),Y99:AF99)))</t>
        </is>
      </c>
      <c r="AS99" s="36" t="inlineStr">
        <is>
          <t>IF(OR(E99="",AH99=""),"",IF(COUNT(Y99:AG99)=0,"",AH99-LOOKUP(2,1/(Y99:AG99&lt;&gt;""),Y99:AG99)))</t>
        </is>
      </c>
      <c r="AT99" s="36" t="inlineStr">
        <is>
          <t>IF(OR(E99="",AI99=""),"",IF(COUNT(Y99:AH99)=0,"",AI99-LOOKUP(2,1/(Y99:AH99&lt;&gt;""),Y99:AH99)))</t>
        </is>
      </c>
      <c r="AU99" s="36" t="inlineStr">
        <is>
          <t>IF(OR(E99="",AJ99=""),"",IF(COUNT(Y99:AI99)=0,"",AJ99-LOOKUP(2,1/(Y99:AI99&lt;&gt;""),Y99:AI99)))</t>
        </is>
      </c>
      <c r="AV99" s="39" t="inlineStr">
        <is>
          <t>IF(G99="","All_Provinces",IFERROR(VLOOKUP(G99,'07_Lookups'!$A$4:$B$20,2,FALSE),"All_Provinces"))</t>
        </is>
      </c>
      <c r="AW99" s="39" t="inlineStr">
        <is>
          <t>IF(H99="","All_Districts",IFERROR(VLOOKUP(H99,'07_Lookups'!$E$4:$F$42,2,FALSE),"All_Districts"))</t>
        </is>
      </c>
    </row>
    <row r="100" ht="18" customHeight="1">
      <c r="A100" s="31" t="inlineStr">
        <is>
          <t>IF(E100="","",ROW()-3)</t>
        </is>
      </c>
      <c r="B100" s="32" t="n"/>
      <c r="C100" s="32" t="n"/>
      <c r="D100" s="32" t="n"/>
      <c r="E100" s="32" t="n"/>
      <c r="F100" s="32" t="n"/>
      <c r="G100" s="32" t="n"/>
      <c r="H100" s="32" t="n"/>
      <c r="I100" s="32" t="n"/>
      <c r="J100" s="32" t="n"/>
      <c r="K100" s="32" t="n"/>
      <c r="L100" s="32" t="n"/>
      <c r="M100" s="32" t="n"/>
      <c r="N100" s="33" t="n"/>
      <c r="O100" s="34" t="inlineStr">
        <is>
          <t>IF(AE100="","",AE100)</t>
        </is>
      </c>
      <c r="P100" s="35" t="n"/>
      <c r="Q100" s="34" t="inlineStr">
        <is>
          <t>IF(OR(O100="",P100=""),"",EDATE(O100,P100))</t>
        </is>
      </c>
      <c r="R100" s="35" t="n"/>
      <c r="S100" s="32" t="n"/>
      <c r="T100" s="32" t="n"/>
      <c r="U100" s="31" t="inlineStr">
        <is>
          <t>IF(E100="","",IF(COUNT(Y100:AJ100)=0,IF(S100="","Not started",S100),SUBSTITUTE(LOOKUP(2,1/(Y100:AJ100&lt;&gt;""),$Y$3:$AJ$3),"Date: ","")))</t>
        </is>
      </c>
      <c r="V100" s="36" t="inlineStr">
        <is>
          <t>IF(OR(E100="",COUNT(Y100:AJ100)=0),"",TODAY()-LOOKUP(2,1/(Y100:AJ100&lt;&gt;""),Y100:AJ100))</t>
        </is>
      </c>
      <c r="W100" s="36" t="inlineStr">
        <is>
          <t>IF(OR(E100="",COUNT(Y100:AJ100)&lt;2),"",LOOKUP(2,1/(Y100:AJ100&lt;&gt;""),Y100:AJ100)-MIN(Y100:AJ100))</t>
        </is>
      </c>
      <c r="X100" s="36" t="inlineStr">
        <is>
          <t>IF(OR(V100="",U100="Not started",U100=""),"",IFERROR(V100-IF(VLOOKUP(U100,'04_Status_Pipeline'!$B$3:$E$20,4,FALSE)="",0,VLOOKUP(U100,'04_Status_Pipeline'!$B$3:$E$20,4,FALSE)),""))</t>
        </is>
      </c>
      <c r="Y100" s="37" t="n"/>
      <c r="Z100" s="37" t="n"/>
      <c r="AA100" s="37" t="n"/>
      <c r="AB100" s="37" t="n"/>
      <c r="AC100" s="37" t="n"/>
      <c r="AD100" s="37" t="n"/>
      <c r="AE100" s="37" t="n"/>
      <c r="AF100" s="37" t="n"/>
      <c r="AG100" s="37" t="n"/>
      <c r="AH100" s="38" t="n"/>
      <c r="AI100" s="38" t="n"/>
      <c r="AJ100" s="38" t="n"/>
      <c r="AK100" s="36" t="inlineStr">
        <is>
          <t>IF(OR(E100="",Z100=""),"",IF(COUNT(Y100:Y100)=0,"",Z100-LOOKUP(2,1/(Y100:Y100&lt;&gt;""),Y100:Y100)))</t>
        </is>
      </c>
      <c r="AL100" s="36" t="inlineStr">
        <is>
          <t>IF(OR(E100="",AA100=""),"",IF(COUNT(Y100:Z100)=0,"",AA100-LOOKUP(2,1/(Y100:Z100&lt;&gt;""),Y100:Z100)))</t>
        </is>
      </c>
      <c r="AM100" s="36" t="inlineStr">
        <is>
          <t>IF(OR(E100="",AB100=""),"",IF(COUNT(Y100:AA100)=0,"",AB100-LOOKUP(2,1/(Y100:AA100&lt;&gt;""),Y100:AA100)))</t>
        </is>
      </c>
      <c r="AN100" s="36" t="inlineStr">
        <is>
          <t>IF(OR(E100="",AC100=""),"",IF(COUNT(Y100:AB100)=0,"",AC100-LOOKUP(2,1/(Y100:AB100&lt;&gt;""),Y100:AB100)))</t>
        </is>
      </c>
      <c r="AO100" s="36" t="inlineStr">
        <is>
          <t>IF(OR(E100="",AD100=""),"",IF(COUNT(Y100:AC100)=0,"",AD100-LOOKUP(2,1/(Y100:AC100&lt;&gt;""),Y100:AC100)))</t>
        </is>
      </c>
      <c r="AP100" s="36" t="inlineStr">
        <is>
          <t>IF(OR(E100="",AE100=""),"",IF(COUNT(Y100:AD100)=0,"",AE100-LOOKUP(2,1/(Y100:AD100&lt;&gt;""),Y100:AD100)))</t>
        </is>
      </c>
      <c r="AQ100" s="36" t="inlineStr">
        <is>
          <t>IF(OR(E100="",AF100=""),"",IF(COUNT(Y100:AE100)=0,"",AF100-LOOKUP(2,1/(Y100:AE100&lt;&gt;""),Y100:AE100)))</t>
        </is>
      </c>
      <c r="AR100" s="36" t="inlineStr">
        <is>
          <t>IF(OR(E100="",AG100=""),"",IF(COUNT(Y100:AF100)=0,"",AG100-LOOKUP(2,1/(Y100:AF100&lt;&gt;""),Y100:AF100)))</t>
        </is>
      </c>
      <c r="AS100" s="36" t="inlineStr">
        <is>
          <t>IF(OR(E100="",AH100=""),"",IF(COUNT(Y100:AG100)=0,"",AH100-LOOKUP(2,1/(Y100:AG100&lt;&gt;""),Y100:AG100)))</t>
        </is>
      </c>
      <c r="AT100" s="36" t="inlineStr">
        <is>
          <t>IF(OR(E100="",AI100=""),"",IF(COUNT(Y100:AH100)=0,"",AI100-LOOKUP(2,1/(Y100:AH100&lt;&gt;""),Y100:AH100)))</t>
        </is>
      </c>
      <c r="AU100" s="36" t="inlineStr">
        <is>
          <t>IF(OR(E100="",AJ100=""),"",IF(COUNT(Y100:AI100)=0,"",AJ100-LOOKUP(2,1/(Y100:AI100&lt;&gt;""),Y100:AI100)))</t>
        </is>
      </c>
      <c r="AV100" s="39" t="inlineStr">
        <is>
          <t>IF(G100="","All_Provinces",IFERROR(VLOOKUP(G100,'07_Lookups'!$A$4:$B$20,2,FALSE),"All_Provinces"))</t>
        </is>
      </c>
      <c r="AW100" s="39" t="inlineStr">
        <is>
          <t>IF(H100="","All_Districts",IFERROR(VLOOKUP(H100,'07_Lookups'!$E$4:$F$42,2,FALSE),"All_Districts"))</t>
        </is>
      </c>
    </row>
    <row r="101" ht="18" customHeight="1">
      <c r="A101" s="31" t="inlineStr">
        <is>
          <t>IF(E101="","",ROW()-3)</t>
        </is>
      </c>
      <c r="B101" s="40" t="n"/>
      <c r="C101" s="40" t="n"/>
      <c r="D101" s="40" t="n"/>
      <c r="E101" s="40" t="n"/>
      <c r="F101" s="40" t="n"/>
      <c r="G101" s="40" t="n"/>
      <c r="H101" s="40" t="n"/>
      <c r="I101" s="40" t="n"/>
      <c r="J101" s="40" t="n"/>
      <c r="K101" s="40" t="n"/>
      <c r="L101" s="40" t="n"/>
      <c r="M101" s="40" t="n"/>
      <c r="N101" s="41" t="n"/>
      <c r="O101" s="34" t="inlineStr">
        <is>
          <t>IF(AE101="","",AE101)</t>
        </is>
      </c>
      <c r="P101" s="42" t="n"/>
      <c r="Q101" s="34" t="inlineStr">
        <is>
          <t>IF(OR(O101="",P101=""),"",EDATE(O101,P101))</t>
        </is>
      </c>
      <c r="R101" s="42" t="n"/>
      <c r="S101" s="40" t="n"/>
      <c r="T101" s="40" t="n"/>
      <c r="U101" s="31" t="inlineStr">
        <is>
          <t>IF(E101="","",IF(COUNT(Y101:AJ101)=0,IF(S101="","Not started",S101),SUBSTITUTE(LOOKUP(2,1/(Y101:AJ101&lt;&gt;""),$Y$3:$AJ$3),"Date: ","")))</t>
        </is>
      </c>
      <c r="V101" s="36" t="inlineStr">
        <is>
          <t>IF(OR(E101="",COUNT(Y101:AJ101)=0),"",TODAY()-LOOKUP(2,1/(Y101:AJ101&lt;&gt;""),Y101:AJ101))</t>
        </is>
      </c>
      <c r="W101" s="36" t="inlineStr">
        <is>
          <t>IF(OR(E101="",COUNT(Y101:AJ101)&lt;2),"",LOOKUP(2,1/(Y101:AJ101&lt;&gt;""),Y101:AJ101)-MIN(Y101:AJ101))</t>
        </is>
      </c>
      <c r="X101" s="36" t="inlineStr">
        <is>
          <t>IF(OR(V101="",U101="Not started",U101=""),"",IFERROR(V101-IF(VLOOKUP(U101,'04_Status_Pipeline'!$B$3:$E$20,4,FALSE)="",0,VLOOKUP(U101,'04_Status_Pipeline'!$B$3:$E$20,4,FALSE)),""))</t>
        </is>
      </c>
      <c r="Y101" s="43" t="n"/>
      <c r="Z101" s="43" t="n"/>
      <c r="AA101" s="43" t="n"/>
      <c r="AB101" s="43" t="n"/>
      <c r="AC101" s="43" t="n"/>
      <c r="AD101" s="43" t="n"/>
      <c r="AE101" s="43" t="n"/>
      <c r="AF101" s="43" t="n"/>
      <c r="AG101" s="43" t="n"/>
      <c r="AH101" s="38" t="n"/>
      <c r="AI101" s="38" t="n"/>
      <c r="AJ101" s="38" t="n"/>
      <c r="AK101" s="36" t="inlineStr">
        <is>
          <t>IF(OR(E101="",Z101=""),"",IF(COUNT(Y101:Y101)=0,"",Z101-LOOKUP(2,1/(Y101:Y101&lt;&gt;""),Y101:Y101)))</t>
        </is>
      </c>
      <c r="AL101" s="36" t="inlineStr">
        <is>
          <t>IF(OR(E101="",AA101=""),"",IF(COUNT(Y101:Z101)=0,"",AA101-LOOKUP(2,1/(Y101:Z101&lt;&gt;""),Y101:Z101)))</t>
        </is>
      </c>
      <c r="AM101" s="36" t="inlineStr">
        <is>
          <t>IF(OR(E101="",AB101=""),"",IF(COUNT(Y101:AA101)=0,"",AB101-LOOKUP(2,1/(Y101:AA101&lt;&gt;""),Y101:AA101)))</t>
        </is>
      </c>
      <c r="AN101" s="36" t="inlineStr">
        <is>
          <t>IF(OR(E101="",AC101=""),"",IF(COUNT(Y101:AB101)=0,"",AC101-LOOKUP(2,1/(Y101:AB101&lt;&gt;""),Y101:AB101)))</t>
        </is>
      </c>
      <c r="AO101" s="36" t="inlineStr">
        <is>
          <t>IF(OR(E101="",AD101=""),"",IF(COUNT(Y101:AC101)=0,"",AD101-LOOKUP(2,1/(Y101:AC101&lt;&gt;""),Y101:AC101)))</t>
        </is>
      </c>
      <c r="AP101" s="36" t="inlineStr">
        <is>
          <t>IF(OR(E101="",AE101=""),"",IF(COUNT(Y101:AD101)=0,"",AE101-LOOKUP(2,1/(Y101:AD101&lt;&gt;""),Y101:AD101)))</t>
        </is>
      </c>
      <c r="AQ101" s="36" t="inlineStr">
        <is>
          <t>IF(OR(E101="",AF101=""),"",IF(COUNT(Y101:AE101)=0,"",AF101-LOOKUP(2,1/(Y101:AE101&lt;&gt;""),Y101:AE101)))</t>
        </is>
      </c>
      <c r="AR101" s="36" t="inlineStr">
        <is>
          <t>IF(OR(E101="",AG101=""),"",IF(COUNT(Y101:AF101)=0,"",AG101-LOOKUP(2,1/(Y101:AF101&lt;&gt;""),Y101:AF101)))</t>
        </is>
      </c>
      <c r="AS101" s="36" t="inlineStr">
        <is>
          <t>IF(OR(E101="",AH101=""),"",IF(COUNT(Y101:AG101)=0,"",AH101-LOOKUP(2,1/(Y101:AG101&lt;&gt;""),Y101:AG101)))</t>
        </is>
      </c>
      <c r="AT101" s="36" t="inlineStr">
        <is>
          <t>IF(OR(E101="",AI101=""),"",IF(COUNT(Y101:AH101)=0,"",AI101-LOOKUP(2,1/(Y101:AH101&lt;&gt;""),Y101:AH101)))</t>
        </is>
      </c>
      <c r="AU101" s="36" t="inlineStr">
        <is>
          <t>IF(OR(E101="",AJ101=""),"",IF(COUNT(Y101:AI101)=0,"",AJ101-LOOKUP(2,1/(Y101:AI101&lt;&gt;""),Y101:AI101)))</t>
        </is>
      </c>
      <c r="AV101" s="39" t="inlineStr">
        <is>
          <t>IF(G101="","All_Provinces",IFERROR(VLOOKUP(G101,'07_Lookups'!$A$4:$B$20,2,FALSE),"All_Provinces"))</t>
        </is>
      </c>
      <c r="AW101" s="39" t="inlineStr">
        <is>
          <t>IF(H101="","All_Districts",IFERROR(VLOOKUP(H101,'07_Lookups'!$E$4:$F$42,2,FALSE),"All_Districts"))</t>
        </is>
      </c>
    </row>
    <row r="102" ht="18" customHeight="1">
      <c r="A102" s="31" t="inlineStr">
        <is>
          <t>IF(E102="","",ROW()-3)</t>
        </is>
      </c>
      <c r="B102" s="32" t="n"/>
      <c r="C102" s="32" t="n"/>
      <c r="D102" s="32" t="n"/>
      <c r="E102" s="32" t="n"/>
      <c r="F102" s="32" t="n"/>
      <c r="G102" s="32" t="n"/>
      <c r="H102" s="32" t="n"/>
      <c r="I102" s="32" t="n"/>
      <c r="J102" s="32" t="n"/>
      <c r="K102" s="32" t="n"/>
      <c r="L102" s="32" t="n"/>
      <c r="M102" s="32" t="n"/>
      <c r="N102" s="33" t="n"/>
      <c r="O102" s="34" t="inlineStr">
        <is>
          <t>IF(AE102="","",AE102)</t>
        </is>
      </c>
      <c r="P102" s="35" t="n"/>
      <c r="Q102" s="34" t="inlineStr">
        <is>
          <t>IF(OR(O102="",P102=""),"",EDATE(O102,P102))</t>
        </is>
      </c>
      <c r="R102" s="35" t="n"/>
      <c r="S102" s="32" t="n"/>
      <c r="T102" s="32" t="n"/>
      <c r="U102" s="31" t="inlineStr">
        <is>
          <t>IF(E102="","",IF(COUNT(Y102:AJ102)=0,IF(S102="","Not started",S102),SUBSTITUTE(LOOKUP(2,1/(Y102:AJ102&lt;&gt;""),$Y$3:$AJ$3),"Date: ","")))</t>
        </is>
      </c>
      <c r="V102" s="36" t="inlineStr">
        <is>
          <t>IF(OR(E102="",COUNT(Y102:AJ102)=0),"",TODAY()-LOOKUP(2,1/(Y102:AJ102&lt;&gt;""),Y102:AJ102))</t>
        </is>
      </c>
      <c r="W102" s="36" t="inlineStr">
        <is>
          <t>IF(OR(E102="",COUNT(Y102:AJ102)&lt;2),"",LOOKUP(2,1/(Y102:AJ102&lt;&gt;""),Y102:AJ102)-MIN(Y102:AJ102))</t>
        </is>
      </c>
      <c r="X102" s="36" t="inlineStr">
        <is>
          <t>IF(OR(V102="",U102="Not started",U102=""),"",IFERROR(V102-IF(VLOOKUP(U102,'04_Status_Pipeline'!$B$3:$E$20,4,FALSE)="",0,VLOOKUP(U102,'04_Status_Pipeline'!$B$3:$E$20,4,FALSE)),""))</t>
        </is>
      </c>
      <c r="Y102" s="37" t="n"/>
      <c r="Z102" s="37" t="n"/>
      <c r="AA102" s="37" t="n"/>
      <c r="AB102" s="37" t="n"/>
      <c r="AC102" s="37" t="n"/>
      <c r="AD102" s="37" t="n"/>
      <c r="AE102" s="37" t="n"/>
      <c r="AF102" s="37" t="n"/>
      <c r="AG102" s="37" t="n"/>
      <c r="AH102" s="38" t="n"/>
      <c r="AI102" s="38" t="n"/>
      <c r="AJ102" s="38" t="n"/>
      <c r="AK102" s="36" t="inlineStr">
        <is>
          <t>IF(OR(E102="",Z102=""),"",IF(COUNT(Y102:Y102)=0,"",Z102-LOOKUP(2,1/(Y102:Y102&lt;&gt;""),Y102:Y102)))</t>
        </is>
      </c>
      <c r="AL102" s="36" t="inlineStr">
        <is>
          <t>IF(OR(E102="",AA102=""),"",IF(COUNT(Y102:Z102)=0,"",AA102-LOOKUP(2,1/(Y102:Z102&lt;&gt;""),Y102:Z102)))</t>
        </is>
      </c>
      <c r="AM102" s="36" t="inlineStr">
        <is>
          <t>IF(OR(E102="",AB102=""),"",IF(COUNT(Y102:AA102)=0,"",AB102-LOOKUP(2,1/(Y102:AA102&lt;&gt;""),Y102:AA102)))</t>
        </is>
      </c>
      <c r="AN102" s="36" t="inlineStr">
        <is>
          <t>IF(OR(E102="",AC102=""),"",IF(COUNT(Y102:AB102)=0,"",AC102-LOOKUP(2,1/(Y102:AB102&lt;&gt;""),Y102:AB102)))</t>
        </is>
      </c>
      <c r="AO102" s="36" t="inlineStr">
        <is>
          <t>IF(OR(E102="",AD102=""),"",IF(COUNT(Y102:AC102)=0,"",AD102-LOOKUP(2,1/(Y102:AC102&lt;&gt;""),Y102:AC102)))</t>
        </is>
      </c>
      <c r="AP102" s="36" t="inlineStr">
        <is>
          <t>IF(OR(E102="",AE102=""),"",IF(COUNT(Y102:AD102)=0,"",AE102-LOOKUP(2,1/(Y102:AD102&lt;&gt;""),Y102:AD102)))</t>
        </is>
      </c>
      <c r="AQ102" s="36" t="inlineStr">
        <is>
          <t>IF(OR(E102="",AF102=""),"",IF(COUNT(Y102:AE102)=0,"",AF102-LOOKUP(2,1/(Y102:AE102&lt;&gt;""),Y102:AE102)))</t>
        </is>
      </c>
      <c r="AR102" s="36" t="inlineStr">
        <is>
          <t>IF(OR(E102="",AG102=""),"",IF(COUNT(Y102:AF102)=0,"",AG102-LOOKUP(2,1/(Y102:AF102&lt;&gt;""),Y102:AF102)))</t>
        </is>
      </c>
      <c r="AS102" s="36" t="inlineStr">
        <is>
          <t>IF(OR(E102="",AH102=""),"",IF(COUNT(Y102:AG102)=0,"",AH102-LOOKUP(2,1/(Y102:AG102&lt;&gt;""),Y102:AG102)))</t>
        </is>
      </c>
      <c r="AT102" s="36" t="inlineStr">
        <is>
          <t>IF(OR(E102="",AI102=""),"",IF(COUNT(Y102:AH102)=0,"",AI102-LOOKUP(2,1/(Y102:AH102&lt;&gt;""),Y102:AH102)))</t>
        </is>
      </c>
      <c r="AU102" s="36" t="inlineStr">
        <is>
          <t>IF(OR(E102="",AJ102=""),"",IF(COUNT(Y102:AI102)=0,"",AJ102-LOOKUP(2,1/(Y102:AI102&lt;&gt;""),Y102:AI102)))</t>
        </is>
      </c>
      <c r="AV102" s="39" t="inlineStr">
        <is>
          <t>IF(G102="","All_Provinces",IFERROR(VLOOKUP(G102,'07_Lookups'!$A$4:$B$20,2,FALSE),"All_Provinces"))</t>
        </is>
      </c>
      <c r="AW102" s="39" t="inlineStr">
        <is>
          <t>IF(H102="","All_Districts",IFERROR(VLOOKUP(H102,'07_Lookups'!$E$4:$F$42,2,FALSE),"All_Districts"))</t>
        </is>
      </c>
    </row>
    <row r="103" ht="18" customHeight="1">
      <c r="A103" s="31" t="inlineStr">
        <is>
          <t>IF(E103="","",ROW()-3)</t>
        </is>
      </c>
      <c r="B103" s="40" t="n"/>
      <c r="C103" s="40" t="n"/>
      <c r="D103" s="40" t="n"/>
      <c r="E103" s="40" t="n"/>
      <c r="F103" s="40" t="n"/>
      <c r="G103" s="40" t="n"/>
      <c r="H103" s="40" t="n"/>
      <c r="I103" s="40" t="n"/>
      <c r="J103" s="40" t="n"/>
      <c r="K103" s="40" t="n"/>
      <c r="L103" s="40" t="n"/>
      <c r="M103" s="40" t="n"/>
      <c r="N103" s="41" t="n"/>
      <c r="O103" s="34" t="inlineStr">
        <is>
          <t>IF(AE103="","",AE103)</t>
        </is>
      </c>
      <c r="P103" s="42" t="n"/>
      <c r="Q103" s="34" t="inlineStr">
        <is>
          <t>IF(OR(O103="",P103=""),"",EDATE(O103,P103))</t>
        </is>
      </c>
      <c r="R103" s="42" t="n"/>
      <c r="S103" s="40" t="n"/>
      <c r="T103" s="40" t="n"/>
      <c r="U103" s="31" t="inlineStr">
        <is>
          <t>IF(E103="","",IF(COUNT(Y103:AJ103)=0,IF(S103="","Not started",S103),SUBSTITUTE(LOOKUP(2,1/(Y103:AJ103&lt;&gt;""),$Y$3:$AJ$3),"Date: ","")))</t>
        </is>
      </c>
      <c r="V103" s="36" t="inlineStr">
        <is>
          <t>IF(OR(E103="",COUNT(Y103:AJ103)=0),"",TODAY()-LOOKUP(2,1/(Y103:AJ103&lt;&gt;""),Y103:AJ103))</t>
        </is>
      </c>
      <c r="W103" s="36" t="inlineStr">
        <is>
          <t>IF(OR(E103="",COUNT(Y103:AJ103)&lt;2),"",LOOKUP(2,1/(Y103:AJ103&lt;&gt;""),Y103:AJ103)-MIN(Y103:AJ103))</t>
        </is>
      </c>
      <c r="X103" s="36" t="inlineStr">
        <is>
          <t>IF(OR(V103="",U103="Not started",U103=""),"",IFERROR(V103-IF(VLOOKUP(U103,'04_Status_Pipeline'!$B$3:$E$20,4,FALSE)="",0,VLOOKUP(U103,'04_Status_Pipeline'!$B$3:$E$20,4,FALSE)),""))</t>
        </is>
      </c>
      <c r="Y103" s="43" t="n"/>
      <c r="Z103" s="43" t="n"/>
      <c r="AA103" s="43" t="n"/>
      <c r="AB103" s="43" t="n"/>
      <c r="AC103" s="43" t="n"/>
      <c r="AD103" s="43" t="n"/>
      <c r="AE103" s="43" t="n"/>
      <c r="AF103" s="43" t="n"/>
      <c r="AG103" s="43" t="n"/>
      <c r="AH103" s="38" t="n"/>
      <c r="AI103" s="38" t="n"/>
      <c r="AJ103" s="38" t="n"/>
      <c r="AK103" s="36" t="inlineStr">
        <is>
          <t>IF(OR(E103="",Z103=""),"",IF(COUNT(Y103:Y103)=0,"",Z103-LOOKUP(2,1/(Y103:Y103&lt;&gt;""),Y103:Y103)))</t>
        </is>
      </c>
      <c r="AL103" s="36" t="inlineStr">
        <is>
          <t>IF(OR(E103="",AA103=""),"",IF(COUNT(Y103:Z103)=0,"",AA103-LOOKUP(2,1/(Y103:Z103&lt;&gt;""),Y103:Z103)))</t>
        </is>
      </c>
      <c r="AM103" s="36" t="inlineStr">
        <is>
          <t>IF(OR(E103="",AB103=""),"",IF(COUNT(Y103:AA103)=0,"",AB103-LOOKUP(2,1/(Y103:AA103&lt;&gt;""),Y103:AA103)))</t>
        </is>
      </c>
      <c r="AN103" s="36" t="inlineStr">
        <is>
          <t>IF(OR(E103="",AC103=""),"",IF(COUNT(Y103:AB103)=0,"",AC103-LOOKUP(2,1/(Y103:AB103&lt;&gt;""),Y103:AB103)))</t>
        </is>
      </c>
      <c r="AO103" s="36" t="inlineStr">
        <is>
          <t>IF(OR(E103="",AD103=""),"",IF(COUNT(Y103:AC103)=0,"",AD103-LOOKUP(2,1/(Y103:AC103&lt;&gt;""),Y103:AC103)))</t>
        </is>
      </c>
      <c r="AP103" s="36" t="inlineStr">
        <is>
          <t>IF(OR(E103="",AE103=""),"",IF(COUNT(Y103:AD103)=0,"",AE103-LOOKUP(2,1/(Y103:AD103&lt;&gt;""),Y103:AD103)))</t>
        </is>
      </c>
      <c r="AQ103" s="36" t="inlineStr">
        <is>
          <t>IF(OR(E103="",AF103=""),"",IF(COUNT(Y103:AE103)=0,"",AF103-LOOKUP(2,1/(Y103:AE103&lt;&gt;""),Y103:AE103)))</t>
        </is>
      </c>
      <c r="AR103" s="36" t="inlineStr">
        <is>
          <t>IF(OR(E103="",AG103=""),"",IF(COUNT(Y103:AF103)=0,"",AG103-LOOKUP(2,1/(Y103:AF103&lt;&gt;""),Y103:AF103)))</t>
        </is>
      </c>
      <c r="AS103" s="36" t="inlineStr">
        <is>
          <t>IF(OR(E103="",AH103=""),"",IF(COUNT(Y103:AG103)=0,"",AH103-LOOKUP(2,1/(Y103:AG103&lt;&gt;""),Y103:AG103)))</t>
        </is>
      </c>
      <c r="AT103" s="36" t="inlineStr">
        <is>
          <t>IF(OR(E103="",AI103=""),"",IF(COUNT(Y103:AH103)=0,"",AI103-LOOKUP(2,1/(Y103:AH103&lt;&gt;""),Y103:AH103)))</t>
        </is>
      </c>
      <c r="AU103" s="36" t="inlineStr">
        <is>
          <t>IF(OR(E103="",AJ103=""),"",IF(COUNT(Y103:AI103)=0,"",AJ103-LOOKUP(2,1/(Y103:AI103&lt;&gt;""),Y103:AI103)))</t>
        </is>
      </c>
      <c r="AV103" s="39" t="inlineStr">
        <is>
          <t>IF(G103="","All_Provinces",IFERROR(VLOOKUP(G103,'07_Lookups'!$A$4:$B$20,2,FALSE),"All_Provinces"))</t>
        </is>
      </c>
      <c r="AW103" s="39" t="inlineStr">
        <is>
          <t>IF(H103="","All_Districts",IFERROR(VLOOKUP(H103,'07_Lookups'!$E$4:$F$42,2,FALSE),"All_Districts"))</t>
        </is>
      </c>
    </row>
    <row r="104" ht="18" customHeight="1">
      <c r="A104" s="31" t="inlineStr">
        <is>
          <t>IF(E104="","",ROW()-3)</t>
        </is>
      </c>
      <c r="B104" s="32" t="n"/>
      <c r="C104" s="32" t="n"/>
      <c r="D104" s="32" t="n"/>
      <c r="E104" s="32" t="n"/>
      <c r="F104" s="32" t="n"/>
      <c r="G104" s="32" t="n"/>
      <c r="H104" s="32" t="n"/>
      <c r="I104" s="32" t="n"/>
      <c r="J104" s="32" t="n"/>
      <c r="K104" s="32" t="n"/>
      <c r="L104" s="32" t="n"/>
      <c r="M104" s="32" t="n"/>
      <c r="N104" s="33" t="n"/>
      <c r="O104" s="34" t="inlineStr">
        <is>
          <t>IF(AE104="","",AE104)</t>
        </is>
      </c>
      <c r="P104" s="35" t="n"/>
      <c r="Q104" s="34" t="inlineStr">
        <is>
          <t>IF(OR(O104="",P104=""),"",EDATE(O104,P104))</t>
        </is>
      </c>
      <c r="R104" s="35" t="n"/>
      <c r="S104" s="32" t="n"/>
      <c r="T104" s="32" t="n"/>
      <c r="U104" s="31" t="inlineStr">
        <is>
          <t>IF(E104="","",IF(COUNT(Y104:AJ104)=0,IF(S104="","Not started",S104),SUBSTITUTE(LOOKUP(2,1/(Y104:AJ104&lt;&gt;""),$Y$3:$AJ$3),"Date: ","")))</t>
        </is>
      </c>
      <c r="V104" s="36" t="inlineStr">
        <is>
          <t>IF(OR(E104="",COUNT(Y104:AJ104)=0),"",TODAY()-LOOKUP(2,1/(Y104:AJ104&lt;&gt;""),Y104:AJ104))</t>
        </is>
      </c>
      <c r="W104" s="36" t="inlineStr">
        <is>
          <t>IF(OR(E104="",COUNT(Y104:AJ104)&lt;2),"",LOOKUP(2,1/(Y104:AJ104&lt;&gt;""),Y104:AJ104)-MIN(Y104:AJ104))</t>
        </is>
      </c>
      <c r="X104" s="36" t="inlineStr">
        <is>
          <t>IF(OR(V104="",U104="Not started",U104=""),"",IFERROR(V104-IF(VLOOKUP(U104,'04_Status_Pipeline'!$B$3:$E$20,4,FALSE)="",0,VLOOKUP(U104,'04_Status_Pipeline'!$B$3:$E$20,4,FALSE)),""))</t>
        </is>
      </c>
      <c r="Y104" s="37" t="n"/>
      <c r="Z104" s="37" t="n"/>
      <c r="AA104" s="37" t="n"/>
      <c r="AB104" s="37" t="n"/>
      <c r="AC104" s="37" t="n"/>
      <c r="AD104" s="37" t="n"/>
      <c r="AE104" s="37" t="n"/>
      <c r="AF104" s="37" t="n"/>
      <c r="AG104" s="37" t="n"/>
      <c r="AH104" s="38" t="n"/>
      <c r="AI104" s="38" t="n"/>
      <c r="AJ104" s="38" t="n"/>
      <c r="AK104" s="36" t="inlineStr">
        <is>
          <t>IF(OR(E104="",Z104=""),"",IF(COUNT(Y104:Y104)=0,"",Z104-LOOKUP(2,1/(Y104:Y104&lt;&gt;""),Y104:Y104)))</t>
        </is>
      </c>
      <c r="AL104" s="36" t="inlineStr">
        <is>
          <t>IF(OR(E104="",AA104=""),"",IF(COUNT(Y104:Z104)=0,"",AA104-LOOKUP(2,1/(Y104:Z104&lt;&gt;""),Y104:Z104)))</t>
        </is>
      </c>
      <c r="AM104" s="36" t="inlineStr">
        <is>
          <t>IF(OR(E104="",AB104=""),"",IF(COUNT(Y104:AA104)=0,"",AB104-LOOKUP(2,1/(Y104:AA104&lt;&gt;""),Y104:AA104)))</t>
        </is>
      </c>
      <c r="AN104" s="36" t="inlineStr">
        <is>
          <t>IF(OR(E104="",AC104=""),"",IF(COUNT(Y104:AB104)=0,"",AC104-LOOKUP(2,1/(Y104:AB104&lt;&gt;""),Y104:AB104)))</t>
        </is>
      </c>
      <c r="AO104" s="36" t="inlineStr">
        <is>
          <t>IF(OR(E104="",AD104=""),"",IF(COUNT(Y104:AC104)=0,"",AD104-LOOKUP(2,1/(Y104:AC104&lt;&gt;""),Y104:AC104)))</t>
        </is>
      </c>
      <c r="AP104" s="36" t="inlineStr">
        <is>
          <t>IF(OR(E104="",AE104=""),"",IF(COUNT(Y104:AD104)=0,"",AE104-LOOKUP(2,1/(Y104:AD104&lt;&gt;""),Y104:AD104)))</t>
        </is>
      </c>
      <c r="AQ104" s="36" t="inlineStr">
        <is>
          <t>IF(OR(E104="",AF104=""),"",IF(COUNT(Y104:AE104)=0,"",AF104-LOOKUP(2,1/(Y104:AE104&lt;&gt;""),Y104:AE104)))</t>
        </is>
      </c>
      <c r="AR104" s="36" t="inlineStr">
        <is>
          <t>IF(OR(E104="",AG104=""),"",IF(COUNT(Y104:AF104)=0,"",AG104-LOOKUP(2,1/(Y104:AF104&lt;&gt;""),Y104:AF104)))</t>
        </is>
      </c>
      <c r="AS104" s="36" t="inlineStr">
        <is>
          <t>IF(OR(E104="",AH104=""),"",IF(COUNT(Y104:AG104)=0,"",AH104-LOOKUP(2,1/(Y104:AG104&lt;&gt;""),Y104:AG104)))</t>
        </is>
      </c>
      <c r="AT104" s="36" t="inlineStr">
        <is>
          <t>IF(OR(E104="",AI104=""),"",IF(COUNT(Y104:AH104)=0,"",AI104-LOOKUP(2,1/(Y104:AH104&lt;&gt;""),Y104:AH104)))</t>
        </is>
      </c>
      <c r="AU104" s="36" t="inlineStr">
        <is>
          <t>IF(OR(E104="",AJ104=""),"",IF(COUNT(Y104:AI104)=0,"",AJ104-LOOKUP(2,1/(Y104:AI104&lt;&gt;""),Y104:AI104)))</t>
        </is>
      </c>
      <c r="AV104" s="39" t="inlineStr">
        <is>
          <t>IF(G104="","All_Provinces",IFERROR(VLOOKUP(G104,'07_Lookups'!$A$4:$B$20,2,FALSE),"All_Provinces"))</t>
        </is>
      </c>
      <c r="AW104" s="39" t="inlineStr">
        <is>
          <t>IF(H104="","All_Districts",IFERROR(VLOOKUP(H104,'07_Lookups'!$E$4:$F$42,2,FALSE),"All_Districts"))</t>
        </is>
      </c>
    </row>
    <row r="105" ht="18" customHeight="1">
      <c r="A105" s="31" t="inlineStr">
        <is>
          <t>IF(E105="","",ROW()-3)</t>
        </is>
      </c>
      <c r="B105" s="40" t="n"/>
      <c r="C105" s="40" t="n"/>
      <c r="D105" s="40" t="n"/>
      <c r="E105" s="40" t="n"/>
      <c r="F105" s="40" t="n"/>
      <c r="G105" s="40" t="n"/>
      <c r="H105" s="40" t="n"/>
      <c r="I105" s="40" t="n"/>
      <c r="J105" s="40" t="n"/>
      <c r="K105" s="40" t="n"/>
      <c r="L105" s="40" t="n"/>
      <c r="M105" s="40" t="n"/>
      <c r="N105" s="41" t="n"/>
      <c r="O105" s="34" t="inlineStr">
        <is>
          <t>IF(AE105="","",AE105)</t>
        </is>
      </c>
      <c r="P105" s="42" t="n"/>
      <c r="Q105" s="34" t="inlineStr">
        <is>
          <t>IF(OR(O105="",P105=""),"",EDATE(O105,P105))</t>
        </is>
      </c>
      <c r="R105" s="42" t="n"/>
      <c r="S105" s="40" t="n"/>
      <c r="T105" s="40" t="n"/>
      <c r="U105" s="31" t="inlineStr">
        <is>
          <t>IF(E105="","",IF(COUNT(Y105:AJ105)=0,IF(S105="","Not started",S105),SUBSTITUTE(LOOKUP(2,1/(Y105:AJ105&lt;&gt;""),$Y$3:$AJ$3),"Date: ","")))</t>
        </is>
      </c>
      <c r="V105" s="36" t="inlineStr">
        <is>
          <t>IF(OR(E105="",COUNT(Y105:AJ105)=0),"",TODAY()-LOOKUP(2,1/(Y105:AJ105&lt;&gt;""),Y105:AJ105))</t>
        </is>
      </c>
      <c r="W105" s="36" t="inlineStr">
        <is>
          <t>IF(OR(E105="",COUNT(Y105:AJ105)&lt;2),"",LOOKUP(2,1/(Y105:AJ105&lt;&gt;""),Y105:AJ105)-MIN(Y105:AJ105))</t>
        </is>
      </c>
      <c r="X105" s="36" t="inlineStr">
        <is>
          <t>IF(OR(V105="",U105="Not started",U105=""),"",IFERROR(V105-IF(VLOOKUP(U105,'04_Status_Pipeline'!$B$3:$E$20,4,FALSE)="",0,VLOOKUP(U105,'04_Status_Pipeline'!$B$3:$E$20,4,FALSE)),""))</t>
        </is>
      </c>
      <c r="Y105" s="43" t="n"/>
      <c r="Z105" s="43" t="n"/>
      <c r="AA105" s="43" t="n"/>
      <c r="AB105" s="43" t="n"/>
      <c r="AC105" s="43" t="n"/>
      <c r="AD105" s="43" t="n"/>
      <c r="AE105" s="43" t="n"/>
      <c r="AF105" s="43" t="n"/>
      <c r="AG105" s="43" t="n"/>
      <c r="AH105" s="38" t="n"/>
      <c r="AI105" s="38" t="n"/>
      <c r="AJ105" s="38" t="n"/>
      <c r="AK105" s="36" t="inlineStr">
        <is>
          <t>IF(OR(E105="",Z105=""),"",IF(COUNT(Y105:Y105)=0,"",Z105-LOOKUP(2,1/(Y105:Y105&lt;&gt;""),Y105:Y105)))</t>
        </is>
      </c>
      <c r="AL105" s="36" t="inlineStr">
        <is>
          <t>IF(OR(E105="",AA105=""),"",IF(COUNT(Y105:Z105)=0,"",AA105-LOOKUP(2,1/(Y105:Z105&lt;&gt;""),Y105:Z105)))</t>
        </is>
      </c>
      <c r="AM105" s="36" t="inlineStr">
        <is>
          <t>IF(OR(E105="",AB105=""),"",IF(COUNT(Y105:AA105)=0,"",AB105-LOOKUP(2,1/(Y105:AA105&lt;&gt;""),Y105:AA105)))</t>
        </is>
      </c>
      <c r="AN105" s="36" t="inlineStr">
        <is>
          <t>IF(OR(E105="",AC105=""),"",IF(COUNT(Y105:AB105)=0,"",AC105-LOOKUP(2,1/(Y105:AB105&lt;&gt;""),Y105:AB105)))</t>
        </is>
      </c>
      <c r="AO105" s="36" t="inlineStr">
        <is>
          <t>IF(OR(E105="",AD105=""),"",IF(COUNT(Y105:AC105)=0,"",AD105-LOOKUP(2,1/(Y105:AC105&lt;&gt;""),Y105:AC105)))</t>
        </is>
      </c>
      <c r="AP105" s="36" t="inlineStr">
        <is>
          <t>IF(OR(E105="",AE105=""),"",IF(COUNT(Y105:AD105)=0,"",AE105-LOOKUP(2,1/(Y105:AD105&lt;&gt;""),Y105:AD105)))</t>
        </is>
      </c>
      <c r="AQ105" s="36" t="inlineStr">
        <is>
          <t>IF(OR(E105="",AF105=""),"",IF(COUNT(Y105:AE105)=0,"",AF105-LOOKUP(2,1/(Y105:AE105&lt;&gt;""),Y105:AE105)))</t>
        </is>
      </c>
      <c r="AR105" s="36" t="inlineStr">
        <is>
          <t>IF(OR(E105="",AG105=""),"",IF(COUNT(Y105:AF105)=0,"",AG105-LOOKUP(2,1/(Y105:AF105&lt;&gt;""),Y105:AF105)))</t>
        </is>
      </c>
      <c r="AS105" s="36" t="inlineStr">
        <is>
          <t>IF(OR(E105="",AH105=""),"",IF(COUNT(Y105:AG105)=0,"",AH105-LOOKUP(2,1/(Y105:AG105&lt;&gt;""),Y105:AG105)))</t>
        </is>
      </c>
      <c r="AT105" s="36" t="inlineStr">
        <is>
          <t>IF(OR(E105="",AI105=""),"",IF(COUNT(Y105:AH105)=0,"",AI105-LOOKUP(2,1/(Y105:AH105&lt;&gt;""),Y105:AH105)))</t>
        </is>
      </c>
      <c r="AU105" s="36" t="inlineStr">
        <is>
          <t>IF(OR(E105="",AJ105=""),"",IF(COUNT(Y105:AI105)=0,"",AJ105-LOOKUP(2,1/(Y105:AI105&lt;&gt;""),Y105:AI105)))</t>
        </is>
      </c>
      <c r="AV105" s="39" t="inlineStr">
        <is>
          <t>IF(G105="","All_Provinces",IFERROR(VLOOKUP(G105,'07_Lookups'!$A$4:$B$20,2,FALSE),"All_Provinces"))</t>
        </is>
      </c>
      <c r="AW105" s="39" t="inlineStr">
        <is>
          <t>IF(H105="","All_Districts",IFERROR(VLOOKUP(H105,'07_Lookups'!$E$4:$F$42,2,FALSE),"All_Districts"))</t>
        </is>
      </c>
    </row>
    <row r="106" ht="18" customHeight="1">
      <c r="A106" s="31" t="inlineStr">
        <is>
          <t>IF(E106="","",ROW()-3)</t>
        </is>
      </c>
      <c r="B106" s="32" t="n"/>
      <c r="C106" s="32" t="n"/>
      <c r="D106" s="32" t="n"/>
      <c r="E106" s="32" t="n"/>
      <c r="F106" s="32" t="n"/>
      <c r="G106" s="32" t="n"/>
      <c r="H106" s="32" t="n"/>
      <c r="I106" s="32" t="n"/>
      <c r="J106" s="32" t="n"/>
      <c r="K106" s="32" t="n"/>
      <c r="L106" s="32" t="n"/>
      <c r="M106" s="32" t="n"/>
      <c r="N106" s="33" t="n"/>
      <c r="O106" s="34" t="inlineStr">
        <is>
          <t>IF(AE106="","",AE106)</t>
        </is>
      </c>
      <c r="P106" s="35" t="n"/>
      <c r="Q106" s="34" t="inlineStr">
        <is>
          <t>IF(OR(O106="",P106=""),"",EDATE(O106,P106))</t>
        </is>
      </c>
      <c r="R106" s="35" t="n"/>
      <c r="S106" s="32" t="n"/>
      <c r="T106" s="32" t="n"/>
      <c r="U106" s="31" t="inlineStr">
        <is>
          <t>IF(E106="","",IF(COUNT(Y106:AJ106)=0,IF(S106="","Not started",S106),SUBSTITUTE(LOOKUP(2,1/(Y106:AJ106&lt;&gt;""),$Y$3:$AJ$3),"Date: ","")))</t>
        </is>
      </c>
      <c r="V106" s="36" t="inlineStr">
        <is>
          <t>IF(OR(E106="",COUNT(Y106:AJ106)=0),"",TODAY()-LOOKUP(2,1/(Y106:AJ106&lt;&gt;""),Y106:AJ106))</t>
        </is>
      </c>
      <c r="W106" s="36" t="inlineStr">
        <is>
          <t>IF(OR(E106="",COUNT(Y106:AJ106)&lt;2),"",LOOKUP(2,1/(Y106:AJ106&lt;&gt;""),Y106:AJ106)-MIN(Y106:AJ106))</t>
        </is>
      </c>
      <c r="X106" s="36" t="inlineStr">
        <is>
          <t>IF(OR(V106="",U106="Not started",U106=""),"",IFERROR(V106-IF(VLOOKUP(U106,'04_Status_Pipeline'!$B$3:$E$20,4,FALSE)="",0,VLOOKUP(U106,'04_Status_Pipeline'!$B$3:$E$20,4,FALSE)),""))</t>
        </is>
      </c>
      <c r="Y106" s="37" t="n"/>
      <c r="Z106" s="37" t="n"/>
      <c r="AA106" s="37" t="n"/>
      <c r="AB106" s="37" t="n"/>
      <c r="AC106" s="37" t="n"/>
      <c r="AD106" s="37" t="n"/>
      <c r="AE106" s="37" t="n"/>
      <c r="AF106" s="37" t="n"/>
      <c r="AG106" s="37" t="n"/>
      <c r="AH106" s="38" t="n"/>
      <c r="AI106" s="38" t="n"/>
      <c r="AJ106" s="38" t="n"/>
      <c r="AK106" s="36" t="inlineStr">
        <is>
          <t>IF(OR(E106="",Z106=""),"",IF(COUNT(Y106:Y106)=0,"",Z106-LOOKUP(2,1/(Y106:Y106&lt;&gt;""),Y106:Y106)))</t>
        </is>
      </c>
      <c r="AL106" s="36" t="inlineStr">
        <is>
          <t>IF(OR(E106="",AA106=""),"",IF(COUNT(Y106:Z106)=0,"",AA106-LOOKUP(2,1/(Y106:Z106&lt;&gt;""),Y106:Z106)))</t>
        </is>
      </c>
      <c r="AM106" s="36" t="inlineStr">
        <is>
          <t>IF(OR(E106="",AB106=""),"",IF(COUNT(Y106:AA106)=0,"",AB106-LOOKUP(2,1/(Y106:AA106&lt;&gt;""),Y106:AA106)))</t>
        </is>
      </c>
      <c r="AN106" s="36" t="inlineStr">
        <is>
          <t>IF(OR(E106="",AC106=""),"",IF(COUNT(Y106:AB106)=0,"",AC106-LOOKUP(2,1/(Y106:AB106&lt;&gt;""),Y106:AB106)))</t>
        </is>
      </c>
      <c r="AO106" s="36" t="inlineStr">
        <is>
          <t>IF(OR(E106="",AD106=""),"",IF(COUNT(Y106:AC106)=0,"",AD106-LOOKUP(2,1/(Y106:AC106&lt;&gt;""),Y106:AC106)))</t>
        </is>
      </c>
      <c r="AP106" s="36" t="inlineStr">
        <is>
          <t>IF(OR(E106="",AE106=""),"",IF(COUNT(Y106:AD106)=0,"",AE106-LOOKUP(2,1/(Y106:AD106&lt;&gt;""),Y106:AD106)))</t>
        </is>
      </c>
      <c r="AQ106" s="36" t="inlineStr">
        <is>
          <t>IF(OR(E106="",AF106=""),"",IF(COUNT(Y106:AE106)=0,"",AF106-LOOKUP(2,1/(Y106:AE106&lt;&gt;""),Y106:AE106)))</t>
        </is>
      </c>
      <c r="AR106" s="36" t="inlineStr">
        <is>
          <t>IF(OR(E106="",AG106=""),"",IF(COUNT(Y106:AF106)=0,"",AG106-LOOKUP(2,1/(Y106:AF106&lt;&gt;""),Y106:AF106)))</t>
        </is>
      </c>
      <c r="AS106" s="36" t="inlineStr">
        <is>
          <t>IF(OR(E106="",AH106=""),"",IF(COUNT(Y106:AG106)=0,"",AH106-LOOKUP(2,1/(Y106:AG106&lt;&gt;""),Y106:AG106)))</t>
        </is>
      </c>
      <c r="AT106" s="36" t="inlineStr">
        <is>
          <t>IF(OR(E106="",AI106=""),"",IF(COUNT(Y106:AH106)=0,"",AI106-LOOKUP(2,1/(Y106:AH106&lt;&gt;""),Y106:AH106)))</t>
        </is>
      </c>
      <c r="AU106" s="36" t="inlineStr">
        <is>
          <t>IF(OR(E106="",AJ106=""),"",IF(COUNT(Y106:AI106)=0,"",AJ106-LOOKUP(2,1/(Y106:AI106&lt;&gt;""),Y106:AI106)))</t>
        </is>
      </c>
      <c r="AV106" s="39" t="inlineStr">
        <is>
          <t>IF(G106="","All_Provinces",IFERROR(VLOOKUP(G106,'07_Lookups'!$A$4:$B$20,2,FALSE),"All_Provinces"))</t>
        </is>
      </c>
      <c r="AW106" s="39" t="inlineStr">
        <is>
          <t>IF(H106="","All_Districts",IFERROR(VLOOKUP(H106,'07_Lookups'!$E$4:$F$42,2,FALSE),"All_Districts"))</t>
        </is>
      </c>
    </row>
    <row r="107" ht="18" customHeight="1">
      <c r="A107" s="31" t="inlineStr">
        <is>
          <t>IF(E107="","",ROW()-3)</t>
        </is>
      </c>
      <c r="B107" s="40" t="n"/>
      <c r="C107" s="40" t="n"/>
      <c r="D107" s="40" t="n"/>
      <c r="E107" s="40" t="n"/>
      <c r="F107" s="40" t="n"/>
      <c r="G107" s="40" t="n"/>
      <c r="H107" s="40" t="n"/>
      <c r="I107" s="40" t="n"/>
      <c r="J107" s="40" t="n"/>
      <c r="K107" s="40" t="n"/>
      <c r="L107" s="40" t="n"/>
      <c r="M107" s="40" t="n"/>
      <c r="N107" s="41" t="n"/>
      <c r="O107" s="34" t="inlineStr">
        <is>
          <t>IF(AE107="","",AE107)</t>
        </is>
      </c>
      <c r="P107" s="42" t="n"/>
      <c r="Q107" s="34" t="inlineStr">
        <is>
          <t>IF(OR(O107="",P107=""),"",EDATE(O107,P107))</t>
        </is>
      </c>
      <c r="R107" s="42" t="n"/>
      <c r="S107" s="40" t="n"/>
      <c r="T107" s="40" t="n"/>
      <c r="U107" s="31" t="inlineStr">
        <is>
          <t>IF(E107="","",IF(COUNT(Y107:AJ107)=0,IF(S107="","Not started",S107),SUBSTITUTE(LOOKUP(2,1/(Y107:AJ107&lt;&gt;""),$Y$3:$AJ$3),"Date: ","")))</t>
        </is>
      </c>
      <c r="V107" s="36" t="inlineStr">
        <is>
          <t>IF(OR(E107="",COUNT(Y107:AJ107)=0),"",TODAY()-LOOKUP(2,1/(Y107:AJ107&lt;&gt;""),Y107:AJ107))</t>
        </is>
      </c>
      <c r="W107" s="36" t="inlineStr">
        <is>
          <t>IF(OR(E107="",COUNT(Y107:AJ107)&lt;2),"",LOOKUP(2,1/(Y107:AJ107&lt;&gt;""),Y107:AJ107)-MIN(Y107:AJ107))</t>
        </is>
      </c>
      <c r="X107" s="36" t="inlineStr">
        <is>
          <t>IF(OR(V107="",U107="Not started",U107=""),"",IFERROR(V107-IF(VLOOKUP(U107,'04_Status_Pipeline'!$B$3:$E$20,4,FALSE)="",0,VLOOKUP(U107,'04_Status_Pipeline'!$B$3:$E$20,4,FALSE)),""))</t>
        </is>
      </c>
      <c r="Y107" s="43" t="n"/>
      <c r="Z107" s="43" t="n"/>
      <c r="AA107" s="43" t="n"/>
      <c r="AB107" s="43" t="n"/>
      <c r="AC107" s="43" t="n"/>
      <c r="AD107" s="43" t="n"/>
      <c r="AE107" s="43" t="n"/>
      <c r="AF107" s="43" t="n"/>
      <c r="AG107" s="43" t="n"/>
      <c r="AH107" s="38" t="n"/>
      <c r="AI107" s="38" t="n"/>
      <c r="AJ107" s="38" t="n"/>
      <c r="AK107" s="36" t="inlineStr">
        <is>
          <t>IF(OR(E107="",Z107=""),"",IF(COUNT(Y107:Y107)=0,"",Z107-LOOKUP(2,1/(Y107:Y107&lt;&gt;""),Y107:Y107)))</t>
        </is>
      </c>
      <c r="AL107" s="36" t="inlineStr">
        <is>
          <t>IF(OR(E107="",AA107=""),"",IF(COUNT(Y107:Z107)=0,"",AA107-LOOKUP(2,1/(Y107:Z107&lt;&gt;""),Y107:Z107)))</t>
        </is>
      </c>
      <c r="AM107" s="36" t="inlineStr">
        <is>
          <t>IF(OR(E107="",AB107=""),"",IF(COUNT(Y107:AA107)=0,"",AB107-LOOKUP(2,1/(Y107:AA107&lt;&gt;""),Y107:AA107)))</t>
        </is>
      </c>
      <c r="AN107" s="36" t="inlineStr">
        <is>
          <t>IF(OR(E107="",AC107=""),"",IF(COUNT(Y107:AB107)=0,"",AC107-LOOKUP(2,1/(Y107:AB107&lt;&gt;""),Y107:AB107)))</t>
        </is>
      </c>
      <c r="AO107" s="36" t="inlineStr">
        <is>
          <t>IF(OR(E107="",AD107=""),"",IF(COUNT(Y107:AC107)=0,"",AD107-LOOKUP(2,1/(Y107:AC107&lt;&gt;""),Y107:AC107)))</t>
        </is>
      </c>
      <c r="AP107" s="36" t="inlineStr">
        <is>
          <t>IF(OR(E107="",AE107=""),"",IF(COUNT(Y107:AD107)=0,"",AE107-LOOKUP(2,1/(Y107:AD107&lt;&gt;""),Y107:AD107)))</t>
        </is>
      </c>
      <c r="AQ107" s="36" t="inlineStr">
        <is>
          <t>IF(OR(E107="",AF107=""),"",IF(COUNT(Y107:AE107)=0,"",AF107-LOOKUP(2,1/(Y107:AE107&lt;&gt;""),Y107:AE107)))</t>
        </is>
      </c>
      <c r="AR107" s="36" t="inlineStr">
        <is>
          <t>IF(OR(E107="",AG107=""),"",IF(COUNT(Y107:AF107)=0,"",AG107-LOOKUP(2,1/(Y107:AF107&lt;&gt;""),Y107:AF107)))</t>
        </is>
      </c>
      <c r="AS107" s="36" t="inlineStr">
        <is>
          <t>IF(OR(E107="",AH107=""),"",IF(COUNT(Y107:AG107)=0,"",AH107-LOOKUP(2,1/(Y107:AG107&lt;&gt;""),Y107:AG107)))</t>
        </is>
      </c>
      <c r="AT107" s="36" t="inlineStr">
        <is>
          <t>IF(OR(E107="",AI107=""),"",IF(COUNT(Y107:AH107)=0,"",AI107-LOOKUP(2,1/(Y107:AH107&lt;&gt;""),Y107:AH107)))</t>
        </is>
      </c>
      <c r="AU107" s="36" t="inlineStr">
        <is>
          <t>IF(OR(E107="",AJ107=""),"",IF(COUNT(Y107:AI107)=0,"",AJ107-LOOKUP(2,1/(Y107:AI107&lt;&gt;""),Y107:AI107)))</t>
        </is>
      </c>
      <c r="AV107" s="39" t="inlineStr">
        <is>
          <t>IF(G107="","All_Provinces",IFERROR(VLOOKUP(G107,'07_Lookups'!$A$4:$B$20,2,FALSE),"All_Provinces"))</t>
        </is>
      </c>
      <c r="AW107" s="39" t="inlineStr">
        <is>
          <t>IF(H107="","All_Districts",IFERROR(VLOOKUP(H107,'07_Lookups'!$E$4:$F$42,2,FALSE),"All_Districts"))</t>
        </is>
      </c>
    </row>
    <row r="108" ht="18" customHeight="1">
      <c r="A108" s="31" t="inlineStr">
        <is>
          <t>IF(E108="","",ROW()-3)</t>
        </is>
      </c>
      <c r="B108" s="32" t="n"/>
      <c r="C108" s="32" t="n"/>
      <c r="D108" s="32" t="n"/>
      <c r="E108" s="32" t="n"/>
      <c r="F108" s="32" t="n"/>
      <c r="G108" s="32" t="n"/>
      <c r="H108" s="32" t="n"/>
      <c r="I108" s="32" t="n"/>
      <c r="J108" s="32" t="n"/>
      <c r="K108" s="32" t="n"/>
      <c r="L108" s="32" t="n"/>
      <c r="M108" s="32" t="n"/>
      <c r="N108" s="33" t="n"/>
      <c r="O108" s="34" t="inlineStr">
        <is>
          <t>IF(AE108="","",AE108)</t>
        </is>
      </c>
      <c r="P108" s="35" t="n"/>
      <c r="Q108" s="34" t="inlineStr">
        <is>
          <t>IF(OR(O108="",P108=""),"",EDATE(O108,P108))</t>
        </is>
      </c>
      <c r="R108" s="35" t="n"/>
      <c r="S108" s="32" t="n"/>
      <c r="T108" s="32" t="n"/>
      <c r="U108" s="31" t="inlineStr">
        <is>
          <t>IF(E108="","",IF(COUNT(Y108:AJ108)=0,IF(S108="","Not started",S108),SUBSTITUTE(LOOKUP(2,1/(Y108:AJ108&lt;&gt;""),$Y$3:$AJ$3),"Date: ","")))</t>
        </is>
      </c>
      <c r="V108" s="36" t="inlineStr">
        <is>
          <t>IF(OR(E108="",COUNT(Y108:AJ108)=0),"",TODAY()-LOOKUP(2,1/(Y108:AJ108&lt;&gt;""),Y108:AJ108))</t>
        </is>
      </c>
      <c r="W108" s="36" t="inlineStr">
        <is>
          <t>IF(OR(E108="",COUNT(Y108:AJ108)&lt;2),"",LOOKUP(2,1/(Y108:AJ108&lt;&gt;""),Y108:AJ108)-MIN(Y108:AJ108))</t>
        </is>
      </c>
      <c r="X108" s="36" t="inlineStr">
        <is>
          <t>IF(OR(V108="",U108="Not started",U108=""),"",IFERROR(V108-IF(VLOOKUP(U108,'04_Status_Pipeline'!$B$3:$E$20,4,FALSE)="",0,VLOOKUP(U108,'04_Status_Pipeline'!$B$3:$E$20,4,FALSE)),""))</t>
        </is>
      </c>
      <c r="Y108" s="37" t="n"/>
      <c r="Z108" s="37" t="n"/>
      <c r="AA108" s="37" t="n"/>
      <c r="AB108" s="37" t="n"/>
      <c r="AC108" s="37" t="n"/>
      <c r="AD108" s="37" t="n"/>
      <c r="AE108" s="37" t="n"/>
      <c r="AF108" s="37" t="n"/>
      <c r="AG108" s="37" t="n"/>
      <c r="AH108" s="38" t="n"/>
      <c r="AI108" s="38" t="n"/>
      <c r="AJ108" s="38" t="n"/>
      <c r="AK108" s="36" t="inlineStr">
        <is>
          <t>IF(OR(E108="",Z108=""),"",IF(COUNT(Y108:Y108)=0,"",Z108-LOOKUP(2,1/(Y108:Y108&lt;&gt;""),Y108:Y108)))</t>
        </is>
      </c>
      <c r="AL108" s="36" t="inlineStr">
        <is>
          <t>IF(OR(E108="",AA108=""),"",IF(COUNT(Y108:Z108)=0,"",AA108-LOOKUP(2,1/(Y108:Z108&lt;&gt;""),Y108:Z108)))</t>
        </is>
      </c>
      <c r="AM108" s="36" t="inlineStr">
        <is>
          <t>IF(OR(E108="",AB108=""),"",IF(COUNT(Y108:AA108)=0,"",AB108-LOOKUP(2,1/(Y108:AA108&lt;&gt;""),Y108:AA108)))</t>
        </is>
      </c>
      <c r="AN108" s="36" t="inlineStr">
        <is>
          <t>IF(OR(E108="",AC108=""),"",IF(COUNT(Y108:AB108)=0,"",AC108-LOOKUP(2,1/(Y108:AB108&lt;&gt;""),Y108:AB108)))</t>
        </is>
      </c>
      <c r="AO108" s="36" t="inlineStr">
        <is>
          <t>IF(OR(E108="",AD108=""),"",IF(COUNT(Y108:AC108)=0,"",AD108-LOOKUP(2,1/(Y108:AC108&lt;&gt;""),Y108:AC108)))</t>
        </is>
      </c>
      <c r="AP108" s="36" t="inlineStr">
        <is>
          <t>IF(OR(E108="",AE108=""),"",IF(COUNT(Y108:AD108)=0,"",AE108-LOOKUP(2,1/(Y108:AD108&lt;&gt;""),Y108:AD108)))</t>
        </is>
      </c>
      <c r="AQ108" s="36" t="inlineStr">
        <is>
          <t>IF(OR(E108="",AF108=""),"",IF(COUNT(Y108:AE108)=0,"",AF108-LOOKUP(2,1/(Y108:AE108&lt;&gt;""),Y108:AE108)))</t>
        </is>
      </c>
      <c r="AR108" s="36" t="inlineStr">
        <is>
          <t>IF(OR(E108="",AG108=""),"",IF(COUNT(Y108:AF108)=0,"",AG108-LOOKUP(2,1/(Y108:AF108&lt;&gt;""),Y108:AF108)))</t>
        </is>
      </c>
      <c r="AS108" s="36" t="inlineStr">
        <is>
          <t>IF(OR(E108="",AH108=""),"",IF(COUNT(Y108:AG108)=0,"",AH108-LOOKUP(2,1/(Y108:AG108&lt;&gt;""),Y108:AG108)))</t>
        </is>
      </c>
      <c r="AT108" s="36" t="inlineStr">
        <is>
          <t>IF(OR(E108="",AI108=""),"",IF(COUNT(Y108:AH108)=0,"",AI108-LOOKUP(2,1/(Y108:AH108&lt;&gt;""),Y108:AH108)))</t>
        </is>
      </c>
      <c r="AU108" s="36" t="inlineStr">
        <is>
          <t>IF(OR(E108="",AJ108=""),"",IF(COUNT(Y108:AI108)=0,"",AJ108-LOOKUP(2,1/(Y108:AI108&lt;&gt;""),Y108:AI108)))</t>
        </is>
      </c>
      <c r="AV108" s="39" t="inlineStr">
        <is>
          <t>IF(G108="","All_Provinces",IFERROR(VLOOKUP(G108,'07_Lookups'!$A$4:$B$20,2,FALSE),"All_Provinces"))</t>
        </is>
      </c>
      <c r="AW108" s="39" t="inlineStr">
        <is>
          <t>IF(H108="","All_Districts",IFERROR(VLOOKUP(H108,'07_Lookups'!$E$4:$F$42,2,FALSE),"All_Districts"))</t>
        </is>
      </c>
    </row>
    <row r="109" ht="18" customHeight="1">
      <c r="A109" s="31" t="inlineStr">
        <is>
          <t>IF(E109="","",ROW()-3)</t>
        </is>
      </c>
      <c r="B109" s="40" t="n"/>
      <c r="C109" s="40" t="n"/>
      <c r="D109" s="40" t="n"/>
      <c r="E109" s="40" t="n"/>
      <c r="F109" s="40" t="n"/>
      <c r="G109" s="40" t="n"/>
      <c r="H109" s="40" t="n"/>
      <c r="I109" s="40" t="n"/>
      <c r="J109" s="40" t="n"/>
      <c r="K109" s="40" t="n"/>
      <c r="L109" s="40" t="n"/>
      <c r="M109" s="40" t="n"/>
      <c r="N109" s="41" t="n"/>
      <c r="O109" s="34" t="inlineStr">
        <is>
          <t>IF(AE109="","",AE109)</t>
        </is>
      </c>
      <c r="P109" s="42" t="n"/>
      <c r="Q109" s="34" t="inlineStr">
        <is>
          <t>IF(OR(O109="",P109=""),"",EDATE(O109,P109))</t>
        </is>
      </c>
      <c r="R109" s="42" t="n"/>
      <c r="S109" s="40" t="n"/>
      <c r="T109" s="40" t="n"/>
      <c r="U109" s="31" t="inlineStr">
        <is>
          <t>IF(E109="","",IF(COUNT(Y109:AJ109)=0,IF(S109="","Not started",S109),SUBSTITUTE(LOOKUP(2,1/(Y109:AJ109&lt;&gt;""),$Y$3:$AJ$3),"Date: ","")))</t>
        </is>
      </c>
      <c r="V109" s="36" t="inlineStr">
        <is>
          <t>IF(OR(E109="",COUNT(Y109:AJ109)=0),"",TODAY()-LOOKUP(2,1/(Y109:AJ109&lt;&gt;""),Y109:AJ109))</t>
        </is>
      </c>
      <c r="W109" s="36" t="inlineStr">
        <is>
          <t>IF(OR(E109="",COUNT(Y109:AJ109)&lt;2),"",LOOKUP(2,1/(Y109:AJ109&lt;&gt;""),Y109:AJ109)-MIN(Y109:AJ109))</t>
        </is>
      </c>
      <c r="X109" s="36" t="inlineStr">
        <is>
          <t>IF(OR(V109="",U109="Not started",U109=""),"",IFERROR(V109-IF(VLOOKUP(U109,'04_Status_Pipeline'!$B$3:$E$20,4,FALSE)="",0,VLOOKUP(U109,'04_Status_Pipeline'!$B$3:$E$20,4,FALSE)),""))</t>
        </is>
      </c>
      <c r="Y109" s="43" t="n"/>
      <c r="Z109" s="43" t="n"/>
      <c r="AA109" s="43" t="n"/>
      <c r="AB109" s="43" t="n"/>
      <c r="AC109" s="43" t="n"/>
      <c r="AD109" s="43" t="n"/>
      <c r="AE109" s="43" t="n"/>
      <c r="AF109" s="43" t="n"/>
      <c r="AG109" s="43" t="n"/>
      <c r="AH109" s="38" t="n"/>
      <c r="AI109" s="38" t="n"/>
      <c r="AJ109" s="38" t="n"/>
      <c r="AK109" s="36" t="inlineStr">
        <is>
          <t>IF(OR(E109="",Z109=""),"",IF(COUNT(Y109:Y109)=0,"",Z109-LOOKUP(2,1/(Y109:Y109&lt;&gt;""),Y109:Y109)))</t>
        </is>
      </c>
      <c r="AL109" s="36" t="inlineStr">
        <is>
          <t>IF(OR(E109="",AA109=""),"",IF(COUNT(Y109:Z109)=0,"",AA109-LOOKUP(2,1/(Y109:Z109&lt;&gt;""),Y109:Z109)))</t>
        </is>
      </c>
      <c r="AM109" s="36" t="inlineStr">
        <is>
          <t>IF(OR(E109="",AB109=""),"",IF(COUNT(Y109:AA109)=0,"",AB109-LOOKUP(2,1/(Y109:AA109&lt;&gt;""),Y109:AA109)))</t>
        </is>
      </c>
      <c r="AN109" s="36" t="inlineStr">
        <is>
          <t>IF(OR(E109="",AC109=""),"",IF(COUNT(Y109:AB109)=0,"",AC109-LOOKUP(2,1/(Y109:AB109&lt;&gt;""),Y109:AB109)))</t>
        </is>
      </c>
      <c r="AO109" s="36" t="inlineStr">
        <is>
          <t>IF(OR(E109="",AD109=""),"",IF(COUNT(Y109:AC109)=0,"",AD109-LOOKUP(2,1/(Y109:AC109&lt;&gt;""),Y109:AC109)))</t>
        </is>
      </c>
      <c r="AP109" s="36" t="inlineStr">
        <is>
          <t>IF(OR(E109="",AE109=""),"",IF(COUNT(Y109:AD109)=0,"",AE109-LOOKUP(2,1/(Y109:AD109&lt;&gt;""),Y109:AD109)))</t>
        </is>
      </c>
      <c r="AQ109" s="36" t="inlineStr">
        <is>
          <t>IF(OR(E109="",AF109=""),"",IF(COUNT(Y109:AE109)=0,"",AF109-LOOKUP(2,1/(Y109:AE109&lt;&gt;""),Y109:AE109)))</t>
        </is>
      </c>
      <c r="AR109" s="36" t="inlineStr">
        <is>
          <t>IF(OR(E109="",AG109=""),"",IF(COUNT(Y109:AF109)=0,"",AG109-LOOKUP(2,1/(Y109:AF109&lt;&gt;""),Y109:AF109)))</t>
        </is>
      </c>
      <c r="AS109" s="36" t="inlineStr">
        <is>
          <t>IF(OR(E109="",AH109=""),"",IF(COUNT(Y109:AG109)=0,"",AH109-LOOKUP(2,1/(Y109:AG109&lt;&gt;""),Y109:AG109)))</t>
        </is>
      </c>
      <c r="AT109" s="36" t="inlineStr">
        <is>
          <t>IF(OR(E109="",AI109=""),"",IF(COUNT(Y109:AH109)=0,"",AI109-LOOKUP(2,1/(Y109:AH109&lt;&gt;""),Y109:AH109)))</t>
        </is>
      </c>
      <c r="AU109" s="36" t="inlineStr">
        <is>
          <t>IF(OR(E109="",AJ109=""),"",IF(COUNT(Y109:AI109)=0,"",AJ109-LOOKUP(2,1/(Y109:AI109&lt;&gt;""),Y109:AI109)))</t>
        </is>
      </c>
      <c r="AV109" s="39" t="inlineStr">
        <is>
          <t>IF(G109="","All_Provinces",IFERROR(VLOOKUP(G109,'07_Lookups'!$A$4:$B$20,2,FALSE),"All_Provinces"))</t>
        </is>
      </c>
      <c r="AW109" s="39" t="inlineStr">
        <is>
          <t>IF(H109="","All_Districts",IFERROR(VLOOKUP(H109,'07_Lookups'!$E$4:$F$42,2,FALSE),"All_Districts"))</t>
        </is>
      </c>
    </row>
    <row r="110" ht="18" customHeight="1">
      <c r="A110" s="31" t="inlineStr">
        <is>
          <t>IF(E110="","",ROW()-3)</t>
        </is>
      </c>
      <c r="B110" s="32" t="n"/>
      <c r="C110" s="32" t="n"/>
      <c r="D110" s="32" t="n"/>
      <c r="E110" s="32" t="n"/>
      <c r="F110" s="32" t="n"/>
      <c r="G110" s="32" t="n"/>
      <c r="H110" s="32" t="n"/>
      <c r="I110" s="32" t="n"/>
      <c r="J110" s="32" t="n"/>
      <c r="K110" s="32" t="n"/>
      <c r="L110" s="32" t="n"/>
      <c r="M110" s="32" t="n"/>
      <c r="N110" s="33" t="n"/>
      <c r="O110" s="34" t="inlineStr">
        <is>
          <t>IF(AE110="","",AE110)</t>
        </is>
      </c>
      <c r="P110" s="35" t="n"/>
      <c r="Q110" s="34" t="inlineStr">
        <is>
          <t>IF(OR(O110="",P110=""),"",EDATE(O110,P110))</t>
        </is>
      </c>
      <c r="R110" s="35" t="n"/>
      <c r="S110" s="32" t="n"/>
      <c r="T110" s="32" t="n"/>
      <c r="U110" s="31" t="inlineStr">
        <is>
          <t>IF(E110="","",IF(COUNT(Y110:AJ110)=0,IF(S110="","Not started",S110),SUBSTITUTE(LOOKUP(2,1/(Y110:AJ110&lt;&gt;""),$Y$3:$AJ$3),"Date: ","")))</t>
        </is>
      </c>
      <c r="V110" s="36" t="inlineStr">
        <is>
          <t>IF(OR(E110="",COUNT(Y110:AJ110)=0),"",TODAY()-LOOKUP(2,1/(Y110:AJ110&lt;&gt;""),Y110:AJ110))</t>
        </is>
      </c>
      <c r="W110" s="36" t="inlineStr">
        <is>
          <t>IF(OR(E110="",COUNT(Y110:AJ110)&lt;2),"",LOOKUP(2,1/(Y110:AJ110&lt;&gt;""),Y110:AJ110)-MIN(Y110:AJ110))</t>
        </is>
      </c>
      <c r="X110" s="36" t="inlineStr">
        <is>
          <t>IF(OR(V110="",U110="Not started",U110=""),"",IFERROR(V110-IF(VLOOKUP(U110,'04_Status_Pipeline'!$B$3:$E$20,4,FALSE)="",0,VLOOKUP(U110,'04_Status_Pipeline'!$B$3:$E$20,4,FALSE)),""))</t>
        </is>
      </c>
      <c r="Y110" s="37" t="n"/>
      <c r="Z110" s="37" t="n"/>
      <c r="AA110" s="37" t="n"/>
      <c r="AB110" s="37" t="n"/>
      <c r="AC110" s="37" t="n"/>
      <c r="AD110" s="37" t="n"/>
      <c r="AE110" s="37" t="n"/>
      <c r="AF110" s="37" t="n"/>
      <c r="AG110" s="37" t="n"/>
      <c r="AH110" s="38" t="n"/>
      <c r="AI110" s="38" t="n"/>
      <c r="AJ110" s="38" t="n"/>
      <c r="AK110" s="36" t="inlineStr">
        <is>
          <t>IF(OR(E110="",Z110=""),"",IF(COUNT(Y110:Y110)=0,"",Z110-LOOKUP(2,1/(Y110:Y110&lt;&gt;""),Y110:Y110)))</t>
        </is>
      </c>
      <c r="AL110" s="36" t="inlineStr">
        <is>
          <t>IF(OR(E110="",AA110=""),"",IF(COUNT(Y110:Z110)=0,"",AA110-LOOKUP(2,1/(Y110:Z110&lt;&gt;""),Y110:Z110)))</t>
        </is>
      </c>
      <c r="AM110" s="36" t="inlineStr">
        <is>
          <t>IF(OR(E110="",AB110=""),"",IF(COUNT(Y110:AA110)=0,"",AB110-LOOKUP(2,1/(Y110:AA110&lt;&gt;""),Y110:AA110)))</t>
        </is>
      </c>
      <c r="AN110" s="36" t="inlineStr">
        <is>
          <t>IF(OR(E110="",AC110=""),"",IF(COUNT(Y110:AB110)=0,"",AC110-LOOKUP(2,1/(Y110:AB110&lt;&gt;""),Y110:AB110)))</t>
        </is>
      </c>
      <c r="AO110" s="36" t="inlineStr">
        <is>
          <t>IF(OR(E110="",AD110=""),"",IF(COUNT(Y110:AC110)=0,"",AD110-LOOKUP(2,1/(Y110:AC110&lt;&gt;""),Y110:AC110)))</t>
        </is>
      </c>
      <c r="AP110" s="36" t="inlineStr">
        <is>
          <t>IF(OR(E110="",AE110=""),"",IF(COUNT(Y110:AD110)=0,"",AE110-LOOKUP(2,1/(Y110:AD110&lt;&gt;""),Y110:AD110)))</t>
        </is>
      </c>
      <c r="AQ110" s="36" t="inlineStr">
        <is>
          <t>IF(OR(E110="",AF110=""),"",IF(COUNT(Y110:AE110)=0,"",AF110-LOOKUP(2,1/(Y110:AE110&lt;&gt;""),Y110:AE110)))</t>
        </is>
      </c>
      <c r="AR110" s="36" t="inlineStr">
        <is>
          <t>IF(OR(E110="",AG110=""),"",IF(COUNT(Y110:AF110)=0,"",AG110-LOOKUP(2,1/(Y110:AF110&lt;&gt;""),Y110:AF110)))</t>
        </is>
      </c>
      <c r="AS110" s="36" t="inlineStr">
        <is>
          <t>IF(OR(E110="",AH110=""),"",IF(COUNT(Y110:AG110)=0,"",AH110-LOOKUP(2,1/(Y110:AG110&lt;&gt;""),Y110:AG110)))</t>
        </is>
      </c>
      <c r="AT110" s="36" t="inlineStr">
        <is>
          <t>IF(OR(E110="",AI110=""),"",IF(COUNT(Y110:AH110)=0,"",AI110-LOOKUP(2,1/(Y110:AH110&lt;&gt;""),Y110:AH110)))</t>
        </is>
      </c>
      <c r="AU110" s="36" t="inlineStr">
        <is>
          <t>IF(OR(E110="",AJ110=""),"",IF(COUNT(Y110:AI110)=0,"",AJ110-LOOKUP(2,1/(Y110:AI110&lt;&gt;""),Y110:AI110)))</t>
        </is>
      </c>
      <c r="AV110" s="39" t="inlineStr">
        <is>
          <t>IF(G110="","All_Provinces",IFERROR(VLOOKUP(G110,'07_Lookups'!$A$4:$B$20,2,FALSE),"All_Provinces"))</t>
        </is>
      </c>
      <c r="AW110" s="39" t="inlineStr">
        <is>
          <t>IF(H110="","All_Districts",IFERROR(VLOOKUP(H110,'07_Lookups'!$E$4:$F$42,2,FALSE),"All_Districts"))</t>
        </is>
      </c>
    </row>
    <row r="111" ht="18" customHeight="1">
      <c r="A111" s="31" t="inlineStr">
        <is>
          <t>IF(E111="","",ROW()-3)</t>
        </is>
      </c>
      <c r="B111" s="40" t="n"/>
      <c r="C111" s="40" t="n"/>
      <c r="D111" s="40" t="n"/>
      <c r="E111" s="40" t="n"/>
      <c r="F111" s="40" t="n"/>
      <c r="G111" s="40" t="n"/>
      <c r="H111" s="40" t="n"/>
      <c r="I111" s="40" t="n"/>
      <c r="J111" s="40" t="n"/>
      <c r="K111" s="40" t="n"/>
      <c r="L111" s="40" t="n"/>
      <c r="M111" s="40" t="n"/>
      <c r="N111" s="41" t="n"/>
      <c r="O111" s="34" t="inlineStr">
        <is>
          <t>IF(AE111="","",AE111)</t>
        </is>
      </c>
      <c r="P111" s="42" t="n"/>
      <c r="Q111" s="34" t="inlineStr">
        <is>
          <t>IF(OR(O111="",P111=""),"",EDATE(O111,P111))</t>
        </is>
      </c>
      <c r="R111" s="42" t="n"/>
      <c r="S111" s="40" t="n"/>
      <c r="T111" s="40" t="n"/>
      <c r="U111" s="31" t="inlineStr">
        <is>
          <t>IF(E111="","",IF(COUNT(Y111:AJ111)=0,IF(S111="","Not started",S111),SUBSTITUTE(LOOKUP(2,1/(Y111:AJ111&lt;&gt;""),$Y$3:$AJ$3),"Date: ","")))</t>
        </is>
      </c>
      <c r="V111" s="36" t="inlineStr">
        <is>
          <t>IF(OR(E111="",COUNT(Y111:AJ111)=0),"",TODAY()-LOOKUP(2,1/(Y111:AJ111&lt;&gt;""),Y111:AJ111))</t>
        </is>
      </c>
      <c r="W111" s="36" t="inlineStr">
        <is>
          <t>IF(OR(E111="",COUNT(Y111:AJ111)&lt;2),"",LOOKUP(2,1/(Y111:AJ111&lt;&gt;""),Y111:AJ111)-MIN(Y111:AJ111))</t>
        </is>
      </c>
      <c r="X111" s="36" t="inlineStr">
        <is>
          <t>IF(OR(V111="",U111="Not started",U111=""),"",IFERROR(V111-IF(VLOOKUP(U111,'04_Status_Pipeline'!$B$3:$E$20,4,FALSE)="",0,VLOOKUP(U111,'04_Status_Pipeline'!$B$3:$E$20,4,FALSE)),""))</t>
        </is>
      </c>
      <c r="Y111" s="43" t="n"/>
      <c r="Z111" s="43" t="n"/>
      <c r="AA111" s="43" t="n"/>
      <c r="AB111" s="43" t="n"/>
      <c r="AC111" s="43" t="n"/>
      <c r="AD111" s="43" t="n"/>
      <c r="AE111" s="43" t="n"/>
      <c r="AF111" s="43" t="n"/>
      <c r="AG111" s="43" t="n"/>
      <c r="AH111" s="38" t="n"/>
      <c r="AI111" s="38" t="n"/>
      <c r="AJ111" s="38" t="n"/>
      <c r="AK111" s="36" t="inlineStr">
        <is>
          <t>IF(OR(E111="",Z111=""),"",IF(COUNT(Y111:Y111)=0,"",Z111-LOOKUP(2,1/(Y111:Y111&lt;&gt;""),Y111:Y111)))</t>
        </is>
      </c>
      <c r="AL111" s="36" t="inlineStr">
        <is>
          <t>IF(OR(E111="",AA111=""),"",IF(COUNT(Y111:Z111)=0,"",AA111-LOOKUP(2,1/(Y111:Z111&lt;&gt;""),Y111:Z111)))</t>
        </is>
      </c>
      <c r="AM111" s="36" t="inlineStr">
        <is>
          <t>IF(OR(E111="",AB111=""),"",IF(COUNT(Y111:AA111)=0,"",AB111-LOOKUP(2,1/(Y111:AA111&lt;&gt;""),Y111:AA111)))</t>
        </is>
      </c>
      <c r="AN111" s="36" t="inlineStr">
        <is>
          <t>IF(OR(E111="",AC111=""),"",IF(COUNT(Y111:AB111)=0,"",AC111-LOOKUP(2,1/(Y111:AB111&lt;&gt;""),Y111:AB111)))</t>
        </is>
      </c>
      <c r="AO111" s="36" t="inlineStr">
        <is>
          <t>IF(OR(E111="",AD111=""),"",IF(COUNT(Y111:AC111)=0,"",AD111-LOOKUP(2,1/(Y111:AC111&lt;&gt;""),Y111:AC111)))</t>
        </is>
      </c>
      <c r="AP111" s="36" t="inlineStr">
        <is>
          <t>IF(OR(E111="",AE111=""),"",IF(COUNT(Y111:AD111)=0,"",AE111-LOOKUP(2,1/(Y111:AD111&lt;&gt;""),Y111:AD111)))</t>
        </is>
      </c>
      <c r="AQ111" s="36" t="inlineStr">
        <is>
          <t>IF(OR(E111="",AF111=""),"",IF(COUNT(Y111:AE111)=0,"",AF111-LOOKUP(2,1/(Y111:AE111&lt;&gt;""),Y111:AE111)))</t>
        </is>
      </c>
      <c r="AR111" s="36" t="inlineStr">
        <is>
          <t>IF(OR(E111="",AG111=""),"",IF(COUNT(Y111:AF111)=0,"",AG111-LOOKUP(2,1/(Y111:AF111&lt;&gt;""),Y111:AF111)))</t>
        </is>
      </c>
      <c r="AS111" s="36" t="inlineStr">
        <is>
          <t>IF(OR(E111="",AH111=""),"",IF(COUNT(Y111:AG111)=0,"",AH111-LOOKUP(2,1/(Y111:AG111&lt;&gt;""),Y111:AG111)))</t>
        </is>
      </c>
      <c r="AT111" s="36" t="inlineStr">
        <is>
          <t>IF(OR(E111="",AI111=""),"",IF(COUNT(Y111:AH111)=0,"",AI111-LOOKUP(2,1/(Y111:AH111&lt;&gt;""),Y111:AH111)))</t>
        </is>
      </c>
      <c r="AU111" s="36" t="inlineStr">
        <is>
          <t>IF(OR(E111="",AJ111=""),"",IF(COUNT(Y111:AI111)=0,"",AJ111-LOOKUP(2,1/(Y111:AI111&lt;&gt;""),Y111:AI111)))</t>
        </is>
      </c>
      <c r="AV111" s="39" t="inlineStr">
        <is>
          <t>IF(G111="","All_Provinces",IFERROR(VLOOKUP(G111,'07_Lookups'!$A$4:$B$20,2,FALSE),"All_Provinces"))</t>
        </is>
      </c>
      <c r="AW111" s="39" t="inlineStr">
        <is>
          <t>IF(H111="","All_Districts",IFERROR(VLOOKUP(H111,'07_Lookups'!$E$4:$F$42,2,FALSE),"All_Districts"))</t>
        </is>
      </c>
    </row>
    <row r="112" ht="18" customHeight="1">
      <c r="A112" s="31" t="inlineStr">
        <is>
          <t>IF(E112="","",ROW()-3)</t>
        </is>
      </c>
      <c r="B112" s="32" t="n"/>
      <c r="C112" s="32" t="n"/>
      <c r="D112" s="32" t="n"/>
      <c r="E112" s="32" t="n"/>
      <c r="F112" s="32" t="n"/>
      <c r="G112" s="32" t="n"/>
      <c r="H112" s="32" t="n"/>
      <c r="I112" s="32" t="n"/>
      <c r="J112" s="32" t="n"/>
      <c r="K112" s="32" t="n"/>
      <c r="L112" s="32" t="n"/>
      <c r="M112" s="32" t="n"/>
      <c r="N112" s="33" t="n"/>
      <c r="O112" s="34" t="inlineStr">
        <is>
          <t>IF(AE112="","",AE112)</t>
        </is>
      </c>
      <c r="P112" s="35" t="n"/>
      <c r="Q112" s="34" t="inlineStr">
        <is>
          <t>IF(OR(O112="",P112=""),"",EDATE(O112,P112))</t>
        </is>
      </c>
      <c r="R112" s="35" t="n"/>
      <c r="S112" s="32" t="n"/>
      <c r="T112" s="32" t="n"/>
      <c r="U112" s="31" t="inlineStr">
        <is>
          <t>IF(E112="","",IF(COUNT(Y112:AJ112)=0,IF(S112="","Not started",S112),SUBSTITUTE(LOOKUP(2,1/(Y112:AJ112&lt;&gt;""),$Y$3:$AJ$3),"Date: ","")))</t>
        </is>
      </c>
      <c r="V112" s="36" t="inlineStr">
        <is>
          <t>IF(OR(E112="",COUNT(Y112:AJ112)=0),"",TODAY()-LOOKUP(2,1/(Y112:AJ112&lt;&gt;""),Y112:AJ112))</t>
        </is>
      </c>
      <c r="W112" s="36" t="inlineStr">
        <is>
          <t>IF(OR(E112="",COUNT(Y112:AJ112)&lt;2),"",LOOKUP(2,1/(Y112:AJ112&lt;&gt;""),Y112:AJ112)-MIN(Y112:AJ112))</t>
        </is>
      </c>
      <c r="X112" s="36" t="inlineStr">
        <is>
          <t>IF(OR(V112="",U112="Not started",U112=""),"",IFERROR(V112-IF(VLOOKUP(U112,'04_Status_Pipeline'!$B$3:$E$20,4,FALSE)="",0,VLOOKUP(U112,'04_Status_Pipeline'!$B$3:$E$20,4,FALSE)),""))</t>
        </is>
      </c>
      <c r="Y112" s="37" t="n"/>
      <c r="Z112" s="37" t="n"/>
      <c r="AA112" s="37" t="n"/>
      <c r="AB112" s="37" t="n"/>
      <c r="AC112" s="37" t="n"/>
      <c r="AD112" s="37" t="n"/>
      <c r="AE112" s="37" t="n"/>
      <c r="AF112" s="37" t="n"/>
      <c r="AG112" s="37" t="n"/>
      <c r="AH112" s="38" t="n"/>
      <c r="AI112" s="38" t="n"/>
      <c r="AJ112" s="38" t="n"/>
      <c r="AK112" s="36" t="inlineStr">
        <is>
          <t>IF(OR(E112="",Z112=""),"",IF(COUNT(Y112:Y112)=0,"",Z112-LOOKUP(2,1/(Y112:Y112&lt;&gt;""),Y112:Y112)))</t>
        </is>
      </c>
      <c r="AL112" s="36" t="inlineStr">
        <is>
          <t>IF(OR(E112="",AA112=""),"",IF(COUNT(Y112:Z112)=0,"",AA112-LOOKUP(2,1/(Y112:Z112&lt;&gt;""),Y112:Z112)))</t>
        </is>
      </c>
      <c r="AM112" s="36" t="inlineStr">
        <is>
          <t>IF(OR(E112="",AB112=""),"",IF(COUNT(Y112:AA112)=0,"",AB112-LOOKUP(2,1/(Y112:AA112&lt;&gt;""),Y112:AA112)))</t>
        </is>
      </c>
      <c r="AN112" s="36" t="inlineStr">
        <is>
          <t>IF(OR(E112="",AC112=""),"",IF(COUNT(Y112:AB112)=0,"",AC112-LOOKUP(2,1/(Y112:AB112&lt;&gt;""),Y112:AB112)))</t>
        </is>
      </c>
      <c r="AO112" s="36" t="inlineStr">
        <is>
          <t>IF(OR(E112="",AD112=""),"",IF(COUNT(Y112:AC112)=0,"",AD112-LOOKUP(2,1/(Y112:AC112&lt;&gt;""),Y112:AC112)))</t>
        </is>
      </c>
      <c r="AP112" s="36" t="inlineStr">
        <is>
          <t>IF(OR(E112="",AE112=""),"",IF(COUNT(Y112:AD112)=0,"",AE112-LOOKUP(2,1/(Y112:AD112&lt;&gt;""),Y112:AD112)))</t>
        </is>
      </c>
      <c r="AQ112" s="36" t="inlineStr">
        <is>
          <t>IF(OR(E112="",AF112=""),"",IF(COUNT(Y112:AE112)=0,"",AF112-LOOKUP(2,1/(Y112:AE112&lt;&gt;""),Y112:AE112)))</t>
        </is>
      </c>
      <c r="AR112" s="36" t="inlineStr">
        <is>
          <t>IF(OR(E112="",AG112=""),"",IF(COUNT(Y112:AF112)=0,"",AG112-LOOKUP(2,1/(Y112:AF112&lt;&gt;""),Y112:AF112)))</t>
        </is>
      </c>
      <c r="AS112" s="36" t="inlineStr">
        <is>
          <t>IF(OR(E112="",AH112=""),"",IF(COUNT(Y112:AG112)=0,"",AH112-LOOKUP(2,1/(Y112:AG112&lt;&gt;""),Y112:AG112)))</t>
        </is>
      </c>
      <c r="AT112" s="36" t="inlineStr">
        <is>
          <t>IF(OR(E112="",AI112=""),"",IF(COUNT(Y112:AH112)=0,"",AI112-LOOKUP(2,1/(Y112:AH112&lt;&gt;""),Y112:AH112)))</t>
        </is>
      </c>
      <c r="AU112" s="36" t="inlineStr">
        <is>
          <t>IF(OR(E112="",AJ112=""),"",IF(COUNT(Y112:AI112)=0,"",AJ112-LOOKUP(2,1/(Y112:AI112&lt;&gt;""),Y112:AI112)))</t>
        </is>
      </c>
      <c r="AV112" s="39" t="inlineStr">
        <is>
          <t>IF(G112="","All_Provinces",IFERROR(VLOOKUP(G112,'07_Lookups'!$A$4:$B$20,2,FALSE),"All_Provinces"))</t>
        </is>
      </c>
      <c r="AW112" s="39" t="inlineStr">
        <is>
          <t>IF(H112="","All_Districts",IFERROR(VLOOKUP(H112,'07_Lookups'!$E$4:$F$42,2,FALSE),"All_Districts"))</t>
        </is>
      </c>
    </row>
    <row r="113" ht="18" customHeight="1">
      <c r="A113" s="31" t="inlineStr">
        <is>
          <t>IF(E113="","",ROW()-3)</t>
        </is>
      </c>
      <c r="B113" s="40" t="n"/>
      <c r="C113" s="40" t="n"/>
      <c r="D113" s="40" t="n"/>
      <c r="E113" s="40" t="n"/>
      <c r="F113" s="40" t="n"/>
      <c r="G113" s="40" t="n"/>
      <c r="H113" s="40" t="n"/>
      <c r="I113" s="40" t="n"/>
      <c r="J113" s="40" t="n"/>
      <c r="K113" s="40" t="n"/>
      <c r="L113" s="40" t="n"/>
      <c r="M113" s="40" t="n"/>
      <c r="N113" s="41" t="n"/>
      <c r="O113" s="34" t="inlineStr">
        <is>
          <t>IF(AE113="","",AE113)</t>
        </is>
      </c>
      <c r="P113" s="42" t="n"/>
      <c r="Q113" s="34" t="inlineStr">
        <is>
          <t>IF(OR(O113="",P113=""),"",EDATE(O113,P113))</t>
        </is>
      </c>
      <c r="R113" s="42" t="n"/>
      <c r="S113" s="40" t="n"/>
      <c r="T113" s="40" t="n"/>
      <c r="U113" s="31" t="inlineStr">
        <is>
          <t>IF(E113="","",IF(COUNT(Y113:AJ113)=0,IF(S113="","Not started",S113),SUBSTITUTE(LOOKUP(2,1/(Y113:AJ113&lt;&gt;""),$Y$3:$AJ$3),"Date: ","")))</t>
        </is>
      </c>
      <c r="V113" s="36" t="inlineStr">
        <is>
          <t>IF(OR(E113="",COUNT(Y113:AJ113)=0),"",TODAY()-LOOKUP(2,1/(Y113:AJ113&lt;&gt;""),Y113:AJ113))</t>
        </is>
      </c>
      <c r="W113" s="36" t="inlineStr">
        <is>
          <t>IF(OR(E113="",COUNT(Y113:AJ113)&lt;2),"",LOOKUP(2,1/(Y113:AJ113&lt;&gt;""),Y113:AJ113)-MIN(Y113:AJ113))</t>
        </is>
      </c>
      <c r="X113" s="36" t="inlineStr">
        <is>
          <t>IF(OR(V113="",U113="Not started",U113=""),"",IFERROR(V113-IF(VLOOKUP(U113,'04_Status_Pipeline'!$B$3:$E$20,4,FALSE)="",0,VLOOKUP(U113,'04_Status_Pipeline'!$B$3:$E$20,4,FALSE)),""))</t>
        </is>
      </c>
      <c r="Y113" s="43" t="n"/>
      <c r="Z113" s="43" t="n"/>
      <c r="AA113" s="43" t="n"/>
      <c r="AB113" s="43" t="n"/>
      <c r="AC113" s="43" t="n"/>
      <c r="AD113" s="43" t="n"/>
      <c r="AE113" s="43" t="n"/>
      <c r="AF113" s="43" t="n"/>
      <c r="AG113" s="43" t="n"/>
      <c r="AH113" s="38" t="n"/>
      <c r="AI113" s="38" t="n"/>
      <c r="AJ113" s="38" t="n"/>
      <c r="AK113" s="36" t="inlineStr">
        <is>
          <t>IF(OR(E113="",Z113=""),"",IF(COUNT(Y113:Y113)=0,"",Z113-LOOKUP(2,1/(Y113:Y113&lt;&gt;""),Y113:Y113)))</t>
        </is>
      </c>
      <c r="AL113" s="36" t="inlineStr">
        <is>
          <t>IF(OR(E113="",AA113=""),"",IF(COUNT(Y113:Z113)=0,"",AA113-LOOKUP(2,1/(Y113:Z113&lt;&gt;""),Y113:Z113)))</t>
        </is>
      </c>
      <c r="AM113" s="36" t="inlineStr">
        <is>
          <t>IF(OR(E113="",AB113=""),"",IF(COUNT(Y113:AA113)=0,"",AB113-LOOKUP(2,1/(Y113:AA113&lt;&gt;""),Y113:AA113)))</t>
        </is>
      </c>
      <c r="AN113" s="36" t="inlineStr">
        <is>
          <t>IF(OR(E113="",AC113=""),"",IF(COUNT(Y113:AB113)=0,"",AC113-LOOKUP(2,1/(Y113:AB113&lt;&gt;""),Y113:AB113)))</t>
        </is>
      </c>
      <c r="AO113" s="36" t="inlineStr">
        <is>
          <t>IF(OR(E113="",AD113=""),"",IF(COUNT(Y113:AC113)=0,"",AD113-LOOKUP(2,1/(Y113:AC113&lt;&gt;""),Y113:AC113)))</t>
        </is>
      </c>
      <c r="AP113" s="36" t="inlineStr">
        <is>
          <t>IF(OR(E113="",AE113=""),"",IF(COUNT(Y113:AD113)=0,"",AE113-LOOKUP(2,1/(Y113:AD113&lt;&gt;""),Y113:AD113)))</t>
        </is>
      </c>
      <c r="AQ113" s="36" t="inlineStr">
        <is>
          <t>IF(OR(E113="",AF113=""),"",IF(COUNT(Y113:AE113)=0,"",AF113-LOOKUP(2,1/(Y113:AE113&lt;&gt;""),Y113:AE113)))</t>
        </is>
      </c>
      <c r="AR113" s="36" t="inlineStr">
        <is>
          <t>IF(OR(E113="",AG113=""),"",IF(COUNT(Y113:AF113)=0,"",AG113-LOOKUP(2,1/(Y113:AF113&lt;&gt;""),Y113:AF113)))</t>
        </is>
      </c>
      <c r="AS113" s="36" t="inlineStr">
        <is>
          <t>IF(OR(E113="",AH113=""),"",IF(COUNT(Y113:AG113)=0,"",AH113-LOOKUP(2,1/(Y113:AG113&lt;&gt;""),Y113:AG113)))</t>
        </is>
      </c>
      <c r="AT113" s="36" t="inlineStr">
        <is>
          <t>IF(OR(E113="",AI113=""),"",IF(COUNT(Y113:AH113)=0,"",AI113-LOOKUP(2,1/(Y113:AH113&lt;&gt;""),Y113:AH113)))</t>
        </is>
      </c>
      <c r="AU113" s="36" t="inlineStr">
        <is>
          <t>IF(OR(E113="",AJ113=""),"",IF(COUNT(Y113:AI113)=0,"",AJ113-LOOKUP(2,1/(Y113:AI113&lt;&gt;""),Y113:AI113)))</t>
        </is>
      </c>
      <c r="AV113" s="39" t="inlineStr">
        <is>
          <t>IF(G113="","All_Provinces",IFERROR(VLOOKUP(G113,'07_Lookups'!$A$4:$B$20,2,FALSE),"All_Provinces"))</t>
        </is>
      </c>
      <c r="AW113" s="39" t="inlineStr">
        <is>
          <t>IF(H113="","All_Districts",IFERROR(VLOOKUP(H113,'07_Lookups'!$E$4:$F$42,2,FALSE),"All_Districts"))</t>
        </is>
      </c>
    </row>
    <row r="114" ht="18" customHeight="1">
      <c r="A114" s="31" t="inlineStr">
        <is>
          <t>IF(E114="","",ROW()-3)</t>
        </is>
      </c>
      <c r="B114" s="32" t="n"/>
      <c r="C114" s="32" t="n"/>
      <c r="D114" s="32" t="n"/>
      <c r="E114" s="32" t="n"/>
      <c r="F114" s="32" t="n"/>
      <c r="G114" s="32" t="n"/>
      <c r="H114" s="32" t="n"/>
      <c r="I114" s="32" t="n"/>
      <c r="J114" s="32" t="n"/>
      <c r="K114" s="32" t="n"/>
      <c r="L114" s="32" t="n"/>
      <c r="M114" s="32" t="n"/>
      <c r="N114" s="33" t="n"/>
      <c r="O114" s="34" t="inlineStr">
        <is>
          <t>IF(AE114="","",AE114)</t>
        </is>
      </c>
      <c r="P114" s="35" t="n"/>
      <c r="Q114" s="34" t="inlineStr">
        <is>
          <t>IF(OR(O114="",P114=""),"",EDATE(O114,P114))</t>
        </is>
      </c>
      <c r="R114" s="35" t="n"/>
      <c r="S114" s="32" t="n"/>
      <c r="T114" s="32" t="n"/>
      <c r="U114" s="31" t="inlineStr">
        <is>
          <t>IF(E114="","",IF(COUNT(Y114:AJ114)=0,IF(S114="","Not started",S114),SUBSTITUTE(LOOKUP(2,1/(Y114:AJ114&lt;&gt;""),$Y$3:$AJ$3),"Date: ","")))</t>
        </is>
      </c>
      <c r="V114" s="36" t="inlineStr">
        <is>
          <t>IF(OR(E114="",COUNT(Y114:AJ114)=0),"",TODAY()-LOOKUP(2,1/(Y114:AJ114&lt;&gt;""),Y114:AJ114))</t>
        </is>
      </c>
      <c r="W114" s="36" t="inlineStr">
        <is>
          <t>IF(OR(E114="",COUNT(Y114:AJ114)&lt;2),"",LOOKUP(2,1/(Y114:AJ114&lt;&gt;""),Y114:AJ114)-MIN(Y114:AJ114))</t>
        </is>
      </c>
      <c r="X114" s="36" t="inlineStr">
        <is>
          <t>IF(OR(V114="",U114="Not started",U114=""),"",IFERROR(V114-IF(VLOOKUP(U114,'04_Status_Pipeline'!$B$3:$E$20,4,FALSE)="",0,VLOOKUP(U114,'04_Status_Pipeline'!$B$3:$E$20,4,FALSE)),""))</t>
        </is>
      </c>
      <c r="Y114" s="37" t="n"/>
      <c r="Z114" s="37" t="n"/>
      <c r="AA114" s="37" t="n"/>
      <c r="AB114" s="37" t="n"/>
      <c r="AC114" s="37" t="n"/>
      <c r="AD114" s="37" t="n"/>
      <c r="AE114" s="37" t="n"/>
      <c r="AF114" s="37" t="n"/>
      <c r="AG114" s="37" t="n"/>
      <c r="AH114" s="38" t="n"/>
      <c r="AI114" s="38" t="n"/>
      <c r="AJ114" s="38" t="n"/>
      <c r="AK114" s="36" t="inlineStr">
        <is>
          <t>IF(OR(E114="",Z114=""),"",IF(COUNT(Y114:Y114)=0,"",Z114-LOOKUP(2,1/(Y114:Y114&lt;&gt;""),Y114:Y114)))</t>
        </is>
      </c>
      <c r="AL114" s="36" t="inlineStr">
        <is>
          <t>IF(OR(E114="",AA114=""),"",IF(COUNT(Y114:Z114)=0,"",AA114-LOOKUP(2,1/(Y114:Z114&lt;&gt;""),Y114:Z114)))</t>
        </is>
      </c>
      <c r="AM114" s="36" t="inlineStr">
        <is>
          <t>IF(OR(E114="",AB114=""),"",IF(COUNT(Y114:AA114)=0,"",AB114-LOOKUP(2,1/(Y114:AA114&lt;&gt;""),Y114:AA114)))</t>
        </is>
      </c>
      <c r="AN114" s="36" t="inlineStr">
        <is>
          <t>IF(OR(E114="",AC114=""),"",IF(COUNT(Y114:AB114)=0,"",AC114-LOOKUP(2,1/(Y114:AB114&lt;&gt;""),Y114:AB114)))</t>
        </is>
      </c>
      <c r="AO114" s="36" t="inlineStr">
        <is>
          <t>IF(OR(E114="",AD114=""),"",IF(COUNT(Y114:AC114)=0,"",AD114-LOOKUP(2,1/(Y114:AC114&lt;&gt;""),Y114:AC114)))</t>
        </is>
      </c>
      <c r="AP114" s="36" t="inlineStr">
        <is>
          <t>IF(OR(E114="",AE114=""),"",IF(COUNT(Y114:AD114)=0,"",AE114-LOOKUP(2,1/(Y114:AD114&lt;&gt;""),Y114:AD114)))</t>
        </is>
      </c>
      <c r="AQ114" s="36" t="inlineStr">
        <is>
          <t>IF(OR(E114="",AF114=""),"",IF(COUNT(Y114:AE114)=0,"",AF114-LOOKUP(2,1/(Y114:AE114&lt;&gt;""),Y114:AE114)))</t>
        </is>
      </c>
      <c r="AR114" s="36" t="inlineStr">
        <is>
          <t>IF(OR(E114="",AG114=""),"",IF(COUNT(Y114:AF114)=0,"",AG114-LOOKUP(2,1/(Y114:AF114&lt;&gt;""),Y114:AF114)))</t>
        </is>
      </c>
      <c r="AS114" s="36" t="inlineStr">
        <is>
          <t>IF(OR(E114="",AH114=""),"",IF(COUNT(Y114:AG114)=0,"",AH114-LOOKUP(2,1/(Y114:AG114&lt;&gt;""),Y114:AG114)))</t>
        </is>
      </c>
      <c r="AT114" s="36" t="inlineStr">
        <is>
          <t>IF(OR(E114="",AI114=""),"",IF(COUNT(Y114:AH114)=0,"",AI114-LOOKUP(2,1/(Y114:AH114&lt;&gt;""),Y114:AH114)))</t>
        </is>
      </c>
      <c r="AU114" s="36" t="inlineStr">
        <is>
          <t>IF(OR(E114="",AJ114=""),"",IF(COUNT(Y114:AI114)=0,"",AJ114-LOOKUP(2,1/(Y114:AI114&lt;&gt;""),Y114:AI114)))</t>
        </is>
      </c>
      <c r="AV114" s="39" t="inlineStr">
        <is>
          <t>IF(G114="","All_Provinces",IFERROR(VLOOKUP(G114,'07_Lookups'!$A$4:$B$20,2,FALSE),"All_Provinces"))</t>
        </is>
      </c>
      <c r="AW114" s="39" t="inlineStr">
        <is>
          <t>IF(H114="","All_Districts",IFERROR(VLOOKUP(H114,'07_Lookups'!$E$4:$F$42,2,FALSE),"All_Districts"))</t>
        </is>
      </c>
    </row>
    <row r="115" ht="18" customHeight="1">
      <c r="A115" s="31" t="inlineStr">
        <is>
          <t>IF(E115="","",ROW()-3)</t>
        </is>
      </c>
      <c r="B115" s="40" t="n"/>
      <c r="C115" s="40" t="n"/>
      <c r="D115" s="40" t="n"/>
      <c r="E115" s="40" t="n"/>
      <c r="F115" s="40" t="n"/>
      <c r="G115" s="40" t="n"/>
      <c r="H115" s="40" t="n"/>
      <c r="I115" s="40" t="n"/>
      <c r="J115" s="40" t="n"/>
      <c r="K115" s="40" t="n"/>
      <c r="L115" s="40" t="n"/>
      <c r="M115" s="40" t="n"/>
      <c r="N115" s="41" t="n"/>
      <c r="O115" s="34" t="inlineStr">
        <is>
          <t>IF(AE115="","",AE115)</t>
        </is>
      </c>
      <c r="P115" s="42" t="n"/>
      <c r="Q115" s="34" t="inlineStr">
        <is>
          <t>IF(OR(O115="",P115=""),"",EDATE(O115,P115))</t>
        </is>
      </c>
      <c r="R115" s="42" t="n"/>
      <c r="S115" s="40" t="n"/>
      <c r="T115" s="40" t="n"/>
      <c r="U115" s="31" t="inlineStr">
        <is>
          <t>IF(E115="","",IF(COUNT(Y115:AJ115)=0,IF(S115="","Not started",S115),SUBSTITUTE(LOOKUP(2,1/(Y115:AJ115&lt;&gt;""),$Y$3:$AJ$3),"Date: ","")))</t>
        </is>
      </c>
      <c r="V115" s="36" t="inlineStr">
        <is>
          <t>IF(OR(E115="",COUNT(Y115:AJ115)=0),"",TODAY()-LOOKUP(2,1/(Y115:AJ115&lt;&gt;""),Y115:AJ115))</t>
        </is>
      </c>
      <c r="W115" s="36" t="inlineStr">
        <is>
          <t>IF(OR(E115="",COUNT(Y115:AJ115)&lt;2),"",LOOKUP(2,1/(Y115:AJ115&lt;&gt;""),Y115:AJ115)-MIN(Y115:AJ115))</t>
        </is>
      </c>
      <c r="X115" s="36" t="inlineStr">
        <is>
          <t>IF(OR(V115="",U115="Not started",U115=""),"",IFERROR(V115-IF(VLOOKUP(U115,'04_Status_Pipeline'!$B$3:$E$20,4,FALSE)="",0,VLOOKUP(U115,'04_Status_Pipeline'!$B$3:$E$20,4,FALSE)),""))</t>
        </is>
      </c>
      <c r="Y115" s="43" t="n"/>
      <c r="Z115" s="43" t="n"/>
      <c r="AA115" s="43" t="n"/>
      <c r="AB115" s="43" t="n"/>
      <c r="AC115" s="43" t="n"/>
      <c r="AD115" s="43" t="n"/>
      <c r="AE115" s="43" t="n"/>
      <c r="AF115" s="43" t="n"/>
      <c r="AG115" s="43" t="n"/>
      <c r="AH115" s="38" t="n"/>
      <c r="AI115" s="38" t="n"/>
      <c r="AJ115" s="38" t="n"/>
      <c r="AK115" s="36" t="inlineStr">
        <is>
          <t>IF(OR(E115="",Z115=""),"",IF(COUNT(Y115:Y115)=0,"",Z115-LOOKUP(2,1/(Y115:Y115&lt;&gt;""),Y115:Y115)))</t>
        </is>
      </c>
      <c r="AL115" s="36" t="inlineStr">
        <is>
          <t>IF(OR(E115="",AA115=""),"",IF(COUNT(Y115:Z115)=0,"",AA115-LOOKUP(2,1/(Y115:Z115&lt;&gt;""),Y115:Z115)))</t>
        </is>
      </c>
      <c r="AM115" s="36" t="inlineStr">
        <is>
          <t>IF(OR(E115="",AB115=""),"",IF(COUNT(Y115:AA115)=0,"",AB115-LOOKUP(2,1/(Y115:AA115&lt;&gt;""),Y115:AA115)))</t>
        </is>
      </c>
      <c r="AN115" s="36" t="inlineStr">
        <is>
          <t>IF(OR(E115="",AC115=""),"",IF(COUNT(Y115:AB115)=0,"",AC115-LOOKUP(2,1/(Y115:AB115&lt;&gt;""),Y115:AB115)))</t>
        </is>
      </c>
      <c r="AO115" s="36" t="inlineStr">
        <is>
          <t>IF(OR(E115="",AD115=""),"",IF(COUNT(Y115:AC115)=0,"",AD115-LOOKUP(2,1/(Y115:AC115&lt;&gt;""),Y115:AC115)))</t>
        </is>
      </c>
      <c r="AP115" s="36" t="inlineStr">
        <is>
          <t>IF(OR(E115="",AE115=""),"",IF(COUNT(Y115:AD115)=0,"",AE115-LOOKUP(2,1/(Y115:AD115&lt;&gt;""),Y115:AD115)))</t>
        </is>
      </c>
      <c r="AQ115" s="36" t="inlineStr">
        <is>
          <t>IF(OR(E115="",AF115=""),"",IF(COUNT(Y115:AE115)=0,"",AF115-LOOKUP(2,1/(Y115:AE115&lt;&gt;""),Y115:AE115)))</t>
        </is>
      </c>
      <c r="AR115" s="36" t="inlineStr">
        <is>
          <t>IF(OR(E115="",AG115=""),"",IF(COUNT(Y115:AF115)=0,"",AG115-LOOKUP(2,1/(Y115:AF115&lt;&gt;""),Y115:AF115)))</t>
        </is>
      </c>
      <c r="AS115" s="36" t="inlineStr">
        <is>
          <t>IF(OR(E115="",AH115=""),"",IF(COUNT(Y115:AG115)=0,"",AH115-LOOKUP(2,1/(Y115:AG115&lt;&gt;""),Y115:AG115)))</t>
        </is>
      </c>
      <c r="AT115" s="36" t="inlineStr">
        <is>
          <t>IF(OR(E115="",AI115=""),"",IF(COUNT(Y115:AH115)=0,"",AI115-LOOKUP(2,1/(Y115:AH115&lt;&gt;""),Y115:AH115)))</t>
        </is>
      </c>
      <c r="AU115" s="36" t="inlineStr">
        <is>
          <t>IF(OR(E115="",AJ115=""),"",IF(COUNT(Y115:AI115)=0,"",AJ115-LOOKUP(2,1/(Y115:AI115&lt;&gt;""),Y115:AI115)))</t>
        </is>
      </c>
      <c r="AV115" s="39" t="inlineStr">
        <is>
          <t>IF(G115="","All_Provinces",IFERROR(VLOOKUP(G115,'07_Lookups'!$A$4:$B$20,2,FALSE),"All_Provinces"))</t>
        </is>
      </c>
      <c r="AW115" s="39" t="inlineStr">
        <is>
          <t>IF(H115="","All_Districts",IFERROR(VLOOKUP(H115,'07_Lookups'!$E$4:$F$42,2,FALSE),"All_Districts"))</t>
        </is>
      </c>
    </row>
    <row r="116" ht="18" customHeight="1">
      <c r="A116" s="31" t="inlineStr">
        <is>
          <t>IF(E116="","",ROW()-3)</t>
        </is>
      </c>
      <c r="B116" s="32" t="n"/>
      <c r="C116" s="32" t="n"/>
      <c r="D116" s="32" t="n"/>
      <c r="E116" s="32" t="n"/>
      <c r="F116" s="32" t="n"/>
      <c r="G116" s="32" t="n"/>
      <c r="H116" s="32" t="n"/>
      <c r="I116" s="32" t="n"/>
      <c r="J116" s="32" t="n"/>
      <c r="K116" s="32" t="n"/>
      <c r="L116" s="32" t="n"/>
      <c r="M116" s="32" t="n"/>
      <c r="N116" s="33" t="n"/>
      <c r="O116" s="34" t="inlineStr">
        <is>
          <t>IF(AE116="","",AE116)</t>
        </is>
      </c>
      <c r="P116" s="35" t="n"/>
      <c r="Q116" s="34" t="inlineStr">
        <is>
          <t>IF(OR(O116="",P116=""),"",EDATE(O116,P116))</t>
        </is>
      </c>
      <c r="R116" s="35" t="n"/>
      <c r="S116" s="32" t="n"/>
      <c r="T116" s="32" t="n"/>
      <c r="U116" s="31" t="inlineStr">
        <is>
          <t>IF(E116="","",IF(COUNT(Y116:AJ116)=0,IF(S116="","Not started",S116),SUBSTITUTE(LOOKUP(2,1/(Y116:AJ116&lt;&gt;""),$Y$3:$AJ$3),"Date: ","")))</t>
        </is>
      </c>
      <c r="V116" s="36" t="inlineStr">
        <is>
          <t>IF(OR(E116="",COUNT(Y116:AJ116)=0),"",TODAY()-LOOKUP(2,1/(Y116:AJ116&lt;&gt;""),Y116:AJ116))</t>
        </is>
      </c>
      <c r="W116" s="36" t="inlineStr">
        <is>
          <t>IF(OR(E116="",COUNT(Y116:AJ116)&lt;2),"",LOOKUP(2,1/(Y116:AJ116&lt;&gt;""),Y116:AJ116)-MIN(Y116:AJ116))</t>
        </is>
      </c>
      <c r="X116" s="36" t="inlineStr">
        <is>
          <t>IF(OR(V116="",U116="Not started",U116=""),"",IFERROR(V116-IF(VLOOKUP(U116,'04_Status_Pipeline'!$B$3:$E$20,4,FALSE)="",0,VLOOKUP(U116,'04_Status_Pipeline'!$B$3:$E$20,4,FALSE)),""))</t>
        </is>
      </c>
      <c r="Y116" s="37" t="n"/>
      <c r="Z116" s="37" t="n"/>
      <c r="AA116" s="37" t="n"/>
      <c r="AB116" s="37" t="n"/>
      <c r="AC116" s="37" t="n"/>
      <c r="AD116" s="37" t="n"/>
      <c r="AE116" s="37" t="n"/>
      <c r="AF116" s="37" t="n"/>
      <c r="AG116" s="37" t="n"/>
      <c r="AH116" s="38" t="n"/>
      <c r="AI116" s="38" t="n"/>
      <c r="AJ116" s="38" t="n"/>
      <c r="AK116" s="36" t="inlineStr">
        <is>
          <t>IF(OR(E116="",Z116=""),"",IF(COUNT(Y116:Y116)=0,"",Z116-LOOKUP(2,1/(Y116:Y116&lt;&gt;""),Y116:Y116)))</t>
        </is>
      </c>
      <c r="AL116" s="36" t="inlineStr">
        <is>
          <t>IF(OR(E116="",AA116=""),"",IF(COUNT(Y116:Z116)=0,"",AA116-LOOKUP(2,1/(Y116:Z116&lt;&gt;""),Y116:Z116)))</t>
        </is>
      </c>
      <c r="AM116" s="36" t="inlineStr">
        <is>
          <t>IF(OR(E116="",AB116=""),"",IF(COUNT(Y116:AA116)=0,"",AB116-LOOKUP(2,1/(Y116:AA116&lt;&gt;""),Y116:AA116)))</t>
        </is>
      </c>
      <c r="AN116" s="36" t="inlineStr">
        <is>
          <t>IF(OR(E116="",AC116=""),"",IF(COUNT(Y116:AB116)=0,"",AC116-LOOKUP(2,1/(Y116:AB116&lt;&gt;""),Y116:AB116)))</t>
        </is>
      </c>
      <c r="AO116" s="36" t="inlineStr">
        <is>
          <t>IF(OR(E116="",AD116=""),"",IF(COUNT(Y116:AC116)=0,"",AD116-LOOKUP(2,1/(Y116:AC116&lt;&gt;""),Y116:AC116)))</t>
        </is>
      </c>
      <c r="AP116" s="36" t="inlineStr">
        <is>
          <t>IF(OR(E116="",AE116=""),"",IF(COUNT(Y116:AD116)=0,"",AE116-LOOKUP(2,1/(Y116:AD116&lt;&gt;""),Y116:AD116)))</t>
        </is>
      </c>
      <c r="AQ116" s="36" t="inlineStr">
        <is>
          <t>IF(OR(E116="",AF116=""),"",IF(COUNT(Y116:AE116)=0,"",AF116-LOOKUP(2,1/(Y116:AE116&lt;&gt;""),Y116:AE116)))</t>
        </is>
      </c>
      <c r="AR116" s="36" t="inlineStr">
        <is>
          <t>IF(OR(E116="",AG116=""),"",IF(COUNT(Y116:AF116)=0,"",AG116-LOOKUP(2,1/(Y116:AF116&lt;&gt;""),Y116:AF116)))</t>
        </is>
      </c>
      <c r="AS116" s="36" t="inlineStr">
        <is>
          <t>IF(OR(E116="",AH116=""),"",IF(COUNT(Y116:AG116)=0,"",AH116-LOOKUP(2,1/(Y116:AG116&lt;&gt;""),Y116:AG116)))</t>
        </is>
      </c>
      <c r="AT116" s="36" t="inlineStr">
        <is>
          <t>IF(OR(E116="",AI116=""),"",IF(COUNT(Y116:AH116)=0,"",AI116-LOOKUP(2,1/(Y116:AH116&lt;&gt;""),Y116:AH116)))</t>
        </is>
      </c>
      <c r="AU116" s="36" t="inlineStr">
        <is>
          <t>IF(OR(E116="",AJ116=""),"",IF(COUNT(Y116:AI116)=0,"",AJ116-LOOKUP(2,1/(Y116:AI116&lt;&gt;""),Y116:AI116)))</t>
        </is>
      </c>
      <c r="AV116" s="39" t="inlineStr">
        <is>
          <t>IF(G116="","All_Provinces",IFERROR(VLOOKUP(G116,'07_Lookups'!$A$4:$B$20,2,FALSE),"All_Provinces"))</t>
        </is>
      </c>
      <c r="AW116" s="39" t="inlineStr">
        <is>
          <t>IF(H116="","All_Districts",IFERROR(VLOOKUP(H116,'07_Lookups'!$E$4:$F$42,2,FALSE),"All_Districts"))</t>
        </is>
      </c>
    </row>
    <row r="117" ht="18" customHeight="1">
      <c r="A117" s="31" t="inlineStr">
        <is>
          <t>IF(E117="","",ROW()-3)</t>
        </is>
      </c>
      <c r="B117" s="40" t="n"/>
      <c r="C117" s="40" t="n"/>
      <c r="D117" s="40" t="n"/>
      <c r="E117" s="40" t="n"/>
      <c r="F117" s="40" t="n"/>
      <c r="G117" s="40" t="n"/>
      <c r="H117" s="40" t="n"/>
      <c r="I117" s="40" t="n"/>
      <c r="J117" s="40" t="n"/>
      <c r="K117" s="40" t="n"/>
      <c r="L117" s="40" t="n"/>
      <c r="M117" s="40" t="n"/>
      <c r="N117" s="41" t="n"/>
      <c r="O117" s="34" t="inlineStr">
        <is>
          <t>IF(AE117="","",AE117)</t>
        </is>
      </c>
      <c r="P117" s="42" t="n"/>
      <c r="Q117" s="34" t="inlineStr">
        <is>
          <t>IF(OR(O117="",P117=""),"",EDATE(O117,P117))</t>
        </is>
      </c>
      <c r="R117" s="42" t="n"/>
      <c r="S117" s="40" t="n"/>
      <c r="T117" s="40" t="n"/>
      <c r="U117" s="31" t="inlineStr">
        <is>
          <t>IF(E117="","",IF(COUNT(Y117:AJ117)=0,IF(S117="","Not started",S117),SUBSTITUTE(LOOKUP(2,1/(Y117:AJ117&lt;&gt;""),$Y$3:$AJ$3),"Date: ","")))</t>
        </is>
      </c>
      <c r="V117" s="36" t="inlineStr">
        <is>
          <t>IF(OR(E117="",COUNT(Y117:AJ117)=0),"",TODAY()-LOOKUP(2,1/(Y117:AJ117&lt;&gt;""),Y117:AJ117))</t>
        </is>
      </c>
      <c r="W117" s="36" t="inlineStr">
        <is>
          <t>IF(OR(E117="",COUNT(Y117:AJ117)&lt;2),"",LOOKUP(2,1/(Y117:AJ117&lt;&gt;""),Y117:AJ117)-MIN(Y117:AJ117))</t>
        </is>
      </c>
      <c r="X117" s="36" t="inlineStr">
        <is>
          <t>IF(OR(V117="",U117="Not started",U117=""),"",IFERROR(V117-IF(VLOOKUP(U117,'04_Status_Pipeline'!$B$3:$E$20,4,FALSE)="",0,VLOOKUP(U117,'04_Status_Pipeline'!$B$3:$E$20,4,FALSE)),""))</t>
        </is>
      </c>
      <c r="Y117" s="43" t="n"/>
      <c r="Z117" s="43" t="n"/>
      <c r="AA117" s="43" t="n"/>
      <c r="AB117" s="43" t="n"/>
      <c r="AC117" s="43" t="n"/>
      <c r="AD117" s="43" t="n"/>
      <c r="AE117" s="43" t="n"/>
      <c r="AF117" s="43" t="n"/>
      <c r="AG117" s="43" t="n"/>
      <c r="AH117" s="38" t="n"/>
      <c r="AI117" s="38" t="n"/>
      <c r="AJ117" s="38" t="n"/>
      <c r="AK117" s="36" t="inlineStr">
        <is>
          <t>IF(OR(E117="",Z117=""),"",IF(COUNT(Y117:Y117)=0,"",Z117-LOOKUP(2,1/(Y117:Y117&lt;&gt;""),Y117:Y117)))</t>
        </is>
      </c>
      <c r="AL117" s="36" t="inlineStr">
        <is>
          <t>IF(OR(E117="",AA117=""),"",IF(COUNT(Y117:Z117)=0,"",AA117-LOOKUP(2,1/(Y117:Z117&lt;&gt;""),Y117:Z117)))</t>
        </is>
      </c>
      <c r="AM117" s="36" t="inlineStr">
        <is>
          <t>IF(OR(E117="",AB117=""),"",IF(COUNT(Y117:AA117)=0,"",AB117-LOOKUP(2,1/(Y117:AA117&lt;&gt;""),Y117:AA117)))</t>
        </is>
      </c>
      <c r="AN117" s="36" t="inlineStr">
        <is>
          <t>IF(OR(E117="",AC117=""),"",IF(COUNT(Y117:AB117)=0,"",AC117-LOOKUP(2,1/(Y117:AB117&lt;&gt;""),Y117:AB117)))</t>
        </is>
      </c>
      <c r="AO117" s="36" t="inlineStr">
        <is>
          <t>IF(OR(E117="",AD117=""),"",IF(COUNT(Y117:AC117)=0,"",AD117-LOOKUP(2,1/(Y117:AC117&lt;&gt;""),Y117:AC117)))</t>
        </is>
      </c>
      <c r="AP117" s="36" t="inlineStr">
        <is>
          <t>IF(OR(E117="",AE117=""),"",IF(COUNT(Y117:AD117)=0,"",AE117-LOOKUP(2,1/(Y117:AD117&lt;&gt;""),Y117:AD117)))</t>
        </is>
      </c>
      <c r="AQ117" s="36" t="inlineStr">
        <is>
          <t>IF(OR(E117="",AF117=""),"",IF(COUNT(Y117:AE117)=0,"",AF117-LOOKUP(2,1/(Y117:AE117&lt;&gt;""),Y117:AE117)))</t>
        </is>
      </c>
      <c r="AR117" s="36" t="inlineStr">
        <is>
          <t>IF(OR(E117="",AG117=""),"",IF(COUNT(Y117:AF117)=0,"",AG117-LOOKUP(2,1/(Y117:AF117&lt;&gt;""),Y117:AF117)))</t>
        </is>
      </c>
      <c r="AS117" s="36" t="inlineStr">
        <is>
          <t>IF(OR(E117="",AH117=""),"",IF(COUNT(Y117:AG117)=0,"",AH117-LOOKUP(2,1/(Y117:AG117&lt;&gt;""),Y117:AG117)))</t>
        </is>
      </c>
      <c r="AT117" s="36" t="inlineStr">
        <is>
          <t>IF(OR(E117="",AI117=""),"",IF(COUNT(Y117:AH117)=0,"",AI117-LOOKUP(2,1/(Y117:AH117&lt;&gt;""),Y117:AH117)))</t>
        </is>
      </c>
      <c r="AU117" s="36" t="inlineStr">
        <is>
          <t>IF(OR(E117="",AJ117=""),"",IF(COUNT(Y117:AI117)=0,"",AJ117-LOOKUP(2,1/(Y117:AI117&lt;&gt;""),Y117:AI117)))</t>
        </is>
      </c>
      <c r="AV117" s="39" t="inlineStr">
        <is>
          <t>IF(G117="","All_Provinces",IFERROR(VLOOKUP(G117,'07_Lookups'!$A$4:$B$20,2,FALSE),"All_Provinces"))</t>
        </is>
      </c>
      <c r="AW117" s="39" t="inlineStr">
        <is>
          <t>IF(H117="","All_Districts",IFERROR(VLOOKUP(H117,'07_Lookups'!$E$4:$F$42,2,FALSE),"All_Districts"))</t>
        </is>
      </c>
    </row>
    <row r="118" ht="18" customHeight="1">
      <c r="A118" s="31" t="inlineStr">
        <is>
          <t>IF(E118="","",ROW()-3)</t>
        </is>
      </c>
      <c r="B118" s="32" t="n"/>
      <c r="C118" s="32" t="n"/>
      <c r="D118" s="32" t="n"/>
      <c r="E118" s="32" t="n"/>
      <c r="F118" s="32" t="n"/>
      <c r="G118" s="32" t="n"/>
      <c r="H118" s="32" t="n"/>
      <c r="I118" s="32" t="n"/>
      <c r="J118" s="32" t="n"/>
      <c r="K118" s="32" t="n"/>
      <c r="L118" s="32" t="n"/>
      <c r="M118" s="32" t="n"/>
      <c r="N118" s="33" t="n"/>
      <c r="O118" s="34" t="inlineStr">
        <is>
          <t>IF(AE118="","",AE118)</t>
        </is>
      </c>
      <c r="P118" s="35" t="n"/>
      <c r="Q118" s="34" t="inlineStr">
        <is>
          <t>IF(OR(O118="",P118=""),"",EDATE(O118,P118))</t>
        </is>
      </c>
      <c r="R118" s="35" t="n"/>
      <c r="S118" s="32" t="n"/>
      <c r="T118" s="32" t="n"/>
      <c r="U118" s="31" t="inlineStr">
        <is>
          <t>IF(E118="","",IF(COUNT(Y118:AJ118)=0,IF(S118="","Not started",S118),SUBSTITUTE(LOOKUP(2,1/(Y118:AJ118&lt;&gt;""),$Y$3:$AJ$3),"Date: ","")))</t>
        </is>
      </c>
      <c r="V118" s="36" t="inlineStr">
        <is>
          <t>IF(OR(E118="",COUNT(Y118:AJ118)=0),"",TODAY()-LOOKUP(2,1/(Y118:AJ118&lt;&gt;""),Y118:AJ118))</t>
        </is>
      </c>
      <c r="W118" s="36" t="inlineStr">
        <is>
          <t>IF(OR(E118="",COUNT(Y118:AJ118)&lt;2),"",LOOKUP(2,1/(Y118:AJ118&lt;&gt;""),Y118:AJ118)-MIN(Y118:AJ118))</t>
        </is>
      </c>
      <c r="X118" s="36" t="inlineStr">
        <is>
          <t>IF(OR(V118="",U118="Not started",U118=""),"",IFERROR(V118-IF(VLOOKUP(U118,'04_Status_Pipeline'!$B$3:$E$20,4,FALSE)="",0,VLOOKUP(U118,'04_Status_Pipeline'!$B$3:$E$20,4,FALSE)),""))</t>
        </is>
      </c>
      <c r="Y118" s="37" t="n"/>
      <c r="Z118" s="37" t="n"/>
      <c r="AA118" s="37" t="n"/>
      <c r="AB118" s="37" t="n"/>
      <c r="AC118" s="37" t="n"/>
      <c r="AD118" s="37" t="n"/>
      <c r="AE118" s="37" t="n"/>
      <c r="AF118" s="37" t="n"/>
      <c r="AG118" s="37" t="n"/>
      <c r="AH118" s="38" t="n"/>
      <c r="AI118" s="38" t="n"/>
      <c r="AJ118" s="38" t="n"/>
      <c r="AK118" s="36" t="inlineStr">
        <is>
          <t>IF(OR(E118="",Z118=""),"",IF(COUNT(Y118:Y118)=0,"",Z118-LOOKUP(2,1/(Y118:Y118&lt;&gt;""),Y118:Y118)))</t>
        </is>
      </c>
      <c r="AL118" s="36" t="inlineStr">
        <is>
          <t>IF(OR(E118="",AA118=""),"",IF(COUNT(Y118:Z118)=0,"",AA118-LOOKUP(2,1/(Y118:Z118&lt;&gt;""),Y118:Z118)))</t>
        </is>
      </c>
      <c r="AM118" s="36" t="inlineStr">
        <is>
          <t>IF(OR(E118="",AB118=""),"",IF(COUNT(Y118:AA118)=0,"",AB118-LOOKUP(2,1/(Y118:AA118&lt;&gt;""),Y118:AA118)))</t>
        </is>
      </c>
      <c r="AN118" s="36" t="inlineStr">
        <is>
          <t>IF(OR(E118="",AC118=""),"",IF(COUNT(Y118:AB118)=0,"",AC118-LOOKUP(2,1/(Y118:AB118&lt;&gt;""),Y118:AB118)))</t>
        </is>
      </c>
      <c r="AO118" s="36" t="inlineStr">
        <is>
          <t>IF(OR(E118="",AD118=""),"",IF(COUNT(Y118:AC118)=0,"",AD118-LOOKUP(2,1/(Y118:AC118&lt;&gt;""),Y118:AC118)))</t>
        </is>
      </c>
      <c r="AP118" s="36" t="inlineStr">
        <is>
          <t>IF(OR(E118="",AE118=""),"",IF(COUNT(Y118:AD118)=0,"",AE118-LOOKUP(2,1/(Y118:AD118&lt;&gt;""),Y118:AD118)))</t>
        </is>
      </c>
      <c r="AQ118" s="36" t="inlineStr">
        <is>
          <t>IF(OR(E118="",AF118=""),"",IF(COUNT(Y118:AE118)=0,"",AF118-LOOKUP(2,1/(Y118:AE118&lt;&gt;""),Y118:AE118)))</t>
        </is>
      </c>
      <c r="AR118" s="36" t="inlineStr">
        <is>
          <t>IF(OR(E118="",AG118=""),"",IF(COUNT(Y118:AF118)=0,"",AG118-LOOKUP(2,1/(Y118:AF118&lt;&gt;""),Y118:AF118)))</t>
        </is>
      </c>
      <c r="AS118" s="36" t="inlineStr">
        <is>
          <t>IF(OR(E118="",AH118=""),"",IF(COUNT(Y118:AG118)=0,"",AH118-LOOKUP(2,1/(Y118:AG118&lt;&gt;""),Y118:AG118)))</t>
        </is>
      </c>
      <c r="AT118" s="36" t="inlineStr">
        <is>
          <t>IF(OR(E118="",AI118=""),"",IF(COUNT(Y118:AH118)=0,"",AI118-LOOKUP(2,1/(Y118:AH118&lt;&gt;""),Y118:AH118)))</t>
        </is>
      </c>
      <c r="AU118" s="36" t="inlineStr">
        <is>
          <t>IF(OR(E118="",AJ118=""),"",IF(COUNT(Y118:AI118)=0,"",AJ118-LOOKUP(2,1/(Y118:AI118&lt;&gt;""),Y118:AI118)))</t>
        </is>
      </c>
      <c r="AV118" s="39" t="inlineStr">
        <is>
          <t>IF(G118="","All_Provinces",IFERROR(VLOOKUP(G118,'07_Lookups'!$A$4:$B$20,2,FALSE),"All_Provinces"))</t>
        </is>
      </c>
      <c r="AW118" s="39" t="inlineStr">
        <is>
          <t>IF(H118="","All_Districts",IFERROR(VLOOKUP(H118,'07_Lookups'!$E$4:$F$42,2,FALSE),"All_Districts"))</t>
        </is>
      </c>
    </row>
    <row r="119" ht="18" customHeight="1">
      <c r="A119" s="31" t="inlineStr">
        <is>
          <t>IF(E119="","",ROW()-3)</t>
        </is>
      </c>
      <c r="B119" s="40" t="n"/>
      <c r="C119" s="40" t="n"/>
      <c r="D119" s="40" t="n"/>
      <c r="E119" s="40" t="n"/>
      <c r="F119" s="40" t="n"/>
      <c r="G119" s="40" t="n"/>
      <c r="H119" s="40" t="n"/>
      <c r="I119" s="40" t="n"/>
      <c r="J119" s="40" t="n"/>
      <c r="K119" s="40" t="n"/>
      <c r="L119" s="40" t="n"/>
      <c r="M119" s="40" t="n"/>
      <c r="N119" s="41" t="n"/>
      <c r="O119" s="34" t="inlineStr">
        <is>
          <t>IF(AE119="","",AE119)</t>
        </is>
      </c>
      <c r="P119" s="42" t="n"/>
      <c r="Q119" s="34" t="inlineStr">
        <is>
          <t>IF(OR(O119="",P119=""),"",EDATE(O119,P119))</t>
        </is>
      </c>
      <c r="R119" s="42" t="n"/>
      <c r="S119" s="40" t="n"/>
      <c r="T119" s="40" t="n"/>
      <c r="U119" s="31" t="inlineStr">
        <is>
          <t>IF(E119="","",IF(COUNT(Y119:AJ119)=0,IF(S119="","Not started",S119),SUBSTITUTE(LOOKUP(2,1/(Y119:AJ119&lt;&gt;""),$Y$3:$AJ$3),"Date: ","")))</t>
        </is>
      </c>
      <c r="V119" s="36" t="inlineStr">
        <is>
          <t>IF(OR(E119="",COUNT(Y119:AJ119)=0),"",TODAY()-LOOKUP(2,1/(Y119:AJ119&lt;&gt;""),Y119:AJ119))</t>
        </is>
      </c>
      <c r="W119" s="36" t="inlineStr">
        <is>
          <t>IF(OR(E119="",COUNT(Y119:AJ119)&lt;2),"",LOOKUP(2,1/(Y119:AJ119&lt;&gt;""),Y119:AJ119)-MIN(Y119:AJ119))</t>
        </is>
      </c>
      <c r="X119" s="36" t="inlineStr">
        <is>
          <t>IF(OR(V119="",U119="Not started",U119=""),"",IFERROR(V119-IF(VLOOKUP(U119,'04_Status_Pipeline'!$B$3:$E$20,4,FALSE)="",0,VLOOKUP(U119,'04_Status_Pipeline'!$B$3:$E$20,4,FALSE)),""))</t>
        </is>
      </c>
      <c r="Y119" s="43" t="n"/>
      <c r="Z119" s="43" t="n"/>
      <c r="AA119" s="43" t="n"/>
      <c r="AB119" s="43" t="n"/>
      <c r="AC119" s="43" t="n"/>
      <c r="AD119" s="43" t="n"/>
      <c r="AE119" s="43" t="n"/>
      <c r="AF119" s="43" t="n"/>
      <c r="AG119" s="43" t="n"/>
      <c r="AH119" s="38" t="n"/>
      <c r="AI119" s="38" t="n"/>
      <c r="AJ119" s="38" t="n"/>
      <c r="AK119" s="36" t="inlineStr">
        <is>
          <t>IF(OR(E119="",Z119=""),"",IF(COUNT(Y119:Y119)=0,"",Z119-LOOKUP(2,1/(Y119:Y119&lt;&gt;""),Y119:Y119)))</t>
        </is>
      </c>
      <c r="AL119" s="36" t="inlineStr">
        <is>
          <t>IF(OR(E119="",AA119=""),"",IF(COUNT(Y119:Z119)=0,"",AA119-LOOKUP(2,1/(Y119:Z119&lt;&gt;""),Y119:Z119)))</t>
        </is>
      </c>
      <c r="AM119" s="36" t="inlineStr">
        <is>
          <t>IF(OR(E119="",AB119=""),"",IF(COUNT(Y119:AA119)=0,"",AB119-LOOKUP(2,1/(Y119:AA119&lt;&gt;""),Y119:AA119)))</t>
        </is>
      </c>
      <c r="AN119" s="36" t="inlineStr">
        <is>
          <t>IF(OR(E119="",AC119=""),"",IF(COUNT(Y119:AB119)=0,"",AC119-LOOKUP(2,1/(Y119:AB119&lt;&gt;""),Y119:AB119)))</t>
        </is>
      </c>
      <c r="AO119" s="36" t="inlineStr">
        <is>
          <t>IF(OR(E119="",AD119=""),"",IF(COUNT(Y119:AC119)=0,"",AD119-LOOKUP(2,1/(Y119:AC119&lt;&gt;""),Y119:AC119)))</t>
        </is>
      </c>
      <c r="AP119" s="36" t="inlineStr">
        <is>
          <t>IF(OR(E119="",AE119=""),"",IF(COUNT(Y119:AD119)=0,"",AE119-LOOKUP(2,1/(Y119:AD119&lt;&gt;""),Y119:AD119)))</t>
        </is>
      </c>
      <c r="AQ119" s="36" t="inlineStr">
        <is>
          <t>IF(OR(E119="",AF119=""),"",IF(COUNT(Y119:AE119)=0,"",AF119-LOOKUP(2,1/(Y119:AE119&lt;&gt;""),Y119:AE119)))</t>
        </is>
      </c>
      <c r="AR119" s="36" t="inlineStr">
        <is>
          <t>IF(OR(E119="",AG119=""),"",IF(COUNT(Y119:AF119)=0,"",AG119-LOOKUP(2,1/(Y119:AF119&lt;&gt;""),Y119:AF119)))</t>
        </is>
      </c>
      <c r="AS119" s="36" t="inlineStr">
        <is>
          <t>IF(OR(E119="",AH119=""),"",IF(COUNT(Y119:AG119)=0,"",AH119-LOOKUP(2,1/(Y119:AG119&lt;&gt;""),Y119:AG119)))</t>
        </is>
      </c>
      <c r="AT119" s="36" t="inlineStr">
        <is>
          <t>IF(OR(E119="",AI119=""),"",IF(COUNT(Y119:AH119)=0,"",AI119-LOOKUP(2,1/(Y119:AH119&lt;&gt;""),Y119:AH119)))</t>
        </is>
      </c>
      <c r="AU119" s="36" t="inlineStr">
        <is>
          <t>IF(OR(E119="",AJ119=""),"",IF(COUNT(Y119:AI119)=0,"",AJ119-LOOKUP(2,1/(Y119:AI119&lt;&gt;""),Y119:AI119)))</t>
        </is>
      </c>
      <c r="AV119" s="39" t="inlineStr">
        <is>
          <t>IF(G119="","All_Provinces",IFERROR(VLOOKUP(G119,'07_Lookups'!$A$4:$B$20,2,FALSE),"All_Provinces"))</t>
        </is>
      </c>
      <c r="AW119" s="39" t="inlineStr">
        <is>
          <t>IF(H119="","All_Districts",IFERROR(VLOOKUP(H119,'07_Lookups'!$E$4:$F$42,2,FALSE),"All_Districts"))</t>
        </is>
      </c>
    </row>
    <row r="120" ht="18" customHeight="1">
      <c r="A120" s="31" t="inlineStr">
        <is>
          <t>IF(E120="","",ROW()-3)</t>
        </is>
      </c>
      <c r="B120" s="32" t="n"/>
      <c r="C120" s="32" t="n"/>
      <c r="D120" s="32" t="n"/>
      <c r="E120" s="32" t="n"/>
      <c r="F120" s="32" t="n"/>
      <c r="G120" s="32" t="n"/>
      <c r="H120" s="32" t="n"/>
      <c r="I120" s="32" t="n"/>
      <c r="J120" s="32" t="n"/>
      <c r="K120" s="32" t="n"/>
      <c r="L120" s="32" t="n"/>
      <c r="M120" s="32" t="n"/>
      <c r="N120" s="33" t="n"/>
      <c r="O120" s="34" t="inlineStr">
        <is>
          <t>IF(AE120="","",AE120)</t>
        </is>
      </c>
      <c r="P120" s="35" t="n"/>
      <c r="Q120" s="34" t="inlineStr">
        <is>
          <t>IF(OR(O120="",P120=""),"",EDATE(O120,P120))</t>
        </is>
      </c>
      <c r="R120" s="35" t="n"/>
      <c r="S120" s="32" t="n"/>
      <c r="T120" s="32" t="n"/>
      <c r="U120" s="31" t="inlineStr">
        <is>
          <t>IF(E120="","",IF(COUNT(Y120:AJ120)=0,IF(S120="","Not started",S120),SUBSTITUTE(LOOKUP(2,1/(Y120:AJ120&lt;&gt;""),$Y$3:$AJ$3),"Date: ","")))</t>
        </is>
      </c>
      <c r="V120" s="36" t="inlineStr">
        <is>
          <t>IF(OR(E120="",COUNT(Y120:AJ120)=0),"",TODAY()-LOOKUP(2,1/(Y120:AJ120&lt;&gt;""),Y120:AJ120))</t>
        </is>
      </c>
      <c r="W120" s="36" t="inlineStr">
        <is>
          <t>IF(OR(E120="",COUNT(Y120:AJ120)&lt;2),"",LOOKUP(2,1/(Y120:AJ120&lt;&gt;""),Y120:AJ120)-MIN(Y120:AJ120))</t>
        </is>
      </c>
      <c r="X120" s="36" t="inlineStr">
        <is>
          <t>IF(OR(V120="",U120="Not started",U120=""),"",IFERROR(V120-IF(VLOOKUP(U120,'04_Status_Pipeline'!$B$3:$E$20,4,FALSE)="",0,VLOOKUP(U120,'04_Status_Pipeline'!$B$3:$E$20,4,FALSE)),""))</t>
        </is>
      </c>
      <c r="Y120" s="37" t="n"/>
      <c r="Z120" s="37" t="n"/>
      <c r="AA120" s="37" t="n"/>
      <c r="AB120" s="37" t="n"/>
      <c r="AC120" s="37" t="n"/>
      <c r="AD120" s="37" t="n"/>
      <c r="AE120" s="37" t="n"/>
      <c r="AF120" s="37" t="n"/>
      <c r="AG120" s="37" t="n"/>
      <c r="AH120" s="38" t="n"/>
      <c r="AI120" s="38" t="n"/>
      <c r="AJ120" s="38" t="n"/>
      <c r="AK120" s="36" t="inlineStr">
        <is>
          <t>IF(OR(E120="",Z120=""),"",IF(COUNT(Y120:Y120)=0,"",Z120-LOOKUP(2,1/(Y120:Y120&lt;&gt;""),Y120:Y120)))</t>
        </is>
      </c>
      <c r="AL120" s="36" t="inlineStr">
        <is>
          <t>IF(OR(E120="",AA120=""),"",IF(COUNT(Y120:Z120)=0,"",AA120-LOOKUP(2,1/(Y120:Z120&lt;&gt;""),Y120:Z120)))</t>
        </is>
      </c>
      <c r="AM120" s="36" t="inlineStr">
        <is>
          <t>IF(OR(E120="",AB120=""),"",IF(COUNT(Y120:AA120)=0,"",AB120-LOOKUP(2,1/(Y120:AA120&lt;&gt;""),Y120:AA120)))</t>
        </is>
      </c>
      <c r="AN120" s="36" t="inlineStr">
        <is>
          <t>IF(OR(E120="",AC120=""),"",IF(COUNT(Y120:AB120)=0,"",AC120-LOOKUP(2,1/(Y120:AB120&lt;&gt;""),Y120:AB120)))</t>
        </is>
      </c>
      <c r="AO120" s="36" t="inlineStr">
        <is>
          <t>IF(OR(E120="",AD120=""),"",IF(COUNT(Y120:AC120)=0,"",AD120-LOOKUP(2,1/(Y120:AC120&lt;&gt;""),Y120:AC120)))</t>
        </is>
      </c>
      <c r="AP120" s="36" t="inlineStr">
        <is>
          <t>IF(OR(E120="",AE120=""),"",IF(COUNT(Y120:AD120)=0,"",AE120-LOOKUP(2,1/(Y120:AD120&lt;&gt;""),Y120:AD120)))</t>
        </is>
      </c>
      <c r="AQ120" s="36" t="inlineStr">
        <is>
          <t>IF(OR(E120="",AF120=""),"",IF(COUNT(Y120:AE120)=0,"",AF120-LOOKUP(2,1/(Y120:AE120&lt;&gt;""),Y120:AE120)))</t>
        </is>
      </c>
      <c r="AR120" s="36" t="inlineStr">
        <is>
          <t>IF(OR(E120="",AG120=""),"",IF(COUNT(Y120:AF120)=0,"",AG120-LOOKUP(2,1/(Y120:AF120&lt;&gt;""),Y120:AF120)))</t>
        </is>
      </c>
      <c r="AS120" s="36" t="inlineStr">
        <is>
          <t>IF(OR(E120="",AH120=""),"",IF(COUNT(Y120:AG120)=0,"",AH120-LOOKUP(2,1/(Y120:AG120&lt;&gt;""),Y120:AG120)))</t>
        </is>
      </c>
      <c r="AT120" s="36" t="inlineStr">
        <is>
          <t>IF(OR(E120="",AI120=""),"",IF(COUNT(Y120:AH120)=0,"",AI120-LOOKUP(2,1/(Y120:AH120&lt;&gt;""),Y120:AH120)))</t>
        </is>
      </c>
      <c r="AU120" s="36" t="inlineStr">
        <is>
          <t>IF(OR(E120="",AJ120=""),"",IF(COUNT(Y120:AI120)=0,"",AJ120-LOOKUP(2,1/(Y120:AI120&lt;&gt;""),Y120:AI120)))</t>
        </is>
      </c>
      <c r="AV120" s="39" t="inlineStr">
        <is>
          <t>IF(G120="","All_Provinces",IFERROR(VLOOKUP(G120,'07_Lookups'!$A$4:$B$20,2,FALSE),"All_Provinces"))</t>
        </is>
      </c>
      <c r="AW120" s="39" t="inlineStr">
        <is>
          <t>IF(H120="","All_Districts",IFERROR(VLOOKUP(H120,'07_Lookups'!$E$4:$F$42,2,FALSE),"All_Districts"))</t>
        </is>
      </c>
    </row>
    <row r="121" ht="18" customHeight="1">
      <c r="A121" s="31" t="inlineStr">
        <is>
          <t>IF(E121="","",ROW()-3)</t>
        </is>
      </c>
      <c r="B121" s="40" t="n"/>
      <c r="C121" s="40" t="n"/>
      <c r="D121" s="40" t="n"/>
      <c r="E121" s="40" t="n"/>
      <c r="F121" s="40" t="n"/>
      <c r="G121" s="40" t="n"/>
      <c r="H121" s="40" t="n"/>
      <c r="I121" s="40" t="n"/>
      <c r="J121" s="40" t="n"/>
      <c r="K121" s="40" t="n"/>
      <c r="L121" s="40" t="n"/>
      <c r="M121" s="40" t="n"/>
      <c r="N121" s="41" t="n"/>
      <c r="O121" s="34" t="inlineStr">
        <is>
          <t>IF(AE121="","",AE121)</t>
        </is>
      </c>
      <c r="P121" s="42" t="n"/>
      <c r="Q121" s="34" t="inlineStr">
        <is>
          <t>IF(OR(O121="",P121=""),"",EDATE(O121,P121))</t>
        </is>
      </c>
      <c r="R121" s="42" t="n"/>
      <c r="S121" s="40" t="n"/>
      <c r="T121" s="40" t="n"/>
      <c r="U121" s="31" t="inlineStr">
        <is>
          <t>IF(E121="","",IF(COUNT(Y121:AJ121)=0,IF(S121="","Not started",S121),SUBSTITUTE(LOOKUP(2,1/(Y121:AJ121&lt;&gt;""),$Y$3:$AJ$3),"Date: ","")))</t>
        </is>
      </c>
      <c r="V121" s="36" t="inlineStr">
        <is>
          <t>IF(OR(E121="",COUNT(Y121:AJ121)=0),"",TODAY()-LOOKUP(2,1/(Y121:AJ121&lt;&gt;""),Y121:AJ121))</t>
        </is>
      </c>
      <c r="W121" s="36" t="inlineStr">
        <is>
          <t>IF(OR(E121="",COUNT(Y121:AJ121)&lt;2),"",LOOKUP(2,1/(Y121:AJ121&lt;&gt;""),Y121:AJ121)-MIN(Y121:AJ121))</t>
        </is>
      </c>
      <c r="X121" s="36" t="inlineStr">
        <is>
          <t>IF(OR(V121="",U121="Not started",U121=""),"",IFERROR(V121-IF(VLOOKUP(U121,'04_Status_Pipeline'!$B$3:$E$20,4,FALSE)="",0,VLOOKUP(U121,'04_Status_Pipeline'!$B$3:$E$20,4,FALSE)),""))</t>
        </is>
      </c>
      <c r="Y121" s="43" t="n"/>
      <c r="Z121" s="43" t="n"/>
      <c r="AA121" s="43" t="n"/>
      <c r="AB121" s="43" t="n"/>
      <c r="AC121" s="43" t="n"/>
      <c r="AD121" s="43" t="n"/>
      <c r="AE121" s="43" t="n"/>
      <c r="AF121" s="43" t="n"/>
      <c r="AG121" s="43" t="n"/>
      <c r="AH121" s="38" t="n"/>
      <c r="AI121" s="38" t="n"/>
      <c r="AJ121" s="38" t="n"/>
      <c r="AK121" s="36" t="inlineStr">
        <is>
          <t>IF(OR(E121="",Z121=""),"",IF(COUNT(Y121:Y121)=0,"",Z121-LOOKUP(2,1/(Y121:Y121&lt;&gt;""),Y121:Y121)))</t>
        </is>
      </c>
      <c r="AL121" s="36" t="inlineStr">
        <is>
          <t>IF(OR(E121="",AA121=""),"",IF(COUNT(Y121:Z121)=0,"",AA121-LOOKUP(2,1/(Y121:Z121&lt;&gt;""),Y121:Z121)))</t>
        </is>
      </c>
      <c r="AM121" s="36" t="inlineStr">
        <is>
          <t>IF(OR(E121="",AB121=""),"",IF(COUNT(Y121:AA121)=0,"",AB121-LOOKUP(2,1/(Y121:AA121&lt;&gt;""),Y121:AA121)))</t>
        </is>
      </c>
      <c r="AN121" s="36" t="inlineStr">
        <is>
          <t>IF(OR(E121="",AC121=""),"",IF(COUNT(Y121:AB121)=0,"",AC121-LOOKUP(2,1/(Y121:AB121&lt;&gt;""),Y121:AB121)))</t>
        </is>
      </c>
      <c r="AO121" s="36" t="inlineStr">
        <is>
          <t>IF(OR(E121="",AD121=""),"",IF(COUNT(Y121:AC121)=0,"",AD121-LOOKUP(2,1/(Y121:AC121&lt;&gt;""),Y121:AC121)))</t>
        </is>
      </c>
      <c r="AP121" s="36" t="inlineStr">
        <is>
          <t>IF(OR(E121="",AE121=""),"",IF(COUNT(Y121:AD121)=0,"",AE121-LOOKUP(2,1/(Y121:AD121&lt;&gt;""),Y121:AD121)))</t>
        </is>
      </c>
      <c r="AQ121" s="36" t="inlineStr">
        <is>
          <t>IF(OR(E121="",AF121=""),"",IF(COUNT(Y121:AE121)=0,"",AF121-LOOKUP(2,1/(Y121:AE121&lt;&gt;""),Y121:AE121)))</t>
        </is>
      </c>
      <c r="AR121" s="36" t="inlineStr">
        <is>
          <t>IF(OR(E121="",AG121=""),"",IF(COUNT(Y121:AF121)=0,"",AG121-LOOKUP(2,1/(Y121:AF121&lt;&gt;""),Y121:AF121)))</t>
        </is>
      </c>
      <c r="AS121" s="36" t="inlineStr">
        <is>
          <t>IF(OR(E121="",AH121=""),"",IF(COUNT(Y121:AG121)=0,"",AH121-LOOKUP(2,1/(Y121:AG121&lt;&gt;""),Y121:AG121)))</t>
        </is>
      </c>
      <c r="AT121" s="36" t="inlineStr">
        <is>
          <t>IF(OR(E121="",AI121=""),"",IF(COUNT(Y121:AH121)=0,"",AI121-LOOKUP(2,1/(Y121:AH121&lt;&gt;""),Y121:AH121)))</t>
        </is>
      </c>
      <c r="AU121" s="36" t="inlineStr">
        <is>
          <t>IF(OR(E121="",AJ121=""),"",IF(COUNT(Y121:AI121)=0,"",AJ121-LOOKUP(2,1/(Y121:AI121&lt;&gt;""),Y121:AI121)))</t>
        </is>
      </c>
      <c r="AV121" s="39" t="inlineStr">
        <is>
          <t>IF(G121="","All_Provinces",IFERROR(VLOOKUP(G121,'07_Lookups'!$A$4:$B$20,2,FALSE),"All_Provinces"))</t>
        </is>
      </c>
      <c r="AW121" s="39" t="inlineStr">
        <is>
          <t>IF(H121="","All_Districts",IFERROR(VLOOKUP(H121,'07_Lookups'!$E$4:$F$42,2,FALSE),"All_Districts"))</t>
        </is>
      </c>
    </row>
    <row r="122" ht="18" customHeight="1">
      <c r="A122" s="31" t="inlineStr">
        <is>
          <t>IF(E122="","",ROW()-3)</t>
        </is>
      </c>
      <c r="B122" s="32" t="n"/>
      <c r="C122" s="32" t="n"/>
      <c r="D122" s="32" t="n"/>
      <c r="E122" s="32" t="n"/>
      <c r="F122" s="32" t="n"/>
      <c r="G122" s="32" t="n"/>
      <c r="H122" s="32" t="n"/>
      <c r="I122" s="32" t="n"/>
      <c r="J122" s="32" t="n"/>
      <c r="K122" s="32" t="n"/>
      <c r="L122" s="32" t="n"/>
      <c r="M122" s="32" t="n"/>
      <c r="N122" s="33" t="n"/>
      <c r="O122" s="34" t="inlineStr">
        <is>
          <t>IF(AE122="","",AE122)</t>
        </is>
      </c>
      <c r="P122" s="35" t="n"/>
      <c r="Q122" s="34" t="inlineStr">
        <is>
          <t>IF(OR(O122="",P122=""),"",EDATE(O122,P122))</t>
        </is>
      </c>
      <c r="R122" s="35" t="n"/>
      <c r="S122" s="32" t="n"/>
      <c r="T122" s="32" t="n"/>
      <c r="U122" s="31" t="inlineStr">
        <is>
          <t>IF(E122="","",IF(COUNT(Y122:AJ122)=0,IF(S122="","Not started",S122),SUBSTITUTE(LOOKUP(2,1/(Y122:AJ122&lt;&gt;""),$Y$3:$AJ$3),"Date: ","")))</t>
        </is>
      </c>
      <c r="V122" s="36" t="inlineStr">
        <is>
          <t>IF(OR(E122="",COUNT(Y122:AJ122)=0),"",TODAY()-LOOKUP(2,1/(Y122:AJ122&lt;&gt;""),Y122:AJ122))</t>
        </is>
      </c>
      <c r="W122" s="36" t="inlineStr">
        <is>
          <t>IF(OR(E122="",COUNT(Y122:AJ122)&lt;2),"",LOOKUP(2,1/(Y122:AJ122&lt;&gt;""),Y122:AJ122)-MIN(Y122:AJ122))</t>
        </is>
      </c>
      <c r="X122" s="36" t="inlineStr">
        <is>
          <t>IF(OR(V122="",U122="Not started",U122=""),"",IFERROR(V122-IF(VLOOKUP(U122,'04_Status_Pipeline'!$B$3:$E$20,4,FALSE)="",0,VLOOKUP(U122,'04_Status_Pipeline'!$B$3:$E$20,4,FALSE)),""))</t>
        </is>
      </c>
      <c r="Y122" s="37" t="n"/>
      <c r="Z122" s="37" t="n"/>
      <c r="AA122" s="37" t="n"/>
      <c r="AB122" s="37" t="n"/>
      <c r="AC122" s="37" t="n"/>
      <c r="AD122" s="37" t="n"/>
      <c r="AE122" s="37" t="n"/>
      <c r="AF122" s="37" t="n"/>
      <c r="AG122" s="37" t="n"/>
      <c r="AH122" s="38" t="n"/>
      <c r="AI122" s="38" t="n"/>
      <c r="AJ122" s="38" t="n"/>
      <c r="AK122" s="36" t="inlineStr">
        <is>
          <t>IF(OR(E122="",Z122=""),"",IF(COUNT(Y122:Y122)=0,"",Z122-LOOKUP(2,1/(Y122:Y122&lt;&gt;""),Y122:Y122)))</t>
        </is>
      </c>
      <c r="AL122" s="36" t="inlineStr">
        <is>
          <t>IF(OR(E122="",AA122=""),"",IF(COUNT(Y122:Z122)=0,"",AA122-LOOKUP(2,1/(Y122:Z122&lt;&gt;""),Y122:Z122)))</t>
        </is>
      </c>
      <c r="AM122" s="36" t="inlineStr">
        <is>
          <t>IF(OR(E122="",AB122=""),"",IF(COUNT(Y122:AA122)=0,"",AB122-LOOKUP(2,1/(Y122:AA122&lt;&gt;""),Y122:AA122)))</t>
        </is>
      </c>
      <c r="AN122" s="36" t="inlineStr">
        <is>
          <t>IF(OR(E122="",AC122=""),"",IF(COUNT(Y122:AB122)=0,"",AC122-LOOKUP(2,1/(Y122:AB122&lt;&gt;""),Y122:AB122)))</t>
        </is>
      </c>
      <c r="AO122" s="36" t="inlineStr">
        <is>
          <t>IF(OR(E122="",AD122=""),"",IF(COUNT(Y122:AC122)=0,"",AD122-LOOKUP(2,1/(Y122:AC122&lt;&gt;""),Y122:AC122)))</t>
        </is>
      </c>
      <c r="AP122" s="36" t="inlineStr">
        <is>
          <t>IF(OR(E122="",AE122=""),"",IF(COUNT(Y122:AD122)=0,"",AE122-LOOKUP(2,1/(Y122:AD122&lt;&gt;""),Y122:AD122)))</t>
        </is>
      </c>
      <c r="AQ122" s="36" t="inlineStr">
        <is>
          <t>IF(OR(E122="",AF122=""),"",IF(COUNT(Y122:AE122)=0,"",AF122-LOOKUP(2,1/(Y122:AE122&lt;&gt;""),Y122:AE122)))</t>
        </is>
      </c>
      <c r="AR122" s="36" t="inlineStr">
        <is>
          <t>IF(OR(E122="",AG122=""),"",IF(COUNT(Y122:AF122)=0,"",AG122-LOOKUP(2,1/(Y122:AF122&lt;&gt;""),Y122:AF122)))</t>
        </is>
      </c>
      <c r="AS122" s="36" t="inlineStr">
        <is>
          <t>IF(OR(E122="",AH122=""),"",IF(COUNT(Y122:AG122)=0,"",AH122-LOOKUP(2,1/(Y122:AG122&lt;&gt;""),Y122:AG122)))</t>
        </is>
      </c>
      <c r="AT122" s="36" t="inlineStr">
        <is>
          <t>IF(OR(E122="",AI122=""),"",IF(COUNT(Y122:AH122)=0,"",AI122-LOOKUP(2,1/(Y122:AH122&lt;&gt;""),Y122:AH122)))</t>
        </is>
      </c>
      <c r="AU122" s="36" t="inlineStr">
        <is>
          <t>IF(OR(E122="",AJ122=""),"",IF(COUNT(Y122:AI122)=0,"",AJ122-LOOKUP(2,1/(Y122:AI122&lt;&gt;""),Y122:AI122)))</t>
        </is>
      </c>
      <c r="AV122" s="39" t="inlineStr">
        <is>
          <t>IF(G122="","All_Provinces",IFERROR(VLOOKUP(G122,'07_Lookups'!$A$4:$B$20,2,FALSE),"All_Provinces"))</t>
        </is>
      </c>
      <c r="AW122" s="39" t="inlineStr">
        <is>
          <t>IF(H122="","All_Districts",IFERROR(VLOOKUP(H122,'07_Lookups'!$E$4:$F$42,2,FALSE),"All_Districts"))</t>
        </is>
      </c>
    </row>
    <row r="123" ht="18" customHeight="1">
      <c r="A123" s="31" t="inlineStr">
        <is>
          <t>IF(E123="","",ROW()-3)</t>
        </is>
      </c>
      <c r="B123" s="40" t="n"/>
      <c r="C123" s="40" t="n"/>
      <c r="D123" s="40" t="n"/>
      <c r="E123" s="40" t="n"/>
      <c r="F123" s="40" t="n"/>
      <c r="G123" s="40" t="n"/>
      <c r="H123" s="40" t="n"/>
      <c r="I123" s="40" t="n"/>
      <c r="J123" s="40" t="n"/>
      <c r="K123" s="40" t="n"/>
      <c r="L123" s="40" t="n"/>
      <c r="M123" s="40" t="n"/>
      <c r="N123" s="41" t="n"/>
      <c r="O123" s="34" t="inlineStr">
        <is>
          <t>IF(AE123="","",AE123)</t>
        </is>
      </c>
      <c r="P123" s="42" t="n"/>
      <c r="Q123" s="34" t="inlineStr">
        <is>
          <t>IF(OR(O123="",P123=""),"",EDATE(O123,P123))</t>
        </is>
      </c>
      <c r="R123" s="42" t="n"/>
      <c r="S123" s="40" t="n"/>
      <c r="T123" s="40" t="n"/>
      <c r="U123" s="31" t="inlineStr">
        <is>
          <t>IF(E123="","",IF(COUNT(Y123:AJ123)=0,IF(S123="","Not started",S123),SUBSTITUTE(LOOKUP(2,1/(Y123:AJ123&lt;&gt;""),$Y$3:$AJ$3),"Date: ","")))</t>
        </is>
      </c>
      <c r="V123" s="36" t="inlineStr">
        <is>
          <t>IF(OR(E123="",COUNT(Y123:AJ123)=0),"",TODAY()-LOOKUP(2,1/(Y123:AJ123&lt;&gt;""),Y123:AJ123))</t>
        </is>
      </c>
      <c r="W123" s="36" t="inlineStr">
        <is>
          <t>IF(OR(E123="",COUNT(Y123:AJ123)&lt;2),"",LOOKUP(2,1/(Y123:AJ123&lt;&gt;""),Y123:AJ123)-MIN(Y123:AJ123))</t>
        </is>
      </c>
      <c r="X123" s="36" t="inlineStr">
        <is>
          <t>IF(OR(V123="",U123="Not started",U123=""),"",IFERROR(V123-IF(VLOOKUP(U123,'04_Status_Pipeline'!$B$3:$E$20,4,FALSE)="",0,VLOOKUP(U123,'04_Status_Pipeline'!$B$3:$E$20,4,FALSE)),""))</t>
        </is>
      </c>
      <c r="Y123" s="43" t="n"/>
      <c r="Z123" s="43" t="n"/>
      <c r="AA123" s="43" t="n"/>
      <c r="AB123" s="43" t="n"/>
      <c r="AC123" s="43" t="n"/>
      <c r="AD123" s="43" t="n"/>
      <c r="AE123" s="43" t="n"/>
      <c r="AF123" s="43" t="n"/>
      <c r="AG123" s="43" t="n"/>
      <c r="AH123" s="38" t="n"/>
      <c r="AI123" s="38" t="n"/>
      <c r="AJ123" s="38" t="n"/>
      <c r="AK123" s="36" t="inlineStr">
        <is>
          <t>IF(OR(E123="",Z123=""),"",IF(COUNT(Y123:Y123)=0,"",Z123-LOOKUP(2,1/(Y123:Y123&lt;&gt;""),Y123:Y123)))</t>
        </is>
      </c>
      <c r="AL123" s="36" t="inlineStr">
        <is>
          <t>IF(OR(E123="",AA123=""),"",IF(COUNT(Y123:Z123)=0,"",AA123-LOOKUP(2,1/(Y123:Z123&lt;&gt;""),Y123:Z123)))</t>
        </is>
      </c>
      <c r="AM123" s="36" t="inlineStr">
        <is>
          <t>IF(OR(E123="",AB123=""),"",IF(COUNT(Y123:AA123)=0,"",AB123-LOOKUP(2,1/(Y123:AA123&lt;&gt;""),Y123:AA123)))</t>
        </is>
      </c>
      <c r="AN123" s="36" t="inlineStr">
        <is>
          <t>IF(OR(E123="",AC123=""),"",IF(COUNT(Y123:AB123)=0,"",AC123-LOOKUP(2,1/(Y123:AB123&lt;&gt;""),Y123:AB123)))</t>
        </is>
      </c>
      <c r="AO123" s="36" t="inlineStr">
        <is>
          <t>IF(OR(E123="",AD123=""),"",IF(COUNT(Y123:AC123)=0,"",AD123-LOOKUP(2,1/(Y123:AC123&lt;&gt;""),Y123:AC123)))</t>
        </is>
      </c>
      <c r="AP123" s="36" t="inlineStr">
        <is>
          <t>IF(OR(E123="",AE123=""),"",IF(COUNT(Y123:AD123)=0,"",AE123-LOOKUP(2,1/(Y123:AD123&lt;&gt;""),Y123:AD123)))</t>
        </is>
      </c>
      <c r="AQ123" s="36" t="inlineStr">
        <is>
          <t>IF(OR(E123="",AF123=""),"",IF(COUNT(Y123:AE123)=0,"",AF123-LOOKUP(2,1/(Y123:AE123&lt;&gt;""),Y123:AE123)))</t>
        </is>
      </c>
      <c r="AR123" s="36" t="inlineStr">
        <is>
          <t>IF(OR(E123="",AG123=""),"",IF(COUNT(Y123:AF123)=0,"",AG123-LOOKUP(2,1/(Y123:AF123&lt;&gt;""),Y123:AF123)))</t>
        </is>
      </c>
      <c r="AS123" s="36" t="inlineStr">
        <is>
          <t>IF(OR(E123="",AH123=""),"",IF(COUNT(Y123:AG123)=0,"",AH123-LOOKUP(2,1/(Y123:AG123&lt;&gt;""),Y123:AG123)))</t>
        </is>
      </c>
      <c r="AT123" s="36" t="inlineStr">
        <is>
          <t>IF(OR(E123="",AI123=""),"",IF(COUNT(Y123:AH123)=0,"",AI123-LOOKUP(2,1/(Y123:AH123&lt;&gt;""),Y123:AH123)))</t>
        </is>
      </c>
      <c r="AU123" s="36" t="inlineStr">
        <is>
          <t>IF(OR(E123="",AJ123=""),"",IF(COUNT(Y123:AI123)=0,"",AJ123-LOOKUP(2,1/(Y123:AI123&lt;&gt;""),Y123:AI123)))</t>
        </is>
      </c>
      <c r="AV123" s="39" t="inlineStr">
        <is>
          <t>IF(G123="","All_Provinces",IFERROR(VLOOKUP(G123,'07_Lookups'!$A$4:$B$20,2,FALSE),"All_Provinces"))</t>
        </is>
      </c>
      <c r="AW123" s="39" t="inlineStr">
        <is>
          <t>IF(H123="","All_Districts",IFERROR(VLOOKUP(H123,'07_Lookups'!$E$4:$F$42,2,FALSE),"All_Districts"))</t>
        </is>
      </c>
    </row>
    <row r="124" ht="18" customHeight="1">
      <c r="A124" s="31" t="inlineStr">
        <is>
          <t>IF(E124="","",ROW()-3)</t>
        </is>
      </c>
      <c r="B124" s="32" t="n"/>
      <c r="C124" s="32" t="n"/>
      <c r="D124" s="32" t="n"/>
      <c r="E124" s="32" t="n"/>
      <c r="F124" s="32" t="n"/>
      <c r="G124" s="32" t="n"/>
      <c r="H124" s="32" t="n"/>
      <c r="I124" s="32" t="n"/>
      <c r="J124" s="32" t="n"/>
      <c r="K124" s="32" t="n"/>
      <c r="L124" s="32" t="n"/>
      <c r="M124" s="32" t="n"/>
      <c r="N124" s="33" t="n"/>
      <c r="O124" s="34" t="inlineStr">
        <is>
          <t>IF(AE124="","",AE124)</t>
        </is>
      </c>
      <c r="P124" s="35" t="n"/>
      <c r="Q124" s="34" t="inlineStr">
        <is>
          <t>IF(OR(O124="",P124=""),"",EDATE(O124,P124))</t>
        </is>
      </c>
      <c r="R124" s="35" t="n"/>
      <c r="S124" s="32" t="n"/>
      <c r="T124" s="32" t="n"/>
      <c r="U124" s="31" t="inlineStr">
        <is>
          <t>IF(E124="","",IF(COUNT(Y124:AJ124)=0,IF(S124="","Not started",S124),SUBSTITUTE(LOOKUP(2,1/(Y124:AJ124&lt;&gt;""),$Y$3:$AJ$3),"Date: ","")))</t>
        </is>
      </c>
      <c r="V124" s="36" t="inlineStr">
        <is>
          <t>IF(OR(E124="",COUNT(Y124:AJ124)=0),"",TODAY()-LOOKUP(2,1/(Y124:AJ124&lt;&gt;""),Y124:AJ124))</t>
        </is>
      </c>
      <c r="W124" s="36" t="inlineStr">
        <is>
          <t>IF(OR(E124="",COUNT(Y124:AJ124)&lt;2),"",LOOKUP(2,1/(Y124:AJ124&lt;&gt;""),Y124:AJ124)-MIN(Y124:AJ124))</t>
        </is>
      </c>
      <c r="X124" s="36" t="inlineStr">
        <is>
          <t>IF(OR(V124="",U124="Not started",U124=""),"",IFERROR(V124-IF(VLOOKUP(U124,'04_Status_Pipeline'!$B$3:$E$20,4,FALSE)="",0,VLOOKUP(U124,'04_Status_Pipeline'!$B$3:$E$20,4,FALSE)),""))</t>
        </is>
      </c>
      <c r="Y124" s="37" t="n"/>
      <c r="Z124" s="37" t="n"/>
      <c r="AA124" s="37" t="n"/>
      <c r="AB124" s="37" t="n"/>
      <c r="AC124" s="37" t="n"/>
      <c r="AD124" s="37" t="n"/>
      <c r="AE124" s="37" t="n"/>
      <c r="AF124" s="37" t="n"/>
      <c r="AG124" s="37" t="n"/>
      <c r="AH124" s="38" t="n"/>
      <c r="AI124" s="38" t="n"/>
      <c r="AJ124" s="38" t="n"/>
      <c r="AK124" s="36" t="inlineStr">
        <is>
          <t>IF(OR(E124="",Z124=""),"",IF(COUNT(Y124:Y124)=0,"",Z124-LOOKUP(2,1/(Y124:Y124&lt;&gt;""),Y124:Y124)))</t>
        </is>
      </c>
      <c r="AL124" s="36" t="inlineStr">
        <is>
          <t>IF(OR(E124="",AA124=""),"",IF(COUNT(Y124:Z124)=0,"",AA124-LOOKUP(2,1/(Y124:Z124&lt;&gt;""),Y124:Z124)))</t>
        </is>
      </c>
      <c r="AM124" s="36" t="inlineStr">
        <is>
          <t>IF(OR(E124="",AB124=""),"",IF(COUNT(Y124:AA124)=0,"",AB124-LOOKUP(2,1/(Y124:AA124&lt;&gt;""),Y124:AA124)))</t>
        </is>
      </c>
      <c r="AN124" s="36" t="inlineStr">
        <is>
          <t>IF(OR(E124="",AC124=""),"",IF(COUNT(Y124:AB124)=0,"",AC124-LOOKUP(2,1/(Y124:AB124&lt;&gt;""),Y124:AB124)))</t>
        </is>
      </c>
      <c r="AO124" s="36" t="inlineStr">
        <is>
          <t>IF(OR(E124="",AD124=""),"",IF(COUNT(Y124:AC124)=0,"",AD124-LOOKUP(2,1/(Y124:AC124&lt;&gt;""),Y124:AC124)))</t>
        </is>
      </c>
      <c r="AP124" s="36" t="inlineStr">
        <is>
          <t>IF(OR(E124="",AE124=""),"",IF(COUNT(Y124:AD124)=0,"",AE124-LOOKUP(2,1/(Y124:AD124&lt;&gt;""),Y124:AD124)))</t>
        </is>
      </c>
      <c r="AQ124" s="36" t="inlineStr">
        <is>
          <t>IF(OR(E124="",AF124=""),"",IF(COUNT(Y124:AE124)=0,"",AF124-LOOKUP(2,1/(Y124:AE124&lt;&gt;""),Y124:AE124)))</t>
        </is>
      </c>
      <c r="AR124" s="36" t="inlineStr">
        <is>
          <t>IF(OR(E124="",AG124=""),"",IF(COUNT(Y124:AF124)=0,"",AG124-LOOKUP(2,1/(Y124:AF124&lt;&gt;""),Y124:AF124)))</t>
        </is>
      </c>
      <c r="AS124" s="36" t="inlineStr">
        <is>
          <t>IF(OR(E124="",AH124=""),"",IF(COUNT(Y124:AG124)=0,"",AH124-LOOKUP(2,1/(Y124:AG124&lt;&gt;""),Y124:AG124)))</t>
        </is>
      </c>
      <c r="AT124" s="36" t="inlineStr">
        <is>
          <t>IF(OR(E124="",AI124=""),"",IF(COUNT(Y124:AH124)=0,"",AI124-LOOKUP(2,1/(Y124:AH124&lt;&gt;""),Y124:AH124)))</t>
        </is>
      </c>
      <c r="AU124" s="36" t="inlineStr">
        <is>
          <t>IF(OR(E124="",AJ124=""),"",IF(COUNT(Y124:AI124)=0,"",AJ124-LOOKUP(2,1/(Y124:AI124&lt;&gt;""),Y124:AI124)))</t>
        </is>
      </c>
      <c r="AV124" s="39" t="inlineStr">
        <is>
          <t>IF(G124="","All_Provinces",IFERROR(VLOOKUP(G124,'07_Lookups'!$A$4:$B$20,2,FALSE),"All_Provinces"))</t>
        </is>
      </c>
      <c r="AW124" s="39" t="inlineStr">
        <is>
          <t>IF(H124="","All_Districts",IFERROR(VLOOKUP(H124,'07_Lookups'!$E$4:$F$42,2,FALSE),"All_Districts"))</t>
        </is>
      </c>
    </row>
    <row r="125" ht="18" customHeight="1">
      <c r="A125" s="31" t="inlineStr">
        <is>
          <t>IF(E125="","",ROW()-3)</t>
        </is>
      </c>
      <c r="B125" s="40" t="n"/>
      <c r="C125" s="40" t="n"/>
      <c r="D125" s="40" t="n"/>
      <c r="E125" s="40" t="n"/>
      <c r="F125" s="40" t="n"/>
      <c r="G125" s="40" t="n"/>
      <c r="H125" s="40" t="n"/>
      <c r="I125" s="40" t="n"/>
      <c r="J125" s="40" t="n"/>
      <c r="K125" s="40" t="n"/>
      <c r="L125" s="40" t="n"/>
      <c r="M125" s="40" t="n"/>
      <c r="N125" s="41" t="n"/>
      <c r="O125" s="34" t="inlineStr">
        <is>
          <t>IF(AE125="","",AE125)</t>
        </is>
      </c>
      <c r="P125" s="42" t="n"/>
      <c r="Q125" s="34" t="inlineStr">
        <is>
          <t>IF(OR(O125="",P125=""),"",EDATE(O125,P125))</t>
        </is>
      </c>
      <c r="R125" s="42" t="n"/>
      <c r="S125" s="40" t="n"/>
      <c r="T125" s="40" t="n"/>
      <c r="U125" s="31" t="inlineStr">
        <is>
          <t>IF(E125="","",IF(COUNT(Y125:AJ125)=0,IF(S125="","Not started",S125),SUBSTITUTE(LOOKUP(2,1/(Y125:AJ125&lt;&gt;""),$Y$3:$AJ$3),"Date: ","")))</t>
        </is>
      </c>
      <c r="V125" s="36" t="inlineStr">
        <is>
          <t>IF(OR(E125="",COUNT(Y125:AJ125)=0),"",TODAY()-LOOKUP(2,1/(Y125:AJ125&lt;&gt;""),Y125:AJ125))</t>
        </is>
      </c>
      <c r="W125" s="36" t="inlineStr">
        <is>
          <t>IF(OR(E125="",COUNT(Y125:AJ125)&lt;2),"",LOOKUP(2,1/(Y125:AJ125&lt;&gt;""),Y125:AJ125)-MIN(Y125:AJ125))</t>
        </is>
      </c>
      <c r="X125" s="36" t="inlineStr">
        <is>
          <t>IF(OR(V125="",U125="Not started",U125=""),"",IFERROR(V125-IF(VLOOKUP(U125,'04_Status_Pipeline'!$B$3:$E$20,4,FALSE)="",0,VLOOKUP(U125,'04_Status_Pipeline'!$B$3:$E$20,4,FALSE)),""))</t>
        </is>
      </c>
      <c r="Y125" s="43" t="n"/>
      <c r="Z125" s="43" t="n"/>
      <c r="AA125" s="43" t="n"/>
      <c r="AB125" s="43" t="n"/>
      <c r="AC125" s="43" t="n"/>
      <c r="AD125" s="43" t="n"/>
      <c r="AE125" s="43" t="n"/>
      <c r="AF125" s="43" t="n"/>
      <c r="AG125" s="43" t="n"/>
      <c r="AH125" s="38" t="n"/>
      <c r="AI125" s="38" t="n"/>
      <c r="AJ125" s="38" t="n"/>
      <c r="AK125" s="36" t="inlineStr">
        <is>
          <t>IF(OR(E125="",Z125=""),"",IF(COUNT(Y125:Y125)=0,"",Z125-LOOKUP(2,1/(Y125:Y125&lt;&gt;""),Y125:Y125)))</t>
        </is>
      </c>
      <c r="AL125" s="36" t="inlineStr">
        <is>
          <t>IF(OR(E125="",AA125=""),"",IF(COUNT(Y125:Z125)=0,"",AA125-LOOKUP(2,1/(Y125:Z125&lt;&gt;""),Y125:Z125)))</t>
        </is>
      </c>
      <c r="AM125" s="36" t="inlineStr">
        <is>
          <t>IF(OR(E125="",AB125=""),"",IF(COUNT(Y125:AA125)=0,"",AB125-LOOKUP(2,1/(Y125:AA125&lt;&gt;""),Y125:AA125)))</t>
        </is>
      </c>
      <c r="AN125" s="36" t="inlineStr">
        <is>
          <t>IF(OR(E125="",AC125=""),"",IF(COUNT(Y125:AB125)=0,"",AC125-LOOKUP(2,1/(Y125:AB125&lt;&gt;""),Y125:AB125)))</t>
        </is>
      </c>
      <c r="AO125" s="36" t="inlineStr">
        <is>
          <t>IF(OR(E125="",AD125=""),"",IF(COUNT(Y125:AC125)=0,"",AD125-LOOKUP(2,1/(Y125:AC125&lt;&gt;""),Y125:AC125)))</t>
        </is>
      </c>
      <c r="AP125" s="36" t="inlineStr">
        <is>
          <t>IF(OR(E125="",AE125=""),"",IF(COUNT(Y125:AD125)=0,"",AE125-LOOKUP(2,1/(Y125:AD125&lt;&gt;""),Y125:AD125)))</t>
        </is>
      </c>
      <c r="AQ125" s="36" t="inlineStr">
        <is>
          <t>IF(OR(E125="",AF125=""),"",IF(COUNT(Y125:AE125)=0,"",AF125-LOOKUP(2,1/(Y125:AE125&lt;&gt;""),Y125:AE125)))</t>
        </is>
      </c>
      <c r="AR125" s="36" t="inlineStr">
        <is>
          <t>IF(OR(E125="",AG125=""),"",IF(COUNT(Y125:AF125)=0,"",AG125-LOOKUP(2,1/(Y125:AF125&lt;&gt;""),Y125:AF125)))</t>
        </is>
      </c>
      <c r="AS125" s="36" t="inlineStr">
        <is>
          <t>IF(OR(E125="",AH125=""),"",IF(COUNT(Y125:AG125)=0,"",AH125-LOOKUP(2,1/(Y125:AG125&lt;&gt;""),Y125:AG125)))</t>
        </is>
      </c>
      <c r="AT125" s="36" t="inlineStr">
        <is>
          <t>IF(OR(E125="",AI125=""),"",IF(COUNT(Y125:AH125)=0,"",AI125-LOOKUP(2,1/(Y125:AH125&lt;&gt;""),Y125:AH125)))</t>
        </is>
      </c>
      <c r="AU125" s="36" t="inlineStr">
        <is>
          <t>IF(OR(E125="",AJ125=""),"",IF(COUNT(Y125:AI125)=0,"",AJ125-LOOKUP(2,1/(Y125:AI125&lt;&gt;""),Y125:AI125)))</t>
        </is>
      </c>
      <c r="AV125" s="39" t="inlineStr">
        <is>
          <t>IF(G125="","All_Provinces",IFERROR(VLOOKUP(G125,'07_Lookups'!$A$4:$B$20,2,FALSE),"All_Provinces"))</t>
        </is>
      </c>
      <c r="AW125" s="39" t="inlineStr">
        <is>
          <t>IF(H125="","All_Districts",IFERROR(VLOOKUP(H125,'07_Lookups'!$E$4:$F$42,2,FALSE),"All_Districts"))</t>
        </is>
      </c>
    </row>
    <row r="126" ht="18" customHeight="1">
      <c r="A126" s="31" t="inlineStr">
        <is>
          <t>IF(E126="","",ROW()-3)</t>
        </is>
      </c>
      <c r="B126" s="32" t="n"/>
      <c r="C126" s="32" t="n"/>
      <c r="D126" s="32" t="n"/>
      <c r="E126" s="32" t="n"/>
      <c r="F126" s="32" t="n"/>
      <c r="G126" s="32" t="n"/>
      <c r="H126" s="32" t="n"/>
      <c r="I126" s="32" t="n"/>
      <c r="J126" s="32" t="n"/>
      <c r="K126" s="32" t="n"/>
      <c r="L126" s="32" t="n"/>
      <c r="M126" s="32" t="n"/>
      <c r="N126" s="33" t="n"/>
      <c r="O126" s="34" t="inlineStr">
        <is>
          <t>IF(AE126="","",AE126)</t>
        </is>
      </c>
      <c r="P126" s="35" t="n"/>
      <c r="Q126" s="34" t="inlineStr">
        <is>
          <t>IF(OR(O126="",P126=""),"",EDATE(O126,P126))</t>
        </is>
      </c>
      <c r="R126" s="35" t="n"/>
      <c r="S126" s="32" t="n"/>
      <c r="T126" s="32" t="n"/>
      <c r="U126" s="31" t="inlineStr">
        <is>
          <t>IF(E126="","",IF(COUNT(Y126:AJ126)=0,IF(S126="","Not started",S126),SUBSTITUTE(LOOKUP(2,1/(Y126:AJ126&lt;&gt;""),$Y$3:$AJ$3),"Date: ","")))</t>
        </is>
      </c>
      <c r="V126" s="36" t="inlineStr">
        <is>
          <t>IF(OR(E126="",COUNT(Y126:AJ126)=0),"",TODAY()-LOOKUP(2,1/(Y126:AJ126&lt;&gt;""),Y126:AJ126))</t>
        </is>
      </c>
      <c r="W126" s="36" t="inlineStr">
        <is>
          <t>IF(OR(E126="",COUNT(Y126:AJ126)&lt;2),"",LOOKUP(2,1/(Y126:AJ126&lt;&gt;""),Y126:AJ126)-MIN(Y126:AJ126))</t>
        </is>
      </c>
      <c r="X126" s="36" t="inlineStr">
        <is>
          <t>IF(OR(V126="",U126="Not started",U126=""),"",IFERROR(V126-IF(VLOOKUP(U126,'04_Status_Pipeline'!$B$3:$E$20,4,FALSE)="",0,VLOOKUP(U126,'04_Status_Pipeline'!$B$3:$E$20,4,FALSE)),""))</t>
        </is>
      </c>
      <c r="Y126" s="37" t="n"/>
      <c r="Z126" s="37" t="n"/>
      <c r="AA126" s="37" t="n"/>
      <c r="AB126" s="37" t="n"/>
      <c r="AC126" s="37" t="n"/>
      <c r="AD126" s="37" t="n"/>
      <c r="AE126" s="37" t="n"/>
      <c r="AF126" s="37" t="n"/>
      <c r="AG126" s="37" t="n"/>
      <c r="AH126" s="38" t="n"/>
      <c r="AI126" s="38" t="n"/>
      <c r="AJ126" s="38" t="n"/>
      <c r="AK126" s="36" t="inlineStr">
        <is>
          <t>IF(OR(E126="",Z126=""),"",IF(COUNT(Y126:Y126)=0,"",Z126-LOOKUP(2,1/(Y126:Y126&lt;&gt;""),Y126:Y126)))</t>
        </is>
      </c>
      <c r="AL126" s="36" t="inlineStr">
        <is>
          <t>IF(OR(E126="",AA126=""),"",IF(COUNT(Y126:Z126)=0,"",AA126-LOOKUP(2,1/(Y126:Z126&lt;&gt;""),Y126:Z126)))</t>
        </is>
      </c>
      <c r="AM126" s="36" t="inlineStr">
        <is>
          <t>IF(OR(E126="",AB126=""),"",IF(COUNT(Y126:AA126)=0,"",AB126-LOOKUP(2,1/(Y126:AA126&lt;&gt;""),Y126:AA126)))</t>
        </is>
      </c>
      <c r="AN126" s="36" t="inlineStr">
        <is>
          <t>IF(OR(E126="",AC126=""),"",IF(COUNT(Y126:AB126)=0,"",AC126-LOOKUP(2,1/(Y126:AB126&lt;&gt;""),Y126:AB126)))</t>
        </is>
      </c>
      <c r="AO126" s="36" t="inlineStr">
        <is>
          <t>IF(OR(E126="",AD126=""),"",IF(COUNT(Y126:AC126)=0,"",AD126-LOOKUP(2,1/(Y126:AC126&lt;&gt;""),Y126:AC126)))</t>
        </is>
      </c>
      <c r="AP126" s="36" t="inlineStr">
        <is>
          <t>IF(OR(E126="",AE126=""),"",IF(COUNT(Y126:AD126)=0,"",AE126-LOOKUP(2,1/(Y126:AD126&lt;&gt;""),Y126:AD126)))</t>
        </is>
      </c>
      <c r="AQ126" s="36" t="inlineStr">
        <is>
          <t>IF(OR(E126="",AF126=""),"",IF(COUNT(Y126:AE126)=0,"",AF126-LOOKUP(2,1/(Y126:AE126&lt;&gt;""),Y126:AE126)))</t>
        </is>
      </c>
      <c r="AR126" s="36" t="inlineStr">
        <is>
          <t>IF(OR(E126="",AG126=""),"",IF(COUNT(Y126:AF126)=0,"",AG126-LOOKUP(2,1/(Y126:AF126&lt;&gt;""),Y126:AF126)))</t>
        </is>
      </c>
      <c r="AS126" s="36" t="inlineStr">
        <is>
          <t>IF(OR(E126="",AH126=""),"",IF(COUNT(Y126:AG126)=0,"",AH126-LOOKUP(2,1/(Y126:AG126&lt;&gt;""),Y126:AG126)))</t>
        </is>
      </c>
      <c r="AT126" s="36" t="inlineStr">
        <is>
          <t>IF(OR(E126="",AI126=""),"",IF(COUNT(Y126:AH126)=0,"",AI126-LOOKUP(2,1/(Y126:AH126&lt;&gt;""),Y126:AH126)))</t>
        </is>
      </c>
      <c r="AU126" s="36" t="inlineStr">
        <is>
          <t>IF(OR(E126="",AJ126=""),"",IF(COUNT(Y126:AI126)=0,"",AJ126-LOOKUP(2,1/(Y126:AI126&lt;&gt;""),Y126:AI126)))</t>
        </is>
      </c>
      <c r="AV126" s="39" t="inlineStr">
        <is>
          <t>IF(G126="","All_Provinces",IFERROR(VLOOKUP(G126,'07_Lookups'!$A$4:$B$20,2,FALSE),"All_Provinces"))</t>
        </is>
      </c>
      <c r="AW126" s="39" t="inlineStr">
        <is>
          <t>IF(H126="","All_Districts",IFERROR(VLOOKUP(H126,'07_Lookups'!$E$4:$F$42,2,FALSE),"All_Districts"))</t>
        </is>
      </c>
    </row>
    <row r="127" ht="18" customHeight="1">
      <c r="A127" s="31" t="inlineStr">
        <is>
          <t>IF(E127="","",ROW()-3)</t>
        </is>
      </c>
      <c r="B127" s="40" t="n"/>
      <c r="C127" s="40" t="n"/>
      <c r="D127" s="40" t="n"/>
      <c r="E127" s="40" t="n"/>
      <c r="F127" s="40" t="n"/>
      <c r="G127" s="40" t="n"/>
      <c r="H127" s="40" t="n"/>
      <c r="I127" s="40" t="n"/>
      <c r="J127" s="40" t="n"/>
      <c r="K127" s="40" t="n"/>
      <c r="L127" s="40" t="n"/>
      <c r="M127" s="40" t="n"/>
      <c r="N127" s="41" t="n"/>
      <c r="O127" s="34" t="inlineStr">
        <is>
          <t>IF(AE127="","",AE127)</t>
        </is>
      </c>
      <c r="P127" s="42" t="n"/>
      <c r="Q127" s="34" t="inlineStr">
        <is>
          <t>IF(OR(O127="",P127=""),"",EDATE(O127,P127))</t>
        </is>
      </c>
      <c r="R127" s="42" t="n"/>
      <c r="S127" s="40" t="n"/>
      <c r="T127" s="40" t="n"/>
      <c r="U127" s="31" t="inlineStr">
        <is>
          <t>IF(E127="","",IF(COUNT(Y127:AJ127)=0,IF(S127="","Not started",S127),SUBSTITUTE(LOOKUP(2,1/(Y127:AJ127&lt;&gt;""),$Y$3:$AJ$3),"Date: ","")))</t>
        </is>
      </c>
      <c r="V127" s="36" t="inlineStr">
        <is>
          <t>IF(OR(E127="",COUNT(Y127:AJ127)=0),"",TODAY()-LOOKUP(2,1/(Y127:AJ127&lt;&gt;""),Y127:AJ127))</t>
        </is>
      </c>
      <c r="W127" s="36" t="inlineStr">
        <is>
          <t>IF(OR(E127="",COUNT(Y127:AJ127)&lt;2),"",LOOKUP(2,1/(Y127:AJ127&lt;&gt;""),Y127:AJ127)-MIN(Y127:AJ127))</t>
        </is>
      </c>
      <c r="X127" s="36" t="inlineStr">
        <is>
          <t>IF(OR(V127="",U127="Not started",U127=""),"",IFERROR(V127-IF(VLOOKUP(U127,'04_Status_Pipeline'!$B$3:$E$20,4,FALSE)="",0,VLOOKUP(U127,'04_Status_Pipeline'!$B$3:$E$20,4,FALSE)),""))</t>
        </is>
      </c>
      <c r="Y127" s="43" t="n"/>
      <c r="Z127" s="43" t="n"/>
      <c r="AA127" s="43" t="n"/>
      <c r="AB127" s="43" t="n"/>
      <c r="AC127" s="43" t="n"/>
      <c r="AD127" s="43" t="n"/>
      <c r="AE127" s="43" t="n"/>
      <c r="AF127" s="43" t="n"/>
      <c r="AG127" s="43" t="n"/>
      <c r="AH127" s="38" t="n"/>
      <c r="AI127" s="38" t="n"/>
      <c r="AJ127" s="38" t="n"/>
      <c r="AK127" s="36" t="inlineStr">
        <is>
          <t>IF(OR(E127="",Z127=""),"",IF(COUNT(Y127:Y127)=0,"",Z127-LOOKUP(2,1/(Y127:Y127&lt;&gt;""),Y127:Y127)))</t>
        </is>
      </c>
      <c r="AL127" s="36" t="inlineStr">
        <is>
          <t>IF(OR(E127="",AA127=""),"",IF(COUNT(Y127:Z127)=0,"",AA127-LOOKUP(2,1/(Y127:Z127&lt;&gt;""),Y127:Z127)))</t>
        </is>
      </c>
      <c r="AM127" s="36" t="inlineStr">
        <is>
          <t>IF(OR(E127="",AB127=""),"",IF(COUNT(Y127:AA127)=0,"",AB127-LOOKUP(2,1/(Y127:AA127&lt;&gt;""),Y127:AA127)))</t>
        </is>
      </c>
      <c r="AN127" s="36" t="inlineStr">
        <is>
          <t>IF(OR(E127="",AC127=""),"",IF(COUNT(Y127:AB127)=0,"",AC127-LOOKUP(2,1/(Y127:AB127&lt;&gt;""),Y127:AB127)))</t>
        </is>
      </c>
      <c r="AO127" s="36" t="inlineStr">
        <is>
          <t>IF(OR(E127="",AD127=""),"",IF(COUNT(Y127:AC127)=0,"",AD127-LOOKUP(2,1/(Y127:AC127&lt;&gt;""),Y127:AC127)))</t>
        </is>
      </c>
      <c r="AP127" s="36" t="inlineStr">
        <is>
          <t>IF(OR(E127="",AE127=""),"",IF(COUNT(Y127:AD127)=0,"",AE127-LOOKUP(2,1/(Y127:AD127&lt;&gt;""),Y127:AD127)))</t>
        </is>
      </c>
      <c r="AQ127" s="36" t="inlineStr">
        <is>
          <t>IF(OR(E127="",AF127=""),"",IF(COUNT(Y127:AE127)=0,"",AF127-LOOKUP(2,1/(Y127:AE127&lt;&gt;""),Y127:AE127)))</t>
        </is>
      </c>
      <c r="AR127" s="36" t="inlineStr">
        <is>
          <t>IF(OR(E127="",AG127=""),"",IF(COUNT(Y127:AF127)=0,"",AG127-LOOKUP(2,1/(Y127:AF127&lt;&gt;""),Y127:AF127)))</t>
        </is>
      </c>
      <c r="AS127" s="36" t="inlineStr">
        <is>
          <t>IF(OR(E127="",AH127=""),"",IF(COUNT(Y127:AG127)=0,"",AH127-LOOKUP(2,1/(Y127:AG127&lt;&gt;""),Y127:AG127)))</t>
        </is>
      </c>
      <c r="AT127" s="36" t="inlineStr">
        <is>
          <t>IF(OR(E127="",AI127=""),"",IF(COUNT(Y127:AH127)=0,"",AI127-LOOKUP(2,1/(Y127:AH127&lt;&gt;""),Y127:AH127)))</t>
        </is>
      </c>
      <c r="AU127" s="36" t="inlineStr">
        <is>
          <t>IF(OR(E127="",AJ127=""),"",IF(COUNT(Y127:AI127)=0,"",AJ127-LOOKUP(2,1/(Y127:AI127&lt;&gt;""),Y127:AI127)))</t>
        </is>
      </c>
      <c r="AV127" s="39" t="inlineStr">
        <is>
          <t>IF(G127="","All_Provinces",IFERROR(VLOOKUP(G127,'07_Lookups'!$A$4:$B$20,2,FALSE),"All_Provinces"))</t>
        </is>
      </c>
      <c r="AW127" s="39" t="inlineStr">
        <is>
          <t>IF(H127="","All_Districts",IFERROR(VLOOKUP(H127,'07_Lookups'!$E$4:$F$42,2,FALSE),"All_Districts"))</t>
        </is>
      </c>
    </row>
    <row r="128" ht="18" customHeight="1">
      <c r="A128" s="31" t="inlineStr">
        <is>
          <t>IF(E128="","",ROW()-3)</t>
        </is>
      </c>
      <c r="B128" s="32" t="n"/>
      <c r="C128" s="32" t="n"/>
      <c r="D128" s="32" t="n"/>
      <c r="E128" s="32" t="n"/>
      <c r="F128" s="32" t="n"/>
      <c r="G128" s="32" t="n"/>
      <c r="H128" s="32" t="n"/>
      <c r="I128" s="32" t="n"/>
      <c r="J128" s="32" t="n"/>
      <c r="K128" s="32" t="n"/>
      <c r="L128" s="32" t="n"/>
      <c r="M128" s="32" t="n"/>
      <c r="N128" s="33" t="n"/>
      <c r="O128" s="34" t="inlineStr">
        <is>
          <t>IF(AE128="","",AE128)</t>
        </is>
      </c>
      <c r="P128" s="35" t="n"/>
      <c r="Q128" s="34" t="inlineStr">
        <is>
          <t>IF(OR(O128="",P128=""),"",EDATE(O128,P128))</t>
        </is>
      </c>
      <c r="R128" s="35" t="n"/>
      <c r="S128" s="32" t="n"/>
      <c r="T128" s="32" t="n"/>
      <c r="U128" s="31" t="inlineStr">
        <is>
          <t>IF(E128="","",IF(COUNT(Y128:AJ128)=0,IF(S128="","Not started",S128),SUBSTITUTE(LOOKUP(2,1/(Y128:AJ128&lt;&gt;""),$Y$3:$AJ$3),"Date: ","")))</t>
        </is>
      </c>
      <c r="V128" s="36" t="inlineStr">
        <is>
          <t>IF(OR(E128="",COUNT(Y128:AJ128)=0),"",TODAY()-LOOKUP(2,1/(Y128:AJ128&lt;&gt;""),Y128:AJ128))</t>
        </is>
      </c>
      <c r="W128" s="36" t="inlineStr">
        <is>
          <t>IF(OR(E128="",COUNT(Y128:AJ128)&lt;2),"",LOOKUP(2,1/(Y128:AJ128&lt;&gt;""),Y128:AJ128)-MIN(Y128:AJ128))</t>
        </is>
      </c>
      <c r="X128" s="36" t="inlineStr">
        <is>
          <t>IF(OR(V128="",U128="Not started",U128=""),"",IFERROR(V128-IF(VLOOKUP(U128,'04_Status_Pipeline'!$B$3:$E$20,4,FALSE)="",0,VLOOKUP(U128,'04_Status_Pipeline'!$B$3:$E$20,4,FALSE)),""))</t>
        </is>
      </c>
      <c r="Y128" s="37" t="n"/>
      <c r="Z128" s="37" t="n"/>
      <c r="AA128" s="37" t="n"/>
      <c r="AB128" s="37" t="n"/>
      <c r="AC128" s="37" t="n"/>
      <c r="AD128" s="37" t="n"/>
      <c r="AE128" s="37" t="n"/>
      <c r="AF128" s="37" t="n"/>
      <c r="AG128" s="37" t="n"/>
      <c r="AH128" s="38" t="n"/>
      <c r="AI128" s="38" t="n"/>
      <c r="AJ128" s="38" t="n"/>
      <c r="AK128" s="36" t="inlineStr">
        <is>
          <t>IF(OR(E128="",Z128=""),"",IF(COUNT(Y128:Y128)=0,"",Z128-LOOKUP(2,1/(Y128:Y128&lt;&gt;""),Y128:Y128)))</t>
        </is>
      </c>
      <c r="AL128" s="36" t="inlineStr">
        <is>
          <t>IF(OR(E128="",AA128=""),"",IF(COUNT(Y128:Z128)=0,"",AA128-LOOKUP(2,1/(Y128:Z128&lt;&gt;""),Y128:Z128)))</t>
        </is>
      </c>
      <c r="AM128" s="36" t="inlineStr">
        <is>
          <t>IF(OR(E128="",AB128=""),"",IF(COUNT(Y128:AA128)=0,"",AB128-LOOKUP(2,1/(Y128:AA128&lt;&gt;""),Y128:AA128)))</t>
        </is>
      </c>
      <c r="AN128" s="36" t="inlineStr">
        <is>
          <t>IF(OR(E128="",AC128=""),"",IF(COUNT(Y128:AB128)=0,"",AC128-LOOKUP(2,1/(Y128:AB128&lt;&gt;""),Y128:AB128)))</t>
        </is>
      </c>
      <c r="AO128" s="36" t="inlineStr">
        <is>
          <t>IF(OR(E128="",AD128=""),"",IF(COUNT(Y128:AC128)=0,"",AD128-LOOKUP(2,1/(Y128:AC128&lt;&gt;""),Y128:AC128)))</t>
        </is>
      </c>
      <c r="AP128" s="36" t="inlineStr">
        <is>
          <t>IF(OR(E128="",AE128=""),"",IF(COUNT(Y128:AD128)=0,"",AE128-LOOKUP(2,1/(Y128:AD128&lt;&gt;""),Y128:AD128)))</t>
        </is>
      </c>
      <c r="AQ128" s="36" t="inlineStr">
        <is>
          <t>IF(OR(E128="",AF128=""),"",IF(COUNT(Y128:AE128)=0,"",AF128-LOOKUP(2,1/(Y128:AE128&lt;&gt;""),Y128:AE128)))</t>
        </is>
      </c>
      <c r="AR128" s="36" t="inlineStr">
        <is>
          <t>IF(OR(E128="",AG128=""),"",IF(COUNT(Y128:AF128)=0,"",AG128-LOOKUP(2,1/(Y128:AF128&lt;&gt;""),Y128:AF128)))</t>
        </is>
      </c>
      <c r="AS128" s="36" t="inlineStr">
        <is>
          <t>IF(OR(E128="",AH128=""),"",IF(COUNT(Y128:AG128)=0,"",AH128-LOOKUP(2,1/(Y128:AG128&lt;&gt;""),Y128:AG128)))</t>
        </is>
      </c>
      <c r="AT128" s="36" t="inlineStr">
        <is>
          <t>IF(OR(E128="",AI128=""),"",IF(COUNT(Y128:AH128)=0,"",AI128-LOOKUP(2,1/(Y128:AH128&lt;&gt;""),Y128:AH128)))</t>
        </is>
      </c>
      <c r="AU128" s="36" t="inlineStr">
        <is>
          <t>IF(OR(E128="",AJ128=""),"",IF(COUNT(Y128:AI128)=0,"",AJ128-LOOKUP(2,1/(Y128:AI128&lt;&gt;""),Y128:AI128)))</t>
        </is>
      </c>
      <c r="AV128" s="39" t="inlineStr">
        <is>
          <t>IF(G128="","All_Provinces",IFERROR(VLOOKUP(G128,'07_Lookups'!$A$4:$B$20,2,FALSE),"All_Provinces"))</t>
        </is>
      </c>
      <c r="AW128" s="39" t="inlineStr">
        <is>
          <t>IF(H128="","All_Districts",IFERROR(VLOOKUP(H128,'07_Lookups'!$E$4:$F$42,2,FALSE),"All_Districts"))</t>
        </is>
      </c>
    </row>
    <row r="129" ht="18" customHeight="1">
      <c r="A129" s="31" t="inlineStr">
        <is>
          <t>IF(E129="","",ROW()-3)</t>
        </is>
      </c>
      <c r="B129" s="40" t="n"/>
      <c r="C129" s="40" t="n"/>
      <c r="D129" s="40" t="n"/>
      <c r="E129" s="40" t="n"/>
      <c r="F129" s="40" t="n"/>
      <c r="G129" s="40" t="n"/>
      <c r="H129" s="40" t="n"/>
      <c r="I129" s="40" t="n"/>
      <c r="J129" s="40" t="n"/>
      <c r="K129" s="40" t="n"/>
      <c r="L129" s="40" t="n"/>
      <c r="M129" s="40" t="n"/>
      <c r="N129" s="41" t="n"/>
      <c r="O129" s="34" t="inlineStr">
        <is>
          <t>IF(AE129="","",AE129)</t>
        </is>
      </c>
      <c r="P129" s="42" t="n"/>
      <c r="Q129" s="34" t="inlineStr">
        <is>
          <t>IF(OR(O129="",P129=""),"",EDATE(O129,P129))</t>
        </is>
      </c>
      <c r="R129" s="42" t="n"/>
      <c r="S129" s="40" t="n"/>
      <c r="T129" s="40" t="n"/>
      <c r="U129" s="31" t="inlineStr">
        <is>
          <t>IF(E129="","",IF(COUNT(Y129:AJ129)=0,IF(S129="","Not started",S129),SUBSTITUTE(LOOKUP(2,1/(Y129:AJ129&lt;&gt;""),$Y$3:$AJ$3),"Date: ","")))</t>
        </is>
      </c>
      <c r="V129" s="36" t="inlineStr">
        <is>
          <t>IF(OR(E129="",COUNT(Y129:AJ129)=0),"",TODAY()-LOOKUP(2,1/(Y129:AJ129&lt;&gt;""),Y129:AJ129))</t>
        </is>
      </c>
      <c r="W129" s="36" t="inlineStr">
        <is>
          <t>IF(OR(E129="",COUNT(Y129:AJ129)&lt;2),"",LOOKUP(2,1/(Y129:AJ129&lt;&gt;""),Y129:AJ129)-MIN(Y129:AJ129))</t>
        </is>
      </c>
      <c r="X129" s="36" t="inlineStr">
        <is>
          <t>IF(OR(V129="",U129="Not started",U129=""),"",IFERROR(V129-IF(VLOOKUP(U129,'04_Status_Pipeline'!$B$3:$E$20,4,FALSE)="",0,VLOOKUP(U129,'04_Status_Pipeline'!$B$3:$E$20,4,FALSE)),""))</t>
        </is>
      </c>
      <c r="Y129" s="43" t="n"/>
      <c r="Z129" s="43" t="n"/>
      <c r="AA129" s="43" t="n"/>
      <c r="AB129" s="43" t="n"/>
      <c r="AC129" s="43" t="n"/>
      <c r="AD129" s="43" t="n"/>
      <c r="AE129" s="43" t="n"/>
      <c r="AF129" s="43" t="n"/>
      <c r="AG129" s="43" t="n"/>
      <c r="AH129" s="38" t="n"/>
      <c r="AI129" s="38" t="n"/>
      <c r="AJ129" s="38" t="n"/>
      <c r="AK129" s="36" t="inlineStr">
        <is>
          <t>IF(OR(E129="",Z129=""),"",IF(COUNT(Y129:Y129)=0,"",Z129-LOOKUP(2,1/(Y129:Y129&lt;&gt;""),Y129:Y129)))</t>
        </is>
      </c>
      <c r="AL129" s="36" t="inlineStr">
        <is>
          <t>IF(OR(E129="",AA129=""),"",IF(COUNT(Y129:Z129)=0,"",AA129-LOOKUP(2,1/(Y129:Z129&lt;&gt;""),Y129:Z129)))</t>
        </is>
      </c>
      <c r="AM129" s="36" t="inlineStr">
        <is>
          <t>IF(OR(E129="",AB129=""),"",IF(COUNT(Y129:AA129)=0,"",AB129-LOOKUP(2,1/(Y129:AA129&lt;&gt;""),Y129:AA129)))</t>
        </is>
      </c>
      <c r="AN129" s="36" t="inlineStr">
        <is>
          <t>IF(OR(E129="",AC129=""),"",IF(COUNT(Y129:AB129)=0,"",AC129-LOOKUP(2,1/(Y129:AB129&lt;&gt;""),Y129:AB129)))</t>
        </is>
      </c>
      <c r="AO129" s="36" t="inlineStr">
        <is>
          <t>IF(OR(E129="",AD129=""),"",IF(COUNT(Y129:AC129)=0,"",AD129-LOOKUP(2,1/(Y129:AC129&lt;&gt;""),Y129:AC129)))</t>
        </is>
      </c>
      <c r="AP129" s="36" t="inlineStr">
        <is>
          <t>IF(OR(E129="",AE129=""),"",IF(COUNT(Y129:AD129)=0,"",AE129-LOOKUP(2,1/(Y129:AD129&lt;&gt;""),Y129:AD129)))</t>
        </is>
      </c>
      <c r="AQ129" s="36" t="inlineStr">
        <is>
          <t>IF(OR(E129="",AF129=""),"",IF(COUNT(Y129:AE129)=0,"",AF129-LOOKUP(2,1/(Y129:AE129&lt;&gt;""),Y129:AE129)))</t>
        </is>
      </c>
      <c r="AR129" s="36" t="inlineStr">
        <is>
          <t>IF(OR(E129="",AG129=""),"",IF(COUNT(Y129:AF129)=0,"",AG129-LOOKUP(2,1/(Y129:AF129&lt;&gt;""),Y129:AF129)))</t>
        </is>
      </c>
      <c r="AS129" s="36" t="inlineStr">
        <is>
          <t>IF(OR(E129="",AH129=""),"",IF(COUNT(Y129:AG129)=0,"",AH129-LOOKUP(2,1/(Y129:AG129&lt;&gt;""),Y129:AG129)))</t>
        </is>
      </c>
      <c r="AT129" s="36" t="inlineStr">
        <is>
          <t>IF(OR(E129="",AI129=""),"",IF(COUNT(Y129:AH129)=0,"",AI129-LOOKUP(2,1/(Y129:AH129&lt;&gt;""),Y129:AH129)))</t>
        </is>
      </c>
      <c r="AU129" s="36" t="inlineStr">
        <is>
          <t>IF(OR(E129="",AJ129=""),"",IF(COUNT(Y129:AI129)=0,"",AJ129-LOOKUP(2,1/(Y129:AI129&lt;&gt;""),Y129:AI129)))</t>
        </is>
      </c>
      <c r="AV129" s="39" t="inlineStr">
        <is>
          <t>IF(G129="","All_Provinces",IFERROR(VLOOKUP(G129,'07_Lookups'!$A$4:$B$20,2,FALSE),"All_Provinces"))</t>
        </is>
      </c>
      <c r="AW129" s="39" t="inlineStr">
        <is>
          <t>IF(H129="","All_Districts",IFERROR(VLOOKUP(H129,'07_Lookups'!$E$4:$F$42,2,FALSE),"All_Districts"))</t>
        </is>
      </c>
    </row>
    <row r="130" ht="18" customHeight="1">
      <c r="A130" s="31" t="inlineStr">
        <is>
          <t>IF(E130="","",ROW()-3)</t>
        </is>
      </c>
      <c r="B130" s="32" t="n"/>
      <c r="C130" s="32" t="n"/>
      <c r="D130" s="32" t="n"/>
      <c r="E130" s="32" t="n"/>
      <c r="F130" s="32" t="n"/>
      <c r="G130" s="32" t="n"/>
      <c r="H130" s="32" t="n"/>
      <c r="I130" s="32" t="n"/>
      <c r="J130" s="32" t="n"/>
      <c r="K130" s="32" t="n"/>
      <c r="L130" s="32" t="n"/>
      <c r="M130" s="32" t="n"/>
      <c r="N130" s="33" t="n"/>
      <c r="O130" s="34" t="inlineStr">
        <is>
          <t>IF(AE130="","",AE130)</t>
        </is>
      </c>
      <c r="P130" s="35" t="n"/>
      <c r="Q130" s="34" t="inlineStr">
        <is>
          <t>IF(OR(O130="",P130=""),"",EDATE(O130,P130))</t>
        </is>
      </c>
      <c r="R130" s="35" t="n"/>
      <c r="S130" s="32" t="n"/>
      <c r="T130" s="32" t="n"/>
      <c r="U130" s="31" t="inlineStr">
        <is>
          <t>IF(E130="","",IF(COUNT(Y130:AJ130)=0,IF(S130="","Not started",S130),SUBSTITUTE(LOOKUP(2,1/(Y130:AJ130&lt;&gt;""),$Y$3:$AJ$3),"Date: ","")))</t>
        </is>
      </c>
      <c r="V130" s="36" t="inlineStr">
        <is>
          <t>IF(OR(E130="",COUNT(Y130:AJ130)=0),"",TODAY()-LOOKUP(2,1/(Y130:AJ130&lt;&gt;""),Y130:AJ130))</t>
        </is>
      </c>
      <c r="W130" s="36" t="inlineStr">
        <is>
          <t>IF(OR(E130="",COUNT(Y130:AJ130)&lt;2),"",LOOKUP(2,1/(Y130:AJ130&lt;&gt;""),Y130:AJ130)-MIN(Y130:AJ130))</t>
        </is>
      </c>
      <c r="X130" s="36" t="inlineStr">
        <is>
          <t>IF(OR(V130="",U130="Not started",U130=""),"",IFERROR(V130-IF(VLOOKUP(U130,'04_Status_Pipeline'!$B$3:$E$20,4,FALSE)="",0,VLOOKUP(U130,'04_Status_Pipeline'!$B$3:$E$20,4,FALSE)),""))</t>
        </is>
      </c>
      <c r="Y130" s="37" t="n"/>
      <c r="Z130" s="37" t="n"/>
      <c r="AA130" s="37" t="n"/>
      <c r="AB130" s="37" t="n"/>
      <c r="AC130" s="37" t="n"/>
      <c r="AD130" s="37" t="n"/>
      <c r="AE130" s="37" t="n"/>
      <c r="AF130" s="37" t="n"/>
      <c r="AG130" s="37" t="n"/>
      <c r="AH130" s="38" t="n"/>
      <c r="AI130" s="38" t="n"/>
      <c r="AJ130" s="38" t="n"/>
      <c r="AK130" s="36" t="inlineStr">
        <is>
          <t>IF(OR(E130="",Z130=""),"",IF(COUNT(Y130:Y130)=0,"",Z130-LOOKUP(2,1/(Y130:Y130&lt;&gt;""),Y130:Y130)))</t>
        </is>
      </c>
      <c r="AL130" s="36" t="inlineStr">
        <is>
          <t>IF(OR(E130="",AA130=""),"",IF(COUNT(Y130:Z130)=0,"",AA130-LOOKUP(2,1/(Y130:Z130&lt;&gt;""),Y130:Z130)))</t>
        </is>
      </c>
      <c r="AM130" s="36" t="inlineStr">
        <is>
          <t>IF(OR(E130="",AB130=""),"",IF(COUNT(Y130:AA130)=0,"",AB130-LOOKUP(2,1/(Y130:AA130&lt;&gt;""),Y130:AA130)))</t>
        </is>
      </c>
      <c r="AN130" s="36" t="inlineStr">
        <is>
          <t>IF(OR(E130="",AC130=""),"",IF(COUNT(Y130:AB130)=0,"",AC130-LOOKUP(2,1/(Y130:AB130&lt;&gt;""),Y130:AB130)))</t>
        </is>
      </c>
      <c r="AO130" s="36" t="inlineStr">
        <is>
          <t>IF(OR(E130="",AD130=""),"",IF(COUNT(Y130:AC130)=0,"",AD130-LOOKUP(2,1/(Y130:AC130&lt;&gt;""),Y130:AC130)))</t>
        </is>
      </c>
      <c r="AP130" s="36" t="inlineStr">
        <is>
          <t>IF(OR(E130="",AE130=""),"",IF(COUNT(Y130:AD130)=0,"",AE130-LOOKUP(2,1/(Y130:AD130&lt;&gt;""),Y130:AD130)))</t>
        </is>
      </c>
      <c r="AQ130" s="36" t="inlineStr">
        <is>
          <t>IF(OR(E130="",AF130=""),"",IF(COUNT(Y130:AE130)=0,"",AF130-LOOKUP(2,1/(Y130:AE130&lt;&gt;""),Y130:AE130)))</t>
        </is>
      </c>
      <c r="AR130" s="36" t="inlineStr">
        <is>
          <t>IF(OR(E130="",AG130=""),"",IF(COUNT(Y130:AF130)=0,"",AG130-LOOKUP(2,1/(Y130:AF130&lt;&gt;""),Y130:AF130)))</t>
        </is>
      </c>
      <c r="AS130" s="36" t="inlineStr">
        <is>
          <t>IF(OR(E130="",AH130=""),"",IF(COUNT(Y130:AG130)=0,"",AH130-LOOKUP(2,1/(Y130:AG130&lt;&gt;""),Y130:AG130)))</t>
        </is>
      </c>
      <c r="AT130" s="36" t="inlineStr">
        <is>
          <t>IF(OR(E130="",AI130=""),"",IF(COUNT(Y130:AH130)=0,"",AI130-LOOKUP(2,1/(Y130:AH130&lt;&gt;""),Y130:AH130)))</t>
        </is>
      </c>
      <c r="AU130" s="36" t="inlineStr">
        <is>
          <t>IF(OR(E130="",AJ130=""),"",IF(COUNT(Y130:AI130)=0,"",AJ130-LOOKUP(2,1/(Y130:AI130&lt;&gt;""),Y130:AI130)))</t>
        </is>
      </c>
      <c r="AV130" s="39" t="inlineStr">
        <is>
          <t>IF(G130="","All_Provinces",IFERROR(VLOOKUP(G130,'07_Lookups'!$A$4:$B$20,2,FALSE),"All_Provinces"))</t>
        </is>
      </c>
      <c r="AW130" s="39" t="inlineStr">
        <is>
          <t>IF(H130="","All_Districts",IFERROR(VLOOKUP(H130,'07_Lookups'!$E$4:$F$42,2,FALSE),"All_Districts"))</t>
        </is>
      </c>
    </row>
    <row r="131" ht="18" customHeight="1">
      <c r="A131" s="31" t="inlineStr">
        <is>
          <t>IF(E131="","",ROW()-3)</t>
        </is>
      </c>
      <c r="B131" s="40" t="n"/>
      <c r="C131" s="40" t="n"/>
      <c r="D131" s="40" t="n"/>
      <c r="E131" s="40" t="n"/>
      <c r="F131" s="40" t="n"/>
      <c r="G131" s="40" t="n"/>
      <c r="H131" s="40" t="n"/>
      <c r="I131" s="40" t="n"/>
      <c r="J131" s="40" t="n"/>
      <c r="K131" s="40" t="n"/>
      <c r="L131" s="40" t="n"/>
      <c r="M131" s="40" t="n"/>
      <c r="N131" s="41" t="n"/>
      <c r="O131" s="34" t="inlineStr">
        <is>
          <t>IF(AE131="","",AE131)</t>
        </is>
      </c>
      <c r="P131" s="42" t="n"/>
      <c r="Q131" s="34" t="inlineStr">
        <is>
          <t>IF(OR(O131="",P131=""),"",EDATE(O131,P131))</t>
        </is>
      </c>
      <c r="R131" s="42" t="n"/>
      <c r="S131" s="40" t="n"/>
      <c r="T131" s="40" t="n"/>
      <c r="U131" s="31" t="inlineStr">
        <is>
          <t>IF(E131="","",IF(COUNT(Y131:AJ131)=0,IF(S131="","Not started",S131),SUBSTITUTE(LOOKUP(2,1/(Y131:AJ131&lt;&gt;""),$Y$3:$AJ$3),"Date: ","")))</t>
        </is>
      </c>
      <c r="V131" s="36" t="inlineStr">
        <is>
          <t>IF(OR(E131="",COUNT(Y131:AJ131)=0),"",TODAY()-LOOKUP(2,1/(Y131:AJ131&lt;&gt;""),Y131:AJ131))</t>
        </is>
      </c>
      <c r="W131" s="36" t="inlineStr">
        <is>
          <t>IF(OR(E131="",COUNT(Y131:AJ131)&lt;2),"",LOOKUP(2,1/(Y131:AJ131&lt;&gt;""),Y131:AJ131)-MIN(Y131:AJ131))</t>
        </is>
      </c>
      <c r="X131" s="36" t="inlineStr">
        <is>
          <t>IF(OR(V131="",U131="Not started",U131=""),"",IFERROR(V131-IF(VLOOKUP(U131,'04_Status_Pipeline'!$B$3:$E$20,4,FALSE)="",0,VLOOKUP(U131,'04_Status_Pipeline'!$B$3:$E$20,4,FALSE)),""))</t>
        </is>
      </c>
      <c r="Y131" s="43" t="n"/>
      <c r="Z131" s="43" t="n"/>
      <c r="AA131" s="43" t="n"/>
      <c r="AB131" s="43" t="n"/>
      <c r="AC131" s="43" t="n"/>
      <c r="AD131" s="43" t="n"/>
      <c r="AE131" s="43" t="n"/>
      <c r="AF131" s="43" t="n"/>
      <c r="AG131" s="43" t="n"/>
      <c r="AH131" s="38" t="n"/>
      <c r="AI131" s="38" t="n"/>
      <c r="AJ131" s="38" t="n"/>
      <c r="AK131" s="36" t="inlineStr">
        <is>
          <t>IF(OR(E131="",Z131=""),"",IF(COUNT(Y131:Y131)=0,"",Z131-LOOKUP(2,1/(Y131:Y131&lt;&gt;""),Y131:Y131)))</t>
        </is>
      </c>
      <c r="AL131" s="36" t="inlineStr">
        <is>
          <t>IF(OR(E131="",AA131=""),"",IF(COUNT(Y131:Z131)=0,"",AA131-LOOKUP(2,1/(Y131:Z131&lt;&gt;""),Y131:Z131)))</t>
        </is>
      </c>
      <c r="AM131" s="36" t="inlineStr">
        <is>
          <t>IF(OR(E131="",AB131=""),"",IF(COUNT(Y131:AA131)=0,"",AB131-LOOKUP(2,1/(Y131:AA131&lt;&gt;""),Y131:AA131)))</t>
        </is>
      </c>
      <c r="AN131" s="36" t="inlineStr">
        <is>
          <t>IF(OR(E131="",AC131=""),"",IF(COUNT(Y131:AB131)=0,"",AC131-LOOKUP(2,1/(Y131:AB131&lt;&gt;""),Y131:AB131)))</t>
        </is>
      </c>
      <c r="AO131" s="36" t="inlineStr">
        <is>
          <t>IF(OR(E131="",AD131=""),"",IF(COUNT(Y131:AC131)=0,"",AD131-LOOKUP(2,1/(Y131:AC131&lt;&gt;""),Y131:AC131)))</t>
        </is>
      </c>
      <c r="AP131" s="36" t="inlineStr">
        <is>
          <t>IF(OR(E131="",AE131=""),"",IF(COUNT(Y131:AD131)=0,"",AE131-LOOKUP(2,1/(Y131:AD131&lt;&gt;""),Y131:AD131)))</t>
        </is>
      </c>
      <c r="AQ131" s="36" t="inlineStr">
        <is>
          <t>IF(OR(E131="",AF131=""),"",IF(COUNT(Y131:AE131)=0,"",AF131-LOOKUP(2,1/(Y131:AE131&lt;&gt;""),Y131:AE131)))</t>
        </is>
      </c>
      <c r="AR131" s="36" t="inlineStr">
        <is>
          <t>IF(OR(E131="",AG131=""),"",IF(COUNT(Y131:AF131)=0,"",AG131-LOOKUP(2,1/(Y131:AF131&lt;&gt;""),Y131:AF131)))</t>
        </is>
      </c>
      <c r="AS131" s="36" t="inlineStr">
        <is>
          <t>IF(OR(E131="",AH131=""),"",IF(COUNT(Y131:AG131)=0,"",AH131-LOOKUP(2,1/(Y131:AG131&lt;&gt;""),Y131:AG131)))</t>
        </is>
      </c>
      <c r="AT131" s="36" t="inlineStr">
        <is>
          <t>IF(OR(E131="",AI131=""),"",IF(COUNT(Y131:AH131)=0,"",AI131-LOOKUP(2,1/(Y131:AH131&lt;&gt;""),Y131:AH131)))</t>
        </is>
      </c>
      <c r="AU131" s="36" t="inlineStr">
        <is>
          <t>IF(OR(E131="",AJ131=""),"",IF(COUNT(Y131:AI131)=0,"",AJ131-LOOKUP(2,1/(Y131:AI131&lt;&gt;""),Y131:AI131)))</t>
        </is>
      </c>
      <c r="AV131" s="39" t="inlineStr">
        <is>
          <t>IF(G131="","All_Provinces",IFERROR(VLOOKUP(G131,'07_Lookups'!$A$4:$B$20,2,FALSE),"All_Provinces"))</t>
        </is>
      </c>
      <c r="AW131" s="39" t="inlineStr">
        <is>
          <t>IF(H131="","All_Districts",IFERROR(VLOOKUP(H131,'07_Lookups'!$E$4:$F$42,2,FALSE),"All_Districts"))</t>
        </is>
      </c>
    </row>
    <row r="132" ht="18" customHeight="1">
      <c r="A132" s="31" t="inlineStr">
        <is>
          <t>IF(E132="","",ROW()-3)</t>
        </is>
      </c>
      <c r="B132" s="32" t="n"/>
      <c r="C132" s="32" t="n"/>
      <c r="D132" s="32" t="n"/>
      <c r="E132" s="32" t="n"/>
      <c r="F132" s="32" t="n"/>
      <c r="G132" s="32" t="n"/>
      <c r="H132" s="32" t="n"/>
      <c r="I132" s="32" t="n"/>
      <c r="J132" s="32" t="n"/>
      <c r="K132" s="32" t="n"/>
      <c r="L132" s="32" t="n"/>
      <c r="M132" s="32" t="n"/>
      <c r="N132" s="33" t="n"/>
      <c r="O132" s="34" t="inlineStr">
        <is>
          <t>IF(AE132="","",AE132)</t>
        </is>
      </c>
      <c r="P132" s="35" t="n"/>
      <c r="Q132" s="34" t="inlineStr">
        <is>
          <t>IF(OR(O132="",P132=""),"",EDATE(O132,P132))</t>
        </is>
      </c>
      <c r="R132" s="35" t="n"/>
      <c r="S132" s="32" t="n"/>
      <c r="T132" s="32" t="n"/>
      <c r="U132" s="31" t="inlineStr">
        <is>
          <t>IF(E132="","",IF(COUNT(Y132:AJ132)=0,IF(S132="","Not started",S132),SUBSTITUTE(LOOKUP(2,1/(Y132:AJ132&lt;&gt;""),$Y$3:$AJ$3),"Date: ","")))</t>
        </is>
      </c>
      <c r="V132" s="36" t="inlineStr">
        <is>
          <t>IF(OR(E132="",COUNT(Y132:AJ132)=0),"",TODAY()-LOOKUP(2,1/(Y132:AJ132&lt;&gt;""),Y132:AJ132))</t>
        </is>
      </c>
      <c r="W132" s="36" t="inlineStr">
        <is>
          <t>IF(OR(E132="",COUNT(Y132:AJ132)&lt;2),"",LOOKUP(2,1/(Y132:AJ132&lt;&gt;""),Y132:AJ132)-MIN(Y132:AJ132))</t>
        </is>
      </c>
      <c r="X132" s="36" t="inlineStr">
        <is>
          <t>IF(OR(V132="",U132="Not started",U132=""),"",IFERROR(V132-IF(VLOOKUP(U132,'04_Status_Pipeline'!$B$3:$E$20,4,FALSE)="",0,VLOOKUP(U132,'04_Status_Pipeline'!$B$3:$E$20,4,FALSE)),""))</t>
        </is>
      </c>
      <c r="Y132" s="37" t="n"/>
      <c r="Z132" s="37" t="n"/>
      <c r="AA132" s="37" t="n"/>
      <c r="AB132" s="37" t="n"/>
      <c r="AC132" s="37" t="n"/>
      <c r="AD132" s="37" t="n"/>
      <c r="AE132" s="37" t="n"/>
      <c r="AF132" s="37" t="n"/>
      <c r="AG132" s="37" t="n"/>
      <c r="AH132" s="38" t="n"/>
      <c r="AI132" s="38" t="n"/>
      <c r="AJ132" s="38" t="n"/>
      <c r="AK132" s="36" t="inlineStr">
        <is>
          <t>IF(OR(E132="",Z132=""),"",IF(COUNT(Y132:Y132)=0,"",Z132-LOOKUP(2,1/(Y132:Y132&lt;&gt;""),Y132:Y132)))</t>
        </is>
      </c>
      <c r="AL132" s="36" t="inlineStr">
        <is>
          <t>IF(OR(E132="",AA132=""),"",IF(COUNT(Y132:Z132)=0,"",AA132-LOOKUP(2,1/(Y132:Z132&lt;&gt;""),Y132:Z132)))</t>
        </is>
      </c>
      <c r="AM132" s="36" t="inlineStr">
        <is>
          <t>IF(OR(E132="",AB132=""),"",IF(COUNT(Y132:AA132)=0,"",AB132-LOOKUP(2,1/(Y132:AA132&lt;&gt;""),Y132:AA132)))</t>
        </is>
      </c>
      <c r="AN132" s="36" t="inlineStr">
        <is>
          <t>IF(OR(E132="",AC132=""),"",IF(COUNT(Y132:AB132)=0,"",AC132-LOOKUP(2,1/(Y132:AB132&lt;&gt;""),Y132:AB132)))</t>
        </is>
      </c>
      <c r="AO132" s="36" t="inlineStr">
        <is>
          <t>IF(OR(E132="",AD132=""),"",IF(COUNT(Y132:AC132)=0,"",AD132-LOOKUP(2,1/(Y132:AC132&lt;&gt;""),Y132:AC132)))</t>
        </is>
      </c>
      <c r="AP132" s="36" t="inlineStr">
        <is>
          <t>IF(OR(E132="",AE132=""),"",IF(COUNT(Y132:AD132)=0,"",AE132-LOOKUP(2,1/(Y132:AD132&lt;&gt;""),Y132:AD132)))</t>
        </is>
      </c>
      <c r="AQ132" s="36" t="inlineStr">
        <is>
          <t>IF(OR(E132="",AF132=""),"",IF(COUNT(Y132:AE132)=0,"",AF132-LOOKUP(2,1/(Y132:AE132&lt;&gt;""),Y132:AE132)))</t>
        </is>
      </c>
      <c r="AR132" s="36" t="inlineStr">
        <is>
          <t>IF(OR(E132="",AG132=""),"",IF(COUNT(Y132:AF132)=0,"",AG132-LOOKUP(2,1/(Y132:AF132&lt;&gt;""),Y132:AF132)))</t>
        </is>
      </c>
      <c r="AS132" s="36" t="inlineStr">
        <is>
          <t>IF(OR(E132="",AH132=""),"",IF(COUNT(Y132:AG132)=0,"",AH132-LOOKUP(2,1/(Y132:AG132&lt;&gt;""),Y132:AG132)))</t>
        </is>
      </c>
      <c r="AT132" s="36" t="inlineStr">
        <is>
          <t>IF(OR(E132="",AI132=""),"",IF(COUNT(Y132:AH132)=0,"",AI132-LOOKUP(2,1/(Y132:AH132&lt;&gt;""),Y132:AH132)))</t>
        </is>
      </c>
      <c r="AU132" s="36" t="inlineStr">
        <is>
          <t>IF(OR(E132="",AJ132=""),"",IF(COUNT(Y132:AI132)=0,"",AJ132-LOOKUP(2,1/(Y132:AI132&lt;&gt;""),Y132:AI132)))</t>
        </is>
      </c>
      <c r="AV132" s="39" t="inlineStr">
        <is>
          <t>IF(G132="","All_Provinces",IFERROR(VLOOKUP(G132,'07_Lookups'!$A$4:$B$20,2,FALSE),"All_Provinces"))</t>
        </is>
      </c>
      <c r="AW132" s="39" t="inlineStr">
        <is>
          <t>IF(H132="","All_Districts",IFERROR(VLOOKUP(H132,'07_Lookups'!$E$4:$F$42,2,FALSE),"All_Districts"))</t>
        </is>
      </c>
    </row>
    <row r="133" ht="18" customHeight="1">
      <c r="A133" s="31" t="inlineStr">
        <is>
          <t>IF(E133="","",ROW()-3)</t>
        </is>
      </c>
      <c r="B133" s="40" t="n"/>
      <c r="C133" s="40" t="n"/>
      <c r="D133" s="40" t="n"/>
      <c r="E133" s="40" t="n"/>
      <c r="F133" s="40" t="n"/>
      <c r="G133" s="40" t="n"/>
      <c r="H133" s="40" t="n"/>
      <c r="I133" s="40" t="n"/>
      <c r="J133" s="40" t="n"/>
      <c r="K133" s="40" t="n"/>
      <c r="L133" s="40" t="n"/>
      <c r="M133" s="40" t="n"/>
      <c r="N133" s="41" t="n"/>
      <c r="O133" s="34" t="inlineStr">
        <is>
          <t>IF(AE133="","",AE133)</t>
        </is>
      </c>
      <c r="P133" s="42" t="n"/>
      <c r="Q133" s="34" t="inlineStr">
        <is>
          <t>IF(OR(O133="",P133=""),"",EDATE(O133,P133))</t>
        </is>
      </c>
      <c r="R133" s="42" t="n"/>
      <c r="S133" s="40" t="n"/>
      <c r="T133" s="40" t="n"/>
      <c r="U133" s="31" t="inlineStr">
        <is>
          <t>IF(E133="","",IF(COUNT(Y133:AJ133)=0,IF(S133="","Not started",S133),SUBSTITUTE(LOOKUP(2,1/(Y133:AJ133&lt;&gt;""),$Y$3:$AJ$3),"Date: ","")))</t>
        </is>
      </c>
      <c r="V133" s="36" t="inlineStr">
        <is>
          <t>IF(OR(E133="",COUNT(Y133:AJ133)=0),"",TODAY()-LOOKUP(2,1/(Y133:AJ133&lt;&gt;""),Y133:AJ133))</t>
        </is>
      </c>
      <c r="W133" s="36" t="inlineStr">
        <is>
          <t>IF(OR(E133="",COUNT(Y133:AJ133)&lt;2),"",LOOKUP(2,1/(Y133:AJ133&lt;&gt;""),Y133:AJ133)-MIN(Y133:AJ133))</t>
        </is>
      </c>
      <c r="X133" s="36" t="inlineStr">
        <is>
          <t>IF(OR(V133="",U133="Not started",U133=""),"",IFERROR(V133-IF(VLOOKUP(U133,'04_Status_Pipeline'!$B$3:$E$20,4,FALSE)="",0,VLOOKUP(U133,'04_Status_Pipeline'!$B$3:$E$20,4,FALSE)),""))</t>
        </is>
      </c>
      <c r="Y133" s="43" t="n"/>
      <c r="Z133" s="43" t="n"/>
      <c r="AA133" s="43" t="n"/>
      <c r="AB133" s="43" t="n"/>
      <c r="AC133" s="43" t="n"/>
      <c r="AD133" s="43" t="n"/>
      <c r="AE133" s="43" t="n"/>
      <c r="AF133" s="43" t="n"/>
      <c r="AG133" s="43" t="n"/>
      <c r="AH133" s="38" t="n"/>
      <c r="AI133" s="38" t="n"/>
      <c r="AJ133" s="38" t="n"/>
      <c r="AK133" s="36" t="inlineStr">
        <is>
          <t>IF(OR(E133="",Z133=""),"",IF(COUNT(Y133:Y133)=0,"",Z133-LOOKUP(2,1/(Y133:Y133&lt;&gt;""),Y133:Y133)))</t>
        </is>
      </c>
      <c r="AL133" s="36" t="inlineStr">
        <is>
          <t>IF(OR(E133="",AA133=""),"",IF(COUNT(Y133:Z133)=0,"",AA133-LOOKUP(2,1/(Y133:Z133&lt;&gt;""),Y133:Z133)))</t>
        </is>
      </c>
      <c r="AM133" s="36" t="inlineStr">
        <is>
          <t>IF(OR(E133="",AB133=""),"",IF(COUNT(Y133:AA133)=0,"",AB133-LOOKUP(2,1/(Y133:AA133&lt;&gt;""),Y133:AA133)))</t>
        </is>
      </c>
      <c r="AN133" s="36" t="inlineStr">
        <is>
          <t>IF(OR(E133="",AC133=""),"",IF(COUNT(Y133:AB133)=0,"",AC133-LOOKUP(2,1/(Y133:AB133&lt;&gt;""),Y133:AB133)))</t>
        </is>
      </c>
      <c r="AO133" s="36" t="inlineStr">
        <is>
          <t>IF(OR(E133="",AD133=""),"",IF(COUNT(Y133:AC133)=0,"",AD133-LOOKUP(2,1/(Y133:AC133&lt;&gt;""),Y133:AC133)))</t>
        </is>
      </c>
      <c r="AP133" s="36" t="inlineStr">
        <is>
          <t>IF(OR(E133="",AE133=""),"",IF(COUNT(Y133:AD133)=0,"",AE133-LOOKUP(2,1/(Y133:AD133&lt;&gt;""),Y133:AD133)))</t>
        </is>
      </c>
      <c r="AQ133" s="36" t="inlineStr">
        <is>
          <t>IF(OR(E133="",AF133=""),"",IF(COUNT(Y133:AE133)=0,"",AF133-LOOKUP(2,1/(Y133:AE133&lt;&gt;""),Y133:AE133)))</t>
        </is>
      </c>
      <c r="AR133" s="36" t="inlineStr">
        <is>
          <t>IF(OR(E133="",AG133=""),"",IF(COUNT(Y133:AF133)=0,"",AG133-LOOKUP(2,1/(Y133:AF133&lt;&gt;""),Y133:AF133)))</t>
        </is>
      </c>
      <c r="AS133" s="36" t="inlineStr">
        <is>
          <t>IF(OR(E133="",AH133=""),"",IF(COUNT(Y133:AG133)=0,"",AH133-LOOKUP(2,1/(Y133:AG133&lt;&gt;""),Y133:AG133)))</t>
        </is>
      </c>
      <c r="AT133" s="36" t="inlineStr">
        <is>
          <t>IF(OR(E133="",AI133=""),"",IF(COUNT(Y133:AH133)=0,"",AI133-LOOKUP(2,1/(Y133:AH133&lt;&gt;""),Y133:AH133)))</t>
        </is>
      </c>
      <c r="AU133" s="36" t="inlineStr">
        <is>
          <t>IF(OR(E133="",AJ133=""),"",IF(COUNT(Y133:AI133)=0,"",AJ133-LOOKUP(2,1/(Y133:AI133&lt;&gt;""),Y133:AI133)))</t>
        </is>
      </c>
      <c r="AV133" s="39" t="inlineStr">
        <is>
          <t>IF(G133="","All_Provinces",IFERROR(VLOOKUP(G133,'07_Lookups'!$A$4:$B$20,2,FALSE),"All_Provinces"))</t>
        </is>
      </c>
      <c r="AW133" s="39" t="inlineStr">
        <is>
          <t>IF(H133="","All_Districts",IFERROR(VLOOKUP(H133,'07_Lookups'!$E$4:$F$42,2,FALSE),"All_Districts"))</t>
        </is>
      </c>
    </row>
    <row r="134" ht="18" customHeight="1">
      <c r="A134" s="31" t="inlineStr">
        <is>
          <t>IF(E134="","",ROW()-3)</t>
        </is>
      </c>
      <c r="B134" s="32" t="n"/>
      <c r="C134" s="32" t="n"/>
      <c r="D134" s="32" t="n"/>
      <c r="E134" s="32" t="n"/>
      <c r="F134" s="32" t="n"/>
      <c r="G134" s="32" t="n"/>
      <c r="H134" s="32" t="n"/>
      <c r="I134" s="32" t="n"/>
      <c r="J134" s="32" t="n"/>
      <c r="K134" s="32" t="n"/>
      <c r="L134" s="32" t="n"/>
      <c r="M134" s="32" t="n"/>
      <c r="N134" s="33" t="n"/>
      <c r="O134" s="34" t="inlineStr">
        <is>
          <t>IF(AE134="","",AE134)</t>
        </is>
      </c>
      <c r="P134" s="35" t="n"/>
      <c r="Q134" s="34" t="inlineStr">
        <is>
          <t>IF(OR(O134="",P134=""),"",EDATE(O134,P134))</t>
        </is>
      </c>
      <c r="R134" s="35" t="n"/>
      <c r="S134" s="32" t="n"/>
      <c r="T134" s="32" t="n"/>
      <c r="U134" s="31" t="inlineStr">
        <is>
          <t>IF(E134="","",IF(COUNT(Y134:AJ134)=0,IF(S134="","Not started",S134),SUBSTITUTE(LOOKUP(2,1/(Y134:AJ134&lt;&gt;""),$Y$3:$AJ$3),"Date: ","")))</t>
        </is>
      </c>
      <c r="V134" s="36" t="inlineStr">
        <is>
          <t>IF(OR(E134="",COUNT(Y134:AJ134)=0),"",TODAY()-LOOKUP(2,1/(Y134:AJ134&lt;&gt;""),Y134:AJ134))</t>
        </is>
      </c>
      <c r="W134" s="36" t="inlineStr">
        <is>
          <t>IF(OR(E134="",COUNT(Y134:AJ134)&lt;2),"",LOOKUP(2,1/(Y134:AJ134&lt;&gt;""),Y134:AJ134)-MIN(Y134:AJ134))</t>
        </is>
      </c>
      <c r="X134" s="36" t="inlineStr">
        <is>
          <t>IF(OR(V134="",U134="Not started",U134=""),"",IFERROR(V134-IF(VLOOKUP(U134,'04_Status_Pipeline'!$B$3:$E$20,4,FALSE)="",0,VLOOKUP(U134,'04_Status_Pipeline'!$B$3:$E$20,4,FALSE)),""))</t>
        </is>
      </c>
      <c r="Y134" s="37" t="n"/>
      <c r="Z134" s="37" t="n"/>
      <c r="AA134" s="37" t="n"/>
      <c r="AB134" s="37" t="n"/>
      <c r="AC134" s="37" t="n"/>
      <c r="AD134" s="37" t="n"/>
      <c r="AE134" s="37" t="n"/>
      <c r="AF134" s="37" t="n"/>
      <c r="AG134" s="37" t="n"/>
      <c r="AH134" s="38" t="n"/>
      <c r="AI134" s="38" t="n"/>
      <c r="AJ134" s="38" t="n"/>
      <c r="AK134" s="36" t="inlineStr">
        <is>
          <t>IF(OR(E134="",Z134=""),"",IF(COUNT(Y134:Y134)=0,"",Z134-LOOKUP(2,1/(Y134:Y134&lt;&gt;""),Y134:Y134)))</t>
        </is>
      </c>
      <c r="AL134" s="36" t="inlineStr">
        <is>
          <t>IF(OR(E134="",AA134=""),"",IF(COUNT(Y134:Z134)=0,"",AA134-LOOKUP(2,1/(Y134:Z134&lt;&gt;""),Y134:Z134)))</t>
        </is>
      </c>
      <c r="AM134" s="36" t="inlineStr">
        <is>
          <t>IF(OR(E134="",AB134=""),"",IF(COUNT(Y134:AA134)=0,"",AB134-LOOKUP(2,1/(Y134:AA134&lt;&gt;""),Y134:AA134)))</t>
        </is>
      </c>
      <c r="AN134" s="36" t="inlineStr">
        <is>
          <t>IF(OR(E134="",AC134=""),"",IF(COUNT(Y134:AB134)=0,"",AC134-LOOKUP(2,1/(Y134:AB134&lt;&gt;""),Y134:AB134)))</t>
        </is>
      </c>
      <c r="AO134" s="36" t="inlineStr">
        <is>
          <t>IF(OR(E134="",AD134=""),"",IF(COUNT(Y134:AC134)=0,"",AD134-LOOKUP(2,1/(Y134:AC134&lt;&gt;""),Y134:AC134)))</t>
        </is>
      </c>
      <c r="AP134" s="36" t="inlineStr">
        <is>
          <t>IF(OR(E134="",AE134=""),"",IF(COUNT(Y134:AD134)=0,"",AE134-LOOKUP(2,1/(Y134:AD134&lt;&gt;""),Y134:AD134)))</t>
        </is>
      </c>
      <c r="AQ134" s="36" t="inlineStr">
        <is>
          <t>IF(OR(E134="",AF134=""),"",IF(COUNT(Y134:AE134)=0,"",AF134-LOOKUP(2,1/(Y134:AE134&lt;&gt;""),Y134:AE134)))</t>
        </is>
      </c>
      <c r="AR134" s="36" t="inlineStr">
        <is>
          <t>IF(OR(E134="",AG134=""),"",IF(COUNT(Y134:AF134)=0,"",AG134-LOOKUP(2,1/(Y134:AF134&lt;&gt;""),Y134:AF134)))</t>
        </is>
      </c>
      <c r="AS134" s="36" t="inlineStr">
        <is>
          <t>IF(OR(E134="",AH134=""),"",IF(COUNT(Y134:AG134)=0,"",AH134-LOOKUP(2,1/(Y134:AG134&lt;&gt;""),Y134:AG134)))</t>
        </is>
      </c>
      <c r="AT134" s="36" t="inlineStr">
        <is>
          <t>IF(OR(E134="",AI134=""),"",IF(COUNT(Y134:AH134)=0,"",AI134-LOOKUP(2,1/(Y134:AH134&lt;&gt;""),Y134:AH134)))</t>
        </is>
      </c>
      <c r="AU134" s="36" t="inlineStr">
        <is>
          <t>IF(OR(E134="",AJ134=""),"",IF(COUNT(Y134:AI134)=0,"",AJ134-LOOKUP(2,1/(Y134:AI134&lt;&gt;""),Y134:AI134)))</t>
        </is>
      </c>
      <c r="AV134" s="39" t="inlineStr">
        <is>
          <t>IF(G134="","All_Provinces",IFERROR(VLOOKUP(G134,'07_Lookups'!$A$4:$B$20,2,FALSE),"All_Provinces"))</t>
        </is>
      </c>
      <c r="AW134" s="39" t="inlineStr">
        <is>
          <t>IF(H134="","All_Districts",IFERROR(VLOOKUP(H134,'07_Lookups'!$E$4:$F$42,2,FALSE),"All_Districts"))</t>
        </is>
      </c>
    </row>
    <row r="135" ht="18" customHeight="1">
      <c r="A135" s="31" t="inlineStr">
        <is>
          <t>IF(E135="","",ROW()-3)</t>
        </is>
      </c>
      <c r="B135" s="40" t="n"/>
      <c r="C135" s="40" t="n"/>
      <c r="D135" s="40" t="n"/>
      <c r="E135" s="40" t="n"/>
      <c r="F135" s="40" t="n"/>
      <c r="G135" s="40" t="n"/>
      <c r="H135" s="40" t="n"/>
      <c r="I135" s="40" t="n"/>
      <c r="J135" s="40" t="n"/>
      <c r="K135" s="40" t="n"/>
      <c r="L135" s="40" t="n"/>
      <c r="M135" s="40" t="n"/>
      <c r="N135" s="41" t="n"/>
      <c r="O135" s="34" t="inlineStr">
        <is>
          <t>IF(AE135="","",AE135)</t>
        </is>
      </c>
      <c r="P135" s="42" t="n"/>
      <c r="Q135" s="34" t="inlineStr">
        <is>
          <t>IF(OR(O135="",P135=""),"",EDATE(O135,P135))</t>
        </is>
      </c>
      <c r="R135" s="42" t="n"/>
      <c r="S135" s="40" t="n"/>
      <c r="T135" s="40" t="n"/>
      <c r="U135" s="31" t="inlineStr">
        <is>
          <t>IF(E135="","",IF(COUNT(Y135:AJ135)=0,IF(S135="","Not started",S135),SUBSTITUTE(LOOKUP(2,1/(Y135:AJ135&lt;&gt;""),$Y$3:$AJ$3),"Date: ","")))</t>
        </is>
      </c>
      <c r="V135" s="36" t="inlineStr">
        <is>
          <t>IF(OR(E135="",COUNT(Y135:AJ135)=0),"",TODAY()-LOOKUP(2,1/(Y135:AJ135&lt;&gt;""),Y135:AJ135))</t>
        </is>
      </c>
      <c r="W135" s="36" t="inlineStr">
        <is>
          <t>IF(OR(E135="",COUNT(Y135:AJ135)&lt;2),"",LOOKUP(2,1/(Y135:AJ135&lt;&gt;""),Y135:AJ135)-MIN(Y135:AJ135))</t>
        </is>
      </c>
      <c r="X135" s="36" t="inlineStr">
        <is>
          <t>IF(OR(V135="",U135="Not started",U135=""),"",IFERROR(V135-IF(VLOOKUP(U135,'04_Status_Pipeline'!$B$3:$E$20,4,FALSE)="",0,VLOOKUP(U135,'04_Status_Pipeline'!$B$3:$E$20,4,FALSE)),""))</t>
        </is>
      </c>
      <c r="Y135" s="43" t="n"/>
      <c r="Z135" s="43" t="n"/>
      <c r="AA135" s="43" t="n"/>
      <c r="AB135" s="43" t="n"/>
      <c r="AC135" s="43" t="n"/>
      <c r="AD135" s="43" t="n"/>
      <c r="AE135" s="43" t="n"/>
      <c r="AF135" s="43" t="n"/>
      <c r="AG135" s="43" t="n"/>
      <c r="AH135" s="38" t="n"/>
      <c r="AI135" s="38" t="n"/>
      <c r="AJ135" s="38" t="n"/>
      <c r="AK135" s="36" t="inlineStr">
        <is>
          <t>IF(OR(E135="",Z135=""),"",IF(COUNT(Y135:Y135)=0,"",Z135-LOOKUP(2,1/(Y135:Y135&lt;&gt;""),Y135:Y135)))</t>
        </is>
      </c>
      <c r="AL135" s="36" t="inlineStr">
        <is>
          <t>IF(OR(E135="",AA135=""),"",IF(COUNT(Y135:Z135)=0,"",AA135-LOOKUP(2,1/(Y135:Z135&lt;&gt;""),Y135:Z135)))</t>
        </is>
      </c>
      <c r="AM135" s="36" t="inlineStr">
        <is>
          <t>IF(OR(E135="",AB135=""),"",IF(COUNT(Y135:AA135)=0,"",AB135-LOOKUP(2,1/(Y135:AA135&lt;&gt;""),Y135:AA135)))</t>
        </is>
      </c>
      <c r="AN135" s="36" t="inlineStr">
        <is>
          <t>IF(OR(E135="",AC135=""),"",IF(COUNT(Y135:AB135)=0,"",AC135-LOOKUP(2,1/(Y135:AB135&lt;&gt;""),Y135:AB135)))</t>
        </is>
      </c>
      <c r="AO135" s="36" t="inlineStr">
        <is>
          <t>IF(OR(E135="",AD135=""),"",IF(COUNT(Y135:AC135)=0,"",AD135-LOOKUP(2,1/(Y135:AC135&lt;&gt;""),Y135:AC135)))</t>
        </is>
      </c>
      <c r="AP135" s="36" t="inlineStr">
        <is>
          <t>IF(OR(E135="",AE135=""),"",IF(COUNT(Y135:AD135)=0,"",AE135-LOOKUP(2,1/(Y135:AD135&lt;&gt;""),Y135:AD135)))</t>
        </is>
      </c>
      <c r="AQ135" s="36" t="inlineStr">
        <is>
          <t>IF(OR(E135="",AF135=""),"",IF(COUNT(Y135:AE135)=0,"",AF135-LOOKUP(2,1/(Y135:AE135&lt;&gt;""),Y135:AE135)))</t>
        </is>
      </c>
      <c r="AR135" s="36" t="inlineStr">
        <is>
          <t>IF(OR(E135="",AG135=""),"",IF(COUNT(Y135:AF135)=0,"",AG135-LOOKUP(2,1/(Y135:AF135&lt;&gt;""),Y135:AF135)))</t>
        </is>
      </c>
      <c r="AS135" s="36" t="inlineStr">
        <is>
          <t>IF(OR(E135="",AH135=""),"",IF(COUNT(Y135:AG135)=0,"",AH135-LOOKUP(2,1/(Y135:AG135&lt;&gt;""),Y135:AG135)))</t>
        </is>
      </c>
      <c r="AT135" s="36" t="inlineStr">
        <is>
          <t>IF(OR(E135="",AI135=""),"",IF(COUNT(Y135:AH135)=0,"",AI135-LOOKUP(2,1/(Y135:AH135&lt;&gt;""),Y135:AH135)))</t>
        </is>
      </c>
      <c r="AU135" s="36" t="inlineStr">
        <is>
          <t>IF(OR(E135="",AJ135=""),"",IF(COUNT(Y135:AI135)=0,"",AJ135-LOOKUP(2,1/(Y135:AI135&lt;&gt;""),Y135:AI135)))</t>
        </is>
      </c>
      <c r="AV135" s="39" t="inlineStr">
        <is>
          <t>IF(G135="","All_Provinces",IFERROR(VLOOKUP(G135,'07_Lookups'!$A$4:$B$20,2,FALSE),"All_Provinces"))</t>
        </is>
      </c>
      <c r="AW135" s="39" t="inlineStr">
        <is>
          <t>IF(H135="","All_Districts",IFERROR(VLOOKUP(H135,'07_Lookups'!$E$4:$F$42,2,FALSE),"All_Districts"))</t>
        </is>
      </c>
    </row>
    <row r="136" ht="18" customHeight="1">
      <c r="A136" s="31" t="inlineStr">
        <is>
          <t>IF(E136="","",ROW()-3)</t>
        </is>
      </c>
      <c r="B136" s="32" t="n"/>
      <c r="C136" s="32" t="n"/>
      <c r="D136" s="32" t="n"/>
      <c r="E136" s="32" t="n"/>
      <c r="F136" s="32" t="n"/>
      <c r="G136" s="32" t="n"/>
      <c r="H136" s="32" t="n"/>
      <c r="I136" s="32" t="n"/>
      <c r="J136" s="32" t="n"/>
      <c r="K136" s="32" t="n"/>
      <c r="L136" s="32" t="n"/>
      <c r="M136" s="32" t="n"/>
      <c r="N136" s="33" t="n"/>
      <c r="O136" s="34" t="inlineStr">
        <is>
          <t>IF(AE136="","",AE136)</t>
        </is>
      </c>
      <c r="P136" s="35" t="n"/>
      <c r="Q136" s="34" t="inlineStr">
        <is>
          <t>IF(OR(O136="",P136=""),"",EDATE(O136,P136))</t>
        </is>
      </c>
      <c r="R136" s="35" t="n"/>
      <c r="S136" s="32" t="n"/>
      <c r="T136" s="32" t="n"/>
      <c r="U136" s="31" t="inlineStr">
        <is>
          <t>IF(E136="","",IF(COUNT(Y136:AJ136)=0,IF(S136="","Not started",S136),SUBSTITUTE(LOOKUP(2,1/(Y136:AJ136&lt;&gt;""),$Y$3:$AJ$3),"Date: ","")))</t>
        </is>
      </c>
      <c r="V136" s="36" t="inlineStr">
        <is>
          <t>IF(OR(E136="",COUNT(Y136:AJ136)=0),"",TODAY()-LOOKUP(2,1/(Y136:AJ136&lt;&gt;""),Y136:AJ136))</t>
        </is>
      </c>
      <c r="W136" s="36" t="inlineStr">
        <is>
          <t>IF(OR(E136="",COUNT(Y136:AJ136)&lt;2),"",LOOKUP(2,1/(Y136:AJ136&lt;&gt;""),Y136:AJ136)-MIN(Y136:AJ136))</t>
        </is>
      </c>
      <c r="X136" s="36" t="inlineStr">
        <is>
          <t>IF(OR(V136="",U136="Not started",U136=""),"",IFERROR(V136-IF(VLOOKUP(U136,'04_Status_Pipeline'!$B$3:$E$20,4,FALSE)="",0,VLOOKUP(U136,'04_Status_Pipeline'!$B$3:$E$20,4,FALSE)),""))</t>
        </is>
      </c>
      <c r="Y136" s="37" t="n"/>
      <c r="Z136" s="37" t="n"/>
      <c r="AA136" s="37" t="n"/>
      <c r="AB136" s="37" t="n"/>
      <c r="AC136" s="37" t="n"/>
      <c r="AD136" s="37" t="n"/>
      <c r="AE136" s="37" t="n"/>
      <c r="AF136" s="37" t="n"/>
      <c r="AG136" s="37" t="n"/>
      <c r="AH136" s="38" t="n"/>
      <c r="AI136" s="38" t="n"/>
      <c r="AJ136" s="38" t="n"/>
      <c r="AK136" s="36" t="inlineStr">
        <is>
          <t>IF(OR(E136="",Z136=""),"",IF(COUNT(Y136:Y136)=0,"",Z136-LOOKUP(2,1/(Y136:Y136&lt;&gt;""),Y136:Y136)))</t>
        </is>
      </c>
      <c r="AL136" s="36" t="inlineStr">
        <is>
          <t>IF(OR(E136="",AA136=""),"",IF(COUNT(Y136:Z136)=0,"",AA136-LOOKUP(2,1/(Y136:Z136&lt;&gt;""),Y136:Z136)))</t>
        </is>
      </c>
      <c r="AM136" s="36" t="inlineStr">
        <is>
          <t>IF(OR(E136="",AB136=""),"",IF(COUNT(Y136:AA136)=0,"",AB136-LOOKUP(2,1/(Y136:AA136&lt;&gt;""),Y136:AA136)))</t>
        </is>
      </c>
      <c r="AN136" s="36" t="inlineStr">
        <is>
          <t>IF(OR(E136="",AC136=""),"",IF(COUNT(Y136:AB136)=0,"",AC136-LOOKUP(2,1/(Y136:AB136&lt;&gt;""),Y136:AB136)))</t>
        </is>
      </c>
      <c r="AO136" s="36" t="inlineStr">
        <is>
          <t>IF(OR(E136="",AD136=""),"",IF(COUNT(Y136:AC136)=0,"",AD136-LOOKUP(2,1/(Y136:AC136&lt;&gt;""),Y136:AC136)))</t>
        </is>
      </c>
      <c r="AP136" s="36" t="inlineStr">
        <is>
          <t>IF(OR(E136="",AE136=""),"",IF(COUNT(Y136:AD136)=0,"",AE136-LOOKUP(2,1/(Y136:AD136&lt;&gt;""),Y136:AD136)))</t>
        </is>
      </c>
      <c r="AQ136" s="36" t="inlineStr">
        <is>
          <t>IF(OR(E136="",AF136=""),"",IF(COUNT(Y136:AE136)=0,"",AF136-LOOKUP(2,1/(Y136:AE136&lt;&gt;""),Y136:AE136)))</t>
        </is>
      </c>
      <c r="AR136" s="36" t="inlineStr">
        <is>
          <t>IF(OR(E136="",AG136=""),"",IF(COUNT(Y136:AF136)=0,"",AG136-LOOKUP(2,1/(Y136:AF136&lt;&gt;""),Y136:AF136)))</t>
        </is>
      </c>
      <c r="AS136" s="36" t="inlineStr">
        <is>
          <t>IF(OR(E136="",AH136=""),"",IF(COUNT(Y136:AG136)=0,"",AH136-LOOKUP(2,1/(Y136:AG136&lt;&gt;""),Y136:AG136)))</t>
        </is>
      </c>
      <c r="AT136" s="36" t="inlineStr">
        <is>
          <t>IF(OR(E136="",AI136=""),"",IF(COUNT(Y136:AH136)=0,"",AI136-LOOKUP(2,1/(Y136:AH136&lt;&gt;""),Y136:AH136)))</t>
        </is>
      </c>
      <c r="AU136" s="36" t="inlineStr">
        <is>
          <t>IF(OR(E136="",AJ136=""),"",IF(COUNT(Y136:AI136)=0,"",AJ136-LOOKUP(2,1/(Y136:AI136&lt;&gt;""),Y136:AI136)))</t>
        </is>
      </c>
      <c r="AV136" s="39" t="inlineStr">
        <is>
          <t>IF(G136="","All_Provinces",IFERROR(VLOOKUP(G136,'07_Lookups'!$A$4:$B$20,2,FALSE),"All_Provinces"))</t>
        </is>
      </c>
      <c r="AW136" s="39" t="inlineStr">
        <is>
          <t>IF(H136="","All_Districts",IFERROR(VLOOKUP(H136,'07_Lookups'!$E$4:$F$42,2,FALSE),"All_Districts"))</t>
        </is>
      </c>
    </row>
    <row r="137" ht="18" customHeight="1">
      <c r="A137" s="31" t="inlineStr">
        <is>
          <t>IF(E137="","",ROW()-3)</t>
        </is>
      </c>
      <c r="B137" s="40" t="n"/>
      <c r="C137" s="40" t="n"/>
      <c r="D137" s="40" t="n"/>
      <c r="E137" s="40" t="n"/>
      <c r="F137" s="40" t="n"/>
      <c r="G137" s="40" t="n"/>
      <c r="H137" s="40" t="n"/>
      <c r="I137" s="40" t="n"/>
      <c r="J137" s="40" t="n"/>
      <c r="K137" s="40" t="n"/>
      <c r="L137" s="40" t="n"/>
      <c r="M137" s="40" t="n"/>
      <c r="N137" s="41" t="n"/>
      <c r="O137" s="34" t="inlineStr">
        <is>
          <t>IF(AE137="","",AE137)</t>
        </is>
      </c>
      <c r="P137" s="42" t="n"/>
      <c r="Q137" s="34" t="inlineStr">
        <is>
          <t>IF(OR(O137="",P137=""),"",EDATE(O137,P137))</t>
        </is>
      </c>
      <c r="R137" s="42" t="n"/>
      <c r="S137" s="40" t="n"/>
      <c r="T137" s="40" t="n"/>
      <c r="U137" s="31" t="inlineStr">
        <is>
          <t>IF(E137="","",IF(COUNT(Y137:AJ137)=0,IF(S137="","Not started",S137),SUBSTITUTE(LOOKUP(2,1/(Y137:AJ137&lt;&gt;""),$Y$3:$AJ$3),"Date: ","")))</t>
        </is>
      </c>
      <c r="V137" s="36" t="inlineStr">
        <is>
          <t>IF(OR(E137="",COUNT(Y137:AJ137)=0),"",TODAY()-LOOKUP(2,1/(Y137:AJ137&lt;&gt;""),Y137:AJ137))</t>
        </is>
      </c>
      <c r="W137" s="36" t="inlineStr">
        <is>
          <t>IF(OR(E137="",COUNT(Y137:AJ137)&lt;2),"",LOOKUP(2,1/(Y137:AJ137&lt;&gt;""),Y137:AJ137)-MIN(Y137:AJ137))</t>
        </is>
      </c>
      <c r="X137" s="36" t="inlineStr">
        <is>
          <t>IF(OR(V137="",U137="Not started",U137=""),"",IFERROR(V137-IF(VLOOKUP(U137,'04_Status_Pipeline'!$B$3:$E$20,4,FALSE)="",0,VLOOKUP(U137,'04_Status_Pipeline'!$B$3:$E$20,4,FALSE)),""))</t>
        </is>
      </c>
      <c r="Y137" s="43" t="n"/>
      <c r="Z137" s="43" t="n"/>
      <c r="AA137" s="43" t="n"/>
      <c r="AB137" s="43" t="n"/>
      <c r="AC137" s="43" t="n"/>
      <c r="AD137" s="43" t="n"/>
      <c r="AE137" s="43" t="n"/>
      <c r="AF137" s="43" t="n"/>
      <c r="AG137" s="43" t="n"/>
      <c r="AH137" s="38" t="n"/>
      <c r="AI137" s="38" t="n"/>
      <c r="AJ137" s="38" t="n"/>
      <c r="AK137" s="36" t="inlineStr">
        <is>
          <t>IF(OR(E137="",Z137=""),"",IF(COUNT(Y137:Y137)=0,"",Z137-LOOKUP(2,1/(Y137:Y137&lt;&gt;""),Y137:Y137)))</t>
        </is>
      </c>
      <c r="AL137" s="36" t="inlineStr">
        <is>
          <t>IF(OR(E137="",AA137=""),"",IF(COUNT(Y137:Z137)=0,"",AA137-LOOKUP(2,1/(Y137:Z137&lt;&gt;""),Y137:Z137)))</t>
        </is>
      </c>
      <c r="AM137" s="36" t="inlineStr">
        <is>
          <t>IF(OR(E137="",AB137=""),"",IF(COUNT(Y137:AA137)=0,"",AB137-LOOKUP(2,1/(Y137:AA137&lt;&gt;""),Y137:AA137)))</t>
        </is>
      </c>
      <c r="AN137" s="36" t="inlineStr">
        <is>
          <t>IF(OR(E137="",AC137=""),"",IF(COUNT(Y137:AB137)=0,"",AC137-LOOKUP(2,1/(Y137:AB137&lt;&gt;""),Y137:AB137)))</t>
        </is>
      </c>
      <c r="AO137" s="36" t="inlineStr">
        <is>
          <t>IF(OR(E137="",AD137=""),"",IF(COUNT(Y137:AC137)=0,"",AD137-LOOKUP(2,1/(Y137:AC137&lt;&gt;""),Y137:AC137)))</t>
        </is>
      </c>
      <c r="AP137" s="36" t="inlineStr">
        <is>
          <t>IF(OR(E137="",AE137=""),"",IF(COUNT(Y137:AD137)=0,"",AE137-LOOKUP(2,1/(Y137:AD137&lt;&gt;""),Y137:AD137)))</t>
        </is>
      </c>
      <c r="AQ137" s="36" t="inlineStr">
        <is>
          <t>IF(OR(E137="",AF137=""),"",IF(COUNT(Y137:AE137)=0,"",AF137-LOOKUP(2,1/(Y137:AE137&lt;&gt;""),Y137:AE137)))</t>
        </is>
      </c>
      <c r="AR137" s="36" t="inlineStr">
        <is>
          <t>IF(OR(E137="",AG137=""),"",IF(COUNT(Y137:AF137)=0,"",AG137-LOOKUP(2,1/(Y137:AF137&lt;&gt;""),Y137:AF137)))</t>
        </is>
      </c>
      <c r="AS137" s="36" t="inlineStr">
        <is>
          <t>IF(OR(E137="",AH137=""),"",IF(COUNT(Y137:AG137)=0,"",AH137-LOOKUP(2,1/(Y137:AG137&lt;&gt;""),Y137:AG137)))</t>
        </is>
      </c>
      <c r="AT137" s="36" t="inlineStr">
        <is>
          <t>IF(OR(E137="",AI137=""),"",IF(COUNT(Y137:AH137)=0,"",AI137-LOOKUP(2,1/(Y137:AH137&lt;&gt;""),Y137:AH137)))</t>
        </is>
      </c>
      <c r="AU137" s="36" t="inlineStr">
        <is>
          <t>IF(OR(E137="",AJ137=""),"",IF(COUNT(Y137:AI137)=0,"",AJ137-LOOKUP(2,1/(Y137:AI137&lt;&gt;""),Y137:AI137)))</t>
        </is>
      </c>
      <c r="AV137" s="39" t="inlineStr">
        <is>
          <t>IF(G137="","All_Provinces",IFERROR(VLOOKUP(G137,'07_Lookups'!$A$4:$B$20,2,FALSE),"All_Provinces"))</t>
        </is>
      </c>
      <c r="AW137" s="39" t="inlineStr">
        <is>
          <t>IF(H137="","All_Districts",IFERROR(VLOOKUP(H137,'07_Lookups'!$E$4:$F$42,2,FALSE),"All_Districts"))</t>
        </is>
      </c>
    </row>
    <row r="138" ht="18" customHeight="1">
      <c r="A138" s="31" t="inlineStr">
        <is>
          <t>IF(E138="","",ROW()-3)</t>
        </is>
      </c>
      <c r="B138" s="32" t="n"/>
      <c r="C138" s="32" t="n"/>
      <c r="D138" s="32" t="n"/>
      <c r="E138" s="32" t="n"/>
      <c r="F138" s="32" t="n"/>
      <c r="G138" s="32" t="n"/>
      <c r="H138" s="32" t="n"/>
      <c r="I138" s="32" t="n"/>
      <c r="J138" s="32" t="n"/>
      <c r="K138" s="32" t="n"/>
      <c r="L138" s="32" t="n"/>
      <c r="M138" s="32" t="n"/>
      <c r="N138" s="33" t="n"/>
      <c r="O138" s="34" t="inlineStr">
        <is>
          <t>IF(AE138="","",AE138)</t>
        </is>
      </c>
      <c r="P138" s="35" t="n"/>
      <c r="Q138" s="34" t="inlineStr">
        <is>
          <t>IF(OR(O138="",P138=""),"",EDATE(O138,P138))</t>
        </is>
      </c>
      <c r="R138" s="35" t="n"/>
      <c r="S138" s="32" t="n"/>
      <c r="T138" s="32" t="n"/>
      <c r="U138" s="31" t="inlineStr">
        <is>
          <t>IF(E138="","",IF(COUNT(Y138:AJ138)=0,IF(S138="","Not started",S138),SUBSTITUTE(LOOKUP(2,1/(Y138:AJ138&lt;&gt;""),$Y$3:$AJ$3),"Date: ","")))</t>
        </is>
      </c>
      <c r="V138" s="36" t="inlineStr">
        <is>
          <t>IF(OR(E138="",COUNT(Y138:AJ138)=0),"",TODAY()-LOOKUP(2,1/(Y138:AJ138&lt;&gt;""),Y138:AJ138))</t>
        </is>
      </c>
      <c r="W138" s="36" t="inlineStr">
        <is>
          <t>IF(OR(E138="",COUNT(Y138:AJ138)&lt;2),"",LOOKUP(2,1/(Y138:AJ138&lt;&gt;""),Y138:AJ138)-MIN(Y138:AJ138))</t>
        </is>
      </c>
      <c r="X138" s="36" t="inlineStr">
        <is>
          <t>IF(OR(V138="",U138="Not started",U138=""),"",IFERROR(V138-IF(VLOOKUP(U138,'04_Status_Pipeline'!$B$3:$E$20,4,FALSE)="",0,VLOOKUP(U138,'04_Status_Pipeline'!$B$3:$E$20,4,FALSE)),""))</t>
        </is>
      </c>
      <c r="Y138" s="37" t="n"/>
      <c r="Z138" s="37" t="n"/>
      <c r="AA138" s="37" t="n"/>
      <c r="AB138" s="37" t="n"/>
      <c r="AC138" s="37" t="n"/>
      <c r="AD138" s="37" t="n"/>
      <c r="AE138" s="37" t="n"/>
      <c r="AF138" s="37" t="n"/>
      <c r="AG138" s="37" t="n"/>
      <c r="AH138" s="38" t="n"/>
      <c r="AI138" s="38" t="n"/>
      <c r="AJ138" s="38" t="n"/>
      <c r="AK138" s="36" t="inlineStr">
        <is>
          <t>IF(OR(E138="",Z138=""),"",IF(COUNT(Y138:Y138)=0,"",Z138-LOOKUP(2,1/(Y138:Y138&lt;&gt;""),Y138:Y138)))</t>
        </is>
      </c>
      <c r="AL138" s="36" t="inlineStr">
        <is>
          <t>IF(OR(E138="",AA138=""),"",IF(COUNT(Y138:Z138)=0,"",AA138-LOOKUP(2,1/(Y138:Z138&lt;&gt;""),Y138:Z138)))</t>
        </is>
      </c>
      <c r="AM138" s="36" t="inlineStr">
        <is>
          <t>IF(OR(E138="",AB138=""),"",IF(COUNT(Y138:AA138)=0,"",AB138-LOOKUP(2,1/(Y138:AA138&lt;&gt;""),Y138:AA138)))</t>
        </is>
      </c>
      <c r="AN138" s="36" t="inlineStr">
        <is>
          <t>IF(OR(E138="",AC138=""),"",IF(COUNT(Y138:AB138)=0,"",AC138-LOOKUP(2,1/(Y138:AB138&lt;&gt;""),Y138:AB138)))</t>
        </is>
      </c>
      <c r="AO138" s="36" t="inlineStr">
        <is>
          <t>IF(OR(E138="",AD138=""),"",IF(COUNT(Y138:AC138)=0,"",AD138-LOOKUP(2,1/(Y138:AC138&lt;&gt;""),Y138:AC138)))</t>
        </is>
      </c>
      <c r="AP138" s="36" t="inlineStr">
        <is>
          <t>IF(OR(E138="",AE138=""),"",IF(COUNT(Y138:AD138)=0,"",AE138-LOOKUP(2,1/(Y138:AD138&lt;&gt;""),Y138:AD138)))</t>
        </is>
      </c>
      <c r="AQ138" s="36" t="inlineStr">
        <is>
          <t>IF(OR(E138="",AF138=""),"",IF(COUNT(Y138:AE138)=0,"",AF138-LOOKUP(2,1/(Y138:AE138&lt;&gt;""),Y138:AE138)))</t>
        </is>
      </c>
      <c r="AR138" s="36" t="inlineStr">
        <is>
          <t>IF(OR(E138="",AG138=""),"",IF(COUNT(Y138:AF138)=0,"",AG138-LOOKUP(2,1/(Y138:AF138&lt;&gt;""),Y138:AF138)))</t>
        </is>
      </c>
      <c r="AS138" s="36" t="inlineStr">
        <is>
          <t>IF(OR(E138="",AH138=""),"",IF(COUNT(Y138:AG138)=0,"",AH138-LOOKUP(2,1/(Y138:AG138&lt;&gt;""),Y138:AG138)))</t>
        </is>
      </c>
      <c r="AT138" s="36" t="inlineStr">
        <is>
          <t>IF(OR(E138="",AI138=""),"",IF(COUNT(Y138:AH138)=0,"",AI138-LOOKUP(2,1/(Y138:AH138&lt;&gt;""),Y138:AH138)))</t>
        </is>
      </c>
      <c r="AU138" s="36" t="inlineStr">
        <is>
          <t>IF(OR(E138="",AJ138=""),"",IF(COUNT(Y138:AI138)=0,"",AJ138-LOOKUP(2,1/(Y138:AI138&lt;&gt;""),Y138:AI138)))</t>
        </is>
      </c>
      <c r="AV138" s="39" t="inlineStr">
        <is>
          <t>IF(G138="","All_Provinces",IFERROR(VLOOKUP(G138,'07_Lookups'!$A$4:$B$20,2,FALSE),"All_Provinces"))</t>
        </is>
      </c>
      <c r="AW138" s="39" t="inlineStr">
        <is>
          <t>IF(H138="","All_Districts",IFERROR(VLOOKUP(H138,'07_Lookups'!$E$4:$F$42,2,FALSE),"All_Districts"))</t>
        </is>
      </c>
    </row>
    <row r="139" ht="18" customHeight="1">
      <c r="A139" s="31" t="inlineStr">
        <is>
          <t>IF(E139="","",ROW()-3)</t>
        </is>
      </c>
      <c r="B139" s="40" t="n"/>
      <c r="C139" s="40" t="n"/>
      <c r="D139" s="40" t="n"/>
      <c r="E139" s="40" t="n"/>
      <c r="F139" s="40" t="n"/>
      <c r="G139" s="40" t="n"/>
      <c r="H139" s="40" t="n"/>
      <c r="I139" s="40" t="n"/>
      <c r="J139" s="40" t="n"/>
      <c r="K139" s="40" t="n"/>
      <c r="L139" s="40" t="n"/>
      <c r="M139" s="40" t="n"/>
      <c r="N139" s="41" t="n"/>
      <c r="O139" s="34" t="inlineStr">
        <is>
          <t>IF(AE139="","",AE139)</t>
        </is>
      </c>
      <c r="P139" s="42" t="n"/>
      <c r="Q139" s="34" t="inlineStr">
        <is>
          <t>IF(OR(O139="",P139=""),"",EDATE(O139,P139))</t>
        </is>
      </c>
      <c r="R139" s="42" t="n"/>
      <c r="S139" s="40" t="n"/>
      <c r="T139" s="40" t="n"/>
      <c r="U139" s="31" t="inlineStr">
        <is>
          <t>IF(E139="","",IF(COUNT(Y139:AJ139)=0,IF(S139="","Not started",S139),SUBSTITUTE(LOOKUP(2,1/(Y139:AJ139&lt;&gt;""),$Y$3:$AJ$3),"Date: ","")))</t>
        </is>
      </c>
      <c r="V139" s="36" t="inlineStr">
        <is>
          <t>IF(OR(E139="",COUNT(Y139:AJ139)=0),"",TODAY()-LOOKUP(2,1/(Y139:AJ139&lt;&gt;""),Y139:AJ139))</t>
        </is>
      </c>
      <c r="W139" s="36" t="inlineStr">
        <is>
          <t>IF(OR(E139="",COUNT(Y139:AJ139)&lt;2),"",LOOKUP(2,1/(Y139:AJ139&lt;&gt;""),Y139:AJ139)-MIN(Y139:AJ139))</t>
        </is>
      </c>
      <c r="X139" s="36" t="inlineStr">
        <is>
          <t>IF(OR(V139="",U139="Not started",U139=""),"",IFERROR(V139-IF(VLOOKUP(U139,'04_Status_Pipeline'!$B$3:$E$20,4,FALSE)="",0,VLOOKUP(U139,'04_Status_Pipeline'!$B$3:$E$20,4,FALSE)),""))</t>
        </is>
      </c>
      <c r="Y139" s="43" t="n"/>
      <c r="Z139" s="43" t="n"/>
      <c r="AA139" s="43" t="n"/>
      <c r="AB139" s="43" t="n"/>
      <c r="AC139" s="43" t="n"/>
      <c r="AD139" s="43" t="n"/>
      <c r="AE139" s="43" t="n"/>
      <c r="AF139" s="43" t="n"/>
      <c r="AG139" s="43" t="n"/>
      <c r="AH139" s="38" t="n"/>
      <c r="AI139" s="38" t="n"/>
      <c r="AJ139" s="38" t="n"/>
      <c r="AK139" s="36" t="inlineStr">
        <is>
          <t>IF(OR(E139="",Z139=""),"",IF(COUNT(Y139:Y139)=0,"",Z139-LOOKUP(2,1/(Y139:Y139&lt;&gt;""),Y139:Y139)))</t>
        </is>
      </c>
      <c r="AL139" s="36" t="inlineStr">
        <is>
          <t>IF(OR(E139="",AA139=""),"",IF(COUNT(Y139:Z139)=0,"",AA139-LOOKUP(2,1/(Y139:Z139&lt;&gt;""),Y139:Z139)))</t>
        </is>
      </c>
      <c r="AM139" s="36" t="inlineStr">
        <is>
          <t>IF(OR(E139="",AB139=""),"",IF(COUNT(Y139:AA139)=0,"",AB139-LOOKUP(2,1/(Y139:AA139&lt;&gt;""),Y139:AA139)))</t>
        </is>
      </c>
      <c r="AN139" s="36" t="inlineStr">
        <is>
          <t>IF(OR(E139="",AC139=""),"",IF(COUNT(Y139:AB139)=0,"",AC139-LOOKUP(2,1/(Y139:AB139&lt;&gt;""),Y139:AB139)))</t>
        </is>
      </c>
      <c r="AO139" s="36" t="inlineStr">
        <is>
          <t>IF(OR(E139="",AD139=""),"",IF(COUNT(Y139:AC139)=0,"",AD139-LOOKUP(2,1/(Y139:AC139&lt;&gt;""),Y139:AC139)))</t>
        </is>
      </c>
      <c r="AP139" s="36" t="inlineStr">
        <is>
          <t>IF(OR(E139="",AE139=""),"",IF(COUNT(Y139:AD139)=0,"",AE139-LOOKUP(2,1/(Y139:AD139&lt;&gt;""),Y139:AD139)))</t>
        </is>
      </c>
      <c r="AQ139" s="36" t="inlineStr">
        <is>
          <t>IF(OR(E139="",AF139=""),"",IF(COUNT(Y139:AE139)=0,"",AF139-LOOKUP(2,1/(Y139:AE139&lt;&gt;""),Y139:AE139)))</t>
        </is>
      </c>
      <c r="AR139" s="36" t="inlineStr">
        <is>
          <t>IF(OR(E139="",AG139=""),"",IF(COUNT(Y139:AF139)=0,"",AG139-LOOKUP(2,1/(Y139:AF139&lt;&gt;""),Y139:AF139)))</t>
        </is>
      </c>
      <c r="AS139" s="36" t="inlineStr">
        <is>
          <t>IF(OR(E139="",AH139=""),"",IF(COUNT(Y139:AG139)=0,"",AH139-LOOKUP(2,1/(Y139:AG139&lt;&gt;""),Y139:AG139)))</t>
        </is>
      </c>
      <c r="AT139" s="36" t="inlineStr">
        <is>
          <t>IF(OR(E139="",AI139=""),"",IF(COUNT(Y139:AH139)=0,"",AI139-LOOKUP(2,1/(Y139:AH139&lt;&gt;""),Y139:AH139)))</t>
        </is>
      </c>
      <c r="AU139" s="36" t="inlineStr">
        <is>
          <t>IF(OR(E139="",AJ139=""),"",IF(COUNT(Y139:AI139)=0,"",AJ139-LOOKUP(2,1/(Y139:AI139&lt;&gt;""),Y139:AI139)))</t>
        </is>
      </c>
      <c r="AV139" s="39" t="inlineStr">
        <is>
          <t>IF(G139="","All_Provinces",IFERROR(VLOOKUP(G139,'07_Lookups'!$A$4:$B$20,2,FALSE),"All_Provinces"))</t>
        </is>
      </c>
      <c r="AW139" s="39" t="inlineStr">
        <is>
          <t>IF(H139="","All_Districts",IFERROR(VLOOKUP(H139,'07_Lookups'!$E$4:$F$42,2,FALSE),"All_Districts"))</t>
        </is>
      </c>
    </row>
    <row r="140" ht="18" customHeight="1">
      <c r="A140" s="31" t="inlineStr">
        <is>
          <t>IF(E140="","",ROW()-3)</t>
        </is>
      </c>
      <c r="B140" s="32" t="n"/>
      <c r="C140" s="32" t="n"/>
      <c r="D140" s="32" t="n"/>
      <c r="E140" s="32" t="n"/>
      <c r="F140" s="32" t="n"/>
      <c r="G140" s="32" t="n"/>
      <c r="H140" s="32" t="n"/>
      <c r="I140" s="32" t="n"/>
      <c r="J140" s="32" t="n"/>
      <c r="K140" s="32" t="n"/>
      <c r="L140" s="32" t="n"/>
      <c r="M140" s="32" t="n"/>
      <c r="N140" s="33" t="n"/>
      <c r="O140" s="34" t="inlineStr">
        <is>
          <t>IF(AE140="","",AE140)</t>
        </is>
      </c>
      <c r="P140" s="35" t="n"/>
      <c r="Q140" s="34" t="inlineStr">
        <is>
          <t>IF(OR(O140="",P140=""),"",EDATE(O140,P140))</t>
        </is>
      </c>
      <c r="R140" s="35" t="n"/>
      <c r="S140" s="32" t="n"/>
      <c r="T140" s="32" t="n"/>
      <c r="U140" s="31" t="inlineStr">
        <is>
          <t>IF(E140="","",IF(COUNT(Y140:AJ140)=0,IF(S140="","Not started",S140),SUBSTITUTE(LOOKUP(2,1/(Y140:AJ140&lt;&gt;""),$Y$3:$AJ$3),"Date: ","")))</t>
        </is>
      </c>
      <c r="V140" s="36" t="inlineStr">
        <is>
          <t>IF(OR(E140="",COUNT(Y140:AJ140)=0),"",TODAY()-LOOKUP(2,1/(Y140:AJ140&lt;&gt;""),Y140:AJ140))</t>
        </is>
      </c>
      <c r="W140" s="36" t="inlineStr">
        <is>
          <t>IF(OR(E140="",COUNT(Y140:AJ140)&lt;2),"",LOOKUP(2,1/(Y140:AJ140&lt;&gt;""),Y140:AJ140)-MIN(Y140:AJ140))</t>
        </is>
      </c>
      <c r="X140" s="36" t="inlineStr">
        <is>
          <t>IF(OR(V140="",U140="Not started",U140=""),"",IFERROR(V140-IF(VLOOKUP(U140,'04_Status_Pipeline'!$B$3:$E$20,4,FALSE)="",0,VLOOKUP(U140,'04_Status_Pipeline'!$B$3:$E$20,4,FALSE)),""))</t>
        </is>
      </c>
      <c r="Y140" s="37" t="n"/>
      <c r="Z140" s="37" t="n"/>
      <c r="AA140" s="37" t="n"/>
      <c r="AB140" s="37" t="n"/>
      <c r="AC140" s="37" t="n"/>
      <c r="AD140" s="37" t="n"/>
      <c r="AE140" s="37" t="n"/>
      <c r="AF140" s="37" t="n"/>
      <c r="AG140" s="37" t="n"/>
      <c r="AH140" s="38" t="n"/>
      <c r="AI140" s="38" t="n"/>
      <c r="AJ140" s="38" t="n"/>
      <c r="AK140" s="36" t="inlineStr">
        <is>
          <t>IF(OR(E140="",Z140=""),"",IF(COUNT(Y140:Y140)=0,"",Z140-LOOKUP(2,1/(Y140:Y140&lt;&gt;""),Y140:Y140)))</t>
        </is>
      </c>
      <c r="AL140" s="36" t="inlineStr">
        <is>
          <t>IF(OR(E140="",AA140=""),"",IF(COUNT(Y140:Z140)=0,"",AA140-LOOKUP(2,1/(Y140:Z140&lt;&gt;""),Y140:Z140)))</t>
        </is>
      </c>
      <c r="AM140" s="36" t="inlineStr">
        <is>
          <t>IF(OR(E140="",AB140=""),"",IF(COUNT(Y140:AA140)=0,"",AB140-LOOKUP(2,1/(Y140:AA140&lt;&gt;""),Y140:AA140)))</t>
        </is>
      </c>
      <c r="AN140" s="36" t="inlineStr">
        <is>
          <t>IF(OR(E140="",AC140=""),"",IF(COUNT(Y140:AB140)=0,"",AC140-LOOKUP(2,1/(Y140:AB140&lt;&gt;""),Y140:AB140)))</t>
        </is>
      </c>
      <c r="AO140" s="36" t="inlineStr">
        <is>
          <t>IF(OR(E140="",AD140=""),"",IF(COUNT(Y140:AC140)=0,"",AD140-LOOKUP(2,1/(Y140:AC140&lt;&gt;""),Y140:AC140)))</t>
        </is>
      </c>
      <c r="AP140" s="36" t="inlineStr">
        <is>
          <t>IF(OR(E140="",AE140=""),"",IF(COUNT(Y140:AD140)=0,"",AE140-LOOKUP(2,1/(Y140:AD140&lt;&gt;""),Y140:AD140)))</t>
        </is>
      </c>
      <c r="AQ140" s="36" t="inlineStr">
        <is>
          <t>IF(OR(E140="",AF140=""),"",IF(COUNT(Y140:AE140)=0,"",AF140-LOOKUP(2,1/(Y140:AE140&lt;&gt;""),Y140:AE140)))</t>
        </is>
      </c>
      <c r="AR140" s="36" t="inlineStr">
        <is>
          <t>IF(OR(E140="",AG140=""),"",IF(COUNT(Y140:AF140)=0,"",AG140-LOOKUP(2,1/(Y140:AF140&lt;&gt;""),Y140:AF140)))</t>
        </is>
      </c>
      <c r="AS140" s="36" t="inlineStr">
        <is>
          <t>IF(OR(E140="",AH140=""),"",IF(COUNT(Y140:AG140)=0,"",AH140-LOOKUP(2,1/(Y140:AG140&lt;&gt;""),Y140:AG140)))</t>
        </is>
      </c>
      <c r="AT140" s="36" t="inlineStr">
        <is>
          <t>IF(OR(E140="",AI140=""),"",IF(COUNT(Y140:AH140)=0,"",AI140-LOOKUP(2,1/(Y140:AH140&lt;&gt;""),Y140:AH140)))</t>
        </is>
      </c>
      <c r="AU140" s="36" t="inlineStr">
        <is>
          <t>IF(OR(E140="",AJ140=""),"",IF(COUNT(Y140:AI140)=0,"",AJ140-LOOKUP(2,1/(Y140:AI140&lt;&gt;""),Y140:AI140)))</t>
        </is>
      </c>
      <c r="AV140" s="39" t="inlineStr">
        <is>
          <t>IF(G140="","All_Provinces",IFERROR(VLOOKUP(G140,'07_Lookups'!$A$4:$B$20,2,FALSE),"All_Provinces"))</t>
        </is>
      </c>
      <c r="AW140" s="39" t="inlineStr">
        <is>
          <t>IF(H140="","All_Districts",IFERROR(VLOOKUP(H140,'07_Lookups'!$E$4:$F$42,2,FALSE),"All_Districts"))</t>
        </is>
      </c>
    </row>
    <row r="141" ht="18" customHeight="1">
      <c r="A141" s="31" t="inlineStr">
        <is>
          <t>IF(E141="","",ROW()-3)</t>
        </is>
      </c>
      <c r="B141" s="40" t="n"/>
      <c r="C141" s="40" t="n"/>
      <c r="D141" s="40" t="n"/>
      <c r="E141" s="40" t="n"/>
      <c r="F141" s="40" t="n"/>
      <c r="G141" s="40" t="n"/>
      <c r="H141" s="40" t="n"/>
      <c r="I141" s="40" t="n"/>
      <c r="J141" s="40" t="n"/>
      <c r="K141" s="40" t="n"/>
      <c r="L141" s="40" t="n"/>
      <c r="M141" s="40" t="n"/>
      <c r="N141" s="41" t="n"/>
      <c r="O141" s="34" t="inlineStr">
        <is>
          <t>IF(AE141="","",AE141)</t>
        </is>
      </c>
      <c r="P141" s="42" t="n"/>
      <c r="Q141" s="34" t="inlineStr">
        <is>
          <t>IF(OR(O141="",P141=""),"",EDATE(O141,P141))</t>
        </is>
      </c>
      <c r="R141" s="42" t="n"/>
      <c r="S141" s="40" t="n"/>
      <c r="T141" s="40" t="n"/>
      <c r="U141" s="31" t="inlineStr">
        <is>
          <t>IF(E141="","",IF(COUNT(Y141:AJ141)=0,IF(S141="","Not started",S141),SUBSTITUTE(LOOKUP(2,1/(Y141:AJ141&lt;&gt;""),$Y$3:$AJ$3),"Date: ","")))</t>
        </is>
      </c>
      <c r="V141" s="36" t="inlineStr">
        <is>
          <t>IF(OR(E141="",COUNT(Y141:AJ141)=0),"",TODAY()-LOOKUP(2,1/(Y141:AJ141&lt;&gt;""),Y141:AJ141))</t>
        </is>
      </c>
      <c r="W141" s="36" t="inlineStr">
        <is>
          <t>IF(OR(E141="",COUNT(Y141:AJ141)&lt;2),"",LOOKUP(2,1/(Y141:AJ141&lt;&gt;""),Y141:AJ141)-MIN(Y141:AJ141))</t>
        </is>
      </c>
      <c r="X141" s="36" t="inlineStr">
        <is>
          <t>IF(OR(V141="",U141="Not started",U141=""),"",IFERROR(V141-IF(VLOOKUP(U141,'04_Status_Pipeline'!$B$3:$E$20,4,FALSE)="",0,VLOOKUP(U141,'04_Status_Pipeline'!$B$3:$E$20,4,FALSE)),""))</t>
        </is>
      </c>
      <c r="Y141" s="43" t="n"/>
      <c r="Z141" s="43" t="n"/>
      <c r="AA141" s="43" t="n"/>
      <c r="AB141" s="43" t="n"/>
      <c r="AC141" s="43" t="n"/>
      <c r="AD141" s="43" t="n"/>
      <c r="AE141" s="43" t="n"/>
      <c r="AF141" s="43" t="n"/>
      <c r="AG141" s="43" t="n"/>
      <c r="AH141" s="38" t="n"/>
      <c r="AI141" s="38" t="n"/>
      <c r="AJ141" s="38" t="n"/>
      <c r="AK141" s="36" t="inlineStr">
        <is>
          <t>IF(OR(E141="",Z141=""),"",IF(COUNT(Y141:Y141)=0,"",Z141-LOOKUP(2,1/(Y141:Y141&lt;&gt;""),Y141:Y141)))</t>
        </is>
      </c>
      <c r="AL141" s="36" t="inlineStr">
        <is>
          <t>IF(OR(E141="",AA141=""),"",IF(COUNT(Y141:Z141)=0,"",AA141-LOOKUP(2,1/(Y141:Z141&lt;&gt;""),Y141:Z141)))</t>
        </is>
      </c>
      <c r="AM141" s="36" t="inlineStr">
        <is>
          <t>IF(OR(E141="",AB141=""),"",IF(COUNT(Y141:AA141)=0,"",AB141-LOOKUP(2,1/(Y141:AA141&lt;&gt;""),Y141:AA141)))</t>
        </is>
      </c>
      <c r="AN141" s="36" t="inlineStr">
        <is>
          <t>IF(OR(E141="",AC141=""),"",IF(COUNT(Y141:AB141)=0,"",AC141-LOOKUP(2,1/(Y141:AB141&lt;&gt;""),Y141:AB141)))</t>
        </is>
      </c>
      <c r="AO141" s="36" t="inlineStr">
        <is>
          <t>IF(OR(E141="",AD141=""),"",IF(COUNT(Y141:AC141)=0,"",AD141-LOOKUP(2,1/(Y141:AC141&lt;&gt;""),Y141:AC141)))</t>
        </is>
      </c>
      <c r="AP141" s="36" t="inlineStr">
        <is>
          <t>IF(OR(E141="",AE141=""),"",IF(COUNT(Y141:AD141)=0,"",AE141-LOOKUP(2,1/(Y141:AD141&lt;&gt;""),Y141:AD141)))</t>
        </is>
      </c>
      <c r="AQ141" s="36" t="inlineStr">
        <is>
          <t>IF(OR(E141="",AF141=""),"",IF(COUNT(Y141:AE141)=0,"",AF141-LOOKUP(2,1/(Y141:AE141&lt;&gt;""),Y141:AE141)))</t>
        </is>
      </c>
      <c r="AR141" s="36" t="inlineStr">
        <is>
          <t>IF(OR(E141="",AG141=""),"",IF(COUNT(Y141:AF141)=0,"",AG141-LOOKUP(2,1/(Y141:AF141&lt;&gt;""),Y141:AF141)))</t>
        </is>
      </c>
      <c r="AS141" s="36" t="inlineStr">
        <is>
          <t>IF(OR(E141="",AH141=""),"",IF(COUNT(Y141:AG141)=0,"",AH141-LOOKUP(2,1/(Y141:AG141&lt;&gt;""),Y141:AG141)))</t>
        </is>
      </c>
      <c r="AT141" s="36" t="inlineStr">
        <is>
          <t>IF(OR(E141="",AI141=""),"",IF(COUNT(Y141:AH141)=0,"",AI141-LOOKUP(2,1/(Y141:AH141&lt;&gt;""),Y141:AH141)))</t>
        </is>
      </c>
      <c r="AU141" s="36" t="inlineStr">
        <is>
          <t>IF(OR(E141="",AJ141=""),"",IF(COUNT(Y141:AI141)=0,"",AJ141-LOOKUP(2,1/(Y141:AI141&lt;&gt;""),Y141:AI141)))</t>
        </is>
      </c>
      <c r="AV141" s="39" t="inlineStr">
        <is>
          <t>IF(G141="","All_Provinces",IFERROR(VLOOKUP(G141,'07_Lookups'!$A$4:$B$20,2,FALSE),"All_Provinces"))</t>
        </is>
      </c>
      <c r="AW141" s="39" t="inlineStr">
        <is>
          <t>IF(H141="","All_Districts",IFERROR(VLOOKUP(H141,'07_Lookups'!$E$4:$F$42,2,FALSE),"All_Districts"))</t>
        </is>
      </c>
    </row>
    <row r="142" ht="18" customHeight="1">
      <c r="A142" s="31" t="inlineStr">
        <is>
          <t>IF(E142="","",ROW()-3)</t>
        </is>
      </c>
      <c r="B142" s="32" t="n"/>
      <c r="C142" s="32" t="n"/>
      <c r="D142" s="32" t="n"/>
      <c r="E142" s="32" t="n"/>
      <c r="F142" s="32" t="n"/>
      <c r="G142" s="32" t="n"/>
      <c r="H142" s="32" t="n"/>
      <c r="I142" s="32" t="n"/>
      <c r="J142" s="32" t="n"/>
      <c r="K142" s="32" t="n"/>
      <c r="L142" s="32" t="n"/>
      <c r="M142" s="32" t="n"/>
      <c r="N142" s="33" t="n"/>
      <c r="O142" s="34" t="inlineStr">
        <is>
          <t>IF(AE142="","",AE142)</t>
        </is>
      </c>
      <c r="P142" s="35" t="n"/>
      <c r="Q142" s="34" t="inlineStr">
        <is>
          <t>IF(OR(O142="",P142=""),"",EDATE(O142,P142))</t>
        </is>
      </c>
      <c r="R142" s="35" t="n"/>
      <c r="S142" s="32" t="n"/>
      <c r="T142" s="32" t="n"/>
      <c r="U142" s="31" t="inlineStr">
        <is>
          <t>IF(E142="","",IF(COUNT(Y142:AJ142)=0,IF(S142="","Not started",S142),SUBSTITUTE(LOOKUP(2,1/(Y142:AJ142&lt;&gt;""),$Y$3:$AJ$3),"Date: ","")))</t>
        </is>
      </c>
      <c r="V142" s="36" t="inlineStr">
        <is>
          <t>IF(OR(E142="",COUNT(Y142:AJ142)=0),"",TODAY()-LOOKUP(2,1/(Y142:AJ142&lt;&gt;""),Y142:AJ142))</t>
        </is>
      </c>
      <c r="W142" s="36" t="inlineStr">
        <is>
          <t>IF(OR(E142="",COUNT(Y142:AJ142)&lt;2),"",LOOKUP(2,1/(Y142:AJ142&lt;&gt;""),Y142:AJ142)-MIN(Y142:AJ142))</t>
        </is>
      </c>
      <c r="X142" s="36" t="inlineStr">
        <is>
          <t>IF(OR(V142="",U142="Not started",U142=""),"",IFERROR(V142-IF(VLOOKUP(U142,'04_Status_Pipeline'!$B$3:$E$20,4,FALSE)="",0,VLOOKUP(U142,'04_Status_Pipeline'!$B$3:$E$20,4,FALSE)),""))</t>
        </is>
      </c>
      <c r="Y142" s="37" t="n"/>
      <c r="Z142" s="37" t="n"/>
      <c r="AA142" s="37" t="n"/>
      <c r="AB142" s="37" t="n"/>
      <c r="AC142" s="37" t="n"/>
      <c r="AD142" s="37" t="n"/>
      <c r="AE142" s="37" t="n"/>
      <c r="AF142" s="37" t="n"/>
      <c r="AG142" s="37" t="n"/>
      <c r="AH142" s="38" t="n"/>
      <c r="AI142" s="38" t="n"/>
      <c r="AJ142" s="38" t="n"/>
      <c r="AK142" s="36" t="inlineStr">
        <is>
          <t>IF(OR(E142="",Z142=""),"",IF(COUNT(Y142:Y142)=0,"",Z142-LOOKUP(2,1/(Y142:Y142&lt;&gt;""),Y142:Y142)))</t>
        </is>
      </c>
      <c r="AL142" s="36" t="inlineStr">
        <is>
          <t>IF(OR(E142="",AA142=""),"",IF(COUNT(Y142:Z142)=0,"",AA142-LOOKUP(2,1/(Y142:Z142&lt;&gt;""),Y142:Z142)))</t>
        </is>
      </c>
      <c r="AM142" s="36" t="inlineStr">
        <is>
          <t>IF(OR(E142="",AB142=""),"",IF(COUNT(Y142:AA142)=0,"",AB142-LOOKUP(2,1/(Y142:AA142&lt;&gt;""),Y142:AA142)))</t>
        </is>
      </c>
      <c r="AN142" s="36" t="inlineStr">
        <is>
          <t>IF(OR(E142="",AC142=""),"",IF(COUNT(Y142:AB142)=0,"",AC142-LOOKUP(2,1/(Y142:AB142&lt;&gt;""),Y142:AB142)))</t>
        </is>
      </c>
      <c r="AO142" s="36" t="inlineStr">
        <is>
          <t>IF(OR(E142="",AD142=""),"",IF(COUNT(Y142:AC142)=0,"",AD142-LOOKUP(2,1/(Y142:AC142&lt;&gt;""),Y142:AC142)))</t>
        </is>
      </c>
      <c r="AP142" s="36" t="inlineStr">
        <is>
          <t>IF(OR(E142="",AE142=""),"",IF(COUNT(Y142:AD142)=0,"",AE142-LOOKUP(2,1/(Y142:AD142&lt;&gt;""),Y142:AD142)))</t>
        </is>
      </c>
      <c r="AQ142" s="36" t="inlineStr">
        <is>
          <t>IF(OR(E142="",AF142=""),"",IF(COUNT(Y142:AE142)=0,"",AF142-LOOKUP(2,1/(Y142:AE142&lt;&gt;""),Y142:AE142)))</t>
        </is>
      </c>
      <c r="AR142" s="36" t="inlineStr">
        <is>
          <t>IF(OR(E142="",AG142=""),"",IF(COUNT(Y142:AF142)=0,"",AG142-LOOKUP(2,1/(Y142:AF142&lt;&gt;""),Y142:AF142)))</t>
        </is>
      </c>
      <c r="AS142" s="36" t="inlineStr">
        <is>
          <t>IF(OR(E142="",AH142=""),"",IF(COUNT(Y142:AG142)=0,"",AH142-LOOKUP(2,1/(Y142:AG142&lt;&gt;""),Y142:AG142)))</t>
        </is>
      </c>
      <c r="AT142" s="36" t="inlineStr">
        <is>
          <t>IF(OR(E142="",AI142=""),"",IF(COUNT(Y142:AH142)=0,"",AI142-LOOKUP(2,1/(Y142:AH142&lt;&gt;""),Y142:AH142)))</t>
        </is>
      </c>
      <c r="AU142" s="36" t="inlineStr">
        <is>
          <t>IF(OR(E142="",AJ142=""),"",IF(COUNT(Y142:AI142)=0,"",AJ142-LOOKUP(2,1/(Y142:AI142&lt;&gt;""),Y142:AI142)))</t>
        </is>
      </c>
      <c r="AV142" s="39" t="inlineStr">
        <is>
          <t>IF(G142="","All_Provinces",IFERROR(VLOOKUP(G142,'07_Lookups'!$A$4:$B$20,2,FALSE),"All_Provinces"))</t>
        </is>
      </c>
      <c r="AW142" s="39" t="inlineStr">
        <is>
          <t>IF(H142="","All_Districts",IFERROR(VLOOKUP(H142,'07_Lookups'!$E$4:$F$42,2,FALSE),"All_Districts"))</t>
        </is>
      </c>
    </row>
    <row r="143" ht="18" customHeight="1">
      <c r="A143" s="31" t="inlineStr">
        <is>
          <t>IF(E143="","",ROW()-3)</t>
        </is>
      </c>
      <c r="B143" s="40" t="n"/>
      <c r="C143" s="40" t="n"/>
      <c r="D143" s="40" t="n"/>
      <c r="E143" s="40" t="n"/>
      <c r="F143" s="40" t="n"/>
      <c r="G143" s="40" t="n"/>
      <c r="H143" s="40" t="n"/>
      <c r="I143" s="40" t="n"/>
      <c r="J143" s="40" t="n"/>
      <c r="K143" s="40" t="n"/>
      <c r="L143" s="40" t="n"/>
      <c r="M143" s="40" t="n"/>
      <c r="N143" s="41" t="n"/>
      <c r="O143" s="34" t="inlineStr">
        <is>
          <t>IF(AE143="","",AE143)</t>
        </is>
      </c>
      <c r="P143" s="42" t="n"/>
      <c r="Q143" s="34" t="inlineStr">
        <is>
          <t>IF(OR(O143="",P143=""),"",EDATE(O143,P143))</t>
        </is>
      </c>
      <c r="R143" s="42" t="n"/>
      <c r="S143" s="40" t="n"/>
      <c r="T143" s="40" t="n"/>
      <c r="U143" s="31" t="inlineStr">
        <is>
          <t>IF(E143="","",IF(COUNT(Y143:AJ143)=0,IF(S143="","Not started",S143),SUBSTITUTE(LOOKUP(2,1/(Y143:AJ143&lt;&gt;""),$Y$3:$AJ$3),"Date: ","")))</t>
        </is>
      </c>
      <c r="V143" s="36" t="inlineStr">
        <is>
          <t>IF(OR(E143="",COUNT(Y143:AJ143)=0),"",TODAY()-LOOKUP(2,1/(Y143:AJ143&lt;&gt;""),Y143:AJ143))</t>
        </is>
      </c>
      <c r="W143" s="36" t="inlineStr">
        <is>
          <t>IF(OR(E143="",COUNT(Y143:AJ143)&lt;2),"",LOOKUP(2,1/(Y143:AJ143&lt;&gt;""),Y143:AJ143)-MIN(Y143:AJ143))</t>
        </is>
      </c>
      <c r="X143" s="36" t="inlineStr">
        <is>
          <t>IF(OR(V143="",U143="Not started",U143=""),"",IFERROR(V143-IF(VLOOKUP(U143,'04_Status_Pipeline'!$B$3:$E$20,4,FALSE)="",0,VLOOKUP(U143,'04_Status_Pipeline'!$B$3:$E$20,4,FALSE)),""))</t>
        </is>
      </c>
      <c r="Y143" s="43" t="n"/>
      <c r="Z143" s="43" t="n"/>
      <c r="AA143" s="43" t="n"/>
      <c r="AB143" s="43" t="n"/>
      <c r="AC143" s="43" t="n"/>
      <c r="AD143" s="43" t="n"/>
      <c r="AE143" s="43" t="n"/>
      <c r="AF143" s="43" t="n"/>
      <c r="AG143" s="43" t="n"/>
      <c r="AH143" s="38" t="n"/>
      <c r="AI143" s="38" t="n"/>
      <c r="AJ143" s="38" t="n"/>
      <c r="AK143" s="36" t="inlineStr">
        <is>
          <t>IF(OR(E143="",Z143=""),"",IF(COUNT(Y143:Y143)=0,"",Z143-LOOKUP(2,1/(Y143:Y143&lt;&gt;""),Y143:Y143)))</t>
        </is>
      </c>
      <c r="AL143" s="36" t="inlineStr">
        <is>
          <t>IF(OR(E143="",AA143=""),"",IF(COUNT(Y143:Z143)=0,"",AA143-LOOKUP(2,1/(Y143:Z143&lt;&gt;""),Y143:Z143)))</t>
        </is>
      </c>
      <c r="AM143" s="36" t="inlineStr">
        <is>
          <t>IF(OR(E143="",AB143=""),"",IF(COUNT(Y143:AA143)=0,"",AB143-LOOKUP(2,1/(Y143:AA143&lt;&gt;""),Y143:AA143)))</t>
        </is>
      </c>
      <c r="AN143" s="36" t="inlineStr">
        <is>
          <t>IF(OR(E143="",AC143=""),"",IF(COUNT(Y143:AB143)=0,"",AC143-LOOKUP(2,1/(Y143:AB143&lt;&gt;""),Y143:AB143)))</t>
        </is>
      </c>
      <c r="AO143" s="36" t="inlineStr">
        <is>
          <t>IF(OR(E143="",AD143=""),"",IF(COUNT(Y143:AC143)=0,"",AD143-LOOKUP(2,1/(Y143:AC143&lt;&gt;""),Y143:AC143)))</t>
        </is>
      </c>
      <c r="AP143" s="36" t="inlineStr">
        <is>
          <t>IF(OR(E143="",AE143=""),"",IF(COUNT(Y143:AD143)=0,"",AE143-LOOKUP(2,1/(Y143:AD143&lt;&gt;""),Y143:AD143)))</t>
        </is>
      </c>
      <c r="AQ143" s="36" t="inlineStr">
        <is>
          <t>IF(OR(E143="",AF143=""),"",IF(COUNT(Y143:AE143)=0,"",AF143-LOOKUP(2,1/(Y143:AE143&lt;&gt;""),Y143:AE143)))</t>
        </is>
      </c>
      <c r="AR143" s="36" t="inlineStr">
        <is>
          <t>IF(OR(E143="",AG143=""),"",IF(COUNT(Y143:AF143)=0,"",AG143-LOOKUP(2,1/(Y143:AF143&lt;&gt;""),Y143:AF143)))</t>
        </is>
      </c>
      <c r="AS143" s="36" t="inlineStr">
        <is>
          <t>IF(OR(E143="",AH143=""),"",IF(COUNT(Y143:AG143)=0,"",AH143-LOOKUP(2,1/(Y143:AG143&lt;&gt;""),Y143:AG143)))</t>
        </is>
      </c>
      <c r="AT143" s="36" t="inlineStr">
        <is>
          <t>IF(OR(E143="",AI143=""),"",IF(COUNT(Y143:AH143)=0,"",AI143-LOOKUP(2,1/(Y143:AH143&lt;&gt;""),Y143:AH143)))</t>
        </is>
      </c>
      <c r="AU143" s="36" t="inlineStr">
        <is>
          <t>IF(OR(E143="",AJ143=""),"",IF(COUNT(Y143:AI143)=0,"",AJ143-LOOKUP(2,1/(Y143:AI143&lt;&gt;""),Y143:AI143)))</t>
        </is>
      </c>
      <c r="AV143" s="39" t="inlineStr">
        <is>
          <t>IF(G143="","All_Provinces",IFERROR(VLOOKUP(G143,'07_Lookups'!$A$4:$B$20,2,FALSE),"All_Provinces"))</t>
        </is>
      </c>
      <c r="AW143" s="39" t="inlineStr">
        <is>
          <t>IF(H143="","All_Districts",IFERROR(VLOOKUP(H143,'07_Lookups'!$E$4:$F$42,2,FALSE),"All_Districts"))</t>
        </is>
      </c>
    </row>
    <row r="144" ht="18" customHeight="1">
      <c r="A144" s="31" t="inlineStr">
        <is>
          <t>IF(E144="","",ROW()-3)</t>
        </is>
      </c>
      <c r="B144" s="32" t="n"/>
      <c r="C144" s="32" t="n"/>
      <c r="D144" s="32" t="n"/>
      <c r="E144" s="32" t="n"/>
      <c r="F144" s="32" t="n"/>
      <c r="G144" s="32" t="n"/>
      <c r="H144" s="32" t="n"/>
      <c r="I144" s="32" t="n"/>
      <c r="J144" s="32" t="n"/>
      <c r="K144" s="32" t="n"/>
      <c r="L144" s="32" t="n"/>
      <c r="M144" s="32" t="n"/>
      <c r="N144" s="33" t="n"/>
      <c r="O144" s="34" t="inlineStr">
        <is>
          <t>IF(AE144="","",AE144)</t>
        </is>
      </c>
      <c r="P144" s="35" t="n"/>
      <c r="Q144" s="34" t="inlineStr">
        <is>
          <t>IF(OR(O144="",P144=""),"",EDATE(O144,P144))</t>
        </is>
      </c>
      <c r="R144" s="35" t="n"/>
      <c r="S144" s="32" t="n"/>
      <c r="T144" s="32" t="n"/>
      <c r="U144" s="31" t="inlineStr">
        <is>
          <t>IF(E144="","",IF(COUNT(Y144:AJ144)=0,IF(S144="","Not started",S144),SUBSTITUTE(LOOKUP(2,1/(Y144:AJ144&lt;&gt;""),$Y$3:$AJ$3),"Date: ","")))</t>
        </is>
      </c>
      <c r="V144" s="36" t="inlineStr">
        <is>
          <t>IF(OR(E144="",COUNT(Y144:AJ144)=0),"",TODAY()-LOOKUP(2,1/(Y144:AJ144&lt;&gt;""),Y144:AJ144))</t>
        </is>
      </c>
      <c r="W144" s="36" t="inlineStr">
        <is>
          <t>IF(OR(E144="",COUNT(Y144:AJ144)&lt;2),"",LOOKUP(2,1/(Y144:AJ144&lt;&gt;""),Y144:AJ144)-MIN(Y144:AJ144))</t>
        </is>
      </c>
      <c r="X144" s="36" t="inlineStr">
        <is>
          <t>IF(OR(V144="",U144="Not started",U144=""),"",IFERROR(V144-IF(VLOOKUP(U144,'04_Status_Pipeline'!$B$3:$E$20,4,FALSE)="",0,VLOOKUP(U144,'04_Status_Pipeline'!$B$3:$E$20,4,FALSE)),""))</t>
        </is>
      </c>
      <c r="Y144" s="37" t="n"/>
      <c r="Z144" s="37" t="n"/>
      <c r="AA144" s="37" t="n"/>
      <c r="AB144" s="37" t="n"/>
      <c r="AC144" s="37" t="n"/>
      <c r="AD144" s="37" t="n"/>
      <c r="AE144" s="37" t="n"/>
      <c r="AF144" s="37" t="n"/>
      <c r="AG144" s="37" t="n"/>
      <c r="AH144" s="38" t="n"/>
      <c r="AI144" s="38" t="n"/>
      <c r="AJ144" s="38" t="n"/>
      <c r="AK144" s="36" t="inlineStr">
        <is>
          <t>IF(OR(E144="",Z144=""),"",IF(COUNT(Y144:Y144)=0,"",Z144-LOOKUP(2,1/(Y144:Y144&lt;&gt;""),Y144:Y144)))</t>
        </is>
      </c>
      <c r="AL144" s="36" t="inlineStr">
        <is>
          <t>IF(OR(E144="",AA144=""),"",IF(COUNT(Y144:Z144)=0,"",AA144-LOOKUP(2,1/(Y144:Z144&lt;&gt;""),Y144:Z144)))</t>
        </is>
      </c>
      <c r="AM144" s="36" t="inlineStr">
        <is>
          <t>IF(OR(E144="",AB144=""),"",IF(COUNT(Y144:AA144)=0,"",AB144-LOOKUP(2,1/(Y144:AA144&lt;&gt;""),Y144:AA144)))</t>
        </is>
      </c>
      <c r="AN144" s="36" t="inlineStr">
        <is>
          <t>IF(OR(E144="",AC144=""),"",IF(COUNT(Y144:AB144)=0,"",AC144-LOOKUP(2,1/(Y144:AB144&lt;&gt;""),Y144:AB144)))</t>
        </is>
      </c>
      <c r="AO144" s="36" t="inlineStr">
        <is>
          <t>IF(OR(E144="",AD144=""),"",IF(COUNT(Y144:AC144)=0,"",AD144-LOOKUP(2,1/(Y144:AC144&lt;&gt;""),Y144:AC144)))</t>
        </is>
      </c>
      <c r="AP144" s="36" t="inlineStr">
        <is>
          <t>IF(OR(E144="",AE144=""),"",IF(COUNT(Y144:AD144)=0,"",AE144-LOOKUP(2,1/(Y144:AD144&lt;&gt;""),Y144:AD144)))</t>
        </is>
      </c>
      <c r="AQ144" s="36" t="inlineStr">
        <is>
          <t>IF(OR(E144="",AF144=""),"",IF(COUNT(Y144:AE144)=0,"",AF144-LOOKUP(2,1/(Y144:AE144&lt;&gt;""),Y144:AE144)))</t>
        </is>
      </c>
      <c r="AR144" s="36" t="inlineStr">
        <is>
          <t>IF(OR(E144="",AG144=""),"",IF(COUNT(Y144:AF144)=0,"",AG144-LOOKUP(2,1/(Y144:AF144&lt;&gt;""),Y144:AF144)))</t>
        </is>
      </c>
      <c r="AS144" s="36" t="inlineStr">
        <is>
          <t>IF(OR(E144="",AH144=""),"",IF(COUNT(Y144:AG144)=0,"",AH144-LOOKUP(2,1/(Y144:AG144&lt;&gt;""),Y144:AG144)))</t>
        </is>
      </c>
      <c r="AT144" s="36" t="inlineStr">
        <is>
          <t>IF(OR(E144="",AI144=""),"",IF(COUNT(Y144:AH144)=0,"",AI144-LOOKUP(2,1/(Y144:AH144&lt;&gt;""),Y144:AH144)))</t>
        </is>
      </c>
      <c r="AU144" s="36" t="inlineStr">
        <is>
          <t>IF(OR(E144="",AJ144=""),"",IF(COUNT(Y144:AI144)=0,"",AJ144-LOOKUP(2,1/(Y144:AI144&lt;&gt;""),Y144:AI144)))</t>
        </is>
      </c>
      <c r="AV144" s="39" t="inlineStr">
        <is>
          <t>IF(G144="","All_Provinces",IFERROR(VLOOKUP(G144,'07_Lookups'!$A$4:$B$20,2,FALSE),"All_Provinces"))</t>
        </is>
      </c>
      <c r="AW144" s="39" t="inlineStr">
        <is>
          <t>IF(H144="","All_Districts",IFERROR(VLOOKUP(H144,'07_Lookups'!$E$4:$F$42,2,FALSE),"All_Districts"))</t>
        </is>
      </c>
    </row>
    <row r="145" ht="18" customHeight="1">
      <c r="A145" s="31" t="inlineStr">
        <is>
          <t>IF(E145="","",ROW()-3)</t>
        </is>
      </c>
      <c r="B145" s="40" t="n"/>
      <c r="C145" s="40" t="n"/>
      <c r="D145" s="40" t="n"/>
      <c r="E145" s="40" t="n"/>
      <c r="F145" s="40" t="n"/>
      <c r="G145" s="40" t="n"/>
      <c r="H145" s="40" t="n"/>
      <c r="I145" s="40" t="n"/>
      <c r="J145" s="40" t="n"/>
      <c r="K145" s="40" t="n"/>
      <c r="L145" s="40" t="n"/>
      <c r="M145" s="40" t="n"/>
      <c r="N145" s="41" t="n"/>
      <c r="O145" s="34" t="inlineStr">
        <is>
          <t>IF(AE145="","",AE145)</t>
        </is>
      </c>
      <c r="P145" s="42" t="n"/>
      <c r="Q145" s="34" t="inlineStr">
        <is>
          <t>IF(OR(O145="",P145=""),"",EDATE(O145,P145))</t>
        </is>
      </c>
      <c r="R145" s="42" t="n"/>
      <c r="S145" s="40" t="n"/>
      <c r="T145" s="40" t="n"/>
      <c r="U145" s="31" t="inlineStr">
        <is>
          <t>IF(E145="","",IF(COUNT(Y145:AJ145)=0,IF(S145="","Not started",S145),SUBSTITUTE(LOOKUP(2,1/(Y145:AJ145&lt;&gt;""),$Y$3:$AJ$3),"Date: ","")))</t>
        </is>
      </c>
      <c r="V145" s="36" t="inlineStr">
        <is>
          <t>IF(OR(E145="",COUNT(Y145:AJ145)=0),"",TODAY()-LOOKUP(2,1/(Y145:AJ145&lt;&gt;""),Y145:AJ145))</t>
        </is>
      </c>
      <c r="W145" s="36" t="inlineStr">
        <is>
          <t>IF(OR(E145="",COUNT(Y145:AJ145)&lt;2),"",LOOKUP(2,1/(Y145:AJ145&lt;&gt;""),Y145:AJ145)-MIN(Y145:AJ145))</t>
        </is>
      </c>
      <c r="X145" s="36" t="inlineStr">
        <is>
          <t>IF(OR(V145="",U145="Not started",U145=""),"",IFERROR(V145-IF(VLOOKUP(U145,'04_Status_Pipeline'!$B$3:$E$20,4,FALSE)="",0,VLOOKUP(U145,'04_Status_Pipeline'!$B$3:$E$20,4,FALSE)),""))</t>
        </is>
      </c>
      <c r="Y145" s="43" t="n"/>
      <c r="Z145" s="43" t="n"/>
      <c r="AA145" s="43" t="n"/>
      <c r="AB145" s="43" t="n"/>
      <c r="AC145" s="43" t="n"/>
      <c r="AD145" s="43" t="n"/>
      <c r="AE145" s="43" t="n"/>
      <c r="AF145" s="43" t="n"/>
      <c r="AG145" s="43" t="n"/>
      <c r="AH145" s="38" t="n"/>
      <c r="AI145" s="38" t="n"/>
      <c r="AJ145" s="38" t="n"/>
      <c r="AK145" s="36" t="inlineStr">
        <is>
          <t>IF(OR(E145="",Z145=""),"",IF(COUNT(Y145:Y145)=0,"",Z145-LOOKUP(2,1/(Y145:Y145&lt;&gt;""),Y145:Y145)))</t>
        </is>
      </c>
      <c r="AL145" s="36" t="inlineStr">
        <is>
          <t>IF(OR(E145="",AA145=""),"",IF(COUNT(Y145:Z145)=0,"",AA145-LOOKUP(2,1/(Y145:Z145&lt;&gt;""),Y145:Z145)))</t>
        </is>
      </c>
      <c r="AM145" s="36" t="inlineStr">
        <is>
          <t>IF(OR(E145="",AB145=""),"",IF(COUNT(Y145:AA145)=0,"",AB145-LOOKUP(2,1/(Y145:AA145&lt;&gt;""),Y145:AA145)))</t>
        </is>
      </c>
      <c r="AN145" s="36" t="inlineStr">
        <is>
          <t>IF(OR(E145="",AC145=""),"",IF(COUNT(Y145:AB145)=0,"",AC145-LOOKUP(2,1/(Y145:AB145&lt;&gt;""),Y145:AB145)))</t>
        </is>
      </c>
      <c r="AO145" s="36" t="inlineStr">
        <is>
          <t>IF(OR(E145="",AD145=""),"",IF(COUNT(Y145:AC145)=0,"",AD145-LOOKUP(2,1/(Y145:AC145&lt;&gt;""),Y145:AC145)))</t>
        </is>
      </c>
      <c r="AP145" s="36" t="inlineStr">
        <is>
          <t>IF(OR(E145="",AE145=""),"",IF(COUNT(Y145:AD145)=0,"",AE145-LOOKUP(2,1/(Y145:AD145&lt;&gt;""),Y145:AD145)))</t>
        </is>
      </c>
      <c r="AQ145" s="36" t="inlineStr">
        <is>
          <t>IF(OR(E145="",AF145=""),"",IF(COUNT(Y145:AE145)=0,"",AF145-LOOKUP(2,1/(Y145:AE145&lt;&gt;""),Y145:AE145)))</t>
        </is>
      </c>
      <c r="AR145" s="36" t="inlineStr">
        <is>
          <t>IF(OR(E145="",AG145=""),"",IF(COUNT(Y145:AF145)=0,"",AG145-LOOKUP(2,1/(Y145:AF145&lt;&gt;""),Y145:AF145)))</t>
        </is>
      </c>
      <c r="AS145" s="36" t="inlineStr">
        <is>
          <t>IF(OR(E145="",AH145=""),"",IF(COUNT(Y145:AG145)=0,"",AH145-LOOKUP(2,1/(Y145:AG145&lt;&gt;""),Y145:AG145)))</t>
        </is>
      </c>
      <c r="AT145" s="36" t="inlineStr">
        <is>
          <t>IF(OR(E145="",AI145=""),"",IF(COUNT(Y145:AH145)=0,"",AI145-LOOKUP(2,1/(Y145:AH145&lt;&gt;""),Y145:AH145)))</t>
        </is>
      </c>
      <c r="AU145" s="36" t="inlineStr">
        <is>
          <t>IF(OR(E145="",AJ145=""),"",IF(COUNT(Y145:AI145)=0,"",AJ145-LOOKUP(2,1/(Y145:AI145&lt;&gt;""),Y145:AI145)))</t>
        </is>
      </c>
      <c r="AV145" s="39" t="inlineStr">
        <is>
          <t>IF(G145="","All_Provinces",IFERROR(VLOOKUP(G145,'07_Lookups'!$A$4:$B$20,2,FALSE),"All_Provinces"))</t>
        </is>
      </c>
      <c r="AW145" s="39" t="inlineStr">
        <is>
          <t>IF(H145="","All_Districts",IFERROR(VLOOKUP(H145,'07_Lookups'!$E$4:$F$42,2,FALSE),"All_Districts"))</t>
        </is>
      </c>
    </row>
    <row r="146" ht="18" customHeight="1">
      <c r="A146" s="31" t="inlineStr">
        <is>
          <t>IF(E146="","",ROW()-3)</t>
        </is>
      </c>
      <c r="B146" s="32" t="n"/>
      <c r="C146" s="32" t="n"/>
      <c r="D146" s="32" t="n"/>
      <c r="E146" s="32" t="n"/>
      <c r="F146" s="32" t="n"/>
      <c r="G146" s="32" t="n"/>
      <c r="H146" s="32" t="n"/>
      <c r="I146" s="32" t="n"/>
      <c r="J146" s="32" t="n"/>
      <c r="K146" s="32" t="n"/>
      <c r="L146" s="32" t="n"/>
      <c r="M146" s="32" t="n"/>
      <c r="N146" s="33" t="n"/>
      <c r="O146" s="34" t="inlineStr">
        <is>
          <t>IF(AE146="","",AE146)</t>
        </is>
      </c>
      <c r="P146" s="35" t="n"/>
      <c r="Q146" s="34" t="inlineStr">
        <is>
          <t>IF(OR(O146="",P146=""),"",EDATE(O146,P146))</t>
        </is>
      </c>
      <c r="R146" s="35" t="n"/>
      <c r="S146" s="32" t="n"/>
      <c r="T146" s="32" t="n"/>
      <c r="U146" s="31" t="inlineStr">
        <is>
          <t>IF(E146="","",IF(COUNT(Y146:AJ146)=0,IF(S146="","Not started",S146),SUBSTITUTE(LOOKUP(2,1/(Y146:AJ146&lt;&gt;""),$Y$3:$AJ$3),"Date: ","")))</t>
        </is>
      </c>
      <c r="V146" s="36" t="inlineStr">
        <is>
          <t>IF(OR(E146="",COUNT(Y146:AJ146)=0),"",TODAY()-LOOKUP(2,1/(Y146:AJ146&lt;&gt;""),Y146:AJ146))</t>
        </is>
      </c>
      <c r="W146" s="36" t="inlineStr">
        <is>
          <t>IF(OR(E146="",COUNT(Y146:AJ146)&lt;2),"",LOOKUP(2,1/(Y146:AJ146&lt;&gt;""),Y146:AJ146)-MIN(Y146:AJ146))</t>
        </is>
      </c>
      <c r="X146" s="36" t="inlineStr">
        <is>
          <t>IF(OR(V146="",U146="Not started",U146=""),"",IFERROR(V146-IF(VLOOKUP(U146,'04_Status_Pipeline'!$B$3:$E$20,4,FALSE)="",0,VLOOKUP(U146,'04_Status_Pipeline'!$B$3:$E$20,4,FALSE)),""))</t>
        </is>
      </c>
      <c r="Y146" s="37" t="n"/>
      <c r="Z146" s="37" t="n"/>
      <c r="AA146" s="37" t="n"/>
      <c r="AB146" s="37" t="n"/>
      <c r="AC146" s="37" t="n"/>
      <c r="AD146" s="37" t="n"/>
      <c r="AE146" s="37" t="n"/>
      <c r="AF146" s="37" t="n"/>
      <c r="AG146" s="37" t="n"/>
      <c r="AH146" s="38" t="n"/>
      <c r="AI146" s="38" t="n"/>
      <c r="AJ146" s="38" t="n"/>
      <c r="AK146" s="36" t="inlineStr">
        <is>
          <t>IF(OR(E146="",Z146=""),"",IF(COUNT(Y146:Y146)=0,"",Z146-LOOKUP(2,1/(Y146:Y146&lt;&gt;""),Y146:Y146)))</t>
        </is>
      </c>
      <c r="AL146" s="36" t="inlineStr">
        <is>
          <t>IF(OR(E146="",AA146=""),"",IF(COUNT(Y146:Z146)=0,"",AA146-LOOKUP(2,1/(Y146:Z146&lt;&gt;""),Y146:Z146)))</t>
        </is>
      </c>
      <c r="AM146" s="36" t="inlineStr">
        <is>
          <t>IF(OR(E146="",AB146=""),"",IF(COUNT(Y146:AA146)=0,"",AB146-LOOKUP(2,1/(Y146:AA146&lt;&gt;""),Y146:AA146)))</t>
        </is>
      </c>
      <c r="AN146" s="36" t="inlineStr">
        <is>
          <t>IF(OR(E146="",AC146=""),"",IF(COUNT(Y146:AB146)=0,"",AC146-LOOKUP(2,1/(Y146:AB146&lt;&gt;""),Y146:AB146)))</t>
        </is>
      </c>
      <c r="AO146" s="36" t="inlineStr">
        <is>
          <t>IF(OR(E146="",AD146=""),"",IF(COUNT(Y146:AC146)=0,"",AD146-LOOKUP(2,1/(Y146:AC146&lt;&gt;""),Y146:AC146)))</t>
        </is>
      </c>
      <c r="AP146" s="36" t="inlineStr">
        <is>
          <t>IF(OR(E146="",AE146=""),"",IF(COUNT(Y146:AD146)=0,"",AE146-LOOKUP(2,1/(Y146:AD146&lt;&gt;""),Y146:AD146)))</t>
        </is>
      </c>
      <c r="AQ146" s="36" t="inlineStr">
        <is>
          <t>IF(OR(E146="",AF146=""),"",IF(COUNT(Y146:AE146)=0,"",AF146-LOOKUP(2,1/(Y146:AE146&lt;&gt;""),Y146:AE146)))</t>
        </is>
      </c>
      <c r="AR146" s="36" t="inlineStr">
        <is>
          <t>IF(OR(E146="",AG146=""),"",IF(COUNT(Y146:AF146)=0,"",AG146-LOOKUP(2,1/(Y146:AF146&lt;&gt;""),Y146:AF146)))</t>
        </is>
      </c>
      <c r="AS146" s="36" t="inlineStr">
        <is>
          <t>IF(OR(E146="",AH146=""),"",IF(COUNT(Y146:AG146)=0,"",AH146-LOOKUP(2,1/(Y146:AG146&lt;&gt;""),Y146:AG146)))</t>
        </is>
      </c>
      <c r="AT146" s="36" t="inlineStr">
        <is>
          <t>IF(OR(E146="",AI146=""),"",IF(COUNT(Y146:AH146)=0,"",AI146-LOOKUP(2,1/(Y146:AH146&lt;&gt;""),Y146:AH146)))</t>
        </is>
      </c>
      <c r="AU146" s="36" t="inlineStr">
        <is>
          <t>IF(OR(E146="",AJ146=""),"",IF(COUNT(Y146:AI146)=0,"",AJ146-LOOKUP(2,1/(Y146:AI146&lt;&gt;""),Y146:AI146)))</t>
        </is>
      </c>
      <c r="AV146" s="39" t="inlineStr">
        <is>
          <t>IF(G146="","All_Provinces",IFERROR(VLOOKUP(G146,'07_Lookups'!$A$4:$B$20,2,FALSE),"All_Provinces"))</t>
        </is>
      </c>
      <c r="AW146" s="39" t="inlineStr">
        <is>
          <t>IF(H146="","All_Districts",IFERROR(VLOOKUP(H146,'07_Lookups'!$E$4:$F$42,2,FALSE),"All_Districts"))</t>
        </is>
      </c>
    </row>
    <row r="147" ht="18" customHeight="1">
      <c r="A147" s="31" t="inlineStr">
        <is>
          <t>IF(E147="","",ROW()-3)</t>
        </is>
      </c>
      <c r="B147" s="40" t="n"/>
      <c r="C147" s="40" t="n"/>
      <c r="D147" s="40" t="n"/>
      <c r="E147" s="40" t="n"/>
      <c r="F147" s="40" t="n"/>
      <c r="G147" s="40" t="n"/>
      <c r="H147" s="40" t="n"/>
      <c r="I147" s="40" t="n"/>
      <c r="J147" s="40" t="n"/>
      <c r="K147" s="40" t="n"/>
      <c r="L147" s="40" t="n"/>
      <c r="M147" s="40" t="n"/>
      <c r="N147" s="41" t="n"/>
      <c r="O147" s="34" t="inlineStr">
        <is>
          <t>IF(AE147="","",AE147)</t>
        </is>
      </c>
      <c r="P147" s="42" t="n"/>
      <c r="Q147" s="34" t="inlineStr">
        <is>
          <t>IF(OR(O147="",P147=""),"",EDATE(O147,P147))</t>
        </is>
      </c>
      <c r="R147" s="42" t="n"/>
      <c r="S147" s="40" t="n"/>
      <c r="T147" s="40" t="n"/>
      <c r="U147" s="31" t="inlineStr">
        <is>
          <t>IF(E147="","",IF(COUNT(Y147:AJ147)=0,IF(S147="","Not started",S147),SUBSTITUTE(LOOKUP(2,1/(Y147:AJ147&lt;&gt;""),$Y$3:$AJ$3),"Date: ","")))</t>
        </is>
      </c>
      <c r="V147" s="36" t="inlineStr">
        <is>
          <t>IF(OR(E147="",COUNT(Y147:AJ147)=0),"",TODAY()-LOOKUP(2,1/(Y147:AJ147&lt;&gt;""),Y147:AJ147))</t>
        </is>
      </c>
      <c r="W147" s="36" t="inlineStr">
        <is>
          <t>IF(OR(E147="",COUNT(Y147:AJ147)&lt;2),"",LOOKUP(2,1/(Y147:AJ147&lt;&gt;""),Y147:AJ147)-MIN(Y147:AJ147))</t>
        </is>
      </c>
      <c r="X147" s="36" t="inlineStr">
        <is>
          <t>IF(OR(V147="",U147="Not started",U147=""),"",IFERROR(V147-IF(VLOOKUP(U147,'04_Status_Pipeline'!$B$3:$E$20,4,FALSE)="",0,VLOOKUP(U147,'04_Status_Pipeline'!$B$3:$E$20,4,FALSE)),""))</t>
        </is>
      </c>
      <c r="Y147" s="43" t="n"/>
      <c r="Z147" s="43" t="n"/>
      <c r="AA147" s="43" t="n"/>
      <c r="AB147" s="43" t="n"/>
      <c r="AC147" s="43" t="n"/>
      <c r="AD147" s="43" t="n"/>
      <c r="AE147" s="43" t="n"/>
      <c r="AF147" s="43" t="n"/>
      <c r="AG147" s="43" t="n"/>
      <c r="AH147" s="38" t="n"/>
      <c r="AI147" s="38" t="n"/>
      <c r="AJ147" s="38" t="n"/>
      <c r="AK147" s="36" t="inlineStr">
        <is>
          <t>IF(OR(E147="",Z147=""),"",IF(COUNT(Y147:Y147)=0,"",Z147-LOOKUP(2,1/(Y147:Y147&lt;&gt;""),Y147:Y147)))</t>
        </is>
      </c>
      <c r="AL147" s="36" t="inlineStr">
        <is>
          <t>IF(OR(E147="",AA147=""),"",IF(COUNT(Y147:Z147)=0,"",AA147-LOOKUP(2,1/(Y147:Z147&lt;&gt;""),Y147:Z147)))</t>
        </is>
      </c>
      <c r="AM147" s="36" t="inlineStr">
        <is>
          <t>IF(OR(E147="",AB147=""),"",IF(COUNT(Y147:AA147)=0,"",AB147-LOOKUP(2,1/(Y147:AA147&lt;&gt;""),Y147:AA147)))</t>
        </is>
      </c>
      <c r="AN147" s="36" t="inlineStr">
        <is>
          <t>IF(OR(E147="",AC147=""),"",IF(COUNT(Y147:AB147)=0,"",AC147-LOOKUP(2,1/(Y147:AB147&lt;&gt;""),Y147:AB147)))</t>
        </is>
      </c>
      <c r="AO147" s="36" t="inlineStr">
        <is>
          <t>IF(OR(E147="",AD147=""),"",IF(COUNT(Y147:AC147)=0,"",AD147-LOOKUP(2,1/(Y147:AC147&lt;&gt;""),Y147:AC147)))</t>
        </is>
      </c>
      <c r="AP147" s="36" t="inlineStr">
        <is>
          <t>IF(OR(E147="",AE147=""),"",IF(COUNT(Y147:AD147)=0,"",AE147-LOOKUP(2,1/(Y147:AD147&lt;&gt;""),Y147:AD147)))</t>
        </is>
      </c>
      <c r="AQ147" s="36" t="inlineStr">
        <is>
          <t>IF(OR(E147="",AF147=""),"",IF(COUNT(Y147:AE147)=0,"",AF147-LOOKUP(2,1/(Y147:AE147&lt;&gt;""),Y147:AE147)))</t>
        </is>
      </c>
      <c r="AR147" s="36" t="inlineStr">
        <is>
          <t>IF(OR(E147="",AG147=""),"",IF(COUNT(Y147:AF147)=0,"",AG147-LOOKUP(2,1/(Y147:AF147&lt;&gt;""),Y147:AF147)))</t>
        </is>
      </c>
      <c r="AS147" s="36" t="inlineStr">
        <is>
          <t>IF(OR(E147="",AH147=""),"",IF(COUNT(Y147:AG147)=0,"",AH147-LOOKUP(2,1/(Y147:AG147&lt;&gt;""),Y147:AG147)))</t>
        </is>
      </c>
      <c r="AT147" s="36" t="inlineStr">
        <is>
          <t>IF(OR(E147="",AI147=""),"",IF(COUNT(Y147:AH147)=0,"",AI147-LOOKUP(2,1/(Y147:AH147&lt;&gt;""),Y147:AH147)))</t>
        </is>
      </c>
      <c r="AU147" s="36" t="inlineStr">
        <is>
          <t>IF(OR(E147="",AJ147=""),"",IF(COUNT(Y147:AI147)=0,"",AJ147-LOOKUP(2,1/(Y147:AI147&lt;&gt;""),Y147:AI147)))</t>
        </is>
      </c>
      <c r="AV147" s="39" t="inlineStr">
        <is>
          <t>IF(G147="","All_Provinces",IFERROR(VLOOKUP(G147,'07_Lookups'!$A$4:$B$20,2,FALSE),"All_Provinces"))</t>
        </is>
      </c>
      <c r="AW147" s="39" t="inlineStr">
        <is>
          <t>IF(H147="","All_Districts",IFERROR(VLOOKUP(H147,'07_Lookups'!$E$4:$F$42,2,FALSE),"All_Districts"))</t>
        </is>
      </c>
    </row>
    <row r="148" ht="18" customHeight="1">
      <c r="A148" s="31" t="inlineStr">
        <is>
          <t>IF(E148="","",ROW()-3)</t>
        </is>
      </c>
      <c r="B148" s="32" t="n"/>
      <c r="C148" s="32" t="n"/>
      <c r="D148" s="32" t="n"/>
      <c r="E148" s="32" t="n"/>
      <c r="F148" s="32" t="n"/>
      <c r="G148" s="32" t="n"/>
      <c r="H148" s="32" t="n"/>
      <c r="I148" s="32" t="n"/>
      <c r="J148" s="32" t="n"/>
      <c r="K148" s="32" t="n"/>
      <c r="L148" s="32" t="n"/>
      <c r="M148" s="32" t="n"/>
      <c r="N148" s="33" t="n"/>
      <c r="O148" s="34" t="inlineStr">
        <is>
          <t>IF(AE148="","",AE148)</t>
        </is>
      </c>
      <c r="P148" s="35" t="n"/>
      <c r="Q148" s="34" t="inlineStr">
        <is>
          <t>IF(OR(O148="",P148=""),"",EDATE(O148,P148))</t>
        </is>
      </c>
      <c r="R148" s="35" t="n"/>
      <c r="S148" s="32" t="n"/>
      <c r="T148" s="32" t="n"/>
      <c r="U148" s="31" t="inlineStr">
        <is>
          <t>IF(E148="","",IF(COUNT(Y148:AJ148)=0,IF(S148="","Not started",S148),SUBSTITUTE(LOOKUP(2,1/(Y148:AJ148&lt;&gt;""),$Y$3:$AJ$3),"Date: ","")))</t>
        </is>
      </c>
      <c r="V148" s="36" t="inlineStr">
        <is>
          <t>IF(OR(E148="",COUNT(Y148:AJ148)=0),"",TODAY()-LOOKUP(2,1/(Y148:AJ148&lt;&gt;""),Y148:AJ148))</t>
        </is>
      </c>
      <c r="W148" s="36" t="inlineStr">
        <is>
          <t>IF(OR(E148="",COUNT(Y148:AJ148)&lt;2),"",LOOKUP(2,1/(Y148:AJ148&lt;&gt;""),Y148:AJ148)-MIN(Y148:AJ148))</t>
        </is>
      </c>
      <c r="X148" s="36" t="inlineStr">
        <is>
          <t>IF(OR(V148="",U148="Not started",U148=""),"",IFERROR(V148-IF(VLOOKUP(U148,'04_Status_Pipeline'!$B$3:$E$20,4,FALSE)="",0,VLOOKUP(U148,'04_Status_Pipeline'!$B$3:$E$20,4,FALSE)),""))</t>
        </is>
      </c>
      <c r="Y148" s="37" t="n"/>
      <c r="Z148" s="37" t="n"/>
      <c r="AA148" s="37" t="n"/>
      <c r="AB148" s="37" t="n"/>
      <c r="AC148" s="37" t="n"/>
      <c r="AD148" s="37" t="n"/>
      <c r="AE148" s="37" t="n"/>
      <c r="AF148" s="37" t="n"/>
      <c r="AG148" s="37" t="n"/>
      <c r="AH148" s="38" t="n"/>
      <c r="AI148" s="38" t="n"/>
      <c r="AJ148" s="38" t="n"/>
      <c r="AK148" s="36" t="inlineStr">
        <is>
          <t>IF(OR(E148="",Z148=""),"",IF(COUNT(Y148:Y148)=0,"",Z148-LOOKUP(2,1/(Y148:Y148&lt;&gt;""),Y148:Y148)))</t>
        </is>
      </c>
      <c r="AL148" s="36" t="inlineStr">
        <is>
          <t>IF(OR(E148="",AA148=""),"",IF(COUNT(Y148:Z148)=0,"",AA148-LOOKUP(2,1/(Y148:Z148&lt;&gt;""),Y148:Z148)))</t>
        </is>
      </c>
      <c r="AM148" s="36" t="inlineStr">
        <is>
          <t>IF(OR(E148="",AB148=""),"",IF(COUNT(Y148:AA148)=0,"",AB148-LOOKUP(2,1/(Y148:AA148&lt;&gt;""),Y148:AA148)))</t>
        </is>
      </c>
      <c r="AN148" s="36" t="inlineStr">
        <is>
          <t>IF(OR(E148="",AC148=""),"",IF(COUNT(Y148:AB148)=0,"",AC148-LOOKUP(2,1/(Y148:AB148&lt;&gt;""),Y148:AB148)))</t>
        </is>
      </c>
      <c r="AO148" s="36" t="inlineStr">
        <is>
          <t>IF(OR(E148="",AD148=""),"",IF(COUNT(Y148:AC148)=0,"",AD148-LOOKUP(2,1/(Y148:AC148&lt;&gt;""),Y148:AC148)))</t>
        </is>
      </c>
      <c r="AP148" s="36" t="inlineStr">
        <is>
          <t>IF(OR(E148="",AE148=""),"",IF(COUNT(Y148:AD148)=0,"",AE148-LOOKUP(2,1/(Y148:AD148&lt;&gt;""),Y148:AD148)))</t>
        </is>
      </c>
      <c r="AQ148" s="36" t="inlineStr">
        <is>
          <t>IF(OR(E148="",AF148=""),"",IF(COUNT(Y148:AE148)=0,"",AF148-LOOKUP(2,1/(Y148:AE148&lt;&gt;""),Y148:AE148)))</t>
        </is>
      </c>
      <c r="AR148" s="36" t="inlineStr">
        <is>
          <t>IF(OR(E148="",AG148=""),"",IF(COUNT(Y148:AF148)=0,"",AG148-LOOKUP(2,1/(Y148:AF148&lt;&gt;""),Y148:AF148)))</t>
        </is>
      </c>
      <c r="AS148" s="36" t="inlineStr">
        <is>
          <t>IF(OR(E148="",AH148=""),"",IF(COUNT(Y148:AG148)=0,"",AH148-LOOKUP(2,1/(Y148:AG148&lt;&gt;""),Y148:AG148)))</t>
        </is>
      </c>
      <c r="AT148" s="36" t="inlineStr">
        <is>
          <t>IF(OR(E148="",AI148=""),"",IF(COUNT(Y148:AH148)=0,"",AI148-LOOKUP(2,1/(Y148:AH148&lt;&gt;""),Y148:AH148)))</t>
        </is>
      </c>
      <c r="AU148" s="36" t="inlineStr">
        <is>
          <t>IF(OR(E148="",AJ148=""),"",IF(COUNT(Y148:AI148)=0,"",AJ148-LOOKUP(2,1/(Y148:AI148&lt;&gt;""),Y148:AI148)))</t>
        </is>
      </c>
      <c r="AV148" s="39" t="inlineStr">
        <is>
          <t>IF(G148="","All_Provinces",IFERROR(VLOOKUP(G148,'07_Lookups'!$A$4:$B$20,2,FALSE),"All_Provinces"))</t>
        </is>
      </c>
      <c r="AW148" s="39" t="inlineStr">
        <is>
          <t>IF(H148="","All_Districts",IFERROR(VLOOKUP(H148,'07_Lookups'!$E$4:$F$42,2,FALSE),"All_Districts"))</t>
        </is>
      </c>
    </row>
    <row r="149" ht="18" customHeight="1">
      <c r="A149" s="31" t="inlineStr">
        <is>
          <t>IF(E149="","",ROW()-3)</t>
        </is>
      </c>
      <c r="B149" s="40" t="n"/>
      <c r="C149" s="40" t="n"/>
      <c r="D149" s="40" t="n"/>
      <c r="E149" s="40" t="n"/>
      <c r="F149" s="40" t="n"/>
      <c r="G149" s="40" t="n"/>
      <c r="H149" s="40" t="n"/>
      <c r="I149" s="40" t="n"/>
      <c r="J149" s="40" t="n"/>
      <c r="K149" s="40" t="n"/>
      <c r="L149" s="40" t="n"/>
      <c r="M149" s="40" t="n"/>
      <c r="N149" s="41" t="n"/>
      <c r="O149" s="34" t="inlineStr">
        <is>
          <t>IF(AE149="","",AE149)</t>
        </is>
      </c>
      <c r="P149" s="42" t="n"/>
      <c r="Q149" s="34" t="inlineStr">
        <is>
          <t>IF(OR(O149="",P149=""),"",EDATE(O149,P149))</t>
        </is>
      </c>
      <c r="R149" s="42" t="n"/>
      <c r="S149" s="40" t="n"/>
      <c r="T149" s="40" t="n"/>
      <c r="U149" s="31" t="inlineStr">
        <is>
          <t>IF(E149="","",IF(COUNT(Y149:AJ149)=0,IF(S149="","Not started",S149),SUBSTITUTE(LOOKUP(2,1/(Y149:AJ149&lt;&gt;""),$Y$3:$AJ$3),"Date: ","")))</t>
        </is>
      </c>
      <c r="V149" s="36" t="inlineStr">
        <is>
          <t>IF(OR(E149="",COUNT(Y149:AJ149)=0),"",TODAY()-LOOKUP(2,1/(Y149:AJ149&lt;&gt;""),Y149:AJ149))</t>
        </is>
      </c>
      <c r="W149" s="36" t="inlineStr">
        <is>
          <t>IF(OR(E149="",COUNT(Y149:AJ149)&lt;2),"",LOOKUP(2,1/(Y149:AJ149&lt;&gt;""),Y149:AJ149)-MIN(Y149:AJ149))</t>
        </is>
      </c>
      <c r="X149" s="36" t="inlineStr">
        <is>
          <t>IF(OR(V149="",U149="Not started",U149=""),"",IFERROR(V149-IF(VLOOKUP(U149,'04_Status_Pipeline'!$B$3:$E$20,4,FALSE)="",0,VLOOKUP(U149,'04_Status_Pipeline'!$B$3:$E$20,4,FALSE)),""))</t>
        </is>
      </c>
      <c r="Y149" s="43" t="n"/>
      <c r="Z149" s="43" t="n"/>
      <c r="AA149" s="43" t="n"/>
      <c r="AB149" s="43" t="n"/>
      <c r="AC149" s="43" t="n"/>
      <c r="AD149" s="43" t="n"/>
      <c r="AE149" s="43" t="n"/>
      <c r="AF149" s="43" t="n"/>
      <c r="AG149" s="43" t="n"/>
      <c r="AH149" s="38" t="n"/>
      <c r="AI149" s="38" t="n"/>
      <c r="AJ149" s="38" t="n"/>
      <c r="AK149" s="36" t="inlineStr">
        <is>
          <t>IF(OR(E149="",Z149=""),"",IF(COUNT(Y149:Y149)=0,"",Z149-LOOKUP(2,1/(Y149:Y149&lt;&gt;""),Y149:Y149)))</t>
        </is>
      </c>
      <c r="AL149" s="36" t="inlineStr">
        <is>
          <t>IF(OR(E149="",AA149=""),"",IF(COUNT(Y149:Z149)=0,"",AA149-LOOKUP(2,1/(Y149:Z149&lt;&gt;""),Y149:Z149)))</t>
        </is>
      </c>
      <c r="AM149" s="36" t="inlineStr">
        <is>
          <t>IF(OR(E149="",AB149=""),"",IF(COUNT(Y149:AA149)=0,"",AB149-LOOKUP(2,1/(Y149:AA149&lt;&gt;""),Y149:AA149)))</t>
        </is>
      </c>
      <c r="AN149" s="36" t="inlineStr">
        <is>
          <t>IF(OR(E149="",AC149=""),"",IF(COUNT(Y149:AB149)=0,"",AC149-LOOKUP(2,1/(Y149:AB149&lt;&gt;""),Y149:AB149)))</t>
        </is>
      </c>
      <c r="AO149" s="36" t="inlineStr">
        <is>
          <t>IF(OR(E149="",AD149=""),"",IF(COUNT(Y149:AC149)=0,"",AD149-LOOKUP(2,1/(Y149:AC149&lt;&gt;""),Y149:AC149)))</t>
        </is>
      </c>
      <c r="AP149" s="36" t="inlineStr">
        <is>
          <t>IF(OR(E149="",AE149=""),"",IF(COUNT(Y149:AD149)=0,"",AE149-LOOKUP(2,1/(Y149:AD149&lt;&gt;""),Y149:AD149)))</t>
        </is>
      </c>
      <c r="AQ149" s="36" t="inlineStr">
        <is>
          <t>IF(OR(E149="",AF149=""),"",IF(COUNT(Y149:AE149)=0,"",AF149-LOOKUP(2,1/(Y149:AE149&lt;&gt;""),Y149:AE149)))</t>
        </is>
      </c>
      <c r="AR149" s="36" t="inlineStr">
        <is>
          <t>IF(OR(E149="",AG149=""),"",IF(COUNT(Y149:AF149)=0,"",AG149-LOOKUP(2,1/(Y149:AF149&lt;&gt;""),Y149:AF149)))</t>
        </is>
      </c>
      <c r="AS149" s="36" t="inlineStr">
        <is>
          <t>IF(OR(E149="",AH149=""),"",IF(COUNT(Y149:AG149)=0,"",AH149-LOOKUP(2,1/(Y149:AG149&lt;&gt;""),Y149:AG149)))</t>
        </is>
      </c>
      <c r="AT149" s="36" t="inlineStr">
        <is>
          <t>IF(OR(E149="",AI149=""),"",IF(COUNT(Y149:AH149)=0,"",AI149-LOOKUP(2,1/(Y149:AH149&lt;&gt;""),Y149:AH149)))</t>
        </is>
      </c>
      <c r="AU149" s="36" t="inlineStr">
        <is>
          <t>IF(OR(E149="",AJ149=""),"",IF(COUNT(Y149:AI149)=0,"",AJ149-LOOKUP(2,1/(Y149:AI149&lt;&gt;""),Y149:AI149)))</t>
        </is>
      </c>
      <c r="AV149" s="39" t="inlineStr">
        <is>
          <t>IF(G149="","All_Provinces",IFERROR(VLOOKUP(G149,'07_Lookups'!$A$4:$B$20,2,FALSE),"All_Provinces"))</t>
        </is>
      </c>
      <c r="AW149" s="39" t="inlineStr">
        <is>
          <t>IF(H149="","All_Districts",IFERROR(VLOOKUP(H149,'07_Lookups'!$E$4:$F$42,2,FALSE),"All_Districts"))</t>
        </is>
      </c>
    </row>
    <row r="150" ht="18" customHeight="1">
      <c r="A150" s="31" t="inlineStr">
        <is>
          <t>IF(E150="","",ROW()-3)</t>
        </is>
      </c>
      <c r="B150" s="32" t="n"/>
      <c r="C150" s="32" t="n"/>
      <c r="D150" s="32" t="n"/>
      <c r="E150" s="32" t="n"/>
      <c r="F150" s="32" t="n"/>
      <c r="G150" s="32" t="n"/>
      <c r="H150" s="32" t="n"/>
      <c r="I150" s="32" t="n"/>
      <c r="J150" s="32" t="n"/>
      <c r="K150" s="32" t="n"/>
      <c r="L150" s="32" t="n"/>
      <c r="M150" s="32" t="n"/>
      <c r="N150" s="33" t="n"/>
      <c r="O150" s="34" t="inlineStr">
        <is>
          <t>IF(AE150="","",AE150)</t>
        </is>
      </c>
      <c r="P150" s="35" t="n"/>
      <c r="Q150" s="34" t="inlineStr">
        <is>
          <t>IF(OR(O150="",P150=""),"",EDATE(O150,P150))</t>
        </is>
      </c>
      <c r="R150" s="35" t="n"/>
      <c r="S150" s="32" t="n"/>
      <c r="T150" s="32" t="n"/>
      <c r="U150" s="31" t="inlineStr">
        <is>
          <t>IF(E150="","",IF(COUNT(Y150:AJ150)=0,IF(S150="","Not started",S150),SUBSTITUTE(LOOKUP(2,1/(Y150:AJ150&lt;&gt;""),$Y$3:$AJ$3),"Date: ","")))</t>
        </is>
      </c>
      <c r="V150" s="36" t="inlineStr">
        <is>
          <t>IF(OR(E150="",COUNT(Y150:AJ150)=0),"",TODAY()-LOOKUP(2,1/(Y150:AJ150&lt;&gt;""),Y150:AJ150))</t>
        </is>
      </c>
      <c r="W150" s="36" t="inlineStr">
        <is>
          <t>IF(OR(E150="",COUNT(Y150:AJ150)&lt;2),"",LOOKUP(2,1/(Y150:AJ150&lt;&gt;""),Y150:AJ150)-MIN(Y150:AJ150))</t>
        </is>
      </c>
      <c r="X150" s="36" t="inlineStr">
        <is>
          <t>IF(OR(V150="",U150="Not started",U150=""),"",IFERROR(V150-IF(VLOOKUP(U150,'04_Status_Pipeline'!$B$3:$E$20,4,FALSE)="",0,VLOOKUP(U150,'04_Status_Pipeline'!$B$3:$E$20,4,FALSE)),""))</t>
        </is>
      </c>
      <c r="Y150" s="37" t="n"/>
      <c r="Z150" s="37" t="n"/>
      <c r="AA150" s="37" t="n"/>
      <c r="AB150" s="37" t="n"/>
      <c r="AC150" s="37" t="n"/>
      <c r="AD150" s="37" t="n"/>
      <c r="AE150" s="37" t="n"/>
      <c r="AF150" s="37" t="n"/>
      <c r="AG150" s="37" t="n"/>
      <c r="AH150" s="38" t="n"/>
      <c r="AI150" s="38" t="n"/>
      <c r="AJ150" s="38" t="n"/>
      <c r="AK150" s="36" t="inlineStr">
        <is>
          <t>IF(OR(E150="",Z150=""),"",IF(COUNT(Y150:Y150)=0,"",Z150-LOOKUP(2,1/(Y150:Y150&lt;&gt;""),Y150:Y150)))</t>
        </is>
      </c>
      <c r="AL150" s="36" t="inlineStr">
        <is>
          <t>IF(OR(E150="",AA150=""),"",IF(COUNT(Y150:Z150)=0,"",AA150-LOOKUP(2,1/(Y150:Z150&lt;&gt;""),Y150:Z150)))</t>
        </is>
      </c>
      <c r="AM150" s="36" t="inlineStr">
        <is>
          <t>IF(OR(E150="",AB150=""),"",IF(COUNT(Y150:AA150)=0,"",AB150-LOOKUP(2,1/(Y150:AA150&lt;&gt;""),Y150:AA150)))</t>
        </is>
      </c>
      <c r="AN150" s="36" t="inlineStr">
        <is>
          <t>IF(OR(E150="",AC150=""),"",IF(COUNT(Y150:AB150)=0,"",AC150-LOOKUP(2,1/(Y150:AB150&lt;&gt;""),Y150:AB150)))</t>
        </is>
      </c>
      <c r="AO150" s="36" t="inlineStr">
        <is>
          <t>IF(OR(E150="",AD150=""),"",IF(COUNT(Y150:AC150)=0,"",AD150-LOOKUP(2,1/(Y150:AC150&lt;&gt;""),Y150:AC150)))</t>
        </is>
      </c>
      <c r="AP150" s="36" t="inlineStr">
        <is>
          <t>IF(OR(E150="",AE150=""),"",IF(COUNT(Y150:AD150)=0,"",AE150-LOOKUP(2,1/(Y150:AD150&lt;&gt;""),Y150:AD150)))</t>
        </is>
      </c>
      <c r="AQ150" s="36" t="inlineStr">
        <is>
          <t>IF(OR(E150="",AF150=""),"",IF(COUNT(Y150:AE150)=0,"",AF150-LOOKUP(2,1/(Y150:AE150&lt;&gt;""),Y150:AE150)))</t>
        </is>
      </c>
      <c r="AR150" s="36" t="inlineStr">
        <is>
          <t>IF(OR(E150="",AG150=""),"",IF(COUNT(Y150:AF150)=0,"",AG150-LOOKUP(2,1/(Y150:AF150&lt;&gt;""),Y150:AF150)))</t>
        </is>
      </c>
      <c r="AS150" s="36" t="inlineStr">
        <is>
          <t>IF(OR(E150="",AH150=""),"",IF(COUNT(Y150:AG150)=0,"",AH150-LOOKUP(2,1/(Y150:AG150&lt;&gt;""),Y150:AG150)))</t>
        </is>
      </c>
      <c r="AT150" s="36" t="inlineStr">
        <is>
          <t>IF(OR(E150="",AI150=""),"",IF(COUNT(Y150:AH150)=0,"",AI150-LOOKUP(2,1/(Y150:AH150&lt;&gt;""),Y150:AH150)))</t>
        </is>
      </c>
      <c r="AU150" s="36" t="inlineStr">
        <is>
          <t>IF(OR(E150="",AJ150=""),"",IF(COUNT(Y150:AI150)=0,"",AJ150-LOOKUP(2,1/(Y150:AI150&lt;&gt;""),Y150:AI150)))</t>
        </is>
      </c>
      <c r="AV150" s="39" t="inlineStr">
        <is>
          <t>IF(G150="","All_Provinces",IFERROR(VLOOKUP(G150,'07_Lookups'!$A$4:$B$20,2,FALSE),"All_Provinces"))</t>
        </is>
      </c>
      <c r="AW150" s="39" t="inlineStr">
        <is>
          <t>IF(H150="","All_Districts",IFERROR(VLOOKUP(H150,'07_Lookups'!$E$4:$F$42,2,FALSE),"All_Districts"))</t>
        </is>
      </c>
    </row>
    <row r="151" ht="18" customHeight="1">
      <c r="A151" s="31" t="inlineStr">
        <is>
          <t>IF(E151="","",ROW()-3)</t>
        </is>
      </c>
      <c r="B151" s="40" t="n"/>
      <c r="C151" s="40" t="n"/>
      <c r="D151" s="40" t="n"/>
      <c r="E151" s="40" t="n"/>
      <c r="F151" s="40" t="n"/>
      <c r="G151" s="40" t="n"/>
      <c r="H151" s="40" t="n"/>
      <c r="I151" s="40" t="n"/>
      <c r="J151" s="40" t="n"/>
      <c r="K151" s="40" t="n"/>
      <c r="L151" s="40" t="n"/>
      <c r="M151" s="40" t="n"/>
      <c r="N151" s="41" t="n"/>
      <c r="O151" s="34" t="inlineStr">
        <is>
          <t>IF(AE151="","",AE151)</t>
        </is>
      </c>
      <c r="P151" s="42" t="n"/>
      <c r="Q151" s="34" t="inlineStr">
        <is>
          <t>IF(OR(O151="",P151=""),"",EDATE(O151,P151))</t>
        </is>
      </c>
      <c r="R151" s="42" t="n"/>
      <c r="S151" s="40" t="n"/>
      <c r="T151" s="40" t="n"/>
      <c r="U151" s="31" t="inlineStr">
        <is>
          <t>IF(E151="","",IF(COUNT(Y151:AJ151)=0,IF(S151="","Not started",S151),SUBSTITUTE(LOOKUP(2,1/(Y151:AJ151&lt;&gt;""),$Y$3:$AJ$3),"Date: ","")))</t>
        </is>
      </c>
      <c r="V151" s="36" t="inlineStr">
        <is>
          <t>IF(OR(E151="",COUNT(Y151:AJ151)=0),"",TODAY()-LOOKUP(2,1/(Y151:AJ151&lt;&gt;""),Y151:AJ151))</t>
        </is>
      </c>
      <c r="W151" s="36" t="inlineStr">
        <is>
          <t>IF(OR(E151="",COUNT(Y151:AJ151)&lt;2),"",LOOKUP(2,1/(Y151:AJ151&lt;&gt;""),Y151:AJ151)-MIN(Y151:AJ151))</t>
        </is>
      </c>
      <c r="X151" s="36" t="inlineStr">
        <is>
          <t>IF(OR(V151="",U151="Not started",U151=""),"",IFERROR(V151-IF(VLOOKUP(U151,'04_Status_Pipeline'!$B$3:$E$20,4,FALSE)="",0,VLOOKUP(U151,'04_Status_Pipeline'!$B$3:$E$20,4,FALSE)),""))</t>
        </is>
      </c>
      <c r="Y151" s="43" t="n"/>
      <c r="Z151" s="43" t="n"/>
      <c r="AA151" s="43" t="n"/>
      <c r="AB151" s="43" t="n"/>
      <c r="AC151" s="43" t="n"/>
      <c r="AD151" s="43" t="n"/>
      <c r="AE151" s="43" t="n"/>
      <c r="AF151" s="43" t="n"/>
      <c r="AG151" s="43" t="n"/>
      <c r="AH151" s="38" t="n"/>
      <c r="AI151" s="38" t="n"/>
      <c r="AJ151" s="38" t="n"/>
      <c r="AK151" s="36" t="inlineStr">
        <is>
          <t>IF(OR(E151="",Z151=""),"",IF(COUNT(Y151:Y151)=0,"",Z151-LOOKUP(2,1/(Y151:Y151&lt;&gt;""),Y151:Y151)))</t>
        </is>
      </c>
      <c r="AL151" s="36" t="inlineStr">
        <is>
          <t>IF(OR(E151="",AA151=""),"",IF(COUNT(Y151:Z151)=0,"",AA151-LOOKUP(2,1/(Y151:Z151&lt;&gt;""),Y151:Z151)))</t>
        </is>
      </c>
      <c r="AM151" s="36" t="inlineStr">
        <is>
          <t>IF(OR(E151="",AB151=""),"",IF(COUNT(Y151:AA151)=0,"",AB151-LOOKUP(2,1/(Y151:AA151&lt;&gt;""),Y151:AA151)))</t>
        </is>
      </c>
      <c r="AN151" s="36" t="inlineStr">
        <is>
          <t>IF(OR(E151="",AC151=""),"",IF(COUNT(Y151:AB151)=0,"",AC151-LOOKUP(2,1/(Y151:AB151&lt;&gt;""),Y151:AB151)))</t>
        </is>
      </c>
      <c r="AO151" s="36" t="inlineStr">
        <is>
          <t>IF(OR(E151="",AD151=""),"",IF(COUNT(Y151:AC151)=0,"",AD151-LOOKUP(2,1/(Y151:AC151&lt;&gt;""),Y151:AC151)))</t>
        </is>
      </c>
      <c r="AP151" s="36" t="inlineStr">
        <is>
          <t>IF(OR(E151="",AE151=""),"",IF(COUNT(Y151:AD151)=0,"",AE151-LOOKUP(2,1/(Y151:AD151&lt;&gt;""),Y151:AD151)))</t>
        </is>
      </c>
      <c r="AQ151" s="36" t="inlineStr">
        <is>
          <t>IF(OR(E151="",AF151=""),"",IF(COUNT(Y151:AE151)=0,"",AF151-LOOKUP(2,1/(Y151:AE151&lt;&gt;""),Y151:AE151)))</t>
        </is>
      </c>
      <c r="AR151" s="36" t="inlineStr">
        <is>
          <t>IF(OR(E151="",AG151=""),"",IF(COUNT(Y151:AF151)=0,"",AG151-LOOKUP(2,1/(Y151:AF151&lt;&gt;""),Y151:AF151)))</t>
        </is>
      </c>
      <c r="AS151" s="36" t="inlineStr">
        <is>
          <t>IF(OR(E151="",AH151=""),"",IF(COUNT(Y151:AG151)=0,"",AH151-LOOKUP(2,1/(Y151:AG151&lt;&gt;""),Y151:AG151)))</t>
        </is>
      </c>
      <c r="AT151" s="36" t="inlineStr">
        <is>
          <t>IF(OR(E151="",AI151=""),"",IF(COUNT(Y151:AH151)=0,"",AI151-LOOKUP(2,1/(Y151:AH151&lt;&gt;""),Y151:AH151)))</t>
        </is>
      </c>
      <c r="AU151" s="36" t="inlineStr">
        <is>
          <t>IF(OR(E151="",AJ151=""),"",IF(COUNT(Y151:AI151)=0,"",AJ151-LOOKUP(2,1/(Y151:AI151&lt;&gt;""),Y151:AI151)))</t>
        </is>
      </c>
      <c r="AV151" s="39" t="inlineStr">
        <is>
          <t>IF(G151="","All_Provinces",IFERROR(VLOOKUP(G151,'07_Lookups'!$A$4:$B$20,2,FALSE),"All_Provinces"))</t>
        </is>
      </c>
      <c r="AW151" s="39" t="inlineStr">
        <is>
          <t>IF(H151="","All_Districts",IFERROR(VLOOKUP(H151,'07_Lookups'!$E$4:$F$42,2,FALSE),"All_Districts"))</t>
        </is>
      </c>
    </row>
    <row r="152" ht="18" customHeight="1">
      <c r="A152" s="31" t="inlineStr">
        <is>
          <t>IF(E152="","",ROW()-3)</t>
        </is>
      </c>
      <c r="B152" s="32" t="n"/>
      <c r="C152" s="32" t="n"/>
      <c r="D152" s="32" t="n"/>
      <c r="E152" s="32" t="n"/>
      <c r="F152" s="32" t="n"/>
      <c r="G152" s="32" t="n"/>
      <c r="H152" s="32" t="n"/>
      <c r="I152" s="32" t="n"/>
      <c r="J152" s="32" t="n"/>
      <c r="K152" s="32" t="n"/>
      <c r="L152" s="32" t="n"/>
      <c r="M152" s="32" t="n"/>
      <c r="N152" s="33" t="n"/>
      <c r="O152" s="34" t="inlineStr">
        <is>
          <t>IF(AE152="","",AE152)</t>
        </is>
      </c>
      <c r="P152" s="35" t="n"/>
      <c r="Q152" s="34" t="inlineStr">
        <is>
          <t>IF(OR(O152="",P152=""),"",EDATE(O152,P152))</t>
        </is>
      </c>
      <c r="R152" s="35" t="n"/>
      <c r="S152" s="32" t="n"/>
      <c r="T152" s="32" t="n"/>
      <c r="U152" s="31" t="inlineStr">
        <is>
          <t>IF(E152="","",IF(COUNT(Y152:AJ152)=0,IF(S152="","Not started",S152),SUBSTITUTE(LOOKUP(2,1/(Y152:AJ152&lt;&gt;""),$Y$3:$AJ$3),"Date: ","")))</t>
        </is>
      </c>
      <c r="V152" s="36" t="inlineStr">
        <is>
          <t>IF(OR(E152="",COUNT(Y152:AJ152)=0),"",TODAY()-LOOKUP(2,1/(Y152:AJ152&lt;&gt;""),Y152:AJ152))</t>
        </is>
      </c>
      <c r="W152" s="36" t="inlineStr">
        <is>
          <t>IF(OR(E152="",COUNT(Y152:AJ152)&lt;2),"",LOOKUP(2,1/(Y152:AJ152&lt;&gt;""),Y152:AJ152)-MIN(Y152:AJ152))</t>
        </is>
      </c>
      <c r="X152" s="36" t="inlineStr">
        <is>
          <t>IF(OR(V152="",U152="Not started",U152=""),"",IFERROR(V152-IF(VLOOKUP(U152,'04_Status_Pipeline'!$B$3:$E$20,4,FALSE)="",0,VLOOKUP(U152,'04_Status_Pipeline'!$B$3:$E$20,4,FALSE)),""))</t>
        </is>
      </c>
      <c r="Y152" s="37" t="n"/>
      <c r="Z152" s="37" t="n"/>
      <c r="AA152" s="37" t="n"/>
      <c r="AB152" s="37" t="n"/>
      <c r="AC152" s="37" t="n"/>
      <c r="AD152" s="37" t="n"/>
      <c r="AE152" s="37" t="n"/>
      <c r="AF152" s="37" t="n"/>
      <c r="AG152" s="37" t="n"/>
      <c r="AH152" s="38" t="n"/>
      <c r="AI152" s="38" t="n"/>
      <c r="AJ152" s="38" t="n"/>
      <c r="AK152" s="36" t="inlineStr">
        <is>
          <t>IF(OR(E152="",Z152=""),"",IF(COUNT(Y152:Y152)=0,"",Z152-LOOKUP(2,1/(Y152:Y152&lt;&gt;""),Y152:Y152)))</t>
        </is>
      </c>
      <c r="AL152" s="36" t="inlineStr">
        <is>
          <t>IF(OR(E152="",AA152=""),"",IF(COUNT(Y152:Z152)=0,"",AA152-LOOKUP(2,1/(Y152:Z152&lt;&gt;""),Y152:Z152)))</t>
        </is>
      </c>
      <c r="AM152" s="36" t="inlineStr">
        <is>
          <t>IF(OR(E152="",AB152=""),"",IF(COUNT(Y152:AA152)=0,"",AB152-LOOKUP(2,1/(Y152:AA152&lt;&gt;""),Y152:AA152)))</t>
        </is>
      </c>
      <c r="AN152" s="36" t="inlineStr">
        <is>
          <t>IF(OR(E152="",AC152=""),"",IF(COUNT(Y152:AB152)=0,"",AC152-LOOKUP(2,1/(Y152:AB152&lt;&gt;""),Y152:AB152)))</t>
        </is>
      </c>
      <c r="AO152" s="36" t="inlineStr">
        <is>
          <t>IF(OR(E152="",AD152=""),"",IF(COUNT(Y152:AC152)=0,"",AD152-LOOKUP(2,1/(Y152:AC152&lt;&gt;""),Y152:AC152)))</t>
        </is>
      </c>
      <c r="AP152" s="36" t="inlineStr">
        <is>
          <t>IF(OR(E152="",AE152=""),"",IF(COUNT(Y152:AD152)=0,"",AE152-LOOKUP(2,1/(Y152:AD152&lt;&gt;""),Y152:AD152)))</t>
        </is>
      </c>
      <c r="AQ152" s="36" t="inlineStr">
        <is>
          <t>IF(OR(E152="",AF152=""),"",IF(COUNT(Y152:AE152)=0,"",AF152-LOOKUP(2,1/(Y152:AE152&lt;&gt;""),Y152:AE152)))</t>
        </is>
      </c>
      <c r="AR152" s="36" t="inlineStr">
        <is>
          <t>IF(OR(E152="",AG152=""),"",IF(COUNT(Y152:AF152)=0,"",AG152-LOOKUP(2,1/(Y152:AF152&lt;&gt;""),Y152:AF152)))</t>
        </is>
      </c>
      <c r="AS152" s="36" t="inlineStr">
        <is>
          <t>IF(OR(E152="",AH152=""),"",IF(COUNT(Y152:AG152)=0,"",AH152-LOOKUP(2,1/(Y152:AG152&lt;&gt;""),Y152:AG152)))</t>
        </is>
      </c>
      <c r="AT152" s="36" t="inlineStr">
        <is>
          <t>IF(OR(E152="",AI152=""),"",IF(COUNT(Y152:AH152)=0,"",AI152-LOOKUP(2,1/(Y152:AH152&lt;&gt;""),Y152:AH152)))</t>
        </is>
      </c>
      <c r="AU152" s="36" t="inlineStr">
        <is>
          <t>IF(OR(E152="",AJ152=""),"",IF(COUNT(Y152:AI152)=0,"",AJ152-LOOKUP(2,1/(Y152:AI152&lt;&gt;""),Y152:AI152)))</t>
        </is>
      </c>
      <c r="AV152" s="39" t="inlineStr">
        <is>
          <t>IF(G152="","All_Provinces",IFERROR(VLOOKUP(G152,'07_Lookups'!$A$4:$B$20,2,FALSE),"All_Provinces"))</t>
        </is>
      </c>
      <c r="AW152" s="39" t="inlineStr">
        <is>
          <t>IF(H152="","All_Districts",IFERROR(VLOOKUP(H152,'07_Lookups'!$E$4:$F$42,2,FALSE),"All_Districts"))</t>
        </is>
      </c>
    </row>
    <row r="153" ht="18" customHeight="1">
      <c r="A153" s="31" t="inlineStr">
        <is>
          <t>IF(E153="","",ROW()-3)</t>
        </is>
      </c>
      <c r="B153" s="40" t="n"/>
      <c r="C153" s="40" t="n"/>
      <c r="D153" s="40" t="n"/>
      <c r="E153" s="40" t="n"/>
      <c r="F153" s="40" t="n"/>
      <c r="G153" s="40" t="n"/>
      <c r="H153" s="40" t="n"/>
      <c r="I153" s="40" t="n"/>
      <c r="J153" s="40" t="n"/>
      <c r="K153" s="40" t="n"/>
      <c r="L153" s="40" t="n"/>
      <c r="M153" s="40" t="n"/>
      <c r="N153" s="41" t="n"/>
      <c r="O153" s="34" t="inlineStr">
        <is>
          <t>IF(AE153="","",AE153)</t>
        </is>
      </c>
      <c r="P153" s="42" t="n"/>
      <c r="Q153" s="34" t="inlineStr">
        <is>
          <t>IF(OR(O153="",P153=""),"",EDATE(O153,P153))</t>
        </is>
      </c>
      <c r="R153" s="42" t="n"/>
      <c r="S153" s="40" t="n"/>
      <c r="T153" s="40" t="n"/>
      <c r="U153" s="31" t="inlineStr">
        <is>
          <t>IF(E153="","",IF(COUNT(Y153:AJ153)=0,IF(S153="","Not started",S153),SUBSTITUTE(LOOKUP(2,1/(Y153:AJ153&lt;&gt;""),$Y$3:$AJ$3),"Date: ","")))</t>
        </is>
      </c>
      <c r="V153" s="36" t="inlineStr">
        <is>
          <t>IF(OR(E153="",COUNT(Y153:AJ153)=0),"",TODAY()-LOOKUP(2,1/(Y153:AJ153&lt;&gt;""),Y153:AJ153))</t>
        </is>
      </c>
      <c r="W153" s="36" t="inlineStr">
        <is>
          <t>IF(OR(E153="",COUNT(Y153:AJ153)&lt;2),"",LOOKUP(2,1/(Y153:AJ153&lt;&gt;""),Y153:AJ153)-MIN(Y153:AJ153))</t>
        </is>
      </c>
      <c r="X153" s="36" t="inlineStr">
        <is>
          <t>IF(OR(V153="",U153="Not started",U153=""),"",IFERROR(V153-IF(VLOOKUP(U153,'04_Status_Pipeline'!$B$3:$E$20,4,FALSE)="",0,VLOOKUP(U153,'04_Status_Pipeline'!$B$3:$E$20,4,FALSE)),""))</t>
        </is>
      </c>
      <c r="Y153" s="43" t="n"/>
      <c r="Z153" s="43" t="n"/>
      <c r="AA153" s="43" t="n"/>
      <c r="AB153" s="43" t="n"/>
      <c r="AC153" s="43" t="n"/>
      <c r="AD153" s="43" t="n"/>
      <c r="AE153" s="43" t="n"/>
      <c r="AF153" s="43" t="n"/>
      <c r="AG153" s="43" t="n"/>
      <c r="AH153" s="38" t="n"/>
      <c r="AI153" s="38" t="n"/>
      <c r="AJ153" s="38" t="n"/>
      <c r="AK153" s="36" t="inlineStr">
        <is>
          <t>IF(OR(E153="",Z153=""),"",IF(COUNT(Y153:Y153)=0,"",Z153-LOOKUP(2,1/(Y153:Y153&lt;&gt;""),Y153:Y153)))</t>
        </is>
      </c>
      <c r="AL153" s="36" t="inlineStr">
        <is>
          <t>IF(OR(E153="",AA153=""),"",IF(COUNT(Y153:Z153)=0,"",AA153-LOOKUP(2,1/(Y153:Z153&lt;&gt;""),Y153:Z153)))</t>
        </is>
      </c>
      <c r="AM153" s="36" t="inlineStr">
        <is>
          <t>IF(OR(E153="",AB153=""),"",IF(COUNT(Y153:AA153)=0,"",AB153-LOOKUP(2,1/(Y153:AA153&lt;&gt;""),Y153:AA153)))</t>
        </is>
      </c>
      <c r="AN153" s="36" t="inlineStr">
        <is>
          <t>IF(OR(E153="",AC153=""),"",IF(COUNT(Y153:AB153)=0,"",AC153-LOOKUP(2,1/(Y153:AB153&lt;&gt;""),Y153:AB153)))</t>
        </is>
      </c>
      <c r="AO153" s="36" t="inlineStr">
        <is>
          <t>IF(OR(E153="",AD153=""),"",IF(COUNT(Y153:AC153)=0,"",AD153-LOOKUP(2,1/(Y153:AC153&lt;&gt;""),Y153:AC153)))</t>
        </is>
      </c>
      <c r="AP153" s="36" t="inlineStr">
        <is>
          <t>IF(OR(E153="",AE153=""),"",IF(COUNT(Y153:AD153)=0,"",AE153-LOOKUP(2,1/(Y153:AD153&lt;&gt;""),Y153:AD153)))</t>
        </is>
      </c>
      <c r="AQ153" s="36" t="inlineStr">
        <is>
          <t>IF(OR(E153="",AF153=""),"",IF(COUNT(Y153:AE153)=0,"",AF153-LOOKUP(2,1/(Y153:AE153&lt;&gt;""),Y153:AE153)))</t>
        </is>
      </c>
      <c r="AR153" s="36" t="inlineStr">
        <is>
          <t>IF(OR(E153="",AG153=""),"",IF(COUNT(Y153:AF153)=0,"",AG153-LOOKUP(2,1/(Y153:AF153&lt;&gt;""),Y153:AF153)))</t>
        </is>
      </c>
      <c r="AS153" s="36" t="inlineStr">
        <is>
          <t>IF(OR(E153="",AH153=""),"",IF(COUNT(Y153:AG153)=0,"",AH153-LOOKUP(2,1/(Y153:AG153&lt;&gt;""),Y153:AG153)))</t>
        </is>
      </c>
      <c r="AT153" s="36" t="inlineStr">
        <is>
          <t>IF(OR(E153="",AI153=""),"",IF(COUNT(Y153:AH153)=0,"",AI153-LOOKUP(2,1/(Y153:AH153&lt;&gt;""),Y153:AH153)))</t>
        </is>
      </c>
      <c r="AU153" s="36" t="inlineStr">
        <is>
          <t>IF(OR(E153="",AJ153=""),"",IF(COUNT(Y153:AI153)=0,"",AJ153-LOOKUP(2,1/(Y153:AI153&lt;&gt;""),Y153:AI153)))</t>
        </is>
      </c>
      <c r="AV153" s="39" t="inlineStr">
        <is>
          <t>IF(G153="","All_Provinces",IFERROR(VLOOKUP(G153,'07_Lookups'!$A$4:$B$20,2,FALSE),"All_Provinces"))</t>
        </is>
      </c>
      <c r="AW153" s="39" t="inlineStr">
        <is>
          <t>IF(H153="","All_Districts",IFERROR(VLOOKUP(H153,'07_Lookups'!$E$4:$F$42,2,FALSE),"All_Districts"))</t>
        </is>
      </c>
    </row>
    <row r="154" ht="18" customHeight="1">
      <c r="A154" s="31" t="inlineStr">
        <is>
          <t>IF(E154="","",ROW()-3)</t>
        </is>
      </c>
      <c r="B154" s="32" t="n"/>
      <c r="C154" s="32" t="n"/>
      <c r="D154" s="32" t="n"/>
      <c r="E154" s="32" t="n"/>
      <c r="F154" s="32" t="n"/>
      <c r="G154" s="32" t="n"/>
      <c r="H154" s="32" t="n"/>
      <c r="I154" s="32" t="n"/>
      <c r="J154" s="32" t="n"/>
      <c r="K154" s="32" t="n"/>
      <c r="L154" s="32" t="n"/>
      <c r="M154" s="32" t="n"/>
      <c r="N154" s="33" t="n"/>
      <c r="O154" s="34" t="inlineStr">
        <is>
          <t>IF(AE154="","",AE154)</t>
        </is>
      </c>
      <c r="P154" s="35" t="n"/>
      <c r="Q154" s="34" t="inlineStr">
        <is>
          <t>IF(OR(O154="",P154=""),"",EDATE(O154,P154))</t>
        </is>
      </c>
      <c r="R154" s="35" t="n"/>
      <c r="S154" s="32" t="n"/>
      <c r="T154" s="32" t="n"/>
      <c r="U154" s="31" t="inlineStr">
        <is>
          <t>IF(E154="","",IF(COUNT(Y154:AJ154)=0,IF(S154="","Not started",S154),SUBSTITUTE(LOOKUP(2,1/(Y154:AJ154&lt;&gt;""),$Y$3:$AJ$3),"Date: ","")))</t>
        </is>
      </c>
      <c r="V154" s="36" t="inlineStr">
        <is>
          <t>IF(OR(E154="",COUNT(Y154:AJ154)=0),"",TODAY()-LOOKUP(2,1/(Y154:AJ154&lt;&gt;""),Y154:AJ154))</t>
        </is>
      </c>
      <c r="W154" s="36" t="inlineStr">
        <is>
          <t>IF(OR(E154="",COUNT(Y154:AJ154)&lt;2),"",LOOKUP(2,1/(Y154:AJ154&lt;&gt;""),Y154:AJ154)-MIN(Y154:AJ154))</t>
        </is>
      </c>
      <c r="X154" s="36" t="inlineStr">
        <is>
          <t>IF(OR(V154="",U154="Not started",U154=""),"",IFERROR(V154-IF(VLOOKUP(U154,'04_Status_Pipeline'!$B$3:$E$20,4,FALSE)="",0,VLOOKUP(U154,'04_Status_Pipeline'!$B$3:$E$20,4,FALSE)),""))</t>
        </is>
      </c>
      <c r="Y154" s="37" t="n"/>
      <c r="Z154" s="37" t="n"/>
      <c r="AA154" s="37" t="n"/>
      <c r="AB154" s="37" t="n"/>
      <c r="AC154" s="37" t="n"/>
      <c r="AD154" s="37" t="n"/>
      <c r="AE154" s="37" t="n"/>
      <c r="AF154" s="37" t="n"/>
      <c r="AG154" s="37" t="n"/>
      <c r="AH154" s="38" t="n"/>
      <c r="AI154" s="38" t="n"/>
      <c r="AJ154" s="38" t="n"/>
      <c r="AK154" s="36" t="inlineStr">
        <is>
          <t>IF(OR(E154="",Z154=""),"",IF(COUNT(Y154:Y154)=0,"",Z154-LOOKUP(2,1/(Y154:Y154&lt;&gt;""),Y154:Y154)))</t>
        </is>
      </c>
      <c r="AL154" s="36" t="inlineStr">
        <is>
          <t>IF(OR(E154="",AA154=""),"",IF(COUNT(Y154:Z154)=0,"",AA154-LOOKUP(2,1/(Y154:Z154&lt;&gt;""),Y154:Z154)))</t>
        </is>
      </c>
      <c r="AM154" s="36" t="inlineStr">
        <is>
          <t>IF(OR(E154="",AB154=""),"",IF(COUNT(Y154:AA154)=0,"",AB154-LOOKUP(2,1/(Y154:AA154&lt;&gt;""),Y154:AA154)))</t>
        </is>
      </c>
      <c r="AN154" s="36" t="inlineStr">
        <is>
          <t>IF(OR(E154="",AC154=""),"",IF(COUNT(Y154:AB154)=0,"",AC154-LOOKUP(2,1/(Y154:AB154&lt;&gt;""),Y154:AB154)))</t>
        </is>
      </c>
      <c r="AO154" s="36" t="inlineStr">
        <is>
          <t>IF(OR(E154="",AD154=""),"",IF(COUNT(Y154:AC154)=0,"",AD154-LOOKUP(2,1/(Y154:AC154&lt;&gt;""),Y154:AC154)))</t>
        </is>
      </c>
      <c r="AP154" s="36" t="inlineStr">
        <is>
          <t>IF(OR(E154="",AE154=""),"",IF(COUNT(Y154:AD154)=0,"",AE154-LOOKUP(2,1/(Y154:AD154&lt;&gt;""),Y154:AD154)))</t>
        </is>
      </c>
      <c r="AQ154" s="36" t="inlineStr">
        <is>
          <t>IF(OR(E154="",AF154=""),"",IF(COUNT(Y154:AE154)=0,"",AF154-LOOKUP(2,1/(Y154:AE154&lt;&gt;""),Y154:AE154)))</t>
        </is>
      </c>
      <c r="AR154" s="36" t="inlineStr">
        <is>
          <t>IF(OR(E154="",AG154=""),"",IF(COUNT(Y154:AF154)=0,"",AG154-LOOKUP(2,1/(Y154:AF154&lt;&gt;""),Y154:AF154)))</t>
        </is>
      </c>
      <c r="AS154" s="36" t="inlineStr">
        <is>
          <t>IF(OR(E154="",AH154=""),"",IF(COUNT(Y154:AG154)=0,"",AH154-LOOKUP(2,1/(Y154:AG154&lt;&gt;""),Y154:AG154)))</t>
        </is>
      </c>
      <c r="AT154" s="36" t="inlineStr">
        <is>
          <t>IF(OR(E154="",AI154=""),"",IF(COUNT(Y154:AH154)=0,"",AI154-LOOKUP(2,1/(Y154:AH154&lt;&gt;""),Y154:AH154)))</t>
        </is>
      </c>
      <c r="AU154" s="36" t="inlineStr">
        <is>
          <t>IF(OR(E154="",AJ154=""),"",IF(COUNT(Y154:AI154)=0,"",AJ154-LOOKUP(2,1/(Y154:AI154&lt;&gt;""),Y154:AI154)))</t>
        </is>
      </c>
      <c r="AV154" s="39" t="inlineStr">
        <is>
          <t>IF(G154="","All_Provinces",IFERROR(VLOOKUP(G154,'07_Lookups'!$A$4:$B$20,2,FALSE),"All_Provinces"))</t>
        </is>
      </c>
      <c r="AW154" s="39" t="inlineStr">
        <is>
          <t>IF(H154="","All_Districts",IFERROR(VLOOKUP(H154,'07_Lookups'!$E$4:$F$42,2,FALSE),"All_Districts"))</t>
        </is>
      </c>
    </row>
    <row r="155" ht="18" customHeight="1">
      <c r="A155" s="31" t="inlineStr">
        <is>
          <t>IF(E155="","",ROW()-3)</t>
        </is>
      </c>
      <c r="B155" s="40" t="n"/>
      <c r="C155" s="40" t="n"/>
      <c r="D155" s="40" t="n"/>
      <c r="E155" s="40" t="n"/>
      <c r="F155" s="40" t="n"/>
      <c r="G155" s="40" t="n"/>
      <c r="H155" s="40" t="n"/>
      <c r="I155" s="40" t="n"/>
      <c r="J155" s="40" t="n"/>
      <c r="K155" s="40" t="n"/>
      <c r="L155" s="40" t="n"/>
      <c r="M155" s="40" t="n"/>
      <c r="N155" s="41" t="n"/>
      <c r="O155" s="34" t="inlineStr">
        <is>
          <t>IF(AE155="","",AE155)</t>
        </is>
      </c>
      <c r="P155" s="42" t="n"/>
      <c r="Q155" s="34" t="inlineStr">
        <is>
          <t>IF(OR(O155="",P155=""),"",EDATE(O155,P155))</t>
        </is>
      </c>
      <c r="R155" s="42" t="n"/>
      <c r="S155" s="40" t="n"/>
      <c r="T155" s="40" t="n"/>
      <c r="U155" s="31" t="inlineStr">
        <is>
          <t>IF(E155="","",IF(COUNT(Y155:AJ155)=0,IF(S155="","Not started",S155),SUBSTITUTE(LOOKUP(2,1/(Y155:AJ155&lt;&gt;""),$Y$3:$AJ$3),"Date: ","")))</t>
        </is>
      </c>
      <c r="V155" s="36" t="inlineStr">
        <is>
          <t>IF(OR(E155="",COUNT(Y155:AJ155)=0),"",TODAY()-LOOKUP(2,1/(Y155:AJ155&lt;&gt;""),Y155:AJ155))</t>
        </is>
      </c>
      <c r="W155" s="36" t="inlineStr">
        <is>
          <t>IF(OR(E155="",COUNT(Y155:AJ155)&lt;2),"",LOOKUP(2,1/(Y155:AJ155&lt;&gt;""),Y155:AJ155)-MIN(Y155:AJ155))</t>
        </is>
      </c>
      <c r="X155" s="36" t="inlineStr">
        <is>
          <t>IF(OR(V155="",U155="Not started",U155=""),"",IFERROR(V155-IF(VLOOKUP(U155,'04_Status_Pipeline'!$B$3:$E$20,4,FALSE)="",0,VLOOKUP(U155,'04_Status_Pipeline'!$B$3:$E$20,4,FALSE)),""))</t>
        </is>
      </c>
      <c r="Y155" s="43" t="n"/>
      <c r="Z155" s="43" t="n"/>
      <c r="AA155" s="43" t="n"/>
      <c r="AB155" s="43" t="n"/>
      <c r="AC155" s="43" t="n"/>
      <c r="AD155" s="43" t="n"/>
      <c r="AE155" s="43" t="n"/>
      <c r="AF155" s="43" t="n"/>
      <c r="AG155" s="43" t="n"/>
      <c r="AH155" s="38" t="n"/>
      <c r="AI155" s="38" t="n"/>
      <c r="AJ155" s="38" t="n"/>
      <c r="AK155" s="36" t="inlineStr">
        <is>
          <t>IF(OR(E155="",Z155=""),"",IF(COUNT(Y155:Y155)=0,"",Z155-LOOKUP(2,1/(Y155:Y155&lt;&gt;""),Y155:Y155)))</t>
        </is>
      </c>
      <c r="AL155" s="36" t="inlineStr">
        <is>
          <t>IF(OR(E155="",AA155=""),"",IF(COUNT(Y155:Z155)=0,"",AA155-LOOKUP(2,1/(Y155:Z155&lt;&gt;""),Y155:Z155)))</t>
        </is>
      </c>
      <c r="AM155" s="36" t="inlineStr">
        <is>
          <t>IF(OR(E155="",AB155=""),"",IF(COUNT(Y155:AA155)=0,"",AB155-LOOKUP(2,1/(Y155:AA155&lt;&gt;""),Y155:AA155)))</t>
        </is>
      </c>
      <c r="AN155" s="36" t="inlineStr">
        <is>
          <t>IF(OR(E155="",AC155=""),"",IF(COUNT(Y155:AB155)=0,"",AC155-LOOKUP(2,1/(Y155:AB155&lt;&gt;""),Y155:AB155)))</t>
        </is>
      </c>
      <c r="AO155" s="36" t="inlineStr">
        <is>
          <t>IF(OR(E155="",AD155=""),"",IF(COUNT(Y155:AC155)=0,"",AD155-LOOKUP(2,1/(Y155:AC155&lt;&gt;""),Y155:AC155)))</t>
        </is>
      </c>
      <c r="AP155" s="36" t="inlineStr">
        <is>
          <t>IF(OR(E155="",AE155=""),"",IF(COUNT(Y155:AD155)=0,"",AE155-LOOKUP(2,1/(Y155:AD155&lt;&gt;""),Y155:AD155)))</t>
        </is>
      </c>
      <c r="AQ155" s="36" t="inlineStr">
        <is>
          <t>IF(OR(E155="",AF155=""),"",IF(COUNT(Y155:AE155)=0,"",AF155-LOOKUP(2,1/(Y155:AE155&lt;&gt;""),Y155:AE155)))</t>
        </is>
      </c>
      <c r="AR155" s="36" t="inlineStr">
        <is>
          <t>IF(OR(E155="",AG155=""),"",IF(COUNT(Y155:AF155)=0,"",AG155-LOOKUP(2,1/(Y155:AF155&lt;&gt;""),Y155:AF155)))</t>
        </is>
      </c>
      <c r="AS155" s="36" t="inlineStr">
        <is>
          <t>IF(OR(E155="",AH155=""),"",IF(COUNT(Y155:AG155)=0,"",AH155-LOOKUP(2,1/(Y155:AG155&lt;&gt;""),Y155:AG155)))</t>
        </is>
      </c>
      <c r="AT155" s="36" t="inlineStr">
        <is>
          <t>IF(OR(E155="",AI155=""),"",IF(COUNT(Y155:AH155)=0,"",AI155-LOOKUP(2,1/(Y155:AH155&lt;&gt;""),Y155:AH155)))</t>
        </is>
      </c>
      <c r="AU155" s="36" t="inlineStr">
        <is>
          <t>IF(OR(E155="",AJ155=""),"",IF(COUNT(Y155:AI155)=0,"",AJ155-LOOKUP(2,1/(Y155:AI155&lt;&gt;""),Y155:AI155)))</t>
        </is>
      </c>
      <c r="AV155" s="39" t="inlineStr">
        <is>
          <t>IF(G155="","All_Provinces",IFERROR(VLOOKUP(G155,'07_Lookups'!$A$4:$B$20,2,FALSE),"All_Provinces"))</t>
        </is>
      </c>
      <c r="AW155" s="39" t="inlineStr">
        <is>
          <t>IF(H155="","All_Districts",IFERROR(VLOOKUP(H155,'07_Lookups'!$E$4:$F$42,2,FALSE),"All_Districts"))</t>
        </is>
      </c>
    </row>
    <row r="156" ht="18" customHeight="1">
      <c r="A156" s="31" t="inlineStr">
        <is>
          <t>IF(E156="","",ROW()-3)</t>
        </is>
      </c>
      <c r="B156" s="32" t="n"/>
      <c r="C156" s="32" t="n"/>
      <c r="D156" s="32" t="n"/>
      <c r="E156" s="32" t="n"/>
      <c r="F156" s="32" t="n"/>
      <c r="G156" s="32" t="n"/>
      <c r="H156" s="32" t="n"/>
      <c r="I156" s="32" t="n"/>
      <c r="J156" s="32" t="n"/>
      <c r="K156" s="32" t="n"/>
      <c r="L156" s="32" t="n"/>
      <c r="M156" s="32" t="n"/>
      <c r="N156" s="33" t="n"/>
      <c r="O156" s="34" t="inlineStr">
        <is>
          <t>IF(AE156="","",AE156)</t>
        </is>
      </c>
      <c r="P156" s="35" t="n"/>
      <c r="Q156" s="34" t="inlineStr">
        <is>
          <t>IF(OR(O156="",P156=""),"",EDATE(O156,P156))</t>
        </is>
      </c>
      <c r="R156" s="35" t="n"/>
      <c r="S156" s="32" t="n"/>
      <c r="T156" s="32" t="n"/>
      <c r="U156" s="31" t="inlineStr">
        <is>
          <t>IF(E156="","",IF(COUNT(Y156:AJ156)=0,IF(S156="","Not started",S156),SUBSTITUTE(LOOKUP(2,1/(Y156:AJ156&lt;&gt;""),$Y$3:$AJ$3),"Date: ","")))</t>
        </is>
      </c>
      <c r="V156" s="36" t="inlineStr">
        <is>
          <t>IF(OR(E156="",COUNT(Y156:AJ156)=0),"",TODAY()-LOOKUP(2,1/(Y156:AJ156&lt;&gt;""),Y156:AJ156))</t>
        </is>
      </c>
      <c r="W156" s="36" t="inlineStr">
        <is>
          <t>IF(OR(E156="",COUNT(Y156:AJ156)&lt;2),"",LOOKUP(2,1/(Y156:AJ156&lt;&gt;""),Y156:AJ156)-MIN(Y156:AJ156))</t>
        </is>
      </c>
      <c r="X156" s="36" t="inlineStr">
        <is>
          <t>IF(OR(V156="",U156="Not started",U156=""),"",IFERROR(V156-IF(VLOOKUP(U156,'04_Status_Pipeline'!$B$3:$E$20,4,FALSE)="",0,VLOOKUP(U156,'04_Status_Pipeline'!$B$3:$E$20,4,FALSE)),""))</t>
        </is>
      </c>
      <c r="Y156" s="37" t="n"/>
      <c r="Z156" s="37" t="n"/>
      <c r="AA156" s="37" t="n"/>
      <c r="AB156" s="37" t="n"/>
      <c r="AC156" s="37" t="n"/>
      <c r="AD156" s="37" t="n"/>
      <c r="AE156" s="37" t="n"/>
      <c r="AF156" s="37" t="n"/>
      <c r="AG156" s="37" t="n"/>
      <c r="AH156" s="38" t="n"/>
      <c r="AI156" s="38" t="n"/>
      <c r="AJ156" s="38" t="n"/>
      <c r="AK156" s="36" t="inlineStr">
        <is>
          <t>IF(OR(E156="",Z156=""),"",IF(COUNT(Y156:Y156)=0,"",Z156-LOOKUP(2,1/(Y156:Y156&lt;&gt;""),Y156:Y156)))</t>
        </is>
      </c>
      <c r="AL156" s="36" t="inlineStr">
        <is>
          <t>IF(OR(E156="",AA156=""),"",IF(COUNT(Y156:Z156)=0,"",AA156-LOOKUP(2,1/(Y156:Z156&lt;&gt;""),Y156:Z156)))</t>
        </is>
      </c>
      <c r="AM156" s="36" t="inlineStr">
        <is>
          <t>IF(OR(E156="",AB156=""),"",IF(COUNT(Y156:AA156)=0,"",AB156-LOOKUP(2,1/(Y156:AA156&lt;&gt;""),Y156:AA156)))</t>
        </is>
      </c>
      <c r="AN156" s="36" t="inlineStr">
        <is>
          <t>IF(OR(E156="",AC156=""),"",IF(COUNT(Y156:AB156)=0,"",AC156-LOOKUP(2,1/(Y156:AB156&lt;&gt;""),Y156:AB156)))</t>
        </is>
      </c>
      <c r="AO156" s="36" t="inlineStr">
        <is>
          <t>IF(OR(E156="",AD156=""),"",IF(COUNT(Y156:AC156)=0,"",AD156-LOOKUP(2,1/(Y156:AC156&lt;&gt;""),Y156:AC156)))</t>
        </is>
      </c>
      <c r="AP156" s="36" t="inlineStr">
        <is>
          <t>IF(OR(E156="",AE156=""),"",IF(COUNT(Y156:AD156)=0,"",AE156-LOOKUP(2,1/(Y156:AD156&lt;&gt;""),Y156:AD156)))</t>
        </is>
      </c>
      <c r="AQ156" s="36" t="inlineStr">
        <is>
          <t>IF(OR(E156="",AF156=""),"",IF(COUNT(Y156:AE156)=0,"",AF156-LOOKUP(2,1/(Y156:AE156&lt;&gt;""),Y156:AE156)))</t>
        </is>
      </c>
      <c r="AR156" s="36" t="inlineStr">
        <is>
          <t>IF(OR(E156="",AG156=""),"",IF(COUNT(Y156:AF156)=0,"",AG156-LOOKUP(2,1/(Y156:AF156&lt;&gt;""),Y156:AF156)))</t>
        </is>
      </c>
      <c r="AS156" s="36" t="inlineStr">
        <is>
          <t>IF(OR(E156="",AH156=""),"",IF(COUNT(Y156:AG156)=0,"",AH156-LOOKUP(2,1/(Y156:AG156&lt;&gt;""),Y156:AG156)))</t>
        </is>
      </c>
      <c r="AT156" s="36" t="inlineStr">
        <is>
          <t>IF(OR(E156="",AI156=""),"",IF(COUNT(Y156:AH156)=0,"",AI156-LOOKUP(2,1/(Y156:AH156&lt;&gt;""),Y156:AH156)))</t>
        </is>
      </c>
      <c r="AU156" s="36" t="inlineStr">
        <is>
          <t>IF(OR(E156="",AJ156=""),"",IF(COUNT(Y156:AI156)=0,"",AJ156-LOOKUP(2,1/(Y156:AI156&lt;&gt;""),Y156:AI156)))</t>
        </is>
      </c>
      <c r="AV156" s="39" t="inlineStr">
        <is>
          <t>IF(G156="","All_Provinces",IFERROR(VLOOKUP(G156,'07_Lookups'!$A$4:$B$20,2,FALSE),"All_Provinces"))</t>
        </is>
      </c>
      <c r="AW156" s="39" t="inlineStr">
        <is>
          <t>IF(H156="","All_Districts",IFERROR(VLOOKUP(H156,'07_Lookups'!$E$4:$F$42,2,FALSE),"All_Districts"))</t>
        </is>
      </c>
    </row>
    <row r="157" ht="18" customHeight="1">
      <c r="A157" s="31" t="inlineStr">
        <is>
          <t>IF(E157="","",ROW()-3)</t>
        </is>
      </c>
      <c r="B157" s="40" t="n"/>
      <c r="C157" s="40" t="n"/>
      <c r="D157" s="40" t="n"/>
      <c r="E157" s="40" t="n"/>
      <c r="F157" s="40" t="n"/>
      <c r="G157" s="40" t="n"/>
      <c r="H157" s="40" t="n"/>
      <c r="I157" s="40" t="n"/>
      <c r="J157" s="40" t="n"/>
      <c r="K157" s="40" t="n"/>
      <c r="L157" s="40" t="n"/>
      <c r="M157" s="40" t="n"/>
      <c r="N157" s="41" t="n"/>
      <c r="O157" s="34" t="inlineStr">
        <is>
          <t>IF(AE157="","",AE157)</t>
        </is>
      </c>
      <c r="P157" s="42" t="n"/>
      <c r="Q157" s="34" t="inlineStr">
        <is>
          <t>IF(OR(O157="",P157=""),"",EDATE(O157,P157))</t>
        </is>
      </c>
      <c r="R157" s="42" t="n"/>
      <c r="S157" s="40" t="n"/>
      <c r="T157" s="40" t="n"/>
      <c r="U157" s="31" t="inlineStr">
        <is>
          <t>IF(E157="","",IF(COUNT(Y157:AJ157)=0,IF(S157="","Not started",S157),SUBSTITUTE(LOOKUP(2,1/(Y157:AJ157&lt;&gt;""),$Y$3:$AJ$3),"Date: ","")))</t>
        </is>
      </c>
      <c r="V157" s="36" t="inlineStr">
        <is>
          <t>IF(OR(E157="",COUNT(Y157:AJ157)=0),"",TODAY()-LOOKUP(2,1/(Y157:AJ157&lt;&gt;""),Y157:AJ157))</t>
        </is>
      </c>
      <c r="W157" s="36" t="inlineStr">
        <is>
          <t>IF(OR(E157="",COUNT(Y157:AJ157)&lt;2),"",LOOKUP(2,1/(Y157:AJ157&lt;&gt;""),Y157:AJ157)-MIN(Y157:AJ157))</t>
        </is>
      </c>
      <c r="X157" s="36" t="inlineStr">
        <is>
          <t>IF(OR(V157="",U157="Not started",U157=""),"",IFERROR(V157-IF(VLOOKUP(U157,'04_Status_Pipeline'!$B$3:$E$20,4,FALSE)="",0,VLOOKUP(U157,'04_Status_Pipeline'!$B$3:$E$20,4,FALSE)),""))</t>
        </is>
      </c>
      <c r="Y157" s="43" t="n"/>
      <c r="Z157" s="43" t="n"/>
      <c r="AA157" s="43" t="n"/>
      <c r="AB157" s="43" t="n"/>
      <c r="AC157" s="43" t="n"/>
      <c r="AD157" s="43" t="n"/>
      <c r="AE157" s="43" t="n"/>
      <c r="AF157" s="43" t="n"/>
      <c r="AG157" s="43" t="n"/>
      <c r="AH157" s="38" t="n"/>
      <c r="AI157" s="38" t="n"/>
      <c r="AJ157" s="38" t="n"/>
      <c r="AK157" s="36" t="inlineStr">
        <is>
          <t>IF(OR(E157="",Z157=""),"",IF(COUNT(Y157:Y157)=0,"",Z157-LOOKUP(2,1/(Y157:Y157&lt;&gt;""),Y157:Y157)))</t>
        </is>
      </c>
      <c r="AL157" s="36" t="inlineStr">
        <is>
          <t>IF(OR(E157="",AA157=""),"",IF(COUNT(Y157:Z157)=0,"",AA157-LOOKUP(2,1/(Y157:Z157&lt;&gt;""),Y157:Z157)))</t>
        </is>
      </c>
      <c r="AM157" s="36" t="inlineStr">
        <is>
          <t>IF(OR(E157="",AB157=""),"",IF(COUNT(Y157:AA157)=0,"",AB157-LOOKUP(2,1/(Y157:AA157&lt;&gt;""),Y157:AA157)))</t>
        </is>
      </c>
      <c r="AN157" s="36" t="inlineStr">
        <is>
          <t>IF(OR(E157="",AC157=""),"",IF(COUNT(Y157:AB157)=0,"",AC157-LOOKUP(2,1/(Y157:AB157&lt;&gt;""),Y157:AB157)))</t>
        </is>
      </c>
      <c r="AO157" s="36" t="inlineStr">
        <is>
          <t>IF(OR(E157="",AD157=""),"",IF(COUNT(Y157:AC157)=0,"",AD157-LOOKUP(2,1/(Y157:AC157&lt;&gt;""),Y157:AC157)))</t>
        </is>
      </c>
      <c r="AP157" s="36" t="inlineStr">
        <is>
          <t>IF(OR(E157="",AE157=""),"",IF(COUNT(Y157:AD157)=0,"",AE157-LOOKUP(2,1/(Y157:AD157&lt;&gt;""),Y157:AD157)))</t>
        </is>
      </c>
      <c r="AQ157" s="36" t="inlineStr">
        <is>
          <t>IF(OR(E157="",AF157=""),"",IF(COUNT(Y157:AE157)=0,"",AF157-LOOKUP(2,1/(Y157:AE157&lt;&gt;""),Y157:AE157)))</t>
        </is>
      </c>
      <c r="AR157" s="36" t="inlineStr">
        <is>
          <t>IF(OR(E157="",AG157=""),"",IF(COUNT(Y157:AF157)=0,"",AG157-LOOKUP(2,1/(Y157:AF157&lt;&gt;""),Y157:AF157)))</t>
        </is>
      </c>
      <c r="AS157" s="36" t="inlineStr">
        <is>
          <t>IF(OR(E157="",AH157=""),"",IF(COUNT(Y157:AG157)=0,"",AH157-LOOKUP(2,1/(Y157:AG157&lt;&gt;""),Y157:AG157)))</t>
        </is>
      </c>
      <c r="AT157" s="36" t="inlineStr">
        <is>
          <t>IF(OR(E157="",AI157=""),"",IF(COUNT(Y157:AH157)=0,"",AI157-LOOKUP(2,1/(Y157:AH157&lt;&gt;""),Y157:AH157)))</t>
        </is>
      </c>
      <c r="AU157" s="36" t="inlineStr">
        <is>
          <t>IF(OR(E157="",AJ157=""),"",IF(COUNT(Y157:AI157)=0,"",AJ157-LOOKUP(2,1/(Y157:AI157&lt;&gt;""),Y157:AI157)))</t>
        </is>
      </c>
      <c r="AV157" s="39" t="inlineStr">
        <is>
          <t>IF(G157="","All_Provinces",IFERROR(VLOOKUP(G157,'07_Lookups'!$A$4:$B$20,2,FALSE),"All_Provinces"))</t>
        </is>
      </c>
      <c r="AW157" s="39" t="inlineStr">
        <is>
          <t>IF(H157="","All_Districts",IFERROR(VLOOKUP(H157,'07_Lookups'!$E$4:$F$42,2,FALSE),"All_Districts"))</t>
        </is>
      </c>
    </row>
    <row r="158" ht="18" customHeight="1">
      <c r="A158" s="31" t="inlineStr">
        <is>
          <t>IF(E158="","",ROW()-3)</t>
        </is>
      </c>
      <c r="B158" s="32" t="n"/>
      <c r="C158" s="32" t="n"/>
      <c r="D158" s="32" t="n"/>
      <c r="E158" s="32" t="n"/>
      <c r="F158" s="32" t="n"/>
      <c r="G158" s="32" t="n"/>
      <c r="H158" s="32" t="n"/>
      <c r="I158" s="32" t="n"/>
      <c r="J158" s="32" t="n"/>
      <c r="K158" s="32" t="n"/>
      <c r="L158" s="32" t="n"/>
      <c r="M158" s="32" t="n"/>
      <c r="N158" s="33" t="n"/>
      <c r="O158" s="34" t="inlineStr">
        <is>
          <t>IF(AE158="","",AE158)</t>
        </is>
      </c>
      <c r="P158" s="35" t="n"/>
      <c r="Q158" s="34" t="inlineStr">
        <is>
          <t>IF(OR(O158="",P158=""),"",EDATE(O158,P158))</t>
        </is>
      </c>
      <c r="R158" s="35" t="n"/>
      <c r="S158" s="32" t="n"/>
      <c r="T158" s="32" t="n"/>
      <c r="U158" s="31" t="inlineStr">
        <is>
          <t>IF(E158="","",IF(COUNT(Y158:AJ158)=0,IF(S158="","Not started",S158),SUBSTITUTE(LOOKUP(2,1/(Y158:AJ158&lt;&gt;""),$Y$3:$AJ$3),"Date: ","")))</t>
        </is>
      </c>
      <c r="V158" s="36" t="inlineStr">
        <is>
          <t>IF(OR(E158="",COUNT(Y158:AJ158)=0),"",TODAY()-LOOKUP(2,1/(Y158:AJ158&lt;&gt;""),Y158:AJ158))</t>
        </is>
      </c>
      <c r="W158" s="36" t="inlineStr">
        <is>
          <t>IF(OR(E158="",COUNT(Y158:AJ158)&lt;2),"",LOOKUP(2,1/(Y158:AJ158&lt;&gt;""),Y158:AJ158)-MIN(Y158:AJ158))</t>
        </is>
      </c>
      <c r="X158" s="36" t="inlineStr">
        <is>
          <t>IF(OR(V158="",U158="Not started",U158=""),"",IFERROR(V158-IF(VLOOKUP(U158,'04_Status_Pipeline'!$B$3:$E$20,4,FALSE)="",0,VLOOKUP(U158,'04_Status_Pipeline'!$B$3:$E$20,4,FALSE)),""))</t>
        </is>
      </c>
      <c r="Y158" s="37" t="n"/>
      <c r="Z158" s="37" t="n"/>
      <c r="AA158" s="37" t="n"/>
      <c r="AB158" s="37" t="n"/>
      <c r="AC158" s="37" t="n"/>
      <c r="AD158" s="37" t="n"/>
      <c r="AE158" s="37" t="n"/>
      <c r="AF158" s="37" t="n"/>
      <c r="AG158" s="37" t="n"/>
      <c r="AH158" s="38" t="n"/>
      <c r="AI158" s="38" t="n"/>
      <c r="AJ158" s="38" t="n"/>
      <c r="AK158" s="36" t="inlineStr">
        <is>
          <t>IF(OR(E158="",Z158=""),"",IF(COUNT(Y158:Y158)=0,"",Z158-LOOKUP(2,1/(Y158:Y158&lt;&gt;""),Y158:Y158)))</t>
        </is>
      </c>
      <c r="AL158" s="36" t="inlineStr">
        <is>
          <t>IF(OR(E158="",AA158=""),"",IF(COUNT(Y158:Z158)=0,"",AA158-LOOKUP(2,1/(Y158:Z158&lt;&gt;""),Y158:Z158)))</t>
        </is>
      </c>
      <c r="AM158" s="36" t="inlineStr">
        <is>
          <t>IF(OR(E158="",AB158=""),"",IF(COUNT(Y158:AA158)=0,"",AB158-LOOKUP(2,1/(Y158:AA158&lt;&gt;""),Y158:AA158)))</t>
        </is>
      </c>
      <c r="AN158" s="36" t="inlineStr">
        <is>
          <t>IF(OR(E158="",AC158=""),"",IF(COUNT(Y158:AB158)=0,"",AC158-LOOKUP(2,1/(Y158:AB158&lt;&gt;""),Y158:AB158)))</t>
        </is>
      </c>
      <c r="AO158" s="36" t="inlineStr">
        <is>
          <t>IF(OR(E158="",AD158=""),"",IF(COUNT(Y158:AC158)=0,"",AD158-LOOKUP(2,1/(Y158:AC158&lt;&gt;""),Y158:AC158)))</t>
        </is>
      </c>
      <c r="AP158" s="36" t="inlineStr">
        <is>
          <t>IF(OR(E158="",AE158=""),"",IF(COUNT(Y158:AD158)=0,"",AE158-LOOKUP(2,1/(Y158:AD158&lt;&gt;""),Y158:AD158)))</t>
        </is>
      </c>
      <c r="AQ158" s="36" t="inlineStr">
        <is>
          <t>IF(OR(E158="",AF158=""),"",IF(COUNT(Y158:AE158)=0,"",AF158-LOOKUP(2,1/(Y158:AE158&lt;&gt;""),Y158:AE158)))</t>
        </is>
      </c>
      <c r="AR158" s="36" t="inlineStr">
        <is>
          <t>IF(OR(E158="",AG158=""),"",IF(COUNT(Y158:AF158)=0,"",AG158-LOOKUP(2,1/(Y158:AF158&lt;&gt;""),Y158:AF158)))</t>
        </is>
      </c>
      <c r="AS158" s="36" t="inlineStr">
        <is>
          <t>IF(OR(E158="",AH158=""),"",IF(COUNT(Y158:AG158)=0,"",AH158-LOOKUP(2,1/(Y158:AG158&lt;&gt;""),Y158:AG158)))</t>
        </is>
      </c>
      <c r="AT158" s="36" t="inlineStr">
        <is>
          <t>IF(OR(E158="",AI158=""),"",IF(COUNT(Y158:AH158)=0,"",AI158-LOOKUP(2,1/(Y158:AH158&lt;&gt;""),Y158:AH158)))</t>
        </is>
      </c>
      <c r="AU158" s="36" t="inlineStr">
        <is>
          <t>IF(OR(E158="",AJ158=""),"",IF(COUNT(Y158:AI158)=0,"",AJ158-LOOKUP(2,1/(Y158:AI158&lt;&gt;""),Y158:AI158)))</t>
        </is>
      </c>
      <c r="AV158" s="39" t="inlineStr">
        <is>
          <t>IF(G158="","All_Provinces",IFERROR(VLOOKUP(G158,'07_Lookups'!$A$4:$B$20,2,FALSE),"All_Provinces"))</t>
        </is>
      </c>
      <c r="AW158" s="39" t="inlineStr">
        <is>
          <t>IF(H158="","All_Districts",IFERROR(VLOOKUP(H158,'07_Lookups'!$E$4:$F$42,2,FALSE),"All_Districts"))</t>
        </is>
      </c>
    </row>
    <row r="159" ht="18" customHeight="1">
      <c r="A159" s="31" t="inlineStr">
        <is>
          <t>IF(E159="","",ROW()-3)</t>
        </is>
      </c>
      <c r="B159" s="40" t="n"/>
      <c r="C159" s="40" t="n"/>
      <c r="D159" s="40" t="n"/>
      <c r="E159" s="40" t="n"/>
      <c r="F159" s="40" t="n"/>
      <c r="G159" s="40" t="n"/>
      <c r="H159" s="40" t="n"/>
      <c r="I159" s="40" t="n"/>
      <c r="J159" s="40" t="n"/>
      <c r="K159" s="40" t="n"/>
      <c r="L159" s="40" t="n"/>
      <c r="M159" s="40" t="n"/>
      <c r="N159" s="41" t="n"/>
      <c r="O159" s="34" t="inlineStr">
        <is>
          <t>IF(AE159="","",AE159)</t>
        </is>
      </c>
      <c r="P159" s="42" t="n"/>
      <c r="Q159" s="34" t="inlineStr">
        <is>
          <t>IF(OR(O159="",P159=""),"",EDATE(O159,P159))</t>
        </is>
      </c>
      <c r="R159" s="42" t="n"/>
      <c r="S159" s="40" t="n"/>
      <c r="T159" s="40" t="n"/>
      <c r="U159" s="31" t="inlineStr">
        <is>
          <t>IF(E159="","",IF(COUNT(Y159:AJ159)=0,IF(S159="","Not started",S159),SUBSTITUTE(LOOKUP(2,1/(Y159:AJ159&lt;&gt;""),$Y$3:$AJ$3),"Date: ","")))</t>
        </is>
      </c>
      <c r="V159" s="36" t="inlineStr">
        <is>
          <t>IF(OR(E159="",COUNT(Y159:AJ159)=0),"",TODAY()-LOOKUP(2,1/(Y159:AJ159&lt;&gt;""),Y159:AJ159))</t>
        </is>
      </c>
      <c r="W159" s="36" t="inlineStr">
        <is>
          <t>IF(OR(E159="",COUNT(Y159:AJ159)&lt;2),"",LOOKUP(2,1/(Y159:AJ159&lt;&gt;""),Y159:AJ159)-MIN(Y159:AJ159))</t>
        </is>
      </c>
      <c r="X159" s="36" t="inlineStr">
        <is>
          <t>IF(OR(V159="",U159="Not started",U159=""),"",IFERROR(V159-IF(VLOOKUP(U159,'04_Status_Pipeline'!$B$3:$E$20,4,FALSE)="",0,VLOOKUP(U159,'04_Status_Pipeline'!$B$3:$E$20,4,FALSE)),""))</t>
        </is>
      </c>
      <c r="Y159" s="43" t="n"/>
      <c r="Z159" s="43" t="n"/>
      <c r="AA159" s="43" t="n"/>
      <c r="AB159" s="43" t="n"/>
      <c r="AC159" s="43" t="n"/>
      <c r="AD159" s="43" t="n"/>
      <c r="AE159" s="43" t="n"/>
      <c r="AF159" s="43" t="n"/>
      <c r="AG159" s="43" t="n"/>
      <c r="AH159" s="38" t="n"/>
      <c r="AI159" s="38" t="n"/>
      <c r="AJ159" s="38" t="n"/>
      <c r="AK159" s="36" t="inlineStr">
        <is>
          <t>IF(OR(E159="",Z159=""),"",IF(COUNT(Y159:Y159)=0,"",Z159-LOOKUP(2,1/(Y159:Y159&lt;&gt;""),Y159:Y159)))</t>
        </is>
      </c>
      <c r="AL159" s="36" t="inlineStr">
        <is>
          <t>IF(OR(E159="",AA159=""),"",IF(COUNT(Y159:Z159)=0,"",AA159-LOOKUP(2,1/(Y159:Z159&lt;&gt;""),Y159:Z159)))</t>
        </is>
      </c>
      <c r="AM159" s="36" t="inlineStr">
        <is>
          <t>IF(OR(E159="",AB159=""),"",IF(COUNT(Y159:AA159)=0,"",AB159-LOOKUP(2,1/(Y159:AA159&lt;&gt;""),Y159:AA159)))</t>
        </is>
      </c>
      <c r="AN159" s="36" t="inlineStr">
        <is>
          <t>IF(OR(E159="",AC159=""),"",IF(COUNT(Y159:AB159)=0,"",AC159-LOOKUP(2,1/(Y159:AB159&lt;&gt;""),Y159:AB159)))</t>
        </is>
      </c>
      <c r="AO159" s="36" t="inlineStr">
        <is>
          <t>IF(OR(E159="",AD159=""),"",IF(COUNT(Y159:AC159)=0,"",AD159-LOOKUP(2,1/(Y159:AC159&lt;&gt;""),Y159:AC159)))</t>
        </is>
      </c>
      <c r="AP159" s="36" t="inlineStr">
        <is>
          <t>IF(OR(E159="",AE159=""),"",IF(COUNT(Y159:AD159)=0,"",AE159-LOOKUP(2,1/(Y159:AD159&lt;&gt;""),Y159:AD159)))</t>
        </is>
      </c>
      <c r="AQ159" s="36" t="inlineStr">
        <is>
          <t>IF(OR(E159="",AF159=""),"",IF(COUNT(Y159:AE159)=0,"",AF159-LOOKUP(2,1/(Y159:AE159&lt;&gt;""),Y159:AE159)))</t>
        </is>
      </c>
      <c r="AR159" s="36" t="inlineStr">
        <is>
          <t>IF(OR(E159="",AG159=""),"",IF(COUNT(Y159:AF159)=0,"",AG159-LOOKUP(2,1/(Y159:AF159&lt;&gt;""),Y159:AF159)))</t>
        </is>
      </c>
      <c r="AS159" s="36" t="inlineStr">
        <is>
          <t>IF(OR(E159="",AH159=""),"",IF(COUNT(Y159:AG159)=0,"",AH159-LOOKUP(2,1/(Y159:AG159&lt;&gt;""),Y159:AG159)))</t>
        </is>
      </c>
      <c r="AT159" s="36" t="inlineStr">
        <is>
          <t>IF(OR(E159="",AI159=""),"",IF(COUNT(Y159:AH159)=0,"",AI159-LOOKUP(2,1/(Y159:AH159&lt;&gt;""),Y159:AH159)))</t>
        </is>
      </c>
      <c r="AU159" s="36" t="inlineStr">
        <is>
          <t>IF(OR(E159="",AJ159=""),"",IF(COUNT(Y159:AI159)=0,"",AJ159-LOOKUP(2,1/(Y159:AI159&lt;&gt;""),Y159:AI159)))</t>
        </is>
      </c>
      <c r="AV159" s="39" t="inlineStr">
        <is>
          <t>IF(G159="","All_Provinces",IFERROR(VLOOKUP(G159,'07_Lookups'!$A$4:$B$20,2,FALSE),"All_Provinces"))</t>
        </is>
      </c>
      <c r="AW159" s="39" t="inlineStr">
        <is>
          <t>IF(H159="","All_Districts",IFERROR(VLOOKUP(H159,'07_Lookups'!$E$4:$F$42,2,FALSE),"All_Districts"))</t>
        </is>
      </c>
    </row>
    <row r="160" ht="18" customHeight="1">
      <c r="A160" s="31" t="inlineStr">
        <is>
          <t>IF(E160="","",ROW()-3)</t>
        </is>
      </c>
      <c r="B160" s="32" t="n"/>
      <c r="C160" s="32" t="n"/>
      <c r="D160" s="32" t="n"/>
      <c r="E160" s="32" t="n"/>
      <c r="F160" s="32" t="n"/>
      <c r="G160" s="32" t="n"/>
      <c r="H160" s="32" t="n"/>
      <c r="I160" s="32" t="n"/>
      <c r="J160" s="32" t="n"/>
      <c r="K160" s="32" t="n"/>
      <c r="L160" s="32" t="n"/>
      <c r="M160" s="32" t="n"/>
      <c r="N160" s="33" t="n"/>
      <c r="O160" s="34" t="inlineStr">
        <is>
          <t>IF(AE160="","",AE160)</t>
        </is>
      </c>
      <c r="P160" s="35" t="n"/>
      <c r="Q160" s="34" t="inlineStr">
        <is>
          <t>IF(OR(O160="",P160=""),"",EDATE(O160,P160))</t>
        </is>
      </c>
      <c r="R160" s="35" t="n"/>
      <c r="S160" s="32" t="n"/>
      <c r="T160" s="32" t="n"/>
      <c r="U160" s="31" t="inlineStr">
        <is>
          <t>IF(E160="","",IF(COUNT(Y160:AJ160)=0,IF(S160="","Not started",S160),SUBSTITUTE(LOOKUP(2,1/(Y160:AJ160&lt;&gt;""),$Y$3:$AJ$3),"Date: ","")))</t>
        </is>
      </c>
      <c r="V160" s="36" t="inlineStr">
        <is>
          <t>IF(OR(E160="",COUNT(Y160:AJ160)=0),"",TODAY()-LOOKUP(2,1/(Y160:AJ160&lt;&gt;""),Y160:AJ160))</t>
        </is>
      </c>
      <c r="W160" s="36" t="inlineStr">
        <is>
          <t>IF(OR(E160="",COUNT(Y160:AJ160)&lt;2),"",LOOKUP(2,1/(Y160:AJ160&lt;&gt;""),Y160:AJ160)-MIN(Y160:AJ160))</t>
        </is>
      </c>
      <c r="X160" s="36" t="inlineStr">
        <is>
          <t>IF(OR(V160="",U160="Not started",U160=""),"",IFERROR(V160-IF(VLOOKUP(U160,'04_Status_Pipeline'!$B$3:$E$20,4,FALSE)="",0,VLOOKUP(U160,'04_Status_Pipeline'!$B$3:$E$20,4,FALSE)),""))</t>
        </is>
      </c>
      <c r="Y160" s="37" t="n"/>
      <c r="Z160" s="37" t="n"/>
      <c r="AA160" s="37" t="n"/>
      <c r="AB160" s="37" t="n"/>
      <c r="AC160" s="37" t="n"/>
      <c r="AD160" s="37" t="n"/>
      <c r="AE160" s="37" t="n"/>
      <c r="AF160" s="37" t="n"/>
      <c r="AG160" s="37" t="n"/>
      <c r="AH160" s="38" t="n"/>
      <c r="AI160" s="38" t="n"/>
      <c r="AJ160" s="38" t="n"/>
      <c r="AK160" s="36" t="inlineStr">
        <is>
          <t>IF(OR(E160="",Z160=""),"",IF(COUNT(Y160:Y160)=0,"",Z160-LOOKUP(2,1/(Y160:Y160&lt;&gt;""),Y160:Y160)))</t>
        </is>
      </c>
      <c r="AL160" s="36" t="inlineStr">
        <is>
          <t>IF(OR(E160="",AA160=""),"",IF(COUNT(Y160:Z160)=0,"",AA160-LOOKUP(2,1/(Y160:Z160&lt;&gt;""),Y160:Z160)))</t>
        </is>
      </c>
      <c r="AM160" s="36" t="inlineStr">
        <is>
          <t>IF(OR(E160="",AB160=""),"",IF(COUNT(Y160:AA160)=0,"",AB160-LOOKUP(2,1/(Y160:AA160&lt;&gt;""),Y160:AA160)))</t>
        </is>
      </c>
      <c r="AN160" s="36" t="inlineStr">
        <is>
          <t>IF(OR(E160="",AC160=""),"",IF(COUNT(Y160:AB160)=0,"",AC160-LOOKUP(2,1/(Y160:AB160&lt;&gt;""),Y160:AB160)))</t>
        </is>
      </c>
      <c r="AO160" s="36" t="inlineStr">
        <is>
          <t>IF(OR(E160="",AD160=""),"",IF(COUNT(Y160:AC160)=0,"",AD160-LOOKUP(2,1/(Y160:AC160&lt;&gt;""),Y160:AC160)))</t>
        </is>
      </c>
      <c r="AP160" s="36" t="inlineStr">
        <is>
          <t>IF(OR(E160="",AE160=""),"",IF(COUNT(Y160:AD160)=0,"",AE160-LOOKUP(2,1/(Y160:AD160&lt;&gt;""),Y160:AD160)))</t>
        </is>
      </c>
      <c r="AQ160" s="36" t="inlineStr">
        <is>
          <t>IF(OR(E160="",AF160=""),"",IF(COUNT(Y160:AE160)=0,"",AF160-LOOKUP(2,1/(Y160:AE160&lt;&gt;""),Y160:AE160)))</t>
        </is>
      </c>
      <c r="AR160" s="36" t="inlineStr">
        <is>
          <t>IF(OR(E160="",AG160=""),"",IF(COUNT(Y160:AF160)=0,"",AG160-LOOKUP(2,1/(Y160:AF160&lt;&gt;""),Y160:AF160)))</t>
        </is>
      </c>
      <c r="AS160" s="36" t="inlineStr">
        <is>
          <t>IF(OR(E160="",AH160=""),"",IF(COUNT(Y160:AG160)=0,"",AH160-LOOKUP(2,1/(Y160:AG160&lt;&gt;""),Y160:AG160)))</t>
        </is>
      </c>
      <c r="AT160" s="36" t="inlineStr">
        <is>
          <t>IF(OR(E160="",AI160=""),"",IF(COUNT(Y160:AH160)=0,"",AI160-LOOKUP(2,1/(Y160:AH160&lt;&gt;""),Y160:AH160)))</t>
        </is>
      </c>
      <c r="AU160" s="36" t="inlineStr">
        <is>
          <t>IF(OR(E160="",AJ160=""),"",IF(COUNT(Y160:AI160)=0,"",AJ160-LOOKUP(2,1/(Y160:AI160&lt;&gt;""),Y160:AI160)))</t>
        </is>
      </c>
      <c r="AV160" s="39" t="inlineStr">
        <is>
          <t>IF(G160="","All_Provinces",IFERROR(VLOOKUP(G160,'07_Lookups'!$A$4:$B$20,2,FALSE),"All_Provinces"))</t>
        </is>
      </c>
      <c r="AW160" s="39" t="inlineStr">
        <is>
          <t>IF(H160="","All_Districts",IFERROR(VLOOKUP(H160,'07_Lookups'!$E$4:$F$42,2,FALSE),"All_Districts"))</t>
        </is>
      </c>
    </row>
    <row r="161" ht="18" customHeight="1">
      <c r="A161" s="31" t="inlineStr">
        <is>
          <t>IF(E161="","",ROW()-3)</t>
        </is>
      </c>
      <c r="B161" s="40" t="n"/>
      <c r="C161" s="40" t="n"/>
      <c r="D161" s="40" t="n"/>
      <c r="E161" s="40" t="n"/>
      <c r="F161" s="40" t="n"/>
      <c r="G161" s="40" t="n"/>
      <c r="H161" s="40" t="n"/>
      <c r="I161" s="40" t="n"/>
      <c r="J161" s="40" t="n"/>
      <c r="K161" s="40" t="n"/>
      <c r="L161" s="40" t="n"/>
      <c r="M161" s="40" t="n"/>
      <c r="N161" s="41" t="n"/>
      <c r="O161" s="34" t="inlineStr">
        <is>
          <t>IF(AE161="","",AE161)</t>
        </is>
      </c>
      <c r="P161" s="42" t="n"/>
      <c r="Q161" s="34" t="inlineStr">
        <is>
          <t>IF(OR(O161="",P161=""),"",EDATE(O161,P161))</t>
        </is>
      </c>
      <c r="R161" s="42" t="n"/>
      <c r="S161" s="40" t="n"/>
      <c r="T161" s="40" t="n"/>
      <c r="U161" s="31" t="inlineStr">
        <is>
          <t>IF(E161="","",IF(COUNT(Y161:AJ161)=0,IF(S161="","Not started",S161),SUBSTITUTE(LOOKUP(2,1/(Y161:AJ161&lt;&gt;""),$Y$3:$AJ$3),"Date: ","")))</t>
        </is>
      </c>
      <c r="V161" s="36" t="inlineStr">
        <is>
          <t>IF(OR(E161="",COUNT(Y161:AJ161)=0),"",TODAY()-LOOKUP(2,1/(Y161:AJ161&lt;&gt;""),Y161:AJ161))</t>
        </is>
      </c>
      <c r="W161" s="36" t="inlineStr">
        <is>
          <t>IF(OR(E161="",COUNT(Y161:AJ161)&lt;2),"",LOOKUP(2,1/(Y161:AJ161&lt;&gt;""),Y161:AJ161)-MIN(Y161:AJ161))</t>
        </is>
      </c>
      <c r="X161" s="36" t="inlineStr">
        <is>
          <t>IF(OR(V161="",U161="Not started",U161=""),"",IFERROR(V161-IF(VLOOKUP(U161,'04_Status_Pipeline'!$B$3:$E$20,4,FALSE)="",0,VLOOKUP(U161,'04_Status_Pipeline'!$B$3:$E$20,4,FALSE)),""))</t>
        </is>
      </c>
      <c r="Y161" s="43" t="n"/>
      <c r="Z161" s="43" t="n"/>
      <c r="AA161" s="43" t="n"/>
      <c r="AB161" s="43" t="n"/>
      <c r="AC161" s="43" t="n"/>
      <c r="AD161" s="43" t="n"/>
      <c r="AE161" s="43" t="n"/>
      <c r="AF161" s="43" t="n"/>
      <c r="AG161" s="43" t="n"/>
      <c r="AH161" s="38" t="n"/>
      <c r="AI161" s="38" t="n"/>
      <c r="AJ161" s="38" t="n"/>
      <c r="AK161" s="36" t="inlineStr">
        <is>
          <t>IF(OR(E161="",Z161=""),"",IF(COUNT(Y161:Y161)=0,"",Z161-LOOKUP(2,1/(Y161:Y161&lt;&gt;""),Y161:Y161)))</t>
        </is>
      </c>
      <c r="AL161" s="36" t="inlineStr">
        <is>
          <t>IF(OR(E161="",AA161=""),"",IF(COUNT(Y161:Z161)=0,"",AA161-LOOKUP(2,1/(Y161:Z161&lt;&gt;""),Y161:Z161)))</t>
        </is>
      </c>
      <c r="AM161" s="36" t="inlineStr">
        <is>
          <t>IF(OR(E161="",AB161=""),"",IF(COUNT(Y161:AA161)=0,"",AB161-LOOKUP(2,1/(Y161:AA161&lt;&gt;""),Y161:AA161)))</t>
        </is>
      </c>
      <c r="AN161" s="36" t="inlineStr">
        <is>
          <t>IF(OR(E161="",AC161=""),"",IF(COUNT(Y161:AB161)=0,"",AC161-LOOKUP(2,1/(Y161:AB161&lt;&gt;""),Y161:AB161)))</t>
        </is>
      </c>
      <c r="AO161" s="36" t="inlineStr">
        <is>
          <t>IF(OR(E161="",AD161=""),"",IF(COUNT(Y161:AC161)=0,"",AD161-LOOKUP(2,1/(Y161:AC161&lt;&gt;""),Y161:AC161)))</t>
        </is>
      </c>
      <c r="AP161" s="36" t="inlineStr">
        <is>
          <t>IF(OR(E161="",AE161=""),"",IF(COUNT(Y161:AD161)=0,"",AE161-LOOKUP(2,1/(Y161:AD161&lt;&gt;""),Y161:AD161)))</t>
        </is>
      </c>
      <c r="AQ161" s="36" t="inlineStr">
        <is>
          <t>IF(OR(E161="",AF161=""),"",IF(COUNT(Y161:AE161)=0,"",AF161-LOOKUP(2,1/(Y161:AE161&lt;&gt;""),Y161:AE161)))</t>
        </is>
      </c>
      <c r="AR161" s="36" t="inlineStr">
        <is>
          <t>IF(OR(E161="",AG161=""),"",IF(COUNT(Y161:AF161)=0,"",AG161-LOOKUP(2,1/(Y161:AF161&lt;&gt;""),Y161:AF161)))</t>
        </is>
      </c>
      <c r="AS161" s="36" t="inlineStr">
        <is>
          <t>IF(OR(E161="",AH161=""),"",IF(COUNT(Y161:AG161)=0,"",AH161-LOOKUP(2,1/(Y161:AG161&lt;&gt;""),Y161:AG161)))</t>
        </is>
      </c>
      <c r="AT161" s="36" t="inlineStr">
        <is>
          <t>IF(OR(E161="",AI161=""),"",IF(COUNT(Y161:AH161)=0,"",AI161-LOOKUP(2,1/(Y161:AH161&lt;&gt;""),Y161:AH161)))</t>
        </is>
      </c>
      <c r="AU161" s="36" t="inlineStr">
        <is>
          <t>IF(OR(E161="",AJ161=""),"",IF(COUNT(Y161:AI161)=0,"",AJ161-LOOKUP(2,1/(Y161:AI161&lt;&gt;""),Y161:AI161)))</t>
        </is>
      </c>
      <c r="AV161" s="39" t="inlineStr">
        <is>
          <t>IF(G161="","All_Provinces",IFERROR(VLOOKUP(G161,'07_Lookups'!$A$4:$B$20,2,FALSE),"All_Provinces"))</t>
        </is>
      </c>
      <c r="AW161" s="39" t="inlineStr">
        <is>
          <t>IF(H161="","All_Districts",IFERROR(VLOOKUP(H161,'07_Lookups'!$E$4:$F$42,2,FALSE),"All_Districts"))</t>
        </is>
      </c>
    </row>
    <row r="162" ht="18" customHeight="1">
      <c r="A162" s="31" t="inlineStr">
        <is>
          <t>IF(E162="","",ROW()-3)</t>
        </is>
      </c>
      <c r="B162" s="32" t="n"/>
      <c r="C162" s="32" t="n"/>
      <c r="D162" s="32" t="n"/>
      <c r="E162" s="32" t="n"/>
      <c r="F162" s="32" t="n"/>
      <c r="G162" s="32" t="n"/>
      <c r="H162" s="32" t="n"/>
      <c r="I162" s="32" t="n"/>
      <c r="J162" s="32" t="n"/>
      <c r="K162" s="32" t="n"/>
      <c r="L162" s="32" t="n"/>
      <c r="M162" s="32" t="n"/>
      <c r="N162" s="33" t="n"/>
      <c r="O162" s="34" t="inlineStr">
        <is>
          <t>IF(AE162="","",AE162)</t>
        </is>
      </c>
      <c r="P162" s="35" t="n"/>
      <c r="Q162" s="34" t="inlineStr">
        <is>
          <t>IF(OR(O162="",P162=""),"",EDATE(O162,P162))</t>
        </is>
      </c>
      <c r="R162" s="35" t="n"/>
      <c r="S162" s="32" t="n"/>
      <c r="T162" s="32" t="n"/>
      <c r="U162" s="31" t="inlineStr">
        <is>
          <t>IF(E162="","",IF(COUNT(Y162:AJ162)=0,IF(S162="","Not started",S162),SUBSTITUTE(LOOKUP(2,1/(Y162:AJ162&lt;&gt;""),$Y$3:$AJ$3),"Date: ","")))</t>
        </is>
      </c>
      <c r="V162" s="36" t="inlineStr">
        <is>
          <t>IF(OR(E162="",COUNT(Y162:AJ162)=0),"",TODAY()-LOOKUP(2,1/(Y162:AJ162&lt;&gt;""),Y162:AJ162))</t>
        </is>
      </c>
      <c r="W162" s="36" t="inlineStr">
        <is>
          <t>IF(OR(E162="",COUNT(Y162:AJ162)&lt;2),"",LOOKUP(2,1/(Y162:AJ162&lt;&gt;""),Y162:AJ162)-MIN(Y162:AJ162))</t>
        </is>
      </c>
      <c r="X162" s="36" t="inlineStr">
        <is>
          <t>IF(OR(V162="",U162="Not started",U162=""),"",IFERROR(V162-IF(VLOOKUP(U162,'04_Status_Pipeline'!$B$3:$E$20,4,FALSE)="",0,VLOOKUP(U162,'04_Status_Pipeline'!$B$3:$E$20,4,FALSE)),""))</t>
        </is>
      </c>
      <c r="Y162" s="37" t="n"/>
      <c r="Z162" s="37" t="n"/>
      <c r="AA162" s="37" t="n"/>
      <c r="AB162" s="37" t="n"/>
      <c r="AC162" s="37" t="n"/>
      <c r="AD162" s="37" t="n"/>
      <c r="AE162" s="37" t="n"/>
      <c r="AF162" s="37" t="n"/>
      <c r="AG162" s="37" t="n"/>
      <c r="AH162" s="38" t="n"/>
      <c r="AI162" s="38" t="n"/>
      <c r="AJ162" s="38" t="n"/>
      <c r="AK162" s="36" t="inlineStr">
        <is>
          <t>IF(OR(E162="",Z162=""),"",IF(COUNT(Y162:Y162)=0,"",Z162-LOOKUP(2,1/(Y162:Y162&lt;&gt;""),Y162:Y162)))</t>
        </is>
      </c>
      <c r="AL162" s="36" t="inlineStr">
        <is>
          <t>IF(OR(E162="",AA162=""),"",IF(COUNT(Y162:Z162)=0,"",AA162-LOOKUP(2,1/(Y162:Z162&lt;&gt;""),Y162:Z162)))</t>
        </is>
      </c>
      <c r="AM162" s="36" t="inlineStr">
        <is>
          <t>IF(OR(E162="",AB162=""),"",IF(COUNT(Y162:AA162)=0,"",AB162-LOOKUP(2,1/(Y162:AA162&lt;&gt;""),Y162:AA162)))</t>
        </is>
      </c>
      <c r="AN162" s="36" t="inlineStr">
        <is>
          <t>IF(OR(E162="",AC162=""),"",IF(COUNT(Y162:AB162)=0,"",AC162-LOOKUP(2,1/(Y162:AB162&lt;&gt;""),Y162:AB162)))</t>
        </is>
      </c>
      <c r="AO162" s="36" t="inlineStr">
        <is>
          <t>IF(OR(E162="",AD162=""),"",IF(COUNT(Y162:AC162)=0,"",AD162-LOOKUP(2,1/(Y162:AC162&lt;&gt;""),Y162:AC162)))</t>
        </is>
      </c>
      <c r="AP162" s="36" t="inlineStr">
        <is>
          <t>IF(OR(E162="",AE162=""),"",IF(COUNT(Y162:AD162)=0,"",AE162-LOOKUP(2,1/(Y162:AD162&lt;&gt;""),Y162:AD162)))</t>
        </is>
      </c>
      <c r="AQ162" s="36" t="inlineStr">
        <is>
          <t>IF(OR(E162="",AF162=""),"",IF(COUNT(Y162:AE162)=0,"",AF162-LOOKUP(2,1/(Y162:AE162&lt;&gt;""),Y162:AE162)))</t>
        </is>
      </c>
      <c r="AR162" s="36" t="inlineStr">
        <is>
          <t>IF(OR(E162="",AG162=""),"",IF(COUNT(Y162:AF162)=0,"",AG162-LOOKUP(2,1/(Y162:AF162&lt;&gt;""),Y162:AF162)))</t>
        </is>
      </c>
      <c r="AS162" s="36" t="inlineStr">
        <is>
          <t>IF(OR(E162="",AH162=""),"",IF(COUNT(Y162:AG162)=0,"",AH162-LOOKUP(2,1/(Y162:AG162&lt;&gt;""),Y162:AG162)))</t>
        </is>
      </c>
      <c r="AT162" s="36" t="inlineStr">
        <is>
          <t>IF(OR(E162="",AI162=""),"",IF(COUNT(Y162:AH162)=0,"",AI162-LOOKUP(2,1/(Y162:AH162&lt;&gt;""),Y162:AH162)))</t>
        </is>
      </c>
      <c r="AU162" s="36" t="inlineStr">
        <is>
          <t>IF(OR(E162="",AJ162=""),"",IF(COUNT(Y162:AI162)=0,"",AJ162-LOOKUP(2,1/(Y162:AI162&lt;&gt;""),Y162:AI162)))</t>
        </is>
      </c>
      <c r="AV162" s="39" t="inlineStr">
        <is>
          <t>IF(G162="","All_Provinces",IFERROR(VLOOKUP(G162,'07_Lookups'!$A$4:$B$20,2,FALSE),"All_Provinces"))</t>
        </is>
      </c>
      <c r="AW162" s="39" t="inlineStr">
        <is>
          <t>IF(H162="","All_Districts",IFERROR(VLOOKUP(H162,'07_Lookups'!$E$4:$F$42,2,FALSE),"All_Districts"))</t>
        </is>
      </c>
    </row>
    <row r="163" ht="18" customHeight="1">
      <c r="A163" s="31" t="inlineStr">
        <is>
          <t>IF(E163="","",ROW()-3)</t>
        </is>
      </c>
      <c r="B163" s="40" t="n"/>
      <c r="C163" s="40" t="n"/>
      <c r="D163" s="40" t="n"/>
      <c r="E163" s="40" t="n"/>
      <c r="F163" s="40" t="n"/>
      <c r="G163" s="40" t="n"/>
      <c r="H163" s="40" t="n"/>
      <c r="I163" s="40" t="n"/>
      <c r="J163" s="40" t="n"/>
      <c r="K163" s="40" t="n"/>
      <c r="L163" s="40" t="n"/>
      <c r="M163" s="40" t="n"/>
      <c r="N163" s="41" t="n"/>
      <c r="O163" s="34" t="inlineStr">
        <is>
          <t>IF(AE163="","",AE163)</t>
        </is>
      </c>
      <c r="P163" s="42" t="n"/>
      <c r="Q163" s="34" t="inlineStr">
        <is>
          <t>IF(OR(O163="",P163=""),"",EDATE(O163,P163))</t>
        </is>
      </c>
      <c r="R163" s="42" t="n"/>
      <c r="S163" s="40" t="n"/>
      <c r="T163" s="40" t="n"/>
      <c r="U163" s="31" t="inlineStr">
        <is>
          <t>IF(E163="","",IF(COUNT(Y163:AJ163)=0,IF(S163="","Not started",S163),SUBSTITUTE(LOOKUP(2,1/(Y163:AJ163&lt;&gt;""),$Y$3:$AJ$3),"Date: ","")))</t>
        </is>
      </c>
      <c r="V163" s="36" t="inlineStr">
        <is>
          <t>IF(OR(E163="",COUNT(Y163:AJ163)=0),"",TODAY()-LOOKUP(2,1/(Y163:AJ163&lt;&gt;""),Y163:AJ163))</t>
        </is>
      </c>
      <c r="W163" s="36" t="inlineStr">
        <is>
          <t>IF(OR(E163="",COUNT(Y163:AJ163)&lt;2),"",LOOKUP(2,1/(Y163:AJ163&lt;&gt;""),Y163:AJ163)-MIN(Y163:AJ163))</t>
        </is>
      </c>
      <c r="X163" s="36" t="inlineStr">
        <is>
          <t>IF(OR(V163="",U163="Not started",U163=""),"",IFERROR(V163-IF(VLOOKUP(U163,'04_Status_Pipeline'!$B$3:$E$20,4,FALSE)="",0,VLOOKUP(U163,'04_Status_Pipeline'!$B$3:$E$20,4,FALSE)),""))</t>
        </is>
      </c>
      <c r="Y163" s="43" t="n"/>
      <c r="Z163" s="43" t="n"/>
      <c r="AA163" s="43" t="n"/>
      <c r="AB163" s="43" t="n"/>
      <c r="AC163" s="43" t="n"/>
      <c r="AD163" s="43" t="n"/>
      <c r="AE163" s="43" t="n"/>
      <c r="AF163" s="43" t="n"/>
      <c r="AG163" s="43" t="n"/>
      <c r="AH163" s="38" t="n"/>
      <c r="AI163" s="38" t="n"/>
      <c r="AJ163" s="38" t="n"/>
      <c r="AK163" s="36" t="inlineStr">
        <is>
          <t>IF(OR(E163="",Z163=""),"",IF(COUNT(Y163:Y163)=0,"",Z163-LOOKUP(2,1/(Y163:Y163&lt;&gt;""),Y163:Y163)))</t>
        </is>
      </c>
      <c r="AL163" s="36" t="inlineStr">
        <is>
          <t>IF(OR(E163="",AA163=""),"",IF(COUNT(Y163:Z163)=0,"",AA163-LOOKUP(2,1/(Y163:Z163&lt;&gt;""),Y163:Z163)))</t>
        </is>
      </c>
      <c r="AM163" s="36" t="inlineStr">
        <is>
          <t>IF(OR(E163="",AB163=""),"",IF(COUNT(Y163:AA163)=0,"",AB163-LOOKUP(2,1/(Y163:AA163&lt;&gt;""),Y163:AA163)))</t>
        </is>
      </c>
      <c r="AN163" s="36" t="inlineStr">
        <is>
          <t>IF(OR(E163="",AC163=""),"",IF(COUNT(Y163:AB163)=0,"",AC163-LOOKUP(2,1/(Y163:AB163&lt;&gt;""),Y163:AB163)))</t>
        </is>
      </c>
      <c r="AO163" s="36" t="inlineStr">
        <is>
          <t>IF(OR(E163="",AD163=""),"",IF(COUNT(Y163:AC163)=0,"",AD163-LOOKUP(2,1/(Y163:AC163&lt;&gt;""),Y163:AC163)))</t>
        </is>
      </c>
      <c r="AP163" s="36" t="inlineStr">
        <is>
          <t>IF(OR(E163="",AE163=""),"",IF(COUNT(Y163:AD163)=0,"",AE163-LOOKUP(2,1/(Y163:AD163&lt;&gt;""),Y163:AD163)))</t>
        </is>
      </c>
      <c r="AQ163" s="36" t="inlineStr">
        <is>
          <t>IF(OR(E163="",AF163=""),"",IF(COUNT(Y163:AE163)=0,"",AF163-LOOKUP(2,1/(Y163:AE163&lt;&gt;""),Y163:AE163)))</t>
        </is>
      </c>
      <c r="AR163" s="36" t="inlineStr">
        <is>
          <t>IF(OR(E163="",AG163=""),"",IF(COUNT(Y163:AF163)=0,"",AG163-LOOKUP(2,1/(Y163:AF163&lt;&gt;""),Y163:AF163)))</t>
        </is>
      </c>
      <c r="AS163" s="36" t="inlineStr">
        <is>
          <t>IF(OR(E163="",AH163=""),"",IF(COUNT(Y163:AG163)=0,"",AH163-LOOKUP(2,1/(Y163:AG163&lt;&gt;""),Y163:AG163)))</t>
        </is>
      </c>
      <c r="AT163" s="36" t="inlineStr">
        <is>
          <t>IF(OR(E163="",AI163=""),"",IF(COUNT(Y163:AH163)=0,"",AI163-LOOKUP(2,1/(Y163:AH163&lt;&gt;""),Y163:AH163)))</t>
        </is>
      </c>
      <c r="AU163" s="36" t="inlineStr">
        <is>
          <t>IF(OR(E163="",AJ163=""),"",IF(COUNT(Y163:AI163)=0,"",AJ163-LOOKUP(2,1/(Y163:AI163&lt;&gt;""),Y163:AI163)))</t>
        </is>
      </c>
      <c r="AV163" s="39" t="inlineStr">
        <is>
          <t>IF(G163="","All_Provinces",IFERROR(VLOOKUP(G163,'07_Lookups'!$A$4:$B$20,2,FALSE),"All_Provinces"))</t>
        </is>
      </c>
      <c r="AW163" s="39" t="inlineStr">
        <is>
          <t>IF(H163="","All_Districts",IFERROR(VLOOKUP(H163,'07_Lookups'!$E$4:$F$42,2,FALSE),"All_Districts"))</t>
        </is>
      </c>
    </row>
    <row r="164" ht="18" customHeight="1">
      <c r="A164" s="31" t="inlineStr">
        <is>
          <t>IF(E164="","",ROW()-3)</t>
        </is>
      </c>
      <c r="B164" s="32" t="n"/>
      <c r="C164" s="32" t="n"/>
      <c r="D164" s="32" t="n"/>
      <c r="E164" s="32" t="n"/>
      <c r="F164" s="32" t="n"/>
      <c r="G164" s="32" t="n"/>
      <c r="H164" s="32" t="n"/>
      <c r="I164" s="32" t="n"/>
      <c r="J164" s="32" t="n"/>
      <c r="K164" s="32" t="n"/>
      <c r="L164" s="32" t="n"/>
      <c r="M164" s="32" t="n"/>
      <c r="N164" s="33" t="n"/>
      <c r="O164" s="34" t="inlineStr">
        <is>
          <t>IF(AE164="","",AE164)</t>
        </is>
      </c>
      <c r="P164" s="35" t="n"/>
      <c r="Q164" s="34" t="inlineStr">
        <is>
          <t>IF(OR(O164="",P164=""),"",EDATE(O164,P164))</t>
        </is>
      </c>
      <c r="R164" s="35" t="n"/>
      <c r="S164" s="32" t="n"/>
      <c r="T164" s="32" t="n"/>
      <c r="U164" s="31" t="inlineStr">
        <is>
          <t>IF(E164="","",IF(COUNT(Y164:AJ164)=0,IF(S164="","Not started",S164),SUBSTITUTE(LOOKUP(2,1/(Y164:AJ164&lt;&gt;""),$Y$3:$AJ$3),"Date: ","")))</t>
        </is>
      </c>
      <c r="V164" s="36" t="inlineStr">
        <is>
          <t>IF(OR(E164="",COUNT(Y164:AJ164)=0),"",TODAY()-LOOKUP(2,1/(Y164:AJ164&lt;&gt;""),Y164:AJ164))</t>
        </is>
      </c>
      <c r="W164" s="36" t="inlineStr">
        <is>
          <t>IF(OR(E164="",COUNT(Y164:AJ164)&lt;2),"",LOOKUP(2,1/(Y164:AJ164&lt;&gt;""),Y164:AJ164)-MIN(Y164:AJ164))</t>
        </is>
      </c>
      <c r="X164" s="36" t="inlineStr">
        <is>
          <t>IF(OR(V164="",U164="Not started",U164=""),"",IFERROR(V164-IF(VLOOKUP(U164,'04_Status_Pipeline'!$B$3:$E$20,4,FALSE)="",0,VLOOKUP(U164,'04_Status_Pipeline'!$B$3:$E$20,4,FALSE)),""))</t>
        </is>
      </c>
      <c r="Y164" s="37" t="n"/>
      <c r="Z164" s="37" t="n"/>
      <c r="AA164" s="37" t="n"/>
      <c r="AB164" s="37" t="n"/>
      <c r="AC164" s="37" t="n"/>
      <c r="AD164" s="37" t="n"/>
      <c r="AE164" s="37" t="n"/>
      <c r="AF164" s="37" t="n"/>
      <c r="AG164" s="37" t="n"/>
      <c r="AH164" s="38" t="n"/>
      <c r="AI164" s="38" t="n"/>
      <c r="AJ164" s="38" t="n"/>
      <c r="AK164" s="36" t="inlineStr">
        <is>
          <t>IF(OR(E164="",Z164=""),"",IF(COUNT(Y164:Y164)=0,"",Z164-LOOKUP(2,1/(Y164:Y164&lt;&gt;""),Y164:Y164)))</t>
        </is>
      </c>
      <c r="AL164" s="36" t="inlineStr">
        <is>
          <t>IF(OR(E164="",AA164=""),"",IF(COUNT(Y164:Z164)=0,"",AA164-LOOKUP(2,1/(Y164:Z164&lt;&gt;""),Y164:Z164)))</t>
        </is>
      </c>
      <c r="AM164" s="36" t="inlineStr">
        <is>
          <t>IF(OR(E164="",AB164=""),"",IF(COUNT(Y164:AA164)=0,"",AB164-LOOKUP(2,1/(Y164:AA164&lt;&gt;""),Y164:AA164)))</t>
        </is>
      </c>
      <c r="AN164" s="36" t="inlineStr">
        <is>
          <t>IF(OR(E164="",AC164=""),"",IF(COUNT(Y164:AB164)=0,"",AC164-LOOKUP(2,1/(Y164:AB164&lt;&gt;""),Y164:AB164)))</t>
        </is>
      </c>
      <c r="AO164" s="36" t="inlineStr">
        <is>
          <t>IF(OR(E164="",AD164=""),"",IF(COUNT(Y164:AC164)=0,"",AD164-LOOKUP(2,1/(Y164:AC164&lt;&gt;""),Y164:AC164)))</t>
        </is>
      </c>
      <c r="AP164" s="36" t="inlineStr">
        <is>
          <t>IF(OR(E164="",AE164=""),"",IF(COUNT(Y164:AD164)=0,"",AE164-LOOKUP(2,1/(Y164:AD164&lt;&gt;""),Y164:AD164)))</t>
        </is>
      </c>
      <c r="AQ164" s="36" t="inlineStr">
        <is>
          <t>IF(OR(E164="",AF164=""),"",IF(COUNT(Y164:AE164)=0,"",AF164-LOOKUP(2,1/(Y164:AE164&lt;&gt;""),Y164:AE164)))</t>
        </is>
      </c>
      <c r="AR164" s="36" t="inlineStr">
        <is>
          <t>IF(OR(E164="",AG164=""),"",IF(COUNT(Y164:AF164)=0,"",AG164-LOOKUP(2,1/(Y164:AF164&lt;&gt;""),Y164:AF164)))</t>
        </is>
      </c>
      <c r="AS164" s="36" t="inlineStr">
        <is>
          <t>IF(OR(E164="",AH164=""),"",IF(COUNT(Y164:AG164)=0,"",AH164-LOOKUP(2,1/(Y164:AG164&lt;&gt;""),Y164:AG164)))</t>
        </is>
      </c>
      <c r="AT164" s="36" t="inlineStr">
        <is>
          <t>IF(OR(E164="",AI164=""),"",IF(COUNT(Y164:AH164)=0,"",AI164-LOOKUP(2,1/(Y164:AH164&lt;&gt;""),Y164:AH164)))</t>
        </is>
      </c>
      <c r="AU164" s="36" t="inlineStr">
        <is>
          <t>IF(OR(E164="",AJ164=""),"",IF(COUNT(Y164:AI164)=0,"",AJ164-LOOKUP(2,1/(Y164:AI164&lt;&gt;""),Y164:AI164)))</t>
        </is>
      </c>
      <c r="AV164" s="39" t="inlineStr">
        <is>
          <t>IF(G164="","All_Provinces",IFERROR(VLOOKUP(G164,'07_Lookups'!$A$4:$B$20,2,FALSE),"All_Provinces"))</t>
        </is>
      </c>
      <c r="AW164" s="39" t="inlineStr">
        <is>
          <t>IF(H164="","All_Districts",IFERROR(VLOOKUP(H164,'07_Lookups'!$E$4:$F$42,2,FALSE),"All_Districts"))</t>
        </is>
      </c>
    </row>
    <row r="165" ht="18" customHeight="1">
      <c r="A165" s="31" t="inlineStr">
        <is>
          <t>IF(E165="","",ROW()-3)</t>
        </is>
      </c>
      <c r="B165" s="40" t="n"/>
      <c r="C165" s="40" t="n"/>
      <c r="D165" s="40" t="n"/>
      <c r="E165" s="40" t="n"/>
      <c r="F165" s="40" t="n"/>
      <c r="G165" s="40" t="n"/>
      <c r="H165" s="40" t="n"/>
      <c r="I165" s="40" t="n"/>
      <c r="J165" s="40" t="n"/>
      <c r="K165" s="40" t="n"/>
      <c r="L165" s="40" t="n"/>
      <c r="M165" s="40" t="n"/>
      <c r="N165" s="41" t="n"/>
      <c r="O165" s="34" t="inlineStr">
        <is>
          <t>IF(AE165="","",AE165)</t>
        </is>
      </c>
      <c r="P165" s="42" t="n"/>
      <c r="Q165" s="34" t="inlineStr">
        <is>
          <t>IF(OR(O165="",P165=""),"",EDATE(O165,P165))</t>
        </is>
      </c>
      <c r="R165" s="42" t="n"/>
      <c r="S165" s="40" t="n"/>
      <c r="T165" s="40" t="n"/>
      <c r="U165" s="31" t="inlineStr">
        <is>
          <t>IF(E165="","",IF(COUNT(Y165:AJ165)=0,IF(S165="","Not started",S165),SUBSTITUTE(LOOKUP(2,1/(Y165:AJ165&lt;&gt;""),$Y$3:$AJ$3),"Date: ","")))</t>
        </is>
      </c>
      <c r="V165" s="36" t="inlineStr">
        <is>
          <t>IF(OR(E165="",COUNT(Y165:AJ165)=0),"",TODAY()-LOOKUP(2,1/(Y165:AJ165&lt;&gt;""),Y165:AJ165))</t>
        </is>
      </c>
      <c r="W165" s="36" t="inlineStr">
        <is>
          <t>IF(OR(E165="",COUNT(Y165:AJ165)&lt;2),"",LOOKUP(2,1/(Y165:AJ165&lt;&gt;""),Y165:AJ165)-MIN(Y165:AJ165))</t>
        </is>
      </c>
      <c r="X165" s="36" t="inlineStr">
        <is>
          <t>IF(OR(V165="",U165="Not started",U165=""),"",IFERROR(V165-IF(VLOOKUP(U165,'04_Status_Pipeline'!$B$3:$E$20,4,FALSE)="",0,VLOOKUP(U165,'04_Status_Pipeline'!$B$3:$E$20,4,FALSE)),""))</t>
        </is>
      </c>
      <c r="Y165" s="43" t="n"/>
      <c r="Z165" s="43" t="n"/>
      <c r="AA165" s="43" t="n"/>
      <c r="AB165" s="43" t="n"/>
      <c r="AC165" s="43" t="n"/>
      <c r="AD165" s="43" t="n"/>
      <c r="AE165" s="43" t="n"/>
      <c r="AF165" s="43" t="n"/>
      <c r="AG165" s="43" t="n"/>
      <c r="AH165" s="38" t="n"/>
      <c r="AI165" s="38" t="n"/>
      <c r="AJ165" s="38" t="n"/>
      <c r="AK165" s="36" t="inlineStr">
        <is>
          <t>IF(OR(E165="",Z165=""),"",IF(COUNT(Y165:Y165)=0,"",Z165-LOOKUP(2,1/(Y165:Y165&lt;&gt;""),Y165:Y165)))</t>
        </is>
      </c>
      <c r="AL165" s="36" t="inlineStr">
        <is>
          <t>IF(OR(E165="",AA165=""),"",IF(COUNT(Y165:Z165)=0,"",AA165-LOOKUP(2,1/(Y165:Z165&lt;&gt;""),Y165:Z165)))</t>
        </is>
      </c>
      <c r="AM165" s="36" t="inlineStr">
        <is>
          <t>IF(OR(E165="",AB165=""),"",IF(COUNT(Y165:AA165)=0,"",AB165-LOOKUP(2,1/(Y165:AA165&lt;&gt;""),Y165:AA165)))</t>
        </is>
      </c>
      <c r="AN165" s="36" t="inlineStr">
        <is>
          <t>IF(OR(E165="",AC165=""),"",IF(COUNT(Y165:AB165)=0,"",AC165-LOOKUP(2,1/(Y165:AB165&lt;&gt;""),Y165:AB165)))</t>
        </is>
      </c>
      <c r="AO165" s="36" t="inlineStr">
        <is>
          <t>IF(OR(E165="",AD165=""),"",IF(COUNT(Y165:AC165)=0,"",AD165-LOOKUP(2,1/(Y165:AC165&lt;&gt;""),Y165:AC165)))</t>
        </is>
      </c>
      <c r="AP165" s="36" t="inlineStr">
        <is>
          <t>IF(OR(E165="",AE165=""),"",IF(COUNT(Y165:AD165)=0,"",AE165-LOOKUP(2,1/(Y165:AD165&lt;&gt;""),Y165:AD165)))</t>
        </is>
      </c>
      <c r="AQ165" s="36" t="inlineStr">
        <is>
          <t>IF(OR(E165="",AF165=""),"",IF(COUNT(Y165:AE165)=0,"",AF165-LOOKUP(2,1/(Y165:AE165&lt;&gt;""),Y165:AE165)))</t>
        </is>
      </c>
      <c r="AR165" s="36" t="inlineStr">
        <is>
          <t>IF(OR(E165="",AG165=""),"",IF(COUNT(Y165:AF165)=0,"",AG165-LOOKUP(2,1/(Y165:AF165&lt;&gt;""),Y165:AF165)))</t>
        </is>
      </c>
      <c r="AS165" s="36" t="inlineStr">
        <is>
          <t>IF(OR(E165="",AH165=""),"",IF(COUNT(Y165:AG165)=0,"",AH165-LOOKUP(2,1/(Y165:AG165&lt;&gt;""),Y165:AG165)))</t>
        </is>
      </c>
      <c r="AT165" s="36" t="inlineStr">
        <is>
          <t>IF(OR(E165="",AI165=""),"",IF(COUNT(Y165:AH165)=0,"",AI165-LOOKUP(2,1/(Y165:AH165&lt;&gt;""),Y165:AH165)))</t>
        </is>
      </c>
      <c r="AU165" s="36" t="inlineStr">
        <is>
          <t>IF(OR(E165="",AJ165=""),"",IF(COUNT(Y165:AI165)=0,"",AJ165-LOOKUP(2,1/(Y165:AI165&lt;&gt;""),Y165:AI165)))</t>
        </is>
      </c>
      <c r="AV165" s="39" t="inlineStr">
        <is>
          <t>IF(G165="","All_Provinces",IFERROR(VLOOKUP(G165,'07_Lookups'!$A$4:$B$20,2,FALSE),"All_Provinces"))</t>
        </is>
      </c>
      <c r="AW165" s="39" t="inlineStr">
        <is>
          <t>IF(H165="","All_Districts",IFERROR(VLOOKUP(H165,'07_Lookups'!$E$4:$F$42,2,FALSE),"All_Districts"))</t>
        </is>
      </c>
    </row>
    <row r="166" ht="18" customHeight="1">
      <c r="A166" s="31" t="inlineStr">
        <is>
          <t>IF(E166="","",ROW()-3)</t>
        </is>
      </c>
      <c r="B166" s="32" t="n"/>
      <c r="C166" s="32" t="n"/>
      <c r="D166" s="32" t="n"/>
      <c r="E166" s="32" t="n"/>
      <c r="F166" s="32" t="n"/>
      <c r="G166" s="32" t="n"/>
      <c r="H166" s="32" t="n"/>
      <c r="I166" s="32" t="n"/>
      <c r="J166" s="32" t="n"/>
      <c r="K166" s="32" t="n"/>
      <c r="L166" s="32" t="n"/>
      <c r="M166" s="32" t="n"/>
      <c r="N166" s="33" t="n"/>
      <c r="O166" s="34" t="inlineStr">
        <is>
          <t>IF(AE166="","",AE166)</t>
        </is>
      </c>
      <c r="P166" s="35" t="n"/>
      <c r="Q166" s="34" t="inlineStr">
        <is>
          <t>IF(OR(O166="",P166=""),"",EDATE(O166,P166))</t>
        </is>
      </c>
      <c r="R166" s="35" t="n"/>
      <c r="S166" s="32" t="n"/>
      <c r="T166" s="32" t="n"/>
      <c r="U166" s="31" t="inlineStr">
        <is>
          <t>IF(E166="","",IF(COUNT(Y166:AJ166)=0,IF(S166="","Not started",S166),SUBSTITUTE(LOOKUP(2,1/(Y166:AJ166&lt;&gt;""),$Y$3:$AJ$3),"Date: ","")))</t>
        </is>
      </c>
      <c r="V166" s="36" t="inlineStr">
        <is>
          <t>IF(OR(E166="",COUNT(Y166:AJ166)=0),"",TODAY()-LOOKUP(2,1/(Y166:AJ166&lt;&gt;""),Y166:AJ166))</t>
        </is>
      </c>
      <c r="W166" s="36" t="inlineStr">
        <is>
          <t>IF(OR(E166="",COUNT(Y166:AJ166)&lt;2),"",LOOKUP(2,1/(Y166:AJ166&lt;&gt;""),Y166:AJ166)-MIN(Y166:AJ166))</t>
        </is>
      </c>
      <c r="X166" s="36" t="inlineStr">
        <is>
          <t>IF(OR(V166="",U166="Not started",U166=""),"",IFERROR(V166-IF(VLOOKUP(U166,'04_Status_Pipeline'!$B$3:$E$20,4,FALSE)="",0,VLOOKUP(U166,'04_Status_Pipeline'!$B$3:$E$20,4,FALSE)),""))</t>
        </is>
      </c>
      <c r="Y166" s="37" t="n"/>
      <c r="Z166" s="37" t="n"/>
      <c r="AA166" s="37" t="n"/>
      <c r="AB166" s="37" t="n"/>
      <c r="AC166" s="37" t="n"/>
      <c r="AD166" s="37" t="n"/>
      <c r="AE166" s="37" t="n"/>
      <c r="AF166" s="37" t="n"/>
      <c r="AG166" s="37" t="n"/>
      <c r="AH166" s="38" t="n"/>
      <c r="AI166" s="38" t="n"/>
      <c r="AJ166" s="38" t="n"/>
      <c r="AK166" s="36" t="inlineStr">
        <is>
          <t>IF(OR(E166="",Z166=""),"",IF(COUNT(Y166:Y166)=0,"",Z166-LOOKUP(2,1/(Y166:Y166&lt;&gt;""),Y166:Y166)))</t>
        </is>
      </c>
      <c r="AL166" s="36" t="inlineStr">
        <is>
          <t>IF(OR(E166="",AA166=""),"",IF(COUNT(Y166:Z166)=0,"",AA166-LOOKUP(2,1/(Y166:Z166&lt;&gt;""),Y166:Z166)))</t>
        </is>
      </c>
      <c r="AM166" s="36" t="inlineStr">
        <is>
          <t>IF(OR(E166="",AB166=""),"",IF(COUNT(Y166:AA166)=0,"",AB166-LOOKUP(2,1/(Y166:AA166&lt;&gt;""),Y166:AA166)))</t>
        </is>
      </c>
      <c r="AN166" s="36" t="inlineStr">
        <is>
          <t>IF(OR(E166="",AC166=""),"",IF(COUNT(Y166:AB166)=0,"",AC166-LOOKUP(2,1/(Y166:AB166&lt;&gt;""),Y166:AB166)))</t>
        </is>
      </c>
      <c r="AO166" s="36" t="inlineStr">
        <is>
          <t>IF(OR(E166="",AD166=""),"",IF(COUNT(Y166:AC166)=0,"",AD166-LOOKUP(2,1/(Y166:AC166&lt;&gt;""),Y166:AC166)))</t>
        </is>
      </c>
      <c r="AP166" s="36" t="inlineStr">
        <is>
          <t>IF(OR(E166="",AE166=""),"",IF(COUNT(Y166:AD166)=0,"",AE166-LOOKUP(2,1/(Y166:AD166&lt;&gt;""),Y166:AD166)))</t>
        </is>
      </c>
      <c r="AQ166" s="36" t="inlineStr">
        <is>
          <t>IF(OR(E166="",AF166=""),"",IF(COUNT(Y166:AE166)=0,"",AF166-LOOKUP(2,1/(Y166:AE166&lt;&gt;""),Y166:AE166)))</t>
        </is>
      </c>
      <c r="AR166" s="36" t="inlineStr">
        <is>
          <t>IF(OR(E166="",AG166=""),"",IF(COUNT(Y166:AF166)=0,"",AG166-LOOKUP(2,1/(Y166:AF166&lt;&gt;""),Y166:AF166)))</t>
        </is>
      </c>
      <c r="AS166" s="36" t="inlineStr">
        <is>
          <t>IF(OR(E166="",AH166=""),"",IF(COUNT(Y166:AG166)=0,"",AH166-LOOKUP(2,1/(Y166:AG166&lt;&gt;""),Y166:AG166)))</t>
        </is>
      </c>
      <c r="AT166" s="36" t="inlineStr">
        <is>
          <t>IF(OR(E166="",AI166=""),"",IF(COUNT(Y166:AH166)=0,"",AI166-LOOKUP(2,1/(Y166:AH166&lt;&gt;""),Y166:AH166)))</t>
        </is>
      </c>
      <c r="AU166" s="36" t="inlineStr">
        <is>
          <t>IF(OR(E166="",AJ166=""),"",IF(COUNT(Y166:AI166)=0,"",AJ166-LOOKUP(2,1/(Y166:AI166&lt;&gt;""),Y166:AI166)))</t>
        </is>
      </c>
      <c r="AV166" s="39" t="inlineStr">
        <is>
          <t>IF(G166="","All_Provinces",IFERROR(VLOOKUP(G166,'07_Lookups'!$A$4:$B$20,2,FALSE),"All_Provinces"))</t>
        </is>
      </c>
      <c r="AW166" s="39" t="inlineStr">
        <is>
          <t>IF(H166="","All_Districts",IFERROR(VLOOKUP(H166,'07_Lookups'!$E$4:$F$42,2,FALSE),"All_Districts"))</t>
        </is>
      </c>
    </row>
    <row r="167" ht="18" customHeight="1">
      <c r="A167" s="31" t="inlineStr">
        <is>
          <t>IF(E167="","",ROW()-3)</t>
        </is>
      </c>
      <c r="B167" s="40" t="n"/>
      <c r="C167" s="40" t="n"/>
      <c r="D167" s="40" t="n"/>
      <c r="E167" s="40" t="n"/>
      <c r="F167" s="40" t="n"/>
      <c r="G167" s="40" t="n"/>
      <c r="H167" s="40" t="n"/>
      <c r="I167" s="40" t="n"/>
      <c r="J167" s="40" t="n"/>
      <c r="K167" s="40" t="n"/>
      <c r="L167" s="40" t="n"/>
      <c r="M167" s="40" t="n"/>
      <c r="N167" s="41" t="n"/>
      <c r="O167" s="34" t="inlineStr">
        <is>
          <t>IF(AE167="","",AE167)</t>
        </is>
      </c>
      <c r="P167" s="42" t="n"/>
      <c r="Q167" s="34" t="inlineStr">
        <is>
          <t>IF(OR(O167="",P167=""),"",EDATE(O167,P167))</t>
        </is>
      </c>
      <c r="R167" s="42" t="n"/>
      <c r="S167" s="40" t="n"/>
      <c r="T167" s="40" t="n"/>
      <c r="U167" s="31" t="inlineStr">
        <is>
          <t>IF(E167="","",IF(COUNT(Y167:AJ167)=0,IF(S167="","Not started",S167),SUBSTITUTE(LOOKUP(2,1/(Y167:AJ167&lt;&gt;""),$Y$3:$AJ$3),"Date: ","")))</t>
        </is>
      </c>
      <c r="V167" s="36" t="inlineStr">
        <is>
          <t>IF(OR(E167="",COUNT(Y167:AJ167)=0),"",TODAY()-LOOKUP(2,1/(Y167:AJ167&lt;&gt;""),Y167:AJ167))</t>
        </is>
      </c>
      <c r="W167" s="36" t="inlineStr">
        <is>
          <t>IF(OR(E167="",COUNT(Y167:AJ167)&lt;2),"",LOOKUP(2,1/(Y167:AJ167&lt;&gt;""),Y167:AJ167)-MIN(Y167:AJ167))</t>
        </is>
      </c>
      <c r="X167" s="36" t="inlineStr">
        <is>
          <t>IF(OR(V167="",U167="Not started",U167=""),"",IFERROR(V167-IF(VLOOKUP(U167,'04_Status_Pipeline'!$B$3:$E$20,4,FALSE)="",0,VLOOKUP(U167,'04_Status_Pipeline'!$B$3:$E$20,4,FALSE)),""))</t>
        </is>
      </c>
      <c r="Y167" s="43" t="n"/>
      <c r="Z167" s="43" t="n"/>
      <c r="AA167" s="43" t="n"/>
      <c r="AB167" s="43" t="n"/>
      <c r="AC167" s="43" t="n"/>
      <c r="AD167" s="43" t="n"/>
      <c r="AE167" s="43" t="n"/>
      <c r="AF167" s="43" t="n"/>
      <c r="AG167" s="43" t="n"/>
      <c r="AH167" s="38" t="n"/>
      <c r="AI167" s="38" t="n"/>
      <c r="AJ167" s="38" t="n"/>
      <c r="AK167" s="36" t="inlineStr">
        <is>
          <t>IF(OR(E167="",Z167=""),"",IF(COUNT(Y167:Y167)=0,"",Z167-LOOKUP(2,1/(Y167:Y167&lt;&gt;""),Y167:Y167)))</t>
        </is>
      </c>
      <c r="AL167" s="36" t="inlineStr">
        <is>
          <t>IF(OR(E167="",AA167=""),"",IF(COUNT(Y167:Z167)=0,"",AA167-LOOKUP(2,1/(Y167:Z167&lt;&gt;""),Y167:Z167)))</t>
        </is>
      </c>
      <c r="AM167" s="36" t="inlineStr">
        <is>
          <t>IF(OR(E167="",AB167=""),"",IF(COUNT(Y167:AA167)=0,"",AB167-LOOKUP(2,1/(Y167:AA167&lt;&gt;""),Y167:AA167)))</t>
        </is>
      </c>
      <c r="AN167" s="36" t="inlineStr">
        <is>
          <t>IF(OR(E167="",AC167=""),"",IF(COUNT(Y167:AB167)=0,"",AC167-LOOKUP(2,1/(Y167:AB167&lt;&gt;""),Y167:AB167)))</t>
        </is>
      </c>
      <c r="AO167" s="36" t="inlineStr">
        <is>
          <t>IF(OR(E167="",AD167=""),"",IF(COUNT(Y167:AC167)=0,"",AD167-LOOKUP(2,1/(Y167:AC167&lt;&gt;""),Y167:AC167)))</t>
        </is>
      </c>
      <c r="AP167" s="36" t="inlineStr">
        <is>
          <t>IF(OR(E167="",AE167=""),"",IF(COUNT(Y167:AD167)=0,"",AE167-LOOKUP(2,1/(Y167:AD167&lt;&gt;""),Y167:AD167)))</t>
        </is>
      </c>
      <c r="AQ167" s="36" t="inlineStr">
        <is>
          <t>IF(OR(E167="",AF167=""),"",IF(COUNT(Y167:AE167)=0,"",AF167-LOOKUP(2,1/(Y167:AE167&lt;&gt;""),Y167:AE167)))</t>
        </is>
      </c>
      <c r="AR167" s="36" t="inlineStr">
        <is>
          <t>IF(OR(E167="",AG167=""),"",IF(COUNT(Y167:AF167)=0,"",AG167-LOOKUP(2,1/(Y167:AF167&lt;&gt;""),Y167:AF167)))</t>
        </is>
      </c>
      <c r="AS167" s="36" t="inlineStr">
        <is>
          <t>IF(OR(E167="",AH167=""),"",IF(COUNT(Y167:AG167)=0,"",AH167-LOOKUP(2,1/(Y167:AG167&lt;&gt;""),Y167:AG167)))</t>
        </is>
      </c>
      <c r="AT167" s="36" t="inlineStr">
        <is>
          <t>IF(OR(E167="",AI167=""),"",IF(COUNT(Y167:AH167)=0,"",AI167-LOOKUP(2,1/(Y167:AH167&lt;&gt;""),Y167:AH167)))</t>
        </is>
      </c>
      <c r="AU167" s="36" t="inlineStr">
        <is>
          <t>IF(OR(E167="",AJ167=""),"",IF(COUNT(Y167:AI167)=0,"",AJ167-LOOKUP(2,1/(Y167:AI167&lt;&gt;""),Y167:AI167)))</t>
        </is>
      </c>
      <c r="AV167" s="39" t="inlineStr">
        <is>
          <t>IF(G167="","All_Provinces",IFERROR(VLOOKUP(G167,'07_Lookups'!$A$4:$B$20,2,FALSE),"All_Provinces"))</t>
        </is>
      </c>
      <c r="AW167" s="39" t="inlineStr">
        <is>
          <t>IF(H167="","All_Districts",IFERROR(VLOOKUP(H167,'07_Lookups'!$E$4:$F$42,2,FALSE),"All_Districts"))</t>
        </is>
      </c>
    </row>
    <row r="168" ht="18" customHeight="1">
      <c r="A168" s="31" t="inlineStr">
        <is>
          <t>IF(E168="","",ROW()-3)</t>
        </is>
      </c>
      <c r="B168" s="32" t="n"/>
      <c r="C168" s="32" t="n"/>
      <c r="D168" s="32" t="n"/>
      <c r="E168" s="32" t="n"/>
      <c r="F168" s="32" t="n"/>
      <c r="G168" s="32" t="n"/>
      <c r="H168" s="32" t="n"/>
      <c r="I168" s="32" t="n"/>
      <c r="J168" s="32" t="n"/>
      <c r="K168" s="32" t="n"/>
      <c r="L168" s="32" t="n"/>
      <c r="M168" s="32" t="n"/>
      <c r="N168" s="33" t="n"/>
      <c r="O168" s="34" t="inlineStr">
        <is>
          <t>IF(AE168="","",AE168)</t>
        </is>
      </c>
      <c r="P168" s="35" t="n"/>
      <c r="Q168" s="34" t="inlineStr">
        <is>
          <t>IF(OR(O168="",P168=""),"",EDATE(O168,P168))</t>
        </is>
      </c>
      <c r="R168" s="35" t="n"/>
      <c r="S168" s="32" t="n"/>
      <c r="T168" s="32" t="n"/>
      <c r="U168" s="31" t="inlineStr">
        <is>
          <t>IF(E168="","",IF(COUNT(Y168:AJ168)=0,IF(S168="","Not started",S168),SUBSTITUTE(LOOKUP(2,1/(Y168:AJ168&lt;&gt;""),$Y$3:$AJ$3),"Date: ","")))</t>
        </is>
      </c>
      <c r="V168" s="36" t="inlineStr">
        <is>
          <t>IF(OR(E168="",COUNT(Y168:AJ168)=0),"",TODAY()-LOOKUP(2,1/(Y168:AJ168&lt;&gt;""),Y168:AJ168))</t>
        </is>
      </c>
      <c r="W168" s="36" t="inlineStr">
        <is>
          <t>IF(OR(E168="",COUNT(Y168:AJ168)&lt;2),"",LOOKUP(2,1/(Y168:AJ168&lt;&gt;""),Y168:AJ168)-MIN(Y168:AJ168))</t>
        </is>
      </c>
      <c r="X168" s="36" t="inlineStr">
        <is>
          <t>IF(OR(V168="",U168="Not started",U168=""),"",IFERROR(V168-IF(VLOOKUP(U168,'04_Status_Pipeline'!$B$3:$E$20,4,FALSE)="",0,VLOOKUP(U168,'04_Status_Pipeline'!$B$3:$E$20,4,FALSE)),""))</t>
        </is>
      </c>
      <c r="Y168" s="37" t="n"/>
      <c r="Z168" s="37" t="n"/>
      <c r="AA168" s="37" t="n"/>
      <c r="AB168" s="37" t="n"/>
      <c r="AC168" s="37" t="n"/>
      <c r="AD168" s="37" t="n"/>
      <c r="AE168" s="37" t="n"/>
      <c r="AF168" s="37" t="n"/>
      <c r="AG168" s="37" t="n"/>
      <c r="AH168" s="38" t="n"/>
      <c r="AI168" s="38" t="n"/>
      <c r="AJ168" s="38" t="n"/>
      <c r="AK168" s="36" t="inlineStr">
        <is>
          <t>IF(OR(E168="",Z168=""),"",IF(COUNT(Y168:Y168)=0,"",Z168-LOOKUP(2,1/(Y168:Y168&lt;&gt;""),Y168:Y168)))</t>
        </is>
      </c>
      <c r="AL168" s="36" t="inlineStr">
        <is>
          <t>IF(OR(E168="",AA168=""),"",IF(COUNT(Y168:Z168)=0,"",AA168-LOOKUP(2,1/(Y168:Z168&lt;&gt;""),Y168:Z168)))</t>
        </is>
      </c>
      <c r="AM168" s="36" t="inlineStr">
        <is>
          <t>IF(OR(E168="",AB168=""),"",IF(COUNT(Y168:AA168)=0,"",AB168-LOOKUP(2,1/(Y168:AA168&lt;&gt;""),Y168:AA168)))</t>
        </is>
      </c>
      <c r="AN168" s="36" t="inlineStr">
        <is>
          <t>IF(OR(E168="",AC168=""),"",IF(COUNT(Y168:AB168)=0,"",AC168-LOOKUP(2,1/(Y168:AB168&lt;&gt;""),Y168:AB168)))</t>
        </is>
      </c>
      <c r="AO168" s="36" t="inlineStr">
        <is>
          <t>IF(OR(E168="",AD168=""),"",IF(COUNT(Y168:AC168)=0,"",AD168-LOOKUP(2,1/(Y168:AC168&lt;&gt;""),Y168:AC168)))</t>
        </is>
      </c>
      <c r="AP168" s="36" t="inlineStr">
        <is>
          <t>IF(OR(E168="",AE168=""),"",IF(COUNT(Y168:AD168)=0,"",AE168-LOOKUP(2,1/(Y168:AD168&lt;&gt;""),Y168:AD168)))</t>
        </is>
      </c>
      <c r="AQ168" s="36" t="inlineStr">
        <is>
          <t>IF(OR(E168="",AF168=""),"",IF(COUNT(Y168:AE168)=0,"",AF168-LOOKUP(2,1/(Y168:AE168&lt;&gt;""),Y168:AE168)))</t>
        </is>
      </c>
      <c r="AR168" s="36" t="inlineStr">
        <is>
          <t>IF(OR(E168="",AG168=""),"",IF(COUNT(Y168:AF168)=0,"",AG168-LOOKUP(2,1/(Y168:AF168&lt;&gt;""),Y168:AF168)))</t>
        </is>
      </c>
      <c r="AS168" s="36" t="inlineStr">
        <is>
          <t>IF(OR(E168="",AH168=""),"",IF(COUNT(Y168:AG168)=0,"",AH168-LOOKUP(2,1/(Y168:AG168&lt;&gt;""),Y168:AG168)))</t>
        </is>
      </c>
      <c r="AT168" s="36" t="inlineStr">
        <is>
          <t>IF(OR(E168="",AI168=""),"",IF(COUNT(Y168:AH168)=0,"",AI168-LOOKUP(2,1/(Y168:AH168&lt;&gt;""),Y168:AH168)))</t>
        </is>
      </c>
      <c r="AU168" s="36" t="inlineStr">
        <is>
          <t>IF(OR(E168="",AJ168=""),"",IF(COUNT(Y168:AI168)=0,"",AJ168-LOOKUP(2,1/(Y168:AI168&lt;&gt;""),Y168:AI168)))</t>
        </is>
      </c>
      <c r="AV168" s="39" t="inlineStr">
        <is>
          <t>IF(G168="","All_Provinces",IFERROR(VLOOKUP(G168,'07_Lookups'!$A$4:$B$20,2,FALSE),"All_Provinces"))</t>
        </is>
      </c>
      <c r="AW168" s="39" t="inlineStr">
        <is>
          <t>IF(H168="","All_Districts",IFERROR(VLOOKUP(H168,'07_Lookups'!$E$4:$F$42,2,FALSE),"All_Districts"))</t>
        </is>
      </c>
    </row>
    <row r="169" ht="18" customHeight="1">
      <c r="A169" s="31" t="inlineStr">
        <is>
          <t>IF(E169="","",ROW()-3)</t>
        </is>
      </c>
      <c r="B169" s="40" t="n"/>
      <c r="C169" s="40" t="n"/>
      <c r="D169" s="40" t="n"/>
      <c r="E169" s="40" t="n"/>
      <c r="F169" s="40" t="n"/>
      <c r="G169" s="40" t="n"/>
      <c r="H169" s="40" t="n"/>
      <c r="I169" s="40" t="n"/>
      <c r="J169" s="40" t="n"/>
      <c r="K169" s="40" t="n"/>
      <c r="L169" s="40" t="n"/>
      <c r="M169" s="40" t="n"/>
      <c r="N169" s="41" t="n"/>
      <c r="O169" s="34" t="inlineStr">
        <is>
          <t>IF(AE169="","",AE169)</t>
        </is>
      </c>
      <c r="P169" s="42" t="n"/>
      <c r="Q169" s="34" t="inlineStr">
        <is>
          <t>IF(OR(O169="",P169=""),"",EDATE(O169,P169))</t>
        </is>
      </c>
      <c r="R169" s="42" t="n"/>
      <c r="S169" s="40" t="n"/>
      <c r="T169" s="40" t="n"/>
      <c r="U169" s="31" t="inlineStr">
        <is>
          <t>IF(E169="","",IF(COUNT(Y169:AJ169)=0,IF(S169="","Not started",S169),SUBSTITUTE(LOOKUP(2,1/(Y169:AJ169&lt;&gt;""),$Y$3:$AJ$3),"Date: ","")))</t>
        </is>
      </c>
      <c r="V169" s="36" t="inlineStr">
        <is>
          <t>IF(OR(E169="",COUNT(Y169:AJ169)=0),"",TODAY()-LOOKUP(2,1/(Y169:AJ169&lt;&gt;""),Y169:AJ169))</t>
        </is>
      </c>
      <c r="W169" s="36" t="inlineStr">
        <is>
          <t>IF(OR(E169="",COUNT(Y169:AJ169)&lt;2),"",LOOKUP(2,1/(Y169:AJ169&lt;&gt;""),Y169:AJ169)-MIN(Y169:AJ169))</t>
        </is>
      </c>
      <c r="X169" s="36" t="inlineStr">
        <is>
          <t>IF(OR(V169="",U169="Not started",U169=""),"",IFERROR(V169-IF(VLOOKUP(U169,'04_Status_Pipeline'!$B$3:$E$20,4,FALSE)="",0,VLOOKUP(U169,'04_Status_Pipeline'!$B$3:$E$20,4,FALSE)),""))</t>
        </is>
      </c>
      <c r="Y169" s="43" t="n"/>
      <c r="Z169" s="43" t="n"/>
      <c r="AA169" s="43" t="n"/>
      <c r="AB169" s="43" t="n"/>
      <c r="AC169" s="43" t="n"/>
      <c r="AD169" s="43" t="n"/>
      <c r="AE169" s="43" t="n"/>
      <c r="AF169" s="43" t="n"/>
      <c r="AG169" s="43" t="n"/>
      <c r="AH169" s="38" t="n"/>
      <c r="AI169" s="38" t="n"/>
      <c r="AJ169" s="38" t="n"/>
      <c r="AK169" s="36" t="inlineStr">
        <is>
          <t>IF(OR(E169="",Z169=""),"",IF(COUNT(Y169:Y169)=0,"",Z169-LOOKUP(2,1/(Y169:Y169&lt;&gt;""),Y169:Y169)))</t>
        </is>
      </c>
      <c r="AL169" s="36" t="inlineStr">
        <is>
          <t>IF(OR(E169="",AA169=""),"",IF(COUNT(Y169:Z169)=0,"",AA169-LOOKUP(2,1/(Y169:Z169&lt;&gt;""),Y169:Z169)))</t>
        </is>
      </c>
      <c r="AM169" s="36" t="inlineStr">
        <is>
          <t>IF(OR(E169="",AB169=""),"",IF(COUNT(Y169:AA169)=0,"",AB169-LOOKUP(2,1/(Y169:AA169&lt;&gt;""),Y169:AA169)))</t>
        </is>
      </c>
      <c r="AN169" s="36" t="inlineStr">
        <is>
          <t>IF(OR(E169="",AC169=""),"",IF(COUNT(Y169:AB169)=0,"",AC169-LOOKUP(2,1/(Y169:AB169&lt;&gt;""),Y169:AB169)))</t>
        </is>
      </c>
      <c r="AO169" s="36" t="inlineStr">
        <is>
          <t>IF(OR(E169="",AD169=""),"",IF(COUNT(Y169:AC169)=0,"",AD169-LOOKUP(2,1/(Y169:AC169&lt;&gt;""),Y169:AC169)))</t>
        </is>
      </c>
      <c r="AP169" s="36" t="inlineStr">
        <is>
          <t>IF(OR(E169="",AE169=""),"",IF(COUNT(Y169:AD169)=0,"",AE169-LOOKUP(2,1/(Y169:AD169&lt;&gt;""),Y169:AD169)))</t>
        </is>
      </c>
      <c r="AQ169" s="36" t="inlineStr">
        <is>
          <t>IF(OR(E169="",AF169=""),"",IF(COUNT(Y169:AE169)=0,"",AF169-LOOKUP(2,1/(Y169:AE169&lt;&gt;""),Y169:AE169)))</t>
        </is>
      </c>
      <c r="AR169" s="36" t="inlineStr">
        <is>
          <t>IF(OR(E169="",AG169=""),"",IF(COUNT(Y169:AF169)=0,"",AG169-LOOKUP(2,1/(Y169:AF169&lt;&gt;""),Y169:AF169)))</t>
        </is>
      </c>
      <c r="AS169" s="36" t="inlineStr">
        <is>
          <t>IF(OR(E169="",AH169=""),"",IF(COUNT(Y169:AG169)=0,"",AH169-LOOKUP(2,1/(Y169:AG169&lt;&gt;""),Y169:AG169)))</t>
        </is>
      </c>
      <c r="AT169" s="36" t="inlineStr">
        <is>
          <t>IF(OR(E169="",AI169=""),"",IF(COUNT(Y169:AH169)=0,"",AI169-LOOKUP(2,1/(Y169:AH169&lt;&gt;""),Y169:AH169)))</t>
        </is>
      </c>
      <c r="AU169" s="36" t="inlineStr">
        <is>
          <t>IF(OR(E169="",AJ169=""),"",IF(COUNT(Y169:AI169)=0,"",AJ169-LOOKUP(2,1/(Y169:AI169&lt;&gt;""),Y169:AI169)))</t>
        </is>
      </c>
      <c r="AV169" s="39" t="inlineStr">
        <is>
          <t>IF(G169="","All_Provinces",IFERROR(VLOOKUP(G169,'07_Lookups'!$A$4:$B$20,2,FALSE),"All_Provinces"))</t>
        </is>
      </c>
      <c r="AW169" s="39" t="inlineStr">
        <is>
          <t>IF(H169="","All_Districts",IFERROR(VLOOKUP(H169,'07_Lookups'!$E$4:$F$42,2,FALSE),"All_Districts"))</t>
        </is>
      </c>
    </row>
    <row r="170" ht="18" customHeight="1">
      <c r="A170" s="31" t="inlineStr">
        <is>
          <t>IF(E170="","",ROW()-3)</t>
        </is>
      </c>
      <c r="B170" s="32" t="n"/>
      <c r="C170" s="32" t="n"/>
      <c r="D170" s="32" t="n"/>
      <c r="E170" s="32" t="n"/>
      <c r="F170" s="32" t="n"/>
      <c r="G170" s="32" t="n"/>
      <c r="H170" s="32" t="n"/>
      <c r="I170" s="32" t="n"/>
      <c r="J170" s="32" t="n"/>
      <c r="K170" s="32" t="n"/>
      <c r="L170" s="32" t="n"/>
      <c r="M170" s="32" t="n"/>
      <c r="N170" s="33" t="n"/>
      <c r="O170" s="34" t="inlineStr">
        <is>
          <t>IF(AE170="","",AE170)</t>
        </is>
      </c>
      <c r="P170" s="35" t="n"/>
      <c r="Q170" s="34" t="inlineStr">
        <is>
          <t>IF(OR(O170="",P170=""),"",EDATE(O170,P170))</t>
        </is>
      </c>
      <c r="R170" s="35" t="n"/>
      <c r="S170" s="32" t="n"/>
      <c r="T170" s="32" t="n"/>
      <c r="U170" s="31" t="inlineStr">
        <is>
          <t>IF(E170="","",IF(COUNT(Y170:AJ170)=0,IF(S170="","Not started",S170),SUBSTITUTE(LOOKUP(2,1/(Y170:AJ170&lt;&gt;""),$Y$3:$AJ$3),"Date: ","")))</t>
        </is>
      </c>
      <c r="V170" s="36" t="inlineStr">
        <is>
          <t>IF(OR(E170="",COUNT(Y170:AJ170)=0),"",TODAY()-LOOKUP(2,1/(Y170:AJ170&lt;&gt;""),Y170:AJ170))</t>
        </is>
      </c>
      <c r="W170" s="36" t="inlineStr">
        <is>
          <t>IF(OR(E170="",COUNT(Y170:AJ170)&lt;2),"",LOOKUP(2,1/(Y170:AJ170&lt;&gt;""),Y170:AJ170)-MIN(Y170:AJ170))</t>
        </is>
      </c>
      <c r="X170" s="36" t="inlineStr">
        <is>
          <t>IF(OR(V170="",U170="Not started",U170=""),"",IFERROR(V170-IF(VLOOKUP(U170,'04_Status_Pipeline'!$B$3:$E$20,4,FALSE)="",0,VLOOKUP(U170,'04_Status_Pipeline'!$B$3:$E$20,4,FALSE)),""))</t>
        </is>
      </c>
      <c r="Y170" s="37" t="n"/>
      <c r="Z170" s="37" t="n"/>
      <c r="AA170" s="37" t="n"/>
      <c r="AB170" s="37" t="n"/>
      <c r="AC170" s="37" t="n"/>
      <c r="AD170" s="37" t="n"/>
      <c r="AE170" s="37" t="n"/>
      <c r="AF170" s="37" t="n"/>
      <c r="AG170" s="37" t="n"/>
      <c r="AH170" s="38" t="n"/>
      <c r="AI170" s="38" t="n"/>
      <c r="AJ170" s="38" t="n"/>
      <c r="AK170" s="36" t="inlineStr">
        <is>
          <t>IF(OR(E170="",Z170=""),"",IF(COUNT(Y170:Y170)=0,"",Z170-LOOKUP(2,1/(Y170:Y170&lt;&gt;""),Y170:Y170)))</t>
        </is>
      </c>
      <c r="AL170" s="36" t="inlineStr">
        <is>
          <t>IF(OR(E170="",AA170=""),"",IF(COUNT(Y170:Z170)=0,"",AA170-LOOKUP(2,1/(Y170:Z170&lt;&gt;""),Y170:Z170)))</t>
        </is>
      </c>
      <c r="AM170" s="36" t="inlineStr">
        <is>
          <t>IF(OR(E170="",AB170=""),"",IF(COUNT(Y170:AA170)=0,"",AB170-LOOKUP(2,1/(Y170:AA170&lt;&gt;""),Y170:AA170)))</t>
        </is>
      </c>
      <c r="AN170" s="36" t="inlineStr">
        <is>
          <t>IF(OR(E170="",AC170=""),"",IF(COUNT(Y170:AB170)=0,"",AC170-LOOKUP(2,1/(Y170:AB170&lt;&gt;""),Y170:AB170)))</t>
        </is>
      </c>
      <c r="AO170" s="36" t="inlineStr">
        <is>
          <t>IF(OR(E170="",AD170=""),"",IF(COUNT(Y170:AC170)=0,"",AD170-LOOKUP(2,1/(Y170:AC170&lt;&gt;""),Y170:AC170)))</t>
        </is>
      </c>
      <c r="AP170" s="36" t="inlineStr">
        <is>
          <t>IF(OR(E170="",AE170=""),"",IF(COUNT(Y170:AD170)=0,"",AE170-LOOKUP(2,1/(Y170:AD170&lt;&gt;""),Y170:AD170)))</t>
        </is>
      </c>
      <c r="AQ170" s="36" t="inlineStr">
        <is>
          <t>IF(OR(E170="",AF170=""),"",IF(COUNT(Y170:AE170)=0,"",AF170-LOOKUP(2,1/(Y170:AE170&lt;&gt;""),Y170:AE170)))</t>
        </is>
      </c>
      <c r="AR170" s="36" t="inlineStr">
        <is>
          <t>IF(OR(E170="",AG170=""),"",IF(COUNT(Y170:AF170)=0,"",AG170-LOOKUP(2,1/(Y170:AF170&lt;&gt;""),Y170:AF170)))</t>
        </is>
      </c>
      <c r="AS170" s="36" t="inlineStr">
        <is>
          <t>IF(OR(E170="",AH170=""),"",IF(COUNT(Y170:AG170)=0,"",AH170-LOOKUP(2,1/(Y170:AG170&lt;&gt;""),Y170:AG170)))</t>
        </is>
      </c>
      <c r="AT170" s="36" t="inlineStr">
        <is>
          <t>IF(OR(E170="",AI170=""),"",IF(COUNT(Y170:AH170)=0,"",AI170-LOOKUP(2,1/(Y170:AH170&lt;&gt;""),Y170:AH170)))</t>
        </is>
      </c>
      <c r="AU170" s="36" t="inlineStr">
        <is>
          <t>IF(OR(E170="",AJ170=""),"",IF(COUNT(Y170:AI170)=0,"",AJ170-LOOKUP(2,1/(Y170:AI170&lt;&gt;""),Y170:AI170)))</t>
        </is>
      </c>
      <c r="AV170" s="39" t="inlineStr">
        <is>
          <t>IF(G170="","All_Provinces",IFERROR(VLOOKUP(G170,'07_Lookups'!$A$4:$B$20,2,FALSE),"All_Provinces"))</t>
        </is>
      </c>
      <c r="AW170" s="39" t="inlineStr">
        <is>
          <t>IF(H170="","All_Districts",IFERROR(VLOOKUP(H170,'07_Lookups'!$E$4:$F$42,2,FALSE),"All_Districts"))</t>
        </is>
      </c>
    </row>
    <row r="171" ht="18" customHeight="1">
      <c r="A171" s="31" t="inlineStr">
        <is>
          <t>IF(E171="","",ROW()-3)</t>
        </is>
      </c>
      <c r="B171" s="40" t="n"/>
      <c r="C171" s="40" t="n"/>
      <c r="D171" s="40" t="n"/>
      <c r="E171" s="40" t="n"/>
      <c r="F171" s="40" t="n"/>
      <c r="G171" s="40" t="n"/>
      <c r="H171" s="40" t="n"/>
      <c r="I171" s="40" t="n"/>
      <c r="J171" s="40" t="n"/>
      <c r="K171" s="40" t="n"/>
      <c r="L171" s="40" t="n"/>
      <c r="M171" s="40" t="n"/>
      <c r="N171" s="41" t="n"/>
      <c r="O171" s="34" t="inlineStr">
        <is>
          <t>IF(AE171="","",AE171)</t>
        </is>
      </c>
      <c r="P171" s="42" t="n"/>
      <c r="Q171" s="34" t="inlineStr">
        <is>
          <t>IF(OR(O171="",P171=""),"",EDATE(O171,P171))</t>
        </is>
      </c>
      <c r="R171" s="42" t="n"/>
      <c r="S171" s="40" t="n"/>
      <c r="T171" s="40" t="n"/>
      <c r="U171" s="31" t="inlineStr">
        <is>
          <t>IF(E171="","",IF(COUNT(Y171:AJ171)=0,IF(S171="","Not started",S171),SUBSTITUTE(LOOKUP(2,1/(Y171:AJ171&lt;&gt;""),$Y$3:$AJ$3),"Date: ","")))</t>
        </is>
      </c>
      <c r="V171" s="36" t="inlineStr">
        <is>
          <t>IF(OR(E171="",COUNT(Y171:AJ171)=0),"",TODAY()-LOOKUP(2,1/(Y171:AJ171&lt;&gt;""),Y171:AJ171))</t>
        </is>
      </c>
      <c r="W171" s="36" t="inlineStr">
        <is>
          <t>IF(OR(E171="",COUNT(Y171:AJ171)&lt;2),"",LOOKUP(2,1/(Y171:AJ171&lt;&gt;""),Y171:AJ171)-MIN(Y171:AJ171))</t>
        </is>
      </c>
      <c r="X171" s="36" t="inlineStr">
        <is>
          <t>IF(OR(V171="",U171="Not started",U171=""),"",IFERROR(V171-IF(VLOOKUP(U171,'04_Status_Pipeline'!$B$3:$E$20,4,FALSE)="",0,VLOOKUP(U171,'04_Status_Pipeline'!$B$3:$E$20,4,FALSE)),""))</t>
        </is>
      </c>
      <c r="Y171" s="43" t="n"/>
      <c r="Z171" s="43" t="n"/>
      <c r="AA171" s="43" t="n"/>
      <c r="AB171" s="43" t="n"/>
      <c r="AC171" s="43" t="n"/>
      <c r="AD171" s="43" t="n"/>
      <c r="AE171" s="43" t="n"/>
      <c r="AF171" s="43" t="n"/>
      <c r="AG171" s="43" t="n"/>
      <c r="AH171" s="38" t="n"/>
      <c r="AI171" s="38" t="n"/>
      <c r="AJ171" s="38" t="n"/>
      <c r="AK171" s="36" t="inlineStr">
        <is>
          <t>IF(OR(E171="",Z171=""),"",IF(COUNT(Y171:Y171)=0,"",Z171-LOOKUP(2,1/(Y171:Y171&lt;&gt;""),Y171:Y171)))</t>
        </is>
      </c>
      <c r="AL171" s="36" t="inlineStr">
        <is>
          <t>IF(OR(E171="",AA171=""),"",IF(COUNT(Y171:Z171)=0,"",AA171-LOOKUP(2,1/(Y171:Z171&lt;&gt;""),Y171:Z171)))</t>
        </is>
      </c>
      <c r="AM171" s="36" t="inlineStr">
        <is>
          <t>IF(OR(E171="",AB171=""),"",IF(COUNT(Y171:AA171)=0,"",AB171-LOOKUP(2,1/(Y171:AA171&lt;&gt;""),Y171:AA171)))</t>
        </is>
      </c>
      <c r="AN171" s="36" t="inlineStr">
        <is>
          <t>IF(OR(E171="",AC171=""),"",IF(COUNT(Y171:AB171)=0,"",AC171-LOOKUP(2,1/(Y171:AB171&lt;&gt;""),Y171:AB171)))</t>
        </is>
      </c>
      <c r="AO171" s="36" t="inlineStr">
        <is>
          <t>IF(OR(E171="",AD171=""),"",IF(COUNT(Y171:AC171)=0,"",AD171-LOOKUP(2,1/(Y171:AC171&lt;&gt;""),Y171:AC171)))</t>
        </is>
      </c>
      <c r="AP171" s="36" t="inlineStr">
        <is>
          <t>IF(OR(E171="",AE171=""),"",IF(COUNT(Y171:AD171)=0,"",AE171-LOOKUP(2,1/(Y171:AD171&lt;&gt;""),Y171:AD171)))</t>
        </is>
      </c>
      <c r="AQ171" s="36" t="inlineStr">
        <is>
          <t>IF(OR(E171="",AF171=""),"",IF(COUNT(Y171:AE171)=0,"",AF171-LOOKUP(2,1/(Y171:AE171&lt;&gt;""),Y171:AE171)))</t>
        </is>
      </c>
      <c r="AR171" s="36" t="inlineStr">
        <is>
          <t>IF(OR(E171="",AG171=""),"",IF(COUNT(Y171:AF171)=0,"",AG171-LOOKUP(2,1/(Y171:AF171&lt;&gt;""),Y171:AF171)))</t>
        </is>
      </c>
      <c r="AS171" s="36" t="inlineStr">
        <is>
          <t>IF(OR(E171="",AH171=""),"",IF(COUNT(Y171:AG171)=0,"",AH171-LOOKUP(2,1/(Y171:AG171&lt;&gt;""),Y171:AG171)))</t>
        </is>
      </c>
      <c r="AT171" s="36" t="inlineStr">
        <is>
          <t>IF(OR(E171="",AI171=""),"",IF(COUNT(Y171:AH171)=0,"",AI171-LOOKUP(2,1/(Y171:AH171&lt;&gt;""),Y171:AH171)))</t>
        </is>
      </c>
      <c r="AU171" s="36" t="inlineStr">
        <is>
          <t>IF(OR(E171="",AJ171=""),"",IF(COUNT(Y171:AI171)=0,"",AJ171-LOOKUP(2,1/(Y171:AI171&lt;&gt;""),Y171:AI171)))</t>
        </is>
      </c>
      <c r="AV171" s="39" t="inlineStr">
        <is>
          <t>IF(G171="","All_Provinces",IFERROR(VLOOKUP(G171,'07_Lookups'!$A$4:$B$20,2,FALSE),"All_Provinces"))</t>
        </is>
      </c>
      <c r="AW171" s="39" t="inlineStr">
        <is>
          <t>IF(H171="","All_Districts",IFERROR(VLOOKUP(H171,'07_Lookups'!$E$4:$F$42,2,FALSE),"All_Districts"))</t>
        </is>
      </c>
    </row>
    <row r="172" ht="18" customHeight="1">
      <c r="A172" s="31" t="inlineStr">
        <is>
          <t>IF(E172="","",ROW()-3)</t>
        </is>
      </c>
      <c r="B172" s="32" t="n"/>
      <c r="C172" s="32" t="n"/>
      <c r="D172" s="32" t="n"/>
      <c r="E172" s="32" t="n"/>
      <c r="F172" s="32" t="n"/>
      <c r="G172" s="32" t="n"/>
      <c r="H172" s="32" t="n"/>
      <c r="I172" s="32" t="n"/>
      <c r="J172" s="32" t="n"/>
      <c r="K172" s="32" t="n"/>
      <c r="L172" s="32" t="n"/>
      <c r="M172" s="32" t="n"/>
      <c r="N172" s="33" t="n"/>
      <c r="O172" s="34" t="inlineStr">
        <is>
          <t>IF(AE172="","",AE172)</t>
        </is>
      </c>
      <c r="P172" s="35" t="n"/>
      <c r="Q172" s="34" t="inlineStr">
        <is>
          <t>IF(OR(O172="",P172=""),"",EDATE(O172,P172))</t>
        </is>
      </c>
      <c r="R172" s="35" t="n"/>
      <c r="S172" s="32" t="n"/>
      <c r="T172" s="32" t="n"/>
      <c r="U172" s="31" t="inlineStr">
        <is>
          <t>IF(E172="","",IF(COUNT(Y172:AJ172)=0,IF(S172="","Not started",S172),SUBSTITUTE(LOOKUP(2,1/(Y172:AJ172&lt;&gt;""),$Y$3:$AJ$3),"Date: ","")))</t>
        </is>
      </c>
      <c r="V172" s="36" t="inlineStr">
        <is>
          <t>IF(OR(E172="",COUNT(Y172:AJ172)=0),"",TODAY()-LOOKUP(2,1/(Y172:AJ172&lt;&gt;""),Y172:AJ172))</t>
        </is>
      </c>
      <c r="W172" s="36" t="inlineStr">
        <is>
          <t>IF(OR(E172="",COUNT(Y172:AJ172)&lt;2),"",LOOKUP(2,1/(Y172:AJ172&lt;&gt;""),Y172:AJ172)-MIN(Y172:AJ172))</t>
        </is>
      </c>
      <c r="X172" s="36" t="inlineStr">
        <is>
          <t>IF(OR(V172="",U172="Not started",U172=""),"",IFERROR(V172-IF(VLOOKUP(U172,'04_Status_Pipeline'!$B$3:$E$20,4,FALSE)="",0,VLOOKUP(U172,'04_Status_Pipeline'!$B$3:$E$20,4,FALSE)),""))</t>
        </is>
      </c>
      <c r="Y172" s="37" t="n"/>
      <c r="Z172" s="37" t="n"/>
      <c r="AA172" s="37" t="n"/>
      <c r="AB172" s="37" t="n"/>
      <c r="AC172" s="37" t="n"/>
      <c r="AD172" s="37" t="n"/>
      <c r="AE172" s="37" t="n"/>
      <c r="AF172" s="37" t="n"/>
      <c r="AG172" s="37" t="n"/>
      <c r="AH172" s="38" t="n"/>
      <c r="AI172" s="38" t="n"/>
      <c r="AJ172" s="38" t="n"/>
      <c r="AK172" s="36" t="inlineStr">
        <is>
          <t>IF(OR(E172="",Z172=""),"",IF(COUNT(Y172:Y172)=0,"",Z172-LOOKUP(2,1/(Y172:Y172&lt;&gt;""),Y172:Y172)))</t>
        </is>
      </c>
      <c r="AL172" s="36" t="inlineStr">
        <is>
          <t>IF(OR(E172="",AA172=""),"",IF(COUNT(Y172:Z172)=0,"",AA172-LOOKUP(2,1/(Y172:Z172&lt;&gt;""),Y172:Z172)))</t>
        </is>
      </c>
      <c r="AM172" s="36" t="inlineStr">
        <is>
          <t>IF(OR(E172="",AB172=""),"",IF(COUNT(Y172:AA172)=0,"",AB172-LOOKUP(2,1/(Y172:AA172&lt;&gt;""),Y172:AA172)))</t>
        </is>
      </c>
      <c r="AN172" s="36" t="inlineStr">
        <is>
          <t>IF(OR(E172="",AC172=""),"",IF(COUNT(Y172:AB172)=0,"",AC172-LOOKUP(2,1/(Y172:AB172&lt;&gt;""),Y172:AB172)))</t>
        </is>
      </c>
      <c r="AO172" s="36" t="inlineStr">
        <is>
          <t>IF(OR(E172="",AD172=""),"",IF(COUNT(Y172:AC172)=0,"",AD172-LOOKUP(2,1/(Y172:AC172&lt;&gt;""),Y172:AC172)))</t>
        </is>
      </c>
      <c r="AP172" s="36" t="inlineStr">
        <is>
          <t>IF(OR(E172="",AE172=""),"",IF(COUNT(Y172:AD172)=0,"",AE172-LOOKUP(2,1/(Y172:AD172&lt;&gt;""),Y172:AD172)))</t>
        </is>
      </c>
      <c r="AQ172" s="36" t="inlineStr">
        <is>
          <t>IF(OR(E172="",AF172=""),"",IF(COUNT(Y172:AE172)=0,"",AF172-LOOKUP(2,1/(Y172:AE172&lt;&gt;""),Y172:AE172)))</t>
        </is>
      </c>
      <c r="AR172" s="36" t="inlineStr">
        <is>
          <t>IF(OR(E172="",AG172=""),"",IF(COUNT(Y172:AF172)=0,"",AG172-LOOKUP(2,1/(Y172:AF172&lt;&gt;""),Y172:AF172)))</t>
        </is>
      </c>
      <c r="AS172" s="36" t="inlineStr">
        <is>
          <t>IF(OR(E172="",AH172=""),"",IF(COUNT(Y172:AG172)=0,"",AH172-LOOKUP(2,1/(Y172:AG172&lt;&gt;""),Y172:AG172)))</t>
        </is>
      </c>
      <c r="AT172" s="36" t="inlineStr">
        <is>
          <t>IF(OR(E172="",AI172=""),"",IF(COUNT(Y172:AH172)=0,"",AI172-LOOKUP(2,1/(Y172:AH172&lt;&gt;""),Y172:AH172)))</t>
        </is>
      </c>
      <c r="AU172" s="36" t="inlineStr">
        <is>
          <t>IF(OR(E172="",AJ172=""),"",IF(COUNT(Y172:AI172)=0,"",AJ172-LOOKUP(2,1/(Y172:AI172&lt;&gt;""),Y172:AI172)))</t>
        </is>
      </c>
      <c r="AV172" s="39" t="inlineStr">
        <is>
          <t>IF(G172="","All_Provinces",IFERROR(VLOOKUP(G172,'07_Lookups'!$A$4:$B$20,2,FALSE),"All_Provinces"))</t>
        </is>
      </c>
      <c r="AW172" s="39" t="inlineStr">
        <is>
          <t>IF(H172="","All_Districts",IFERROR(VLOOKUP(H172,'07_Lookups'!$E$4:$F$42,2,FALSE),"All_Districts"))</t>
        </is>
      </c>
    </row>
    <row r="173" ht="18" customHeight="1">
      <c r="A173" s="31" t="inlineStr">
        <is>
          <t>IF(E173="","",ROW()-3)</t>
        </is>
      </c>
      <c r="B173" s="40" t="n"/>
      <c r="C173" s="40" t="n"/>
      <c r="D173" s="40" t="n"/>
      <c r="E173" s="40" t="n"/>
      <c r="F173" s="40" t="n"/>
      <c r="G173" s="40" t="n"/>
      <c r="H173" s="40" t="n"/>
      <c r="I173" s="40" t="n"/>
      <c r="J173" s="40" t="n"/>
      <c r="K173" s="40" t="n"/>
      <c r="L173" s="40" t="n"/>
      <c r="M173" s="40" t="n"/>
      <c r="N173" s="41" t="n"/>
      <c r="O173" s="34" t="inlineStr">
        <is>
          <t>IF(AE173="","",AE173)</t>
        </is>
      </c>
      <c r="P173" s="42" t="n"/>
      <c r="Q173" s="34" t="inlineStr">
        <is>
          <t>IF(OR(O173="",P173=""),"",EDATE(O173,P173))</t>
        </is>
      </c>
      <c r="R173" s="42" t="n"/>
      <c r="S173" s="40" t="n"/>
      <c r="T173" s="40" t="n"/>
      <c r="U173" s="31" t="inlineStr">
        <is>
          <t>IF(E173="","",IF(COUNT(Y173:AJ173)=0,IF(S173="","Not started",S173),SUBSTITUTE(LOOKUP(2,1/(Y173:AJ173&lt;&gt;""),$Y$3:$AJ$3),"Date: ","")))</t>
        </is>
      </c>
      <c r="V173" s="36" t="inlineStr">
        <is>
          <t>IF(OR(E173="",COUNT(Y173:AJ173)=0),"",TODAY()-LOOKUP(2,1/(Y173:AJ173&lt;&gt;""),Y173:AJ173))</t>
        </is>
      </c>
      <c r="W173" s="36" t="inlineStr">
        <is>
          <t>IF(OR(E173="",COUNT(Y173:AJ173)&lt;2),"",LOOKUP(2,1/(Y173:AJ173&lt;&gt;""),Y173:AJ173)-MIN(Y173:AJ173))</t>
        </is>
      </c>
      <c r="X173" s="36" t="inlineStr">
        <is>
          <t>IF(OR(V173="",U173="Not started",U173=""),"",IFERROR(V173-IF(VLOOKUP(U173,'04_Status_Pipeline'!$B$3:$E$20,4,FALSE)="",0,VLOOKUP(U173,'04_Status_Pipeline'!$B$3:$E$20,4,FALSE)),""))</t>
        </is>
      </c>
      <c r="Y173" s="43" t="n"/>
      <c r="Z173" s="43" t="n"/>
      <c r="AA173" s="43" t="n"/>
      <c r="AB173" s="43" t="n"/>
      <c r="AC173" s="43" t="n"/>
      <c r="AD173" s="43" t="n"/>
      <c r="AE173" s="43" t="n"/>
      <c r="AF173" s="43" t="n"/>
      <c r="AG173" s="43" t="n"/>
      <c r="AH173" s="38" t="n"/>
      <c r="AI173" s="38" t="n"/>
      <c r="AJ173" s="38" t="n"/>
      <c r="AK173" s="36" t="inlineStr">
        <is>
          <t>IF(OR(E173="",Z173=""),"",IF(COUNT(Y173:Y173)=0,"",Z173-LOOKUP(2,1/(Y173:Y173&lt;&gt;""),Y173:Y173)))</t>
        </is>
      </c>
      <c r="AL173" s="36" t="inlineStr">
        <is>
          <t>IF(OR(E173="",AA173=""),"",IF(COUNT(Y173:Z173)=0,"",AA173-LOOKUP(2,1/(Y173:Z173&lt;&gt;""),Y173:Z173)))</t>
        </is>
      </c>
      <c r="AM173" s="36" t="inlineStr">
        <is>
          <t>IF(OR(E173="",AB173=""),"",IF(COUNT(Y173:AA173)=0,"",AB173-LOOKUP(2,1/(Y173:AA173&lt;&gt;""),Y173:AA173)))</t>
        </is>
      </c>
      <c r="AN173" s="36" t="inlineStr">
        <is>
          <t>IF(OR(E173="",AC173=""),"",IF(COUNT(Y173:AB173)=0,"",AC173-LOOKUP(2,1/(Y173:AB173&lt;&gt;""),Y173:AB173)))</t>
        </is>
      </c>
      <c r="AO173" s="36" t="inlineStr">
        <is>
          <t>IF(OR(E173="",AD173=""),"",IF(COUNT(Y173:AC173)=0,"",AD173-LOOKUP(2,1/(Y173:AC173&lt;&gt;""),Y173:AC173)))</t>
        </is>
      </c>
      <c r="AP173" s="36" t="inlineStr">
        <is>
          <t>IF(OR(E173="",AE173=""),"",IF(COUNT(Y173:AD173)=0,"",AE173-LOOKUP(2,1/(Y173:AD173&lt;&gt;""),Y173:AD173)))</t>
        </is>
      </c>
      <c r="AQ173" s="36" t="inlineStr">
        <is>
          <t>IF(OR(E173="",AF173=""),"",IF(COUNT(Y173:AE173)=0,"",AF173-LOOKUP(2,1/(Y173:AE173&lt;&gt;""),Y173:AE173)))</t>
        </is>
      </c>
      <c r="AR173" s="36" t="inlineStr">
        <is>
          <t>IF(OR(E173="",AG173=""),"",IF(COUNT(Y173:AF173)=0,"",AG173-LOOKUP(2,1/(Y173:AF173&lt;&gt;""),Y173:AF173)))</t>
        </is>
      </c>
      <c r="AS173" s="36" t="inlineStr">
        <is>
          <t>IF(OR(E173="",AH173=""),"",IF(COUNT(Y173:AG173)=0,"",AH173-LOOKUP(2,1/(Y173:AG173&lt;&gt;""),Y173:AG173)))</t>
        </is>
      </c>
      <c r="AT173" s="36" t="inlineStr">
        <is>
          <t>IF(OR(E173="",AI173=""),"",IF(COUNT(Y173:AH173)=0,"",AI173-LOOKUP(2,1/(Y173:AH173&lt;&gt;""),Y173:AH173)))</t>
        </is>
      </c>
      <c r="AU173" s="36" t="inlineStr">
        <is>
          <t>IF(OR(E173="",AJ173=""),"",IF(COUNT(Y173:AI173)=0,"",AJ173-LOOKUP(2,1/(Y173:AI173&lt;&gt;""),Y173:AI173)))</t>
        </is>
      </c>
      <c r="AV173" s="39" t="inlineStr">
        <is>
          <t>IF(G173="","All_Provinces",IFERROR(VLOOKUP(G173,'07_Lookups'!$A$4:$B$20,2,FALSE),"All_Provinces"))</t>
        </is>
      </c>
      <c r="AW173" s="39" t="inlineStr">
        <is>
          <t>IF(H173="","All_Districts",IFERROR(VLOOKUP(H173,'07_Lookups'!$E$4:$F$42,2,FALSE),"All_Districts"))</t>
        </is>
      </c>
    </row>
    <row r="174" ht="18" customHeight="1">
      <c r="A174" s="31" t="inlineStr">
        <is>
          <t>IF(E174="","",ROW()-3)</t>
        </is>
      </c>
      <c r="B174" s="32" t="n"/>
      <c r="C174" s="32" t="n"/>
      <c r="D174" s="32" t="n"/>
      <c r="E174" s="32" t="n"/>
      <c r="F174" s="32" t="n"/>
      <c r="G174" s="32" t="n"/>
      <c r="H174" s="32" t="n"/>
      <c r="I174" s="32" t="n"/>
      <c r="J174" s="32" t="n"/>
      <c r="K174" s="32" t="n"/>
      <c r="L174" s="32" t="n"/>
      <c r="M174" s="32" t="n"/>
      <c r="N174" s="33" t="n"/>
      <c r="O174" s="34" t="inlineStr">
        <is>
          <t>IF(AE174="","",AE174)</t>
        </is>
      </c>
      <c r="P174" s="35" t="n"/>
      <c r="Q174" s="34" t="inlineStr">
        <is>
          <t>IF(OR(O174="",P174=""),"",EDATE(O174,P174))</t>
        </is>
      </c>
      <c r="R174" s="35" t="n"/>
      <c r="S174" s="32" t="n"/>
      <c r="T174" s="32" t="n"/>
      <c r="U174" s="31" t="inlineStr">
        <is>
          <t>IF(E174="","",IF(COUNT(Y174:AJ174)=0,IF(S174="","Not started",S174),SUBSTITUTE(LOOKUP(2,1/(Y174:AJ174&lt;&gt;""),$Y$3:$AJ$3),"Date: ","")))</t>
        </is>
      </c>
      <c r="V174" s="36" t="inlineStr">
        <is>
          <t>IF(OR(E174="",COUNT(Y174:AJ174)=0),"",TODAY()-LOOKUP(2,1/(Y174:AJ174&lt;&gt;""),Y174:AJ174))</t>
        </is>
      </c>
      <c r="W174" s="36" t="inlineStr">
        <is>
          <t>IF(OR(E174="",COUNT(Y174:AJ174)&lt;2),"",LOOKUP(2,1/(Y174:AJ174&lt;&gt;""),Y174:AJ174)-MIN(Y174:AJ174))</t>
        </is>
      </c>
      <c r="X174" s="36" t="inlineStr">
        <is>
          <t>IF(OR(V174="",U174="Not started",U174=""),"",IFERROR(V174-IF(VLOOKUP(U174,'04_Status_Pipeline'!$B$3:$E$20,4,FALSE)="",0,VLOOKUP(U174,'04_Status_Pipeline'!$B$3:$E$20,4,FALSE)),""))</t>
        </is>
      </c>
      <c r="Y174" s="37" t="n"/>
      <c r="Z174" s="37" t="n"/>
      <c r="AA174" s="37" t="n"/>
      <c r="AB174" s="37" t="n"/>
      <c r="AC174" s="37" t="n"/>
      <c r="AD174" s="37" t="n"/>
      <c r="AE174" s="37" t="n"/>
      <c r="AF174" s="37" t="n"/>
      <c r="AG174" s="37" t="n"/>
      <c r="AH174" s="38" t="n"/>
      <c r="AI174" s="38" t="n"/>
      <c r="AJ174" s="38" t="n"/>
      <c r="AK174" s="36" t="inlineStr">
        <is>
          <t>IF(OR(E174="",Z174=""),"",IF(COUNT(Y174:Y174)=0,"",Z174-LOOKUP(2,1/(Y174:Y174&lt;&gt;""),Y174:Y174)))</t>
        </is>
      </c>
      <c r="AL174" s="36" t="inlineStr">
        <is>
          <t>IF(OR(E174="",AA174=""),"",IF(COUNT(Y174:Z174)=0,"",AA174-LOOKUP(2,1/(Y174:Z174&lt;&gt;""),Y174:Z174)))</t>
        </is>
      </c>
      <c r="AM174" s="36" t="inlineStr">
        <is>
          <t>IF(OR(E174="",AB174=""),"",IF(COUNT(Y174:AA174)=0,"",AB174-LOOKUP(2,1/(Y174:AA174&lt;&gt;""),Y174:AA174)))</t>
        </is>
      </c>
      <c r="AN174" s="36" t="inlineStr">
        <is>
          <t>IF(OR(E174="",AC174=""),"",IF(COUNT(Y174:AB174)=0,"",AC174-LOOKUP(2,1/(Y174:AB174&lt;&gt;""),Y174:AB174)))</t>
        </is>
      </c>
      <c r="AO174" s="36" t="inlineStr">
        <is>
          <t>IF(OR(E174="",AD174=""),"",IF(COUNT(Y174:AC174)=0,"",AD174-LOOKUP(2,1/(Y174:AC174&lt;&gt;""),Y174:AC174)))</t>
        </is>
      </c>
      <c r="AP174" s="36" t="inlineStr">
        <is>
          <t>IF(OR(E174="",AE174=""),"",IF(COUNT(Y174:AD174)=0,"",AE174-LOOKUP(2,1/(Y174:AD174&lt;&gt;""),Y174:AD174)))</t>
        </is>
      </c>
      <c r="AQ174" s="36" t="inlineStr">
        <is>
          <t>IF(OR(E174="",AF174=""),"",IF(COUNT(Y174:AE174)=0,"",AF174-LOOKUP(2,1/(Y174:AE174&lt;&gt;""),Y174:AE174)))</t>
        </is>
      </c>
      <c r="AR174" s="36" t="inlineStr">
        <is>
          <t>IF(OR(E174="",AG174=""),"",IF(COUNT(Y174:AF174)=0,"",AG174-LOOKUP(2,1/(Y174:AF174&lt;&gt;""),Y174:AF174)))</t>
        </is>
      </c>
      <c r="AS174" s="36" t="inlineStr">
        <is>
          <t>IF(OR(E174="",AH174=""),"",IF(COUNT(Y174:AG174)=0,"",AH174-LOOKUP(2,1/(Y174:AG174&lt;&gt;""),Y174:AG174)))</t>
        </is>
      </c>
      <c r="AT174" s="36" t="inlineStr">
        <is>
          <t>IF(OR(E174="",AI174=""),"",IF(COUNT(Y174:AH174)=0,"",AI174-LOOKUP(2,1/(Y174:AH174&lt;&gt;""),Y174:AH174)))</t>
        </is>
      </c>
      <c r="AU174" s="36" t="inlineStr">
        <is>
          <t>IF(OR(E174="",AJ174=""),"",IF(COUNT(Y174:AI174)=0,"",AJ174-LOOKUP(2,1/(Y174:AI174&lt;&gt;""),Y174:AI174)))</t>
        </is>
      </c>
      <c r="AV174" s="39" t="inlineStr">
        <is>
          <t>IF(G174="","All_Provinces",IFERROR(VLOOKUP(G174,'07_Lookups'!$A$4:$B$20,2,FALSE),"All_Provinces"))</t>
        </is>
      </c>
      <c r="AW174" s="39" t="inlineStr">
        <is>
          <t>IF(H174="","All_Districts",IFERROR(VLOOKUP(H174,'07_Lookups'!$E$4:$F$42,2,FALSE),"All_Districts"))</t>
        </is>
      </c>
    </row>
    <row r="175" ht="18" customHeight="1">
      <c r="A175" s="31" t="inlineStr">
        <is>
          <t>IF(E175="","",ROW()-3)</t>
        </is>
      </c>
      <c r="B175" s="40" t="n"/>
      <c r="C175" s="40" t="n"/>
      <c r="D175" s="40" t="n"/>
      <c r="E175" s="40" t="n"/>
      <c r="F175" s="40" t="n"/>
      <c r="G175" s="40" t="n"/>
      <c r="H175" s="40" t="n"/>
      <c r="I175" s="40" t="n"/>
      <c r="J175" s="40" t="n"/>
      <c r="K175" s="40" t="n"/>
      <c r="L175" s="40" t="n"/>
      <c r="M175" s="40" t="n"/>
      <c r="N175" s="41" t="n"/>
      <c r="O175" s="34" t="inlineStr">
        <is>
          <t>IF(AE175="","",AE175)</t>
        </is>
      </c>
      <c r="P175" s="42" t="n"/>
      <c r="Q175" s="34" t="inlineStr">
        <is>
          <t>IF(OR(O175="",P175=""),"",EDATE(O175,P175))</t>
        </is>
      </c>
      <c r="R175" s="42" t="n"/>
      <c r="S175" s="40" t="n"/>
      <c r="T175" s="40" t="n"/>
      <c r="U175" s="31" t="inlineStr">
        <is>
          <t>IF(E175="","",IF(COUNT(Y175:AJ175)=0,IF(S175="","Not started",S175),SUBSTITUTE(LOOKUP(2,1/(Y175:AJ175&lt;&gt;""),$Y$3:$AJ$3),"Date: ","")))</t>
        </is>
      </c>
      <c r="V175" s="36" t="inlineStr">
        <is>
          <t>IF(OR(E175="",COUNT(Y175:AJ175)=0),"",TODAY()-LOOKUP(2,1/(Y175:AJ175&lt;&gt;""),Y175:AJ175))</t>
        </is>
      </c>
      <c r="W175" s="36" t="inlineStr">
        <is>
          <t>IF(OR(E175="",COUNT(Y175:AJ175)&lt;2),"",LOOKUP(2,1/(Y175:AJ175&lt;&gt;""),Y175:AJ175)-MIN(Y175:AJ175))</t>
        </is>
      </c>
      <c r="X175" s="36" t="inlineStr">
        <is>
          <t>IF(OR(V175="",U175="Not started",U175=""),"",IFERROR(V175-IF(VLOOKUP(U175,'04_Status_Pipeline'!$B$3:$E$20,4,FALSE)="",0,VLOOKUP(U175,'04_Status_Pipeline'!$B$3:$E$20,4,FALSE)),""))</t>
        </is>
      </c>
      <c r="Y175" s="43" t="n"/>
      <c r="Z175" s="43" t="n"/>
      <c r="AA175" s="43" t="n"/>
      <c r="AB175" s="43" t="n"/>
      <c r="AC175" s="43" t="n"/>
      <c r="AD175" s="43" t="n"/>
      <c r="AE175" s="43" t="n"/>
      <c r="AF175" s="43" t="n"/>
      <c r="AG175" s="43" t="n"/>
      <c r="AH175" s="38" t="n"/>
      <c r="AI175" s="38" t="n"/>
      <c r="AJ175" s="38" t="n"/>
      <c r="AK175" s="36" t="inlineStr">
        <is>
          <t>IF(OR(E175="",Z175=""),"",IF(COUNT(Y175:Y175)=0,"",Z175-LOOKUP(2,1/(Y175:Y175&lt;&gt;""),Y175:Y175)))</t>
        </is>
      </c>
      <c r="AL175" s="36" t="inlineStr">
        <is>
          <t>IF(OR(E175="",AA175=""),"",IF(COUNT(Y175:Z175)=0,"",AA175-LOOKUP(2,1/(Y175:Z175&lt;&gt;""),Y175:Z175)))</t>
        </is>
      </c>
      <c r="AM175" s="36" t="inlineStr">
        <is>
          <t>IF(OR(E175="",AB175=""),"",IF(COUNT(Y175:AA175)=0,"",AB175-LOOKUP(2,1/(Y175:AA175&lt;&gt;""),Y175:AA175)))</t>
        </is>
      </c>
      <c r="AN175" s="36" t="inlineStr">
        <is>
          <t>IF(OR(E175="",AC175=""),"",IF(COUNT(Y175:AB175)=0,"",AC175-LOOKUP(2,1/(Y175:AB175&lt;&gt;""),Y175:AB175)))</t>
        </is>
      </c>
      <c r="AO175" s="36" t="inlineStr">
        <is>
          <t>IF(OR(E175="",AD175=""),"",IF(COUNT(Y175:AC175)=0,"",AD175-LOOKUP(2,1/(Y175:AC175&lt;&gt;""),Y175:AC175)))</t>
        </is>
      </c>
      <c r="AP175" s="36" t="inlineStr">
        <is>
          <t>IF(OR(E175="",AE175=""),"",IF(COUNT(Y175:AD175)=0,"",AE175-LOOKUP(2,1/(Y175:AD175&lt;&gt;""),Y175:AD175)))</t>
        </is>
      </c>
      <c r="AQ175" s="36" t="inlineStr">
        <is>
          <t>IF(OR(E175="",AF175=""),"",IF(COUNT(Y175:AE175)=0,"",AF175-LOOKUP(2,1/(Y175:AE175&lt;&gt;""),Y175:AE175)))</t>
        </is>
      </c>
      <c r="AR175" s="36" t="inlineStr">
        <is>
          <t>IF(OR(E175="",AG175=""),"",IF(COUNT(Y175:AF175)=0,"",AG175-LOOKUP(2,1/(Y175:AF175&lt;&gt;""),Y175:AF175)))</t>
        </is>
      </c>
      <c r="AS175" s="36" t="inlineStr">
        <is>
          <t>IF(OR(E175="",AH175=""),"",IF(COUNT(Y175:AG175)=0,"",AH175-LOOKUP(2,1/(Y175:AG175&lt;&gt;""),Y175:AG175)))</t>
        </is>
      </c>
      <c r="AT175" s="36" t="inlineStr">
        <is>
          <t>IF(OR(E175="",AI175=""),"",IF(COUNT(Y175:AH175)=0,"",AI175-LOOKUP(2,1/(Y175:AH175&lt;&gt;""),Y175:AH175)))</t>
        </is>
      </c>
      <c r="AU175" s="36" t="inlineStr">
        <is>
          <t>IF(OR(E175="",AJ175=""),"",IF(COUNT(Y175:AI175)=0,"",AJ175-LOOKUP(2,1/(Y175:AI175&lt;&gt;""),Y175:AI175)))</t>
        </is>
      </c>
      <c r="AV175" s="39" t="inlineStr">
        <is>
          <t>IF(G175="","All_Provinces",IFERROR(VLOOKUP(G175,'07_Lookups'!$A$4:$B$20,2,FALSE),"All_Provinces"))</t>
        </is>
      </c>
      <c r="AW175" s="39" t="inlineStr">
        <is>
          <t>IF(H175="","All_Districts",IFERROR(VLOOKUP(H175,'07_Lookups'!$E$4:$F$42,2,FALSE),"All_Districts"))</t>
        </is>
      </c>
    </row>
    <row r="176" ht="18" customHeight="1">
      <c r="A176" s="31" t="inlineStr">
        <is>
          <t>IF(E176="","",ROW()-3)</t>
        </is>
      </c>
      <c r="B176" s="32" t="n"/>
      <c r="C176" s="32" t="n"/>
      <c r="D176" s="32" t="n"/>
      <c r="E176" s="32" t="n"/>
      <c r="F176" s="32" t="n"/>
      <c r="G176" s="32" t="n"/>
      <c r="H176" s="32" t="n"/>
      <c r="I176" s="32" t="n"/>
      <c r="J176" s="32" t="n"/>
      <c r="K176" s="32" t="n"/>
      <c r="L176" s="32" t="n"/>
      <c r="M176" s="32" t="n"/>
      <c r="N176" s="33" t="n"/>
      <c r="O176" s="34" t="inlineStr">
        <is>
          <t>IF(AE176="","",AE176)</t>
        </is>
      </c>
      <c r="P176" s="35" t="n"/>
      <c r="Q176" s="34" t="inlineStr">
        <is>
          <t>IF(OR(O176="",P176=""),"",EDATE(O176,P176))</t>
        </is>
      </c>
      <c r="R176" s="35" t="n"/>
      <c r="S176" s="32" t="n"/>
      <c r="T176" s="32" t="n"/>
      <c r="U176" s="31" t="inlineStr">
        <is>
          <t>IF(E176="","",IF(COUNT(Y176:AJ176)=0,IF(S176="","Not started",S176),SUBSTITUTE(LOOKUP(2,1/(Y176:AJ176&lt;&gt;""),$Y$3:$AJ$3),"Date: ","")))</t>
        </is>
      </c>
      <c r="V176" s="36" t="inlineStr">
        <is>
          <t>IF(OR(E176="",COUNT(Y176:AJ176)=0),"",TODAY()-LOOKUP(2,1/(Y176:AJ176&lt;&gt;""),Y176:AJ176))</t>
        </is>
      </c>
      <c r="W176" s="36" t="inlineStr">
        <is>
          <t>IF(OR(E176="",COUNT(Y176:AJ176)&lt;2),"",LOOKUP(2,1/(Y176:AJ176&lt;&gt;""),Y176:AJ176)-MIN(Y176:AJ176))</t>
        </is>
      </c>
      <c r="X176" s="36" t="inlineStr">
        <is>
          <t>IF(OR(V176="",U176="Not started",U176=""),"",IFERROR(V176-IF(VLOOKUP(U176,'04_Status_Pipeline'!$B$3:$E$20,4,FALSE)="",0,VLOOKUP(U176,'04_Status_Pipeline'!$B$3:$E$20,4,FALSE)),""))</t>
        </is>
      </c>
      <c r="Y176" s="37" t="n"/>
      <c r="Z176" s="37" t="n"/>
      <c r="AA176" s="37" t="n"/>
      <c r="AB176" s="37" t="n"/>
      <c r="AC176" s="37" t="n"/>
      <c r="AD176" s="37" t="n"/>
      <c r="AE176" s="37" t="n"/>
      <c r="AF176" s="37" t="n"/>
      <c r="AG176" s="37" t="n"/>
      <c r="AH176" s="38" t="n"/>
      <c r="AI176" s="38" t="n"/>
      <c r="AJ176" s="38" t="n"/>
      <c r="AK176" s="36" t="inlineStr">
        <is>
          <t>IF(OR(E176="",Z176=""),"",IF(COUNT(Y176:Y176)=0,"",Z176-LOOKUP(2,1/(Y176:Y176&lt;&gt;""),Y176:Y176)))</t>
        </is>
      </c>
      <c r="AL176" s="36" t="inlineStr">
        <is>
          <t>IF(OR(E176="",AA176=""),"",IF(COUNT(Y176:Z176)=0,"",AA176-LOOKUP(2,1/(Y176:Z176&lt;&gt;""),Y176:Z176)))</t>
        </is>
      </c>
      <c r="AM176" s="36" t="inlineStr">
        <is>
          <t>IF(OR(E176="",AB176=""),"",IF(COUNT(Y176:AA176)=0,"",AB176-LOOKUP(2,1/(Y176:AA176&lt;&gt;""),Y176:AA176)))</t>
        </is>
      </c>
      <c r="AN176" s="36" t="inlineStr">
        <is>
          <t>IF(OR(E176="",AC176=""),"",IF(COUNT(Y176:AB176)=0,"",AC176-LOOKUP(2,1/(Y176:AB176&lt;&gt;""),Y176:AB176)))</t>
        </is>
      </c>
      <c r="AO176" s="36" t="inlineStr">
        <is>
          <t>IF(OR(E176="",AD176=""),"",IF(COUNT(Y176:AC176)=0,"",AD176-LOOKUP(2,1/(Y176:AC176&lt;&gt;""),Y176:AC176)))</t>
        </is>
      </c>
      <c r="AP176" s="36" t="inlineStr">
        <is>
          <t>IF(OR(E176="",AE176=""),"",IF(COUNT(Y176:AD176)=0,"",AE176-LOOKUP(2,1/(Y176:AD176&lt;&gt;""),Y176:AD176)))</t>
        </is>
      </c>
      <c r="AQ176" s="36" t="inlineStr">
        <is>
          <t>IF(OR(E176="",AF176=""),"",IF(COUNT(Y176:AE176)=0,"",AF176-LOOKUP(2,1/(Y176:AE176&lt;&gt;""),Y176:AE176)))</t>
        </is>
      </c>
      <c r="AR176" s="36" t="inlineStr">
        <is>
          <t>IF(OR(E176="",AG176=""),"",IF(COUNT(Y176:AF176)=0,"",AG176-LOOKUP(2,1/(Y176:AF176&lt;&gt;""),Y176:AF176)))</t>
        </is>
      </c>
      <c r="AS176" s="36" t="inlineStr">
        <is>
          <t>IF(OR(E176="",AH176=""),"",IF(COUNT(Y176:AG176)=0,"",AH176-LOOKUP(2,1/(Y176:AG176&lt;&gt;""),Y176:AG176)))</t>
        </is>
      </c>
      <c r="AT176" s="36" t="inlineStr">
        <is>
          <t>IF(OR(E176="",AI176=""),"",IF(COUNT(Y176:AH176)=0,"",AI176-LOOKUP(2,1/(Y176:AH176&lt;&gt;""),Y176:AH176)))</t>
        </is>
      </c>
      <c r="AU176" s="36" t="inlineStr">
        <is>
          <t>IF(OR(E176="",AJ176=""),"",IF(COUNT(Y176:AI176)=0,"",AJ176-LOOKUP(2,1/(Y176:AI176&lt;&gt;""),Y176:AI176)))</t>
        </is>
      </c>
      <c r="AV176" s="39" t="inlineStr">
        <is>
          <t>IF(G176="","All_Provinces",IFERROR(VLOOKUP(G176,'07_Lookups'!$A$4:$B$20,2,FALSE),"All_Provinces"))</t>
        </is>
      </c>
      <c r="AW176" s="39" t="inlineStr">
        <is>
          <t>IF(H176="","All_Districts",IFERROR(VLOOKUP(H176,'07_Lookups'!$E$4:$F$42,2,FALSE),"All_Districts"))</t>
        </is>
      </c>
    </row>
    <row r="177" ht="18" customHeight="1">
      <c r="A177" s="31" t="inlineStr">
        <is>
          <t>IF(E177="","",ROW()-3)</t>
        </is>
      </c>
      <c r="B177" s="40" t="n"/>
      <c r="C177" s="40" t="n"/>
      <c r="D177" s="40" t="n"/>
      <c r="E177" s="40" t="n"/>
      <c r="F177" s="40" t="n"/>
      <c r="G177" s="40" t="n"/>
      <c r="H177" s="40" t="n"/>
      <c r="I177" s="40" t="n"/>
      <c r="J177" s="40" t="n"/>
      <c r="K177" s="40" t="n"/>
      <c r="L177" s="40" t="n"/>
      <c r="M177" s="40" t="n"/>
      <c r="N177" s="41" t="n"/>
      <c r="O177" s="34" t="inlineStr">
        <is>
          <t>IF(AE177="","",AE177)</t>
        </is>
      </c>
      <c r="P177" s="42" t="n"/>
      <c r="Q177" s="34" t="inlineStr">
        <is>
          <t>IF(OR(O177="",P177=""),"",EDATE(O177,P177))</t>
        </is>
      </c>
      <c r="R177" s="42" t="n"/>
      <c r="S177" s="40" t="n"/>
      <c r="T177" s="40" t="n"/>
      <c r="U177" s="31" t="inlineStr">
        <is>
          <t>IF(E177="","",IF(COUNT(Y177:AJ177)=0,IF(S177="","Not started",S177),SUBSTITUTE(LOOKUP(2,1/(Y177:AJ177&lt;&gt;""),$Y$3:$AJ$3),"Date: ","")))</t>
        </is>
      </c>
      <c r="V177" s="36" t="inlineStr">
        <is>
          <t>IF(OR(E177="",COUNT(Y177:AJ177)=0),"",TODAY()-LOOKUP(2,1/(Y177:AJ177&lt;&gt;""),Y177:AJ177))</t>
        </is>
      </c>
      <c r="W177" s="36" t="inlineStr">
        <is>
          <t>IF(OR(E177="",COUNT(Y177:AJ177)&lt;2),"",LOOKUP(2,1/(Y177:AJ177&lt;&gt;""),Y177:AJ177)-MIN(Y177:AJ177))</t>
        </is>
      </c>
      <c r="X177" s="36" t="inlineStr">
        <is>
          <t>IF(OR(V177="",U177="Not started",U177=""),"",IFERROR(V177-IF(VLOOKUP(U177,'04_Status_Pipeline'!$B$3:$E$20,4,FALSE)="",0,VLOOKUP(U177,'04_Status_Pipeline'!$B$3:$E$20,4,FALSE)),""))</t>
        </is>
      </c>
      <c r="Y177" s="43" t="n"/>
      <c r="Z177" s="43" t="n"/>
      <c r="AA177" s="43" t="n"/>
      <c r="AB177" s="43" t="n"/>
      <c r="AC177" s="43" t="n"/>
      <c r="AD177" s="43" t="n"/>
      <c r="AE177" s="43" t="n"/>
      <c r="AF177" s="43" t="n"/>
      <c r="AG177" s="43" t="n"/>
      <c r="AH177" s="38" t="n"/>
      <c r="AI177" s="38" t="n"/>
      <c r="AJ177" s="38" t="n"/>
      <c r="AK177" s="36" t="inlineStr">
        <is>
          <t>IF(OR(E177="",Z177=""),"",IF(COUNT(Y177:Y177)=0,"",Z177-LOOKUP(2,1/(Y177:Y177&lt;&gt;""),Y177:Y177)))</t>
        </is>
      </c>
      <c r="AL177" s="36" t="inlineStr">
        <is>
          <t>IF(OR(E177="",AA177=""),"",IF(COUNT(Y177:Z177)=0,"",AA177-LOOKUP(2,1/(Y177:Z177&lt;&gt;""),Y177:Z177)))</t>
        </is>
      </c>
      <c r="AM177" s="36" t="inlineStr">
        <is>
          <t>IF(OR(E177="",AB177=""),"",IF(COUNT(Y177:AA177)=0,"",AB177-LOOKUP(2,1/(Y177:AA177&lt;&gt;""),Y177:AA177)))</t>
        </is>
      </c>
      <c r="AN177" s="36" t="inlineStr">
        <is>
          <t>IF(OR(E177="",AC177=""),"",IF(COUNT(Y177:AB177)=0,"",AC177-LOOKUP(2,1/(Y177:AB177&lt;&gt;""),Y177:AB177)))</t>
        </is>
      </c>
      <c r="AO177" s="36" t="inlineStr">
        <is>
          <t>IF(OR(E177="",AD177=""),"",IF(COUNT(Y177:AC177)=0,"",AD177-LOOKUP(2,1/(Y177:AC177&lt;&gt;""),Y177:AC177)))</t>
        </is>
      </c>
      <c r="AP177" s="36" t="inlineStr">
        <is>
          <t>IF(OR(E177="",AE177=""),"",IF(COUNT(Y177:AD177)=0,"",AE177-LOOKUP(2,1/(Y177:AD177&lt;&gt;""),Y177:AD177)))</t>
        </is>
      </c>
      <c r="AQ177" s="36" t="inlineStr">
        <is>
          <t>IF(OR(E177="",AF177=""),"",IF(COUNT(Y177:AE177)=0,"",AF177-LOOKUP(2,1/(Y177:AE177&lt;&gt;""),Y177:AE177)))</t>
        </is>
      </c>
      <c r="AR177" s="36" t="inlineStr">
        <is>
          <t>IF(OR(E177="",AG177=""),"",IF(COUNT(Y177:AF177)=0,"",AG177-LOOKUP(2,1/(Y177:AF177&lt;&gt;""),Y177:AF177)))</t>
        </is>
      </c>
      <c r="AS177" s="36" t="inlineStr">
        <is>
          <t>IF(OR(E177="",AH177=""),"",IF(COUNT(Y177:AG177)=0,"",AH177-LOOKUP(2,1/(Y177:AG177&lt;&gt;""),Y177:AG177)))</t>
        </is>
      </c>
      <c r="AT177" s="36" t="inlineStr">
        <is>
          <t>IF(OR(E177="",AI177=""),"",IF(COUNT(Y177:AH177)=0,"",AI177-LOOKUP(2,1/(Y177:AH177&lt;&gt;""),Y177:AH177)))</t>
        </is>
      </c>
      <c r="AU177" s="36" t="inlineStr">
        <is>
          <t>IF(OR(E177="",AJ177=""),"",IF(COUNT(Y177:AI177)=0,"",AJ177-LOOKUP(2,1/(Y177:AI177&lt;&gt;""),Y177:AI177)))</t>
        </is>
      </c>
      <c r="AV177" s="39" t="inlineStr">
        <is>
          <t>IF(G177="","All_Provinces",IFERROR(VLOOKUP(G177,'07_Lookups'!$A$4:$B$20,2,FALSE),"All_Provinces"))</t>
        </is>
      </c>
      <c r="AW177" s="39" t="inlineStr">
        <is>
          <t>IF(H177="","All_Districts",IFERROR(VLOOKUP(H177,'07_Lookups'!$E$4:$F$42,2,FALSE),"All_Districts"))</t>
        </is>
      </c>
    </row>
    <row r="178" ht="18" customHeight="1">
      <c r="A178" s="31" t="inlineStr">
        <is>
          <t>IF(E178="","",ROW()-3)</t>
        </is>
      </c>
      <c r="B178" s="32" t="n"/>
      <c r="C178" s="32" t="n"/>
      <c r="D178" s="32" t="n"/>
      <c r="E178" s="32" t="n"/>
      <c r="F178" s="32" t="n"/>
      <c r="G178" s="32" t="n"/>
      <c r="H178" s="32" t="n"/>
      <c r="I178" s="32" t="n"/>
      <c r="J178" s="32" t="n"/>
      <c r="K178" s="32" t="n"/>
      <c r="L178" s="32" t="n"/>
      <c r="M178" s="32" t="n"/>
      <c r="N178" s="33" t="n"/>
      <c r="O178" s="34" t="inlineStr">
        <is>
          <t>IF(AE178="","",AE178)</t>
        </is>
      </c>
      <c r="P178" s="35" t="n"/>
      <c r="Q178" s="34" t="inlineStr">
        <is>
          <t>IF(OR(O178="",P178=""),"",EDATE(O178,P178))</t>
        </is>
      </c>
      <c r="R178" s="35" t="n"/>
      <c r="S178" s="32" t="n"/>
      <c r="T178" s="32" t="n"/>
      <c r="U178" s="31" t="inlineStr">
        <is>
          <t>IF(E178="","",IF(COUNT(Y178:AJ178)=0,IF(S178="","Not started",S178),SUBSTITUTE(LOOKUP(2,1/(Y178:AJ178&lt;&gt;""),$Y$3:$AJ$3),"Date: ","")))</t>
        </is>
      </c>
      <c r="V178" s="36" t="inlineStr">
        <is>
          <t>IF(OR(E178="",COUNT(Y178:AJ178)=0),"",TODAY()-LOOKUP(2,1/(Y178:AJ178&lt;&gt;""),Y178:AJ178))</t>
        </is>
      </c>
      <c r="W178" s="36" t="inlineStr">
        <is>
          <t>IF(OR(E178="",COUNT(Y178:AJ178)&lt;2),"",LOOKUP(2,1/(Y178:AJ178&lt;&gt;""),Y178:AJ178)-MIN(Y178:AJ178))</t>
        </is>
      </c>
      <c r="X178" s="36" t="inlineStr">
        <is>
          <t>IF(OR(V178="",U178="Not started",U178=""),"",IFERROR(V178-IF(VLOOKUP(U178,'04_Status_Pipeline'!$B$3:$E$20,4,FALSE)="",0,VLOOKUP(U178,'04_Status_Pipeline'!$B$3:$E$20,4,FALSE)),""))</t>
        </is>
      </c>
      <c r="Y178" s="37" t="n"/>
      <c r="Z178" s="37" t="n"/>
      <c r="AA178" s="37" t="n"/>
      <c r="AB178" s="37" t="n"/>
      <c r="AC178" s="37" t="n"/>
      <c r="AD178" s="37" t="n"/>
      <c r="AE178" s="37" t="n"/>
      <c r="AF178" s="37" t="n"/>
      <c r="AG178" s="37" t="n"/>
      <c r="AH178" s="38" t="n"/>
      <c r="AI178" s="38" t="n"/>
      <c r="AJ178" s="38" t="n"/>
      <c r="AK178" s="36" t="inlineStr">
        <is>
          <t>IF(OR(E178="",Z178=""),"",IF(COUNT(Y178:Y178)=0,"",Z178-LOOKUP(2,1/(Y178:Y178&lt;&gt;""),Y178:Y178)))</t>
        </is>
      </c>
      <c r="AL178" s="36" t="inlineStr">
        <is>
          <t>IF(OR(E178="",AA178=""),"",IF(COUNT(Y178:Z178)=0,"",AA178-LOOKUP(2,1/(Y178:Z178&lt;&gt;""),Y178:Z178)))</t>
        </is>
      </c>
      <c r="AM178" s="36" t="inlineStr">
        <is>
          <t>IF(OR(E178="",AB178=""),"",IF(COUNT(Y178:AA178)=0,"",AB178-LOOKUP(2,1/(Y178:AA178&lt;&gt;""),Y178:AA178)))</t>
        </is>
      </c>
      <c r="AN178" s="36" t="inlineStr">
        <is>
          <t>IF(OR(E178="",AC178=""),"",IF(COUNT(Y178:AB178)=0,"",AC178-LOOKUP(2,1/(Y178:AB178&lt;&gt;""),Y178:AB178)))</t>
        </is>
      </c>
      <c r="AO178" s="36" t="inlineStr">
        <is>
          <t>IF(OR(E178="",AD178=""),"",IF(COUNT(Y178:AC178)=0,"",AD178-LOOKUP(2,1/(Y178:AC178&lt;&gt;""),Y178:AC178)))</t>
        </is>
      </c>
      <c r="AP178" s="36" t="inlineStr">
        <is>
          <t>IF(OR(E178="",AE178=""),"",IF(COUNT(Y178:AD178)=0,"",AE178-LOOKUP(2,1/(Y178:AD178&lt;&gt;""),Y178:AD178)))</t>
        </is>
      </c>
      <c r="AQ178" s="36" t="inlineStr">
        <is>
          <t>IF(OR(E178="",AF178=""),"",IF(COUNT(Y178:AE178)=0,"",AF178-LOOKUP(2,1/(Y178:AE178&lt;&gt;""),Y178:AE178)))</t>
        </is>
      </c>
      <c r="AR178" s="36" t="inlineStr">
        <is>
          <t>IF(OR(E178="",AG178=""),"",IF(COUNT(Y178:AF178)=0,"",AG178-LOOKUP(2,1/(Y178:AF178&lt;&gt;""),Y178:AF178)))</t>
        </is>
      </c>
      <c r="AS178" s="36" t="inlineStr">
        <is>
          <t>IF(OR(E178="",AH178=""),"",IF(COUNT(Y178:AG178)=0,"",AH178-LOOKUP(2,1/(Y178:AG178&lt;&gt;""),Y178:AG178)))</t>
        </is>
      </c>
      <c r="AT178" s="36" t="inlineStr">
        <is>
          <t>IF(OR(E178="",AI178=""),"",IF(COUNT(Y178:AH178)=0,"",AI178-LOOKUP(2,1/(Y178:AH178&lt;&gt;""),Y178:AH178)))</t>
        </is>
      </c>
      <c r="AU178" s="36" t="inlineStr">
        <is>
          <t>IF(OR(E178="",AJ178=""),"",IF(COUNT(Y178:AI178)=0,"",AJ178-LOOKUP(2,1/(Y178:AI178&lt;&gt;""),Y178:AI178)))</t>
        </is>
      </c>
      <c r="AV178" s="39" t="inlineStr">
        <is>
          <t>IF(G178="","All_Provinces",IFERROR(VLOOKUP(G178,'07_Lookups'!$A$4:$B$20,2,FALSE),"All_Provinces"))</t>
        </is>
      </c>
      <c r="AW178" s="39" t="inlineStr">
        <is>
          <t>IF(H178="","All_Districts",IFERROR(VLOOKUP(H178,'07_Lookups'!$E$4:$F$42,2,FALSE),"All_Districts"))</t>
        </is>
      </c>
    </row>
    <row r="179" ht="18" customHeight="1">
      <c r="A179" s="31" t="inlineStr">
        <is>
          <t>IF(E179="","",ROW()-3)</t>
        </is>
      </c>
      <c r="B179" s="40" t="n"/>
      <c r="C179" s="40" t="n"/>
      <c r="D179" s="40" t="n"/>
      <c r="E179" s="40" t="n"/>
      <c r="F179" s="40" t="n"/>
      <c r="G179" s="40" t="n"/>
      <c r="H179" s="40" t="n"/>
      <c r="I179" s="40" t="n"/>
      <c r="J179" s="40" t="n"/>
      <c r="K179" s="40" t="n"/>
      <c r="L179" s="40" t="n"/>
      <c r="M179" s="40" t="n"/>
      <c r="N179" s="41" t="n"/>
      <c r="O179" s="34" t="inlineStr">
        <is>
          <t>IF(AE179="","",AE179)</t>
        </is>
      </c>
      <c r="P179" s="42" t="n"/>
      <c r="Q179" s="34" t="inlineStr">
        <is>
          <t>IF(OR(O179="",P179=""),"",EDATE(O179,P179))</t>
        </is>
      </c>
      <c r="R179" s="42" t="n"/>
      <c r="S179" s="40" t="n"/>
      <c r="T179" s="40" t="n"/>
      <c r="U179" s="31" t="inlineStr">
        <is>
          <t>IF(E179="","",IF(COUNT(Y179:AJ179)=0,IF(S179="","Not started",S179),SUBSTITUTE(LOOKUP(2,1/(Y179:AJ179&lt;&gt;""),$Y$3:$AJ$3),"Date: ","")))</t>
        </is>
      </c>
      <c r="V179" s="36" t="inlineStr">
        <is>
          <t>IF(OR(E179="",COUNT(Y179:AJ179)=0),"",TODAY()-LOOKUP(2,1/(Y179:AJ179&lt;&gt;""),Y179:AJ179))</t>
        </is>
      </c>
      <c r="W179" s="36" t="inlineStr">
        <is>
          <t>IF(OR(E179="",COUNT(Y179:AJ179)&lt;2),"",LOOKUP(2,1/(Y179:AJ179&lt;&gt;""),Y179:AJ179)-MIN(Y179:AJ179))</t>
        </is>
      </c>
      <c r="X179" s="36" t="inlineStr">
        <is>
          <t>IF(OR(V179="",U179="Not started",U179=""),"",IFERROR(V179-IF(VLOOKUP(U179,'04_Status_Pipeline'!$B$3:$E$20,4,FALSE)="",0,VLOOKUP(U179,'04_Status_Pipeline'!$B$3:$E$20,4,FALSE)),""))</t>
        </is>
      </c>
      <c r="Y179" s="43" t="n"/>
      <c r="Z179" s="43" t="n"/>
      <c r="AA179" s="43" t="n"/>
      <c r="AB179" s="43" t="n"/>
      <c r="AC179" s="43" t="n"/>
      <c r="AD179" s="43" t="n"/>
      <c r="AE179" s="43" t="n"/>
      <c r="AF179" s="43" t="n"/>
      <c r="AG179" s="43" t="n"/>
      <c r="AH179" s="38" t="n"/>
      <c r="AI179" s="38" t="n"/>
      <c r="AJ179" s="38" t="n"/>
      <c r="AK179" s="36" t="inlineStr">
        <is>
          <t>IF(OR(E179="",Z179=""),"",IF(COUNT(Y179:Y179)=0,"",Z179-LOOKUP(2,1/(Y179:Y179&lt;&gt;""),Y179:Y179)))</t>
        </is>
      </c>
      <c r="AL179" s="36" t="inlineStr">
        <is>
          <t>IF(OR(E179="",AA179=""),"",IF(COUNT(Y179:Z179)=0,"",AA179-LOOKUP(2,1/(Y179:Z179&lt;&gt;""),Y179:Z179)))</t>
        </is>
      </c>
      <c r="AM179" s="36" t="inlineStr">
        <is>
          <t>IF(OR(E179="",AB179=""),"",IF(COUNT(Y179:AA179)=0,"",AB179-LOOKUP(2,1/(Y179:AA179&lt;&gt;""),Y179:AA179)))</t>
        </is>
      </c>
      <c r="AN179" s="36" t="inlineStr">
        <is>
          <t>IF(OR(E179="",AC179=""),"",IF(COUNT(Y179:AB179)=0,"",AC179-LOOKUP(2,1/(Y179:AB179&lt;&gt;""),Y179:AB179)))</t>
        </is>
      </c>
      <c r="AO179" s="36" t="inlineStr">
        <is>
          <t>IF(OR(E179="",AD179=""),"",IF(COUNT(Y179:AC179)=0,"",AD179-LOOKUP(2,1/(Y179:AC179&lt;&gt;""),Y179:AC179)))</t>
        </is>
      </c>
      <c r="AP179" s="36" t="inlineStr">
        <is>
          <t>IF(OR(E179="",AE179=""),"",IF(COUNT(Y179:AD179)=0,"",AE179-LOOKUP(2,1/(Y179:AD179&lt;&gt;""),Y179:AD179)))</t>
        </is>
      </c>
      <c r="AQ179" s="36" t="inlineStr">
        <is>
          <t>IF(OR(E179="",AF179=""),"",IF(COUNT(Y179:AE179)=0,"",AF179-LOOKUP(2,1/(Y179:AE179&lt;&gt;""),Y179:AE179)))</t>
        </is>
      </c>
      <c r="AR179" s="36" t="inlineStr">
        <is>
          <t>IF(OR(E179="",AG179=""),"",IF(COUNT(Y179:AF179)=0,"",AG179-LOOKUP(2,1/(Y179:AF179&lt;&gt;""),Y179:AF179)))</t>
        </is>
      </c>
      <c r="AS179" s="36" t="inlineStr">
        <is>
          <t>IF(OR(E179="",AH179=""),"",IF(COUNT(Y179:AG179)=0,"",AH179-LOOKUP(2,1/(Y179:AG179&lt;&gt;""),Y179:AG179)))</t>
        </is>
      </c>
      <c r="AT179" s="36" t="inlineStr">
        <is>
          <t>IF(OR(E179="",AI179=""),"",IF(COUNT(Y179:AH179)=0,"",AI179-LOOKUP(2,1/(Y179:AH179&lt;&gt;""),Y179:AH179)))</t>
        </is>
      </c>
      <c r="AU179" s="36" t="inlineStr">
        <is>
          <t>IF(OR(E179="",AJ179=""),"",IF(COUNT(Y179:AI179)=0,"",AJ179-LOOKUP(2,1/(Y179:AI179&lt;&gt;""),Y179:AI179)))</t>
        </is>
      </c>
      <c r="AV179" s="39" t="inlineStr">
        <is>
          <t>IF(G179="","All_Provinces",IFERROR(VLOOKUP(G179,'07_Lookups'!$A$4:$B$20,2,FALSE),"All_Provinces"))</t>
        </is>
      </c>
      <c r="AW179" s="39" t="inlineStr">
        <is>
          <t>IF(H179="","All_Districts",IFERROR(VLOOKUP(H179,'07_Lookups'!$E$4:$F$42,2,FALSE),"All_Districts"))</t>
        </is>
      </c>
    </row>
    <row r="180" ht="18" customHeight="1">
      <c r="A180" s="31" t="inlineStr">
        <is>
          <t>IF(E180="","",ROW()-3)</t>
        </is>
      </c>
      <c r="B180" s="32" t="n"/>
      <c r="C180" s="32" t="n"/>
      <c r="D180" s="32" t="n"/>
      <c r="E180" s="32" t="n"/>
      <c r="F180" s="32" t="n"/>
      <c r="G180" s="32" t="n"/>
      <c r="H180" s="32" t="n"/>
      <c r="I180" s="32" t="n"/>
      <c r="J180" s="32" t="n"/>
      <c r="K180" s="32" t="n"/>
      <c r="L180" s="32" t="n"/>
      <c r="M180" s="32" t="n"/>
      <c r="N180" s="33" t="n"/>
      <c r="O180" s="34" t="inlineStr">
        <is>
          <t>IF(AE180="","",AE180)</t>
        </is>
      </c>
      <c r="P180" s="35" t="n"/>
      <c r="Q180" s="34" t="inlineStr">
        <is>
          <t>IF(OR(O180="",P180=""),"",EDATE(O180,P180))</t>
        </is>
      </c>
      <c r="R180" s="35" t="n"/>
      <c r="S180" s="32" t="n"/>
      <c r="T180" s="32" t="n"/>
      <c r="U180" s="31" t="inlineStr">
        <is>
          <t>IF(E180="","",IF(COUNT(Y180:AJ180)=0,IF(S180="","Not started",S180),SUBSTITUTE(LOOKUP(2,1/(Y180:AJ180&lt;&gt;""),$Y$3:$AJ$3),"Date: ","")))</t>
        </is>
      </c>
      <c r="V180" s="36" t="inlineStr">
        <is>
          <t>IF(OR(E180="",COUNT(Y180:AJ180)=0),"",TODAY()-LOOKUP(2,1/(Y180:AJ180&lt;&gt;""),Y180:AJ180))</t>
        </is>
      </c>
      <c r="W180" s="36" t="inlineStr">
        <is>
          <t>IF(OR(E180="",COUNT(Y180:AJ180)&lt;2),"",LOOKUP(2,1/(Y180:AJ180&lt;&gt;""),Y180:AJ180)-MIN(Y180:AJ180))</t>
        </is>
      </c>
      <c r="X180" s="36" t="inlineStr">
        <is>
          <t>IF(OR(V180="",U180="Not started",U180=""),"",IFERROR(V180-IF(VLOOKUP(U180,'04_Status_Pipeline'!$B$3:$E$20,4,FALSE)="",0,VLOOKUP(U180,'04_Status_Pipeline'!$B$3:$E$20,4,FALSE)),""))</t>
        </is>
      </c>
      <c r="Y180" s="37" t="n"/>
      <c r="Z180" s="37" t="n"/>
      <c r="AA180" s="37" t="n"/>
      <c r="AB180" s="37" t="n"/>
      <c r="AC180" s="37" t="n"/>
      <c r="AD180" s="37" t="n"/>
      <c r="AE180" s="37" t="n"/>
      <c r="AF180" s="37" t="n"/>
      <c r="AG180" s="37" t="n"/>
      <c r="AH180" s="38" t="n"/>
      <c r="AI180" s="38" t="n"/>
      <c r="AJ180" s="38" t="n"/>
      <c r="AK180" s="36" t="inlineStr">
        <is>
          <t>IF(OR(E180="",Z180=""),"",IF(COUNT(Y180:Y180)=0,"",Z180-LOOKUP(2,1/(Y180:Y180&lt;&gt;""),Y180:Y180)))</t>
        </is>
      </c>
      <c r="AL180" s="36" t="inlineStr">
        <is>
          <t>IF(OR(E180="",AA180=""),"",IF(COUNT(Y180:Z180)=0,"",AA180-LOOKUP(2,1/(Y180:Z180&lt;&gt;""),Y180:Z180)))</t>
        </is>
      </c>
      <c r="AM180" s="36" t="inlineStr">
        <is>
          <t>IF(OR(E180="",AB180=""),"",IF(COUNT(Y180:AA180)=0,"",AB180-LOOKUP(2,1/(Y180:AA180&lt;&gt;""),Y180:AA180)))</t>
        </is>
      </c>
      <c r="AN180" s="36" t="inlineStr">
        <is>
          <t>IF(OR(E180="",AC180=""),"",IF(COUNT(Y180:AB180)=0,"",AC180-LOOKUP(2,1/(Y180:AB180&lt;&gt;""),Y180:AB180)))</t>
        </is>
      </c>
      <c r="AO180" s="36" t="inlineStr">
        <is>
          <t>IF(OR(E180="",AD180=""),"",IF(COUNT(Y180:AC180)=0,"",AD180-LOOKUP(2,1/(Y180:AC180&lt;&gt;""),Y180:AC180)))</t>
        </is>
      </c>
      <c r="AP180" s="36" t="inlineStr">
        <is>
          <t>IF(OR(E180="",AE180=""),"",IF(COUNT(Y180:AD180)=0,"",AE180-LOOKUP(2,1/(Y180:AD180&lt;&gt;""),Y180:AD180)))</t>
        </is>
      </c>
      <c r="AQ180" s="36" t="inlineStr">
        <is>
          <t>IF(OR(E180="",AF180=""),"",IF(COUNT(Y180:AE180)=0,"",AF180-LOOKUP(2,1/(Y180:AE180&lt;&gt;""),Y180:AE180)))</t>
        </is>
      </c>
      <c r="AR180" s="36" t="inlineStr">
        <is>
          <t>IF(OR(E180="",AG180=""),"",IF(COUNT(Y180:AF180)=0,"",AG180-LOOKUP(2,1/(Y180:AF180&lt;&gt;""),Y180:AF180)))</t>
        </is>
      </c>
      <c r="AS180" s="36" t="inlineStr">
        <is>
          <t>IF(OR(E180="",AH180=""),"",IF(COUNT(Y180:AG180)=0,"",AH180-LOOKUP(2,1/(Y180:AG180&lt;&gt;""),Y180:AG180)))</t>
        </is>
      </c>
      <c r="AT180" s="36" t="inlineStr">
        <is>
          <t>IF(OR(E180="",AI180=""),"",IF(COUNT(Y180:AH180)=0,"",AI180-LOOKUP(2,1/(Y180:AH180&lt;&gt;""),Y180:AH180)))</t>
        </is>
      </c>
      <c r="AU180" s="36" t="inlineStr">
        <is>
          <t>IF(OR(E180="",AJ180=""),"",IF(COUNT(Y180:AI180)=0,"",AJ180-LOOKUP(2,1/(Y180:AI180&lt;&gt;""),Y180:AI180)))</t>
        </is>
      </c>
      <c r="AV180" s="39" t="inlineStr">
        <is>
          <t>IF(G180="","All_Provinces",IFERROR(VLOOKUP(G180,'07_Lookups'!$A$4:$B$20,2,FALSE),"All_Provinces"))</t>
        </is>
      </c>
      <c r="AW180" s="39" t="inlineStr">
        <is>
          <t>IF(H180="","All_Districts",IFERROR(VLOOKUP(H180,'07_Lookups'!$E$4:$F$42,2,FALSE),"All_Districts"))</t>
        </is>
      </c>
    </row>
    <row r="181" ht="18" customHeight="1">
      <c r="A181" s="31" t="inlineStr">
        <is>
          <t>IF(E181="","",ROW()-3)</t>
        </is>
      </c>
      <c r="B181" s="40" t="n"/>
      <c r="C181" s="40" t="n"/>
      <c r="D181" s="40" t="n"/>
      <c r="E181" s="40" t="n"/>
      <c r="F181" s="40" t="n"/>
      <c r="G181" s="40" t="n"/>
      <c r="H181" s="40" t="n"/>
      <c r="I181" s="40" t="n"/>
      <c r="J181" s="40" t="n"/>
      <c r="K181" s="40" t="n"/>
      <c r="L181" s="40" t="n"/>
      <c r="M181" s="40" t="n"/>
      <c r="N181" s="41" t="n"/>
      <c r="O181" s="34" t="inlineStr">
        <is>
          <t>IF(AE181="","",AE181)</t>
        </is>
      </c>
      <c r="P181" s="42" t="n"/>
      <c r="Q181" s="34" t="inlineStr">
        <is>
          <t>IF(OR(O181="",P181=""),"",EDATE(O181,P181))</t>
        </is>
      </c>
      <c r="R181" s="42" t="n"/>
      <c r="S181" s="40" t="n"/>
      <c r="T181" s="40" t="n"/>
      <c r="U181" s="31" t="inlineStr">
        <is>
          <t>IF(E181="","",IF(COUNT(Y181:AJ181)=0,IF(S181="","Not started",S181),SUBSTITUTE(LOOKUP(2,1/(Y181:AJ181&lt;&gt;""),$Y$3:$AJ$3),"Date: ","")))</t>
        </is>
      </c>
      <c r="V181" s="36" t="inlineStr">
        <is>
          <t>IF(OR(E181="",COUNT(Y181:AJ181)=0),"",TODAY()-LOOKUP(2,1/(Y181:AJ181&lt;&gt;""),Y181:AJ181))</t>
        </is>
      </c>
      <c r="W181" s="36" t="inlineStr">
        <is>
          <t>IF(OR(E181="",COUNT(Y181:AJ181)&lt;2),"",LOOKUP(2,1/(Y181:AJ181&lt;&gt;""),Y181:AJ181)-MIN(Y181:AJ181))</t>
        </is>
      </c>
      <c r="X181" s="36" t="inlineStr">
        <is>
          <t>IF(OR(V181="",U181="Not started",U181=""),"",IFERROR(V181-IF(VLOOKUP(U181,'04_Status_Pipeline'!$B$3:$E$20,4,FALSE)="",0,VLOOKUP(U181,'04_Status_Pipeline'!$B$3:$E$20,4,FALSE)),""))</t>
        </is>
      </c>
      <c r="Y181" s="43" t="n"/>
      <c r="Z181" s="43" t="n"/>
      <c r="AA181" s="43" t="n"/>
      <c r="AB181" s="43" t="n"/>
      <c r="AC181" s="43" t="n"/>
      <c r="AD181" s="43" t="n"/>
      <c r="AE181" s="43" t="n"/>
      <c r="AF181" s="43" t="n"/>
      <c r="AG181" s="43" t="n"/>
      <c r="AH181" s="38" t="n"/>
      <c r="AI181" s="38" t="n"/>
      <c r="AJ181" s="38" t="n"/>
      <c r="AK181" s="36" t="inlineStr">
        <is>
          <t>IF(OR(E181="",Z181=""),"",IF(COUNT(Y181:Y181)=0,"",Z181-LOOKUP(2,1/(Y181:Y181&lt;&gt;""),Y181:Y181)))</t>
        </is>
      </c>
      <c r="AL181" s="36" t="inlineStr">
        <is>
          <t>IF(OR(E181="",AA181=""),"",IF(COUNT(Y181:Z181)=0,"",AA181-LOOKUP(2,1/(Y181:Z181&lt;&gt;""),Y181:Z181)))</t>
        </is>
      </c>
      <c r="AM181" s="36" t="inlineStr">
        <is>
          <t>IF(OR(E181="",AB181=""),"",IF(COUNT(Y181:AA181)=0,"",AB181-LOOKUP(2,1/(Y181:AA181&lt;&gt;""),Y181:AA181)))</t>
        </is>
      </c>
      <c r="AN181" s="36" t="inlineStr">
        <is>
          <t>IF(OR(E181="",AC181=""),"",IF(COUNT(Y181:AB181)=0,"",AC181-LOOKUP(2,1/(Y181:AB181&lt;&gt;""),Y181:AB181)))</t>
        </is>
      </c>
      <c r="AO181" s="36" t="inlineStr">
        <is>
          <t>IF(OR(E181="",AD181=""),"",IF(COUNT(Y181:AC181)=0,"",AD181-LOOKUP(2,1/(Y181:AC181&lt;&gt;""),Y181:AC181)))</t>
        </is>
      </c>
      <c r="AP181" s="36" t="inlineStr">
        <is>
          <t>IF(OR(E181="",AE181=""),"",IF(COUNT(Y181:AD181)=0,"",AE181-LOOKUP(2,1/(Y181:AD181&lt;&gt;""),Y181:AD181)))</t>
        </is>
      </c>
      <c r="AQ181" s="36" t="inlineStr">
        <is>
          <t>IF(OR(E181="",AF181=""),"",IF(COUNT(Y181:AE181)=0,"",AF181-LOOKUP(2,1/(Y181:AE181&lt;&gt;""),Y181:AE181)))</t>
        </is>
      </c>
      <c r="AR181" s="36" t="inlineStr">
        <is>
          <t>IF(OR(E181="",AG181=""),"",IF(COUNT(Y181:AF181)=0,"",AG181-LOOKUP(2,1/(Y181:AF181&lt;&gt;""),Y181:AF181)))</t>
        </is>
      </c>
      <c r="AS181" s="36" t="inlineStr">
        <is>
          <t>IF(OR(E181="",AH181=""),"",IF(COUNT(Y181:AG181)=0,"",AH181-LOOKUP(2,1/(Y181:AG181&lt;&gt;""),Y181:AG181)))</t>
        </is>
      </c>
      <c r="AT181" s="36" t="inlineStr">
        <is>
          <t>IF(OR(E181="",AI181=""),"",IF(COUNT(Y181:AH181)=0,"",AI181-LOOKUP(2,1/(Y181:AH181&lt;&gt;""),Y181:AH181)))</t>
        </is>
      </c>
      <c r="AU181" s="36" t="inlineStr">
        <is>
          <t>IF(OR(E181="",AJ181=""),"",IF(COUNT(Y181:AI181)=0,"",AJ181-LOOKUP(2,1/(Y181:AI181&lt;&gt;""),Y181:AI181)))</t>
        </is>
      </c>
      <c r="AV181" s="39" t="inlineStr">
        <is>
          <t>IF(G181="","All_Provinces",IFERROR(VLOOKUP(G181,'07_Lookups'!$A$4:$B$20,2,FALSE),"All_Provinces"))</t>
        </is>
      </c>
      <c r="AW181" s="39" t="inlineStr">
        <is>
          <t>IF(H181="","All_Districts",IFERROR(VLOOKUP(H181,'07_Lookups'!$E$4:$F$42,2,FALSE),"All_Districts"))</t>
        </is>
      </c>
    </row>
    <row r="182" ht="18" customHeight="1">
      <c r="A182" s="31" t="inlineStr">
        <is>
          <t>IF(E182="","",ROW()-3)</t>
        </is>
      </c>
      <c r="B182" s="32" t="n"/>
      <c r="C182" s="32" t="n"/>
      <c r="D182" s="32" t="n"/>
      <c r="E182" s="32" t="n"/>
      <c r="F182" s="32" t="n"/>
      <c r="G182" s="32" t="n"/>
      <c r="H182" s="32" t="n"/>
      <c r="I182" s="32" t="n"/>
      <c r="J182" s="32" t="n"/>
      <c r="K182" s="32" t="n"/>
      <c r="L182" s="32" t="n"/>
      <c r="M182" s="32" t="n"/>
      <c r="N182" s="33" t="n"/>
      <c r="O182" s="34" t="inlineStr">
        <is>
          <t>IF(AE182="","",AE182)</t>
        </is>
      </c>
      <c r="P182" s="35" t="n"/>
      <c r="Q182" s="34" t="inlineStr">
        <is>
          <t>IF(OR(O182="",P182=""),"",EDATE(O182,P182))</t>
        </is>
      </c>
      <c r="R182" s="35" t="n"/>
      <c r="S182" s="32" t="n"/>
      <c r="T182" s="32" t="n"/>
      <c r="U182" s="31" t="inlineStr">
        <is>
          <t>IF(E182="","",IF(COUNT(Y182:AJ182)=0,IF(S182="","Not started",S182),SUBSTITUTE(LOOKUP(2,1/(Y182:AJ182&lt;&gt;""),$Y$3:$AJ$3),"Date: ","")))</t>
        </is>
      </c>
      <c r="V182" s="36" t="inlineStr">
        <is>
          <t>IF(OR(E182="",COUNT(Y182:AJ182)=0),"",TODAY()-LOOKUP(2,1/(Y182:AJ182&lt;&gt;""),Y182:AJ182))</t>
        </is>
      </c>
      <c r="W182" s="36" t="inlineStr">
        <is>
          <t>IF(OR(E182="",COUNT(Y182:AJ182)&lt;2),"",LOOKUP(2,1/(Y182:AJ182&lt;&gt;""),Y182:AJ182)-MIN(Y182:AJ182))</t>
        </is>
      </c>
      <c r="X182" s="36" t="inlineStr">
        <is>
          <t>IF(OR(V182="",U182="Not started",U182=""),"",IFERROR(V182-IF(VLOOKUP(U182,'04_Status_Pipeline'!$B$3:$E$20,4,FALSE)="",0,VLOOKUP(U182,'04_Status_Pipeline'!$B$3:$E$20,4,FALSE)),""))</t>
        </is>
      </c>
      <c r="Y182" s="37" t="n"/>
      <c r="Z182" s="37" t="n"/>
      <c r="AA182" s="37" t="n"/>
      <c r="AB182" s="37" t="n"/>
      <c r="AC182" s="37" t="n"/>
      <c r="AD182" s="37" t="n"/>
      <c r="AE182" s="37" t="n"/>
      <c r="AF182" s="37" t="n"/>
      <c r="AG182" s="37" t="n"/>
      <c r="AH182" s="38" t="n"/>
      <c r="AI182" s="38" t="n"/>
      <c r="AJ182" s="38" t="n"/>
      <c r="AK182" s="36" t="inlineStr">
        <is>
          <t>IF(OR(E182="",Z182=""),"",IF(COUNT(Y182:Y182)=0,"",Z182-LOOKUP(2,1/(Y182:Y182&lt;&gt;""),Y182:Y182)))</t>
        </is>
      </c>
      <c r="AL182" s="36" t="inlineStr">
        <is>
          <t>IF(OR(E182="",AA182=""),"",IF(COUNT(Y182:Z182)=0,"",AA182-LOOKUP(2,1/(Y182:Z182&lt;&gt;""),Y182:Z182)))</t>
        </is>
      </c>
      <c r="AM182" s="36" t="inlineStr">
        <is>
          <t>IF(OR(E182="",AB182=""),"",IF(COUNT(Y182:AA182)=0,"",AB182-LOOKUP(2,1/(Y182:AA182&lt;&gt;""),Y182:AA182)))</t>
        </is>
      </c>
      <c r="AN182" s="36" t="inlineStr">
        <is>
          <t>IF(OR(E182="",AC182=""),"",IF(COUNT(Y182:AB182)=0,"",AC182-LOOKUP(2,1/(Y182:AB182&lt;&gt;""),Y182:AB182)))</t>
        </is>
      </c>
      <c r="AO182" s="36" t="inlineStr">
        <is>
          <t>IF(OR(E182="",AD182=""),"",IF(COUNT(Y182:AC182)=0,"",AD182-LOOKUP(2,1/(Y182:AC182&lt;&gt;""),Y182:AC182)))</t>
        </is>
      </c>
      <c r="AP182" s="36" t="inlineStr">
        <is>
          <t>IF(OR(E182="",AE182=""),"",IF(COUNT(Y182:AD182)=0,"",AE182-LOOKUP(2,1/(Y182:AD182&lt;&gt;""),Y182:AD182)))</t>
        </is>
      </c>
      <c r="AQ182" s="36" t="inlineStr">
        <is>
          <t>IF(OR(E182="",AF182=""),"",IF(COUNT(Y182:AE182)=0,"",AF182-LOOKUP(2,1/(Y182:AE182&lt;&gt;""),Y182:AE182)))</t>
        </is>
      </c>
      <c r="AR182" s="36" t="inlineStr">
        <is>
          <t>IF(OR(E182="",AG182=""),"",IF(COUNT(Y182:AF182)=0,"",AG182-LOOKUP(2,1/(Y182:AF182&lt;&gt;""),Y182:AF182)))</t>
        </is>
      </c>
      <c r="AS182" s="36" t="inlineStr">
        <is>
          <t>IF(OR(E182="",AH182=""),"",IF(COUNT(Y182:AG182)=0,"",AH182-LOOKUP(2,1/(Y182:AG182&lt;&gt;""),Y182:AG182)))</t>
        </is>
      </c>
      <c r="AT182" s="36" t="inlineStr">
        <is>
          <t>IF(OR(E182="",AI182=""),"",IF(COUNT(Y182:AH182)=0,"",AI182-LOOKUP(2,1/(Y182:AH182&lt;&gt;""),Y182:AH182)))</t>
        </is>
      </c>
      <c r="AU182" s="36" t="inlineStr">
        <is>
          <t>IF(OR(E182="",AJ182=""),"",IF(COUNT(Y182:AI182)=0,"",AJ182-LOOKUP(2,1/(Y182:AI182&lt;&gt;""),Y182:AI182)))</t>
        </is>
      </c>
      <c r="AV182" s="39" t="inlineStr">
        <is>
          <t>IF(G182="","All_Provinces",IFERROR(VLOOKUP(G182,'07_Lookups'!$A$4:$B$20,2,FALSE),"All_Provinces"))</t>
        </is>
      </c>
      <c r="AW182" s="39" t="inlineStr">
        <is>
          <t>IF(H182="","All_Districts",IFERROR(VLOOKUP(H182,'07_Lookups'!$E$4:$F$42,2,FALSE),"All_Districts"))</t>
        </is>
      </c>
    </row>
    <row r="183" ht="18" customHeight="1">
      <c r="A183" s="31" t="inlineStr">
        <is>
          <t>IF(E183="","",ROW()-3)</t>
        </is>
      </c>
      <c r="B183" s="40" t="n"/>
      <c r="C183" s="40" t="n"/>
      <c r="D183" s="40" t="n"/>
      <c r="E183" s="40" t="n"/>
      <c r="F183" s="40" t="n"/>
      <c r="G183" s="40" t="n"/>
      <c r="H183" s="40" t="n"/>
      <c r="I183" s="40" t="n"/>
      <c r="J183" s="40" t="n"/>
      <c r="K183" s="40" t="n"/>
      <c r="L183" s="40" t="n"/>
      <c r="M183" s="40" t="n"/>
      <c r="N183" s="41" t="n"/>
      <c r="O183" s="34" t="inlineStr">
        <is>
          <t>IF(AE183="","",AE183)</t>
        </is>
      </c>
      <c r="P183" s="42" t="n"/>
      <c r="Q183" s="34" t="inlineStr">
        <is>
          <t>IF(OR(O183="",P183=""),"",EDATE(O183,P183))</t>
        </is>
      </c>
      <c r="R183" s="42" t="n"/>
      <c r="S183" s="40" t="n"/>
      <c r="T183" s="40" t="n"/>
      <c r="U183" s="31" t="inlineStr">
        <is>
          <t>IF(E183="","",IF(COUNT(Y183:AJ183)=0,IF(S183="","Not started",S183),SUBSTITUTE(LOOKUP(2,1/(Y183:AJ183&lt;&gt;""),$Y$3:$AJ$3),"Date: ","")))</t>
        </is>
      </c>
      <c r="V183" s="36" t="inlineStr">
        <is>
          <t>IF(OR(E183="",COUNT(Y183:AJ183)=0),"",TODAY()-LOOKUP(2,1/(Y183:AJ183&lt;&gt;""),Y183:AJ183))</t>
        </is>
      </c>
      <c r="W183" s="36" t="inlineStr">
        <is>
          <t>IF(OR(E183="",COUNT(Y183:AJ183)&lt;2),"",LOOKUP(2,1/(Y183:AJ183&lt;&gt;""),Y183:AJ183)-MIN(Y183:AJ183))</t>
        </is>
      </c>
      <c r="X183" s="36" t="inlineStr">
        <is>
          <t>IF(OR(V183="",U183="Not started",U183=""),"",IFERROR(V183-IF(VLOOKUP(U183,'04_Status_Pipeline'!$B$3:$E$20,4,FALSE)="",0,VLOOKUP(U183,'04_Status_Pipeline'!$B$3:$E$20,4,FALSE)),""))</t>
        </is>
      </c>
      <c r="Y183" s="43" t="n"/>
      <c r="Z183" s="43" t="n"/>
      <c r="AA183" s="43" t="n"/>
      <c r="AB183" s="43" t="n"/>
      <c r="AC183" s="43" t="n"/>
      <c r="AD183" s="43" t="n"/>
      <c r="AE183" s="43" t="n"/>
      <c r="AF183" s="43" t="n"/>
      <c r="AG183" s="43" t="n"/>
      <c r="AH183" s="38" t="n"/>
      <c r="AI183" s="38" t="n"/>
      <c r="AJ183" s="38" t="n"/>
      <c r="AK183" s="36" t="inlineStr">
        <is>
          <t>IF(OR(E183="",Z183=""),"",IF(COUNT(Y183:Y183)=0,"",Z183-LOOKUP(2,1/(Y183:Y183&lt;&gt;""),Y183:Y183)))</t>
        </is>
      </c>
      <c r="AL183" s="36" t="inlineStr">
        <is>
          <t>IF(OR(E183="",AA183=""),"",IF(COUNT(Y183:Z183)=0,"",AA183-LOOKUP(2,1/(Y183:Z183&lt;&gt;""),Y183:Z183)))</t>
        </is>
      </c>
      <c r="AM183" s="36" t="inlineStr">
        <is>
          <t>IF(OR(E183="",AB183=""),"",IF(COUNT(Y183:AA183)=0,"",AB183-LOOKUP(2,1/(Y183:AA183&lt;&gt;""),Y183:AA183)))</t>
        </is>
      </c>
      <c r="AN183" s="36" t="inlineStr">
        <is>
          <t>IF(OR(E183="",AC183=""),"",IF(COUNT(Y183:AB183)=0,"",AC183-LOOKUP(2,1/(Y183:AB183&lt;&gt;""),Y183:AB183)))</t>
        </is>
      </c>
      <c r="AO183" s="36" t="inlineStr">
        <is>
          <t>IF(OR(E183="",AD183=""),"",IF(COUNT(Y183:AC183)=0,"",AD183-LOOKUP(2,1/(Y183:AC183&lt;&gt;""),Y183:AC183)))</t>
        </is>
      </c>
      <c r="AP183" s="36" t="inlineStr">
        <is>
          <t>IF(OR(E183="",AE183=""),"",IF(COUNT(Y183:AD183)=0,"",AE183-LOOKUP(2,1/(Y183:AD183&lt;&gt;""),Y183:AD183)))</t>
        </is>
      </c>
      <c r="AQ183" s="36" t="inlineStr">
        <is>
          <t>IF(OR(E183="",AF183=""),"",IF(COUNT(Y183:AE183)=0,"",AF183-LOOKUP(2,1/(Y183:AE183&lt;&gt;""),Y183:AE183)))</t>
        </is>
      </c>
      <c r="AR183" s="36" t="inlineStr">
        <is>
          <t>IF(OR(E183="",AG183=""),"",IF(COUNT(Y183:AF183)=0,"",AG183-LOOKUP(2,1/(Y183:AF183&lt;&gt;""),Y183:AF183)))</t>
        </is>
      </c>
      <c r="AS183" s="36" t="inlineStr">
        <is>
          <t>IF(OR(E183="",AH183=""),"",IF(COUNT(Y183:AG183)=0,"",AH183-LOOKUP(2,1/(Y183:AG183&lt;&gt;""),Y183:AG183)))</t>
        </is>
      </c>
      <c r="AT183" s="36" t="inlineStr">
        <is>
          <t>IF(OR(E183="",AI183=""),"",IF(COUNT(Y183:AH183)=0,"",AI183-LOOKUP(2,1/(Y183:AH183&lt;&gt;""),Y183:AH183)))</t>
        </is>
      </c>
      <c r="AU183" s="36" t="inlineStr">
        <is>
          <t>IF(OR(E183="",AJ183=""),"",IF(COUNT(Y183:AI183)=0,"",AJ183-LOOKUP(2,1/(Y183:AI183&lt;&gt;""),Y183:AI183)))</t>
        </is>
      </c>
      <c r="AV183" s="39" t="inlineStr">
        <is>
          <t>IF(G183="","All_Provinces",IFERROR(VLOOKUP(G183,'07_Lookups'!$A$4:$B$20,2,FALSE),"All_Provinces"))</t>
        </is>
      </c>
      <c r="AW183" s="39" t="inlineStr">
        <is>
          <t>IF(H183="","All_Districts",IFERROR(VLOOKUP(H183,'07_Lookups'!$E$4:$F$42,2,FALSE),"All_Districts"))</t>
        </is>
      </c>
    </row>
    <row r="184" ht="18" customHeight="1">
      <c r="A184" s="31" t="inlineStr">
        <is>
          <t>IF(E184="","",ROW()-3)</t>
        </is>
      </c>
      <c r="B184" s="32" t="n"/>
      <c r="C184" s="32" t="n"/>
      <c r="D184" s="32" t="n"/>
      <c r="E184" s="32" t="n"/>
      <c r="F184" s="32" t="n"/>
      <c r="G184" s="32" t="n"/>
      <c r="H184" s="32" t="n"/>
      <c r="I184" s="32" t="n"/>
      <c r="J184" s="32" t="n"/>
      <c r="K184" s="32" t="n"/>
      <c r="L184" s="32" t="n"/>
      <c r="M184" s="32" t="n"/>
      <c r="N184" s="33" t="n"/>
      <c r="O184" s="34" t="inlineStr">
        <is>
          <t>IF(AE184="","",AE184)</t>
        </is>
      </c>
      <c r="P184" s="35" t="n"/>
      <c r="Q184" s="34" t="inlineStr">
        <is>
          <t>IF(OR(O184="",P184=""),"",EDATE(O184,P184))</t>
        </is>
      </c>
      <c r="R184" s="35" t="n"/>
      <c r="S184" s="32" t="n"/>
      <c r="T184" s="32" t="n"/>
      <c r="U184" s="31" t="inlineStr">
        <is>
          <t>IF(E184="","",IF(COUNT(Y184:AJ184)=0,IF(S184="","Not started",S184),SUBSTITUTE(LOOKUP(2,1/(Y184:AJ184&lt;&gt;""),$Y$3:$AJ$3),"Date: ","")))</t>
        </is>
      </c>
      <c r="V184" s="36" t="inlineStr">
        <is>
          <t>IF(OR(E184="",COUNT(Y184:AJ184)=0),"",TODAY()-LOOKUP(2,1/(Y184:AJ184&lt;&gt;""),Y184:AJ184))</t>
        </is>
      </c>
      <c r="W184" s="36" t="inlineStr">
        <is>
          <t>IF(OR(E184="",COUNT(Y184:AJ184)&lt;2),"",LOOKUP(2,1/(Y184:AJ184&lt;&gt;""),Y184:AJ184)-MIN(Y184:AJ184))</t>
        </is>
      </c>
      <c r="X184" s="36" t="inlineStr">
        <is>
          <t>IF(OR(V184="",U184="Not started",U184=""),"",IFERROR(V184-IF(VLOOKUP(U184,'04_Status_Pipeline'!$B$3:$E$20,4,FALSE)="",0,VLOOKUP(U184,'04_Status_Pipeline'!$B$3:$E$20,4,FALSE)),""))</t>
        </is>
      </c>
      <c r="Y184" s="37" t="n"/>
      <c r="Z184" s="37" t="n"/>
      <c r="AA184" s="37" t="n"/>
      <c r="AB184" s="37" t="n"/>
      <c r="AC184" s="37" t="n"/>
      <c r="AD184" s="37" t="n"/>
      <c r="AE184" s="37" t="n"/>
      <c r="AF184" s="37" t="n"/>
      <c r="AG184" s="37" t="n"/>
      <c r="AH184" s="38" t="n"/>
      <c r="AI184" s="38" t="n"/>
      <c r="AJ184" s="38" t="n"/>
      <c r="AK184" s="36" t="inlineStr">
        <is>
          <t>IF(OR(E184="",Z184=""),"",IF(COUNT(Y184:Y184)=0,"",Z184-LOOKUP(2,1/(Y184:Y184&lt;&gt;""),Y184:Y184)))</t>
        </is>
      </c>
      <c r="AL184" s="36" t="inlineStr">
        <is>
          <t>IF(OR(E184="",AA184=""),"",IF(COUNT(Y184:Z184)=0,"",AA184-LOOKUP(2,1/(Y184:Z184&lt;&gt;""),Y184:Z184)))</t>
        </is>
      </c>
      <c r="AM184" s="36" t="inlineStr">
        <is>
          <t>IF(OR(E184="",AB184=""),"",IF(COUNT(Y184:AA184)=0,"",AB184-LOOKUP(2,1/(Y184:AA184&lt;&gt;""),Y184:AA184)))</t>
        </is>
      </c>
      <c r="AN184" s="36" t="inlineStr">
        <is>
          <t>IF(OR(E184="",AC184=""),"",IF(COUNT(Y184:AB184)=0,"",AC184-LOOKUP(2,1/(Y184:AB184&lt;&gt;""),Y184:AB184)))</t>
        </is>
      </c>
      <c r="AO184" s="36" t="inlineStr">
        <is>
          <t>IF(OR(E184="",AD184=""),"",IF(COUNT(Y184:AC184)=0,"",AD184-LOOKUP(2,1/(Y184:AC184&lt;&gt;""),Y184:AC184)))</t>
        </is>
      </c>
      <c r="AP184" s="36" t="inlineStr">
        <is>
          <t>IF(OR(E184="",AE184=""),"",IF(COUNT(Y184:AD184)=0,"",AE184-LOOKUP(2,1/(Y184:AD184&lt;&gt;""),Y184:AD184)))</t>
        </is>
      </c>
      <c r="AQ184" s="36" t="inlineStr">
        <is>
          <t>IF(OR(E184="",AF184=""),"",IF(COUNT(Y184:AE184)=0,"",AF184-LOOKUP(2,1/(Y184:AE184&lt;&gt;""),Y184:AE184)))</t>
        </is>
      </c>
      <c r="AR184" s="36" t="inlineStr">
        <is>
          <t>IF(OR(E184="",AG184=""),"",IF(COUNT(Y184:AF184)=0,"",AG184-LOOKUP(2,1/(Y184:AF184&lt;&gt;""),Y184:AF184)))</t>
        </is>
      </c>
      <c r="AS184" s="36" t="inlineStr">
        <is>
          <t>IF(OR(E184="",AH184=""),"",IF(COUNT(Y184:AG184)=0,"",AH184-LOOKUP(2,1/(Y184:AG184&lt;&gt;""),Y184:AG184)))</t>
        </is>
      </c>
      <c r="AT184" s="36" t="inlineStr">
        <is>
          <t>IF(OR(E184="",AI184=""),"",IF(COUNT(Y184:AH184)=0,"",AI184-LOOKUP(2,1/(Y184:AH184&lt;&gt;""),Y184:AH184)))</t>
        </is>
      </c>
      <c r="AU184" s="36" t="inlineStr">
        <is>
          <t>IF(OR(E184="",AJ184=""),"",IF(COUNT(Y184:AI184)=0,"",AJ184-LOOKUP(2,1/(Y184:AI184&lt;&gt;""),Y184:AI184)))</t>
        </is>
      </c>
      <c r="AV184" s="39" t="inlineStr">
        <is>
          <t>IF(G184="","All_Provinces",IFERROR(VLOOKUP(G184,'07_Lookups'!$A$4:$B$20,2,FALSE),"All_Provinces"))</t>
        </is>
      </c>
      <c r="AW184" s="39" t="inlineStr">
        <is>
          <t>IF(H184="","All_Districts",IFERROR(VLOOKUP(H184,'07_Lookups'!$E$4:$F$42,2,FALSE),"All_Districts"))</t>
        </is>
      </c>
    </row>
    <row r="185" ht="18" customHeight="1">
      <c r="A185" s="31" t="inlineStr">
        <is>
          <t>IF(E185="","",ROW()-3)</t>
        </is>
      </c>
      <c r="B185" s="40" t="n"/>
      <c r="C185" s="40" t="n"/>
      <c r="D185" s="40" t="n"/>
      <c r="E185" s="40" t="n"/>
      <c r="F185" s="40" t="n"/>
      <c r="G185" s="40" t="n"/>
      <c r="H185" s="40" t="n"/>
      <c r="I185" s="40" t="n"/>
      <c r="J185" s="40" t="n"/>
      <c r="K185" s="40" t="n"/>
      <c r="L185" s="40" t="n"/>
      <c r="M185" s="40" t="n"/>
      <c r="N185" s="41" t="n"/>
      <c r="O185" s="34" t="inlineStr">
        <is>
          <t>IF(AE185="","",AE185)</t>
        </is>
      </c>
      <c r="P185" s="42" t="n"/>
      <c r="Q185" s="34" t="inlineStr">
        <is>
          <t>IF(OR(O185="",P185=""),"",EDATE(O185,P185))</t>
        </is>
      </c>
      <c r="R185" s="42" t="n"/>
      <c r="S185" s="40" t="n"/>
      <c r="T185" s="40" t="n"/>
      <c r="U185" s="31" t="inlineStr">
        <is>
          <t>IF(E185="","",IF(COUNT(Y185:AJ185)=0,IF(S185="","Not started",S185),SUBSTITUTE(LOOKUP(2,1/(Y185:AJ185&lt;&gt;""),$Y$3:$AJ$3),"Date: ","")))</t>
        </is>
      </c>
      <c r="V185" s="36" t="inlineStr">
        <is>
          <t>IF(OR(E185="",COUNT(Y185:AJ185)=0),"",TODAY()-LOOKUP(2,1/(Y185:AJ185&lt;&gt;""),Y185:AJ185))</t>
        </is>
      </c>
      <c r="W185" s="36" t="inlineStr">
        <is>
          <t>IF(OR(E185="",COUNT(Y185:AJ185)&lt;2),"",LOOKUP(2,1/(Y185:AJ185&lt;&gt;""),Y185:AJ185)-MIN(Y185:AJ185))</t>
        </is>
      </c>
      <c r="X185" s="36" t="inlineStr">
        <is>
          <t>IF(OR(V185="",U185="Not started",U185=""),"",IFERROR(V185-IF(VLOOKUP(U185,'04_Status_Pipeline'!$B$3:$E$20,4,FALSE)="",0,VLOOKUP(U185,'04_Status_Pipeline'!$B$3:$E$20,4,FALSE)),""))</t>
        </is>
      </c>
      <c r="Y185" s="43" t="n"/>
      <c r="Z185" s="43" t="n"/>
      <c r="AA185" s="43" t="n"/>
      <c r="AB185" s="43" t="n"/>
      <c r="AC185" s="43" t="n"/>
      <c r="AD185" s="43" t="n"/>
      <c r="AE185" s="43" t="n"/>
      <c r="AF185" s="43" t="n"/>
      <c r="AG185" s="43" t="n"/>
      <c r="AH185" s="38" t="n"/>
      <c r="AI185" s="38" t="n"/>
      <c r="AJ185" s="38" t="n"/>
      <c r="AK185" s="36" t="inlineStr">
        <is>
          <t>IF(OR(E185="",Z185=""),"",IF(COUNT(Y185:Y185)=0,"",Z185-LOOKUP(2,1/(Y185:Y185&lt;&gt;""),Y185:Y185)))</t>
        </is>
      </c>
      <c r="AL185" s="36" t="inlineStr">
        <is>
          <t>IF(OR(E185="",AA185=""),"",IF(COUNT(Y185:Z185)=0,"",AA185-LOOKUP(2,1/(Y185:Z185&lt;&gt;""),Y185:Z185)))</t>
        </is>
      </c>
      <c r="AM185" s="36" t="inlineStr">
        <is>
          <t>IF(OR(E185="",AB185=""),"",IF(COUNT(Y185:AA185)=0,"",AB185-LOOKUP(2,1/(Y185:AA185&lt;&gt;""),Y185:AA185)))</t>
        </is>
      </c>
      <c r="AN185" s="36" t="inlineStr">
        <is>
          <t>IF(OR(E185="",AC185=""),"",IF(COUNT(Y185:AB185)=0,"",AC185-LOOKUP(2,1/(Y185:AB185&lt;&gt;""),Y185:AB185)))</t>
        </is>
      </c>
      <c r="AO185" s="36" t="inlineStr">
        <is>
          <t>IF(OR(E185="",AD185=""),"",IF(COUNT(Y185:AC185)=0,"",AD185-LOOKUP(2,1/(Y185:AC185&lt;&gt;""),Y185:AC185)))</t>
        </is>
      </c>
      <c r="AP185" s="36" t="inlineStr">
        <is>
          <t>IF(OR(E185="",AE185=""),"",IF(COUNT(Y185:AD185)=0,"",AE185-LOOKUP(2,1/(Y185:AD185&lt;&gt;""),Y185:AD185)))</t>
        </is>
      </c>
      <c r="AQ185" s="36" t="inlineStr">
        <is>
          <t>IF(OR(E185="",AF185=""),"",IF(COUNT(Y185:AE185)=0,"",AF185-LOOKUP(2,1/(Y185:AE185&lt;&gt;""),Y185:AE185)))</t>
        </is>
      </c>
      <c r="AR185" s="36" t="inlineStr">
        <is>
          <t>IF(OR(E185="",AG185=""),"",IF(COUNT(Y185:AF185)=0,"",AG185-LOOKUP(2,1/(Y185:AF185&lt;&gt;""),Y185:AF185)))</t>
        </is>
      </c>
      <c r="AS185" s="36" t="inlineStr">
        <is>
          <t>IF(OR(E185="",AH185=""),"",IF(COUNT(Y185:AG185)=0,"",AH185-LOOKUP(2,1/(Y185:AG185&lt;&gt;""),Y185:AG185)))</t>
        </is>
      </c>
      <c r="AT185" s="36" t="inlineStr">
        <is>
          <t>IF(OR(E185="",AI185=""),"",IF(COUNT(Y185:AH185)=0,"",AI185-LOOKUP(2,1/(Y185:AH185&lt;&gt;""),Y185:AH185)))</t>
        </is>
      </c>
      <c r="AU185" s="36" t="inlineStr">
        <is>
          <t>IF(OR(E185="",AJ185=""),"",IF(COUNT(Y185:AI185)=0,"",AJ185-LOOKUP(2,1/(Y185:AI185&lt;&gt;""),Y185:AI185)))</t>
        </is>
      </c>
      <c r="AV185" s="39" t="inlineStr">
        <is>
          <t>IF(G185="","All_Provinces",IFERROR(VLOOKUP(G185,'07_Lookups'!$A$4:$B$20,2,FALSE),"All_Provinces"))</t>
        </is>
      </c>
      <c r="AW185" s="39" t="inlineStr">
        <is>
          <t>IF(H185="","All_Districts",IFERROR(VLOOKUP(H185,'07_Lookups'!$E$4:$F$42,2,FALSE),"All_Districts"))</t>
        </is>
      </c>
    </row>
    <row r="186" ht="18" customHeight="1">
      <c r="A186" s="31" t="inlineStr">
        <is>
          <t>IF(E186="","",ROW()-3)</t>
        </is>
      </c>
      <c r="B186" s="32" t="n"/>
      <c r="C186" s="32" t="n"/>
      <c r="D186" s="32" t="n"/>
      <c r="E186" s="32" t="n"/>
      <c r="F186" s="32" t="n"/>
      <c r="G186" s="32" t="n"/>
      <c r="H186" s="32" t="n"/>
      <c r="I186" s="32" t="n"/>
      <c r="J186" s="32" t="n"/>
      <c r="K186" s="32" t="n"/>
      <c r="L186" s="32" t="n"/>
      <c r="M186" s="32" t="n"/>
      <c r="N186" s="33" t="n"/>
      <c r="O186" s="34" t="inlineStr">
        <is>
          <t>IF(AE186="","",AE186)</t>
        </is>
      </c>
      <c r="P186" s="35" t="n"/>
      <c r="Q186" s="34" t="inlineStr">
        <is>
          <t>IF(OR(O186="",P186=""),"",EDATE(O186,P186))</t>
        </is>
      </c>
      <c r="R186" s="35" t="n"/>
      <c r="S186" s="32" t="n"/>
      <c r="T186" s="32" t="n"/>
      <c r="U186" s="31" t="inlineStr">
        <is>
          <t>IF(E186="","",IF(COUNT(Y186:AJ186)=0,IF(S186="","Not started",S186),SUBSTITUTE(LOOKUP(2,1/(Y186:AJ186&lt;&gt;""),$Y$3:$AJ$3),"Date: ","")))</t>
        </is>
      </c>
      <c r="V186" s="36" t="inlineStr">
        <is>
          <t>IF(OR(E186="",COUNT(Y186:AJ186)=0),"",TODAY()-LOOKUP(2,1/(Y186:AJ186&lt;&gt;""),Y186:AJ186))</t>
        </is>
      </c>
      <c r="W186" s="36" t="inlineStr">
        <is>
          <t>IF(OR(E186="",COUNT(Y186:AJ186)&lt;2),"",LOOKUP(2,1/(Y186:AJ186&lt;&gt;""),Y186:AJ186)-MIN(Y186:AJ186))</t>
        </is>
      </c>
      <c r="X186" s="36" t="inlineStr">
        <is>
          <t>IF(OR(V186="",U186="Not started",U186=""),"",IFERROR(V186-IF(VLOOKUP(U186,'04_Status_Pipeline'!$B$3:$E$20,4,FALSE)="",0,VLOOKUP(U186,'04_Status_Pipeline'!$B$3:$E$20,4,FALSE)),""))</t>
        </is>
      </c>
      <c r="Y186" s="37" t="n"/>
      <c r="Z186" s="37" t="n"/>
      <c r="AA186" s="37" t="n"/>
      <c r="AB186" s="37" t="n"/>
      <c r="AC186" s="37" t="n"/>
      <c r="AD186" s="37" t="n"/>
      <c r="AE186" s="37" t="n"/>
      <c r="AF186" s="37" t="n"/>
      <c r="AG186" s="37" t="n"/>
      <c r="AH186" s="38" t="n"/>
      <c r="AI186" s="38" t="n"/>
      <c r="AJ186" s="38" t="n"/>
      <c r="AK186" s="36" t="inlineStr">
        <is>
          <t>IF(OR(E186="",Z186=""),"",IF(COUNT(Y186:Y186)=0,"",Z186-LOOKUP(2,1/(Y186:Y186&lt;&gt;""),Y186:Y186)))</t>
        </is>
      </c>
      <c r="AL186" s="36" t="inlineStr">
        <is>
          <t>IF(OR(E186="",AA186=""),"",IF(COUNT(Y186:Z186)=0,"",AA186-LOOKUP(2,1/(Y186:Z186&lt;&gt;""),Y186:Z186)))</t>
        </is>
      </c>
      <c r="AM186" s="36" t="inlineStr">
        <is>
          <t>IF(OR(E186="",AB186=""),"",IF(COUNT(Y186:AA186)=0,"",AB186-LOOKUP(2,1/(Y186:AA186&lt;&gt;""),Y186:AA186)))</t>
        </is>
      </c>
      <c r="AN186" s="36" t="inlineStr">
        <is>
          <t>IF(OR(E186="",AC186=""),"",IF(COUNT(Y186:AB186)=0,"",AC186-LOOKUP(2,1/(Y186:AB186&lt;&gt;""),Y186:AB186)))</t>
        </is>
      </c>
      <c r="AO186" s="36" t="inlineStr">
        <is>
          <t>IF(OR(E186="",AD186=""),"",IF(COUNT(Y186:AC186)=0,"",AD186-LOOKUP(2,1/(Y186:AC186&lt;&gt;""),Y186:AC186)))</t>
        </is>
      </c>
      <c r="AP186" s="36" t="inlineStr">
        <is>
          <t>IF(OR(E186="",AE186=""),"",IF(COUNT(Y186:AD186)=0,"",AE186-LOOKUP(2,1/(Y186:AD186&lt;&gt;""),Y186:AD186)))</t>
        </is>
      </c>
      <c r="AQ186" s="36" t="inlineStr">
        <is>
          <t>IF(OR(E186="",AF186=""),"",IF(COUNT(Y186:AE186)=0,"",AF186-LOOKUP(2,1/(Y186:AE186&lt;&gt;""),Y186:AE186)))</t>
        </is>
      </c>
      <c r="AR186" s="36" t="inlineStr">
        <is>
          <t>IF(OR(E186="",AG186=""),"",IF(COUNT(Y186:AF186)=0,"",AG186-LOOKUP(2,1/(Y186:AF186&lt;&gt;""),Y186:AF186)))</t>
        </is>
      </c>
      <c r="AS186" s="36" t="inlineStr">
        <is>
          <t>IF(OR(E186="",AH186=""),"",IF(COUNT(Y186:AG186)=0,"",AH186-LOOKUP(2,1/(Y186:AG186&lt;&gt;""),Y186:AG186)))</t>
        </is>
      </c>
      <c r="AT186" s="36" t="inlineStr">
        <is>
          <t>IF(OR(E186="",AI186=""),"",IF(COUNT(Y186:AH186)=0,"",AI186-LOOKUP(2,1/(Y186:AH186&lt;&gt;""),Y186:AH186)))</t>
        </is>
      </c>
      <c r="AU186" s="36" t="inlineStr">
        <is>
          <t>IF(OR(E186="",AJ186=""),"",IF(COUNT(Y186:AI186)=0,"",AJ186-LOOKUP(2,1/(Y186:AI186&lt;&gt;""),Y186:AI186)))</t>
        </is>
      </c>
      <c r="AV186" s="39" t="inlineStr">
        <is>
          <t>IF(G186="","All_Provinces",IFERROR(VLOOKUP(G186,'07_Lookups'!$A$4:$B$20,2,FALSE),"All_Provinces"))</t>
        </is>
      </c>
      <c r="AW186" s="39" t="inlineStr">
        <is>
          <t>IF(H186="","All_Districts",IFERROR(VLOOKUP(H186,'07_Lookups'!$E$4:$F$42,2,FALSE),"All_Districts"))</t>
        </is>
      </c>
    </row>
    <row r="187" ht="18" customHeight="1">
      <c r="A187" s="31" t="inlineStr">
        <is>
          <t>IF(E187="","",ROW()-3)</t>
        </is>
      </c>
      <c r="B187" s="40" t="n"/>
      <c r="C187" s="40" t="n"/>
      <c r="D187" s="40" t="n"/>
      <c r="E187" s="40" t="n"/>
      <c r="F187" s="40" t="n"/>
      <c r="G187" s="40" t="n"/>
      <c r="H187" s="40" t="n"/>
      <c r="I187" s="40" t="n"/>
      <c r="J187" s="40" t="n"/>
      <c r="K187" s="40" t="n"/>
      <c r="L187" s="40" t="n"/>
      <c r="M187" s="40" t="n"/>
      <c r="N187" s="41" t="n"/>
      <c r="O187" s="34" t="inlineStr">
        <is>
          <t>IF(AE187="","",AE187)</t>
        </is>
      </c>
      <c r="P187" s="42" t="n"/>
      <c r="Q187" s="34" t="inlineStr">
        <is>
          <t>IF(OR(O187="",P187=""),"",EDATE(O187,P187))</t>
        </is>
      </c>
      <c r="R187" s="42" t="n"/>
      <c r="S187" s="40" t="n"/>
      <c r="T187" s="40" t="n"/>
      <c r="U187" s="31" t="inlineStr">
        <is>
          <t>IF(E187="","",IF(COUNT(Y187:AJ187)=0,IF(S187="","Not started",S187),SUBSTITUTE(LOOKUP(2,1/(Y187:AJ187&lt;&gt;""),$Y$3:$AJ$3),"Date: ","")))</t>
        </is>
      </c>
      <c r="V187" s="36" t="inlineStr">
        <is>
          <t>IF(OR(E187="",COUNT(Y187:AJ187)=0),"",TODAY()-LOOKUP(2,1/(Y187:AJ187&lt;&gt;""),Y187:AJ187))</t>
        </is>
      </c>
      <c r="W187" s="36" t="inlineStr">
        <is>
          <t>IF(OR(E187="",COUNT(Y187:AJ187)&lt;2),"",LOOKUP(2,1/(Y187:AJ187&lt;&gt;""),Y187:AJ187)-MIN(Y187:AJ187))</t>
        </is>
      </c>
      <c r="X187" s="36" t="inlineStr">
        <is>
          <t>IF(OR(V187="",U187="Not started",U187=""),"",IFERROR(V187-IF(VLOOKUP(U187,'04_Status_Pipeline'!$B$3:$E$20,4,FALSE)="",0,VLOOKUP(U187,'04_Status_Pipeline'!$B$3:$E$20,4,FALSE)),""))</t>
        </is>
      </c>
      <c r="Y187" s="43" t="n"/>
      <c r="Z187" s="43" t="n"/>
      <c r="AA187" s="43" t="n"/>
      <c r="AB187" s="43" t="n"/>
      <c r="AC187" s="43" t="n"/>
      <c r="AD187" s="43" t="n"/>
      <c r="AE187" s="43" t="n"/>
      <c r="AF187" s="43" t="n"/>
      <c r="AG187" s="43" t="n"/>
      <c r="AH187" s="38" t="n"/>
      <c r="AI187" s="38" t="n"/>
      <c r="AJ187" s="38" t="n"/>
      <c r="AK187" s="36" t="inlineStr">
        <is>
          <t>IF(OR(E187="",Z187=""),"",IF(COUNT(Y187:Y187)=0,"",Z187-LOOKUP(2,1/(Y187:Y187&lt;&gt;""),Y187:Y187)))</t>
        </is>
      </c>
      <c r="AL187" s="36" t="inlineStr">
        <is>
          <t>IF(OR(E187="",AA187=""),"",IF(COUNT(Y187:Z187)=0,"",AA187-LOOKUP(2,1/(Y187:Z187&lt;&gt;""),Y187:Z187)))</t>
        </is>
      </c>
      <c r="AM187" s="36" t="inlineStr">
        <is>
          <t>IF(OR(E187="",AB187=""),"",IF(COUNT(Y187:AA187)=0,"",AB187-LOOKUP(2,1/(Y187:AA187&lt;&gt;""),Y187:AA187)))</t>
        </is>
      </c>
      <c r="AN187" s="36" t="inlineStr">
        <is>
          <t>IF(OR(E187="",AC187=""),"",IF(COUNT(Y187:AB187)=0,"",AC187-LOOKUP(2,1/(Y187:AB187&lt;&gt;""),Y187:AB187)))</t>
        </is>
      </c>
      <c r="AO187" s="36" t="inlineStr">
        <is>
          <t>IF(OR(E187="",AD187=""),"",IF(COUNT(Y187:AC187)=0,"",AD187-LOOKUP(2,1/(Y187:AC187&lt;&gt;""),Y187:AC187)))</t>
        </is>
      </c>
      <c r="AP187" s="36" t="inlineStr">
        <is>
          <t>IF(OR(E187="",AE187=""),"",IF(COUNT(Y187:AD187)=0,"",AE187-LOOKUP(2,1/(Y187:AD187&lt;&gt;""),Y187:AD187)))</t>
        </is>
      </c>
      <c r="AQ187" s="36" t="inlineStr">
        <is>
          <t>IF(OR(E187="",AF187=""),"",IF(COUNT(Y187:AE187)=0,"",AF187-LOOKUP(2,1/(Y187:AE187&lt;&gt;""),Y187:AE187)))</t>
        </is>
      </c>
      <c r="AR187" s="36" t="inlineStr">
        <is>
          <t>IF(OR(E187="",AG187=""),"",IF(COUNT(Y187:AF187)=0,"",AG187-LOOKUP(2,1/(Y187:AF187&lt;&gt;""),Y187:AF187)))</t>
        </is>
      </c>
      <c r="AS187" s="36" t="inlineStr">
        <is>
          <t>IF(OR(E187="",AH187=""),"",IF(COUNT(Y187:AG187)=0,"",AH187-LOOKUP(2,1/(Y187:AG187&lt;&gt;""),Y187:AG187)))</t>
        </is>
      </c>
      <c r="AT187" s="36" t="inlineStr">
        <is>
          <t>IF(OR(E187="",AI187=""),"",IF(COUNT(Y187:AH187)=0,"",AI187-LOOKUP(2,1/(Y187:AH187&lt;&gt;""),Y187:AH187)))</t>
        </is>
      </c>
      <c r="AU187" s="36" t="inlineStr">
        <is>
          <t>IF(OR(E187="",AJ187=""),"",IF(COUNT(Y187:AI187)=0,"",AJ187-LOOKUP(2,1/(Y187:AI187&lt;&gt;""),Y187:AI187)))</t>
        </is>
      </c>
      <c r="AV187" s="39" t="inlineStr">
        <is>
          <t>IF(G187="","All_Provinces",IFERROR(VLOOKUP(G187,'07_Lookups'!$A$4:$B$20,2,FALSE),"All_Provinces"))</t>
        </is>
      </c>
      <c r="AW187" s="39" t="inlineStr">
        <is>
          <t>IF(H187="","All_Districts",IFERROR(VLOOKUP(H187,'07_Lookups'!$E$4:$F$42,2,FALSE),"All_Districts"))</t>
        </is>
      </c>
    </row>
    <row r="188" ht="18" customHeight="1">
      <c r="A188" s="31" t="inlineStr">
        <is>
          <t>IF(E188="","",ROW()-3)</t>
        </is>
      </c>
      <c r="B188" s="32" t="n"/>
      <c r="C188" s="32" t="n"/>
      <c r="D188" s="32" t="n"/>
      <c r="E188" s="32" t="n"/>
      <c r="F188" s="32" t="n"/>
      <c r="G188" s="32" t="n"/>
      <c r="H188" s="32" t="n"/>
      <c r="I188" s="32" t="n"/>
      <c r="J188" s="32" t="n"/>
      <c r="K188" s="32" t="n"/>
      <c r="L188" s="32" t="n"/>
      <c r="M188" s="32" t="n"/>
      <c r="N188" s="33" t="n"/>
      <c r="O188" s="34" t="inlineStr">
        <is>
          <t>IF(AE188="","",AE188)</t>
        </is>
      </c>
      <c r="P188" s="35" t="n"/>
      <c r="Q188" s="34" t="inlineStr">
        <is>
          <t>IF(OR(O188="",P188=""),"",EDATE(O188,P188))</t>
        </is>
      </c>
      <c r="R188" s="35" t="n"/>
      <c r="S188" s="32" t="n"/>
      <c r="T188" s="32" t="n"/>
      <c r="U188" s="31" t="inlineStr">
        <is>
          <t>IF(E188="","",IF(COUNT(Y188:AJ188)=0,IF(S188="","Not started",S188),SUBSTITUTE(LOOKUP(2,1/(Y188:AJ188&lt;&gt;""),$Y$3:$AJ$3),"Date: ","")))</t>
        </is>
      </c>
      <c r="V188" s="36" t="inlineStr">
        <is>
          <t>IF(OR(E188="",COUNT(Y188:AJ188)=0),"",TODAY()-LOOKUP(2,1/(Y188:AJ188&lt;&gt;""),Y188:AJ188))</t>
        </is>
      </c>
      <c r="W188" s="36" t="inlineStr">
        <is>
          <t>IF(OR(E188="",COUNT(Y188:AJ188)&lt;2),"",LOOKUP(2,1/(Y188:AJ188&lt;&gt;""),Y188:AJ188)-MIN(Y188:AJ188))</t>
        </is>
      </c>
      <c r="X188" s="36" t="inlineStr">
        <is>
          <t>IF(OR(V188="",U188="Not started",U188=""),"",IFERROR(V188-IF(VLOOKUP(U188,'04_Status_Pipeline'!$B$3:$E$20,4,FALSE)="",0,VLOOKUP(U188,'04_Status_Pipeline'!$B$3:$E$20,4,FALSE)),""))</t>
        </is>
      </c>
      <c r="Y188" s="37" t="n"/>
      <c r="Z188" s="37" t="n"/>
      <c r="AA188" s="37" t="n"/>
      <c r="AB188" s="37" t="n"/>
      <c r="AC188" s="37" t="n"/>
      <c r="AD188" s="37" t="n"/>
      <c r="AE188" s="37" t="n"/>
      <c r="AF188" s="37" t="n"/>
      <c r="AG188" s="37" t="n"/>
      <c r="AH188" s="38" t="n"/>
      <c r="AI188" s="38" t="n"/>
      <c r="AJ188" s="38" t="n"/>
      <c r="AK188" s="36" t="inlineStr">
        <is>
          <t>IF(OR(E188="",Z188=""),"",IF(COUNT(Y188:Y188)=0,"",Z188-LOOKUP(2,1/(Y188:Y188&lt;&gt;""),Y188:Y188)))</t>
        </is>
      </c>
      <c r="AL188" s="36" t="inlineStr">
        <is>
          <t>IF(OR(E188="",AA188=""),"",IF(COUNT(Y188:Z188)=0,"",AA188-LOOKUP(2,1/(Y188:Z188&lt;&gt;""),Y188:Z188)))</t>
        </is>
      </c>
      <c r="AM188" s="36" t="inlineStr">
        <is>
          <t>IF(OR(E188="",AB188=""),"",IF(COUNT(Y188:AA188)=0,"",AB188-LOOKUP(2,1/(Y188:AA188&lt;&gt;""),Y188:AA188)))</t>
        </is>
      </c>
      <c r="AN188" s="36" t="inlineStr">
        <is>
          <t>IF(OR(E188="",AC188=""),"",IF(COUNT(Y188:AB188)=0,"",AC188-LOOKUP(2,1/(Y188:AB188&lt;&gt;""),Y188:AB188)))</t>
        </is>
      </c>
      <c r="AO188" s="36" t="inlineStr">
        <is>
          <t>IF(OR(E188="",AD188=""),"",IF(COUNT(Y188:AC188)=0,"",AD188-LOOKUP(2,1/(Y188:AC188&lt;&gt;""),Y188:AC188)))</t>
        </is>
      </c>
      <c r="AP188" s="36" t="inlineStr">
        <is>
          <t>IF(OR(E188="",AE188=""),"",IF(COUNT(Y188:AD188)=0,"",AE188-LOOKUP(2,1/(Y188:AD188&lt;&gt;""),Y188:AD188)))</t>
        </is>
      </c>
      <c r="AQ188" s="36" t="inlineStr">
        <is>
          <t>IF(OR(E188="",AF188=""),"",IF(COUNT(Y188:AE188)=0,"",AF188-LOOKUP(2,1/(Y188:AE188&lt;&gt;""),Y188:AE188)))</t>
        </is>
      </c>
      <c r="AR188" s="36" t="inlineStr">
        <is>
          <t>IF(OR(E188="",AG188=""),"",IF(COUNT(Y188:AF188)=0,"",AG188-LOOKUP(2,1/(Y188:AF188&lt;&gt;""),Y188:AF188)))</t>
        </is>
      </c>
      <c r="AS188" s="36" t="inlineStr">
        <is>
          <t>IF(OR(E188="",AH188=""),"",IF(COUNT(Y188:AG188)=0,"",AH188-LOOKUP(2,1/(Y188:AG188&lt;&gt;""),Y188:AG188)))</t>
        </is>
      </c>
      <c r="AT188" s="36" t="inlineStr">
        <is>
          <t>IF(OR(E188="",AI188=""),"",IF(COUNT(Y188:AH188)=0,"",AI188-LOOKUP(2,1/(Y188:AH188&lt;&gt;""),Y188:AH188)))</t>
        </is>
      </c>
      <c r="AU188" s="36" t="inlineStr">
        <is>
          <t>IF(OR(E188="",AJ188=""),"",IF(COUNT(Y188:AI188)=0,"",AJ188-LOOKUP(2,1/(Y188:AI188&lt;&gt;""),Y188:AI188)))</t>
        </is>
      </c>
      <c r="AV188" s="39" t="inlineStr">
        <is>
          <t>IF(G188="","All_Provinces",IFERROR(VLOOKUP(G188,'07_Lookups'!$A$4:$B$20,2,FALSE),"All_Provinces"))</t>
        </is>
      </c>
      <c r="AW188" s="39" t="inlineStr">
        <is>
          <t>IF(H188="","All_Districts",IFERROR(VLOOKUP(H188,'07_Lookups'!$E$4:$F$42,2,FALSE),"All_Districts"))</t>
        </is>
      </c>
    </row>
    <row r="189" ht="18" customHeight="1">
      <c r="A189" s="31" t="inlineStr">
        <is>
          <t>IF(E189="","",ROW()-3)</t>
        </is>
      </c>
      <c r="B189" s="40" t="n"/>
      <c r="C189" s="40" t="n"/>
      <c r="D189" s="40" t="n"/>
      <c r="E189" s="40" t="n"/>
      <c r="F189" s="40" t="n"/>
      <c r="G189" s="40" t="n"/>
      <c r="H189" s="40" t="n"/>
      <c r="I189" s="40" t="n"/>
      <c r="J189" s="40" t="n"/>
      <c r="K189" s="40" t="n"/>
      <c r="L189" s="40" t="n"/>
      <c r="M189" s="40" t="n"/>
      <c r="N189" s="41" t="n"/>
      <c r="O189" s="34" t="inlineStr">
        <is>
          <t>IF(AE189="","",AE189)</t>
        </is>
      </c>
      <c r="P189" s="42" t="n"/>
      <c r="Q189" s="34" t="inlineStr">
        <is>
          <t>IF(OR(O189="",P189=""),"",EDATE(O189,P189))</t>
        </is>
      </c>
      <c r="R189" s="42" t="n"/>
      <c r="S189" s="40" t="n"/>
      <c r="T189" s="40" t="n"/>
      <c r="U189" s="31" t="inlineStr">
        <is>
          <t>IF(E189="","",IF(COUNT(Y189:AJ189)=0,IF(S189="","Not started",S189),SUBSTITUTE(LOOKUP(2,1/(Y189:AJ189&lt;&gt;""),$Y$3:$AJ$3),"Date: ","")))</t>
        </is>
      </c>
      <c r="V189" s="36" t="inlineStr">
        <is>
          <t>IF(OR(E189="",COUNT(Y189:AJ189)=0),"",TODAY()-LOOKUP(2,1/(Y189:AJ189&lt;&gt;""),Y189:AJ189))</t>
        </is>
      </c>
      <c r="W189" s="36" t="inlineStr">
        <is>
          <t>IF(OR(E189="",COUNT(Y189:AJ189)&lt;2),"",LOOKUP(2,1/(Y189:AJ189&lt;&gt;""),Y189:AJ189)-MIN(Y189:AJ189))</t>
        </is>
      </c>
      <c r="X189" s="36" t="inlineStr">
        <is>
          <t>IF(OR(V189="",U189="Not started",U189=""),"",IFERROR(V189-IF(VLOOKUP(U189,'04_Status_Pipeline'!$B$3:$E$20,4,FALSE)="",0,VLOOKUP(U189,'04_Status_Pipeline'!$B$3:$E$20,4,FALSE)),""))</t>
        </is>
      </c>
      <c r="Y189" s="43" t="n"/>
      <c r="Z189" s="43" t="n"/>
      <c r="AA189" s="43" t="n"/>
      <c r="AB189" s="43" t="n"/>
      <c r="AC189" s="43" t="n"/>
      <c r="AD189" s="43" t="n"/>
      <c r="AE189" s="43" t="n"/>
      <c r="AF189" s="43" t="n"/>
      <c r="AG189" s="43" t="n"/>
      <c r="AH189" s="38" t="n"/>
      <c r="AI189" s="38" t="n"/>
      <c r="AJ189" s="38" t="n"/>
      <c r="AK189" s="36" t="inlineStr">
        <is>
          <t>IF(OR(E189="",Z189=""),"",IF(COUNT(Y189:Y189)=0,"",Z189-LOOKUP(2,1/(Y189:Y189&lt;&gt;""),Y189:Y189)))</t>
        </is>
      </c>
      <c r="AL189" s="36" t="inlineStr">
        <is>
          <t>IF(OR(E189="",AA189=""),"",IF(COUNT(Y189:Z189)=0,"",AA189-LOOKUP(2,1/(Y189:Z189&lt;&gt;""),Y189:Z189)))</t>
        </is>
      </c>
      <c r="AM189" s="36" t="inlineStr">
        <is>
          <t>IF(OR(E189="",AB189=""),"",IF(COUNT(Y189:AA189)=0,"",AB189-LOOKUP(2,1/(Y189:AA189&lt;&gt;""),Y189:AA189)))</t>
        </is>
      </c>
      <c r="AN189" s="36" t="inlineStr">
        <is>
          <t>IF(OR(E189="",AC189=""),"",IF(COUNT(Y189:AB189)=0,"",AC189-LOOKUP(2,1/(Y189:AB189&lt;&gt;""),Y189:AB189)))</t>
        </is>
      </c>
      <c r="AO189" s="36" t="inlineStr">
        <is>
          <t>IF(OR(E189="",AD189=""),"",IF(COUNT(Y189:AC189)=0,"",AD189-LOOKUP(2,1/(Y189:AC189&lt;&gt;""),Y189:AC189)))</t>
        </is>
      </c>
      <c r="AP189" s="36" t="inlineStr">
        <is>
          <t>IF(OR(E189="",AE189=""),"",IF(COUNT(Y189:AD189)=0,"",AE189-LOOKUP(2,1/(Y189:AD189&lt;&gt;""),Y189:AD189)))</t>
        </is>
      </c>
      <c r="AQ189" s="36" t="inlineStr">
        <is>
          <t>IF(OR(E189="",AF189=""),"",IF(COUNT(Y189:AE189)=0,"",AF189-LOOKUP(2,1/(Y189:AE189&lt;&gt;""),Y189:AE189)))</t>
        </is>
      </c>
      <c r="AR189" s="36" t="inlineStr">
        <is>
          <t>IF(OR(E189="",AG189=""),"",IF(COUNT(Y189:AF189)=0,"",AG189-LOOKUP(2,1/(Y189:AF189&lt;&gt;""),Y189:AF189)))</t>
        </is>
      </c>
      <c r="AS189" s="36" t="inlineStr">
        <is>
          <t>IF(OR(E189="",AH189=""),"",IF(COUNT(Y189:AG189)=0,"",AH189-LOOKUP(2,1/(Y189:AG189&lt;&gt;""),Y189:AG189)))</t>
        </is>
      </c>
      <c r="AT189" s="36" t="inlineStr">
        <is>
          <t>IF(OR(E189="",AI189=""),"",IF(COUNT(Y189:AH189)=0,"",AI189-LOOKUP(2,1/(Y189:AH189&lt;&gt;""),Y189:AH189)))</t>
        </is>
      </c>
      <c r="AU189" s="36" t="inlineStr">
        <is>
          <t>IF(OR(E189="",AJ189=""),"",IF(COUNT(Y189:AI189)=0,"",AJ189-LOOKUP(2,1/(Y189:AI189&lt;&gt;""),Y189:AI189)))</t>
        </is>
      </c>
      <c r="AV189" s="39" t="inlineStr">
        <is>
          <t>IF(G189="","All_Provinces",IFERROR(VLOOKUP(G189,'07_Lookups'!$A$4:$B$20,2,FALSE),"All_Provinces"))</t>
        </is>
      </c>
      <c r="AW189" s="39" t="inlineStr">
        <is>
          <t>IF(H189="","All_Districts",IFERROR(VLOOKUP(H189,'07_Lookups'!$E$4:$F$42,2,FALSE),"All_Districts"))</t>
        </is>
      </c>
    </row>
    <row r="190" ht="18" customHeight="1">
      <c r="A190" s="31" t="inlineStr">
        <is>
          <t>IF(E190="","",ROW()-3)</t>
        </is>
      </c>
      <c r="B190" s="32" t="n"/>
      <c r="C190" s="32" t="n"/>
      <c r="D190" s="32" t="n"/>
      <c r="E190" s="32" t="n"/>
      <c r="F190" s="32" t="n"/>
      <c r="G190" s="32" t="n"/>
      <c r="H190" s="32" t="n"/>
      <c r="I190" s="32" t="n"/>
      <c r="J190" s="32" t="n"/>
      <c r="K190" s="32" t="n"/>
      <c r="L190" s="32" t="n"/>
      <c r="M190" s="32" t="n"/>
      <c r="N190" s="33" t="n"/>
      <c r="O190" s="34" t="inlineStr">
        <is>
          <t>IF(AE190="","",AE190)</t>
        </is>
      </c>
      <c r="P190" s="35" t="n"/>
      <c r="Q190" s="34" t="inlineStr">
        <is>
          <t>IF(OR(O190="",P190=""),"",EDATE(O190,P190))</t>
        </is>
      </c>
      <c r="R190" s="35" t="n"/>
      <c r="S190" s="32" t="n"/>
      <c r="T190" s="32" t="n"/>
      <c r="U190" s="31" t="inlineStr">
        <is>
          <t>IF(E190="","",IF(COUNT(Y190:AJ190)=0,IF(S190="","Not started",S190),SUBSTITUTE(LOOKUP(2,1/(Y190:AJ190&lt;&gt;""),$Y$3:$AJ$3),"Date: ","")))</t>
        </is>
      </c>
      <c r="V190" s="36" t="inlineStr">
        <is>
          <t>IF(OR(E190="",COUNT(Y190:AJ190)=0),"",TODAY()-LOOKUP(2,1/(Y190:AJ190&lt;&gt;""),Y190:AJ190))</t>
        </is>
      </c>
      <c r="W190" s="36" t="inlineStr">
        <is>
          <t>IF(OR(E190="",COUNT(Y190:AJ190)&lt;2),"",LOOKUP(2,1/(Y190:AJ190&lt;&gt;""),Y190:AJ190)-MIN(Y190:AJ190))</t>
        </is>
      </c>
      <c r="X190" s="36" t="inlineStr">
        <is>
          <t>IF(OR(V190="",U190="Not started",U190=""),"",IFERROR(V190-IF(VLOOKUP(U190,'04_Status_Pipeline'!$B$3:$E$20,4,FALSE)="",0,VLOOKUP(U190,'04_Status_Pipeline'!$B$3:$E$20,4,FALSE)),""))</t>
        </is>
      </c>
      <c r="Y190" s="37" t="n"/>
      <c r="Z190" s="37" t="n"/>
      <c r="AA190" s="37" t="n"/>
      <c r="AB190" s="37" t="n"/>
      <c r="AC190" s="37" t="n"/>
      <c r="AD190" s="37" t="n"/>
      <c r="AE190" s="37" t="n"/>
      <c r="AF190" s="37" t="n"/>
      <c r="AG190" s="37" t="n"/>
      <c r="AH190" s="38" t="n"/>
      <c r="AI190" s="38" t="n"/>
      <c r="AJ190" s="38" t="n"/>
      <c r="AK190" s="36" t="inlineStr">
        <is>
          <t>IF(OR(E190="",Z190=""),"",IF(COUNT(Y190:Y190)=0,"",Z190-LOOKUP(2,1/(Y190:Y190&lt;&gt;""),Y190:Y190)))</t>
        </is>
      </c>
      <c r="AL190" s="36" t="inlineStr">
        <is>
          <t>IF(OR(E190="",AA190=""),"",IF(COUNT(Y190:Z190)=0,"",AA190-LOOKUP(2,1/(Y190:Z190&lt;&gt;""),Y190:Z190)))</t>
        </is>
      </c>
      <c r="AM190" s="36" t="inlineStr">
        <is>
          <t>IF(OR(E190="",AB190=""),"",IF(COUNT(Y190:AA190)=0,"",AB190-LOOKUP(2,1/(Y190:AA190&lt;&gt;""),Y190:AA190)))</t>
        </is>
      </c>
      <c r="AN190" s="36" t="inlineStr">
        <is>
          <t>IF(OR(E190="",AC190=""),"",IF(COUNT(Y190:AB190)=0,"",AC190-LOOKUP(2,1/(Y190:AB190&lt;&gt;""),Y190:AB190)))</t>
        </is>
      </c>
      <c r="AO190" s="36" t="inlineStr">
        <is>
          <t>IF(OR(E190="",AD190=""),"",IF(COUNT(Y190:AC190)=0,"",AD190-LOOKUP(2,1/(Y190:AC190&lt;&gt;""),Y190:AC190)))</t>
        </is>
      </c>
      <c r="AP190" s="36" t="inlineStr">
        <is>
          <t>IF(OR(E190="",AE190=""),"",IF(COUNT(Y190:AD190)=0,"",AE190-LOOKUP(2,1/(Y190:AD190&lt;&gt;""),Y190:AD190)))</t>
        </is>
      </c>
      <c r="AQ190" s="36" t="inlineStr">
        <is>
          <t>IF(OR(E190="",AF190=""),"",IF(COUNT(Y190:AE190)=0,"",AF190-LOOKUP(2,1/(Y190:AE190&lt;&gt;""),Y190:AE190)))</t>
        </is>
      </c>
      <c r="AR190" s="36" t="inlineStr">
        <is>
          <t>IF(OR(E190="",AG190=""),"",IF(COUNT(Y190:AF190)=0,"",AG190-LOOKUP(2,1/(Y190:AF190&lt;&gt;""),Y190:AF190)))</t>
        </is>
      </c>
      <c r="AS190" s="36" t="inlineStr">
        <is>
          <t>IF(OR(E190="",AH190=""),"",IF(COUNT(Y190:AG190)=0,"",AH190-LOOKUP(2,1/(Y190:AG190&lt;&gt;""),Y190:AG190)))</t>
        </is>
      </c>
      <c r="AT190" s="36" t="inlineStr">
        <is>
          <t>IF(OR(E190="",AI190=""),"",IF(COUNT(Y190:AH190)=0,"",AI190-LOOKUP(2,1/(Y190:AH190&lt;&gt;""),Y190:AH190)))</t>
        </is>
      </c>
      <c r="AU190" s="36" t="inlineStr">
        <is>
          <t>IF(OR(E190="",AJ190=""),"",IF(COUNT(Y190:AI190)=0,"",AJ190-LOOKUP(2,1/(Y190:AI190&lt;&gt;""),Y190:AI190)))</t>
        </is>
      </c>
      <c r="AV190" s="39" t="inlineStr">
        <is>
          <t>IF(G190="","All_Provinces",IFERROR(VLOOKUP(G190,'07_Lookups'!$A$4:$B$20,2,FALSE),"All_Provinces"))</t>
        </is>
      </c>
      <c r="AW190" s="39" t="inlineStr">
        <is>
          <t>IF(H190="","All_Districts",IFERROR(VLOOKUP(H190,'07_Lookups'!$E$4:$F$42,2,FALSE),"All_Districts"))</t>
        </is>
      </c>
    </row>
    <row r="191" ht="18" customHeight="1">
      <c r="A191" s="31" t="inlineStr">
        <is>
          <t>IF(E191="","",ROW()-3)</t>
        </is>
      </c>
      <c r="B191" s="40" t="n"/>
      <c r="C191" s="40" t="n"/>
      <c r="D191" s="40" t="n"/>
      <c r="E191" s="40" t="n"/>
      <c r="F191" s="40" t="n"/>
      <c r="G191" s="40" t="n"/>
      <c r="H191" s="40" t="n"/>
      <c r="I191" s="40" t="n"/>
      <c r="J191" s="40" t="n"/>
      <c r="K191" s="40" t="n"/>
      <c r="L191" s="40" t="n"/>
      <c r="M191" s="40" t="n"/>
      <c r="N191" s="41" t="n"/>
      <c r="O191" s="34" t="inlineStr">
        <is>
          <t>IF(AE191="","",AE191)</t>
        </is>
      </c>
      <c r="P191" s="42" t="n"/>
      <c r="Q191" s="34" t="inlineStr">
        <is>
          <t>IF(OR(O191="",P191=""),"",EDATE(O191,P191))</t>
        </is>
      </c>
      <c r="R191" s="42" t="n"/>
      <c r="S191" s="40" t="n"/>
      <c r="T191" s="40" t="n"/>
      <c r="U191" s="31" t="inlineStr">
        <is>
          <t>IF(E191="","",IF(COUNT(Y191:AJ191)=0,IF(S191="","Not started",S191),SUBSTITUTE(LOOKUP(2,1/(Y191:AJ191&lt;&gt;""),$Y$3:$AJ$3),"Date: ","")))</t>
        </is>
      </c>
      <c r="V191" s="36" t="inlineStr">
        <is>
          <t>IF(OR(E191="",COUNT(Y191:AJ191)=0),"",TODAY()-LOOKUP(2,1/(Y191:AJ191&lt;&gt;""),Y191:AJ191))</t>
        </is>
      </c>
      <c r="W191" s="36" t="inlineStr">
        <is>
          <t>IF(OR(E191="",COUNT(Y191:AJ191)&lt;2),"",LOOKUP(2,1/(Y191:AJ191&lt;&gt;""),Y191:AJ191)-MIN(Y191:AJ191))</t>
        </is>
      </c>
      <c r="X191" s="36" t="inlineStr">
        <is>
          <t>IF(OR(V191="",U191="Not started",U191=""),"",IFERROR(V191-IF(VLOOKUP(U191,'04_Status_Pipeline'!$B$3:$E$20,4,FALSE)="",0,VLOOKUP(U191,'04_Status_Pipeline'!$B$3:$E$20,4,FALSE)),""))</t>
        </is>
      </c>
      <c r="Y191" s="43" t="n"/>
      <c r="Z191" s="43" t="n"/>
      <c r="AA191" s="43" t="n"/>
      <c r="AB191" s="43" t="n"/>
      <c r="AC191" s="43" t="n"/>
      <c r="AD191" s="43" t="n"/>
      <c r="AE191" s="43" t="n"/>
      <c r="AF191" s="43" t="n"/>
      <c r="AG191" s="43" t="n"/>
      <c r="AH191" s="38" t="n"/>
      <c r="AI191" s="38" t="n"/>
      <c r="AJ191" s="38" t="n"/>
      <c r="AK191" s="36" t="inlineStr">
        <is>
          <t>IF(OR(E191="",Z191=""),"",IF(COUNT(Y191:Y191)=0,"",Z191-LOOKUP(2,1/(Y191:Y191&lt;&gt;""),Y191:Y191)))</t>
        </is>
      </c>
      <c r="AL191" s="36" t="inlineStr">
        <is>
          <t>IF(OR(E191="",AA191=""),"",IF(COUNT(Y191:Z191)=0,"",AA191-LOOKUP(2,1/(Y191:Z191&lt;&gt;""),Y191:Z191)))</t>
        </is>
      </c>
      <c r="AM191" s="36" t="inlineStr">
        <is>
          <t>IF(OR(E191="",AB191=""),"",IF(COUNT(Y191:AA191)=0,"",AB191-LOOKUP(2,1/(Y191:AA191&lt;&gt;""),Y191:AA191)))</t>
        </is>
      </c>
      <c r="AN191" s="36" t="inlineStr">
        <is>
          <t>IF(OR(E191="",AC191=""),"",IF(COUNT(Y191:AB191)=0,"",AC191-LOOKUP(2,1/(Y191:AB191&lt;&gt;""),Y191:AB191)))</t>
        </is>
      </c>
      <c r="AO191" s="36" t="inlineStr">
        <is>
          <t>IF(OR(E191="",AD191=""),"",IF(COUNT(Y191:AC191)=0,"",AD191-LOOKUP(2,1/(Y191:AC191&lt;&gt;""),Y191:AC191)))</t>
        </is>
      </c>
      <c r="AP191" s="36" t="inlineStr">
        <is>
          <t>IF(OR(E191="",AE191=""),"",IF(COUNT(Y191:AD191)=0,"",AE191-LOOKUP(2,1/(Y191:AD191&lt;&gt;""),Y191:AD191)))</t>
        </is>
      </c>
      <c r="AQ191" s="36" t="inlineStr">
        <is>
          <t>IF(OR(E191="",AF191=""),"",IF(COUNT(Y191:AE191)=0,"",AF191-LOOKUP(2,1/(Y191:AE191&lt;&gt;""),Y191:AE191)))</t>
        </is>
      </c>
      <c r="AR191" s="36" t="inlineStr">
        <is>
          <t>IF(OR(E191="",AG191=""),"",IF(COUNT(Y191:AF191)=0,"",AG191-LOOKUP(2,1/(Y191:AF191&lt;&gt;""),Y191:AF191)))</t>
        </is>
      </c>
      <c r="AS191" s="36" t="inlineStr">
        <is>
          <t>IF(OR(E191="",AH191=""),"",IF(COUNT(Y191:AG191)=0,"",AH191-LOOKUP(2,1/(Y191:AG191&lt;&gt;""),Y191:AG191)))</t>
        </is>
      </c>
      <c r="AT191" s="36" t="inlineStr">
        <is>
          <t>IF(OR(E191="",AI191=""),"",IF(COUNT(Y191:AH191)=0,"",AI191-LOOKUP(2,1/(Y191:AH191&lt;&gt;""),Y191:AH191)))</t>
        </is>
      </c>
      <c r="AU191" s="36" t="inlineStr">
        <is>
          <t>IF(OR(E191="",AJ191=""),"",IF(COUNT(Y191:AI191)=0,"",AJ191-LOOKUP(2,1/(Y191:AI191&lt;&gt;""),Y191:AI191)))</t>
        </is>
      </c>
      <c r="AV191" s="39" t="inlineStr">
        <is>
          <t>IF(G191="","All_Provinces",IFERROR(VLOOKUP(G191,'07_Lookups'!$A$4:$B$20,2,FALSE),"All_Provinces"))</t>
        </is>
      </c>
      <c r="AW191" s="39" t="inlineStr">
        <is>
          <t>IF(H191="","All_Districts",IFERROR(VLOOKUP(H191,'07_Lookups'!$E$4:$F$42,2,FALSE),"All_Districts"))</t>
        </is>
      </c>
    </row>
    <row r="192" ht="18" customHeight="1">
      <c r="A192" s="31" t="inlineStr">
        <is>
          <t>IF(E192="","",ROW()-3)</t>
        </is>
      </c>
      <c r="B192" s="32" t="n"/>
      <c r="C192" s="32" t="n"/>
      <c r="D192" s="32" t="n"/>
      <c r="E192" s="32" t="n"/>
      <c r="F192" s="32" t="n"/>
      <c r="G192" s="32" t="n"/>
      <c r="H192" s="32" t="n"/>
      <c r="I192" s="32" t="n"/>
      <c r="J192" s="32" t="n"/>
      <c r="K192" s="32" t="n"/>
      <c r="L192" s="32" t="n"/>
      <c r="M192" s="32" t="n"/>
      <c r="N192" s="33" t="n"/>
      <c r="O192" s="34" t="inlineStr">
        <is>
          <t>IF(AE192="","",AE192)</t>
        </is>
      </c>
      <c r="P192" s="35" t="n"/>
      <c r="Q192" s="34" t="inlineStr">
        <is>
          <t>IF(OR(O192="",P192=""),"",EDATE(O192,P192))</t>
        </is>
      </c>
      <c r="R192" s="35" t="n"/>
      <c r="S192" s="32" t="n"/>
      <c r="T192" s="32" t="n"/>
      <c r="U192" s="31" t="inlineStr">
        <is>
          <t>IF(E192="","",IF(COUNT(Y192:AJ192)=0,IF(S192="","Not started",S192),SUBSTITUTE(LOOKUP(2,1/(Y192:AJ192&lt;&gt;""),$Y$3:$AJ$3),"Date: ","")))</t>
        </is>
      </c>
      <c r="V192" s="36" t="inlineStr">
        <is>
          <t>IF(OR(E192="",COUNT(Y192:AJ192)=0),"",TODAY()-LOOKUP(2,1/(Y192:AJ192&lt;&gt;""),Y192:AJ192))</t>
        </is>
      </c>
      <c r="W192" s="36" t="inlineStr">
        <is>
          <t>IF(OR(E192="",COUNT(Y192:AJ192)&lt;2),"",LOOKUP(2,1/(Y192:AJ192&lt;&gt;""),Y192:AJ192)-MIN(Y192:AJ192))</t>
        </is>
      </c>
      <c r="X192" s="36" t="inlineStr">
        <is>
          <t>IF(OR(V192="",U192="Not started",U192=""),"",IFERROR(V192-IF(VLOOKUP(U192,'04_Status_Pipeline'!$B$3:$E$20,4,FALSE)="",0,VLOOKUP(U192,'04_Status_Pipeline'!$B$3:$E$20,4,FALSE)),""))</t>
        </is>
      </c>
      <c r="Y192" s="37" t="n"/>
      <c r="Z192" s="37" t="n"/>
      <c r="AA192" s="37" t="n"/>
      <c r="AB192" s="37" t="n"/>
      <c r="AC192" s="37" t="n"/>
      <c r="AD192" s="37" t="n"/>
      <c r="AE192" s="37" t="n"/>
      <c r="AF192" s="37" t="n"/>
      <c r="AG192" s="37" t="n"/>
      <c r="AH192" s="38" t="n"/>
      <c r="AI192" s="38" t="n"/>
      <c r="AJ192" s="38" t="n"/>
      <c r="AK192" s="36" t="inlineStr">
        <is>
          <t>IF(OR(E192="",Z192=""),"",IF(COUNT(Y192:Y192)=0,"",Z192-LOOKUP(2,1/(Y192:Y192&lt;&gt;""),Y192:Y192)))</t>
        </is>
      </c>
      <c r="AL192" s="36" t="inlineStr">
        <is>
          <t>IF(OR(E192="",AA192=""),"",IF(COUNT(Y192:Z192)=0,"",AA192-LOOKUP(2,1/(Y192:Z192&lt;&gt;""),Y192:Z192)))</t>
        </is>
      </c>
      <c r="AM192" s="36" t="inlineStr">
        <is>
          <t>IF(OR(E192="",AB192=""),"",IF(COUNT(Y192:AA192)=0,"",AB192-LOOKUP(2,1/(Y192:AA192&lt;&gt;""),Y192:AA192)))</t>
        </is>
      </c>
      <c r="AN192" s="36" t="inlineStr">
        <is>
          <t>IF(OR(E192="",AC192=""),"",IF(COUNT(Y192:AB192)=0,"",AC192-LOOKUP(2,1/(Y192:AB192&lt;&gt;""),Y192:AB192)))</t>
        </is>
      </c>
      <c r="AO192" s="36" t="inlineStr">
        <is>
          <t>IF(OR(E192="",AD192=""),"",IF(COUNT(Y192:AC192)=0,"",AD192-LOOKUP(2,1/(Y192:AC192&lt;&gt;""),Y192:AC192)))</t>
        </is>
      </c>
      <c r="AP192" s="36" t="inlineStr">
        <is>
          <t>IF(OR(E192="",AE192=""),"",IF(COUNT(Y192:AD192)=0,"",AE192-LOOKUP(2,1/(Y192:AD192&lt;&gt;""),Y192:AD192)))</t>
        </is>
      </c>
      <c r="AQ192" s="36" t="inlineStr">
        <is>
          <t>IF(OR(E192="",AF192=""),"",IF(COUNT(Y192:AE192)=0,"",AF192-LOOKUP(2,1/(Y192:AE192&lt;&gt;""),Y192:AE192)))</t>
        </is>
      </c>
      <c r="AR192" s="36" t="inlineStr">
        <is>
          <t>IF(OR(E192="",AG192=""),"",IF(COUNT(Y192:AF192)=0,"",AG192-LOOKUP(2,1/(Y192:AF192&lt;&gt;""),Y192:AF192)))</t>
        </is>
      </c>
      <c r="AS192" s="36" t="inlineStr">
        <is>
          <t>IF(OR(E192="",AH192=""),"",IF(COUNT(Y192:AG192)=0,"",AH192-LOOKUP(2,1/(Y192:AG192&lt;&gt;""),Y192:AG192)))</t>
        </is>
      </c>
      <c r="AT192" s="36" t="inlineStr">
        <is>
          <t>IF(OR(E192="",AI192=""),"",IF(COUNT(Y192:AH192)=0,"",AI192-LOOKUP(2,1/(Y192:AH192&lt;&gt;""),Y192:AH192)))</t>
        </is>
      </c>
      <c r="AU192" s="36" t="inlineStr">
        <is>
          <t>IF(OR(E192="",AJ192=""),"",IF(COUNT(Y192:AI192)=0,"",AJ192-LOOKUP(2,1/(Y192:AI192&lt;&gt;""),Y192:AI192)))</t>
        </is>
      </c>
      <c r="AV192" s="39" t="inlineStr">
        <is>
          <t>IF(G192="","All_Provinces",IFERROR(VLOOKUP(G192,'07_Lookups'!$A$4:$B$20,2,FALSE),"All_Provinces"))</t>
        </is>
      </c>
      <c r="AW192" s="39" t="inlineStr">
        <is>
          <t>IF(H192="","All_Districts",IFERROR(VLOOKUP(H192,'07_Lookups'!$E$4:$F$42,2,FALSE),"All_Districts"))</t>
        </is>
      </c>
    </row>
    <row r="193" ht="18" customHeight="1">
      <c r="A193" s="31" t="inlineStr">
        <is>
          <t>IF(E193="","",ROW()-3)</t>
        </is>
      </c>
      <c r="B193" s="40" t="n"/>
      <c r="C193" s="40" t="n"/>
      <c r="D193" s="40" t="n"/>
      <c r="E193" s="40" t="n"/>
      <c r="F193" s="40" t="n"/>
      <c r="G193" s="40" t="n"/>
      <c r="H193" s="40" t="n"/>
      <c r="I193" s="40" t="n"/>
      <c r="J193" s="40" t="n"/>
      <c r="K193" s="40" t="n"/>
      <c r="L193" s="40" t="n"/>
      <c r="M193" s="40" t="n"/>
      <c r="N193" s="41" t="n"/>
      <c r="O193" s="34" t="inlineStr">
        <is>
          <t>IF(AE193="","",AE193)</t>
        </is>
      </c>
      <c r="P193" s="42" t="n"/>
      <c r="Q193" s="34" t="inlineStr">
        <is>
          <t>IF(OR(O193="",P193=""),"",EDATE(O193,P193))</t>
        </is>
      </c>
      <c r="R193" s="42" t="n"/>
      <c r="S193" s="40" t="n"/>
      <c r="T193" s="40" t="n"/>
      <c r="U193" s="31" t="inlineStr">
        <is>
          <t>IF(E193="","",IF(COUNT(Y193:AJ193)=0,IF(S193="","Not started",S193),SUBSTITUTE(LOOKUP(2,1/(Y193:AJ193&lt;&gt;""),$Y$3:$AJ$3),"Date: ","")))</t>
        </is>
      </c>
      <c r="V193" s="36" t="inlineStr">
        <is>
          <t>IF(OR(E193="",COUNT(Y193:AJ193)=0),"",TODAY()-LOOKUP(2,1/(Y193:AJ193&lt;&gt;""),Y193:AJ193))</t>
        </is>
      </c>
      <c r="W193" s="36" t="inlineStr">
        <is>
          <t>IF(OR(E193="",COUNT(Y193:AJ193)&lt;2),"",LOOKUP(2,1/(Y193:AJ193&lt;&gt;""),Y193:AJ193)-MIN(Y193:AJ193))</t>
        </is>
      </c>
      <c r="X193" s="36" t="inlineStr">
        <is>
          <t>IF(OR(V193="",U193="Not started",U193=""),"",IFERROR(V193-IF(VLOOKUP(U193,'04_Status_Pipeline'!$B$3:$E$20,4,FALSE)="",0,VLOOKUP(U193,'04_Status_Pipeline'!$B$3:$E$20,4,FALSE)),""))</t>
        </is>
      </c>
      <c r="Y193" s="43" t="n"/>
      <c r="Z193" s="43" t="n"/>
      <c r="AA193" s="43" t="n"/>
      <c r="AB193" s="43" t="n"/>
      <c r="AC193" s="43" t="n"/>
      <c r="AD193" s="43" t="n"/>
      <c r="AE193" s="43" t="n"/>
      <c r="AF193" s="43" t="n"/>
      <c r="AG193" s="43" t="n"/>
      <c r="AH193" s="38" t="n"/>
      <c r="AI193" s="38" t="n"/>
      <c r="AJ193" s="38" t="n"/>
      <c r="AK193" s="36" t="inlineStr">
        <is>
          <t>IF(OR(E193="",Z193=""),"",IF(COUNT(Y193:Y193)=0,"",Z193-LOOKUP(2,1/(Y193:Y193&lt;&gt;""),Y193:Y193)))</t>
        </is>
      </c>
      <c r="AL193" s="36" t="inlineStr">
        <is>
          <t>IF(OR(E193="",AA193=""),"",IF(COUNT(Y193:Z193)=0,"",AA193-LOOKUP(2,1/(Y193:Z193&lt;&gt;""),Y193:Z193)))</t>
        </is>
      </c>
      <c r="AM193" s="36" t="inlineStr">
        <is>
          <t>IF(OR(E193="",AB193=""),"",IF(COUNT(Y193:AA193)=0,"",AB193-LOOKUP(2,1/(Y193:AA193&lt;&gt;""),Y193:AA193)))</t>
        </is>
      </c>
      <c r="AN193" s="36" t="inlineStr">
        <is>
          <t>IF(OR(E193="",AC193=""),"",IF(COUNT(Y193:AB193)=0,"",AC193-LOOKUP(2,1/(Y193:AB193&lt;&gt;""),Y193:AB193)))</t>
        </is>
      </c>
      <c r="AO193" s="36" t="inlineStr">
        <is>
          <t>IF(OR(E193="",AD193=""),"",IF(COUNT(Y193:AC193)=0,"",AD193-LOOKUP(2,1/(Y193:AC193&lt;&gt;""),Y193:AC193)))</t>
        </is>
      </c>
      <c r="AP193" s="36" t="inlineStr">
        <is>
          <t>IF(OR(E193="",AE193=""),"",IF(COUNT(Y193:AD193)=0,"",AE193-LOOKUP(2,1/(Y193:AD193&lt;&gt;""),Y193:AD193)))</t>
        </is>
      </c>
      <c r="AQ193" s="36" t="inlineStr">
        <is>
          <t>IF(OR(E193="",AF193=""),"",IF(COUNT(Y193:AE193)=0,"",AF193-LOOKUP(2,1/(Y193:AE193&lt;&gt;""),Y193:AE193)))</t>
        </is>
      </c>
      <c r="AR193" s="36" t="inlineStr">
        <is>
          <t>IF(OR(E193="",AG193=""),"",IF(COUNT(Y193:AF193)=0,"",AG193-LOOKUP(2,1/(Y193:AF193&lt;&gt;""),Y193:AF193)))</t>
        </is>
      </c>
      <c r="AS193" s="36" t="inlineStr">
        <is>
          <t>IF(OR(E193="",AH193=""),"",IF(COUNT(Y193:AG193)=0,"",AH193-LOOKUP(2,1/(Y193:AG193&lt;&gt;""),Y193:AG193)))</t>
        </is>
      </c>
      <c r="AT193" s="36" t="inlineStr">
        <is>
          <t>IF(OR(E193="",AI193=""),"",IF(COUNT(Y193:AH193)=0,"",AI193-LOOKUP(2,1/(Y193:AH193&lt;&gt;""),Y193:AH193)))</t>
        </is>
      </c>
      <c r="AU193" s="36" t="inlineStr">
        <is>
          <t>IF(OR(E193="",AJ193=""),"",IF(COUNT(Y193:AI193)=0,"",AJ193-LOOKUP(2,1/(Y193:AI193&lt;&gt;""),Y193:AI193)))</t>
        </is>
      </c>
      <c r="AV193" s="39" t="inlineStr">
        <is>
          <t>IF(G193="","All_Provinces",IFERROR(VLOOKUP(G193,'07_Lookups'!$A$4:$B$20,2,FALSE),"All_Provinces"))</t>
        </is>
      </c>
      <c r="AW193" s="39" t="inlineStr">
        <is>
          <t>IF(H193="","All_Districts",IFERROR(VLOOKUP(H193,'07_Lookups'!$E$4:$F$42,2,FALSE),"All_Districts"))</t>
        </is>
      </c>
    </row>
    <row r="194" ht="18" customHeight="1">
      <c r="A194" s="31" t="inlineStr">
        <is>
          <t>IF(E194="","",ROW()-3)</t>
        </is>
      </c>
      <c r="B194" s="32" t="n"/>
      <c r="C194" s="32" t="n"/>
      <c r="D194" s="32" t="n"/>
      <c r="E194" s="32" t="n"/>
      <c r="F194" s="32" t="n"/>
      <c r="G194" s="32" t="n"/>
      <c r="H194" s="32" t="n"/>
      <c r="I194" s="32" t="n"/>
      <c r="J194" s="32" t="n"/>
      <c r="K194" s="32" t="n"/>
      <c r="L194" s="32" t="n"/>
      <c r="M194" s="32" t="n"/>
      <c r="N194" s="33" t="n"/>
      <c r="O194" s="34" t="inlineStr">
        <is>
          <t>IF(AE194="","",AE194)</t>
        </is>
      </c>
      <c r="P194" s="35" t="n"/>
      <c r="Q194" s="34" t="inlineStr">
        <is>
          <t>IF(OR(O194="",P194=""),"",EDATE(O194,P194))</t>
        </is>
      </c>
      <c r="R194" s="35" t="n"/>
      <c r="S194" s="32" t="n"/>
      <c r="T194" s="32" t="n"/>
      <c r="U194" s="31" t="inlineStr">
        <is>
          <t>IF(E194="","",IF(COUNT(Y194:AJ194)=0,IF(S194="","Not started",S194),SUBSTITUTE(LOOKUP(2,1/(Y194:AJ194&lt;&gt;""),$Y$3:$AJ$3),"Date: ","")))</t>
        </is>
      </c>
      <c r="V194" s="36" t="inlineStr">
        <is>
          <t>IF(OR(E194="",COUNT(Y194:AJ194)=0),"",TODAY()-LOOKUP(2,1/(Y194:AJ194&lt;&gt;""),Y194:AJ194))</t>
        </is>
      </c>
      <c r="W194" s="36" t="inlineStr">
        <is>
          <t>IF(OR(E194="",COUNT(Y194:AJ194)&lt;2),"",LOOKUP(2,1/(Y194:AJ194&lt;&gt;""),Y194:AJ194)-MIN(Y194:AJ194))</t>
        </is>
      </c>
      <c r="X194" s="36" t="inlineStr">
        <is>
          <t>IF(OR(V194="",U194="Not started",U194=""),"",IFERROR(V194-IF(VLOOKUP(U194,'04_Status_Pipeline'!$B$3:$E$20,4,FALSE)="",0,VLOOKUP(U194,'04_Status_Pipeline'!$B$3:$E$20,4,FALSE)),""))</t>
        </is>
      </c>
      <c r="Y194" s="37" t="n"/>
      <c r="Z194" s="37" t="n"/>
      <c r="AA194" s="37" t="n"/>
      <c r="AB194" s="37" t="n"/>
      <c r="AC194" s="37" t="n"/>
      <c r="AD194" s="37" t="n"/>
      <c r="AE194" s="37" t="n"/>
      <c r="AF194" s="37" t="n"/>
      <c r="AG194" s="37" t="n"/>
      <c r="AH194" s="38" t="n"/>
      <c r="AI194" s="38" t="n"/>
      <c r="AJ194" s="38" t="n"/>
      <c r="AK194" s="36" t="inlineStr">
        <is>
          <t>IF(OR(E194="",Z194=""),"",IF(COUNT(Y194:Y194)=0,"",Z194-LOOKUP(2,1/(Y194:Y194&lt;&gt;""),Y194:Y194)))</t>
        </is>
      </c>
      <c r="AL194" s="36" t="inlineStr">
        <is>
          <t>IF(OR(E194="",AA194=""),"",IF(COUNT(Y194:Z194)=0,"",AA194-LOOKUP(2,1/(Y194:Z194&lt;&gt;""),Y194:Z194)))</t>
        </is>
      </c>
      <c r="AM194" s="36" t="inlineStr">
        <is>
          <t>IF(OR(E194="",AB194=""),"",IF(COUNT(Y194:AA194)=0,"",AB194-LOOKUP(2,1/(Y194:AA194&lt;&gt;""),Y194:AA194)))</t>
        </is>
      </c>
      <c r="AN194" s="36" t="inlineStr">
        <is>
          <t>IF(OR(E194="",AC194=""),"",IF(COUNT(Y194:AB194)=0,"",AC194-LOOKUP(2,1/(Y194:AB194&lt;&gt;""),Y194:AB194)))</t>
        </is>
      </c>
      <c r="AO194" s="36" t="inlineStr">
        <is>
          <t>IF(OR(E194="",AD194=""),"",IF(COUNT(Y194:AC194)=0,"",AD194-LOOKUP(2,1/(Y194:AC194&lt;&gt;""),Y194:AC194)))</t>
        </is>
      </c>
      <c r="AP194" s="36" t="inlineStr">
        <is>
          <t>IF(OR(E194="",AE194=""),"",IF(COUNT(Y194:AD194)=0,"",AE194-LOOKUP(2,1/(Y194:AD194&lt;&gt;""),Y194:AD194)))</t>
        </is>
      </c>
      <c r="AQ194" s="36" t="inlineStr">
        <is>
          <t>IF(OR(E194="",AF194=""),"",IF(COUNT(Y194:AE194)=0,"",AF194-LOOKUP(2,1/(Y194:AE194&lt;&gt;""),Y194:AE194)))</t>
        </is>
      </c>
      <c r="AR194" s="36" t="inlineStr">
        <is>
          <t>IF(OR(E194="",AG194=""),"",IF(COUNT(Y194:AF194)=0,"",AG194-LOOKUP(2,1/(Y194:AF194&lt;&gt;""),Y194:AF194)))</t>
        </is>
      </c>
      <c r="AS194" s="36" t="inlineStr">
        <is>
          <t>IF(OR(E194="",AH194=""),"",IF(COUNT(Y194:AG194)=0,"",AH194-LOOKUP(2,1/(Y194:AG194&lt;&gt;""),Y194:AG194)))</t>
        </is>
      </c>
      <c r="AT194" s="36" t="inlineStr">
        <is>
          <t>IF(OR(E194="",AI194=""),"",IF(COUNT(Y194:AH194)=0,"",AI194-LOOKUP(2,1/(Y194:AH194&lt;&gt;""),Y194:AH194)))</t>
        </is>
      </c>
      <c r="AU194" s="36" t="inlineStr">
        <is>
          <t>IF(OR(E194="",AJ194=""),"",IF(COUNT(Y194:AI194)=0,"",AJ194-LOOKUP(2,1/(Y194:AI194&lt;&gt;""),Y194:AI194)))</t>
        </is>
      </c>
      <c r="AV194" s="39" t="inlineStr">
        <is>
          <t>IF(G194="","All_Provinces",IFERROR(VLOOKUP(G194,'07_Lookups'!$A$4:$B$20,2,FALSE),"All_Provinces"))</t>
        </is>
      </c>
      <c r="AW194" s="39" t="inlineStr">
        <is>
          <t>IF(H194="","All_Districts",IFERROR(VLOOKUP(H194,'07_Lookups'!$E$4:$F$42,2,FALSE),"All_Districts"))</t>
        </is>
      </c>
    </row>
    <row r="195" ht="18" customHeight="1">
      <c r="A195" s="31" t="inlineStr">
        <is>
          <t>IF(E195="","",ROW()-3)</t>
        </is>
      </c>
      <c r="B195" s="40" t="n"/>
      <c r="C195" s="40" t="n"/>
      <c r="D195" s="40" t="n"/>
      <c r="E195" s="40" t="n"/>
      <c r="F195" s="40" t="n"/>
      <c r="G195" s="40" t="n"/>
      <c r="H195" s="40" t="n"/>
      <c r="I195" s="40" t="n"/>
      <c r="J195" s="40" t="n"/>
      <c r="K195" s="40" t="n"/>
      <c r="L195" s="40" t="n"/>
      <c r="M195" s="40" t="n"/>
      <c r="N195" s="41" t="n"/>
      <c r="O195" s="34" t="inlineStr">
        <is>
          <t>IF(AE195="","",AE195)</t>
        </is>
      </c>
      <c r="P195" s="42" t="n"/>
      <c r="Q195" s="34" t="inlineStr">
        <is>
          <t>IF(OR(O195="",P195=""),"",EDATE(O195,P195))</t>
        </is>
      </c>
      <c r="R195" s="42" t="n"/>
      <c r="S195" s="40" t="n"/>
      <c r="T195" s="40" t="n"/>
      <c r="U195" s="31" t="inlineStr">
        <is>
          <t>IF(E195="","",IF(COUNT(Y195:AJ195)=0,IF(S195="","Not started",S195),SUBSTITUTE(LOOKUP(2,1/(Y195:AJ195&lt;&gt;""),$Y$3:$AJ$3),"Date: ","")))</t>
        </is>
      </c>
      <c r="V195" s="36" t="inlineStr">
        <is>
          <t>IF(OR(E195="",COUNT(Y195:AJ195)=0),"",TODAY()-LOOKUP(2,1/(Y195:AJ195&lt;&gt;""),Y195:AJ195))</t>
        </is>
      </c>
      <c r="W195" s="36" t="inlineStr">
        <is>
          <t>IF(OR(E195="",COUNT(Y195:AJ195)&lt;2),"",LOOKUP(2,1/(Y195:AJ195&lt;&gt;""),Y195:AJ195)-MIN(Y195:AJ195))</t>
        </is>
      </c>
      <c r="X195" s="36" t="inlineStr">
        <is>
          <t>IF(OR(V195="",U195="Not started",U195=""),"",IFERROR(V195-IF(VLOOKUP(U195,'04_Status_Pipeline'!$B$3:$E$20,4,FALSE)="",0,VLOOKUP(U195,'04_Status_Pipeline'!$B$3:$E$20,4,FALSE)),""))</t>
        </is>
      </c>
      <c r="Y195" s="43" t="n"/>
      <c r="Z195" s="43" t="n"/>
      <c r="AA195" s="43" t="n"/>
      <c r="AB195" s="43" t="n"/>
      <c r="AC195" s="43" t="n"/>
      <c r="AD195" s="43" t="n"/>
      <c r="AE195" s="43" t="n"/>
      <c r="AF195" s="43" t="n"/>
      <c r="AG195" s="43" t="n"/>
      <c r="AH195" s="38" t="n"/>
      <c r="AI195" s="38" t="n"/>
      <c r="AJ195" s="38" t="n"/>
      <c r="AK195" s="36" t="inlineStr">
        <is>
          <t>IF(OR(E195="",Z195=""),"",IF(COUNT(Y195:Y195)=0,"",Z195-LOOKUP(2,1/(Y195:Y195&lt;&gt;""),Y195:Y195)))</t>
        </is>
      </c>
      <c r="AL195" s="36" t="inlineStr">
        <is>
          <t>IF(OR(E195="",AA195=""),"",IF(COUNT(Y195:Z195)=0,"",AA195-LOOKUP(2,1/(Y195:Z195&lt;&gt;""),Y195:Z195)))</t>
        </is>
      </c>
      <c r="AM195" s="36" t="inlineStr">
        <is>
          <t>IF(OR(E195="",AB195=""),"",IF(COUNT(Y195:AA195)=0,"",AB195-LOOKUP(2,1/(Y195:AA195&lt;&gt;""),Y195:AA195)))</t>
        </is>
      </c>
      <c r="AN195" s="36" t="inlineStr">
        <is>
          <t>IF(OR(E195="",AC195=""),"",IF(COUNT(Y195:AB195)=0,"",AC195-LOOKUP(2,1/(Y195:AB195&lt;&gt;""),Y195:AB195)))</t>
        </is>
      </c>
      <c r="AO195" s="36" t="inlineStr">
        <is>
          <t>IF(OR(E195="",AD195=""),"",IF(COUNT(Y195:AC195)=0,"",AD195-LOOKUP(2,1/(Y195:AC195&lt;&gt;""),Y195:AC195)))</t>
        </is>
      </c>
      <c r="AP195" s="36" t="inlineStr">
        <is>
          <t>IF(OR(E195="",AE195=""),"",IF(COUNT(Y195:AD195)=0,"",AE195-LOOKUP(2,1/(Y195:AD195&lt;&gt;""),Y195:AD195)))</t>
        </is>
      </c>
      <c r="AQ195" s="36" t="inlineStr">
        <is>
          <t>IF(OR(E195="",AF195=""),"",IF(COUNT(Y195:AE195)=0,"",AF195-LOOKUP(2,1/(Y195:AE195&lt;&gt;""),Y195:AE195)))</t>
        </is>
      </c>
      <c r="AR195" s="36" t="inlineStr">
        <is>
          <t>IF(OR(E195="",AG195=""),"",IF(COUNT(Y195:AF195)=0,"",AG195-LOOKUP(2,1/(Y195:AF195&lt;&gt;""),Y195:AF195)))</t>
        </is>
      </c>
      <c r="AS195" s="36" t="inlineStr">
        <is>
          <t>IF(OR(E195="",AH195=""),"",IF(COUNT(Y195:AG195)=0,"",AH195-LOOKUP(2,1/(Y195:AG195&lt;&gt;""),Y195:AG195)))</t>
        </is>
      </c>
      <c r="AT195" s="36" t="inlineStr">
        <is>
          <t>IF(OR(E195="",AI195=""),"",IF(COUNT(Y195:AH195)=0,"",AI195-LOOKUP(2,1/(Y195:AH195&lt;&gt;""),Y195:AH195)))</t>
        </is>
      </c>
      <c r="AU195" s="36" t="inlineStr">
        <is>
          <t>IF(OR(E195="",AJ195=""),"",IF(COUNT(Y195:AI195)=0,"",AJ195-LOOKUP(2,1/(Y195:AI195&lt;&gt;""),Y195:AI195)))</t>
        </is>
      </c>
      <c r="AV195" s="39" t="inlineStr">
        <is>
          <t>IF(G195="","All_Provinces",IFERROR(VLOOKUP(G195,'07_Lookups'!$A$4:$B$20,2,FALSE),"All_Provinces"))</t>
        </is>
      </c>
      <c r="AW195" s="39" t="inlineStr">
        <is>
          <t>IF(H195="","All_Districts",IFERROR(VLOOKUP(H195,'07_Lookups'!$E$4:$F$42,2,FALSE),"All_Districts"))</t>
        </is>
      </c>
    </row>
    <row r="196" ht="18" customHeight="1">
      <c r="A196" s="31" t="inlineStr">
        <is>
          <t>IF(E196="","",ROW()-3)</t>
        </is>
      </c>
      <c r="B196" s="32" t="n"/>
      <c r="C196" s="32" t="n"/>
      <c r="D196" s="32" t="n"/>
      <c r="E196" s="32" t="n"/>
      <c r="F196" s="32" t="n"/>
      <c r="G196" s="32" t="n"/>
      <c r="H196" s="32" t="n"/>
      <c r="I196" s="32" t="n"/>
      <c r="J196" s="32" t="n"/>
      <c r="K196" s="32" t="n"/>
      <c r="L196" s="32" t="n"/>
      <c r="M196" s="32" t="n"/>
      <c r="N196" s="33" t="n"/>
      <c r="O196" s="34" t="inlineStr">
        <is>
          <t>IF(AE196="","",AE196)</t>
        </is>
      </c>
      <c r="P196" s="35" t="n"/>
      <c r="Q196" s="34" t="inlineStr">
        <is>
          <t>IF(OR(O196="",P196=""),"",EDATE(O196,P196))</t>
        </is>
      </c>
      <c r="R196" s="35" t="n"/>
      <c r="S196" s="32" t="n"/>
      <c r="T196" s="32" t="n"/>
      <c r="U196" s="31" t="inlineStr">
        <is>
          <t>IF(E196="","",IF(COUNT(Y196:AJ196)=0,IF(S196="","Not started",S196),SUBSTITUTE(LOOKUP(2,1/(Y196:AJ196&lt;&gt;""),$Y$3:$AJ$3),"Date: ","")))</t>
        </is>
      </c>
      <c r="V196" s="36" t="inlineStr">
        <is>
          <t>IF(OR(E196="",COUNT(Y196:AJ196)=0),"",TODAY()-LOOKUP(2,1/(Y196:AJ196&lt;&gt;""),Y196:AJ196))</t>
        </is>
      </c>
      <c r="W196" s="36" t="inlineStr">
        <is>
          <t>IF(OR(E196="",COUNT(Y196:AJ196)&lt;2),"",LOOKUP(2,1/(Y196:AJ196&lt;&gt;""),Y196:AJ196)-MIN(Y196:AJ196))</t>
        </is>
      </c>
      <c r="X196" s="36" t="inlineStr">
        <is>
          <t>IF(OR(V196="",U196="Not started",U196=""),"",IFERROR(V196-IF(VLOOKUP(U196,'04_Status_Pipeline'!$B$3:$E$20,4,FALSE)="",0,VLOOKUP(U196,'04_Status_Pipeline'!$B$3:$E$20,4,FALSE)),""))</t>
        </is>
      </c>
      <c r="Y196" s="37" t="n"/>
      <c r="Z196" s="37" t="n"/>
      <c r="AA196" s="37" t="n"/>
      <c r="AB196" s="37" t="n"/>
      <c r="AC196" s="37" t="n"/>
      <c r="AD196" s="37" t="n"/>
      <c r="AE196" s="37" t="n"/>
      <c r="AF196" s="37" t="n"/>
      <c r="AG196" s="37" t="n"/>
      <c r="AH196" s="38" t="n"/>
      <c r="AI196" s="38" t="n"/>
      <c r="AJ196" s="38" t="n"/>
      <c r="AK196" s="36" t="inlineStr">
        <is>
          <t>IF(OR(E196="",Z196=""),"",IF(COUNT(Y196:Y196)=0,"",Z196-LOOKUP(2,1/(Y196:Y196&lt;&gt;""),Y196:Y196)))</t>
        </is>
      </c>
      <c r="AL196" s="36" t="inlineStr">
        <is>
          <t>IF(OR(E196="",AA196=""),"",IF(COUNT(Y196:Z196)=0,"",AA196-LOOKUP(2,1/(Y196:Z196&lt;&gt;""),Y196:Z196)))</t>
        </is>
      </c>
      <c r="AM196" s="36" t="inlineStr">
        <is>
          <t>IF(OR(E196="",AB196=""),"",IF(COUNT(Y196:AA196)=0,"",AB196-LOOKUP(2,1/(Y196:AA196&lt;&gt;""),Y196:AA196)))</t>
        </is>
      </c>
      <c r="AN196" s="36" t="inlineStr">
        <is>
          <t>IF(OR(E196="",AC196=""),"",IF(COUNT(Y196:AB196)=0,"",AC196-LOOKUP(2,1/(Y196:AB196&lt;&gt;""),Y196:AB196)))</t>
        </is>
      </c>
      <c r="AO196" s="36" t="inlineStr">
        <is>
          <t>IF(OR(E196="",AD196=""),"",IF(COUNT(Y196:AC196)=0,"",AD196-LOOKUP(2,1/(Y196:AC196&lt;&gt;""),Y196:AC196)))</t>
        </is>
      </c>
      <c r="AP196" s="36" t="inlineStr">
        <is>
          <t>IF(OR(E196="",AE196=""),"",IF(COUNT(Y196:AD196)=0,"",AE196-LOOKUP(2,1/(Y196:AD196&lt;&gt;""),Y196:AD196)))</t>
        </is>
      </c>
      <c r="AQ196" s="36" t="inlineStr">
        <is>
          <t>IF(OR(E196="",AF196=""),"",IF(COUNT(Y196:AE196)=0,"",AF196-LOOKUP(2,1/(Y196:AE196&lt;&gt;""),Y196:AE196)))</t>
        </is>
      </c>
      <c r="AR196" s="36" t="inlineStr">
        <is>
          <t>IF(OR(E196="",AG196=""),"",IF(COUNT(Y196:AF196)=0,"",AG196-LOOKUP(2,1/(Y196:AF196&lt;&gt;""),Y196:AF196)))</t>
        </is>
      </c>
      <c r="AS196" s="36" t="inlineStr">
        <is>
          <t>IF(OR(E196="",AH196=""),"",IF(COUNT(Y196:AG196)=0,"",AH196-LOOKUP(2,1/(Y196:AG196&lt;&gt;""),Y196:AG196)))</t>
        </is>
      </c>
      <c r="AT196" s="36" t="inlineStr">
        <is>
          <t>IF(OR(E196="",AI196=""),"",IF(COUNT(Y196:AH196)=0,"",AI196-LOOKUP(2,1/(Y196:AH196&lt;&gt;""),Y196:AH196)))</t>
        </is>
      </c>
      <c r="AU196" s="36" t="inlineStr">
        <is>
          <t>IF(OR(E196="",AJ196=""),"",IF(COUNT(Y196:AI196)=0,"",AJ196-LOOKUP(2,1/(Y196:AI196&lt;&gt;""),Y196:AI196)))</t>
        </is>
      </c>
      <c r="AV196" s="39" t="inlineStr">
        <is>
          <t>IF(G196="","All_Provinces",IFERROR(VLOOKUP(G196,'07_Lookups'!$A$4:$B$20,2,FALSE),"All_Provinces"))</t>
        </is>
      </c>
      <c r="AW196" s="39" t="inlineStr">
        <is>
          <t>IF(H196="","All_Districts",IFERROR(VLOOKUP(H196,'07_Lookups'!$E$4:$F$42,2,FALSE),"All_Districts"))</t>
        </is>
      </c>
    </row>
    <row r="197" ht="18" customHeight="1">
      <c r="A197" s="31" t="inlineStr">
        <is>
          <t>IF(E197="","",ROW()-3)</t>
        </is>
      </c>
      <c r="B197" s="40" t="n"/>
      <c r="C197" s="40" t="n"/>
      <c r="D197" s="40" t="n"/>
      <c r="E197" s="40" t="n"/>
      <c r="F197" s="40" t="n"/>
      <c r="G197" s="40" t="n"/>
      <c r="H197" s="40" t="n"/>
      <c r="I197" s="40" t="n"/>
      <c r="J197" s="40" t="n"/>
      <c r="K197" s="40" t="n"/>
      <c r="L197" s="40" t="n"/>
      <c r="M197" s="40" t="n"/>
      <c r="N197" s="41" t="n"/>
      <c r="O197" s="34" t="inlineStr">
        <is>
          <t>IF(AE197="","",AE197)</t>
        </is>
      </c>
      <c r="P197" s="42" t="n"/>
      <c r="Q197" s="34" t="inlineStr">
        <is>
          <t>IF(OR(O197="",P197=""),"",EDATE(O197,P197))</t>
        </is>
      </c>
      <c r="R197" s="42" t="n"/>
      <c r="S197" s="40" t="n"/>
      <c r="T197" s="40" t="n"/>
      <c r="U197" s="31" t="inlineStr">
        <is>
          <t>IF(E197="","",IF(COUNT(Y197:AJ197)=0,IF(S197="","Not started",S197),SUBSTITUTE(LOOKUP(2,1/(Y197:AJ197&lt;&gt;""),$Y$3:$AJ$3),"Date: ","")))</t>
        </is>
      </c>
      <c r="V197" s="36" t="inlineStr">
        <is>
          <t>IF(OR(E197="",COUNT(Y197:AJ197)=0),"",TODAY()-LOOKUP(2,1/(Y197:AJ197&lt;&gt;""),Y197:AJ197))</t>
        </is>
      </c>
      <c r="W197" s="36" t="inlineStr">
        <is>
          <t>IF(OR(E197="",COUNT(Y197:AJ197)&lt;2),"",LOOKUP(2,1/(Y197:AJ197&lt;&gt;""),Y197:AJ197)-MIN(Y197:AJ197))</t>
        </is>
      </c>
      <c r="X197" s="36" t="inlineStr">
        <is>
          <t>IF(OR(V197="",U197="Not started",U197=""),"",IFERROR(V197-IF(VLOOKUP(U197,'04_Status_Pipeline'!$B$3:$E$20,4,FALSE)="",0,VLOOKUP(U197,'04_Status_Pipeline'!$B$3:$E$20,4,FALSE)),""))</t>
        </is>
      </c>
      <c r="Y197" s="43" t="n"/>
      <c r="Z197" s="43" t="n"/>
      <c r="AA197" s="43" t="n"/>
      <c r="AB197" s="43" t="n"/>
      <c r="AC197" s="43" t="n"/>
      <c r="AD197" s="43" t="n"/>
      <c r="AE197" s="43" t="n"/>
      <c r="AF197" s="43" t="n"/>
      <c r="AG197" s="43" t="n"/>
      <c r="AH197" s="38" t="n"/>
      <c r="AI197" s="38" t="n"/>
      <c r="AJ197" s="38" t="n"/>
      <c r="AK197" s="36" t="inlineStr">
        <is>
          <t>IF(OR(E197="",Z197=""),"",IF(COUNT(Y197:Y197)=0,"",Z197-LOOKUP(2,1/(Y197:Y197&lt;&gt;""),Y197:Y197)))</t>
        </is>
      </c>
      <c r="AL197" s="36" t="inlineStr">
        <is>
          <t>IF(OR(E197="",AA197=""),"",IF(COUNT(Y197:Z197)=0,"",AA197-LOOKUP(2,1/(Y197:Z197&lt;&gt;""),Y197:Z197)))</t>
        </is>
      </c>
      <c r="AM197" s="36" t="inlineStr">
        <is>
          <t>IF(OR(E197="",AB197=""),"",IF(COUNT(Y197:AA197)=0,"",AB197-LOOKUP(2,1/(Y197:AA197&lt;&gt;""),Y197:AA197)))</t>
        </is>
      </c>
      <c r="AN197" s="36" t="inlineStr">
        <is>
          <t>IF(OR(E197="",AC197=""),"",IF(COUNT(Y197:AB197)=0,"",AC197-LOOKUP(2,1/(Y197:AB197&lt;&gt;""),Y197:AB197)))</t>
        </is>
      </c>
      <c r="AO197" s="36" t="inlineStr">
        <is>
          <t>IF(OR(E197="",AD197=""),"",IF(COUNT(Y197:AC197)=0,"",AD197-LOOKUP(2,1/(Y197:AC197&lt;&gt;""),Y197:AC197)))</t>
        </is>
      </c>
      <c r="AP197" s="36" t="inlineStr">
        <is>
          <t>IF(OR(E197="",AE197=""),"",IF(COUNT(Y197:AD197)=0,"",AE197-LOOKUP(2,1/(Y197:AD197&lt;&gt;""),Y197:AD197)))</t>
        </is>
      </c>
      <c r="AQ197" s="36" t="inlineStr">
        <is>
          <t>IF(OR(E197="",AF197=""),"",IF(COUNT(Y197:AE197)=0,"",AF197-LOOKUP(2,1/(Y197:AE197&lt;&gt;""),Y197:AE197)))</t>
        </is>
      </c>
      <c r="AR197" s="36" t="inlineStr">
        <is>
          <t>IF(OR(E197="",AG197=""),"",IF(COUNT(Y197:AF197)=0,"",AG197-LOOKUP(2,1/(Y197:AF197&lt;&gt;""),Y197:AF197)))</t>
        </is>
      </c>
      <c r="AS197" s="36" t="inlineStr">
        <is>
          <t>IF(OR(E197="",AH197=""),"",IF(COUNT(Y197:AG197)=0,"",AH197-LOOKUP(2,1/(Y197:AG197&lt;&gt;""),Y197:AG197)))</t>
        </is>
      </c>
      <c r="AT197" s="36" t="inlineStr">
        <is>
          <t>IF(OR(E197="",AI197=""),"",IF(COUNT(Y197:AH197)=0,"",AI197-LOOKUP(2,1/(Y197:AH197&lt;&gt;""),Y197:AH197)))</t>
        </is>
      </c>
      <c r="AU197" s="36" t="inlineStr">
        <is>
          <t>IF(OR(E197="",AJ197=""),"",IF(COUNT(Y197:AI197)=0,"",AJ197-LOOKUP(2,1/(Y197:AI197&lt;&gt;""),Y197:AI197)))</t>
        </is>
      </c>
      <c r="AV197" s="39" t="inlineStr">
        <is>
          <t>IF(G197="","All_Provinces",IFERROR(VLOOKUP(G197,'07_Lookups'!$A$4:$B$20,2,FALSE),"All_Provinces"))</t>
        </is>
      </c>
      <c r="AW197" s="39" t="inlineStr">
        <is>
          <t>IF(H197="","All_Districts",IFERROR(VLOOKUP(H197,'07_Lookups'!$E$4:$F$42,2,FALSE),"All_Districts"))</t>
        </is>
      </c>
    </row>
    <row r="198" ht="18" customHeight="1">
      <c r="A198" s="31" t="inlineStr">
        <is>
          <t>IF(E198="","",ROW()-3)</t>
        </is>
      </c>
      <c r="B198" s="32" t="n"/>
      <c r="C198" s="32" t="n"/>
      <c r="D198" s="32" t="n"/>
      <c r="E198" s="32" t="n"/>
      <c r="F198" s="32" t="n"/>
      <c r="G198" s="32" t="n"/>
      <c r="H198" s="32" t="n"/>
      <c r="I198" s="32" t="n"/>
      <c r="J198" s="32" t="n"/>
      <c r="K198" s="32" t="n"/>
      <c r="L198" s="32" t="n"/>
      <c r="M198" s="32" t="n"/>
      <c r="N198" s="33" t="n"/>
      <c r="O198" s="34" t="inlineStr">
        <is>
          <t>IF(AE198="","",AE198)</t>
        </is>
      </c>
      <c r="P198" s="35" t="n"/>
      <c r="Q198" s="34" t="inlineStr">
        <is>
          <t>IF(OR(O198="",P198=""),"",EDATE(O198,P198))</t>
        </is>
      </c>
      <c r="R198" s="35" t="n"/>
      <c r="S198" s="32" t="n"/>
      <c r="T198" s="32" t="n"/>
      <c r="U198" s="31" t="inlineStr">
        <is>
          <t>IF(E198="","",IF(COUNT(Y198:AJ198)=0,IF(S198="","Not started",S198),SUBSTITUTE(LOOKUP(2,1/(Y198:AJ198&lt;&gt;""),$Y$3:$AJ$3),"Date: ","")))</t>
        </is>
      </c>
      <c r="V198" s="36" t="inlineStr">
        <is>
          <t>IF(OR(E198="",COUNT(Y198:AJ198)=0),"",TODAY()-LOOKUP(2,1/(Y198:AJ198&lt;&gt;""),Y198:AJ198))</t>
        </is>
      </c>
      <c r="W198" s="36" t="inlineStr">
        <is>
          <t>IF(OR(E198="",COUNT(Y198:AJ198)&lt;2),"",LOOKUP(2,1/(Y198:AJ198&lt;&gt;""),Y198:AJ198)-MIN(Y198:AJ198))</t>
        </is>
      </c>
      <c r="X198" s="36" t="inlineStr">
        <is>
          <t>IF(OR(V198="",U198="Not started",U198=""),"",IFERROR(V198-IF(VLOOKUP(U198,'04_Status_Pipeline'!$B$3:$E$20,4,FALSE)="",0,VLOOKUP(U198,'04_Status_Pipeline'!$B$3:$E$20,4,FALSE)),""))</t>
        </is>
      </c>
      <c r="Y198" s="37" t="n"/>
      <c r="Z198" s="37" t="n"/>
      <c r="AA198" s="37" t="n"/>
      <c r="AB198" s="37" t="n"/>
      <c r="AC198" s="37" t="n"/>
      <c r="AD198" s="37" t="n"/>
      <c r="AE198" s="37" t="n"/>
      <c r="AF198" s="37" t="n"/>
      <c r="AG198" s="37" t="n"/>
      <c r="AH198" s="38" t="n"/>
      <c r="AI198" s="38" t="n"/>
      <c r="AJ198" s="38" t="n"/>
      <c r="AK198" s="36" t="inlineStr">
        <is>
          <t>IF(OR(E198="",Z198=""),"",IF(COUNT(Y198:Y198)=0,"",Z198-LOOKUP(2,1/(Y198:Y198&lt;&gt;""),Y198:Y198)))</t>
        </is>
      </c>
      <c r="AL198" s="36" t="inlineStr">
        <is>
          <t>IF(OR(E198="",AA198=""),"",IF(COUNT(Y198:Z198)=0,"",AA198-LOOKUP(2,1/(Y198:Z198&lt;&gt;""),Y198:Z198)))</t>
        </is>
      </c>
      <c r="AM198" s="36" t="inlineStr">
        <is>
          <t>IF(OR(E198="",AB198=""),"",IF(COUNT(Y198:AA198)=0,"",AB198-LOOKUP(2,1/(Y198:AA198&lt;&gt;""),Y198:AA198)))</t>
        </is>
      </c>
      <c r="AN198" s="36" t="inlineStr">
        <is>
          <t>IF(OR(E198="",AC198=""),"",IF(COUNT(Y198:AB198)=0,"",AC198-LOOKUP(2,1/(Y198:AB198&lt;&gt;""),Y198:AB198)))</t>
        </is>
      </c>
      <c r="AO198" s="36" t="inlineStr">
        <is>
          <t>IF(OR(E198="",AD198=""),"",IF(COUNT(Y198:AC198)=0,"",AD198-LOOKUP(2,1/(Y198:AC198&lt;&gt;""),Y198:AC198)))</t>
        </is>
      </c>
      <c r="AP198" s="36" t="inlineStr">
        <is>
          <t>IF(OR(E198="",AE198=""),"",IF(COUNT(Y198:AD198)=0,"",AE198-LOOKUP(2,1/(Y198:AD198&lt;&gt;""),Y198:AD198)))</t>
        </is>
      </c>
      <c r="AQ198" s="36" t="inlineStr">
        <is>
          <t>IF(OR(E198="",AF198=""),"",IF(COUNT(Y198:AE198)=0,"",AF198-LOOKUP(2,1/(Y198:AE198&lt;&gt;""),Y198:AE198)))</t>
        </is>
      </c>
      <c r="AR198" s="36" t="inlineStr">
        <is>
          <t>IF(OR(E198="",AG198=""),"",IF(COUNT(Y198:AF198)=0,"",AG198-LOOKUP(2,1/(Y198:AF198&lt;&gt;""),Y198:AF198)))</t>
        </is>
      </c>
      <c r="AS198" s="36" t="inlineStr">
        <is>
          <t>IF(OR(E198="",AH198=""),"",IF(COUNT(Y198:AG198)=0,"",AH198-LOOKUP(2,1/(Y198:AG198&lt;&gt;""),Y198:AG198)))</t>
        </is>
      </c>
      <c r="AT198" s="36" t="inlineStr">
        <is>
          <t>IF(OR(E198="",AI198=""),"",IF(COUNT(Y198:AH198)=0,"",AI198-LOOKUP(2,1/(Y198:AH198&lt;&gt;""),Y198:AH198)))</t>
        </is>
      </c>
      <c r="AU198" s="36" t="inlineStr">
        <is>
          <t>IF(OR(E198="",AJ198=""),"",IF(COUNT(Y198:AI198)=0,"",AJ198-LOOKUP(2,1/(Y198:AI198&lt;&gt;""),Y198:AI198)))</t>
        </is>
      </c>
      <c r="AV198" s="39" t="inlineStr">
        <is>
          <t>IF(G198="","All_Provinces",IFERROR(VLOOKUP(G198,'07_Lookups'!$A$4:$B$20,2,FALSE),"All_Provinces"))</t>
        </is>
      </c>
      <c r="AW198" s="39" t="inlineStr">
        <is>
          <t>IF(H198="","All_Districts",IFERROR(VLOOKUP(H198,'07_Lookups'!$E$4:$F$42,2,FALSE),"All_Districts"))</t>
        </is>
      </c>
    </row>
    <row r="199" ht="18" customHeight="1">
      <c r="A199" s="31" t="inlineStr">
        <is>
          <t>IF(E199="","",ROW()-3)</t>
        </is>
      </c>
      <c r="B199" s="40" t="n"/>
      <c r="C199" s="40" t="n"/>
      <c r="D199" s="40" t="n"/>
      <c r="E199" s="40" t="n"/>
      <c r="F199" s="40" t="n"/>
      <c r="G199" s="40" t="n"/>
      <c r="H199" s="40" t="n"/>
      <c r="I199" s="40" t="n"/>
      <c r="J199" s="40" t="n"/>
      <c r="K199" s="40" t="n"/>
      <c r="L199" s="40" t="n"/>
      <c r="M199" s="40" t="n"/>
      <c r="N199" s="41" t="n"/>
      <c r="O199" s="34" t="inlineStr">
        <is>
          <t>IF(AE199="","",AE199)</t>
        </is>
      </c>
      <c r="P199" s="42" t="n"/>
      <c r="Q199" s="34" t="inlineStr">
        <is>
          <t>IF(OR(O199="",P199=""),"",EDATE(O199,P199))</t>
        </is>
      </c>
      <c r="R199" s="42" t="n"/>
      <c r="S199" s="40" t="n"/>
      <c r="T199" s="40" t="n"/>
      <c r="U199" s="31" t="inlineStr">
        <is>
          <t>IF(E199="","",IF(COUNT(Y199:AJ199)=0,IF(S199="","Not started",S199),SUBSTITUTE(LOOKUP(2,1/(Y199:AJ199&lt;&gt;""),$Y$3:$AJ$3),"Date: ","")))</t>
        </is>
      </c>
      <c r="V199" s="36" t="inlineStr">
        <is>
          <t>IF(OR(E199="",COUNT(Y199:AJ199)=0),"",TODAY()-LOOKUP(2,1/(Y199:AJ199&lt;&gt;""),Y199:AJ199))</t>
        </is>
      </c>
      <c r="W199" s="36" t="inlineStr">
        <is>
          <t>IF(OR(E199="",COUNT(Y199:AJ199)&lt;2),"",LOOKUP(2,1/(Y199:AJ199&lt;&gt;""),Y199:AJ199)-MIN(Y199:AJ199))</t>
        </is>
      </c>
      <c r="X199" s="36" t="inlineStr">
        <is>
          <t>IF(OR(V199="",U199="Not started",U199=""),"",IFERROR(V199-IF(VLOOKUP(U199,'04_Status_Pipeline'!$B$3:$E$20,4,FALSE)="",0,VLOOKUP(U199,'04_Status_Pipeline'!$B$3:$E$20,4,FALSE)),""))</t>
        </is>
      </c>
      <c r="Y199" s="43" t="n"/>
      <c r="Z199" s="43" t="n"/>
      <c r="AA199" s="43" t="n"/>
      <c r="AB199" s="43" t="n"/>
      <c r="AC199" s="43" t="n"/>
      <c r="AD199" s="43" t="n"/>
      <c r="AE199" s="43" t="n"/>
      <c r="AF199" s="43" t="n"/>
      <c r="AG199" s="43" t="n"/>
      <c r="AH199" s="38" t="n"/>
      <c r="AI199" s="38" t="n"/>
      <c r="AJ199" s="38" t="n"/>
      <c r="AK199" s="36" t="inlineStr">
        <is>
          <t>IF(OR(E199="",Z199=""),"",IF(COUNT(Y199:Y199)=0,"",Z199-LOOKUP(2,1/(Y199:Y199&lt;&gt;""),Y199:Y199)))</t>
        </is>
      </c>
      <c r="AL199" s="36" t="inlineStr">
        <is>
          <t>IF(OR(E199="",AA199=""),"",IF(COUNT(Y199:Z199)=0,"",AA199-LOOKUP(2,1/(Y199:Z199&lt;&gt;""),Y199:Z199)))</t>
        </is>
      </c>
      <c r="AM199" s="36" t="inlineStr">
        <is>
          <t>IF(OR(E199="",AB199=""),"",IF(COUNT(Y199:AA199)=0,"",AB199-LOOKUP(2,1/(Y199:AA199&lt;&gt;""),Y199:AA199)))</t>
        </is>
      </c>
      <c r="AN199" s="36" t="inlineStr">
        <is>
          <t>IF(OR(E199="",AC199=""),"",IF(COUNT(Y199:AB199)=0,"",AC199-LOOKUP(2,1/(Y199:AB199&lt;&gt;""),Y199:AB199)))</t>
        </is>
      </c>
      <c r="AO199" s="36" t="inlineStr">
        <is>
          <t>IF(OR(E199="",AD199=""),"",IF(COUNT(Y199:AC199)=0,"",AD199-LOOKUP(2,1/(Y199:AC199&lt;&gt;""),Y199:AC199)))</t>
        </is>
      </c>
      <c r="AP199" s="36" t="inlineStr">
        <is>
          <t>IF(OR(E199="",AE199=""),"",IF(COUNT(Y199:AD199)=0,"",AE199-LOOKUP(2,1/(Y199:AD199&lt;&gt;""),Y199:AD199)))</t>
        </is>
      </c>
      <c r="AQ199" s="36" t="inlineStr">
        <is>
          <t>IF(OR(E199="",AF199=""),"",IF(COUNT(Y199:AE199)=0,"",AF199-LOOKUP(2,1/(Y199:AE199&lt;&gt;""),Y199:AE199)))</t>
        </is>
      </c>
      <c r="AR199" s="36" t="inlineStr">
        <is>
          <t>IF(OR(E199="",AG199=""),"",IF(COUNT(Y199:AF199)=0,"",AG199-LOOKUP(2,1/(Y199:AF199&lt;&gt;""),Y199:AF199)))</t>
        </is>
      </c>
      <c r="AS199" s="36" t="inlineStr">
        <is>
          <t>IF(OR(E199="",AH199=""),"",IF(COUNT(Y199:AG199)=0,"",AH199-LOOKUP(2,1/(Y199:AG199&lt;&gt;""),Y199:AG199)))</t>
        </is>
      </c>
      <c r="AT199" s="36" t="inlineStr">
        <is>
          <t>IF(OR(E199="",AI199=""),"",IF(COUNT(Y199:AH199)=0,"",AI199-LOOKUP(2,1/(Y199:AH199&lt;&gt;""),Y199:AH199)))</t>
        </is>
      </c>
      <c r="AU199" s="36" t="inlineStr">
        <is>
          <t>IF(OR(E199="",AJ199=""),"",IF(COUNT(Y199:AI199)=0,"",AJ199-LOOKUP(2,1/(Y199:AI199&lt;&gt;""),Y199:AI199)))</t>
        </is>
      </c>
      <c r="AV199" s="39" t="inlineStr">
        <is>
          <t>IF(G199="","All_Provinces",IFERROR(VLOOKUP(G199,'07_Lookups'!$A$4:$B$20,2,FALSE),"All_Provinces"))</t>
        </is>
      </c>
      <c r="AW199" s="39" t="inlineStr">
        <is>
          <t>IF(H199="","All_Districts",IFERROR(VLOOKUP(H199,'07_Lookups'!$E$4:$F$42,2,FALSE),"All_Districts"))</t>
        </is>
      </c>
    </row>
    <row r="200" ht="18" customHeight="1">
      <c r="A200" s="31" t="inlineStr">
        <is>
          <t>IF(E200="","",ROW()-3)</t>
        </is>
      </c>
      <c r="B200" s="32" t="n"/>
      <c r="C200" s="32" t="n"/>
      <c r="D200" s="32" t="n"/>
      <c r="E200" s="32" t="n"/>
      <c r="F200" s="32" t="n"/>
      <c r="G200" s="32" t="n"/>
      <c r="H200" s="32" t="n"/>
      <c r="I200" s="32" t="n"/>
      <c r="J200" s="32" t="n"/>
      <c r="K200" s="32" t="n"/>
      <c r="L200" s="32" t="n"/>
      <c r="M200" s="32" t="n"/>
      <c r="N200" s="33" t="n"/>
      <c r="O200" s="34" t="inlineStr">
        <is>
          <t>IF(AE200="","",AE200)</t>
        </is>
      </c>
      <c r="P200" s="35" t="n"/>
      <c r="Q200" s="34" t="inlineStr">
        <is>
          <t>IF(OR(O200="",P200=""),"",EDATE(O200,P200))</t>
        </is>
      </c>
      <c r="R200" s="35" t="n"/>
      <c r="S200" s="32" t="n"/>
      <c r="T200" s="32" t="n"/>
      <c r="U200" s="31" t="inlineStr">
        <is>
          <t>IF(E200="","",IF(COUNT(Y200:AJ200)=0,IF(S200="","Not started",S200),SUBSTITUTE(LOOKUP(2,1/(Y200:AJ200&lt;&gt;""),$Y$3:$AJ$3),"Date: ","")))</t>
        </is>
      </c>
      <c r="V200" s="36" t="inlineStr">
        <is>
          <t>IF(OR(E200="",COUNT(Y200:AJ200)=0),"",TODAY()-LOOKUP(2,1/(Y200:AJ200&lt;&gt;""),Y200:AJ200))</t>
        </is>
      </c>
      <c r="W200" s="36" t="inlineStr">
        <is>
          <t>IF(OR(E200="",COUNT(Y200:AJ200)&lt;2),"",LOOKUP(2,1/(Y200:AJ200&lt;&gt;""),Y200:AJ200)-MIN(Y200:AJ200))</t>
        </is>
      </c>
      <c r="X200" s="36" t="inlineStr">
        <is>
          <t>IF(OR(V200="",U200="Not started",U200=""),"",IFERROR(V200-IF(VLOOKUP(U200,'04_Status_Pipeline'!$B$3:$E$20,4,FALSE)="",0,VLOOKUP(U200,'04_Status_Pipeline'!$B$3:$E$20,4,FALSE)),""))</t>
        </is>
      </c>
      <c r="Y200" s="37" t="n"/>
      <c r="Z200" s="37" t="n"/>
      <c r="AA200" s="37" t="n"/>
      <c r="AB200" s="37" t="n"/>
      <c r="AC200" s="37" t="n"/>
      <c r="AD200" s="37" t="n"/>
      <c r="AE200" s="37" t="n"/>
      <c r="AF200" s="37" t="n"/>
      <c r="AG200" s="37" t="n"/>
      <c r="AH200" s="38" t="n"/>
      <c r="AI200" s="38" t="n"/>
      <c r="AJ200" s="38" t="n"/>
      <c r="AK200" s="36" t="inlineStr">
        <is>
          <t>IF(OR(E200="",Z200=""),"",IF(COUNT(Y200:Y200)=0,"",Z200-LOOKUP(2,1/(Y200:Y200&lt;&gt;""),Y200:Y200)))</t>
        </is>
      </c>
      <c r="AL200" s="36" t="inlineStr">
        <is>
          <t>IF(OR(E200="",AA200=""),"",IF(COUNT(Y200:Z200)=0,"",AA200-LOOKUP(2,1/(Y200:Z200&lt;&gt;""),Y200:Z200)))</t>
        </is>
      </c>
      <c r="AM200" s="36" t="inlineStr">
        <is>
          <t>IF(OR(E200="",AB200=""),"",IF(COUNT(Y200:AA200)=0,"",AB200-LOOKUP(2,1/(Y200:AA200&lt;&gt;""),Y200:AA200)))</t>
        </is>
      </c>
      <c r="AN200" s="36" t="inlineStr">
        <is>
          <t>IF(OR(E200="",AC200=""),"",IF(COUNT(Y200:AB200)=0,"",AC200-LOOKUP(2,1/(Y200:AB200&lt;&gt;""),Y200:AB200)))</t>
        </is>
      </c>
      <c r="AO200" s="36" t="inlineStr">
        <is>
          <t>IF(OR(E200="",AD200=""),"",IF(COUNT(Y200:AC200)=0,"",AD200-LOOKUP(2,1/(Y200:AC200&lt;&gt;""),Y200:AC200)))</t>
        </is>
      </c>
      <c r="AP200" s="36" t="inlineStr">
        <is>
          <t>IF(OR(E200="",AE200=""),"",IF(COUNT(Y200:AD200)=0,"",AE200-LOOKUP(2,1/(Y200:AD200&lt;&gt;""),Y200:AD200)))</t>
        </is>
      </c>
      <c r="AQ200" s="36" t="inlineStr">
        <is>
          <t>IF(OR(E200="",AF200=""),"",IF(COUNT(Y200:AE200)=0,"",AF200-LOOKUP(2,1/(Y200:AE200&lt;&gt;""),Y200:AE200)))</t>
        </is>
      </c>
      <c r="AR200" s="36" t="inlineStr">
        <is>
          <t>IF(OR(E200="",AG200=""),"",IF(COUNT(Y200:AF200)=0,"",AG200-LOOKUP(2,1/(Y200:AF200&lt;&gt;""),Y200:AF200)))</t>
        </is>
      </c>
      <c r="AS200" s="36" t="inlineStr">
        <is>
          <t>IF(OR(E200="",AH200=""),"",IF(COUNT(Y200:AG200)=0,"",AH200-LOOKUP(2,1/(Y200:AG200&lt;&gt;""),Y200:AG200)))</t>
        </is>
      </c>
      <c r="AT200" s="36" t="inlineStr">
        <is>
          <t>IF(OR(E200="",AI200=""),"",IF(COUNT(Y200:AH200)=0,"",AI200-LOOKUP(2,1/(Y200:AH200&lt;&gt;""),Y200:AH200)))</t>
        </is>
      </c>
      <c r="AU200" s="36" t="inlineStr">
        <is>
          <t>IF(OR(E200="",AJ200=""),"",IF(COUNT(Y200:AI200)=0,"",AJ200-LOOKUP(2,1/(Y200:AI200&lt;&gt;""),Y200:AI200)))</t>
        </is>
      </c>
      <c r="AV200" s="39" t="inlineStr">
        <is>
          <t>IF(G200="","All_Provinces",IFERROR(VLOOKUP(G200,'07_Lookups'!$A$4:$B$20,2,FALSE),"All_Provinces"))</t>
        </is>
      </c>
      <c r="AW200" s="39" t="inlineStr">
        <is>
          <t>IF(H200="","All_Districts",IFERROR(VLOOKUP(H200,'07_Lookups'!$E$4:$F$42,2,FALSE),"All_Districts"))</t>
        </is>
      </c>
    </row>
    <row r="201" ht="18" customHeight="1">
      <c r="A201" s="31" t="inlineStr">
        <is>
          <t>IF(E201="","",ROW()-3)</t>
        </is>
      </c>
      <c r="B201" s="40" t="n"/>
      <c r="C201" s="40" t="n"/>
      <c r="D201" s="40" t="n"/>
      <c r="E201" s="40" t="n"/>
      <c r="F201" s="40" t="n"/>
      <c r="G201" s="40" t="n"/>
      <c r="H201" s="40" t="n"/>
      <c r="I201" s="40" t="n"/>
      <c r="J201" s="40" t="n"/>
      <c r="K201" s="40" t="n"/>
      <c r="L201" s="40" t="n"/>
      <c r="M201" s="40" t="n"/>
      <c r="N201" s="41" t="n"/>
      <c r="O201" s="34" t="inlineStr">
        <is>
          <t>IF(AE201="","",AE201)</t>
        </is>
      </c>
      <c r="P201" s="42" t="n"/>
      <c r="Q201" s="34" t="inlineStr">
        <is>
          <t>IF(OR(O201="",P201=""),"",EDATE(O201,P201))</t>
        </is>
      </c>
      <c r="R201" s="42" t="n"/>
      <c r="S201" s="40" t="n"/>
      <c r="T201" s="40" t="n"/>
      <c r="U201" s="31" t="inlineStr">
        <is>
          <t>IF(E201="","",IF(COUNT(Y201:AJ201)=0,IF(S201="","Not started",S201),SUBSTITUTE(LOOKUP(2,1/(Y201:AJ201&lt;&gt;""),$Y$3:$AJ$3),"Date: ","")))</t>
        </is>
      </c>
      <c r="V201" s="36" t="inlineStr">
        <is>
          <t>IF(OR(E201="",COUNT(Y201:AJ201)=0),"",TODAY()-LOOKUP(2,1/(Y201:AJ201&lt;&gt;""),Y201:AJ201))</t>
        </is>
      </c>
      <c r="W201" s="36" t="inlineStr">
        <is>
          <t>IF(OR(E201="",COUNT(Y201:AJ201)&lt;2),"",LOOKUP(2,1/(Y201:AJ201&lt;&gt;""),Y201:AJ201)-MIN(Y201:AJ201))</t>
        </is>
      </c>
      <c r="X201" s="36" t="inlineStr">
        <is>
          <t>IF(OR(V201="",U201="Not started",U201=""),"",IFERROR(V201-IF(VLOOKUP(U201,'04_Status_Pipeline'!$B$3:$E$20,4,FALSE)="",0,VLOOKUP(U201,'04_Status_Pipeline'!$B$3:$E$20,4,FALSE)),""))</t>
        </is>
      </c>
      <c r="Y201" s="43" t="n"/>
      <c r="Z201" s="43" t="n"/>
      <c r="AA201" s="43" t="n"/>
      <c r="AB201" s="43" t="n"/>
      <c r="AC201" s="43" t="n"/>
      <c r="AD201" s="43" t="n"/>
      <c r="AE201" s="43" t="n"/>
      <c r="AF201" s="43" t="n"/>
      <c r="AG201" s="43" t="n"/>
      <c r="AH201" s="38" t="n"/>
      <c r="AI201" s="38" t="n"/>
      <c r="AJ201" s="38" t="n"/>
      <c r="AK201" s="36" t="inlineStr">
        <is>
          <t>IF(OR(E201="",Z201=""),"",IF(COUNT(Y201:Y201)=0,"",Z201-LOOKUP(2,1/(Y201:Y201&lt;&gt;""),Y201:Y201)))</t>
        </is>
      </c>
      <c r="AL201" s="36" t="inlineStr">
        <is>
          <t>IF(OR(E201="",AA201=""),"",IF(COUNT(Y201:Z201)=0,"",AA201-LOOKUP(2,1/(Y201:Z201&lt;&gt;""),Y201:Z201)))</t>
        </is>
      </c>
      <c r="AM201" s="36" t="inlineStr">
        <is>
          <t>IF(OR(E201="",AB201=""),"",IF(COUNT(Y201:AA201)=0,"",AB201-LOOKUP(2,1/(Y201:AA201&lt;&gt;""),Y201:AA201)))</t>
        </is>
      </c>
      <c r="AN201" s="36" t="inlineStr">
        <is>
          <t>IF(OR(E201="",AC201=""),"",IF(COUNT(Y201:AB201)=0,"",AC201-LOOKUP(2,1/(Y201:AB201&lt;&gt;""),Y201:AB201)))</t>
        </is>
      </c>
      <c r="AO201" s="36" t="inlineStr">
        <is>
          <t>IF(OR(E201="",AD201=""),"",IF(COUNT(Y201:AC201)=0,"",AD201-LOOKUP(2,1/(Y201:AC201&lt;&gt;""),Y201:AC201)))</t>
        </is>
      </c>
      <c r="AP201" s="36" t="inlineStr">
        <is>
          <t>IF(OR(E201="",AE201=""),"",IF(COUNT(Y201:AD201)=0,"",AE201-LOOKUP(2,1/(Y201:AD201&lt;&gt;""),Y201:AD201)))</t>
        </is>
      </c>
      <c r="AQ201" s="36" t="inlineStr">
        <is>
          <t>IF(OR(E201="",AF201=""),"",IF(COUNT(Y201:AE201)=0,"",AF201-LOOKUP(2,1/(Y201:AE201&lt;&gt;""),Y201:AE201)))</t>
        </is>
      </c>
      <c r="AR201" s="36" t="inlineStr">
        <is>
          <t>IF(OR(E201="",AG201=""),"",IF(COUNT(Y201:AF201)=0,"",AG201-LOOKUP(2,1/(Y201:AF201&lt;&gt;""),Y201:AF201)))</t>
        </is>
      </c>
      <c r="AS201" s="36" t="inlineStr">
        <is>
          <t>IF(OR(E201="",AH201=""),"",IF(COUNT(Y201:AG201)=0,"",AH201-LOOKUP(2,1/(Y201:AG201&lt;&gt;""),Y201:AG201)))</t>
        </is>
      </c>
      <c r="AT201" s="36" t="inlineStr">
        <is>
          <t>IF(OR(E201="",AI201=""),"",IF(COUNT(Y201:AH201)=0,"",AI201-LOOKUP(2,1/(Y201:AH201&lt;&gt;""),Y201:AH201)))</t>
        </is>
      </c>
      <c r="AU201" s="36" t="inlineStr">
        <is>
          <t>IF(OR(E201="",AJ201=""),"",IF(COUNT(Y201:AI201)=0,"",AJ201-LOOKUP(2,1/(Y201:AI201&lt;&gt;""),Y201:AI201)))</t>
        </is>
      </c>
      <c r="AV201" s="39" t="inlineStr">
        <is>
          <t>IF(G201="","All_Provinces",IFERROR(VLOOKUP(G201,'07_Lookups'!$A$4:$B$20,2,FALSE),"All_Provinces"))</t>
        </is>
      </c>
      <c r="AW201" s="39" t="inlineStr">
        <is>
          <t>IF(H201="","All_Districts",IFERROR(VLOOKUP(H201,'07_Lookups'!$E$4:$F$42,2,FALSE),"All_Districts"))</t>
        </is>
      </c>
    </row>
    <row r="202" ht="18" customHeight="1">
      <c r="A202" s="31" t="inlineStr">
        <is>
          <t>IF(E202="","",ROW()-3)</t>
        </is>
      </c>
      <c r="B202" s="32" t="n"/>
      <c r="C202" s="32" t="n"/>
      <c r="D202" s="32" t="n"/>
      <c r="E202" s="32" t="n"/>
      <c r="F202" s="32" t="n"/>
      <c r="G202" s="32" t="n"/>
      <c r="H202" s="32" t="n"/>
      <c r="I202" s="32" t="n"/>
      <c r="J202" s="32" t="n"/>
      <c r="K202" s="32" t="n"/>
      <c r="L202" s="32" t="n"/>
      <c r="M202" s="32" t="n"/>
      <c r="N202" s="33" t="n"/>
      <c r="O202" s="34" t="inlineStr">
        <is>
          <t>IF(AE202="","",AE202)</t>
        </is>
      </c>
      <c r="P202" s="35" t="n"/>
      <c r="Q202" s="34" t="inlineStr">
        <is>
          <t>IF(OR(O202="",P202=""),"",EDATE(O202,P202))</t>
        </is>
      </c>
      <c r="R202" s="35" t="n"/>
      <c r="S202" s="32" t="n"/>
      <c r="T202" s="32" t="n"/>
      <c r="U202" s="31" t="inlineStr">
        <is>
          <t>IF(E202="","",IF(COUNT(Y202:AJ202)=0,IF(S202="","Not started",S202),SUBSTITUTE(LOOKUP(2,1/(Y202:AJ202&lt;&gt;""),$Y$3:$AJ$3),"Date: ","")))</t>
        </is>
      </c>
      <c r="V202" s="36" t="inlineStr">
        <is>
          <t>IF(OR(E202="",COUNT(Y202:AJ202)=0),"",TODAY()-LOOKUP(2,1/(Y202:AJ202&lt;&gt;""),Y202:AJ202))</t>
        </is>
      </c>
      <c r="W202" s="36" t="inlineStr">
        <is>
          <t>IF(OR(E202="",COUNT(Y202:AJ202)&lt;2),"",LOOKUP(2,1/(Y202:AJ202&lt;&gt;""),Y202:AJ202)-MIN(Y202:AJ202))</t>
        </is>
      </c>
      <c r="X202" s="36" t="inlineStr">
        <is>
          <t>IF(OR(V202="",U202="Not started",U202=""),"",IFERROR(V202-IF(VLOOKUP(U202,'04_Status_Pipeline'!$B$3:$E$20,4,FALSE)="",0,VLOOKUP(U202,'04_Status_Pipeline'!$B$3:$E$20,4,FALSE)),""))</t>
        </is>
      </c>
      <c r="Y202" s="37" t="n"/>
      <c r="Z202" s="37" t="n"/>
      <c r="AA202" s="37" t="n"/>
      <c r="AB202" s="37" t="n"/>
      <c r="AC202" s="37" t="n"/>
      <c r="AD202" s="37" t="n"/>
      <c r="AE202" s="37" t="n"/>
      <c r="AF202" s="37" t="n"/>
      <c r="AG202" s="37" t="n"/>
      <c r="AH202" s="38" t="n"/>
      <c r="AI202" s="38" t="n"/>
      <c r="AJ202" s="38" t="n"/>
      <c r="AK202" s="36" t="inlineStr">
        <is>
          <t>IF(OR(E202="",Z202=""),"",IF(COUNT(Y202:Y202)=0,"",Z202-LOOKUP(2,1/(Y202:Y202&lt;&gt;""),Y202:Y202)))</t>
        </is>
      </c>
      <c r="AL202" s="36" t="inlineStr">
        <is>
          <t>IF(OR(E202="",AA202=""),"",IF(COUNT(Y202:Z202)=0,"",AA202-LOOKUP(2,1/(Y202:Z202&lt;&gt;""),Y202:Z202)))</t>
        </is>
      </c>
      <c r="AM202" s="36" t="inlineStr">
        <is>
          <t>IF(OR(E202="",AB202=""),"",IF(COUNT(Y202:AA202)=0,"",AB202-LOOKUP(2,1/(Y202:AA202&lt;&gt;""),Y202:AA202)))</t>
        </is>
      </c>
      <c r="AN202" s="36" t="inlineStr">
        <is>
          <t>IF(OR(E202="",AC202=""),"",IF(COUNT(Y202:AB202)=0,"",AC202-LOOKUP(2,1/(Y202:AB202&lt;&gt;""),Y202:AB202)))</t>
        </is>
      </c>
      <c r="AO202" s="36" t="inlineStr">
        <is>
          <t>IF(OR(E202="",AD202=""),"",IF(COUNT(Y202:AC202)=0,"",AD202-LOOKUP(2,1/(Y202:AC202&lt;&gt;""),Y202:AC202)))</t>
        </is>
      </c>
      <c r="AP202" s="36" t="inlineStr">
        <is>
          <t>IF(OR(E202="",AE202=""),"",IF(COUNT(Y202:AD202)=0,"",AE202-LOOKUP(2,1/(Y202:AD202&lt;&gt;""),Y202:AD202)))</t>
        </is>
      </c>
      <c r="AQ202" s="36" t="inlineStr">
        <is>
          <t>IF(OR(E202="",AF202=""),"",IF(COUNT(Y202:AE202)=0,"",AF202-LOOKUP(2,1/(Y202:AE202&lt;&gt;""),Y202:AE202)))</t>
        </is>
      </c>
      <c r="AR202" s="36" t="inlineStr">
        <is>
          <t>IF(OR(E202="",AG202=""),"",IF(COUNT(Y202:AF202)=0,"",AG202-LOOKUP(2,1/(Y202:AF202&lt;&gt;""),Y202:AF202)))</t>
        </is>
      </c>
      <c r="AS202" s="36" t="inlineStr">
        <is>
          <t>IF(OR(E202="",AH202=""),"",IF(COUNT(Y202:AG202)=0,"",AH202-LOOKUP(2,1/(Y202:AG202&lt;&gt;""),Y202:AG202)))</t>
        </is>
      </c>
      <c r="AT202" s="36" t="inlineStr">
        <is>
          <t>IF(OR(E202="",AI202=""),"",IF(COUNT(Y202:AH202)=0,"",AI202-LOOKUP(2,1/(Y202:AH202&lt;&gt;""),Y202:AH202)))</t>
        </is>
      </c>
      <c r="AU202" s="36" t="inlineStr">
        <is>
          <t>IF(OR(E202="",AJ202=""),"",IF(COUNT(Y202:AI202)=0,"",AJ202-LOOKUP(2,1/(Y202:AI202&lt;&gt;""),Y202:AI202)))</t>
        </is>
      </c>
      <c r="AV202" s="39" t="inlineStr">
        <is>
          <t>IF(G202="","All_Provinces",IFERROR(VLOOKUP(G202,'07_Lookups'!$A$4:$B$20,2,FALSE),"All_Provinces"))</t>
        </is>
      </c>
      <c r="AW202" s="39" t="inlineStr">
        <is>
          <t>IF(H202="","All_Districts",IFERROR(VLOOKUP(H202,'07_Lookups'!$E$4:$F$42,2,FALSE),"All_Districts"))</t>
        </is>
      </c>
    </row>
    <row r="203" ht="18" customHeight="1">
      <c r="A203" s="31" t="inlineStr">
        <is>
          <t>IF(E203="","",ROW()-3)</t>
        </is>
      </c>
      <c r="B203" s="40" t="n"/>
      <c r="C203" s="40" t="n"/>
      <c r="D203" s="40" t="n"/>
      <c r="E203" s="40" t="n"/>
      <c r="F203" s="40" t="n"/>
      <c r="G203" s="40" t="n"/>
      <c r="H203" s="40" t="n"/>
      <c r="I203" s="40" t="n"/>
      <c r="J203" s="40" t="n"/>
      <c r="K203" s="40" t="n"/>
      <c r="L203" s="40" t="n"/>
      <c r="M203" s="40" t="n"/>
      <c r="N203" s="41" t="n"/>
      <c r="O203" s="34" t="inlineStr">
        <is>
          <t>IF(AE203="","",AE203)</t>
        </is>
      </c>
      <c r="P203" s="42" t="n"/>
      <c r="Q203" s="34" t="inlineStr">
        <is>
          <t>IF(OR(O203="",P203=""),"",EDATE(O203,P203))</t>
        </is>
      </c>
      <c r="R203" s="42" t="n"/>
      <c r="S203" s="40" t="n"/>
      <c r="T203" s="40" t="n"/>
      <c r="U203" s="31" t="inlineStr">
        <is>
          <t>IF(E203="","",IF(COUNT(Y203:AJ203)=0,IF(S203="","Not started",S203),SUBSTITUTE(LOOKUP(2,1/(Y203:AJ203&lt;&gt;""),$Y$3:$AJ$3),"Date: ","")))</t>
        </is>
      </c>
      <c r="V203" s="36" t="inlineStr">
        <is>
          <t>IF(OR(E203="",COUNT(Y203:AJ203)=0),"",TODAY()-LOOKUP(2,1/(Y203:AJ203&lt;&gt;""),Y203:AJ203))</t>
        </is>
      </c>
      <c r="W203" s="36" t="inlineStr">
        <is>
          <t>IF(OR(E203="",COUNT(Y203:AJ203)&lt;2),"",LOOKUP(2,1/(Y203:AJ203&lt;&gt;""),Y203:AJ203)-MIN(Y203:AJ203))</t>
        </is>
      </c>
      <c r="X203" s="36" t="inlineStr">
        <is>
          <t>IF(OR(V203="",U203="Not started",U203=""),"",IFERROR(V203-IF(VLOOKUP(U203,'04_Status_Pipeline'!$B$3:$E$20,4,FALSE)="",0,VLOOKUP(U203,'04_Status_Pipeline'!$B$3:$E$20,4,FALSE)),""))</t>
        </is>
      </c>
      <c r="Y203" s="43" t="n"/>
      <c r="Z203" s="43" t="n"/>
      <c r="AA203" s="43" t="n"/>
      <c r="AB203" s="43" t="n"/>
      <c r="AC203" s="43" t="n"/>
      <c r="AD203" s="43" t="n"/>
      <c r="AE203" s="43" t="n"/>
      <c r="AF203" s="43" t="n"/>
      <c r="AG203" s="43" t="n"/>
      <c r="AH203" s="38" t="n"/>
      <c r="AI203" s="38" t="n"/>
      <c r="AJ203" s="38" t="n"/>
      <c r="AK203" s="36" t="inlineStr">
        <is>
          <t>IF(OR(E203="",Z203=""),"",IF(COUNT(Y203:Y203)=0,"",Z203-LOOKUP(2,1/(Y203:Y203&lt;&gt;""),Y203:Y203)))</t>
        </is>
      </c>
      <c r="AL203" s="36" t="inlineStr">
        <is>
          <t>IF(OR(E203="",AA203=""),"",IF(COUNT(Y203:Z203)=0,"",AA203-LOOKUP(2,1/(Y203:Z203&lt;&gt;""),Y203:Z203)))</t>
        </is>
      </c>
      <c r="AM203" s="36" t="inlineStr">
        <is>
          <t>IF(OR(E203="",AB203=""),"",IF(COUNT(Y203:AA203)=0,"",AB203-LOOKUP(2,1/(Y203:AA203&lt;&gt;""),Y203:AA203)))</t>
        </is>
      </c>
      <c r="AN203" s="36" t="inlineStr">
        <is>
          <t>IF(OR(E203="",AC203=""),"",IF(COUNT(Y203:AB203)=0,"",AC203-LOOKUP(2,1/(Y203:AB203&lt;&gt;""),Y203:AB203)))</t>
        </is>
      </c>
      <c r="AO203" s="36" t="inlineStr">
        <is>
          <t>IF(OR(E203="",AD203=""),"",IF(COUNT(Y203:AC203)=0,"",AD203-LOOKUP(2,1/(Y203:AC203&lt;&gt;""),Y203:AC203)))</t>
        </is>
      </c>
      <c r="AP203" s="36" t="inlineStr">
        <is>
          <t>IF(OR(E203="",AE203=""),"",IF(COUNT(Y203:AD203)=0,"",AE203-LOOKUP(2,1/(Y203:AD203&lt;&gt;""),Y203:AD203)))</t>
        </is>
      </c>
      <c r="AQ203" s="36" t="inlineStr">
        <is>
          <t>IF(OR(E203="",AF203=""),"",IF(COUNT(Y203:AE203)=0,"",AF203-LOOKUP(2,1/(Y203:AE203&lt;&gt;""),Y203:AE203)))</t>
        </is>
      </c>
      <c r="AR203" s="36" t="inlineStr">
        <is>
          <t>IF(OR(E203="",AG203=""),"",IF(COUNT(Y203:AF203)=0,"",AG203-LOOKUP(2,1/(Y203:AF203&lt;&gt;""),Y203:AF203)))</t>
        </is>
      </c>
      <c r="AS203" s="36" t="inlineStr">
        <is>
          <t>IF(OR(E203="",AH203=""),"",IF(COUNT(Y203:AG203)=0,"",AH203-LOOKUP(2,1/(Y203:AG203&lt;&gt;""),Y203:AG203)))</t>
        </is>
      </c>
      <c r="AT203" s="36" t="inlineStr">
        <is>
          <t>IF(OR(E203="",AI203=""),"",IF(COUNT(Y203:AH203)=0,"",AI203-LOOKUP(2,1/(Y203:AH203&lt;&gt;""),Y203:AH203)))</t>
        </is>
      </c>
      <c r="AU203" s="36" t="inlineStr">
        <is>
          <t>IF(OR(E203="",AJ203=""),"",IF(COUNT(Y203:AI203)=0,"",AJ203-LOOKUP(2,1/(Y203:AI203&lt;&gt;""),Y203:AI203)))</t>
        </is>
      </c>
      <c r="AV203" s="39" t="inlineStr">
        <is>
          <t>IF(G203="","All_Provinces",IFERROR(VLOOKUP(G203,'07_Lookups'!$A$4:$B$20,2,FALSE),"All_Provinces"))</t>
        </is>
      </c>
      <c r="AW203" s="39" t="inlineStr">
        <is>
          <t>IF(H203="","All_Districts",IFERROR(VLOOKUP(H203,'07_Lookups'!$E$4:$F$42,2,FALSE),"All_Districts"))</t>
        </is>
      </c>
    </row>
  </sheetData>
  <autoFilter ref="A3:AU203"/>
  <mergeCells count="6">
    <mergeCell ref="A1:AW1"/>
    <mergeCell ref="L2:T2"/>
    <mergeCell ref="Y2:AJ2"/>
    <mergeCell ref="A2:K2"/>
    <mergeCell ref="U2:X2"/>
    <mergeCell ref="AK2:AU2"/>
  </mergeCells>
  <conditionalFormatting sqref="U4:U20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"ITB Launched"</formula>
    </cfRule>
    <cfRule type="cellIs" priority="5" operator="equal" dxfId="4">
      <formula>"Under Technical Evaluation"</formula>
    </cfRule>
    <cfRule type="cellIs" priority="6" operator="equal" dxfId="5">
      <formula>"Under Awarding"</formula>
    </cfRule>
    <cfRule type="cellIs" priority="7" operator="equal" dxfId="6">
      <formula>"Awarded"</formula>
    </cfRule>
    <cfRule type="cellIs" priority="8" operator="equal" dxfId="7">
      <formula>"Under Construction"</formula>
    </cfRule>
    <cfRule type="cellIs" priority="9" operator="equal" dxfId="8">
      <formula>"Completed / Handover"</formula>
    </cfRule>
    <cfRule type="cellIs" priority="10" operator="equal" dxfId="9">
      <formula>"Not started"</formula>
    </cfRule>
  </conditionalFormatting>
  <conditionalFormatting sqref="V4:V203">
    <cfRule type="cellIs" priority="11" operator="greaterThan" dxfId="10">
      <formula>30</formula>
    </cfRule>
  </conditionalFormatting>
  <conditionalFormatting sqref="X4:X203">
    <cfRule type="cellIs" priority="12" operator="greaterThan" dxfId="11">
      <formula>0</formula>
    </cfRule>
  </conditionalFormatting>
  <conditionalFormatting sqref="R4:R203">
    <cfRule type="dataBar" priority="13">
      <dataBar showValue="1">
        <cfvo type="num" val="0"/>
        <cfvo type="num" val="100"/>
        <color rgb="003D5A3D"/>
      </dataBar>
    </cfRule>
  </conditionalFormatting>
  <conditionalFormatting sqref="AK4:AU203">
    <cfRule type="cellIs" priority="14" operator="lessThan" dxfId="11">
      <formula>0</formula>
    </cfRule>
  </conditionalFormatting>
  <dataValidations count="10">
    <dataValidation sqref="C4:C203" showDropDown="0" showInputMessage="0" showErrorMessage="1" allowBlank="1" errorTitle="Not in list" error="Choose a value from the list, or add it on the Domains / Geography sheet first." type="list">
      <formula1>=Projects</formula1>
    </dataValidation>
    <dataValidation sqref="F4:F203" showDropDown="0" showInputMessage="0" showErrorMessage="1" allowBlank="1" errorTitle="Not in list" error="Choose a value from the list, or add it on the Domains / Geography sheet first." type="list">
      <formula1>=Interventions</formula1>
    </dataValidation>
    <dataValidation sqref="G4:G203" showDropDown="0" showInputMessage="0" showErrorMessage="1" allowBlank="1" errorTitle="Not in list" error="Choose a value from the list, or add it on the Domains / Geography sheet first." type="list">
      <formula1>=Regions</formula1>
    </dataValidation>
    <dataValidation sqref="K4:K203" showDropDown="0" showInputMessage="0" showErrorMessage="1" allowBlank="1" errorTitle="Not in list" error="Choose a value from the list, or add it on the Domains / Geography sheet first." type="list">
      <formula1>=Donors</formula1>
    </dataValidation>
    <dataValidation sqref="S4:S203" showDropDown="0" showInputMessage="0" showErrorMessage="1" allowBlank="1" errorTitle="Not in list" error="Choose a value from the list, or add it on the Domains / Geography sheet first." type="list">
      <formula1>=Statuses</formula1>
    </dataValidation>
    <dataValidation sqref="O4:O203 Y4:AJ203" showDropDown="0" showInputMessage="0" showErrorMessage="1" allowBlank="1" errorTitle="Date required" error="Enter a calendar date (for example 15-Mar-2026)." type="date" operator="greaterThanOrEqual">
      <formula1>DATE(2018,1,1)</formula1>
    </dataValidation>
    <dataValidation sqref="R4:R203" showDropDown="0" showInputMessage="0" showErrorMessage="1" allowBlank="1" errorTitle="0–100" error="Physical progress must be between 0 and 100." type="decimal" operator="between">
      <formula1>0</formula1>
      <formula2>100</formula2>
    </dataValidation>
    <dataValidation sqref="P4:P203" showDropDown="0" showInputMessage="0" showErrorMessage="1" allowBlank="1" errorTitle="Months" error="Enter contract duration in months (for example 5)." type="decimal" operator="greaterThanOrEqual">
      <formula1>0</formula1>
    </dataValidation>
    <dataValidation sqref="H4:H203" showDropDown="0" showInputMessage="0" showErrorMessage="1" allowBlank="1" errorTitle="Province" error="Select a province for the chosen region (add new ones on 06_Geography)." type="list">
      <formula1>=01_Scheme_Tracker_ThisProvList</formula1>
    </dataValidation>
    <dataValidation sqref="I4:I203" showDropDown="0" showInputMessage="0" showErrorMessage="1" allowBlank="1" errorTitle="District" error="Select a district for the chosen province (add new ones on 06_Geography)." type="list">
      <formula1>=01_Scheme_Tracker_ThisDistList</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33"/>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0" t="inlineStr">
        <is>
          <t>Dashboard — scheme counts and time spent in each step</t>
        </is>
      </c>
      <c r="B1" s="21" t="n"/>
      <c r="C1" s="21" t="n"/>
      <c r="D1" s="21" t="n"/>
      <c r="E1" s="21" t="n"/>
      <c r="F1" s="21" t="n"/>
      <c r="G1" s="21" t="n"/>
      <c r="H1" s="21" t="n"/>
      <c r="I1" s="21" t="n"/>
      <c r="J1" s="21" t="n"/>
      <c r="K1" s="21" t="n"/>
      <c r="L1" s="21" t="n"/>
    </row>
    <row r="2">
      <c r="A2" s="44"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45" t="n"/>
      <c r="C4" s="45" t="n"/>
      <c r="D4" s="9" t="inlineStr">
        <is>
          <t>Current status = Not started</t>
        </is>
      </c>
      <c r="E4" s="45" t="n"/>
      <c r="F4" s="45" t="n"/>
      <c r="G4" s="9" t="inlineStr">
        <is>
          <t>Stuck &gt; 30 days in current step</t>
        </is>
      </c>
      <c r="H4" s="45" t="n"/>
      <c r="I4" s="45" t="n"/>
      <c r="J4" s="9" t="inlineStr">
        <is>
          <t>Average physical progress %</t>
        </is>
      </c>
      <c r="K4" s="45" t="n"/>
      <c r="L4" s="45" t="n"/>
    </row>
    <row r="5" ht="28" customHeight="1">
      <c r="A5" s="46">
        <f>COUNTA('01_Scheme_Tracker'!$E$4:$E$203)</f>
        <v/>
      </c>
      <c r="B5" s="47" t="n"/>
      <c r="C5" s="47" t="n"/>
      <c r="D5" s="46">
        <f>COUNTIF('01_Scheme_Tracker'!$U$4:$U$203,"Not started")</f>
        <v/>
      </c>
      <c r="E5" s="47" t="n"/>
      <c r="F5" s="47" t="n"/>
      <c r="G5" s="46">
        <f>COUNTIF('01_Scheme_Tracker'!$V$4:$V$203,"&gt;30")</f>
        <v/>
      </c>
      <c r="H5" s="47" t="n"/>
      <c r="I5" s="47" t="n"/>
      <c r="J5" s="48">
        <f>IFERROR(AVERAGEIF('01_Scheme_Tracker'!$R$4:$R$203,"&gt;=0"),"")</f>
        <v/>
      </c>
      <c r="K5" s="47" t="n"/>
      <c r="L5" s="47" t="n"/>
    </row>
    <row r="7">
      <c r="A7" s="7" t="inlineStr">
        <is>
          <t>Schemes by current status</t>
        </is>
      </c>
      <c r="E7" s="49" t="inlineStr">
        <is>
          <t>Schemes by region</t>
        </is>
      </c>
      <c r="I7" s="50" t="inlineStr">
        <is>
          <t>Average days between steps</t>
        </is>
      </c>
    </row>
    <row r="8">
      <c r="A8" s="22" t="inlineStr">
        <is>
          <t>Status</t>
        </is>
      </c>
      <c r="B8" s="22" t="inlineStr">
        <is>
          <t>Count</t>
        </is>
      </c>
      <c r="C8" s="22" t="inlineStr">
        <is>
          <t>Share</t>
        </is>
      </c>
      <c r="E8" s="23" t="inlineStr">
        <is>
          <t>Region</t>
        </is>
      </c>
      <c r="F8" s="23" t="inlineStr">
        <is>
          <t>Count</t>
        </is>
      </c>
      <c r="G8" s="23" t="inlineStr">
        <is>
          <t>Share</t>
        </is>
      </c>
      <c r="I8" s="25" t="inlineStr">
        <is>
          <t>Step</t>
        </is>
      </c>
      <c r="J8" s="25" t="inlineStr">
        <is>
          <t>Average days</t>
        </is>
      </c>
      <c r="K8" s="25" t="inlineStr">
        <is>
          <t>Schemes with this step dated</t>
        </is>
      </c>
      <c r="L8" s="25" t="inlineStr">
        <is>
          <t>Target days</t>
        </is>
      </c>
    </row>
    <row r="9">
      <c r="A9" s="11" t="inlineStr">
        <is>
          <t>Under Design</t>
        </is>
      </c>
      <c r="B9" s="36">
        <f>COUNTIF('01_Scheme_Tracker'!$U$4:$U$203,A9)</f>
        <v/>
      </c>
      <c r="C9" s="51">
        <f>IF($A$5=0,"",B9/$A$5)</f>
        <v/>
      </c>
      <c r="E9" s="5" t="inlineStr">
        <is>
          <t>West / Herat</t>
        </is>
      </c>
      <c r="F9" s="36">
        <f>COUNTIF('01_Scheme_Tracker'!$G$4:$G$203,E9)</f>
        <v/>
      </c>
      <c r="G9" s="51">
        <f>IF($A$5=0,"",F9/$A$5)</f>
        <v/>
      </c>
      <c r="I9" s="5">
        <f>'01_Scheme_Tracker'!AK3</f>
        <v/>
      </c>
      <c r="J9" s="52">
        <f>IFERROR(AVERAGE('01_Scheme_Tracker'!$AK$4:$AK$203),"")</f>
        <v/>
      </c>
      <c r="K9" s="36">
        <f>COUNT('01_Scheme_Tracker'!$Z$4:$Z$203)</f>
        <v/>
      </c>
      <c r="L9" s="36">
        <f>IFERROR('04_Status_Pipeline'!E4,"")</f>
        <v/>
      </c>
    </row>
    <row r="10">
      <c r="A10" s="12" t="inlineStr">
        <is>
          <t>Under Review of WRI</t>
        </is>
      </c>
      <c r="B10" s="36">
        <f>COUNTIF('01_Scheme_Tracker'!$U$4:$U$203,A10)</f>
        <v/>
      </c>
      <c r="C10" s="51">
        <f>IF($A$5=0,"",B10/$A$5)</f>
        <v/>
      </c>
      <c r="E10" s="5" t="inlineStr">
        <is>
          <t>East / Jalalabad</t>
        </is>
      </c>
      <c r="F10" s="36">
        <f>COUNTIF('01_Scheme_Tracker'!$G$4:$G$203,E10)</f>
        <v/>
      </c>
      <c r="G10" s="51">
        <f>IF($A$5=0,"",F10/$A$5)</f>
        <v/>
      </c>
      <c r="I10" s="5">
        <f>'01_Scheme_Tracker'!AL3</f>
        <v/>
      </c>
      <c r="J10" s="52">
        <f>IFERROR(AVERAGE('01_Scheme_Tracker'!$AL$4:$AL$203),"")</f>
        <v/>
      </c>
      <c r="K10" s="36">
        <f>COUNT('01_Scheme_Tracker'!$AA$4:$AA$203)</f>
        <v/>
      </c>
      <c r="L10" s="36">
        <f>IFERROR('04_Status_Pipeline'!E5,"")</f>
        <v/>
      </c>
    </row>
    <row r="11">
      <c r="A11" s="13" t="inlineStr">
        <is>
          <t>Under LTO Review</t>
        </is>
      </c>
      <c r="B11" s="36">
        <f>COUNTIF('01_Scheme_Tracker'!$U$4:$U$203,A11)</f>
        <v/>
      </c>
      <c r="C11" s="51">
        <f>IF($A$5=0,"",B11/$A$5)</f>
        <v/>
      </c>
      <c r="E11" s="5" t="inlineStr">
        <is>
          <t>Central / Kabul</t>
        </is>
      </c>
      <c r="F11" s="36">
        <f>COUNTIF('01_Scheme_Tracker'!$G$4:$G$203,E11)</f>
        <v/>
      </c>
      <c r="G11" s="51">
        <f>IF($A$5=0,"",F11/$A$5)</f>
        <v/>
      </c>
      <c r="I11" s="5">
        <f>'01_Scheme_Tracker'!AM3</f>
        <v/>
      </c>
      <c r="J11" s="52">
        <f>IFERROR(AVERAGE('01_Scheme_Tracker'!$AM$4:$AM$203),"")</f>
        <v/>
      </c>
      <c r="K11" s="36">
        <f>COUNT('01_Scheme_Tracker'!$AB$4:$AB$203)</f>
        <v/>
      </c>
      <c r="L11" s="36">
        <f>IFERROR('04_Status_Pipeline'!E6,"")</f>
        <v/>
      </c>
    </row>
    <row r="12">
      <c r="A12" s="14" t="inlineStr">
        <is>
          <t>ITB Launched</t>
        </is>
      </c>
      <c r="B12" s="36">
        <f>COUNTIF('01_Scheme_Tracker'!$U$4:$U$203,A12)</f>
        <v/>
      </c>
      <c r="C12" s="51">
        <f>IF($A$5=0,"",B12/$A$5)</f>
        <v/>
      </c>
      <c r="E12" s="5" t="inlineStr">
        <is>
          <t>Central Highland / Bamyan</t>
        </is>
      </c>
      <c r="F12" s="36">
        <f>COUNTIF('01_Scheme_Tracker'!$G$4:$G$203,E12)</f>
        <v/>
      </c>
      <c r="G12" s="51">
        <f>IF($A$5=0,"",F12/$A$5)</f>
        <v/>
      </c>
      <c r="I12" s="5">
        <f>'01_Scheme_Tracker'!AN3</f>
        <v/>
      </c>
      <c r="J12" s="52">
        <f>IFERROR(AVERAGE('01_Scheme_Tracker'!$AN$4:$AN$203),"")</f>
        <v/>
      </c>
      <c r="K12" s="36">
        <f>COUNT('01_Scheme_Tracker'!$AC$4:$AC$203)</f>
        <v/>
      </c>
      <c r="L12" s="36">
        <f>IFERROR('04_Status_Pipeline'!E7,"")</f>
        <v/>
      </c>
    </row>
    <row r="13">
      <c r="A13" s="15" t="inlineStr">
        <is>
          <t>Under Technical Evaluation</t>
        </is>
      </c>
      <c r="B13" s="36">
        <f>COUNTIF('01_Scheme_Tracker'!$U$4:$U$203,A13)</f>
        <v/>
      </c>
      <c r="C13" s="51">
        <f>IF($A$5=0,"",B13/$A$5)</f>
        <v/>
      </c>
      <c r="E13" s="5" t="inlineStr">
        <is>
          <t>Southeast / Gardez</t>
        </is>
      </c>
      <c r="F13" s="36">
        <f>COUNTIF('01_Scheme_Tracker'!$G$4:$G$203,E13)</f>
        <v/>
      </c>
      <c r="G13" s="51">
        <f>IF($A$5=0,"",F13/$A$5)</f>
        <v/>
      </c>
      <c r="I13" s="5">
        <f>'01_Scheme_Tracker'!AO3</f>
        <v/>
      </c>
      <c r="J13" s="52">
        <f>IFERROR(AVERAGE('01_Scheme_Tracker'!$AO$4:$AO$203),"")</f>
        <v/>
      </c>
      <c r="K13" s="36">
        <f>COUNT('01_Scheme_Tracker'!$AD$4:$AD$203)</f>
        <v/>
      </c>
      <c r="L13" s="36">
        <f>IFERROR('04_Status_Pipeline'!E8,"")</f>
        <v/>
      </c>
    </row>
    <row r="14">
      <c r="A14" s="16" t="inlineStr">
        <is>
          <t>Under Awarding</t>
        </is>
      </c>
      <c r="B14" s="36">
        <f>COUNTIF('01_Scheme_Tracker'!$U$4:$U$203,A14)</f>
        <v/>
      </c>
      <c r="C14" s="51">
        <f>IF($A$5=0,"",B14/$A$5)</f>
        <v/>
      </c>
      <c r="E14" s="5" t="inlineStr">
        <is>
          <t>South / Kandahar</t>
        </is>
      </c>
      <c r="F14" s="36">
        <f>COUNTIF('01_Scheme_Tracker'!$G$4:$G$203,E14)</f>
        <v/>
      </c>
      <c r="G14" s="51">
        <f>IF($A$5=0,"",F14/$A$5)</f>
        <v/>
      </c>
      <c r="I14" s="5">
        <f>'01_Scheme_Tracker'!AP3</f>
        <v/>
      </c>
      <c r="J14" s="52">
        <f>IFERROR(AVERAGE('01_Scheme_Tracker'!$AP$4:$AP$203),"")</f>
        <v/>
      </c>
      <c r="K14" s="36">
        <f>COUNT('01_Scheme_Tracker'!$AE$4:$AE$203)</f>
        <v/>
      </c>
      <c r="L14" s="36">
        <f>IFERROR('04_Status_Pipeline'!E9,"")</f>
        <v/>
      </c>
    </row>
    <row r="15">
      <c r="A15" s="17" t="inlineStr">
        <is>
          <t>Awarded</t>
        </is>
      </c>
      <c r="B15" s="36">
        <f>COUNTIF('01_Scheme_Tracker'!$U$4:$U$203,A15)</f>
        <v/>
      </c>
      <c r="C15" s="51">
        <f>IF($A$5=0,"",B15/$A$5)</f>
        <v/>
      </c>
      <c r="E15" s="5" t="inlineStr">
        <is>
          <t>North / Mazar</t>
        </is>
      </c>
      <c r="F15" s="36">
        <f>COUNTIF('01_Scheme_Tracker'!$G$4:$G$203,E15)</f>
        <v/>
      </c>
      <c r="G15" s="51">
        <f>IF($A$5=0,"",F15/$A$5)</f>
        <v/>
      </c>
      <c r="I15" s="5">
        <f>'01_Scheme_Tracker'!AQ3</f>
        <v/>
      </c>
      <c r="J15" s="52">
        <f>IFERROR(AVERAGE('01_Scheme_Tracker'!$AQ$4:$AQ$203),"")</f>
        <v/>
      </c>
      <c r="K15" s="36">
        <f>COUNT('01_Scheme_Tracker'!$AF$4:$AF$203)</f>
        <v/>
      </c>
      <c r="L15" s="36">
        <f>IFERROR('04_Status_Pipeline'!E10,"")</f>
        <v/>
      </c>
    </row>
    <row r="16">
      <c r="A16" s="18" t="inlineStr">
        <is>
          <t>Under Construction</t>
        </is>
      </c>
      <c r="B16" s="36">
        <f>COUNTIF('01_Scheme_Tracker'!$U$4:$U$203,A16)</f>
        <v/>
      </c>
      <c r="C16" s="51">
        <f>IF($A$5=0,"",B16/$A$5)</f>
        <v/>
      </c>
      <c r="E16" s="5" t="inlineStr">
        <is>
          <t>Northeast / Kunduz</t>
        </is>
      </c>
      <c r="F16" s="36">
        <f>COUNTIF('01_Scheme_Tracker'!$G$4:$G$203,E16)</f>
        <v/>
      </c>
      <c r="G16" s="51">
        <f>IF($A$5=0,"",F16/$A$5)</f>
        <v/>
      </c>
      <c r="I16" s="5">
        <f>'01_Scheme_Tracker'!AR3</f>
        <v/>
      </c>
      <c r="J16" s="52">
        <f>IFERROR(AVERAGE('01_Scheme_Tracker'!$AR$4:$AR$203),"")</f>
        <v/>
      </c>
      <c r="K16" s="36">
        <f>COUNT('01_Scheme_Tracker'!$AG$4:$AG$203)</f>
        <v/>
      </c>
      <c r="L16" s="36">
        <f>IFERROR('04_Status_Pipeline'!E11,"")</f>
        <v/>
      </c>
    </row>
    <row r="17">
      <c r="A17" s="19" t="inlineStr">
        <is>
          <t>Completed / Handover</t>
        </is>
      </c>
      <c r="B17" s="36">
        <f>COUNTIF('01_Scheme_Tracker'!$U$4:$U$203,A17)</f>
        <v/>
      </c>
      <c r="C17" s="51">
        <f>IF($A$5=0,"",B17/$A$5)</f>
        <v/>
      </c>
      <c r="I17" s="5">
        <f>'01_Scheme_Tracker'!AS3</f>
        <v/>
      </c>
      <c r="J17" s="52">
        <f>IFERROR(AVERAGE('01_Scheme_Tracker'!$AS$4:$AS$203),"")</f>
        <v/>
      </c>
      <c r="K17" s="36">
        <f>COUNT('01_Scheme_Tracker'!$AH$4:$AH$203)</f>
        <v/>
      </c>
      <c r="L17" s="36">
        <f>IFERROR('04_Status_Pipeline'!E12,"")</f>
        <v/>
      </c>
    </row>
    <row r="18">
      <c r="A18" s="32" t="inlineStr">
        <is>
          <t>Not started</t>
        </is>
      </c>
      <c r="B18" s="36">
        <f>COUNTIF('01_Scheme_Tracker'!$U$4:$U$203,A18)</f>
        <v/>
      </c>
      <c r="C18" s="51">
        <f>IF($A$5=0,"",B18/$A$5)</f>
        <v/>
      </c>
      <c r="I18" s="5">
        <f>'01_Scheme_Tracker'!AT3</f>
        <v/>
      </c>
      <c r="J18" s="52">
        <f>IFERROR(AVERAGE('01_Scheme_Tracker'!$AT$4:$AT$203),"")</f>
        <v/>
      </c>
      <c r="K18" s="36">
        <f>COUNT('01_Scheme_Tracker'!$AI$4:$AI$203)</f>
        <v/>
      </c>
      <c r="L18" s="36">
        <f>IFERROR('04_Status_Pipeline'!E13,"")</f>
        <v/>
      </c>
    </row>
    <row r="19">
      <c r="I19" s="5">
        <f>'01_Scheme_Tracker'!AU3</f>
        <v/>
      </c>
      <c r="J19" s="52">
        <f>IFERROR(AVERAGE('01_Scheme_Tracker'!$AU$4:$AU$203),"")</f>
        <v/>
      </c>
      <c r="K19" s="36">
        <f>COUNT('01_Scheme_Tracker'!$AJ$4:$AJ$203)</f>
        <v/>
      </c>
      <c r="L19" s="36">
        <f>IFERROR('04_Status_Pipeline'!E14,"")</f>
        <v/>
      </c>
    </row>
    <row r="20">
      <c r="A20" s="7" t="inlineStr">
        <is>
          <t>Schemes by intervention type</t>
        </is>
      </c>
      <c r="E20" s="53" t="inlineStr">
        <is>
          <t>Average total pipeline days (first → last dated step)</t>
        </is>
      </c>
    </row>
    <row r="21">
      <c r="A21" s="22" t="inlineStr">
        <is>
          <t>Intervention type</t>
        </is>
      </c>
      <c r="B21" s="22" t="inlineStr">
        <is>
          <t>Count</t>
        </is>
      </c>
      <c r="E21" s="48">
        <f>IFERROR(AVERAGE('01_Scheme_Tracker'!$W$4:$W$203),"")</f>
        <v/>
      </c>
      <c r="F21" s="54" t="n"/>
      <c r="G21" s="55" t="n"/>
    </row>
    <row r="22">
      <c r="A22" s="5" t="inlineStr">
        <is>
          <t>Check Dam</t>
        </is>
      </c>
      <c r="B22" s="36">
        <f>COUNTIF('01_Scheme_Tracker'!$F$4:$F$203,A22)</f>
        <v/>
      </c>
    </row>
    <row r="23">
      <c r="A23" s="5" t="inlineStr">
        <is>
          <t>Boulder Check Dam</t>
        </is>
      </c>
      <c r="B23" s="36">
        <f>COUNTIF('01_Scheme_Tracker'!$F$4:$F$203,A23)</f>
        <v/>
      </c>
      <c r="E23" s="56" t="inlineStr">
        <is>
          <t>How to read this dashboard</t>
        </is>
      </c>
    </row>
    <row r="24">
      <c r="A24" s="5" t="inlineStr">
        <is>
          <t>Check Dam and Water Pond</t>
        </is>
      </c>
      <c r="B24" s="36">
        <f>COUNTIF('01_Scheme_Tracker'!$F$4:$F$203,A24)</f>
        <v/>
      </c>
      <c r="E24" s="57" t="inlineStr">
        <is>
          <t>Current Status follows the latest date typed on 01_Scheme_Tracker. Until dates are entered, schemes sit under whatever you chose as Reported Status (or Not started). Average days between steps populate only after both ends of a step have dates — see 03_Example_Filled for a complete worked pipeline. Add or rename a status on 04_Status_Pipeline; this average-days table uses the tracker headers, so it follows.</t>
        </is>
      </c>
    </row>
    <row r="25">
      <c r="A25" s="5" t="inlineStr">
        <is>
          <t>Watershed Management</t>
        </is>
      </c>
      <c r="B25" s="36">
        <f>COUNTIF('01_Scheme_Tracker'!$F$4:$F$203,A25)</f>
        <v/>
      </c>
    </row>
    <row r="26">
      <c r="A26" s="5" t="inlineStr">
        <is>
          <t>Irrigation Canal</t>
        </is>
      </c>
      <c r="B26" s="36">
        <f>COUNTIF('01_Scheme_Tracker'!$F$4:$F$203,A26)</f>
        <v/>
      </c>
    </row>
    <row r="27">
      <c r="A27" s="5" t="inlineStr">
        <is>
          <t>Protection Wall</t>
        </is>
      </c>
      <c r="B27" s="36">
        <f>COUNTIF('01_Scheme_Tracker'!$F$4:$F$203,A27)</f>
        <v/>
      </c>
    </row>
    <row r="28">
      <c r="A28" s="5" t="inlineStr">
        <is>
          <t>Karez Rehabilitation</t>
        </is>
      </c>
      <c r="B28" s="36">
        <f>COUNTIF('01_Scheme_Tracker'!$F$4:$F$203,A28)</f>
        <v/>
      </c>
    </row>
    <row r="29">
      <c r="A29" s="5" t="inlineStr">
        <is>
          <t>Intake / Diversion</t>
        </is>
      </c>
      <c r="B29" s="36">
        <f>COUNTIF('01_Scheme_Tracker'!$F$4:$F$203,A29)</f>
        <v/>
      </c>
    </row>
    <row r="30">
      <c r="A30" s="5" t="inlineStr">
        <is>
          <t>Water Supply Scheme</t>
        </is>
      </c>
      <c r="B30" s="36">
        <f>COUNTIF('01_Scheme_Tracker'!$F$4:$F$203,A30)</f>
        <v/>
      </c>
    </row>
    <row r="31">
      <c r="A31" s="5" t="inlineStr">
        <is>
          <t>Flood Protection</t>
        </is>
      </c>
      <c r="B31" s="36">
        <f>COUNTIF('01_Scheme_Tracker'!$F$4:$F$203,A31)</f>
        <v/>
      </c>
    </row>
    <row r="32">
      <c r="A32" s="5" t="inlineStr">
        <is>
          <t>Gabion Structure</t>
        </is>
      </c>
      <c r="B32" s="36">
        <f>COUNTIF('01_Scheme_Tracker'!$F$4:$F$203,A32)</f>
        <v/>
      </c>
    </row>
    <row r="33">
      <c r="A33" s="5" t="inlineStr">
        <is>
          <t>Other</t>
        </is>
      </c>
      <c r="B33" s="36">
        <f>COUNTIF('01_Scheme_Tracker'!$F$4:$F$203,A33)</f>
        <v/>
      </c>
    </row>
  </sheetData>
  <mergeCells count="17">
    <mergeCell ref="J5:L5"/>
    <mergeCell ref="A2:L2"/>
    <mergeCell ref="A20:C20"/>
    <mergeCell ref="D5:F5"/>
    <mergeCell ref="A5:C5"/>
    <mergeCell ref="G5:I5"/>
    <mergeCell ref="E24:L27"/>
    <mergeCell ref="A1:L1"/>
    <mergeCell ref="D4:F4"/>
    <mergeCell ref="G4:I4"/>
    <mergeCell ref="J4:L4"/>
    <mergeCell ref="A7:C7"/>
    <mergeCell ref="I7:L7"/>
    <mergeCell ref="A4:C4"/>
    <mergeCell ref="E7:G7"/>
    <mergeCell ref="E20:G20"/>
    <mergeCell ref="E21:G21"/>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8A6D3B"/>
    <outlinePr summaryBelow="1" summaryRight="1"/>
    <pageSetUpPr fitToPage="1"/>
  </sheetPr>
  <dimension ref="A1:AW203"/>
  <sheetViews>
    <sheetView zoomScale="90" workbookViewId="0">
      <pane xSplit="24" ySplit="3" topLeftCell="Y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22" customWidth="1" min="12" max="12"/>
    <col width="16" customWidth="1" min="13" max="13"/>
    <col width="16" customWidth="1" min="14" max="14"/>
    <col width="14" customWidth="1" min="15" max="15"/>
    <col width="14" customWidth="1" min="16" max="16"/>
    <col width="14" customWidth="1" min="17" max="17"/>
    <col width="14" customWidth="1" min="18" max="18"/>
    <col width="24" customWidth="1" min="19" max="19"/>
    <col width="28" customWidth="1" min="20" max="20"/>
    <col width="24" customWidth="1" min="21" max="21"/>
    <col width="12" customWidth="1" min="22" max="22"/>
    <col width="12" customWidth="1" min="23" max="23"/>
    <col width="12"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hidden="1" width="14" customWidth="1" min="48" max="48"/>
    <col hidden="1" width="14" customWidth="1" min="49" max="49"/>
  </cols>
  <sheetData>
    <row r="1" ht="24" customHeight="1">
      <c r="A1" s="20" t="inlineStr">
        <is>
          <t>EXAMPLE ONLY — two worked schemes so you can see day counts. Do not use for reporting.</t>
        </is>
      </c>
      <c r="B1" s="21" t="n"/>
      <c r="C1" s="21" t="n"/>
      <c r="D1" s="21" t="n"/>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c r="AA1" s="21" t="n"/>
      <c r="AB1" s="21" t="n"/>
      <c r="AC1" s="21" t="n"/>
      <c r="AD1" s="21" t="n"/>
      <c r="AE1" s="21" t="n"/>
      <c r="AF1" s="21" t="n"/>
      <c r="AG1" s="21" t="n"/>
      <c r="AH1" s="21" t="n"/>
      <c r="AI1" s="21" t="n"/>
      <c r="AJ1" s="21" t="n"/>
      <c r="AK1" s="21" t="n"/>
      <c r="AL1" s="21" t="n"/>
      <c r="AM1" s="21" t="n"/>
      <c r="AN1" s="21" t="n"/>
      <c r="AO1" s="21" t="n"/>
      <c r="AP1" s="21" t="n"/>
      <c r="AQ1" s="21" t="n"/>
      <c r="AR1" s="21" t="n"/>
      <c r="AS1" s="21" t="n"/>
      <c r="AT1" s="21" t="n"/>
      <c r="AU1" s="21" t="n"/>
      <c r="AV1" s="21" t="n"/>
      <c r="AW1" s="21" t="n"/>
    </row>
    <row r="2" ht="20" customHeight="1">
      <c r="A2" s="22" t="inlineStr">
        <is>
          <t>1. Scheme identity</t>
        </is>
      </c>
      <c r="B2" s="21" t="n"/>
      <c r="C2" s="21" t="n"/>
      <c r="D2" s="21" t="n"/>
      <c r="E2" s="21" t="n"/>
      <c r="F2" s="21" t="n"/>
      <c r="G2" s="21" t="n"/>
      <c r="H2" s="21" t="n"/>
      <c r="I2" s="21" t="n"/>
      <c r="J2" s="21" t="n"/>
      <c r="K2" s="21" t="n"/>
      <c r="L2" s="23" t="inlineStr">
        <is>
          <t>2. Contract and physical progress</t>
        </is>
      </c>
      <c r="M2" s="24" t="n"/>
      <c r="N2" s="24" t="n"/>
      <c r="O2" s="24" t="n"/>
      <c r="P2" s="24" t="n"/>
      <c r="Q2" s="24" t="n"/>
      <c r="R2" s="24" t="n"/>
      <c r="S2" s="24" t="n"/>
      <c r="T2" s="24" t="n"/>
      <c r="U2" s="25" t="inlineStr">
        <is>
          <t>3. Live status (calculated)</t>
        </is>
      </c>
      <c r="V2" s="26" t="n"/>
      <c r="W2" s="26" t="n"/>
      <c r="X2" s="26" t="n"/>
      <c r="Y2" s="9" t="inlineStr">
        <is>
          <t>4. Status dates — enter the date each step was reached</t>
        </is>
      </c>
      <c r="Z2" s="27" t="n"/>
      <c r="AA2" s="27" t="n"/>
      <c r="AB2" s="27" t="n"/>
      <c r="AC2" s="27" t="n"/>
      <c r="AD2" s="27" t="n"/>
      <c r="AE2" s="27" t="n"/>
      <c r="AF2" s="27" t="n"/>
      <c r="AG2" s="27" t="n"/>
      <c r="AH2" s="27" t="n"/>
      <c r="AI2" s="27" t="n"/>
      <c r="AJ2" s="27" t="n"/>
      <c r="AK2" s="28" t="inlineStr">
        <is>
          <t>5. Days between steps (calculated)</t>
        </is>
      </c>
      <c r="AL2" s="29" t="n"/>
      <c r="AM2" s="29" t="n"/>
      <c r="AN2" s="29" t="n"/>
      <c r="AO2" s="29" t="n"/>
      <c r="AP2" s="29" t="n"/>
      <c r="AQ2" s="29" t="n"/>
      <c r="AR2" s="29" t="n"/>
      <c r="AS2" s="29" t="n"/>
      <c r="AT2" s="29" t="n"/>
      <c r="AU2" s="29" t="n"/>
    </row>
    <row r="3" ht="36" customHeight="1">
      <c r="A3" s="22" t="inlineStr">
        <is>
          <t>SN</t>
        </is>
      </c>
      <c r="B3" s="22" t="inlineStr">
        <is>
          <t>Scheme ID</t>
        </is>
      </c>
      <c r="C3" s="22" t="inlineStr">
        <is>
          <t>Project Name</t>
        </is>
      </c>
      <c r="D3" s="22" t="inlineStr">
        <is>
          <t>Package / Contract Name</t>
        </is>
      </c>
      <c r="E3" s="22" t="inlineStr">
        <is>
          <t>Scheme Name</t>
        </is>
      </c>
      <c r="F3" s="22" t="inlineStr">
        <is>
          <t>Intervention Type</t>
        </is>
      </c>
      <c r="G3" s="22" t="inlineStr">
        <is>
          <t>Region</t>
        </is>
      </c>
      <c r="H3" s="22" t="inlineStr">
        <is>
          <t>Province</t>
        </is>
      </c>
      <c r="I3" s="22" t="inlineStr">
        <is>
          <t>District</t>
        </is>
      </c>
      <c r="J3" s="22" t="inlineStr">
        <is>
          <t>Village</t>
        </is>
      </c>
      <c r="K3" s="22" t="inlineStr">
        <is>
          <t>Donor</t>
        </is>
      </c>
      <c r="L3" s="23" t="inlineStr">
        <is>
          <t>Contractor Name</t>
        </is>
      </c>
      <c r="M3" s="23" t="inlineStr">
        <is>
          <t>Contract Number</t>
        </is>
      </c>
      <c r="N3" s="23" t="inlineStr">
        <is>
          <t>Contract Cost (USD)</t>
        </is>
      </c>
      <c r="O3" s="23" t="inlineStr">
        <is>
          <t>Awarded Date</t>
        </is>
      </c>
      <c r="P3" s="23" t="inlineStr">
        <is>
          <t>Contract Duration (months)</t>
        </is>
      </c>
      <c r="Q3" s="23" t="inlineStr">
        <is>
          <t>Planned End Date</t>
        </is>
      </c>
      <c r="R3" s="23" t="inlineStr">
        <is>
          <t>Physical Works Progress %</t>
        </is>
      </c>
      <c r="S3" s="23" t="inlineStr">
        <is>
          <t>Reported Status</t>
        </is>
      </c>
      <c r="T3" s="23" t="inlineStr">
        <is>
          <t>Remarks</t>
        </is>
      </c>
      <c r="U3" s="25" t="inlineStr">
        <is>
          <t>Current Status (auto)</t>
        </is>
      </c>
      <c r="V3" s="25" t="inlineStr">
        <is>
          <t>Days in current status</t>
        </is>
      </c>
      <c r="W3" s="25" t="inlineStr">
        <is>
          <t>Total days first → last step</t>
        </is>
      </c>
      <c r="X3" s="25" t="inlineStr">
        <is>
          <t>Days over target this step</t>
        </is>
      </c>
      <c r="Y3" s="9" t="inlineStr">
        <is>
          <t>IF('04_Status_Pipeline'!B3="","(spare slot 1)","Date: "&amp;'04_Status_Pipeline'!B3)</t>
        </is>
      </c>
      <c r="Z3" s="9" t="inlineStr">
        <is>
          <t>IF('04_Status_Pipeline'!B4="","(spare slot 2)","Date: "&amp;'04_Status_Pipeline'!B4)</t>
        </is>
      </c>
      <c r="AA3" s="9" t="inlineStr">
        <is>
          <t>IF('04_Status_Pipeline'!B5="","(spare slot 3)","Date: "&amp;'04_Status_Pipeline'!B5)</t>
        </is>
      </c>
      <c r="AB3" s="9" t="inlineStr">
        <is>
          <t>IF('04_Status_Pipeline'!B6="","(spare slot 4)","Date: "&amp;'04_Status_Pipeline'!B6)</t>
        </is>
      </c>
      <c r="AC3" s="9" t="inlineStr">
        <is>
          <t>IF('04_Status_Pipeline'!B7="","(spare slot 5)","Date: "&amp;'04_Status_Pipeline'!B7)</t>
        </is>
      </c>
      <c r="AD3" s="9" t="inlineStr">
        <is>
          <t>IF('04_Status_Pipeline'!B8="","(spare slot 6)","Date: "&amp;'04_Status_Pipeline'!B8)</t>
        </is>
      </c>
      <c r="AE3" s="9" t="inlineStr">
        <is>
          <t>IF('04_Status_Pipeline'!B9="","(spare slot 7)","Date: "&amp;'04_Status_Pipeline'!B9)</t>
        </is>
      </c>
      <c r="AF3" s="9" t="inlineStr">
        <is>
          <t>IF('04_Status_Pipeline'!B10="","(spare slot 8)","Date: "&amp;'04_Status_Pipeline'!B10)</t>
        </is>
      </c>
      <c r="AG3" s="9" t="inlineStr">
        <is>
          <t>IF('04_Status_Pipeline'!B11="","(spare slot 9)","Date: "&amp;'04_Status_Pipeline'!B11)</t>
        </is>
      </c>
      <c r="AH3" s="9" t="inlineStr">
        <is>
          <t>IF('04_Status_Pipeline'!B12="","(spare slot 10)","Date: "&amp;'04_Status_Pipeline'!B12)</t>
        </is>
      </c>
      <c r="AI3" s="9" t="inlineStr">
        <is>
          <t>IF('04_Status_Pipeline'!B13="","(spare slot 11)","Date: "&amp;'04_Status_Pipeline'!B13)</t>
        </is>
      </c>
      <c r="AJ3" s="9" t="inlineStr">
        <is>
          <t>IF('04_Status_Pipeline'!B14="","(spare slot 12)","Date: "&amp;'04_Status_Pipeline'!B14)</t>
        </is>
      </c>
      <c r="AK3" s="28" t="inlineStr">
        <is>
          <t>IF(AND('04_Status_Pipeline'!B3="",'04_Status_Pipeline'!B4=""),"(spare)","Days: "&amp;IF('04_Status_Pipeline'!B3="","(prev)",'04_Status_Pipeline'!B3)&amp;" → "&amp;IF('04_Status_Pipeline'!B4="","(next)",'04_Status_Pipeline'!B4))</t>
        </is>
      </c>
      <c r="AL3" s="28" t="inlineStr">
        <is>
          <t>IF(AND('04_Status_Pipeline'!B4="",'04_Status_Pipeline'!B5=""),"(spare)","Days: "&amp;IF('04_Status_Pipeline'!B4="","(prev)",'04_Status_Pipeline'!B4)&amp;" → "&amp;IF('04_Status_Pipeline'!B5="","(next)",'04_Status_Pipeline'!B5))</t>
        </is>
      </c>
      <c r="AM3" s="28" t="inlineStr">
        <is>
          <t>IF(AND('04_Status_Pipeline'!B5="",'04_Status_Pipeline'!B6=""),"(spare)","Days: "&amp;IF('04_Status_Pipeline'!B5="","(prev)",'04_Status_Pipeline'!B5)&amp;" → "&amp;IF('04_Status_Pipeline'!B6="","(next)",'04_Status_Pipeline'!B6))</t>
        </is>
      </c>
      <c r="AN3" s="28" t="inlineStr">
        <is>
          <t>IF(AND('04_Status_Pipeline'!B6="",'04_Status_Pipeline'!B7=""),"(spare)","Days: "&amp;IF('04_Status_Pipeline'!B6="","(prev)",'04_Status_Pipeline'!B6)&amp;" → "&amp;IF('04_Status_Pipeline'!B7="","(next)",'04_Status_Pipeline'!B7))</t>
        </is>
      </c>
      <c r="AO3" s="28" t="inlineStr">
        <is>
          <t>IF(AND('04_Status_Pipeline'!B7="",'04_Status_Pipeline'!B8=""),"(spare)","Days: "&amp;IF('04_Status_Pipeline'!B7="","(prev)",'04_Status_Pipeline'!B7)&amp;" → "&amp;IF('04_Status_Pipeline'!B8="","(next)",'04_Status_Pipeline'!B8))</t>
        </is>
      </c>
      <c r="AP3" s="28" t="inlineStr">
        <is>
          <t>IF(AND('04_Status_Pipeline'!B8="",'04_Status_Pipeline'!B9=""),"(spare)","Days: "&amp;IF('04_Status_Pipeline'!B8="","(prev)",'04_Status_Pipeline'!B8)&amp;" → "&amp;IF('04_Status_Pipeline'!B9="","(next)",'04_Status_Pipeline'!B9))</t>
        </is>
      </c>
      <c r="AQ3" s="28" t="inlineStr">
        <is>
          <t>IF(AND('04_Status_Pipeline'!B9="",'04_Status_Pipeline'!B10=""),"(spare)","Days: "&amp;IF('04_Status_Pipeline'!B9="","(prev)",'04_Status_Pipeline'!B9)&amp;" → "&amp;IF('04_Status_Pipeline'!B10="","(next)",'04_Status_Pipeline'!B10))</t>
        </is>
      </c>
      <c r="AR3" s="28" t="inlineStr">
        <is>
          <t>IF(AND('04_Status_Pipeline'!B10="",'04_Status_Pipeline'!B11=""),"(spare)","Days: "&amp;IF('04_Status_Pipeline'!B10="","(prev)",'04_Status_Pipeline'!B10)&amp;" → "&amp;IF('04_Status_Pipeline'!B11="","(next)",'04_Status_Pipeline'!B11))</t>
        </is>
      </c>
      <c r="AS3" s="28" t="inlineStr">
        <is>
          <t>IF(AND('04_Status_Pipeline'!B11="",'04_Status_Pipeline'!B12=""),"(spare)","Days: "&amp;IF('04_Status_Pipeline'!B11="","(prev)",'04_Status_Pipeline'!B11)&amp;" → "&amp;IF('04_Status_Pipeline'!B12="","(next)",'04_Status_Pipeline'!B12))</t>
        </is>
      </c>
      <c r="AT3" s="28" t="inlineStr">
        <is>
          <t>IF(AND('04_Status_Pipeline'!B12="",'04_Status_Pipeline'!B13=""),"(spare)","Days: "&amp;IF('04_Status_Pipeline'!B12="","(prev)",'04_Status_Pipeline'!B12)&amp;" → "&amp;IF('04_Status_Pipeline'!B13="","(next)",'04_Status_Pipeline'!B13))</t>
        </is>
      </c>
      <c r="AU3" s="28" t="inlineStr">
        <is>
          <t>IF(AND('04_Status_Pipeline'!B13="",'04_Status_Pipeline'!B14=""),"(spare)","Days: "&amp;IF('04_Status_Pipeline'!B13="","(prev)",'04_Status_Pipeline'!B13)&amp;" → "&amp;IF('04_Status_Pipeline'!B14="","(next)",'04_Status_Pipeline'!B14))</t>
        </is>
      </c>
      <c r="AV3" s="30" t="inlineStr">
        <is>
          <t>_ProvinceList</t>
        </is>
      </c>
      <c r="AW3" s="30" t="inlineStr">
        <is>
          <t>_DistrictList</t>
        </is>
      </c>
    </row>
    <row r="4" ht="18" customHeight="1">
      <c r="A4" s="31" t="inlineStr">
        <is>
          <t>IF(E4="","",ROW()-3)</t>
        </is>
      </c>
      <c r="B4" s="32" t="inlineStr">
        <is>
          <t>DEMO-01</t>
        </is>
      </c>
      <c r="C4" s="32" t="inlineStr">
        <is>
          <t>Emergency Food Security Project (EFSP) – WBK/AF-2</t>
        </is>
      </c>
      <c r="D4" s="32" t="inlineStr">
        <is>
          <t>DEMO Package A — full pipeline (delete from reports)</t>
        </is>
      </c>
      <c r="E4" s="32" t="inlineStr">
        <is>
          <t>Demo Scheme: completed handover</t>
        </is>
      </c>
      <c r="F4" s="32" t="inlineStr">
        <is>
          <t>Check Dam</t>
        </is>
      </c>
      <c r="G4" s="32" t="inlineStr">
        <is>
          <t>West / Herat</t>
        </is>
      </c>
      <c r="H4" s="32" t="inlineStr">
        <is>
          <t>Badghis</t>
        </is>
      </c>
      <c r="I4" s="32" t="inlineStr">
        <is>
          <t>Qadis</t>
        </is>
      </c>
      <c r="J4" s="32" t="inlineStr">
        <is>
          <t>Demo Village A</t>
        </is>
      </c>
      <c r="K4" s="32" t="inlineStr">
        <is>
          <t>World Bank (WBK/AF-2)</t>
        </is>
      </c>
      <c r="L4" s="32" t="inlineStr">
        <is>
          <t>Demo Contractor Ltd</t>
        </is>
      </c>
      <c r="M4" s="32" t="inlineStr">
        <is>
          <t>DEMO-CNT-001</t>
        </is>
      </c>
      <c r="N4" s="33" t="n">
        <v>120000</v>
      </c>
      <c r="O4" s="34" t="inlineStr">
        <is>
          <t>IF(AE4="","",AE4)</t>
        </is>
      </c>
      <c r="P4" s="35" t="n">
        <v>5</v>
      </c>
      <c r="Q4" s="34" t="inlineStr">
        <is>
          <t>IF(OR(O4="",P4=""),"",EDATE(O4,P4))</t>
        </is>
      </c>
      <c r="R4" s="35" t="n">
        <v>100</v>
      </c>
      <c r="S4" s="32" t="inlineStr">
        <is>
          <t>Completed / Handover</t>
        </is>
      </c>
      <c r="T4" s="32" t="inlineStr">
        <is>
          <t>EXAMPLE ONLY — shows days between every step.</t>
        </is>
      </c>
      <c r="U4" s="31" t="inlineStr">
        <is>
          <t>IF(E4="","",IF(COUNT(Y4:AJ4)=0,IF(S4="","Not started",S4),SUBSTITUTE(LOOKUP(2,1/(Y4:AJ4&lt;&gt;""),$Y$3:$AJ$3),"Date: ","")))</t>
        </is>
      </c>
      <c r="V4" s="36" t="inlineStr">
        <is>
          <t>IF(OR(E4="",COUNT(Y4:AJ4)=0),"",TODAY()-LOOKUP(2,1/(Y4:AJ4&lt;&gt;""),Y4:AJ4))</t>
        </is>
      </c>
      <c r="W4" s="36" t="inlineStr">
        <is>
          <t>IF(OR(E4="",COUNT(Y4:AJ4)&lt;2),"",LOOKUP(2,1/(Y4:AJ4&lt;&gt;""),Y4:AJ4)-MIN(Y4:AJ4))</t>
        </is>
      </c>
      <c r="X4" s="36" t="inlineStr">
        <is>
          <t>IF(OR(V4="",U4="Not started",U4=""),"",IFERROR(V4-IF(VLOOKUP(U4,'04_Status_Pipeline'!$B$3:$E$20,4,FALSE)="",0,VLOOKUP(U4,'04_Status_Pipeline'!$B$3:$E$20,4,FALSE)),""))</t>
        </is>
      </c>
      <c r="Y4" s="58" t="n">
        <v>45667</v>
      </c>
      <c r="Z4" s="58" t="n">
        <v>45692</v>
      </c>
      <c r="AA4" s="58" t="n">
        <v>45706</v>
      </c>
      <c r="AB4" s="58" t="n">
        <v>45718</v>
      </c>
      <c r="AC4" s="58" t="n">
        <v>45740</v>
      </c>
      <c r="AD4" s="58" t="n">
        <v>45755</v>
      </c>
      <c r="AE4" s="58" t="n">
        <v>45769</v>
      </c>
      <c r="AF4" s="58" t="n">
        <v>45787</v>
      </c>
      <c r="AG4" s="58" t="n">
        <v>45930</v>
      </c>
      <c r="AH4" s="38" t="n"/>
      <c r="AI4" s="38" t="n"/>
      <c r="AJ4" s="38" t="n"/>
      <c r="AK4" s="36" t="inlineStr">
        <is>
          <t>IF(OR(E4="",Z4=""),"",IF(COUNT(Y4:Y4)=0,"",Z4-LOOKUP(2,1/(Y4:Y4&lt;&gt;""),Y4:Y4)))</t>
        </is>
      </c>
      <c r="AL4" s="36" t="inlineStr">
        <is>
          <t>IF(OR(E4="",AA4=""),"",IF(COUNT(Y4:Z4)=0,"",AA4-LOOKUP(2,1/(Y4:Z4&lt;&gt;""),Y4:Z4)))</t>
        </is>
      </c>
      <c r="AM4" s="36" t="inlineStr">
        <is>
          <t>IF(OR(E4="",AB4=""),"",IF(COUNT(Y4:AA4)=0,"",AB4-LOOKUP(2,1/(Y4:AA4&lt;&gt;""),Y4:AA4)))</t>
        </is>
      </c>
      <c r="AN4" s="36" t="inlineStr">
        <is>
          <t>IF(OR(E4="",AC4=""),"",IF(COUNT(Y4:AB4)=0,"",AC4-LOOKUP(2,1/(Y4:AB4&lt;&gt;""),Y4:AB4)))</t>
        </is>
      </c>
      <c r="AO4" s="36" t="inlineStr">
        <is>
          <t>IF(OR(E4="",AD4=""),"",IF(COUNT(Y4:AC4)=0,"",AD4-LOOKUP(2,1/(Y4:AC4&lt;&gt;""),Y4:AC4)))</t>
        </is>
      </c>
      <c r="AP4" s="36" t="inlineStr">
        <is>
          <t>IF(OR(E4="",AE4=""),"",IF(COUNT(Y4:AD4)=0,"",AE4-LOOKUP(2,1/(Y4:AD4&lt;&gt;""),Y4:AD4)))</t>
        </is>
      </c>
      <c r="AQ4" s="36" t="inlineStr">
        <is>
          <t>IF(OR(E4="",AF4=""),"",IF(COUNT(Y4:AE4)=0,"",AF4-LOOKUP(2,1/(Y4:AE4&lt;&gt;""),Y4:AE4)))</t>
        </is>
      </c>
      <c r="AR4" s="36" t="inlineStr">
        <is>
          <t>IF(OR(E4="",AG4=""),"",IF(COUNT(Y4:AF4)=0,"",AG4-LOOKUP(2,1/(Y4:AF4&lt;&gt;""),Y4:AF4)))</t>
        </is>
      </c>
      <c r="AS4" s="36" t="inlineStr">
        <is>
          <t>IF(OR(E4="",AH4=""),"",IF(COUNT(Y4:AG4)=0,"",AH4-LOOKUP(2,1/(Y4:AG4&lt;&gt;""),Y4:AG4)))</t>
        </is>
      </c>
      <c r="AT4" s="36" t="inlineStr">
        <is>
          <t>IF(OR(E4="",AI4=""),"",IF(COUNT(Y4:AH4)=0,"",AI4-LOOKUP(2,1/(Y4:AH4&lt;&gt;""),Y4:AH4)))</t>
        </is>
      </c>
      <c r="AU4" s="36" t="inlineStr">
        <is>
          <t>IF(OR(E4="",AJ4=""),"",IF(COUNT(Y4:AI4)=0,"",AJ4-LOOKUP(2,1/(Y4:AI4&lt;&gt;""),Y4:AI4)))</t>
        </is>
      </c>
      <c r="AV4" s="39" t="inlineStr">
        <is>
          <t>IF(G4="","All_Provinces",IFERROR(VLOOKUP(G4,'07_Lookups'!$A$4:$B$20,2,FALSE),"All_Provinces"))</t>
        </is>
      </c>
      <c r="AW4" s="39" t="inlineStr">
        <is>
          <t>IF(H4="","All_Districts",IFERROR(VLOOKUP(H4,'07_Lookups'!$E$4:$F$42,2,FALSE),"All_Districts"))</t>
        </is>
      </c>
    </row>
    <row r="5" ht="18" customHeight="1">
      <c r="A5" s="31" t="inlineStr">
        <is>
          <t>IF(E5="","",ROW()-3)</t>
        </is>
      </c>
      <c r="B5" s="40" t="inlineStr">
        <is>
          <t>DEMO-02</t>
        </is>
      </c>
      <c r="C5" s="40" t="inlineStr">
        <is>
          <t>Emergency Food Security Project (EFSP) – WBK/AF-2</t>
        </is>
      </c>
      <c r="D5" s="40" t="inlineStr">
        <is>
          <t>DEMO Package B — mid pipeline (delete from reports)</t>
        </is>
      </c>
      <c r="E5" s="40" t="inlineStr">
        <is>
          <t>Demo Scheme: currently under technical evaluation</t>
        </is>
      </c>
      <c r="F5" s="40" t="inlineStr">
        <is>
          <t>Boulder Check Dam</t>
        </is>
      </c>
      <c r="G5" s="40" t="inlineStr">
        <is>
          <t>East / Jalalabad</t>
        </is>
      </c>
      <c r="H5" s="40" t="inlineStr">
        <is>
          <t>Kunar</t>
        </is>
      </c>
      <c r="I5" s="40" t="inlineStr">
        <is>
          <t>Narang</t>
        </is>
      </c>
      <c r="J5" s="40" t="inlineStr">
        <is>
          <t>Demo Village B</t>
        </is>
      </c>
      <c r="K5" s="40" t="inlineStr">
        <is>
          <t>World Bank (WBK/AF-2)</t>
        </is>
      </c>
      <c r="L5" s="40" t="n"/>
      <c r="M5" s="40" t="n"/>
      <c r="N5" s="41" t="n">
        <v>98000</v>
      </c>
      <c r="O5" s="34" t="inlineStr">
        <is>
          <t>IF(AE5="","",AE5)</t>
        </is>
      </c>
      <c r="P5" s="42" t="n"/>
      <c r="Q5" s="34" t="inlineStr">
        <is>
          <t>IF(OR(O5="",P5=""),"",EDATE(O5,P5))</t>
        </is>
      </c>
      <c r="R5" s="42" t="n"/>
      <c r="S5" s="40" t="inlineStr">
        <is>
          <t>Under Technical Evaluation</t>
        </is>
      </c>
      <c r="T5" s="40" t="inlineStr">
        <is>
          <t>EXAMPLE ONLY — later dates are blank; days in current step uses TODAY().</t>
        </is>
      </c>
      <c r="U5" s="31" t="inlineStr">
        <is>
          <t>IF(E5="","",IF(COUNT(Y5:AJ5)=0,IF(S5="","Not started",S5),SUBSTITUTE(LOOKUP(2,1/(Y5:AJ5&lt;&gt;""),$Y$3:$AJ$3),"Date: ","")))</t>
        </is>
      </c>
      <c r="V5" s="36" t="inlineStr">
        <is>
          <t>IF(OR(E5="",COUNT(Y5:AJ5)=0),"",TODAY()-LOOKUP(2,1/(Y5:AJ5&lt;&gt;""),Y5:AJ5))</t>
        </is>
      </c>
      <c r="W5" s="36" t="inlineStr">
        <is>
          <t>IF(OR(E5="",COUNT(Y5:AJ5)&lt;2),"",LOOKUP(2,1/(Y5:AJ5&lt;&gt;""),Y5:AJ5)-MIN(Y5:AJ5))</t>
        </is>
      </c>
      <c r="X5" s="36" t="inlineStr">
        <is>
          <t>IF(OR(V5="",U5="Not started",U5=""),"",IFERROR(V5-IF(VLOOKUP(U5,'04_Status_Pipeline'!$B$3:$E$20,4,FALSE)="",0,VLOOKUP(U5,'04_Status_Pipeline'!$B$3:$E$20,4,FALSE)),""))</t>
        </is>
      </c>
      <c r="Y5" s="58" t="n">
        <v>45809</v>
      </c>
      <c r="Z5" s="58" t="n">
        <v>45828</v>
      </c>
      <c r="AA5" s="58" t="n">
        <v>45843</v>
      </c>
      <c r="AB5" s="58" t="n">
        <v>45858</v>
      </c>
      <c r="AC5" s="58" t="n">
        <v>45884</v>
      </c>
      <c r="AD5" s="58" t="n"/>
      <c r="AE5" s="58" t="n"/>
      <c r="AF5" s="58" t="n"/>
      <c r="AG5" s="58" t="n"/>
      <c r="AH5" s="38" t="n"/>
      <c r="AI5" s="38" t="n"/>
      <c r="AJ5" s="38" t="n"/>
      <c r="AK5" s="36" t="inlineStr">
        <is>
          <t>IF(OR(E5="",Z5=""),"",IF(COUNT(Y5:Y5)=0,"",Z5-LOOKUP(2,1/(Y5:Y5&lt;&gt;""),Y5:Y5)))</t>
        </is>
      </c>
      <c r="AL5" s="36" t="inlineStr">
        <is>
          <t>IF(OR(E5="",AA5=""),"",IF(COUNT(Y5:Z5)=0,"",AA5-LOOKUP(2,1/(Y5:Z5&lt;&gt;""),Y5:Z5)))</t>
        </is>
      </c>
      <c r="AM5" s="36" t="inlineStr">
        <is>
          <t>IF(OR(E5="",AB5=""),"",IF(COUNT(Y5:AA5)=0,"",AB5-LOOKUP(2,1/(Y5:AA5&lt;&gt;""),Y5:AA5)))</t>
        </is>
      </c>
      <c r="AN5" s="36" t="inlineStr">
        <is>
          <t>IF(OR(E5="",AC5=""),"",IF(COUNT(Y5:AB5)=0,"",AC5-LOOKUP(2,1/(Y5:AB5&lt;&gt;""),Y5:AB5)))</t>
        </is>
      </c>
      <c r="AO5" s="36" t="inlineStr">
        <is>
          <t>IF(OR(E5="",AD5=""),"",IF(COUNT(Y5:AC5)=0,"",AD5-LOOKUP(2,1/(Y5:AC5&lt;&gt;""),Y5:AC5)))</t>
        </is>
      </c>
      <c r="AP5" s="36" t="inlineStr">
        <is>
          <t>IF(OR(E5="",AE5=""),"",IF(COUNT(Y5:AD5)=0,"",AE5-LOOKUP(2,1/(Y5:AD5&lt;&gt;""),Y5:AD5)))</t>
        </is>
      </c>
      <c r="AQ5" s="36" t="inlineStr">
        <is>
          <t>IF(OR(E5="",AF5=""),"",IF(COUNT(Y5:AE5)=0,"",AF5-LOOKUP(2,1/(Y5:AE5&lt;&gt;""),Y5:AE5)))</t>
        </is>
      </c>
      <c r="AR5" s="36" t="inlineStr">
        <is>
          <t>IF(OR(E5="",AG5=""),"",IF(COUNT(Y5:AF5)=0,"",AG5-LOOKUP(2,1/(Y5:AF5&lt;&gt;""),Y5:AF5)))</t>
        </is>
      </c>
      <c r="AS5" s="36" t="inlineStr">
        <is>
          <t>IF(OR(E5="",AH5=""),"",IF(COUNT(Y5:AG5)=0,"",AH5-LOOKUP(2,1/(Y5:AG5&lt;&gt;""),Y5:AG5)))</t>
        </is>
      </c>
      <c r="AT5" s="36" t="inlineStr">
        <is>
          <t>IF(OR(E5="",AI5=""),"",IF(COUNT(Y5:AH5)=0,"",AI5-LOOKUP(2,1/(Y5:AH5&lt;&gt;""),Y5:AH5)))</t>
        </is>
      </c>
      <c r="AU5" s="36" t="inlineStr">
        <is>
          <t>IF(OR(E5="",AJ5=""),"",IF(COUNT(Y5:AI5)=0,"",AJ5-LOOKUP(2,1/(Y5:AI5&lt;&gt;""),Y5:AI5)))</t>
        </is>
      </c>
      <c r="AV5" s="39" t="inlineStr">
        <is>
          <t>IF(G5="","All_Provinces",IFERROR(VLOOKUP(G5,'07_Lookups'!$A$4:$B$20,2,FALSE),"All_Provinces"))</t>
        </is>
      </c>
      <c r="AW5" s="39" t="inlineStr">
        <is>
          <t>IF(H5="","All_Districts",IFERROR(VLOOKUP(H5,'07_Lookups'!$E$4:$F$42,2,FALSE),"All_Districts"))</t>
        </is>
      </c>
    </row>
    <row r="6" ht="18" customHeight="1">
      <c r="A6" s="31" t="inlineStr">
        <is>
          <t>IF(E6="","",ROW()-3)</t>
        </is>
      </c>
      <c r="B6" s="32" t="n"/>
      <c r="C6" s="32" t="n"/>
      <c r="D6" s="32" t="n"/>
      <c r="E6" s="32" t="n"/>
      <c r="F6" s="32" t="n"/>
      <c r="G6" s="32" t="n"/>
      <c r="H6" s="32" t="n"/>
      <c r="I6" s="32" t="n"/>
      <c r="J6" s="32" t="n"/>
      <c r="K6" s="32" t="n"/>
      <c r="L6" s="32" t="n"/>
      <c r="M6" s="32" t="n"/>
      <c r="N6" s="33" t="n"/>
      <c r="O6" s="34" t="inlineStr">
        <is>
          <t>IF(AE6="","",AE6)</t>
        </is>
      </c>
      <c r="P6" s="35" t="n"/>
      <c r="Q6" s="34" t="inlineStr">
        <is>
          <t>IF(OR(O6="",P6=""),"",EDATE(O6,P6))</t>
        </is>
      </c>
      <c r="R6" s="35" t="n"/>
      <c r="S6" s="32" t="n"/>
      <c r="T6" s="32" t="n"/>
      <c r="U6" s="31" t="inlineStr">
        <is>
          <t>IF(E6="","",IF(COUNT(Y6:AJ6)=0,IF(S6="","Not started",S6),SUBSTITUTE(LOOKUP(2,1/(Y6:AJ6&lt;&gt;""),$Y$3:$AJ$3),"Date: ","")))</t>
        </is>
      </c>
      <c r="V6" s="36" t="inlineStr">
        <is>
          <t>IF(OR(E6="",COUNT(Y6:AJ6)=0),"",TODAY()-LOOKUP(2,1/(Y6:AJ6&lt;&gt;""),Y6:AJ6))</t>
        </is>
      </c>
      <c r="W6" s="36" t="inlineStr">
        <is>
          <t>IF(OR(E6="",COUNT(Y6:AJ6)&lt;2),"",LOOKUP(2,1/(Y6:AJ6&lt;&gt;""),Y6:AJ6)-MIN(Y6:AJ6))</t>
        </is>
      </c>
      <c r="X6" s="36" t="inlineStr">
        <is>
          <t>IF(OR(V6="",U6="Not started",U6=""),"",IFERROR(V6-IF(VLOOKUP(U6,'04_Status_Pipeline'!$B$3:$E$20,4,FALSE)="",0,VLOOKUP(U6,'04_Status_Pipeline'!$B$3:$E$20,4,FALSE)),""))</t>
        </is>
      </c>
      <c r="Y6" s="37" t="n"/>
      <c r="Z6" s="37" t="n"/>
      <c r="AA6" s="37" t="n"/>
      <c r="AB6" s="37" t="n"/>
      <c r="AC6" s="37" t="n"/>
      <c r="AD6" s="37" t="n"/>
      <c r="AE6" s="37" t="n"/>
      <c r="AF6" s="37" t="n"/>
      <c r="AG6" s="37" t="n"/>
      <c r="AH6" s="38" t="n"/>
      <c r="AI6" s="38" t="n"/>
      <c r="AJ6" s="38" t="n"/>
      <c r="AK6" s="36" t="inlineStr">
        <is>
          <t>IF(OR(E6="",Z6=""),"",IF(COUNT(Y6:Y6)=0,"",Z6-LOOKUP(2,1/(Y6:Y6&lt;&gt;""),Y6:Y6)))</t>
        </is>
      </c>
      <c r="AL6" s="36" t="inlineStr">
        <is>
          <t>IF(OR(E6="",AA6=""),"",IF(COUNT(Y6:Z6)=0,"",AA6-LOOKUP(2,1/(Y6:Z6&lt;&gt;""),Y6:Z6)))</t>
        </is>
      </c>
      <c r="AM6" s="36" t="inlineStr">
        <is>
          <t>IF(OR(E6="",AB6=""),"",IF(COUNT(Y6:AA6)=0,"",AB6-LOOKUP(2,1/(Y6:AA6&lt;&gt;""),Y6:AA6)))</t>
        </is>
      </c>
      <c r="AN6" s="36" t="inlineStr">
        <is>
          <t>IF(OR(E6="",AC6=""),"",IF(COUNT(Y6:AB6)=0,"",AC6-LOOKUP(2,1/(Y6:AB6&lt;&gt;""),Y6:AB6)))</t>
        </is>
      </c>
      <c r="AO6" s="36" t="inlineStr">
        <is>
          <t>IF(OR(E6="",AD6=""),"",IF(COUNT(Y6:AC6)=0,"",AD6-LOOKUP(2,1/(Y6:AC6&lt;&gt;""),Y6:AC6)))</t>
        </is>
      </c>
      <c r="AP6" s="36" t="inlineStr">
        <is>
          <t>IF(OR(E6="",AE6=""),"",IF(COUNT(Y6:AD6)=0,"",AE6-LOOKUP(2,1/(Y6:AD6&lt;&gt;""),Y6:AD6)))</t>
        </is>
      </c>
      <c r="AQ6" s="36" t="inlineStr">
        <is>
          <t>IF(OR(E6="",AF6=""),"",IF(COUNT(Y6:AE6)=0,"",AF6-LOOKUP(2,1/(Y6:AE6&lt;&gt;""),Y6:AE6)))</t>
        </is>
      </c>
      <c r="AR6" s="36" t="inlineStr">
        <is>
          <t>IF(OR(E6="",AG6=""),"",IF(COUNT(Y6:AF6)=0,"",AG6-LOOKUP(2,1/(Y6:AF6&lt;&gt;""),Y6:AF6)))</t>
        </is>
      </c>
      <c r="AS6" s="36" t="inlineStr">
        <is>
          <t>IF(OR(E6="",AH6=""),"",IF(COUNT(Y6:AG6)=0,"",AH6-LOOKUP(2,1/(Y6:AG6&lt;&gt;""),Y6:AG6)))</t>
        </is>
      </c>
      <c r="AT6" s="36" t="inlineStr">
        <is>
          <t>IF(OR(E6="",AI6=""),"",IF(COUNT(Y6:AH6)=0,"",AI6-LOOKUP(2,1/(Y6:AH6&lt;&gt;""),Y6:AH6)))</t>
        </is>
      </c>
      <c r="AU6" s="36" t="inlineStr">
        <is>
          <t>IF(OR(E6="",AJ6=""),"",IF(COUNT(Y6:AI6)=0,"",AJ6-LOOKUP(2,1/(Y6:AI6&lt;&gt;""),Y6:AI6)))</t>
        </is>
      </c>
      <c r="AV6" s="39" t="inlineStr">
        <is>
          <t>IF(G6="","All_Provinces",IFERROR(VLOOKUP(G6,'07_Lookups'!$A$4:$B$20,2,FALSE),"All_Provinces"))</t>
        </is>
      </c>
      <c r="AW6" s="39" t="inlineStr">
        <is>
          <t>IF(H6="","All_Districts",IFERROR(VLOOKUP(H6,'07_Lookups'!$E$4:$F$42,2,FALSE),"All_Districts"))</t>
        </is>
      </c>
    </row>
    <row r="7" ht="18" customHeight="1">
      <c r="A7" s="31" t="inlineStr">
        <is>
          <t>IF(E7="","",ROW()-3)</t>
        </is>
      </c>
      <c r="B7" s="40" t="n"/>
      <c r="C7" s="40" t="n"/>
      <c r="D7" s="40" t="n"/>
      <c r="E7" s="40" t="n"/>
      <c r="F7" s="40" t="n"/>
      <c r="G7" s="40" t="n"/>
      <c r="H7" s="40" t="n"/>
      <c r="I7" s="40" t="n"/>
      <c r="J7" s="40" t="n"/>
      <c r="K7" s="40" t="n"/>
      <c r="L7" s="40" t="n"/>
      <c r="M7" s="40" t="n"/>
      <c r="N7" s="41" t="n"/>
      <c r="O7" s="34" t="inlineStr">
        <is>
          <t>IF(AE7="","",AE7)</t>
        </is>
      </c>
      <c r="P7" s="42" t="n"/>
      <c r="Q7" s="34" t="inlineStr">
        <is>
          <t>IF(OR(O7="",P7=""),"",EDATE(O7,P7))</t>
        </is>
      </c>
      <c r="R7" s="42" t="n"/>
      <c r="S7" s="40" t="n"/>
      <c r="T7" s="40" t="n"/>
      <c r="U7" s="31" t="inlineStr">
        <is>
          <t>IF(E7="","",IF(COUNT(Y7:AJ7)=0,IF(S7="","Not started",S7),SUBSTITUTE(LOOKUP(2,1/(Y7:AJ7&lt;&gt;""),$Y$3:$AJ$3),"Date: ","")))</t>
        </is>
      </c>
      <c r="V7" s="36" t="inlineStr">
        <is>
          <t>IF(OR(E7="",COUNT(Y7:AJ7)=0),"",TODAY()-LOOKUP(2,1/(Y7:AJ7&lt;&gt;""),Y7:AJ7))</t>
        </is>
      </c>
      <c r="W7" s="36" t="inlineStr">
        <is>
          <t>IF(OR(E7="",COUNT(Y7:AJ7)&lt;2),"",LOOKUP(2,1/(Y7:AJ7&lt;&gt;""),Y7:AJ7)-MIN(Y7:AJ7))</t>
        </is>
      </c>
      <c r="X7" s="36" t="inlineStr">
        <is>
          <t>IF(OR(V7="",U7="Not started",U7=""),"",IFERROR(V7-IF(VLOOKUP(U7,'04_Status_Pipeline'!$B$3:$E$20,4,FALSE)="",0,VLOOKUP(U7,'04_Status_Pipeline'!$B$3:$E$20,4,FALSE)),""))</t>
        </is>
      </c>
      <c r="Y7" s="43" t="n"/>
      <c r="Z7" s="43" t="n"/>
      <c r="AA7" s="43" t="n"/>
      <c r="AB7" s="43" t="n"/>
      <c r="AC7" s="43" t="n"/>
      <c r="AD7" s="43" t="n"/>
      <c r="AE7" s="43" t="n"/>
      <c r="AF7" s="43" t="n"/>
      <c r="AG7" s="43" t="n"/>
      <c r="AH7" s="38" t="n"/>
      <c r="AI7" s="38" t="n"/>
      <c r="AJ7" s="38" t="n"/>
      <c r="AK7" s="36" t="inlineStr">
        <is>
          <t>IF(OR(E7="",Z7=""),"",IF(COUNT(Y7:Y7)=0,"",Z7-LOOKUP(2,1/(Y7:Y7&lt;&gt;""),Y7:Y7)))</t>
        </is>
      </c>
      <c r="AL7" s="36" t="inlineStr">
        <is>
          <t>IF(OR(E7="",AA7=""),"",IF(COUNT(Y7:Z7)=0,"",AA7-LOOKUP(2,1/(Y7:Z7&lt;&gt;""),Y7:Z7)))</t>
        </is>
      </c>
      <c r="AM7" s="36" t="inlineStr">
        <is>
          <t>IF(OR(E7="",AB7=""),"",IF(COUNT(Y7:AA7)=0,"",AB7-LOOKUP(2,1/(Y7:AA7&lt;&gt;""),Y7:AA7)))</t>
        </is>
      </c>
      <c r="AN7" s="36" t="inlineStr">
        <is>
          <t>IF(OR(E7="",AC7=""),"",IF(COUNT(Y7:AB7)=0,"",AC7-LOOKUP(2,1/(Y7:AB7&lt;&gt;""),Y7:AB7)))</t>
        </is>
      </c>
      <c r="AO7" s="36" t="inlineStr">
        <is>
          <t>IF(OR(E7="",AD7=""),"",IF(COUNT(Y7:AC7)=0,"",AD7-LOOKUP(2,1/(Y7:AC7&lt;&gt;""),Y7:AC7)))</t>
        </is>
      </c>
      <c r="AP7" s="36" t="inlineStr">
        <is>
          <t>IF(OR(E7="",AE7=""),"",IF(COUNT(Y7:AD7)=0,"",AE7-LOOKUP(2,1/(Y7:AD7&lt;&gt;""),Y7:AD7)))</t>
        </is>
      </c>
      <c r="AQ7" s="36" t="inlineStr">
        <is>
          <t>IF(OR(E7="",AF7=""),"",IF(COUNT(Y7:AE7)=0,"",AF7-LOOKUP(2,1/(Y7:AE7&lt;&gt;""),Y7:AE7)))</t>
        </is>
      </c>
      <c r="AR7" s="36" t="inlineStr">
        <is>
          <t>IF(OR(E7="",AG7=""),"",IF(COUNT(Y7:AF7)=0,"",AG7-LOOKUP(2,1/(Y7:AF7&lt;&gt;""),Y7:AF7)))</t>
        </is>
      </c>
      <c r="AS7" s="36" t="inlineStr">
        <is>
          <t>IF(OR(E7="",AH7=""),"",IF(COUNT(Y7:AG7)=0,"",AH7-LOOKUP(2,1/(Y7:AG7&lt;&gt;""),Y7:AG7)))</t>
        </is>
      </c>
      <c r="AT7" s="36" t="inlineStr">
        <is>
          <t>IF(OR(E7="",AI7=""),"",IF(COUNT(Y7:AH7)=0,"",AI7-LOOKUP(2,1/(Y7:AH7&lt;&gt;""),Y7:AH7)))</t>
        </is>
      </c>
      <c r="AU7" s="36" t="inlineStr">
        <is>
          <t>IF(OR(E7="",AJ7=""),"",IF(COUNT(Y7:AI7)=0,"",AJ7-LOOKUP(2,1/(Y7:AI7&lt;&gt;""),Y7:AI7)))</t>
        </is>
      </c>
      <c r="AV7" s="39" t="inlineStr">
        <is>
          <t>IF(G7="","All_Provinces",IFERROR(VLOOKUP(G7,'07_Lookups'!$A$4:$B$20,2,FALSE),"All_Provinces"))</t>
        </is>
      </c>
      <c r="AW7" s="39" t="inlineStr">
        <is>
          <t>IF(H7="","All_Districts",IFERROR(VLOOKUP(H7,'07_Lookups'!$E$4:$F$42,2,FALSE),"All_Districts"))</t>
        </is>
      </c>
    </row>
    <row r="8" ht="18" customHeight="1">
      <c r="A8" s="31" t="inlineStr">
        <is>
          <t>IF(E8="","",ROW()-3)</t>
        </is>
      </c>
      <c r="B8" s="32" t="n"/>
      <c r="C8" s="32" t="n"/>
      <c r="D8" s="32" t="n"/>
      <c r="E8" s="32" t="n"/>
      <c r="F8" s="32" t="n"/>
      <c r="G8" s="32" t="n"/>
      <c r="H8" s="32" t="n"/>
      <c r="I8" s="32" t="n"/>
      <c r="J8" s="32" t="n"/>
      <c r="K8" s="32" t="n"/>
      <c r="L8" s="32" t="n"/>
      <c r="M8" s="32" t="n"/>
      <c r="N8" s="33" t="n"/>
      <c r="O8" s="34" t="inlineStr">
        <is>
          <t>IF(AE8="","",AE8)</t>
        </is>
      </c>
      <c r="P8" s="35" t="n"/>
      <c r="Q8" s="34" t="inlineStr">
        <is>
          <t>IF(OR(O8="",P8=""),"",EDATE(O8,P8))</t>
        </is>
      </c>
      <c r="R8" s="35" t="n"/>
      <c r="S8" s="32" t="n"/>
      <c r="T8" s="32" t="n"/>
      <c r="U8" s="31" t="inlineStr">
        <is>
          <t>IF(E8="","",IF(COUNT(Y8:AJ8)=0,IF(S8="","Not started",S8),SUBSTITUTE(LOOKUP(2,1/(Y8:AJ8&lt;&gt;""),$Y$3:$AJ$3),"Date: ","")))</t>
        </is>
      </c>
      <c r="V8" s="36" t="inlineStr">
        <is>
          <t>IF(OR(E8="",COUNT(Y8:AJ8)=0),"",TODAY()-LOOKUP(2,1/(Y8:AJ8&lt;&gt;""),Y8:AJ8))</t>
        </is>
      </c>
      <c r="W8" s="36" t="inlineStr">
        <is>
          <t>IF(OR(E8="",COUNT(Y8:AJ8)&lt;2),"",LOOKUP(2,1/(Y8:AJ8&lt;&gt;""),Y8:AJ8)-MIN(Y8:AJ8))</t>
        </is>
      </c>
      <c r="X8" s="36" t="inlineStr">
        <is>
          <t>IF(OR(V8="",U8="Not started",U8=""),"",IFERROR(V8-IF(VLOOKUP(U8,'04_Status_Pipeline'!$B$3:$E$20,4,FALSE)="",0,VLOOKUP(U8,'04_Status_Pipeline'!$B$3:$E$20,4,FALSE)),""))</t>
        </is>
      </c>
      <c r="Y8" s="37" t="n"/>
      <c r="Z8" s="37" t="n"/>
      <c r="AA8" s="37" t="n"/>
      <c r="AB8" s="37" t="n"/>
      <c r="AC8" s="37" t="n"/>
      <c r="AD8" s="37" t="n"/>
      <c r="AE8" s="37" t="n"/>
      <c r="AF8" s="37" t="n"/>
      <c r="AG8" s="37" t="n"/>
      <c r="AH8" s="38" t="n"/>
      <c r="AI8" s="38" t="n"/>
      <c r="AJ8" s="38" t="n"/>
      <c r="AK8" s="36" t="inlineStr">
        <is>
          <t>IF(OR(E8="",Z8=""),"",IF(COUNT(Y8:Y8)=0,"",Z8-LOOKUP(2,1/(Y8:Y8&lt;&gt;""),Y8:Y8)))</t>
        </is>
      </c>
      <c r="AL8" s="36" t="inlineStr">
        <is>
          <t>IF(OR(E8="",AA8=""),"",IF(COUNT(Y8:Z8)=0,"",AA8-LOOKUP(2,1/(Y8:Z8&lt;&gt;""),Y8:Z8)))</t>
        </is>
      </c>
      <c r="AM8" s="36" t="inlineStr">
        <is>
          <t>IF(OR(E8="",AB8=""),"",IF(COUNT(Y8:AA8)=0,"",AB8-LOOKUP(2,1/(Y8:AA8&lt;&gt;""),Y8:AA8)))</t>
        </is>
      </c>
      <c r="AN8" s="36" t="inlineStr">
        <is>
          <t>IF(OR(E8="",AC8=""),"",IF(COUNT(Y8:AB8)=0,"",AC8-LOOKUP(2,1/(Y8:AB8&lt;&gt;""),Y8:AB8)))</t>
        </is>
      </c>
      <c r="AO8" s="36" t="inlineStr">
        <is>
          <t>IF(OR(E8="",AD8=""),"",IF(COUNT(Y8:AC8)=0,"",AD8-LOOKUP(2,1/(Y8:AC8&lt;&gt;""),Y8:AC8)))</t>
        </is>
      </c>
      <c r="AP8" s="36" t="inlineStr">
        <is>
          <t>IF(OR(E8="",AE8=""),"",IF(COUNT(Y8:AD8)=0,"",AE8-LOOKUP(2,1/(Y8:AD8&lt;&gt;""),Y8:AD8)))</t>
        </is>
      </c>
      <c r="AQ8" s="36" t="inlineStr">
        <is>
          <t>IF(OR(E8="",AF8=""),"",IF(COUNT(Y8:AE8)=0,"",AF8-LOOKUP(2,1/(Y8:AE8&lt;&gt;""),Y8:AE8)))</t>
        </is>
      </c>
      <c r="AR8" s="36" t="inlineStr">
        <is>
          <t>IF(OR(E8="",AG8=""),"",IF(COUNT(Y8:AF8)=0,"",AG8-LOOKUP(2,1/(Y8:AF8&lt;&gt;""),Y8:AF8)))</t>
        </is>
      </c>
      <c r="AS8" s="36" t="inlineStr">
        <is>
          <t>IF(OR(E8="",AH8=""),"",IF(COUNT(Y8:AG8)=0,"",AH8-LOOKUP(2,1/(Y8:AG8&lt;&gt;""),Y8:AG8)))</t>
        </is>
      </c>
      <c r="AT8" s="36" t="inlineStr">
        <is>
          <t>IF(OR(E8="",AI8=""),"",IF(COUNT(Y8:AH8)=0,"",AI8-LOOKUP(2,1/(Y8:AH8&lt;&gt;""),Y8:AH8)))</t>
        </is>
      </c>
      <c r="AU8" s="36" t="inlineStr">
        <is>
          <t>IF(OR(E8="",AJ8=""),"",IF(COUNT(Y8:AI8)=0,"",AJ8-LOOKUP(2,1/(Y8:AI8&lt;&gt;""),Y8:AI8)))</t>
        </is>
      </c>
      <c r="AV8" s="39" t="inlineStr">
        <is>
          <t>IF(G8="","All_Provinces",IFERROR(VLOOKUP(G8,'07_Lookups'!$A$4:$B$20,2,FALSE),"All_Provinces"))</t>
        </is>
      </c>
      <c r="AW8" s="39" t="inlineStr">
        <is>
          <t>IF(H8="","All_Districts",IFERROR(VLOOKUP(H8,'07_Lookups'!$E$4:$F$42,2,FALSE),"All_Districts"))</t>
        </is>
      </c>
    </row>
    <row r="9" ht="18" customHeight="1">
      <c r="A9" s="31" t="inlineStr">
        <is>
          <t>IF(E9="","",ROW()-3)</t>
        </is>
      </c>
      <c r="B9" s="40" t="n"/>
      <c r="C9" s="40" t="n"/>
      <c r="D9" s="40" t="n"/>
      <c r="E9" s="40" t="n"/>
      <c r="F9" s="40" t="n"/>
      <c r="G9" s="40" t="n"/>
      <c r="H9" s="40" t="n"/>
      <c r="I9" s="40" t="n"/>
      <c r="J9" s="40" t="n"/>
      <c r="K9" s="40" t="n"/>
      <c r="L9" s="40" t="n"/>
      <c r="M9" s="40" t="n"/>
      <c r="N9" s="41" t="n"/>
      <c r="O9" s="34" t="inlineStr">
        <is>
          <t>IF(AE9="","",AE9)</t>
        </is>
      </c>
      <c r="P9" s="42" t="n"/>
      <c r="Q9" s="34" t="inlineStr">
        <is>
          <t>IF(OR(O9="",P9=""),"",EDATE(O9,P9))</t>
        </is>
      </c>
      <c r="R9" s="42" t="n"/>
      <c r="S9" s="40" t="n"/>
      <c r="T9" s="40" t="n"/>
      <c r="U9" s="31" t="inlineStr">
        <is>
          <t>IF(E9="","",IF(COUNT(Y9:AJ9)=0,IF(S9="","Not started",S9),SUBSTITUTE(LOOKUP(2,1/(Y9:AJ9&lt;&gt;""),$Y$3:$AJ$3),"Date: ","")))</t>
        </is>
      </c>
      <c r="V9" s="36" t="inlineStr">
        <is>
          <t>IF(OR(E9="",COUNT(Y9:AJ9)=0),"",TODAY()-LOOKUP(2,1/(Y9:AJ9&lt;&gt;""),Y9:AJ9))</t>
        </is>
      </c>
      <c r="W9" s="36" t="inlineStr">
        <is>
          <t>IF(OR(E9="",COUNT(Y9:AJ9)&lt;2),"",LOOKUP(2,1/(Y9:AJ9&lt;&gt;""),Y9:AJ9)-MIN(Y9:AJ9))</t>
        </is>
      </c>
      <c r="X9" s="36" t="inlineStr">
        <is>
          <t>IF(OR(V9="",U9="Not started",U9=""),"",IFERROR(V9-IF(VLOOKUP(U9,'04_Status_Pipeline'!$B$3:$E$20,4,FALSE)="",0,VLOOKUP(U9,'04_Status_Pipeline'!$B$3:$E$20,4,FALSE)),""))</t>
        </is>
      </c>
      <c r="Y9" s="43" t="n"/>
      <c r="Z9" s="43" t="n"/>
      <c r="AA9" s="43" t="n"/>
      <c r="AB9" s="43" t="n"/>
      <c r="AC9" s="43" t="n"/>
      <c r="AD9" s="43" t="n"/>
      <c r="AE9" s="43" t="n"/>
      <c r="AF9" s="43" t="n"/>
      <c r="AG9" s="43" t="n"/>
      <c r="AH9" s="38" t="n"/>
      <c r="AI9" s="38" t="n"/>
      <c r="AJ9" s="38" t="n"/>
      <c r="AK9" s="36" t="inlineStr">
        <is>
          <t>IF(OR(E9="",Z9=""),"",IF(COUNT(Y9:Y9)=0,"",Z9-LOOKUP(2,1/(Y9:Y9&lt;&gt;""),Y9:Y9)))</t>
        </is>
      </c>
      <c r="AL9" s="36" t="inlineStr">
        <is>
          <t>IF(OR(E9="",AA9=""),"",IF(COUNT(Y9:Z9)=0,"",AA9-LOOKUP(2,1/(Y9:Z9&lt;&gt;""),Y9:Z9)))</t>
        </is>
      </c>
      <c r="AM9" s="36" t="inlineStr">
        <is>
          <t>IF(OR(E9="",AB9=""),"",IF(COUNT(Y9:AA9)=0,"",AB9-LOOKUP(2,1/(Y9:AA9&lt;&gt;""),Y9:AA9)))</t>
        </is>
      </c>
      <c r="AN9" s="36" t="inlineStr">
        <is>
          <t>IF(OR(E9="",AC9=""),"",IF(COUNT(Y9:AB9)=0,"",AC9-LOOKUP(2,1/(Y9:AB9&lt;&gt;""),Y9:AB9)))</t>
        </is>
      </c>
      <c r="AO9" s="36" t="inlineStr">
        <is>
          <t>IF(OR(E9="",AD9=""),"",IF(COUNT(Y9:AC9)=0,"",AD9-LOOKUP(2,1/(Y9:AC9&lt;&gt;""),Y9:AC9)))</t>
        </is>
      </c>
      <c r="AP9" s="36" t="inlineStr">
        <is>
          <t>IF(OR(E9="",AE9=""),"",IF(COUNT(Y9:AD9)=0,"",AE9-LOOKUP(2,1/(Y9:AD9&lt;&gt;""),Y9:AD9)))</t>
        </is>
      </c>
      <c r="AQ9" s="36" t="inlineStr">
        <is>
          <t>IF(OR(E9="",AF9=""),"",IF(COUNT(Y9:AE9)=0,"",AF9-LOOKUP(2,1/(Y9:AE9&lt;&gt;""),Y9:AE9)))</t>
        </is>
      </c>
      <c r="AR9" s="36" t="inlineStr">
        <is>
          <t>IF(OR(E9="",AG9=""),"",IF(COUNT(Y9:AF9)=0,"",AG9-LOOKUP(2,1/(Y9:AF9&lt;&gt;""),Y9:AF9)))</t>
        </is>
      </c>
      <c r="AS9" s="36" t="inlineStr">
        <is>
          <t>IF(OR(E9="",AH9=""),"",IF(COUNT(Y9:AG9)=0,"",AH9-LOOKUP(2,1/(Y9:AG9&lt;&gt;""),Y9:AG9)))</t>
        </is>
      </c>
      <c r="AT9" s="36" t="inlineStr">
        <is>
          <t>IF(OR(E9="",AI9=""),"",IF(COUNT(Y9:AH9)=0,"",AI9-LOOKUP(2,1/(Y9:AH9&lt;&gt;""),Y9:AH9)))</t>
        </is>
      </c>
      <c r="AU9" s="36" t="inlineStr">
        <is>
          <t>IF(OR(E9="",AJ9=""),"",IF(COUNT(Y9:AI9)=0,"",AJ9-LOOKUP(2,1/(Y9:AI9&lt;&gt;""),Y9:AI9)))</t>
        </is>
      </c>
      <c r="AV9" s="39" t="inlineStr">
        <is>
          <t>IF(G9="","All_Provinces",IFERROR(VLOOKUP(G9,'07_Lookups'!$A$4:$B$20,2,FALSE),"All_Provinces"))</t>
        </is>
      </c>
      <c r="AW9" s="39" t="inlineStr">
        <is>
          <t>IF(H9="","All_Districts",IFERROR(VLOOKUP(H9,'07_Lookups'!$E$4:$F$42,2,FALSE),"All_Districts"))</t>
        </is>
      </c>
    </row>
    <row r="10" ht="18" customHeight="1">
      <c r="A10" s="31" t="inlineStr">
        <is>
          <t>IF(E10="","",ROW()-3)</t>
        </is>
      </c>
      <c r="B10" s="32" t="n"/>
      <c r="C10" s="32" t="n"/>
      <c r="D10" s="32" t="n"/>
      <c r="E10" s="32" t="n"/>
      <c r="F10" s="32" t="n"/>
      <c r="G10" s="32" t="n"/>
      <c r="H10" s="32" t="n"/>
      <c r="I10" s="32" t="n"/>
      <c r="J10" s="32" t="n"/>
      <c r="K10" s="32" t="n"/>
      <c r="L10" s="32" t="n"/>
      <c r="M10" s="32" t="n"/>
      <c r="N10" s="33" t="n"/>
      <c r="O10" s="34" t="inlineStr">
        <is>
          <t>IF(AE10="","",AE10)</t>
        </is>
      </c>
      <c r="P10" s="35" t="n"/>
      <c r="Q10" s="34" t="inlineStr">
        <is>
          <t>IF(OR(O10="",P10=""),"",EDATE(O10,P10))</t>
        </is>
      </c>
      <c r="R10" s="35" t="n"/>
      <c r="S10" s="32" t="n"/>
      <c r="T10" s="32" t="n"/>
      <c r="U10" s="31" t="inlineStr">
        <is>
          <t>IF(E10="","",IF(COUNT(Y10:AJ10)=0,IF(S10="","Not started",S10),SUBSTITUTE(LOOKUP(2,1/(Y10:AJ10&lt;&gt;""),$Y$3:$AJ$3),"Date: ","")))</t>
        </is>
      </c>
      <c r="V10" s="36" t="inlineStr">
        <is>
          <t>IF(OR(E10="",COUNT(Y10:AJ10)=0),"",TODAY()-LOOKUP(2,1/(Y10:AJ10&lt;&gt;""),Y10:AJ10))</t>
        </is>
      </c>
      <c r="W10" s="36" t="inlineStr">
        <is>
          <t>IF(OR(E10="",COUNT(Y10:AJ10)&lt;2),"",LOOKUP(2,1/(Y10:AJ10&lt;&gt;""),Y10:AJ10)-MIN(Y10:AJ10))</t>
        </is>
      </c>
      <c r="X10" s="36" t="inlineStr">
        <is>
          <t>IF(OR(V10="",U10="Not started",U10=""),"",IFERROR(V10-IF(VLOOKUP(U10,'04_Status_Pipeline'!$B$3:$E$20,4,FALSE)="",0,VLOOKUP(U10,'04_Status_Pipeline'!$B$3:$E$20,4,FALSE)),""))</t>
        </is>
      </c>
      <c r="Y10" s="37" t="n"/>
      <c r="Z10" s="37" t="n"/>
      <c r="AA10" s="37" t="n"/>
      <c r="AB10" s="37" t="n"/>
      <c r="AC10" s="37" t="n"/>
      <c r="AD10" s="37" t="n"/>
      <c r="AE10" s="37" t="n"/>
      <c r="AF10" s="37" t="n"/>
      <c r="AG10" s="37" t="n"/>
      <c r="AH10" s="38" t="n"/>
      <c r="AI10" s="38" t="n"/>
      <c r="AJ10" s="38" t="n"/>
      <c r="AK10" s="36" t="inlineStr">
        <is>
          <t>IF(OR(E10="",Z10=""),"",IF(COUNT(Y10:Y10)=0,"",Z10-LOOKUP(2,1/(Y10:Y10&lt;&gt;""),Y10:Y10)))</t>
        </is>
      </c>
      <c r="AL10" s="36" t="inlineStr">
        <is>
          <t>IF(OR(E10="",AA10=""),"",IF(COUNT(Y10:Z10)=0,"",AA10-LOOKUP(2,1/(Y10:Z10&lt;&gt;""),Y10:Z10)))</t>
        </is>
      </c>
      <c r="AM10" s="36" t="inlineStr">
        <is>
          <t>IF(OR(E10="",AB10=""),"",IF(COUNT(Y10:AA10)=0,"",AB10-LOOKUP(2,1/(Y10:AA10&lt;&gt;""),Y10:AA10)))</t>
        </is>
      </c>
      <c r="AN10" s="36" t="inlineStr">
        <is>
          <t>IF(OR(E10="",AC10=""),"",IF(COUNT(Y10:AB10)=0,"",AC10-LOOKUP(2,1/(Y10:AB10&lt;&gt;""),Y10:AB10)))</t>
        </is>
      </c>
      <c r="AO10" s="36" t="inlineStr">
        <is>
          <t>IF(OR(E10="",AD10=""),"",IF(COUNT(Y10:AC10)=0,"",AD10-LOOKUP(2,1/(Y10:AC10&lt;&gt;""),Y10:AC10)))</t>
        </is>
      </c>
      <c r="AP10" s="36" t="inlineStr">
        <is>
          <t>IF(OR(E10="",AE10=""),"",IF(COUNT(Y10:AD10)=0,"",AE10-LOOKUP(2,1/(Y10:AD10&lt;&gt;""),Y10:AD10)))</t>
        </is>
      </c>
      <c r="AQ10" s="36" t="inlineStr">
        <is>
          <t>IF(OR(E10="",AF10=""),"",IF(COUNT(Y10:AE10)=0,"",AF10-LOOKUP(2,1/(Y10:AE10&lt;&gt;""),Y10:AE10)))</t>
        </is>
      </c>
      <c r="AR10" s="36" t="inlineStr">
        <is>
          <t>IF(OR(E10="",AG10=""),"",IF(COUNT(Y10:AF10)=0,"",AG10-LOOKUP(2,1/(Y10:AF10&lt;&gt;""),Y10:AF10)))</t>
        </is>
      </c>
      <c r="AS10" s="36" t="inlineStr">
        <is>
          <t>IF(OR(E10="",AH10=""),"",IF(COUNT(Y10:AG10)=0,"",AH10-LOOKUP(2,1/(Y10:AG10&lt;&gt;""),Y10:AG10)))</t>
        </is>
      </c>
      <c r="AT10" s="36" t="inlineStr">
        <is>
          <t>IF(OR(E10="",AI10=""),"",IF(COUNT(Y10:AH10)=0,"",AI10-LOOKUP(2,1/(Y10:AH10&lt;&gt;""),Y10:AH10)))</t>
        </is>
      </c>
      <c r="AU10" s="36" t="inlineStr">
        <is>
          <t>IF(OR(E10="",AJ10=""),"",IF(COUNT(Y10:AI10)=0,"",AJ10-LOOKUP(2,1/(Y10:AI10&lt;&gt;""),Y10:AI10)))</t>
        </is>
      </c>
      <c r="AV10" s="39" t="inlineStr">
        <is>
          <t>IF(G10="","All_Provinces",IFERROR(VLOOKUP(G10,'07_Lookups'!$A$4:$B$20,2,FALSE),"All_Provinces"))</t>
        </is>
      </c>
      <c r="AW10" s="39" t="inlineStr">
        <is>
          <t>IF(H10="","All_Districts",IFERROR(VLOOKUP(H10,'07_Lookups'!$E$4:$F$42,2,FALSE),"All_Districts"))</t>
        </is>
      </c>
    </row>
    <row r="11" ht="18" customHeight="1">
      <c r="A11" s="31" t="inlineStr">
        <is>
          <t>IF(E11="","",ROW()-3)</t>
        </is>
      </c>
      <c r="B11" s="40" t="n"/>
      <c r="C11" s="40" t="n"/>
      <c r="D11" s="40" t="n"/>
      <c r="E11" s="40" t="n"/>
      <c r="F11" s="40" t="n"/>
      <c r="G11" s="40" t="n"/>
      <c r="H11" s="40" t="n"/>
      <c r="I11" s="40" t="n"/>
      <c r="J11" s="40" t="n"/>
      <c r="K11" s="40" t="n"/>
      <c r="L11" s="40" t="n"/>
      <c r="M11" s="40" t="n"/>
      <c r="N11" s="41" t="n"/>
      <c r="O11" s="34" t="inlineStr">
        <is>
          <t>IF(AE11="","",AE11)</t>
        </is>
      </c>
      <c r="P11" s="42" t="n"/>
      <c r="Q11" s="34" t="inlineStr">
        <is>
          <t>IF(OR(O11="",P11=""),"",EDATE(O11,P11))</t>
        </is>
      </c>
      <c r="R11" s="42" t="n"/>
      <c r="S11" s="40" t="n"/>
      <c r="T11" s="40" t="n"/>
      <c r="U11" s="31" t="inlineStr">
        <is>
          <t>IF(E11="","",IF(COUNT(Y11:AJ11)=0,IF(S11="","Not started",S11),SUBSTITUTE(LOOKUP(2,1/(Y11:AJ11&lt;&gt;""),$Y$3:$AJ$3),"Date: ","")))</t>
        </is>
      </c>
      <c r="V11" s="36" t="inlineStr">
        <is>
          <t>IF(OR(E11="",COUNT(Y11:AJ11)=0),"",TODAY()-LOOKUP(2,1/(Y11:AJ11&lt;&gt;""),Y11:AJ11))</t>
        </is>
      </c>
      <c r="W11" s="36" t="inlineStr">
        <is>
          <t>IF(OR(E11="",COUNT(Y11:AJ11)&lt;2),"",LOOKUP(2,1/(Y11:AJ11&lt;&gt;""),Y11:AJ11)-MIN(Y11:AJ11))</t>
        </is>
      </c>
      <c r="X11" s="36" t="inlineStr">
        <is>
          <t>IF(OR(V11="",U11="Not started",U11=""),"",IFERROR(V11-IF(VLOOKUP(U11,'04_Status_Pipeline'!$B$3:$E$20,4,FALSE)="",0,VLOOKUP(U11,'04_Status_Pipeline'!$B$3:$E$20,4,FALSE)),""))</t>
        </is>
      </c>
      <c r="Y11" s="43" t="n"/>
      <c r="Z11" s="43" t="n"/>
      <c r="AA11" s="43" t="n"/>
      <c r="AB11" s="43" t="n"/>
      <c r="AC11" s="43" t="n"/>
      <c r="AD11" s="43" t="n"/>
      <c r="AE11" s="43" t="n"/>
      <c r="AF11" s="43" t="n"/>
      <c r="AG11" s="43" t="n"/>
      <c r="AH11" s="38" t="n"/>
      <c r="AI11" s="38" t="n"/>
      <c r="AJ11" s="38" t="n"/>
      <c r="AK11" s="36" t="inlineStr">
        <is>
          <t>IF(OR(E11="",Z11=""),"",IF(COUNT(Y11:Y11)=0,"",Z11-LOOKUP(2,1/(Y11:Y11&lt;&gt;""),Y11:Y11)))</t>
        </is>
      </c>
      <c r="AL11" s="36" t="inlineStr">
        <is>
          <t>IF(OR(E11="",AA11=""),"",IF(COUNT(Y11:Z11)=0,"",AA11-LOOKUP(2,1/(Y11:Z11&lt;&gt;""),Y11:Z11)))</t>
        </is>
      </c>
      <c r="AM11" s="36" t="inlineStr">
        <is>
          <t>IF(OR(E11="",AB11=""),"",IF(COUNT(Y11:AA11)=0,"",AB11-LOOKUP(2,1/(Y11:AA11&lt;&gt;""),Y11:AA11)))</t>
        </is>
      </c>
      <c r="AN11" s="36" t="inlineStr">
        <is>
          <t>IF(OR(E11="",AC11=""),"",IF(COUNT(Y11:AB11)=0,"",AC11-LOOKUP(2,1/(Y11:AB11&lt;&gt;""),Y11:AB11)))</t>
        </is>
      </c>
      <c r="AO11" s="36" t="inlineStr">
        <is>
          <t>IF(OR(E11="",AD11=""),"",IF(COUNT(Y11:AC11)=0,"",AD11-LOOKUP(2,1/(Y11:AC11&lt;&gt;""),Y11:AC11)))</t>
        </is>
      </c>
      <c r="AP11" s="36" t="inlineStr">
        <is>
          <t>IF(OR(E11="",AE11=""),"",IF(COUNT(Y11:AD11)=0,"",AE11-LOOKUP(2,1/(Y11:AD11&lt;&gt;""),Y11:AD11)))</t>
        </is>
      </c>
      <c r="AQ11" s="36" t="inlineStr">
        <is>
          <t>IF(OR(E11="",AF11=""),"",IF(COUNT(Y11:AE11)=0,"",AF11-LOOKUP(2,1/(Y11:AE11&lt;&gt;""),Y11:AE11)))</t>
        </is>
      </c>
      <c r="AR11" s="36" t="inlineStr">
        <is>
          <t>IF(OR(E11="",AG11=""),"",IF(COUNT(Y11:AF11)=0,"",AG11-LOOKUP(2,1/(Y11:AF11&lt;&gt;""),Y11:AF11)))</t>
        </is>
      </c>
      <c r="AS11" s="36" t="inlineStr">
        <is>
          <t>IF(OR(E11="",AH11=""),"",IF(COUNT(Y11:AG11)=0,"",AH11-LOOKUP(2,1/(Y11:AG11&lt;&gt;""),Y11:AG11)))</t>
        </is>
      </c>
      <c r="AT11" s="36" t="inlineStr">
        <is>
          <t>IF(OR(E11="",AI11=""),"",IF(COUNT(Y11:AH11)=0,"",AI11-LOOKUP(2,1/(Y11:AH11&lt;&gt;""),Y11:AH11)))</t>
        </is>
      </c>
      <c r="AU11" s="36" t="inlineStr">
        <is>
          <t>IF(OR(E11="",AJ11=""),"",IF(COUNT(Y11:AI11)=0,"",AJ11-LOOKUP(2,1/(Y11:AI11&lt;&gt;""),Y11:AI11)))</t>
        </is>
      </c>
      <c r="AV11" s="39" t="inlineStr">
        <is>
          <t>IF(G11="","All_Provinces",IFERROR(VLOOKUP(G11,'07_Lookups'!$A$4:$B$20,2,FALSE),"All_Provinces"))</t>
        </is>
      </c>
      <c r="AW11" s="39" t="inlineStr">
        <is>
          <t>IF(H11="","All_Districts",IFERROR(VLOOKUP(H11,'07_Lookups'!$E$4:$F$42,2,FALSE),"All_Districts"))</t>
        </is>
      </c>
    </row>
    <row r="12" ht="18" customHeight="1">
      <c r="A12" s="31" t="inlineStr">
        <is>
          <t>IF(E12="","",ROW()-3)</t>
        </is>
      </c>
      <c r="B12" s="32" t="n"/>
      <c r="C12" s="32" t="n"/>
      <c r="D12" s="32" t="n"/>
      <c r="E12" s="32" t="n"/>
      <c r="F12" s="32" t="n"/>
      <c r="G12" s="32" t="n"/>
      <c r="H12" s="32" t="n"/>
      <c r="I12" s="32" t="n"/>
      <c r="J12" s="32" t="n"/>
      <c r="K12" s="32" t="n"/>
      <c r="L12" s="32" t="n"/>
      <c r="M12" s="32" t="n"/>
      <c r="N12" s="33" t="n"/>
      <c r="O12" s="34" t="inlineStr">
        <is>
          <t>IF(AE12="","",AE12)</t>
        </is>
      </c>
      <c r="P12" s="35" t="n"/>
      <c r="Q12" s="34" t="inlineStr">
        <is>
          <t>IF(OR(O12="",P12=""),"",EDATE(O12,P12))</t>
        </is>
      </c>
      <c r="R12" s="35" t="n"/>
      <c r="S12" s="32" t="n"/>
      <c r="T12" s="32" t="n"/>
      <c r="U12" s="31" t="inlineStr">
        <is>
          <t>IF(E12="","",IF(COUNT(Y12:AJ12)=0,IF(S12="","Not started",S12),SUBSTITUTE(LOOKUP(2,1/(Y12:AJ12&lt;&gt;""),$Y$3:$AJ$3),"Date: ","")))</t>
        </is>
      </c>
      <c r="V12" s="36" t="inlineStr">
        <is>
          <t>IF(OR(E12="",COUNT(Y12:AJ12)=0),"",TODAY()-LOOKUP(2,1/(Y12:AJ12&lt;&gt;""),Y12:AJ12))</t>
        </is>
      </c>
      <c r="W12" s="36" t="inlineStr">
        <is>
          <t>IF(OR(E12="",COUNT(Y12:AJ12)&lt;2),"",LOOKUP(2,1/(Y12:AJ12&lt;&gt;""),Y12:AJ12)-MIN(Y12:AJ12))</t>
        </is>
      </c>
      <c r="X12" s="36" t="inlineStr">
        <is>
          <t>IF(OR(V12="",U12="Not started",U12=""),"",IFERROR(V12-IF(VLOOKUP(U12,'04_Status_Pipeline'!$B$3:$E$20,4,FALSE)="",0,VLOOKUP(U12,'04_Status_Pipeline'!$B$3:$E$20,4,FALSE)),""))</t>
        </is>
      </c>
      <c r="Y12" s="37" t="n"/>
      <c r="Z12" s="37" t="n"/>
      <c r="AA12" s="37" t="n"/>
      <c r="AB12" s="37" t="n"/>
      <c r="AC12" s="37" t="n"/>
      <c r="AD12" s="37" t="n"/>
      <c r="AE12" s="37" t="n"/>
      <c r="AF12" s="37" t="n"/>
      <c r="AG12" s="37" t="n"/>
      <c r="AH12" s="38" t="n"/>
      <c r="AI12" s="38" t="n"/>
      <c r="AJ12" s="38" t="n"/>
      <c r="AK12" s="36" t="inlineStr">
        <is>
          <t>IF(OR(E12="",Z12=""),"",IF(COUNT(Y12:Y12)=0,"",Z12-LOOKUP(2,1/(Y12:Y12&lt;&gt;""),Y12:Y12)))</t>
        </is>
      </c>
      <c r="AL12" s="36" t="inlineStr">
        <is>
          <t>IF(OR(E12="",AA12=""),"",IF(COUNT(Y12:Z12)=0,"",AA12-LOOKUP(2,1/(Y12:Z12&lt;&gt;""),Y12:Z12)))</t>
        </is>
      </c>
      <c r="AM12" s="36" t="inlineStr">
        <is>
          <t>IF(OR(E12="",AB12=""),"",IF(COUNT(Y12:AA12)=0,"",AB12-LOOKUP(2,1/(Y12:AA12&lt;&gt;""),Y12:AA12)))</t>
        </is>
      </c>
      <c r="AN12" s="36" t="inlineStr">
        <is>
          <t>IF(OR(E12="",AC12=""),"",IF(COUNT(Y12:AB12)=0,"",AC12-LOOKUP(2,1/(Y12:AB12&lt;&gt;""),Y12:AB12)))</t>
        </is>
      </c>
      <c r="AO12" s="36" t="inlineStr">
        <is>
          <t>IF(OR(E12="",AD12=""),"",IF(COUNT(Y12:AC12)=0,"",AD12-LOOKUP(2,1/(Y12:AC12&lt;&gt;""),Y12:AC12)))</t>
        </is>
      </c>
      <c r="AP12" s="36" t="inlineStr">
        <is>
          <t>IF(OR(E12="",AE12=""),"",IF(COUNT(Y12:AD12)=0,"",AE12-LOOKUP(2,1/(Y12:AD12&lt;&gt;""),Y12:AD12)))</t>
        </is>
      </c>
      <c r="AQ12" s="36" t="inlineStr">
        <is>
          <t>IF(OR(E12="",AF12=""),"",IF(COUNT(Y12:AE12)=0,"",AF12-LOOKUP(2,1/(Y12:AE12&lt;&gt;""),Y12:AE12)))</t>
        </is>
      </c>
      <c r="AR12" s="36" t="inlineStr">
        <is>
          <t>IF(OR(E12="",AG12=""),"",IF(COUNT(Y12:AF12)=0,"",AG12-LOOKUP(2,1/(Y12:AF12&lt;&gt;""),Y12:AF12)))</t>
        </is>
      </c>
      <c r="AS12" s="36" t="inlineStr">
        <is>
          <t>IF(OR(E12="",AH12=""),"",IF(COUNT(Y12:AG12)=0,"",AH12-LOOKUP(2,1/(Y12:AG12&lt;&gt;""),Y12:AG12)))</t>
        </is>
      </c>
      <c r="AT12" s="36" t="inlineStr">
        <is>
          <t>IF(OR(E12="",AI12=""),"",IF(COUNT(Y12:AH12)=0,"",AI12-LOOKUP(2,1/(Y12:AH12&lt;&gt;""),Y12:AH12)))</t>
        </is>
      </c>
      <c r="AU12" s="36" t="inlineStr">
        <is>
          <t>IF(OR(E12="",AJ12=""),"",IF(COUNT(Y12:AI12)=0,"",AJ12-LOOKUP(2,1/(Y12:AI12&lt;&gt;""),Y12:AI12)))</t>
        </is>
      </c>
      <c r="AV12" s="39" t="inlineStr">
        <is>
          <t>IF(G12="","All_Provinces",IFERROR(VLOOKUP(G12,'07_Lookups'!$A$4:$B$20,2,FALSE),"All_Provinces"))</t>
        </is>
      </c>
      <c r="AW12" s="39" t="inlineStr">
        <is>
          <t>IF(H12="","All_Districts",IFERROR(VLOOKUP(H12,'07_Lookups'!$E$4:$F$42,2,FALSE),"All_Districts"))</t>
        </is>
      </c>
    </row>
    <row r="13" ht="18" customHeight="1">
      <c r="A13" s="31" t="inlineStr">
        <is>
          <t>IF(E13="","",ROW()-3)</t>
        </is>
      </c>
      <c r="B13" s="40" t="n"/>
      <c r="C13" s="40" t="n"/>
      <c r="D13" s="40" t="n"/>
      <c r="E13" s="40" t="n"/>
      <c r="F13" s="40" t="n"/>
      <c r="G13" s="40" t="n"/>
      <c r="H13" s="40" t="n"/>
      <c r="I13" s="40" t="n"/>
      <c r="J13" s="40" t="n"/>
      <c r="K13" s="40" t="n"/>
      <c r="L13" s="40" t="n"/>
      <c r="M13" s="40" t="n"/>
      <c r="N13" s="41" t="n"/>
      <c r="O13" s="34" t="inlineStr">
        <is>
          <t>IF(AE13="","",AE13)</t>
        </is>
      </c>
      <c r="P13" s="42" t="n"/>
      <c r="Q13" s="34" t="inlineStr">
        <is>
          <t>IF(OR(O13="",P13=""),"",EDATE(O13,P13))</t>
        </is>
      </c>
      <c r="R13" s="42" t="n"/>
      <c r="S13" s="40" t="n"/>
      <c r="T13" s="40" t="n"/>
      <c r="U13" s="31" t="inlineStr">
        <is>
          <t>IF(E13="","",IF(COUNT(Y13:AJ13)=0,IF(S13="","Not started",S13),SUBSTITUTE(LOOKUP(2,1/(Y13:AJ13&lt;&gt;""),$Y$3:$AJ$3),"Date: ","")))</t>
        </is>
      </c>
      <c r="V13" s="36" t="inlineStr">
        <is>
          <t>IF(OR(E13="",COUNT(Y13:AJ13)=0),"",TODAY()-LOOKUP(2,1/(Y13:AJ13&lt;&gt;""),Y13:AJ13))</t>
        </is>
      </c>
      <c r="W13" s="36" t="inlineStr">
        <is>
          <t>IF(OR(E13="",COUNT(Y13:AJ13)&lt;2),"",LOOKUP(2,1/(Y13:AJ13&lt;&gt;""),Y13:AJ13)-MIN(Y13:AJ13))</t>
        </is>
      </c>
      <c r="X13" s="36" t="inlineStr">
        <is>
          <t>IF(OR(V13="",U13="Not started",U13=""),"",IFERROR(V13-IF(VLOOKUP(U13,'04_Status_Pipeline'!$B$3:$E$20,4,FALSE)="",0,VLOOKUP(U13,'04_Status_Pipeline'!$B$3:$E$20,4,FALSE)),""))</t>
        </is>
      </c>
      <c r="Y13" s="43" t="n"/>
      <c r="Z13" s="43" t="n"/>
      <c r="AA13" s="43" t="n"/>
      <c r="AB13" s="43" t="n"/>
      <c r="AC13" s="43" t="n"/>
      <c r="AD13" s="43" t="n"/>
      <c r="AE13" s="43" t="n"/>
      <c r="AF13" s="43" t="n"/>
      <c r="AG13" s="43" t="n"/>
      <c r="AH13" s="38" t="n"/>
      <c r="AI13" s="38" t="n"/>
      <c r="AJ13" s="38" t="n"/>
      <c r="AK13" s="36" t="inlineStr">
        <is>
          <t>IF(OR(E13="",Z13=""),"",IF(COUNT(Y13:Y13)=0,"",Z13-LOOKUP(2,1/(Y13:Y13&lt;&gt;""),Y13:Y13)))</t>
        </is>
      </c>
      <c r="AL13" s="36" t="inlineStr">
        <is>
          <t>IF(OR(E13="",AA13=""),"",IF(COUNT(Y13:Z13)=0,"",AA13-LOOKUP(2,1/(Y13:Z13&lt;&gt;""),Y13:Z13)))</t>
        </is>
      </c>
      <c r="AM13" s="36" t="inlineStr">
        <is>
          <t>IF(OR(E13="",AB13=""),"",IF(COUNT(Y13:AA13)=0,"",AB13-LOOKUP(2,1/(Y13:AA13&lt;&gt;""),Y13:AA13)))</t>
        </is>
      </c>
      <c r="AN13" s="36" t="inlineStr">
        <is>
          <t>IF(OR(E13="",AC13=""),"",IF(COUNT(Y13:AB13)=0,"",AC13-LOOKUP(2,1/(Y13:AB13&lt;&gt;""),Y13:AB13)))</t>
        </is>
      </c>
      <c r="AO13" s="36" t="inlineStr">
        <is>
          <t>IF(OR(E13="",AD13=""),"",IF(COUNT(Y13:AC13)=0,"",AD13-LOOKUP(2,1/(Y13:AC13&lt;&gt;""),Y13:AC13)))</t>
        </is>
      </c>
      <c r="AP13" s="36" t="inlineStr">
        <is>
          <t>IF(OR(E13="",AE13=""),"",IF(COUNT(Y13:AD13)=0,"",AE13-LOOKUP(2,1/(Y13:AD13&lt;&gt;""),Y13:AD13)))</t>
        </is>
      </c>
      <c r="AQ13" s="36" t="inlineStr">
        <is>
          <t>IF(OR(E13="",AF13=""),"",IF(COUNT(Y13:AE13)=0,"",AF13-LOOKUP(2,1/(Y13:AE13&lt;&gt;""),Y13:AE13)))</t>
        </is>
      </c>
      <c r="AR13" s="36" t="inlineStr">
        <is>
          <t>IF(OR(E13="",AG13=""),"",IF(COUNT(Y13:AF13)=0,"",AG13-LOOKUP(2,1/(Y13:AF13&lt;&gt;""),Y13:AF13)))</t>
        </is>
      </c>
      <c r="AS13" s="36" t="inlineStr">
        <is>
          <t>IF(OR(E13="",AH13=""),"",IF(COUNT(Y13:AG13)=0,"",AH13-LOOKUP(2,1/(Y13:AG13&lt;&gt;""),Y13:AG13)))</t>
        </is>
      </c>
      <c r="AT13" s="36" t="inlineStr">
        <is>
          <t>IF(OR(E13="",AI13=""),"",IF(COUNT(Y13:AH13)=0,"",AI13-LOOKUP(2,1/(Y13:AH13&lt;&gt;""),Y13:AH13)))</t>
        </is>
      </c>
      <c r="AU13" s="36" t="inlineStr">
        <is>
          <t>IF(OR(E13="",AJ13=""),"",IF(COUNT(Y13:AI13)=0,"",AJ13-LOOKUP(2,1/(Y13:AI13&lt;&gt;""),Y13:AI13)))</t>
        </is>
      </c>
      <c r="AV13" s="39" t="inlineStr">
        <is>
          <t>IF(G13="","All_Provinces",IFERROR(VLOOKUP(G13,'07_Lookups'!$A$4:$B$20,2,FALSE),"All_Provinces"))</t>
        </is>
      </c>
      <c r="AW13" s="39" t="inlineStr">
        <is>
          <t>IF(H13="","All_Districts",IFERROR(VLOOKUP(H13,'07_Lookups'!$E$4:$F$42,2,FALSE),"All_Districts"))</t>
        </is>
      </c>
    </row>
    <row r="14" ht="18" customHeight="1">
      <c r="A14" s="31" t="inlineStr">
        <is>
          <t>IF(E14="","",ROW()-3)</t>
        </is>
      </c>
      <c r="B14" s="32" t="n"/>
      <c r="C14" s="32" t="n"/>
      <c r="D14" s="32" t="n"/>
      <c r="E14" s="32" t="n"/>
      <c r="F14" s="32" t="n"/>
      <c r="G14" s="32" t="n"/>
      <c r="H14" s="32" t="n"/>
      <c r="I14" s="32" t="n"/>
      <c r="J14" s="32" t="n"/>
      <c r="K14" s="32" t="n"/>
      <c r="L14" s="32" t="n"/>
      <c r="M14" s="32" t="n"/>
      <c r="N14" s="33" t="n"/>
      <c r="O14" s="34" t="inlineStr">
        <is>
          <t>IF(AE14="","",AE14)</t>
        </is>
      </c>
      <c r="P14" s="35" t="n"/>
      <c r="Q14" s="34" t="inlineStr">
        <is>
          <t>IF(OR(O14="",P14=""),"",EDATE(O14,P14))</t>
        </is>
      </c>
      <c r="R14" s="35" t="n"/>
      <c r="S14" s="32" t="n"/>
      <c r="T14" s="32" t="n"/>
      <c r="U14" s="31" t="inlineStr">
        <is>
          <t>IF(E14="","",IF(COUNT(Y14:AJ14)=0,IF(S14="","Not started",S14),SUBSTITUTE(LOOKUP(2,1/(Y14:AJ14&lt;&gt;""),$Y$3:$AJ$3),"Date: ","")))</t>
        </is>
      </c>
      <c r="V14" s="36" t="inlineStr">
        <is>
          <t>IF(OR(E14="",COUNT(Y14:AJ14)=0),"",TODAY()-LOOKUP(2,1/(Y14:AJ14&lt;&gt;""),Y14:AJ14))</t>
        </is>
      </c>
      <c r="W14" s="36" t="inlineStr">
        <is>
          <t>IF(OR(E14="",COUNT(Y14:AJ14)&lt;2),"",LOOKUP(2,1/(Y14:AJ14&lt;&gt;""),Y14:AJ14)-MIN(Y14:AJ14))</t>
        </is>
      </c>
      <c r="X14" s="36" t="inlineStr">
        <is>
          <t>IF(OR(V14="",U14="Not started",U14=""),"",IFERROR(V14-IF(VLOOKUP(U14,'04_Status_Pipeline'!$B$3:$E$20,4,FALSE)="",0,VLOOKUP(U14,'04_Status_Pipeline'!$B$3:$E$20,4,FALSE)),""))</t>
        </is>
      </c>
      <c r="Y14" s="37" t="n"/>
      <c r="Z14" s="37" t="n"/>
      <c r="AA14" s="37" t="n"/>
      <c r="AB14" s="37" t="n"/>
      <c r="AC14" s="37" t="n"/>
      <c r="AD14" s="37" t="n"/>
      <c r="AE14" s="37" t="n"/>
      <c r="AF14" s="37" t="n"/>
      <c r="AG14" s="37" t="n"/>
      <c r="AH14" s="38" t="n"/>
      <c r="AI14" s="38" t="n"/>
      <c r="AJ14" s="38" t="n"/>
      <c r="AK14" s="36" t="inlineStr">
        <is>
          <t>IF(OR(E14="",Z14=""),"",IF(COUNT(Y14:Y14)=0,"",Z14-LOOKUP(2,1/(Y14:Y14&lt;&gt;""),Y14:Y14)))</t>
        </is>
      </c>
      <c r="AL14" s="36" t="inlineStr">
        <is>
          <t>IF(OR(E14="",AA14=""),"",IF(COUNT(Y14:Z14)=0,"",AA14-LOOKUP(2,1/(Y14:Z14&lt;&gt;""),Y14:Z14)))</t>
        </is>
      </c>
      <c r="AM14" s="36" t="inlineStr">
        <is>
          <t>IF(OR(E14="",AB14=""),"",IF(COUNT(Y14:AA14)=0,"",AB14-LOOKUP(2,1/(Y14:AA14&lt;&gt;""),Y14:AA14)))</t>
        </is>
      </c>
      <c r="AN14" s="36" t="inlineStr">
        <is>
          <t>IF(OR(E14="",AC14=""),"",IF(COUNT(Y14:AB14)=0,"",AC14-LOOKUP(2,1/(Y14:AB14&lt;&gt;""),Y14:AB14)))</t>
        </is>
      </c>
      <c r="AO14" s="36" t="inlineStr">
        <is>
          <t>IF(OR(E14="",AD14=""),"",IF(COUNT(Y14:AC14)=0,"",AD14-LOOKUP(2,1/(Y14:AC14&lt;&gt;""),Y14:AC14)))</t>
        </is>
      </c>
      <c r="AP14" s="36" t="inlineStr">
        <is>
          <t>IF(OR(E14="",AE14=""),"",IF(COUNT(Y14:AD14)=0,"",AE14-LOOKUP(2,1/(Y14:AD14&lt;&gt;""),Y14:AD14)))</t>
        </is>
      </c>
      <c r="AQ14" s="36" t="inlineStr">
        <is>
          <t>IF(OR(E14="",AF14=""),"",IF(COUNT(Y14:AE14)=0,"",AF14-LOOKUP(2,1/(Y14:AE14&lt;&gt;""),Y14:AE14)))</t>
        </is>
      </c>
      <c r="AR14" s="36" t="inlineStr">
        <is>
          <t>IF(OR(E14="",AG14=""),"",IF(COUNT(Y14:AF14)=0,"",AG14-LOOKUP(2,1/(Y14:AF14&lt;&gt;""),Y14:AF14)))</t>
        </is>
      </c>
      <c r="AS14" s="36" t="inlineStr">
        <is>
          <t>IF(OR(E14="",AH14=""),"",IF(COUNT(Y14:AG14)=0,"",AH14-LOOKUP(2,1/(Y14:AG14&lt;&gt;""),Y14:AG14)))</t>
        </is>
      </c>
      <c r="AT14" s="36" t="inlineStr">
        <is>
          <t>IF(OR(E14="",AI14=""),"",IF(COUNT(Y14:AH14)=0,"",AI14-LOOKUP(2,1/(Y14:AH14&lt;&gt;""),Y14:AH14)))</t>
        </is>
      </c>
      <c r="AU14" s="36" t="inlineStr">
        <is>
          <t>IF(OR(E14="",AJ14=""),"",IF(COUNT(Y14:AI14)=0,"",AJ14-LOOKUP(2,1/(Y14:AI14&lt;&gt;""),Y14:AI14)))</t>
        </is>
      </c>
      <c r="AV14" s="39" t="inlineStr">
        <is>
          <t>IF(G14="","All_Provinces",IFERROR(VLOOKUP(G14,'07_Lookups'!$A$4:$B$20,2,FALSE),"All_Provinces"))</t>
        </is>
      </c>
      <c r="AW14" s="39" t="inlineStr">
        <is>
          <t>IF(H14="","All_Districts",IFERROR(VLOOKUP(H14,'07_Lookups'!$E$4:$F$42,2,FALSE),"All_Districts"))</t>
        </is>
      </c>
    </row>
    <row r="15" ht="18" customHeight="1">
      <c r="A15" s="31" t="inlineStr">
        <is>
          <t>IF(E15="","",ROW()-3)</t>
        </is>
      </c>
      <c r="B15" s="40" t="n"/>
      <c r="C15" s="40" t="n"/>
      <c r="D15" s="40" t="n"/>
      <c r="E15" s="40" t="n"/>
      <c r="F15" s="40" t="n"/>
      <c r="G15" s="40" t="n"/>
      <c r="H15" s="40" t="n"/>
      <c r="I15" s="40" t="n"/>
      <c r="J15" s="40" t="n"/>
      <c r="K15" s="40" t="n"/>
      <c r="L15" s="40" t="n"/>
      <c r="M15" s="40" t="n"/>
      <c r="N15" s="41" t="n"/>
      <c r="O15" s="34" t="inlineStr">
        <is>
          <t>IF(AE15="","",AE15)</t>
        </is>
      </c>
      <c r="P15" s="42" t="n"/>
      <c r="Q15" s="34" t="inlineStr">
        <is>
          <t>IF(OR(O15="",P15=""),"",EDATE(O15,P15))</t>
        </is>
      </c>
      <c r="R15" s="42" t="n"/>
      <c r="S15" s="40" t="n"/>
      <c r="T15" s="40" t="n"/>
      <c r="U15" s="31" t="inlineStr">
        <is>
          <t>IF(E15="","",IF(COUNT(Y15:AJ15)=0,IF(S15="","Not started",S15),SUBSTITUTE(LOOKUP(2,1/(Y15:AJ15&lt;&gt;""),$Y$3:$AJ$3),"Date: ","")))</t>
        </is>
      </c>
      <c r="V15" s="36" t="inlineStr">
        <is>
          <t>IF(OR(E15="",COUNT(Y15:AJ15)=0),"",TODAY()-LOOKUP(2,1/(Y15:AJ15&lt;&gt;""),Y15:AJ15))</t>
        </is>
      </c>
      <c r="W15" s="36" t="inlineStr">
        <is>
          <t>IF(OR(E15="",COUNT(Y15:AJ15)&lt;2),"",LOOKUP(2,1/(Y15:AJ15&lt;&gt;""),Y15:AJ15)-MIN(Y15:AJ15))</t>
        </is>
      </c>
      <c r="X15" s="36" t="inlineStr">
        <is>
          <t>IF(OR(V15="",U15="Not started",U15=""),"",IFERROR(V15-IF(VLOOKUP(U15,'04_Status_Pipeline'!$B$3:$E$20,4,FALSE)="",0,VLOOKUP(U15,'04_Status_Pipeline'!$B$3:$E$20,4,FALSE)),""))</t>
        </is>
      </c>
      <c r="Y15" s="43" t="n"/>
      <c r="Z15" s="43" t="n"/>
      <c r="AA15" s="43" t="n"/>
      <c r="AB15" s="43" t="n"/>
      <c r="AC15" s="43" t="n"/>
      <c r="AD15" s="43" t="n"/>
      <c r="AE15" s="43" t="n"/>
      <c r="AF15" s="43" t="n"/>
      <c r="AG15" s="43" t="n"/>
      <c r="AH15" s="38" t="n"/>
      <c r="AI15" s="38" t="n"/>
      <c r="AJ15" s="38" t="n"/>
      <c r="AK15" s="36" t="inlineStr">
        <is>
          <t>IF(OR(E15="",Z15=""),"",IF(COUNT(Y15:Y15)=0,"",Z15-LOOKUP(2,1/(Y15:Y15&lt;&gt;""),Y15:Y15)))</t>
        </is>
      </c>
      <c r="AL15" s="36" t="inlineStr">
        <is>
          <t>IF(OR(E15="",AA15=""),"",IF(COUNT(Y15:Z15)=0,"",AA15-LOOKUP(2,1/(Y15:Z15&lt;&gt;""),Y15:Z15)))</t>
        </is>
      </c>
      <c r="AM15" s="36" t="inlineStr">
        <is>
          <t>IF(OR(E15="",AB15=""),"",IF(COUNT(Y15:AA15)=0,"",AB15-LOOKUP(2,1/(Y15:AA15&lt;&gt;""),Y15:AA15)))</t>
        </is>
      </c>
      <c r="AN15" s="36" t="inlineStr">
        <is>
          <t>IF(OR(E15="",AC15=""),"",IF(COUNT(Y15:AB15)=0,"",AC15-LOOKUP(2,1/(Y15:AB15&lt;&gt;""),Y15:AB15)))</t>
        </is>
      </c>
      <c r="AO15" s="36" t="inlineStr">
        <is>
          <t>IF(OR(E15="",AD15=""),"",IF(COUNT(Y15:AC15)=0,"",AD15-LOOKUP(2,1/(Y15:AC15&lt;&gt;""),Y15:AC15)))</t>
        </is>
      </c>
      <c r="AP15" s="36" t="inlineStr">
        <is>
          <t>IF(OR(E15="",AE15=""),"",IF(COUNT(Y15:AD15)=0,"",AE15-LOOKUP(2,1/(Y15:AD15&lt;&gt;""),Y15:AD15)))</t>
        </is>
      </c>
      <c r="AQ15" s="36" t="inlineStr">
        <is>
          <t>IF(OR(E15="",AF15=""),"",IF(COUNT(Y15:AE15)=0,"",AF15-LOOKUP(2,1/(Y15:AE15&lt;&gt;""),Y15:AE15)))</t>
        </is>
      </c>
      <c r="AR15" s="36" t="inlineStr">
        <is>
          <t>IF(OR(E15="",AG15=""),"",IF(COUNT(Y15:AF15)=0,"",AG15-LOOKUP(2,1/(Y15:AF15&lt;&gt;""),Y15:AF15)))</t>
        </is>
      </c>
      <c r="AS15" s="36" t="inlineStr">
        <is>
          <t>IF(OR(E15="",AH15=""),"",IF(COUNT(Y15:AG15)=0,"",AH15-LOOKUP(2,1/(Y15:AG15&lt;&gt;""),Y15:AG15)))</t>
        </is>
      </c>
      <c r="AT15" s="36" t="inlineStr">
        <is>
          <t>IF(OR(E15="",AI15=""),"",IF(COUNT(Y15:AH15)=0,"",AI15-LOOKUP(2,1/(Y15:AH15&lt;&gt;""),Y15:AH15)))</t>
        </is>
      </c>
      <c r="AU15" s="36" t="inlineStr">
        <is>
          <t>IF(OR(E15="",AJ15=""),"",IF(COUNT(Y15:AI15)=0,"",AJ15-LOOKUP(2,1/(Y15:AI15&lt;&gt;""),Y15:AI15)))</t>
        </is>
      </c>
      <c r="AV15" s="39" t="inlineStr">
        <is>
          <t>IF(G15="","All_Provinces",IFERROR(VLOOKUP(G15,'07_Lookups'!$A$4:$B$20,2,FALSE),"All_Provinces"))</t>
        </is>
      </c>
      <c r="AW15" s="39" t="inlineStr">
        <is>
          <t>IF(H15="","All_Districts",IFERROR(VLOOKUP(H15,'07_Lookups'!$E$4:$F$42,2,FALSE),"All_Districts"))</t>
        </is>
      </c>
    </row>
    <row r="16" ht="18" customHeight="1">
      <c r="A16" s="31" t="inlineStr">
        <is>
          <t>IF(E16="","",ROW()-3)</t>
        </is>
      </c>
      <c r="B16" s="32" t="n"/>
      <c r="C16" s="32" t="n"/>
      <c r="D16" s="32" t="n"/>
      <c r="E16" s="32" t="n"/>
      <c r="F16" s="32" t="n"/>
      <c r="G16" s="32" t="n"/>
      <c r="H16" s="32" t="n"/>
      <c r="I16" s="32" t="n"/>
      <c r="J16" s="32" t="n"/>
      <c r="K16" s="32" t="n"/>
      <c r="L16" s="32" t="n"/>
      <c r="M16" s="32" t="n"/>
      <c r="N16" s="33" t="n"/>
      <c r="O16" s="34" t="inlineStr">
        <is>
          <t>IF(AE16="","",AE16)</t>
        </is>
      </c>
      <c r="P16" s="35" t="n"/>
      <c r="Q16" s="34" t="inlineStr">
        <is>
          <t>IF(OR(O16="",P16=""),"",EDATE(O16,P16))</t>
        </is>
      </c>
      <c r="R16" s="35" t="n"/>
      <c r="S16" s="32" t="n"/>
      <c r="T16" s="32" t="n"/>
      <c r="U16" s="31" t="inlineStr">
        <is>
          <t>IF(E16="","",IF(COUNT(Y16:AJ16)=0,IF(S16="","Not started",S16),SUBSTITUTE(LOOKUP(2,1/(Y16:AJ16&lt;&gt;""),$Y$3:$AJ$3),"Date: ","")))</t>
        </is>
      </c>
      <c r="V16" s="36" t="inlineStr">
        <is>
          <t>IF(OR(E16="",COUNT(Y16:AJ16)=0),"",TODAY()-LOOKUP(2,1/(Y16:AJ16&lt;&gt;""),Y16:AJ16))</t>
        </is>
      </c>
      <c r="W16" s="36" t="inlineStr">
        <is>
          <t>IF(OR(E16="",COUNT(Y16:AJ16)&lt;2),"",LOOKUP(2,1/(Y16:AJ16&lt;&gt;""),Y16:AJ16)-MIN(Y16:AJ16))</t>
        </is>
      </c>
      <c r="X16" s="36" t="inlineStr">
        <is>
          <t>IF(OR(V16="",U16="Not started",U16=""),"",IFERROR(V16-IF(VLOOKUP(U16,'04_Status_Pipeline'!$B$3:$E$20,4,FALSE)="",0,VLOOKUP(U16,'04_Status_Pipeline'!$B$3:$E$20,4,FALSE)),""))</t>
        </is>
      </c>
      <c r="Y16" s="37" t="n"/>
      <c r="Z16" s="37" t="n"/>
      <c r="AA16" s="37" t="n"/>
      <c r="AB16" s="37" t="n"/>
      <c r="AC16" s="37" t="n"/>
      <c r="AD16" s="37" t="n"/>
      <c r="AE16" s="37" t="n"/>
      <c r="AF16" s="37" t="n"/>
      <c r="AG16" s="37" t="n"/>
      <c r="AH16" s="38" t="n"/>
      <c r="AI16" s="38" t="n"/>
      <c r="AJ16" s="38" t="n"/>
      <c r="AK16" s="36" t="inlineStr">
        <is>
          <t>IF(OR(E16="",Z16=""),"",IF(COUNT(Y16:Y16)=0,"",Z16-LOOKUP(2,1/(Y16:Y16&lt;&gt;""),Y16:Y16)))</t>
        </is>
      </c>
      <c r="AL16" s="36" t="inlineStr">
        <is>
          <t>IF(OR(E16="",AA16=""),"",IF(COUNT(Y16:Z16)=0,"",AA16-LOOKUP(2,1/(Y16:Z16&lt;&gt;""),Y16:Z16)))</t>
        </is>
      </c>
      <c r="AM16" s="36" t="inlineStr">
        <is>
          <t>IF(OR(E16="",AB16=""),"",IF(COUNT(Y16:AA16)=0,"",AB16-LOOKUP(2,1/(Y16:AA16&lt;&gt;""),Y16:AA16)))</t>
        </is>
      </c>
      <c r="AN16" s="36" t="inlineStr">
        <is>
          <t>IF(OR(E16="",AC16=""),"",IF(COUNT(Y16:AB16)=0,"",AC16-LOOKUP(2,1/(Y16:AB16&lt;&gt;""),Y16:AB16)))</t>
        </is>
      </c>
      <c r="AO16" s="36" t="inlineStr">
        <is>
          <t>IF(OR(E16="",AD16=""),"",IF(COUNT(Y16:AC16)=0,"",AD16-LOOKUP(2,1/(Y16:AC16&lt;&gt;""),Y16:AC16)))</t>
        </is>
      </c>
      <c r="AP16" s="36" t="inlineStr">
        <is>
          <t>IF(OR(E16="",AE16=""),"",IF(COUNT(Y16:AD16)=0,"",AE16-LOOKUP(2,1/(Y16:AD16&lt;&gt;""),Y16:AD16)))</t>
        </is>
      </c>
      <c r="AQ16" s="36" t="inlineStr">
        <is>
          <t>IF(OR(E16="",AF16=""),"",IF(COUNT(Y16:AE16)=0,"",AF16-LOOKUP(2,1/(Y16:AE16&lt;&gt;""),Y16:AE16)))</t>
        </is>
      </c>
      <c r="AR16" s="36" t="inlineStr">
        <is>
          <t>IF(OR(E16="",AG16=""),"",IF(COUNT(Y16:AF16)=0,"",AG16-LOOKUP(2,1/(Y16:AF16&lt;&gt;""),Y16:AF16)))</t>
        </is>
      </c>
      <c r="AS16" s="36" t="inlineStr">
        <is>
          <t>IF(OR(E16="",AH16=""),"",IF(COUNT(Y16:AG16)=0,"",AH16-LOOKUP(2,1/(Y16:AG16&lt;&gt;""),Y16:AG16)))</t>
        </is>
      </c>
      <c r="AT16" s="36" t="inlineStr">
        <is>
          <t>IF(OR(E16="",AI16=""),"",IF(COUNT(Y16:AH16)=0,"",AI16-LOOKUP(2,1/(Y16:AH16&lt;&gt;""),Y16:AH16)))</t>
        </is>
      </c>
      <c r="AU16" s="36" t="inlineStr">
        <is>
          <t>IF(OR(E16="",AJ16=""),"",IF(COUNT(Y16:AI16)=0,"",AJ16-LOOKUP(2,1/(Y16:AI16&lt;&gt;""),Y16:AI16)))</t>
        </is>
      </c>
      <c r="AV16" s="39" t="inlineStr">
        <is>
          <t>IF(G16="","All_Provinces",IFERROR(VLOOKUP(G16,'07_Lookups'!$A$4:$B$20,2,FALSE),"All_Provinces"))</t>
        </is>
      </c>
      <c r="AW16" s="39" t="inlineStr">
        <is>
          <t>IF(H16="","All_Districts",IFERROR(VLOOKUP(H16,'07_Lookups'!$E$4:$F$42,2,FALSE),"All_Districts"))</t>
        </is>
      </c>
    </row>
    <row r="17" ht="18" customHeight="1">
      <c r="A17" s="31" t="inlineStr">
        <is>
          <t>IF(E17="","",ROW()-3)</t>
        </is>
      </c>
      <c r="B17" s="40" t="n"/>
      <c r="C17" s="40" t="n"/>
      <c r="D17" s="40" t="n"/>
      <c r="E17" s="40" t="n"/>
      <c r="F17" s="40" t="n"/>
      <c r="G17" s="40" t="n"/>
      <c r="H17" s="40" t="n"/>
      <c r="I17" s="40" t="n"/>
      <c r="J17" s="40" t="n"/>
      <c r="K17" s="40" t="n"/>
      <c r="L17" s="40" t="n"/>
      <c r="M17" s="40" t="n"/>
      <c r="N17" s="41" t="n"/>
      <c r="O17" s="34" t="inlineStr">
        <is>
          <t>IF(AE17="","",AE17)</t>
        </is>
      </c>
      <c r="P17" s="42" t="n"/>
      <c r="Q17" s="34" t="inlineStr">
        <is>
          <t>IF(OR(O17="",P17=""),"",EDATE(O17,P17))</t>
        </is>
      </c>
      <c r="R17" s="42" t="n"/>
      <c r="S17" s="40" t="n"/>
      <c r="T17" s="40" t="n"/>
      <c r="U17" s="31" t="inlineStr">
        <is>
          <t>IF(E17="","",IF(COUNT(Y17:AJ17)=0,IF(S17="","Not started",S17),SUBSTITUTE(LOOKUP(2,1/(Y17:AJ17&lt;&gt;""),$Y$3:$AJ$3),"Date: ","")))</t>
        </is>
      </c>
      <c r="V17" s="36" t="inlineStr">
        <is>
          <t>IF(OR(E17="",COUNT(Y17:AJ17)=0),"",TODAY()-LOOKUP(2,1/(Y17:AJ17&lt;&gt;""),Y17:AJ17))</t>
        </is>
      </c>
      <c r="W17" s="36" t="inlineStr">
        <is>
          <t>IF(OR(E17="",COUNT(Y17:AJ17)&lt;2),"",LOOKUP(2,1/(Y17:AJ17&lt;&gt;""),Y17:AJ17)-MIN(Y17:AJ17))</t>
        </is>
      </c>
      <c r="X17" s="36" t="inlineStr">
        <is>
          <t>IF(OR(V17="",U17="Not started",U17=""),"",IFERROR(V17-IF(VLOOKUP(U17,'04_Status_Pipeline'!$B$3:$E$20,4,FALSE)="",0,VLOOKUP(U17,'04_Status_Pipeline'!$B$3:$E$20,4,FALSE)),""))</t>
        </is>
      </c>
      <c r="Y17" s="43" t="n"/>
      <c r="Z17" s="43" t="n"/>
      <c r="AA17" s="43" t="n"/>
      <c r="AB17" s="43" t="n"/>
      <c r="AC17" s="43" t="n"/>
      <c r="AD17" s="43" t="n"/>
      <c r="AE17" s="43" t="n"/>
      <c r="AF17" s="43" t="n"/>
      <c r="AG17" s="43" t="n"/>
      <c r="AH17" s="38" t="n"/>
      <c r="AI17" s="38" t="n"/>
      <c r="AJ17" s="38" t="n"/>
      <c r="AK17" s="36" t="inlineStr">
        <is>
          <t>IF(OR(E17="",Z17=""),"",IF(COUNT(Y17:Y17)=0,"",Z17-LOOKUP(2,1/(Y17:Y17&lt;&gt;""),Y17:Y17)))</t>
        </is>
      </c>
      <c r="AL17" s="36" t="inlineStr">
        <is>
          <t>IF(OR(E17="",AA17=""),"",IF(COUNT(Y17:Z17)=0,"",AA17-LOOKUP(2,1/(Y17:Z17&lt;&gt;""),Y17:Z17)))</t>
        </is>
      </c>
      <c r="AM17" s="36" t="inlineStr">
        <is>
          <t>IF(OR(E17="",AB17=""),"",IF(COUNT(Y17:AA17)=0,"",AB17-LOOKUP(2,1/(Y17:AA17&lt;&gt;""),Y17:AA17)))</t>
        </is>
      </c>
      <c r="AN17" s="36" t="inlineStr">
        <is>
          <t>IF(OR(E17="",AC17=""),"",IF(COUNT(Y17:AB17)=0,"",AC17-LOOKUP(2,1/(Y17:AB17&lt;&gt;""),Y17:AB17)))</t>
        </is>
      </c>
      <c r="AO17" s="36" t="inlineStr">
        <is>
          <t>IF(OR(E17="",AD17=""),"",IF(COUNT(Y17:AC17)=0,"",AD17-LOOKUP(2,1/(Y17:AC17&lt;&gt;""),Y17:AC17)))</t>
        </is>
      </c>
      <c r="AP17" s="36" t="inlineStr">
        <is>
          <t>IF(OR(E17="",AE17=""),"",IF(COUNT(Y17:AD17)=0,"",AE17-LOOKUP(2,1/(Y17:AD17&lt;&gt;""),Y17:AD17)))</t>
        </is>
      </c>
      <c r="AQ17" s="36" t="inlineStr">
        <is>
          <t>IF(OR(E17="",AF17=""),"",IF(COUNT(Y17:AE17)=0,"",AF17-LOOKUP(2,1/(Y17:AE17&lt;&gt;""),Y17:AE17)))</t>
        </is>
      </c>
      <c r="AR17" s="36" t="inlineStr">
        <is>
          <t>IF(OR(E17="",AG17=""),"",IF(COUNT(Y17:AF17)=0,"",AG17-LOOKUP(2,1/(Y17:AF17&lt;&gt;""),Y17:AF17)))</t>
        </is>
      </c>
      <c r="AS17" s="36" t="inlineStr">
        <is>
          <t>IF(OR(E17="",AH17=""),"",IF(COUNT(Y17:AG17)=0,"",AH17-LOOKUP(2,1/(Y17:AG17&lt;&gt;""),Y17:AG17)))</t>
        </is>
      </c>
      <c r="AT17" s="36" t="inlineStr">
        <is>
          <t>IF(OR(E17="",AI17=""),"",IF(COUNT(Y17:AH17)=0,"",AI17-LOOKUP(2,1/(Y17:AH17&lt;&gt;""),Y17:AH17)))</t>
        </is>
      </c>
      <c r="AU17" s="36" t="inlineStr">
        <is>
          <t>IF(OR(E17="",AJ17=""),"",IF(COUNT(Y17:AI17)=0,"",AJ17-LOOKUP(2,1/(Y17:AI17&lt;&gt;""),Y17:AI17)))</t>
        </is>
      </c>
      <c r="AV17" s="39" t="inlineStr">
        <is>
          <t>IF(G17="","All_Provinces",IFERROR(VLOOKUP(G17,'07_Lookups'!$A$4:$B$20,2,FALSE),"All_Provinces"))</t>
        </is>
      </c>
      <c r="AW17" s="39" t="inlineStr">
        <is>
          <t>IF(H17="","All_Districts",IFERROR(VLOOKUP(H17,'07_Lookups'!$E$4:$F$42,2,FALSE),"All_Districts"))</t>
        </is>
      </c>
    </row>
    <row r="18" ht="18" customHeight="1">
      <c r="A18" s="31" t="inlineStr">
        <is>
          <t>IF(E18="","",ROW()-3)</t>
        </is>
      </c>
      <c r="B18" s="32" t="n"/>
      <c r="C18" s="32" t="n"/>
      <c r="D18" s="32" t="n"/>
      <c r="E18" s="32" t="n"/>
      <c r="F18" s="32" t="n"/>
      <c r="G18" s="32" t="n"/>
      <c r="H18" s="32" t="n"/>
      <c r="I18" s="32" t="n"/>
      <c r="J18" s="32" t="n"/>
      <c r="K18" s="32" t="n"/>
      <c r="L18" s="32" t="n"/>
      <c r="M18" s="32" t="n"/>
      <c r="N18" s="33" t="n"/>
      <c r="O18" s="34" t="inlineStr">
        <is>
          <t>IF(AE18="","",AE18)</t>
        </is>
      </c>
      <c r="P18" s="35" t="n"/>
      <c r="Q18" s="34" t="inlineStr">
        <is>
          <t>IF(OR(O18="",P18=""),"",EDATE(O18,P18))</t>
        </is>
      </c>
      <c r="R18" s="35" t="n"/>
      <c r="S18" s="32" t="n"/>
      <c r="T18" s="32" t="n"/>
      <c r="U18" s="31" t="inlineStr">
        <is>
          <t>IF(E18="","",IF(COUNT(Y18:AJ18)=0,IF(S18="","Not started",S18),SUBSTITUTE(LOOKUP(2,1/(Y18:AJ18&lt;&gt;""),$Y$3:$AJ$3),"Date: ","")))</t>
        </is>
      </c>
      <c r="V18" s="36" t="inlineStr">
        <is>
          <t>IF(OR(E18="",COUNT(Y18:AJ18)=0),"",TODAY()-LOOKUP(2,1/(Y18:AJ18&lt;&gt;""),Y18:AJ18))</t>
        </is>
      </c>
      <c r="W18" s="36" t="inlineStr">
        <is>
          <t>IF(OR(E18="",COUNT(Y18:AJ18)&lt;2),"",LOOKUP(2,1/(Y18:AJ18&lt;&gt;""),Y18:AJ18)-MIN(Y18:AJ18))</t>
        </is>
      </c>
      <c r="X18" s="36" t="inlineStr">
        <is>
          <t>IF(OR(V18="",U18="Not started",U18=""),"",IFERROR(V18-IF(VLOOKUP(U18,'04_Status_Pipeline'!$B$3:$E$20,4,FALSE)="",0,VLOOKUP(U18,'04_Status_Pipeline'!$B$3:$E$20,4,FALSE)),""))</t>
        </is>
      </c>
      <c r="Y18" s="37" t="n"/>
      <c r="Z18" s="37" t="n"/>
      <c r="AA18" s="37" t="n"/>
      <c r="AB18" s="37" t="n"/>
      <c r="AC18" s="37" t="n"/>
      <c r="AD18" s="37" t="n"/>
      <c r="AE18" s="37" t="n"/>
      <c r="AF18" s="37" t="n"/>
      <c r="AG18" s="37" t="n"/>
      <c r="AH18" s="38" t="n"/>
      <c r="AI18" s="38" t="n"/>
      <c r="AJ18" s="38" t="n"/>
      <c r="AK18" s="36" t="inlineStr">
        <is>
          <t>IF(OR(E18="",Z18=""),"",IF(COUNT(Y18:Y18)=0,"",Z18-LOOKUP(2,1/(Y18:Y18&lt;&gt;""),Y18:Y18)))</t>
        </is>
      </c>
      <c r="AL18" s="36" t="inlineStr">
        <is>
          <t>IF(OR(E18="",AA18=""),"",IF(COUNT(Y18:Z18)=0,"",AA18-LOOKUP(2,1/(Y18:Z18&lt;&gt;""),Y18:Z18)))</t>
        </is>
      </c>
      <c r="AM18" s="36" t="inlineStr">
        <is>
          <t>IF(OR(E18="",AB18=""),"",IF(COUNT(Y18:AA18)=0,"",AB18-LOOKUP(2,1/(Y18:AA18&lt;&gt;""),Y18:AA18)))</t>
        </is>
      </c>
      <c r="AN18" s="36" t="inlineStr">
        <is>
          <t>IF(OR(E18="",AC18=""),"",IF(COUNT(Y18:AB18)=0,"",AC18-LOOKUP(2,1/(Y18:AB18&lt;&gt;""),Y18:AB18)))</t>
        </is>
      </c>
      <c r="AO18" s="36" t="inlineStr">
        <is>
          <t>IF(OR(E18="",AD18=""),"",IF(COUNT(Y18:AC18)=0,"",AD18-LOOKUP(2,1/(Y18:AC18&lt;&gt;""),Y18:AC18)))</t>
        </is>
      </c>
      <c r="AP18" s="36" t="inlineStr">
        <is>
          <t>IF(OR(E18="",AE18=""),"",IF(COUNT(Y18:AD18)=0,"",AE18-LOOKUP(2,1/(Y18:AD18&lt;&gt;""),Y18:AD18)))</t>
        </is>
      </c>
      <c r="AQ18" s="36" t="inlineStr">
        <is>
          <t>IF(OR(E18="",AF18=""),"",IF(COUNT(Y18:AE18)=0,"",AF18-LOOKUP(2,1/(Y18:AE18&lt;&gt;""),Y18:AE18)))</t>
        </is>
      </c>
      <c r="AR18" s="36" t="inlineStr">
        <is>
          <t>IF(OR(E18="",AG18=""),"",IF(COUNT(Y18:AF18)=0,"",AG18-LOOKUP(2,1/(Y18:AF18&lt;&gt;""),Y18:AF18)))</t>
        </is>
      </c>
      <c r="AS18" s="36" t="inlineStr">
        <is>
          <t>IF(OR(E18="",AH18=""),"",IF(COUNT(Y18:AG18)=0,"",AH18-LOOKUP(2,1/(Y18:AG18&lt;&gt;""),Y18:AG18)))</t>
        </is>
      </c>
      <c r="AT18" s="36" t="inlineStr">
        <is>
          <t>IF(OR(E18="",AI18=""),"",IF(COUNT(Y18:AH18)=0,"",AI18-LOOKUP(2,1/(Y18:AH18&lt;&gt;""),Y18:AH18)))</t>
        </is>
      </c>
      <c r="AU18" s="36" t="inlineStr">
        <is>
          <t>IF(OR(E18="",AJ18=""),"",IF(COUNT(Y18:AI18)=0,"",AJ18-LOOKUP(2,1/(Y18:AI18&lt;&gt;""),Y18:AI18)))</t>
        </is>
      </c>
      <c r="AV18" s="39" t="inlineStr">
        <is>
          <t>IF(G18="","All_Provinces",IFERROR(VLOOKUP(G18,'07_Lookups'!$A$4:$B$20,2,FALSE),"All_Provinces"))</t>
        </is>
      </c>
      <c r="AW18" s="39" t="inlineStr">
        <is>
          <t>IF(H18="","All_Districts",IFERROR(VLOOKUP(H18,'07_Lookups'!$E$4:$F$42,2,FALSE),"All_Districts"))</t>
        </is>
      </c>
    </row>
    <row r="19" ht="18" customHeight="1">
      <c r="A19" s="31" t="inlineStr">
        <is>
          <t>IF(E19="","",ROW()-3)</t>
        </is>
      </c>
      <c r="B19" s="40" t="n"/>
      <c r="C19" s="40" t="n"/>
      <c r="D19" s="40" t="n"/>
      <c r="E19" s="40" t="n"/>
      <c r="F19" s="40" t="n"/>
      <c r="G19" s="40" t="n"/>
      <c r="H19" s="40" t="n"/>
      <c r="I19" s="40" t="n"/>
      <c r="J19" s="40" t="n"/>
      <c r="K19" s="40" t="n"/>
      <c r="L19" s="40" t="n"/>
      <c r="M19" s="40" t="n"/>
      <c r="N19" s="41" t="n"/>
      <c r="O19" s="34" t="inlineStr">
        <is>
          <t>IF(AE19="","",AE19)</t>
        </is>
      </c>
      <c r="P19" s="42" t="n"/>
      <c r="Q19" s="34" t="inlineStr">
        <is>
          <t>IF(OR(O19="",P19=""),"",EDATE(O19,P19))</t>
        </is>
      </c>
      <c r="R19" s="42" t="n"/>
      <c r="S19" s="40" t="n"/>
      <c r="T19" s="40" t="n"/>
      <c r="U19" s="31" t="inlineStr">
        <is>
          <t>IF(E19="","",IF(COUNT(Y19:AJ19)=0,IF(S19="","Not started",S19),SUBSTITUTE(LOOKUP(2,1/(Y19:AJ19&lt;&gt;""),$Y$3:$AJ$3),"Date: ","")))</t>
        </is>
      </c>
      <c r="V19" s="36" t="inlineStr">
        <is>
          <t>IF(OR(E19="",COUNT(Y19:AJ19)=0),"",TODAY()-LOOKUP(2,1/(Y19:AJ19&lt;&gt;""),Y19:AJ19))</t>
        </is>
      </c>
      <c r="W19" s="36" t="inlineStr">
        <is>
          <t>IF(OR(E19="",COUNT(Y19:AJ19)&lt;2),"",LOOKUP(2,1/(Y19:AJ19&lt;&gt;""),Y19:AJ19)-MIN(Y19:AJ19))</t>
        </is>
      </c>
      <c r="X19" s="36" t="inlineStr">
        <is>
          <t>IF(OR(V19="",U19="Not started",U19=""),"",IFERROR(V19-IF(VLOOKUP(U19,'04_Status_Pipeline'!$B$3:$E$20,4,FALSE)="",0,VLOOKUP(U19,'04_Status_Pipeline'!$B$3:$E$20,4,FALSE)),""))</t>
        </is>
      </c>
      <c r="Y19" s="43" t="n"/>
      <c r="Z19" s="43" t="n"/>
      <c r="AA19" s="43" t="n"/>
      <c r="AB19" s="43" t="n"/>
      <c r="AC19" s="43" t="n"/>
      <c r="AD19" s="43" t="n"/>
      <c r="AE19" s="43" t="n"/>
      <c r="AF19" s="43" t="n"/>
      <c r="AG19" s="43" t="n"/>
      <c r="AH19" s="38" t="n"/>
      <c r="AI19" s="38" t="n"/>
      <c r="AJ19" s="38" t="n"/>
      <c r="AK19" s="36" t="inlineStr">
        <is>
          <t>IF(OR(E19="",Z19=""),"",IF(COUNT(Y19:Y19)=0,"",Z19-LOOKUP(2,1/(Y19:Y19&lt;&gt;""),Y19:Y19)))</t>
        </is>
      </c>
      <c r="AL19" s="36" t="inlineStr">
        <is>
          <t>IF(OR(E19="",AA19=""),"",IF(COUNT(Y19:Z19)=0,"",AA19-LOOKUP(2,1/(Y19:Z19&lt;&gt;""),Y19:Z19)))</t>
        </is>
      </c>
      <c r="AM19" s="36" t="inlineStr">
        <is>
          <t>IF(OR(E19="",AB19=""),"",IF(COUNT(Y19:AA19)=0,"",AB19-LOOKUP(2,1/(Y19:AA19&lt;&gt;""),Y19:AA19)))</t>
        </is>
      </c>
      <c r="AN19" s="36" t="inlineStr">
        <is>
          <t>IF(OR(E19="",AC19=""),"",IF(COUNT(Y19:AB19)=0,"",AC19-LOOKUP(2,1/(Y19:AB19&lt;&gt;""),Y19:AB19)))</t>
        </is>
      </c>
      <c r="AO19" s="36" t="inlineStr">
        <is>
          <t>IF(OR(E19="",AD19=""),"",IF(COUNT(Y19:AC19)=0,"",AD19-LOOKUP(2,1/(Y19:AC19&lt;&gt;""),Y19:AC19)))</t>
        </is>
      </c>
      <c r="AP19" s="36" t="inlineStr">
        <is>
          <t>IF(OR(E19="",AE19=""),"",IF(COUNT(Y19:AD19)=0,"",AE19-LOOKUP(2,1/(Y19:AD19&lt;&gt;""),Y19:AD19)))</t>
        </is>
      </c>
      <c r="AQ19" s="36" t="inlineStr">
        <is>
          <t>IF(OR(E19="",AF19=""),"",IF(COUNT(Y19:AE19)=0,"",AF19-LOOKUP(2,1/(Y19:AE19&lt;&gt;""),Y19:AE19)))</t>
        </is>
      </c>
      <c r="AR19" s="36" t="inlineStr">
        <is>
          <t>IF(OR(E19="",AG19=""),"",IF(COUNT(Y19:AF19)=0,"",AG19-LOOKUP(2,1/(Y19:AF19&lt;&gt;""),Y19:AF19)))</t>
        </is>
      </c>
      <c r="AS19" s="36" t="inlineStr">
        <is>
          <t>IF(OR(E19="",AH19=""),"",IF(COUNT(Y19:AG19)=0,"",AH19-LOOKUP(2,1/(Y19:AG19&lt;&gt;""),Y19:AG19)))</t>
        </is>
      </c>
      <c r="AT19" s="36" t="inlineStr">
        <is>
          <t>IF(OR(E19="",AI19=""),"",IF(COUNT(Y19:AH19)=0,"",AI19-LOOKUP(2,1/(Y19:AH19&lt;&gt;""),Y19:AH19)))</t>
        </is>
      </c>
      <c r="AU19" s="36" t="inlineStr">
        <is>
          <t>IF(OR(E19="",AJ19=""),"",IF(COUNT(Y19:AI19)=0,"",AJ19-LOOKUP(2,1/(Y19:AI19&lt;&gt;""),Y19:AI19)))</t>
        </is>
      </c>
      <c r="AV19" s="39" t="inlineStr">
        <is>
          <t>IF(G19="","All_Provinces",IFERROR(VLOOKUP(G19,'07_Lookups'!$A$4:$B$20,2,FALSE),"All_Provinces"))</t>
        </is>
      </c>
      <c r="AW19" s="39" t="inlineStr">
        <is>
          <t>IF(H19="","All_Districts",IFERROR(VLOOKUP(H19,'07_Lookups'!$E$4:$F$42,2,FALSE),"All_Districts"))</t>
        </is>
      </c>
    </row>
    <row r="20" ht="18" customHeight="1">
      <c r="A20" s="31" t="inlineStr">
        <is>
          <t>IF(E20="","",ROW()-3)</t>
        </is>
      </c>
      <c r="B20" s="32" t="n"/>
      <c r="C20" s="32" t="n"/>
      <c r="D20" s="32" t="n"/>
      <c r="E20" s="32" t="n"/>
      <c r="F20" s="32" t="n"/>
      <c r="G20" s="32" t="n"/>
      <c r="H20" s="32" t="n"/>
      <c r="I20" s="32" t="n"/>
      <c r="J20" s="32" t="n"/>
      <c r="K20" s="32" t="n"/>
      <c r="L20" s="32" t="n"/>
      <c r="M20" s="32" t="n"/>
      <c r="N20" s="33" t="n"/>
      <c r="O20" s="34" t="inlineStr">
        <is>
          <t>IF(AE20="","",AE20)</t>
        </is>
      </c>
      <c r="P20" s="35" t="n"/>
      <c r="Q20" s="34" t="inlineStr">
        <is>
          <t>IF(OR(O20="",P20=""),"",EDATE(O20,P20))</t>
        </is>
      </c>
      <c r="R20" s="35" t="n"/>
      <c r="S20" s="32" t="n"/>
      <c r="T20" s="32" t="n"/>
      <c r="U20" s="31" t="inlineStr">
        <is>
          <t>IF(E20="","",IF(COUNT(Y20:AJ20)=0,IF(S20="","Not started",S20),SUBSTITUTE(LOOKUP(2,1/(Y20:AJ20&lt;&gt;""),$Y$3:$AJ$3),"Date: ","")))</t>
        </is>
      </c>
      <c r="V20" s="36" t="inlineStr">
        <is>
          <t>IF(OR(E20="",COUNT(Y20:AJ20)=0),"",TODAY()-LOOKUP(2,1/(Y20:AJ20&lt;&gt;""),Y20:AJ20))</t>
        </is>
      </c>
      <c r="W20" s="36" t="inlineStr">
        <is>
          <t>IF(OR(E20="",COUNT(Y20:AJ20)&lt;2),"",LOOKUP(2,1/(Y20:AJ20&lt;&gt;""),Y20:AJ20)-MIN(Y20:AJ20))</t>
        </is>
      </c>
      <c r="X20" s="36" t="inlineStr">
        <is>
          <t>IF(OR(V20="",U20="Not started",U20=""),"",IFERROR(V20-IF(VLOOKUP(U20,'04_Status_Pipeline'!$B$3:$E$20,4,FALSE)="",0,VLOOKUP(U20,'04_Status_Pipeline'!$B$3:$E$20,4,FALSE)),""))</t>
        </is>
      </c>
      <c r="Y20" s="37" t="n"/>
      <c r="Z20" s="37" t="n"/>
      <c r="AA20" s="37" t="n"/>
      <c r="AB20" s="37" t="n"/>
      <c r="AC20" s="37" t="n"/>
      <c r="AD20" s="37" t="n"/>
      <c r="AE20" s="37" t="n"/>
      <c r="AF20" s="37" t="n"/>
      <c r="AG20" s="37" t="n"/>
      <c r="AH20" s="38" t="n"/>
      <c r="AI20" s="38" t="n"/>
      <c r="AJ20" s="38" t="n"/>
      <c r="AK20" s="36" t="inlineStr">
        <is>
          <t>IF(OR(E20="",Z20=""),"",IF(COUNT(Y20:Y20)=0,"",Z20-LOOKUP(2,1/(Y20:Y20&lt;&gt;""),Y20:Y20)))</t>
        </is>
      </c>
      <c r="AL20" s="36" t="inlineStr">
        <is>
          <t>IF(OR(E20="",AA20=""),"",IF(COUNT(Y20:Z20)=0,"",AA20-LOOKUP(2,1/(Y20:Z20&lt;&gt;""),Y20:Z20)))</t>
        </is>
      </c>
      <c r="AM20" s="36" t="inlineStr">
        <is>
          <t>IF(OR(E20="",AB20=""),"",IF(COUNT(Y20:AA20)=0,"",AB20-LOOKUP(2,1/(Y20:AA20&lt;&gt;""),Y20:AA20)))</t>
        </is>
      </c>
      <c r="AN20" s="36" t="inlineStr">
        <is>
          <t>IF(OR(E20="",AC20=""),"",IF(COUNT(Y20:AB20)=0,"",AC20-LOOKUP(2,1/(Y20:AB20&lt;&gt;""),Y20:AB20)))</t>
        </is>
      </c>
      <c r="AO20" s="36" t="inlineStr">
        <is>
          <t>IF(OR(E20="",AD20=""),"",IF(COUNT(Y20:AC20)=0,"",AD20-LOOKUP(2,1/(Y20:AC20&lt;&gt;""),Y20:AC20)))</t>
        </is>
      </c>
      <c r="AP20" s="36" t="inlineStr">
        <is>
          <t>IF(OR(E20="",AE20=""),"",IF(COUNT(Y20:AD20)=0,"",AE20-LOOKUP(2,1/(Y20:AD20&lt;&gt;""),Y20:AD20)))</t>
        </is>
      </c>
      <c r="AQ20" s="36" t="inlineStr">
        <is>
          <t>IF(OR(E20="",AF20=""),"",IF(COUNT(Y20:AE20)=0,"",AF20-LOOKUP(2,1/(Y20:AE20&lt;&gt;""),Y20:AE20)))</t>
        </is>
      </c>
      <c r="AR20" s="36" t="inlineStr">
        <is>
          <t>IF(OR(E20="",AG20=""),"",IF(COUNT(Y20:AF20)=0,"",AG20-LOOKUP(2,1/(Y20:AF20&lt;&gt;""),Y20:AF20)))</t>
        </is>
      </c>
      <c r="AS20" s="36" t="inlineStr">
        <is>
          <t>IF(OR(E20="",AH20=""),"",IF(COUNT(Y20:AG20)=0,"",AH20-LOOKUP(2,1/(Y20:AG20&lt;&gt;""),Y20:AG20)))</t>
        </is>
      </c>
      <c r="AT20" s="36" t="inlineStr">
        <is>
          <t>IF(OR(E20="",AI20=""),"",IF(COUNT(Y20:AH20)=0,"",AI20-LOOKUP(2,1/(Y20:AH20&lt;&gt;""),Y20:AH20)))</t>
        </is>
      </c>
      <c r="AU20" s="36" t="inlineStr">
        <is>
          <t>IF(OR(E20="",AJ20=""),"",IF(COUNT(Y20:AI20)=0,"",AJ20-LOOKUP(2,1/(Y20:AI20&lt;&gt;""),Y20:AI20)))</t>
        </is>
      </c>
      <c r="AV20" s="39" t="inlineStr">
        <is>
          <t>IF(G20="","All_Provinces",IFERROR(VLOOKUP(G20,'07_Lookups'!$A$4:$B$20,2,FALSE),"All_Provinces"))</t>
        </is>
      </c>
      <c r="AW20" s="39" t="inlineStr">
        <is>
          <t>IF(H20="","All_Districts",IFERROR(VLOOKUP(H20,'07_Lookups'!$E$4:$F$42,2,FALSE),"All_Districts"))</t>
        </is>
      </c>
    </row>
    <row r="21" ht="18" customHeight="1">
      <c r="A21" s="31" t="inlineStr">
        <is>
          <t>IF(E21="","",ROW()-3)</t>
        </is>
      </c>
      <c r="B21" s="40" t="n"/>
      <c r="C21" s="40" t="n"/>
      <c r="D21" s="40" t="n"/>
      <c r="E21" s="40" t="n"/>
      <c r="F21" s="40" t="n"/>
      <c r="G21" s="40" t="n"/>
      <c r="H21" s="40" t="n"/>
      <c r="I21" s="40" t="n"/>
      <c r="J21" s="40" t="n"/>
      <c r="K21" s="40" t="n"/>
      <c r="L21" s="40" t="n"/>
      <c r="M21" s="40" t="n"/>
      <c r="N21" s="41" t="n"/>
      <c r="O21" s="34" t="inlineStr">
        <is>
          <t>IF(AE21="","",AE21)</t>
        </is>
      </c>
      <c r="P21" s="42" t="n"/>
      <c r="Q21" s="34" t="inlineStr">
        <is>
          <t>IF(OR(O21="",P21=""),"",EDATE(O21,P21))</t>
        </is>
      </c>
      <c r="R21" s="42" t="n"/>
      <c r="S21" s="40" t="n"/>
      <c r="T21" s="40" t="n"/>
      <c r="U21" s="31" t="inlineStr">
        <is>
          <t>IF(E21="","",IF(COUNT(Y21:AJ21)=0,IF(S21="","Not started",S21),SUBSTITUTE(LOOKUP(2,1/(Y21:AJ21&lt;&gt;""),$Y$3:$AJ$3),"Date: ","")))</t>
        </is>
      </c>
      <c r="V21" s="36" t="inlineStr">
        <is>
          <t>IF(OR(E21="",COUNT(Y21:AJ21)=0),"",TODAY()-LOOKUP(2,1/(Y21:AJ21&lt;&gt;""),Y21:AJ21))</t>
        </is>
      </c>
      <c r="W21" s="36" t="inlineStr">
        <is>
          <t>IF(OR(E21="",COUNT(Y21:AJ21)&lt;2),"",LOOKUP(2,1/(Y21:AJ21&lt;&gt;""),Y21:AJ21)-MIN(Y21:AJ21))</t>
        </is>
      </c>
      <c r="X21" s="36" t="inlineStr">
        <is>
          <t>IF(OR(V21="",U21="Not started",U21=""),"",IFERROR(V21-IF(VLOOKUP(U21,'04_Status_Pipeline'!$B$3:$E$20,4,FALSE)="",0,VLOOKUP(U21,'04_Status_Pipeline'!$B$3:$E$20,4,FALSE)),""))</t>
        </is>
      </c>
      <c r="Y21" s="43" t="n"/>
      <c r="Z21" s="43" t="n"/>
      <c r="AA21" s="43" t="n"/>
      <c r="AB21" s="43" t="n"/>
      <c r="AC21" s="43" t="n"/>
      <c r="AD21" s="43" t="n"/>
      <c r="AE21" s="43" t="n"/>
      <c r="AF21" s="43" t="n"/>
      <c r="AG21" s="43" t="n"/>
      <c r="AH21" s="38" t="n"/>
      <c r="AI21" s="38" t="n"/>
      <c r="AJ21" s="38" t="n"/>
      <c r="AK21" s="36" t="inlineStr">
        <is>
          <t>IF(OR(E21="",Z21=""),"",IF(COUNT(Y21:Y21)=0,"",Z21-LOOKUP(2,1/(Y21:Y21&lt;&gt;""),Y21:Y21)))</t>
        </is>
      </c>
      <c r="AL21" s="36" t="inlineStr">
        <is>
          <t>IF(OR(E21="",AA21=""),"",IF(COUNT(Y21:Z21)=0,"",AA21-LOOKUP(2,1/(Y21:Z21&lt;&gt;""),Y21:Z21)))</t>
        </is>
      </c>
      <c r="AM21" s="36" t="inlineStr">
        <is>
          <t>IF(OR(E21="",AB21=""),"",IF(COUNT(Y21:AA21)=0,"",AB21-LOOKUP(2,1/(Y21:AA21&lt;&gt;""),Y21:AA21)))</t>
        </is>
      </c>
      <c r="AN21" s="36" t="inlineStr">
        <is>
          <t>IF(OR(E21="",AC21=""),"",IF(COUNT(Y21:AB21)=0,"",AC21-LOOKUP(2,1/(Y21:AB21&lt;&gt;""),Y21:AB21)))</t>
        </is>
      </c>
      <c r="AO21" s="36" t="inlineStr">
        <is>
          <t>IF(OR(E21="",AD21=""),"",IF(COUNT(Y21:AC21)=0,"",AD21-LOOKUP(2,1/(Y21:AC21&lt;&gt;""),Y21:AC21)))</t>
        </is>
      </c>
      <c r="AP21" s="36" t="inlineStr">
        <is>
          <t>IF(OR(E21="",AE21=""),"",IF(COUNT(Y21:AD21)=0,"",AE21-LOOKUP(2,1/(Y21:AD21&lt;&gt;""),Y21:AD21)))</t>
        </is>
      </c>
      <c r="AQ21" s="36" t="inlineStr">
        <is>
          <t>IF(OR(E21="",AF21=""),"",IF(COUNT(Y21:AE21)=0,"",AF21-LOOKUP(2,1/(Y21:AE21&lt;&gt;""),Y21:AE21)))</t>
        </is>
      </c>
      <c r="AR21" s="36" t="inlineStr">
        <is>
          <t>IF(OR(E21="",AG21=""),"",IF(COUNT(Y21:AF21)=0,"",AG21-LOOKUP(2,1/(Y21:AF21&lt;&gt;""),Y21:AF21)))</t>
        </is>
      </c>
      <c r="AS21" s="36" t="inlineStr">
        <is>
          <t>IF(OR(E21="",AH21=""),"",IF(COUNT(Y21:AG21)=0,"",AH21-LOOKUP(2,1/(Y21:AG21&lt;&gt;""),Y21:AG21)))</t>
        </is>
      </c>
      <c r="AT21" s="36" t="inlineStr">
        <is>
          <t>IF(OR(E21="",AI21=""),"",IF(COUNT(Y21:AH21)=0,"",AI21-LOOKUP(2,1/(Y21:AH21&lt;&gt;""),Y21:AH21)))</t>
        </is>
      </c>
      <c r="AU21" s="36" t="inlineStr">
        <is>
          <t>IF(OR(E21="",AJ21=""),"",IF(COUNT(Y21:AI21)=0,"",AJ21-LOOKUP(2,1/(Y21:AI21&lt;&gt;""),Y21:AI21)))</t>
        </is>
      </c>
      <c r="AV21" s="39" t="inlineStr">
        <is>
          <t>IF(G21="","All_Provinces",IFERROR(VLOOKUP(G21,'07_Lookups'!$A$4:$B$20,2,FALSE),"All_Provinces"))</t>
        </is>
      </c>
      <c r="AW21" s="39" t="inlineStr">
        <is>
          <t>IF(H21="","All_Districts",IFERROR(VLOOKUP(H21,'07_Lookups'!$E$4:$F$42,2,FALSE),"All_Districts"))</t>
        </is>
      </c>
    </row>
    <row r="22" ht="18" customHeight="1">
      <c r="A22" s="31" t="inlineStr">
        <is>
          <t>IF(E22="","",ROW()-3)</t>
        </is>
      </c>
      <c r="B22" s="32" t="n"/>
      <c r="C22" s="32" t="n"/>
      <c r="D22" s="32" t="n"/>
      <c r="E22" s="32" t="n"/>
      <c r="F22" s="32" t="n"/>
      <c r="G22" s="32" t="n"/>
      <c r="H22" s="32" t="n"/>
      <c r="I22" s="32" t="n"/>
      <c r="J22" s="32" t="n"/>
      <c r="K22" s="32" t="n"/>
      <c r="L22" s="32" t="n"/>
      <c r="M22" s="32" t="n"/>
      <c r="N22" s="33" t="n"/>
      <c r="O22" s="34" t="inlineStr">
        <is>
          <t>IF(AE22="","",AE22)</t>
        </is>
      </c>
      <c r="P22" s="35" t="n"/>
      <c r="Q22" s="34" t="inlineStr">
        <is>
          <t>IF(OR(O22="",P22=""),"",EDATE(O22,P22))</t>
        </is>
      </c>
      <c r="R22" s="35" t="n"/>
      <c r="S22" s="32" t="n"/>
      <c r="T22" s="32" t="n"/>
      <c r="U22" s="31" t="inlineStr">
        <is>
          <t>IF(E22="","",IF(COUNT(Y22:AJ22)=0,IF(S22="","Not started",S22),SUBSTITUTE(LOOKUP(2,1/(Y22:AJ22&lt;&gt;""),$Y$3:$AJ$3),"Date: ","")))</t>
        </is>
      </c>
      <c r="V22" s="36" t="inlineStr">
        <is>
          <t>IF(OR(E22="",COUNT(Y22:AJ22)=0),"",TODAY()-LOOKUP(2,1/(Y22:AJ22&lt;&gt;""),Y22:AJ22))</t>
        </is>
      </c>
      <c r="W22" s="36" t="inlineStr">
        <is>
          <t>IF(OR(E22="",COUNT(Y22:AJ22)&lt;2),"",LOOKUP(2,1/(Y22:AJ22&lt;&gt;""),Y22:AJ22)-MIN(Y22:AJ22))</t>
        </is>
      </c>
      <c r="X22" s="36" t="inlineStr">
        <is>
          <t>IF(OR(V22="",U22="Not started",U22=""),"",IFERROR(V22-IF(VLOOKUP(U22,'04_Status_Pipeline'!$B$3:$E$20,4,FALSE)="",0,VLOOKUP(U22,'04_Status_Pipeline'!$B$3:$E$20,4,FALSE)),""))</t>
        </is>
      </c>
      <c r="Y22" s="37" t="n"/>
      <c r="Z22" s="37" t="n"/>
      <c r="AA22" s="37" t="n"/>
      <c r="AB22" s="37" t="n"/>
      <c r="AC22" s="37" t="n"/>
      <c r="AD22" s="37" t="n"/>
      <c r="AE22" s="37" t="n"/>
      <c r="AF22" s="37" t="n"/>
      <c r="AG22" s="37" t="n"/>
      <c r="AH22" s="38" t="n"/>
      <c r="AI22" s="38" t="n"/>
      <c r="AJ22" s="38" t="n"/>
      <c r="AK22" s="36" t="inlineStr">
        <is>
          <t>IF(OR(E22="",Z22=""),"",IF(COUNT(Y22:Y22)=0,"",Z22-LOOKUP(2,1/(Y22:Y22&lt;&gt;""),Y22:Y22)))</t>
        </is>
      </c>
      <c r="AL22" s="36" t="inlineStr">
        <is>
          <t>IF(OR(E22="",AA22=""),"",IF(COUNT(Y22:Z22)=0,"",AA22-LOOKUP(2,1/(Y22:Z22&lt;&gt;""),Y22:Z22)))</t>
        </is>
      </c>
      <c r="AM22" s="36" t="inlineStr">
        <is>
          <t>IF(OR(E22="",AB22=""),"",IF(COUNT(Y22:AA22)=0,"",AB22-LOOKUP(2,1/(Y22:AA22&lt;&gt;""),Y22:AA22)))</t>
        </is>
      </c>
      <c r="AN22" s="36" t="inlineStr">
        <is>
          <t>IF(OR(E22="",AC22=""),"",IF(COUNT(Y22:AB22)=0,"",AC22-LOOKUP(2,1/(Y22:AB22&lt;&gt;""),Y22:AB22)))</t>
        </is>
      </c>
      <c r="AO22" s="36" t="inlineStr">
        <is>
          <t>IF(OR(E22="",AD22=""),"",IF(COUNT(Y22:AC22)=0,"",AD22-LOOKUP(2,1/(Y22:AC22&lt;&gt;""),Y22:AC22)))</t>
        </is>
      </c>
      <c r="AP22" s="36" t="inlineStr">
        <is>
          <t>IF(OR(E22="",AE22=""),"",IF(COUNT(Y22:AD22)=0,"",AE22-LOOKUP(2,1/(Y22:AD22&lt;&gt;""),Y22:AD22)))</t>
        </is>
      </c>
      <c r="AQ22" s="36" t="inlineStr">
        <is>
          <t>IF(OR(E22="",AF22=""),"",IF(COUNT(Y22:AE22)=0,"",AF22-LOOKUP(2,1/(Y22:AE22&lt;&gt;""),Y22:AE22)))</t>
        </is>
      </c>
      <c r="AR22" s="36" t="inlineStr">
        <is>
          <t>IF(OR(E22="",AG22=""),"",IF(COUNT(Y22:AF22)=0,"",AG22-LOOKUP(2,1/(Y22:AF22&lt;&gt;""),Y22:AF22)))</t>
        </is>
      </c>
      <c r="AS22" s="36" t="inlineStr">
        <is>
          <t>IF(OR(E22="",AH22=""),"",IF(COUNT(Y22:AG22)=0,"",AH22-LOOKUP(2,1/(Y22:AG22&lt;&gt;""),Y22:AG22)))</t>
        </is>
      </c>
      <c r="AT22" s="36" t="inlineStr">
        <is>
          <t>IF(OR(E22="",AI22=""),"",IF(COUNT(Y22:AH22)=0,"",AI22-LOOKUP(2,1/(Y22:AH22&lt;&gt;""),Y22:AH22)))</t>
        </is>
      </c>
      <c r="AU22" s="36" t="inlineStr">
        <is>
          <t>IF(OR(E22="",AJ22=""),"",IF(COUNT(Y22:AI22)=0,"",AJ22-LOOKUP(2,1/(Y22:AI22&lt;&gt;""),Y22:AI22)))</t>
        </is>
      </c>
      <c r="AV22" s="39" t="inlineStr">
        <is>
          <t>IF(G22="","All_Provinces",IFERROR(VLOOKUP(G22,'07_Lookups'!$A$4:$B$20,2,FALSE),"All_Provinces"))</t>
        </is>
      </c>
      <c r="AW22" s="39" t="inlineStr">
        <is>
          <t>IF(H22="","All_Districts",IFERROR(VLOOKUP(H22,'07_Lookups'!$E$4:$F$42,2,FALSE),"All_Districts"))</t>
        </is>
      </c>
    </row>
    <row r="23" ht="18" customHeight="1">
      <c r="A23" s="31" t="inlineStr">
        <is>
          <t>IF(E23="","",ROW()-3)</t>
        </is>
      </c>
      <c r="B23" s="40" t="n"/>
      <c r="C23" s="40" t="n"/>
      <c r="D23" s="40" t="n"/>
      <c r="E23" s="40" t="n"/>
      <c r="F23" s="40" t="n"/>
      <c r="G23" s="40" t="n"/>
      <c r="H23" s="40" t="n"/>
      <c r="I23" s="40" t="n"/>
      <c r="J23" s="40" t="n"/>
      <c r="K23" s="40" t="n"/>
      <c r="L23" s="40" t="n"/>
      <c r="M23" s="40" t="n"/>
      <c r="N23" s="41" t="n"/>
      <c r="O23" s="34" t="inlineStr">
        <is>
          <t>IF(AE23="","",AE23)</t>
        </is>
      </c>
      <c r="P23" s="42" t="n"/>
      <c r="Q23" s="34" t="inlineStr">
        <is>
          <t>IF(OR(O23="",P23=""),"",EDATE(O23,P23))</t>
        </is>
      </c>
      <c r="R23" s="42" t="n"/>
      <c r="S23" s="40" t="n"/>
      <c r="T23" s="40" t="n"/>
      <c r="U23" s="31" t="inlineStr">
        <is>
          <t>IF(E23="","",IF(COUNT(Y23:AJ23)=0,IF(S23="","Not started",S23),SUBSTITUTE(LOOKUP(2,1/(Y23:AJ23&lt;&gt;""),$Y$3:$AJ$3),"Date: ","")))</t>
        </is>
      </c>
      <c r="V23" s="36" t="inlineStr">
        <is>
          <t>IF(OR(E23="",COUNT(Y23:AJ23)=0),"",TODAY()-LOOKUP(2,1/(Y23:AJ23&lt;&gt;""),Y23:AJ23))</t>
        </is>
      </c>
      <c r="W23" s="36" t="inlineStr">
        <is>
          <t>IF(OR(E23="",COUNT(Y23:AJ23)&lt;2),"",LOOKUP(2,1/(Y23:AJ23&lt;&gt;""),Y23:AJ23)-MIN(Y23:AJ23))</t>
        </is>
      </c>
      <c r="X23" s="36" t="inlineStr">
        <is>
          <t>IF(OR(V23="",U23="Not started",U23=""),"",IFERROR(V23-IF(VLOOKUP(U23,'04_Status_Pipeline'!$B$3:$E$20,4,FALSE)="",0,VLOOKUP(U23,'04_Status_Pipeline'!$B$3:$E$20,4,FALSE)),""))</t>
        </is>
      </c>
      <c r="Y23" s="43" t="n"/>
      <c r="Z23" s="43" t="n"/>
      <c r="AA23" s="43" t="n"/>
      <c r="AB23" s="43" t="n"/>
      <c r="AC23" s="43" t="n"/>
      <c r="AD23" s="43" t="n"/>
      <c r="AE23" s="43" t="n"/>
      <c r="AF23" s="43" t="n"/>
      <c r="AG23" s="43" t="n"/>
      <c r="AH23" s="38" t="n"/>
      <c r="AI23" s="38" t="n"/>
      <c r="AJ23" s="38" t="n"/>
      <c r="AK23" s="36" t="inlineStr">
        <is>
          <t>IF(OR(E23="",Z23=""),"",IF(COUNT(Y23:Y23)=0,"",Z23-LOOKUP(2,1/(Y23:Y23&lt;&gt;""),Y23:Y23)))</t>
        </is>
      </c>
      <c r="AL23" s="36" t="inlineStr">
        <is>
          <t>IF(OR(E23="",AA23=""),"",IF(COUNT(Y23:Z23)=0,"",AA23-LOOKUP(2,1/(Y23:Z23&lt;&gt;""),Y23:Z23)))</t>
        </is>
      </c>
      <c r="AM23" s="36" t="inlineStr">
        <is>
          <t>IF(OR(E23="",AB23=""),"",IF(COUNT(Y23:AA23)=0,"",AB23-LOOKUP(2,1/(Y23:AA23&lt;&gt;""),Y23:AA23)))</t>
        </is>
      </c>
      <c r="AN23" s="36" t="inlineStr">
        <is>
          <t>IF(OR(E23="",AC23=""),"",IF(COUNT(Y23:AB23)=0,"",AC23-LOOKUP(2,1/(Y23:AB23&lt;&gt;""),Y23:AB23)))</t>
        </is>
      </c>
      <c r="AO23" s="36" t="inlineStr">
        <is>
          <t>IF(OR(E23="",AD23=""),"",IF(COUNT(Y23:AC23)=0,"",AD23-LOOKUP(2,1/(Y23:AC23&lt;&gt;""),Y23:AC23)))</t>
        </is>
      </c>
      <c r="AP23" s="36" t="inlineStr">
        <is>
          <t>IF(OR(E23="",AE23=""),"",IF(COUNT(Y23:AD23)=0,"",AE23-LOOKUP(2,1/(Y23:AD23&lt;&gt;""),Y23:AD23)))</t>
        </is>
      </c>
      <c r="AQ23" s="36" t="inlineStr">
        <is>
          <t>IF(OR(E23="",AF23=""),"",IF(COUNT(Y23:AE23)=0,"",AF23-LOOKUP(2,1/(Y23:AE23&lt;&gt;""),Y23:AE23)))</t>
        </is>
      </c>
      <c r="AR23" s="36" t="inlineStr">
        <is>
          <t>IF(OR(E23="",AG23=""),"",IF(COUNT(Y23:AF23)=0,"",AG23-LOOKUP(2,1/(Y23:AF23&lt;&gt;""),Y23:AF23)))</t>
        </is>
      </c>
      <c r="AS23" s="36" t="inlineStr">
        <is>
          <t>IF(OR(E23="",AH23=""),"",IF(COUNT(Y23:AG23)=0,"",AH23-LOOKUP(2,1/(Y23:AG23&lt;&gt;""),Y23:AG23)))</t>
        </is>
      </c>
      <c r="AT23" s="36" t="inlineStr">
        <is>
          <t>IF(OR(E23="",AI23=""),"",IF(COUNT(Y23:AH23)=0,"",AI23-LOOKUP(2,1/(Y23:AH23&lt;&gt;""),Y23:AH23)))</t>
        </is>
      </c>
      <c r="AU23" s="36" t="inlineStr">
        <is>
          <t>IF(OR(E23="",AJ23=""),"",IF(COUNT(Y23:AI23)=0,"",AJ23-LOOKUP(2,1/(Y23:AI23&lt;&gt;""),Y23:AI23)))</t>
        </is>
      </c>
      <c r="AV23" s="39" t="inlineStr">
        <is>
          <t>IF(G23="","All_Provinces",IFERROR(VLOOKUP(G23,'07_Lookups'!$A$4:$B$20,2,FALSE),"All_Provinces"))</t>
        </is>
      </c>
      <c r="AW23" s="39" t="inlineStr">
        <is>
          <t>IF(H23="","All_Districts",IFERROR(VLOOKUP(H23,'07_Lookups'!$E$4:$F$42,2,FALSE),"All_Districts"))</t>
        </is>
      </c>
    </row>
    <row r="24" ht="18" customHeight="1">
      <c r="A24" s="31" t="inlineStr">
        <is>
          <t>IF(E24="","",ROW()-3)</t>
        </is>
      </c>
      <c r="B24" s="32" t="n"/>
      <c r="C24" s="32" t="n"/>
      <c r="D24" s="32" t="n"/>
      <c r="E24" s="32" t="n"/>
      <c r="F24" s="32" t="n"/>
      <c r="G24" s="32" t="n"/>
      <c r="H24" s="32" t="n"/>
      <c r="I24" s="32" t="n"/>
      <c r="J24" s="32" t="n"/>
      <c r="K24" s="32" t="n"/>
      <c r="L24" s="32" t="n"/>
      <c r="M24" s="32" t="n"/>
      <c r="N24" s="33" t="n"/>
      <c r="O24" s="34" t="inlineStr">
        <is>
          <t>IF(AE24="","",AE24)</t>
        </is>
      </c>
      <c r="P24" s="35" t="n"/>
      <c r="Q24" s="34" t="inlineStr">
        <is>
          <t>IF(OR(O24="",P24=""),"",EDATE(O24,P24))</t>
        </is>
      </c>
      <c r="R24" s="35" t="n"/>
      <c r="S24" s="32" t="n"/>
      <c r="T24" s="32" t="n"/>
      <c r="U24" s="31" t="inlineStr">
        <is>
          <t>IF(E24="","",IF(COUNT(Y24:AJ24)=0,IF(S24="","Not started",S24),SUBSTITUTE(LOOKUP(2,1/(Y24:AJ24&lt;&gt;""),$Y$3:$AJ$3),"Date: ","")))</t>
        </is>
      </c>
      <c r="V24" s="36" t="inlineStr">
        <is>
          <t>IF(OR(E24="",COUNT(Y24:AJ24)=0),"",TODAY()-LOOKUP(2,1/(Y24:AJ24&lt;&gt;""),Y24:AJ24))</t>
        </is>
      </c>
      <c r="W24" s="36" t="inlineStr">
        <is>
          <t>IF(OR(E24="",COUNT(Y24:AJ24)&lt;2),"",LOOKUP(2,1/(Y24:AJ24&lt;&gt;""),Y24:AJ24)-MIN(Y24:AJ24))</t>
        </is>
      </c>
      <c r="X24" s="36" t="inlineStr">
        <is>
          <t>IF(OR(V24="",U24="Not started",U24=""),"",IFERROR(V24-IF(VLOOKUP(U24,'04_Status_Pipeline'!$B$3:$E$20,4,FALSE)="",0,VLOOKUP(U24,'04_Status_Pipeline'!$B$3:$E$20,4,FALSE)),""))</t>
        </is>
      </c>
      <c r="Y24" s="37" t="n"/>
      <c r="Z24" s="37" t="n"/>
      <c r="AA24" s="37" t="n"/>
      <c r="AB24" s="37" t="n"/>
      <c r="AC24" s="37" t="n"/>
      <c r="AD24" s="37" t="n"/>
      <c r="AE24" s="37" t="n"/>
      <c r="AF24" s="37" t="n"/>
      <c r="AG24" s="37" t="n"/>
      <c r="AH24" s="38" t="n"/>
      <c r="AI24" s="38" t="n"/>
      <c r="AJ24" s="38" t="n"/>
      <c r="AK24" s="36" t="inlineStr">
        <is>
          <t>IF(OR(E24="",Z24=""),"",IF(COUNT(Y24:Y24)=0,"",Z24-LOOKUP(2,1/(Y24:Y24&lt;&gt;""),Y24:Y24)))</t>
        </is>
      </c>
      <c r="AL24" s="36" t="inlineStr">
        <is>
          <t>IF(OR(E24="",AA24=""),"",IF(COUNT(Y24:Z24)=0,"",AA24-LOOKUP(2,1/(Y24:Z24&lt;&gt;""),Y24:Z24)))</t>
        </is>
      </c>
      <c r="AM24" s="36" t="inlineStr">
        <is>
          <t>IF(OR(E24="",AB24=""),"",IF(COUNT(Y24:AA24)=0,"",AB24-LOOKUP(2,1/(Y24:AA24&lt;&gt;""),Y24:AA24)))</t>
        </is>
      </c>
      <c r="AN24" s="36" t="inlineStr">
        <is>
          <t>IF(OR(E24="",AC24=""),"",IF(COUNT(Y24:AB24)=0,"",AC24-LOOKUP(2,1/(Y24:AB24&lt;&gt;""),Y24:AB24)))</t>
        </is>
      </c>
      <c r="AO24" s="36" t="inlineStr">
        <is>
          <t>IF(OR(E24="",AD24=""),"",IF(COUNT(Y24:AC24)=0,"",AD24-LOOKUP(2,1/(Y24:AC24&lt;&gt;""),Y24:AC24)))</t>
        </is>
      </c>
      <c r="AP24" s="36" t="inlineStr">
        <is>
          <t>IF(OR(E24="",AE24=""),"",IF(COUNT(Y24:AD24)=0,"",AE24-LOOKUP(2,1/(Y24:AD24&lt;&gt;""),Y24:AD24)))</t>
        </is>
      </c>
      <c r="AQ24" s="36" t="inlineStr">
        <is>
          <t>IF(OR(E24="",AF24=""),"",IF(COUNT(Y24:AE24)=0,"",AF24-LOOKUP(2,1/(Y24:AE24&lt;&gt;""),Y24:AE24)))</t>
        </is>
      </c>
      <c r="AR24" s="36" t="inlineStr">
        <is>
          <t>IF(OR(E24="",AG24=""),"",IF(COUNT(Y24:AF24)=0,"",AG24-LOOKUP(2,1/(Y24:AF24&lt;&gt;""),Y24:AF24)))</t>
        </is>
      </c>
      <c r="AS24" s="36" t="inlineStr">
        <is>
          <t>IF(OR(E24="",AH24=""),"",IF(COUNT(Y24:AG24)=0,"",AH24-LOOKUP(2,1/(Y24:AG24&lt;&gt;""),Y24:AG24)))</t>
        </is>
      </c>
      <c r="AT24" s="36" t="inlineStr">
        <is>
          <t>IF(OR(E24="",AI24=""),"",IF(COUNT(Y24:AH24)=0,"",AI24-LOOKUP(2,1/(Y24:AH24&lt;&gt;""),Y24:AH24)))</t>
        </is>
      </c>
      <c r="AU24" s="36" t="inlineStr">
        <is>
          <t>IF(OR(E24="",AJ24=""),"",IF(COUNT(Y24:AI24)=0,"",AJ24-LOOKUP(2,1/(Y24:AI24&lt;&gt;""),Y24:AI24)))</t>
        </is>
      </c>
      <c r="AV24" s="39" t="inlineStr">
        <is>
          <t>IF(G24="","All_Provinces",IFERROR(VLOOKUP(G24,'07_Lookups'!$A$4:$B$20,2,FALSE),"All_Provinces"))</t>
        </is>
      </c>
      <c r="AW24" s="39" t="inlineStr">
        <is>
          <t>IF(H24="","All_Districts",IFERROR(VLOOKUP(H24,'07_Lookups'!$E$4:$F$42,2,FALSE),"All_Districts"))</t>
        </is>
      </c>
    </row>
    <row r="25" ht="18" customHeight="1">
      <c r="A25" s="31" t="inlineStr">
        <is>
          <t>IF(E25="","",ROW()-3)</t>
        </is>
      </c>
      <c r="B25" s="40" t="n"/>
      <c r="C25" s="40" t="n"/>
      <c r="D25" s="40" t="n"/>
      <c r="E25" s="40" t="n"/>
      <c r="F25" s="40" t="n"/>
      <c r="G25" s="40" t="n"/>
      <c r="H25" s="40" t="n"/>
      <c r="I25" s="40" t="n"/>
      <c r="J25" s="40" t="n"/>
      <c r="K25" s="40" t="n"/>
      <c r="L25" s="40" t="n"/>
      <c r="M25" s="40" t="n"/>
      <c r="N25" s="41" t="n"/>
      <c r="O25" s="34" t="inlineStr">
        <is>
          <t>IF(AE25="","",AE25)</t>
        </is>
      </c>
      <c r="P25" s="42" t="n"/>
      <c r="Q25" s="34" t="inlineStr">
        <is>
          <t>IF(OR(O25="",P25=""),"",EDATE(O25,P25))</t>
        </is>
      </c>
      <c r="R25" s="42" t="n"/>
      <c r="S25" s="40" t="n"/>
      <c r="T25" s="40" t="n"/>
      <c r="U25" s="31" t="inlineStr">
        <is>
          <t>IF(E25="","",IF(COUNT(Y25:AJ25)=0,IF(S25="","Not started",S25),SUBSTITUTE(LOOKUP(2,1/(Y25:AJ25&lt;&gt;""),$Y$3:$AJ$3),"Date: ","")))</t>
        </is>
      </c>
      <c r="V25" s="36" t="inlineStr">
        <is>
          <t>IF(OR(E25="",COUNT(Y25:AJ25)=0),"",TODAY()-LOOKUP(2,1/(Y25:AJ25&lt;&gt;""),Y25:AJ25))</t>
        </is>
      </c>
      <c r="W25" s="36" t="inlineStr">
        <is>
          <t>IF(OR(E25="",COUNT(Y25:AJ25)&lt;2),"",LOOKUP(2,1/(Y25:AJ25&lt;&gt;""),Y25:AJ25)-MIN(Y25:AJ25))</t>
        </is>
      </c>
      <c r="X25" s="36" t="inlineStr">
        <is>
          <t>IF(OR(V25="",U25="Not started",U25=""),"",IFERROR(V25-IF(VLOOKUP(U25,'04_Status_Pipeline'!$B$3:$E$20,4,FALSE)="",0,VLOOKUP(U25,'04_Status_Pipeline'!$B$3:$E$20,4,FALSE)),""))</t>
        </is>
      </c>
      <c r="Y25" s="43" t="n"/>
      <c r="Z25" s="43" t="n"/>
      <c r="AA25" s="43" t="n"/>
      <c r="AB25" s="43" t="n"/>
      <c r="AC25" s="43" t="n"/>
      <c r="AD25" s="43" t="n"/>
      <c r="AE25" s="43" t="n"/>
      <c r="AF25" s="43" t="n"/>
      <c r="AG25" s="43" t="n"/>
      <c r="AH25" s="38" t="n"/>
      <c r="AI25" s="38" t="n"/>
      <c r="AJ25" s="38" t="n"/>
      <c r="AK25" s="36" t="inlineStr">
        <is>
          <t>IF(OR(E25="",Z25=""),"",IF(COUNT(Y25:Y25)=0,"",Z25-LOOKUP(2,1/(Y25:Y25&lt;&gt;""),Y25:Y25)))</t>
        </is>
      </c>
      <c r="AL25" s="36" t="inlineStr">
        <is>
          <t>IF(OR(E25="",AA25=""),"",IF(COUNT(Y25:Z25)=0,"",AA25-LOOKUP(2,1/(Y25:Z25&lt;&gt;""),Y25:Z25)))</t>
        </is>
      </c>
      <c r="AM25" s="36" t="inlineStr">
        <is>
          <t>IF(OR(E25="",AB25=""),"",IF(COUNT(Y25:AA25)=0,"",AB25-LOOKUP(2,1/(Y25:AA25&lt;&gt;""),Y25:AA25)))</t>
        </is>
      </c>
      <c r="AN25" s="36" t="inlineStr">
        <is>
          <t>IF(OR(E25="",AC25=""),"",IF(COUNT(Y25:AB25)=0,"",AC25-LOOKUP(2,1/(Y25:AB25&lt;&gt;""),Y25:AB25)))</t>
        </is>
      </c>
      <c r="AO25" s="36" t="inlineStr">
        <is>
          <t>IF(OR(E25="",AD25=""),"",IF(COUNT(Y25:AC25)=0,"",AD25-LOOKUP(2,1/(Y25:AC25&lt;&gt;""),Y25:AC25)))</t>
        </is>
      </c>
      <c r="AP25" s="36" t="inlineStr">
        <is>
          <t>IF(OR(E25="",AE25=""),"",IF(COUNT(Y25:AD25)=0,"",AE25-LOOKUP(2,1/(Y25:AD25&lt;&gt;""),Y25:AD25)))</t>
        </is>
      </c>
      <c r="AQ25" s="36" t="inlineStr">
        <is>
          <t>IF(OR(E25="",AF25=""),"",IF(COUNT(Y25:AE25)=0,"",AF25-LOOKUP(2,1/(Y25:AE25&lt;&gt;""),Y25:AE25)))</t>
        </is>
      </c>
      <c r="AR25" s="36" t="inlineStr">
        <is>
          <t>IF(OR(E25="",AG25=""),"",IF(COUNT(Y25:AF25)=0,"",AG25-LOOKUP(2,1/(Y25:AF25&lt;&gt;""),Y25:AF25)))</t>
        </is>
      </c>
      <c r="AS25" s="36" t="inlineStr">
        <is>
          <t>IF(OR(E25="",AH25=""),"",IF(COUNT(Y25:AG25)=0,"",AH25-LOOKUP(2,1/(Y25:AG25&lt;&gt;""),Y25:AG25)))</t>
        </is>
      </c>
      <c r="AT25" s="36" t="inlineStr">
        <is>
          <t>IF(OR(E25="",AI25=""),"",IF(COUNT(Y25:AH25)=0,"",AI25-LOOKUP(2,1/(Y25:AH25&lt;&gt;""),Y25:AH25)))</t>
        </is>
      </c>
      <c r="AU25" s="36" t="inlineStr">
        <is>
          <t>IF(OR(E25="",AJ25=""),"",IF(COUNT(Y25:AI25)=0,"",AJ25-LOOKUP(2,1/(Y25:AI25&lt;&gt;""),Y25:AI25)))</t>
        </is>
      </c>
      <c r="AV25" s="39" t="inlineStr">
        <is>
          <t>IF(G25="","All_Provinces",IFERROR(VLOOKUP(G25,'07_Lookups'!$A$4:$B$20,2,FALSE),"All_Provinces"))</t>
        </is>
      </c>
      <c r="AW25" s="39" t="inlineStr">
        <is>
          <t>IF(H25="","All_Districts",IFERROR(VLOOKUP(H25,'07_Lookups'!$E$4:$F$42,2,FALSE),"All_Districts"))</t>
        </is>
      </c>
    </row>
    <row r="26" ht="18" customHeight="1">
      <c r="A26" s="31" t="inlineStr">
        <is>
          <t>IF(E26="","",ROW()-3)</t>
        </is>
      </c>
      <c r="B26" s="32" t="n"/>
      <c r="C26" s="32" t="n"/>
      <c r="D26" s="32" t="n"/>
      <c r="E26" s="32" t="n"/>
      <c r="F26" s="32" t="n"/>
      <c r="G26" s="32" t="n"/>
      <c r="H26" s="32" t="n"/>
      <c r="I26" s="32" t="n"/>
      <c r="J26" s="32" t="n"/>
      <c r="K26" s="32" t="n"/>
      <c r="L26" s="32" t="n"/>
      <c r="M26" s="32" t="n"/>
      <c r="N26" s="33" t="n"/>
      <c r="O26" s="34" t="inlineStr">
        <is>
          <t>IF(AE26="","",AE26)</t>
        </is>
      </c>
      <c r="P26" s="35" t="n"/>
      <c r="Q26" s="34" t="inlineStr">
        <is>
          <t>IF(OR(O26="",P26=""),"",EDATE(O26,P26))</t>
        </is>
      </c>
      <c r="R26" s="35" t="n"/>
      <c r="S26" s="32" t="n"/>
      <c r="T26" s="32" t="n"/>
      <c r="U26" s="31" t="inlineStr">
        <is>
          <t>IF(E26="","",IF(COUNT(Y26:AJ26)=0,IF(S26="","Not started",S26),SUBSTITUTE(LOOKUP(2,1/(Y26:AJ26&lt;&gt;""),$Y$3:$AJ$3),"Date: ","")))</t>
        </is>
      </c>
      <c r="V26" s="36" t="inlineStr">
        <is>
          <t>IF(OR(E26="",COUNT(Y26:AJ26)=0),"",TODAY()-LOOKUP(2,1/(Y26:AJ26&lt;&gt;""),Y26:AJ26))</t>
        </is>
      </c>
      <c r="W26" s="36" t="inlineStr">
        <is>
          <t>IF(OR(E26="",COUNT(Y26:AJ26)&lt;2),"",LOOKUP(2,1/(Y26:AJ26&lt;&gt;""),Y26:AJ26)-MIN(Y26:AJ26))</t>
        </is>
      </c>
      <c r="X26" s="36" t="inlineStr">
        <is>
          <t>IF(OR(V26="",U26="Not started",U26=""),"",IFERROR(V26-IF(VLOOKUP(U26,'04_Status_Pipeline'!$B$3:$E$20,4,FALSE)="",0,VLOOKUP(U26,'04_Status_Pipeline'!$B$3:$E$20,4,FALSE)),""))</t>
        </is>
      </c>
      <c r="Y26" s="37" t="n"/>
      <c r="Z26" s="37" t="n"/>
      <c r="AA26" s="37" t="n"/>
      <c r="AB26" s="37" t="n"/>
      <c r="AC26" s="37" t="n"/>
      <c r="AD26" s="37" t="n"/>
      <c r="AE26" s="37" t="n"/>
      <c r="AF26" s="37" t="n"/>
      <c r="AG26" s="37" t="n"/>
      <c r="AH26" s="38" t="n"/>
      <c r="AI26" s="38" t="n"/>
      <c r="AJ26" s="38" t="n"/>
      <c r="AK26" s="36" t="inlineStr">
        <is>
          <t>IF(OR(E26="",Z26=""),"",IF(COUNT(Y26:Y26)=0,"",Z26-LOOKUP(2,1/(Y26:Y26&lt;&gt;""),Y26:Y26)))</t>
        </is>
      </c>
      <c r="AL26" s="36" t="inlineStr">
        <is>
          <t>IF(OR(E26="",AA26=""),"",IF(COUNT(Y26:Z26)=0,"",AA26-LOOKUP(2,1/(Y26:Z26&lt;&gt;""),Y26:Z26)))</t>
        </is>
      </c>
      <c r="AM26" s="36" t="inlineStr">
        <is>
          <t>IF(OR(E26="",AB26=""),"",IF(COUNT(Y26:AA26)=0,"",AB26-LOOKUP(2,1/(Y26:AA26&lt;&gt;""),Y26:AA26)))</t>
        </is>
      </c>
      <c r="AN26" s="36" t="inlineStr">
        <is>
          <t>IF(OR(E26="",AC26=""),"",IF(COUNT(Y26:AB26)=0,"",AC26-LOOKUP(2,1/(Y26:AB26&lt;&gt;""),Y26:AB26)))</t>
        </is>
      </c>
      <c r="AO26" s="36" t="inlineStr">
        <is>
          <t>IF(OR(E26="",AD26=""),"",IF(COUNT(Y26:AC26)=0,"",AD26-LOOKUP(2,1/(Y26:AC26&lt;&gt;""),Y26:AC26)))</t>
        </is>
      </c>
      <c r="AP26" s="36" t="inlineStr">
        <is>
          <t>IF(OR(E26="",AE26=""),"",IF(COUNT(Y26:AD26)=0,"",AE26-LOOKUP(2,1/(Y26:AD26&lt;&gt;""),Y26:AD26)))</t>
        </is>
      </c>
      <c r="AQ26" s="36" t="inlineStr">
        <is>
          <t>IF(OR(E26="",AF26=""),"",IF(COUNT(Y26:AE26)=0,"",AF26-LOOKUP(2,1/(Y26:AE26&lt;&gt;""),Y26:AE26)))</t>
        </is>
      </c>
      <c r="AR26" s="36" t="inlineStr">
        <is>
          <t>IF(OR(E26="",AG26=""),"",IF(COUNT(Y26:AF26)=0,"",AG26-LOOKUP(2,1/(Y26:AF26&lt;&gt;""),Y26:AF26)))</t>
        </is>
      </c>
      <c r="AS26" s="36" t="inlineStr">
        <is>
          <t>IF(OR(E26="",AH26=""),"",IF(COUNT(Y26:AG26)=0,"",AH26-LOOKUP(2,1/(Y26:AG26&lt;&gt;""),Y26:AG26)))</t>
        </is>
      </c>
      <c r="AT26" s="36" t="inlineStr">
        <is>
          <t>IF(OR(E26="",AI26=""),"",IF(COUNT(Y26:AH26)=0,"",AI26-LOOKUP(2,1/(Y26:AH26&lt;&gt;""),Y26:AH26)))</t>
        </is>
      </c>
      <c r="AU26" s="36" t="inlineStr">
        <is>
          <t>IF(OR(E26="",AJ26=""),"",IF(COUNT(Y26:AI26)=0,"",AJ26-LOOKUP(2,1/(Y26:AI26&lt;&gt;""),Y26:AI26)))</t>
        </is>
      </c>
      <c r="AV26" s="39" t="inlineStr">
        <is>
          <t>IF(G26="","All_Provinces",IFERROR(VLOOKUP(G26,'07_Lookups'!$A$4:$B$20,2,FALSE),"All_Provinces"))</t>
        </is>
      </c>
      <c r="AW26" s="39" t="inlineStr">
        <is>
          <t>IF(H26="","All_Districts",IFERROR(VLOOKUP(H26,'07_Lookups'!$E$4:$F$42,2,FALSE),"All_Districts"))</t>
        </is>
      </c>
    </row>
    <row r="27" ht="18" customHeight="1">
      <c r="A27" s="31" t="inlineStr">
        <is>
          <t>IF(E27="","",ROW()-3)</t>
        </is>
      </c>
      <c r="B27" s="40" t="n"/>
      <c r="C27" s="40" t="n"/>
      <c r="D27" s="40" t="n"/>
      <c r="E27" s="40" t="n"/>
      <c r="F27" s="40" t="n"/>
      <c r="G27" s="40" t="n"/>
      <c r="H27" s="40" t="n"/>
      <c r="I27" s="40" t="n"/>
      <c r="J27" s="40" t="n"/>
      <c r="K27" s="40" t="n"/>
      <c r="L27" s="40" t="n"/>
      <c r="M27" s="40" t="n"/>
      <c r="N27" s="41" t="n"/>
      <c r="O27" s="34" t="inlineStr">
        <is>
          <t>IF(AE27="","",AE27)</t>
        </is>
      </c>
      <c r="P27" s="42" t="n"/>
      <c r="Q27" s="34" t="inlineStr">
        <is>
          <t>IF(OR(O27="",P27=""),"",EDATE(O27,P27))</t>
        </is>
      </c>
      <c r="R27" s="42" t="n"/>
      <c r="S27" s="40" t="n"/>
      <c r="T27" s="40" t="n"/>
      <c r="U27" s="31" t="inlineStr">
        <is>
          <t>IF(E27="","",IF(COUNT(Y27:AJ27)=0,IF(S27="","Not started",S27),SUBSTITUTE(LOOKUP(2,1/(Y27:AJ27&lt;&gt;""),$Y$3:$AJ$3),"Date: ","")))</t>
        </is>
      </c>
      <c r="V27" s="36" t="inlineStr">
        <is>
          <t>IF(OR(E27="",COUNT(Y27:AJ27)=0),"",TODAY()-LOOKUP(2,1/(Y27:AJ27&lt;&gt;""),Y27:AJ27))</t>
        </is>
      </c>
      <c r="W27" s="36" t="inlineStr">
        <is>
          <t>IF(OR(E27="",COUNT(Y27:AJ27)&lt;2),"",LOOKUP(2,1/(Y27:AJ27&lt;&gt;""),Y27:AJ27)-MIN(Y27:AJ27))</t>
        </is>
      </c>
      <c r="X27" s="36" t="inlineStr">
        <is>
          <t>IF(OR(V27="",U27="Not started",U27=""),"",IFERROR(V27-IF(VLOOKUP(U27,'04_Status_Pipeline'!$B$3:$E$20,4,FALSE)="",0,VLOOKUP(U27,'04_Status_Pipeline'!$B$3:$E$20,4,FALSE)),""))</t>
        </is>
      </c>
      <c r="Y27" s="43" t="n"/>
      <c r="Z27" s="43" t="n"/>
      <c r="AA27" s="43" t="n"/>
      <c r="AB27" s="43" t="n"/>
      <c r="AC27" s="43" t="n"/>
      <c r="AD27" s="43" t="n"/>
      <c r="AE27" s="43" t="n"/>
      <c r="AF27" s="43" t="n"/>
      <c r="AG27" s="43" t="n"/>
      <c r="AH27" s="38" t="n"/>
      <c r="AI27" s="38" t="n"/>
      <c r="AJ27" s="38" t="n"/>
      <c r="AK27" s="36" t="inlineStr">
        <is>
          <t>IF(OR(E27="",Z27=""),"",IF(COUNT(Y27:Y27)=0,"",Z27-LOOKUP(2,1/(Y27:Y27&lt;&gt;""),Y27:Y27)))</t>
        </is>
      </c>
      <c r="AL27" s="36" t="inlineStr">
        <is>
          <t>IF(OR(E27="",AA27=""),"",IF(COUNT(Y27:Z27)=0,"",AA27-LOOKUP(2,1/(Y27:Z27&lt;&gt;""),Y27:Z27)))</t>
        </is>
      </c>
      <c r="AM27" s="36" t="inlineStr">
        <is>
          <t>IF(OR(E27="",AB27=""),"",IF(COUNT(Y27:AA27)=0,"",AB27-LOOKUP(2,1/(Y27:AA27&lt;&gt;""),Y27:AA27)))</t>
        </is>
      </c>
      <c r="AN27" s="36" t="inlineStr">
        <is>
          <t>IF(OR(E27="",AC27=""),"",IF(COUNT(Y27:AB27)=0,"",AC27-LOOKUP(2,1/(Y27:AB27&lt;&gt;""),Y27:AB27)))</t>
        </is>
      </c>
      <c r="AO27" s="36" t="inlineStr">
        <is>
          <t>IF(OR(E27="",AD27=""),"",IF(COUNT(Y27:AC27)=0,"",AD27-LOOKUP(2,1/(Y27:AC27&lt;&gt;""),Y27:AC27)))</t>
        </is>
      </c>
      <c r="AP27" s="36" t="inlineStr">
        <is>
          <t>IF(OR(E27="",AE27=""),"",IF(COUNT(Y27:AD27)=0,"",AE27-LOOKUP(2,1/(Y27:AD27&lt;&gt;""),Y27:AD27)))</t>
        </is>
      </c>
      <c r="AQ27" s="36" t="inlineStr">
        <is>
          <t>IF(OR(E27="",AF27=""),"",IF(COUNT(Y27:AE27)=0,"",AF27-LOOKUP(2,1/(Y27:AE27&lt;&gt;""),Y27:AE27)))</t>
        </is>
      </c>
      <c r="AR27" s="36" t="inlineStr">
        <is>
          <t>IF(OR(E27="",AG27=""),"",IF(COUNT(Y27:AF27)=0,"",AG27-LOOKUP(2,1/(Y27:AF27&lt;&gt;""),Y27:AF27)))</t>
        </is>
      </c>
      <c r="AS27" s="36" t="inlineStr">
        <is>
          <t>IF(OR(E27="",AH27=""),"",IF(COUNT(Y27:AG27)=0,"",AH27-LOOKUP(2,1/(Y27:AG27&lt;&gt;""),Y27:AG27)))</t>
        </is>
      </c>
      <c r="AT27" s="36" t="inlineStr">
        <is>
          <t>IF(OR(E27="",AI27=""),"",IF(COUNT(Y27:AH27)=0,"",AI27-LOOKUP(2,1/(Y27:AH27&lt;&gt;""),Y27:AH27)))</t>
        </is>
      </c>
      <c r="AU27" s="36" t="inlineStr">
        <is>
          <t>IF(OR(E27="",AJ27=""),"",IF(COUNT(Y27:AI27)=0,"",AJ27-LOOKUP(2,1/(Y27:AI27&lt;&gt;""),Y27:AI27)))</t>
        </is>
      </c>
      <c r="AV27" s="39" t="inlineStr">
        <is>
          <t>IF(G27="","All_Provinces",IFERROR(VLOOKUP(G27,'07_Lookups'!$A$4:$B$20,2,FALSE),"All_Provinces"))</t>
        </is>
      </c>
      <c r="AW27" s="39" t="inlineStr">
        <is>
          <t>IF(H27="","All_Districts",IFERROR(VLOOKUP(H27,'07_Lookups'!$E$4:$F$42,2,FALSE),"All_Districts"))</t>
        </is>
      </c>
    </row>
    <row r="28" ht="18" customHeight="1">
      <c r="A28" s="31" t="inlineStr">
        <is>
          <t>IF(E28="","",ROW()-3)</t>
        </is>
      </c>
      <c r="B28" s="32" t="n"/>
      <c r="C28" s="32" t="n"/>
      <c r="D28" s="32" t="n"/>
      <c r="E28" s="32" t="n"/>
      <c r="F28" s="32" t="n"/>
      <c r="G28" s="32" t="n"/>
      <c r="H28" s="32" t="n"/>
      <c r="I28" s="32" t="n"/>
      <c r="J28" s="32" t="n"/>
      <c r="K28" s="32" t="n"/>
      <c r="L28" s="32" t="n"/>
      <c r="M28" s="32" t="n"/>
      <c r="N28" s="33" t="n"/>
      <c r="O28" s="34" t="inlineStr">
        <is>
          <t>IF(AE28="","",AE28)</t>
        </is>
      </c>
      <c r="P28" s="35" t="n"/>
      <c r="Q28" s="34" t="inlineStr">
        <is>
          <t>IF(OR(O28="",P28=""),"",EDATE(O28,P28))</t>
        </is>
      </c>
      <c r="R28" s="35" t="n"/>
      <c r="S28" s="32" t="n"/>
      <c r="T28" s="32" t="n"/>
      <c r="U28" s="31" t="inlineStr">
        <is>
          <t>IF(E28="","",IF(COUNT(Y28:AJ28)=0,IF(S28="","Not started",S28),SUBSTITUTE(LOOKUP(2,1/(Y28:AJ28&lt;&gt;""),$Y$3:$AJ$3),"Date: ","")))</t>
        </is>
      </c>
      <c r="V28" s="36" t="inlineStr">
        <is>
          <t>IF(OR(E28="",COUNT(Y28:AJ28)=0),"",TODAY()-LOOKUP(2,1/(Y28:AJ28&lt;&gt;""),Y28:AJ28))</t>
        </is>
      </c>
      <c r="W28" s="36" t="inlineStr">
        <is>
          <t>IF(OR(E28="",COUNT(Y28:AJ28)&lt;2),"",LOOKUP(2,1/(Y28:AJ28&lt;&gt;""),Y28:AJ28)-MIN(Y28:AJ28))</t>
        </is>
      </c>
      <c r="X28" s="36" t="inlineStr">
        <is>
          <t>IF(OR(V28="",U28="Not started",U28=""),"",IFERROR(V28-IF(VLOOKUP(U28,'04_Status_Pipeline'!$B$3:$E$20,4,FALSE)="",0,VLOOKUP(U28,'04_Status_Pipeline'!$B$3:$E$20,4,FALSE)),""))</t>
        </is>
      </c>
      <c r="Y28" s="37" t="n"/>
      <c r="Z28" s="37" t="n"/>
      <c r="AA28" s="37" t="n"/>
      <c r="AB28" s="37" t="n"/>
      <c r="AC28" s="37" t="n"/>
      <c r="AD28" s="37" t="n"/>
      <c r="AE28" s="37" t="n"/>
      <c r="AF28" s="37" t="n"/>
      <c r="AG28" s="37" t="n"/>
      <c r="AH28" s="38" t="n"/>
      <c r="AI28" s="38" t="n"/>
      <c r="AJ28" s="38" t="n"/>
      <c r="AK28" s="36" t="inlineStr">
        <is>
          <t>IF(OR(E28="",Z28=""),"",IF(COUNT(Y28:Y28)=0,"",Z28-LOOKUP(2,1/(Y28:Y28&lt;&gt;""),Y28:Y28)))</t>
        </is>
      </c>
      <c r="AL28" s="36" t="inlineStr">
        <is>
          <t>IF(OR(E28="",AA28=""),"",IF(COUNT(Y28:Z28)=0,"",AA28-LOOKUP(2,1/(Y28:Z28&lt;&gt;""),Y28:Z28)))</t>
        </is>
      </c>
      <c r="AM28" s="36" t="inlineStr">
        <is>
          <t>IF(OR(E28="",AB28=""),"",IF(COUNT(Y28:AA28)=0,"",AB28-LOOKUP(2,1/(Y28:AA28&lt;&gt;""),Y28:AA28)))</t>
        </is>
      </c>
      <c r="AN28" s="36" t="inlineStr">
        <is>
          <t>IF(OR(E28="",AC28=""),"",IF(COUNT(Y28:AB28)=0,"",AC28-LOOKUP(2,1/(Y28:AB28&lt;&gt;""),Y28:AB28)))</t>
        </is>
      </c>
      <c r="AO28" s="36" t="inlineStr">
        <is>
          <t>IF(OR(E28="",AD28=""),"",IF(COUNT(Y28:AC28)=0,"",AD28-LOOKUP(2,1/(Y28:AC28&lt;&gt;""),Y28:AC28)))</t>
        </is>
      </c>
      <c r="AP28" s="36" t="inlineStr">
        <is>
          <t>IF(OR(E28="",AE28=""),"",IF(COUNT(Y28:AD28)=0,"",AE28-LOOKUP(2,1/(Y28:AD28&lt;&gt;""),Y28:AD28)))</t>
        </is>
      </c>
      <c r="AQ28" s="36" t="inlineStr">
        <is>
          <t>IF(OR(E28="",AF28=""),"",IF(COUNT(Y28:AE28)=0,"",AF28-LOOKUP(2,1/(Y28:AE28&lt;&gt;""),Y28:AE28)))</t>
        </is>
      </c>
      <c r="AR28" s="36" t="inlineStr">
        <is>
          <t>IF(OR(E28="",AG28=""),"",IF(COUNT(Y28:AF28)=0,"",AG28-LOOKUP(2,1/(Y28:AF28&lt;&gt;""),Y28:AF28)))</t>
        </is>
      </c>
      <c r="AS28" s="36" t="inlineStr">
        <is>
          <t>IF(OR(E28="",AH28=""),"",IF(COUNT(Y28:AG28)=0,"",AH28-LOOKUP(2,1/(Y28:AG28&lt;&gt;""),Y28:AG28)))</t>
        </is>
      </c>
      <c r="AT28" s="36" t="inlineStr">
        <is>
          <t>IF(OR(E28="",AI28=""),"",IF(COUNT(Y28:AH28)=0,"",AI28-LOOKUP(2,1/(Y28:AH28&lt;&gt;""),Y28:AH28)))</t>
        </is>
      </c>
      <c r="AU28" s="36" t="inlineStr">
        <is>
          <t>IF(OR(E28="",AJ28=""),"",IF(COUNT(Y28:AI28)=0,"",AJ28-LOOKUP(2,1/(Y28:AI28&lt;&gt;""),Y28:AI28)))</t>
        </is>
      </c>
      <c r="AV28" s="39" t="inlineStr">
        <is>
          <t>IF(G28="","All_Provinces",IFERROR(VLOOKUP(G28,'07_Lookups'!$A$4:$B$20,2,FALSE),"All_Provinces"))</t>
        </is>
      </c>
      <c r="AW28" s="39" t="inlineStr">
        <is>
          <t>IF(H28="","All_Districts",IFERROR(VLOOKUP(H28,'07_Lookups'!$E$4:$F$42,2,FALSE),"All_Districts"))</t>
        </is>
      </c>
    </row>
    <row r="29" ht="18" customHeight="1">
      <c r="A29" s="31" t="inlineStr">
        <is>
          <t>IF(E29="","",ROW()-3)</t>
        </is>
      </c>
      <c r="B29" s="40" t="n"/>
      <c r="C29" s="40" t="n"/>
      <c r="D29" s="40" t="n"/>
      <c r="E29" s="40" t="n"/>
      <c r="F29" s="40" t="n"/>
      <c r="G29" s="40" t="n"/>
      <c r="H29" s="40" t="n"/>
      <c r="I29" s="40" t="n"/>
      <c r="J29" s="40" t="n"/>
      <c r="K29" s="40" t="n"/>
      <c r="L29" s="40" t="n"/>
      <c r="M29" s="40" t="n"/>
      <c r="N29" s="41" t="n"/>
      <c r="O29" s="34" t="inlineStr">
        <is>
          <t>IF(AE29="","",AE29)</t>
        </is>
      </c>
      <c r="P29" s="42" t="n"/>
      <c r="Q29" s="34" t="inlineStr">
        <is>
          <t>IF(OR(O29="",P29=""),"",EDATE(O29,P29))</t>
        </is>
      </c>
      <c r="R29" s="42" t="n"/>
      <c r="S29" s="40" t="n"/>
      <c r="T29" s="40" t="n"/>
      <c r="U29" s="31" t="inlineStr">
        <is>
          <t>IF(E29="","",IF(COUNT(Y29:AJ29)=0,IF(S29="","Not started",S29),SUBSTITUTE(LOOKUP(2,1/(Y29:AJ29&lt;&gt;""),$Y$3:$AJ$3),"Date: ","")))</t>
        </is>
      </c>
      <c r="V29" s="36" t="inlineStr">
        <is>
          <t>IF(OR(E29="",COUNT(Y29:AJ29)=0),"",TODAY()-LOOKUP(2,1/(Y29:AJ29&lt;&gt;""),Y29:AJ29))</t>
        </is>
      </c>
      <c r="W29" s="36" t="inlineStr">
        <is>
          <t>IF(OR(E29="",COUNT(Y29:AJ29)&lt;2),"",LOOKUP(2,1/(Y29:AJ29&lt;&gt;""),Y29:AJ29)-MIN(Y29:AJ29))</t>
        </is>
      </c>
      <c r="X29" s="36" t="inlineStr">
        <is>
          <t>IF(OR(V29="",U29="Not started",U29=""),"",IFERROR(V29-IF(VLOOKUP(U29,'04_Status_Pipeline'!$B$3:$E$20,4,FALSE)="",0,VLOOKUP(U29,'04_Status_Pipeline'!$B$3:$E$20,4,FALSE)),""))</t>
        </is>
      </c>
      <c r="Y29" s="43" t="n"/>
      <c r="Z29" s="43" t="n"/>
      <c r="AA29" s="43" t="n"/>
      <c r="AB29" s="43" t="n"/>
      <c r="AC29" s="43" t="n"/>
      <c r="AD29" s="43" t="n"/>
      <c r="AE29" s="43" t="n"/>
      <c r="AF29" s="43" t="n"/>
      <c r="AG29" s="43" t="n"/>
      <c r="AH29" s="38" t="n"/>
      <c r="AI29" s="38" t="n"/>
      <c r="AJ29" s="38" t="n"/>
      <c r="AK29" s="36" t="inlineStr">
        <is>
          <t>IF(OR(E29="",Z29=""),"",IF(COUNT(Y29:Y29)=0,"",Z29-LOOKUP(2,1/(Y29:Y29&lt;&gt;""),Y29:Y29)))</t>
        </is>
      </c>
      <c r="AL29" s="36" t="inlineStr">
        <is>
          <t>IF(OR(E29="",AA29=""),"",IF(COUNT(Y29:Z29)=0,"",AA29-LOOKUP(2,1/(Y29:Z29&lt;&gt;""),Y29:Z29)))</t>
        </is>
      </c>
      <c r="AM29" s="36" t="inlineStr">
        <is>
          <t>IF(OR(E29="",AB29=""),"",IF(COUNT(Y29:AA29)=0,"",AB29-LOOKUP(2,1/(Y29:AA29&lt;&gt;""),Y29:AA29)))</t>
        </is>
      </c>
      <c r="AN29" s="36" t="inlineStr">
        <is>
          <t>IF(OR(E29="",AC29=""),"",IF(COUNT(Y29:AB29)=0,"",AC29-LOOKUP(2,1/(Y29:AB29&lt;&gt;""),Y29:AB29)))</t>
        </is>
      </c>
      <c r="AO29" s="36" t="inlineStr">
        <is>
          <t>IF(OR(E29="",AD29=""),"",IF(COUNT(Y29:AC29)=0,"",AD29-LOOKUP(2,1/(Y29:AC29&lt;&gt;""),Y29:AC29)))</t>
        </is>
      </c>
      <c r="AP29" s="36" t="inlineStr">
        <is>
          <t>IF(OR(E29="",AE29=""),"",IF(COUNT(Y29:AD29)=0,"",AE29-LOOKUP(2,1/(Y29:AD29&lt;&gt;""),Y29:AD29)))</t>
        </is>
      </c>
      <c r="AQ29" s="36" t="inlineStr">
        <is>
          <t>IF(OR(E29="",AF29=""),"",IF(COUNT(Y29:AE29)=0,"",AF29-LOOKUP(2,1/(Y29:AE29&lt;&gt;""),Y29:AE29)))</t>
        </is>
      </c>
      <c r="AR29" s="36" t="inlineStr">
        <is>
          <t>IF(OR(E29="",AG29=""),"",IF(COUNT(Y29:AF29)=0,"",AG29-LOOKUP(2,1/(Y29:AF29&lt;&gt;""),Y29:AF29)))</t>
        </is>
      </c>
      <c r="AS29" s="36" t="inlineStr">
        <is>
          <t>IF(OR(E29="",AH29=""),"",IF(COUNT(Y29:AG29)=0,"",AH29-LOOKUP(2,1/(Y29:AG29&lt;&gt;""),Y29:AG29)))</t>
        </is>
      </c>
      <c r="AT29" s="36" t="inlineStr">
        <is>
          <t>IF(OR(E29="",AI29=""),"",IF(COUNT(Y29:AH29)=0,"",AI29-LOOKUP(2,1/(Y29:AH29&lt;&gt;""),Y29:AH29)))</t>
        </is>
      </c>
      <c r="AU29" s="36" t="inlineStr">
        <is>
          <t>IF(OR(E29="",AJ29=""),"",IF(COUNT(Y29:AI29)=0,"",AJ29-LOOKUP(2,1/(Y29:AI29&lt;&gt;""),Y29:AI29)))</t>
        </is>
      </c>
      <c r="AV29" s="39" t="inlineStr">
        <is>
          <t>IF(G29="","All_Provinces",IFERROR(VLOOKUP(G29,'07_Lookups'!$A$4:$B$20,2,FALSE),"All_Provinces"))</t>
        </is>
      </c>
      <c r="AW29" s="39" t="inlineStr">
        <is>
          <t>IF(H29="","All_Districts",IFERROR(VLOOKUP(H29,'07_Lookups'!$E$4:$F$42,2,FALSE),"All_Districts"))</t>
        </is>
      </c>
    </row>
    <row r="30" ht="18" customHeight="1">
      <c r="A30" s="31" t="inlineStr">
        <is>
          <t>IF(E30="","",ROW()-3)</t>
        </is>
      </c>
      <c r="B30" s="32" t="n"/>
      <c r="C30" s="32" t="n"/>
      <c r="D30" s="32" t="n"/>
      <c r="E30" s="32" t="n"/>
      <c r="F30" s="32" t="n"/>
      <c r="G30" s="32" t="n"/>
      <c r="H30" s="32" t="n"/>
      <c r="I30" s="32" t="n"/>
      <c r="J30" s="32" t="n"/>
      <c r="K30" s="32" t="n"/>
      <c r="L30" s="32" t="n"/>
      <c r="M30" s="32" t="n"/>
      <c r="N30" s="33" t="n"/>
      <c r="O30" s="34" t="inlineStr">
        <is>
          <t>IF(AE30="","",AE30)</t>
        </is>
      </c>
      <c r="P30" s="35" t="n"/>
      <c r="Q30" s="34" t="inlineStr">
        <is>
          <t>IF(OR(O30="",P30=""),"",EDATE(O30,P30))</t>
        </is>
      </c>
      <c r="R30" s="35" t="n"/>
      <c r="S30" s="32" t="n"/>
      <c r="T30" s="32" t="n"/>
      <c r="U30" s="31" t="inlineStr">
        <is>
          <t>IF(E30="","",IF(COUNT(Y30:AJ30)=0,IF(S30="","Not started",S30),SUBSTITUTE(LOOKUP(2,1/(Y30:AJ30&lt;&gt;""),$Y$3:$AJ$3),"Date: ","")))</t>
        </is>
      </c>
      <c r="V30" s="36" t="inlineStr">
        <is>
          <t>IF(OR(E30="",COUNT(Y30:AJ30)=0),"",TODAY()-LOOKUP(2,1/(Y30:AJ30&lt;&gt;""),Y30:AJ30))</t>
        </is>
      </c>
      <c r="W30" s="36" t="inlineStr">
        <is>
          <t>IF(OR(E30="",COUNT(Y30:AJ30)&lt;2),"",LOOKUP(2,1/(Y30:AJ30&lt;&gt;""),Y30:AJ30)-MIN(Y30:AJ30))</t>
        </is>
      </c>
      <c r="X30" s="36" t="inlineStr">
        <is>
          <t>IF(OR(V30="",U30="Not started",U30=""),"",IFERROR(V30-IF(VLOOKUP(U30,'04_Status_Pipeline'!$B$3:$E$20,4,FALSE)="",0,VLOOKUP(U30,'04_Status_Pipeline'!$B$3:$E$20,4,FALSE)),""))</t>
        </is>
      </c>
      <c r="Y30" s="37" t="n"/>
      <c r="Z30" s="37" t="n"/>
      <c r="AA30" s="37" t="n"/>
      <c r="AB30" s="37" t="n"/>
      <c r="AC30" s="37" t="n"/>
      <c r="AD30" s="37" t="n"/>
      <c r="AE30" s="37" t="n"/>
      <c r="AF30" s="37" t="n"/>
      <c r="AG30" s="37" t="n"/>
      <c r="AH30" s="38" t="n"/>
      <c r="AI30" s="38" t="n"/>
      <c r="AJ30" s="38" t="n"/>
      <c r="AK30" s="36" t="inlineStr">
        <is>
          <t>IF(OR(E30="",Z30=""),"",IF(COUNT(Y30:Y30)=0,"",Z30-LOOKUP(2,1/(Y30:Y30&lt;&gt;""),Y30:Y30)))</t>
        </is>
      </c>
      <c r="AL30" s="36" t="inlineStr">
        <is>
          <t>IF(OR(E30="",AA30=""),"",IF(COUNT(Y30:Z30)=0,"",AA30-LOOKUP(2,1/(Y30:Z30&lt;&gt;""),Y30:Z30)))</t>
        </is>
      </c>
      <c r="AM30" s="36" t="inlineStr">
        <is>
          <t>IF(OR(E30="",AB30=""),"",IF(COUNT(Y30:AA30)=0,"",AB30-LOOKUP(2,1/(Y30:AA30&lt;&gt;""),Y30:AA30)))</t>
        </is>
      </c>
      <c r="AN30" s="36" t="inlineStr">
        <is>
          <t>IF(OR(E30="",AC30=""),"",IF(COUNT(Y30:AB30)=0,"",AC30-LOOKUP(2,1/(Y30:AB30&lt;&gt;""),Y30:AB30)))</t>
        </is>
      </c>
      <c r="AO30" s="36" t="inlineStr">
        <is>
          <t>IF(OR(E30="",AD30=""),"",IF(COUNT(Y30:AC30)=0,"",AD30-LOOKUP(2,1/(Y30:AC30&lt;&gt;""),Y30:AC30)))</t>
        </is>
      </c>
      <c r="AP30" s="36" t="inlineStr">
        <is>
          <t>IF(OR(E30="",AE30=""),"",IF(COUNT(Y30:AD30)=0,"",AE30-LOOKUP(2,1/(Y30:AD30&lt;&gt;""),Y30:AD30)))</t>
        </is>
      </c>
      <c r="AQ30" s="36" t="inlineStr">
        <is>
          <t>IF(OR(E30="",AF30=""),"",IF(COUNT(Y30:AE30)=0,"",AF30-LOOKUP(2,1/(Y30:AE30&lt;&gt;""),Y30:AE30)))</t>
        </is>
      </c>
      <c r="AR30" s="36" t="inlineStr">
        <is>
          <t>IF(OR(E30="",AG30=""),"",IF(COUNT(Y30:AF30)=0,"",AG30-LOOKUP(2,1/(Y30:AF30&lt;&gt;""),Y30:AF30)))</t>
        </is>
      </c>
      <c r="AS30" s="36" t="inlineStr">
        <is>
          <t>IF(OR(E30="",AH30=""),"",IF(COUNT(Y30:AG30)=0,"",AH30-LOOKUP(2,1/(Y30:AG30&lt;&gt;""),Y30:AG30)))</t>
        </is>
      </c>
      <c r="AT30" s="36" t="inlineStr">
        <is>
          <t>IF(OR(E30="",AI30=""),"",IF(COUNT(Y30:AH30)=0,"",AI30-LOOKUP(2,1/(Y30:AH30&lt;&gt;""),Y30:AH30)))</t>
        </is>
      </c>
      <c r="AU30" s="36" t="inlineStr">
        <is>
          <t>IF(OR(E30="",AJ30=""),"",IF(COUNT(Y30:AI30)=0,"",AJ30-LOOKUP(2,1/(Y30:AI30&lt;&gt;""),Y30:AI30)))</t>
        </is>
      </c>
      <c r="AV30" s="39" t="inlineStr">
        <is>
          <t>IF(G30="","All_Provinces",IFERROR(VLOOKUP(G30,'07_Lookups'!$A$4:$B$20,2,FALSE),"All_Provinces"))</t>
        </is>
      </c>
      <c r="AW30" s="39" t="inlineStr">
        <is>
          <t>IF(H30="","All_Districts",IFERROR(VLOOKUP(H30,'07_Lookups'!$E$4:$F$42,2,FALSE),"All_Districts"))</t>
        </is>
      </c>
    </row>
    <row r="31" ht="18" customHeight="1">
      <c r="A31" s="31" t="inlineStr">
        <is>
          <t>IF(E31="","",ROW()-3)</t>
        </is>
      </c>
      <c r="B31" s="40" t="n"/>
      <c r="C31" s="40" t="n"/>
      <c r="D31" s="40" t="n"/>
      <c r="E31" s="40" t="n"/>
      <c r="F31" s="40" t="n"/>
      <c r="G31" s="40" t="n"/>
      <c r="H31" s="40" t="n"/>
      <c r="I31" s="40" t="n"/>
      <c r="J31" s="40" t="n"/>
      <c r="K31" s="40" t="n"/>
      <c r="L31" s="40" t="n"/>
      <c r="M31" s="40" t="n"/>
      <c r="N31" s="41" t="n"/>
      <c r="O31" s="34" t="inlineStr">
        <is>
          <t>IF(AE31="","",AE31)</t>
        </is>
      </c>
      <c r="P31" s="42" t="n"/>
      <c r="Q31" s="34" t="inlineStr">
        <is>
          <t>IF(OR(O31="",P31=""),"",EDATE(O31,P31))</t>
        </is>
      </c>
      <c r="R31" s="42" t="n"/>
      <c r="S31" s="40" t="n"/>
      <c r="T31" s="40" t="n"/>
      <c r="U31" s="31" t="inlineStr">
        <is>
          <t>IF(E31="","",IF(COUNT(Y31:AJ31)=0,IF(S31="","Not started",S31),SUBSTITUTE(LOOKUP(2,1/(Y31:AJ31&lt;&gt;""),$Y$3:$AJ$3),"Date: ","")))</t>
        </is>
      </c>
      <c r="V31" s="36" t="inlineStr">
        <is>
          <t>IF(OR(E31="",COUNT(Y31:AJ31)=0),"",TODAY()-LOOKUP(2,1/(Y31:AJ31&lt;&gt;""),Y31:AJ31))</t>
        </is>
      </c>
      <c r="W31" s="36" t="inlineStr">
        <is>
          <t>IF(OR(E31="",COUNT(Y31:AJ31)&lt;2),"",LOOKUP(2,1/(Y31:AJ31&lt;&gt;""),Y31:AJ31)-MIN(Y31:AJ31))</t>
        </is>
      </c>
      <c r="X31" s="36" t="inlineStr">
        <is>
          <t>IF(OR(V31="",U31="Not started",U31=""),"",IFERROR(V31-IF(VLOOKUP(U31,'04_Status_Pipeline'!$B$3:$E$20,4,FALSE)="",0,VLOOKUP(U31,'04_Status_Pipeline'!$B$3:$E$20,4,FALSE)),""))</t>
        </is>
      </c>
      <c r="Y31" s="43" t="n"/>
      <c r="Z31" s="43" t="n"/>
      <c r="AA31" s="43" t="n"/>
      <c r="AB31" s="43" t="n"/>
      <c r="AC31" s="43" t="n"/>
      <c r="AD31" s="43" t="n"/>
      <c r="AE31" s="43" t="n"/>
      <c r="AF31" s="43" t="n"/>
      <c r="AG31" s="43" t="n"/>
      <c r="AH31" s="38" t="n"/>
      <c r="AI31" s="38" t="n"/>
      <c r="AJ31" s="38" t="n"/>
      <c r="AK31" s="36" t="inlineStr">
        <is>
          <t>IF(OR(E31="",Z31=""),"",IF(COUNT(Y31:Y31)=0,"",Z31-LOOKUP(2,1/(Y31:Y31&lt;&gt;""),Y31:Y31)))</t>
        </is>
      </c>
      <c r="AL31" s="36" t="inlineStr">
        <is>
          <t>IF(OR(E31="",AA31=""),"",IF(COUNT(Y31:Z31)=0,"",AA31-LOOKUP(2,1/(Y31:Z31&lt;&gt;""),Y31:Z31)))</t>
        </is>
      </c>
      <c r="AM31" s="36" t="inlineStr">
        <is>
          <t>IF(OR(E31="",AB31=""),"",IF(COUNT(Y31:AA31)=0,"",AB31-LOOKUP(2,1/(Y31:AA31&lt;&gt;""),Y31:AA31)))</t>
        </is>
      </c>
      <c r="AN31" s="36" t="inlineStr">
        <is>
          <t>IF(OR(E31="",AC31=""),"",IF(COUNT(Y31:AB31)=0,"",AC31-LOOKUP(2,1/(Y31:AB31&lt;&gt;""),Y31:AB31)))</t>
        </is>
      </c>
      <c r="AO31" s="36" t="inlineStr">
        <is>
          <t>IF(OR(E31="",AD31=""),"",IF(COUNT(Y31:AC31)=0,"",AD31-LOOKUP(2,1/(Y31:AC31&lt;&gt;""),Y31:AC31)))</t>
        </is>
      </c>
      <c r="AP31" s="36" t="inlineStr">
        <is>
          <t>IF(OR(E31="",AE31=""),"",IF(COUNT(Y31:AD31)=0,"",AE31-LOOKUP(2,1/(Y31:AD31&lt;&gt;""),Y31:AD31)))</t>
        </is>
      </c>
      <c r="AQ31" s="36" t="inlineStr">
        <is>
          <t>IF(OR(E31="",AF31=""),"",IF(COUNT(Y31:AE31)=0,"",AF31-LOOKUP(2,1/(Y31:AE31&lt;&gt;""),Y31:AE31)))</t>
        </is>
      </c>
      <c r="AR31" s="36" t="inlineStr">
        <is>
          <t>IF(OR(E31="",AG31=""),"",IF(COUNT(Y31:AF31)=0,"",AG31-LOOKUP(2,1/(Y31:AF31&lt;&gt;""),Y31:AF31)))</t>
        </is>
      </c>
      <c r="AS31" s="36" t="inlineStr">
        <is>
          <t>IF(OR(E31="",AH31=""),"",IF(COUNT(Y31:AG31)=0,"",AH31-LOOKUP(2,1/(Y31:AG31&lt;&gt;""),Y31:AG31)))</t>
        </is>
      </c>
      <c r="AT31" s="36" t="inlineStr">
        <is>
          <t>IF(OR(E31="",AI31=""),"",IF(COUNT(Y31:AH31)=0,"",AI31-LOOKUP(2,1/(Y31:AH31&lt;&gt;""),Y31:AH31)))</t>
        </is>
      </c>
      <c r="AU31" s="36" t="inlineStr">
        <is>
          <t>IF(OR(E31="",AJ31=""),"",IF(COUNT(Y31:AI31)=0,"",AJ31-LOOKUP(2,1/(Y31:AI31&lt;&gt;""),Y31:AI31)))</t>
        </is>
      </c>
      <c r="AV31" s="39" t="inlineStr">
        <is>
          <t>IF(G31="","All_Provinces",IFERROR(VLOOKUP(G31,'07_Lookups'!$A$4:$B$20,2,FALSE),"All_Provinces"))</t>
        </is>
      </c>
      <c r="AW31" s="39" t="inlineStr">
        <is>
          <t>IF(H31="","All_Districts",IFERROR(VLOOKUP(H31,'07_Lookups'!$E$4:$F$42,2,FALSE),"All_Districts"))</t>
        </is>
      </c>
    </row>
    <row r="32" ht="18" customHeight="1">
      <c r="A32" s="31" t="inlineStr">
        <is>
          <t>IF(E32="","",ROW()-3)</t>
        </is>
      </c>
      <c r="B32" s="32" t="n"/>
      <c r="C32" s="32" t="n"/>
      <c r="D32" s="32" t="n"/>
      <c r="E32" s="32" t="n"/>
      <c r="F32" s="32" t="n"/>
      <c r="G32" s="32" t="n"/>
      <c r="H32" s="32" t="n"/>
      <c r="I32" s="32" t="n"/>
      <c r="J32" s="32" t="n"/>
      <c r="K32" s="32" t="n"/>
      <c r="L32" s="32" t="n"/>
      <c r="M32" s="32" t="n"/>
      <c r="N32" s="33" t="n"/>
      <c r="O32" s="34" t="inlineStr">
        <is>
          <t>IF(AE32="","",AE32)</t>
        </is>
      </c>
      <c r="P32" s="35" t="n"/>
      <c r="Q32" s="34" t="inlineStr">
        <is>
          <t>IF(OR(O32="",P32=""),"",EDATE(O32,P32))</t>
        </is>
      </c>
      <c r="R32" s="35" t="n"/>
      <c r="S32" s="32" t="n"/>
      <c r="T32" s="32" t="n"/>
      <c r="U32" s="31" t="inlineStr">
        <is>
          <t>IF(E32="","",IF(COUNT(Y32:AJ32)=0,IF(S32="","Not started",S32),SUBSTITUTE(LOOKUP(2,1/(Y32:AJ32&lt;&gt;""),$Y$3:$AJ$3),"Date: ","")))</t>
        </is>
      </c>
      <c r="V32" s="36" t="inlineStr">
        <is>
          <t>IF(OR(E32="",COUNT(Y32:AJ32)=0),"",TODAY()-LOOKUP(2,1/(Y32:AJ32&lt;&gt;""),Y32:AJ32))</t>
        </is>
      </c>
      <c r="W32" s="36" t="inlineStr">
        <is>
          <t>IF(OR(E32="",COUNT(Y32:AJ32)&lt;2),"",LOOKUP(2,1/(Y32:AJ32&lt;&gt;""),Y32:AJ32)-MIN(Y32:AJ32))</t>
        </is>
      </c>
      <c r="X32" s="36" t="inlineStr">
        <is>
          <t>IF(OR(V32="",U32="Not started",U32=""),"",IFERROR(V32-IF(VLOOKUP(U32,'04_Status_Pipeline'!$B$3:$E$20,4,FALSE)="",0,VLOOKUP(U32,'04_Status_Pipeline'!$B$3:$E$20,4,FALSE)),""))</t>
        </is>
      </c>
      <c r="Y32" s="37" t="n"/>
      <c r="Z32" s="37" t="n"/>
      <c r="AA32" s="37" t="n"/>
      <c r="AB32" s="37" t="n"/>
      <c r="AC32" s="37" t="n"/>
      <c r="AD32" s="37" t="n"/>
      <c r="AE32" s="37" t="n"/>
      <c r="AF32" s="37" t="n"/>
      <c r="AG32" s="37" t="n"/>
      <c r="AH32" s="38" t="n"/>
      <c r="AI32" s="38" t="n"/>
      <c r="AJ32" s="38" t="n"/>
      <c r="AK32" s="36" t="inlineStr">
        <is>
          <t>IF(OR(E32="",Z32=""),"",IF(COUNT(Y32:Y32)=0,"",Z32-LOOKUP(2,1/(Y32:Y32&lt;&gt;""),Y32:Y32)))</t>
        </is>
      </c>
      <c r="AL32" s="36" t="inlineStr">
        <is>
          <t>IF(OR(E32="",AA32=""),"",IF(COUNT(Y32:Z32)=0,"",AA32-LOOKUP(2,1/(Y32:Z32&lt;&gt;""),Y32:Z32)))</t>
        </is>
      </c>
      <c r="AM32" s="36" t="inlineStr">
        <is>
          <t>IF(OR(E32="",AB32=""),"",IF(COUNT(Y32:AA32)=0,"",AB32-LOOKUP(2,1/(Y32:AA32&lt;&gt;""),Y32:AA32)))</t>
        </is>
      </c>
      <c r="AN32" s="36" t="inlineStr">
        <is>
          <t>IF(OR(E32="",AC32=""),"",IF(COUNT(Y32:AB32)=0,"",AC32-LOOKUP(2,1/(Y32:AB32&lt;&gt;""),Y32:AB32)))</t>
        </is>
      </c>
      <c r="AO32" s="36" t="inlineStr">
        <is>
          <t>IF(OR(E32="",AD32=""),"",IF(COUNT(Y32:AC32)=0,"",AD32-LOOKUP(2,1/(Y32:AC32&lt;&gt;""),Y32:AC32)))</t>
        </is>
      </c>
      <c r="AP32" s="36" t="inlineStr">
        <is>
          <t>IF(OR(E32="",AE32=""),"",IF(COUNT(Y32:AD32)=0,"",AE32-LOOKUP(2,1/(Y32:AD32&lt;&gt;""),Y32:AD32)))</t>
        </is>
      </c>
      <c r="AQ32" s="36" t="inlineStr">
        <is>
          <t>IF(OR(E32="",AF32=""),"",IF(COUNT(Y32:AE32)=0,"",AF32-LOOKUP(2,1/(Y32:AE32&lt;&gt;""),Y32:AE32)))</t>
        </is>
      </c>
      <c r="AR32" s="36" t="inlineStr">
        <is>
          <t>IF(OR(E32="",AG32=""),"",IF(COUNT(Y32:AF32)=0,"",AG32-LOOKUP(2,1/(Y32:AF32&lt;&gt;""),Y32:AF32)))</t>
        </is>
      </c>
      <c r="AS32" s="36" t="inlineStr">
        <is>
          <t>IF(OR(E32="",AH32=""),"",IF(COUNT(Y32:AG32)=0,"",AH32-LOOKUP(2,1/(Y32:AG32&lt;&gt;""),Y32:AG32)))</t>
        </is>
      </c>
      <c r="AT32" s="36" t="inlineStr">
        <is>
          <t>IF(OR(E32="",AI32=""),"",IF(COUNT(Y32:AH32)=0,"",AI32-LOOKUP(2,1/(Y32:AH32&lt;&gt;""),Y32:AH32)))</t>
        </is>
      </c>
      <c r="AU32" s="36" t="inlineStr">
        <is>
          <t>IF(OR(E32="",AJ32=""),"",IF(COUNT(Y32:AI32)=0,"",AJ32-LOOKUP(2,1/(Y32:AI32&lt;&gt;""),Y32:AI32)))</t>
        </is>
      </c>
      <c r="AV32" s="39" t="inlineStr">
        <is>
          <t>IF(G32="","All_Provinces",IFERROR(VLOOKUP(G32,'07_Lookups'!$A$4:$B$20,2,FALSE),"All_Provinces"))</t>
        </is>
      </c>
      <c r="AW32" s="39" t="inlineStr">
        <is>
          <t>IF(H32="","All_Districts",IFERROR(VLOOKUP(H32,'07_Lookups'!$E$4:$F$42,2,FALSE),"All_Districts"))</t>
        </is>
      </c>
    </row>
    <row r="33" ht="18" customHeight="1">
      <c r="A33" s="31" t="inlineStr">
        <is>
          <t>IF(E33="","",ROW()-3)</t>
        </is>
      </c>
      <c r="B33" s="40" t="n"/>
      <c r="C33" s="40" t="n"/>
      <c r="D33" s="40" t="n"/>
      <c r="E33" s="40" t="n"/>
      <c r="F33" s="40" t="n"/>
      <c r="G33" s="40" t="n"/>
      <c r="H33" s="40" t="n"/>
      <c r="I33" s="40" t="n"/>
      <c r="J33" s="40" t="n"/>
      <c r="K33" s="40" t="n"/>
      <c r="L33" s="40" t="n"/>
      <c r="M33" s="40" t="n"/>
      <c r="N33" s="41" t="n"/>
      <c r="O33" s="34" t="inlineStr">
        <is>
          <t>IF(AE33="","",AE33)</t>
        </is>
      </c>
      <c r="P33" s="42" t="n"/>
      <c r="Q33" s="34" t="inlineStr">
        <is>
          <t>IF(OR(O33="",P33=""),"",EDATE(O33,P33))</t>
        </is>
      </c>
      <c r="R33" s="42" t="n"/>
      <c r="S33" s="40" t="n"/>
      <c r="T33" s="40" t="n"/>
      <c r="U33" s="31" t="inlineStr">
        <is>
          <t>IF(E33="","",IF(COUNT(Y33:AJ33)=0,IF(S33="","Not started",S33),SUBSTITUTE(LOOKUP(2,1/(Y33:AJ33&lt;&gt;""),$Y$3:$AJ$3),"Date: ","")))</t>
        </is>
      </c>
      <c r="V33" s="36" t="inlineStr">
        <is>
          <t>IF(OR(E33="",COUNT(Y33:AJ33)=0),"",TODAY()-LOOKUP(2,1/(Y33:AJ33&lt;&gt;""),Y33:AJ33))</t>
        </is>
      </c>
      <c r="W33" s="36" t="inlineStr">
        <is>
          <t>IF(OR(E33="",COUNT(Y33:AJ33)&lt;2),"",LOOKUP(2,1/(Y33:AJ33&lt;&gt;""),Y33:AJ33)-MIN(Y33:AJ33))</t>
        </is>
      </c>
      <c r="X33" s="36" t="inlineStr">
        <is>
          <t>IF(OR(V33="",U33="Not started",U33=""),"",IFERROR(V33-IF(VLOOKUP(U33,'04_Status_Pipeline'!$B$3:$E$20,4,FALSE)="",0,VLOOKUP(U33,'04_Status_Pipeline'!$B$3:$E$20,4,FALSE)),""))</t>
        </is>
      </c>
      <c r="Y33" s="43" t="n"/>
      <c r="Z33" s="43" t="n"/>
      <c r="AA33" s="43" t="n"/>
      <c r="AB33" s="43" t="n"/>
      <c r="AC33" s="43" t="n"/>
      <c r="AD33" s="43" t="n"/>
      <c r="AE33" s="43" t="n"/>
      <c r="AF33" s="43" t="n"/>
      <c r="AG33" s="43" t="n"/>
      <c r="AH33" s="38" t="n"/>
      <c r="AI33" s="38" t="n"/>
      <c r="AJ33" s="38" t="n"/>
      <c r="AK33" s="36" t="inlineStr">
        <is>
          <t>IF(OR(E33="",Z33=""),"",IF(COUNT(Y33:Y33)=0,"",Z33-LOOKUP(2,1/(Y33:Y33&lt;&gt;""),Y33:Y33)))</t>
        </is>
      </c>
      <c r="AL33" s="36" t="inlineStr">
        <is>
          <t>IF(OR(E33="",AA33=""),"",IF(COUNT(Y33:Z33)=0,"",AA33-LOOKUP(2,1/(Y33:Z33&lt;&gt;""),Y33:Z33)))</t>
        </is>
      </c>
      <c r="AM33" s="36" t="inlineStr">
        <is>
          <t>IF(OR(E33="",AB33=""),"",IF(COUNT(Y33:AA33)=0,"",AB33-LOOKUP(2,1/(Y33:AA33&lt;&gt;""),Y33:AA33)))</t>
        </is>
      </c>
      <c r="AN33" s="36" t="inlineStr">
        <is>
          <t>IF(OR(E33="",AC33=""),"",IF(COUNT(Y33:AB33)=0,"",AC33-LOOKUP(2,1/(Y33:AB33&lt;&gt;""),Y33:AB33)))</t>
        </is>
      </c>
      <c r="AO33" s="36" t="inlineStr">
        <is>
          <t>IF(OR(E33="",AD33=""),"",IF(COUNT(Y33:AC33)=0,"",AD33-LOOKUP(2,1/(Y33:AC33&lt;&gt;""),Y33:AC33)))</t>
        </is>
      </c>
      <c r="AP33" s="36" t="inlineStr">
        <is>
          <t>IF(OR(E33="",AE33=""),"",IF(COUNT(Y33:AD33)=0,"",AE33-LOOKUP(2,1/(Y33:AD33&lt;&gt;""),Y33:AD33)))</t>
        </is>
      </c>
      <c r="AQ33" s="36" t="inlineStr">
        <is>
          <t>IF(OR(E33="",AF33=""),"",IF(COUNT(Y33:AE33)=0,"",AF33-LOOKUP(2,1/(Y33:AE33&lt;&gt;""),Y33:AE33)))</t>
        </is>
      </c>
      <c r="AR33" s="36" t="inlineStr">
        <is>
          <t>IF(OR(E33="",AG33=""),"",IF(COUNT(Y33:AF33)=0,"",AG33-LOOKUP(2,1/(Y33:AF33&lt;&gt;""),Y33:AF33)))</t>
        </is>
      </c>
      <c r="AS33" s="36" t="inlineStr">
        <is>
          <t>IF(OR(E33="",AH33=""),"",IF(COUNT(Y33:AG33)=0,"",AH33-LOOKUP(2,1/(Y33:AG33&lt;&gt;""),Y33:AG33)))</t>
        </is>
      </c>
      <c r="AT33" s="36" t="inlineStr">
        <is>
          <t>IF(OR(E33="",AI33=""),"",IF(COUNT(Y33:AH33)=0,"",AI33-LOOKUP(2,1/(Y33:AH33&lt;&gt;""),Y33:AH33)))</t>
        </is>
      </c>
      <c r="AU33" s="36" t="inlineStr">
        <is>
          <t>IF(OR(E33="",AJ33=""),"",IF(COUNT(Y33:AI33)=0,"",AJ33-LOOKUP(2,1/(Y33:AI33&lt;&gt;""),Y33:AI33)))</t>
        </is>
      </c>
      <c r="AV33" s="39" t="inlineStr">
        <is>
          <t>IF(G33="","All_Provinces",IFERROR(VLOOKUP(G33,'07_Lookups'!$A$4:$B$20,2,FALSE),"All_Provinces"))</t>
        </is>
      </c>
      <c r="AW33" s="39" t="inlineStr">
        <is>
          <t>IF(H33="","All_Districts",IFERROR(VLOOKUP(H33,'07_Lookups'!$E$4:$F$42,2,FALSE),"All_Districts"))</t>
        </is>
      </c>
    </row>
    <row r="34" ht="18" customHeight="1">
      <c r="A34" s="31" t="inlineStr">
        <is>
          <t>IF(E34="","",ROW()-3)</t>
        </is>
      </c>
      <c r="B34" s="32" t="n"/>
      <c r="C34" s="32" t="n"/>
      <c r="D34" s="32" t="n"/>
      <c r="E34" s="32" t="n"/>
      <c r="F34" s="32" t="n"/>
      <c r="G34" s="32" t="n"/>
      <c r="H34" s="32" t="n"/>
      <c r="I34" s="32" t="n"/>
      <c r="J34" s="32" t="n"/>
      <c r="K34" s="32" t="n"/>
      <c r="L34" s="32" t="n"/>
      <c r="M34" s="32" t="n"/>
      <c r="N34" s="33" t="n"/>
      <c r="O34" s="34" t="inlineStr">
        <is>
          <t>IF(AE34="","",AE34)</t>
        </is>
      </c>
      <c r="P34" s="35" t="n"/>
      <c r="Q34" s="34" t="inlineStr">
        <is>
          <t>IF(OR(O34="",P34=""),"",EDATE(O34,P34))</t>
        </is>
      </c>
      <c r="R34" s="35" t="n"/>
      <c r="S34" s="32" t="n"/>
      <c r="T34" s="32" t="n"/>
      <c r="U34" s="31" t="inlineStr">
        <is>
          <t>IF(E34="","",IF(COUNT(Y34:AJ34)=0,IF(S34="","Not started",S34),SUBSTITUTE(LOOKUP(2,1/(Y34:AJ34&lt;&gt;""),$Y$3:$AJ$3),"Date: ","")))</t>
        </is>
      </c>
      <c r="V34" s="36" t="inlineStr">
        <is>
          <t>IF(OR(E34="",COUNT(Y34:AJ34)=0),"",TODAY()-LOOKUP(2,1/(Y34:AJ34&lt;&gt;""),Y34:AJ34))</t>
        </is>
      </c>
      <c r="W34" s="36" t="inlineStr">
        <is>
          <t>IF(OR(E34="",COUNT(Y34:AJ34)&lt;2),"",LOOKUP(2,1/(Y34:AJ34&lt;&gt;""),Y34:AJ34)-MIN(Y34:AJ34))</t>
        </is>
      </c>
      <c r="X34" s="36" t="inlineStr">
        <is>
          <t>IF(OR(V34="",U34="Not started",U34=""),"",IFERROR(V34-IF(VLOOKUP(U34,'04_Status_Pipeline'!$B$3:$E$20,4,FALSE)="",0,VLOOKUP(U34,'04_Status_Pipeline'!$B$3:$E$20,4,FALSE)),""))</t>
        </is>
      </c>
      <c r="Y34" s="37" t="n"/>
      <c r="Z34" s="37" t="n"/>
      <c r="AA34" s="37" t="n"/>
      <c r="AB34" s="37" t="n"/>
      <c r="AC34" s="37" t="n"/>
      <c r="AD34" s="37" t="n"/>
      <c r="AE34" s="37" t="n"/>
      <c r="AF34" s="37" t="n"/>
      <c r="AG34" s="37" t="n"/>
      <c r="AH34" s="38" t="n"/>
      <c r="AI34" s="38" t="n"/>
      <c r="AJ34" s="38" t="n"/>
      <c r="AK34" s="36" t="inlineStr">
        <is>
          <t>IF(OR(E34="",Z34=""),"",IF(COUNT(Y34:Y34)=0,"",Z34-LOOKUP(2,1/(Y34:Y34&lt;&gt;""),Y34:Y34)))</t>
        </is>
      </c>
      <c r="AL34" s="36" t="inlineStr">
        <is>
          <t>IF(OR(E34="",AA34=""),"",IF(COUNT(Y34:Z34)=0,"",AA34-LOOKUP(2,1/(Y34:Z34&lt;&gt;""),Y34:Z34)))</t>
        </is>
      </c>
      <c r="AM34" s="36" t="inlineStr">
        <is>
          <t>IF(OR(E34="",AB34=""),"",IF(COUNT(Y34:AA34)=0,"",AB34-LOOKUP(2,1/(Y34:AA34&lt;&gt;""),Y34:AA34)))</t>
        </is>
      </c>
      <c r="AN34" s="36" t="inlineStr">
        <is>
          <t>IF(OR(E34="",AC34=""),"",IF(COUNT(Y34:AB34)=0,"",AC34-LOOKUP(2,1/(Y34:AB34&lt;&gt;""),Y34:AB34)))</t>
        </is>
      </c>
      <c r="AO34" s="36" t="inlineStr">
        <is>
          <t>IF(OR(E34="",AD34=""),"",IF(COUNT(Y34:AC34)=0,"",AD34-LOOKUP(2,1/(Y34:AC34&lt;&gt;""),Y34:AC34)))</t>
        </is>
      </c>
      <c r="AP34" s="36" t="inlineStr">
        <is>
          <t>IF(OR(E34="",AE34=""),"",IF(COUNT(Y34:AD34)=0,"",AE34-LOOKUP(2,1/(Y34:AD34&lt;&gt;""),Y34:AD34)))</t>
        </is>
      </c>
      <c r="AQ34" s="36" t="inlineStr">
        <is>
          <t>IF(OR(E34="",AF34=""),"",IF(COUNT(Y34:AE34)=0,"",AF34-LOOKUP(2,1/(Y34:AE34&lt;&gt;""),Y34:AE34)))</t>
        </is>
      </c>
      <c r="AR34" s="36" t="inlineStr">
        <is>
          <t>IF(OR(E34="",AG34=""),"",IF(COUNT(Y34:AF34)=0,"",AG34-LOOKUP(2,1/(Y34:AF34&lt;&gt;""),Y34:AF34)))</t>
        </is>
      </c>
      <c r="AS34" s="36" t="inlineStr">
        <is>
          <t>IF(OR(E34="",AH34=""),"",IF(COUNT(Y34:AG34)=0,"",AH34-LOOKUP(2,1/(Y34:AG34&lt;&gt;""),Y34:AG34)))</t>
        </is>
      </c>
      <c r="AT34" s="36" t="inlineStr">
        <is>
          <t>IF(OR(E34="",AI34=""),"",IF(COUNT(Y34:AH34)=0,"",AI34-LOOKUP(2,1/(Y34:AH34&lt;&gt;""),Y34:AH34)))</t>
        </is>
      </c>
      <c r="AU34" s="36" t="inlineStr">
        <is>
          <t>IF(OR(E34="",AJ34=""),"",IF(COUNT(Y34:AI34)=0,"",AJ34-LOOKUP(2,1/(Y34:AI34&lt;&gt;""),Y34:AI34)))</t>
        </is>
      </c>
      <c r="AV34" s="39" t="inlineStr">
        <is>
          <t>IF(G34="","All_Provinces",IFERROR(VLOOKUP(G34,'07_Lookups'!$A$4:$B$20,2,FALSE),"All_Provinces"))</t>
        </is>
      </c>
      <c r="AW34" s="39" t="inlineStr">
        <is>
          <t>IF(H34="","All_Districts",IFERROR(VLOOKUP(H34,'07_Lookups'!$E$4:$F$42,2,FALSE),"All_Districts"))</t>
        </is>
      </c>
    </row>
    <row r="35" ht="18" customHeight="1">
      <c r="A35" s="31" t="inlineStr">
        <is>
          <t>IF(E35="","",ROW()-3)</t>
        </is>
      </c>
      <c r="B35" s="40" t="n"/>
      <c r="C35" s="40" t="n"/>
      <c r="D35" s="40" t="n"/>
      <c r="E35" s="40" t="n"/>
      <c r="F35" s="40" t="n"/>
      <c r="G35" s="40" t="n"/>
      <c r="H35" s="40" t="n"/>
      <c r="I35" s="40" t="n"/>
      <c r="J35" s="40" t="n"/>
      <c r="K35" s="40" t="n"/>
      <c r="L35" s="40" t="n"/>
      <c r="M35" s="40" t="n"/>
      <c r="N35" s="41" t="n"/>
      <c r="O35" s="34" t="inlineStr">
        <is>
          <t>IF(AE35="","",AE35)</t>
        </is>
      </c>
      <c r="P35" s="42" t="n"/>
      <c r="Q35" s="34" t="inlineStr">
        <is>
          <t>IF(OR(O35="",P35=""),"",EDATE(O35,P35))</t>
        </is>
      </c>
      <c r="R35" s="42" t="n"/>
      <c r="S35" s="40" t="n"/>
      <c r="T35" s="40" t="n"/>
      <c r="U35" s="31" t="inlineStr">
        <is>
          <t>IF(E35="","",IF(COUNT(Y35:AJ35)=0,IF(S35="","Not started",S35),SUBSTITUTE(LOOKUP(2,1/(Y35:AJ35&lt;&gt;""),$Y$3:$AJ$3),"Date: ","")))</t>
        </is>
      </c>
      <c r="V35" s="36" t="inlineStr">
        <is>
          <t>IF(OR(E35="",COUNT(Y35:AJ35)=0),"",TODAY()-LOOKUP(2,1/(Y35:AJ35&lt;&gt;""),Y35:AJ35))</t>
        </is>
      </c>
      <c r="W35" s="36" t="inlineStr">
        <is>
          <t>IF(OR(E35="",COUNT(Y35:AJ35)&lt;2),"",LOOKUP(2,1/(Y35:AJ35&lt;&gt;""),Y35:AJ35)-MIN(Y35:AJ35))</t>
        </is>
      </c>
      <c r="X35" s="36" t="inlineStr">
        <is>
          <t>IF(OR(V35="",U35="Not started",U35=""),"",IFERROR(V35-IF(VLOOKUP(U35,'04_Status_Pipeline'!$B$3:$E$20,4,FALSE)="",0,VLOOKUP(U35,'04_Status_Pipeline'!$B$3:$E$20,4,FALSE)),""))</t>
        </is>
      </c>
      <c r="Y35" s="43" t="n"/>
      <c r="Z35" s="43" t="n"/>
      <c r="AA35" s="43" t="n"/>
      <c r="AB35" s="43" t="n"/>
      <c r="AC35" s="43" t="n"/>
      <c r="AD35" s="43" t="n"/>
      <c r="AE35" s="43" t="n"/>
      <c r="AF35" s="43" t="n"/>
      <c r="AG35" s="43" t="n"/>
      <c r="AH35" s="38" t="n"/>
      <c r="AI35" s="38" t="n"/>
      <c r="AJ35" s="38" t="n"/>
      <c r="AK35" s="36" t="inlineStr">
        <is>
          <t>IF(OR(E35="",Z35=""),"",IF(COUNT(Y35:Y35)=0,"",Z35-LOOKUP(2,1/(Y35:Y35&lt;&gt;""),Y35:Y35)))</t>
        </is>
      </c>
      <c r="AL35" s="36" t="inlineStr">
        <is>
          <t>IF(OR(E35="",AA35=""),"",IF(COUNT(Y35:Z35)=0,"",AA35-LOOKUP(2,1/(Y35:Z35&lt;&gt;""),Y35:Z35)))</t>
        </is>
      </c>
      <c r="AM35" s="36" t="inlineStr">
        <is>
          <t>IF(OR(E35="",AB35=""),"",IF(COUNT(Y35:AA35)=0,"",AB35-LOOKUP(2,1/(Y35:AA35&lt;&gt;""),Y35:AA35)))</t>
        </is>
      </c>
      <c r="AN35" s="36" t="inlineStr">
        <is>
          <t>IF(OR(E35="",AC35=""),"",IF(COUNT(Y35:AB35)=0,"",AC35-LOOKUP(2,1/(Y35:AB35&lt;&gt;""),Y35:AB35)))</t>
        </is>
      </c>
      <c r="AO35" s="36" t="inlineStr">
        <is>
          <t>IF(OR(E35="",AD35=""),"",IF(COUNT(Y35:AC35)=0,"",AD35-LOOKUP(2,1/(Y35:AC35&lt;&gt;""),Y35:AC35)))</t>
        </is>
      </c>
      <c r="AP35" s="36" t="inlineStr">
        <is>
          <t>IF(OR(E35="",AE35=""),"",IF(COUNT(Y35:AD35)=0,"",AE35-LOOKUP(2,1/(Y35:AD35&lt;&gt;""),Y35:AD35)))</t>
        </is>
      </c>
      <c r="AQ35" s="36" t="inlineStr">
        <is>
          <t>IF(OR(E35="",AF35=""),"",IF(COUNT(Y35:AE35)=0,"",AF35-LOOKUP(2,1/(Y35:AE35&lt;&gt;""),Y35:AE35)))</t>
        </is>
      </c>
      <c r="AR35" s="36" t="inlineStr">
        <is>
          <t>IF(OR(E35="",AG35=""),"",IF(COUNT(Y35:AF35)=0,"",AG35-LOOKUP(2,1/(Y35:AF35&lt;&gt;""),Y35:AF35)))</t>
        </is>
      </c>
      <c r="AS35" s="36" t="inlineStr">
        <is>
          <t>IF(OR(E35="",AH35=""),"",IF(COUNT(Y35:AG35)=0,"",AH35-LOOKUP(2,1/(Y35:AG35&lt;&gt;""),Y35:AG35)))</t>
        </is>
      </c>
      <c r="AT35" s="36" t="inlineStr">
        <is>
          <t>IF(OR(E35="",AI35=""),"",IF(COUNT(Y35:AH35)=0,"",AI35-LOOKUP(2,1/(Y35:AH35&lt;&gt;""),Y35:AH35)))</t>
        </is>
      </c>
      <c r="AU35" s="36" t="inlineStr">
        <is>
          <t>IF(OR(E35="",AJ35=""),"",IF(COUNT(Y35:AI35)=0,"",AJ35-LOOKUP(2,1/(Y35:AI35&lt;&gt;""),Y35:AI35)))</t>
        </is>
      </c>
      <c r="AV35" s="39" t="inlineStr">
        <is>
          <t>IF(G35="","All_Provinces",IFERROR(VLOOKUP(G35,'07_Lookups'!$A$4:$B$20,2,FALSE),"All_Provinces"))</t>
        </is>
      </c>
      <c r="AW35" s="39" t="inlineStr">
        <is>
          <t>IF(H35="","All_Districts",IFERROR(VLOOKUP(H35,'07_Lookups'!$E$4:$F$42,2,FALSE),"All_Districts"))</t>
        </is>
      </c>
    </row>
    <row r="36" ht="18" customHeight="1">
      <c r="A36" s="31" t="inlineStr">
        <is>
          <t>IF(E36="","",ROW()-3)</t>
        </is>
      </c>
      <c r="B36" s="32" t="n"/>
      <c r="C36" s="32" t="n"/>
      <c r="D36" s="32" t="n"/>
      <c r="E36" s="32" t="n"/>
      <c r="F36" s="32" t="n"/>
      <c r="G36" s="32" t="n"/>
      <c r="H36" s="32" t="n"/>
      <c r="I36" s="32" t="n"/>
      <c r="J36" s="32" t="n"/>
      <c r="K36" s="32" t="n"/>
      <c r="L36" s="32" t="n"/>
      <c r="M36" s="32" t="n"/>
      <c r="N36" s="33" t="n"/>
      <c r="O36" s="34" t="inlineStr">
        <is>
          <t>IF(AE36="","",AE36)</t>
        </is>
      </c>
      <c r="P36" s="35" t="n"/>
      <c r="Q36" s="34" t="inlineStr">
        <is>
          <t>IF(OR(O36="",P36=""),"",EDATE(O36,P36))</t>
        </is>
      </c>
      <c r="R36" s="35" t="n"/>
      <c r="S36" s="32" t="n"/>
      <c r="T36" s="32" t="n"/>
      <c r="U36" s="31" t="inlineStr">
        <is>
          <t>IF(E36="","",IF(COUNT(Y36:AJ36)=0,IF(S36="","Not started",S36),SUBSTITUTE(LOOKUP(2,1/(Y36:AJ36&lt;&gt;""),$Y$3:$AJ$3),"Date: ","")))</t>
        </is>
      </c>
      <c r="V36" s="36" t="inlineStr">
        <is>
          <t>IF(OR(E36="",COUNT(Y36:AJ36)=0),"",TODAY()-LOOKUP(2,1/(Y36:AJ36&lt;&gt;""),Y36:AJ36))</t>
        </is>
      </c>
      <c r="W36" s="36" t="inlineStr">
        <is>
          <t>IF(OR(E36="",COUNT(Y36:AJ36)&lt;2),"",LOOKUP(2,1/(Y36:AJ36&lt;&gt;""),Y36:AJ36)-MIN(Y36:AJ36))</t>
        </is>
      </c>
      <c r="X36" s="36" t="inlineStr">
        <is>
          <t>IF(OR(V36="",U36="Not started",U36=""),"",IFERROR(V36-IF(VLOOKUP(U36,'04_Status_Pipeline'!$B$3:$E$20,4,FALSE)="",0,VLOOKUP(U36,'04_Status_Pipeline'!$B$3:$E$20,4,FALSE)),""))</t>
        </is>
      </c>
      <c r="Y36" s="37" t="n"/>
      <c r="Z36" s="37" t="n"/>
      <c r="AA36" s="37" t="n"/>
      <c r="AB36" s="37" t="n"/>
      <c r="AC36" s="37" t="n"/>
      <c r="AD36" s="37" t="n"/>
      <c r="AE36" s="37" t="n"/>
      <c r="AF36" s="37" t="n"/>
      <c r="AG36" s="37" t="n"/>
      <c r="AH36" s="38" t="n"/>
      <c r="AI36" s="38" t="n"/>
      <c r="AJ36" s="38" t="n"/>
      <c r="AK36" s="36" t="inlineStr">
        <is>
          <t>IF(OR(E36="",Z36=""),"",IF(COUNT(Y36:Y36)=0,"",Z36-LOOKUP(2,1/(Y36:Y36&lt;&gt;""),Y36:Y36)))</t>
        </is>
      </c>
      <c r="AL36" s="36" t="inlineStr">
        <is>
          <t>IF(OR(E36="",AA36=""),"",IF(COUNT(Y36:Z36)=0,"",AA36-LOOKUP(2,1/(Y36:Z36&lt;&gt;""),Y36:Z36)))</t>
        </is>
      </c>
      <c r="AM36" s="36" t="inlineStr">
        <is>
          <t>IF(OR(E36="",AB36=""),"",IF(COUNT(Y36:AA36)=0,"",AB36-LOOKUP(2,1/(Y36:AA36&lt;&gt;""),Y36:AA36)))</t>
        </is>
      </c>
      <c r="AN36" s="36" t="inlineStr">
        <is>
          <t>IF(OR(E36="",AC36=""),"",IF(COUNT(Y36:AB36)=0,"",AC36-LOOKUP(2,1/(Y36:AB36&lt;&gt;""),Y36:AB36)))</t>
        </is>
      </c>
      <c r="AO36" s="36" t="inlineStr">
        <is>
          <t>IF(OR(E36="",AD36=""),"",IF(COUNT(Y36:AC36)=0,"",AD36-LOOKUP(2,1/(Y36:AC36&lt;&gt;""),Y36:AC36)))</t>
        </is>
      </c>
      <c r="AP36" s="36" t="inlineStr">
        <is>
          <t>IF(OR(E36="",AE36=""),"",IF(COUNT(Y36:AD36)=0,"",AE36-LOOKUP(2,1/(Y36:AD36&lt;&gt;""),Y36:AD36)))</t>
        </is>
      </c>
      <c r="AQ36" s="36" t="inlineStr">
        <is>
          <t>IF(OR(E36="",AF36=""),"",IF(COUNT(Y36:AE36)=0,"",AF36-LOOKUP(2,1/(Y36:AE36&lt;&gt;""),Y36:AE36)))</t>
        </is>
      </c>
      <c r="AR36" s="36" t="inlineStr">
        <is>
          <t>IF(OR(E36="",AG36=""),"",IF(COUNT(Y36:AF36)=0,"",AG36-LOOKUP(2,1/(Y36:AF36&lt;&gt;""),Y36:AF36)))</t>
        </is>
      </c>
      <c r="AS36" s="36" t="inlineStr">
        <is>
          <t>IF(OR(E36="",AH36=""),"",IF(COUNT(Y36:AG36)=0,"",AH36-LOOKUP(2,1/(Y36:AG36&lt;&gt;""),Y36:AG36)))</t>
        </is>
      </c>
      <c r="AT36" s="36" t="inlineStr">
        <is>
          <t>IF(OR(E36="",AI36=""),"",IF(COUNT(Y36:AH36)=0,"",AI36-LOOKUP(2,1/(Y36:AH36&lt;&gt;""),Y36:AH36)))</t>
        </is>
      </c>
      <c r="AU36" s="36" t="inlineStr">
        <is>
          <t>IF(OR(E36="",AJ36=""),"",IF(COUNT(Y36:AI36)=0,"",AJ36-LOOKUP(2,1/(Y36:AI36&lt;&gt;""),Y36:AI36)))</t>
        </is>
      </c>
      <c r="AV36" s="39" t="inlineStr">
        <is>
          <t>IF(G36="","All_Provinces",IFERROR(VLOOKUP(G36,'07_Lookups'!$A$4:$B$20,2,FALSE),"All_Provinces"))</t>
        </is>
      </c>
      <c r="AW36" s="39" t="inlineStr">
        <is>
          <t>IF(H36="","All_Districts",IFERROR(VLOOKUP(H36,'07_Lookups'!$E$4:$F$42,2,FALSE),"All_Districts"))</t>
        </is>
      </c>
    </row>
    <row r="37" ht="18" customHeight="1">
      <c r="A37" s="31" t="inlineStr">
        <is>
          <t>IF(E37="","",ROW()-3)</t>
        </is>
      </c>
      <c r="B37" s="40" t="n"/>
      <c r="C37" s="40" t="n"/>
      <c r="D37" s="40" t="n"/>
      <c r="E37" s="40" t="n"/>
      <c r="F37" s="40" t="n"/>
      <c r="G37" s="40" t="n"/>
      <c r="H37" s="40" t="n"/>
      <c r="I37" s="40" t="n"/>
      <c r="J37" s="40" t="n"/>
      <c r="K37" s="40" t="n"/>
      <c r="L37" s="40" t="n"/>
      <c r="M37" s="40" t="n"/>
      <c r="N37" s="41" t="n"/>
      <c r="O37" s="34" t="inlineStr">
        <is>
          <t>IF(AE37="","",AE37)</t>
        </is>
      </c>
      <c r="P37" s="42" t="n"/>
      <c r="Q37" s="34" t="inlineStr">
        <is>
          <t>IF(OR(O37="",P37=""),"",EDATE(O37,P37))</t>
        </is>
      </c>
      <c r="R37" s="42" t="n"/>
      <c r="S37" s="40" t="n"/>
      <c r="T37" s="40" t="n"/>
      <c r="U37" s="31" t="inlineStr">
        <is>
          <t>IF(E37="","",IF(COUNT(Y37:AJ37)=0,IF(S37="","Not started",S37),SUBSTITUTE(LOOKUP(2,1/(Y37:AJ37&lt;&gt;""),$Y$3:$AJ$3),"Date: ","")))</t>
        </is>
      </c>
      <c r="V37" s="36" t="inlineStr">
        <is>
          <t>IF(OR(E37="",COUNT(Y37:AJ37)=0),"",TODAY()-LOOKUP(2,1/(Y37:AJ37&lt;&gt;""),Y37:AJ37))</t>
        </is>
      </c>
      <c r="W37" s="36" t="inlineStr">
        <is>
          <t>IF(OR(E37="",COUNT(Y37:AJ37)&lt;2),"",LOOKUP(2,1/(Y37:AJ37&lt;&gt;""),Y37:AJ37)-MIN(Y37:AJ37))</t>
        </is>
      </c>
      <c r="X37" s="36" t="inlineStr">
        <is>
          <t>IF(OR(V37="",U37="Not started",U37=""),"",IFERROR(V37-IF(VLOOKUP(U37,'04_Status_Pipeline'!$B$3:$E$20,4,FALSE)="",0,VLOOKUP(U37,'04_Status_Pipeline'!$B$3:$E$20,4,FALSE)),""))</t>
        </is>
      </c>
      <c r="Y37" s="43" t="n"/>
      <c r="Z37" s="43" t="n"/>
      <c r="AA37" s="43" t="n"/>
      <c r="AB37" s="43" t="n"/>
      <c r="AC37" s="43" t="n"/>
      <c r="AD37" s="43" t="n"/>
      <c r="AE37" s="43" t="n"/>
      <c r="AF37" s="43" t="n"/>
      <c r="AG37" s="43" t="n"/>
      <c r="AH37" s="38" t="n"/>
      <c r="AI37" s="38" t="n"/>
      <c r="AJ37" s="38" t="n"/>
      <c r="AK37" s="36" t="inlineStr">
        <is>
          <t>IF(OR(E37="",Z37=""),"",IF(COUNT(Y37:Y37)=0,"",Z37-LOOKUP(2,1/(Y37:Y37&lt;&gt;""),Y37:Y37)))</t>
        </is>
      </c>
      <c r="AL37" s="36" t="inlineStr">
        <is>
          <t>IF(OR(E37="",AA37=""),"",IF(COUNT(Y37:Z37)=0,"",AA37-LOOKUP(2,1/(Y37:Z37&lt;&gt;""),Y37:Z37)))</t>
        </is>
      </c>
      <c r="AM37" s="36" t="inlineStr">
        <is>
          <t>IF(OR(E37="",AB37=""),"",IF(COUNT(Y37:AA37)=0,"",AB37-LOOKUP(2,1/(Y37:AA37&lt;&gt;""),Y37:AA37)))</t>
        </is>
      </c>
      <c r="AN37" s="36" t="inlineStr">
        <is>
          <t>IF(OR(E37="",AC37=""),"",IF(COUNT(Y37:AB37)=0,"",AC37-LOOKUP(2,1/(Y37:AB37&lt;&gt;""),Y37:AB37)))</t>
        </is>
      </c>
      <c r="AO37" s="36" t="inlineStr">
        <is>
          <t>IF(OR(E37="",AD37=""),"",IF(COUNT(Y37:AC37)=0,"",AD37-LOOKUP(2,1/(Y37:AC37&lt;&gt;""),Y37:AC37)))</t>
        </is>
      </c>
      <c r="AP37" s="36" t="inlineStr">
        <is>
          <t>IF(OR(E37="",AE37=""),"",IF(COUNT(Y37:AD37)=0,"",AE37-LOOKUP(2,1/(Y37:AD37&lt;&gt;""),Y37:AD37)))</t>
        </is>
      </c>
      <c r="AQ37" s="36" t="inlineStr">
        <is>
          <t>IF(OR(E37="",AF37=""),"",IF(COUNT(Y37:AE37)=0,"",AF37-LOOKUP(2,1/(Y37:AE37&lt;&gt;""),Y37:AE37)))</t>
        </is>
      </c>
      <c r="AR37" s="36" t="inlineStr">
        <is>
          <t>IF(OR(E37="",AG37=""),"",IF(COUNT(Y37:AF37)=0,"",AG37-LOOKUP(2,1/(Y37:AF37&lt;&gt;""),Y37:AF37)))</t>
        </is>
      </c>
      <c r="AS37" s="36" t="inlineStr">
        <is>
          <t>IF(OR(E37="",AH37=""),"",IF(COUNT(Y37:AG37)=0,"",AH37-LOOKUP(2,1/(Y37:AG37&lt;&gt;""),Y37:AG37)))</t>
        </is>
      </c>
      <c r="AT37" s="36" t="inlineStr">
        <is>
          <t>IF(OR(E37="",AI37=""),"",IF(COUNT(Y37:AH37)=0,"",AI37-LOOKUP(2,1/(Y37:AH37&lt;&gt;""),Y37:AH37)))</t>
        </is>
      </c>
      <c r="AU37" s="36" t="inlineStr">
        <is>
          <t>IF(OR(E37="",AJ37=""),"",IF(COUNT(Y37:AI37)=0,"",AJ37-LOOKUP(2,1/(Y37:AI37&lt;&gt;""),Y37:AI37)))</t>
        </is>
      </c>
      <c r="AV37" s="39" t="inlineStr">
        <is>
          <t>IF(G37="","All_Provinces",IFERROR(VLOOKUP(G37,'07_Lookups'!$A$4:$B$20,2,FALSE),"All_Provinces"))</t>
        </is>
      </c>
      <c r="AW37" s="39" t="inlineStr">
        <is>
          <t>IF(H37="","All_Districts",IFERROR(VLOOKUP(H37,'07_Lookups'!$E$4:$F$42,2,FALSE),"All_Districts"))</t>
        </is>
      </c>
    </row>
    <row r="38" ht="18" customHeight="1">
      <c r="A38" s="31" t="inlineStr">
        <is>
          <t>IF(E38="","",ROW()-3)</t>
        </is>
      </c>
      <c r="B38" s="32" t="n"/>
      <c r="C38" s="32" t="n"/>
      <c r="D38" s="32" t="n"/>
      <c r="E38" s="32" t="n"/>
      <c r="F38" s="32" t="n"/>
      <c r="G38" s="32" t="n"/>
      <c r="H38" s="32" t="n"/>
      <c r="I38" s="32" t="n"/>
      <c r="J38" s="32" t="n"/>
      <c r="K38" s="32" t="n"/>
      <c r="L38" s="32" t="n"/>
      <c r="M38" s="32" t="n"/>
      <c r="N38" s="33" t="n"/>
      <c r="O38" s="34" t="inlineStr">
        <is>
          <t>IF(AE38="","",AE38)</t>
        </is>
      </c>
      <c r="P38" s="35" t="n"/>
      <c r="Q38" s="34" t="inlineStr">
        <is>
          <t>IF(OR(O38="",P38=""),"",EDATE(O38,P38))</t>
        </is>
      </c>
      <c r="R38" s="35" t="n"/>
      <c r="S38" s="32" t="n"/>
      <c r="T38" s="32" t="n"/>
      <c r="U38" s="31" t="inlineStr">
        <is>
          <t>IF(E38="","",IF(COUNT(Y38:AJ38)=0,IF(S38="","Not started",S38),SUBSTITUTE(LOOKUP(2,1/(Y38:AJ38&lt;&gt;""),$Y$3:$AJ$3),"Date: ","")))</t>
        </is>
      </c>
      <c r="V38" s="36" t="inlineStr">
        <is>
          <t>IF(OR(E38="",COUNT(Y38:AJ38)=0),"",TODAY()-LOOKUP(2,1/(Y38:AJ38&lt;&gt;""),Y38:AJ38))</t>
        </is>
      </c>
      <c r="W38" s="36" t="inlineStr">
        <is>
          <t>IF(OR(E38="",COUNT(Y38:AJ38)&lt;2),"",LOOKUP(2,1/(Y38:AJ38&lt;&gt;""),Y38:AJ38)-MIN(Y38:AJ38))</t>
        </is>
      </c>
      <c r="X38" s="36" t="inlineStr">
        <is>
          <t>IF(OR(V38="",U38="Not started",U38=""),"",IFERROR(V38-IF(VLOOKUP(U38,'04_Status_Pipeline'!$B$3:$E$20,4,FALSE)="",0,VLOOKUP(U38,'04_Status_Pipeline'!$B$3:$E$20,4,FALSE)),""))</t>
        </is>
      </c>
      <c r="Y38" s="37" t="n"/>
      <c r="Z38" s="37" t="n"/>
      <c r="AA38" s="37" t="n"/>
      <c r="AB38" s="37" t="n"/>
      <c r="AC38" s="37" t="n"/>
      <c r="AD38" s="37" t="n"/>
      <c r="AE38" s="37" t="n"/>
      <c r="AF38" s="37" t="n"/>
      <c r="AG38" s="37" t="n"/>
      <c r="AH38" s="38" t="n"/>
      <c r="AI38" s="38" t="n"/>
      <c r="AJ38" s="38" t="n"/>
      <c r="AK38" s="36" t="inlineStr">
        <is>
          <t>IF(OR(E38="",Z38=""),"",IF(COUNT(Y38:Y38)=0,"",Z38-LOOKUP(2,1/(Y38:Y38&lt;&gt;""),Y38:Y38)))</t>
        </is>
      </c>
      <c r="AL38" s="36" t="inlineStr">
        <is>
          <t>IF(OR(E38="",AA38=""),"",IF(COUNT(Y38:Z38)=0,"",AA38-LOOKUP(2,1/(Y38:Z38&lt;&gt;""),Y38:Z38)))</t>
        </is>
      </c>
      <c r="AM38" s="36" t="inlineStr">
        <is>
          <t>IF(OR(E38="",AB38=""),"",IF(COUNT(Y38:AA38)=0,"",AB38-LOOKUP(2,1/(Y38:AA38&lt;&gt;""),Y38:AA38)))</t>
        </is>
      </c>
      <c r="AN38" s="36" t="inlineStr">
        <is>
          <t>IF(OR(E38="",AC38=""),"",IF(COUNT(Y38:AB38)=0,"",AC38-LOOKUP(2,1/(Y38:AB38&lt;&gt;""),Y38:AB38)))</t>
        </is>
      </c>
      <c r="AO38" s="36" t="inlineStr">
        <is>
          <t>IF(OR(E38="",AD38=""),"",IF(COUNT(Y38:AC38)=0,"",AD38-LOOKUP(2,1/(Y38:AC38&lt;&gt;""),Y38:AC38)))</t>
        </is>
      </c>
      <c r="AP38" s="36" t="inlineStr">
        <is>
          <t>IF(OR(E38="",AE38=""),"",IF(COUNT(Y38:AD38)=0,"",AE38-LOOKUP(2,1/(Y38:AD38&lt;&gt;""),Y38:AD38)))</t>
        </is>
      </c>
      <c r="AQ38" s="36" t="inlineStr">
        <is>
          <t>IF(OR(E38="",AF38=""),"",IF(COUNT(Y38:AE38)=0,"",AF38-LOOKUP(2,1/(Y38:AE38&lt;&gt;""),Y38:AE38)))</t>
        </is>
      </c>
      <c r="AR38" s="36" t="inlineStr">
        <is>
          <t>IF(OR(E38="",AG38=""),"",IF(COUNT(Y38:AF38)=0,"",AG38-LOOKUP(2,1/(Y38:AF38&lt;&gt;""),Y38:AF38)))</t>
        </is>
      </c>
      <c r="AS38" s="36" t="inlineStr">
        <is>
          <t>IF(OR(E38="",AH38=""),"",IF(COUNT(Y38:AG38)=0,"",AH38-LOOKUP(2,1/(Y38:AG38&lt;&gt;""),Y38:AG38)))</t>
        </is>
      </c>
      <c r="AT38" s="36" t="inlineStr">
        <is>
          <t>IF(OR(E38="",AI38=""),"",IF(COUNT(Y38:AH38)=0,"",AI38-LOOKUP(2,1/(Y38:AH38&lt;&gt;""),Y38:AH38)))</t>
        </is>
      </c>
      <c r="AU38" s="36" t="inlineStr">
        <is>
          <t>IF(OR(E38="",AJ38=""),"",IF(COUNT(Y38:AI38)=0,"",AJ38-LOOKUP(2,1/(Y38:AI38&lt;&gt;""),Y38:AI38)))</t>
        </is>
      </c>
      <c r="AV38" s="39" t="inlineStr">
        <is>
          <t>IF(G38="","All_Provinces",IFERROR(VLOOKUP(G38,'07_Lookups'!$A$4:$B$20,2,FALSE),"All_Provinces"))</t>
        </is>
      </c>
      <c r="AW38" s="39" t="inlineStr">
        <is>
          <t>IF(H38="","All_Districts",IFERROR(VLOOKUP(H38,'07_Lookups'!$E$4:$F$42,2,FALSE),"All_Districts"))</t>
        </is>
      </c>
    </row>
    <row r="39" ht="18" customHeight="1">
      <c r="A39" s="31" t="inlineStr">
        <is>
          <t>IF(E39="","",ROW()-3)</t>
        </is>
      </c>
      <c r="B39" s="40" t="n"/>
      <c r="C39" s="40" t="n"/>
      <c r="D39" s="40" t="n"/>
      <c r="E39" s="40" t="n"/>
      <c r="F39" s="40" t="n"/>
      <c r="G39" s="40" t="n"/>
      <c r="H39" s="40" t="n"/>
      <c r="I39" s="40" t="n"/>
      <c r="J39" s="40" t="n"/>
      <c r="K39" s="40" t="n"/>
      <c r="L39" s="40" t="n"/>
      <c r="M39" s="40" t="n"/>
      <c r="N39" s="41" t="n"/>
      <c r="O39" s="34" t="inlineStr">
        <is>
          <t>IF(AE39="","",AE39)</t>
        </is>
      </c>
      <c r="P39" s="42" t="n"/>
      <c r="Q39" s="34" t="inlineStr">
        <is>
          <t>IF(OR(O39="",P39=""),"",EDATE(O39,P39))</t>
        </is>
      </c>
      <c r="R39" s="42" t="n"/>
      <c r="S39" s="40" t="n"/>
      <c r="T39" s="40" t="n"/>
      <c r="U39" s="31" t="inlineStr">
        <is>
          <t>IF(E39="","",IF(COUNT(Y39:AJ39)=0,IF(S39="","Not started",S39),SUBSTITUTE(LOOKUP(2,1/(Y39:AJ39&lt;&gt;""),$Y$3:$AJ$3),"Date: ","")))</t>
        </is>
      </c>
      <c r="V39" s="36" t="inlineStr">
        <is>
          <t>IF(OR(E39="",COUNT(Y39:AJ39)=0),"",TODAY()-LOOKUP(2,1/(Y39:AJ39&lt;&gt;""),Y39:AJ39))</t>
        </is>
      </c>
      <c r="W39" s="36" t="inlineStr">
        <is>
          <t>IF(OR(E39="",COUNT(Y39:AJ39)&lt;2),"",LOOKUP(2,1/(Y39:AJ39&lt;&gt;""),Y39:AJ39)-MIN(Y39:AJ39))</t>
        </is>
      </c>
      <c r="X39" s="36" t="inlineStr">
        <is>
          <t>IF(OR(V39="",U39="Not started",U39=""),"",IFERROR(V39-IF(VLOOKUP(U39,'04_Status_Pipeline'!$B$3:$E$20,4,FALSE)="",0,VLOOKUP(U39,'04_Status_Pipeline'!$B$3:$E$20,4,FALSE)),""))</t>
        </is>
      </c>
      <c r="Y39" s="43" t="n"/>
      <c r="Z39" s="43" t="n"/>
      <c r="AA39" s="43" t="n"/>
      <c r="AB39" s="43" t="n"/>
      <c r="AC39" s="43" t="n"/>
      <c r="AD39" s="43" t="n"/>
      <c r="AE39" s="43" t="n"/>
      <c r="AF39" s="43" t="n"/>
      <c r="AG39" s="43" t="n"/>
      <c r="AH39" s="38" t="n"/>
      <c r="AI39" s="38" t="n"/>
      <c r="AJ39" s="38" t="n"/>
      <c r="AK39" s="36" t="inlineStr">
        <is>
          <t>IF(OR(E39="",Z39=""),"",IF(COUNT(Y39:Y39)=0,"",Z39-LOOKUP(2,1/(Y39:Y39&lt;&gt;""),Y39:Y39)))</t>
        </is>
      </c>
      <c r="AL39" s="36" t="inlineStr">
        <is>
          <t>IF(OR(E39="",AA39=""),"",IF(COUNT(Y39:Z39)=0,"",AA39-LOOKUP(2,1/(Y39:Z39&lt;&gt;""),Y39:Z39)))</t>
        </is>
      </c>
      <c r="AM39" s="36" t="inlineStr">
        <is>
          <t>IF(OR(E39="",AB39=""),"",IF(COUNT(Y39:AA39)=0,"",AB39-LOOKUP(2,1/(Y39:AA39&lt;&gt;""),Y39:AA39)))</t>
        </is>
      </c>
      <c r="AN39" s="36" t="inlineStr">
        <is>
          <t>IF(OR(E39="",AC39=""),"",IF(COUNT(Y39:AB39)=0,"",AC39-LOOKUP(2,1/(Y39:AB39&lt;&gt;""),Y39:AB39)))</t>
        </is>
      </c>
      <c r="AO39" s="36" t="inlineStr">
        <is>
          <t>IF(OR(E39="",AD39=""),"",IF(COUNT(Y39:AC39)=0,"",AD39-LOOKUP(2,1/(Y39:AC39&lt;&gt;""),Y39:AC39)))</t>
        </is>
      </c>
      <c r="AP39" s="36" t="inlineStr">
        <is>
          <t>IF(OR(E39="",AE39=""),"",IF(COUNT(Y39:AD39)=0,"",AE39-LOOKUP(2,1/(Y39:AD39&lt;&gt;""),Y39:AD39)))</t>
        </is>
      </c>
      <c r="AQ39" s="36" t="inlineStr">
        <is>
          <t>IF(OR(E39="",AF39=""),"",IF(COUNT(Y39:AE39)=0,"",AF39-LOOKUP(2,1/(Y39:AE39&lt;&gt;""),Y39:AE39)))</t>
        </is>
      </c>
      <c r="AR39" s="36" t="inlineStr">
        <is>
          <t>IF(OR(E39="",AG39=""),"",IF(COUNT(Y39:AF39)=0,"",AG39-LOOKUP(2,1/(Y39:AF39&lt;&gt;""),Y39:AF39)))</t>
        </is>
      </c>
      <c r="AS39" s="36" t="inlineStr">
        <is>
          <t>IF(OR(E39="",AH39=""),"",IF(COUNT(Y39:AG39)=0,"",AH39-LOOKUP(2,1/(Y39:AG39&lt;&gt;""),Y39:AG39)))</t>
        </is>
      </c>
      <c r="AT39" s="36" t="inlineStr">
        <is>
          <t>IF(OR(E39="",AI39=""),"",IF(COUNT(Y39:AH39)=0,"",AI39-LOOKUP(2,1/(Y39:AH39&lt;&gt;""),Y39:AH39)))</t>
        </is>
      </c>
      <c r="AU39" s="36" t="inlineStr">
        <is>
          <t>IF(OR(E39="",AJ39=""),"",IF(COUNT(Y39:AI39)=0,"",AJ39-LOOKUP(2,1/(Y39:AI39&lt;&gt;""),Y39:AI39)))</t>
        </is>
      </c>
      <c r="AV39" s="39" t="inlineStr">
        <is>
          <t>IF(G39="","All_Provinces",IFERROR(VLOOKUP(G39,'07_Lookups'!$A$4:$B$20,2,FALSE),"All_Provinces"))</t>
        </is>
      </c>
      <c r="AW39" s="39" t="inlineStr">
        <is>
          <t>IF(H39="","All_Districts",IFERROR(VLOOKUP(H39,'07_Lookups'!$E$4:$F$42,2,FALSE),"All_Districts"))</t>
        </is>
      </c>
    </row>
    <row r="40" ht="18" customHeight="1">
      <c r="A40" s="31" t="inlineStr">
        <is>
          <t>IF(E40="","",ROW()-3)</t>
        </is>
      </c>
      <c r="B40" s="32" t="n"/>
      <c r="C40" s="32" t="n"/>
      <c r="D40" s="32" t="n"/>
      <c r="E40" s="32" t="n"/>
      <c r="F40" s="32" t="n"/>
      <c r="G40" s="32" t="n"/>
      <c r="H40" s="32" t="n"/>
      <c r="I40" s="32" t="n"/>
      <c r="J40" s="32" t="n"/>
      <c r="K40" s="32" t="n"/>
      <c r="L40" s="32" t="n"/>
      <c r="M40" s="32" t="n"/>
      <c r="N40" s="33" t="n"/>
      <c r="O40" s="34" t="inlineStr">
        <is>
          <t>IF(AE40="","",AE40)</t>
        </is>
      </c>
      <c r="P40" s="35" t="n"/>
      <c r="Q40" s="34" t="inlineStr">
        <is>
          <t>IF(OR(O40="",P40=""),"",EDATE(O40,P40))</t>
        </is>
      </c>
      <c r="R40" s="35" t="n"/>
      <c r="S40" s="32" t="n"/>
      <c r="T40" s="32" t="n"/>
      <c r="U40" s="31" t="inlineStr">
        <is>
          <t>IF(E40="","",IF(COUNT(Y40:AJ40)=0,IF(S40="","Not started",S40),SUBSTITUTE(LOOKUP(2,1/(Y40:AJ40&lt;&gt;""),$Y$3:$AJ$3),"Date: ","")))</t>
        </is>
      </c>
      <c r="V40" s="36" t="inlineStr">
        <is>
          <t>IF(OR(E40="",COUNT(Y40:AJ40)=0),"",TODAY()-LOOKUP(2,1/(Y40:AJ40&lt;&gt;""),Y40:AJ40))</t>
        </is>
      </c>
      <c r="W40" s="36" t="inlineStr">
        <is>
          <t>IF(OR(E40="",COUNT(Y40:AJ40)&lt;2),"",LOOKUP(2,1/(Y40:AJ40&lt;&gt;""),Y40:AJ40)-MIN(Y40:AJ40))</t>
        </is>
      </c>
      <c r="X40" s="36" t="inlineStr">
        <is>
          <t>IF(OR(V40="",U40="Not started",U40=""),"",IFERROR(V40-IF(VLOOKUP(U40,'04_Status_Pipeline'!$B$3:$E$20,4,FALSE)="",0,VLOOKUP(U40,'04_Status_Pipeline'!$B$3:$E$20,4,FALSE)),""))</t>
        </is>
      </c>
      <c r="Y40" s="37" t="n"/>
      <c r="Z40" s="37" t="n"/>
      <c r="AA40" s="37" t="n"/>
      <c r="AB40" s="37" t="n"/>
      <c r="AC40" s="37" t="n"/>
      <c r="AD40" s="37" t="n"/>
      <c r="AE40" s="37" t="n"/>
      <c r="AF40" s="37" t="n"/>
      <c r="AG40" s="37" t="n"/>
      <c r="AH40" s="38" t="n"/>
      <c r="AI40" s="38" t="n"/>
      <c r="AJ40" s="38" t="n"/>
      <c r="AK40" s="36" t="inlineStr">
        <is>
          <t>IF(OR(E40="",Z40=""),"",IF(COUNT(Y40:Y40)=0,"",Z40-LOOKUP(2,1/(Y40:Y40&lt;&gt;""),Y40:Y40)))</t>
        </is>
      </c>
      <c r="AL40" s="36" t="inlineStr">
        <is>
          <t>IF(OR(E40="",AA40=""),"",IF(COUNT(Y40:Z40)=0,"",AA40-LOOKUP(2,1/(Y40:Z40&lt;&gt;""),Y40:Z40)))</t>
        </is>
      </c>
      <c r="AM40" s="36" t="inlineStr">
        <is>
          <t>IF(OR(E40="",AB40=""),"",IF(COUNT(Y40:AA40)=0,"",AB40-LOOKUP(2,1/(Y40:AA40&lt;&gt;""),Y40:AA40)))</t>
        </is>
      </c>
      <c r="AN40" s="36" t="inlineStr">
        <is>
          <t>IF(OR(E40="",AC40=""),"",IF(COUNT(Y40:AB40)=0,"",AC40-LOOKUP(2,1/(Y40:AB40&lt;&gt;""),Y40:AB40)))</t>
        </is>
      </c>
      <c r="AO40" s="36" t="inlineStr">
        <is>
          <t>IF(OR(E40="",AD40=""),"",IF(COUNT(Y40:AC40)=0,"",AD40-LOOKUP(2,1/(Y40:AC40&lt;&gt;""),Y40:AC40)))</t>
        </is>
      </c>
      <c r="AP40" s="36" t="inlineStr">
        <is>
          <t>IF(OR(E40="",AE40=""),"",IF(COUNT(Y40:AD40)=0,"",AE40-LOOKUP(2,1/(Y40:AD40&lt;&gt;""),Y40:AD40)))</t>
        </is>
      </c>
      <c r="AQ40" s="36" t="inlineStr">
        <is>
          <t>IF(OR(E40="",AF40=""),"",IF(COUNT(Y40:AE40)=0,"",AF40-LOOKUP(2,1/(Y40:AE40&lt;&gt;""),Y40:AE40)))</t>
        </is>
      </c>
      <c r="AR40" s="36" t="inlineStr">
        <is>
          <t>IF(OR(E40="",AG40=""),"",IF(COUNT(Y40:AF40)=0,"",AG40-LOOKUP(2,1/(Y40:AF40&lt;&gt;""),Y40:AF40)))</t>
        </is>
      </c>
      <c r="AS40" s="36" t="inlineStr">
        <is>
          <t>IF(OR(E40="",AH40=""),"",IF(COUNT(Y40:AG40)=0,"",AH40-LOOKUP(2,1/(Y40:AG40&lt;&gt;""),Y40:AG40)))</t>
        </is>
      </c>
      <c r="AT40" s="36" t="inlineStr">
        <is>
          <t>IF(OR(E40="",AI40=""),"",IF(COUNT(Y40:AH40)=0,"",AI40-LOOKUP(2,1/(Y40:AH40&lt;&gt;""),Y40:AH40)))</t>
        </is>
      </c>
      <c r="AU40" s="36" t="inlineStr">
        <is>
          <t>IF(OR(E40="",AJ40=""),"",IF(COUNT(Y40:AI40)=0,"",AJ40-LOOKUP(2,1/(Y40:AI40&lt;&gt;""),Y40:AI40)))</t>
        </is>
      </c>
      <c r="AV40" s="39" t="inlineStr">
        <is>
          <t>IF(G40="","All_Provinces",IFERROR(VLOOKUP(G40,'07_Lookups'!$A$4:$B$20,2,FALSE),"All_Provinces"))</t>
        </is>
      </c>
      <c r="AW40" s="39" t="inlineStr">
        <is>
          <t>IF(H40="","All_Districts",IFERROR(VLOOKUP(H40,'07_Lookups'!$E$4:$F$42,2,FALSE),"All_Districts"))</t>
        </is>
      </c>
    </row>
    <row r="41" ht="18" customHeight="1">
      <c r="A41" s="31" t="inlineStr">
        <is>
          <t>IF(E41="","",ROW()-3)</t>
        </is>
      </c>
      <c r="B41" s="40" t="n"/>
      <c r="C41" s="40" t="n"/>
      <c r="D41" s="40" t="n"/>
      <c r="E41" s="40" t="n"/>
      <c r="F41" s="40" t="n"/>
      <c r="G41" s="40" t="n"/>
      <c r="H41" s="40" t="n"/>
      <c r="I41" s="40" t="n"/>
      <c r="J41" s="40" t="n"/>
      <c r="K41" s="40" t="n"/>
      <c r="L41" s="40" t="n"/>
      <c r="M41" s="40" t="n"/>
      <c r="N41" s="41" t="n"/>
      <c r="O41" s="34" t="inlineStr">
        <is>
          <t>IF(AE41="","",AE41)</t>
        </is>
      </c>
      <c r="P41" s="42" t="n"/>
      <c r="Q41" s="34" t="inlineStr">
        <is>
          <t>IF(OR(O41="",P41=""),"",EDATE(O41,P41))</t>
        </is>
      </c>
      <c r="R41" s="42" t="n"/>
      <c r="S41" s="40" t="n"/>
      <c r="T41" s="40" t="n"/>
      <c r="U41" s="31" t="inlineStr">
        <is>
          <t>IF(E41="","",IF(COUNT(Y41:AJ41)=0,IF(S41="","Not started",S41),SUBSTITUTE(LOOKUP(2,1/(Y41:AJ41&lt;&gt;""),$Y$3:$AJ$3),"Date: ","")))</t>
        </is>
      </c>
      <c r="V41" s="36" t="inlineStr">
        <is>
          <t>IF(OR(E41="",COUNT(Y41:AJ41)=0),"",TODAY()-LOOKUP(2,1/(Y41:AJ41&lt;&gt;""),Y41:AJ41))</t>
        </is>
      </c>
      <c r="W41" s="36" t="inlineStr">
        <is>
          <t>IF(OR(E41="",COUNT(Y41:AJ41)&lt;2),"",LOOKUP(2,1/(Y41:AJ41&lt;&gt;""),Y41:AJ41)-MIN(Y41:AJ41))</t>
        </is>
      </c>
      <c r="X41" s="36" t="inlineStr">
        <is>
          <t>IF(OR(V41="",U41="Not started",U41=""),"",IFERROR(V41-IF(VLOOKUP(U41,'04_Status_Pipeline'!$B$3:$E$20,4,FALSE)="",0,VLOOKUP(U41,'04_Status_Pipeline'!$B$3:$E$20,4,FALSE)),""))</t>
        </is>
      </c>
      <c r="Y41" s="43" t="n"/>
      <c r="Z41" s="43" t="n"/>
      <c r="AA41" s="43" t="n"/>
      <c r="AB41" s="43" t="n"/>
      <c r="AC41" s="43" t="n"/>
      <c r="AD41" s="43" t="n"/>
      <c r="AE41" s="43" t="n"/>
      <c r="AF41" s="43" t="n"/>
      <c r="AG41" s="43" t="n"/>
      <c r="AH41" s="38" t="n"/>
      <c r="AI41" s="38" t="n"/>
      <c r="AJ41" s="38" t="n"/>
      <c r="AK41" s="36" t="inlineStr">
        <is>
          <t>IF(OR(E41="",Z41=""),"",IF(COUNT(Y41:Y41)=0,"",Z41-LOOKUP(2,1/(Y41:Y41&lt;&gt;""),Y41:Y41)))</t>
        </is>
      </c>
      <c r="AL41" s="36" t="inlineStr">
        <is>
          <t>IF(OR(E41="",AA41=""),"",IF(COUNT(Y41:Z41)=0,"",AA41-LOOKUP(2,1/(Y41:Z41&lt;&gt;""),Y41:Z41)))</t>
        </is>
      </c>
      <c r="AM41" s="36" t="inlineStr">
        <is>
          <t>IF(OR(E41="",AB41=""),"",IF(COUNT(Y41:AA41)=0,"",AB41-LOOKUP(2,1/(Y41:AA41&lt;&gt;""),Y41:AA41)))</t>
        </is>
      </c>
      <c r="AN41" s="36" t="inlineStr">
        <is>
          <t>IF(OR(E41="",AC41=""),"",IF(COUNT(Y41:AB41)=0,"",AC41-LOOKUP(2,1/(Y41:AB41&lt;&gt;""),Y41:AB41)))</t>
        </is>
      </c>
      <c r="AO41" s="36" t="inlineStr">
        <is>
          <t>IF(OR(E41="",AD41=""),"",IF(COUNT(Y41:AC41)=0,"",AD41-LOOKUP(2,1/(Y41:AC41&lt;&gt;""),Y41:AC41)))</t>
        </is>
      </c>
      <c r="AP41" s="36" t="inlineStr">
        <is>
          <t>IF(OR(E41="",AE41=""),"",IF(COUNT(Y41:AD41)=0,"",AE41-LOOKUP(2,1/(Y41:AD41&lt;&gt;""),Y41:AD41)))</t>
        </is>
      </c>
      <c r="AQ41" s="36" t="inlineStr">
        <is>
          <t>IF(OR(E41="",AF41=""),"",IF(COUNT(Y41:AE41)=0,"",AF41-LOOKUP(2,1/(Y41:AE41&lt;&gt;""),Y41:AE41)))</t>
        </is>
      </c>
      <c r="AR41" s="36" t="inlineStr">
        <is>
          <t>IF(OR(E41="",AG41=""),"",IF(COUNT(Y41:AF41)=0,"",AG41-LOOKUP(2,1/(Y41:AF41&lt;&gt;""),Y41:AF41)))</t>
        </is>
      </c>
      <c r="AS41" s="36" t="inlineStr">
        <is>
          <t>IF(OR(E41="",AH41=""),"",IF(COUNT(Y41:AG41)=0,"",AH41-LOOKUP(2,1/(Y41:AG41&lt;&gt;""),Y41:AG41)))</t>
        </is>
      </c>
      <c r="AT41" s="36" t="inlineStr">
        <is>
          <t>IF(OR(E41="",AI41=""),"",IF(COUNT(Y41:AH41)=0,"",AI41-LOOKUP(2,1/(Y41:AH41&lt;&gt;""),Y41:AH41)))</t>
        </is>
      </c>
      <c r="AU41" s="36" t="inlineStr">
        <is>
          <t>IF(OR(E41="",AJ41=""),"",IF(COUNT(Y41:AI41)=0,"",AJ41-LOOKUP(2,1/(Y41:AI41&lt;&gt;""),Y41:AI41)))</t>
        </is>
      </c>
      <c r="AV41" s="39" t="inlineStr">
        <is>
          <t>IF(G41="","All_Provinces",IFERROR(VLOOKUP(G41,'07_Lookups'!$A$4:$B$20,2,FALSE),"All_Provinces"))</t>
        </is>
      </c>
      <c r="AW41" s="39" t="inlineStr">
        <is>
          <t>IF(H41="","All_Districts",IFERROR(VLOOKUP(H41,'07_Lookups'!$E$4:$F$42,2,FALSE),"All_Districts"))</t>
        </is>
      </c>
    </row>
    <row r="42" ht="18" customHeight="1">
      <c r="A42" s="31" t="inlineStr">
        <is>
          <t>IF(E42="","",ROW()-3)</t>
        </is>
      </c>
      <c r="B42" s="32" t="n"/>
      <c r="C42" s="32" t="n"/>
      <c r="D42" s="32" t="n"/>
      <c r="E42" s="32" t="n"/>
      <c r="F42" s="32" t="n"/>
      <c r="G42" s="32" t="n"/>
      <c r="H42" s="32" t="n"/>
      <c r="I42" s="32" t="n"/>
      <c r="J42" s="32" t="n"/>
      <c r="K42" s="32" t="n"/>
      <c r="L42" s="32" t="n"/>
      <c r="M42" s="32" t="n"/>
      <c r="N42" s="33" t="n"/>
      <c r="O42" s="34" t="inlineStr">
        <is>
          <t>IF(AE42="","",AE42)</t>
        </is>
      </c>
      <c r="P42" s="35" t="n"/>
      <c r="Q42" s="34" t="inlineStr">
        <is>
          <t>IF(OR(O42="",P42=""),"",EDATE(O42,P42))</t>
        </is>
      </c>
      <c r="R42" s="35" t="n"/>
      <c r="S42" s="32" t="n"/>
      <c r="T42" s="32" t="n"/>
      <c r="U42" s="31" t="inlineStr">
        <is>
          <t>IF(E42="","",IF(COUNT(Y42:AJ42)=0,IF(S42="","Not started",S42),SUBSTITUTE(LOOKUP(2,1/(Y42:AJ42&lt;&gt;""),$Y$3:$AJ$3),"Date: ","")))</t>
        </is>
      </c>
      <c r="V42" s="36" t="inlineStr">
        <is>
          <t>IF(OR(E42="",COUNT(Y42:AJ42)=0),"",TODAY()-LOOKUP(2,1/(Y42:AJ42&lt;&gt;""),Y42:AJ42))</t>
        </is>
      </c>
      <c r="W42" s="36" t="inlineStr">
        <is>
          <t>IF(OR(E42="",COUNT(Y42:AJ42)&lt;2),"",LOOKUP(2,1/(Y42:AJ42&lt;&gt;""),Y42:AJ42)-MIN(Y42:AJ42))</t>
        </is>
      </c>
      <c r="X42" s="36" t="inlineStr">
        <is>
          <t>IF(OR(V42="",U42="Not started",U42=""),"",IFERROR(V42-IF(VLOOKUP(U42,'04_Status_Pipeline'!$B$3:$E$20,4,FALSE)="",0,VLOOKUP(U42,'04_Status_Pipeline'!$B$3:$E$20,4,FALSE)),""))</t>
        </is>
      </c>
      <c r="Y42" s="37" t="n"/>
      <c r="Z42" s="37" t="n"/>
      <c r="AA42" s="37" t="n"/>
      <c r="AB42" s="37" t="n"/>
      <c r="AC42" s="37" t="n"/>
      <c r="AD42" s="37" t="n"/>
      <c r="AE42" s="37" t="n"/>
      <c r="AF42" s="37" t="n"/>
      <c r="AG42" s="37" t="n"/>
      <c r="AH42" s="38" t="n"/>
      <c r="AI42" s="38" t="n"/>
      <c r="AJ42" s="38" t="n"/>
      <c r="AK42" s="36" t="inlineStr">
        <is>
          <t>IF(OR(E42="",Z42=""),"",IF(COUNT(Y42:Y42)=0,"",Z42-LOOKUP(2,1/(Y42:Y42&lt;&gt;""),Y42:Y42)))</t>
        </is>
      </c>
      <c r="AL42" s="36" t="inlineStr">
        <is>
          <t>IF(OR(E42="",AA42=""),"",IF(COUNT(Y42:Z42)=0,"",AA42-LOOKUP(2,1/(Y42:Z42&lt;&gt;""),Y42:Z42)))</t>
        </is>
      </c>
      <c r="AM42" s="36" t="inlineStr">
        <is>
          <t>IF(OR(E42="",AB42=""),"",IF(COUNT(Y42:AA42)=0,"",AB42-LOOKUP(2,1/(Y42:AA42&lt;&gt;""),Y42:AA42)))</t>
        </is>
      </c>
      <c r="AN42" s="36" t="inlineStr">
        <is>
          <t>IF(OR(E42="",AC42=""),"",IF(COUNT(Y42:AB42)=0,"",AC42-LOOKUP(2,1/(Y42:AB42&lt;&gt;""),Y42:AB42)))</t>
        </is>
      </c>
      <c r="AO42" s="36" t="inlineStr">
        <is>
          <t>IF(OR(E42="",AD42=""),"",IF(COUNT(Y42:AC42)=0,"",AD42-LOOKUP(2,1/(Y42:AC42&lt;&gt;""),Y42:AC42)))</t>
        </is>
      </c>
      <c r="AP42" s="36" t="inlineStr">
        <is>
          <t>IF(OR(E42="",AE42=""),"",IF(COUNT(Y42:AD42)=0,"",AE42-LOOKUP(2,1/(Y42:AD42&lt;&gt;""),Y42:AD42)))</t>
        </is>
      </c>
      <c r="AQ42" s="36" t="inlineStr">
        <is>
          <t>IF(OR(E42="",AF42=""),"",IF(COUNT(Y42:AE42)=0,"",AF42-LOOKUP(2,1/(Y42:AE42&lt;&gt;""),Y42:AE42)))</t>
        </is>
      </c>
      <c r="AR42" s="36" t="inlineStr">
        <is>
          <t>IF(OR(E42="",AG42=""),"",IF(COUNT(Y42:AF42)=0,"",AG42-LOOKUP(2,1/(Y42:AF42&lt;&gt;""),Y42:AF42)))</t>
        </is>
      </c>
      <c r="AS42" s="36" t="inlineStr">
        <is>
          <t>IF(OR(E42="",AH42=""),"",IF(COUNT(Y42:AG42)=0,"",AH42-LOOKUP(2,1/(Y42:AG42&lt;&gt;""),Y42:AG42)))</t>
        </is>
      </c>
      <c r="AT42" s="36" t="inlineStr">
        <is>
          <t>IF(OR(E42="",AI42=""),"",IF(COUNT(Y42:AH42)=0,"",AI42-LOOKUP(2,1/(Y42:AH42&lt;&gt;""),Y42:AH42)))</t>
        </is>
      </c>
      <c r="AU42" s="36" t="inlineStr">
        <is>
          <t>IF(OR(E42="",AJ42=""),"",IF(COUNT(Y42:AI42)=0,"",AJ42-LOOKUP(2,1/(Y42:AI42&lt;&gt;""),Y42:AI42)))</t>
        </is>
      </c>
      <c r="AV42" s="39" t="inlineStr">
        <is>
          <t>IF(G42="","All_Provinces",IFERROR(VLOOKUP(G42,'07_Lookups'!$A$4:$B$20,2,FALSE),"All_Provinces"))</t>
        </is>
      </c>
      <c r="AW42" s="39" t="inlineStr">
        <is>
          <t>IF(H42="","All_Districts",IFERROR(VLOOKUP(H42,'07_Lookups'!$E$4:$F$42,2,FALSE),"All_Districts"))</t>
        </is>
      </c>
    </row>
    <row r="43" ht="18" customHeight="1">
      <c r="A43" s="31" t="inlineStr">
        <is>
          <t>IF(E43="","",ROW()-3)</t>
        </is>
      </c>
      <c r="B43" s="40" t="n"/>
      <c r="C43" s="40" t="n"/>
      <c r="D43" s="40" t="n"/>
      <c r="E43" s="40" t="n"/>
      <c r="F43" s="40" t="n"/>
      <c r="G43" s="40" t="n"/>
      <c r="H43" s="40" t="n"/>
      <c r="I43" s="40" t="n"/>
      <c r="J43" s="40" t="n"/>
      <c r="K43" s="40" t="n"/>
      <c r="L43" s="40" t="n"/>
      <c r="M43" s="40" t="n"/>
      <c r="N43" s="41" t="n"/>
      <c r="O43" s="34" t="inlineStr">
        <is>
          <t>IF(AE43="","",AE43)</t>
        </is>
      </c>
      <c r="P43" s="42" t="n"/>
      <c r="Q43" s="34" t="inlineStr">
        <is>
          <t>IF(OR(O43="",P43=""),"",EDATE(O43,P43))</t>
        </is>
      </c>
      <c r="R43" s="42" t="n"/>
      <c r="S43" s="40" t="n"/>
      <c r="T43" s="40" t="n"/>
      <c r="U43" s="31" t="inlineStr">
        <is>
          <t>IF(E43="","",IF(COUNT(Y43:AJ43)=0,IF(S43="","Not started",S43),SUBSTITUTE(LOOKUP(2,1/(Y43:AJ43&lt;&gt;""),$Y$3:$AJ$3),"Date: ","")))</t>
        </is>
      </c>
      <c r="V43" s="36" t="inlineStr">
        <is>
          <t>IF(OR(E43="",COUNT(Y43:AJ43)=0),"",TODAY()-LOOKUP(2,1/(Y43:AJ43&lt;&gt;""),Y43:AJ43))</t>
        </is>
      </c>
      <c r="W43" s="36" t="inlineStr">
        <is>
          <t>IF(OR(E43="",COUNT(Y43:AJ43)&lt;2),"",LOOKUP(2,1/(Y43:AJ43&lt;&gt;""),Y43:AJ43)-MIN(Y43:AJ43))</t>
        </is>
      </c>
      <c r="X43" s="36" t="inlineStr">
        <is>
          <t>IF(OR(V43="",U43="Not started",U43=""),"",IFERROR(V43-IF(VLOOKUP(U43,'04_Status_Pipeline'!$B$3:$E$20,4,FALSE)="",0,VLOOKUP(U43,'04_Status_Pipeline'!$B$3:$E$20,4,FALSE)),""))</t>
        </is>
      </c>
      <c r="Y43" s="43" t="n"/>
      <c r="Z43" s="43" t="n"/>
      <c r="AA43" s="43" t="n"/>
      <c r="AB43" s="43" t="n"/>
      <c r="AC43" s="43" t="n"/>
      <c r="AD43" s="43" t="n"/>
      <c r="AE43" s="43" t="n"/>
      <c r="AF43" s="43" t="n"/>
      <c r="AG43" s="43" t="n"/>
      <c r="AH43" s="38" t="n"/>
      <c r="AI43" s="38" t="n"/>
      <c r="AJ43" s="38" t="n"/>
      <c r="AK43" s="36" t="inlineStr">
        <is>
          <t>IF(OR(E43="",Z43=""),"",IF(COUNT(Y43:Y43)=0,"",Z43-LOOKUP(2,1/(Y43:Y43&lt;&gt;""),Y43:Y43)))</t>
        </is>
      </c>
      <c r="AL43" s="36" t="inlineStr">
        <is>
          <t>IF(OR(E43="",AA43=""),"",IF(COUNT(Y43:Z43)=0,"",AA43-LOOKUP(2,1/(Y43:Z43&lt;&gt;""),Y43:Z43)))</t>
        </is>
      </c>
      <c r="AM43" s="36" t="inlineStr">
        <is>
          <t>IF(OR(E43="",AB43=""),"",IF(COUNT(Y43:AA43)=0,"",AB43-LOOKUP(2,1/(Y43:AA43&lt;&gt;""),Y43:AA43)))</t>
        </is>
      </c>
      <c r="AN43" s="36" t="inlineStr">
        <is>
          <t>IF(OR(E43="",AC43=""),"",IF(COUNT(Y43:AB43)=0,"",AC43-LOOKUP(2,1/(Y43:AB43&lt;&gt;""),Y43:AB43)))</t>
        </is>
      </c>
      <c r="AO43" s="36" t="inlineStr">
        <is>
          <t>IF(OR(E43="",AD43=""),"",IF(COUNT(Y43:AC43)=0,"",AD43-LOOKUP(2,1/(Y43:AC43&lt;&gt;""),Y43:AC43)))</t>
        </is>
      </c>
      <c r="AP43" s="36" t="inlineStr">
        <is>
          <t>IF(OR(E43="",AE43=""),"",IF(COUNT(Y43:AD43)=0,"",AE43-LOOKUP(2,1/(Y43:AD43&lt;&gt;""),Y43:AD43)))</t>
        </is>
      </c>
      <c r="AQ43" s="36" t="inlineStr">
        <is>
          <t>IF(OR(E43="",AF43=""),"",IF(COUNT(Y43:AE43)=0,"",AF43-LOOKUP(2,1/(Y43:AE43&lt;&gt;""),Y43:AE43)))</t>
        </is>
      </c>
      <c r="AR43" s="36" t="inlineStr">
        <is>
          <t>IF(OR(E43="",AG43=""),"",IF(COUNT(Y43:AF43)=0,"",AG43-LOOKUP(2,1/(Y43:AF43&lt;&gt;""),Y43:AF43)))</t>
        </is>
      </c>
      <c r="AS43" s="36" t="inlineStr">
        <is>
          <t>IF(OR(E43="",AH43=""),"",IF(COUNT(Y43:AG43)=0,"",AH43-LOOKUP(2,1/(Y43:AG43&lt;&gt;""),Y43:AG43)))</t>
        </is>
      </c>
      <c r="AT43" s="36" t="inlineStr">
        <is>
          <t>IF(OR(E43="",AI43=""),"",IF(COUNT(Y43:AH43)=0,"",AI43-LOOKUP(2,1/(Y43:AH43&lt;&gt;""),Y43:AH43)))</t>
        </is>
      </c>
      <c r="AU43" s="36" t="inlineStr">
        <is>
          <t>IF(OR(E43="",AJ43=""),"",IF(COUNT(Y43:AI43)=0,"",AJ43-LOOKUP(2,1/(Y43:AI43&lt;&gt;""),Y43:AI43)))</t>
        </is>
      </c>
      <c r="AV43" s="39" t="inlineStr">
        <is>
          <t>IF(G43="","All_Provinces",IFERROR(VLOOKUP(G43,'07_Lookups'!$A$4:$B$20,2,FALSE),"All_Provinces"))</t>
        </is>
      </c>
      <c r="AW43" s="39" t="inlineStr">
        <is>
          <t>IF(H43="","All_Districts",IFERROR(VLOOKUP(H43,'07_Lookups'!$E$4:$F$42,2,FALSE),"All_Districts"))</t>
        </is>
      </c>
    </row>
    <row r="44" ht="18" customHeight="1">
      <c r="A44" s="31" t="inlineStr">
        <is>
          <t>IF(E44="","",ROW()-3)</t>
        </is>
      </c>
      <c r="B44" s="32" t="n"/>
      <c r="C44" s="32" t="n"/>
      <c r="D44" s="32" t="n"/>
      <c r="E44" s="32" t="n"/>
      <c r="F44" s="32" t="n"/>
      <c r="G44" s="32" t="n"/>
      <c r="H44" s="32" t="n"/>
      <c r="I44" s="32" t="n"/>
      <c r="J44" s="32" t="n"/>
      <c r="K44" s="32" t="n"/>
      <c r="L44" s="32" t="n"/>
      <c r="M44" s="32" t="n"/>
      <c r="N44" s="33" t="n"/>
      <c r="O44" s="34" t="inlineStr">
        <is>
          <t>IF(AE44="","",AE44)</t>
        </is>
      </c>
      <c r="P44" s="35" t="n"/>
      <c r="Q44" s="34" t="inlineStr">
        <is>
          <t>IF(OR(O44="",P44=""),"",EDATE(O44,P44))</t>
        </is>
      </c>
      <c r="R44" s="35" t="n"/>
      <c r="S44" s="32" t="n"/>
      <c r="T44" s="32" t="n"/>
      <c r="U44" s="31" t="inlineStr">
        <is>
          <t>IF(E44="","",IF(COUNT(Y44:AJ44)=0,IF(S44="","Not started",S44),SUBSTITUTE(LOOKUP(2,1/(Y44:AJ44&lt;&gt;""),$Y$3:$AJ$3),"Date: ","")))</t>
        </is>
      </c>
      <c r="V44" s="36" t="inlineStr">
        <is>
          <t>IF(OR(E44="",COUNT(Y44:AJ44)=0),"",TODAY()-LOOKUP(2,1/(Y44:AJ44&lt;&gt;""),Y44:AJ44))</t>
        </is>
      </c>
      <c r="W44" s="36" t="inlineStr">
        <is>
          <t>IF(OR(E44="",COUNT(Y44:AJ44)&lt;2),"",LOOKUP(2,1/(Y44:AJ44&lt;&gt;""),Y44:AJ44)-MIN(Y44:AJ44))</t>
        </is>
      </c>
      <c r="X44" s="36" t="inlineStr">
        <is>
          <t>IF(OR(V44="",U44="Not started",U44=""),"",IFERROR(V44-IF(VLOOKUP(U44,'04_Status_Pipeline'!$B$3:$E$20,4,FALSE)="",0,VLOOKUP(U44,'04_Status_Pipeline'!$B$3:$E$20,4,FALSE)),""))</t>
        </is>
      </c>
      <c r="Y44" s="37" t="n"/>
      <c r="Z44" s="37" t="n"/>
      <c r="AA44" s="37" t="n"/>
      <c r="AB44" s="37" t="n"/>
      <c r="AC44" s="37" t="n"/>
      <c r="AD44" s="37" t="n"/>
      <c r="AE44" s="37" t="n"/>
      <c r="AF44" s="37" t="n"/>
      <c r="AG44" s="37" t="n"/>
      <c r="AH44" s="38" t="n"/>
      <c r="AI44" s="38" t="n"/>
      <c r="AJ44" s="38" t="n"/>
      <c r="AK44" s="36" t="inlineStr">
        <is>
          <t>IF(OR(E44="",Z44=""),"",IF(COUNT(Y44:Y44)=0,"",Z44-LOOKUP(2,1/(Y44:Y44&lt;&gt;""),Y44:Y44)))</t>
        </is>
      </c>
      <c r="AL44" s="36" t="inlineStr">
        <is>
          <t>IF(OR(E44="",AA44=""),"",IF(COUNT(Y44:Z44)=0,"",AA44-LOOKUP(2,1/(Y44:Z44&lt;&gt;""),Y44:Z44)))</t>
        </is>
      </c>
      <c r="AM44" s="36" t="inlineStr">
        <is>
          <t>IF(OR(E44="",AB44=""),"",IF(COUNT(Y44:AA44)=0,"",AB44-LOOKUP(2,1/(Y44:AA44&lt;&gt;""),Y44:AA44)))</t>
        </is>
      </c>
      <c r="AN44" s="36" t="inlineStr">
        <is>
          <t>IF(OR(E44="",AC44=""),"",IF(COUNT(Y44:AB44)=0,"",AC44-LOOKUP(2,1/(Y44:AB44&lt;&gt;""),Y44:AB44)))</t>
        </is>
      </c>
      <c r="AO44" s="36" t="inlineStr">
        <is>
          <t>IF(OR(E44="",AD44=""),"",IF(COUNT(Y44:AC44)=0,"",AD44-LOOKUP(2,1/(Y44:AC44&lt;&gt;""),Y44:AC44)))</t>
        </is>
      </c>
      <c r="AP44" s="36" t="inlineStr">
        <is>
          <t>IF(OR(E44="",AE44=""),"",IF(COUNT(Y44:AD44)=0,"",AE44-LOOKUP(2,1/(Y44:AD44&lt;&gt;""),Y44:AD44)))</t>
        </is>
      </c>
      <c r="AQ44" s="36" t="inlineStr">
        <is>
          <t>IF(OR(E44="",AF44=""),"",IF(COUNT(Y44:AE44)=0,"",AF44-LOOKUP(2,1/(Y44:AE44&lt;&gt;""),Y44:AE44)))</t>
        </is>
      </c>
      <c r="AR44" s="36" t="inlineStr">
        <is>
          <t>IF(OR(E44="",AG44=""),"",IF(COUNT(Y44:AF44)=0,"",AG44-LOOKUP(2,1/(Y44:AF44&lt;&gt;""),Y44:AF44)))</t>
        </is>
      </c>
      <c r="AS44" s="36" t="inlineStr">
        <is>
          <t>IF(OR(E44="",AH44=""),"",IF(COUNT(Y44:AG44)=0,"",AH44-LOOKUP(2,1/(Y44:AG44&lt;&gt;""),Y44:AG44)))</t>
        </is>
      </c>
      <c r="AT44" s="36" t="inlineStr">
        <is>
          <t>IF(OR(E44="",AI44=""),"",IF(COUNT(Y44:AH44)=0,"",AI44-LOOKUP(2,1/(Y44:AH44&lt;&gt;""),Y44:AH44)))</t>
        </is>
      </c>
      <c r="AU44" s="36" t="inlineStr">
        <is>
          <t>IF(OR(E44="",AJ44=""),"",IF(COUNT(Y44:AI44)=0,"",AJ44-LOOKUP(2,1/(Y44:AI44&lt;&gt;""),Y44:AI44)))</t>
        </is>
      </c>
      <c r="AV44" s="39" t="inlineStr">
        <is>
          <t>IF(G44="","All_Provinces",IFERROR(VLOOKUP(G44,'07_Lookups'!$A$4:$B$20,2,FALSE),"All_Provinces"))</t>
        </is>
      </c>
      <c r="AW44" s="39" t="inlineStr">
        <is>
          <t>IF(H44="","All_Districts",IFERROR(VLOOKUP(H44,'07_Lookups'!$E$4:$F$42,2,FALSE),"All_Districts"))</t>
        </is>
      </c>
    </row>
    <row r="45" ht="18" customHeight="1">
      <c r="A45" s="31" t="inlineStr">
        <is>
          <t>IF(E45="","",ROW()-3)</t>
        </is>
      </c>
      <c r="B45" s="40" t="n"/>
      <c r="C45" s="40" t="n"/>
      <c r="D45" s="40" t="n"/>
      <c r="E45" s="40" t="n"/>
      <c r="F45" s="40" t="n"/>
      <c r="G45" s="40" t="n"/>
      <c r="H45" s="40" t="n"/>
      <c r="I45" s="40" t="n"/>
      <c r="J45" s="40" t="n"/>
      <c r="K45" s="40" t="n"/>
      <c r="L45" s="40" t="n"/>
      <c r="M45" s="40" t="n"/>
      <c r="N45" s="41" t="n"/>
      <c r="O45" s="34" t="inlineStr">
        <is>
          <t>IF(AE45="","",AE45)</t>
        </is>
      </c>
      <c r="P45" s="42" t="n"/>
      <c r="Q45" s="34" t="inlineStr">
        <is>
          <t>IF(OR(O45="",P45=""),"",EDATE(O45,P45))</t>
        </is>
      </c>
      <c r="R45" s="42" t="n"/>
      <c r="S45" s="40" t="n"/>
      <c r="T45" s="40" t="n"/>
      <c r="U45" s="31" t="inlineStr">
        <is>
          <t>IF(E45="","",IF(COUNT(Y45:AJ45)=0,IF(S45="","Not started",S45),SUBSTITUTE(LOOKUP(2,1/(Y45:AJ45&lt;&gt;""),$Y$3:$AJ$3),"Date: ","")))</t>
        </is>
      </c>
      <c r="V45" s="36" t="inlineStr">
        <is>
          <t>IF(OR(E45="",COUNT(Y45:AJ45)=0),"",TODAY()-LOOKUP(2,1/(Y45:AJ45&lt;&gt;""),Y45:AJ45))</t>
        </is>
      </c>
      <c r="W45" s="36" t="inlineStr">
        <is>
          <t>IF(OR(E45="",COUNT(Y45:AJ45)&lt;2),"",LOOKUP(2,1/(Y45:AJ45&lt;&gt;""),Y45:AJ45)-MIN(Y45:AJ45))</t>
        </is>
      </c>
      <c r="X45" s="36" t="inlineStr">
        <is>
          <t>IF(OR(V45="",U45="Not started",U45=""),"",IFERROR(V45-IF(VLOOKUP(U45,'04_Status_Pipeline'!$B$3:$E$20,4,FALSE)="",0,VLOOKUP(U45,'04_Status_Pipeline'!$B$3:$E$20,4,FALSE)),""))</t>
        </is>
      </c>
      <c r="Y45" s="43" t="n"/>
      <c r="Z45" s="43" t="n"/>
      <c r="AA45" s="43" t="n"/>
      <c r="AB45" s="43" t="n"/>
      <c r="AC45" s="43" t="n"/>
      <c r="AD45" s="43" t="n"/>
      <c r="AE45" s="43" t="n"/>
      <c r="AF45" s="43" t="n"/>
      <c r="AG45" s="43" t="n"/>
      <c r="AH45" s="38" t="n"/>
      <c r="AI45" s="38" t="n"/>
      <c r="AJ45" s="38" t="n"/>
      <c r="AK45" s="36" t="inlineStr">
        <is>
          <t>IF(OR(E45="",Z45=""),"",IF(COUNT(Y45:Y45)=0,"",Z45-LOOKUP(2,1/(Y45:Y45&lt;&gt;""),Y45:Y45)))</t>
        </is>
      </c>
      <c r="AL45" s="36" t="inlineStr">
        <is>
          <t>IF(OR(E45="",AA45=""),"",IF(COUNT(Y45:Z45)=0,"",AA45-LOOKUP(2,1/(Y45:Z45&lt;&gt;""),Y45:Z45)))</t>
        </is>
      </c>
      <c r="AM45" s="36" t="inlineStr">
        <is>
          <t>IF(OR(E45="",AB45=""),"",IF(COUNT(Y45:AA45)=0,"",AB45-LOOKUP(2,1/(Y45:AA45&lt;&gt;""),Y45:AA45)))</t>
        </is>
      </c>
      <c r="AN45" s="36" t="inlineStr">
        <is>
          <t>IF(OR(E45="",AC45=""),"",IF(COUNT(Y45:AB45)=0,"",AC45-LOOKUP(2,1/(Y45:AB45&lt;&gt;""),Y45:AB45)))</t>
        </is>
      </c>
      <c r="AO45" s="36" t="inlineStr">
        <is>
          <t>IF(OR(E45="",AD45=""),"",IF(COUNT(Y45:AC45)=0,"",AD45-LOOKUP(2,1/(Y45:AC45&lt;&gt;""),Y45:AC45)))</t>
        </is>
      </c>
      <c r="AP45" s="36" t="inlineStr">
        <is>
          <t>IF(OR(E45="",AE45=""),"",IF(COUNT(Y45:AD45)=0,"",AE45-LOOKUP(2,1/(Y45:AD45&lt;&gt;""),Y45:AD45)))</t>
        </is>
      </c>
      <c r="AQ45" s="36" t="inlineStr">
        <is>
          <t>IF(OR(E45="",AF45=""),"",IF(COUNT(Y45:AE45)=0,"",AF45-LOOKUP(2,1/(Y45:AE45&lt;&gt;""),Y45:AE45)))</t>
        </is>
      </c>
      <c r="AR45" s="36" t="inlineStr">
        <is>
          <t>IF(OR(E45="",AG45=""),"",IF(COUNT(Y45:AF45)=0,"",AG45-LOOKUP(2,1/(Y45:AF45&lt;&gt;""),Y45:AF45)))</t>
        </is>
      </c>
      <c r="AS45" s="36" t="inlineStr">
        <is>
          <t>IF(OR(E45="",AH45=""),"",IF(COUNT(Y45:AG45)=0,"",AH45-LOOKUP(2,1/(Y45:AG45&lt;&gt;""),Y45:AG45)))</t>
        </is>
      </c>
      <c r="AT45" s="36" t="inlineStr">
        <is>
          <t>IF(OR(E45="",AI45=""),"",IF(COUNT(Y45:AH45)=0,"",AI45-LOOKUP(2,1/(Y45:AH45&lt;&gt;""),Y45:AH45)))</t>
        </is>
      </c>
      <c r="AU45" s="36" t="inlineStr">
        <is>
          <t>IF(OR(E45="",AJ45=""),"",IF(COUNT(Y45:AI45)=0,"",AJ45-LOOKUP(2,1/(Y45:AI45&lt;&gt;""),Y45:AI45)))</t>
        </is>
      </c>
      <c r="AV45" s="39" t="inlineStr">
        <is>
          <t>IF(G45="","All_Provinces",IFERROR(VLOOKUP(G45,'07_Lookups'!$A$4:$B$20,2,FALSE),"All_Provinces"))</t>
        </is>
      </c>
      <c r="AW45" s="39" t="inlineStr">
        <is>
          <t>IF(H45="","All_Districts",IFERROR(VLOOKUP(H45,'07_Lookups'!$E$4:$F$42,2,FALSE),"All_Districts"))</t>
        </is>
      </c>
    </row>
    <row r="46" ht="18" customHeight="1">
      <c r="A46" s="31" t="inlineStr">
        <is>
          <t>IF(E46="","",ROW()-3)</t>
        </is>
      </c>
      <c r="B46" s="32" t="n"/>
      <c r="C46" s="32" t="n"/>
      <c r="D46" s="32" t="n"/>
      <c r="E46" s="32" t="n"/>
      <c r="F46" s="32" t="n"/>
      <c r="G46" s="32" t="n"/>
      <c r="H46" s="32" t="n"/>
      <c r="I46" s="32" t="n"/>
      <c r="J46" s="32" t="n"/>
      <c r="K46" s="32" t="n"/>
      <c r="L46" s="32" t="n"/>
      <c r="M46" s="32" t="n"/>
      <c r="N46" s="33" t="n"/>
      <c r="O46" s="34" t="inlineStr">
        <is>
          <t>IF(AE46="","",AE46)</t>
        </is>
      </c>
      <c r="P46" s="35" t="n"/>
      <c r="Q46" s="34" t="inlineStr">
        <is>
          <t>IF(OR(O46="",P46=""),"",EDATE(O46,P46))</t>
        </is>
      </c>
      <c r="R46" s="35" t="n"/>
      <c r="S46" s="32" t="n"/>
      <c r="T46" s="32" t="n"/>
      <c r="U46" s="31" t="inlineStr">
        <is>
          <t>IF(E46="","",IF(COUNT(Y46:AJ46)=0,IF(S46="","Not started",S46),SUBSTITUTE(LOOKUP(2,1/(Y46:AJ46&lt;&gt;""),$Y$3:$AJ$3),"Date: ","")))</t>
        </is>
      </c>
      <c r="V46" s="36" t="inlineStr">
        <is>
          <t>IF(OR(E46="",COUNT(Y46:AJ46)=0),"",TODAY()-LOOKUP(2,1/(Y46:AJ46&lt;&gt;""),Y46:AJ46))</t>
        </is>
      </c>
      <c r="W46" s="36" t="inlineStr">
        <is>
          <t>IF(OR(E46="",COUNT(Y46:AJ46)&lt;2),"",LOOKUP(2,1/(Y46:AJ46&lt;&gt;""),Y46:AJ46)-MIN(Y46:AJ46))</t>
        </is>
      </c>
      <c r="X46" s="36" t="inlineStr">
        <is>
          <t>IF(OR(V46="",U46="Not started",U46=""),"",IFERROR(V46-IF(VLOOKUP(U46,'04_Status_Pipeline'!$B$3:$E$20,4,FALSE)="",0,VLOOKUP(U46,'04_Status_Pipeline'!$B$3:$E$20,4,FALSE)),""))</t>
        </is>
      </c>
      <c r="Y46" s="37" t="n"/>
      <c r="Z46" s="37" t="n"/>
      <c r="AA46" s="37" t="n"/>
      <c r="AB46" s="37" t="n"/>
      <c r="AC46" s="37" t="n"/>
      <c r="AD46" s="37" t="n"/>
      <c r="AE46" s="37" t="n"/>
      <c r="AF46" s="37" t="n"/>
      <c r="AG46" s="37" t="n"/>
      <c r="AH46" s="38" t="n"/>
      <c r="AI46" s="38" t="n"/>
      <c r="AJ46" s="38" t="n"/>
      <c r="AK46" s="36" t="inlineStr">
        <is>
          <t>IF(OR(E46="",Z46=""),"",IF(COUNT(Y46:Y46)=0,"",Z46-LOOKUP(2,1/(Y46:Y46&lt;&gt;""),Y46:Y46)))</t>
        </is>
      </c>
      <c r="AL46" s="36" t="inlineStr">
        <is>
          <t>IF(OR(E46="",AA46=""),"",IF(COUNT(Y46:Z46)=0,"",AA46-LOOKUP(2,1/(Y46:Z46&lt;&gt;""),Y46:Z46)))</t>
        </is>
      </c>
      <c r="AM46" s="36" t="inlineStr">
        <is>
          <t>IF(OR(E46="",AB46=""),"",IF(COUNT(Y46:AA46)=0,"",AB46-LOOKUP(2,1/(Y46:AA46&lt;&gt;""),Y46:AA46)))</t>
        </is>
      </c>
      <c r="AN46" s="36" t="inlineStr">
        <is>
          <t>IF(OR(E46="",AC46=""),"",IF(COUNT(Y46:AB46)=0,"",AC46-LOOKUP(2,1/(Y46:AB46&lt;&gt;""),Y46:AB46)))</t>
        </is>
      </c>
      <c r="AO46" s="36" t="inlineStr">
        <is>
          <t>IF(OR(E46="",AD46=""),"",IF(COUNT(Y46:AC46)=0,"",AD46-LOOKUP(2,1/(Y46:AC46&lt;&gt;""),Y46:AC46)))</t>
        </is>
      </c>
      <c r="AP46" s="36" t="inlineStr">
        <is>
          <t>IF(OR(E46="",AE46=""),"",IF(COUNT(Y46:AD46)=0,"",AE46-LOOKUP(2,1/(Y46:AD46&lt;&gt;""),Y46:AD46)))</t>
        </is>
      </c>
      <c r="AQ46" s="36" t="inlineStr">
        <is>
          <t>IF(OR(E46="",AF46=""),"",IF(COUNT(Y46:AE46)=0,"",AF46-LOOKUP(2,1/(Y46:AE46&lt;&gt;""),Y46:AE46)))</t>
        </is>
      </c>
      <c r="AR46" s="36" t="inlineStr">
        <is>
          <t>IF(OR(E46="",AG46=""),"",IF(COUNT(Y46:AF46)=0,"",AG46-LOOKUP(2,1/(Y46:AF46&lt;&gt;""),Y46:AF46)))</t>
        </is>
      </c>
      <c r="AS46" s="36" t="inlineStr">
        <is>
          <t>IF(OR(E46="",AH46=""),"",IF(COUNT(Y46:AG46)=0,"",AH46-LOOKUP(2,1/(Y46:AG46&lt;&gt;""),Y46:AG46)))</t>
        </is>
      </c>
      <c r="AT46" s="36" t="inlineStr">
        <is>
          <t>IF(OR(E46="",AI46=""),"",IF(COUNT(Y46:AH46)=0,"",AI46-LOOKUP(2,1/(Y46:AH46&lt;&gt;""),Y46:AH46)))</t>
        </is>
      </c>
      <c r="AU46" s="36" t="inlineStr">
        <is>
          <t>IF(OR(E46="",AJ46=""),"",IF(COUNT(Y46:AI46)=0,"",AJ46-LOOKUP(2,1/(Y46:AI46&lt;&gt;""),Y46:AI46)))</t>
        </is>
      </c>
      <c r="AV46" s="39" t="inlineStr">
        <is>
          <t>IF(G46="","All_Provinces",IFERROR(VLOOKUP(G46,'07_Lookups'!$A$4:$B$20,2,FALSE),"All_Provinces"))</t>
        </is>
      </c>
      <c r="AW46" s="39" t="inlineStr">
        <is>
          <t>IF(H46="","All_Districts",IFERROR(VLOOKUP(H46,'07_Lookups'!$E$4:$F$42,2,FALSE),"All_Districts"))</t>
        </is>
      </c>
    </row>
    <row r="47" ht="18" customHeight="1">
      <c r="A47" s="31" t="inlineStr">
        <is>
          <t>IF(E47="","",ROW()-3)</t>
        </is>
      </c>
      <c r="B47" s="40" t="n"/>
      <c r="C47" s="40" t="n"/>
      <c r="D47" s="40" t="n"/>
      <c r="E47" s="40" t="n"/>
      <c r="F47" s="40" t="n"/>
      <c r="G47" s="40" t="n"/>
      <c r="H47" s="40" t="n"/>
      <c r="I47" s="40" t="n"/>
      <c r="J47" s="40" t="n"/>
      <c r="K47" s="40" t="n"/>
      <c r="L47" s="40" t="n"/>
      <c r="M47" s="40" t="n"/>
      <c r="N47" s="41" t="n"/>
      <c r="O47" s="34" t="inlineStr">
        <is>
          <t>IF(AE47="","",AE47)</t>
        </is>
      </c>
      <c r="P47" s="42" t="n"/>
      <c r="Q47" s="34" t="inlineStr">
        <is>
          <t>IF(OR(O47="",P47=""),"",EDATE(O47,P47))</t>
        </is>
      </c>
      <c r="R47" s="42" t="n"/>
      <c r="S47" s="40" t="n"/>
      <c r="T47" s="40" t="n"/>
      <c r="U47" s="31" t="inlineStr">
        <is>
          <t>IF(E47="","",IF(COUNT(Y47:AJ47)=0,IF(S47="","Not started",S47),SUBSTITUTE(LOOKUP(2,1/(Y47:AJ47&lt;&gt;""),$Y$3:$AJ$3),"Date: ","")))</t>
        </is>
      </c>
      <c r="V47" s="36" t="inlineStr">
        <is>
          <t>IF(OR(E47="",COUNT(Y47:AJ47)=0),"",TODAY()-LOOKUP(2,1/(Y47:AJ47&lt;&gt;""),Y47:AJ47))</t>
        </is>
      </c>
      <c r="W47" s="36" t="inlineStr">
        <is>
          <t>IF(OR(E47="",COUNT(Y47:AJ47)&lt;2),"",LOOKUP(2,1/(Y47:AJ47&lt;&gt;""),Y47:AJ47)-MIN(Y47:AJ47))</t>
        </is>
      </c>
      <c r="X47" s="36" t="inlineStr">
        <is>
          <t>IF(OR(V47="",U47="Not started",U47=""),"",IFERROR(V47-IF(VLOOKUP(U47,'04_Status_Pipeline'!$B$3:$E$20,4,FALSE)="",0,VLOOKUP(U47,'04_Status_Pipeline'!$B$3:$E$20,4,FALSE)),""))</t>
        </is>
      </c>
      <c r="Y47" s="43" t="n"/>
      <c r="Z47" s="43" t="n"/>
      <c r="AA47" s="43" t="n"/>
      <c r="AB47" s="43" t="n"/>
      <c r="AC47" s="43" t="n"/>
      <c r="AD47" s="43" t="n"/>
      <c r="AE47" s="43" t="n"/>
      <c r="AF47" s="43" t="n"/>
      <c r="AG47" s="43" t="n"/>
      <c r="AH47" s="38" t="n"/>
      <c r="AI47" s="38" t="n"/>
      <c r="AJ47" s="38" t="n"/>
      <c r="AK47" s="36" t="inlineStr">
        <is>
          <t>IF(OR(E47="",Z47=""),"",IF(COUNT(Y47:Y47)=0,"",Z47-LOOKUP(2,1/(Y47:Y47&lt;&gt;""),Y47:Y47)))</t>
        </is>
      </c>
      <c r="AL47" s="36" t="inlineStr">
        <is>
          <t>IF(OR(E47="",AA47=""),"",IF(COUNT(Y47:Z47)=0,"",AA47-LOOKUP(2,1/(Y47:Z47&lt;&gt;""),Y47:Z47)))</t>
        </is>
      </c>
      <c r="AM47" s="36" t="inlineStr">
        <is>
          <t>IF(OR(E47="",AB47=""),"",IF(COUNT(Y47:AA47)=0,"",AB47-LOOKUP(2,1/(Y47:AA47&lt;&gt;""),Y47:AA47)))</t>
        </is>
      </c>
      <c r="AN47" s="36" t="inlineStr">
        <is>
          <t>IF(OR(E47="",AC47=""),"",IF(COUNT(Y47:AB47)=0,"",AC47-LOOKUP(2,1/(Y47:AB47&lt;&gt;""),Y47:AB47)))</t>
        </is>
      </c>
      <c r="AO47" s="36" t="inlineStr">
        <is>
          <t>IF(OR(E47="",AD47=""),"",IF(COUNT(Y47:AC47)=0,"",AD47-LOOKUP(2,1/(Y47:AC47&lt;&gt;""),Y47:AC47)))</t>
        </is>
      </c>
      <c r="AP47" s="36" t="inlineStr">
        <is>
          <t>IF(OR(E47="",AE47=""),"",IF(COUNT(Y47:AD47)=0,"",AE47-LOOKUP(2,1/(Y47:AD47&lt;&gt;""),Y47:AD47)))</t>
        </is>
      </c>
      <c r="AQ47" s="36" t="inlineStr">
        <is>
          <t>IF(OR(E47="",AF47=""),"",IF(COUNT(Y47:AE47)=0,"",AF47-LOOKUP(2,1/(Y47:AE47&lt;&gt;""),Y47:AE47)))</t>
        </is>
      </c>
      <c r="AR47" s="36" t="inlineStr">
        <is>
          <t>IF(OR(E47="",AG47=""),"",IF(COUNT(Y47:AF47)=0,"",AG47-LOOKUP(2,1/(Y47:AF47&lt;&gt;""),Y47:AF47)))</t>
        </is>
      </c>
      <c r="AS47" s="36" t="inlineStr">
        <is>
          <t>IF(OR(E47="",AH47=""),"",IF(COUNT(Y47:AG47)=0,"",AH47-LOOKUP(2,1/(Y47:AG47&lt;&gt;""),Y47:AG47)))</t>
        </is>
      </c>
      <c r="AT47" s="36" t="inlineStr">
        <is>
          <t>IF(OR(E47="",AI47=""),"",IF(COUNT(Y47:AH47)=0,"",AI47-LOOKUP(2,1/(Y47:AH47&lt;&gt;""),Y47:AH47)))</t>
        </is>
      </c>
      <c r="AU47" s="36" t="inlineStr">
        <is>
          <t>IF(OR(E47="",AJ47=""),"",IF(COUNT(Y47:AI47)=0,"",AJ47-LOOKUP(2,1/(Y47:AI47&lt;&gt;""),Y47:AI47)))</t>
        </is>
      </c>
      <c r="AV47" s="39" t="inlineStr">
        <is>
          <t>IF(G47="","All_Provinces",IFERROR(VLOOKUP(G47,'07_Lookups'!$A$4:$B$20,2,FALSE),"All_Provinces"))</t>
        </is>
      </c>
      <c r="AW47" s="39" t="inlineStr">
        <is>
          <t>IF(H47="","All_Districts",IFERROR(VLOOKUP(H47,'07_Lookups'!$E$4:$F$42,2,FALSE),"All_Districts"))</t>
        </is>
      </c>
    </row>
    <row r="48" ht="18" customHeight="1">
      <c r="A48" s="31" t="inlineStr">
        <is>
          <t>IF(E48="","",ROW()-3)</t>
        </is>
      </c>
      <c r="B48" s="32" t="n"/>
      <c r="C48" s="32" t="n"/>
      <c r="D48" s="32" t="n"/>
      <c r="E48" s="32" t="n"/>
      <c r="F48" s="32" t="n"/>
      <c r="G48" s="32" t="n"/>
      <c r="H48" s="32" t="n"/>
      <c r="I48" s="32" t="n"/>
      <c r="J48" s="32" t="n"/>
      <c r="K48" s="32" t="n"/>
      <c r="L48" s="32" t="n"/>
      <c r="M48" s="32" t="n"/>
      <c r="N48" s="33" t="n"/>
      <c r="O48" s="34" t="inlineStr">
        <is>
          <t>IF(AE48="","",AE48)</t>
        </is>
      </c>
      <c r="P48" s="35" t="n"/>
      <c r="Q48" s="34" t="inlineStr">
        <is>
          <t>IF(OR(O48="",P48=""),"",EDATE(O48,P48))</t>
        </is>
      </c>
      <c r="R48" s="35" t="n"/>
      <c r="S48" s="32" t="n"/>
      <c r="T48" s="32" t="n"/>
      <c r="U48" s="31" t="inlineStr">
        <is>
          <t>IF(E48="","",IF(COUNT(Y48:AJ48)=0,IF(S48="","Not started",S48),SUBSTITUTE(LOOKUP(2,1/(Y48:AJ48&lt;&gt;""),$Y$3:$AJ$3),"Date: ","")))</t>
        </is>
      </c>
      <c r="V48" s="36" t="inlineStr">
        <is>
          <t>IF(OR(E48="",COUNT(Y48:AJ48)=0),"",TODAY()-LOOKUP(2,1/(Y48:AJ48&lt;&gt;""),Y48:AJ48))</t>
        </is>
      </c>
      <c r="W48" s="36" t="inlineStr">
        <is>
          <t>IF(OR(E48="",COUNT(Y48:AJ48)&lt;2),"",LOOKUP(2,1/(Y48:AJ48&lt;&gt;""),Y48:AJ48)-MIN(Y48:AJ48))</t>
        </is>
      </c>
      <c r="X48" s="36" t="inlineStr">
        <is>
          <t>IF(OR(V48="",U48="Not started",U48=""),"",IFERROR(V48-IF(VLOOKUP(U48,'04_Status_Pipeline'!$B$3:$E$20,4,FALSE)="",0,VLOOKUP(U48,'04_Status_Pipeline'!$B$3:$E$20,4,FALSE)),""))</t>
        </is>
      </c>
      <c r="Y48" s="37" t="n"/>
      <c r="Z48" s="37" t="n"/>
      <c r="AA48" s="37" t="n"/>
      <c r="AB48" s="37" t="n"/>
      <c r="AC48" s="37" t="n"/>
      <c r="AD48" s="37" t="n"/>
      <c r="AE48" s="37" t="n"/>
      <c r="AF48" s="37" t="n"/>
      <c r="AG48" s="37" t="n"/>
      <c r="AH48" s="38" t="n"/>
      <c r="AI48" s="38" t="n"/>
      <c r="AJ48" s="38" t="n"/>
      <c r="AK48" s="36" t="inlineStr">
        <is>
          <t>IF(OR(E48="",Z48=""),"",IF(COUNT(Y48:Y48)=0,"",Z48-LOOKUP(2,1/(Y48:Y48&lt;&gt;""),Y48:Y48)))</t>
        </is>
      </c>
      <c r="AL48" s="36" t="inlineStr">
        <is>
          <t>IF(OR(E48="",AA48=""),"",IF(COUNT(Y48:Z48)=0,"",AA48-LOOKUP(2,1/(Y48:Z48&lt;&gt;""),Y48:Z48)))</t>
        </is>
      </c>
      <c r="AM48" s="36" t="inlineStr">
        <is>
          <t>IF(OR(E48="",AB48=""),"",IF(COUNT(Y48:AA48)=0,"",AB48-LOOKUP(2,1/(Y48:AA48&lt;&gt;""),Y48:AA48)))</t>
        </is>
      </c>
      <c r="AN48" s="36" t="inlineStr">
        <is>
          <t>IF(OR(E48="",AC48=""),"",IF(COUNT(Y48:AB48)=0,"",AC48-LOOKUP(2,1/(Y48:AB48&lt;&gt;""),Y48:AB48)))</t>
        </is>
      </c>
      <c r="AO48" s="36" t="inlineStr">
        <is>
          <t>IF(OR(E48="",AD48=""),"",IF(COUNT(Y48:AC48)=0,"",AD48-LOOKUP(2,1/(Y48:AC48&lt;&gt;""),Y48:AC48)))</t>
        </is>
      </c>
      <c r="AP48" s="36" t="inlineStr">
        <is>
          <t>IF(OR(E48="",AE48=""),"",IF(COUNT(Y48:AD48)=0,"",AE48-LOOKUP(2,1/(Y48:AD48&lt;&gt;""),Y48:AD48)))</t>
        </is>
      </c>
      <c r="AQ48" s="36" t="inlineStr">
        <is>
          <t>IF(OR(E48="",AF48=""),"",IF(COUNT(Y48:AE48)=0,"",AF48-LOOKUP(2,1/(Y48:AE48&lt;&gt;""),Y48:AE48)))</t>
        </is>
      </c>
      <c r="AR48" s="36" t="inlineStr">
        <is>
          <t>IF(OR(E48="",AG48=""),"",IF(COUNT(Y48:AF48)=0,"",AG48-LOOKUP(2,1/(Y48:AF48&lt;&gt;""),Y48:AF48)))</t>
        </is>
      </c>
      <c r="AS48" s="36" t="inlineStr">
        <is>
          <t>IF(OR(E48="",AH48=""),"",IF(COUNT(Y48:AG48)=0,"",AH48-LOOKUP(2,1/(Y48:AG48&lt;&gt;""),Y48:AG48)))</t>
        </is>
      </c>
      <c r="AT48" s="36" t="inlineStr">
        <is>
          <t>IF(OR(E48="",AI48=""),"",IF(COUNT(Y48:AH48)=0,"",AI48-LOOKUP(2,1/(Y48:AH48&lt;&gt;""),Y48:AH48)))</t>
        </is>
      </c>
      <c r="AU48" s="36" t="inlineStr">
        <is>
          <t>IF(OR(E48="",AJ48=""),"",IF(COUNT(Y48:AI48)=0,"",AJ48-LOOKUP(2,1/(Y48:AI48&lt;&gt;""),Y48:AI48)))</t>
        </is>
      </c>
      <c r="AV48" s="39" t="inlineStr">
        <is>
          <t>IF(G48="","All_Provinces",IFERROR(VLOOKUP(G48,'07_Lookups'!$A$4:$B$20,2,FALSE),"All_Provinces"))</t>
        </is>
      </c>
      <c r="AW48" s="39" t="inlineStr">
        <is>
          <t>IF(H48="","All_Districts",IFERROR(VLOOKUP(H48,'07_Lookups'!$E$4:$F$42,2,FALSE),"All_Districts"))</t>
        </is>
      </c>
    </row>
    <row r="49" ht="18" customHeight="1">
      <c r="A49" s="31" t="inlineStr">
        <is>
          <t>IF(E49="","",ROW()-3)</t>
        </is>
      </c>
      <c r="B49" s="40" t="n"/>
      <c r="C49" s="40" t="n"/>
      <c r="D49" s="40" t="n"/>
      <c r="E49" s="40" t="n"/>
      <c r="F49" s="40" t="n"/>
      <c r="G49" s="40" t="n"/>
      <c r="H49" s="40" t="n"/>
      <c r="I49" s="40" t="n"/>
      <c r="J49" s="40" t="n"/>
      <c r="K49" s="40" t="n"/>
      <c r="L49" s="40" t="n"/>
      <c r="M49" s="40" t="n"/>
      <c r="N49" s="41" t="n"/>
      <c r="O49" s="34" t="inlineStr">
        <is>
          <t>IF(AE49="","",AE49)</t>
        </is>
      </c>
      <c r="P49" s="42" t="n"/>
      <c r="Q49" s="34" t="inlineStr">
        <is>
          <t>IF(OR(O49="",P49=""),"",EDATE(O49,P49))</t>
        </is>
      </c>
      <c r="R49" s="42" t="n"/>
      <c r="S49" s="40" t="n"/>
      <c r="T49" s="40" t="n"/>
      <c r="U49" s="31" t="inlineStr">
        <is>
          <t>IF(E49="","",IF(COUNT(Y49:AJ49)=0,IF(S49="","Not started",S49),SUBSTITUTE(LOOKUP(2,1/(Y49:AJ49&lt;&gt;""),$Y$3:$AJ$3),"Date: ","")))</t>
        </is>
      </c>
      <c r="V49" s="36" t="inlineStr">
        <is>
          <t>IF(OR(E49="",COUNT(Y49:AJ49)=0),"",TODAY()-LOOKUP(2,1/(Y49:AJ49&lt;&gt;""),Y49:AJ49))</t>
        </is>
      </c>
      <c r="W49" s="36" t="inlineStr">
        <is>
          <t>IF(OR(E49="",COUNT(Y49:AJ49)&lt;2),"",LOOKUP(2,1/(Y49:AJ49&lt;&gt;""),Y49:AJ49)-MIN(Y49:AJ49))</t>
        </is>
      </c>
      <c r="X49" s="36" t="inlineStr">
        <is>
          <t>IF(OR(V49="",U49="Not started",U49=""),"",IFERROR(V49-IF(VLOOKUP(U49,'04_Status_Pipeline'!$B$3:$E$20,4,FALSE)="",0,VLOOKUP(U49,'04_Status_Pipeline'!$B$3:$E$20,4,FALSE)),""))</t>
        </is>
      </c>
      <c r="Y49" s="43" t="n"/>
      <c r="Z49" s="43" t="n"/>
      <c r="AA49" s="43" t="n"/>
      <c r="AB49" s="43" t="n"/>
      <c r="AC49" s="43" t="n"/>
      <c r="AD49" s="43" t="n"/>
      <c r="AE49" s="43" t="n"/>
      <c r="AF49" s="43" t="n"/>
      <c r="AG49" s="43" t="n"/>
      <c r="AH49" s="38" t="n"/>
      <c r="AI49" s="38" t="n"/>
      <c r="AJ49" s="38" t="n"/>
      <c r="AK49" s="36" t="inlineStr">
        <is>
          <t>IF(OR(E49="",Z49=""),"",IF(COUNT(Y49:Y49)=0,"",Z49-LOOKUP(2,1/(Y49:Y49&lt;&gt;""),Y49:Y49)))</t>
        </is>
      </c>
      <c r="AL49" s="36" t="inlineStr">
        <is>
          <t>IF(OR(E49="",AA49=""),"",IF(COUNT(Y49:Z49)=0,"",AA49-LOOKUP(2,1/(Y49:Z49&lt;&gt;""),Y49:Z49)))</t>
        </is>
      </c>
      <c r="AM49" s="36" t="inlineStr">
        <is>
          <t>IF(OR(E49="",AB49=""),"",IF(COUNT(Y49:AA49)=0,"",AB49-LOOKUP(2,1/(Y49:AA49&lt;&gt;""),Y49:AA49)))</t>
        </is>
      </c>
      <c r="AN49" s="36" t="inlineStr">
        <is>
          <t>IF(OR(E49="",AC49=""),"",IF(COUNT(Y49:AB49)=0,"",AC49-LOOKUP(2,1/(Y49:AB49&lt;&gt;""),Y49:AB49)))</t>
        </is>
      </c>
      <c r="AO49" s="36" t="inlineStr">
        <is>
          <t>IF(OR(E49="",AD49=""),"",IF(COUNT(Y49:AC49)=0,"",AD49-LOOKUP(2,1/(Y49:AC49&lt;&gt;""),Y49:AC49)))</t>
        </is>
      </c>
      <c r="AP49" s="36" t="inlineStr">
        <is>
          <t>IF(OR(E49="",AE49=""),"",IF(COUNT(Y49:AD49)=0,"",AE49-LOOKUP(2,1/(Y49:AD49&lt;&gt;""),Y49:AD49)))</t>
        </is>
      </c>
      <c r="AQ49" s="36" t="inlineStr">
        <is>
          <t>IF(OR(E49="",AF49=""),"",IF(COUNT(Y49:AE49)=0,"",AF49-LOOKUP(2,1/(Y49:AE49&lt;&gt;""),Y49:AE49)))</t>
        </is>
      </c>
      <c r="AR49" s="36" t="inlineStr">
        <is>
          <t>IF(OR(E49="",AG49=""),"",IF(COUNT(Y49:AF49)=0,"",AG49-LOOKUP(2,1/(Y49:AF49&lt;&gt;""),Y49:AF49)))</t>
        </is>
      </c>
      <c r="AS49" s="36" t="inlineStr">
        <is>
          <t>IF(OR(E49="",AH49=""),"",IF(COUNT(Y49:AG49)=0,"",AH49-LOOKUP(2,1/(Y49:AG49&lt;&gt;""),Y49:AG49)))</t>
        </is>
      </c>
      <c r="AT49" s="36" t="inlineStr">
        <is>
          <t>IF(OR(E49="",AI49=""),"",IF(COUNT(Y49:AH49)=0,"",AI49-LOOKUP(2,1/(Y49:AH49&lt;&gt;""),Y49:AH49)))</t>
        </is>
      </c>
      <c r="AU49" s="36" t="inlineStr">
        <is>
          <t>IF(OR(E49="",AJ49=""),"",IF(COUNT(Y49:AI49)=0,"",AJ49-LOOKUP(2,1/(Y49:AI49&lt;&gt;""),Y49:AI49)))</t>
        </is>
      </c>
      <c r="AV49" s="39" t="inlineStr">
        <is>
          <t>IF(G49="","All_Provinces",IFERROR(VLOOKUP(G49,'07_Lookups'!$A$4:$B$20,2,FALSE),"All_Provinces"))</t>
        </is>
      </c>
      <c r="AW49" s="39" t="inlineStr">
        <is>
          <t>IF(H49="","All_Districts",IFERROR(VLOOKUP(H49,'07_Lookups'!$E$4:$F$42,2,FALSE),"All_Districts"))</t>
        </is>
      </c>
    </row>
    <row r="50" ht="18" customHeight="1">
      <c r="A50" s="31" t="inlineStr">
        <is>
          <t>IF(E50="","",ROW()-3)</t>
        </is>
      </c>
      <c r="B50" s="32" t="n"/>
      <c r="C50" s="32" t="n"/>
      <c r="D50" s="32" t="n"/>
      <c r="E50" s="32" t="n"/>
      <c r="F50" s="32" t="n"/>
      <c r="G50" s="32" t="n"/>
      <c r="H50" s="32" t="n"/>
      <c r="I50" s="32" t="n"/>
      <c r="J50" s="32" t="n"/>
      <c r="K50" s="32" t="n"/>
      <c r="L50" s="32" t="n"/>
      <c r="M50" s="32" t="n"/>
      <c r="N50" s="33" t="n"/>
      <c r="O50" s="34" t="inlineStr">
        <is>
          <t>IF(AE50="","",AE50)</t>
        </is>
      </c>
      <c r="P50" s="35" t="n"/>
      <c r="Q50" s="34" t="inlineStr">
        <is>
          <t>IF(OR(O50="",P50=""),"",EDATE(O50,P50))</t>
        </is>
      </c>
      <c r="R50" s="35" t="n"/>
      <c r="S50" s="32" t="n"/>
      <c r="T50" s="32" t="n"/>
      <c r="U50" s="31" t="inlineStr">
        <is>
          <t>IF(E50="","",IF(COUNT(Y50:AJ50)=0,IF(S50="","Not started",S50),SUBSTITUTE(LOOKUP(2,1/(Y50:AJ50&lt;&gt;""),$Y$3:$AJ$3),"Date: ","")))</t>
        </is>
      </c>
      <c r="V50" s="36" t="inlineStr">
        <is>
          <t>IF(OR(E50="",COUNT(Y50:AJ50)=0),"",TODAY()-LOOKUP(2,1/(Y50:AJ50&lt;&gt;""),Y50:AJ50))</t>
        </is>
      </c>
      <c r="W50" s="36" t="inlineStr">
        <is>
          <t>IF(OR(E50="",COUNT(Y50:AJ50)&lt;2),"",LOOKUP(2,1/(Y50:AJ50&lt;&gt;""),Y50:AJ50)-MIN(Y50:AJ50))</t>
        </is>
      </c>
      <c r="X50" s="36" t="inlineStr">
        <is>
          <t>IF(OR(V50="",U50="Not started",U50=""),"",IFERROR(V50-IF(VLOOKUP(U50,'04_Status_Pipeline'!$B$3:$E$20,4,FALSE)="",0,VLOOKUP(U50,'04_Status_Pipeline'!$B$3:$E$20,4,FALSE)),""))</t>
        </is>
      </c>
      <c r="Y50" s="37" t="n"/>
      <c r="Z50" s="37" t="n"/>
      <c r="AA50" s="37" t="n"/>
      <c r="AB50" s="37" t="n"/>
      <c r="AC50" s="37" t="n"/>
      <c r="AD50" s="37" t="n"/>
      <c r="AE50" s="37" t="n"/>
      <c r="AF50" s="37" t="n"/>
      <c r="AG50" s="37" t="n"/>
      <c r="AH50" s="38" t="n"/>
      <c r="AI50" s="38" t="n"/>
      <c r="AJ50" s="38" t="n"/>
      <c r="AK50" s="36" t="inlineStr">
        <is>
          <t>IF(OR(E50="",Z50=""),"",IF(COUNT(Y50:Y50)=0,"",Z50-LOOKUP(2,1/(Y50:Y50&lt;&gt;""),Y50:Y50)))</t>
        </is>
      </c>
      <c r="AL50" s="36" t="inlineStr">
        <is>
          <t>IF(OR(E50="",AA50=""),"",IF(COUNT(Y50:Z50)=0,"",AA50-LOOKUP(2,1/(Y50:Z50&lt;&gt;""),Y50:Z50)))</t>
        </is>
      </c>
      <c r="AM50" s="36" t="inlineStr">
        <is>
          <t>IF(OR(E50="",AB50=""),"",IF(COUNT(Y50:AA50)=0,"",AB50-LOOKUP(2,1/(Y50:AA50&lt;&gt;""),Y50:AA50)))</t>
        </is>
      </c>
      <c r="AN50" s="36" t="inlineStr">
        <is>
          <t>IF(OR(E50="",AC50=""),"",IF(COUNT(Y50:AB50)=0,"",AC50-LOOKUP(2,1/(Y50:AB50&lt;&gt;""),Y50:AB50)))</t>
        </is>
      </c>
      <c r="AO50" s="36" t="inlineStr">
        <is>
          <t>IF(OR(E50="",AD50=""),"",IF(COUNT(Y50:AC50)=0,"",AD50-LOOKUP(2,1/(Y50:AC50&lt;&gt;""),Y50:AC50)))</t>
        </is>
      </c>
      <c r="AP50" s="36" t="inlineStr">
        <is>
          <t>IF(OR(E50="",AE50=""),"",IF(COUNT(Y50:AD50)=0,"",AE50-LOOKUP(2,1/(Y50:AD50&lt;&gt;""),Y50:AD50)))</t>
        </is>
      </c>
      <c r="AQ50" s="36" t="inlineStr">
        <is>
          <t>IF(OR(E50="",AF50=""),"",IF(COUNT(Y50:AE50)=0,"",AF50-LOOKUP(2,1/(Y50:AE50&lt;&gt;""),Y50:AE50)))</t>
        </is>
      </c>
      <c r="AR50" s="36" t="inlineStr">
        <is>
          <t>IF(OR(E50="",AG50=""),"",IF(COUNT(Y50:AF50)=0,"",AG50-LOOKUP(2,1/(Y50:AF50&lt;&gt;""),Y50:AF50)))</t>
        </is>
      </c>
      <c r="AS50" s="36" t="inlineStr">
        <is>
          <t>IF(OR(E50="",AH50=""),"",IF(COUNT(Y50:AG50)=0,"",AH50-LOOKUP(2,1/(Y50:AG50&lt;&gt;""),Y50:AG50)))</t>
        </is>
      </c>
      <c r="AT50" s="36" t="inlineStr">
        <is>
          <t>IF(OR(E50="",AI50=""),"",IF(COUNT(Y50:AH50)=0,"",AI50-LOOKUP(2,1/(Y50:AH50&lt;&gt;""),Y50:AH50)))</t>
        </is>
      </c>
      <c r="AU50" s="36" t="inlineStr">
        <is>
          <t>IF(OR(E50="",AJ50=""),"",IF(COUNT(Y50:AI50)=0,"",AJ50-LOOKUP(2,1/(Y50:AI50&lt;&gt;""),Y50:AI50)))</t>
        </is>
      </c>
      <c r="AV50" s="39" t="inlineStr">
        <is>
          <t>IF(G50="","All_Provinces",IFERROR(VLOOKUP(G50,'07_Lookups'!$A$4:$B$20,2,FALSE),"All_Provinces"))</t>
        </is>
      </c>
      <c r="AW50" s="39" t="inlineStr">
        <is>
          <t>IF(H50="","All_Districts",IFERROR(VLOOKUP(H50,'07_Lookups'!$E$4:$F$42,2,FALSE),"All_Districts"))</t>
        </is>
      </c>
    </row>
    <row r="51" ht="18" customHeight="1">
      <c r="A51" s="31" t="inlineStr">
        <is>
          <t>IF(E51="","",ROW()-3)</t>
        </is>
      </c>
      <c r="B51" s="40" t="n"/>
      <c r="C51" s="40" t="n"/>
      <c r="D51" s="40" t="n"/>
      <c r="E51" s="40" t="n"/>
      <c r="F51" s="40" t="n"/>
      <c r="G51" s="40" t="n"/>
      <c r="H51" s="40" t="n"/>
      <c r="I51" s="40" t="n"/>
      <c r="J51" s="40" t="n"/>
      <c r="K51" s="40" t="n"/>
      <c r="L51" s="40" t="n"/>
      <c r="M51" s="40" t="n"/>
      <c r="N51" s="41" t="n"/>
      <c r="O51" s="34" t="inlineStr">
        <is>
          <t>IF(AE51="","",AE51)</t>
        </is>
      </c>
      <c r="P51" s="42" t="n"/>
      <c r="Q51" s="34" t="inlineStr">
        <is>
          <t>IF(OR(O51="",P51=""),"",EDATE(O51,P51))</t>
        </is>
      </c>
      <c r="R51" s="42" t="n"/>
      <c r="S51" s="40" t="n"/>
      <c r="T51" s="40" t="n"/>
      <c r="U51" s="31" t="inlineStr">
        <is>
          <t>IF(E51="","",IF(COUNT(Y51:AJ51)=0,IF(S51="","Not started",S51),SUBSTITUTE(LOOKUP(2,1/(Y51:AJ51&lt;&gt;""),$Y$3:$AJ$3),"Date: ","")))</t>
        </is>
      </c>
      <c r="V51" s="36" t="inlineStr">
        <is>
          <t>IF(OR(E51="",COUNT(Y51:AJ51)=0),"",TODAY()-LOOKUP(2,1/(Y51:AJ51&lt;&gt;""),Y51:AJ51))</t>
        </is>
      </c>
      <c r="W51" s="36" t="inlineStr">
        <is>
          <t>IF(OR(E51="",COUNT(Y51:AJ51)&lt;2),"",LOOKUP(2,1/(Y51:AJ51&lt;&gt;""),Y51:AJ51)-MIN(Y51:AJ51))</t>
        </is>
      </c>
      <c r="X51" s="36" t="inlineStr">
        <is>
          <t>IF(OR(V51="",U51="Not started",U51=""),"",IFERROR(V51-IF(VLOOKUP(U51,'04_Status_Pipeline'!$B$3:$E$20,4,FALSE)="",0,VLOOKUP(U51,'04_Status_Pipeline'!$B$3:$E$20,4,FALSE)),""))</t>
        </is>
      </c>
      <c r="Y51" s="43" t="n"/>
      <c r="Z51" s="43" t="n"/>
      <c r="AA51" s="43" t="n"/>
      <c r="AB51" s="43" t="n"/>
      <c r="AC51" s="43" t="n"/>
      <c r="AD51" s="43" t="n"/>
      <c r="AE51" s="43" t="n"/>
      <c r="AF51" s="43" t="n"/>
      <c r="AG51" s="43" t="n"/>
      <c r="AH51" s="38" t="n"/>
      <c r="AI51" s="38" t="n"/>
      <c r="AJ51" s="38" t="n"/>
      <c r="AK51" s="36" t="inlineStr">
        <is>
          <t>IF(OR(E51="",Z51=""),"",IF(COUNT(Y51:Y51)=0,"",Z51-LOOKUP(2,1/(Y51:Y51&lt;&gt;""),Y51:Y51)))</t>
        </is>
      </c>
      <c r="AL51" s="36" t="inlineStr">
        <is>
          <t>IF(OR(E51="",AA51=""),"",IF(COUNT(Y51:Z51)=0,"",AA51-LOOKUP(2,1/(Y51:Z51&lt;&gt;""),Y51:Z51)))</t>
        </is>
      </c>
      <c r="AM51" s="36" t="inlineStr">
        <is>
          <t>IF(OR(E51="",AB51=""),"",IF(COUNT(Y51:AA51)=0,"",AB51-LOOKUP(2,1/(Y51:AA51&lt;&gt;""),Y51:AA51)))</t>
        </is>
      </c>
      <c r="AN51" s="36" t="inlineStr">
        <is>
          <t>IF(OR(E51="",AC51=""),"",IF(COUNT(Y51:AB51)=0,"",AC51-LOOKUP(2,1/(Y51:AB51&lt;&gt;""),Y51:AB51)))</t>
        </is>
      </c>
      <c r="AO51" s="36" t="inlineStr">
        <is>
          <t>IF(OR(E51="",AD51=""),"",IF(COUNT(Y51:AC51)=0,"",AD51-LOOKUP(2,1/(Y51:AC51&lt;&gt;""),Y51:AC51)))</t>
        </is>
      </c>
      <c r="AP51" s="36" t="inlineStr">
        <is>
          <t>IF(OR(E51="",AE51=""),"",IF(COUNT(Y51:AD51)=0,"",AE51-LOOKUP(2,1/(Y51:AD51&lt;&gt;""),Y51:AD51)))</t>
        </is>
      </c>
      <c r="AQ51" s="36" t="inlineStr">
        <is>
          <t>IF(OR(E51="",AF51=""),"",IF(COUNT(Y51:AE51)=0,"",AF51-LOOKUP(2,1/(Y51:AE51&lt;&gt;""),Y51:AE51)))</t>
        </is>
      </c>
      <c r="AR51" s="36" t="inlineStr">
        <is>
          <t>IF(OR(E51="",AG51=""),"",IF(COUNT(Y51:AF51)=0,"",AG51-LOOKUP(2,1/(Y51:AF51&lt;&gt;""),Y51:AF51)))</t>
        </is>
      </c>
      <c r="AS51" s="36" t="inlineStr">
        <is>
          <t>IF(OR(E51="",AH51=""),"",IF(COUNT(Y51:AG51)=0,"",AH51-LOOKUP(2,1/(Y51:AG51&lt;&gt;""),Y51:AG51)))</t>
        </is>
      </c>
      <c r="AT51" s="36" t="inlineStr">
        <is>
          <t>IF(OR(E51="",AI51=""),"",IF(COUNT(Y51:AH51)=0,"",AI51-LOOKUP(2,1/(Y51:AH51&lt;&gt;""),Y51:AH51)))</t>
        </is>
      </c>
      <c r="AU51" s="36" t="inlineStr">
        <is>
          <t>IF(OR(E51="",AJ51=""),"",IF(COUNT(Y51:AI51)=0,"",AJ51-LOOKUP(2,1/(Y51:AI51&lt;&gt;""),Y51:AI51)))</t>
        </is>
      </c>
      <c r="AV51" s="39" t="inlineStr">
        <is>
          <t>IF(G51="","All_Provinces",IFERROR(VLOOKUP(G51,'07_Lookups'!$A$4:$B$20,2,FALSE),"All_Provinces"))</t>
        </is>
      </c>
      <c r="AW51" s="39" t="inlineStr">
        <is>
          <t>IF(H51="","All_Districts",IFERROR(VLOOKUP(H51,'07_Lookups'!$E$4:$F$42,2,FALSE),"All_Districts"))</t>
        </is>
      </c>
    </row>
    <row r="52" ht="18" customHeight="1">
      <c r="A52" s="31" t="inlineStr">
        <is>
          <t>IF(E52="","",ROW()-3)</t>
        </is>
      </c>
      <c r="B52" s="32" t="n"/>
      <c r="C52" s="32" t="n"/>
      <c r="D52" s="32" t="n"/>
      <c r="E52" s="32" t="n"/>
      <c r="F52" s="32" t="n"/>
      <c r="G52" s="32" t="n"/>
      <c r="H52" s="32" t="n"/>
      <c r="I52" s="32" t="n"/>
      <c r="J52" s="32" t="n"/>
      <c r="K52" s="32" t="n"/>
      <c r="L52" s="32" t="n"/>
      <c r="M52" s="32" t="n"/>
      <c r="N52" s="33" t="n"/>
      <c r="O52" s="34" t="inlineStr">
        <is>
          <t>IF(AE52="","",AE52)</t>
        </is>
      </c>
      <c r="P52" s="35" t="n"/>
      <c r="Q52" s="34" t="inlineStr">
        <is>
          <t>IF(OR(O52="",P52=""),"",EDATE(O52,P52))</t>
        </is>
      </c>
      <c r="R52" s="35" t="n"/>
      <c r="S52" s="32" t="n"/>
      <c r="T52" s="32" t="n"/>
      <c r="U52" s="31" t="inlineStr">
        <is>
          <t>IF(E52="","",IF(COUNT(Y52:AJ52)=0,IF(S52="","Not started",S52),SUBSTITUTE(LOOKUP(2,1/(Y52:AJ52&lt;&gt;""),$Y$3:$AJ$3),"Date: ","")))</t>
        </is>
      </c>
      <c r="V52" s="36" t="inlineStr">
        <is>
          <t>IF(OR(E52="",COUNT(Y52:AJ52)=0),"",TODAY()-LOOKUP(2,1/(Y52:AJ52&lt;&gt;""),Y52:AJ52))</t>
        </is>
      </c>
      <c r="W52" s="36" t="inlineStr">
        <is>
          <t>IF(OR(E52="",COUNT(Y52:AJ52)&lt;2),"",LOOKUP(2,1/(Y52:AJ52&lt;&gt;""),Y52:AJ52)-MIN(Y52:AJ52))</t>
        </is>
      </c>
      <c r="X52" s="36" t="inlineStr">
        <is>
          <t>IF(OR(V52="",U52="Not started",U52=""),"",IFERROR(V52-IF(VLOOKUP(U52,'04_Status_Pipeline'!$B$3:$E$20,4,FALSE)="",0,VLOOKUP(U52,'04_Status_Pipeline'!$B$3:$E$20,4,FALSE)),""))</t>
        </is>
      </c>
      <c r="Y52" s="37" t="n"/>
      <c r="Z52" s="37" t="n"/>
      <c r="AA52" s="37" t="n"/>
      <c r="AB52" s="37" t="n"/>
      <c r="AC52" s="37" t="n"/>
      <c r="AD52" s="37" t="n"/>
      <c r="AE52" s="37" t="n"/>
      <c r="AF52" s="37" t="n"/>
      <c r="AG52" s="37" t="n"/>
      <c r="AH52" s="38" t="n"/>
      <c r="AI52" s="38" t="n"/>
      <c r="AJ52" s="38" t="n"/>
      <c r="AK52" s="36" t="inlineStr">
        <is>
          <t>IF(OR(E52="",Z52=""),"",IF(COUNT(Y52:Y52)=0,"",Z52-LOOKUP(2,1/(Y52:Y52&lt;&gt;""),Y52:Y52)))</t>
        </is>
      </c>
      <c r="AL52" s="36" t="inlineStr">
        <is>
          <t>IF(OR(E52="",AA52=""),"",IF(COUNT(Y52:Z52)=0,"",AA52-LOOKUP(2,1/(Y52:Z52&lt;&gt;""),Y52:Z52)))</t>
        </is>
      </c>
      <c r="AM52" s="36" t="inlineStr">
        <is>
          <t>IF(OR(E52="",AB52=""),"",IF(COUNT(Y52:AA52)=0,"",AB52-LOOKUP(2,1/(Y52:AA52&lt;&gt;""),Y52:AA52)))</t>
        </is>
      </c>
      <c r="AN52" s="36" t="inlineStr">
        <is>
          <t>IF(OR(E52="",AC52=""),"",IF(COUNT(Y52:AB52)=0,"",AC52-LOOKUP(2,1/(Y52:AB52&lt;&gt;""),Y52:AB52)))</t>
        </is>
      </c>
      <c r="AO52" s="36" t="inlineStr">
        <is>
          <t>IF(OR(E52="",AD52=""),"",IF(COUNT(Y52:AC52)=0,"",AD52-LOOKUP(2,1/(Y52:AC52&lt;&gt;""),Y52:AC52)))</t>
        </is>
      </c>
      <c r="AP52" s="36" t="inlineStr">
        <is>
          <t>IF(OR(E52="",AE52=""),"",IF(COUNT(Y52:AD52)=0,"",AE52-LOOKUP(2,1/(Y52:AD52&lt;&gt;""),Y52:AD52)))</t>
        </is>
      </c>
      <c r="AQ52" s="36" t="inlineStr">
        <is>
          <t>IF(OR(E52="",AF52=""),"",IF(COUNT(Y52:AE52)=0,"",AF52-LOOKUP(2,1/(Y52:AE52&lt;&gt;""),Y52:AE52)))</t>
        </is>
      </c>
      <c r="AR52" s="36" t="inlineStr">
        <is>
          <t>IF(OR(E52="",AG52=""),"",IF(COUNT(Y52:AF52)=0,"",AG52-LOOKUP(2,1/(Y52:AF52&lt;&gt;""),Y52:AF52)))</t>
        </is>
      </c>
      <c r="AS52" s="36" t="inlineStr">
        <is>
          <t>IF(OR(E52="",AH52=""),"",IF(COUNT(Y52:AG52)=0,"",AH52-LOOKUP(2,1/(Y52:AG52&lt;&gt;""),Y52:AG52)))</t>
        </is>
      </c>
      <c r="AT52" s="36" t="inlineStr">
        <is>
          <t>IF(OR(E52="",AI52=""),"",IF(COUNT(Y52:AH52)=0,"",AI52-LOOKUP(2,1/(Y52:AH52&lt;&gt;""),Y52:AH52)))</t>
        </is>
      </c>
      <c r="AU52" s="36" t="inlineStr">
        <is>
          <t>IF(OR(E52="",AJ52=""),"",IF(COUNT(Y52:AI52)=0,"",AJ52-LOOKUP(2,1/(Y52:AI52&lt;&gt;""),Y52:AI52)))</t>
        </is>
      </c>
      <c r="AV52" s="39" t="inlineStr">
        <is>
          <t>IF(G52="","All_Provinces",IFERROR(VLOOKUP(G52,'07_Lookups'!$A$4:$B$20,2,FALSE),"All_Provinces"))</t>
        </is>
      </c>
      <c r="AW52" s="39" t="inlineStr">
        <is>
          <t>IF(H52="","All_Districts",IFERROR(VLOOKUP(H52,'07_Lookups'!$E$4:$F$42,2,FALSE),"All_Districts"))</t>
        </is>
      </c>
    </row>
    <row r="53" ht="18" customHeight="1">
      <c r="A53" s="31" t="inlineStr">
        <is>
          <t>IF(E53="","",ROW()-3)</t>
        </is>
      </c>
      <c r="B53" s="40" t="n"/>
      <c r="C53" s="40" t="n"/>
      <c r="D53" s="40" t="n"/>
      <c r="E53" s="40" t="n"/>
      <c r="F53" s="40" t="n"/>
      <c r="G53" s="40" t="n"/>
      <c r="H53" s="40" t="n"/>
      <c r="I53" s="40" t="n"/>
      <c r="J53" s="40" t="n"/>
      <c r="K53" s="40" t="n"/>
      <c r="L53" s="40" t="n"/>
      <c r="M53" s="40" t="n"/>
      <c r="N53" s="41" t="n"/>
      <c r="O53" s="34" t="inlineStr">
        <is>
          <t>IF(AE53="","",AE53)</t>
        </is>
      </c>
      <c r="P53" s="42" t="n"/>
      <c r="Q53" s="34" t="inlineStr">
        <is>
          <t>IF(OR(O53="",P53=""),"",EDATE(O53,P53))</t>
        </is>
      </c>
      <c r="R53" s="42" t="n"/>
      <c r="S53" s="40" t="n"/>
      <c r="T53" s="40" t="n"/>
      <c r="U53" s="31" t="inlineStr">
        <is>
          <t>IF(E53="","",IF(COUNT(Y53:AJ53)=0,IF(S53="","Not started",S53),SUBSTITUTE(LOOKUP(2,1/(Y53:AJ53&lt;&gt;""),$Y$3:$AJ$3),"Date: ","")))</t>
        </is>
      </c>
      <c r="V53" s="36" t="inlineStr">
        <is>
          <t>IF(OR(E53="",COUNT(Y53:AJ53)=0),"",TODAY()-LOOKUP(2,1/(Y53:AJ53&lt;&gt;""),Y53:AJ53))</t>
        </is>
      </c>
      <c r="W53" s="36" t="inlineStr">
        <is>
          <t>IF(OR(E53="",COUNT(Y53:AJ53)&lt;2),"",LOOKUP(2,1/(Y53:AJ53&lt;&gt;""),Y53:AJ53)-MIN(Y53:AJ53))</t>
        </is>
      </c>
      <c r="X53" s="36" t="inlineStr">
        <is>
          <t>IF(OR(V53="",U53="Not started",U53=""),"",IFERROR(V53-IF(VLOOKUP(U53,'04_Status_Pipeline'!$B$3:$E$20,4,FALSE)="",0,VLOOKUP(U53,'04_Status_Pipeline'!$B$3:$E$20,4,FALSE)),""))</t>
        </is>
      </c>
      <c r="Y53" s="43" t="n"/>
      <c r="Z53" s="43" t="n"/>
      <c r="AA53" s="43" t="n"/>
      <c r="AB53" s="43" t="n"/>
      <c r="AC53" s="43" t="n"/>
      <c r="AD53" s="43" t="n"/>
      <c r="AE53" s="43" t="n"/>
      <c r="AF53" s="43" t="n"/>
      <c r="AG53" s="43" t="n"/>
      <c r="AH53" s="38" t="n"/>
      <c r="AI53" s="38" t="n"/>
      <c r="AJ53" s="38" t="n"/>
      <c r="AK53" s="36" t="inlineStr">
        <is>
          <t>IF(OR(E53="",Z53=""),"",IF(COUNT(Y53:Y53)=0,"",Z53-LOOKUP(2,1/(Y53:Y53&lt;&gt;""),Y53:Y53)))</t>
        </is>
      </c>
      <c r="AL53" s="36" t="inlineStr">
        <is>
          <t>IF(OR(E53="",AA53=""),"",IF(COUNT(Y53:Z53)=0,"",AA53-LOOKUP(2,1/(Y53:Z53&lt;&gt;""),Y53:Z53)))</t>
        </is>
      </c>
      <c r="AM53" s="36" t="inlineStr">
        <is>
          <t>IF(OR(E53="",AB53=""),"",IF(COUNT(Y53:AA53)=0,"",AB53-LOOKUP(2,1/(Y53:AA53&lt;&gt;""),Y53:AA53)))</t>
        </is>
      </c>
      <c r="AN53" s="36" t="inlineStr">
        <is>
          <t>IF(OR(E53="",AC53=""),"",IF(COUNT(Y53:AB53)=0,"",AC53-LOOKUP(2,1/(Y53:AB53&lt;&gt;""),Y53:AB53)))</t>
        </is>
      </c>
      <c r="AO53" s="36" t="inlineStr">
        <is>
          <t>IF(OR(E53="",AD53=""),"",IF(COUNT(Y53:AC53)=0,"",AD53-LOOKUP(2,1/(Y53:AC53&lt;&gt;""),Y53:AC53)))</t>
        </is>
      </c>
      <c r="AP53" s="36" t="inlineStr">
        <is>
          <t>IF(OR(E53="",AE53=""),"",IF(COUNT(Y53:AD53)=0,"",AE53-LOOKUP(2,1/(Y53:AD53&lt;&gt;""),Y53:AD53)))</t>
        </is>
      </c>
      <c r="AQ53" s="36" t="inlineStr">
        <is>
          <t>IF(OR(E53="",AF53=""),"",IF(COUNT(Y53:AE53)=0,"",AF53-LOOKUP(2,1/(Y53:AE53&lt;&gt;""),Y53:AE53)))</t>
        </is>
      </c>
      <c r="AR53" s="36" t="inlineStr">
        <is>
          <t>IF(OR(E53="",AG53=""),"",IF(COUNT(Y53:AF53)=0,"",AG53-LOOKUP(2,1/(Y53:AF53&lt;&gt;""),Y53:AF53)))</t>
        </is>
      </c>
      <c r="AS53" s="36" t="inlineStr">
        <is>
          <t>IF(OR(E53="",AH53=""),"",IF(COUNT(Y53:AG53)=0,"",AH53-LOOKUP(2,1/(Y53:AG53&lt;&gt;""),Y53:AG53)))</t>
        </is>
      </c>
      <c r="AT53" s="36" t="inlineStr">
        <is>
          <t>IF(OR(E53="",AI53=""),"",IF(COUNT(Y53:AH53)=0,"",AI53-LOOKUP(2,1/(Y53:AH53&lt;&gt;""),Y53:AH53)))</t>
        </is>
      </c>
      <c r="AU53" s="36" t="inlineStr">
        <is>
          <t>IF(OR(E53="",AJ53=""),"",IF(COUNT(Y53:AI53)=0,"",AJ53-LOOKUP(2,1/(Y53:AI53&lt;&gt;""),Y53:AI53)))</t>
        </is>
      </c>
      <c r="AV53" s="39" t="inlineStr">
        <is>
          <t>IF(G53="","All_Provinces",IFERROR(VLOOKUP(G53,'07_Lookups'!$A$4:$B$20,2,FALSE),"All_Provinces"))</t>
        </is>
      </c>
      <c r="AW53" s="39" t="inlineStr">
        <is>
          <t>IF(H53="","All_Districts",IFERROR(VLOOKUP(H53,'07_Lookups'!$E$4:$F$42,2,FALSE),"All_Districts"))</t>
        </is>
      </c>
    </row>
    <row r="54" ht="18" customHeight="1">
      <c r="A54" s="31" t="inlineStr">
        <is>
          <t>IF(E54="","",ROW()-3)</t>
        </is>
      </c>
      <c r="B54" s="32" t="n"/>
      <c r="C54" s="32" t="n"/>
      <c r="D54" s="32" t="n"/>
      <c r="E54" s="32" t="n"/>
      <c r="F54" s="32" t="n"/>
      <c r="G54" s="32" t="n"/>
      <c r="H54" s="32" t="n"/>
      <c r="I54" s="32" t="n"/>
      <c r="J54" s="32" t="n"/>
      <c r="K54" s="32" t="n"/>
      <c r="L54" s="32" t="n"/>
      <c r="M54" s="32" t="n"/>
      <c r="N54" s="33" t="n"/>
      <c r="O54" s="34" t="inlineStr">
        <is>
          <t>IF(AE54="","",AE54)</t>
        </is>
      </c>
      <c r="P54" s="35" t="n"/>
      <c r="Q54" s="34" t="inlineStr">
        <is>
          <t>IF(OR(O54="",P54=""),"",EDATE(O54,P54))</t>
        </is>
      </c>
      <c r="R54" s="35" t="n"/>
      <c r="S54" s="32" t="n"/>
      <c r="T54" s="32" t="n"/>
      <c r="U54" s="31" t="inlineStr">
        <is>
          <t>IF(E54="","",IF(COUNT(Y54:AJ54)=0,IF(S54="","Not started",S54),SUBSTITUTE(LOOKUP(2,1/(Y54:AJ54&lt;&gt;""),$Y$3:$AJ$3),"Date: ","")))</t>
        </is>
      </c>
      <c r="V54" s="36" t="inlineStr">
        <is>
          <t>IF(OR(E54="",COUNT(Y54:AJ54)=0),"",TODAY()-LOOKUP(2,1/(Y54:AJ54&lt;&gt;""),Y54:AJ54))</t>
        </is>
      </c>
      <c r="W54" s="36" t="inlineStr">
        <is>
          <t>IF(OR(E54="",COUNT(Y54:AJ54)&lt;2),"",LOOKUP(2,1/(Y54:AJ54&lt;&gt;""),Y54:AJ54)-MIN(Y54:AJ54))</t>
        </is>
      </c>
      <c r="X54" s="36" t="inlineStr">
        <is>
          <t>IF(OR(V54="",U54="Not started",U54=""),"",IFERROR(V54-IF(VLOOKUP(U54,'04_Status_Pipeline'!$B$3:$E$20,4,FALSE)="",0,VLOOKUP(U54,'04_Status_Pipeline'!$B$3:$E$20,4,FALSE)),""))</t>
        </is>
      </c>
      <c r="Y54" s="37" t="n"/>
      <c r="Z54" s="37" t="n"/>
      <c r="AA54" s="37" t="n"/>
      <c r="AB54" s="37" t="n"/>
      <c r="AC54" s="37" t="n"/>
      <c r="AD54" s="37" t="n"/>
      <c r="AE54" s="37" t="n"/>
      <c r="AF54" s="37" t="n"/>
      <c r="AG54" s="37" t="n"/>
      <c r="AH54" s="38" t="n"/>
      <c r="AI54" s="38" t="n"/>
      <c r="AJ54" s="38" t="n"/>
      <c r="AK54" s="36" t="inlineStr">
        <is>
          <t>IF(OR(E54="",Z54=""),"",IF(COUNT(Y54:Y54)=0,"",Z54-LOOKUP(2,1/(Y54:Y54&lt;&gt;""),Y54:Y54)))</t>
        </is>
      </c>
      <c r="AL54" s="36" t="inlineStr">
        <is>
          <t>IF(OR(E54="",AA54=""),"",IF(COUNT(Y54:Z54)=0,"",AA54-LOOKUP(2,1/(Y54:Z54&lt;&gt;""),Y54:Z54)))</t>
        </is>
      </c>
      <c r="AM54" s="36" t="inlineStr">
        <is>
          <t>IF(OR(E54="",AB54=""),"",IF(COUNT(Y54:AA54)=0,"",AB54-LOOKUP(2,1/(Y54:AA54&lt;&gt;""),Y54:AA54)))</t>
        </is>
      </c>
      <c r="AN54" s="36" t="inlineStr">
        <is>
          <t>IF(OR(E54="",AC54=""),"",IF(COUNT(Y54:AB54)=0,"",AC54-LOOKUP(2,1/(Y54:AB54&lt;&gt;""),Y54:AB54)))</t>
        </is>
      </c>
      <c r="AO54" s="36" t="inlineStr">
        <is>
          <t>IF(OR(E54="",AD54=""),"",IF(COUNT(Y54:AC54)=0,"",AD54-LOOKUP(2,1/(Y54:AC54&lt;&gt;""),Y54:AC54)))</t>
        </is>
      </c>
      <c r="AP54" s="36" t="inlineStr">
        <is>
          <t>IF(OR(E54="",AE54=""),"",IF(COUNT(Y54:AD54)=0,"",AE54-LOOKUP(2,1/(Y54:AD54&lt;&gt;""),Y54:AD54)))</t>
        </is>
      </c>
      <c r="AQ54" s="36" t="inlineStr">
        <is>
          <t>IF(OR(E54="",AF54=""),"",IF(COUNT(Y54:AE54)=0,"",AF54-LOOKUP(2,1/(Y54:AE54&lt;&gt;""),Y54:AE54)))</t>
        </is>
      </c>
      <c r="AR54" s="36" t="inlineStr">
        <is>
          <t>IF(OR(E54="",AG54=""),"",IF(COUNT(Y54:AF54)=0,"",AG54-LOOKUP(2,1/(Y54:AF54&lt;&gt;""),Y54:AF54)))</t>
        </is>
      </c>
      <c r="AS54" s="36" t="inlineStr">
        <is>
          <t>IF(OR(E54="",AH54=""),"",IF(COUNT(Y54:AG54)=0,"",AH54-LOOKUP(2,1/(Y54:AG54&lt;&gt;""),Y54:AG54)))</t>
        </is>
      </c>
      <c r="AT54" s="36" t="inlineStr">
        <is>
          <t>IF(OR(E54="",AI54=""),"",IF(COUNT(Y54:AH54)=0,"",AI54-LOOKUP(2,1/(Y54:AH54&lt;&gt;""),Y54:AH54)))</t>
        </is>
      </c>
      <c r="AU54" s="36" t="inlineStr">
        <is>
          <t>IF(OR(E54="",AJ54=""),"",IF(COUNT(Y54:AI54)=0,"",AJ54-LOOKUP(2,1/(Y54:AI54&lt;&gt;""),Y54:AI54)))</t>
        </is>
      </c>
      <c r="AV54" s="39" t="inlineStr">
        <is>
          <t>IF(G54="","All_Provinces",IFERROR(VLOOKUP(G54,'07_Lookups'!$A$4:$B$20,2,FALSE),"All_Provinces"))</t>
        </is>
      </c>
      <c r="AW54" s="39" t="inlineStr">
        <is>
          <t>IF(H54="","All_Districts",IFERROR(VLOOKUP(H54,'07_Lookups'!$E$4:$F$42,2,FALSE),"All_Districts"))</t>
        </is>
      </c>
    </row>
    <row r="55" ht="18" customHeight="1">
      <c r="A55" s="31" t="inlineStr">
        <is>
          <t>IF(E55="","",ROW()-3)</t>
        </is>
      </c>
      <c r="B55" s="40" t="n"/>
      <c r="C55" s="40" t="n"/>
      <c r="D55" s="40" t="n"/>
      <c r="E55" s="40" t="n"/>
      <c r="F55" s="40" t="n"/>
      <c r="G55" s="40" t="n"/>
      <c r="H55" s="40" t="n"/>
      <c r="I55" s="40" t="n"/>
      <c r="J55" s="40" t="n"/>
      <c r="K55" s="40" t="n"/>
      <c r="L55" s="40" t="n"/>
      <c r="M55" s="40" t="n"/>
      <c r="N55" s="41" t="n"/>
      <c r="O55" s="34" t="inlineStr">
        <is>
          <t>IF(AE55="","",AE55)</t>
        </is>
      </c>
      <c r="P55" s="42" t="n"/>
      <c r="Q55" s="34" t="inlineStr">
        <is>
          <t>IF(OR(O55="",P55=""),"",EDATE(O55,P55))</t>
        </is>
      </c>
      <c r="R55" s="42" t="n"/>
      <c r="S55" s="40" t="n"/>
      <c r="T55" s="40" t="n"/>
      <c r="U55" s="31" t="inlineStr">
        <is>
          <t>IF(E55="","",IF(COUNT(Y55:AJ55)=0,IF(S55="","Not started",S55),SUBSTITUTE(LOOKUP(2,1/(Y55:AJ55&lt;&gt;""),$Y$3:$AJ$3),"Date: ","")))</t>
        </is>
      </c>
      <c r="V55" s="36" t="inlineStr">
        <is>
          <t>IF(OR(E55="",COUNT(Y55:AJ55)=0),"",TODAY()-LOOKUP(2,1/(Y55:AJ55&lt;&gt;""),Y55:AJ55))</t>
        </is>
      </c>
      <c r="W55" s="36" t="inlineStr">
        <is>
          <t>IF(OR(E55="",COUNT(Y55:AJ55)&lt;2),"",LOOKUP(2,1/(Y55:AJ55&lt;&gt;""),Y55:AJ55)-MIN(Y55:AJ55))</t>
        </is>
      </c>
      <c r="X55" s="36" t="inlineStr">
        <is>
          <t>IF(OR(V55="",U55="Not started",U55=""),"",IFERROR(V55-IF(VLOOKUP(U55,'04_Status_Pipeline'!$B$3:$E$20,4,FALSE)="",0,VLOOKUP(U55,'04_Status_Pipeline'!$B$3:$E$20,4,FALSE)),""))</t>
        </is>
      </c>
      <c r="Y55" s="43" t="n"/>
      <c r="Z55" s="43" t="n"/>
      <c r="AA55" s="43" t="n"/>
      <c r="AB55" s="43" t="n"/>
      <c r="AC55" s="43" t="n"/>
      <c r="AD55" s="43" t="n"/>
      <c r="AE55" s="43" t="n"/>
      <c r="AF55" s="43" t="n"/>
      <c r="AG55" s="43" t="n"/>
      <c r="AH55" s="38" t="n"/>
      <c r="AI55" s="38" t="n"/>
      <c r="AJ55" s="38" t="n"/>
      <c r="AK55" s="36" t="inlineStr">
        <is>
          <t>IF(OR(E55="",Z55=""),"",IF(COUNT(Y55:Y55)=0,"",Z55-LOOKUP(2,1/(Y55:Y55&lt;&gt;""),Y55:Y55)))</t>
        </is>
      </c>
      <c r="AL55" s="36" t="inlineStr">
        <is>
          <t>IF(OR(E55="",AA55=""),"",IF(COUNT(Y55:Z55)=0,"",AA55-LOOKUP(2,1/(Y55:Z55&lt;&gt;""),Y55:Z55)))</t>
        </is>
      </c>
      <c r="AM55" s="36" t="inlineStr">
        <is>
          <t>IF(OR(E55="",AB55=""),"",IF(COUNT(Y55:AA55)=0,"",AB55-LOOKUP(2,1/(Y55:AA55&lt;&gt;""),Y55:AA55)))</t>
        </is>
      </c>
      <c r="AN55" s="36" t="inlineStr">
        <is>
          <t>IF(OR(E55="",AC55=""),"",IF(COUNT(Y55:AB55)=0,"",AC55-LOOKUP(2,1/(Y55:AB55&lt;&gt;""),Y55:AB55)))</t>
        </is>
      </c>
      <c r="AO55" s="36" t="inlineStr">
        <is>
          <t>IF(OR(E55="",AD55=""),"",IF(COUNT(Y55:AC55)=0,"",AD55-LOOKUP(2,1/(Y55:AC55&lt;&gt;""),Y55:AC55)))</t>
        </is>
      </c>
      <c r="AP55" s="36" t="inlineStr">
        <is>
          <t>IF(OR(E55="",AE55=""),"",IF(COUNT(Y55:AD55)=0,"",AE55-LOOKUP(2,1/(Y55:AD55&lt;&gt;""),Y55:AD55)))</t>
        </is>
      </c>
      <c r="AQ55" s="36" t="inlineStr">
        <is>
          <t>IF(OR(E55="",AF55=""),"",IF(COUNT(Y55:AE55)=0,"",AF55-LOOKUP(2,1/(Y55:AE55&lt;&gt;""),Y55:AE55)))</t>
        </is>
      </c>
      <c r="AR55" s="36" t="inlineStr">
        <is>
          <t>IF(OR(E55="",AG55=""),"",IF(COUNT(Y55:AF55)=0,"",AG55-LOOKUP(2,1/(Y55:AF55&lt;&gt;""),Y55:AF55)))</t>
        </is>
      </c>
      <c r="AS55" s="36" t="inlineStr">
        <is>
          <t>IF(OR(E55="",AH55=""),"",IF(COUNT(Y55:AG55)=0,"",AH55-LOOKUP(2,1/(Y55:AG55&lt;&gt;""),Y55:AG55)))</t>
        </is>
      </c>
      <c r="AT55" s="36" t="inlineStr">
        <is>
          <t>IF(OR(E55="",AI55=""),"",IF(COUNT(Y55:AH55)=0,"",AI55-LOOKUP(2,1/(Y55:AH55&lt;&gt;""),Y55:AH55)))</t>
        </is>
      </c>
      <c r="AU55" s="36" t="inlineStr">
        <is>
          <t>IF(OR(E55="",AJ55=""),"",IF(COUNT(Y55:AI55)=0,"",AJ55-LOOKUP(2,1/(Y55:AI55&lt;&gt;""),Y55:AI55)))</t>
        </is>
      </c>
      <c r="AV55" s="39" t="inlineStr">
        <is>
          <t>IF(G55="","All_Provinces",IFERROR(VLOOKUP(G55,'07_Lookups'!$A$4:$B$20,2,FALSE),"All_Provinces"))</t>
        </is>
      </c>
      <c r="AW55" s="39" t="inlineStr">
        <is>
          <t>IF(H55="","All_Districts",IFERROR(VLOOKUP(H55,'07_Lookups'!$E$4:$F$42,2,FALSE),"All_Districts"))</t>
        </is>
      </c>
    </row>
    <row r="56" ht="18" customHeight="1">
      <c r="A56" s="31" t="inlineStr">
        <is>
          <t>IF(E56="","",ROW()-3)</t>
        </is>
      </c>
      <c r="B56" s="32" t="n"/>
      <c r="C56" s="32" t="n"/>
      <c r="D56" s="32" t="n"/>
      <c r="E56" s="32" t="n"/>
      <c r="F56" s="32" t="n"/>
      <c r="G56" s="32" t="n"/>
      <c r="H56" s="32" t="n"/>
      <c r="I56" s="32" t="n"/>
      <c r="J56" s="32" t="n"/>
      <c r="K56" s="32" t="n"/>
      <c r="L56" s="32" t="n"/>
      <c r="M56" s="32" t="n"/>
      <c r="N56" s="33" t="n"/>
      <c r="O56" s="34" t="inlineStr">
        <is>
          <t>IF(AE56="","",AE56)</t>
        </is>
      </c>
      <c r="P56" s="35" t="n"/>
      <c r="Q56" s="34" t="inlineStr">
        <is>
          <t>IF(OR(O56="",P56=""),"",EDATE(O56,P56))</t>
        </is>
      </c>
      <c r="R56" s="35" t="n"/>
      <c r="S56" s="32" t="n"/>
      <c r="T56" s="32" t="n"/>
      <c r="U56" s="31" t="inlineStr">
        <is>
          <t>IF(E56="","",IF(COUNT(Y56:AJ56)=0,IF(S56="","Not started",S56),SUBSTITUTE(LOOKUP(2,1/(Y56:AJ56&lt;&gt;""),$Y$3:$AJ$3),"Date: ","")))</t>
        </is>
      </c>
      <c r="V56" s="36" t="inlineStr">
        <is>
          <t>IF(OR(E56="",COUNT(Y56:AJ56)=0),"",TODAY()-LOOKUP(2,1/(Y56:AJ56&lt;&gt;""),Y56:AJ56))</t>
        </is>
      </c>
      <c r="W56" s="36" t="inlineStr">
        <is>
          <t>IF(OR(E56="",COUNT(Y56:AJ56)&lt;2),"",LOOKUP(2,1/(Y56:AJ56&lt;&gt;""),Y56:AJ56)-MIN(Y56:AJ56))</t>
        </is>
      </c>
      <c r="X56" s="36" t="inlineStr">
        <is>
          <t>IF(OR(V56="",U56="Not started",U56=""),"",IFERROR(V56-IF(VLOOKUP(U56,'04_Status_Pipeline'!$B$3:$E$20,4,FALSE)="",0,VLOOKUP(U56,'04_Status_Pipeline'!$B$3:$E$20,4,FALSE)),""))</t>
        </is>
      </c>
      <c r="Y56" s="37" t="n"/>
      <c r="Z56" s="37" t="n"/>
      <c r="AA56" s="37" t="n"/>
      <c r="AB56" s="37" t="n"/>
      <c r="AC56" s="37" t="n"/>
      <c r="AD56" s="37" t="n"/>
      <c r="AE56" s="37" t="n"/>
      <c r="AF56" s="37" t="n"/>
      <c r="AG56" s="37" t="n"/>
      <c r="AH56" s="38" t="n"/>
      <c r="AI56" s="38" t="n"/>
      <c r="AJ56" s="38" t="n"/>
      <c r="AK56" s="36" t="inlineStr">
        <is>
          <t>IF(OR(E56="",Z56=""),"",IF(COUNT(Y56:Y56)=0,"",Z56-LOOKUP(2,1/(Y56:Y56&lt;&gt;""),Y56:Y56)))</t>
        </is>
      </c>
      <c r="AL56" s="36" t="inlineStr">
        <is>
          <t>IF(OR(E56="",AA56=""),"",IF(COUNT(Y56:Z56)=0,"",AA56-LOOKUP(2,1/(Y56:Z56&lt;&gt;""),Y56:Z56)))</t>
        </is>
      </c>
      <c r="AM56" s="36" t="inlineStr">
        <is>
          <t>IF(OR(E56="",AB56=""),"",IF(COUNT(Y56:AA56)=0,"",AB56-LOOKUP(2,1/(Y56:AA56&lt;&gt;""),Y56:AA56)))</t>
        </is>
      </c>
      <c r="AN56" s="36" t="inlineStr">
        <is>
          <t>IF(OR(E56="",AC56=""),"",IF(COUNT(Y56:AB56)=0,"",AC56-LOOKUP(2,1/(Y56:AB56&lt;&gt;""),Y56:AB56)))</t>
        </is>
      </c>
      <c r="AO56" s="36" t="inlineStr">
        <is>
          <t>IF(OR(E56="",AD56=""),"",IF(COUNT(Y56:AC56)=0,"",AD56-LOOKUP(2,1/(Y56:AC56&lt;&gt;""),Y56:AC56)))</t>
        </is>
      </c>
      <c r="AP56" s="36" t="inlineStr">
        <is>
          <t>IF(OR(E56="",AE56=""),"",IF(COUNT(Y56:AD56)=0,"",AE56-LOOKUP(2,1/(Y56:AD56&lt;&gt;""),Y56:AD56)))</t>
        </is>
      </c>
      <c r="AQ56" s="36" t="inlineStr">
        <is>
          <t>IF(OR(E56="",AF56=""),"",IF(COUNT(Y56:AE56)=0,"",AF56-LOOKUP(2,1/(Y56:AE56&lt;&gt;""),Y56:AE56)))</t>
        </is>
      </c>
      <c r="AR56" s="36" t="inlineStr">
        <is>
          <t>IF(OR(E56="",AG56=""),"",IF(COUNT(Y56:AF56)=0,"",AG56-LOOKUP(2,1/(Y56:AF56&lt;&gt;""),Y56:AF56)))</t>
        </is>
      </c>
      <c r="AS56" s="36" t="inlineStr">
        <is>
          <t>IF(OR(E56="",AH56=""),"",IF(COUNT(Y56:AG56)=0,"",AH56-LOOKUP(2,1/(Y56:AG56&lt;&gt;""),Y56:AG56)))</t>
        </is>
      </c>
      <c r="AT56" s="36" t="inlineStr">
        <is>
          <t>IF(OR(E56="",AI56=""),"",IF(COUNT(Y56:AH56)=0,"",AI56-LOOKUP(2,1/(Y56:AH56&lt;&gt;""),Y56:AH56)))</t>
        </is>
      </c>
      <c r="AU56" s="36" t="inlineStr">
        <is>
          <t>IF(OR(E56="",AJ56=""),"",IF(COUNT(Y56:AI56)=0,"",AJ56-LOOKUP(2,1/(Y56:AI56&lt;&gt;""),Y56:AI56)))</t>
        </is>
      </c>
      <c r="AV56" s="39" t="inlineStr">
        <is>
          <t>IF(G56="","All_Provinces",IFERROR(VLOOKUP(G56,'07_Lookups'!$A$4:$B$20,2,FALSE),"All_Provinces"))</t>
        </is>
      </c>
      <c r="AW56" s="39" t="inlineStr">
        <is>
          <t>IF(H56="","All_Districts",IFERROR(VLOOKUP(H56,'07_Lookups'!$E$4:$F$42,2,FALSE),"All_Districts"))</t>
        </is>
      </c>
    </row>
    <row r="57" ht="18" customHeight="1">
      <c r="A57" s="31" t="inlineStr">
        <is>
          <t>IF(E57="","",ROW()-3)</t>
        </is>
      </c>
      <c r="B57" s="40" t="n"/>
      <c r="C57" s="40" t="n"/>
      <c r="D57" s="40" t="n"/>
      <c r="E57" s="40" t="n"/>
      <c r="F57" s="40" t="n"/>
      <c r="G57" s="40" t="n"/>
      <c r="H57" s="40" t="n"/>
      <c r="I57" s="40" t="n"/>
      <c r="J57" s="40" t="n"/>
      <c r="K57" s="40" t="n"/>
      <c r="L57" s="40" t="n"/>
      <c r="M57" s="40" t="n"/>
      <c r="N57" s="41" t="n"/>
      <c r="O57" s="34" t="inlineStr">
        <is>
          <t>IF(AE57="","",AE57)</t>
        </is>
      </c>
      <c r="P57" s="42" t="n"/>
      <c r="Q57" s="34" t="inlineStr">
        <is>
          <t>IF(OR(O57="",P57=""),"",EDATE(O57,P57))</t>
        </is>
      </c>
      <c r="R57" s="42" t="n"/>
      <c r="S57" s="40" t="n"/>
      <c r="T57" s="40" t="n"/>
      <c r="U57" s="31" t="inlineStr">
        <is>
          <t>IF(E57="","",IF(COUNT(Y57:AJ57)=0,IF(S57="","Not started",S57),SUBSTITUTE(LOOKUP(2,1/(Y57:AJ57&lt;&gt;""),$Y$3:$AJ$3),"Date: ","")))</t>
        </is>
      </c>
      <c r="V57" s="36" t="inlineStr">
        <is>
          <t>IF(OR(E57="",COUNT(Y57:AJ57)=0),"",TODAY()-LOOKUP(2,1/(Y57:AJ57&lt;&gt;""),Y57:AJ57))</t>
        </is>
      </c>
      <c r="W57" s="36" t="inlineStr">
        <is>
          <t>IF(OR(E57="",COUNT(Y57:AJ57)&lt;2),"",LOOKUP(2,1/(Y57:AJ57&lt;&gt;""),Y57:AJ57)-MIN(Y57:AJ57))</t>
        </is>
      </c>
      <c r="X57" s="36" t="inlineStr">
        <is>
          <t>IF(OR(V57="",U57="Not started",U57=""),"",IFERROR(V57-IF(VLOOKUP(U57,'04_Status_Pipeline'!$B$3:$E$20,4,FALSE)="",0,VLOOKUP(U57,'04_Status_Pipeline'!$B$3:$E$20,4,FALSE)),""))</t>
        </is>
      </c>
      <c r="Y57" s="43" t="n"/>
      <c r="Z57" s="43" t="n"/>
      <c r="AA57" s="43" t="n"/>
      <c r="AB57" s="43" t="n"/>
      <c r="AC57" s="43" t="n"/>
      <c r="AD57" s="43" t="n"/>
      <c r="AE57" s="43" t="n"/>
      <c r="AF57" s="43" t="n"/>
      <c r="AG57" s="43" t="n"/>
      <c r="AH57" s="38" t="n"/>
      <c r="AI57" s="38" t="n"/>
      <c r="AJ57" s="38" t="n"/>
      <c r="AK57" s="36" t="inlineStr">
        <is>
          <t>IF(OR(E57="",Z57=""),"",IF(COUNT(Y57:Y57)=0,"",Z57-LOOKUP(2,1/(Y57:Y57&lt;&gt;""),Y57:Y57)))</t>
        </is>
      </c>
      <c r="AL57" s="36" t="inlineStr">
        <is>
          <t>IF(OR(E57="",AA57=""),"",IF(COUNT(Y57:Z57)=0,"",AA57-LOOKUP(2,1/(Y57:Z57&lt;&gt;""),Y57:Z57)))</t>
        </is>
      </c>
      <c r="AM57" s="36" t="inlineStr">
        <is>
          <t>IF(OR(E57="",AB57=""),"",IF(COUNT(Y57:AA57)=0,"",AB57-LOOKUP(2,1/(Y57:AA57&lt;&gt;""),Y57:AA57)))</t>
        </is>
      </c>
      <c r="AN57" s="36" t="inlineStr">
        <is>
          <t>IF(OR(E57="",AC57=""),"",IF(COUNT(Y57:AB57)=0,"",AC57-LOOKUP(2,1/(Y57:AB57&lt;&gt;""),Y57:AB57)))</t>
        </is>
      </c>
      <c r="AO57" s="36" t="inlineStr">
        <is>
          <t>IF(OR(E57="",AD57=""),"",IF(COUNT(Y57:AC57)=0,"",AD57-LOOKUP(2,1/(Y57:AC57&lt;&gt;""),Y57:AC57)))</t>
        </is>
      </c>
      <c r="AP57" s="36" t="inlineStr">
        <is>
          <t>IF(OR(E57="",AE57=""),"",IF(COUNT(Y57:AD57)=0,"",AE57-LOOKUP(2,1/(Y57:AD57&lt;&gt;""),Y57:AD57)))</t>
        </is>
      </c>
      <c r="AQ57" s="36" t="inlineStr">
        <is>
          <t>IF(OR(E57="",AF57=""),"",IF(COUNT(Y57:AE57)=0,"",AF57-LOOKUP(2,1/(Y57:AE57&lt;&gt;""),Y57:AE57)))</t>
        </is>
      </c>
      <c r="AR57" s="36" t="inlineStr">
        <is>
          <t>IF(OR(E57="",AG57=""),"",IF(COUNT(Y57:AF57)=0,"",AG57-LOOKUP(2,1/(Y57:AF57&lt;&gt;""),Y57:AF57)))</t>
        </is>
      </c>
      <c r="AS57" s="36" t="inlineStr">
        <is>
          <t>IF(OR(E57="",AH57=""),"",IF(COUNT(Y57:AG57)=0,"",AH57-LOOKUP(2,1/(Y57:AG57&lt;&gt;""),Y57:AG57)))</t>
        </is>
      </c>
      <c r="AT57" s="36" t="inlineStr">
        <is>
          <t>IF(OR(E57="",AI57=""),"",IF(COUNT(Y57:AH57)=0,"",AI57-LOOKUP(2,1/(Y57:AH57&lt;&gt;""),Y57:AH57)))</t>
        </is>
      </c>
      <c r="AU57" s="36" t="inlineStr">
        <is>
          <t>IF(OR(E57="",AJ57=""),"",IF(COUNT(Y57:AI57)=0,"",AJ57-LOOKUP(2,1/(Y57:AI57&lt;&gt;""),Y57:AI57)))</t>
        </is>
      </c>
      <c r="AV57" s="39" t="inlineStr">
        <is>
          <t>IF(G57="","All_Provinces",IFERROR(VLOOKUP(G57,'07_Lookups'!$A$4:$B$20,2,FALSE),"All_Provinces"))</t>
        </is>
      </c>
      <c r="AW57" s="39" t="inlineStr">
        <is>
          <t>IF(H57="","All_Districts",IFERROR(VLOOKUP(H57,'07_Lookups'!$E$4:$F$42,2,FALSE),"All_Districts"))</t>
        </is>
      </c>
    </row>
    <row r="58" ht="18" customHeight="1">
      <c r="A58" s="31" t="inlineStr">
        <is>
          <t>IF(E58="","",ROW()-3)</t>
        </is>
      </c>
      <c r="B58" s="32" t="n"/>
      <c r="C58" s="32" t="n"/>
      <c r="D58" s="32" t="n"/>
      <c r="E58" s="32" t="n"/>
      <c r="F58" s="32" t="n"/>
      <c r="G58" s="32" t="n"/>
      <c r="H58" s="32" t="n"/>
      <c r="I58" s="32" t="n"/>
      <c r="J58" s="32" t="n"/>
      <c r="K58" s="32" t="n"/>
      <c r="L58" s="32" t="n"/>
      <c r="M58" s="32" t="n"/>
      <c r="N58" s="33" t="n"/>
      <c r="O58" s="34" t="inlineStr">
        <is>
          <t>IF(AE58="","",AE58)</t>
        </is>
      </c>
      <c r="P58" s="35" t="n"/>
      <c r="Q58" s="34" t="inlineStr">
        <is>
          <t>IF(OR(O58="",P58=""),"",EDATE(O58,P58))</t>
        </is>
      </c>
      <c r="R58" s="35" t="n"/>
      <c r="S58" s="32" t="n"/>
      <c r="T58" s="32" t="n"/>
      <c r="U58" s="31" t="inlineStr">
        <is>
          <t>IF(E58="","",IF(COUNT(Y58:AJ58)=0,IF(S58="","Not started",S58),SUBSTITUTE(LOOKUP(2,1/(Y58:AJ58&lt;&gt;""),$Y$3:$AJ$3),"Date: ","")))</t>
        </is>
      </c>
      <c r="V58" s="36" t="inlineStr">
        <is>
          <t>IF(OR(E58="",COUNT(Y58:AJ58)=0),"",TODAY()-LOOKUP(2,1/(Y58:AJ58&lt;&gt;""),Y58:AJ58))</t>
        </is>
      </c>
      <c r="W58" s="36" t="inlineStr">
        <is>
          <t>IF(OR(E58="",COUNT(Y58:AJ58)&lt;2),"",LOOKUP(2,1/(Y58:AJ58&lt;&gt;""),Y58:AJ58)-MIN(Y58:AJ58))</t>
        </is>
      </c>
      <c r="X58" s="36" t="inlineStr">
        <is>
          <t>IF(OR(V58="",U58="Not started",U58=""),"",IFERROR(V58-IF(VLOOKUP(U58,'04_Status_Pipeline'!$B$3:$E$20,4,FALSE)="",0,VLOOKUP(U58,'04_Status_Pipeline'!$B$3:$E$20,4,FALSE)),""))</t>
        </is>
      </c>
      <c r="Y58" s="37" t="n"/>
      <c r="Z58" s="37" t="n"/>
      <c r="AA58" s="37" t="n"/>
      <c r="AB58" s="37" t="n"/>
      <c r="AC58" s="37" t="n"/>
      <c r="AD58" s="37" t="n"/>
      <c r="AE58" s="37" t="n"/>
      <c r="AF58" s="37" t="n"/>
      <c r="AG58" s="37" t="n"/>
      <c r="AH58" s="38" t="n"/>
      <c r="AI58" s="38" t="n"/>
      <c r="AJ58" s="38" t="n"/>
      <c r="AK58" s="36" t="inlineStr">
        <is>
          <t>IF(OR(E58="",Z58=""),"",IF(COUNT(Y58:Y58)=0,"",Z58-LOOKUP(2,1/(Y58:Y58&lt;&gt;""),Y58:Y58)))</t>
        </is>
      </c>
      <c r="AL58" s="36" t="inlineStr">
        <is>
          <t>IF(OR(E58="",AA58=""),"",IF(COUNT(Y58:Z58)=0,"",AA58-LOOKUP(2,1/(Y58:Z58&lt;&gt;""),Y58:Z58)))</t>
        </is>
      </c>
      <c r="AM58" s="36" t="inlineStr">
        <is>
          <t>IF(OR(E58="",AB58=""),"",IF(COUNT(Y58:AA58)=0,"",AB58-LOOKUP(2,1/(Y58:AA58&lt;&gt;""),Y58:AA58)))</t>
        </is>
      </c>
      <c r="AN58" s="36" t="inlineStr">
        <is>
          <t>IF(OR(E58="",AC58=""),"",IF(COUNT(Y58:AB58)=0,"",AC58-LOOKUP(2,1/(Y58:AB58&lt;&gt;""),Y58:AB58)))</t>
        </is>
      </c>
      <c r="AO58" s="36" t="inlineStr">
        <is>
          <t>IF(OR(E58="",AD58=""),"",IF(COUNT(Y58:AC58)=0,"",AD58-LOOKUP(2,1/(Y58:AC58&lt;&gt;""),Y58:AC58)))</t>
        </is>
      </c>
      <c r="AP58" s="36" t="inlineStr">
        <is>
          <t>IF(OR(E58="",AE58=""),"",IF(COUNT(Y58:AD58)=0,"",AE58-LOOKUP(2,1/(Y58:AD58&lt;&gt;""),Y58:AD58)))</t>
        </is>
      </c>
      <c r="AQ58" s="36" t="inlineStr">
        <is>
          <t>IF(OR(E58="",AF58=""),"",IF(COUNT(Y58:AE58)=0,"",AF58-LOOKUP(2,1/(Y58:AE58&lt;&gt;""),Y58:AE58)))</t>
        </is>
      </c>
      <c r="AR58" s="36" t="inlineStr">
        <is>
          <t>IF(OR(E58="",AG58=""),"",IF(COUNT(Y58:AF58)=0,"",AG58-LOOKUP(2,1/(Y58:AF58&lt;&gt;""),Y58:AF58)))</t>
        </is>
      </c>
      <c r="AS58" s="36" t="inlineStr">
        <is>
          <t>IF(OR(E58="",AH58=""),"",IF(COUNT(Y58:AG58)=0,"",AH58-LOOKUP(2,1/(Y58:AG58&lt;&gt;""),Y58:AG58)))</t>
        </is>
      </c>
      <c r="AT58" s="36" t="inlineStr">
        <is>
          <t>IF(OR(E58="",AI58=""),"",IF(COUNT(Y58:AH58)=0,"",AI58-LOOKUP(2,1/(Y58:AH58&lt;&gt;""),Y58:AH58)))</t>
        </is>
      </c>
      <c r="AU58" s="36" t="inlineStr">
        <is>
          <t>IF(OR(E58="",AJ58=""),"",IF(COUNT(Y58:AI58)=0,"",AJ58-LOOKUP(2,1/(Y58:AI58&lt;&gt;""),Y58:AI58)))</t>
        </is>
      </c>
      <c r="AV58" s="39" t="inlineStr">
        <is>
          <t>IF(G58="","All_Provinces",IFERROR(VLOOKUP(G58,'07_Lookups'!$A$4:$B$20,2,FALSE),"All_Provinces"))</t>
        </is>
      </c>
      <c r="AW58" s="39" t="inlineStr">
        <is>
          <t>IF(H58="","All_Districts",IFERROR(VLOOKUP(H58,'07_Lookups'!$E$4:$F$42,2,FALSE),"All_Districts"))</t>
        </is>
      </c>
    </row>
    <row r="59" ht="18" customHeight="1">
      <c r="A59" s="31" t="inlineStr">
        <is>
          <t>IF(E59="","",ROW()-3)</t>
        </is>
      </c>
      <c r="B59" s="40" t="n"/>
      <c r="C59" s="40" t="n"/>
      <c r="D59" s="40" t="n"/>
      <c r="E59" s="40" t="n"/>
      <c r="F59" s="40" t="n"/>
      <c r="G59" s="40" t="n"/>
      <c r="H59" s="40" t="n"/>
      <c r="I59" s="40" t="n"/>
      <c r="J59" s="40" t="n"/>
      <c r="K59" s="40" t="n"/>
      <c r="L59" s="40" t="n"/>
      <c r="M59" s="40" t="n"/>
      <c r="N59" s="41" t="n"/>
      <c r="O59" s="34" t="inlineStr">
        <is>
          <t>IF(AE59="","",AE59)</t>
        </is>
      </c>
      <c r="P59" s="42" t="n"/>
      <c r="Q59" s="34" t="inlineStr">
        <is>
          <t>IF(OR(O59="",P59=""),"",EDATE(O59,P59))</t>
        </is>
      </c>
      <c r="R59" s="42" t="n"/>
      <c r="S59" s="40" t="n"/>
      <c r="T59" s="40" t="n"/>
      <c r="U59" s="31" t="inlineStr">
        <is>
          <t>IF(E59="","",IF(COUNT(Y59:AJ59)=0,IF(S59="","Not started",S59),SUBSTITUTE(LOOKUP(2,1/(Y59:AJ59&lt;&gt;""),$Y$3:$AJ$3),"Date: ","")))</t>
        </is>
      </c>
      <c r="V59" s="36" t="inlineStr">
        <is>
          <t>IF(OR(E59="",COUNT(Y59:AJ59)=0),"",TODAY()-LOOKUP(2,1/(Y59:AJ59&lt;&gt;""),Y59:AJ59))</t>
        </is>
      </c>
      <c r="W59" s="36" t="inlineStr">
        <is>
          <t>IF(OR(E59="",COUNT(Y59:AJ59)&lt;2),"",LOOKUP(2,1/(Y59:AJ59&lt;&gt;""),Y59:AJ59)-MIN(Y59:AJ59))</t>
        </is>
      </c>
      <c r="X59" s="36" t="inlineStr">
        <is>
          <t>IF(OR(V59="",U59="Not started",U59=""),"",IFERROR(V59-IF(VLOOKUP(U59,'04_Status_Pipeline'!$B$3:$E$20,4,FALSE)="",0,VLOOKUP(U59,'04_Status_Pipeline'!$B$3:$E$20,4,FALSE)),""))</t>
        </is>
      </c>
      <c r="Y59" s="43" t="n"/>
      <c r="Z59" s="43" t="n"/>
      <c r="AA59" s="43" t="n"/>
      <c r="AB59" s="43" t="n"/>
      <c r="AC59" s="43" t="n"/>
      <c r="AD59" s="43" t="n"/>
      <c r="AE59" s="43" t="n"/>
      <c r="AF59" s="43" t="n"/>
      <c r="AG59" s="43" t="n"/>
      <c r="AH59" s="38" t="n"/>
      <c r="AI59" s="38" t="n"/>
      <c r="AJ59" s="38" t="n"/>
      <c r="AK59" s="36" t="inlineStr">
        <is>
          <t>IF(OR(E59="",Z59=""),"",IF(COUNT(Y59:Y59)=0,"",Z59-LOOKUP(2,1/(Y59:Y59&lt;&gt;""),Y59:Y59)))</t>
        </is>
      </c>
      <c r="AL59" s="36" t="inlineStr">
        <is>
          <t>IF(OR(E59="",AA59=""),"",IF(COUNT(Y59:Z59)=0,"",AA59-LOOKUP(2,1/(Y59:Z59&lt;&gt;""),Y59:Z59)))</t>
        </is>
      </c>
      <c r="AM59" s="36" t="inlineStr">
        <is>
          <t>IF(OR(E59="",AB59=""),"",IF(COUNT(Y59:AA59)=0,"",AB59-LOOKUP(2,1/(Y59:AA59&lt;&gt;""),Y59:AA59)))</t>
        </is>
      </c>
      <c r="AN59" s="36" t="inlineStr">
        <is>
          <t>IF(OR(E59="",AC59=""),"",IF(COUNT(Y59:AB59)=0,"",AC59-LOOKUP(2,1/(Y59:AB59&lt;&gt;""),Y59:AB59)))</t>
        </is>
      </c>
      <c r="AO59" s="36" t="inlineStr">
        <is>
          <t>IF(OR(E59="",AD59=""),"",IF(COUNT(Y59:AC59)=0,"",AD59-LOOKUP(2,1/(Y59:AC59&lt;&gt;""),Y59:AC59)))</t>
        </is>
      </c>
      <c r="AP59" s="36" t="inlineStr">
        <is>
          <t>IF(OR(E59="",AE59=""),"",IF(COUNT(Y59:AD59)=0,"",AE59-LOOKUP(2,1/(Y59:AD59&lt;&gt;""),Y59:AD59)))</t>
        </is>
      </c>
      <c r="AQ59" s="36" t="inlineStr">
        <is>
          <t>IF(OR(E59="",AF59=""),"",IF(COUNT(Y59:AE59)=0,"",AF59-LOOKUP(2,1/(Y59:AE59&lt;&gt;""),Y59:AE59)))</t>
        </is>
      </c>
      <c r="AR59" s="36" t="inlineStr">
        <is>
          <t>IF(OR(E59="",AG59=""),"",IF(COUNT(Y59:AF59)=0,"",AG59-LOOKUP(2,1/(Y59:AF59&lt;&gt;""),Y59:AF59)))</t>
        </is>
      </c>
      <c r="AS59" s="36" t="inlineStr">
        <is>
          <t>IF(OR(E59="",AH59=""),"",IF(COUNT(Y59:AG59)=0,"",AH59-LOOKUP(2,1/(Y59:AG59&lt;&gt;""),Y59:AG59)))</t>
        </is>
      </c>
      <c r="AT59" s="36" t="inlineStr">
        <is>
          <t>IF(OR(E59="",AI59=""),"",IF(COUNT(Y59:AH59)=0,"",AI59-LOOKUP(2,1/(Y59:AH59&lt;&gt;""),Y59:AH59)))</t>
        </is>
      </c>
      <c r="AU59" s="36" t="inlineStr">
        <is>
          <t>IF(OR(E59="",AJ59=""),"",IF(COUNT(Y59:AI59)=0,"",AJ59-LOOKUP(2,1/(Y59:AI59&lt;&gt;""),Y59:AI59)))</t>
        </is>
      </c>
      <c r="AV59" s="39" t="inlineStr">
        <is>
          <t>IF(G59="","All_Provinces",IFERROR(VLOOKUP(G59,'07_Lookups'!$A$4:$B$20,2,FALSE),"All_Provinces"))</t>
        </is>
      </c>
      <c r="AW59" s="39" t="inlineStr">
        <is>
          <t>IF(H59="","All_Districts",IFERROR(VLOOKUP(H59,'07_Lookups'!$E$4:$F$42,2,FALSE),"All_Districts"))</t>
        </is>
      </c>
    </row>
    <row r="60" ht="18" customHeight="1">
      <c r="A60" s="31" t="inlineStr">
        <is>
          <t>IF(E60="","",ROW()-3)</t>
        </is>
      </c>
      <c r="B60" s="32" t="n"/>
      <c r="C60" s="32" t="n"/>
      <c r="D60" s="32" t="n"/>
      <c r="E60" s="32" t="n"/>
      <c r="F60" s="32" t="n"/>
      <c r="G60" s="32" t="n"/>
      <c r="H60" s="32" t="n"/>
      <c r="I60" s="32" t="n"/>
      <c r="J60" s="32" t="n"/>
      <c r="K60" s="32" t="n"/>
      <c r="L60" s="32" t="n"/>
      <c r="M60" s="32" t="n"/>
      <c r="N60" s="33" t="n"/>
      <c r="O60" s="34" t="inlineStr">
        <is>
          <t>IF(AE60="","",AE60)</t>
        </is>
      </c>
      <c r="P60" s="35" t="n"/>
      <c r="Q60" s="34" t="inlineStr">
        <is>
          <t>IF(OR(O60="",P60=""),"",EDATE(O60,P60))</t>
        </is>
      </c>
      <c r="R60" s="35" t="n"/>
      <c r="S60" s="32" t="n"/>
      <c r="T60" s="32" t="n"/>
      <c r="U60" s="31" t="inlineStr">
        <is>
          <t>IF(E60="","",IF(COUNT(Y60:AJ60)=0,IF(S60="","Not started",S60),SUBSTITUTE(LOOKUP(2,1/(Y60:AJ60&lt;&gt;""),$Y$3:$AJ$3),"Date: ","")))</t>
        </is>
      </c>
      <c r="V60" s="36" t="inlineStr">
        <is>
          <t>IF(OR(E60="",COUNT(Y60:AJ60)=0),"",TODAY()-LOOKUP(2,1/(Y60:AJ60&lt;&gt;""),Y60:AJ60))</t>
        </is>
      </c>
      <c r="W60" s="36" t="inlineStr">
        <is>
          <t>IF(OR(E60="",COUNT(Y60:AJ60)&lt;2),"",LOOKUP(2,1/(Y60:AJ60&lt;&gt;""),Y60:AJ60)-MIN(Y60:AJ60))</t>
        </is>
      </c>
      <c r="X60" s="36" t="inlineStr">
        <is>
          <t>IF(OR(V60="",U60="Not started",U60=""),"",IFERROR(V60-IF(VLOOKUP(U60,'04_Status_Pipeline'!$B$3:$E$20,4,FALSE)="",0,VLOOKUP(U60,'04_Status_Pipeline'!$B$3:$E$20,4,FALSE)),""))</t>
        </is>
      </c>
      <c r="Y60" s="37" t="n"/>
      <c r="Z60" s="37" t="n"/>
      <c r="AA60" s="37" t="n"/>
      <c r="AB60" s="37" t="n"/>
      <c r="AC60" s="37" t="n"/>
      <c r="AD60" s="37" t="n"/>
      <c r="AE60" s="37" t="n"/>
      <c r="AF60" s="37" t="n"/>
      <c r="AG60" s="37" t="n"/>
      <c r="AH60" s="38" t="n"/>
      <c r="AI60" s="38" t="n"/>
      <c r="AJ60" s="38" t="n"/>
      <c r="AK60" s="36" t="inlineStr">
        <is>
          <t>IF(OR(E60="",Z60=""),"",IF(COUNT(Y60:Y60)=0,"",Z60-LOOKUP(2,1/(Y60:Y60&lt;&gt;""),Y60:Y60)))</t>
        </is>
      </c>
      <c r="AL60" s="36" t="inlineStr">
        <is>
          <t>IF(OR(E60="",AA60=""),"",IF(COUNT(Y60:Z60)=0,"",AA60-LOOKUP(2,1/(Y60:Z60&lt;&gt;""),Y60:Z60)))</t>
        </is>
      </c>
      <c r="AM60" s="36" t="inlineStr">
        <is>
          <t>IF(OR(E60="",AB60=""),"",IF(COUNT(Y60:AA60)=0,"",AB60-LOOKUP(2,1/(Y60:AA60&lt;&gt;""),Y60:AA60)))</t>
        </is>
      </c>
      <c r="AN60" s="36" t="inlineStr">
        <is>
          <t>IF(OR(E60="",AC60=""),"",IF(COUNT(Y60:AB60)=0,"",AC60-LOOKUP(2,1/(Y60:AB60&lt;&gt;""),Y60:AB60)))</t>
        </is>
      </c>
      <c r="AO60" s="36" t="inlineStr">
        <is>
          <t>IF(OR(E60="",AD60=""),"",IF(COUNT(Y60:AC60)=0,"",AD60-LOOKUP(2,1/(Y60:AC60&lt;&gt;""),Y60:AC60)))</t>
        </is>
      </c>
      <c r="AP60" s="36" t="inlineStr">
        <is>
          <t>IF(OR(E60="",AE60=""),"",IF(COUNT(Y60:AD60)=0,"",AE60-LOOKUP(2,1/(Y60:AD60&lt;&gt;""),Y60:AD60)))</t>
        </is>
      </c>
      <c r="AQ60" s="36" t="inlineStr">
        <is>
          <t>IF(OR(E60="",AF60=""),"",IF(COUNT(Y60:AE60)=0,"",AF60-LOOKUP(2,1/(Y60:AE60&lt;&gt;""),Y60:AE60)))</t>
        </is>
      </c>
      <c r="AR60" s="36" t="inlineStr">
        <is>
          <t>IF(OR(E60="",AG60=""),"",IF(COUNT(Y60:AF60)=0,"",AG60-LOOKUP(2,1/(Y60:AF60&lt;&gt;""),Y60:AF60)))</t>
        </is>
      </c>
      <c r="AS60" s="36" t="inlineStr">
        <is>
          <t>IF(OR(E60="",AH60=""),"",IF(COUNT(Y60:AG60)=0,"",AH60-LOOKUP(2,1/(Y60:AG60&lt;&gt;""),Y60:AG60)))</t>
        </is>
      </c>
      <c r="AT60" s="36" t="inlineStr">
        <is>
          <t>IF(OR(E60="",AI60=""),"",IF(COUNT(Y60:AH60)=0,"",AI60-LOOKUP(2,1/(Y60:AH60&lt;&gt;""),Y60:AH60)))</t>
        </is>
      </c>
      <c r="AU60" s="36" t="inlineStr">
        <is>
          <t>IF(OR(E60="",AJ60=""),"",IF(COUNT(Y60:AI60)=0,"",AJ60-LOOKUP(2,1/(Y60:AI60&lt;&gt;""),Y60:AI60)))</t>
        </is>
      </c>
      <c r="AV60" s="39" t="inlineStr">
        <is>
          <t>IF(G60="","All_Provinces",IFERROR(VLOOKUP(G60,'07_Lookups'!$A$4:$B$20,2,FALSE),"All_Provinces"))</t>
        </is>
      </c>
      <c r="AW60" s="39" t="inlineStr">
        <is>
          <t>IF(H60="","All_Districts",IFERROR(VLOOKUP(H60,'07_Lookups'!$E$4:$F$42,2,FALSE),"All_Districts"))</t>
        </is>
      </c>
    </row>
    <row r="61" ht="18" customHeight="1">
      <c r="A61" s="31" t="inlineStr">
        <is>
          <t>IF(E61="","",ROW()-3)</t>
        </is>
      </c>
      <c r="B61" s="40" t="n"/>
      <c r="C61" s="40" t="n"/>
      <c r="D61" s="40" t="n"/>
      <c r="E61" s="40" t="n"/>
      <c r="F61" s="40" t="n"/>
      <c r="G61" s="40" t="n"/>
      <c r="H61" s="40" t="n"/>
      <c r="I61" s="40" t="n"/>
      <c r="J61" s="40" t="n"/>
      <c r="K61" s="40" t="n"/>
      <c r="L61" s="40" t="n"/>
      <c r="M61" s="40" t="n"/>
      <c r="N61" s="41" t="n"/>
      <c r="O61" s="34" t="inlineStr">
        <is>
          <t>IF(AE61="","",AE61)</t>
        </is>
      </c>
      <c r="P61" s="42" t="n"/>
      <c r="Q61" s="34" t="inlineStr">
        <is>
          <t>IF(OR(O61="",P61=""),"",EDATE(O61,P61))</t>
        </is>
      </c>
      <c r="R61" s="42" t="n"/>
      <c r="S61" s="40" t="n"/>
      <c r="T61" s="40" t="n"/>
      <c r="U61" s="31" t="inlineStr">
        <is>
          <t>IF(E61="","",IF(COUNT(Y61:AJ61)=0,IF(S61="","Not started",S61),SUBSTITUTE(LOOKUP(2,1/(Y61:AJ61&lt;&gt;""),$Y$3:$AJ$3),"Date: ","")))</t>
        </is>
      </c>
      <c r="V61" s="36" t="inlineStr">
        <is>
          <t>IF(OR(E61="",COUNT(Y61:AJ61)=0),"",TODAY()-LOOKUP(2,1/(Y61:AJ61&lt;&gt;""),Y61:AJ61))</t>
        </is>
      </c>
      <c r="W61" s="36" t="inlineStr">
        <is>
          <t>IF(OR(E61="",COUNT(Y61:AJ61)&lt;2),"",LOOKUP(2,1/(Y61:AJ61&lt;&gt;""),Y61:AJ61)-MIN(Y61:AJ61))</t>
        </is>
      </c>
      <c r="X61" s="36" t="inlineStr">
        <is>
          <t>IF(OR(V61="",U61="Not started",U61=""),"",IFERROR(V61-IF(VLOOKUP(U61,'04_Status_Pipeline'!$B$3:$E$20,4,FALSE)="",0,VLOOKUP(U61,'04_Status_Pipeline'!$B$3:$E$20,4,FALSE)),""))</t>
        </is>
      </c>
      <c r="Y61" s="43" t="n"/>
      <c r="Z61" s="43" t="n"/>
      <c r="AA61" s="43" t="n"/>
      <c r="AB61" s="43" t="n"/>
      <c r="AC61" s="43" t="n"/>
      <c r="AD61" s="43" t="n"/>
      <c r="AE61" s="43" t="n"/>
      <c r="AF61" s="43" t="n"/>
      <c r="AG61" s="43" t="n"/>
      <c r="AH61" s="38" t="n"/>
      <c r="AI61" s="38" t="n"/>
      <c r="AJ61" s="38" t="n"/>
      <c r="AK61" s="36" t="inlineStr">
        <is>
          <t>IF(OR(E61="",Z61=""),"",IF(COUNT(Y61:Y61)=0,"",Z61-LOOKUP(2,1/(Y61:Y61&lt;&gt;""),Y61:Y61)))</t>
        </is>
      </c>
      <c r="AL61" s="36" t="inlineStr">
        <is>
          <t>IF(OR(E61="",AA61=""),"",IF(COUNT(Y61:Z61)=0,"",AA61-LOOKUP(2,1/(Y61:Z61&lt;&gt;""),Y61:Z61)))</t>
        </is>
      </c>
      <c r="AM61" s="36" t="inlineStr">
        <is>
          <t>IF(OR(E61="",AB61=""),"",IF(COUNT(Y61:AA61)=0,"",AB61-LOOKUP(2,1/(Y61:AA61&lt;&gt;""),Y61:AA61)))</t>
        </is>
      </c>
      <c r="AN61" s="36" t="inlineStr">
        <is>
          <t>IF(OR(E61="",AC61=""),"",IF(COUNT(Y61:AB61)=0,"",AC61-LOOKUP(2,1/(Y61:AB61&lt;&gt;""),Y61:AB61)))</t>
        </is>
      </c>
      <c r="AO61" s="36" t="inlineStr">
        <is>
          <t>IF(OR(E61="",AD61=""),"",IF(COUNT(Y61:AC61)=0,"",AD61-LOOKUP(2,1/(Y61:AC61&lt;&gt;""),Y61:AC61)))</t>
        </is>
      </c>
      <c r="AP61" s="36" t="inlineStr">
        <is>
          <t>IF(OR(E61="",AE61=""),"",IF(COUNT(Y61:AD61)=0,"",AE61-LOOKUP(2,1/(Y61:AD61&lt;&gt;""),Y61:AD61)))</t>
        </is>
      </c>
      <c r="AQ61" s="36" t="inlineStr">
        <is>
          <t>IF(OR(E61="",AF61=""),"",IF(COUNT(Y61:AE61)=0,"",AF61-LOOKUP(2,1/(Y61:AE61&lt;&gt;""),Y61:AE61)))</t>
        </is>
      </c>
      <c r="AR61" s="36" t="inlineStr">
        <is>
          <t>IF(OR(E61="",AG61=""),"",IF(COUNT(Y61:AF61)=0,"",AG61-LOOKUP(2,1/(Y61:AF61&lt;&gt;""),Y61:AF61)))</t>
        </is>
      </c>
      <c r="AS61" s="36" t="inlineStr">
        <is>
          <t>IF(OR(E61="",AH61=""),"",IF(COUNT(Y61:AG61)=0,"",AH61-LOOKUP(2,1/(Y61:AG61&lt;&gt;""),Y61:AG61)))</t>
        </is>
      </c>
      <c r="AT61" s="36" t="inlineStr">
        <is>
          <t>IF(OR(E61="",AI61=""),"",IF(COUNT(Y61:AH61)=0,"",AI61-LOOKUP(2,1/(Y61:AH61&lt;&gt;""),Y61:AH61)))</t>
        </is>
      </c>
      <c r="AU61" s="36" t="inlineStr">
        <is>
          <t>IF(OR(E61="",AJ61=""),"",IF(COUNT(Y61:AI61)=0,"",AJ61-LOOKUP(2,1/(Y61:AI61&lt;&gt;""),Y61:AI61)))</t>
        </is>
      </c>
      <c r="AV61" s="39" t="inlineStr">
        <is>
          <t>IF(G61="","All_Provinces",IFERROR(VLOOKUP(G61,'07_Lookups'!$A$4:$B$20,2,FALSE),"All_Provinces"))</t>
        </is>
      </c>
      <c r="AW61" s="39" t="inlineStr">
        <is>
          <t>IF(H61="","All_Districts",IFERROR(VLOOKUP(H61,'07_Lookups'!$E$4:$F$42,2,FALSE),"All_Districts"))</t>
        </is>
      </c>
    </row>
    <row r="62" ht="18" customHeight="1">
      <c r="A62" s="31" t="inlineStr">
        <is>
          <t>IF(E62="","",ROW()-3)</t>
        </is>
      </c>
      <c r="B62" s="32" t="n"/>
      <c r="C62" s="32" t="n"/>
      <c r="D62" s="32" t="n"/>
      <c r="E62" s="32" t="n"/>
      <c r="F62" s="32" t="n"/>
      <c r="G62" s="32" t="n"/>
      <c r="H62" s="32" t="n"/>
      <c r="I62" s="32" t="n"/>
      <c r="J62" s="32" t="n"/>
      <c r="K62" s="32" t="n"/>
      <c r="L62" s="32" t="n"/>
      <c r="M62" s="32" t="n"/>
      <c r="N62" s="33" t="n"/>
      <c r="O62" s="34" t="inlineStr">
        <is>
          <t>IF(AE62="","",AE62)</t>
        </is>
      </c>
      <c r="P62" s="35" t="n"/>
      <c r="Q62" s="34" t="inlineStr">
        <is>
          <t>IF(OR(O62="",P62=""),"",EDATE(O62,P62))</t>
        </is>
      </c>
      <c r="R62" s="35" t="n"/>
      <c r="S62" s="32" t="n"/>
      <c r="T62" s="32" t="n"/>
      <c r="U62" s="31" t="inlineStr">
        <is>
          <t>IF(E62="","",IF(COUNT(Y62:AJ62)=0,IF(S62="","Not started",S62),SUBSTITUTE(LOOKUP(2,1/(Y62:AJ62&lt;&gt;""),$Y$3:$AJ$3),"Date: ","")))</t>
        </is>
      </c>
      <c r="V62" s="36" t="inlineStr">
        <is>
          <t>IF(OR(E62="",COUNT(Y62:AJ62)=0),"",TODAY()-LOOKUP(2,1/(Y62:AJ62&lt;&gt;""),Y62:AJ62))</t>
        </is>
      </c>
      <c r="W62" s="36" t="inlineStr">
        <is>
          <t>IF(OR(E62="",COUNT(Y62:AJ62)&lt;2),"",LOOKUP(2,1/(Y62:AJ62&lt;&gt;""),Y62:AJ62)-MIN(Y62:AJ62))</t>
        </is>
      </c>
      <c r="X62" s="36" t="inlineStr">
        <is>
          <t>IF(OR(V62="",U62="Not started",U62=""),"",IFERROR(V62-IF(VLOOKUP(U62,'04_Status_Pipeline'!$B$3:$E$20,4,FALSE)="",0,VLOOKUP(U62,'04_Status_Pipeline'!$B$3:$E$20,4,FALSE)),""))</t>
        </is>
      </c>
      <c r="Y62" s="37" t="n"/>
      <c r="Z62" s="37" t="n"/>
      <c r="AA62" s="37" t="n"/>
      <c r="AB62" s="37" t="n"/>
      <c r="AC62" s="37" t="n"/>
      <c r="AD62" s="37" t="n"/>
      <c r="AE62" s="37" t="n"/>
      <c r="AF62" s="37" t="n"/>
      <c r="AG62" s="37" t="n"/>
      <c r="AH62" s="38" t="n"/>
      <c r="AI62" s="38" t="n"/>
      <c r="AJ62" s="38" t="n"/>
      <c r="AK62" s="36" t="inlineStr">
        <is>
          <t>IF(OR(E62="",Z62=""),"",IF(COUNT(Y62:Y62)=0,"",Z62-LOOKUP(2,1/(Y62:Y62&lt;&gt;""),Y62:Y62)))</t>
        </is>
      </c>
      <c r="AL62" s="36" t="inlineStr">
        <is>
          <t>IF(OR(E62="",AA62=""),"",IF(COUNT(Y62:Z62)=0,"",AA62-LOOKUP(2,1/(Y62:Z62&lt;&gt;""),Y62:Z62)))</t>
        </is>
      </c>
      <c r="AM62" s="36" t="inlineStr">
        <is>
          <t>IF(OR(E62="",AB62=""),"",IF(COUNT(Y62:AA62)=0,"",AB62-LOOKUP(2,1/(Y62:AA62&lt;&gt;""),Y62:AA62)))</t>
        </is>
      </c>
      <c r="AN62" s="36" t="inlineStr">
        <is>
          <t>IF(OR(E62="",AC62=""),"",IF(COUNT(Y62:AB62)=0,"",AC62-LOOKUP(2,1/(Y62:AB62&lt;&gt;""),Y62:AB62)))</t>
        </is>
      </c>
      <c r="AO62" s="36" t="inlineStr">
        <is>
          <t>IF(OR(E62="",AD62=""),"",IF(COUNT(Y62:AC62)=0,"",AD62-LOOKUP(2,1/(Y62:AC62&lt;&gt;""),Y62:AC62)))</t>
        </is>
      </c>
      <c r="AP62" s="36" t="inlineStr">
        <is>
          <t>IF(OR(E62="",AE62=""),"",IF(COUNT(Y62:AD62)=0,"",AE62-LOOKUP(2,1/(Y62:AD62&lt;&gt;""),Y62:AD62)))</t>
        </is>
      </c>
      <c r="AQ62" s="36" t="inlineStr">
        <is>
          <t>IF(OR(E62="",AF62=""),"",IF(COUNT(Y62:AE62)=0,"",AF62-LOOKUP(2,1/(Y62:AE62&lt;&gt;""),Y62:AE62)))</t>
        </is>
      </c>
      <c r="AR62" s="36" t="inlineStr">
        <is>
          <t>IF(OR(E62="",AG62=""),"",IF(COUNT(Y62:AF62)=0,"",AG62-LOOKUP(2,1/(Y62:AF62&lt;&gt;""),Y62:AF62)))</t>
        </is>
      </c>
      <c r="AS62" s="36" t="inlineStr">
        <is>
          <t>IF(OR(E62="",AH62=""),"",IF(COUNT(Y62:AG62)=0,"",AH62-LOOKUP(2,1/(Y62:AG62&lt;&gt;""),Y62:AG62)))</t>
        </is>
      </c>
      <c r="AT62" s="36" t="inlineStr">
        <is>
          <t>IF(OR(E62="",AI62=""),"",IF(COUNT(Y62:AH62)=0,"",AI62-LOOKUP(2,1/(Y62:AH62&lt;&gt;""),Y62:AH62)))</t>
        </is>
      </c>
      <c r="AU62" s="36" t="inlineStr">
        <is>
          <t>IF(OR(E62="",AJ62=""),"",IF(COUNT(Y62:AI62)=0,"",AJ62-LOOKUP(2,1/(Y62:AI62&lt;&gt;""),Y62:AI62)))</t>
        </is>
      </c>
      <c r="AV62" s="39" t="inlineStr">
        <is>
          <t>IF(G62="","All_Provinces",IFERROR(VLOOKUP(G62,'07_Lookups'!$A$4:$B$20,2,FALSE),"All_Provinces"))</t>
        </is>
      </c>
      <c r="AW62" s="39" t="inlineStr">
        <is>
          <t>IF(H62="","All_Districts",IFERROR(VLOOKUP(H62,'07_Lookups'!$E$4:$F$42,2,FALSE),"All_Districts"))</t>
        </is>
      </c>
    </row>
    <row r="63" ht="18" customHeight="1">
      <c r="A63" s="31" t="inlineStr">
        <is>
          <t>IF(E63="","",ROW()-3)</t>
        </is>
      </c>
      <c r="B63" s="40" t="n"/>
      <c r="C63" s="40" t="n"/>
      <c r="D63" s="40" t="n"/>
      <c r="E63" s="40" t="n"/>
      <c r="F63" s="40" t="n"/>
      <c r="G63" s="40" t="n"/>
      <c r="H63" s="40" t="n"/>
      <c r="I63" s="40" t="n"/>
      <c r="J63" s="40" t="n"/>
      <c r="K63" s="40" t="n"/>
      <c r="L63" s="40" t="n"/>
      <c r="M63" s="40" t="n"/>
      <c r="N63" s="41" t="n"/>
      <c r="O63" s="34" t="inlineStr">
        <is>
          <t>IF(AE63="","",AE63)</t>
        </is>
      </c>
      <c r="P63" s="42" t="n"/>
      <c r="Q63" s="34" t="inlineStr">
        <is>
          <t>IF(OR(O63="",P63=""),"",EDATE(O63,P63))</t>
        </is>
      </c>
      <c r="R63" s="42" t="n"/>
      <c r="S63" s="40" t="n"/>
      <c r="T63" s="40" t="n"/>
      <c r="U63" s="31" t="inlineStr">
        <is>
          <t>IF(E63="","",IF(COUNT(Y63:AJ63)=0,IF(S63="","Not started",S63),SUBSTITUTE(LOOKUP(2,1/(Y63:AJ63&lt;&gt;""),$Y$3:$AJ$3),"Date: ","")))</t>
        </is>
      </c>
      <c r="V63" s="36" t="inlineStr">
        <is>
          <t>IF(OR(E63="",COUNT(Y63:AJ63)=0),"",TODAY()-LOOKUP(2,1/(Y63:AJ63&lt;&gt;""),Y63:AJ63))</t>
        </is>
      </c>
      <c r="W63" s="36" t="inlineStr">
        <is>
          <t>IF(OR(E63="",COUNT(Y63:AJ63)&lt;2),"",LOOKUP(2,1/(Y63:AJ63&lt;&gt;""),Y63:AJ63)-MIN(Y63:AJ63))</t>
        </is>
      </c>
      <c r="X63" s="36" t="inlineStr">
        <is>
          <t>IF(OR(V63="",U63="Not started",U63=""),"",IFERROR(V63-IF(VLOOKUP(U63,'04_Status_Pipeline'!$B$3:$E$20,4,FALSE)="",0,VLOOKUP(U63,'04_Status_Pipeline'!$B$3:$E$20,4,FALSE)),""))</t>
        </is>
      </c>
      <c r="Y63" s="43" t="n"/>
      <c r="Z63" s="43" t="n"/>
      <c r="AA63" s="43" t="n"/>
      <c r="AB63" s="43" t="n"/>
      <c r="AC63" s="43" t="n"/>
      <c r="AD63" s="43" t="n"/>
      <c r="AE63" s="43" t="n"/>
      <c r="AF63" s="43" t="n"/>
      <c r="AG63" s="43" t="n"/>
      <c r="AH63" s="38" t="n"/>
      <c r="AI63" s="38" t="n"/>
      <c r="AJ63" s="38" t="n"/>
      <c r="AK63" s="36" t="inlineStr">
        <is>
          <t>IF(OR(E63="",Z63=""),"",IF(COUNT(Y63:Y63)=0,"",Z63-LOOKUP(2,1/(Y63:Y63&lt;&gt;""),Y63:Y63)))</t>
        </is>
      </c>
      <c r="AL63" s="36" t="inlineStr">
        <is>
          <t>IF(OR(E63="",AA63=""),"",IF(COUNT(Y63:Z63)=0,"",AA63-LOOKUP(2,1/(Y63:Z63&lt;&gt;""),Y63:Z63)))</t>
        </is>
      </c>
      <c r="AM63" s="36" t="inlineStr">
        <is>
          <t>IF(OR(E63="",AB63=""),"",IF(COUNT(Y63:AA63)=0,"",AB63-LOOKUP(2,1/(Y63:AA63&lt;&gt;""),Y63:AA63)))</t>
        </is>
      </c>
      <c r="AN63" s="36" t="inlineStr">
        <is>
          <t>IF(OR(E63="",AC63=""),"",IF(COUNT(Y63:AB63)=0,"",AC63-LOOKUP(2,1/(Y63:AB63&lt;&gt;""),Y63:AB63)))</t>
        </is>
      </c>
      <c r="AO63" s="36" t="inlineStr">
        <is>
          <t>IF(OR(E63="",AD63=""),"",IF(COUNT(Y63:AC63)=0,"",AD63-LOOKUP(2,1/(Y63:AC63&lt;&gt;""),Y63:AC63)))</t>
        </is>
      </c>
      <c r="AP63" s="36" t="inlineStr">
        <is>
          <t>IF(OR(E63="",AE63=""),"",IF(COUNT(Y63:AD63)=0,"",AE63-LOOKUP(2,1/(Y63:AD63&lt;&gt;""),Y63:AD63)))</t>
        </is>
      </c>
      <c r="AQ63" s="36" t="inlineStr">
        <is>
          <t>IF(OR(E63="",AF63=""),"",IF(COUNT(Y63:AE63)=0,"",AF63-LOOKUP(2,1/(Y63:AE63&lt;&gt;""),Y63:AE63)))</t>
        </is>
      </c>
      <c r="AR63" s="36" t="inlineStr">
        <is>
          <t>IF(OR(E63="",AG63=""),"",IF(COUNT(Y63:AF63)=0,"",AG63-LOOKUP(2,1/(Y63:AF63&lt;&gt;""),Y63:AF63)))</t>
        </is>
      </c>
      <c r="AS63" s="36" t="inlineStr">
        <is>
          <t>IF(OR(E63="",AH63=""),"",IF(COUNT(Y63:AG63)=0,"",AH63-LOOKUP(2,1/(Y63:AG63&lt;&gt;""),Y63:AG63)))</t>
        </is>
      </c>
      <c r="AT63" s="36" t="inlineStr">
        <is>
          <t>IF(OR(E63="",AI63=""),"",IF(COUNT(Y63:AH63)=0,"",AI63-LOOKUP(2,1/(Y63:AH63&lt;&gt;""),Y63:AH63)))</t>
        </is>
      </c>
      <c r="AU63" s="36" t="inlineStr">
        <is>
          <t>IF(OR(E63="",AJ63=""),"",IF(COUNT(Y63:AI63)=0,"",AJ63-LOOKUP(2,1/(Y63:AI63&lt;&gt;""),Y63:AI63)))</t>
        </is>
      </c>
      <c r="AV63" s="39" t="inlineStr">
        <is>
          <t>IF(G63="","All_Provinces",IFERROR(VLOOKUP(G63,'07_Lookups'!$A$4:$B$20,2,FALSE),"All_Provinces"))</t>
        </is>
      </c>
      <c r="AW63" s="39" t="inlineStr">
        <is>
          <t>IF(H63="","All_Districts",IFERROR(VLOOKUP(H63,'07_Lookups'!$E$4:$F$42,2,FALSE),"All_Districts"))</t>
        </is>
      </c>
    </row>
    <row r="64" ht="18" customHeight="1">
      <c r="A64" s="31" t="inlineStr">
        <is>
          <t>IF(E64="","",ROW()-3)</t>
        </is>
      </c>
      <c r="B64" s="32" t="n"/>
      <c r="C64" s="32" t="n"/>
      <c r="D64" s="32" t="n"/>
      <c r="E64" s="32" t="n"/>
      <c r="F64" s="32" t="n"/>
      <c r="G64" s="32" t="n"/>
      <c r="H64" s="32" t="n"/>
      <c r="I64" s="32" t="n"/>
      <c r="J64" s="32" t="n"/>
      <c r="K64" s="32" t="n"/>
      <c r="L64" s="32" t="n"/>
      <c r="M64" s="32" t="n"/>
      <c r="N64" s="33" t="n"/>
      <c r="O64" s="34" t="inlineStr">
        <is>
          <t>IF(AE64="","",AE64)</t>
        </is>
      </c>
      <c r="P64" s="35" t="n"/>
      <c r="Q64" s="34" t="inlineStr">
        <is>
          <t>IF(OR(O64="",P64=""),"",EDATE(O64,P64))</t>
        </is>
      </c>
      <c r="R64" s="35" t="n"/>
      <c r="S64" s="32" t="n"/>
      <c r="T64" s="32" t="n"/>
      <c r="U64" s="31" t="inlineStr">
        <is>
          <t>IF(E64="","",IF(COUNT(Y64:AJ64)=0,IF(S64="","Not started",S64),SUBSTITUTE(LOOKUP(2,1/(Y64:AJ64&lt;&gt;""),$Y$3:$AJ$3),"Date: ","")))</t>
        </is>
      </c>
      <c r="V64" s="36" t="inlineStr">
        <is>
          <t>IF(OR(E64="",COUNT(Y64:AJ64)=0),"",TODAY()-LOOKUP(2,1/(Y64:AJ64&lt;&gt;""),Y64:AJ64))</t>
        </is>
      </c>
      <c r="W64" s="36" t="inlineStr">
        <is>
          <t>IF(OR(E64="",COUNT(Y64:AJ64)&lt;2),"",LOOKUP(2,1/(Y64:AJ64&lt;&gt;""),Y64:AJ64)-MIN(Y64:AJ64))</t>
        </is>
      </c>
      <c r="X64" s="36" t="inlineStr">
        <is>
          <t>IF(OR(V64="",U64="Not started",U64=""),"",IFERROR(V64-IF(VLOOKUP(U64,'04_Status_Pipeline'!$B$3:$E$20,4,FALSE)="",0,VLOOKUP(U64,'04_Status_Pipeline'!$B$3:$E$20,4,FALSE)),""))</t>
        </is>
      </c>
      <c r="Y64" s="37" t="n"/>
      <c r="Z64" s="37" t="n"/>
      <c r="AA64" s="37" t="n"/>
      <c r="AB64" s="37" t="n"/>
      <c r="AC64" s="37" t="n"/>
      <c r="AD64" s="37" t="n"/>
      <c r="AE64" s="37" t="n"/>
      <c r="AF64" s="37" t="n"/>
      <c r="AG64" s="37" t="n"/>
      <c r="AH64" s="38" t="n"/>
      <c r="AI64" s="38" t="n"/>
      <c r="AJ64" s="38" t="n"/>
      <c r="AK64" s="36" t="inlineStr">
        <is>
          <t>IF(OR(E64="",Z64=""),"",IF(COUNT(Y64:Y64)=0,"",Z64-LOOKUP(2,1/(Y64:Y64&lt;&gt;""),Y64:Y64)))</t>
        </is>
      </c>
      <c r="AL64" s="36" t="inlineStr">
        <is>
          <t>IF(OR(E64="",AA64=""),"",IF(COUNT(Y64:Z64)=0,"",AA64-LOOKUP(2,1/(Y64:Z64&lt;&gt;""),Y64:Z64)))</t>
        </is>
      </c>
      <c r="AM64" s="36" t="inlineStr">
        <is>
          <t>IF(OR(E64="",AB64=""),"",IF(COUNT(Y64:AA64)=0,"",AB64-LOOKUP(2,1/(Y64:AA64&lt;&gt;""),Y64:AA64)))</t>
        </is>
      </c>
      <c r="AN64" s="36" t="inlineStr">
        <is>
          <t>IF(OR(E64="",AC64=""),"",IF(COUNT(Y64:AB64)=0,"",AC64-LOOKUP(2,1/(Y64:AB64&lt;&gt;""),Y64:AB64)))</t>
        </is>
      </c>
      <c r="AO64" s="36" t="inlineStr">
        <is>
          <t>IF(OR(E64="",AD64=""),"",IF(COUNT(Y64:AC64)=0,"",AD64-LOOKUP(2,1/(Y64:AC64&lt;&gt;""),Y64:AC64)))</t>
        </is>
      </c>
      <c r="AP64" s="36" t="inlineStr">
        <is>
          <t>IF(OR(E64="",AE64=""),"",IF(COUNT(Y64:AD64)=0,"",AE64-LOOKUP(2,1/(Y64:AD64&lt;&gt;""),Y64:AD64)))</t>
        </is>
      </c>
      <c r="AQ64" s="36" t="inlineStr">
        <is>
          <t>IF(OR(E64="",AF64=""),"",IF(COUNT(Y64:AE64)=0,"",AF64-LOOKUP(2,1/(Y64:AE64&lt;&gt;""),Y64:AE64)))</t>
        </is>
      </c>
      <c r="AR64" s="36" t="inlineStr">
        <is>
          <t>IF(OR(E64="",AG64=""),"",IF(COUNT(Y64:AF64)=0,"",AG64-LOOKUP(2,1/(Y64:AF64&lt;&gt;""),Y64:AF64)))</t>
        </is>
      </c>
      <c r="AS64" s="36" t="inlineStr">
        <is>
          <t>IF(OR(E64="",AH64=""),"",IF(COUNT(Y64:AG64)=0,"",AH64-LOOKUP(2,1/(Y64:AG64&lt;&gt;""),Y64:AG64)))</t>
        </is>
      </c>
      <c r="AT64" s="36" t="inlineStr">
        <is>
          <t>IF(OR(E64="",AI64=""),"",IF(COUNT(Y64:AH64)=0,"",AI64-LOOKUP(2,1/(Y64:AH64&lt;&gt;""),Y64:AH64)))</t>
        </is>
      </c>
      <c r="AU64" s="36" t="inlineStr">
        <is>
          <t>IF(OR(E64="",AJ64=""),"",IF(COUNT(Y64:AI64)=0,"",AJ64-LOOKUP(2,1/(Y64:AI64&lt;&gt;""),Y64:AI64)))</t>
        </is>
      </c>
      <c r="AV64" s="39" t="inlineStr">
        <is>
          <t>IF(G64="","All_Provinces",IFERROR(VLOOKUP(G64,'07_Lookups'!$A$4:$B$20,2,FALSE),"All_Provinces"))</t>
        </is>
      </c>
      <c r="AW64" s="39" t="inlineStr">
        <is>
          <t>IF(H64="","All_Districts",IFERROR(VLOOKUP(H64,'07_Lookups'!$E$4:$F$42,2,FALSE),"All_Districts"))</t>
        </is>
      </c>
    </row>
    <row r="65" ht="18" customHeight="1">
      <c r="A65" s="31" t="inlineStr">
        <is>
          <t>IF(E65="","",ROW()-3)</t>
        </is>
      </c>
      <c r="B65" s="40" t="n"/>
      <c r="C65" s="40" t="n"/>
      <c r="D65" s="40" t="n"/>
      <c r="E65" s="40" t="n"/>
      <c r="F65" s="40" t="n"/>
      <c r="G65" s="40" t="n"/>
      <c r="H65" s="40" t="n"/>
      <c r="I65" s="40" t="n"/>
      <c r="J65" s="40" t="n"/>
      <c r="K65" s="40" t="n"/>
      <c r="L65" s="40" t="n"/>
      <c r="M65" s="40" t="n"/>
      <c r="N65" s="41" t="n"/>
      <c r="O65" s="34" t="inlineStr">
        <is>
          <t>IF(AE65="","",AE65)</t>
        </is>
      </c>
      <c r="P65" s="42" t="n"/>
      <c r="Q65" s="34" t="inlineStr">
        <is>
          <t>IF(OR(O65="",P65=""),"",EDATE(O65,P65))</t>
        </is>
      </c>
      <c r="R65" s="42" t="n"/>
      <c r="S65" s="40" t="n"/>
      <c r="T65" s="40" t="n"/>
      <c r="U65" s="31" t="inlineStr">
        <is>
          <t>IF(E65="","",IF(COUNT(Y65:AJ65)=0,IF(S65="","Not started",S65),SUBSTITUTE(LOOKUP(2,1/(Y65:AJ65&lt;&gt;""),$Y$3:$AJ$3),"Date: ","")))</t>
        </is>
      </c>
      <c r="V65" s="36" t="inlineStr">
        <is>
          <t>IF(OR(E65="",COUNT(Y65:AJ65)=0),"",TODAY()-LOOKUP(2,1/(Y65:AJ65&lt;&gt;""),Y65:AJ65))</t>
        </is>
      </c>
      <c r="W65" s="36" t="inlineStr">
        <is>
          <t>IF(OR(E65="",COUNT(Y65:AJ65)&lt;2),"",LOOKUP(2,1/(Y65:AJ65&lt;&gt;""),Y65:AJ65)-MIN(Y65:AJ65))</t>
        </is>
      </c>
      <c r="X65" s="36" t="inlineStr">
        <is>
          <t>IF(OR(V65="",U65="Not started",U65=""),"",IFERROR(V65-IF(VLOOKUP(U65,'04_Status_Pipeline'!$B$3:$E$20,4,FALSE)="",0,VLOOKUP(U65,'04_Status_Pipeline'!$B$3:$E$20,4,FALSE)),""))</t>
        </is>
      </c>
      <c r="Y65" s="43" t="n"/>
      <c r="Z65" s="43" t="n"/>
      <c r="AA65" s="43" t="n"/>
      <c r="AB65" s="43" t="n"/>
      <c r="AC65" s="43" t="n"/>
      <c r="AD65" s="43" t="n"/>
      <c r="AE65" s="43" t="n"/>
      <c r="AF65" s="43" t="n"/>
      <c r="AG65" s="43" t="n"/>
      <c r="AH65" s="38" t="n"/>
      <c r="AI65" s="38" t="n"/>
      <c r="AJ65" s="38" t="n"/>
      <c r="AK65" s="36" t="inlineStr">
        <is>
          <t>IF(OR(E65="",Z65=""),"",IF(COUNT(Y65:Y65)=0,"",Z65-LOOKUP(2,1/(Y65:Y65&lt;&gt;""),Y65:Y65)))</t>
        </is>
      </c>
      <c r="AL65" s="36" t="inlineStr">
        <is>
          <t>IF(OR(E65="",AA65=""),"",IF(COUNT(Y65:Z65)=0,"",AA65-LOOKUP(2,1/(Y65:Z65&lt;&gt;""),Y65:Z65)))</t>
        </is>
      </c>
      <c r="AM65" s="36" t="inlineStr">
        <is>
          <t>IF(OR(E65="",AB65=""),"",IF(COUNT(Y65:AA65)=0,"",AB65-LOOKUP(2,1/(Y65:AA65&lt;&gt;""),Y65:AA65)))</t>
        </is>
      </c>
      <c r="AN65" s="36" t="inlineStr">
        <is>
          <t>IF(OR(E65="",AC65=""),"",IF(COUNT(Y65:AB65)=0,"",AC65-LOOKUP(2,1/(Y65:AB65&lt;&gt;""),Y65:AB65)))</t>
        </is>
      </c>
      <c r="AO65" s="36" t="inlineStr">
        <is>
          <t>IF(OR(E65="",AD65=""),"",IF(COUNT(Y65:AC65)=0,"",AD65-LOOKUP(2,1/(Y65:AC65&lt;&gt;""),Y65:AC65)))</t>
        </is>
      </c>
      <c r="AP65" s="36" t="inlineStr">
        <is>
          <t>IF(OR(E65="",AE65=""),"",IF(COUNT(Y65:AD65)=0,"",AE65-LOOKUP(2,1/(Y65:AD65&lt;&gt;""),Y65:AD65)))</t>
        </is>
      </c>
      <c r="AQ65" s="36" t="inlineStr">
        <is>
          <t>IF(OR(E65="",AF65=""),"",IF(COUNT(Y65:AE65)=0,"",AF65-LOOKUP(2,1/(Y65:AE65&lt;&gt;""),Y65:AE65)))</t>
        </is>
      </c>
      <c r="AR65" s="36" t="inlineStr">
        <is>
          <t>IF(OR(E65="",AG65=""),"",IF(COUNT(Y65:AF65)=0,"",AG65-LOOKUP(2,1/(Y65:AF65&lt;&gt;""),Y65:AF65)))</t>
        </is>
      </c>
      <c r="AS65" s="36" t="inlineStr">
        <is>
          <t>IF(OR(E65="",AH65=""),"",IF(COUNT(Y65:AG65)=0,"",AH65-LOOKUP(2,1/(Y65:AG65&lt;&gt;""),Y65:AG65)))</t>
        </is>
      </c>
      <c r="AT65" s="36" t="inlineStr">
        <is>
          <t>IF(OR(E65="",AI65=""),"",IF(COUNT(Y65:AH65)=0,"",AI65-LOOKUP(2,1/(Y65:AH65&lt;&gt;""),Y65:AH65)))</t>
        </is>
      </c>
      <c r="AU65" s="36" t="inlineStr">
        <is>
          <t>IF(OR(E65="",AJ65=""),"",IF(COUNT(Y65:AI65)=0,"",AJ65-LOOKUP(2,1/(Y65:AI65&lt;&gt;""),Y65:AI65)))</t>
        </is>
      </c>
      <c r="AV65" s="39" t="inlineStr">
        <is>
          <t>IF(G65="","All_Provinces",IFERROR(VLOOKUP(G65,'07_Lookups'!$A$4:$B$20,2,FALSE),"All_Provinces"))</t>
        </is>
      </c>
      <c r="AW65" s="39" t="inlineStr">
        <is>
          <t>IF(H65="","All_Districts",IFERROR(VLOOKUP(H65,'07_Lookups'!$E$4:$F$42,2,FALSE),"All_Districts"))</t>
        </is>
      </c>
    </row>
    <row r="66" ht="18" customHeight="1">
      <c r="A66" s="31" t="inlineStr">
        <is>
          <t>IF(E66="","",ROW()-3)</t>
        </is>
      </c>
      <c r="B66" s="32" t="n"/>
      <c r="C66" s="32" t="n"/>
      <c r="D66" s="32" t="n"/>
      <c r="E66" s="32" t="n"/>
      <c r="F66" s="32" t="n"/>
      <c r="G66" s="32" t="n"/>
      <c r="H66" s="32" t="n"/>
      <c r="I66" s="32" t="n"/>
      <c r="J66" s="32" t="n"/>
      <c r="K66" s="32" t="n"/>
      <c r="L66" s="32" t="n"/>
      <c r="M66" s="32" t="n"/>
      <c r="N66" s="33" t="n"/>
      <c r="O66" s="34" t="inlineStr">
        <is>
          <t>IF(AE66="","",AE66)</t>
        </is>
      </c>
      <c r="P66" s="35" t="n"/>
      <c r="Q66" s="34" t="inlineStr">
        <is>
          <t>IF(OR(O66="",P66=""),"",EDATE(O66,P66))</t>
        </is>
      </c>
      <c r="R66" s="35" t="n"/>
      <c r="S66" s="32" t="n"/>
      <c r="T66" s="32" t="n"/>
      <c r="U66" s="31" t="inlineStr">
        <is>
          <t>IF(E66="","",IF(COUNT(Y66:AJ66)=0,IF(S66="","Not started",S66),SUBSTITUTE(LOOKUP(2,1/(Y66:AJ66&lt;&gt;""),$Y$3:$AJ$3),"Date: ","")))</t>
        </is>
      </c>
      <c r="V66" s="36" t="inlineStr">
        <is>
          <t>IF(OR(E66="",COUNT(Y66:AJ66)=0),"",TODAY()-LOOKUP(2,1/(Y66:AJ66&lt;&gt;""),Y66:AJ66))</t>
        </is>
      </c>
      <c r="W66" s="36" t="inlineStr">
        <is>
          <t>IF(OR(E66="",COUNT(Y66:AJ66)&lt;2),"",LOOKUP(2,1/(Y66:AJ66&lt;&gt;""),Y66:AJ66)-MIN(Y66:AJ66))</t>
        </is>
      </c>
      <c r="X66" s="36" t="inlineStr">
        <is>
          <t>IF(OR(V66="",U66="Not started",U66=""),"",IFERROR(V66-IF(VLOOKUP(U66,'04_Status_Pipeline'!$B$3:$E$20,4,FALSE)="",0,VLOOKUP(U66,'04_Status_Pipeline'!$B$3:$E$20,4,FALSE)),""))</t>
        </is>
      </c>
      <c r="Y66" s="37" t="n"/>
      <c r="Z66" s="37" t="n"/>
      <c r="AA66" s="37" t="n"/>
      <c r="AB66" s="37" t="n"/>
      <c r="AC66" s="37" t="n"/>
      <c r="AD66" s="37" t="n"/>
      <c r="AE66" s="37" t="n"/>
      <c r="AF66" s="37" t="n"/>
      <c r="AG66" s="37" t="n"/>
      <c r="AH66" s="38" t="n"/>
      <c r="AI66" s="38" t="n"/>
      <c r="AJ66" s="38" t="n"/>
      <c r="AK66" s="36" t="inlineStr">
        <is>
          <t>IF(OR(E66="",Z66=""),"",IF(COUNT(Y66:Y66)=0,"",Z66-LOOKUP(2,1/(Y66:Y66&lt;&gt;""),Y66:Y66)))</t>
        </is>
      </c>
      <c r="AL66" s="36" t="inlineStr">
        <is>
          <t>IF(OR(E66="",AA66=""),"",IF(COUNT(Y66:Z66)=0,"",AA66-LOOKUP(2,1/(Y66:Z66&lt;&gt;""),Y66:Z66)))</t>
        </is>
      </c>
      <c r="AM66" s="36" t="inlineStr">
        <is>
          <t>IF(OR(E66="",AB66=""),"",IF(COUNT(Y66:AA66)=0,"",AB66-LOOKUP(2,1/(Y66:AA66&lt;&gt;""),Y66:AA66)))</t>
        </is>
      </c>
      <c r="AN66" s="36" t="inlineStr">
        <is>
          <t>IF(OR(E66="",AC66=""),"",IF(COUNT(Y66:AB66)=0,"",AC66-LOOKUP(2,1/(Y66:AB66&lt;&gt;""),Y66:AB66)))</t>
        </is>
      </c>
      <c r="AO66" s="36" t="inlineStr">
        <is>
          <t>IF(OR(E66="",AD66=""),"",IF(COUNT(Y66:AC66)=0,"",AD66-LOOKUP(2,1/(Y66:AC66&lt;&gt;""),Y66:AC66)))</t>
        </is>
      </c>
      <c r="AP66" s="36" t="inlineStr">
        <is>
          <t>IF(OR(E66="",AE66=""),"",IF(COUNT(Y66:AD66)=0,"",AE66-LOOKUP(2,1/(Y66:AD66&lt;&gt;""),Y66:AD66)))</t>
        </is>
      </c>
      <c r="AQ66" s="36" t="inlineStr">
        <is>
          <t>IF(OR(E66="",AF66=""),"",IF(COUNT(Y66:AE66)=0,"",AF66-LOOKUP(2,1/(Y66:AE66&lt;&gt;""),Y66:AE66)))</t>
        </is>
      </c>
      <c r="AR66" s="36" t="inlineStr">
        <is>
          <t>IF(OR(E66="",AG66=""),"",IF(COUNT(Y66:AF66)=0,"",AG66-LOOKUP(2,1/(Y66:AF66&lt;&gt;""),Y66:AF66)))</t>
        </is>
      </c>
      <c r="AS66" s="36" t="inlineStr">
        <is>
          <t>IF(OR(E66="",AH66=""),"",IF(COUNT(Y66:AG66)=0,"",AH66-LOOKUP(2,1/(Y66:AG66&lt;&gt;""),Y66:AG66)))</t>
        </is>
      </c>
      <c r="AT66" s="36" t="inlineStr">
        <is>
          <t>IF(OR(E66="",AI66=""),"",IF(COUNT(Y66:AH66)=0,"",AI66-LOOKUP(2,1/(Y66:AH66&lt;&gt;""),Y66:AH66)))</t>
        </is>
      </c>
      <c r="AU66" s="36" t="inlineStr">
        <is>
          <t>IF(OR(E66="",AJ66=""),"",IF(COUNT(Y66:AI66)=0,"",AJ66-LOOKUP(2,1/(Y66:AI66&lt;&gt;""),Y66:AI66)))</t>
        </is>
      </c>
      <c r="AV66" s="39" t="inlineStr">
        <is>
          <t>IF(G66="","All_Provinces",IFERROR(VLOOKUP(G66,'07_Lookups'!$A$4:$B$20,2,FALSE),"All_Provinces"))</t>
        </is>
      </c>
      <c r="AW66" s="39" t="inlineStr">
        <is>
          <t>IF(H66="","All_Districts",IFERROR(VLOOKUP(H66,'07_Lookups'!$E$4:$F$42,2,FALSE),"All_Districts"))</t>
        </is>
      </c>
    </row>
    <row r="67" ht="18" customHeight="1">
      <c r="A67" s="31" t="inlineStr">
        <is>
          <t>IF(E67="","",ROW()-3)</t>
        </is>
      </c>
      <c r="B67" s="40" t="n"/>
      <c r="C67" s="40" t="n"/>
      <c r="D67" s="40" t="n"/>
      <c r="E67" s="40" t="n"/>
      <c r="F67" s="40" t="n"/>
      <c r="G67" s="40" t="n"/>
      <c r="H67" s="40" t="n"/>
      <c r="I67" s="40" t="n"/>
      <c r="J67" s="40" t="n"/>
      <c r="K67" s="40" t="n"/>
      <c r="L67" s="40" t="n"/>
      <c r="M67" s="40" t="n"/>
      <c r="N67" s="41" t="n"/>
      <c r="O67" s="34" t="inlineStr">
        <is>
          <t>IF(AE67="","",AE67)</t>
        </is>
      </c>
      <c r="P67" s="42" t="n"/>
      <c r="Q67" s="34" t="inlineStr">
        <is>
          <t>IF(OR(O67="",P67=""),"",EDATE(O67,P67))</t>
        </is>
      </c>
      <c r="R67" s="42" t="n"/>
      <c r="S67" s="40" t="n"/>
      <c r="T67" s="40" t="n"/>
      <c r="U67" s="31" t="inlineStr">
        <is>
          <t>IF(E67="","",IF(COUNT(Y67:AJ67)=0,IF(S67="","Not started",S67),SUBSTITUTE(LOOKUP(2,1/(Y67:AJ67&lt;&gt;""),$Y$3:$AJ$3),"Date: ","")))</t>
        </is>
      </c>
      <c r="V67" s="36" t="inlineStr">
        <is>
          <t>IF(OR(E67="",COUNT(Y67:AJ67)=0),"",TODAY()-LOOKUP(2,1/(Y67:AJ67&lt;&gt;""),Y67:AJ67))</t>
        </is>
      </c>
      <c r="W67" s="36" t="inlineStr">
        <is>
          <t>IF(OR(E67="",COUNT(Y67:AJ67)&lt;2),"",LOOKUP(2,1/(Y67:AJ67&lt;&gt;""),Y67:AJ67)-MIN(Y67:AJ67))</t>
        </is>
      </c>
      <c r="X67" s="36" t="inlineStr">
        <is>
          <t>IF(OR(V67="",U67="Not started",U67=""),"",IFERROR(V67-IF(VLOOKUP(U67,'04_Status_Pipeline'!$B$3:$E$20,4,FALSE)="",0,VLOOKUP(U67,'04_Status_Pipeline'!$B$3:$E$20,4,FALSE)),""))</t>
        </is>
      </c>
      <c r="Y67" s="43" t="n"/>
      <c r="Z67" s="43" t="n"/>
      <c r="AA67" s="43" t="n"/>
      <c r="AB67" s="43" t="n"/>
      <c r="AC67" s="43" t="n"/>
      <c r="AD67" s="43" t="n"/>
      <c r="AE67" s="43" t="n"/>
      <c r="AF67" s="43" t="n"/>
      <c r="AG67" s="43" t="n"/>
      <c r="AH67" s="38" t="n"/>
      <c r="AI67" s="38" t="n"/>
      <c r="AJ67" s="38" t="n"/>
      <c r="AK67" s="36" t="inlineStr">
        <is>
          <t>IF(OR(E67="",Z67=""),"",IF(COUNT(Y67:Y67)=0,"",Z67-LOOKUP(2,1/(Y67:Y67&lt;&gt;""),Y67:Y67)))</t>
        </is>
      </c>
      <c r="AL67" s="36" t="inlineStr">
        <is>
          <t>IF(OR(E67="",AA67=""),"",IF(COUNT(Y67:Z67)=0,"",AA67-LOOKUP(2,1/(Y67:Z67&lt;&gt;""),Y67:Z67)))</t>
        </is>
      </c>
      <c r="AM67" s="36" t="inlineStr">
        <is>
          <t>IF(OR(E67="",AB67=""),"",IF(COUNT(Y67:AA67)=0,"",AB67-LOOKUP(2,1/(Y67:AA67&lt;&gt;""),Y67:AA67)))</t>
        </is>
      </c>
      <c r="AN67" s="36" t="inlineStr">
        <is>
          <t>IF(OR(E67="",AC67=""),"",IF(COUNT(Y67:AB67)=0,"",AC67-LOOKUP(2,1/(Y67:AB67&lt;&gt;""),Y67:AB67)))</t>
        </is>
      </c>
      <c r="AO67" s="36" t="inlineStr">
        <is>
          <t>IF(OR(E67="",AD67=""),"",IF(COUNT(Y67:AC67)=0,"",AD67-LOOKUP(2,1/(Y67:AC67&lt;&gt;""),Y67:AC67)))</t>
        </is>
      </c>
      <c r="AP67" s="36" t="inlineStr">
        <is>
          <t>IF(OR(E67="",AE67=""),"",IF(COUNT(Y67:AD67)=0,"",AE67-LOOKUP(2,1/(Y67:AD67&lt;&gt;""),Y67:AD67)))</t>
        </is>
      </c>
      <c r="AQ67" s="36" t="inlineStr">
        <is>
          <t>IF(OR(E67="",AF67=""),"",IF(COUNT(Y67:AE67)=0,"",AF67-LOOKUP(2,1/(Y67:AE67&lt;&gt;""),Y67:AE67)))</t>
        </is>
      </c>
      <c r="AR67" s="36" t="inlineStr">
        <is>
          <t>IF(OR(E67="",AG67=""),"",IF(COUNT(Y67:AF67)=0,"",AG67-LOOKUP(2,1/(Y67:AF67&lt;&gt;""),Y67:AF67)))</t>
        </is>
      </c>
      <c r="AS67" s="36" t="inlineStr">
        <is>
          <t>IF(OR(E67="",AH67=""),"",IF(COUNT(Y67:AG67)=0,"",AH67-LOOKUP(2,1/(Y67:AG67&lt;&gt;""),Y67:AG67)))</t>
        </is>
      </c>
      <c r="AT67" s="36" t="inlineStr">
        <is>
          <t>IF(OR(E67="",AI67=""),"",IF(COUNT(Y67:AH67)=0,"",AI67-LOOKUP(2,1/(Y67:AH67&lt;&gt;""),Y67:AH67)))</t>
        </is>
      </c>
      <c r="AU67" s="36" t="inlineStr">
        <is>
          <t>IF(OR(E67="",AJ67=""),"",IF(COUNT(Y67:AI67)=0,"",AJ67-LOOKUP(2,1/(Y67:AI67&lt;&gt;""),Y67:AI67)))</t>
        </is>
      </c>
      <c r="AV67" s="39" t="inlineStr">
        <is>
          <t>IF(G67="","All_Provinces",IFERROR(VLOOKUP(G67,'07_Lookups'!$A$4:$B$20,2,FALSE),"All_Provinces"))</t>
        </is>
      </c>
      <c r="AW67" s="39" t="inlineStr">
        <is>
          <t>IF(H67="","All_Districts",IFERROR(VLOOKUP(H67,'07_Lookups'!$E$4:$F$42,2,FALSE),"All_Districts"))</t>
        </is>
      </c>
    </row>
    <row r="68" ht="18" customHeight="1">
      <c r="A68" s="31" t="inlineStr">
        <is>
          <t>IF(E68="","",ROW()-3)</t>
        </is>
      </c>
      <c r="B68" s="32" t="n"/>
      <c r="C68" s="32" t="n"/>
      <c r="D68" s="32" t="n"/>
      <c r="E68" s="32" t="n"/>
      <c r="F68" s="32" t="n"/>
      <c r="G68" s="32" t="n"/>
      <c r="H68" s="32" t="n"/>
      <c r="I68" s="32" t="n"/>
      <c r="J68" s="32" t="n"/>
      <c r="K68" s="32" t="n"/>
      <c r="L68" s="32" t="n"/>
      <c r="M68" s="32" t="n"/>
      <c r="N68" s="33" t="n"/>
      <c r="O68" s="34" t="inlineStr">
        <is>
          <t>IF(AE68="","",AE68)</t>
        </is>
      </c>
      <c r="P68" s="35" t="n"/>
      <c r="Q68" s="34" t="inlineStr">
        <is>
          <t>IF(OR(O68="",P68=""),"",EDATE(O68,P68))</t>
        </is>
      </c>
      <c r="R68" s="35" t="n"/>
      <c r="S68" s="32" t="n"/>
      <c r="T68" s="32" t="n"/>
      <c r="U68" s="31" t="inlineStr">
        <is>
          <t>IF(E68="","",IF(COUNT(Y68:AJ68)=0,IF(S68="","Not started",S68),SUBSTITUTE(LOOKUP(2,1/(Y68:AJ68&lt;&gt;""),$Y$3:$AJ$3),"Date: ","")))</t>
        </is>
      </c>
      <c r="V68" s="36" t="inlineStr">
        <is>
          <t>IF(OR(E68="",COUNT(Y68:AJ68)=0),"",TODAY()-LOOKUP(2,1/(Y68:AJ68&lt;&gt;""),Y68:AJ68))</t>
        </is>
      </c>
      <c r="W68" s="36" t="inlineStr">
        <is>
          <t>IF(OR(E68="",COUNT(Y68:AJ68)&lt;2),"",LOOKUP(2,1/(Y68:AJ68&lt;&gt;""),Y68:AJ68)-MIN(Y68:AJ68))</t>
        </is>
      </c>
      <c r="X68" s="36" t="inlineStr">
        <is>
          <t>IF(OR(V68="",U68="Not started",U68=""),"",IFERROR(V68-IF(VLOOKUP(U68,'04_Status_Pipeline'!$B$3:$E$20,4,FALSE)="",0,VLOOKUP(U68,'04_Status_Pipeline'!$B$3:$E$20,4,FALSE)),""))</t>
        </is>
      </c>
      <c r="Y68" s="37" t="n"/>
      <c r="Z68" s="37" t="n"/>
      <c r="AA68" s="37" t="n"/>
      <c r="AB68" s="37" t="n"/>
      <c r="AC68" s="37" t="n"/>
      <c r="AD68" s="37" t="n"/>
      <c r="AE68" s="37" t="n"/>
      <c r="AF68" s="37" t="n"/>
      <c r="AG68" s="37" t="n"/>
      <c r="AH68" s="38" t="n"/>
      <c r="AI68" s="38" t="n"/>
      <c r="AJ68" s="38" t="n"/>
      <c r="AK68" s="36" t="inlineStr">
        <is>
          <t>IF(OR(E68="",Z68=""),"",IF(COUNT(Y68:Y68)=0,"",Z68-LOOKUP(2,1/(Y68:Y68&lt;&gt;""),Y68:Y68)))</t>
        </is>
      </c>
      <c r="AL68" s="36" t="inlineStr">
        <is>
          <t>IF(OR(E68="",AA68=""),"",IF(COUNT(Y68:Z68)=0,"",AA68-LOOKUP(2,1/(Y68:Z68&lt;&gt;""),Y68:Z68)))</t>
        </is>
      </c>
      <c r="AM68" s="36" t="inlineStr">
        <is>
          <t>IF(OR(E68="",AB68=""),"",IF(COUNT(Y68:AA68)=0,"",AB68-LOOKUP(2,1/(Y68:AA68&lt;&gt;""),Y68:AA68)))</t>
        </is>
      </c>
      <c r="AN68" s="36" t="inlineStr">
        <is>
          <t>IF(OR(E68="",AC68=""),"",IF(COUNT(Y68:AB68)=0,"",AC68-LOOKUP(2,1/(Y68:AB68&lt;&gt;""),Y68:AB68)))</t>
        </is>
      </c>
      <c r="AO68" s="36" t="inlineStr">
        <is>
          <t>IF(OR(E68="",AD68=""),"",IF(COUNT(Y68:AC68)=0,"",AD68-LOOKUP(2,1/(Y68:AC68&lt;&gt;""),Y68:AC68)))</t>
        </is>
      </c>
      <c r="AP68" s="36" t="inlineStr">
        <is>
          <t>IF(OR(E68="",AE68=""),"",IF(COUNT(Y68:AD68)=0,"",AE68-LOOKUP(2,1/(Y68:AD68&lt;&gt;""),Y68:AD68)))</t>
        </is>
      </c>
      <c r="AQ68" s="36" t="inlineStr">
        <is>
          <t>IF(OR(E68="",AF68=""),"",IF(COUNT(Y68:AE68)=0,"",AF68-LOOKUP(2,1/(Y68:AE68&lt;&gt;""),Y68:AE68)))</t>
        </is>
      </c>
      <c r="AR68" s="36" t="inlineStr">
        <is>
          <t>IF(OR(E68="",AG68=""),"",IF(COUNT(Y68:AF68)=0,"",AG68-LOOKUP(2,1/(Y68:AF68&lt;&gt;""),Y68:AF68)))</t>
        </is>
      </c>
      <c r="AS68" s="36" t="inlineStr">
        <is>
          <t>IF(OR(E68="",AH68=""),"",IF(COUNT(Y68:AG68)=0,"",AH68-LOOKUP(2,1/(Y68:AG68&lt;&gt;""),Y68:AG68)))</t>
        </is>
      </c>
      <c r="AT68" s="36" t="inlineStr">
        <is>
          <t>IF(OR(E68="",AI68=""),"",IF(COUNT(Y68:AH68)=0,"",AI68-LOOKUP(2,1/(Y68:AH68&lt;&gt;""),Y68:AH68)))</t>
        </is>
      </c>
      <c r="AU68" s="36" t="inlineStr">
        <is>
          <t>IF(OR(E68="",AJ68=""),"",IF(COUNT(Y68:AI68)=0,"",AJ68-LOOKUP(2,1/(Y68:AI68&lt;&gt;""),Y68:AI68)))</t>
        </is>
      </c>
      <c r="AV68" s="39" t="inlineStr">
        <is>
          <t>IF(G68="","All_Provinces",IFERROR(VLOOKUP(G68,'07_Lookups'!$A$4:$B$20,2,FALSE),"All_Provinces"))</t>
        </is>
      </c>
      <c r="AW68" s="39" t="inlineStr">
        <is>
          <t>IF(H68="","All_Districts",IFERROR(VLOOKUP(H68,'07_Lookups'!$E$4:$F$42,2,FALSE),"All_Districts"))</t>
        </is>
      </c>
    </row>
    <row r="69" ht="18" customHeight="1">
      <c r="A69" s="31" t="inlineStr">
        <is>
          <t>IF(E69="","",ROW()-3)</t>
        </is>
      </c>
      <c r="B69" s="40" t="n"/>
      <c r="C69" s="40" t="n"/>
      <c r="D69" s="40" t="n"/>
      <c r="E69" s="40" t="n"/>
      <c r="F69" s="40" t="n"/>
      <c r="G69" s="40" t="n"/>
      <c r="H69" s="40" t="n"/>
      <c r="I69" s="40" t="n"/>
      <c r="J69" s="40" t="n"/>
      <c r="K69" s="40" t="n"/>
      <c r="L69" s="40" t="n"/>
      <c r="M69" s="40" t="n"/>
      <c r="N69" s="41" t="n"/>
      <c r="O69" s="34" t="inlineStr">
        <is>
          <t>IF(AE69="","",AE69)</t>
        </is>
      </c>
      <c r="P69" s="42" t="n"/>
      <c r="Q69" s="34" t="inlineStr">
        <is>
          <t>IF(OR(O69="",P69=""),"",EDATE(O69,P69))</t>
        </is>
      </c>
      <c r="R69" s="42" t="n"/>
      <c r="S69" s="40" t="n"/>
      <c r="T69" s="40" t="n"/>
      <c r="U69" s="31" t="inlineStr">
        <is>
          <t>IF(E69="","",IF(COUNT(Y69:AJ69)=0,IF(S69="","Not started",S69),SUBSTITUTE(LOOKUP(2,1/(Y69:AJ69&lt;&gt;""),$Y$3:$AJ$3),"Date: ","")))</t>
        </is>
      </c>
      <c r="V69" s="36" t="inlineStr">
        <is>
          <t>IF(OR(E69="",COUNT(Y69:AJ69)=0),"",TODAY()-LOOKUP(2,1/(Y69:AJ69&lt;&gt;""),Y69:AJ69))</t>
        </is>
      </c>
      <c r="W69" s="36" t="inlineStr">
        <is>
          <t>IF(OR(E69="",COUNT(Y69:AJ69)&lt;2),"",LOOKUP(2,1/(Y69:AJ69&lt;&gt;""),Y69:AJ69)-MIN(Y69:AJ69))</t>
        </is>
      </c>
      <c r="X69" s="36" t="inlineStr">
        <is>
          <t>IF(OR(V69="",U69="Not started",U69=""),"",IFERROR(V69-IF(VLOOKUP(U69,'04_Status_Pipeline'!$B$3:$E$20,4,FALSE)="",0,VLOOKUP(U69,'04_Status_Pipeline'!$B$3:$E$20,4,FALSE)),""))</t>
        </is>
      </c>
      <c r="Y69" s="43" t="n"/>
      <c r="Z69" s="43" t="n"/>
      <c r="AA69" s="43" t="n"/>
      <c r="AB69" s="43" t="n"/>
      <c r="AC69" s="43" t="n"/>
      <c r="AD69" s="43" t="n"/>
      <c r="AE69" s="43" t="n"/>
      <c r="AF69" s="43" t="n"/>
      <c r="AG69" s="43" t="n"/>
      <c r="AH69" s="38" t="n"/>
      <c r="AI69" s="38" t="n"/>
      <c r="AJ69" s="38" t="n"/>
      <c r="AK69" s="36" t="inlineStr">
        <is>
          <t>IF(OR(E69="",Z69=""),"",IF(COUNT(Y69:Y69)=0,"",Z69-LOOKUP(2,1/(Y69:Y69&lt;&gt;""),Y69:Y69)))</t>
        </is>
      </c>
      <c r="AL69" s="36" t="inlineStr">
        <is>
          <t>IF(OR(E69="",AA69=""),"",IF(COUNT(Y69:Z69)=0,"",AA69-LOOKUP(2,1/(Y69:Z69&lt;&gt;""),Y69:Z69)))</t>
        </is>
      </c>
      <c r="AM69" s="36" t="inlineStr">
        <is>
          <t>IF(OR(E69="",AB69=""),"",IF(COUNT(Y69:AA69)=0,"",AB69-LOOKUP(2,1/(Y69:AA69&lt;&gt;""),Y69:AA69)))</t>
        </is>
      </c>
      <c r="AN69" s="36" t="inlineStr">
        <is>
          <t>IF(OR(E69="",AC69=""),"",IF(COUNT(Y69:AB69)=0,"",AC69-LOOKUP(2,1/(Y69:AB69&lt;&gt;""),Y69:AB69)))</t>
        </is>
      </c>
      <c r="AO69" s="36" t="inlineStr">
        <is>
          <t>IF(OR(E69="",AD69=""),"",IF(COUNT(Y69:AC69)=0,"",AD69-LOOKUP(2,1/(Y69:AC69&lt;&gt;""),Y69:AC69)))</t>
        </is>
      </c>
      <c r="AP69" s="36" t="inlineStr">
        <is>
          <t>IF(OR(E69="",AE69=""),"",IF(COUNT(Y69:AD69)=0,"",AE69-LOOKUP(2,1/(Y69:AD69&lt;&gt;""),Y69:AD69)))</t>
        </is>
      </c>
      <c r="AQ69" s="36" t="inlineStr">
        <is>
          <t>IF(OR(E69="",AF69=""),"",IF(COUNT(Y69:AE69)=0,"",AF69-LOOKUP(2,1/(Y69:AE69&lt;&gt;""),Y69:AE69)))</t>
        </is>
      </c>
      <c r="AR69" s="36" t="inlineStr">
        <is>
          <t>IF(OR(E69="",AG69=""),"",IF(COUNT(Y69:AF69)=0,"",AG69-LOOKUP(2,1/(Y69:AF69&lt;&gt;""),Y69:AF69)))</t>
        </is>
      </c>
      <c r="AS69" s="36" t="inlineStr">
        <is>
          <t>IF(OR(E69="",AH69=""),"",IF(COUNT(Y69:AG69)=0,"",AH69-LOOKUP(2,1/(Y69:AG69&lt;&gt;""),Y69:AG69)))</t>
        </is>
      </c>
      <c r="AT69" s="36" t="inlineStr">
        <is>
          <t>IF(OR(E69="",AI69=""),"",IF(COUNT(Y69:AH69)=0,"",AI69-LOOKUP(2,1/(Y69:AH69&lt;&gt;""),Y69:AH69)))</t>
        </is>
      </c>
      <c r="AU69" s="36" t="inlineStr">
        <is>
          <t>IF(OR(E69="",AJ69=""),"",IF(COUNT(Y69:AI69)=0,"",AJ69-LOOKUP(2,1/(Y69:AI69&lt;&gt;""),Y69:AI69)))</t>
        </is>
      </c>
      <c r="AV69" s="39" t="inlineStr">
        <is>
          <t>IF(G69="","All_Provinces",IFERROR(VLOOKUP(G69,'07_Lookups'!$A$4:$B$20,2,FALSE),"All_Provinces"))</t>
        </is>
      </c>
      <c r="AW69" s="39" t="inlineStr">
        <is>
          <t>IF(H69="","All_Districts",IFERROR(VLOOKUP(H69,'07_Lookups'!$E$4:$F$42,2,FALSE),"All_Districts"))</t>
        </is>
      </c>
    </row>
    <row r="70" ht="18" customHeight="1">
      <c r="A70" s="31" t="inlineStr">
        <is>
          <t>IF(E70="","",ROW()-3)</t>
        </is>
      </c>
      <c r="B70" s="32" t="n"/>
      <c r="C70" s="32" t="n"/>
      <c r="D70" s="32" t="n"/>
      <c r="E70" s="32" t="n"/>
      <c r="F70" s="32" t="n"/>
      <c r="G70" s="32" t="n"/>
      <c r="H70" s="32" t="n"/>
      <c r="I70" s="32" t="n"/>
      <c r="J70" s="32" t="n"/>
      <c r="K70" s="32" t="n"/>
      <c r="L70" s="32" t="n"/>
      <c r="M70" s="32" t="n"/>
      <c r="N70" s="33" t="n"/>
      <c r="O70" s="34" t="inlineStr">
        <is>
          <t>IF(AE70="","",AE70)</t>
        </is>
      </c>
      <c r="P70" s="35" t="n"/>
      <c r="Q70" s="34" t="inlineStr">
        <is>
          <t>IF(OR(O70="",P70=""),"",EDATE(O70,P70))</t>
        </is>
      </c>
      <c r="R70" s="35" t="n"/>
      <c r="S70" s="32" t="n"/>
      <c r="T70" s="32" t="n"/>
      <c r="U70" s="31" t="inlineStr">
        <is>
          <t>IF(E70="","",IF(COUNT(Y70:AJ70)=0,IF(S70="","Not started",S70),SUBSTITUTE(LOOKUP(2,1/(Y70:AJ70&lt;&gt;""),$Y$3:$AJ$3),"Date: ","")))</t>
        </is>
      </c>
      <c r="V70" s="36" t="inlineStr">
        <is>
          <t>IF(OR(E70="",COUNT(Y70:AJ70)=0),"",TODAY()-LOOKUP(2,1/(Y70:AJ70&lt;&gt;""),Y70:AJ70))</t>
        </is>
      </c>
      <c r="W70" s="36" t="inlineStr">
        <is>
          <t>IF(OR(E70="",COUNT(Y70:AJ70)&lt;2),"",LOOKUP(2,1/(Y70:AJ70&lt;&gt;""),Y70:AJ70)-MIN(Y70:AJ70))</t>
        </is>
      </c>
      <c r="X70" s="36" t="inlineStr">
        <is>
          <t>IF(OR(V70="",U70="Not started",U70=""),"",IFERROR(V70-IF(VLOOKUP(U70,'04_Status_Pipeline'!$B$3:$E$20,4,FALSE)="",0,VLOOKUP(U70,'04_Status_Pipeline'!$B$3:$E$20,4,FALSE)),""))</t>
        </is>
      </c>
      <c r="Y70" s="37" t="n"/>
      <c r="Z70" s="37" t="n"/>
      <c r="AA70" s="37" t="n"/>
      <c r="AB70" s="37" t="n"/>
      <c r="AC70" s="37" t="n"/>
      <c r="AD70" s="37" t="n"/>
      <c r="AE70" s="37" t="n"/>
      <c r="AF70" s="37" t="n"/>
      <c r="AG70" s="37" t="n"/>
      <c r="AH70" s="38" t="n"/>
      <c r="AI70" s="38" t="n"/>
      <c r="AJ70" s="38" t="n"/>
      <c r="AK70" s="36" t="inlineStr">
        <is>
          <t>IF(OR(E70="",Z70=""),"",IF(COUNT(Y70:Y70)=0,"",Z70-LOOKUP(2,1/(Y70:Y70&lt;&gt;""),Y70:Y70)))</t>
        </is>
      </c>
      <c r="AL70" s="36" t="inlineStr">
        <is>
          <t>IF(OR(E70="",AA70=""),"",IF(COUNT(Y70:Z70)=0,"",AA70-LOOKUP(2,1/(Y70:Z70&lt;&gt;""),Y70:Z70)))</t>
        </is>
      </c>
      <c r="AM70" s="36" t="inlineStr">
        <is>
          <t>IF(OR(E70="",AB70=""),"",IF(COUNT(Y70:AA70)=0,"",AB70-LOOKUP(2,1/(Y70:AA70&lt;&gt;""),Y70:AA70)))</t>
        </is>
      </c>
      <c r="AN70" s="36" t="inlineStr">
        <is>
          <t>IF(OR(E70="",AC70=""),"",IF(COUNT(Y70:AB70)=0,"",AC70-LOOKUP(2,1/(Y70:AB70&lt;&gt;""),Y70:AB70)))</t>
        </is>
      </c>
      <c r="AO70" s="36" t="inlineStr">
        <is>
          <t>IF(OR(E70="",AD70=""),"",IF(COUNT(Y70:AC70)=0,"",AD70-LOOKUP(2,1/(Y70:AC70&lt;&gt;""),Y70:AC70)))</t>
        </is>
      </c>
      <c r="AP70" s="36" t="inlineStr">
        <is>
          <t>IF(OR(E70="",AE70=""),"",IF(COUNT(Y70:AD70)=0,"",AE70-LOOKUP(2,1/(Y70:AD70&lt;&gt;""),Y70:AD70)))</t>
        </is>
      </c>
      <c r="AQ70" s="36" t="inlineStr">
        <is>
          <t>IF(OR(E70="",AF70=""),"",IF(COUNT(Y70:AE70)=0,"",AF70-LOOKUP(2,1/(Y70:AE70&lt;&gt;""),Y70:AE70)))</t>
        </is>
      </c>
      <c r="AR70" s="36" t="inlineStr">
        <is>
          <t>IF(OR(E70="",AG70=""),"",IF(COUNT(Y70:AF70)=0,"",AG70-LOOKUP(2,1/(Y70:AF70&lt;&gt;""),Y70:AF70)))</t>
        </is>
      </c>
      <c r="AS70" s="36" t="inlineStr">
        <is>
          <t>IF(OR(E70="",AH70=""),"",IF(COUNT(Y70:AG70)=0,"",AH70-LOOKUP(2,1/(Y70:AG70&lt;&gt;""),Y70:AG70)))</t>
        </is>
      </c>
      <c r="AT70" s="36" t="inlineStr">
        <is>
          <t>IF(OR(E70="",AI70=""),"",IF(COUNT(Y70:AH70)=0,"",AI70-LOOKUP(2,1/(Y70:AH70&lt;&gt;""),Y70:AH70)))</t>
        </is>
      </c>
      <c r="AU70" s="36" t="inlineStr">
        <is>
          <t>IF(OR(E70="",AJ70=""),"",IF(COUNT(Y70:AI70)=0,"",AJ70-LOOKUP(2,1/(Y70:AI70&lt;&gt;""),Y70:AI70)))</t>
        </is>
      </c>
      <c r="AV70" s="39" t="inlineStr">
        <is>
          <t>IF(G70="","All_Provinces",IFERROR(VLOOKUP(G70,'07_Lookups'!$A$4:$B$20,2,FALSE),"All_Provinces"))</t>
        </is>
      </c>
      <c r="AW70" s="39" t="inlineStr">
        <is>
          <t>IF(H70="","All_Districts",IFERROR(VLOOKUP(H70,'07_Lookups'!$E$4:$F$42,2,FALSE),"All_Districts"))</t>
        </is>
      </c>
    </row>
    <row r="71" ht="18" customHeight="1">
      <c r="A71" s="31" t="inlineStr">
        <is>
          <t>IF(E71="","",ROW()-3)</t>
        </is>
      </c>
      <c r="B71" s="40" t="n"/>
      <c r="C71" s="40" t="n"/>
      <c r="D71" s="40" t="n"/>
      <c r="E71" s="40" t="n"/>
      <c r="F71" s="40" t="n"/>
      <c r="G71" s="40" t="n"/>
      <c r="H71" s="40" t="n"/>
      <c r="I71" s="40" t="n"/>
      <c r="J71" s="40" t="n"/>
      <c r="K71" s="40" t="n"/>
      <c r="L71" s="40" t="n"/>
      <c r="M71" s="40" t="n"/>
      <c r="N71" s="41" t="n"/>
      <c r="O71" s="34" t="inlineStr">
        <is>
          <t>IF(AE71="","",AE71)</t>
        </is>
      </c>
      <c r="P71" s="42" t="n"/>
      <c r="Q71" s="34" t="inlineStr">
        <is>
          <t>IF(OR(O71="",P71=""),"",EDATE(O71,P71))</t>
        </is>
      </c>
      <c r="R71" s="42" t="n"/>
      <c r="S71" s="40" t="n"/>
      <c r="T71" s="40" t="n"/>
      <c r="U71" s="31" t="inlineStr">
        <is>
          <t>IF(E71="","",IF(COUNT(Y71:AJ71)=0,IF(S71="","Not started",S71),SUBSTITUTE(LOOKUP(2,1/(Y71:AJ71&lt;&gt;""),$Y$3:$AJ$3),"Date: ","")))</t>
        </is>
      </c>
      <c r="V71" s="36" t="inlineStr">
        <is>
          <t>IF(OR(E71="",COUNT(Y71:AJ71)=0),"",TODAY()-LOOKUP(2,1/(Y71:AJ71&lt;&gt;""),Y71:AJ71))</t>
        </is>
      </c>
      <c r="W71" s="36" t="inlineStr">
        <is>
          <t>IF(OR(E71="",COUNT(Y71:AJ71)&lt;2),"",LOOKUP(2,1/(Y71:AJ71&lt;&gt;""),Y71:AJ71)-MIN(Y71:AJ71))</t>
        </is>
      </c>
      <c r="X71" s="36" t="inlineStr">
        <is>
          <t>IF(OR(V71="",U71="Not started",U71=""),"",IFERROR(V71-IF(VLOOKUP(U71,'04_Status_Pipeline'!$B$3:$E$20,4,FALSE)="",0,VLOOKUP(U71,'04_Status_Pipeline'!$B$3:$E$20,4,FALSE)),""))</t>
        </is>
      </c>
      <c r="Y71" s="43" t="n"/>
      <c r="Z71" s="43" t="n"/>
      <c r="AA71" s="43" t="n"/>
      <c r="AB71" s="43" t="n"/>
      <c r="AC71" s="43" t="n"/>
      <c r="AD71" s="43" t="n"/>
      <c r="AE71" s="43" t="n"/>
      <c r="AF71" s="43" t="n"/>
      <c r="AG71" s="43" t="n"/>
      <c r="AH71" s="38" t="n"/>
      <c r="AI71" s="38" t="n"/>
      <c r="AJ71" s="38" t="n"/>
      <c r="AK71" s="36" t="inlineStr">
        <is>
          <t>IF(OR(E71="",Z71=""),"",IF(COUNT(Y71:Y71)=0,"",Z71-LOOKUP(2,1/(Y71:Y71&lt;&gt;""),Y71:Y71)))</t>
        </is>
      </c>
      <c r="AL71" s="36" t="inlineStr">
        <is>
          <t>IF(OR(E71="",AA71=""),"",IF(COUNT(Y71:Z71)=0,"",AA71-LOOKUP(2,1/(Y71:Z71&lt;&gt;""),Y71:Z71)))</t>
        </is>
      </c>
      <c r="AM71" s="36" t="inlineStr">
        <is>
          <t>IF(OR(E71="",AB71=""),"",IF(COUNT(Y71:AA71)=0,"",AB71-LOOKUP(2,1/(Y71:AA71&lt;&gt;""),Y71:AA71)))</t>
        </is>
      </c>
      <c r="AN71" s="36" t="inlineStr">
        <is>
          <t>IF(OR(E71="",AC71=""),"",IF(COUNT(Y71:AB71)=0,"",AC71-LOOKUP(2,1/(Y71:AB71&lt;&gt;""),Y71:AB71)))</t>
        </is>
      </c>
      <c r="AO71" s="36" t="inlineStr">
        <is>
          <t>IF(OR(E71="",AD71=""),"",IF(COUNT(Y71:AC71)=0,"",AD71-LOOKUP(2,1/(Y71:AC71&lt;&gt;""),Y71:AC71)))</t>
        </is>
      </c>
      <c r="AP71" s="36" t="inlineStr">
        <is>
          <t>IF(OR(E71="",AE71=""),"",IF(COUNT(Y71:AD71)=0,"",AE71-LOOKUP(2,1/(Y71:AD71&lt;&gt;""),Y71:AD71)))</t>
        </is>
      </c>
      <c r="AQ71" s="36" t="inlineStr">
        <is>
          <t>IF(OR(E71="",AF71=""),"",IF(COUNT(Y71:AE71)=0,"",AF71-LOOKUP(2,1/(Y71:AE71&lt;&gt;""),Y71:AE71)))</t>
        </is>
      </c>
      <c r="AR71" s="36" t="inlineStr">
        <is>
          <t>IF(OR(E71="",AG71=""),"",IF(COUNT(Y71:AF71)=0,"",AG71-LOOKUP(2,1/(Y71:AF71&lt;&gt;""),Y71:AF71)))</t>
        </is>
      </c>
      <c r="AS71" s="36" t="inlineStr">
        <is>
          <t>IF(OR(E71="",AH71=""),"",IF(COUNT(Y71:AG71)=0,"",AH71-LOOKUP(2,1/(Y71:AG71&lt;&gt;""),Y71:AG71)))</t>
        </is>
      </c>
      <c r="AT71" s="36" t="inlineStr">
        <is>
          <t>IF(OR(E71="",AI71=""),"",IF(COUNT(Y71:AH71)=0,"",AI71-LOOKUP(2,1/(Y71:AH71&lt;&gt;""),Y71:AH71)))</t>
        </is>
      </c>
      <c r="AU71" s="36" t="inlineStr">
        <is>
          <t>IF(OR(E71="",AJ71=""),"",IF(COUNT(Y71:AI71)=0,"",AJ71-LOOKUP(2,1/(Y71:AI71&lt;&gt;""),Y71:AI71)))</t>
        </is>
      </c>
      <c r="AV71" s="39" t="inlineStr">
        <is>
          <t>IF(G71="","All_Provinces",IFERROR(VLOOKUP(G71,'07_Lookups'!$A$4:$B$20,2,FALSE),"All_Provinces"))</t>
        </is>
      </c>
      <c r="AW71" s="39" t="inlineStr">
        <is>
          <t>IF(H71="","All_Districts",IFERROR(VLOOKUP(H71,'07_Lookups'!$E$4:$F$42,2,FALSE),"All_Districts"))</t>
        </is>
      </c>
    </row>
    <row r="72" ht="18" customHeight="1">
      <c r="A72" s="31" t="inlineStr">
        <is>
          <t>IF(E72="","",ROW()-3)</t>
        </is>
      </c>
      <c r="B72" s="32" t="n"/>
      <c r="C72" s="32" t="n"/>
      <c r="D72" s="32" t="n"/>
      <c r="E72" s="32" t="n"/>
      <c r="F72" s="32" t="n"/>
      <c r="G72" s="32" t="n"/>
      <c r="H72" s="32" t="n"/>
      <c r="I72" s="32" t="n"/>
      <c r="J72" s="32" t="n"/>
      <c r="K72" s="32" t="n"/>
      <c r="L72" s="32" t="n"/>
      <c r="M72" s="32" t="n"/>
      <c r="N72" s="33" t="n"/>
      <c r="O72" s="34" t="inlineStr">
        <is>
          <t>IF(AE72="","",AE72)</t>
        </is>
      </c>
      <c r="P72" s="35" t="n"/>
      <c r="Q72" s="34" t="inlineStr">
        <is>
          <t>IF(OR(O72="",P72=""),"",EDATE(O72,P72))</t>
        </is>
      </c>
      <c r="R72" s="35" t="n"/>
      <c r="S72" s="32" t="n"/>
      <c r="T72" s="32" t="n"/>
      <c r="U72" s="31" t="inlineStr">
        <is>
          <t>IF(E72="","",IF(COUNT(Y72:AJ72)=0,IF(S72="","Not started",S72),SUBSTITUTE(LOOKUP(2,1/(Y72:AJ72&lt;&gt;""),$Y$3:$AJ$3),"Date: ","")))</t>
        </is>
      </c>
      <c r="V72" s="36" t="inlineStr">
        <is>
          <t>IF(OR(E72="",COUNT(Y72:AJ72)=0),"",TODAY()-LOOKUP(2,1/(Y72:AJ72&lt;&gt;""),Y72:AJ72))</t>
        </is>
      </c>
      <c r="W72" s="36" t="inlineStr">
        <is>
          <t>IF(OR(E72="",COUNT(Y72:AJ72)&lt;2),"",LOOKUP(2,1/(Y72:AJ72&lt;&gt;""),Y72:AJ72)-MIN(Y72:AJ72))</t>
        </is>
      </c>
      <c r="X72" s="36" t="inlineStr">
        <is>
          <t>IF(OR(V72="",U72="Not started",U72=""),"",IFERROR(V72-IF(VLOOKUP(U72,'04_Status_Pipeline'!$B$3:$E$20,4,FALSE)="",0,VLOOKUP(U72,'04_Status_Pipeline'!$B$3:$E$20,4,FALSE)),""))</t>
        </is>
      </c>
      <c r="Y72" s="37" t="n"/>
      <c r="Z72" s="37" t="n"/>
      <c r="AA72" s="37" t="n"/>
      <c r="AB72" s="37" t="n"/>
      <c r="AC72" s="37" t="n"/>
      <c r="AD72" s="37" t="n"/>
      <c r="AE72" s="37" t="n"/>
      <c r="AF72" s="37" t="n"/>
      <c r="AG72" s="37" t="n"/>
      <c r="AH72" s="38" t="n"/>
      <c r="AI72" s="38" t="n"/>
      <c r="AJ72" s="38" t="n"/>
      <c r="AK72" s="36" t="inlineStr">
        <is>
          <t>IF(OR(E72="",Z72=""),"",IF(COUNT(Y72:Y72)=0,"",Z72-LOOKUP(2,1/(Y72:Y72&lt;&gt;""),Y72:Y72)))</t>
        </is>
      </c>
      <c r="AL72" s="36" t="inlineStr">
        <is>
          <t>IF(OR(E72="",AA72=""),"",IF(COUNT(Y72:Z72)=0,"",AA72-LOOKUP(2,1/(Y72:Z72&lt;&gt;""),Y72:Z72)))</t>
        </is>
      </c>
      <c r="AM72" s="36" t="inlineStr">
        <is>
          <t>IF(OR(E72="",AB72=""),"",IF(COUNT(Y72:AA72)=0,"",AB72-LOOKUP(2,1/(Y72:AA72&lt;&gt;""),Y72:AA72)))</t>
        </is>
      </c>
      <c r="AN72" s="36" t="inlineStr">
        <is>
          <t>IF(OR(E72="",AC72=""),"",IF(COUNT(Y72:AB72)=0,"",AC72-LOOKUP(2,1/(Y72:AB72&lt;&gt;""),Y72:AB72)))</t>
        </is>
      </c>
      <c r="AO72" s="36" t="inlineStr">
        <is>
          <t>IF(OR(E72="",AD72=""),"",IF(COUNT(Y72:AC72)=0,"",AD72-LOOKUP(2,1/(Y72:AC72&lt;&gt;""),Y72:AC72)))</t>
        </is>
      </c>
      <c r="AP72" s="36" t="inlineStr">
        <is>
          <t>IF(OR(E72="",AE72=""),"",IF(COUNT(Y72:AD72)=0,"",AE72-LOOKUP(2,1/(Y72:AD72&lt;&gt;""),Y72:AD72)))</t>
        </is>
      </c>
      <c r="AQ72" s="36" t="inlineStr">
        <is>
          <t>IF(OR(E72="",AF72=""),"",IF(COUNT(Y72:AE72)=0,"",AF72-LOOKUP(2,1/(Y72:AE72&lt;&gt;""),Y72:AE72)))</t>
        </is>
      </c>
      <c r="AR72" s="36" t="inlineStr">
        <is>
          <t>IF(OR(E72="",AG72=""),"",IF(COUNT(Y72:AF72)=0,"",AG72-LOOKUP(2,1/(Y72:AF72&lt;&gt;""),Y72:AF72)))</t>
        </is>
      </c>
      <c r="AS72" s="36" t="inlineStr">
        <is>
          <t>IF(OR(E72="",AH72=""),"",IF(COUNT(Y72:AG72)=0,"",AH72-LOOKUP(2,1/(Y72:AG72&lt;&gt;""),Y72:AG72)))</t>
        </is>
      </c>
      <c r="AT72" s="36" t="inlineStr">
        <is>
          <t>IF(OR(E72="",AI72=""),"",IF(COUNT(Y72:AH72)=0,"",AI72-LOOKUP(2,1/(Y72:AH72&lt;&gt;""),Y72:AH72)))</t>
        </is>
      </c>
      <c r="AU72" s="36" t="inlineStr">
        <is>
          <t>IF(OR(E72="",AJ72=""),"",IF(COUNT(Y72:AI72)=0,"",AJ72-LOOKUP(2,1/(Y72:AI72&lt;&gt;""),Y72:AI72)))</t>
        </is>
      </c>
      <c r="AV72" s="39" t="inlineStr">
        <is>
          <t>IF(G72="","All_Provinces",IFERROR(VLOOKUP(G72,'07_Lookups'!$A$4:$B$20,2,FALSE),"All_Provinces"))</t>
        </is>
      </c>
      <c r="AW72" s="39" t="inlineStr">
        <is>
          <t>IF(H72="","All_Districts",IFERROR(VLOOKUP(H72,'07_Lookups'!$E$4:$F$42,2,FALSE),"All_Districts"))</t>
        </is>
      </c>
    </row>
    <row r="73" ht="18" customHeight="1">
      <c r="A73" s="31" t="inlineStr">
        <is>
          <t>IF(E73="","",ROW()-3)</t>
        </is>
      </c>
      <c r="B73" s="40" t="n"/>
      <c r="C73" s="40" t="n"/>
      <c r="D73" s="40" t="n"/>
      <c r="E73" s="40" t="n"/>
      <c r="F73" s="40" t="n"/>
      <c r="G73" s="40" t="n"/>
      <c r="H73" s="40" t="n"/>
      <c r="I73" s="40" t="n"/>
      <c r="J73" s="40" t="n"/>
      <c r="K73" s="40" t="n"/>
      <c r="L73" s="40" t="n"/>
      <c r="M73" s="40" t="n"/>
      <c r="N73" s="41" t="n"/>
      <c r="O73" s="34" t="inlineStr">
        <is>
          <t>IF(AE73="","",AE73)</t>
        </is>
      </c>
      <c r="P73" s="42" t="n"/>
      <c r="Q73" s="34" t="inlineStr">
        <is>
          <t>IF(OR(O73="",P73=""),"",EDATE(O73,P73))</t>
        </is>
      </c>
      <c r="R73" s="42" t="n"/>
      <c r="S73" s="40" t="n"/>
      <c r="T73" s="40" t="n"/>
      <c r="U73" s="31" t="inlineStr">
        <is>
          <t>IF(E73="","",IF(COUNT(Y73:AJ73)=0,IF(S73="","Not started",S73),SUBSTITUTE(LOOKUP(2,1/(Y73:AJ73&lt;&gt;""),$Y$3:$AJ$3),"Date: ","")))</t>
        </is>
      </c>
      <c r="V73" s="36" t="inlineStr">
        <is>
          <t>IF(OR(E73="",COUNT(Y73:AJ73)=0),"",TODAY()-LOOKUP(2,1/(Y73:AJ73&lt;&gt;""),Y73:AJ73))</t>
        </is>
      </c>
      <c r="W73" s="36" t="inlineStr">
        <is>
          <t>IF(OR(E73="",COUNT(Y73:AJ73)&lt;2),"",LOOKUP(2,1/(Y73:AJ73&lt;&gt;""),Y73:AJ73)-MIN(Y73:AJ73))</t>
        </is>
      </c>
      <c r="X73" s="36" t="inlineStr">
        <is>
          <t>IF(OR(V73="",U73="Not started",U73=""),"",IFERROR(V73-IF(VLOOKUP(U73,'04_Status_Pipeline'!$B$3:$E$20,4,FALSE)="",0,VLOOKUP(U73,'04_Status_Pipeline'!$B$3:$E$20,4,FALSE)),""))</t>
        </is>
      </c>
      <c r="Y73" s="43" t="n"/>
      <c r="Z73" s="43" t="n"/>
      <c r="AA73" s="43" t="n"/>
      <c r="AB73" s="43" t="n"/>
      <c r="AC73" s="43" t="n"/>
      <c r="AD73" s="43" t="n"/>
      <c r="AE73" s="43" t="n"/>
      <c r="AF73" s="43" t="n"/>
      <c r="AG73" s="43" t="n"/>
      <c r="AH73" s="38" t="n"/>
      <c r="AI73" s="38" t="n"/>
      <c r="AJ73" s="38" t="n"/>
      <c r="AK73" s="36" t="inlineStr">
        <is>
          <t>IF(OR(E73="",Z73=""),"",IF(COUNT(Y73:Y73)=0,"",Z73-LOOKUP(2,1/(Y73:Y73&lt;&gt;""),Y73:Y73)))</t>
        </is>
      </c>
      <c r="AL73" s="36" t="inlineStr">
        <is>
          <t>IF(OR(E73="",AA73=""),"",IF(COUNT(Y73:Z73)=0,"",AA73-LOOKUP(2,1/(Y73:Z73&lt;&gt;""),Y73:Z73)))</t>
        </is>
      </c>
      <c r="AM73" s="36" t="inlineStr">
        <is>
          <t>IF(OR(E73="",AB73=""),"",IF(COUNT(Y73:AA73)=0,"",AB73-LOOKUP(2,1/(Y73:AA73&lt;&gt;""),Y73:AA73)))</t>
        </is>
      </c>
      <c r="AN73" s="36" t="inlineStr">
        <is>
          <t>IF(OR(E73="",AC73=""),"",IF(COUNT(Y73:AB73)=0,"",AC73-LOOKUP(2,1/(Y73:AB73&lt;&gt;""),Y73:AB73)))</t>
        </is>
      </c>
      <c r="AO73" s="36" t="inlineStr">
        <is>
          <t>IF(OR(E73="",AD73=""),"",IF(COUNT(Y73:AC73)=0,"",AD73-LOOKUP(2,1/(Y73:AC73&lt;&gt;""),Y73:AC73)))</t>
        </is>
      </c>
      <c r="AP73" s="36" t="inlineStr">
        <is>
          <t>IF(OR(E73="",AE73=""),"",IF(COUNT(Y73:AD73)=0,"",AE73-LOOKUP(2,1/(Y73:AD73&lt;&gt;""),Y73:AD73)))</t>
        </is>
      </c>
      <c r="AQ73" s="36" t="inlineStr">
        <is>
          <t>IF(OR(E73="",AF73=""),"",IF(COUNT(Y73:AE73)=0,"",AF73-LOOKUP(2,1/(Y73:AE73&lt;&gt;""),Y73:AE73)))</t>
        </is>
      </c>
      <c r="AR73" s="36" t="inlineStr">
        <is>
          <t>IF(OR(E73="",AG73=""),"",IF(COUNT(Y73:AF73)=0,"",AG73-LOOKUP(2,1/(Y73:AF73&lt;&gt;""),Y73:AF73)))</t>
        </is>
      </c>
      <c r="AS73" s="36" t="inlineStr">
        <is>
          <t>IF(OR(E73="",AH73=""),"",IF(COUNT(Y73:AG73)=0,"",AH73-LOOKUP(2,1/(Y73:AG73&lt;&gt;""),Y73:AG73)))</t>
        </is>
      </c>
      <c r="AT73" s="36" t="inlineStr">
        <is>
          <t>IF(OR(E73="",AI73=""),"",IF(COUNT(Y73:AH73)=0,"",AI73-LOOKUP(2,1/(Y73:AH73&lt;&gt;""),Y73:AH73)))</t>
        </is>
      </c>
      <c r="AU73" s="36" t="inlineStr">
        <is>
          <t>IF(OR(E73="",AJ73=""),"",IF(COUNT(Y73:AI73)=0,"",AJ73-LOOKUP(2,1/(Y73:AI73&lt;&gt;""),Y73:AI73)))</t>
        </is>
      </c>
      <c r="AV73" s="39" t="inlineStr">
        <is>
          <t>IF(G73="","All_Provinces",IFERROR(VLOOKUP(G73,'07_Lookups'!$A$4:$B$20,2,FALSE),"All_Provinces"))</t>
        </is>
      </c>
      <c r="AW73" s="39" t="inlineStr">
        <is>
          <t>IF(H73="","All_Districts",IFERROR(VLOOKUP(H73,'07_Lookups'!$E$4:$F$42,2,FALSE),"All_Districts"))</t>
        </is>
      </c>
    </row>
    <row r="74" ht="18" customHeight="1">
      <c r="A74" s="31" t="inlineStr">
        <is>
          <t>IF(E74="","",ROW()-3)</t>
        </is>
      </c>
      <c r="B74" s="32" t="n"/>
      <c r="C74" s="32" t="n"/>
      <c r="D74" s="32" t="n"/>
      <c r="E74" s="32" t="n"/>
      <c r="F74" s="32" t="n"/>
      <c r="G74" s="32" t="n"/>
      <c r="H74" s="32" t="n"/>
      <c r="I74" s="32" t="n"/>
      <c r="J74" s="32" t="n"/>
      <c r="K74" s="32" t="n"/>
      <c r="L74" s="32" t="n"/>
      <c r="M74" s="32" t="n"/>
      <c r="N74" s="33" t="n"/>
      <c r="O74" s="34" t="inlineStr">
        <is>
          <t>IF(AE74="","",AE74)</t>
        </is>
      </c>
      <c r="P74" s="35" t="n"/>
      <c r="Q74" s="34" t="inlineStr">
        <is>
          <t>IF(OR(O74="",P74=""),"",EDATE(O74,P74))</t>
        </is>
      </c>
      <c r="R74" s="35" t="n"/>
      <c r="S74" s="32" t="n"/>
      <c r="T74" s="32" t="n"/>
      <c r="U74" s="31" t="inlineStr">
        <is>
          <t>IF(E74="","",IF(COUNT(Y74:AJ74)=0,IF(S74="","Not started",S74),SUBSTITUTE(LOOKUP(2,1/(Y74:AJ74&lt;&gt;""),$Y$3:$AJ$3),"Date: ","")))</t>
        </is>
      </c>
      <c r="V74" s="36" t="inlineStr">
        <is>
          <t>IF(OR(E74="",COUNT(Y74:AJ74)=0),"",TODAY()-LOOKUP(2,1/(Y74:AJ74&lt;&gt;""),Y74:AJ74))</t>
        </is>
      </c>
      <c r="W74" s="36" t="inlineStr">
        <is>
          <t>IF(OR(E74="",COUNT(Y74:AJ74)&lt;2),"",LOOKUP(2,1/(Y74:AJ74&lt;&gt;""),Y74:AJ74)-MIN(Y74:AJ74))</t>
        </is>
      </c>
      <c r="X74" s="36" t="inlineStr">
        <is>
          <t>IF(OR(V74="",U74="Not started",U74=""),"",IFERROR(V74-IF(VLOOKUP(U74,'04_Status_Pipeline'!$B$3:$E$20,4,FALSE)="",0,VLOOKUP(U74,'04_Status_Pipeline'!$B$3:$E$20,4,FALSE)),""))</t>
        </is>
      </c>
      <c r="Y74" s="37" t="n"/>
      <c r="Z74" s="37" t="n"/>
      <c r="AA74" s="37" t="n"/>
      <c r="AB74" s="37" t="n"/>
      <c r="AC74" s="37" t="n"/>
      <c r="AD74" s="37" t="n"/>
      <c r="AE74" s="37" t="n"/>
      <c r="AF74" s="37" t="n"/>
      <c r="AG74" s="37" t="n"/>
      <c r="AH74" s="38" t="n"/>
      <c r="AI74" s="38" t="n"/>
      <c r="AJ74" s="38" t="n"/>
      <c r="AK74" s="36" t="inlineStr">
        <is>
          <t>IF(OR(E74="",Z74=""),"",IF(COUNT(Y74:Y74)=0,"",Z74-LOOKUP(2,1/(Y74:Y74&lt;&gt;""),Y74:Y74)))</t>
        </is>
      </c>
      <c r="AL74" s="36" t="inlineStr">
        <is>
          <t>IF(OR(E74="",AA74=""),"",IF(COUNT(Y74:Z74)=0,"",AA74-LOOKUP(2,1/(Y74:Z74&lt;&gt;""),Y74:Z74)))</t>
        </is>
      </c>
      <c r="AM74" s="36" t="inlineStr">
        <is>
          <t>IF(OR(E74="",AB74=""),"",IF(COUNT(Y74:AA74)=0,"",AB74-LOOKUP(2,1/(Y74:AA74&lt;&gt;""),Y74:AA74)))</t>
        </is>
      </c>
      <c r="AN74" s="36" t="inlineStr">
        <is>
          <t>IF(OR(E74="",AC74=""),"",IF(COUNT(Y74:AB74)=0,"",AC74-LOOKUP(2,1/(Y74:AB74&lt;&gt;""),Y74:AB74)))</t>
        </is>
      </c>
      <c r="AO74" s="36" t="inlineStr">
        <is>
          <t>IF(OR(E74="",AD74=""),"",IF(COUNT(Y74:AC74)=0,"",AD74-LOOKUP(2,1/(Y74:AC74&lt;&gt;""),Y74:AC74)))</t>
        </is>
      </c>
      <c r="AP74" s="36" t="inlineStr">
        <is>
          <t>IF(OR(E74="",AE74=""),"",IF(COUNT(Y74:AD74)=0,"",AE74-LOOKUP(2,1/(Y74:AD74&lt;&gt;""),Y74:AD74)))</t>
        </is>
      </c>
      <c r="AQ74" s="36" t="inlineStr">
        <is>
          <t>IF(OR(E74="",AF74=""),"",IF(COUNT(Y74:AE74)=0,"",AF74-LOOKUP(2,1/(Y74:AE74&lt;&gt;""),Y74:AE74)))</t>
        </is>
      </c>
      <c r="AR74" s="36" t="inlineStr">
        <is>
          <t>IF(OR(E74="",AG74=""),"",IF(COUNT(Y74:AF74)=0,"",AG74-LOOKUP(2,1/(Y74:AF74&lt;&gt;""),Y74:AF74)))</t>
        </is>
      </c>
      <c r="AS74" s="36" t="inlineStr">
        <is>
          <t>IF(OR(E74="",AH74=""),"",IF(COUNT(Y74:AG74)=0,"",AH74-LOOKUP(2,1/(Y74:AG74&lt;&gt;""),Y74:AG74)))</t>
        </is>
      </c>
      <c r="AT74" s="36" t="inlineStr">
        <is>
          <t>IF(OR(E74="",AI74=""),"",IF(COUNT(Y74:AH74)=0,"",AI74-LOOKUP(2,1/(Y74:AH74&lt;&gt;""),Y74:AH74)))</t>
        </is>
      </c>
      <c r="AU74" s="36" t="inlineStr">
        <is>
          <t>IF(OR(E74="",AJ74=""),"",IF(COUNT(Y74:AI74)=0,"",AJ74-LOOKUP(2,1/(Y74:AI74&lt;&gt;""),Y74:AI74)))</t>
        </is>
      </c>
      <c r="AV74" s="39" t="inlineStr">
        <is>
          <t>IF(G74="","All_Provinces",IFERROR(VLOOKUP(G74,'07_Lookups'!$A$4:$B$20,2,FALSE),"All_Provinces"))</t>
        </is>
      </c>
      <c r="AW74" s="39" t="inlineStr">
        <is>
          <t>IF(H74="","All_Districts",IFERROR(VLOOKUP(H74,'07_Lookups'!$E$4:$F$42,2,FALSE),"All_Districts"))</t>
        </is>
      </c>
    </row>
    <row r="75" ht="18" customHeight="1">
      <c r="A75" s="31" t="inlineStr">
        <is>
          <t>IF(E75="","",ROW()-3)</t>
        </is>
      </c>
      <c r="B75" s="40" t="n"/>
      <c r="C75" s="40" t="n"/>
      <c r="D75" s="40" t="n"/>
      <c r="E75" s="40" t="n"/>
      <c r="F75" s="40" t="n"/>
      <c r="G75" s="40" t="n"/>
      <c r="H75" s="40" t="n"/>
      <c r="I75" s="40" t="n"/>
      <c r="J75" s="40" t="n"/>
      <c r="K75" s="40" t="n"/>
      <c r="L75" s="40" t="n"/>
      <c r="M75" s="40" t="n"/>
      <c r="N75" s="41" t="n"/>
      <c r="O75" s="34" t="inlineStr">
        <is>
          <t>IF(AE75="","",AE75)</t>
        </is>
      </c>
      <c r="P75" s="42" t="n"/>
      <c r="Q75" s="34" t="inlineStr">
        <is>
          <t>IF(OR(O75="",P75=""),"",EDATE(O75,P75))</t>
        </is>
      </c>
      <c r="R75" s="42" t="n"/>
      <c r="S75" s="40" t="n"/>
      <c r="T75" s="40" t="n"/>
      <c r="U75" s="31" t="inlineStr">
        <is>
          <t>IF(E75="","",IF(COUNT(Y75:AJ75)=0,IF(S75="","Not started",S75),SUBSTITUTE(LOOKUP(2,1/(Y75:AJ75&lt;&gt;""),$Y$3:$AJ$3),"Date: ","")))</t>
        </is>
      </c>
      <c r="V75" s="36" t="inlineStr">
        <is>
          <t>IF(OR(E75="",COUNT(Y75:AJ75)=0),"",TODAY()-LOOKUP(2,1/(Y75:AJ75&lt;&gt;""),Y75:AJ75))</t>
        </is>
      </c>
      <c r="W75" s="36" t="inlineStr">
        <is>
          <t>IF(OR(E75="",COUNT(Y75:AJ75)&lt;2),"",LOOKUP(2,1/(Y75:AJ75&lt;&gt;""),Y75:AJ75)-MIN(Y75:AJ75))</t>
        </is>
      </c>
      <c r="X75" s="36" t="inlineStr">
        <is>
          <t>IF(OR(V75="",U75="Not started",U75=""),"",IFERROR(V75-IF(VLOOKUP(U75,'04_Status_Pipeline'!$B$3:$E$20,4,FALSE)="",0,VLOOKUP(U75,'04_Status_Pipeline'!$B$3:$E$20,4,FALSE)),""))</t>
        </is>
      </c>
      <c r="Y75" s="43" t="n"/>
      <c r="Z75" s="43" t="n"/>
      <c r="AA75" s="43" t="n"/>
      <c r="AB75" s="43" t="n"/>
      <c r="AC75" s="43" t="n"/>
      <c r="AD75" s="43" t="n"/>
      <c r="AE75" s="43" t="n"/>
      <c r="AF75" s="43" t="n"/>
      <c r="AG75" s="43" t="n"/>
      <c r="AH75" s="38" t="n"/>
      <c r="AI75" s="38" t="n"/>
      <c r="AJ75" s="38" t="n"/>
      <c r="AK75" s="36" t="inlineStr">
        <is>
          <t>IF(OR(E75="",Z75=""),"",IF(COUNT(Y75:Y75)=0,"",Z75-LOOKUP(2,1/(Y75:Y75&lt;&gt;""),Y75:Y75)))</t>
        </is>
      </c>
      <c r="AL75" s="36" t="inlineStr">
        <is>
          <t>IF(OR(E75="",AA75=""),"",IF(COUNT(Y75:Z75)=0,"",AA75-LOOKUP(2,1/(Y75:Z75&lt;&gt;""),Y75:Z75)))</t>
        </is>
      </c>
      <c r="AM75" s="36" t="inlineStr">
        <is>
          <t>IF(OR(E75="",AB75=""),"",IF(COUNT(Y75:AA75)=0,"",AB75-LOOKUP(2,1/(Y75:AA75&lt;&gt;""),Y75:AA75)))</t>
        </is>
      </c>
      <c r="AN75" s="36" t="inlineStr">
        <is>
          <t>IF(OR(E75="",AC75=""),"",IF(COUNT(Y75:AB75)=0,"",AC75-LOOKUP(2,1/(Y75:AB75&lt;&gt;""),Y75:AB75)))</t>
        </is>
      </c>
      <c r="AO75" s="36" t="inlineStr">
        <is>
          <t>IF(OR(E75="",AD75=""),"",IF(COUNT(Y75:AC75)=0,"",AD75-LOOKUP(2,1/(Y75:AC75&lt;&gt;""),Y75:AC75)))</t>
        </is>
      </c>
      <c r="AP75" s="36" t="inlineStr">
        <is>
          <t>IF(OR(E75="",AE75=""),"",IF(COUNT(Y75:AD75)=0,"",AE75-LOOKUP(2,1/(Y75:AD75&lt;&gt;""),Y75:AD75)))</t>
        </is>
      </c>
      <c r="AQ75" s="36" t="inlineStr">
        <is>
          <t>IF(OR(E75="",AF75=""),"",IF(COUNT(Y75:AE75)=0,"",AF75-LOOKUP(2,1/(Y75:AE75&lt;&gt;""),Y75:AE75)))</t>
        </is>
      </c>
      <c r="AR75" s="36" t="inlineStr">
        <is>
          <t>IF(OR(E75="",AG75=""),"",IF(COUNT(Y75:AF75)=0,"",AG75-LOOKUP(2,1/(Y75:AF75&lt;&gt;""),Y75:AF75)))</t>
        </is>
      </c>
      <c r="AS75" s="36" t="inlineStr">
        <is>
          <t>IF(OR(E75="",AH75=""),"",IF(COUNT(Y75:AG75)=0,"",AH75-LOOKUP(2,1/(Y75:AG75&lt;&gt;""),Y75:AG75)))</t>
        </is>
      </c>
      <c r="AT75" s="36" t="inlineStr">
        <is>
          <t>IF(OR(E75="",AI75=""),"",IF(COUNT(Y75:AH75)=0,"",AI75-LOOKUP(2,1/(Y75:AH75&lt;&gt;""),Y75:AH75)))</t>
        </is>
      </c>
      <c r="AU75" s="36" t="inlineStr">
        <is>
          <t>IF(OR(E75="",AJ75=""),"",IF(COUNT(Y75:AI75)=0,"",AJ75-LOOKUP(2,1/(Y75:AI75&lt;&gt;""),Y75:AI75)))</t>
        </is>
      </c>
      <c r="AV75" s="39" t="inlineStr">
        <is>
          <t>IF(G75="","All_Provinces",IFERROR(VLOOKUP(G75,'07_Lookups'!$A$4:$B$20,2,FALSE),"All_Provinces"))</t>
        </is>
      </c>
      <c r="AW75" s="39" t="inlineStr">
        <is>
          <t>IF(H75="","All_Districts",IFERROR(VLOOKUP(H75,'07_Lookups'!$E$4:$F$42,2,FALSE),"All_Districts"))</t>
        </is>
      </c>
    </row>
    <row r="76" ht="18" customHeight="1">
      <c r="A76" s="31" t="inlineStr">
        <is>
          <t>IF(E76="","",ROW()-3)</t>
        </is>
      </c>
      <c r="B76" s="32" t="n"/>
      <c r="C76" s="32" t="n"/>
      <c r="D76" s="32" t="n"/>
      <c r="E76" s="32" t="n"/>
      <c r="F76" s="32" t="n"/>
      <c r="G76" s="32" t="n"/>
      <c r="H76" s="32" t="n"/>
      <c r="I76" s="32" t="n"/>
      <c r="J76" s="32" t="n"/>
      <c r="K76" s="32" t="n"/>
      <c r="L76" s="32" t="n"/>
      <c r="M76" s="32" t="n"/>
      <c r="N76" s="33" t="n"/>
      <c r="O76" s="34" t="inlineStr">
        <is>
          <t>IF(AE76="","",AE76)</t>
        </is>
      </c>
      <c r="P76" s="35" t="n"/>
      <c r="Q76" s="34" t="inlineStr">
        <is>
          <t>IF(OR(O76="",P76=""),"",EDATE(O76,P76))</t>
        </is>
      </c>
      <c r="R76" s="35" t="n"/>
      <c r="S76" s="32" t="n"/>
      <c r="T76" s="32" t="n"/>
      <c r="U76" s="31" t="inlineStr">
        <is>
          <t>IF(E76="","",IF(COUNT(Y76:AJ76)=0,IF(S76="","Not started",S76),SUBSTITUTE(LOOKUP(2,1/(Y76:AJ76&lt;&gt;""),$Y$3:$AJ$3),"Date: ","")))</t>
        </is>
      </c>
      <c r="V76" s="36" t="inlineStr">
        <is>
          <t>IF(OR(E76="",COUNT(Y76:AJ76)=0),"",TODAY()-LOOKUP(2,1/(Y76:AJ76&lt;&gt;""),Y76:AJ76))</t>
        </is>
      </c>
      <c r="W76" s="36" t="inlineStr">
        <is>
          <t>IF(OR(E76="",COUNT(Y76:AJ76)&lt;2),"",LOOKUP(2,1/(Y76:AJ76&lt;&gt;""),Y76:AJ76)-MIN(Y76:AJ76))</t>
        </is>
      </c>
      <c r="X76" s="36" t="inlineStr">
        <is>
          <t>IF(OR(V76="",U76="Not started",U76=""),"",IFERROR(V76-IF(VLOOKUP(U76,'04_Status_Pipeline'!$B$3:$E$20,4,FALSE)="",0,VLOOKUP(U76,'04_Status_Pipeline'!$B$3:$E$20,4,FALSE)),""))</t>
        </is>
      </c>
      <c r="Y76" s="37" t="n"/>
      <c r="Z76" s="37" t="n"/>
      <c r="AA76" s="37" t="n"/>
      <c r="AB76" s="37" t="n"/>
      <c r="AC76" s="37" t="n"/>
      <c r="AD76" s="37" t="n"/>
      <c r="AE76" s="37" t="n"/>
      <c r="AF76" s="37" t="n"/>
      <c r="AG76" s="37" t="n"/>
      <c r="AH76" s="38" t="n"/>
      <c r="AI76" s="38" t="n"/>
      <c r="AJ76" s="38" t="n"/>
      <c r="AK76" s="36" t="inlineStr">
        <is>
          <t>IF(OR(E76="",Z76=""),"",IF(COUNT(Y76:Y76)=0,"",Z76-LOOKUP(2,1/(Y76:Y76&lt;&gt;""),Y76:Y76)))</t>
        </is>
      </c>
      <c r="AL76" s="36" t="inlineStr">
        <is>
          <t>IF(OR(E76="",AA76=""),"",IF(COUNT(Y76:Z76)=0,"",AA76-LOOKUP(2,1/(Y76:Z76&lt;&gt;""),Y76:Z76)))</t>
        </is>
      </c>
      <c r="AM76" s="36" t="inlineStr">
        <is>
          <t>IF(OR(E76="",AB76=""),"",IF(COUNT(Y76:AA76)=0,"",AB76-LOOKUP(2,1/(Y76:AA76&lt;&gt;""),Y76:AA76)))</t>
        </is>
      </c>
      <c r="AN76" s="36" t="inlineStr">
        <is>
          <t>IF(OR(E76="",AC76=""),"",IF(COUNT(Y76:AB76)=0,"",AC76-LOOKUP(2,1/(Y76:AB76&lt;&gt;""),Y76:AB76)))</t>
        </is>
      </c>
      <c r="AO76" s="36" t="inlineStr">
        <is>
          <t>IF(OR(E76="",AD76=""),"",IF(COUNT(Y76:AC76)=0,"",AD76-LOOKUP(2,1/(Y76:AC76&lt;&gt;""),Y76:AC76)))</t>
        </is>
      </c>
      <c r="AP76" s="36" t="inlineStr">
        <is>
          <t>IF(OR(E76="",AE76=""),"",IF(COUNT(Y76:AD76)=0,"",AE76-LOOKUP(2,1/(Y76:AD76&lt;&gt;""),Y76:AD76)))</t>
        </is>
      </c>
      <c r="AQ76" s="36" t="inlineStr">
        <is>
          <t>IF(OR(E76="",AF76=""),"",IF(COUNT(Y76:AE76)=0,"",AF76-LOOKUP(2,1/(Y76:AE76&lt;&gt;""),Y76:AE76)))</t>
        </is>
      </c>
      <c r="AR76" s="36" t="inlineStr">
        <is>
          <t>IF(OR(E76="",AG76=""),"",IF(COUNT(Y76:AF76)=0,"",AG76-LOOKUP(2,1/(Y76:AF76&lt;&gt;""),Y76:AF76)))</t>
        </is>
      </c>
      <c r="AS76" s="36" t="inlineStr">
        <is>
          <t>IF(OR(E76="",AH76=""),"",IF(COUNT(Y76:AG76)=0,"",AH76-LOOKUP(2,1/(Y76:AG76&lt;&gt;""),Y76:AG76)))</t>
        </is>
      </c>
      <c r="AT76" s="36" t="inlineStr">
        <is>
          <t>IF(OR(E76="",AI76=""),"",IF(COUNT(Y76:AH76)=0,"",AI76-LOOKUP(2,1/(Y76:AH76&lt;&gt;""),Y76:AH76)))</t>
        </is>
      </c>
      <c r="AU76" s="36" t="inlineStr">
        <is>
          <t>IF(OR(E76="",AJ76=""),"",IF(COUNT(Y76:AI76)=0,"",AJ76-LOOKUP(2,1/(Y76:AI76&lt;&gt;""),Y76:AI76)))</t>
        </is>
      </c>
      <c r="AV76" s="39" t="inlineStr">
        <is>
          <t>IF(G76="","All_Provinces",IFERROR(VLOOKUP(G76,'07_Lookups'!$A$4:$B$20,2,FALSE),"All_Provinces"))</t>
        </is>
      </c>
      <c r="AW76" s="39" t="inlineStr">
        <is>
          <t>IF(H76="","All_Districts",IFERROR(VLOOKUP(H76,'07_Lookups'!$E$4:$F$42,2,FALSE),"All_Districts"))</t>
        </is>
      </c>
    </row>
    <row r="77" ht="18" customHeight="1">
      <c r="A77" s="31" t="inlineStr">
        <is>
          <t>IF(E77="","",ROW()-3)</t>
        </is>
      </c>
      <c r="B77" s="40" t="n"/>
      <c r="C77" s="40" t="n"/>
      <c r="D77" s="40" t="n"/>
      <c r="E77" s="40" t="n"/>
      <c r="F77" s="40" t="n"/>
      <c r="G77" s="40" t="n"/>
      <c r="H77" s="40" t="n"/>
      <c r="I77" s="40" t="n"/>
      <c r="J77" s="40" t="n"/>
      <c r="K77" s="40" t="n"/>
      <c r="L77" s="40" t="n"/>
      <c r="M77" s="40" t="n"/>
      <c r="N77" s="41" t="n"/>
      <c r="O77" s="34" t="inlineStr">
        <is>
          <t>IF(AE77="","",AE77)</t>
        </is>
      </c>
      <c r="P77" s="42" t="n"/>
      <c r="Q77" s="34" t="inlineStr">
        <is>
          <t>IF(OR(O77="",P77=""),"",EDATE(O77,P77))</t>
        </is>
      </c>
      <c r="R77" s="42" t="n"/>
      <c r="S77" s="40" t="n"/>
      <c r="T77" s="40" t="n"/>
      <c r="U77" s="31" t="inlineStr">
        <is>
          <t>IF(E77="","",IF(COUNT(Y77:AJ77)=0,IF(S77="","Not started",S77),SUBSTITUTE(LOOKUP(2,1/(Y77:AJ77&lt;&gt;""),$Y$3:$AJ$3),"Date: ","")))</t>
        </is>
      </c>
      <c r="V77" s="36" t="inlineStr">
        <is>
          <t>IF(OR(E77="",COUNT(Y77:AJ77)=0),"",TODAY()-LOOKUP(2,1/(Y77:AJ77&lt;&gt;""),Y77:AJ77))</t>
        </is>
      </c>
      <c r="W77" s="36" t="inlineStr">
        <is>
          <t>IF(OR(E77="",COUNT(Y77:AJ77)&lt;2),"",LOOKUP(2,1/(Y77:AJ77&lt;&gt;""),Y77:AJ77)-MIN(Y77:AJ77))</t>
        </is>
      </c>
      <c r="X77" s="36" t="inlineStr">
        <is>
          <t>IF(OR(V77="",U77="Not started",U77=""),"",IFERROR(V77-IF(VLOOKUP(U77,'04_Status_Pipeline'!$B$3:$E$20,4,FALSE)="",0,VLOOKUP(U77,'04_Status_Pipeline'!$B$3:$E$20,4,FALSE)),""))</t>
        </is>
      </c>
      <c r="Y77" s="43" t="n"/>
      <c r="Z77" s="43" t="n"/>
      <c r="AA77" s="43" t="n"/>
      <c r="AB77" s="43" t="n"/>
      <c r="AC77" s="43" t="n"/>
      <c r="AD77" s="43" t="n"/>
      <c r="AE77" s="43" t="n"/>
      <c r="AF77" s="43" t="n"/>
      <c r="AG77" s="43" t="n"/>
      <c r="AH77" s="38" t="n"/>
      <c r="AI77" s="38" t="n"/>
      <c r="AJ77" s="38" t="n"/>
      <c r="AK77" s="36" t="inlineStr">
        <is>
          <t>IF(OR(E77="",Z77=""),"",IF(COUNT(Y77:Y77)=0,"",Z77-LOOKUP(2,1/(Y77:Y77&lt;&gt;""),Y77:Y77)))</t>
        </is>
      </c>
      <c r="AL77" s="36" t="inlineStr">
        <is>
          <t>IF(OR(E77="",AA77=""),"",IF(COUNT(Y77:Z77)=0,"",AA77-LOOKUP(2,1/(Y77:Z77&lt;&gt;""),Y77:Z77)))</t>
        </is>
      </c>
      <c r="AM77" s="36" t="inlineStr">
        <is>
          <t>IF(OR(E77="",AB77=""),"",IF(COUNT(Y77:AA77)=0,"",AB77-LOOKUP(2,1/(Y77:AA77&lt;&gt;""),Y77:AA77)))</t>
        </is>
      </c>
      <c r="AN77" s="36" t="inlineStr">
        <is>
          <t>IF(OR(E77="",AC77=""),"",IF(COUNT(Y77:AB77)=0,"",AC77-LOOKUP(2,1/(Y77:AB77&lt;&gt;""),Y77:AB77)))</t>
        </is>
      </c>
      <c r="AO77" s="36" t="inlineStr">
        <is>
          <t>IF(OR(E77="",AD77=""),"",IF(COUNT(Y77:AC77)=0,"",AD77-LOOKUP(2,1/(Y77:AC77&lt;&gt;""),Y77:AC77)))</t>
        </is>
      </c>
      <c r="AP77" s="36" t="inlineStr">
        <is>
          <t>IF(OR(E77="",AE77=""),"",IF(COUNT(Y77:AD77)=0,"",AE77-LOOKUP(2,1/(Y77:AD77&lt;&gt;""),Y77:AD77)))</t>
        </is>
      </c>
      <c r="AQ77" s="36" t="inlineStr">
        <is>
          <t>IF(OR(E77="",AF77=""),"",IF(COUNT(Y77:AE77)=0,"",AF77-LOOKUP(2,1/(Y77:AE77&lt;&gt;""),Y77:AE77)))</t>
        </is>
      </c>
      <c r="AR77" s="36" t="inlineStr">
        <is>
          <t>IF(OR(E77="",AG77=""),"",IF(COUNT(Y77:AF77)=0,"",AG77-LOOKUP(2,1/(Y77:AF77&lt;&gt;""),Y77:AF77)))</t>
        </is>
      </c>
      <c r="AS77" s="36" t="inlineStr">
        <is>
          <t>IF(OR(E77="",AH77=""),"",IF(COUNT(Y77:AG77)=0,"",AH77-LOOKUP(2,1/(Y77:AG77&lt;&gt;""),Y77:AG77)))</t>
        </is>
      </c>
      <c r="AT77" s="36" t="inlineStr">
        <is>
          <t>IF(OR(E77="",AI77=""),"",IF(COUNT(Y77:AH77)=0,"",AI77-LOOKUP(2,1/(Y77:AH77&lt;&gt;""),Y77:AH77)))</t>
        </is>
      </c>
      <c r="AU77" s="36" t="inlineStr">
        <is>
          <t>IF(OR(E77="",AJ77=""),"",IF(COUNT(Y77:AI77)=0,"",AJ77-LOOKUP(2,1/(Y77:AI77&lt;&gt;""),Y77:AI77)))</t>
        </is>
      </c>
      <c r="AV77" s="39" t="inlineStr">
        <is>
          <t>IF(G77="","All_Provinces",IFERROR(VLOOKUP(G77,'07_Lookups'!$A$4:$B$20,2,FALSE),"All_Provinces"))</t>
        </is>
      </c>
      <c r="AW77" s="39" t="inlineStr">
        <is>
          <t>IF(H77="","All_Districts",IFERROR(VLOOKUP(H77,'07_Lookups'!$E$4:$F$42,2,FALSE),"All_Districts"))</t>
        </is>
      </c>
    </row>
    <row r="78" ht="18" customHeight="1">
      <c r="A78" s="31" t="inlineStr">
        <is>
          <t>IF(E78="","",ROW()-3)</t>
        </is>
      </c>
      <c r="B78" s="32" t="n"/>
      <c r="C78" s="32" t="n"/>
      <c r="D78" s="32" t="n"/>
      <c r="E78" s="32" t="n"/>
      <c r="F78" s="32" t="n"/>
      <c r="G78" s="32" t="n"/>
      <c r="H78" s="32" t="n"/>
      <c r="I78" s="32" t="n"/>
      <c r="J78" s="32" t="n"/>
      <c r="K78" s="32" t="n"/>
      <c r="L78" s="32" t="n"/>
      <c r="M78" s="32" t="n"/>
      <c r="N78" s="33" t="n"/>
      <c r="O78" s="34" t="inlineStr">
        <is>
          <t>IF(AE78="","",AE78)</t>
        </is>
      </c>
      <c r="P78" s="35" t="n"/>
      <c r="Q78" s="34" t="inlineStr">
        <is>
          <t>IF(OR(O78="",P78=""),"",EDATE(O78,P78))</t>
        </is>
      </c>
      <c r="R78" s="35" t="n"/>
      <c r="S78" s="32" t="n"/>
      <c r="T78" s="32" t="n"/>
      <c r="U78" s="31" t="inlineStr">
        <is>
          <t>IF(E78="","",IF(COUNT(Y78:AJ78)=0,IF(S78="","Not started",S78),SUBSTITUTE(LOOKUP(2,1/(Y78:AJ78&lt;&gt;""),$Y$3:$AJ$3),"Date: ","")))</t>
        </is>
      </c>
      <c r="V78" s="36" t="inlineStr">
        <is>
          <t>IF(OR(E78="",COUNT(Y78:AJ78)=0),"",TODAY()-LOOKUP(2,1/(Y78:AJ78&lt;&gt;""),Y78:AJ78))</t>
        </is>
      </c>
      <c r="W78" s="36" t="inlineStr">
        <is>
          <t>IF(OR(E78="",COUNT(Y78:AJ78)&lt;2),"",LOOKUP(2,1/(Y78:AJ78&lt;&gt;""),Y78:AJ78)-MIN(Y78:AJ78))</t>
        </is>
      </c>
      <c r="X78" s="36" t="inlineStr">
        <is>
          <t>IF(OR(V78="",U78="Not started",U78=""),"",IFERROR(V78-IF(VLOOKUP(U78,'04_Status_Pipeline'!$B$3:$E$20,4,FALSE)="",0,VLOOKUP(U78,'04_Status_Pipeline'!$B$3:$E$20,4,FALSE)),""))</t>
        </is>
      </c>
      <c r="Y78" s="37" t="n"/>
      <c r="Z78" s="37" t="n"/>
      <c r="AA78" s="37" t="n"/>
      <c r="AB78" s="37" t="n"/>
      <c r="AC78" s="37" t="n"/>
      <c r="AD78" s="37" t="n"/>
      <c r="AE78" s="37" t="n"/>
      <c r="AF78" s="37" t="n"/>
      <c r="AG78" s="37" t="n"/>
      <c r="AH78" s="38" t="n"/>
      <c r="AI78" s="38" t="n"/>
      <c r="AJ78" s="38" t="n"/>
      <c r="AK78" s="36" t="inlineStr">
        <is>
          <t>IF(OR(E78="",Z78=""),"",IF(COUNT(Y78:Y78)=0,"",Z78-LOOKUP(2,1/(Y78:Y78&lt;&gt;""),Y78:Y78)))</t>
        </is>
      </c>
      <c r="AL78" s="36" t="inlineStr">
        <is>
          <t>IF(OR(E78="",AA78=""),"",IF(COUNT(Y78:Z78)=0,"",AA78-LOOKUP(2,1/(Y78:Z78&lt;&gt;""),Y78:Z78)))</t>
        </is>
      </c>
      <c r="AM78" s="36" t="inlineStr">
        <is>
          <t>IF(OR(E78="",AB78=""),"",IF(COUNT(Y78:AA78)=0,"",AB78-LOOKUP(2,1/(Y78:AA78&lt;&gt;""),Y78:AA78)))</t>
        </is>
      </c>
      <c r="AN78" s="36" t="inlineStr">
        <is>
          <t>IF(OR(E78="",AC78=""),"",IF(COUNT(Y78:AB78)=0,"",AC78-LOOKUP(2,1/(Y78:AB78&lt;&gt;""),Y78:AB78)))</t>
        </is>
      </c>
      <c r="AO78" s="36" t="inlineStr">
        <is>
          <t>IF(OR(E78="",AD78=""),"",IF(COUNT(Y78:AC78)=0,"",AD78-LOOKUP(2,1/(Y78:AC78&lt;&gt;""),Y78:AC78)))</t>
        </is>
      </c>
      <c r="AP78" s="36" t="inlineStr">
        <is>
          <t>IF(OR(E78="",AE78=""),"",IF(COUNT(Y78:AD78)=0,"",AE78-LOOKUP(2,1/(Y78:AD78&lt;&gt;""),Y78:AD78)))</t>
        </is>
      </c>
      <c r="AQ78" s="36" t="inlineStr">
        <is>
          <t>IF(OR(E78="",AF78=""),"",IF(COUNT(Y78:AE78)=0,"",AF78-LOOKUP(2,1/(Y78:AE78&lt;&gt;""),Y78:AE78)))</t>
        </is>
      </c>
      <c r="AR78" s="36" t="inlineStr">
        <is>
          <t>IF(OR(E78="",AG78=""),"",IF(COUNT(Y78:AF78)=0,"",AG78-LOOKUP(2,1/(Y78:AF78&lt;&gt;""),Y78:AF78)))</t>
        </is>
      </c>
      <c r="AS78" s="36" t="inlineStr">
        <is>
          <t>IF(OR(E78="",AH78=""),"",IF(COUNT(Y78:AG78)=0,"",AH78-LOOKUP(2,1/(Y78:AG78&lt;&gt;""),Y78:AG78)))</t>
        </is>
      </c>
      <c r="AT78" s="36" t="inlineStr">
        <is>
          <t>IF(OR(E78="",AI78=""),"",IF(COUNT(Y78:AH78)=0,"",AI78-LOOKUP(2,1/(Y78:AH78&lt;&gt;""),Y78:AH78)))</t>
        </is>
      </c>
      <c r="AU78" s="36" t="inlineStr">
        <is>
          <t>IF(OR(E78="",AJ78=""),"",IF(COUNT(Y78:AI78)=0,"",AJ78-LOOKUP(2,1/(Y78:AI78&lt;&gt;""),Y78:AI78)))</t>
        </is>
      </c>
      <c r="AV78" s="39" t="inlineStr">
        <is>
          <t>IF(G78="","All_Provinces",IFERROR(VLOOKUP(G78,'07_Lookups'!$A$4:$B$20,2,FALSE),"All_Provinces"))</t>
        </is>
      </c>
      <c r="AW78" s="39" t="inlineStr">
        <is>
          <t>IF(H78="","All_Districts",IFERROR(VLOOKUP(H78,'07_Lookups'!$E$4:$F$42,2,FALSE),"All_Districts"))</t>
        </is>
      </c>
    </row>
    <row r="79" ht="18" customHeight="1">
      <c r="A79" s="31" t="inlineStr">
        <is>
          <t>IF(E79="","",ROW()-3)</t>
        </is>
      </c>
      <c r="B79" s="40" t="n"/>
      <c r="C79" s="40" t="n"/>
      <c r="D79" s="40" t="n"/>
      <c r="E79" s="40" t="n"/>
      <c r="F79" s="40" t="n"/>
      <c r="G79" s="40" t="n"/>
      <c r="H79" s="40" t="n"/>
      <c r="I79" s="40" t="n"/>
      <c r="J79" s="40" t="n"/>
      <c r="K79" s="40" t="n"/>
      <c r="L79" s="40" t="n"/>
      <c r="M79" s="40" t="n"/>
      <c r="N79" s="41" t="n"/>
      <c r="O79" s="34" t="inlineStr">
        <is>
          <t>IF(AE79="","",AE79)</t>
        </is>
      </c>
      <c r="P79" s="42" t="n"/>
      <c r="Q79" s="34" t="inlineStr">
        <is>
          <t>IF(OR(O79="",P79=""),"",EDATE(O79,P79))</t>
        </is>
      </c>
      <c r="R79" s="42" t="n"/>
      <c r="S79" s="40" t="n"/>
      <c r="T79" s="40" t="n"/>
      <c r="U79" s="31" t="inlineStr">
        <is>
          <t>IF(E79="","",IF(COUNT(Y79:AJ79)=0,IF(S79="","Not started",S79),SUBSTITUTE(LOOKUP(2,1/(Y79:AJ79&lt;&gt;""),$Y$3:$AJ$3),"Date: ","")))</t>
        </is>
      </c>
      <c r="V79" s="36" t="inlineStr">
        <is>
          <t>IF(OR(E79="",COUNT(Y79:AJ79)=0),"",TODAY()-LOOKUP(2,1/(Y79:AJ79&lt;&gt;""),Y79:AJ79))</t>
        </is>
      </c>
      <c r="W79" s="36" t="inlineStr">
        <is>
          <t>IF(OR(E79="",COUNT(Y79:AJ79)&lt;2),"",LOOKUP(2,1/(Y79:AJ79&lt;&gt;""),Y79:AJ79)-MIN(Y79:AJ79))</t>
        </is>
      </c>
      <c r="X79" s="36" t="inlineStr">
        <is>
          <t>IF(OR(V79="",U79="Not started",U79=""),"",IFERROR(V79-IF(VLOOKUP(U79,'04_Status_Pipeline'!$B$3:$E$20,4,FALSE)="",0,VLOOKUP(U79,'04_Status_Pipeline'!$B$3:$E$20,4,FALSE)),""))</t>
        </is>
      </c>
      <c r="Y79" s="43" t="n"/>
      <c r="Z79" s="43" t="n"/>
      <c r="AA79" s="43" t="n"/>
      <c r="AB79" s="43" t="n"/>
      <c r="AC79" s="43" t="n"/>
      <c r="AD79" s="43" t="n"/>
      <c r="AE79" s="43" t="n"/>
      <c r="AF79" s="43" t="n"/>
      <c r="AG79" s="43" t="n"/>
      <c r="AH79" s="38" t="n"/>
      <c r="AI79" s="38" t="n"/>
      <c r="AJ79" s="38" t="n"/>
      <c r="AK79" s="36" t="inlineStr">
        <is>
          <t>IF(OR(E79="",Z79=""),"",IF(COUNT(Y79:Y79)=0,"",Z79-LOOKUP(2,1/(Y79:Y79&lt;&gt;""),Y79:Y79)))</t>
        </is>
      </c>
      <c r="AL79" s="36" t="inlineStr">
        <is>
          <t>IF(OR(E79="",AA79=""),"",IF(COUNT(Y79:Z79)=0,"",AA79-LOOKUP(2,1/(Y79:Z79&lt;&gt;""),Y79:Z79)))</t>
        </is>
      </c>
      <c r="AM79" s="36" t="inlineStr">
        <is>
          <t>IF(OR(E79="",AB79=""),"",IF(COUNT(Y79:AA79)=0,"",AB79-LOOKUP(2,1/(Y79:AA79&lt;&gt;""),Y79:AA79)))</t>
        </is>
      </c>
      <c r="AN79" s="36" t="inlineStr">
        <is>
          <t>IF(OR(E79="",AC79=""),"",IF(COUNT(Y79:AB79)=0,"",AC79-LOOKUP(2,1/(Y79:AB79&lt;&gt;""),Y79:AB79)))</t>
        </is>
      </c>
      <c r="AO79" s="36" t="inlineStr">
        <is>
          <t>IF(OR(E79="",AD79=""),"",IF(COUNT(Y79:AC79)=0,"",AD79-LOOKUP(2,1/(Y79:AC79&lt;&gt;""),Y79:AC79)))</t>
        </is>
      </c>
      <c r="AP79" s="36" t="inlineStr">
        <is>
          <t>IF(OR(E79="",AE79=""),"",IF(COUNT(Y79:AD79)=0,"",AE79-LOOKUP(2,1/(Y79:AD79&lt;&gt;""),Y79:AD79)))</t>
        </is>
      </c>
      <c r="AQ79" s="36" t="inlineStr">
        <is>
          <t>IF(OR(E79="",AF79=""),"",IF(COUNT(Y79:AE79)=0,"",AF79-LOOKUP(2,1/(Y79:AE79&lt;&gt;""),Y79:AE79)))</t>
        </is>
      </c>
      <c r="AR79" s="36" t="inlineStr">
        <is>
          <t>IF(OR(E79="",AG79=""),"",IF(COUNT(Y79:AF79)=0,"",AG79-LOOKUP(2,1/(Y79:AF79&lt;&gt;""),Y79:AF79)))</t>
        </is>
      </c>
      <c r="AS79" s="36" t="inlineStr">
        <is>
          <t>IF(OR(E79="",AH79=""),"",IF(COUNT(Y79:AG79)=0,"",AH79-LOOKUP(2,1/(Y79:AG79&lt;&gt;""),Y79:AG79)))</t>
        </is>
      </c>
      <c r="AT79" s="36" t="inlineStr">
        <is>
          <t>IF(OR(E79="",AI79=""),"",IF(COUNT(Y79:AH79)=0,"",AI79-LOOKUP(2,1/(Y79:AH79&lt;&gt;""),Y79:AH79)))</t>
        </is>
      </c>
      <c r="AU79" s="36" t="inlineStr">
        <is>
          <t>IF(OR(E79="",AJ79=""),"",IF(COUNT(Y79:AI79)=0,"",AJ79-LOOKUP(2,1/(Y79:AI79&lt;&gt;""),Y79:AI79)))</t>
        </is>
      </c>
      <c r="AV79" s="39" t="inlineStr">
        <is>
          <t>IF(G79="","All_Provinces",IFERROR(VLOOKUP(G79,'07_Lookups'!$A$4:$B$20,2,FALSE),"All_Provinces"))</t>
        </is>
      </c>
      <c r="AW79" s="39" t="inlineStr">
        <is>
          <t>IF(H79="","All_Districts",IFERROR(VLOOKUP(H79,'07_Lookups'!$E$4:$F$42,2,FALSE),"All_Districts"))</t>
        </is>
      </c>
    </row>
    <row r="80" ht="18" customHeight="1">
      <c r="A80" s="31" t="inlineStr">
        <is>
          <t>IF(E80="","",ROW()-3)</t>
        </is>
      </c>
      <c r="B80" s="32" t="n"/>
      <c r="C80" s="32" t="n"/>
      <c r="D80" s="32" t="n"/>
      <c r="E80" s="32" t="n"/>
      <c r="F80" s="32" t="n"/>
      <c r="G80" s="32" t="n"/>
      <c r="H80" s="32" t="n"/>
      <c r="I80" s="32" t="n"/>
      <c r="J80" s="32" t="n"/>
      <c r="K80" s="32" t="n"/>
      <c r="L80" s="32" t="n"/>
      <c r="M80" s="32" t="n"/>
      <c r="N80" s="33" t="n"/>
      <c r="O80" s="34" t="inlineStr">
        <is>
          <t>IF(AE80="","",AE80)</t>
        </is>
      </c>
      <c r="P80" s="35" t="n"/>
      <c r="Q80" s="34" t="inlineStr">
        <is>
          <t>IF(OR(O80="",P80=""),"",EDATE(O80,P80))</t>
        </is>
      </c>
      <c r="R80" s="35" t="n"/>
      <c r="S80" s="32" t="n"/>
      <c r="T80" s="32" t="n"/>
      <c r="U80" s="31" t="inlineStr">
        <is>
          <t>IF(E80="","",IF(COUNT(Y80:AJ80)=0,IF(S80="","Not started",S80),SUBSTITUTE(LOOKUP(2,1/(Y80:AJ80&lt;&gt;""),$Y$3:$AJ$3),"Date: ","")))</t>
        </is>
      </c>
      <c r="V80" s="36" t="inlineStr">
        <is>
          <t>IF(OR(E80="",COUNT(Y80:AJ80)=0),"",TODAY()-LOOKUP(2,1/(Y80:AJ80&lt;&gt;""),Y80:AJ80))</t>
        </is>
      </c>
      <c r="W80" s="36" t="inlineStr">
        <is>
          <t>IF(OR(E80="",COUNT(Y80:AJ80)&lt;2),"",LOOKUP(2,1/(Y80:AJ80&lt;&gt;""),Y80:AJ80)-MIN(Y80:AJ80))</t>
        </is>
      </c>
      <c r="X80" s="36" t="inlineStr">
        <is>
          <t>IF(OR(V80="",U80="Not started",U80=""),"",IFERROR(V80-IF(VLOOKUP(U80,'04_Status_Pipeline'!$B$3:$E$20,4,FALSE)="",0,VLOOKUP(U80,'04_Status_Pipeline'!$B$3:$E$20,4,FALSE)),""))</t>
        </is>
      </c>
      <c r="Y80" s="37" t="n"/>
      <c r="Z80" s="37" t="n"/>
      <c r="AA80" s="37" t="n"/>
      <c r="AB80" s="37" t="n"/>
      <c r="AC80" s="37" t="n"/>
      <c r="AD80" s="37" t="n"/>
      <c r="AE80" s="37" t="n"/>
      <c r="AF80" s="37" t="n"/>
      <c r="AG80" s="37" t="n"/>
      <c r="AH80" s="38" t="n"/>
      <c r="AI80" s="38" t="n"/>
      <c r="AJ80" s="38" t="n"/>
      <c r="AK80" s="36" t="inlineStr">
        <is>
          <t>IF(OR(E80="",Z80=""),"",IF(COUNT(Y80:Y80)=0,"",Z80-LOOKUP(2,1/(Y80:Y80&lt;&gt;""),Y80:Y80)))</t>
        </is>
      </c>
      <c r="AL80" s="36" t="inlineStr">
        <is>
          <t>IF(OR(E80="",AA80=""),"",IF(COUNT(Y80:Z80)=0,"",AA80-LOOKUP(2,1/(Y80:Z80&lt;&gt;""),Y80:Z80)))</t>
        </is>
      </c>
      <c r="AM80" s="36" t="inlineStr">
        <is>
          <t>IF(OR(E80="",AB80=""),"",IF(COUNT(Y80:AA80)=0,"",AB80-LOOKUP(2,1/(Y80:AA80&lt;&gt;""),Y80:AA80)))</t>
        </is>
      </c>
      <c r="AN80" s="36" t="inlineStr">
        <is>
          <t>IF(OR(E80="",AC80=""),"",IF(COUNT(Y80:AB80)=0,"",AC80-LOOKUP(2,1/(Y80:AB80&lt;&gt;""),Y80:AB80)))</t>
        </is>
      </c>
      <c r="AO80" s="36" t="inlineStr">
        <is>
          <t>IF(OR(E80="",AD80=""),"",IF(COUNT(Y80:AC80)=0,"",AD80-LOOKUP(2,1/(Y80:AC80&lt;&gt;""),Y80:AC80)))</t>
        </is>
      </c>
      <c r="AP80" s="36" t="inlineStr">
        <is>
          <t>IF(OR(E80="",AE80=""),"",IF(COUNT(Y80:AD80)=0,"",AE80-LOOKUP(2,1/(Y80:AD80&lt;&gt;""),Y80:AD80)))</t>
        </is>
      </c>
      <c r="AQ80" s="36" t="inlineStr">
        <is>
          <t>IF(OR(E80="",AF80=""),"",IF(COUNT(Y80:AE80)=0,"",AF80-LOOKUP(2,1/(Y80:AE80&lt;&gt;""),Y80:AE80)))</t>
        </is>
      </c>
      <c r="AR80" s="36" t="inlineStr">
        <is>
          <t>IF(OR(E80="",AG80=""),"",IF(COUNT(Y80:AF80)=0,"",AG80-LOOKUP(2,1/(Y80:AF80&lt;&gt;""),Y80:AF80)))</t>
        </is>
      </c>
      <c r="AS80" s="36" t="inlineStr">
        <is>
          <t>IF(OR(E80="",AH80=""),"",IF(COUNT(Y80:AG80)=0,"",AH80-LOOKUP(2,1/(Y80:AG80&lt;&gt;""),Y80:AG80)))</t>
        </is>
      </c>
      <c r="AT80" s="36" t="inlineStr">
        <is>
          <t>IF(OR(E80="",AI80=""),"",IF(COUNT(Y80:AH80)=0,"",AI80-LOOKUP(2,1/(Y80:AH80&lt;&gt;""),Y80:AH80)))</t>
        </is>
      </c>
      <c r="AU80" s="36" t="inlineStr">
        <is>
          <t>IF(OR(E80="",AJ80=""),"",IF(COUNT(Y80:AI80)=0,"",AJ80-LOOKUP(2,1/(Y80:AI80&lt;&gt;""),Y80:AI80)))</t>
        </is>
      </c>
      <c r="AV80" s="39" t="inlineStr">
        <is>
          <t>IF(G80="","All_Provinces",IFERROR(VLOOKUP(G80,'07_Lookups'!$A$4:$B$20,2,FALSE),"All_Provinces"))</t>
        </is>
      </c>
      <c r="AW80" s="39" t="inlineStr">
        <is>
          <t>IF(H80="","All_Districts",IFERROR(VLOOKUP(H80,'07_Lookups'!$E$4:$F$42,2,FALSE),"All_Districts"))</t>
        </is>
      </c>
    </row>
    <row r="81" ht="18" customHeight="1">
      <c r="A81" s="31" t="inlineStr">
        <is>
          <t>IF(E81="","",ROW()-3)</t>
        </is>
      </c>
      <c r="B81" s="40" t="n"/>
      <c r="C81" s="40" t="n"/>
      <c r="D81" s="40" t="n"/>
      <c r="E81" s="40" t="n"/>
      <c r="F81" s="40" t="n"/>
      <c r="G81" s="40" t="n"/>
      <c r="H81" s="40" t="n"/>
      <c r="I81" s="40" t="n"/>
      <c r="J81" s="40" t="n"/>
      <c r="K81" s="40" t="n"/>
      <c r="L81" s="40" t="n"/>
      <c r="M81" s="40" t="n"/>
      <c r="N81" s="41" t="n"/>
      <c r="O81" s="34" t="inlineStr">
        <is>
          <t>IF(AE81="","",AE81)</t>
        </is>
      </c>
      <c r="P81" s="42" t="n"/>
      <c r="Q81" s="34" t="inlineStr">
        <is>
          <t>IF(OR(O81="",P81=""),"",EDATE(O81,P81))</t>
        </is>
      </c>
      <c r="R81" s="42" t="n"/>
      <c r="S81" s="40" t="n"/>
      <c r="T81" s="40" t="n"/>
      <c r="U81" s="31" t="inlineStr">
        <is>
          <t>IF(E81="","",IF(COUNT(Y81:AJ81)=0,IF(S81="","Not started",S81),SUBSTITUTE(LOOKUP(2,1/(Y81:AJ81&lt;&gt;""),$Y$3:$AJ$3),"Date: ","")))</t>
        </is>
      </c>
      <c r="V81" s="36" t="inlineStr">
        <is>
          <t>IF(OR(E81="",COUNT(Y81:AJ81)=0),"",TODAY()-LOOKUP(2,1/(Y81:AJ81&lt;&gt;""),Y81:AJ81))</t>
        </is>
      </c>
      <c r="W81" s="36" t="inlineStr">
        <is>
          <t>IF(OR(E81="",COUNT(Y81:AJ81)&lt;2),"",LOOKUP(2,1/(Y81:AJ81&lt;&gt;""),Y81:AJ81)-MIN(Y81:AJ81))</t>
        </is>
      </c>
      <c r="X81" s="36" t="inlineStr">
        <is>
          <t>IF(OR(V81="",U81="Not started",U81=""),"",IFERROR(V81-IF(VLOOKUP(U81,'04_Status_Pipeline'!$B$3:$E$20,4,FALSE)="",0,VLOOKUP(U81,'04_Status_Pipeline'!$B$3:$E$20,4,FALSE)),""))</t>
        </is>
      </c>
      <c r="Y81" s="43" t="n"/>
      <c r="Z81" s="43" t="n"/>
      <c r="AA81" s="43" t="n"/>
      <c r="AB81" s="43" t="n"/>
      <c r="AC81" s="43" t="n"/>
      <c r="AD81" s="43" t="n"/>
      <c r="AE81" s="43" t="n"/>
      <c r="AF81" s="43" t="n"/>
      <c r="AG81" s="43" t="n"/>
      <c r="AH81" s="38" t="n"/>
      <c r="AI81" s="38" t="n"/>
      <c r="AJ81" s="38" t="n"/>
      <c r="AK81" s="36" t="inlineStr">
        <is>
          <t>IF(OR(E81="",Z81=""),"",IF(COUNT(Y81:Y81)=0,"",Z81-LOOKUP(2,1/(Y81:Y81&lt;&gt;""),Y81:Y81)))</t>
        </is>
      </c>
      <c r="AL81" s="36" t="inlineStr">
        <is>
          <t>IF(OR(E81="",AA81=""),"",IF(COUNT(Y81:Z81)=0,"",AA81-LOOKUP(2,1/(Y81:Z81&lt;&gt;""),Y81:Z81)))</t>
        </is>
      </c>
      <c r="AM81" s="36" t="inlineStr">
        <is>
          <t>IF(OR(E81="",AB81=""),"",IF(COUNT(Y81:AA81)=0,"",AB81-LOOKUP(2,1/(Y81:AA81&lt;&gt;""),Y81:AA81)))</t>
        </is>
      </c>
      <c r="AN81" s="36" t="inlineStr">
        <is>
          <t>IF(OR(E81="",AC81=""),"",IF(COUNT(Y81:AB81)=0,"",AC81-LOOKUP(2,1/(Y81:AB81&lt;&gt;""),Y81:AB81)))</t>
        </is>
      </c>
      <c r="AO81" s="36" t="inlineStr">
        <is>
          <t>IF(OR(E81="",AD81=""),"",IF(COUNT(Y81:AC81)=0,"",AD81-LOOKUP(2,1/(Y81:AC81&lt;&gt;""),Y81:AC81)))</t>
        </is>
      </c>
      <c r="AP81" s="36" t="inlineStr">
        <is>
          <t>IF(OR(E81="",AE81=""),"",IF(COUNT(Y81:AD81)=0,"",AE81-LOOKUP(2,1/(Y81:AD81&lt;&gt;""),Y81:AD81)))</t>
        </is>
      </c>
      <c r="AQ81" s="36" t="inlineStr">
        <is>
          <t>IF(OR(E81="",AF81=""),"",IF(COUNT(Y81:AE81)=0,"",AF81-LOOKUP(2,1/(Y81:AE81&lt;&gt;""),Y81:AE81)))</t>
        </is>
      </c>
      <c r="AR81" s="36" t="inlineStr">
        <is>
          <t>IF(OR(E81="",AG81=""),"",IF(COUNT(Y81:AF81)=0,"",AG81-LOOKUP(2,1/(Y81:AF81&lt;&gt;""),Y81:AF81)))</t>
        </is>
      </c>
      <c r="AS81" s="36" t="inlineStr">
        <is>
          <t>IF(OR(E81="",AH81=""),"",IF(COUNT(Y81:AG81)=0,"",AH81-LOOKUP(2,1/(Y81:AG81&lt;&gt;""),Y81:AG81)))</t>
        </is>
      </c>
      <c r="AT81" s="36" t="inlineStr">
        <is>
          <t>IF(OR(E81="",AI81=""),"",IF(COUNT(Y81:AH81)=0,"",AI81-LOOKUP(2,1/(Y81:AH81&lt;&gt;""),Y81:AH81)))</t>
        </is>
      </c>
      <c r="AU81" s="36" t="inlineStr">
        <is>
          <t>IF(OR(E81="",AJ81=""),"",IF(COUNT(Y81:AI81)=0,"",AJ81-LOOKUP(2,1/(Y81:AI81&lt;&gt;""),Y81:AI81)))</t>
        </is>
      </c>
      <c r="AV81" s="39" t="inlineStr">
        <is>
          <t>IF(G81="","All_Provinces",IFERROR(VLOOKUP(G81,'07_Lookups'!$A$4:$B$20,2,FALSE),"All_Provinces"))</t>
        </is>
      </c>
      <c r="AW81" s="39" t="inlineStr">
        <is>
          <t>IF(H81="","All_Districts",IFERROR(VLOOKUP(H81,'07_Lookups'!$E$4:$F$42,2,FALSE),"All_Districts"))</t>
        </is>
      </c>
    </row>
    <row r="82" ht="18" customHeight="1">
      <c r="A82" s="31" t="inlineStr">
        <is>
          <t>IF(E82="","",ROW()-3)</t>
        </is>
      </c>
      <c r="B82" s="32" t="n"/>
      <c r="C82" s="32" t="n"/>
      <c r="D82" s="32" t="n"/>
      <c r="E82" s="32" t="n"/>
      <c r="F82" s="32" t="n"/>
      <c r="G82" s="32" t="n"/>
      <c r="H82" s="32" t="n"/>
      <c r="I82" s="32" t="n"/>
      <c r="J82" s="32" t="n"/>
      <c r="K82" s="32" t="n"/>
      <c r="L82" s="32" t="n"/>
      <c r="M82" s="32" t="n"/>
      <c r="N82" s="33" t="n"/>
      <c r="O82" s="34" t="inlineStr">
        <is>
          <t>IF(AE82="","",AE82)</t>
        </is>
      </c>
      <c r="P82" s="35" t="n"/>
      <c r="Q82" s="34" t="inlineStr">
        <is>
          <t>IF(OR(O82="",P82=""),"",EDATE(O82,P82))</t>
        </is>
      </c>
      <c r="R82" s="35" t="n"/>
      <c r="S82" s="32" t="n"/>
      <c r="T82" s="32" t="n"/>
      <c r="U82" s="31" t="inlineStr">
        <is>
          <t>IF(E82="","",IF(COUNT(Y82:AJ82)=0,IF(S82="","Not started",S82),SUBSTITUTE(LOOKUP(2,1/(Y82:AJ82&lt;&gt;""),$Y$3:$AJ$3),"Date: ","")))</t>
        </is>
      </c>
      <c r="V82" s="36" t="inlineStr">
        <is>
          <t>IF(OR(E82="",COUNT(Y82:AJ82)=0),"",TODAY()-LOOKUP(2,1/(Y82:AJ82&lt;&gt;""),Y82:AJ82))</t>
        </is>
      </c>
      <c r="W82" s="36" t="inlineStr">
        <is>
          <t>IF(OR(E82="",COUNT(Y82:AJ82)&lt;2),"",LOOKUP(2,1/(Y82:AJ82&lt;&gt;""),Y82:AJ82)-MIN(Y82:AJ82))</t>
        </is>
      </c>
      <c r="X82" s="36" t="inlineStr">
        <is>
          <t>IF(OR(V82="",U82="Not started",U82=""),"",IFERROR(V82-IF(VLOOKUP(U82,'04_Status_Pipeline'!$B$3:$E$20,4,FALSE)="",0,VLOOKUP(U82,'04_Status_Pipeline'!$B$3:$E$20,4,FALSE)),""))</t>
        </is>
      </c>
      <c r="Y82" s="37" t="n"/>
      <c r="Z82" s="37" t="n"/>
      <c r="AA82" s="37" t="n"/>
      <c r="AB82" s="37" t="n"/>
      <c r="AC82" s="37" t="n"/>
      <c r="AD82" s="37" t="n"/>
      <c r="AE82" s="37" t="n"/>
      <c r="AF82" s="37" t="n"/>
      <c r="AG82" s="37" t="n"/>
      <c r="AH82" s="38" t="n"/>
      <c r="AI82" s="38" t="n"/>
      <c r="AJ82" s="38" t="n"/>
      <c r="AK82" s="36" t="inlineStr">
        <is>
          <t>IF(OR(E82="",Z82=""),"",IF(COUNT(Y82:Y82)=0,"",Z82-LOOKUP(2,1/(Y82:Y82&lt;&gt;""),Y82:Y82)))</t>
        </is>
      </c>
      <c r="AL82" s="36" t="inlineStr">
        <is>
          <t>IF(OR(E82="",AA82=""),"",IF(COUNT(Y82:Z82)=0,"",AA82-LOOKUP(2,1/(Y82:Z82&lt;&gt;""),Y82:Z82)))</t>
        </is>
      </c>
      <c r="AM82" s="36" t="inlineStr">
        <is>
          <t>IF(OR(E82="",AB82=""),"",IF(COUNT(Y82:AA82)=0,"",AB82-LOOKUP(2,1/(Y82:AA82&lt;&gt;""),Y82:AA82)))</t>
        </is>
      </c>
      <c r="AN82" s="36" t="inlineStr">
        <is>
          <t>IF(OR(E82="",AC82=""),"",IF(COUNT(Y82:AB82)=0,"",AC82-LOOKUP(2,1/(Y82:AB82&lt;&gt;""),Y82:AB82)))</t>
        </is>
      </c>
      <c r="AO82" s="36" t="inlineStr">
        <is>
          <t>IF(OR(E82="",AD82=""),"",IF(COUNT(Y82:AC82)=0,"",AD82-LOOKUP(2,1/(Y82:AC82&lt;&gt;""),Y82:AC82)))</t>
        </is>
      </c>
      <c r="AP82" s="36" t="inlineStr">
        <is>
          <t>IF(OR(E82="",AE82=""),"",IF(COUNT(Y82:AD82)=0,"",AE82-LOOKUP(2,1/(Y82:AD82&lt;&gt;""),Y82:AD82)))</t>
        </is>
      </c>
      <c r="AQ82" s="36" t="inlineStr">
        <is>
          <t>IF(OR(E82="",AF82=""),"",IF(COUNT(Y82:AE82)=0,"",AF82-LOOKUP(2,1/(Y82:AE82&lt;&gt;""),Y82:AE82)))</t>
        </is>
      </c>
      <c r="AR82" s="36" t="inlineStr">
        <is>
          <t>IF(OR(E82="",AG82=""),"",IF(COUNT(Y82:AF82)=0,"",AG82-LOOKUP(2,1/(Y82:AF82&lt;&gt;""),Y82:AF82)))</t>
        </is>
      </c>
      <c r="AS82" s="36" t="inlineStr">
        <is>
          <t>IF(OR(E82="",AH82=""),"",IF(COUNT(Y82:AG82)=0,"",AH82-LOOKUP(2,1/(Y82:AG82&lt;&gt;""),Y82:AG82)))</t>
        </is>
      </c>
      <c r="AT82" s="36" t="inlineStr">
        <is>
          <t>IF(OR(E82="",AI82=""),"",IF(COUNT(Y82:AH82)=0,"",AI82-LOOKUP(2,1/(Y82:AH82&lt;&gt;""),Y82:AH82)))</t>
        </is>
      </c>
      <c r="AU82" s="36" t="inlineStr">
        <is>
          <t>IF(OR(E82="",AJ82=""),"",IF(COUNT(Y82:AI82)=0,"",AJ82-LOOKUP(2,1/(Y82:AI82&lt;&gt;""),Y82:AI82)))</t>
        </is>
      </c>
      <c r="AV82" s="39" t="inlineStr">
        <is>
          <t>IF(G82="","All_Provinces",IFERROR(VLOOKUP(G82,'07_Lookups'!$A$4:$B$20,2,FALSE),"All_Provinces"))</t>
        </is>
      </c>
      <c r="AW82" s="39" t="inlineStr">
        <is>
          <t>IF(H82="","All_Districts",IFERROR(VLOOKUP(H82,'07_Lookups'!$E$4:$F$42,2,FALSE),"All_Districts"))</t>
        </is>
      </c>
    </row>
    <row r="83" ht="18" customHeight="1">
      <c r="A83" s="31" t="inlineStr">
        <is>
          <t>IF(E83="","",ROW()-3)</t>
        </is>
      </c>
      <c r="B83" s="40" t="n"/>
      <c r="C83" s="40" t="n"/>
      <c r="D83" s="40" t="n"/>
      <c r="E83" s="40" t="n"/>
      <c r="F83" s="40" t="n"/>
      <c r="G83" s="40" t="n"/>
      <c r="H83" s="40" t="n"/>
      <c r="I83" s="40" t="n"/>
      <c r="J83" s="40" t="n"/>
      <c r="K83" s="40" t="n"/>
      <c r="L83" s="40" t="n"/>
      <c r="M83" s="40" t="n"/>
      <c r="N83" s="41" t="n"/>
      <c r="O83" s="34" t="inlineStr">
        <is>
          <t>IF(AE83="","",AE83)</t>
        </is>
      </c>
      <c r="P83" s="42" t="n"/>
      <c r="Q83" s="34" t="inlineStr">
        <is>
          <t>IF(OR(O83="",P83=""),"",EDATE(O83,P83))</t>
        </is>
      </c>
      <c r="R83" s="42" t="n"/>
      <c r="S83" s="40" t="n"/>
      <c r="T83" s="40" t="n"/>
      <c r="U83" s="31" t="inlineStr">
        <is>
          <t>IF(E83="","",IF(COUNT(Y83:AJ83)=0,IF(S83="","Not started",S83),SUBSTITUTE(LOOKUP(2,1/(Y83:AJ83&lt;&gt;""),$Y$3:$AJ$3),"Date: ","")))</t>
        </is>
      </c>
      <c r="V83" s="36" t="inlineStr">
        <is>
          <t>IF(OR(E83="",COUNT(Y83:AJ83)=0),"",TODAY()-LOOKUP(2,1/(Y83:AJ83&lt;&gt;""),Y83:AJ83))</t>
        </is>
      </c>
      <c r="W83" s="36" t="inlineStr">
        <is>
          <t>IF(OR(E83="",COUNT(Y83:AJ83)&lt;2),"",LOOKUP(2,1/(Y83:AJ83&lt;&gt;""),Y83:AJ83)-MIN(Y83:AJ83))</t>
        </is>
      </c>
      <c r="X83" s="36" t="inlineStr">
        <is>
          <t>IF(OR(V83="",U83="Not started",U83=""),"",IFERROR(V83-IF(VLOOKUP(U83,'04_Status_Pipeline'!$B$3:$E$20,4,FALSE)="",0,VLOOKUP(U83,'04_Status_Pipeline'!$B$3:$E$20,4,FALSE)),""))</t>
        </is>
      </c>
      <c r="Y83" s="43" t="n"/>
      <c r="Z83" s="43" t="n"/>
      <c r="AA83" s="43" t="n"/>
      <c r="AB83" s="43" t="n"/>
      <c r="AC83" s="43" t="n"/>
      <c r="AD83" s="43" t="n"/>
      <c r="AE83" s="43" t="n"/>
      <c r="AF83" s="43" t="n"/>
      <c r="AG83" s="43" t="n"/>
      <c r="AH83" s="38" t="n"/>
      <c r="AI83" s="38" t="n"/>
      <c r="AJ83" s="38" t="n"/>
      <c r="AK83" s="36" t="inlineStr">
        <is>
          <t>IF(OR(E83="",Z83=""),"",IF(COUNT(Y83:Y83)=0,"",Z83-LOOKUP(2,1/(Y83:Y83&lt;&gt;""),Y83:Y83)))</t>
        </is>
      </c>
      <c r="AL83" s="36" t="inlineStr">
        <is>
          <t>IF(OR(E83="",AA83=""),"",IF(COUNT(Y83:Z83)=0,"",AA83-LOOKUP(2,1/(Y83:Z83&lt;&gt;""),Y83:Z83)))</t>
        </is>
      </c>
      <c r="AM83" s="36" t="inlineStr">
        <is>
          <t>IF(OR(E83="",AB83=""),"",IF(COUNT(Y83:AA83)=0,"",AB83-LOOKUP(2,1/(Y83:AA83&lt;&gt;""),Y83:AA83)))</t>
        </is>
      </c>
      <c r="AN83" s="36" t="inlineStr">
        <is>
          <t>IF(OR(E83="",AC83=""),"",IF(COUNT(Y83:AB83)=0,"",AC83-LOOKUP(2,1/(Y83:AB83&lt;&gt;""),Y83:AB83)))</t>
        </is>
      </c>
      <c r="AO83" s="36" t="inlineStr">
        <is>
          <t>IF(OR(E83="",AD83=""),"",IF(COUNT(Y83:AC83)=0,"",AD83-LOOKUP(2,1/(Y83:AC83&lt;&gt;""),Y83:AC83)))</t>
        </is>
      </c>
      <c r="AP83" s="36" t="inlineStr">
        <is>
          <t>IF(OR(E83="",AE83=""),"",IF(COUNT(Y83:AD83)=0,"",AE83-LOOKUP(2,1/(Y83:AD83&lt;&gt;""),Y83:AD83)))</t>
        </is>
      </c>
      <c r="AQ83" s="36" t="inlineStr">
        <is>
          <t>IF(OR(E83="",AF83=""),"",IF(COUNT(Y83:AE83)=0,"",AF83-LOOKUP(2,1/(Y83:AE83&lt;&gt;""),Y83:AE83)))</t>
        </is>
      </c>
      <c r="AR83" s="36" t="inlineStr">
        <is>
          <t>IF(OR(E83="",AG83=""),"",IF(COUNT(Y83:AF83)=0,"",AG83-LOOKUP(2,1/(Y83:AF83&lt;&gt;""),Y83:AF83)))</t>
        </is>
      </c>
      <c r="AS83" s="36" t="inlineStr">
        <is>
          <t>IF(OR(E83="",AH83=""),"",IF(COUNT(Y83:AG83)=0,"",AH83-LOOKUP(2,1/(Y83:AG83&lt;&gt;""),Y83:AG83)))</t>
        </is>
      </c>
      <c r="AT83" s="36" t="inlineStr">
        <is>
          <t>IF(OR(E83="",AI83=""),"",IF(COUNT(Y83:AH83)=0,"",AI83-LOOKUP(2,1/(Y83:AH83&lt;&gt;""),Y83:AH83)))</t>
        </is>
      </c>
      <c r="AU83" s="36" t="inlineStr">
        <is>
          <t>IF(OR(E83="",AJ83=""),"",IF(COUNT(Y83:AI83)=0,"",AJ83-LOOKUP(2,1/(Y83:AI83&lt;&gt;""),Y83:AI83)))</t>
        </is>
      </c>
      <c r="AV83" s="39" t="inlineStr">
        <is>
          <t>IF(G83="","All_Provinces",IFERROR(VLOOKUP(G83,'07_Lookups'!$A$4:$B$20,2,FALSE),"All_Provinces"))</t>
        </is>
      </c>
      <c r="AW83" s="39" t="inlineStr">
        <is>
          <t>IF(H83="","All_Districts",IFERROR(VLOOKUP(H83,'07_Lookups'!$E$4:$F$42,2,FALSE),"All_Districts"))</t>
        </is>
      </c>
    </row>
    <row r="84" ht="18" customHeight="1">
      <c r="A84" s="31" t="inlineStr">
        <is>
          <t>IF(E84="","",ROW()-3)</t>
        </is>
      </c>
      <c r="B84" s="32" t="n"/>
      <c r="C84" s="32" t="n"/>
      <c r="D84" s="32" t="n"/>
      <c r="E84" s="32" t="n"/>
      <c r="F84" s="32" t="n"/>
      <c r="G84" s="32" t="n"/>
      <c r="H84" s="32" t="n"/>
      <c r="I84" s="32" t="n"/>
      <c r="J84" s="32" t="n"/>
      <c r="K84" s="32" t="n"/>
      <c r="L84" s="32" t="n"/>
      <c r="M84" s="32" t="n"/>
      <c r="N84" s="33" t="n"/>
      <c r="O84" s="34" t="inlineStr">
        <is>
          <t>IF(AE84="","",AE84)</t>
        </is>
      </c>
      <c r="P84" s="35" t="n"/>
      <c r="Q84" s="34" t="inlineStr">
        <is>
          <t>IF(OR(O84="",P84=""),"",EDATE(O84,P84))</t>
        </is>
      </c>
      <c r="R84" s="35" t="n"/>
      <c r="S84" s="32" t="n"/>
      <c r="T84" s="32" t="n"/>
      <c r="U84" s="31" t="inlineStr">
        <is>
          <t>IF(E84="","",IF(COUNT(Y84:AJ84)=0,IF(S84="","Not started",S84),SUBSTITUTE(LOOKUP(2,1/(Y84:AJ84&lt;&gt;""),$Y$3:$AJ$3),"Date: ","")))</t>
        </is>
      </c>
      <c r="V84" s="36" t="inlineStr">
        <is>
          <t>IF(OR(E84="",COUNT(Y84:AJ84)=0),"",TODAY()-LOOKUP(2,1/(Y84:AJ84&lt;&gt;""),Y84:AJ84))</t>
        </is>
      </c>
      <c r="W84" s="36" t="inlineStr">
        <is>
          <t>IF(OR(E84="",COUNT(Y84:AJ84)&lt;2),"",LOOKUP(2,1/(Y84:AJ84&lt;&gt;""),Y84:AJ84)-MIN(Y84:AJ84))</t>
        </is>
      </c>
      <c r="X84" s="36" t="inlineStr">
        <is>
          <t>IF(OR(V84="",U84="Not started",U84=""),"",IFERROR(V84-IF(VLOOKUP(U84,'04_Status_Pipeline'!$B$3:$E$20,4,FALSE)="",0,VLOOKUP(U84,'04_Status_Pipeline'!$B$3:$E$20,4,FALSE)),""))</t>
        </is>
      </c>
      <c r="Y84" s="37" t="n"/>
      <c r="Z84" s="37" t="n"/>
      <c r="AA84" s="37" t="n"/>
      <c r="AB84" s="37" t="n"/>
      <c r="AC84" s="37" t="n"/>
      <c r="AD84" s="37" t="n"/>
      <c r="AE84" s="37" t="n"/>
      <c r="AF84" s="37" t="n"/>
      <c r="AG84" s="37" t="n"/>
      <c r="AH84" s="38" t="n"/>
      <c r="AI84" s="38" t="n"/>
      <c r="AJ84" s="38" t="n"/>
      <c r="AK84" s="36" t="inlineStr">
        <is>
          <t>IF(OR(E84="",Z84=""),"",IF(COUNT(Y84:Y84)=0,"",Z84-LOOKUP(2,1/(Y84:Y84&lt;&gt;""),Y84:Y84)))</t>
        </is>
      </c>
      <c r="AL84" s="36" t="inlineStr">
        <is>
          <t>IF(OR(E84="",AA84=""),"",IF(COUNT(Y84:Z84)=0,"",AA84-LOOKUP(2,1/(Y84:Z84&lt;&gt;""),Y84:Z84)))</t>
        </is>
      </c>
      <c r="AM84" s="36" t="inlineStr">
        <is>
          <t>IF(OR(E84="",AB84=""),"",IF(COUNT(Y84:AA84)=0,"",AB84-LOOKUP(2,1/(Y84:AA84&lt;&gt;""),Y84:AA84)))</t>
        </is>
      </c>
      <c r="AN84" s="36" t="inlineStr">
        <is>
          <t>IF(OR(E84="",AC84=""),"",IF(COUNT(Y84:AB84)=0,"",AC84-LOOKUP(2,1/(Y84:AB84&lt;&gt;""),Y84:AB84)))</t>
        </is>
      </c>
      <c r="AO84" s="36" t="inlineStr">
        <is>
          <t>IF(OR(E84="",AD84=""),"",IF(COUNT(Y84:AC84)=0,"",AD84-LOOKUP(2,1/(Y84:AC84&lt;&gt;""),Y84:AC84)))</t>
        </is>
      </c>
      <c r="AP84" s="36" t="inlineStr">
        <is>
          <t>IF(OR(E84="",AE84=""),"",IF(COUNT(Y84:AD84)=0,"",AE84-LOOKUP(2,1/(Y84:AD84&lt;&gt;""),Y84:AD84)))</t>
        </is>
      </c>
      <c r="AQ84" s="36" t="inlineStr">
        <is>
          <t>IF(OR(E84="",AF84=""),"",IF(COUNT(Y84:AE84)=0,"",AF84-LOOKUP(2,1/(Y84:AE84&lt;&gt;""),Y84:AE84)))</t>
        </is>
      </c>
      <c r="AR84" s="36" t="inlineStr">
        <is>
          <t>IF(OR(E84="",AG84=""),"",IF(COUNT(Y84:AF84)=0,"",AG84-LOOKUP(2,1/(Y84:AF84&lt;&gt;""),Y84:AF84)))</t>
        </is>
      </c>
      <c r="AS84" s="36" t="inlineStr">
        <is>
          <t>IF(OR(E84="",AH84=""),"",IF(COUNT(Y84:AG84)=0,"",AH84-LOOKUP(2,1/(Y84:AG84&lt;&gt;""),Y84:AG84)))</t>
        </is>
      </c>
      <c r="AT84" s="36" t="inlineStr">
        <is>
          <t>IF(OR(E84="",AI84=""),"",IF(COUNT(Y84:AH84)=0,"",AI84-LOOKUP(2,1/(Y84:AH84&lt;&gt;""),Y84:AH84)))</t>
        </is>
      </c>
      <c r="AU84" s="36" t="inlineStr">
        <is>
          <t>IF(OR(E84="",AJ84=""),"",IF(COUNT(Y84:AI84)=0,"",AJ84-LOOKUP(2,1/(Y84:AI84&lt;&gt;""),Y84:AI84)))</t>
        </is>
      </c>
      <c r="AV84" s="39" t="inlineStr">
        <is>
          <t>IF(G84="","All_Provinces",IFERROR(VLOOKUP(G84,'07_Lookups'!$A$4:$B$20,2,FALSE),"All_Provinces"))</t>
        </is>
      </c>
      <c r="AW84" s="39" t="inlineStr">
        <is>
          <t>IF(H84="","All_Districts",IFERROR(VLOOKUP(H84,'07_Lookups'!$E$4:$F$42,2,FALSE),"All_Districts"))</t>
        </is>
      </c>
    </row>
    <row r="85" ht="18" customHeight="1">
      <c r="A85" s="31" t="inlineStr">
        <is>
          <t>IF(E85="","",ROW()-3)</t>
        </is>
      </c>
      <c r="B85" s="40" t="n"/>
      <c r="C85" s="40" t="n"/>
      <c r="D85" s="40" t="n"/>
      <c r="E85" s="40" t="n"/>
      <c r="F85" s="40" t="n"/>
      <c r="G85" s="40" t="n"/>
      <c r="H85" s="40" t="n"/>
      <c r="I85" s="40" t="n"/>
      <c r="J85" s="40" t="n"/>
      <c r="K85" s="40" t="n"/>
      <c r="L85" s="40" t="n"/>
      <c r="M85" s="40" t="n"/>
      <c r="N85" s="41" t="n"/>
      <c r="O85" s="34" t="inlineStr">
        <is>
          <t>IF(AE85="","",AE85)</t>
        </is>
      </c>
      <c r="P85" s="42" t="n"/>
      <c r="Q85" s="34" t="inlineStr">
        <is>
          <t>IF(OR(O85="",P85=""),"",EDATE(O85,P85))</t>
        </is>
      </c>
      <c r="R85" s="42" t="n"/>
      <c r="S85" s="40" t="n"/>
      <c r="T85" s="40" t="n"/>
      <c r="U85" s="31" t="inlineStr">
        <is>
          <t>IF(E85="","",IF(COUNT(Y85:AJ85)=0,IF(S85="","Not started",S85),SUBSTITUTE(LOOKUP(2,1/(Y85:AJ85&lt;&gt;""),$Y$3:$AJ$3),"Date: ","")))</t>
        </is>
      </c>
      <c r="V85" s="36" t="inlineStr">
        <is>
          <t>IF(OR(E85="",COUNT(Y85:AJ85)=0),"",TODAY()-LOOKUP(2,1/(Y85:AJ85&lt;&gt;""),Y85:AJ85))</t>
        </is>
      </c>
      <c r="W85" s="36" t="inlineStr">
        <is>
          <t>IF(OR(E85="",COUNT(Y85:AJ85)&lt;2),"",LOOKUP(2,1/(Y85:AJ85&lt;&gt;""),Y85:AJ85)-MIN(Y85:AJ85))</t>
        </is>
      </c>
      <c r="X85" s="36" t="inlineStr">
        <is>
          <t>IF(OR(V85="",U85="Not started",U85=""),"",IFERROR(V85-IF(VLOOKUP(U85,'04_Status_Pipeline'!$B$3:$E$20,4,FALSE)="",0,VLOOKUP(U85,'04_Status_Pipeline'!$B$3:$E$20,4,FALSE)),""))</t>
        </is>
      </c>
      <c r="Y85" s="43" t="n"/>
      <c r="Z85" s="43" t="n"/>
      <c r="AA85" s="43" t="n"/>
      <c r="AB85" s="43" t="n"/>
      <c r="AC85" s="43" t="n"/>
      <c r="AD85" s="43" t="n"/>
      <c r="AE85" s="43" t="n"/>
      <c r="AF85" s="43" t="n"/>
      <c r="AG85" s="43" t="n"/>
      <c r="AH85" s="38" t="n"/>
      <c r="AI85" s="38" t="n"/>
      <c r="AJ85" s="38" t="n"/>
      <c r="AK85" s="36" t="inlineStr">
        <is>
          <t>IF(OR(E85="",Z85=""),"",IF(COUNT(Y85:Y85)=0,"",Z85-LOOKUP(2,1/(Y85:Y85&lt;&gt;""),Y85:Y85)))</t>
        </is>
      </c>
      <c r="AL85" s="36" t="inlineStr">
        <is>
          <t>IF(OR(E85="",AA85=""),"",IF(COUNT(Y85:Z85)=0,"",AA85-LOOKUP(2,1/(Y85:Z85&lt;&gt;""),Y85:Z85)))</t>
        </is>
      </c>
      <c r="AM85" s="36" t="inlineStr">
        <is>
          <t>IF(OR(E85="",AB85=""),"",IF(COUNT(Y85:AA85)=0,"",AB85-LOOKUP(2,1/(Y85:AA85&lt;&gt;""),Y85:AA85)))</t>
        </is>
      </c>
      <c r="AN85" s="36" t="inlineStr">
        <is>
          <t>IF(OR(E85="",AC85=""),"",IF(COUNT(Y85:AB85)=0,"",AC85-LOOKUP(2,1/(Y85:AB85&lt;&gt;""),Y85:AB85)))</t>
        </is>
      </c>
      <c r="AO85" s="36" t="inlineStr">
        <is>
          <t>IF(OR(E85="",AD85=""),"",IF(COUNT(Y85:AC85)=0,"",AD85-LOOKUP(2,1/(Y85:AC85&lt;&gt;""),Y85:AC85)))</t>
        </is>
      </c>
      <c r="AP85" s="36" t="inlineStr">
        <is>
          <t>IF(OR(E85="",AE85=""),"",IF(COUNT(Y85:AD85)=0,"",AE85-LOOKUP(2,1/(Y85:AD85&lt;&gt;""),Y85:AD85)))</t>
        </is>
      </c>
      <c r="AQ85" s="36" t="inlineStr">
        <is>
          <t>IF(OR(E85="",AF85=""),"",IF(COUNT(Y85:AE85)=0,"",AF85-LOOKUP(2,1/(Y85:AE85&lt;&gt;""),Y85:AE85)))</t>
        </is>
      </c>
      <c r="AR85" s="36" t="inlineStr">
        <is>
          <t>IF(OR(E85="",AG85=""),"",IF(COUNT(Y85:AF85)=0,"",AG85-LOOKUP(2,1/(Y85:AF85&lt;&gt;""),Y85:AF85)))</t>
        </is>
      </c>
      <c r="AS85" s="36" t="inlineStr">
        <is>
          <t>IF(OR(E85="",AH85=""),"",IF(COUNT(Y85:AG85)=0,"",AH85-LOOKUP(2,1/(Y85:AG85&lt;&gt;""),Y85:AG85)))</t>
        </is>
      </c>
      <c r="AT85" s="36" t="inlineStr">
        <is>
          <t>IF(OR(E85="",AI85=""),"",IF(COUNT(Y85:AH85)=0,"",AI85-LOOKUP(2,1/(Y85:AH85&lt;&gt;""),Y85:AH85)))</t>
        </is>
      </c>
      <c r="AU85" s="36" t="inlineStr">
        <is>
          <t>IF(OR(E85="",AJ85=""),"",IF(COUNT(Y85:AI85)=0,"",AJ85-LOOKUP(2,1/(Y85:AI85&lt;&gt;""),Y85:AI85)))</t>
        </is>
      </c>
      <c r="AV85" s="39" t="inlineStr">
        <is>
          <t>IF(G85="","All_Provinces",IFERROR(VLOOKUP(G85,'07_Lookups'!$A$4:$B$20,2,FALSE),"All_Provinces"))</t>
        </is>
      </c>
      <c r="AW85" s="39" t="inlineStr">
        <is>
          <t>IF(H85="","All_Districts",IFERROR(VLOOKUP(H85,'07_Lookups'!$E$4:$F$42,2,FALSE),"All_Districts"))</t>
        </is>
      </c>
    </row>
    <row r="86" ht="18" customHeight="1">
      <c r="A86" s="31" t="inlineStr">
        <is>
          <t>IF(E86="","",ROW()-3)</t>
        </is>
      </c>
      <c r="B86" s="32" t="n"/>
      <c r="C86" s="32" t="n"/>
      <c r="D86" s="32" t="n"/>
      <c r="E86" s="32" t="n"/>
      <c r="F86" s="32" t="n"/>
      <c r="G86" s="32" t="n"/>
      <c r="H86" s="32" t="n"/>
      <c r="I86" s="32" t="n"/>
      <c r="J86" s="32" t="n"/>
      <c r="K86" s="32" t="n"/>
      <c r="L86" s="32" t="n"/>
      <c r="M86" s="32" t="n"/>
      <c r="N86" s="33" t="n"/>
      <c r="O86" s="34" t="inlineStr">
        <is>
          <t>IF(AE86="","",AE86)</t>
        </is>
      </c>
      <c r="P86" s="35" t="n"/>
      <c r="Q86" s="34" t="inlineStr">
        <is>
          <t>IF(OR(O86="",P86=""),"",EDATE(O86,P86))</t>
        </is>
      </c>
      <c r="R86" s="35" t="n"/>
      <c r="S86" s="32" t="n"/>
      <c r="T86" s="32" t="n"/>
      <c r="U86" s="31" t="inlineStr">
        <is>
          <t>IF(E86="","",IF(COUNT(Y86:AJ86)=0,IF(S86="","Not started",S86),SUBSTITUTE(LOOKUP(2,1/(Y86:AJ86&lt;&gt;""),$Y$3:$AJ$3),"Date: ","")))</t>
        </is>
      </c>
      <c r="V86" s="36" t="inlineStr">
        <is>
          <t>IF(OR(E86="",COUNT(Y86:AJ86)=0),"",TODAY()-LOOKUP(2,1/(Y86:AJ86&lt;&gt;""),Y86:AJ86))</t>
        </is>
      </c>
      <c r="W86" s="36" t="inlineStr">
        <is>
          <t>IF(OR(E86="",COUNT(Y86:AJ86)&lt;2),"",LOOKUP(2,1/(Y86:AJ86&lt;&gt;""),Y86:AJ86)-MIN(Y86:AJ86))</t>
        </is>
      </c>
      <c r="X86" s="36" t="inlineStr">
        <is>
          <t>IF(OR(V86="",U86="Not started",U86=""),"",IFERROR(V86-IF(VLOOKUP(U86,'04_Status_Pipeline'!$B$3:$E$20,4,FALSE)="",0,VLOOKUP(U86,'04_Status_Pipeline'!$B$3:$E$20,4,FALSE)),""))</t>
        </is>
      </c>
      <c r="Y86" s="37" t="n"/>
      <c r="Z86" s="37" t="n"/>
      <c r="AA86" s="37" t="n"/>
      <c r="AB86" s="37" t="n"/>
      <c r="AC86" s="37" t="n"/>
      <c r="AD86" s="37" t="n"/>
      <c r="AE86" s="37" t="n"/>
      <c r="AF86" s="37" t="n"/>
      <c r="AG86" s="37" t="n"/>
      <c r="AH86" s="38" t="n"/>
      <c r="AI86" s="38" t="n"/>
      <c r="AJ86" s="38" t="n"/>
      <c r="AK86" s="36" t="inlineStr">
        <is>
          <t>IF(OR(E86="",Z86=""),"",IF(COUNT(Y86:Y86)=0,"",Z86-LOOKUP(2,1/(Y86:Y86&lt;&gt;""),Y86:Y86)))</t>
        </is>
      </c>
      <c r="AL86" s="36" t="inlineStr">
        <is>
          <t>IF(OR(E86="",AA86=""),"",IF(COUNT(Y86:Z86)=0,"",AA86-LOOKUP(2,1/(Y86:Z86&lt;&gt;""),Y86:Z86)))</t>
        </is>
      </c>
      <c r="AM86" s="36" t="inlineStr">
        <is>
          <t>IF(OR(E86="",AB86=""),"",IF(COUNT(Y86:AA86)=0,"",AB86-LOOKUP(2,1/(Y86:AA86&lt;&gt;""),Y86:AA86)))</t>
        </is>
      </c>
      <c r="AN86" s="36" t="inlineStr">
        <is>
          <t>IF(OR(E86="",AC86=""),"",IF(COUNT(Y86:AB86)=0,"",AC86-LOOKUP(2,1/(Y86:AB86&lt;&gt;""),Y86:AB86)))</t>
        </is>
      </c>
      <c r="AO86" s="36" t="inlineStr">
        <is>
          <t>IF(OR(E86="",AD86=""),"",IF(COUNT(Y86:AC86)=0,"",AD86-LOOKUP(2,1/(Y86:AC86&lt;&gt;""),Y86:AC86)))</t>
        </is>
      </c>
      <c r="AP86" s="36" t="inlineStr">
        <is>
          <t>IF(OR(E86="",AE86=""),"",IF(COUNT(Y86:AD86)=0,"",AE86-LOOKUP(2,1/(Y86:AD86&lt;&gt;""),Y86:AD86)))</t>
        </is>
      </c>
      <c r="AQ86" s="36" t="inlineStr">
        <is>
          <t>IF(OR(E86="",AF86=""),"",IF(COUNT(Y86:AE86)=0,"",AF86-LOOKUP(2,1/(Y86:AE86&lt;&gt;""),Y86:AE86)))</t>
        </is>
      </c>
      <c r="AR86" s="36" t="inlineStr">
        <is>
          <t>IF(OR(E86="",AG86=""),"",IF(COUNT(Y86:AF86)=0,"",AG86-LOOKUP(2,1/(Y86:AF86&lt;&gt;""),Y86:AF86)))</t>
        </is>
      </c>
      <c r="AS86" s="36" t="inlineStr">
        <is>
          <t>IF(OR(E86="",AH86=""),"",IF(COUNT(Y86:AG86)=0,"",AH86-LOOKUP(2,1/(Y86:AG86&lt;&gt;""),Y86:AG86)))</t>
        </is>
      </c>
      <c r="AT86" s="36" t="inlineStr">
        <is>
          <t>IF(OR(E86="",AI86=""),"",IF(COUNT(Y86:AH86)=0,"",AI86-LOOKUP(2,1/(Y86:AH86&lt;&gt;""),Y86:AH86)))</t>
        </is>
      </c>
      <c r="AU86" s="36" t="inlineStr">
        <is>
          <t>IF(OR(E86="",AJ86=""),"",IF(COUNT(Y86:AI86)=0,"",AJ86-LOOKUP(2,1/(Y86:AI86&lt;&gt;""),Y86:AI86)))</t>
        </is>
      </c>
      <c r="AV86" s="39" t="inlineStr">
        <is>
          <t>IF(G86="","All_Provinces",IFERROR(VLOOKUP(G86,'07_Lookups'!$A$4:$B$20,2,FALSE),"All_Provinces"))</t>
        </is>
      </c>
      <c r="AW86" s="39" t="inlineStr">
        <is>
          <t>IF(H86="","All_Districts",IFERROR(VLOOKUP(H86,'07_Lookups'!$E$4:$F$42,2,FALSE),"All_Districts"))</t>
        </is>
      </c>
    </row>
    <row r="87" ht="18" customHeight="1">
      <c r="A87" s="31" t="inlineStr">
        <is>
          <t>IF(E87="","",ROW()-3)</t>
        </is>
      </c>
      <c r="B87" s="40" t="n"/>
      <c r="C87" s="40" t="n"/>
      <c r="D87" s="40" t="n"/>
      <c r="E87" s="40" t="n"/>
      <c r="F87" s="40" t="n"/>
      <c r="G87" s="40" t="n"/>
      <c r="H87" s="40" t="n"/>
      <c r="I87" s="40" t="n"/>
      <c r="J87" s="40" t="n"/>
      <c r="K87" s="40" t="n"/>
      <c r="L87" s="40" t="n"/>
      <c r="M87" s="40" t="n"/>
      <c r="N87" s="41" t="n"/>
      <c r="O87" s="34" t="inlineStr">
        <is>
          <t>IF(AE87="","",AE87)</t>
        </is>
      </c>
      <c r="P87" s="42" t="n"/>
      <c r="Q87" s="34" t="inlineStr">
        <is>
          <t>IF(OR(O87="",P87=""),"",EDATE(O87,P87))</t>
        </is>
      </c>
      <c r="R87" s="42" t="n"/>
      <c r="S87" s="40" t="n"/>
      <c r="T87" s="40" t="n"/>
      <c r="U87" s="31" t="inlineStr">
        <is>
          <t>IF(E87="","",IF(COUNT(Y87:AJ87)=0,IF(S87="","Not started",S87),SUBSTITUTE(LOOKUP(2,1/(Y87:AJ87&lt;&gt;""),$Y$3:$AJ$3),"Date: ","")))</t>
        </is>
      </c>
      <c r="V87" s="36" t="inlineStr">
        <is>
          <t>IF(OR(E87="",COUNT(Y87:AJ87)=0),"",TODAY()-LOOKUP(2,1/(Y87:AJ87&lt;&gt;""),Y87:AJ87))</t>
        </is>
      </c>
      <c r="W87" s="36" t="inlineStr">
        <is>
          <t>IF(OR(E87="",COUNT(Y87:AJ87)&lt;2),"",LOOKUP(2,1/(Y87:AJ87&lt;&gt;""),Y87:AJ87)-MIN(Y87:AJ87))</t>
        </is>
      </c>
      <c r="X87" s="36" t="inlineStr">
        <is>
          <t>IF(OR(V87="",U87="Not started",U87=""),"",IFERROR(V87-IF(VLOOKUP(U87,'04_Status_Pipeline'!$B$3:$E$20,4,FALSE)="",0,VLOOKUP(U87,'04_Status_Pipeline'!$B$3:$E$20,4,FALSE)),""))</t>
        </is>
      </c>
      <c r="Y87" s="43" t="n"/>
      <c r="Z87" s="43" t="n"/>
      <c r="AA87" s="43" t="n"/>
      <c r="AB87" s="43" t="n"/>
      <c r="AC87" s="43" t="n"/>
      <c r="AD87" s="43" t="n"/>
      <c r="AE87" s="43" t="n"/>
      <c r="AF87" s="43" t="n"/>
      <c r="AG87" s="43" t="n"/>
      <c r="AH87" s="38" t="n"/>
      <c r="AI87" s="38" t="n"/>
      <c r="AJ87" s="38" t="n"/>
      <c r="AK87" s="36" t="inlineStr">
        <is>
          <t>IF(OR(E87="",Z87=""),"",IF(COUNT(Y87:Y87)=0,"",Z87-LOOKUP(2,1/(Y87:Y87&lt;&gt;""),Y87:Y87)))</t>
        </is>
      </c>
      <c r="AL87" s="36" t="inlineStr">
        <is>
          <t>IF(OR(E87="",AA87=""),"",IF(COUNT(Y87:Z87)=0,"",AA87-LOOKUP(2,1/(Y87:Z87&lt;&gt;""),Y87:Z87)))</t>
        </is>
      </c>
      <c r="AM87" s="36" t="inlineStr">
        <is>
          <t>IF(OR(E87="",AB87=""),"",IF(COUNT(Y87:AA87)=0,"",AB87-LOOKUP(2,1/(Y87:AA87&lt;&gt;""),Y87:AA87)))</t>
        </is>
      </c>
      <c r="AN87" s="36" t="inlineStr">
        <is>
          <t>IF(OR(E87="",AC87=""),"",IF(COUNT(Y87:AB87)=0,"",AC87-LOOKUP(2,1/(Y87:AB87&lt;&gt;""),Y87:AB87)))</t>
        </is>
      </c>
      <c r="AO87" s="36" t="inlineStr">
        <is>
          <t>IF(OR(E87="",AD87=""),"",IF(COUNT(Y87:AC87)=0,"",AD87-LOOKUP(2,1/(Y87:AC87&lt;&gt;""),Y87:AC87)))</t>
        </is>
      </c>
      <c r="AP87" s="36" t="inlineStr">
        <is>
          <t>IF(OR(E87="",AE87=""),"",IF(COUNT(Y87:AD87)=0,"",AE87-LOOKUP(2,1/(Y87:AD87&lt;&gt;""),Y87:AD87)))</t>
        </is>
      </c>
      <c r="AQ87" s="36" t="inlineStr">
        <is>
          <t>IF(OR(E87="",AF87=""),"",IF(COUNT(Y87:AE87)=0,"",AF87-LOOKUP(2,1/(Y87:AE87&lt;&gt;""),Y87:AE87)))</t>
        </is>
      </c>
      <c r="AR87" s="36" t="inlineStr">
        <is>
          <t>IF(OR(E87="",AG87=""),"",IF(COUNT(Y87:AF87)=0,"",AG87-LOOKUP(2,1/(Y87:AF87&lt;&gt;""),Y87:AF87)))</t>
        </is>
      </c>
      <c r="AS87" s="36" t="inlineStr">
        <is>
          <t>IF(OR(E87="",AH87=""),"",IF(COUNT(Y87:AG87)=0,"",AH87-LOOKUP(2,1/(Y87:AG87&lt;&gt;""),Y87:AG87)))</t>
        </is>
      </c>
      <c r="AT87" s="36" t="inlineStr">
        <is>
          <t>IF(OR(E87="",AI87=""),"",IF(COUNT(Y87:AH87)=0,"",AI87-LOOKUP(2,1/(Y87:AH87&lt;&gt;""),Y87:AH87)))</t>
        </is>
      </c>
      <c r="AU87" s="36" t="inlineStr">
        <is>
          <t>IF(OR(E87="",AJ87=""),"",IF(COUNT(Y87:AI87)=0,"",AJ87-LOOKUP(2,1/(Y87:AI87&lt;&gt;""),Y87:AI87)))</t>
        </is>
      </c>
      <c r="AV87" s="39" t="inlineStr">
        <is>
          <t>IF(G87="","All_Provinces",IFERROR(VLOOKUP(G87,'07_Lookups'!$A$4:$B$20,2,FALSE),"All_Provinces"))</t>
        </is>
      </c>
      <c r="AW87" s="39" t="inlineStr">
        <is>
          <t>IF(H87="","All_Districts",IFERROR(VLOOKUP(H87,'07_Lookups'!$E$4:$F$42,2,FALSE),"All_Districts"))</t>
        </is>
      </c>
    </row>
    <row r="88" ht="18" customHeight="1">
      <c r="A88" s="31" t="inlineStr">
        <is>
          <t>IF(E88="","",ROW()-3)</t>
        </is>
      </c>
      <c r="B88" s="32" t="n"/>
      <c r="C88" s="32" t="n"/>
      <c r="D88" s="32" t="n"/>
      <c r="E88" s="32" t="n"/>
      <c r="F88" s="32" t="n"/>
      <c r="G88" s="32" t="n"/>
      <c r="H88" s="32" t="n"/>
      <c r="I88" s="32" t="n"/>
      <c r="J88" s="32" t="n"/>
      <c r="K88" s="32" t="n"/>
      <c r="L88" s="32" t="n"/>
      <c r="M88" s="32" t="n"/>
      <c r="N88" s="33" t="n"/>
      <c r="O88" s="34" t="inlineStr">
        <is>
          <t>IF(AE88="","",AE88)</t>
        </is>
      </c>
      <c r="P88" s="35" t="n"/>
      <c r="Q88" s="34" t="inlineStr">
        <is>
          <t>IF(OR(O88="",P88=""),"",EDATE(O88,P88))</t>
        </is>
      </c>
      <c r="R88" s="35" t="n"/>
      <c r="S88" s="32" t="n"/>
      <c r="T88" s="32" t="n"/>
      <c r="U88" s="31" t="inlineStr">
        <is>
          <t>IF(E88="","",IF(COUNT(Y88:AJ88)=0,IF(S88="","Not started",S88),SUBSTITUTE(LOOKUP(2,1/(Y88:AJ88&lt;&gt;""),$Y$3:$AJ$3),"Date: ","")))</t>
        </is>
      </c>
      <c r="V88" s="36" t="inlineStr">
        <is>
          <t>IF(OR(E88="",COUNT(Y88:AJ88)=0),"",TODAY()-LOOKUP(2,1/(Y88:AJ88&lt;&gt;""),Y88:AJ88))</t>
        </is>
      </c>
      <c r="W88" s="36" t="inlineStr">
        <is>
          <t>IF(OR(E88="",COUNT(Y88:AJ88)&lt;2),"",LOOKUP(2,1/(Y88:AJ88&lt;&gt;""),Y88:AJ88)-MIN(Y88:AJ88))</t>
        </is>
      </c>
      <c r="X88" s="36" t="inlineStr">
        <is>
          <t>IF(OR(V88="",U88="Not started",U88=""),"",IFERROR(V88-IF(VLOOKUP(U88,'04_Status_Pipeline'!$B$3:$E$20,4,FALSE)="",0,VLOOKUP(U88,'04_Status_Pipeline'!$B$3:$E$20,4,FALSE)),""))</t>
        </is>
      </c>
      <c r="Y88" s="37" t="n"/>
      <c r="Z88" s="37" t="n"/>
      <c r="AA88" s="37" t="n"/>
      <c r="AB88" s="37" t="n"/>
      <c r="AC88" s="37" t="n"/>
      <c r="AD88" s="37" t="n"/>
      <c r="AE88" s="37" t="n"/>
      <c r="AF88" s="37" t="n"/>
      <c r="AG88" s="37" t="n"/>
      <c r="AH88" s="38" t="n"/>
      <c r="AI88" s="38" t="n"/>
      <c r="AJ88" s="38" t="n"/>
      <c r="AK88" s="36" t="inlineStr">
        <is>
          <t>IF(OR(E88="",Z88=""),"",IF(COUNT(Y88:Y88)=0,"",Z88-LOOKUP(2,1/(Y88:Y88&lt;&gt;""),Y88:Y88)))</t>
        </is>
      </c>
      <c r="AL88" s="36" t="inlineStr">
        <is>
          <t>IF(OR(E88="",AA88=""),"",IF(COUNT(Y88:Z88)=0,"",AA88-LOOKUP(2,1/(Y88:Z88&lt;&gt;""),Y88:Z88)))</t>
        </is>
      </c>
      <c r="AM88" s="36" t="inlineStr">
        <is>
          <t>IF(OR(E88="",AB88=""),"",IF(COUNT(Y88:AA88)=0,"",AB88-LOOKUP(2,1/(Y88:AA88&lt;&gt;""),Y88:AA88)))</t>
        </is>
      </c>
      <c r="AN88" s="36" t="inlineStr">
        <is>
          <t>IF(OR(E88="",AC88=""),"",IF(COUNT(Y88:AB88)=0,"",AC88-LOOKUP(2,1/(Y88:AB88&lt;&gt;""),Y88:AB88)))</t>
        </is>
      </c>
      <c r="AO88" s="36" t="inlineStr">
        <is>
          <t>IF(OR(E88="",AD88=""),"",IF(COUNT(Y88:AC88)=0,"",AD88-LOOKUP(2,1/(Y88:AC88&lt;&gt;""),Y88:AC88)))</t>
        </is>
      </c>
      <c r="AP88" s="36" t="inlineStr">
        <is>
          <t>IF(OR(E88="",AE88=""),"",IF(COUNT(Y88:AD88)=0,"",AE88-LOOKUP(2,1/(Y88:AD88&lt;&gt;""),Y88:AD88)))</t>
        </is>
      </c>
      <c r="AQ88" s="36" t="inlineStr">
        <is>
          <t>IF(OR(E88="",AF88=""),"",IF(COUNT(Y88:AE88)=0,"",AF88-LOOKUP(2,1/(Y88:AE88&lt;&gt;""),Y88:AE88)))</t>
        </is>
      </c>
      <c r="AR88" s="36" t="inlineStr">
        <is>
          <t>IF(OR(E88="",AG88=""),"",IF(COUNT(Y88:AF88)=0,"",AG88-LOOKUP(2,1/(Y88:AF88&lt;&gt;""),Y88:AF88)))</t>
        </is>
      </c>
      <c r="AS88" s="36" t="inlineStr">
        <is>
          <t>IF(OR(E88="",AH88=""),"",IF(COUNT(Y88:AG88)=0,"",AH88-LOOKUP(2,1/(Y88:AG88&lt;&gt;""),Y88:AG88)))</t>
        </is>
      </c>
      <c r="AT88" s="36" t="inlineStr">
        <is>
          <t>IF(OR(E88="",AI88=""),"",IF(COUNT(Y88:AH88)=0,"",AI88-LOOKUP(2,1/(Y88:AH88&lt;&gt;""),Y88:AH88)))</t>
        </is>
      </c>
      <c r="AU88" s="36" t="inlineStr">
        <is>
          <t>IF(OR(E88="",AJ88=""),"",IF(COUNT(Y88:AI88)=0,"",AJ88-LOOKUP(2,1/(Y88:AI88&lt;&gt;""),Y88:AI88)))</t>
        </is>
      </c>
      <c r="AV88" s="39" t="inlineStr">
        <is>
          <t>IF(G88="","All_Provinces",IFERROR(VLOOKUP(G88,'07_Lookups'!$A$4:$B$20,2,FALSE),"All_Provinces"))</t>
        </is>
      </c>
      <c r="AW88" s="39" t="inlineStr">
        <is>
          <t>IF(H88="","All_Districts",IFERROR(VLOOKUP(H88,'07_Lookups'!$E$4:$F$42,2,FALSE),"All_Districts"))</t>
        </is>
      </c>
    </row>
    <row r="89" ht="18" customHeight="1">
      <c r="A89" s="31" t="inlineStr">
        <is>
          <t>IF(E89="","",ROW()-3)</t>
        </is>
      </c>
      <c r="B89" s="40" t="n"/>
      <c r="C89" s="40" t="n"/>
      <c r="D89" s="40" t="n"/>
      <c r="E89" s="40" t="n"/>
      <c r="F89" s="40" t="n"/>
      <c r="G89" s="40" t="n"/>
      <c r="H89" s="40" t="n"/>
      <c r="I89" s="40" t="n"/>
      <c r="J89" s="40" t="n"/>
      <c r="K89" s="40" t="n"/>
      <c r="L89" s="40" t="n"/>
      <c r="M89" s="40" t="n"/>
      <c r="N89" s="41" t="n"/>
      <c r="O89" s="34" t="inlineStr">
        <is>
          <t>IF(AE89="","",AE89)</t>
        </is>
      </c>
      <c r="P89" s="42" t="n"/>
      <c r="Q89" s="34" t="inlineStr">
        <is>
          <t>IF(OR(O89="",P89=""),"",EDATE(O89,P89))</t>
        </is>
      </c>
      <c r="R89" s="42" t="n"/>
      <c r="S89" s="40" t="n"/>
      <c r="T89" s="40" t="n"/>
      <c r="U89" s="31" t="inlineStr">
        <is>
          <t>IF(E89="","",IF(COUNT(Y89:AJ89)=0,IF(S89="","Not started",S89),SUBSTITUTE(LOOKUP(2,1/(Y89:AJ89&lt;&gt;""),$Y$3:$AJ$3),"Date: ","")))</t>
        </is>
      </c>
      <c r="V89" s="36" t="inlineStr">
        <is>
          <t>IF(OR(E89="",COUNT(Y89:AJ89)=0),"",TODAY()-LOOKUP(2,1/(Y89:AJ89&lt;&gt;""),Y89:AJ89))</t>
        </is>
      </c>
      <c r="W89" s="36" t="inlineStr">
        <is>
          <t>IF(OR(E89="",COUNT(Y89:AJ89)&lt;2),"",LOOKUP(2,1/(Y89:AJ89&lt;&gt;""),Y89:AJ89)-MIN(Y89:AJ89))</t>
        </is>
      </c>
      <c r="X89" s="36" t="inlineStr">
        <is>
          <t>IF(OR(V89="",U89="Not started",U89=""),"",IFERROR(V89-IF(VLOOKUP(U89,'04_Status_Pipeline'!$B$3:$E$20,4,FALSE)="",0,VLOOKUP(U89,'04_Status_Pipeline'!$B$3:$E$20,4,FALSE)),""))</t>
        </is>
      </c>
      <c r="Y89" s="43" t="n"/>
      <c r="Z89" s="43" t="n"/>
      <c r="AA89" s="43" t="n"/>
      <c r="AB89" s="43" t="n"/>
      <c r="AC89" s="43" t="n"/>
      <c r="AD89" s="43" t="n"/>
      <c r="AE89" s="43" t="n"/>
      <c r="AF89" s="43" t="n"/>
      <c r="AG89" s="43" t="n"/>
      <c r="AH89" s="38" t="n"/>
      <c r="AI89" s="38" t="n"/>
      <c r="AJ89" s="38" t="n"/>
      <c r="AK89" s="36" t="inlineStr">
        <is>
          <t>IF(OR(E89="",Z89=""),"",IF(COUNT(Y89:Y89)=0,"",Z89-LOOKUP(2,1/(Y89:Y89&lt;&gt;""),Y89:Y89)))</t>
        </is>
      </c>
      <c r="AL89" s="36" t="inlineStr">
        <is>
          <t>IF(OR(E89="",AA89=""),"",IF(COUNT(Y89:Z89)=0,"",AA89-LOOKUP(2,1/(Y89:Z89&lt;&gt;""),Y89:Z89)))</t>
        </is>
      </c>
      <c r="AM89" s="36" t="inlineStr">
        <is>
          <t>IF(OR(E89="",AB89=""),"",IF(COUNT(Y89:AA89)=0,"",AB89-LOOKUP(2,1/(Y89:AA89&lt;&gt;""),Y89:AA89)))</t>
        </is>
      </c>
      <c r="AN89" s="36" t="inlineStr">
        <is>
          <t>IF(OR(E89="",AC89=""),"",IF(COUNT(Y89:AB89)=0,"",AC89-LOOKUP(2,1/(Y89:AB89&lt;&gt;""),Y89:AB89)))</t>
        </is>
      </c>
      <c r="AO89" s="36" t="inlineStr">
        <is>
          <t>IF(OR(E89="",AD89=""),"",IF(COUNT(Y89:AC89)=0,"",AD89-LOOKUP(2,1/(Y89:AC89&lt;&gt;""),Y89:AC89)))</t>
        </is>
      </c>
      <c r="AP89" s="36" t="inlineStr">
        <is>
          <t>IF(OR(E89="",AE89=""),"",IF(COUNT(Y89:AD89)=0,"",AE89-LOOKUP(2,1/(Y89:AD89&lt;&gt;""),Y89:AD89)))</t>
        </is>
      </c>
      <c r="AQ89" s="36" t="inlineStr">
        <is>
          <t>IF(OR(E89="",AF89=""),"",IF(COUNT(Y89:AE89)=0,"",AF89-LOOKUP(2,1/(Y89:AE89&lt;&gt;""),Y89:AE89)))</t>
        </is>
      </c>
      <c r="AR89" s="36" t="inlineStr">
        <is>
          <t>IF(OR(E89="",AG89=""),"",IF(COUNT(Y89:AF89)=0,"",AG89-LOOKUP(2,1/(Y89:AF89&lt;&gt;""),Y89:AF89)))</t>
        </is>
      </c>
      <c r="AS89" s="36" t="inlineStr">
        <is>
          <t>IF(OR(E89="",AH89=""),"",IF(COUNT(Y89:AG89)=0,"",AH89-LOOKUP(2,1/(Y89:AG89&lt;&gt;""),Y89:AG89)))</t>
        </is>
      </c>
      <c r="AT89" s="36" t="inlineStr">
        <is>
          <t>IF(OR(E89="",AI89=""),"",IF(COUNT(Y89:AH89)=0,"",AI89-LOOKUP(2,1/(Y89:AH89&lt;&gt;""),Y89:AH89)))</t>
        </is>
      </c>
      <c r="AU89" s="36" t="inlineStr">
        <is>
          <t>IF(OR(E89="",AJ89=""),"",IF(COUNT(Y89:AI89)=0,"",AJ89-LOOKUP(2,1/(Y89:AI89&lt;&gt;""),Y89:AI89)))</t>
        </is>
      </c>
      <c r="AV89" s="39" t="inlineStr">
        <is>
          <t>IF(G89="","All_Provinces",IFERROR(VLOOKUP(G89,'07_Lookups'!$A$4:$B$20,2,FALSE),"All_Provinces"))</t>
        </is>
      </c>
      <c r="AW89" s="39" t="inlineStr">
        <is>
          <t>IF(H89="","All_Districts",IFERROR(VLOOKUP(H89,'07_Lookups'!$E$4:$F$42,2,FALSE),"All_Districts"))</t>
        </is>
      </c>
    </row>
    <row r="90" ht="18" customHeight="1">
      <c r="A90" s="31" t="inlineStr">
        <is>
          <t>IF(E90="","",ROW()-3)</t>
        </is>
      </c>
      <c r="B90" s="32" t="n"/>
      <c r="C90" s="32" t="n"/>
      <c r="D90" s="32" t="n"/>
      <c r="E90" s="32" t="n"/>
      <c r="F90" s="32" t="n"/>
      <c r="G90" s="32" t="n"/>
      <c r="H90" s="32" t="n"/>
      <c r="I90" s="32" t="n"/>
      <c r="J90" s="32" t="n"/>
      <c r="K90" s="32" t="n"/>
      <c r="L90" s="32" t="n"/>
      <c r="M90" s="32" t="n"/>
      <c r="N90" s="33" t="n"/>
      <c r="O90" s="34" t="inlineStr">
        <is>
          <t>IF(AE90="","",AE90)</t>
        </is>
      </c>
      <c r="P90" s="35" t="n"/>
      <c r="Q90" s="34" t="inlineStr">
        <is>
          <t>IF(OR(O90="",P90=""),"",EDATE(O90,P90))</t>
        </is>
      </c>
      <c r="R90" s="35" t="n"/>
      <c r="S90" s="32" t="n"/>
      <c r="T90" s="32" t="n"/>
      <c r="U90" s="31" t="inlineStr">
        <is>
          <t>IF(E90="","",IF(COUNT(Y90:AJ90)=0,IF(S90="","Not started",S90),SUBSTITUTE(LOOKUP(2,1/(Y90:AJ90&lt;&gt;""),$Y$3:$AJ$3),"Date: ","")))</t>
        </is>
      </c>
      <c r="V90" s="36" t="inlineStr">
        <is>
          <t>IF(OR(E90="",COUNT(Y90:AJ90)=0),"",TODAY()-LOOKUP(2,1/(Y90:AJ90&lt;&gt;""),Y90:AJ90))</t>
        </is>
      </c>
      <c r="W90" s="36" t="inlineStr">
        <is>
          <t>IF(OR(E90="",COUNT(Y90:AJ90)&lt;2),"",LOOKUP(2,1/(Y90:AJ90&lt;&gt;""),Y90:AJ90)-MIN(Y90:AJ90))</t>
        </is>
      </c>
      <c r="X90" s="36" t="inlineStr">
        <is>
          <t>IF(OR(V90="",U90="Not started",U90=""),"",IFERROR(V90-IF(VLOOKUP(U90,'04_Status_Pipeline'!$B$3:$E$20,4,FALSE)="",0,VLOOKUP(U90,'04_Status_Pipeline'!$B$3:$E$20,4,FALSE)),""))</t>
        </is>
      </c>
      <c r="Y90" s="37" t="n"/>
      <c r="Z90" s="37" t="n"/>
      <c r="AA90" s="37" t="n"/>
      <c r="AB90" s="37" t="n"/>
      <c r="AC90" s="37" t="n"/>
      <c r="AD90" s="37" t="n"/>
      <c r="AE90" s="37" t="n"/>
      <c r="AF90" s="37" t="n"/>
      <c r="AG90" s="37" t="n"/>
      <c r="AH90" s="38" t="n"/>
      <c r="AI90" s="38" t="n"/>
      <c r="AJ90" s="38" t="n"/>
      <c r="AK90" s="36" t="inlineStr">
        <is>
          <t>IF(OR(E90="",Z90=""),"",IF(COUNT(Y90:Y90)=0,"",Z90-LOOKUP(2,1/(Y90:Y90&lt;&gt;""),Y90:Y90)))</t>
        </is>
      </c>
      <c r="AL90" s="36" t="inlineStr">
        <is>
          <t>IF(OR(E90="",AA90=""),"",IF(COUNT(Y90:Z90)=0,"",AA90-LOOKUP(2,1/(Y90:Z90&lt;&gt;""),Y90:Z90)))</t>
        </is>
      </c>
      <c r="AM90" s="36" t="inlineStr">
        <is>
          <t>IF(OR(E90="",AB90=""),"",IF(COUNT(Y90:AA90)=0,"",AB90-LOOKUP(2,1/(Y90:AA90&lt;&gt;""),Y90:AA90)))</t>
        </is>
      </c>
      <c r="AN90" s="36" t="inlineStr">
        <is>
          <t>IF(OR(E90="",AC90=""),"",IF(COUNT(Y90:AB90)=0,"",AC90-LOOKUP(2,1/(Y90:AB90&lt;&gt;""),Y90:AB90)))</t>
        </is>
      </c>
      <c r="AO90" s="36" t="inlineStr">
        <is>
          <t>IF(OR(E90="",AD90=""),"",IF(COUNT(Y90:AC90)=0,"",AD90-LOOKUP(2,1/(Y90:AC90&lt;&gt;""),Y90:AC90)))</t>
        </is>
      </c>
      <c r="AP90" s="36" t="inlineStr">
        <is>
          <t>IF(OR(E90="",AE90=""),"",IF(COUNT(Y90:AD90)=0,"",AE90-LOOKUP(2,1/(Y90:AD90&lt;&gt;""),Y90:AD90)))</t>
        </is>
      </c>
      <c r="AQ90" s="36" t="inlineStr">
        <is>
          <t>IF(OR(E90="",AF90=""),"",IF(COUNT(Y90:AE90)=0,"",AF90-LOOKUP(2,1/(Y90:AE90&lt;&gt;""),Y90:AE90)))</t>
        </is>
      </c>
      <c r="AR90" s="36" t="inlineStr">
        <is>
          <t>IF(OR(E90="",AG90=""),"",IF(COUNT(Y90:AF90)=0,"",AG90-LOOKUP(2,1/(Y90:AF90&lt;&gt;""),Y90:AF90)))</t>
        </is>
      </c>
      <c r="AS90" s="36" t="inlineStr">
        <is>
          <t>IF(OR(E90="",AH90=""),"",IF(COUNT(Y90:AG90)=0,"",AH90-LOOKUP(2,1/(Y90:AG90&lt;&gt;""),Y90:AG90)))</t>
        </is>
      </c>
      <c r="AT90" s="36" t="inlineStr">
        <is>
          <t>IF(OR(E90="",AI90=""),"",IF(COUNT(Y90:AH90)=0,"",AI90-LOOKUP(2,1/(Y90:AH90&lt;&gt;""),Y90:AH90)))</t>
        </is>
      </c>
      <c r="AU90" s="36" t="inlineStr">
        <is>
          <t>IF(OR(E90="",AJ90=""),"",IF(COUNT(Y90:AI90)=0,"",AJ90-LOOKUP(2,1/(Y90:AI90&lt;&gt;""),Y90:AI90)))</t>
        </is>
      </c>
      <c r="AV90" s="39" t="inlineStr">
        <is>
          <t>IF(G90="","All_Provinces",IFERROR(VLOOKUP(G90,'07_Lookups'!$A$4:$B$20,2,FALSE),"All_Provinces"))</t>
        </is>
      </c>
      <c r="AW90" s="39" t="inlineStr">
        <is>
          <t>IF(H90="","All_Districts",IFERROR(VLOOKUP(H90,'07_Lookups'!$E$4:$F$42,2,FALSE),"All_Districts"))</t>
        </is>
      </c>
    </row>
    <row r="91" ht="18" customHeight="1">
      <c r="A91" s="31" t="inlineStr">
        <is>
          <t>IF(E91="","",ROW()-3)</t>
        </is>
      </c>
      <c r="B91" s="40" t="n"/>
      <c r="C91" s="40" t="n"/>
      <c r="D91" s="40" t="n"/>
      <c r="E91" s="40" t="n"/>
      <c r="F91" s="40" t="n"/>
      <c r="G91" s="40" t="n"/>
      <c r="H91" s="40" t="n"/>
      <c r="I91" s="40" t="n"/>
      <c r="J91" s="40" t="n"/>
      <c r="K91" s="40" t="n"/>
      <c r="L91" s="40" t="n"/>
      <c r="M91" s="40" t="n"/>
      <c r="N91" s="41" t="n"/>
      <c r="O91" s="34" t="inlineStr">
        <is>
          <t>IF(AE91="","",AE91)</t>
        </is>
      </c>
      <c r="P91" s="42" t="n"/>
      <c r="Q91" s="34" t="inlineStr">
        <is>
          <t>IF(OR(O91="",P91=""),"",EDATE(O91,P91))</t>
        </is>
      </c>
      <c r="R91" s="42" t="n"/>
      <c r="S91" s="40" t="n"/>
      <c r="T91" s="40" t="n"/>
      <c r="U91" s="31" t="inlineStr">
        <is>
          <t>IF(E91="","",IF(COUNT(Y91:AJ91)=0,IF(S91="","Not started",S91),SUBSTITUTE(LOOKUP(2,1/(Y91:AJ91&lt;&gt;""),$Y$3:$AJ$3),"Date: ","")))</t>
        </is>
      </c>
      <c r="V91" s="36" t="inlineStr">
        <is>
          <t>IF(OR(E91="",COUNT(Y91:AJ91)=0),"",TODAY()-LOOKUP(2,1/(Y91:AJ91&lt;&gt;""),Y91:AJ91))</t>
        </is>
      </c>
      <c r="W91" s="36" t="inlineStr">
        <is>
          <t>IF(OR(E91="",COUNT(Y91:AJ91)&lt;2),"",LOOKUP(2,1/(Y91:AJ91&lt;&gt;""),Y91:AJ91)-MIN(Y91:AJ91))</t>
        </is>
      </c>
      <c r="X91" s="36" t="inlineStr">
        <is>
          <t>IF(OR(V91="",U91="Not started",U91=""),"",IFERROR(V91-IF(VLOOKUP(U91,'04_Status_Pipeline'!$B$3:$E$20,4,FALSE)="",0,VLOOKUP(U91,'04_Status_Pipeline'!$B$3:$E$20,4,FALSE)),""))</t>
        </is>
      </c>
      <c r="Y91" s="43" t="n"/>
      <c r="Z91" s="43" t="n"/>
      <c r="AA91" s="43" t="n"/>
      <c r="AB91" s="43" t="n"/>
      <c r="AC91" s="43" t="n"/>
      <c r="AD91" s="43" t="n"/>
      <c r="AE91" s="43" t="n"/>
      <c r="AF91" s="43" t="n"/>
      <c r="AG91" s="43" t="n"/>
      <c r="AH91" s="38" t="n"/>
      <c r="AI91" s="38" t="n"/>
      <c r="AJ91" s="38" t="n"/>
      <c r="AK91" s="36" t="inlineStr">
        <is>
          <t>IF(OR(E91="",Z91=""),"",IF(COUNT(Y91:Y91)=0,"",Z91-LOOKUP(2,1/(Y91:Y91&lt;&gt;""),Y91:Y91)))</t>
        </is>
      </c>
      <c r="AL91" s="36" t="inlineStr">
        <is>
          <t>IF(OR(E91="",AA91=""),"",IF(COUNT(Y91:Z91)=0,"",AA91-LOOKUP(2,1/(Y91:Z91&lt;&gt;""),Y91:Z91)))</t>
        </is>
      </c>
      <c r="AM91" s="36" t="inlineStr">
        <is>
          <t>IF(OR(E91="",AB91=""),"",IF(COUNT(Y91:AA91)=0,"",AB91-LOOKUP(2,1/(Y91:AA91&lt;&gt;""),Y91:AA91)))</t>
        </is>
      </c>
      <c r="AN91" s="36" t="inlineStr">
        <is>
          <t>IF(OR(E91="",AC91=""),"",IF(COUNT(Y91:AB91)=0,"",AC91-LOOKUP(2,1/(Y91:AB91&lt;&gt;""),Y91:AB91)))</t>
        </is>
      </c>
      <c r="AO91" s="36" t="inlineStr">
        <is>
          <t>IF(OR(E91="",AD91=""),"",IF(COUNT(Y91:AC91)=0,"",AD91-LOOKUP(2,1/(Y91:AC91&lt;&gt;""),Y91:AC91)))</t>
        </is>
      </c>
      <c r="AP91" s="36" t="inlineStr">
        <is>
          <t>IF(OR(E91="",AE91=""),"",IF(COUNT(Y91:AD91)=0,"",AE91-LOOKUP(2,1/(Y91:AD91&lt;&gt;""),Y91:AD91)))</t>
        </is>
      </c>
      <c r="AQ91" s="36" t="inlineStr">
        <is>
          <t>IF(OR(E91="",AF91=""),"",IF(COUNT(Y91:AE91)=0,"",AF91-LOOKUP(2,1/(Y91:AE91&lt;&gt;""),Y91:AE91)))</t>
        </is>
      </c>
      <c r="AR91" s="36" t="inlineStr">
        <is>
          <t>IF(OR(E91="",AG91=""),"",IF(COUNT(Y91:AF91)=0,"",AG91-LOOKUP(2,1/(Y91:AF91&lt;&gt;""),Y91:AF91)))</t>
        </is>
      </c>
      <c r="AS91" s="36" t="inlineStr">
        <is>
          <t>IF(OR(E91="",AH91=""),"",IF(COUNT(Y91:AG91)=0,"",AH91-LOOKUP(2,1/(Y91:AG91&lt;&gt;""),Y91:AG91)))</t>
        </is>
      </c>
      <c r="AT91" s="36" t="inlineStr">
        <is>
          <t>IF(OR(E91="",AI91=""),"",IF(COUNT(Y91:AH91)=0,"",AI91-LOOKUP(2,1/(Y91:AH91&lt;&gt;""),Y91:AH91)))</t>
        </is>
      </c>
      <c r="AU91" s="36" t="inlineStr">
        <is>
          <t>IF(OR(E91="",AJ91=""),"",IF(COUNT(Y91:AI91)=0,"",AJ91-LOOKUP(2,1/(Y91:AI91&lt;&gt;""),Y91:AI91)))</t>
        </is>
      </c>
      <c r="AV91" s="39" t="inlineStr">
        <is>
          <t>IF(G91="","All_Provinces",IFERROR(VLOOKUP(G91,'07_Lookups'!$A$4:$B$20,2,FALSE),"All_Provinces"))</t>
        </is>
      </c>
      <c r="AW91" s="39" t="inlineStr">
        <is>
          <t>IF(H91="","All_Districts",IFERROR(VLOOKUP(H91,'07_Lookups'!$E$4:$F$42,2,FALSE),"All_Districts"))</t>
        </is>
      </c>
    </row>
    <row r="92" ht="18" customHeight="1">
      <c r="A92" s="31" t="inlineStr">
        <is>
          <t>IF(E92="","",ROW()-3)</t>
        </is>
      </c>
      <c r="B92" s="32" t="n"/>
      <c r="C92" s="32" t="n"/>
      <c r="D92" s="32" t="n"/>
      <c r="E92" s="32" t="n"/>
      <c r="F92" s="32" t="n"/>
      <c r="G92" s="32" t="n"/>
      <c r="H92" s="32" t="n"/>
      <c r="I92" s="32" t="n"/>
      <c r="J92" s="32" t="n"/>
      <c r="K92" s="32" t="n"/>
      <c r="L92" s="32" t="n"/>
      <c r="M92" s="32" t="n"/>
      <c r="N92" s="33" t="n"/>
      <c r="O92" s="34" t="inlineStr">
        <is>
          <t>IF(AE92="","",AE92)</t>
        </is>
      </c>
      <c r="P92" s="35" t="n"/>
      <c r="Q92" s="34" t="inlineStr">
        <is>
          <t>IF(OR(O92="",P92=""),"",EDATE(O92,P92))</t>
        </is>
      </c>
      <c r="R92" s="35" t="n"/>
      <c r="S92" s="32" t="n"/>
      <c r="T92" s="32" t="n"/>
      <c r="U92" s="31" t="inlineStr">
        <is>
          <t>IF(E92="","",IF(COUNT(Y92:AJ92)=0,IF(S92="","Not started",S92),SUBSTITUTE(LOOKUP(2,1/(Y92:AJ92&lt;&gt;""),$Y$3:$AJ$3),"Date: ","")))</t>
        </is>
      </c>
      <c r="V92" s="36" t="inlineStr">
        <is>
          <t>IF(OR(E92="",COUNT(Y92:AJ92)=0),"",TODAY()-LOOKUP(2,1/(Y92:AJ92&lt;&gt;""),Y92:AJ92))</t>
        </is>
      </c>
      <c r="W92" s="36" t="inlineStr">
        <is>
          <t>IF(OR(E92="",COUNT(Y92:AJ92)&lt;2),"",LOOKUP(2,1/(Y92:AJ92&lt;&gt;""),Y92:AJ92)-MIN(Y92:AJ92))</t>
        </is>
      </c>
      <c r="X92" s="36" t="inlineStr">
        <is>
          <t>IF(OR(V92="",U92="Not started",U92=""),"",IFERROR(V92-IF(VLOOKUP(U92,'04_Status_Pipeline'!$B$3:$E$20,4,FALSE)="",0,VLOOKUP(U92,'04_Status_Pipeline'!$B$3:$E$20,4,FALSE)),""))</t>
        </is>
      </c>
      <c r="Y92" s="37" t="n"/>
      <c r="Z92" s="37" t="n"/>
      <c r="AA92" s="37" t="n"/>
      <c r="AB92" s="37" t="n"/>
      <c r="AC92" s="37" t="n"/>
      <c r="AD92" s="37" t="n"/>
      <c r="AE92" s="37" t="n"/>
      <c r="AF92" s="37" t="n"/>
      <c r="AG92" s="37" t="n"/>
      <c r="AH92" s="38" t="n"/>
      <c r="AI92" s="38" t="n"/>
      <c r="AJ92" s="38" t="n"/>
      <c r="AK92" s="36" t="inlineStr">
        <is>
          <t>IF(OR(E92="",Z92=""),"",IF(COUNT(Y92:Y92)=0,"",Z92-LOOKUP(2,1/(Y92:Y92&lt;&gt;""),Y92:Y92)))</t>
        </is>
      </c>
      <c r="AL92" s="36" t="inlineStr">
        <is>
          <t>IF(OR(E92="",AA92=""),"",IF(COUNT(Y92:Z92)=0,"",AA92-LOOKUP(2,1/(Y92:Z92&lt;&gt;""),Y92:Z92)))</t>
        </is>
      </c>
      <c r="AM92" s="36" t="inlineStr">
        <is>
          <t>IF(OR(E92="",AB92=""),"",IF(COUNT(Y92:AA92)=0,"",AB92-LOOKUP(2,1/(Y92:AA92&lt;&gt;""),Y92:AA92)))</t>
        </is>
      </c>
      <c r="AN92" s="36" t="inlineStr">
        <is>
          <t>IF(OR(E92="",AC92=""),"",IF(COUNT(Y92:AB92)=0,"",AC92-LOOKUP(2,1/(Y92:AB92&lt;&gt;""),Y92:AB92)))</t>
        </is>
      </c>
      <c r="AO92" s="36" t="inlineStr">
        <is>
          <t>IF(OR(E92="",AD92=""),"",IF(COUNT(Y92:AC92)=0,"",AD92-LOOKUP(2,1/(Y92:AC92&lt;&gt;""),Y92:AC92)))</t>
        </is>
      </c>
      <c r="AP92" s="36" t="inlineStr">
        <is>
          <t>IF(OR(E92="",AE92=""),"",IF(COUNT(Y92:AD92)=0,"",AE92-LOOKUP(2,1/(Y92:AD92&lt;&gt;""),Y92:AD92)))</t>
        </is>
      </c>
      <c r="AQ92" s="36" t="inlineStr">
        <is>
          <t>IF(OR(E92="",AF92=""),"",IF(COUNT(Y92:AE92)=0,"",AF92-LOOKUP(2,1/(Y92:AE92&lt;&gt;""),Y92:AE92)))</t>
        </is>
      </c>
      <c r="AR92" s="36" t="inlineStr">
        <is>
          <t>IF(OR(E92="",AG92=""),"",IF(COUNT(Y92:AF92)=0,"",AG92-LOOKUP(2,1/(Y92:AF92&lt;&gt;""),Y92:AF92)))</t>
        </is>
      </c>
      <c r="AS92" s="36" t="inlineStr">
        <is>
          <t>IF(OR(E92="",AH92=""),"",IF(COUNT(Y92:AG92)=0,"",AH92-LOOKUP(2,1/(Y92:AG92&lt;&gt;""),Y92:AG92)))</t>
        </is>
      </c>
      <c r="AT92" s="36" t="inlineStr">
        <is>
          <t>IF(OR(E92="",AI92=""),"",IF(COUNT(Y92:AH92)=0,"",AI92-LOOKUP(2,1/(Y92:AH92&lt;&gt;""),Y92:AH92)))</t>
        </is>
      </c>
      <c r="AU92" s="36" t="inlineStr">
        <is>
          <t>IF(OR(E92="",AJ92=""),"",IF(COUNT(Y92:AI92)=0,"",AJ92-LOOKUP(2,1/(Y92:AI92&lt;&gt;""),Y92:AI92)))</t>
        </is>
      </c>
      <c r="AV92" s="39" t="inlineStr">
        <is>
          <t>IF(G92="","All_Provinces",IFERROR(VLOOKUP(G92,'07_Lookups'!$A$4:$B$20,2,FALSE),"All_Provinces"))</t>
        </is>
      </c>
      <c r="AW92" s="39" t="inlineStr">
        <is>
          <t>IF(H92="","All_Districts",IFERROR(VLOOKUP(H92,'07_Lookups'!$E$4:$F$42,2,FALSE),"All_Districts"))</t>
        </is>
      </c>
    </row>
    <row r="93" ht="18" customHeight="1">
      <c r="A93" s="31" t="inlineStr">
        <is>
          <t>IF(E93="","",ROW()-3)</t>
        </is>
      </c>
      <c r="B93" s="40" t="n"/>
      <c r="C93" s="40" t="n"/>
      <c r="D93" s="40" t="n"/>
      <c r="E93" s="40" t="n"/>
      <c r="F93" s="40" t="n"/>
      <c r="G93" s="40" t="n"/>
      <c r="H93" s="40" t="n"/>
      <c r="I93" s="40" t="n"/>
      <c r="J93" s="40" t="n"/>
      <c r="K93" s="40" t="n"/>
      <c r="L93" s="40" t="n"/>
      <c r="M93" s="40" t="n"/>
      <c r="N93" s="41" t="n"/>
      <c r="O93" s="34" t="inlineStr">
        <is>
          <t>IF(AE93="","",AE93)</t>
        </is>
      </c>
      <c r="P93" s="42" t="n"/>
      <c r="Q93" s="34" t="inlineStr">
        <is>
          <t>IF(OR(O93="",P93=""),"",EDATE(O93,P93))</t>
        </is>
      </c>
      <c r="R93" s="42" t="n"/>
      <c r="S93" s="40" t="n"/>
      <c r="T93" s="40" t="n"/>
      <c r="U93" s="31" t="inlineStr">
        <is>
          <t>IF(E93="","",IF(COUNT(Y93:AJ93)=0,IF(S93="","Not started",S93),SUBSTITUTE(LOOKUP(2,1/(Y93:AJ93&lt;&gt;""),$Y$3:$AJ$3),"Date: ","")))</t>
        </is>
      </c>
      <c r="V93" s="36" t="inlineStr">
        <is>
          <t>IF(OR(E93="",COUNT(Y93:AJ93)=0),"",TODAY()-LOOKUP(2,1/(Y93:AJ93&lt;&gt;""),Y93:AJ93))</t>
        </is>
      </c>
      <c r="W93" s="36" t="inlineStr">
        <is>
          <t>IF(OR(E93="",COUNT(Y93:AJ93)&lt;2),"",LOOKUP(2,1/(Y93:AJ93&lt;&gt;""),Y93:AJ93)-MIN(Y93:AJ93))</t>
        </is>
      </c>
      <c r="X93" s="36" t="inlineStr">
        <is>
          <t>IF(OR(V93="",U93="Not started",U93=""),"",IFERROR(V93-IF(VLOOKUP(U93,'04_Status_Pipeline'!$B$3:$E$20,4,FALSE)="",0,VLOOKUP(U93,'04_Status_Pipeline'!$B$3:$E$20,4,FALSE)),""))</t>
        </is>
      </c>
      <c r="Y93" s="43" t="n"/>
      <c r="Z93" s="43" t="n"/>
      <c r="AA93" s="43" t="n"/>
      <c r="AB93" s="43" t="n"/>
      <c r="AC93" s="43" t="n"/>
      <c r="AD93" s="43" t="n"/>
      <c r="AE93" s="43" t="n"/>
      <c r="AF93" s="43" t="n"/>
      <c r="AG93" s="43" t="n"/>
      <c r="AH93" s="38" t="n"/>
      <c r="AI93" s="38" t="n"/>
      <c r="AJ93" s="38" t="n"/>
      <c r="AK93" s="36" t="inlineStr">
        <is>
          <t>IF(OR(E93="",Z93=""),"",IF(COUNT(Y93:Y93)=0,"",Z93-LOOKUP(2,1/(Y93:Y93&lt;&gt;""),Y93:Y93)))</t>
        </is>
      </c>
      <c r="AL93" s="36" t="inlineStr">
        <is>
          <t>IF(OR(E93="",AA93=""),"",IF(COUNT(Y93:Z93)=0,"",AA93-LOOKUP(2,1/(Y93:Z93&lt;&gt;""),Y93:Z93)))</t>
        </is>
      </c>
      <c r="AM93" s="36" t="inlineStr">
        <is>
          <t>IF(OR(E93="",AB93=""),"",IF(COUNT(Y93:AA93)=0,"",AB93-LOOKUP(2,1/(Y93:AA93&lt;&gt;""),Y93:AA93)))</t>
        </is>
      </c>
      <c r="AN93" s="36" t="inlineStr">
        <is>
          <t>IF(OR(E93="",AC93=""),"",IF(COUNT(Y93:AB93)=0,"",AC93-LOOKUP(2,1/(Y93:AB93&lt;&gt;""),Y93:AB93)))</t>
        </is>
      </c>
      <c r="AO93" s="36" t="inlineStr">
        <is>
          <t>IF(OR(E93="",AD93=""),"",IF(COUNT(Y93:AC93)=0,"",AD93-LOOKUP(2,1/(Y93:AC93&lt;&gt;""),Y93:AC93)))</t>
        </is>
      </c>
      <c r="AP93" s="36" t="inlineStr">
        <is>
          <t>IF(OR(E93="",AE93=""),"",IF(COUNT(Y93:AD93)=0,"",AE93-LOOKUP(2,1/(Y93:AD93&lt;&gt;""),Y93:AD93)))</t>
        </is>
      </c>
      <c r="AQ93" s="36" t="inlineStr">
        <is>
          <t>IF(OR(E93="",AF93=""),"",IF(COUNT(Y93:AE93)=0,"",AF93-LOOKUP(2,1/(Y93:AE93&lt;&gt;""),Y93:AE93)))</t>
        </is>
      </c>
      <c r="AR93" s="36" t="inlineStr">
        <is>
          <t>IF(OR(E93="",AG93=""),"",IF(COUNT(Y93:AF93)=0,"",AG93-LOOKUP(2,1/(Y93:AF93&lt;&gt;""),Y93:AF93)))</t>
        </is>
      </c>
      <c r="AS93" s="36" t="inlineStr">
        <is>
          <t>IF(OR(E93="",AH93=""),"",IF(COUNT(Y93:AG93)=0,"",AH93-LOOKUP(2,1/(Y93:AG93&lt;&gt;""),Y93:AG93)))</t>
        </is>
      </c>
      <c r="AT93" s="36" t="inlineStr">
        <is>
          <t>IF(OR(E93="",AI93=""),"",IF(COUNT(Y93:AH93)=0,"",AI93-LOOKUP(2,1/(Y93:AH93&lt;&gt;""),Y93:AH93)))</t>
        </is>
      </c>
      <c r="AU93" s="36" t="inlineStr">
        <is>
          <t>IF(OR(E93="",AJ93=""),"",IF(COUNT(Y93:AI93)=0,"",AJ93-LOOKUP(2,1/(Y93:AI93&lt;&gt;""),Y93:AI93)))</t>
        </is>
      </c>
      <c r="AV93" s="39" t="inlineStr">
        <is>
          <t>IF(G93="","All_Provinces",IFERROR(VLOOKUP(G93,'07_Lookups'!$A$4:$B$20,2,FALSE),"All_Provinces"))</t>
        </is>
      </c>
      <c r="AW93" s="39" t="inlineStr">
        <is>
          <t>IF(H93="","All_Districts",IFERROR(VLOOKUP(H93,'07_Lookups'!$E$4:$F$42,2,FALSE),"All_Districts"))</t>
        </is>
      </c>
    </row>
    <row r="94" ht="18" customHeight="1">
      <c r="A94" s="31" t="inlineStr">
        <is>
          <t>IF(E94="","",ROW()-3)</t>
        </is>
      </c>
      <c r="B94" s="32" t="n"/>
      <c r="C94" s="32" t="n"/>
      <c r="D94" s="32" t="n"/>
      <c r="E94" s="32" t="n"/>
      <c r="F94" s="32" t="n"/>
      <c r="G94" s="32" t="n"/>
      <c r="H94" s="32" t="n"/>
      <c r="I94" s="32" t="n"/>
      <c r="J94" s="32" t="n"/>
      <c r="K94" s="32" t="n"/>
      <c r="L94" s="32" t="n"/>
      <c r="M94" s="32" t="n"/>
      <c r="N94" s="33" t="n"/>
      <c r="O94" s="34" t="inlineStr">
        <is>
          <t>IF(AE94="","",AE94)</t>
        </is>
      </c>
      <c r="P94" s="35" t="n"/>
      <c r="Q94" s="34" t="inlineStr">
        <is>
          <t>IF(OR(O94="",P94=""),"",EDATE(O94,P94))</t>
        </is>
      </c>
      <c r="R94" s="35" t="n"/>
      <c r="S94" s="32" t="n"/>
      <c r="T94" s="32" t="n"/>
      <c r="U94" s="31" t="inlineStr">
        <is>
          <t>IF(E94="","",IF(COUNT(Y94:AJ94)=0,IF(S94="","Not started",S94),SUBSTITUTE(LOOKUP(2,1/(Y94:AJ94&lt;&gt;""),$Y$3:$AJ$3),"Date: ","")))</t>
        </is>
      </c>
      <c r="V94" s="36" t="inlineStr">
        <is>
          <t>IF(OR(E94="",COUNT(Y94:AJ94)=0),"",TODAY()-LOOKUP(2,1/(Y94:AJ94&lt;&gt;""),Y94:AJ94))</t>
        </is>
      </c>
      <c r="W94" s="36" t="inlineStr">
        <is>
          <t>IF(OR(E94="",COUNT(Y94:AJ94)&lt;2),"",LOOKUP(2,1/(Y94:AJ94&lt;&gt;""),Y94:AJ94)-MIN(Y94:AJ94))</t>
        </is>
      </c>
      <c r="X94" s="36" t="inlineStr">
        <is>
          <t>IF(OR(V94="",U94="Not started",U94=""),"",IFERROR(V94-IF(VLOOKUP(U94,'04_Status_Pipeline'!$B$3:$E$20,4,FALSE)="",0,VLOOKUP(U94,'04_Status_Pipeline'!$B$3:$E$20,4,FALSE)),""))</t>
        </is>
      </c>
      <c r="Y94" s="37" t="n"/>
      <c r="Z94" s="37" t="n"/>
      <c r="AA94" s="37" t="n"/>
      <c r="AB94" s="37" t="n"/>
      <c r="AC94" s="37" t="n"/>
      <c r="AD94" s="37" t="n"/>
      <c r="AE94" s="37" t="n"/>
      <c r="AF94" s="37" t="n"/>
      <c r="AG94" s="37" t="n"/>
      <c r="AH94" s="38" t="n"/>
      <c r="AI94" s="38" t="n"/>
      <c r="AJ94" s="38" t="n"/>
      <c r="AK94" s="36" t="inlineStr">
        <is>
          <t>IF(OR(E94="",Z94=""),"",IF(COUNT(Y94:Y94)=0,"",Z94-LOOKUP(2,1/(Y94:Y94&lt;&gt;""),Y94:Y94)))</t>
        </is>
      </c>
      <c r="AL94" s="36" t="inlineStr">
        <is>
          <t>IF(OR(E94="",AA94=""),"",IF(COUNT(Y94:Z94)=0,"",AA94-LOOKUP(2,1/(Y94:Z94&lt;&gt;""),Y94:Z94)))</t>
        </is>
      </c>
      <c r="AM94" s="36" t="inlineStr">
        <is>
          <t>IF(OR(E94="",AB94=""),"",IF(COUNT(Y94:AA94)=0,"",AB94-LOOKUP(2,1/(Y94:AA94&lt;&gt;""),Y94:AA94)))</t>
        </is>
      </c>
      <c r="AN94" s="36" t="inlineStr">
        <is>
          <t>IF(OR(E94="",AC94=""),"",IF(COUNT(Y94:AB94)=0,"",AC94-LOOKUP(2,1/(Y94:AB94&lt;&gt;""),Y94:AB94)))</t>
        </is>
      </c>
      <c r="AO94" s="36" t="inlineStr">
        <is>
          <t>IF(OR(E94="",AD94=""),"",IF(COUNT(Y94:AC94)=0,"",AD94-LOOKUP(2,1/(Y94:AC94&lt;&gt;""),Y94:AC94)))</t>
        </is>
      </c>
      <c r="AP94" s="36" t="inlineStr">
        <is>
          <t>IF(OR(E94="",AE94=""),"",IF(COUNT(Y94:AD94)=0,"",AE94-LOOKUP(2,1/(Y94:AD94&lt;&gt;""),Y94:AD94)))</t>
        </is>
      </c>
      <c r="AQ94" s="36" t="inlineStr">
        <is>
          <t>IF(OR(E94="",AF94=""),"",IF(COUNT(Y94:AE94)=0,"",AF94-LOOKUP(2,1/(Y94:AE94&lt;&gt;""),Y94:AE94)))</t>
        </is>
      </c>
      <c r="AR94" s="36" t="inlineStr">
        <is>
          <t>IF(OR(E94="",AG94=""),"",IF(COUNT(Y94:AF94)=0,"",AG94-LOOKUP(2,1/(Y94:AF94&lt;&gt;""),Y94:AF94)))</t>
        </is>
      </c>
      <c r="AS94" s="36" t="inlineStr">
        <is>
          <t>IF(OR(E94="",AH94=""),"",IF(COUNT(Y94:AG94)=0,"",AH94-LOOKUP(2,1/(Y94:AG94&lt;&gt;""),Y94:AG94)))</t>
        </is>
      </c>
      <c r="AT94" s="36" t="inlineStr">
        <is>
          <t>IF(OR(E94="",AI94=""),"",IF(COUNT(Y94:AH94)=0,"",AI94-LOOKUP(2,1/(Y94:AH94&lt;&gt;""),Y94:AH94)))</t>
        </is>
      </c>
      <c r="AU94" s="36" t="inlineStr">
        <is>
          <t>IF(OR(E94="",AJ94=""),"",IF(COUNT(Y94:AI94)=0,"",AJ94-LOOKUP(2,1/(Y94:AI94&lt;&gt;""),Y94:AI94)))</t>
        </is>
      </c>
      <c r="AV94" s="39" t="inlineStr">
        <is>
          <t>IF(G94="","All_Provinces",IFERROR(VLOOKUP(G94,'07_Lookups'!$A$4:$B$20,2,FALSE),"All_Provinces"))</t>
        </is>
      </c>
      <c r="AW94" s="39" t="inlineStr">
        <is>
          <t>IF(H94="","All_Districts",IFERROR(VLOOKUP(H94,'07_Lookups'!$E$4:$F$42,2,FALSE),"All_Districts"))</t>
        </is>
      </c>
    </row>
    <row r="95" ht="18" customHeight="1">
      <c r="A95" s="31" t="inlineStr">
        <is>
          <t>IF(E95="","",ROW()-3)</t>
        </is>
      </c>
      <c r="B95" s="40" t="n"/>
      <c r="C95" s="40" t="n"/>
      <c r="D95" s="40" t="n"/>
      <c r="E95" s="40" t="n"/>
      <c r="F95" s="40" t="n"/>
      <c r="G95" s="40" t="n"/>
      <c r="H95" s="40" t="n"/>
      <c r="I95" s="40" t="n"/>
      <c r="J95" s="40" t="n"/>
      <c r="K95" s="40" t="n"/>
      <c r="L95" s="40" t="n"/>
      <c r="M95" s="40" t="n"/>
      <c r="N95" s="41" t="n"/>
      <c r="O95" s="34" t="inlineStr">
        <is>
          <t>IF(AE95="","",AE95)</t>
        </is>
      </c>
      <c r="P95" s="42" t="n"/>
      <c r="Q95" s="34" t="inlineStr">
        <is>
          <t>IF(OR(O95="",P95=""),"",EDATE(O95,P95))</t>
        </is>
      </c>
      <c r="R95" s="42" t="n"/>
      <c r="S95" s="40" t="n"/>
      <c r="T95" s="40" t="n"/>
      <c r="U95" s="31" t="inlineStr">
        <is>
          <t>IF(E95="","",IF(COUNT(Y95:AJ95)=0,IF(S95="","Not started",S95),SUBSTITUTE(LOOKUP(2,1/(Y95:AJ95&lt;&gt;""),$Y$3:$AJ$3),"Date: ","")))</t>
        </is>
      </c>
      <c r="V95" s="36" t="inlineStr">
        <is>
          <t>IF(OR(E95="",COUNT(Y95:AJ95)=0),"",TODAY()-LOOKUP(2,1/(Y95:AJ95&lt;&gt;""),Y95:AJ95))</t>
        </is>
      </c>
      <c r="W95" s="36" t="inlineStr">
        <is>
          <t>IF(OR(E95="",COUNT(Y95:AJ95)&lt;2),"",LOOKUP(2,1/(Y95:AJ95&lt;&gt;""),Y95:AJ95)-MIN(Y95:AJ95))</t>
        </is>
      </c>
      <c r="X95" s="36" t="inlineStr">
        <is>
          <t>IF(OR(V95="",U95="Not started",U95=""),"",IFERROR(V95-IF(VLOOKUP(U95,'04_Status_Pipeline'!$B$3:$E$20,4,FALSE)="",0,VLOOKUP(U95,'04_Status_Pipeline'!$B$3:$E$20,4,FALSE)),""))</t>
        </is>
      </c>
      <c r="Y95" s="43" t="n"/>
      <c r="Z95" s="43" t="n"/>
      <c r="AA95" s="43" t="n"/>
      <c r="AB95" s="43" t="n"/>
      <c r="AC95" s="43" t="n"/>
      <c r="AD95" s="43" t="n"/>
      <c r="AE95" s="43" t="n"/>
      <c r="AF95" s="43" t="n"/>
      <c r="AG95" s="43" t="n"/>
      <c r="AH95" s="38" t="n"/>
      <c r="AI95" s="38" t="n"/>
      <c r="AJ95" s="38" t="n"/>
      <c r="AK95" s="36" t="inlineStr">
        <is>
          <t>IF(OR(E95="",Z95=""),"",IF(COUNT(Y95:Y95)=0,"",Z95-LOOKUP(2,1/(Y95:Y95&lt;&gt;""),Y95:Y95)))</t>
        </is>
      </c>
      <c r="AL95" s="36" t="inlineStr">
        <is>
          <t>IF(OR(E95="",AA95=""),"",IF(COUNT(Y95:Z95)=0,"",AA95-LOOKUP(2,1/(Y95:Z95&lt;&gt;""),Y95:Z95)))</t>
        </is>
      </c>
      <c r="AM95" s="36" t="inlineStr">
        <is>
          <t>IF(OR(E95="",AB95=""),"",IF(COUNT(Y95:AA95)=0,"",AB95-LOOKUP(2,1/(Y95:AA95&lt;&gt;""),Y95:AA95)))</t>
        </is>
      </c>
      <c r="AN95" s="36" t="inlineStr">
        <is>
          <t>IF(OR(E95="",AC95=""),"",IF(COUNT(Y95:AB95)=0,"",AC95-LOOKUP(2,1/(Y95:AB95&lt;&gt;""),Y95:AB95)))</t>
        </is>
      </c>
      <c r="AO95" s="36" t="inlineStr">
        <is>
          <t>IF(OR(E95="",AD95=""),"",IF(COUNT(Y95:AC95)=0,"",AD95-LOOKUP(2,1/(Y95:AC95&lt;&gt;""),Y95:AC95)))</t>
        </is>
      </c>
      <c r="AP95" s="36" t="inlineStr">
        <is>
          <t>IF(OR(E95="",AE95=""),"",IF(COUNT(Y95:AD95)=0,"",AE95-LOOKUP(2,1/(Y95:AD95&lt;&gt;""),Y95:AD95)))</t>
        </is>
      </c>
      <c r="AQ95" s="36" t="inlineStr">
        <is>
          <t>IF(OR(E95="",AF95=""),"",IF(COUNT(Y95:AE95)=0,"",AF95-LOOKUP(2,1/(Y95:AE95&lt;&gt;""),Y95:AE95)))</t>
        </is>
      </c>
      <c r="AR95" s="36" t="inlineStr">
        <is>
          <t>IF(OR(E95="",AG95=""),"",IF(COUNT(Y95:AF95)=0,"",AG95-LOOKUP(2,1/(Y95:AF95&lt;&gt;""),Y95:AF95)))</t>
        </is>
      </c>
      <c r="AS95" s="36" t="inlineStr">
        <is>
          <t>IF(OR(E95="",AH95=""),"",IF(COUNT(Y95:AG95)=0,"",AH95-LOOKUP(2,1/(Y95:AG95&lt;&gt;""),Y95:AG95)))</t>
        </is>
      </c>
      <c r="AT95" s="36" t="inlineStr">
        <is>
          <t>IF(OR(E95="",AI95=""),"",IF(COUNT(Y95:AH95)=0,"",AI95-LOOKUP(2,1/(Y95:AH95&lt;&gt;""),Y95:AH95)))</t>
        </is>
      </c>
      <c r="AU95" s="36" t="inlineStr">
        <is>
          <t>IF(OR(E95="",AJ95=""),"",IF(COUNT(Y95:AI95)=0,"",AJ95-LOOKUP(2,1/(Y95:AI95&lt;&gt;""),Y95:AI95)))</t>
        </is>
      </c>
      <c r="AV95" s="39" t="inlineStr">
        <is>
          <t>IF(G95="","All_Provinces",IFERROR(VLOOKUP(G95,'07_Lookups'!$A$4:$B$20,2,FALSE),"All_Provinces"))</t>
        </is>
      </c>
      <c r="AW95" s="39" t="inlineStr">
        <is>
          <t>IF(H95="","All_Districts",IFERROR(VLOOKUP(H95,'07_Lookups'!$E$4:$F$42,2,FALSE),"All_Districts"))</t>
        </is>
      </c>
    </row>
    <row r="96" ht="18" customHeight="1">
      <c r="A96" s="31" t="inlineStr">
        <is>
          <t>IF(E96="","",ROW()-3)</t>
        </is>
      </c>
      <c r="B96" s="32" t="n"/>
      <c r="C96" s="32" t="n"/>
      <c r="D96" s="32" t="n"/>
      <c r="E96" s="32" t="n"/>
      <c r="F96" s="32" t="n"/>
      <c r="G96" s="32" t="n"/>
      <c r="H96" s="32" t="n"/>
      <c r="I96" s="32" t="n"/>
      <c r="J96" s="32" t="n"/>
      <c r="K96" s="32" t="n"/>
      <c r="L96" s="32" t="n"/>
      <c r="M96" s="32" t="n"/>
      <c r="N96" s="33" t="n"/>
      <c r="O96" s="34" t="inlineStr">
        <is>
          <t>IF(AE96="","",AE96)</t>
        </is>
      </c>
      <c r="P96" s="35" t="n"/>
      <c r="Q96" s="34" t="inlineStr">
        <is>
          <t>IF(OR(O96="",P96=""),"",EDATE(O96,P96))</t>
        </is>
      </c>
      <c r="R96" s="35" t="n"/>
      <c r="S96" s="32" t="n"/>
      <c r="T96" s="32" t="n"/>
      <c r="U96" s="31" t="inlineStr">
        <is>
          <t>IF(E96="","",IF(COUNT(Y96:AJ96)=0,IF(S96="","Not started",S96),SUBSTITUTE(LOOKUP(2,1/(Y96:AJ96&lt;&gt;""),$Y$3:$AJ$3),"Date: ","")))</t>
        </is>
      </c>
      <c r="V96" s="36" t="inlineStr">
        <is>
          <t>IF(OR(E96="",COUNT(Y96:AJ96)=0),"",TODAY()-LOOKUP(2,1/(Y96:AJ96&lt;&gt;""),Y96:AJ96))</t>
        </is>
      </c>
      <c r="W96" s="36" t="inlineStr">
        <is>
          <t>IF(OR(E96="",COUNT(Y96:AJ96)&lt;2),"",LOOKUP(2,1/(Y96:AJ96&lt;&gt;""),Y96:AJ96)-MIN(Y96:AJ96))</t>
        </is>
      </c>
      <c r="X96" s="36" t="inlineStr">
        <is>
          <t>IF(OR(V96="",U96="Not started",U96=""),"",IFERROR(V96-IF(VLOOKUP(U96,'04_Status_Pipeline'!$B$3:$E$20,4,FALSE)="",0,VLOOKUP(U96,'04_Status_Pipeline'!$B$3:$E$20,4,FALSE)),""))</t>
        </is>
      </c>
      <c r="Y96" s="37" t="n"/>
      <c r="Z96" s="37" t="n"/>
      <c r="AA96" s="37" t="n"/>
      <c r="AB96" s="37" t="n"/>
      <c r="AC96" s="37" t="n"/>
      <c r="AD96" s="37" t="n"/>
      <c r="AE96" s="37" t="n"/>
      <c r="AF96" s="37" t="n"/>
      <c r="AG96" s="37" t="n"/>
      <c r="AH96" s="38" t="n"/>
      <c r="AI96" s="38" t="n"/>
      <c r="AJ96" s="38" t="n"/>
      <c r="AK96" s="36" t="inlineStr">
        <is>
          <t>IF(OR(E96="",Z96=""),"",IF(COUNT(Y96:Y96)=0,"",Z96-LOOKUP(2,1/(Y96:Y96&lt;&gt;""),Y96:Y96)))</t>
        </is>
      </c>
      <c r="AL96" s="36" t="inlineStr">
        <is>
          <t>IF(OR(E96="",AA96=""),"",IF(COUNT(Y96:Z96)=0,"",AA96-LOOKUP(2,1/(Y96:Z96&lt;&gt;""),Y96:Z96)))</t>
        </is>
      </c>
      <c r="AM96" s="36" t="inlineStr">
        <is>
          <t>IF(OR(E96="",AB96=""),"",IF(COUNT(Y96:AA96)=0,"",AB96-LOOKUP(2,1/(Y96:AA96&lt;&gt;""),Y96:AA96)))</t>
        </is>
      </c>
      <c r="AN96" s="36" t="inlineStr">
        <is>
          <t>IF(OR(E96="",AC96=""),"",IF(COUNT(Y96:AB96)=0,"",AC96-LOOKUP(2,1/(Y96:AB96&lt;&gt;""),Y96:AB96)))</t>
        </is>
      </c>
      <c r="AO96" s="36" t="inlineStr">
        <is>
          <t>IF(OR(E96="",AD96=""),"",IF(COUNT(Y96:AC96)=0,"",AD96-LOOKUP(2,1/(Y96:AC96&lt;&gt;""),Y96:AC96)))</t>
        </is>
      </c>
      <c r="AP96" s="36" t="inlineStr">
        <is>
          <t>IF(OR(E96="",AE96=""),"",IF(COUNT(Y96:AD96)=0,"",AE96-LOOKUP(2,1/(Y96:AD96&lt;&gt;""),Y96:AD96)))</t>
        </is>
      </c>
      <c r="AQ96" s="36" t="inlineStr">
        <is>
          <t>IF(OR(E96="",AF96=""),"",IF(COUNT(Y96:AE96)=0,"",AF96-LOOKUP(2,1/(Y96:AE96&lt;&gt;""),Y96:AE96)))</t>
        </is>
      </c>
      <c r="AR96" s="36" t="inlineStr">
        <is>
          <t>IF(OR(E96="",AG96=""),"",IF(COUNT(Y96:AF96)=0,"",AG96-LOOKUP(2,1/(Y96:AF96&lt;&gt;""),Y96:AF96)))</t>
        </is>
      </c>
      <c r="AS96" s="36" t="inlineStr">
        <is>
          <t>IF(OR(E96="",AH96=""),"",IF(COUNT(Y96:AG96)=0,"",AH96-LOOKUP(2,1/(Y96:AG96&lt;&gt;""),Y96:AG96)))</t>
        </is>
      </c>
      <c r="AT96" s="36" t="inlineStr">
        <is>
          <t>IF(OR(E96="",AI96=""),"",IF(COUNT(Y96:AH96)=0,"",AI96-LOOKUP(2,1/(Y96:AH96&lt;&gt;""),Y96:AH96)))</t>
        </is>
      </c>
      <c r="AU96" s="36" t="inlineStr">
        <is>
          <t>IF(OR(E96="",AJ96=""),"",IF(COUNT(Y96:AI96)=0,"",AJ96-LOOKUP(2,1/(Y96:AI96&lt;&gt;""),Y96:AI96)))</t>
        </is>
      </c>
      <c r="AV96" s="39" t="inlineStr">
        <is>
          <t>IF(G96="","All_Provinces",IFERROR(VLOOKUP(G96,'07_Lookups'!$A$4:$B$20,2,FALSE),"All_Provinces"))</t>
        </is>
      </c>
      <c r="AW96" s="39" t="inlineStr">
        <is>
          <t>IF(H96="","All_Districts",IFERROR(VLOOKUP(H96,'07_Lookups'!$E$4:$F$42,2,FALSE),"All_Districts"))</t>
        </is>
      </c>
    </row>
    <row r="97" ht="18" customHeight="1">
      <c r="A97" s="31" t="inlineStr">
        <is>
          <t>IF(E97="","",ROW()-3)</t>
        </is>
      </c>
      <c r="B97" s="40" t="n"/>
      <c r="C97" s="40" t="n"/>
      <c r="D97" s="40" t="n"/>
      <c r="E97" s="40" t="n"/>
      <c r="F97" s="40" t="n"/>
      <c r="G97" s="40" t="n"/>
      <c r="H97" s="40" t="n"/>
      <c r="I97" s="40" t="n"/>
      <c r="J97" s="40" t="n"/>
      <c r="K97" s="40" t="n"/>
      <c r="L97" s="40" t="n"/>
      <c r="M97" s="40" t="n"/>
      <c r="N97" s="41" t="n"/>
      <c r="O97" s="34" t="inlineStr">
        <is>
          <t>IF(AE97="","",AE97)</t>
        </is>
      </c>
      <c r="P97" s="42" t="n"/>
      <c r="Q97" s="34" t="inlineStr">
        <is>
          <t>IF(OR(O97="",P97=""),"",EDATE(O97,P97))</t>
        </is>
      </c>
      <c r="R97" s="42" t="n"/>
      <c r="S97" s="40" t="n"/>
      <c r="T97" s="40" t="n"/>
      <c r="U97" s="31" t="inlineStr">
        <is>
          <t>IF(E97="","",IF(COUNT(Y97:AJ97)=0,IF(S97="","Not started",S97),SUBSTITUTE(LOOKUP(2,1/(Y97:AJ97&lt;&gt;""),$Y$3:$AJ$3),"Date: ","")))</t>
        </is>
      </c>
      <c r="V97" s="36" t="inlineStr">
        <is>
          <t>IF(OR(E97="",COUNT(Y97:AJ97)=0),"",TODAY()-LOOKUP(2,1/(Y97:AJ97&lt;&gt;""),Y97:AJ97))</t>
        </is>
      </c>
      <c r="W97" s="36" t="inlineStr">
        <is>
          <t>IF(OR(E97="",COUNT(Y97:AJ97)&lt;2),"",LOOKUP(2,1/(Y97:AJ97&lt;&gt;""),Y97:AJ97)-MIN(Y97:AJ97))</t>
        </is>
      </c>
      <c r="X97" s="36" t="inlineStr">
        <is>
          <t>IF(OR(V97="",U97="Not started",U97=""),"",IFERROR(V97-IF(VLOOKUP(U97,'04_Status_Pipeline'!$B$3:$E$20,4,FALSE)="",0,VLOOKUP(U97,'04_Status_Pipeline'!$B$3:$E$20,4,FALSE)),""))</t>
        </is>
      </c>
      <c r="Y97" s="43" t="n"/>
      <c r="Z97" s="43" t="n"/>
      <c r="AA97" s="43" t="n"/>
      <c r="AB97" s="43" t="n"/>
      <c r="AC97" s="43" t="n"/>
      <c r="AD97" s="43" t="n"/>
      <c r="AE97" s="43" t="n"/>
      <c r="AF97" s="43" t="n"/>
      <c r="AG97" s="43" t="n"/>
      <c r="AH97" s="38" t="n"/>
      <c r="AI97" s="38" t="n"/>
      <c r="AJ97" s="38" t="n"/>
      <c r="AK97" s="36" t="inlineStr">
        <is>
          <t>IF(OR(E97="",Z97=""),"",IF(COUNT(Y97:Y97)=0,"",Z97-LOOKUP(2,1/(Y97:Y97&lt;&gt;""),Y97:Y97)))</t>
        </is>
      </c>
      <c r="AL97" s="36" t="inlineStr">
        <is>
          <t>IF(OR(E97="",AA97=""),"",IF(COUNT(Y97:Z97)=0,"",AA97-LOOKUP(2,1/(Y97:Z97&lt;&gt;""),Y97:Z97)))</t>
        </is>
      </c>
      <c r="AM97" s="36" t="inlineStr">
        <is>
          <t>IF(OR(E97="",AB97=""),"",IF(COUNT(Y97:AA97)=0,"",AB97-LOOKUP(2,1/(Y97:AA97&lt;&gt;""),Y97:AA97)))</t>
        </is>
      </c>
      <c r="AN97" s="36" t="inlineStr">
        <is>
          <t>IF(OR(E97="",AC97=""),"",IF(COUNT(Y97:AB97)=0,"",AC97-LOOKUP(2,1/(Y97:AB97&lt;&gt;""),Y97:AB97)))</t>
        </is>
      </c>
      <c r="AO97" s="36" t="inlineStr">
        <is>
          <t>IF(OR(E97="",AD97=""),"",IF(COUNT(Y97:AC97)=0,"",AD97-LOOKUP(2,1/(Y97:AC97&lt;&gt;""),Y97:AC97)))</t>
        </is>
      </c>
      <c r="AP97" s="36" t="inlineStr">
        <is>
          <t>IF(OR(E97="",AE97=""),"",IF(COUNT(Y97:AD97)=0,"",AE97-LOOKUP(2,1/(Y97:AD97&lt;&gt;""),Y97:AD97)))</t>
        </is>
      </c>
      <c r="AQ97" s="36" t="inlineStr">
        <is>
          <t>IF(OR(E97="",AF97=""),"",IF(COUNT(Y97:AE97)=0,"",AF97-LOOKUP(2,1/(Y97:AE97&lt;&gt;""),Y97:AE97)))</t>
        </is>
      </c>
      <c r="AR97" s="36" t="inlineStr">
        <is>
          <t>IF(OR(E97="",AG97=""),"",IF(COUNT(Y97:AF97)=0,"",AG97-LOOKUP(2,1/(Y97:AF97&lt;&gt;""),Y97:AF97)))</t>
        </is>
      </c>
      <c r="AS97" s="36" t="inlineStr">
        <is>
          <t>IF(OR(E97="",AH97=""),"",IF(COUNT(Y97:AG97)=0,"",AH97-LOOKUP(2,1/(Y97:AG97&lt;&gt;""),Y97:AG97)))</t>
        </is>
      </c>
      <c r="AT97" s="36" t="inlineStr">
        <is>
          <t>IF(OR(E97="",AI97=""),"",IF(COUNT(Y97:AH97)=0,"",AI97-LOOKUP(2,1/(Y97:AH97&lt;&gt;""),Y97:AH97)))</t>
        </is>
      </c>
      <c r="AU97" s="36" t="inlineStr">
        <is>
          <t>IF(OR(E97="",AJ97=""),"",IF(COUNT(Y97:AI97)=0,"",AJ97-LOOKUP(2,1/(Y97:AI97&lt;&gt;""),Y97:AI97)))</t>
        </is>
      </c>
      <c r="AV97" s="39" t="inlineStr">
        <is>
          <t>IF(G97="","All_Provinces",IFERROR(VLOOKUP(G97,'07_Lookups'!$A$4:$B$20,2,FALSE),"All_Provinces"))</t>
        </is>
      </c>
      <c r="AW97" s="39" t="inlineStr">
        <is>
          <t>IF(H97="","All_Districts",IFERROR(VLOOKUP(H97,'07_Lookups'!$E$4:$F$42,2,FALSE),"All_Districts"))</t>
        </is>
      </c>
    </row>
    <row r="98" ht="18" customHeight="1">
      <c r="A98" s="31" t="inlineStr">
        <is>
          <t>IF(E98="","",ROW()-3)</t>
        </is>
      </c>
      <c r="B98" s="32" t="n"/>
      <c r="C98" s="32" t="n"/>
      <c r="D98" s="32" t="n"/>
      <c r="E98" s="32" t="n"/>
      <c r="F98" s="32" t="n"/>
      <c r="G98" s="32" t="n"/>
      <c r="H98" s="32" t="n"/>
      <c r="I98" s="32" t="n"/>
      <c r="J98" s="32" t="n"/>
      <c r="K98" s="32" t="n"/>
      <c r="L98" s="32" t="n"/>
      <c r="M98" s="32" t="n"/>
      <c r="N98" s="33" t="n"/>
      <c r="O98" s="34" t="inlineStr">
        <is>
          <t>IF(AE98="","",AE98)</t>
        </is>
      </c>
      <c r="P98" s="35" t="n"/>
      <c r="Q98" s="34" t="inlineStr">
        <is>
          <t>IF(OR(O98="",P98=""),"",EDATE(O98,P98))</t>
        </is>
      </c>
      <c r="R98" s="35" t="n"/>
      <c r="S98" s="32" t="n"/>
      <c r="T98" s="32" t="n"/>
      <c r="U98" s="31" t="inlineStr">
        <is>
          <t>IF(E98="","",IF(COUNT(Y98:AJ98)=0,IF(S98="","Not started",S98),SUBSTITUTE(LOOKUP(2,1/(Y98:AJ98&lt;&gt;""),$Y$3:$AJ$3),"Date: ","")))</t>
        </is>
      </c>
      <c r="V98" s="36" t="inlineStr">
        <is>
          <t>IF(OR(E98="",COUNT(Y98:AJ98)=0),"",TODAY()-LOOKUP(2,1/(Y98:AJ98&lt;&gt;""),Y98:AJ98))</t>
        </is>
      </c>
      <c r="W98" s="36" t="inlineStr">
        <is>
          <t>IF(OR(E98="",COUNT(Y98:AJ98)&lt;2),"",LOOKUP(2,1/(Y98:AJ98&lt;&gt;""),Y98:AJ98)-MIN(Y98:AJ98))</t>
        </is>
      </c>
      <c r="X98" s="36" t="inlineStr">
        <is>
          <t>IF(OR(V98="",U98="Not started",U98=""),"",IFERROR(V98-IF(VLOOKUP(U98,'04_Status_Pipeline'!$B$3:$E$20,4,FALSE)="",0,VLOOKUP(U98,'04_Status_Pipeline'!$B$3:$E$20,4,FALSE)),""))</t>
        </is>
      </c>
      <c r="Y98" s="37" t="n"/>
      <c r="Z98" s="37" t="n"/>
      <c r="AA98" s="37" t="n"/>
      <c r="AB98" s="37" t="n"/>
      <c r="AC98" s="37" t="n"/>
      <c r="AD98" s="37" t="n"/>
      <c r="AE98" s="37" t="n"/>
      <c r="AF98" s="37" t="n"/>
      <c r="AG98" s="37" t="n"/>
      <c r="AH98" s="38" t="n"/>
      <c r="AI98" s="38" t="n"/>
      <c r="AJ98" s="38" t="n"/>
      <c r="AK98" s="36" t="inlineStr">
        <is>
          <t>IF(OR(E98="",Z98=""),"",IF(COUNT(Y98:Y98)=0,"",Z98-LOOKUP(2,1/(Y98:Y98&lt;&gt;""),Y98:Y98)))</t>
        </is>
      </c>
      <c r="AL98" s="36" t="inlineStr">
        <is>
          <t>IF(OR(E98="",AA98=""),"",IF(COUNT(Y98:Z98)=0,"",AA98-LOOKUP(2,1/(Y98:Z98&lt;&gt;""),Y98:Z98)))</t>
        </is>
      </c>
      <c r="AM98" s="36" t="inlineStr">
        <is>
          <t>IF(OR(E98="",AB98=""),"",IF(COUNT(Y98:AA98)=0,"",AB98-LOOKUP(2,1/(Y98:AA98&lt;&gt;""),Y98:AA98)))</t>
        </is>
      </c>
      <c r="AN98" s="36" t="inlineStr">
        <is>
          <t>IF(OR(E98="",AC98=""),"",IF(COUNT(Y98:AB98)=0,"",AC98-LOOKUP(2,1/(Y98:AB98&lt;&gt;""),Y98:AB98)))</t>
        </is>
      </c>
      <c r="AO98" s="36" t="inlineStr">
        <is>
          <t>IF(OR(E98="",AD98=""),"",IF(COUNT(Y98:AC98)=0,"",AD98-LOOKUP(2,1/(Y98:AC98&lt;&gt;""),Y98:AC98)))</t>
        </is>
      </c>
      <c r="AP98" s="36" t="inlineStr">
        <is>
          <t>IF(OR(E98="",AE98=""),"",IF(COUNT(Y98:AD98)=0,"",AE98-LOOKUP(2,1/(Y98:AD98&lt;&gt;""),Y98:AD98)))</t>
        </is>
      </c>
      <c r="AQ98" s="36" t="inlineStr">
        <is>
          <t>IF(OR(E98="",AF98=""),"",IF(COUNT(Y98:AE98)=0,"",AF98-LOOKUP(2,1/(Y98:AE98&lt;&gt;""),Y98:AE98)))</t>
        </is>
      </c>
      <c r="AR98" s="36" t="inlineStr">
        <is>
          <t>IF(OR(E98="",AG98=""),"",IF(COUNT(Y98:AF98)=0,"",AG98-LOOKUP(2,1/(Y98:AF98&lt;&gt;""),Y98:AF98)))</t>
        </is>
      </c>
      <c r="AS98" s="36" t="inlineStr">
        <is>
          <t>IF(OR(E98="",AH98=""),"",IF(COUNT(Y98:AG98)=0,"",AH98-LOOKUP(2,1/(Y98:AG98&lt;&gt;""),Y98:AG98)))</t>
        </is>
      </c>
      <c r="AT98" s="36" t="inlineStr">
        <is>
          <t>IF(OR(E98="",AI98=""),"",IF(COUNT(Y98:AH98)=0,"",AI98-LOOKUP(2,1/(Y98:AH98&lt;&gt;""),Y98:AH98)))</t>
        </is>
      </c>
      <c r="AU98" s="36" t="inlineStr">
        <is>
          <t>IF(OR(E98="",AJ98=""),"",IF(COUNT(Y98:AI98)=0,"",AJ98-LOOKUP(2,1/(Y98:AI98&lt;&gt;""),Y98:AI98)))</t>
        </is>
      </c>
      <c r="AV98" s="39" t="inlineStr">
        <is>
          <t>IF(G98="","All_Provinces",IFERROR(VLOOKUP(G98,'07_Lookups'!$A$4:$B$20,2,FALSE),"All_Provinces"))</t>
        </is>
      </c>
      <c r="AW98" s="39" t="inlineStr">
        <is>
          <t>IF(H98="","All_Districts",IFERROR(VLOOKUP(H98,'07_Lookups'!$E$4:$F$42,2,FALSE),"All_Districts"))</t>
        </is>
      </c>
    </row>
    <row r="99" ht="18" customHeight="1">
      <c r="A99" s="31" t="inlineStr">
        <is>
          <t>IF(E99="","",ROW()-3)</t>
        </is>
      </c>
      <c r="B99" s="40" t="n"/>
      <c r="C99" s="40" t="n"/>
      <c r="D99" s="40" t="n"/>
      <c r="E99" s="40" t="n"/>
      <c r="F99" s="40" t="n"/>
      <c r="G99" s="40" t="n"/>
      <c r="H99" s="40" t="n"/>
      <c r="I99" s="40" t="n"/>
      <c r="J99" s="40" t="n"/>
      <c r="K99" s="40" t="n"/>
      <c r="L99" s="40" t="n"/>
      <c r="M99" s="40" t="n"/>
      <c r="N99" s="41" t="n"/>
      <c r="O99" s="34" t="inlineStr">
        <is>
          <t>IF(AE99="","",AE99)</t>
        </is>
      </c>
      <c r="P99" s="42" t="n"/>
      <c r="Q99" s="34" t="inlineStr">
        <is>
          <t>IF(OR(O99="",P99=""),"",EDATE(O99,P99))</t>
        </is>
      </c>
      <c r="R99" s="42" t="n"/>
      <c r="S99" s="40" t="n"/>
      <c r="T99" s="40" t="n"/>
      <c r="U99" s="31" t="inlineStr">
        <is>
          <t>IF(E99="","",IF(COUNT(Y99:AJ99)=0,IF(S99="","Not started",S99),SUBSTITUTE(LOOKUP(2,1/(Y99:AJ99&lt;&gt;""),$Y$3:$AJ$3),"Date: ","")))</t>
        </is>
      </c>
      <c r="V99" s="36" t="inlineStr">
        <is>
          <t>IF(OR(E99="",COUNT(Y99:AJ99)=0),"",TODAY()-LOOKUP(2,1/(Y99:AJ99&lt;&gt;""),Y99:AJ99))</t>
        </is>
      </c>
      <c r="W99" s="36" t="inlineStr">
        <is>
          <t>IF(OR(E99="",COUNT(Y99:AJ99)&lt;2),"",LOOKUP(2,1/(Y99:AJ99&lt;&gt;""),Y99:AJ99)-MIN(Y99:AJ99))</t>
        </is>
      </c>
      <c r="X99" s="36" t="inlineStr">
        <is>
          <t>IF(OR(V99="",U99="Not started",U99=""),"",IFERROR(V99-IF(VLOOKUP(U99,'04_Status_Pipeline'!$B$3:$E$20,4,FALSE)="",0,VLOOKUP(U99,'04_Status_Pipeline'!$B$3:$E$20,4,FALSE)),""))</t>
        </is>
      </c>
      <c r="Y99" s="43" t="n"/>
      <c r="Z99" s="43" t="n"/>
      <c r="AA99" s="43" t="n"/>
      <c r="AB99" s="43" t="n"/>
      <c r="AC99" s="43" t="n"/>
      <c r="AD99" s="43" t="n"/>
      <c r="AE99" s="43" t="n"/>
      <c r="AF99" s="43" t="n"/>
      <c r="AG99" s="43" t="n"/>
      <c r="AH99" s="38" t="n"/>
      <c r="AI99" s="38" t="n"/>
      <c r="AJ99" s="38" t="n"/>
      <c r="AK99" s="36" t="inlineStr">
        <is>
          <t>IF(OR(E99="",Z99=""),"",IF(COUNT(Y99:Y99)=0,"",Z99-LOOKUP(2,1/(Y99:Y99&lt;&gt;""),Y99:Y99)))</t>
        </is>
      </c>
      <c r="AL99" s="36" t="inlineStr">
        <is>
          <t>IF(OR(E99="",AA99=""),"",IF(COUNT(Y99:Z99)=0,"",AA99-LOOKUP(2,1/(Y99:Z99&lt;&gt;""),Y99:Z99)))</t>
        </is>
      </c>
      <c r="AM99" s="36" t="inlineStr">
        <is>
          <t>IF(OR(E99="",AB99=""),"",IF(COUNT(Y99:AA99)=0,"",AB99-LOOKUP(2,1/(Y99:AA99&lt;&gt;""),Y99:AA99)))</t>
        </is>
      </c>
      <c r="AN99" s="36" t="inlineStr">
        <is>
          <t>IF(OR(E99="",AC99=""),"",IF(COUNT(Y99:AB99)=0,"",AC99-LOOKUP(2,1/(Y99:AB99&lt;&gt;""),Y99:AB99)))</t>
        </is>
      </c>
      <c r="AO99" s="36" t="inlineStr">
        <is>
          <t>IF(OR(E99="",AD99=""),"",IF(COUNT(Y99:AC99)=0,"",AD99-LOOKUP(2,1/(Y99:AC99&lt;&gt;""),Y99:AC99)))</t>
        </is>
      </c>
      <c r="AP99" s="36" t="inlineStr">
        <is>
          <t>IF(OR(E99="",AE99=""),"",IF(COUNT(Y99:AD99)=0,"",AE99-LOOKUP(2,1/(Y99:AD99&lt;&gt;""),Y99:AD99)))</t>
        </is>
      </c>
      <c r="AQ99" s="36" t="inlineStr">
        <is>
          <t>IF(OR(E99="",AF99=""),"",IF(COUNT(Y99:AE99)=0,"",AF99-LOOKUP(2,1/(Y99:AE99&lt;&gt;""),Y99:AE99)))</t>
        </is>
      </c>
      <c r="AR99" s="36" t="inlineStr">
        <is>
          <t>IF(OR(E99="",AG99=""),"",IF(COUNT(Y99:AF99)=0,"",AG99-LOOKUP(2,1/(Y99:AF99&lt;&gt;""),Y99:AF99)))</t>
        </is>
      </c>
      <c r="AS99" s="36" t="inlineStr">
        <is>
          <t>IF(OR(E99="",AH99=""),"",IF(COUNT(Y99:AG99)=0,"",AH99-LOOKUP(2,1/(Y99:AG99&lt;&gt;""),Y99:AG99)))</t>
        </is>
      </c>
      <c r="AT99" s="36" t="inlineStr">
        <is>
          <t>IF(OR(E99="",AI99=""),"",IF(COUNT(Y99:AH99)=0,"",AI99-LOOKUP(2,1/(Y99:AH99&lt;&gt;""),Y99:AH99)))</t>
        </is>
      </c>
      <c r="AU99" s="36" t="inlineStr">
        <is>
          <t>IF(OR(E99="",AJ99=""),"",IF(COUNT(Y99:AI99)=0,"",AJ99-LOOKUP(2,1/(Y99:AI99&lt;&gt;""),Y99:AI99)))</t>
        </is>
      </c>
      <c r="AV99" s="39" t="inlineStr">
        <is>
          <t>IF(G99="","All_Provinces",IFERROR(VLOOKUP(G99,'07_Lookups'!$A$4:$B$20,2,FALSE),"All_Provinces"))</t>
        </is>
      </c>
      <c r="AW99" s="39" t="inlineStr">
        <is>
          <t>IF(H99="","All_Districts",IFERROR(VLOOKUP(H99,'07_Lookups'!$E$4:$F$42,2,FALSE),"All_Districts"))</t>
        </is>
      </c>
    </row>
    <row r="100" ht="18" customHeight="1">
      <c r="A100" s="31" t="inlineStr">
        <is>
          <t>IF(E100="","",ROW()-3)</t>
        </is>
      </c>
      <c r="B100" s="32" t="n"/>
      <c r="C100" s="32" t="n"/>
      <c r="D100" s="32" t="n"/>
      <c r="E100" s="32" t="n"/>
      <c r="F100" s="32" t="n"/>
      <c r="G100" s="32" t="n"/>
      <c r="H100" s="32" t="n"/>
      <c r="I100" s="32" t="n"/>
      <c r="J100" s="32" t="n"/>
      <c r="K100" s="32" t="n"/>
      <c r="L100" s="32" t="n"/>
      <c r="M100" s="32" t="n"/>
      <c r="N100" s="33" t="n"/>
      <c r="O100" s="34" t="inlineStr">
        <is>
          <t>IF(AE100="","",AE100)</t>
        </is>
      </c>
      <c r="P100" s="35" t="n"/>
      <c r="Q100" s="34" t="inlineStr">
        <is>
          <t>IF(OR(O100="",P100=""),"",EDATE(O100,P100))</t>
        </is>
      </c>
      <c r="R100" s="35" t="n"/>
      <c r="S100" s="32" t="n"/>
      <c r="T100" s="32" t="n"/>
      <c r="U100" s="31" t="inlineStr">
        <is>
          <t>IF(E100="","",IF(COUNT(Y100:AJ100)=0,IF(S100="","Not started",S100),SUBSTITUTE(LOOKUP(2,1/(Y100:AJ100&lt;&gt;""),$Y$3:$AJ$3),"Date: ","")))</t>
        </is>
      </c>
      <c r="V100" s="36" t="inlineStr">
        <is>
          <t>IF(OR(E100="",COUNT(Y100:AJ100)=0),"",TODAY()-LOOKUP(2,1/(Y100:AJ100&lt;&gt;""),Y100:AJ100))</t>
        </is>
      </c>
      <c r="W100" s="36" t="inlineStr">
        <is>
          <t>IF(OR(E100="",COUNT(Y100:AJ100)&lt;2),"",LOOKUP(2,1/(Y100:AJ100&lt;&gt;""),Y100:AJ100)-MIN(Y100:AJ100))</t>
        </is>
      </c>
      <c r="X100" s="36" t="inlineStr">
        <is>
          <t>IF(OR(V100="",U100="Not started",U100=""),"",IFERROR(V100-IF(VLOOKUP(U100,'04_Status_Pipeline'!$B$3:$E$20,4,FALSE)="",0,VLOOKUP(U100,'04_Status_Pipeline'!$B$3:$E$20,4,FALSE)),""))</t>
        </is>
      </c>
      <c r="Y100" s="37" t="n"/>
      <c r="Z100" s="37" t="n"/>
      <c r="AA100" s="37" t="n"/>
      <c r="AB100" s="37" t="n"/>
      <c r="AC100" s="37" t="n"/>
      <c r="AD100" s="37" t="n"/>
      <c r="AE100" s="37" t="n"/>
      <c r="AF100" s="37" t="n"/>
      <c r="AG100" s="37" t="n"/>
      <c r="AH100" s="38" t="n"/>
      <c r="AI100" s="38" t="n"/>
      <c r="AJ100" s="38" t="n"/>
      <c r="AK100" s="36" t="inlineStr">
        <is>
          <t>IF(OR(E100="",Z100=""),"",IF(COUNT(Y100:Y100)=0,"",Z100-LOOKUP(2,1/(Y100:Y100&lt;&gt;""),Y100:Y100)))</t>
        </is>
      </c>
      <c r="AL100" s="36" t="inlineStr">
        <is>
          <t>IF(OR(E100="",AA100=""),"",IF(COUNT(Y100:Z100)=0,"",AA100-LOOKUP(2,1/(Y100:Z100&lt;&gt;""),Y100:Z100)))</t>
        </is>
      </c>
      <c r="AM100" s="36" t="inlineStr">
        <is>
          <t>IF(OR(E100="",AB100=""),"",IF(COUNT(Y100:AA100)=0,"",AB100-LOOKUP(2,1/(Y100:AA100&lt;&gt;""),Y100:AA100)))</t>
        </is>
      </c>
      <c r="AN100" s="36" t="inlineStr">
        <is>
          <t>IF(OR(E100="",AC100=""),"",IF(COUNT(Y100:AB100)=0,"",AC100-LOOKUP(2,1/(Y100:AB100&lt;&gt;""),Y100:AB100)))</t>
        </is>
      </c>
      <c r="AO100" s="36" t="inlineStr">
        <is>
          <t>IF(OR(E100="",AD100=""),"",IF(COUNT(Y100:AC100)=0,"",AD100-LOOKUP(2,1/(Y100:AC100&lt;&gt;""),Y100:AC100)))</t>
        </is>
      </c>
      <c r="AP100" s="36" t="inlineStr">
        <is>
          <t>IF(OR(E100="",AE100=""),"",IF(COUNT(Y100:AD100)=0,"",AE100-LOOKUP(2,1/(Y100:AD100&lt;&gt;""),Y100:AD100)))</t>
        </is>
      </c>
      <c r="AQ100" s="36" t="inlineStr">
        <is>
          <t>IF(OR(E100="",AF100=""),"",IF(COUNT(Y100:AE100)=0,"",AF100-LOOKUP(2,1/(Y100:AE100&lt;&gt;""),Y100:AE100)))</t>
        </is>
      </c>
      <c r="AR100" s="36" t="inlineStr">
        <is>
          <t>IF(OR(E100="",AG100=""),"",IF(COUNT(Y100:AF100)=0,"",AG100-LOOKUP(2,1/(Y100:AF100&lt;&gt;""),Y100:AF100)))</t>
        </is>
      </c>
      <c r="AS100" s="36" t="inlineStr">
        <is>
          <t>IF(OR(E100="",AH100=""),"",IF(COUNT(Y100:AG100)=0,"",AH100-LOOKUP(2,1/(Y100:AG100&lt;&gt;""),Y100:AG100)))</t>
        </is>
      </c>
      <c r="AT100" s="36" t="inlineStr">
        <is>
          <t>IF(OR(E100="",AI100=""),"",IF(COUNT(Y100:AH100)=0,"",AI100-LOOKUP(2,1/(Y100:AH100&lt;&gt;""),Y100:AH100)))</t>
        </is>
      </c>
      <c r="AU100" s="36" t="inlineStr">
        <is>
          <t>IF(OR(E100="",AJ100=""),"",IF(COUNT(Y100:AI100)=0,"",AJ100-LOOKUP(2,1/(Y100:AI100&lt;&gt;""),Y100:AI100)))</t>
        </is>
      </c>
      <c r="AV100" s="39" t="inlineStr">
        <is>
          <t>IF(G100="","All_Provinces",IFERROR(VLOOKUP(G100,'07_Lookups'!$A$4:$B$20,2,FALSE),"All_Provinces"))</t>
        </is>
      </c>
      <c r="AW100" s="39" t="inlineStr">
        <is>
          <t>IF(H100="","All_Districts",IFERROR(VLOOKUP(H100,'07_Lookups'!$E$4:$F$42,2,FALSE),"All_Districts"))</t>
        </is>
      </c>
    </row>
    <row r="101" ht="18" customHeight="1">
      <c r="A101" s="31" t="inlineStr">
        <is>
          <t>IF(E101="","",ROW()-3)</t>
        </is>
      </c>
      <c r="B101" s="40" t="n"/>
      <c r="C101" s="40" t="n"/>
      <c r="D101" s="40" t="n"/>
      <c r="E101" s="40" t="n"/>
      <c r="F101" s="40" t="n"/>
      <c r="G101" s="40" t="n"/>
      <c r="H101" s="40" t="n"/>
      <c r="I101" s="40" t="n"/>
      <c r="J101" s="40" t="n"/>
      <c r="K101" s="40" t="n"/>
      <c r="L101" s="40" t="n"/>
      <c r="M101" s="40" t="n"/>
      <c r="N101" s="41" t="n"/>
      <c r="O101" s="34" t="inlineStr">
        <is>
          <t>IF(AE101="","",AE101)</t>
        </is>
      </c>
      <c r="P101" s="42" t="n"/>
      <c r="Q101" s="34" t="inlineStr">
        <is>
          <t>IF(OR(O101="",P101=""),"",EDATE(O101,P101))</t>
        </is>
      </c>
      <c r="R101" s="42" t="n"/>
      <c r="S101" s="40" t="n"/>
      <c r="T101" s="40" t="n"/>
      <c r="U101" s="31" t="inlineStr">
        <is>
          <t>IF(E101="","",IF(COUNT(Y101:AJ101)=0,IF(S101="","Not started",S101),SUBSTITUTE(LOOKUP(2,1/(Y101:AJ101&lt;&gt;""),$Y$3:$AJ$3),"Date: ","")))</t>
        </is>
      </c>
      <c r="V101" s="36" t="inlineStr">
        <is>
          <t>IF(OR(E101="",COUNT(Y101:AJ101)=0),"",TODAY()-LOOKUP(2,1/(Y101:AJ101&lt;&gt;""),Y101:AJ101))</t>
        </is>
      </c>
      <c r="W101" s="36" t="inlineStr">
        <is>
          <t>IF(OR(E101="",COUNT(Y101:AJ101)&lt;2),"",LOOKUP(2,1/(Y101:AJ101&lt;&gt;""),Y101:AJ101)-MIN(Y101:AJ101))</t>
        </is>
      </c>
      <c r="X101" s="36" t="inlineStr">
        <is>
          <t>IF(OR(V101="",U101="Not started",U101=""),"",IFERROR(V101-IF(VLOOKUP(U101,'04_Status_Pipeline'!$B$3:$E$20,4,FALSE)="",0,VLOOKUP(U101,'04_Status_Pipeline'!$B$3:$E$20,4,FALSE)),""))</t>
        </is>
      </c>
      <c r="Y101" s="43" t="n"/>
      <c r="Z101" s="43" t="n"/>
      <c r="AA101" s="43" t="n"/>
      <c r="AB101" s="43" t="n"/>
      <c r="AC101" s="43" t="n"/>
      <c r="AD101" s="43" t="n"/>
      <c r="AE101" s="43" t="n"/>
      <c r="AF101" s="43" t="n"/>
      <c r="AG101" s="43" t="n"/>
      <c r="AH101" s="38" t="n"/>
      <c r="AI101" s="38" t="n"/>
      <c r="AJ101" s="38" t="n"/>
      <c r="AK101" s="36" t="inlineStr">
        <is>
          <t>IF(OR(E101="",Z101=""),"",IF(COUNT(Y101:Y101)=0,"",Z101-LOOKUP(2,1/(Y101:Y101&lt;&gt;""),Y101:Y101)))</t>
        </is>
      </c>
      <c r="AL101" s="36" t="inlineStr">
        <is>
          <t>IF(OR(E101="",AA101=""),"",IF(COUNT(Y101:Z101)=0,"",AA101-LOOKUP(2,1/(Y101:Z101&lt;&gt;""),Y101:Z101)))</t>
        </is>
      </c>
      <c r="AM101" s="36" t="inlineStr">
        <is>
          <t>IF(OR(E101="",AB101=""),"",IF(COUNT(Y101:AA101)=0,"",AB101-LOOKUP(2,1/(Y101:AA101&lt;&gt;""),Y101:AA101)))</t>
        </is>
      </c>
      <c r="AN101" s="36" t="inlineStr">
        <is>
          <t>IF(OR(E101="",AC101=""),"",IF(COUNT(Y101:AB101)=0,"",AC101-LOOKUP(2,1/(Y101:AB101&lt;&gt;""),Y101:AB101)))</t>
        </is>
      </c>
      <c r="AO101" s="36" t="inlineStr">
        <is>
          <t>IF(OR(E101="",AD101=""),"",IF(COUNT(Y101:AC101)=0,"",AD101-LOOKUP(2,1/(Y101:AC101&lt;&gt;""),Y101:AC101)))</t>
        </is>
      </c>
      <c r="AP101" s="36" t="inlineStr">
        <is>
          <t>IF(OR(E101="",AE101=""),"",IF(COUNT(Y101:AD101)=0,"",AE101-LOOKUP(2,1/(Y101:AD101&lt;&gt;""),Y101:AD101)))</t>
        </is>
      </c>
      <c r="AQ101" s="36" t="inlineStr">
        <is>
          <t>IF(OR(E101="",AF101=""),"",IF(COUNT(Y101:AE101)=0,"",AF101-LOOKUP(2,1/(Y101:AE101&lt;&gt;""),Y101:AE101)))</t>
        </is>
      </c>
      <c r="AR101" s="36" t="inlineStr">
        <is>
          <t>IF(OR(E101="",AG101=""),"",IF(COUNT(Y101:AF101)=0,"",AG101-LOOKUP(2,1/(Y101:AF101&lt;&gt;""),Y101:AF101)))</t>
        </is>
      </c>
      <c r="AS101" s="36" t="inlineStr">
        <is>
          <t>IF(OR(E101="",AH101=""),"",IF(COUNT(Y101:AG101)=0,"",AH101-LOOKUP(2,1/(Y101:AG101&lt;&gt;""),Y101:AG101)))</t>
        </is>
      </c>
      <c r="AT101" s="36" t="inlineStr">
        <is>
          <t>IF(OR(E101="",AI101=""),"",IF(COUNT(Y101:AH101)=0,"",AI101-LOOKUP(2,1/(Y101:AH101&lt;&gt;""),Y101:AH101)))</t>
        </is>
      </c>
      <c r="AU101" s="36" t="inlineStr">
        <is>
          <t>IF(OR(E101="",AJ101=""),"",IF(COUNT(Y101:AI101)=0,"",AJ101-LOOKUP(2,1/(Y101:AI101&lt;&gt;""),Y101:AI101)))</t>
        </is>
      </c>
      <c r="AV101" s="39" t="inlineStr">
        <is>
          <t>IF(G101="","All_Provinces",IFERROR(VLOOKUP(G101,'07_Lookups'!$A$4:$B$20,2,FALSE),"All_Provinces"))</t>
        </is>
      </c>
      <c r="AW101" s="39" t="inlineStr">
        <is>
          <t>IF(H101="","All_Districts",IFERROR(VLOOKUP(H101,'07_Lookups'!$E$4:$F$42,2,FALSE),"All_Districts"))</t>
        </is>
      </c>
    </row>
    <row r="102" ht="18" customHeight="1">
      <c r="A102" s="31" t="inlineStr">
        <is>
          <t>IF(E102="","",ROW()-3)</t>
        </is>
      </c>
      <c r="B102" s="32" t="n"/>
      <c r="C102" s="32" t="n"/>
      <c r="D102" s="32" t="n"/>
      <c r="E102" s="32" t="n"/>
      <c r="F102" s="32" t="n"/>
      <c r="G102" s="32" t="n"/>
      <c r="H102" s="32" t="n"/>
      <c r="I102" s="32" t="n"/>
      <c r="J102" s="32" t="n"/>
      <c r="K102" s="32" t="n"/>
      <c r="L102" s="32" t="n"/>
      <c r="M102" s="32" t="n"/>
      <c r="N102" s="33" t="n"/>
      <c r="O102" s="34" t="inlineStr">
        <is>
          <t>IF(AE102="","",AE102)</t>
        </is>
      </c>
      <c r="P102" s="35" t="n"/>
      <c r="Q102" s="34" t="inlineStr">
        <is>
          <t>IF(OR(O102="",P102=""),"",EDATE(O102,P102))</t>
        </is>
      </c>
      <c r="R102" s="35" t="n"/>
      <c r="S102" s="32" t="n"/>
      <c r="T102" s="32" t="n"/>
      <c r="U102" s="31" t="inlineStr">
        <is>
          <t>IF(E102="","",IF(COUNT(Y102:AJ102)=0,IF(S102="","Not started",S102),SUBSTITUTE(LOOKUP(2,1/(Y102:AJ102&lt;&gt;""),$Y$3:$AJ$3),"Date: ","")))</t>
        </is>
      </c>
      <c r="V102" s="36" t="inlineStr">
        <is>
          <t>IF(OR(E102="",COUNT(Y102:AJ102)=0),"",TODAY()-LOOKUP(2,1/(Y102:AJ102&lt;&gt;""),Y102:AJ102))</t>
        </is>
      </c>
      <c r="W102" s="36" t="inlineStr">
        <is>
          <t>IF(OR(E102="",COUNT(Y102:AJ102)&lt;2),"",LOOKUP(2,1/(Y102:AJ102&lt;&gt;""),Y102:AJ102)-MIN(Y102:AJ102))</t>
        </is>
      </c>
      <c r="X102" s="36" t="inlineStr">
        <is>
          <t>IF(OR(V102="",U102="Not started",U102=""),"",IFERROR(V102-IF(VLOOKUP(U102,'04_Status_Pipeline'!$B$3:$E$20,4,FALSE)="",0,VLOOKUP(U102,'04_Status_Pipeline'!$B$3:$E$20,4,FALSE)),""))</t>
        </is>
      </c>
      <c r="Y102" s="37" t="n"/>
      <c r="Z102" s="37" t="n"/>
      <c r="AA102" s="37" t="n"/>
      <c r="AB102" s="37" t="n"/>
      <c r="AC102" s="37" t="n"/>
      <c r="AD102" s="37" t="n"/>
      <c r="AE102" s="37" t="n"/>
      <c r="AF102" s="37" t="n"/>
      <c r="AG102" s="37" t="n"/>
      <c r="AH102" s="38" t="n"/>
      <c r="AI102" s="38" t="n"/>
      <c r="AJ102" s="38" t="n"/>
      <c r="AK102" s="36" t="inlineStr">
        <is>
          <t>IF(OR(E102="",Z102=""),"",IF(COUNT(Y102:Y102)=0,"",Z102-LOOKUP(2,1/(Y102:Y102&lt;&gt;""),Y102:Y102)))</t>
        </is>
      </c>
      <c r="AL102" s="36" t="inlineStr">
        <is>
          <t>IF(OR(E102="",AA102=""),"",IF(COUNT(Y102:Z102)=0,"",AA102-LOOKUP(2,1/(Y102:Z102&lt;&gt;""),Y102:Z102)))</t>
        </is>
      </c>
      <c r="AM102" s="36" t="inlineStr">
        <is>
          <t>IF(OR(E102="",AB102=""),"",IF(COUNT(Y102:AA102)=0,"",AB102-LOOKUP(2,1/(Y102:AA102&lt;&gt;""),Y102:AA102)))</t>
        </is>
      </c>
      <c r="AN102" s="36" t="inlineStr">
        <is>
          <t>IF(OR(E102="",AC102=""),"",IF(COUNT(Y102:AB102)=0,"",AC102-LOOKUP(2,1/(Y102:AB102&lt;&gt;""),Y102:AB102)))</t>
        </is>
      </c>
      <c r="AO102" s="36" t="inlineStr">
        <is>
          <t>IF(OR(E102="",AD102=""),"",IF(COUNT(Y102:AC102)=0,"",AD102-LOOKUP(2,1/(Y102:AC102&lt;&gt;""),Y102:AC102)))</t>
        </is>
      </c>
      <c r="AP102" s="36" t="inlineStr">
        <is>
          <t>IF(OR(E102="",AE102=""),"",IF(COUNT(Y102:AD102)=0,"",AE102-LOOKUP(2,1/(Y102:AD102&lt;&gt;""),Y102:AD102)))</t>
        </is>
      </c>
      <c r="AQ102" s="36" t="inlineStr">
        <is>
          <t>IF(OR(E102="",AF102=""),"",IF(COUNT(Y102:AE102)=0,"",AF102-LOOKUP(2,1/(Y102:AE102&lt;&gt;""),Y102:AE102)))</t>
        </is>
      </c>
      <c r="AR102" s="36" t="inlineStr">
        <is>
          <t>IF(OR(E102="",AG102=""),"",IF(COUNT(Y102:AF102)=0,"",AG102-LOOKUP(2,1/(Y102:AF102&lt;&gt;""),Y102:AF102)))</t>
        </is>
      </c>
      <c r="AS102" s="36" t="inlineStr">
        <is>
          <t>IF(OR(E102="",AH102=""),"",IF(COUNT(Y102:AG102)=0,"",AH102-LOOKUP(2,1/(Y102:AG102&lt;&gt;""),Y102:AG102)))</t>
        </is>
      </c>
      <c r="AT102" s="36" t="inlineStr">
        <is>
          <t>IF(OR(E102="",AI102=""),"",IF(COUNT(Y102:AH102)=0,"",AI102-LOOKUP(2,1/(Y102:AH102&lt;&gt;""),Y102:AH102)))</t>
        </is>
      </c>
      <c r="AU102" s="36" t="inlineStr">
        <is>
          <t>IF(OR(E102="",AJ102=""),"",IF(COUNT(Y102:AI102)=0,"",AJ102-LOOKUP(2,1/(Y102:AI102&lt;&gt;""),Y102:AI102)))</t>
        </is>
      </c>
      <c r="AV102" s="39" t="inlineStr">
        <is>
          <t>IF(G102="","All_Provinces",IFERROR(VLOOKUP(G102,'07_Lookups'!$A$4:$B$20,2,FALSE),"All_Provinces"))</t>
        </is>
      </c>
      <c r="AW102" s="39" t="inlineStr">
        <is>
          <t>IF(H102="","All_Districts",IFERROR(VLOOKUP(H102,'07_Lookups'!$E$4:$F$42,2,FALSE),"All_Districts"))</t>
        </is>
      </c>
    </row>
    <row r="103" ht="18" customHeight="1">
      <c r="A103" s="31" t="inlineStr">
        <is>
          <t>IF(E103="","",ROW()-3)</t>
        </is>
      </c>
      <c r="B103" s="40" t="n"/>
      <c r="C103" s="40" t="n"/>
      <c r="D103" s="40" t="n"/>
      <c r="E103" s="40" t="n"/>
      <c r="F103" s="40" t="n"/>
      <c r="G103" s="40" t="n"/>
      <c r="H103" s="40" t="n"/>
      <c r="I103" s="40" t="n"/>
      <c r="J103" s="40" t="n"/>
      <c r="K103" s="40" t="n"/>
      <c r="L103" s="40" t="n"/>
      <c r="M103" s="40" t="n"/>
      <c r="N103" s="41" t="n"/>
      <c r="O103" s="34" t="inlineStr">
        <is>
          <t>IF(AE103="","",AE103)</t>
        </is>
      </c>
      <c r="P103" s="42" t="n"/>
      <c r="Q103" s="34" t="inlineStr">
        <is>
          <t>IF(OR(O103="",P103=""),"",EDATE(O103,P103))</t>
        </is>
      </c>
      <c r="R103" s="42" t="n"/>
      <c r="S103" s="40" t="n"/>
      <c r="T103" s="40" t="n"/>
      <c r="U103" s="31" t="inlineStr">
        <is>
          <t>IF(E103="","",IF(COUNT(Y103:AJ103)=0,IF(S103="","Not started",S103),SUBSTITUTE(LOOKUP(2,1/(Y103:AJ103&lt;&gt;""),$Y$3:$AJ$3),"Date: ","")))</t>
        </is>
      </c>
      <c r="V103" s="36" t="inlineStr">
        <is>
          <t>IF(OR(E103="",COUNT(Y103:AJ103)=0),"",TODAY()-LOOKUP(2,1/(Y103:AJ103&lt;&gt;""),Y103:AJ103))</t>
        </is>
      </c>
      <c r="W103" s="36" t="inlineStr">
        <is>
          <t>IF(OR(E103="",COUNT(Y103:AJ103)&lt;2),"",LOOKUP(2,1/(Y103:AJ103&lt;&gt;""),Y103:AJ103)-MIN(Y103:AJ103))</t>
        </is>
      </c>
      <c r="X103" s="36" t="inlineStr">
        <is>
          <t>IF(OR(V103="",U103="Not started",U103=""),"",IFERROR(V103-IF(VLOOKUP(U103,'04_Status_Pipeline'!$B$3:$E$20,4,FALSE)="",0,VLOOKUP(U103,'04_Status_Pipeline'!$B$3:$E$20,4,FALSE)),""))</t>
        </is>
      </c>
      <c r="Y103" s="43" t="n"/>
      <c r="Z103" s="43" t="n"/>
      <c r="AA103" s="43" t="n"/>
      <c r="AB103" s="43" t="n"/>
      <c r="AC103" s="43" t="n"/>
      <c r="AD103" s="43" t="n"/>
      <c r="AE103" s="43" t="n"/>
      <c r="AF103" s="43" t="n"/>
      <c r="AG103" s="43" t="n"/>
      <c r="AH103" s="38" t="n"/>
      <c r="AI103" s="38" t="n"/>
      <c r="AJ103" s="38" t="n"/>
      <c r="AK103" s="36" t="inlineStr">
        <is>
          <t>IF(OR(E103="",Z103=""),"",IF(COUNT(Y103:Y103)=0,"",Z103-LOOKUP(2,1/(Y103:Y103&lt;&gt;""),Y103:Y103)))</t>
        </is>
      </c>
      <c r="AL103" s="36" t="inlineStr">
        <is>
          <t>IF(OR(E103="",AA103=""),"",IF(COUNT(Y103:Z103)=0,"",AA103-LOOKUP(2,1/(Y103:Z103&lt;&gt;""),Y103:Z103)))</t>
        </is>
      </c>
      <c r="AM103" s="36" t="inlineStr">
        <is>
          <t>IF(OR(E103="",AB103=""),"",IF(COUNT(Y103:AA103)=0,"",AB103-LOOKUP(2,1/(Y103:AA103&lt;&gt;""),Y103:AA103)))</t>
        </is>
      </c>
      <c r="AN103" s="36" t="inlineStr">
        <is>
          <t>IF(OR(E103="",AC103=""),"",IF(COUNT(Y103:AB103)=0,"",AC103-LOOKUP(2,1/(Y103:AB103&lt;&gt;""),Y103:AB103)))</t>
        </is>
      </c>
      <c r="AO103" s="36" t="inlineStr">
        <is>
          <t>IF(OR(E103="",AD103=""),"",IF(COUNT(Y103:AC103)=0,"",AD103-LOOKUP(2,1/(Y103:AC103&lt;&gt;""),Y103:AC103)))</t>
        </is>
      </c>
      <c r="AP103" s="36" t="inlineStr">
        <is>
          <t>IF(OR(E103="",AE103=""),"",IF(COUNT(Y103:AD103)=0,"",AE103-LOOKUP(2,1/(Y103:AD103&lt;&gt;""),Y103:AD103)))</t>
        </is>
      </c>
      <c r="AQ103" s="36" t="inlineStr">
        <is>
          <t>IF(OR(E103="",AF103=""),"",IF(COUNT(Y103:AE103)=0,"",AF103-LOOKUP(2,1/(Y103:AE103&lt;&gt;""),Y103:AE103)))</t>
        </is>
      </c>
      <c r="AR103" s="36" t="inlineStr">
        <is>
          <t>IF(OR(E103="",AG103=""),"",IF(COUNT(Y103:AF103)=0,"",AG103-LOOKUP(2,1/(Y103:AF103&lt;&gt;""),Y103:AF103)))</t>
        </is>
      </c>
      <c r="AS103" s="36" t="inlineStr">
        <is>
          <t>IF(OR(E103="",AH103=""),"",IF(COUNT(Y103:AG103)=0,"",AH103-LOOKUP(2,1/(Y103:AG103&lt;&gt;""),Y103:AG103)))</t>
        </is>
      </c>
      <c r="AT103" s="36" t="inlineStr">
        <is>
          <t>IF(OR(E103="",AI103=""),"",IF(COUNT(Y103:AH103)=0,"",AI103-LOOKUP(2,1/(Y103:AH103&lt;&gt;""),Y103:AH103)))</t>
        </is>
      </c>
      <c r="AU103" s="36" t="inlineStr">
        <is>
          <t>IF(OR(E103="",AJ103=""),"",IF(COUNT(Y103:AI103)=0,"",AJ103-LOOKUP(2,1/(Y103:AI103&lt;&gt;""),Y103:AI103)))</t>
        </is>
      </c>
      <c r="AV103" s="39" t="inlineStr">
        <is>
          <t>IF(G103="","All_Provinces",IFERROR(VLOOKUP(G103,'07_Lookups'!$A$4:$B$20,2,FALSE),"All_Provinces"))</t>
        </is>
      </c>
      <c r="AW103" s="39" t="inlineStr">
        <is>
          <t>IF(H103="","All_Districts",IFERROR(VLOOKUP(H103,'07_Lookups'!$E$4:$F$42,2,FALSE),"All_Districts"))</t>
        </is>
      </c>
    </row>
    <row r="104" ht="18" customHeight="1">
      <c r="A104" s="31" t="inlineStr">
        <is>
          <t>IF(E104="","",ROW()-3)</t>
        </is>
      </c>
      <c r="B104" s="32" t="n"/>
      <c r="C104" s="32" t="n"/>
      <c r="D104" s="32" t="n"/>
      <c r="E104" s="32" t="n"/>
      <c r="F104" s="32" t="n"/>
      <c r="G104" s="32" t="n"/>
      <c r="H104" s="32" t="n"/>
      <c r="I104" s="32" t="n"/>
      <c r="J104" s="32" t="n"/>
      <c r="K104" s="32" t="n"/>
      <c r="L104" s="32" t="n"/>
      <c r="M104" s="32" t="n"/>
      <c r="N104" s="33" t="n"/>
      <c r="O104" s="34" t="inlineStr">
        <is>
          <t>IF(AE104="","",AE104)</t>
        </is>
      </c>
      <c r="P104" s="35" t="n"/>
      <c r="Q104" s="34" t="inlineStr">
        <is>
          <t>IF(OR(O104="",P104=""),"",EDATE(O104,P104))</t>
        </is>
      </c>
      <c r="R104" s="35" t="n"/>
      <c r="S104" s="32" t="n"/>
      <c r="T104" s="32" t="n"/>
      <c r="U104" s="31" t="inlineStr">
        <is>
          <t>IF(E104="","",IF(COUNT(Y104:AJ104)=0,IF(S104="","Not started",S104),SUBSTITUTE(LOOKUP(2,1/(Y104:AJ104&lt;&gt;""),$Y$3:$AJ$3),"Date: ","")))</t>
        </is>
      </c>
      <c r="V104" s="36" t="inlineStr">
        <is>
          <t>IF(OR(E104="",COUNT(Y104:AJ104)=0),"",TODAY()-LOOKUP(2,1/(Y104:AJ104&lt;&gt;""),Y104:AJ104))</t>
        </is>
      </c>
      <c r="W104" s="36" t="inlineStr">
        <is>
          <t>IF(OR(E104="",COUNT(Y104:AJ104)&lt;2),"",LOOKUP(2,1/(Y104:AJ104&lt;&gt;""),Y104:AJ104)-MIN(Y104:AJ104))</t>
        </is>
      </c>
      <c r="X104" s="36" t="inlineStr">
        <is>
          <t>IF(OR(V104="",U104="Not started",U104=""),"",IFERROR(V104-IF(VLOOKUP(U104,'04_Status_Pipeline'!$B$3:$E$20,4,FALSE)="",0,VLOOKUP(U104,'04_Status_Pipeline'!$B$3:$E$20,4,FALSE)),""))</t>
        </is>
      </c>
      <c r="Y104" s="37" t="n"/>
      <c r="Z104" s="37" t="n"/>
      <c r="AA104" s="37" t="n"/>
      <c r="AB104" s="37" t="n"/>
      <c r="AC104" s="37" t="n"/>
      <c r="AD104" s="37" t="n"/>
      <c r="AE104" s="37" t="n"/>
      <c r="AF104" s="37" t="n"/>
      <c r="AG104" s="37" t="n"/>
      <c r="AH104" s="38" t="n"/>
      <c r="AI104" s="38" t="n"/>
      <c r="AJ104" s="38" t="n"/>
      <c r="AK104" s="36" t="inlineStr">
        <is>
          <t>IF(OR(E104="",Z104=""),"",IF(COUNT(Y104:Y104)=0,"",Z104-LOOKUP(2,1/(Y104:Y104&lt;&gt;""),Y104:Y104)))</t>
        </is>
      </c>
      <c r="AL104" s="36" t="inlineStr">
        <is>
          <t>IF(OR(E104="",AA104=""),"",IF(COUNT(Y104:Z104)=0,"",AA104-LOOKUP(2,1/(Y104:Z104&lt;&gt;""),Y104:Z104)))</t>
        </is>
      </c>
      <c r="AM104" s="36" t="inlineStr">
        <is>
          <t>IF(OR(E104="",AB104=""),"",IF(COUNT(Y104:AA104)=0,"",AB104-LOOKUP(2,1/(Y104:AA104&lt;&gt;""),Y104:AA104)))</t>
        </is>
      </c>
      <c r="AN104" s="36" t="inlineStr">
        <is>
          <t>IF(OR(E104="",AC104=""),"",IF(COUNT(Y104:AB104)=0,"",AC104-LOOKUP(2,1/(Y104:AB104&lt;&gt;""),Y104:AB104)))</t>
        </is>
      </c>
      <c r="AO104" s="36" t="inlineStr">
        <is>
          <t>IF(OR(E104="",AD104=""),"",IF(COUNT(Y104:AC104)=0,"",AD104-LOOKUP(2,1/(Y104:AC104&lt;&gt;""),Y104:AC104)))</t>
        </is>
      </c>
      <c r="AP104" s="36" t="inlineStr">
        <is>
          <t>IF(OR(E104="",AE104=""),"",IF(COUNT(Y104:AD104)=0,"",AE104-LOOKUP(2,1/(Y104:AD104&lt;&gt;""),Y104:AD104)))</t>
        </is>
      </c>
      <c r="AQ104" s="36" t="inlineStr">
        <is>
          <t>IF(OR(E104="",AF104=""),"",IF(COUNT(Y104:AE104)=0,"",AF104-LOOKUP(2,1/(Y104:AE104&lt;&gt;""),Y104:AE104)))</t>
        </is>
      </c>
      <c r="AR104" s="36" t="inlineStr">
        <is>
          <t>IF(OR(E104="",AG104=""),"",IF(COUNT(Y104:AF104)=0,"",AG104-LOOKUP(2,1/(Y104:AF104&lt;&gt;""),Y104:AF104)))</t>
        </is>
      </c>
      <c r="AS104" s="36" t="inlineStr">
        <is>
          <t>IF(OR(E104="",AH104=""),"",IF(COUNT(Y104:AG104)=0,"",AH104-LOOKUP(2,1/(Y104:AG104&lt;&gt;""),Y104:AG104)))</t>
        </is>
      </c>
      <c r="AT104" s="36" t="inlineStr">
        <is>
          <t>IF(OR(E104="",AI104=""),"",IF(COUNT(Y104:AH104)=0,"",AI104-LOOKUP(2,1/(Y104:AH104&lt;&gt;""),Y104:AH104)))</t>
        </is>
      </c>
      <c r="AU104" s="36" t="inlineStr">
        <is>
          <t>IF(OR(E104="",AJ104=""),"",IF(COUNT(Y104:AI104)=0,"",AJ104-LOOKUP(2,1/(Y104:AI104&lt;&gt;""),Y104:AI104)))</t>
        </is>
      </c>
      <c r="AV104" s="39" t="inlineStr">
        <is>
          <t>IF(G104="","All_Provinces",IFERROR(VLOOKUP(G104,'07_Lookups'!$A$4:$B$20,2,FALSE),"All_Provinces"))</t>
        </is>
      </c>
      <c r="AW104" s="39" t="inlineStr">
        <is>
          <t>IF(H104="","All_Districts",IFERROR(VLOOKUP(H104,'07_Lookups'!$E$4:$F$42,2,FALSE),"All_Districts"))</t>
        </is>
      </c>
    </row>
    <row r="105" ht="18" customHeight="1">
      <c r="A105" s="31" t="inlineStr">
        <is>
          <t>IF(E105="","",ROW()-3)</t>
        </is>
      </c>
      <c r="B105" s="40" t="n"/>
      <c r="C105" s="40" t="n"/>
      <c r="D105" s="40" t="n"/>
      <c r="E105" s="40" t="n"/>
      <c r="F105" s="40" t="n"/>
      <c r="G105" s="40" t="n"/>
      <c r="H105" s="40" t="n"/>
      <c r="I105" s="40" t="n"/>
      <c r="J105" s="40" t="n"/>
      <c r="K105" s="40" t="n"/>
      <c r="L105" s="40" t="n"/>
      <c r="M105" s="40" t="n"/>
      <c r="N105" s="41" t="n"/>
      <c r="O105" s="34" t="inlineStr">
        <is>
          <t>IF(AE105="","",AE105)</t>
        </is>
      </c>
      <c r="P105" s="42" t="n"/>
      <c r="Q105" s="34" t="inlineStr">
        <is>
          <t>IF(OR(O105="",P105=""),"",EDATE(O105,P105))</t>
        </is>
      </c>
      <c r="R105" s="42" t="n"/>
      <c r="S105" s="40" t="n"/>
      <c r="T105" s="40" t="n"/>
      <c r="U105" s="31" t="inlineStr">
        <is>
          <t>IF(E105="","",IF(COUNT(Y105:AJ105)=0,IF(S105="","Not started",S105),SUBSTITUTE(LOOKUP(2,1/(Y105:AJ105&lt;&gt;""),$Y$3:$AJ$3),"Date: ","")))</t>
        </is>
      </c>
      <c r="V105" s="36" t="inlineStr">
        <is>
          <t>IF(OR(E105="",COUNT(Y105:AJ105)=0),"",TODAY()-LOOKUP(2,1/(Y105:AJ105&lt;&gt;""),Y105:AJ105))</t>
        </is>
      </c>
      <c r="W105" s="36" t="inlineStr">
        <is>
          <t>IF(OR(E105="",COUNT(Y105:AJ105)&lt;2),"",LOOKUP(2,1/(Y105:AJ105&lt;&gt;""),Y105:AJ105)-MIN(Y105:AJ105))</t>
        </is>
      </c>
      <c r="X105" s="36" t="inlineStr">
        <is>
          <t>IF(OR(V105="",U105="Not started",U105=""),"",IFERROR(V105-IF(VLOOKUP(U105,'04_Status_Pipeline'!$B$3:$E$20,4,FALSE)="",0,VLOOKUP(U105,'04_Status_Pipeline'!$B$3:$E$20,4,FALSE)),""))</t>
        </is>
      </c>
      <c r="Y105" s="43" t="n"/>
      <c r="Z105" s="43" t="n"/>
      <c r="AA105" s="43" t="n"/>
      <c r="AB105" s="43" t="n"/>
      <c r="AC105" s="43" t="n"/>
      <c r="AD105" s="43" t="n"/>
      <c r="AE105" s="43" t="n"/>
      <c r="AF105" s="43" t="n"/>
      <c r="AG105" s="43" t="n"/>
      <c r="AH105" s="38" t="n"/>
      <c r="AI105" s="38" t="n"/>
      <c r="AJ105" s="38" t="n"/>
      <c r="AK105" s="36" t="inlineStr">
        <is>
          <t>IF(OR(E105="",Z105=""),"",IF(COUNT(Y105:Y105)=0,"",Z105-LOOKUP(2,1/(Y105:Y105&lt;&gt;""),Y105:Y105)))</t>
        </is>
      </c>
      <c r="AL105" s="36" t="inlineStr">
        <is>
          <t>IF(OR(E105="",AA105=""),"",IF(COUNT(Y105:Z105)=0,"",AA105-LOOKUP(2,1/(Y105:Z105&lt;&gt;""),Y105:Z105)))</t>
        </is>
      </c>
      <c r="AM105" s="36" t="inlineStr">
        <is>
          <t>IF(OR(E105="",AB105=""),"",IF(COUNT(Y105:AA105)=0,"",AB105-LOOKUP(2,1/(Y105:AA105&lt;&gt;""),Y105:AA105)))</t>
        </is>
      </c>
      <c r="AN105" s="36" t="inlineStr">
        <is>
          <t>IF(OR(E105="",AC105=""),"",IF(COUNT(Y105:AB105)=0,"",AC105-LOOKUP(2,1/(Y105:AB105&lt;&gt;""),Y105:AB105)))</t>
        </is>
      </c>
      <c r="AO105" s="36" t="inlineStr">
        <is>
          <t>IF(OR(E105="",AD105=""),"",IF(COUNT(Y105:AC105)=0,"",AD105-LOOKUP(2,1/(Y105:AC105&lt;&gt;""),Y105:AC105)))</t>
        </is>
      </c>
      <c r="AP105" s="36" t="inlineStr">
        <is>
          <t>IF(OR(E105="",AE105=""),"",IF(COUNT(Y105:AD105)=0,"",AE105-LOOKUP(2,1/(Y105:AD105&lt;&gt;""),Y105:AD105)))</t>
        </is>
      </c>
      <c r="AQ105" s="36" t="inlineStr">
        <is>
          <t>IF(OR(E105="",AF105=""),"",IF(COUNT(Y105:AE105)=0,"",AF105-LOOKUP(2,1/(Y105:AE105&lt;&gt;""),Y105:AE105)))</t>
        </is>
      </c>
      <c r="AR105" s="36" t="inlineStr">
        <is>
          <t>IF(OR(E105="",AG105=""),"",IF(COUNT(Y105:AF105)=0,"",AG105-LOOKUP(2,1/(Y105:AF105&lt;&gt;""),Y105:AF105)))</t>
        </is>
      </c>
      <c r="AS105" s="36" t="inlineStr">
        <is>
          <t>IF(OR(E105="",AH105=""),"",IF(COUNT(Y105:AG105)=0,"",AH105-LOOKUP(2,1/(Y105:AG105&lt;&gt;""),Y105:AG105)))</t>
        </is>
      </c>
      <c r="AT105" s="36" t="inlineStr">
        <is>
          <t>IF(OR(E105="",AI105=""),"",IF(COUNT(Y105:AH105)=0,"",AI105-LOOKUP(2,1/(Y105:AH105&lt;&gt;""),Y105:AH105)))</t>
        </is>
      </c>
      <c r="AU105" s="36" t="inlineStr">
        <is>
          <t>IF(OR(E105="",AJ105=""),"",IF(COUNT(Y105:AI105)=0,"",AJ105-LOOKUP(2,1/(Y105:AI105&lt;&gt;""),Y105:AI105)))</t>
        </is>
      </c>
      <c r="AV105" s="39" t="inlineStr">
        <is>
          <t>IF(G105="","All_Provinces",IFERROR(VLOOKUP(G105,'07_Lookups'!$A$4:$B$20,2,FALSE),"All_Provinces"))</t>
        </is>
      </c>
      <c r="AW105" s="39" t="inlineStr">
        <is>
          <t>IF(H105="","All_Districts",IFERROR(VLOOKUP(H105,'07_Lookups'!$E$4:$F$42,2,FALSE),"All_Districts"))</t>
        </is>
      </c>
    </row>
    <row r="106" ht="18" customHeight="1">
      <c r="A106" s="31" t="inlineStr">
        <is>
          <t>IF(E106="","",ROW()-3)</t>
        </is>
      </c>
      <c r="B106" s="32" t="n"/>
      <c r="C106" s="32" t="n"/>
      <c r="D106" s="32" t="n"/>
      <c r="E106" s="32" t="n"/>
      <c r="F106" s="32" t="n"/>
      <c r="G106" s="32" t="n"/>
      <c r="H106" s="32" t="n"/>
      <c r="I106" s="32" t="n"/>
      <c r="J106" s="32" t="n"/>
      <c r="K106" s="32" t="n"/>
      <c r="L106" s="32" t="n"/>
      <c r="M106" s="32" t="n"/>
      <c r="N106" s="33" t="n"/>
      <c r="O106" s="34" t="inlineStr">
        <is>
          <t>IF(AE106="","",AE106)</t>
        </is>
      </c>
      <c r="P106" s="35" t="n"/>
      <c r="Q106" s="34" t="inlineStr">
        <is>
          <t>IF(OR(O106="",P106=""),"",EDATE(O106,P106))</t>
        </is>
      </c>
      <c r="R106" s="35" t="n"/>
      <c r="S106" s="32" t="n"/>
      <c r="T106" s="32" t="n"/>
      <c r="U106" s="31" t="inlineStr">
        <is>
          <t>IF(E106="","",IF(COUNT(Y106:AJ106)=0,IF(S106="","Not started",S106),SUBSTITUTE(LOOKUP(2,1/(Y106:AJ106&lt;&gt;""),$Y$3:$AJ$3),"Date: ","")))</t>
        </is>
      </c>
      <c r="V106" s="36" t="inlineStr">
        <is>
          <t>IF(OR(E106="",COUNT(Y106:AJ106)=0),"",TODAY()-LOOKUP(2,1/(Y106:AJ106&lt;&gt;""),Y106:AJ106))</t>
        </is>
      </c>
      <c r="W106" s="36" t="inlineStr">
        <is>
          <t>IF(OR(E106="",COUNT(Y106:AJ106)&lt;2),"",LOOKUP(2,1/(Y106:AJ106&lt;&gt;""),Y106:AJ106)-MIN(Y106:AJ106))</t>
        </is>
      </c>
      <c r="X106" s="36" t="inlineStr">
        <is>
          <t>IF(OR(V106="",U106="Not started",U106=""),"",IFERROR(V106-IF(VLOOKUP(U106,'04_Status_Pipeline'!$B$3:$E$20,4,FALSE)="",0,VLOOKUP(U106,'04_Status_Pipeline'!$B$3:$E$20,4,FALSE)),""))</t>
        </is>
      </c>
      <c r="Y106" s="37" t="n"/>
      <c r="Z106" s="37" t="n"/>
      <c r="AA106" s="37" t="n"/>
      <c r="AB106" s="37" t="n"/>
      <c r="AC106" s="37" t="n"/>
      <c r="AD106" s="37" t="n"/>
      <c r="AE106" s="37" t="n"/>
      <c r="AF106" s="37" t="n"/>
      <c r="AG106" s="37" t="n"/>
      <c r="AH106" s="38" t="n"/>
      <c r="AI106" s="38" t="n"/>
      <c r="AJ106" s="38" t="n"/>
      <c r="AK106" s="36" t="inlineStr">
        <is>
          <t>IF(OR(E106="",Z106=""),"",IF(COUNT(Y106:Y106)=0,"",Z106-LOOKUP(2,1/(Y106:Y106&lt;&gt;""),Y106:Y106)))</t>
        </is>
      </c>
      <c r="AL106" s="36" t="inlineStr">
        <is>
          <t>IF(OR(E106="",AA106=""),"",IF(COUNT(Y106:Z106)=0,"",AA106-LOOKUP(2,1/(Y106:Z106&lt;&gt;""),Y106:Z106)))</t>
        </is>
      </c>
      <c r="AM106" s="36" t="inlineStr">
        <is>
          <t>IF(OR(E106="",AB106=""),"",IF(COUNT(Y106:AA106)=0,"",AB106-LOOKUP(2,1/(Y106:AA106&lt;&gt;""),Y106:AA106)))</t>
        </is>
      </c>
      <c r="AN106" s="36" t="inlineStr">
        <is>
          <t>IF(OR(E106="",AC106=""),"",IF(COUNT(Y106:AB106)=0,"",AC106-LOOKUP(2,1/(Y106:AB106&lt;&gt;""),Y106:AB106)))</t>
        </is>
      </c>
      <c r="AO106" s="36" t="inlineStr">
        <is>
          <t>IF(OR(E106="",AD106=""),"",IF(COUNT(Y106:AC106)=0,"",AD106-LOOKUP(2,1/(Y106:AC106&lt;&gt;""),Y106:AC106)))</t>
        </is>
      </c>
      <c r="AP106" s="36" t="inlineStr">
        <is>
          <t>IF(OR(E106="",AE106=""),"",IF(COUNT(Y106:AD106)=0,"",AE106-LOOKUP(2,1/(Y106:AD106&lt;&gt;""),Y106:AD106)))</t>
        </is>
      </c>
      <c r="AQ106" s="36" t="inlineStr">
        <is>
          <t>IF(OR(E106="",AF106=""),"",IF(COUNT(Y106:AE106)=0,"",AF106-LOOKUP(2,1/(Y106:AE106&lt;&gt;""),Y106:AE106)))</t>
        </is>
      </c>
      <c r="AR106" s="36" t="inlineStr">
        <is>
          <t>IF(OR(E106="",AG106=""),"",IF(COUNT(Y106:AF106)=0,"",AG106-LOOKUP(2,1/(Y106:AF106&lt;&gt;""),Y106:AF106)))</t>
        </is>
      </c>
      <c r="AS106" s="36" t="inlineStr">
        <is>
          <t>IF(OR(E106="",AH106=""),"",IF(COUNT(Y106:AG106)=0,"",AH106-LOOKUP(2,1/(Y106:AG106&lt;&gt;""),Y106:AG106)))</t>
        </is>
      </c>
      <c r="AT106" s="36" t="inlineStr">
        <is>
          <t>IF(OR(E106="",AI106=""),"",IF(COUNT(Y106:AH106)=0,"",AI106-LOOKUP(2,1/(Y106:AH106&lt;&gt;""),Y106:AH106)))</t>
        </is>
      </c>
      <c r="AU106" s="36" t="inlineStr">
        <is>
          <t>IF(OR(E106="",AJ106=""),"",IF(COUNT(Y106:AI106)=0,"",AJ106-LOOKUP(2,1/(Y106:AI106&lt;&gt;""),Y106:AI106)))</t>
        </is>
      </c>
      <c r="AV106" s="39" t="inlineStr">
        <is>
          <t>IF(G106="","All_Provinces",IFERROR(VLOOKUP(G106,'07_Lookups'!$A$4:$B$20,2,FALSE),"All_Provinces"))</t>
        </is>
      </c>
      <c r="AW106" s="39" t="inlineStr">
        <is>
          <t>IF(H106="","All_Districts",IFERROR(VLOOKUP(H106,'07_Lookups'!$E$4:$F$42,2,FALSE),"All_Districts"))</t>
        </is>
      </c>
    </row>
    <row r="107" ht="18" customHeight="1">
      <c r="A107" s="31" t="inlineStr">
        <is>
          <t>IF(E107="","",ROW()-3)</t>
        </is>
      </c>
      <c r="B107" s="40" t="n"/>
      <c r="C107" s="40" t="n"/>
      <c r="D107" s="40" t="n"/>
      <c r="E107" s="40" t="n"/>
      <c r="F107" s="40" t="n"/>
      <c r="G107" s="40" t="n"/>
      <c r="H107" s="40" t="n"/>
      <c r="I107" s="40" t="n"/>
      <c r="J107" s="40" t="n"/>
      <c r="K107" s="40" t="n"/>
      <c r="L107" s="40" t="n"/>
      <c r="M107" s="40" t="n"/>
      <c r="N107" s="41" t="n"/>
      <c r="O107" s="34" t="inlineStr">
        <is>
          <t>IF(AE107="","",AE107)</t>
        </is>
      </c>
      <c r="P107" s="42" t="n"/>
      <c r="Q107" s="34" t="inlineStr">
        <is>
          <t>IF(OR(O107="",P107=""),"",EDATE(O107,P107))</t>
        </is>
      </c>
      <c r="R107" s="42" t="n"/>
      <c r="S107" s="40" t="n"/>
      <c r="T107" s="40" t="n"/>
      <c r="U107" s="31" t="inlineStr">
        <is>
          <t>IF(E107="","",IF(COUNT(Y107:AJ107)=0,IF(S107="","Not started",S107),SUBSTITUTE(LOOKUP(2,1/(Y107:AJ107&lt;&gt;""),$Y$3:$AJ$3),"Date: ","")))</t>
        </is>
      </c>
      <c r="V107" s="36" t="inlineStr">
        <is>
          <t>IF(OR(E107="",COUNT(Y107:AJ107)=0),"",TODAY()-LOOKUP(2,1/(Y107:AJ107&lt;&gt;""),Y107:AJ107))</t>
        </is>
      </c>
      <c r="W107" s="36" t="inlineStr">
        <is>
          <t>IF(OR(E107="",COUNT(Y107:AJ107)&lt;2),"",LOOKUP(2,1/(Y107:AJ107&lt;&gt;""),Y107:AJ107)-MIN(Y107:AJ107))</t>
        </is>
      </c>
      <c r="X107" s="36" t="inlineStr">
        <is>
          <t>IF(OR(V107="",U107="Not started",U107=""),"",IFERROR(V107-IF(VLOOKUP(U107,'04_Status_Pipeline'!$B$3:$E$20,4,FALSE)="",0,VLOOKUP(U107,'04_Status_Pipeline'!$B$3:$E$20,4,FALSE)),""))</t>
        </is>
      </c>
      <c r="Y107" s="43" t="n"/>
      <c r="Z107" s="43" t="n"/>
      <c r="AA107" s="43" t="n"/>
      <c r="AB107" s="43" t="n"/>
      <c r="AC107" s="43" t="n"/>
      <c r="AD107" s="43" t="n"/>
      <c r="AE107" s="43" t="n"/>
      <c r="AF107" s="43" t="n"/>
      <c r="AG107" s="43" t="n"/>
      <c r="AH107" s="38" t="n"/>
      <c r="AI107" s="38" t="n"/>
      <c r="AJ107" s="38" t="n"/>
      <c r="AK107" s="36" t="inlineStr">
        <is>
          <t>IF(OR(E107="",Z107=""),"",IF(COUNT(Y107:Y107)=0,"",Z107-LOOKUP(2,1/(Y107:Y107&lt;&gt;""),Y107:Y107)))</t>
        </is>
      </c>
      <c r="AL107" s="36" t="inlineStr">
        <is>
          <t>IF(OR(E107="",AA107=""),"",IF(COUNT(Y107:Z107)=0,"",AA107-LOOKUP(2,1/(Y107:Z107&lt;&gt;""),Y107:Z107)))</t>
        </is>
      </c>
      <c r="AM107" s="36" t="inlineStr">
        <is>
          <t>IF(OR(E107="",AB107=""),"",IF(COUNT(Y107:AA107)=0,"",AB107-LOOKUP(2,1/(Y107:AA107&lt;&gt;""),Y107:AA107)))</t>
        </is>
      </c>
      <c r="AN107" s="36" t="inlineStr">
        <is>
          <t>IF(OR(E107="",AC107=""),"",IF(COUNT(Y107:AB107)=0,"",AC107-LOOKUP(2,1/(Y107:AB107&lt;&gt;""),Y107:AB107)))</t>
        </is>
      </c>
      <c r="AO107" s="36" t="inlineStr">
        <is>
          <t>IF(OR(E107="",AD107=""),"",IF(COUNT(Y107:AC107)=0,"",AD107-LOOKUP(2,1/(Y107:AC107&lt;&gt;""),Y107:AC107)))</t>
        </is>
      </c>
      <c r="AP107" s="36" t="inlineStr">
        <is>
          <t>IF(OR(E107="",AE107=""),"",IF(COUNT(Y107:AD107)=0,"",AE107-LOOKUP(2,1/(Y107:AD107&lt;&gt;""),Y107:AD107)))</t>
        </is>
      </c>
      <c r="AQ107" s="36" t="inlineStr">
        <is>
          <t>IF(OR(E107="",AF107=""),"",IF(COUNT(Y107:AE107)=0,"",AF107-LOOKUP(2,1/(Y107:AE107&lt;&gt;""),Y107:AE107)))</t>
        </is>
      </c>
      <c r="AR107" s="36" t="inlineStr">
        <is>
          <t>IF(OR(E107="",AG107=""),"",IF(COUNT(Y107:AF107)=0,"",AG107-LOOKUP(2,1/(Y107:AF107&lt;&gt;""),Y107:AF107)))</t>
        </is>
      </c>
      <c r="AS107" s="36" t="inlineStr">
        <is>
          <t>IF(OR(E107="",AH107=""),"",IF(COUNT(Y107:AG107)=0,"",AH107-LOOKUP(2,1/(Y107:AG107&lt;&gt;""),Y107:AG107)))</t>
        </is>
      </c>
      <c r="AT107" s="36" t="inlineStr">
        <is>
          <t>IF(OR(E107="",AI107=""),"",IF(COUNT(Y107:AH107)=0,"",AI107-LOOKUP(2,1/(Y107:AH107&lt;&gt;""),Y107:AH107)))</t>
        </is>
      </c>
      <c r="AU107" s="36" t="inlineStr">
        <is>
          <t>IF(OR(E107="",AJ107=""),"",IF(COUNT(Y107:AI107)=0,"",AJ107-LOOKUP(2,1/(Y107:AI107&lt;&gt;""),Y107:AI107)))</t>
        </is>
      </c>
      <c r="AV107" s="39" t="inlineStr">
        <is>
          <t>IF(G107="","All_Provinces",IFERROR(VLOOKUP(G107,'07_Lookups'!$A$4:$B$20,2,FALSE),"All_Provinces"))</t>
        </is>
      </c>
      <c r="AW107" s="39" t="inlineStr">
        <is>
          <t>IF(H107="","All_Districts",IFERROR(VLOOKUP(H107,'07_Lookups'!$E$4:$F$42,2,FALSE),"All_Districts"))</t>
        </is>
      </c>
    </row>
    <row r="108" ht="18" customHeight="1">
      <c r="A108" s="31" t="inlineStr">
        <is>
          <t>IF(E108="","",ROW()-3)</t>
        </is>
      </c>
      <c r="B108" s="32" t="n"/>
      <c r="C108" s="32" t="n"/>
      <c r="D108" s="32" t="n"/>
      <c r="E108" s="32" t="n"/>
      <c r="F108" s="32" t="n"/>
      <c r="G108" s="32" t="n"/>
      <c r="H108" s="32" t="n"/>
      <c r="I108" s="32" t="n"/>
      <c r="J108" s="32" t="n"/>
      <c r="K108" s="32" t="n"/>
      <c r="L108" s="32" t="n"/>
      <c r="M108" s="32" t="n"/>
      <c r="N108" s="33" t="n"/>
      <c r="O108" s="34" t="inlineStr">
        <is>
          <t>IF(AE108="","",AE108)</t>
        </is>
      </c>
      <c r="P108" s="35" t="n"/>
      <c r="Q108" s="34" t="inlineStr">
        <is>
          <t>IF(OR(O108="",P108=""),"",EDATE(O108,P108))</t>
        </is>
      </c>
      <c r="R108" s="35" t="n"/>
      <c r="S108" s="32" t="n"/>
      <c r="T108" s="32" t="n"/>
      <c r="U108" s="31" t="inlineStr">
        <is>
          <t>IF(E108="","",IF(COUNT(Y108:AJ108)=0,IF(S108="","Not started",S108),SUBSTITUTE(LOOKUP(2,1/(Y108:AJ108&lt;&gt;""),$Y$3:$AJ$3),"Date: ","")))</t>
        </is>
      </c>
      <c r="V108" s="36" t="inlineStr">
        <is>
          <t>IF(OR(E108="",COUNT(Y108:AJ108)=0),"",TODAY()-LOOKUP(2,1/(Y108:AJ108&lt;&gt;""),Y108:AJ108))</t>
        </is>
      </c>
      <c r="W108" s="36" t="inlineStr">
        <is>
          <t>IF(OR(E108="",COUNT(Y108:AJ108)&lt;2),"",LOOKUP(2,1/(Y108:AJ108&lt;&gt;""),Y108:AJ108)-MIN(Y108:AJ108))</t>
        </is>
      </c>
      <c r="X108" s="36" t="inlineStr">
        <is>
          <t>IF(OR(V108="",U108="Not started",U108=""),"",IFERROR(V108-IF(VLOOKUP(U108,'04_Status_Pipeline'!$B$3:$E$20,4,FALSE)="",0,VLOOKUP(U108,'04_Status_Pipeline'!$B$3:$E$20,4,FALSE)),""))</t>
        </is>
      </c>
      <c r="Y108" s="37" t="n"/>
      <c r="Z108" s="37" t="n"/>
      <c r="AA108" s="37" t="n"/>
      <c r="AB108" s="37" t="n"/>
      <c r="AC108" s="37" t="n"/>
      <c r="AD108" s="37" t="n"/>
      <c r="AE108" s="37" t="n"/>
      <c r="AF108" s="37" t="n"/>
      <c r="AG108" s="37" t="n"/>
      <c r="AH108" s="38" t="n"/>
      <c r="AI108" s="38" t="n"/>
      <c r="AJ108" s="38" t="n"/>
      <c r="AK108" s="36" t="inlineStr">
        <is>
          <t>IF(OR(E108="",Z108=""),"",IF(COUNT(Y108:Y108)=0,"",Z108-LOOKUP(2,1/(Y108:Y108&lt;&gt;""),Y108:Y108)))</t>
        </is>
      </c>
      <c r="AL108" s="36" t="inlineStr">
        <is>
          <t>IF(OR(E108="",AA108=""),"",IF(COUNT(Y108:Z108)=0,"",AA108-LOOKUP(2,1/(Y108:Z108&lt;&gt;""),Y108:Z108)))</t>
        </is>
      </c>
      <c r="AM108" s="36" t="inlineStr">
        <is>
          <t>IF(OR(E108="",AB108=""),"",IF(COUNT(Y108:AA108)=0,"",AB108-LOOKUP(2,1/(Y108:AA108&lt;&gt;""),Y108:AA108)))</t>
        </is>
      </c>
      <c r="AN108" s="36" t="inlineStr">
        <is>
          <t>IF(OR(E108="",AC108=""),"",IF(COUNT(Y108:AB108)=0,"",AC108-LOOKUP(2,1/(Y108:AB108&lt;&gt;""),Y108:AB108)))</t>
        </is>
      </c>
      <c r="AO108" s="36" t="inlineStr">
        <is>
          <t>IF(OR(E108="",AD108=""),"",IF(COUNT(Y108:AC108)=0,"",AD108-LOOKUP(2,1/(Y108:AC108&lt;&gt;""),Y108:AC108)))</t>
        </is>
      </c>
      <c r="AP108" s="36" t="inlineStr">
        <is>
          <t>IF(OR(E108="",AE108=""),"",IF(COUNT(Y108:AD108)=0,"",AE108-LOOKUP(2,1/(Y108:AD108&lt;&gt;""),Y108:AD108)))</t>
        </is>
      </c>
      <c r="AQ108" s="36" t="inlineStr">
        <is>
          <t>IF(OR(E108="",AF108=""),"",IF(COUNT(Y108:AE108)=0,"",AF108-LOOKUP(2,1/(Y108:AE108&lt;&gt;""),Y108:AE108)))</t>
        </is>
      </c>
      <c r="AR108" s="36" t="inlineStr">
        <is>
          <t>IF(OR(E108="",AG108=""),"",IF(COUNT(Y108:AF108)=0,"",AG108-LOOKUP(2,1/(Y108:AF108&lt;&gt;""),Y108:AF108)))</t>
        </is>
      </c>
      <c r="AS108" s="36" t="inlineStr">
        <is>
          <t>IF(OR(E108="",AH108=""),"",IF(COUNT(Y108:AG108)=0,"",AH108-LOOKUP(2,1/(Y108:AG108&lt;&gt;""),Y108:AG108)))</t>
        </is>
      </c>
      <c r="AT108" s="36" t="inlineStr">
        <is>
          <t>IF(OR(E108="",AI108=""),"",IF(COUNT(Y108:AH108)=0,"",AI108-LOOKUP(2,1/(Y108:AH108&lt;&gt;""),Y108:AH108)))</t>
        </is>
      </c>
      <c r="AU108" s="36" t="inlineStr">
        <is>
          <t>IF(OR(E108="",AJ108=""),"",IF(COUNT(Y108:AI108)=0,"",AJ108-LOOKUP(2,1/(Y108:AI108&lt;&gt;""),Y108:AI108)))</t>
        </is>
      </c>
      <c r="AV108" s="39" t="inlineStr">
        <is>
          <t>IF(G108="","All_Provinces",IFERROR(VLOOKUP(G108,'07_Lookups'!$A$4:$B$20,2,FALSE),"All_Provinces"))</t>
        </is>
      </c>
      <c r="AW108" s="39" t="inlineStr">
        <is>
          <t>IF(H108="","All_Districts",IFERROR(VLOOKUP(H108,'07_Lookups'!$E$4:$F$42,2,FALSE),"All_Districts"))</t>
        </is>
      </c>
    </row>
    <row r="109" ht="18" customHeight="1">
      <c r="A109" s="31" t="inlineStr">
        <is>
          <t>IF(E109="","",ROW()-3)</t>
        </is>
      </c>
      <c r="B109" s="40" t="n"/>
      <c r="C109" s="40" t="n"/>
      <c r="D109" s="40" t="n"/>
      <c r="E109" s="40" t="n"/>
      <c r="F109" s="40" t="n"/>
      <c r="G109" s="40" t="n"/>
      <c r="H109" s="40" t="n"/>
      <c r="I109" s="40" t="n"/>
      <c r="J109" s="40" t="n"/>
      <c r="K109" s="40" t="n"/>
      <c r="L109" s="40" t="n"/>
      <c r="M109" s="40" t="n"/>
      <c r="N109" s="41" t="n"/>
      <c r="O109" s="34" t="inlineStr">
        <is>
          <t>IF(AE109="","",AE109)</t>
        </is>
      </c>
      <c r="P109" s="42" t="n"/>
      <c r="Q109" s="34" t="inlineStr">
        <is>
          <t>IF(OR(O109="",P109=""),"",EDATE(O109,P109))</t>
        </is>
      </c>
      <c r="R109" s="42" t="n"/>
      <c r="S109" s="40" t="n"/>
      <c r="T109" s="40" t="n"/>
      <c r="U109" s="31" t="inlineStr">
        <is>
          <t>IF(E109="","",IF(COUNT(Y109:AJ109)=0,IF(S109="","Not started",S109),SUBSTITUTE(LOOKUP(2,1/(Y109:AJ109&lt;&gt;""),$Y$3:$AJ$3),"Date: ","")))</t>
        </is>
      </c>
      <c r="V109" s="36" t="inlineStr">
        <is>
          <t>IF(OR(E109="",COUNT(Y109:AJ109)=0),"",TODAY()-LOOKUP(2,1/(Y109:AJ109&lt;&gt;""),Y109:AJ109))</t>
        </is>
      </c>
      <c r="W109" s="36" t="inlineStr">
        <is>
          <t>IF(OR(E109="",COUNT(Y109:AJ109)&lt;2),"",LOOKUP(2,1/(Y109:AJ109&lt;&gt;""),Y109:AJ109)-MIN(Y109:AJ109))</t>
        </is>
      </c>
      <c r="X109" s="36" t="inlineStr">
        <is>
          <t>IF(OR(V109="",U109="Not started",U109=""),"",IFERROR(V109-IF(VLOOKUP(U109,'04_Status_Pipeline'!$B$3:$E$20,4,FALSE)="",0,VLOOKUP(U109,'04_Status_Pipeline'!$B$3:$E$20,4,FALSE)),""))</t>
        </is>
      </c>
      <c r="Y109" s="43" t="n"/>
      <c r="Z109" s="43" t="n"/>
      <c r="AA109" s="43" t="n"/>
      <c r="AB109" s="43" t="n"/>
      <c r="AC109" s="43" t="n"/>
      <c r="AD109" s="43" t="n"/>
      <c r="AE109" s="43" t="n"/>
      <c r="AF109" s="43" t="n"/>
      <c r="AG109" s="43" t="n"/>
      <c r="AH109" s="38" t="n"/>
      <c r="AI109" s="38" t="n"/>
      <c r="AJ109" s="38" t="n"/>
      <c r="AK109" s="36" t="inlineStr">
        <is>
          <t>IF(OR(E109="",Z109=""),"",IF(COUNT(Y109:Y109)=0,"",Z109-LOOKUP(2,1/(Y109:Y109&lt;&gt;""),Y109:Y109)))</t>
        </is>
      </c>
      <c r="AL109" s="36" t="inlineStr">
        <is>
          <t>IF(OR(E109="",AA109=""),"",IF(COUNT(Y109:Z109)=0,"",AA109-LOOKUP(2,1/(Y109:Z109&lt;&gt;""),Y109:Z109)))</t>
        </is>
      </c>
      <c r="AM109" s="36" t="inlineStr">
        <is>
          <t>IF(OR(E109="",AB109=""),"",IF(COUNT(Y109:AA109)=0,"",AB109-LOOKUP(2,1/(Y109:AA109&lt;&gt;""),Y109:AA109)))</t>
        </is>
      </c>
      <c r="AN109" s="36" t="inlineStr">
        <is>
          <t>IF(OR(E109="",AC109=""),"",IF(COUNT(Y109:AB109)=0,"",AC109-LOOKUP(2,1/(Y109:AB109&lt;&gt;""),Y109:AB109)))</t>
        </is>
      </c>
      <c r="AO109" s="36" t="inlineStr">
        <is>
          <t>IF(OR(E109="",AD109=""),"",IF(COUNT(Y109:AC109)=0,"",AD109-LOOKUP(2,1/(Y109:AC109&lt;&gt;""),Y109:AC109)))</t>
        </is>
      </c>
      <c r="AP109" s="36" t="inlineStr">
        <is>
          <t>IF(OR(E109="",AE109=""),"",IF(COUNT(Y109:AD109)=0,"",AE109-LOOKUP(2,1/(Y109:AD109&lt;&gt;""),Y109:AD109)))</t>
        </is>
      </c>
      <c r="AQ109" s="36" t="inlineStr">
        <is>
          <t>IF(OR(E109="",AF109=""),"",IF(COUNT(Y109:AE109)=0,"",AF109-LOOKUP(2,1/(Y109:AE109&lt;&gt;""),Y109:AE109)))</t>
        </is>
      </c>
      <c r="AR109" s="36" t="inlineStr">
        <is>
          <t>IF(OR(E109="",AG109=""),"",IF(COUNT(Y109:AF109)=0,"",AG109-LOOKUP(2,1/(Y109:AF109&lt;&gt;""),Y109:AF109)))</t>
        </is>
      </c>
      <c r="AS109" s="36" t="inlineStr">
        <is>
          <t>IF(OR(E109="",AH109=""),"",IF(COUNT(Y109:AG109)=0,"",AH109-LOOKUP(2,1/(Y109:AG109&lt;&gt;""),Y109:AG109)))</t>
        </is>
      </c>
      <c r="AT109" s="36" t="inlineStr">
        <is>
          <t>IF(OR(E109="",AI109=""),"",IF(COUNT(Y109:AH109)=0,"",AI109-LOOKUP(2,1/(Y109:AH109&lt;&gt;""),Y109:AH109)))</t>
        </is>
      </c>
      <c r="AU109" s="36" t="inlineStr">
        <is>
          <t>IF(OR(E109="",AJ109=""),"",IF(COUNT(Y109:AI109)=0,"",AJ109-LOOKUP(2,1/(Y109:AI109&lt;&gt;""),Y109:AI109)))</t>
        </is>
      </c>
      <c r="AV109" s="39" t="inlineStr">
        <is>
          <t>IF(G109="","All_Provinces",IFERROR(VLOOKUP(G109,'07_Lookups'!$A$4:$B$20,2,FALSE),"All_Provinces"))</t>
        </is>
      </c>
      <c r="AW109" s="39" t="inlineStr">
        <is>
          <t>IF(H109="","All_Districts",IFERROR(VLOOKUP(H109,'07_Lookups'!$E$4:$F$42,2,FALSE),"All_Districts"))</t>
        </is>
      </c>
    </row>
    <row r="110" ht="18" customHeight="1">
      <c r="A110" s="31" t="inlineStr">
        <is>
          <t>IF(E110="","",ROW()-3)</t>
        </is>
      </c>
      <c r="B110" s="32" t="n"/>
      <c r="C110" s="32" t="n"/>
      <c r="D110" s="32" t="n"/>
      <c r="E110" s="32" t="n"/>
      <c r="F110" s="32" t="n"/>
      <c r="G110" s="32" t="n"/>
      <c r="H110" s="32" t="n"/>
      <c r="I110" s="32" t="n"/>
      <c r="J110" s="32" t="n"/>
      <c r="K110" s="32" t="n"/>
      <c r="L110" s="32" t="n"/>
      <c r="M110" s="32" t="n"/>
      <c r="N110" s="33" t="n"/>
      <c r="O110" s="34" t="inlineStr">
        <is>
          <t>IF(AE110="","",AE110)</t>
        </is>
      </c>
      <c r="P110" s="35" t="n"/>
      <c r="Q110" s="34" t="inlineStr">
        <is>
          <t>IF(OR(O110="",P110=""),"",EDATE(O110,P110))</t>
        </is>
      </c>
      <c r="R110" s="35" t="n"/>
      <c r="S110" s="32" t="n"/>
      <c r="T110" s="32" t="n"/>
      <c r="U110" s="31" t="inlineStr">
        <is>
          <t>IF(E110="","",IF(COUNT(Y110:AJ110)=0,IF(S110="","Not started",S110),SUBSTITUTE(LOOKUP(2,1/(Y110:AJ110&lt;&gt;""),$Y$3:$AJ$3),"Date: ","")))</t>
        </is>
      </c>
      <c r="V110" s="36" t="inlineStr">
        <is>
          <t>IF(OR(E110="",COUNT(Y110:AJ110)=0),"",TODAY()-LOOKUP(2,1/(Y110:AJ110&lt;&gt;""),Y110:AJ110))</t>
        </is>
      </c>
      <c r="W110" s="36" t="inlineStr">
        <is>
          <t>IF(OR(E110="",COUNT(Y110:AJ110)&lt;2),"",LOOKUP(2,1/(Y110:AJ110&lt;&gt;""),Y110:AJ110)-MIN(Y110:AJ110))</t>
        </is>
      </c>
      <c r="X110" s="36" t="inlineStr">
        <is>
          <t>IF(OR(V110="",U110="Not started",U110=""),"",IFERROR(V110-IF(VLOOKUP(U110,'04_Status_Pipeline'!$B$3:$E$20,4,FALSE)="",0,VLOOKUP(U110,'04_Status_Pipeline'!$B$3:$E$20,4,FALSE)),""))</t>
        </is>
      </c>
      <c r="Y110" s="37" t="n"/>
      <c r="Z110" s="37" t="n"/>
      <c r="AA110" s="37" t="n"/>
      <c r="AB110" s="37" t="n"/>
      <c r="AC110" s="37" t="n"/>
      <c r="AD110" s="37" t="n"/>
      <c r="AE110" s="37" t="n"/>
      <c r="AF110" s="37" t="n"/>
      <c r="AG110" s="37" t="n"/>
      <c r="AH110" s="38" t="n"/>
      <c r="AI110" s="38" t="n"/>
      <c r="AJ110" s="38" t="n"/>
      <c r="AK110" s="36" t="inlineStr">
        <is>
          <t>IF(OR(E110="",Z110=""),"",IF(COUNT(Y110:Y110)=0,"",Z110-LOOKUP(2,1/(Y110:Y110&lt;&gt;""),Y110:Y110)))</t>
        </is>
      </c>
      <c r="AL110" s="36" t="inlineStr">
        <is>
          <t>IF(OR(E110="",AA110=""),"",IF(COUNT(Y110:Z110)=0,"",AA110-LOOKUP(2,1/(Y110:Z110&lt;&gt;""),Y110:Z110)))</t>
        </is>
      </c>
      <c r="AM110" s="36" t="inlineStr">
        <is>
          <t>IF(OR(E110="",AB110=""),"",IF(COUNT(Y110:AA110)=0,"",AB110-LOOKUP(2,1/(Y110:AA110&lt;&gt;""),Y110:AA110)))</t>
        </is>
      </c>
      <c r="AN110" s="36" t="inlineStr">
        <is>
          <t>IF(OR(E110="",AC110=""),"",IF(COUNT(Y110:AB110)=0,"",AC110-LOOKUP(2,1/(Y110:AB110&lt;&gt;""),Y110:AB110)))</t>
        </is>
      </c>
      <c r="AO110" s="36" t="inlineStr">
        <is>
          <t>IF(OR(E110="",AD110=""),"",IF(COUNT(Y110:AC110)=0,"",AD110-LOOKUP(2,1/(Y110:AC110&lt;&gt;""),Y110:AC110)))</t>
        </is>
      </c>
      <c r="AP110" s="36" t="inlineStr">
        <is>
          <t>IF(OR(E110="",AE110=""),"",IF(COUNT(Y110:AD110)=0,"",AE110-LOOKUP(2,1/(Y110:AD110&lt;&gt;""),Y110:AD110)))</t>
        </is>
      </c>
      <c r="AQ110" s="36" t="inlineStr">
        <is>
          <t>IF(OR(E110="",AF110=""),"",IF(COUNT(Y110:AE110)=0,"",AF110-LOOKUP(2,1/(Y110:AE110&lt;&gt;""),Y110:AE110)))</t>
        </is>
      </c>
      <c r="AR110" s="36" t="inlineStr">
        <is>
          <t>IF(OR(E110="",AG110=""),"",IF(COUNT(Y110:AF110)=0,"",AG110-LOOKUP(2,1/(Y110:AF110&lt;&gt;""),Y110:AF110)))</t>
        </is>
      </c>
      <c r="AS110" s="36" t="inlineStr">
        <is>
          <t>IF(OR(E110="",AH110=""),"",IF(COUNT(Y110:AG110)=0,"",AH110-LOOKUP(2,1/(Y110:AG110&lt;&gt;""),Y110:AG110)))</t>
        </is>
      </c>
      <c r="AT110" s="36" t="inlineStr">
        <is>
          <t>IF(OR(E110="",AI110=""),"",IF(COUNT(Y110:AH110)=0,"",AI110-LOOKUP(2,1/(Y110:AH110&lt;&gt;""),Y110:AH110)))</t>
        </is>
      </c>
      <c r="AU110" s="36" t="inlineStr">
        <is>
          <t>IF(OR(E110="",AJ110=""),"",IF(COUNT(Y110:AI110)=0,"",AJ110-LOOKUP(2,1/(Y110:AI110&lt;&gt;""),Y110:AI110)))</t>
        </is>
      </c>
      <c r="AV110" s="39" t="inlineStr">
        <is>
          <t>IF(G110="","All_Provinces",IFERROR(VLOOKUP(G110,'07_Lookups'!$A$4:$B$20,2,FALSE),"All_Provinces"))</t>
        </is>
      </c>
      <c r="AW110" s="39" t="inlineStr">
        <is>
          <t>IF(H110="","All_Districts",IFERROR(VLOOKUP(H110,'07_Lookups'!$E$4:$F$42,2,FALSE),"All_Districts"))</t>
        </is>
      </c>
    </row>
    <row r="111" ht="18" customHeight="1">
      <c r="A111" s="31" t="inlineStr">
        <is>
          <t>IF(E111="","",ROW()-3)</t>
        </is>
      </c>
      <c r="B111" s="40" t="n"/>
      <c r="C111" s="40" t="n"/>
      <c r="D111" s="40" t="n"/>
      <c r="E111" s="40" t="n"/>
      <c r="F111" s="40" t="n"/>
      <c r="G111" s="40" t="n"/>
      <c r="H111" s="40" t="n"/>
      <c r="I111" s="40" t="n"/>
      <c r="J111" s="40" t="n"/>
      <c r="K111" s="40" t="n"/>
      <c r="L111" s="40" t="n"/>
      <c r="M111" s="40" t="n"/>
      <c r="N111" s="41" t="n"/>
      <c r="O111" s="34" t="inlineStr">
        <is>
          <t>IF(AE111="","",AE111)</t>
        </is>
      </c>
      <c r="P111" s="42" t="n"/>
      <c r="Q111" s="34" t="inlineStr">
        <is>
          <t>IF(OR(O111="",P111=""),"",EDATE(O111,P111))</t>
        </is>
      </c>
      <c r="R111" s="42" t="n"/>
      <c r="S111" s="40" t="n"/>
      <c r="T111" s="40" t="n"/>
      <c r="U111" s="31" t="inlineStr">
        <is>
          <t>IF(E111="","",IF(COUNT(Y111:AJ111)=0,IF(S111="","Not started",S111),SUBSTITUTE(LOOKUP(2,1/(Y111:AJ111&lt;&gt;""),$Y$3:$AJ$3),"Date: ","")))</t>
        </is>
      </c>
      <c r="V111" s="36" t="inlineStr">
        <is>
          <t>IF(OR(E111="",COUNT(Y111:AJ111)=0),"",TODAY()-LOOKUP(2,1/(Y111:AJ111&lt;&gt;""),Y111:AJ111))</t>
        </is>
      </c>
      <c r="W111" s="36" t="inlineStr">
        <is>
          <t>IF(OR(E111="",COUNT(Y111:AJ111)&lt;2),"",LOOKUP(2,1/(Y111:AJ111&lt;&gt;""),Y111:AJ111)-MIN(Y111:AJ111))</t>
        </is>
      </c>
      <c r="X111" s="36" t="inlineStr">
        <is>
          <t>IF(OR(V111="",U111="Not started",U111=""),"",IFERROR(V111-IF(VLOOKUP(U111,'04_Status_Pipeline'!$B$3:$E$20,4,FALSE)="",0,VLOOKUP(U111,'04_Status_Pipeline'!$B$3:$E$20,4,FALSE)),""))</t>
        </is>
      </c>
      <c r="Y111" s="43" t="n"/>
      <c r="Z111" s="43" t="n"/>
      <c r="AA111" s="43" t="n"/>
      <c r="AB111" s="43" t="n"/>
      <c r="AC111" s="43" t="n"/>
      <c r="AD111" s="43" t="n"/>
      <c r="AE111" s="43" t="n"/>
      <c r="AF111" s="43" t="n"/>
      <c r="AG111" s="43" t="n"/>
      <c r="AH111" s="38" t="n"/>
      <c r="AI111" s="38" t="n"/>
      <c r="AJ111" s="38" t="n"/>
      <c r="AK111" s="36" t="inlineStr">
        <is>
          <t>IF(OR(E111="",Z111=""),"",IF(COUNT(Y111:Y111)=0,"",Z111-LOOKUP(2,1/(Y111:Y111&lt;&gt;""),Y111:Y111)))</t>
        </is>
      </c>
      <c r="AL111" s="36" t="inlineStr">
        <is>
          <t>IF(OR(E111="",AA111=""),"",IF(COUNT(Y111:Z111)=0,"",AA111-LOOKUP(2,1/(Y111:Z111&lt;&gt;""),Y111:Z111)))</t>
        </is>
      </c>
      <c r="AM111" s="36" t="inlineStr">
        <is>
          <t>IF(OR(E111="",AB111=""),"",IF(COUNT(Y111:AA111)=0,"",AB111-LOOKUP(2,1/(Y111:AA111&lt;&gt;""),Y111:AA111)))</t>
        </is>
      </c>
      <c r="AN111" s="36" t="inlineStr">
        <is>
          <t>IF(OR(E111="",AC111=""),"",IF(COUNT(Y111:AB111)=0,"",AC111-LOOKUP(2,1/(Y111:AB111&lt;&gt;""),Y111:AB111)))</t>
        </is>
      </c>
      <c r="AO111" s="36" t="inlineStr">
        <is>
          <t>IF(OR(E111="",AD111=""),"",IF(COUNT(Y111:AC111)=0,"",AD111-LOOKUP(2,1/(Y111:AC111&lt;&gt;""),Y111:AC111)))</t>
        </is>
      </c>
      <c r="AP111" s="36" t="inlineStr">
        <is>
          <t>IF(OR(E111="",AE111=""),"",IF(COUNT(Y111:AD111)=0,"",AE111-LOOKUP(2,1/(Y111:AD111&lt;&gt;""),Y111:AD111)))</t>
        </is>
      </c>
      <c r="AQ111" s="36" t="inlineStr">
        <is>
          <t>IF(OR(E111="",AF111=""),"",IF(COUNT(Y111:AE111)=0,"",AF111-LOOKUP(2,1/(Y111:AE111&lt;&gt;""),Y111:AE111)))</t>
        </is>
      </c>
      <c r="AR111" s="36" t="inlineStr">
        <is>
          <t>IF(OR(E111="",AG111=""),"",IF(COUNT(Y111:AF111)=0,"",AG111-LOOKUP(2,1/(Y111:AF111&lt;&gt;""),Y111:AF111)))</t>
        </is>
      </c>
      <c r="AS111" s="36" t="inlineStr">
        <is>
          <t>IF(OR(E111="",AH111=""),"",IF(COUNT(Y111:AG111)=0,"",AH111-LOOKUP(2,1/(Y111:AG111&lt;&gt;""),Y111:AG111)))</t>
        </is>
      </c>
      <c r="AT111" s="36" t="inlineStr">
        <is>
          <t>IF(OR(E111="",AI111=""),"",IF(COUNT(Y111:AH111)=0,"",AI111-LOOKUP(2,1/(Y111:AH111&lt;&gt;""),Y111:AH111)))</t>
        </is>
      </c>
      <c r="AU111" s="36" t="inlineStr">
        <is>
          <t>IF(OR(E111="",AJ111=""),"",IF(COUNT(Y111:AI111)=0,"",AJ111-LOOKUP(2,1/(Y111:AI111&lt;&gt;""),Y111:AI111)))</t>
        </is>
      </c>
      <c r="AV111" s="39" t="inlineStr">
        <is>
          <t>IF(G111="","All_Provinces",IFERROR(VLOOKUP(G111,'07_Lookups'!$A$4:$B$20,2,FALSE),"All_Provinces"))</t>
        </is>
      </c>
      <c r="AW111" s="39" t="inlineStr">
        <is>
          <t>IF(H111="","All_Districts",IFERROR(VLOOKUP(H111,'07_Lookups'!$E$4:$F$42,2,FALSE),"All_Districts"))</t>
        </is>
      </c>
    </row>
    <row r="112" ht="18" customHeight="1">
      <c r="A112" s="31" t="inlineStr">
        <is>
          <t>IF(E112="","",ROW()-3)</t>
        </is>
      </c>
      <c r="B112" s="32" t="n"/>
      <c r="C112" s="32" t="n"/>
      <c r="D112" s="32" t="n"/>
      <c r="E112" s="32" t="n"/>
      <c r="F112" s="32" t="n"/>
      <c r="G112" s="32" t="n"/>
      <c r="H112" s="32" t="n"/>
      <c r="I112" s="32" t="n"/>
      <c r="J112" s="32" t="n"/>
      <c r="K112" s="32" t="n"/>
      <c r="L112" s="32" t="n"/>
      <c r="M112" s="32" t="n"/>
      <c r="N112" s="33" t="n"/>
      <c r="O112" s="34" t="inlineStr">
        <is>
          <t>IF(AE112="","",AE112)</t>
        </is>
      </c>
      <c r="P112" s="35" t="n"/>
      <c r="Q112" s="34" t="inlineStr">
        <is>
          <t>IF(OR(O112="",P112=""),"",EDATE(O112,P112))</t>
        </is>
      </c>
      <c r="R112" s="35" t="n"/>
      <c r="S112" s="32" t="n"/>
      <c r="T112" s="32" t="n"/>
      <c r="U112" s="31" t="inlineStr">
        <is>
          <t>IF(E112="","",IF(COUNT(Y112:AJ112)=0,IF(S112="","Not started",S112),SUBSTITUTE(LOOKUP(2,1/(Y112:AJ112&lt;&gt;""),$Y$3:$AJ$3),"Date: ","")))</t>
        </is>
      </c>
      <c r="V112" s="36" t="inlineStr">
        <is>
          <t>IF(OR(E112="",COUNT(Y112:AJ112)=0),"",TODAY()-LOOKUP(2,1/(Y112:AJ112&lt;&gt;""),Y112:AJ112))</t>
        </is>
      </c>
      <c r="W112" s="36" t="inlineStr">
        <is>
          <t>IF(OR(E112="",COUNT(Y112:AJ112)&lt;2),"",LOOKUP(2,1/(Y112:AJ112&lt;&gt;""),Y112:AJ112)-MIN(Y112:AJ112))</t>
        </is>
      </c>
      <c r="X112" s="36" t="inlineStr">
        <is>
          <t>IF(OR(V112="",U112="Not started",U112=""),"",IFERROR(V112-IF(VLOOKUP(U112,'04_Status_Pipeline'!$B$3:$E$20,4,FALSE)="",0,VLOOKUP(U112,'04_Status_Pipeline'!$B$3:$E$20,4,FALSE)),""))</t>
        </is>
      </c>
      <c r="Y112" s="37" t="n"/>
      <c r="Z112" s="37" t="n"/>
      <c r="AA112" s="37" t="n"/>
      <c r="AB112" s="37" t="n"/>
      <c r="AC112" s="37" t="n"/>
      <c r="AD112" s="37" t="n"/>
      <c r="AE112" s="37" t="n"/>
      <c r="AF112" s="37" t="n"/>
      <c r="AG112" s="37" t="n"/>
      <c r="AH112" s="38" t="n"/>
      <c r="AI112" s="38" t="n"/>
      <c r="AJ112" s="38" t="n"/>
      <c r="AK112" s="36" t="inlineStr">
        <is>
          <t>IF(OR(E112="",Z112=""),"",IF(COUNT(Y112:Y112)=0,"",Z112-LOOKUP(2,1/(Y112:Y112&lt;&gt;""),Y112:Y112)))</t>
        </is>
      </c>
      <c r="AL112" s="36" t="inlineStr">
        <is>
          <t>IF(OR(E112="",AA112=""),"",IF(COUNT(Y112:Z112)=0,"",AA112-LOOKUP(2,1/(Y112:Z112&lt;&gt;""),Y112:Z112)))</t>
        </is>
      </c>
      <c r="AM112" s="36" t="inlineStr">
        <is>
          <t>IF(OR(E112="",AB112=""),"",IF(COUNT(Y112:AA112)=0,"",AB112-LOOKUP(2,1/(Y112:AA112&lt;&gt;""),Y112:AA112)))</t>
        </is>
      </c>
      <c r="AN112" s="36" t="inlineStr">
        <is>
          <t>IF(OR(E112="",AC112=""),"",IF(COUNT(Y112:AB112)=0,"",AC112-LOOKUP(2,1/(Y112:AB112&lt;&gt;""),Y112:AB112)))</t>
        </is>
      </c>
      <c r="AO112" s="36" t="inlineStr">
        <is>
          <t>IF(OR(E112="",AD112=""),"",IF(COUNT(Y112:AC112)=0,"",AD112-LOOKUP(2,1/(Y112:AC112&lt;&gt;""),Y112:AC112)))</t>
        </is>
      </c>
      <c r="AP112" s="36" t="inlineStr">
        <is>
          <t>IF(OR(E112="",AE112=""),"",IF(COUNT(Y112:AD112)=0,"",AE112-LOOKUP(2,1/(Y112:AD112&lt;&gt;""),Y112:AD112)))</t>
        </is>
      </c>
      <c r="AQ112" s="36" t="inlineStr">
        <is>
          <t>IF(OR(E112="",AF112=""),"",IF(COUNT(Y112:AE112)=0,"",AF112-LOOKUP(2,1/(Y112:AE112&lt;&gt;""),Y112:AE112)))</t>
        </is>
      </c>
      <c r="AR112" s="36" t="inlineStr">
        <is>
          <t>IF(OR(E112="",AG112=""),"",IF(COUNT(Y112:AF112)=0,"",AG112-LOOKUP(2,1/(Y112:AF112&lt;&gt;""),Y112:AF112)))</t>
        </is>
      </c>
      <c r="AS112" s="36" t="inlineStr">
        <is>
          <t>IF(OR(E112="",AH112=""),"",IF(COUNT(Y112:AG112)=0,"",AH112-LOOKUP(2,1/(Y112:AG112&lt;&gt;""),Y112:AG112)))</t>
        </is>
      </c>
      <c r="AT112" s="36" t="inlineStr">
        <is>
          <t>IF(OR(E112="",AI112=""),"",IF(COUNT(Y112:AH112)=0,"",AI112-LOOKUP(2,1/(Y112:AH112&lt;&gt;""),Y112:AH112)))</t>
        </is>
      </c>
      <c r="AU112" s="36" t="inlineStr">
        <is>
          <t>IF(OR(E112="",AJ112=""),"",IF(COUNT(Y112:AI112)=0,"",AJ112-LOOKUP(2,1/(Y112:AI112&lt;&gt;""),Y112:AI112)))</t>
        </is>
      </c>
      <c r="AV112" s="39" t="inlineStr">
        <is>
          <t>IF(G112="","All_Provinces",IFERROR(VLOOKUP(G112,'07_Lookups'!$A$4:$B$20,2,FALSE),"All_Provinces"))</t>
        </is>
      </c>
      <c r="AW112" s="39" t="inlineStr">
        <is>
          <t>IF(H112="","All_Districts",IFERROR(VLOOKUP(H112,'07_Lookups'!$E$4:$F$42,2,FALSE),"All_Districts"))</t>
        </is>
      </c>
    </row>
    <row r="113" ht="18" customHeight="1">
      <c r="A113" s="31" t="inlineStr">
        <is>
          <t>IF(E113="","",ROW()-3)</t>
        </is>
      </c>
      <c r="B113" s="40" t="n"/>
      <c r="C113" s="40" t="n"/>
      <c r="D113" s="40" t="n"/>
      <c r="E113" s="40" t="n"/>
      <c r="F113" s="40" t="n"/>
      <c r="G113" s="40" t="n"/>
      <c r="H113" s="40" t="n"/>
      <c r="I113" s="40" t="n"/>
      <c r="J113" s="40" t="n"/>
      <c r="K113" s="40" t="n"/>
      <c r="L113" s="40" t="n"/>
      <c r="M113" s="40" t="n"/>
      <c r="N113" s="41" t="n"/>
      <c r="O113" s="34" t="inlineStr">
        <is>
          <t>IF(AE113="","",AE113)</t>
        </is>
      </c>
      <c r="P113" s="42" t="n"/>
      <c r="Q113" s="34" t="inlineStr">
        <is>
          <t>IF(OR(O113="",P113=""),"",EDATE(O113,P113))</t>
        </is>
      </c>
      <c r="R113" s="42" t="n"/>
      <c r="S113" s="40" t="n"/>
      <c r="T113" s="40" t="n"/>
      <c r="U113" s="31" t="inlineStr">
        <is>
          <t>IF(E113="","",IF(COUNT(Y113:AJ113)=0,IF(S113="","Not started",S113),SUBSTITUTE(LOOKUP(2,1/(Y113:AJ113&lt;&gt;""),$Y$3:$AJ$3),"Date: ","")))</t>
        </is>
      </c>
      <c r="V113" s="36" t="inlineStr">
        <is>
          <t>IF(OR(E113="",COUNT(Y113:AJ113)=0),"",TODAY()-LOOKUP(2,1/(Y113:AJ113&lt;&gt;""),Y113:AJ113))</t>
        </is>
      </c>
      <c r="W113" s="36" t="inlineStr">
        <is>
          <t>IF(OR(E113="",COUNT(Y113:AJ113)&lt;2),"",LOOKUP(2,1/(Y113:AJ113&lt;&gt;""),Y113:AJ113)-MIN(Y113:AJ113))</t>
        </is>
      </c>
      <c r="X113" s="36" t="inlineStr">
        <is>
          <t>IF(OR(V113="",U113="Not started",U113=""),"",IFERROR(V113-IF(VLOOKUP(U113,'04_Status_Pipeline'!$B$3:$E$20,4,FALSE)="",0,VLOOKUP(U113,'04_Status_Pipeline'!$B$3:$E$20,4,FALSE)),""))</t>
        </is>
      </c>
      <c r="Y113" s="43" t="n"/>
      <c r="Z113" s="43" t="n"/>
      <c r="AA113" s="43" t="n"/>
      <c r="AB113" s="43" t="n"/>
      <c r="AC113" s="43" t="n"/>
      <c r="AD113" s="43" t="n"/>
      <c r="AE113" s="43" t="n"/>
      <c r="AF113" s="43" t="n"/>
      <c r="AG113" s="43" t="n"/>
      <c r="AH113" s="38" t="n"/>
      <c r="AI113" s="38" t="n"/>
      <c r="AJ113" s="38" t="n"/>
      <c r="AK113" s="36" t="inlineStr">
        <is>
          <t>IF(OR(E113="",Z113=""),"",IF(COUNT(Y113:Y113)=0,"",Z113-LOOKUP(2,1/(Y113:Y113&lt;&gt;""),Y113:Y113)))</t>
        </is>
      </c>
      <c r="AL113" s="36" t="inlineStr">
        <is>
          <t>IF(OR(E113="",AA113=""),"",IF(COUNT(Y113:Z113)=0,"",AA113-LOOKUP(2,1/(Y113:Z113&lt;&gt;""),Y113:Z113)))</t>
        </is>
      </c>
      <c r="AM113" s="36" t="inlineStr">
        <is>
          <t>IF(OR(E113="",AB113=""),"",IF(COUNT(Y113:AA113)=0,"",AB113-LOOKUP(2,1/(Y113:AA113&lt;&gt;""),Y113:AA113)))</t>
        </is>
      </c>
      <c r="AN113" s="36" t="inlineStr">
        <is>
          <t>IF(OR(E113="",AC113=""),"",IF(COUNT(Y113:AB113)=0,"",AC113-LOOKUP(2,1/(Y113:AB113&lt;&gt;""),Y113:AB113)))</t>
        </is>
      </c>
      <c r="AO113" s="36" t="inlineStr">
        <is>
          <t>IF(OR(E113="",AD113=""),"",IF(COUNT(Y113:AC113)=0,"",AD113-LOOKUP(2,1/(Y113:AC113&lt;&gt;""),Y113:AC113)))</t>
        </is>
      </c>
      <c r="AP113" s="36" t="inlineStr">
        <is>
          <t>IF(OR(E113="",AE113=""),"",IF(COUNT(Y113:AD113)=0,"",AE113-LOOKUP(2,1/(Y113:AD113&lt;&gt;""),Y113:AD113)))</t>
        </is>
      </c>
      <c r="AQ113" s="36" t="inlineStr">
        <is>
          <t>IF(OR(E113="",AF113=""),"",IF(COUNT(Y113:AE113)=0,"",AF113-LOOKUP(2,1/(Y113:AE113&lt;&gt;""),Y113:AE113)))</t>
        </is>
      </c>
      <c r="AR113" s="36" t="inlineStr">
        <is>
          <t>IF(OR(E113="",AG113=""),"",IF(COUNT(Y113:AF113)=0,"",AG113-LOOKUP(2,1/(Y113:AF113&lt;&gt;""),Y113:AF113)))</t>
        </is>
      </c>
      <c r="AS113" s="36" t="inlineStr">
        <is>
          <t>IF(OR(E113="",AH113=""),"",IF(COUNT(Y113:AG113)=0,"",AH113-LOOKUP(2,1/(Y113:AG113&lt;&gt;""),Y113:AG113)))</t>
        </is>
      </c>
      <c r="AT113" s="36" t="inlineStr">
        <is>
          <t>IF(OR(E113="",AI113=""),"",IF(COUNT(Y113:AH113)=0,"",AI113-LOOKUP(2,1/(Y113:AH113&lt;&gt;""),Y113:AH113)))</t>
        </is>
      </c>
      <c r="AU113" s="36" t="inlineStr">
        <is>
          <t>IF(OR(E113="",AJ113=""),"",IF(COUNT(Y113:AI113)=0,"",AJ113-LOOKUP(2,1/(Y113:AI113&lt;&gt;""),Y113:AI113)))</t>
        </is>
      </c>
      <c r="AV113" s="39" t="inlineStr">
        <is>
          <t>IF(G113="","All_Provinces",IFERROR(VLOOKUP(G113,'07_Lookups'!$A$4:$B$20,2,FALSE),"All_Provinces"))</t>
        </is>
      </c>
      <c r="AW113" s="39" t="inlineStr">
        <is>
          <t>IF(H113="","All_Districts",IFERROR(VLOOKUP(H113,'07_Lookups'!$E$4:$F$42,2,FALSE),"All_Districts"))</t>
        </is>
      </c>
    </row>
    <row r="114" ht="18" customHeight="1">
      <c r="A114" s="31" t="inlineStr">
        <is>
          <t>IF(E114="","",ROW()-3)</t>
        </is>
      </c>
      <c r="B114" s="32" t="n"/>
      <c r="C114" s="32" t="n"/>
      <c r="D114" s="32" t="n"/>
      <c r="E114" s="32" t="n"/>
      <c r="F114" s="32" t="n"/>
      <c r="G114" s="32" t="n"/>
      <c r="H114" s="32" t="n"/>
      <c r="I114" s="32" t="n"/>
      <c r="J114" s="32" t="n"/>
      <c r="K114" s="32" t="n"/>
      <c r="L114" s="32" t="n"/>
      <c r="M114" s="32" t="n"/>
      <c r="N114" s="33" t="n"/>
      <c r="O114" s="34" t="inlineStr">
        <is>
          <t>IF(AE114="","",AE114)</t>
        </is>
      </c>
      <c r="P114" s="35" t="n"/>
      <c r="Q114" s="34" t="inlineStr">
        <is>
          <t>IF(OR(O114="",P114=""),"",EDATE(O114,P114))</t>
        </is>
      </c>
      <c r="R114" s="35" t="n"/>
      <c r="S114" s="32" t="n"/>
      <c r="T114" s="32" t="n"/>
      <c r="U114" s="31" t="inlineStr">
        <is>
          <t>IF(E114="","",IF(COUNT(Y114:AJ114)=0,IF(S114="","Not started",S114),SUBSTITUTE(LOOKUP(2,1/(Y114:AJ114&lt;&gt;""),$Y$3:$AJ$3),"Date: ","")))</t>
        </is>
      </c>
      <c r="V114" s="36" t="inlineStr">
        <is>
          <t>IF(OR(E114="",COUNT(Y114:AJ114)=0),"",TODAY()-LOOKUP(2,1/(Y114:AJ114&lt;&gt;""),Y114:AJ114))</t>
        </is>
      </c>
      <c r="W114" s="36" t="inlineStr">
        <is>
          <t>IF(OR(E114="",COUNT(Y114:AJ114)&lt;2),"",LOOKUP(2,1/(Y114:AJ114&lt;&gt;""),Y114:AJ114)-MIN(Y114:AJ114))</t>
        </is>
      </c>
      <c r="X114" s="36" t="inlineStr">
        <is>
          <t>IF(OR(V114="",U114="Not started",U114=""),"",IFERROR(V114-IF(VLOOKUP(U114,'04_Status_Pipeline'!$B$3:$E$20,4,FALSE)="",0,VLOOKUP(U114,'04_Status_Pipeline'!$B$3:$E$20,4,FALSE)),""))</t>
        </is>
      </c>
      <c r="Y114" s="37" t="n"/>
      <c r="Z114" s="37" t="n"/>
      <c r="AA114" s="37" t="n"/>
      <c r="AB114" s="37" t="n"/>
      <c r="AC114" s="37" t="n"/>
      <c r="AD114" s="37" t="n"/>
      <c r="AE114" s="37" t="n"/>
      <c r="AF114" s="37" t="n"/>
      <c r="AG114" s="37" t="n"/>
      <c r="AH114" s="38" t="n"/>
      <c r="AI114" s="38" t="n"/>
      <c r="AJ114" s="38" t="n"/>
      <c r="AK114" s="36" t="inlineStr">
        <is>
          <t>IF(OR(E114="",Z114=""),"",IF(COUNT(Y114:Y114)=0,"",Z114-LOOKUP(2,1/(Y114:Y114&lt;&gt;""),Y114:Y114)))</t>
        </is>
      </c>
      <c r="AL114" s="36" t="inlineStr">
        <is>
          <t>IF(OR(E114="",AA114=""),"",IF(COUNT(Y114:Z114)=0,"",AA114-LOOKUP(2,1/(Y114:Z114&lt;&gt;""),Y114:Z114)))</t>
        </is>
      </c>
      <c r="AM114" s="36" t="inlineStr">
        <is>
          <t>IF(OR(E114="",AB114=""),"",IF(COUNT(Y114:AA114)=0,"",AB114-LOOKUP(2,1/(Y114:AA114&lt;&gt;""),Y114:AA114)))</t>
        </is>
      </c>
      <c r="AN114" s="36" t="inlineStr">
        <is>
          <t>IF(OR(E114="",AC114=""),"",IF(COUNT(Y114:AB114)=0,"",AC114-LOOKUP(2,1/(Y114:AB114&lt;&gt;""),Y114:AB114)))</t>
        </is>
      </c>
      <c r="AO114" s="36" t="inlineStr">
        <is>
          <t>IF(OR(E114="",AD114=""),"",IF(COUNT(Y114:AC114)=0,"",AD114-LOOKUP(2,1/(Y114:AC114&lt;&gt;""),Y114:AC114)))</t>
        </is>
      </c>
      <c r="AP114" s="36" t="inlineStr">
        <is>
          <t>IF(OR(E114="",AE114=""),"",IF(COUNT(Y114:AD114)=0,"",AE114-LOOKUP(2,1/(Y114:AD114&lt;&gt;""),Y114:AD114)))</t>
        </is>
      </c>
      <c r="AQ114" s="36" t="inlineStr">
        <is>
          <t>IF(OR(E114="",AF114=""),"",IF(COUNT(Y114:AE114)=0,"",AF114-LOOKUP(2,1/(Y114:AE114&lt;&gt;""),Y114:AE114)))</t>
        </is>
      </c>
      <c r="AR114" s="36" t="inlineStr">
        <is>
          <t>IF(OR(E114="",AG114=""),"",IF(COUNT(Y114:AF114)=0,"",AG114-LOOKUP(2,1/(Y114:AF114&lt;&gt;""),Y114:AF114)))</t>
        </is>
      </c>
      <c r="AS114" s="36" t="inlineStr">
        <is>
          <t>IF(OR(E114="",AH114=""),"",IF(COUNT(Y114:AG114)=0,"",AH114-LOOKUP(2,1/(Y114:AG114&lt;&gt;""),Y114:AG114)))</t>
        </is>
      </c>
      <c r="AT114" s="36" t="inlineStr">
        <is>
          <t>IF(OR(E114="",AI114=""),"",IF(COUNT(Y114:AH114)=0,"",AI114-LOOKUP(2,1/(Y114:AH114&lt;&gt;""),Y114:AH114)))</t>
        </is>
      </c>
      <c r="AU114" s="36" t="inlineStr">
        <is>
          <t>IF(OR(E114="",AJ114=""),"",IF(COUNT(Y114:AI114)=0,"",AJ114-LOOKUP(2,1/(Y114:AI114&lt;&gt;""),Y114:AI114)))</t>
        </is>
      </c>
      <c r="AV114" s="39" t="inlineStr">
        <is>
          <t>IF(G114="","All_Provinces",IFERROR(VLOOKUP(G114,'07_Lookups'!$A$4:$B$20,2,FALSE),"All_Provinces"))</t>
        </is>
      </c>
      <c r="AW114" s="39" t="inlineStr">
        <is>
          <t>IF(H114="","All_Districts",IFERROR(VLOOKUP(H114,'07_Lookups'!$E$4:$F$42,2,FALSE),"All_Districts"))</t>
        </is>
      </c>
    </row>
    <row r="115" ht="18" customHeight="1">
      <c r="A115" s="31" t="inlineStr">
        <is>
          <t>IF(E115="","",ROW()-3)</t>
        </is>
      </c>
      <c r="B115" s="40" t="n"/>
      <c r="C115" s="40" t="n"/>
      <c r="D115" s="40" t="n"/>
      <c r="E115" s="40" t="n"/>
      <c r="F115" s="40" t="n"/>
      <c r="G115" s="40" t="n"/>
      <c r="H115" s="40" t="n"/>
      <c r="I115" s="40" t="n"/>
      <c r="J115" s="40" t="n"/>
      <c r="K115" s="40" t="n"/>
      <c r="L115" s="40" t="n"/>
      <c r="M115" s="40" t="n"/>
      <c r="N115" s="41" t="n"/>
      <c r="O115" s="34" t="inlineStr">
        <is>
          <t>IF(AE115="","",AE115)</t>
        </is>
      </c>
      <c r="P115" s="42" t="n"/>
      <c r="Q115" s="34" t="inlineStr">
        <is>
          <t>IF(OR(O115="",P115=""),"",EDATE(O115,P115))</t>
        </is>
      </c>
      <c r="R115" s="42" t="n"/>
      <c r="S115" s="40" t="n"/>
      <c r="T115" s="40" t="n"/>
      <c r="U115" s="31" t="inlineStr">
        <is>
          <t>IF(E115="","",IF(COUNT(Y115:AJ115)=0,IF(S115="","Not started",S115),SUBSTITUTE(LOOKUP(2,1/(Y115:AJ115&lt;&gt;""),$Y$3:$AJ$3),"Date: ","")))</t>
        </is>
      </c>
      <c r="V115" s="36" t="inlineStr">
        <is>
          <t>IF(OR(E115="",COUNT(Y115:AJ115)=0),"",TODAY()-LOOKUP(2,1/(Y115:AJ115&lt;&gt;""),Y115:AJ115))</t>
        </is>
      </c>
      <c r="W115" s="36" t="inlineStr">
        <is>
          <t>IF(OR(E115="",COUNT(Y115:AJ115)&lt;2),"",LOOKUP(2,1/(Y115:AJ115&lt;&gt;""),Y115:AJ115)-MIN(Y115:AJ115))</t>
        </is>
      </c>
      <c r="X115" s="36" t="inlineStr">
        <is>
          <t>IF(OR(V115="",U115="Not started",U115=""),"",IFERROR(V115-IF(VLOOKUP(U115,'04_Status_Pipeline'!$B$3:$E$20,4,FALSE)="",0,VLOOKUP(U115,'04_Status_Pipeline'!$B$3:$E$20,4,FALSE)),""))</t>
        </is>
      </c>
      <c r="Y115" s="43" t="n"/>
      <c r="Z115" s="43" t="n"/>
      <c r="AA115" s="43" t="n"/>
      <c r="AB115" s="43" t="n"/>
      <c r="AC115" s="43" t="n"/>
      <c r="AD115" s="43" t="n"/>
      <c r="AE115" s="43" t="n"/>
      <c r="AF115" s="43" t="n"/>
      <c r="AG115" s="43" t="n"/>
      <c r="AH115" s="38" t="n"/>
      <c r="AI115" s="38" t="n"/>
      <c r="AJ115" s="38" t="n"/>
      <c r="AK115" s="36" t="inlineStr">
        <is>
          <t>IF(OR(E115="",Z115=""),"",IF(COUNT(Y115:Y115)=0,"",Z115-LOOKUP(2,1/(Y115:Y115&lt;&gt;""),Y115:Y115)))</t>
        </is>
      </c>
      <c r="AL115" s="36" t="inlineStr">
        <is>
          <t>IF(OR(E115="",AA115=""),"",IF(COUNT(Y115:Z115)=0,"",AA115-LOOKUP(2,1/(Y115:Z115&lt;&gt;""),Y115:Z115)))</t>
        </is>
      </c>
      <c r="AM115" s="36" t="inlineStr">
        <is>
          <t>IF(OR(E115="",AB115=""),"",IF(COUNT(Y115:AA115)=0,"",AB115-LOOKUP(2,1/(Y115:AA115&lt;&gt;""),Y115:AA115)))</t>
        </is>
      </c>
      <c r="AN115" s="36" t="inlineStr">
        <is>
          <t>IF(OR(E115="",AC115=""),"",IF(COUNT(Y115:AB115)=0,"",AC115-LOOKUP(2,1/(Y115:AB115&lt;&gt;""),Y115:AB115)))</t>
        </is>
      </c>
      <c r="AO115" s="36" t="inlineStr">
        <is>
          <t>IF(OR(E115="",AD115=""),"",IF(COUNT(Y115:AC115)=0,"",AD115-LOOKUP(2,1/(Y115:AC115&lt;&gt;""),Y115:AC115)))</t>
        </is>
      </c>
      <c r="AP115" s="36" t="inlineStr">
        <is>
          <t>IF(OR(E115="",AE115=""),"",IF(COUNT(Y115:AD115)=0,"",AE115-LOOKUP(2,1/(Y115:AD115&lt;&gt;""),Y115:AD115)))</t>
        </is>
      </c>
      <c r="AQ115" s="36" t="inlineStr">
        <is>
          <t>IF(OR(E115="",AF115=""),"",IF(COUNT(Y115:AE115)=0,"",AF115-LOOKUP(2,1/(Y115:AE115&lt;&gt;""),Y115:AE115)))</t>
        </is>
      </c>
      <c r="AR115" s="36" t="inlineStr">
        <is>
          <t>IF(OR(E115="",AG115=""),"",IF(COUNT(Y115:AF115)=0,"",AG115-LOOKUP(2,1/(Y115:AF115&lt;&gt;""),Y115:AF115)))</t>
        </is>
      </c>
      <c r="AS115" s="36" t="inlineStr">
        <is>
          <t>IF(OR(E115="",AH115=""),"",IF(COUNT(Y115:AG115)=0,"",AH115-LOOKUP(2,1/(Y115:AG115&lt;&gt;""),Y115:AG115)))</t>
        </is>
      </c>
      <c r="AT115" s="36" t="inlineStr">
        <is>
          <t>IF(OR(E115="",AI115=""),"",IF(COUNT(Y115:AH115)=0,"",AI115-LOOKUP(2,1/(Y115:AH115&lt;&gt;""),Y115:AH115)))</t>
        </is>
      </c>
      <c r="AU115" s="36" t="inlineStr">
        <is>
          <t>IF(OR(E115="",AJ115=""),"",IF(COUNT(Y115:AI115)=0,"",AJ115-LOOKUP(2,1/(Y115:AI115&lt;&gt;""),Y115:AI115)))</t>
        </is>
      </c>
      <c r="AV115" s="39" t="inlineStr">
        <is>
          <t>IF(G115="","All_Provinces",IFERROR(VLOOKUP(G115,'07_Lookups'!$A$4:$B$20,2,FALSE),"All_Provinces"))</t>
        </is>
      </c>
      <c r="AW115" s="39" t="inlineStr">
        <is>
          <t>IF(H115="","All_Districts",IFERROR(VLOOKUP(H115,'07_Lookups'!$E$4:$F$42,2,FALSE),"All_Districts"))</t>
        </is>
      </c>
    </row>
    <row r="116" ht="18" customHeight="1">
      <c r="A116" s="31" t="inlineStr">
        <is>
          <t>IF(E116="","",ROW()-3)</t>
        </is>
      </c>
      <c r="B116" s="32" t="n"/>
      <c r="C116" s="32" t="n"/>
      <c r="D116" s="32" t="n"/>
      <c r="E116" s="32" t="n"/>
      <c r="F116" s="32" t="n"/>
      <c r="G116" s="32" t="n"/>
      <c r="H116" s="32" t="n"/>
      <c r="I116" s="32" t="n"/>
      <c r="J116" s="32" t="n"/>
      <c r="K116" s="32" t="n"/>
      <c r="L116" s="32" t="n"/>
      <c r="M116" s="32" t="n"/>
      <c r="N116" s="33" t="n"/>
      <c r="O116" s="34" t="inlineStr">
        <is>
          <t>IF(AE116="","",AE116)</t>
        </is>
      </c>
      <c r="P116" s="35" t="n"/>
      <c r="Q116" s="34" t="inlineStr">
        <is>
          <t>IF(OR(O116="",P116=""),"",EDATE(O116,P116))</t>
        </is>
      </c>
      <c r="R116" s="35" t="n"/>
      <c r="S116" s="32" t="n"/>
      <c r="T116" s="32" t="n"/>
      <c r="U116" s="31" t="inlineStr">
        <is>
          <t>IF(E116="","",IF(COUNT(Y116:AJ116)=0,IF(S116="","Not started",S116),SUBSTITUTE(LOOKUP(2,1/(Y116:AJ116&lt;&gt;""),$Y$3:$AJ$3),"Date: ","")))</t>
        </is>
      </c>
      <c r="V116" s="36" t="inlineStr">
        <is>
          <t>IF(OR(E116="",COUNT(Y116:AJ116)=0),"",TODAY()-LOOKUP(2,1/(Y116:AJ116&lt;&gt;""),Y116:AJ116))</t>
        </is>
      </c>
      <c r="W116" s="36" t="inlineStr">
        <is>
          <t>IF(OR(E116="",COUNT(Y116:AJ116)&lt;2),"",LOOKUP(2,1/(Y116:AJ116&lt;&gt;""),Y116:AJ116)-MIN(Y116:AJ116))</t>
        </is>
      </c>
      <c r="X116" s="36" t="inlineStr">
        <is>
          <t>IF(OR(V116="",U116="Not started",U116=""),"",IFERROR(V116-IF(VLOOKUP(U116,'04_Status_Pipeline'!$B$3:$E$20,4,FALSE)="",0,VLOOKUP(U116,'04_Status_Pipeline'!$B$3:$E$20,4,FALSE)),""))</t>
        </is>
      </c>
      <c r="Y116" s="37" t="n"/>
      <c r="Z116" s="37" t="n"/>
      <c r="AA116" s="37" t="n"/>
      <c r="AB116" s="37" t="n"/>
      <c r="AC116" s="37" t="n"/>
      <c r="AD116" s="37" t="n"/>
      <c r="AE116" s="37" t="n"/>
      <c r="AF116" s="37" t="n"/>
      <c r="AG116" s="37" t="n"/>
      <c r="AH116" s="38" t="n"/>
      <c r="AI116" s="38" t="n"/>
      <c r="AJ116" s="38" t="n"/>
      <c r="AK116" s="36" t="inlineStr">
        <is>
          <t>IF(OR(E116="",Z116=""),"",IF(COUNT(Y116:Y116)=0,"",Z116-LOOKUP(2,1/(Y116:Y116&lt;&gt;""),Y116:Y116)))</t>
        </is>
      </c>
      <c r="AL116" s="36" t="inlineStr">
        <is>
          <t>IF(OR(E116="",AA116=""),"",IF(COUNT(Y116:Z116)=0,"",AA116-LOOKUP(2,1/(Y116:Z116&lt;&gt;""),Y116:Z116)))</t>
        </is>
      </c>
      <c r="AM116" s="36" t="inlineStr">
        <is>
          <t>IF(OR(E116="",AB116=""),"",IF(COUNT(Y116:AA116)=0,"",AB116-LOOKUP(2,1/(Y116:AA116&lt;&gt;""),Y116:AA116)))</t>
        </is>
      </c>
      <c r="AN116" s="36" t="inlineStr">
        <is>
          <t>IF(OR(E116="",AC116=""),"",IF(COUNT(Y116:AB116)=0,"",AC116-LOOKUP(2,1/(Y116:AB116&lt;&gt;""),Y116:AB116)))</t>
        </is>
      </c>
      <c r="AO116" s="36" t="inlineStr">
        <is>
          <t>IF(OR(E116="",AD116=""),"",IF(COUNT(Y116:AC116)=0,"",AD116-LOOKUP(2,1/(Y116:AC116&lt;&gt;""),Y116:AC116)))</t>
        </is>
      </c>
      <c r="AP116" s="36" t="inlineStr">
        <is>
          <t>IF(OR(E116="",AE116=""),"",IF(COUNT(Y116:AD116)=0,"",AE116-LOOKUP(2,1/(Y116:AD116&lt;&gt;""),Y116:AD116)))</t>
        </is>
      </c>
      <c r="AQ116" s="36" t="inlineStr">
        <is>
          <t>IF(OR(E116="",AF116=""),"",IF(COUNT(Y116:AE116)=0,"",AF116-LOOKUP(2,1/(Y116:AE116&lt;&gt;""),Y116:AE116)))</t>
        </is>
      </c>
      <c r="AR116" s="36" t="inlineStr">
        <is>
          <t>IF(OR(E116="",AG116=""),"",IF(COUNT(Y116:AF116)=0,"",AG116-LOOKUP(2,1/(Y116:AF116&lt;&gt;""),Y116:AF116)))</t>
        </is>
      </c>
      <c r="AS116" s="36" t="inlineStr">
        <is>
          <t>IF(OR(E116="",AH116=""),"",IF(COUNT(Y116:AG116)=0,"",AH116-LOOKUP(2,1/(Y116:AG116&lt;&gt;""),Y116:AG116)))</t>
        </is>
      </c>
      <c r="AT116" s="36" t="inlineStr">
        <is>
          <t>IF(OR(E116="",AI116=""),"",IF(COUNT(Y116:AH116)=0,"",AI116-LOOKUP(2,1/(Y116:AH116&lt;&gt;""),Y116:AH116)))</t>
        </is>
      </c>
      <c r="AU116" s="36" t="inlineStr">
        <is>
          <t>IF(OR(E116="",AJ116=""),"",IF(COUNT(Y116:AI116)=0,"",AJ116-LOOKUP(2,1/(Y116:AI116&lt;&gt;""),Y116:AI116)))</t>
        </is>
      </c>
      <c r="AV116" s="39" t="inlineStr">
        <is>
          <t>IF(G116="","All_Provinces",IFERROR(VLOOKUP(G116,'07_Lookups'!$A$4:$B$20,2,FALSE),"All_Provinces"))</t>
        </is>
      </c>
      <c r="AW116" s="39" t="inlineStr">
        <is>
          <t>IF(H116="","All_Districts",IFERROR(VLOOKUP(H116,'07_Lookups'!$E$4:$F$42,2,FALSE),"All_Districts"))</t>
        </is>
      </c>
    </row>
    <row r="117" ht="18" customHeight="1">
      <c r="A117" s="31" t="inlineStr">
        <is>
          <t>IF(E117="","",ROW()-3)</t>
        </is>
      </c>
      <c r="B117" s="40" t="n"/>
      <c r="C117" s="40" t="n"/>
      <c r="D117" s="40" t="n"/>
      <c r="E117" s="40" t="n"/>
      <c r="F117" s="40" t="n"/>
      <c r="G117" s="40" t="n"/>
      <c r="H117" s="40" t="n"/>
      <c r="I117" s="40" t="n"/>
      <c r="J117" s="40" t="n"/>
      <c r="K117" s="40" t="n"/>
      <c r="L117" s="40" t="n"/>
      <c r="M117" s="40" t="n"/>
      <c r="N117" s="41" t="n"/>
      <c r="O117" s="34" t="inlineStr">
        <is>
          <t>IF(AE117="","",AE117)</t>
        </is>
      </c>
      <c r="P117" s="42" t="n"/>
      <c r="Q117" s="34" t="inlineStr">
        <is>
          <t>IF(OR(O117="",P117=""),"",EDATE(O117,P117))</t>
        </is>
      </c>
      <c r="R117" s="42" t="n"/>
      <c r="S117" s="40" t="n"/>
      <c r="T117" s="40" t="n"/>
      <c r="U117" s="31" t="inlineStr">
        <is>
          <t>IF(E117="","",IF(COUNT(Y117:AJ117)=0,IF(S117="","Not started",S117),SUBSTITUTE(LOOKUP(2,1/(Y117:AJ117&lt;&gt;""),$Y$3:$AJ$3),"Date: ","")))</t>
        </is>
      </c>
      <c r="V117" s="36" t="inlineStr">
        <is>
          <t>IF(OR(E117="",COUNT(Y117:AJ117)=0),"",TODAY()-LOOKUP(2,1/(Y117:AJ117&lt;&gt;""),Y117:AJ117))</t>
        </is>
      </c>
      <c r="W117" s="36" t="inlineStr">
        <is>
          <t>IF(OR(E117="",COUNT(Y117:AJ117)&lt;2),"",LOOKUP(2,1/(Y117:AJ117&lt;&gt;""),Y117:AJ117)-MIN(Y117:AJ117))</t>
        </is>
      </c>
      <c r="X117" s="36" t="inlineStr">
        <is>
          <t>IF(OR(V117="",U117="Not started",U117=""),"",IFERROR(V117-IF(VLOOKUP(U117,'04_Status_Pipeline'!$B$3:$E$20,4,FALSE)="",0,VLOOKUP(U117,'04_Status_Pipeline'!$B$3:$E$20,4,FALSE)),""))</t>
        </is>
      </c>
      <c r="Y117" s="43" t="n"/>
      <c r="Z117" s="43" t="n"/>
      <c r="AA117" s="43" t="n"/>
      <c r="AB117" s="43" t="n"/>
      <c r="AC117" s="43" t="n"/>
      <c r="AD117" s="43" t="n"/>
      <c r="AE117" s="43" t="n"/>
      <c r="AF117" s="43" t="n"/>
      <c r="AG117" s="43" t="n"/>
      <c r="AH117" s="38" t="n"/>
      <c r="AI117" s="38" t="n"/>
      <c r="AJ117" s="38" t="n"/>
      <c r="AK117" s="36" t="inlineStr">
        <is>
          <t>IF(OR(E117="",Z117=""),"",IF(COUNT(Y117:Y117)=0,"",Z117-LOOKUP(2,1/(Y117:Y117&lt;&gt;""),Y117:Y117)))</t>
        </is>
      </c>
      <c r="AL117" s="36" t="inlineStr">
        <is>
          <t>IF(OR(E117="",AA117=""),"",IF(COUNT(Y117:Z117)=0,"",AA117-LOOKUP(2,1/(Y117:Z117&lt;&gt;""),Y117:Z117)))</t>
        </is>
      </c>
      <c r="AM117" s="36" t="inlineStr">
        <is>
          <t>IF(OR(E117="",AB117=""),"",IF(COUNT(Y117:AA117)=0,"",AB117-LOOKUP(2,1/(Y117:AA117&lt;&gt;""),Y117:AA117)))</t>
        </is>
      </c>
      <c r="AN117" s="36" t="inlineStr">
        <is>
          <t>IF(OR(E117="",AC117=""),"",IF(COUNT(Y117:AB117)=0,"",AC117-LOOKUP(2,1/(Y117:AB117&lt;&gt;""),Y117:AB117)))</t>
        </is>
      </c>
      <c r="AO117" s="36" t="inlineStr">
        <is>
          <t>IF(OR(E117="",AD117=""),"",IF(COUNT(Y117:AC117)=0,"",AD117-LOOKUP(2,1/(Y117:AC117&lt;&gt;""),Y117:AC117)))</t>
        </is>
      </c>
      <c r="AP117" s="36" t="inlineStr">
        <is>
          <t>IF(OR(E117="",AE117=""),"",IF(COUNT(Y117:AD117)=0,"",AE117-LOOKUP(2,1/(Y117:AD117&lt;&gt;""),Y117:AD117)))</t>
        </is>
      </c>
      <c r="AQ117" s="36" t="inlineStr">
        <is>
          <t>IF(OR(E117="",AF117=""),"",IF(COUNT(Y117:AE117)=0,"",AF117-LOOKUP(2,1/(Y117:AE117&lt;&gt;""),Y117:AE117)))</t>
        </is>
      </c>
      <c r="AR117" s="36" t="inlineStr">
        <is>
          <t>IF(OR(E117="",AG117=""),"",IF(COUNT(Y117:AF117)=0,"",AG117-LOOKUP(2,1/(Y117:AF117&lt;&gt;""),Y117:AF117)))</t>
        </is>
      </c>
      <c r="AS117" s="36" t="inlineStr">
        <is>
          <t>IF(OR(E117="",AH117=""),"",IF(COUNT(Y117:AG117)=0,"",AH117-LOOKUP(2,1/(Y117:AG117&lt;&gt;""),Y117:AG117)))</t>
        </is>
      </c>
      <c r="AT117" s="36" t="inlineStr">
        <is>
          <t>IF(OR(E117="",AI117=""),"",IF(COUNT(Y117:AH117)=0,"",AI117-LOOKUP(2,1/(Y117:AH117&lt;&gt;""),Y117:AH117)))</t>
        </is>
      </c>
      <c r="AU117" s="36" t="inlineStr">
        <is>
          <t>IF(OR(E117="",AJ117=""),"",IF(COUNT(Y117:AI117)=0,"",AJ117-LOOKUP(2,1/(Y117:AI117&lt;&gt;""),Y117:AI117)))</t>
        </is>
      </c>
      <c r="AV117" s="39" t="inlineStr">
        <is>
          <t>IF(G117="","All_Provinces",IFERROR(VLOOKUP(G117,'07_Lookups'!$A$4:$B$20,2,FALSE),"All_Provinces"))</t>
        </is>
      </c>
      <c r="AW117" s="39" t="inlineStr">
        <is>
          <t>IF(H117="","All_Districts",IFERROR(VLOOKUP(H117,'07_Lookups'!$E$4:$F$42,2,FALSE),"All_Districts"))</t>
        </is>
      </c>
    </row>
    <row r="118" ht="18" customHeight="1">
      <c r="A118" s="31" t="inlineStr">
        <is>
          <t>IF(E118="","",ROW()-3)</t>
        </is>
      </c>
      <c r="B118" s="32" t="n"/>
      <c r="C118" s="32" t="n"/>
      <c r="D118" s="32" t="n"/>
      <c r="E118" s="32" t="n"/>
      <c r="F118" s="32" t="n"/>
      <c r="G118" s="32" t="n"/>
      <c r="H118" s="32" t="n"/>
      <c r="I118" s="32" t="n"/>
      <c r="J118" s="32" t="n"/>
      <c r="K118" s="32" t="n"/>
      <c r="L118" s="32" t="n"/>
      <c r="M118" s="32" t="n"/>
      <c r="N118" s="33" t="n"/>
      <c r="O118" s="34" t="inlineStr">
        <is>
          <t>IF(AE118="","",AE118)</t>
        </is>
      </c>
      <c r="P118" s="35" t="n"/>
      <c r="Q118" s="34" t="inlineStr">
        <is>
          <t>IF(OR(O118="",P118=""),"",EDATE(O118,P118))</t>
        </is>
      </c>
      <c r="R118" s="35" t="n"/>
      <c r="S118" s="32" t="n"/>
      <c r="T118" s="32" t="n"/>
      <c r="U118" s="31" t="inlineStr">
        <is>
          <t>IF(E118="","",IF(COUNT(Y118:AJ118)=0,IF(S118="","Not started",S118),SUBSTITUTE(LOOKUP(2,1/(Y118:AJ118&lt;&gt;""),$Y$3:$AJ$3),"Date: ","")))</t>
        </is>
      </c>
      <c r="V118" s="36" t="inlineStr">
        <is>
          <t>IF(OR(E118="",COUNT(Y118:AJ118)=0),"",TODAY()-LOOKUP(2,1/(Y118:AJ118&lt;&gt;""),Y118:AJ118))</t>
        </is>
      </c>
      <c r="W118" s="36" t="inlineStr">
        <is>
          <t>IF(OR(E118="",COUNT(Y118:AJ118)&lt;2),"",LOOKUP(2,1/(Y118:AJ118&lt;&gt;""),Y118:AJ118)-MIN(Y118:AJ118))</t>
        </is>
      </c>
      <c r="X118" s="36" t="inlineStr">
        <is>
          <t>IF(OR(V118="",U118="Not started",U118=""),"",IFERROR(V118-IF(VLOOKUP(U118,'04_Status_Pipeline'!$B$3:$E$20,4,FALSE)="",0,VLOOKUP(U118,'04_Status_Pipeline'!$B$3:$E$20,4,FALSE)),""))</t>
        </is>
      </c>
      <c r="Y118" s="37" t="n"/>
      <c r="Z118" s="37" t="n"/>
      <c r="AA118" s="37" t="n"/>
      <c r="AB118" s="37" t="n"/>
      <c r="AC118" s="37" t="n"/>
      <c r="AD118" s="37" t="n"/>
      <c r="AE118" s="37" t="n"/>
      <c r="AF118" s="37" t="n"/>
      <c r="AG118" s="37" t="n"/>
      <c r="AH118" s="38" t="n"/>
      <c r="AI118" s="38" t="n"/>
      <c r="AJ118" s="38" t="n"/>
      <c r="AK118" s="36" t="inlineStr">
        <is>
          <t>IF(OR(E118="",Z118=""),"",IF(COUNT(Y118:Y118)=0,"",Z118-LOOKUP(2,1/(Y118:Y118&lt;&gt;""),Y118:Y118)))</t>
        </is>
      </c>
      <c r="AL118" s="36" t="inlineStr">
        <is>
          <t>IF(OR(E118="",AA118=""),"",IF(COUNT(Y118:Z118)=0,"",AA118-LOOKUP(2,1/(Y118:Z118&lt;&gt;""),Y118:Z118)))</t>
        </is>
      </c>
      <c r="AM118" s="36" t="inlineStr">
        <is>
          <t>IF(OR(E118="",AB118=""),"",IF(COUNT(Y118:AA118)=0,"",AB118-LOOKUP(2,1/(Y118:AA118&lt;&gt;""),Y118:AA118)))</t>
        </is>
      </c>
      <c r="AN118" s="36" t="inlineStr">
        <is>
          <t>IF(OR(E118="",AC118=""),"",IF(COUNT(Y118:AB118)=0,"",AC118-LOOKUP(2,1/(Y118:AB118&lt;&gt;""),Y118:AB118)))</t>
        </is>
      </c>
      <c r="AO118" s="36" t="inlineStr">
        <is>
          <t>IF(OR(E118="",AD118=""),"",IF(COUNT(Y118:AC118)=0,"",AD118-LOOKUP(2,1/(Y118:AC118&lt;&gt;""),Y118:AC118)))</t>
        </is>
      </c>
      <c r="AP118" s="36" t="inlineStr">
        <is>
          <t>IF(OR(E118="",AE118=""),"",IF(COUNT(Y118:AD118)=0,"",AE118-LOOKUP(2,1/(Y118:AD118&lt;&gt;""),Y118:AD118)))</t>
        </is>
      </c>
      <c r="AQ118" s="36" t="inlineStr">
        <is>
          <t>IF(OR(E118="",AF118=""),"",IF(COUNT(Y118:AE118)=0,"",AF118-LOOKUP(2,1/(Y118:AE118&lt;&gt;""),Y118:AE118)))</t>
        </is>
      </c>
      <c r="AR118" s="36" t="inlineStr">
        <is>
          <t>IF(OR(E118="",AG118=""),"",IF(COUNT(Y118:AF118)=0,"",AG118-LOOKUP(2,1/(Y118:AF118&lt;&gt;""),Y118:AF118)))</t>
        </is>
      </c>
      <c r="AS118" s="36" t="inlineStr">
        <is>
          <t>IF(OR(E118="",AH118=""),"",IF(COUNT(Y118:AG118)=0,"",AH118-LOOKUP(2,1/(Y118:AG118&lt;&gt;""),Y118:AG118)))</t>
        </is>
      </c>
      <c r="AT118" s="36" t="inlineStr">
        <is>
          <t>IF(OR(E118="",AI118=""),"",IF(COUNT(Y118:AH118)=0,"",AI118-LOOKUP(2,1/(Y118:AH118&lt;&gt;""),Y118:AH118)))</t>
        </is>
      </c>
      <c r="AU118" s="36" t="inlineStr">
        <is>
          <t>IF(OR(E118="",AJ118=""),"",IF(COUNT(Y118:AI118)=0,"",AJ118-LOOKUP(2,1/(Y118:AI118&lt;&gt;""),Y118:AI118)))</t>
        </is>
      </c>
      <c r="AV118" s="39" t="inlineStr">
        <is>
          <t>IF(G118="","All_Provinces",IFERROR(VLOOKUP(G118,'07_Lookups'!$A$4:$B$20,2,FALSE),"All_Provinces"))</t>
        </is>
      </c>
      <c r="AW118" s="39" t="inlineStr">
        <is>
          <t>IF(H118="","All_Districts",IFERROR(VLOOKUP(H118,'07_Lookups'!$E$4:$F$42,2,FALSE),"All_Districts"))</t>
        </is>
      </c>
    </row>
    <row r="119" ht="18" customHeight="1">
      <c r="A119" s="31" t="inlineStr">
        <is>
          <t>IF(E119="","",ROW()-3)</t>
        </is>
      </c>
      <c r="B119" s="40" t="n"/>
      <c r="C119" s="40" t="n"/>
      <c r="D119" s="40" t="n"/>
      <c r="E119" s="40" t="n"/>
      <c r="F119" s="40" t="n"/>
      <c r="G119" s="40" t="n"/>
      <c r="H119" s="40" t="n"/>
      <c r="I119" s="40" t="n"/>
      <c r="J119" s="40" t="n"/>
      <c r="K119" s="40" t="n"/>
      <c r="L119" s="40" t="n"/>
      <c r="M119" s="40" t="n"/>
      <c r="N119" s="41" t="n"/>
      <c r="O119" s="34" t="inlineStr">
        <is>
          <t>IF(AE119="","",AE119)</t>
        </is>
      </c>
      <c r="P119" s="42" t="n"/>
      <c r="Q119" s="34" t="inlineStr">
        <is>
          <t>IF(OR(O119="",P119=""),"",EDATE(O119,P119))</t>
        </is>
      </c>
      <c r="R119" s="42" t="n"/>
      <c r="S119" s="40" t="n"/>
      <c r="T119" s="40" t="n"/>
      <c r="U119" s="31" t="inlineStr">
        <is>
          <t>IF(E119="","",IF(COUNT(Y119:AJ119)=0,IF(S119="","Not started",S119),SUBSTITUTE(LOOKUP(2,1/(Y119:AJ119&lt;&gt;""),$Y$3:$AJ$3),"Date: ","")))</t>
        </is>
      </c>
      <c r="V119" s="36" t="inlineStr">
        <is>
          <t>IF(OR(E119="",COUNT(Y119:AJ119)=0),"",TODAY()-LOOKUP(2,1/(Y119:AJ119&lt;&gt;""),Y119:AJ119))</t>
        </is>
      </c>
      <c r="W119" s="36" t="inlineStr">
        <is>
          <t>IF(OR(E119="",COUNT(Y119:AJ119)&lt;2),"",LOOKUP(2,1/(Y119:AJ119&lt;&gt;""),Y119:AJ119)-MIN(Y119:AJ119))</t>
        </is>
      </c>
      <c r="X119" s="36" t="inlineStr">
        <is>
          <t>IF(OR(V119="",U119="Not started",U119=""),"",IFERROR(V119-IF(VLOOKUP(U119,'04_Status_Pipeline'!$B$3:$E$20,4,FALSE)="",0,VLOOKUP(U119,'04_Status_Pipeline'!$B$3:$E$20,4,FALSE)),""))</t>
        </is>
      </c>
      <c r="Y119" s="43" t="n"/>
      <c r="Z119" s="43" t="n"/>
      <c r="AA119" s="43" t="n"/>
      <c r="AB119" s="43" t="n"/>
      <c r="AC119" s="43" t="n"/>
      <c r="AD119" s="43" t="n"/>
      <c r="AE119" s="43" t="n"/>
      <c r="AF119" s="43" t="n"/>
      <c r="AG119" s="43" t="n"/>
      <c r="AH119" s="38" t="n"/>
      <c r="AI119" s="38" t="n"/>
      <c r="AJ119" s="38" t="n"/>
      <c r="AK119" s="36" t="inlineStr">
        <is>
          <t>IF(OR(E119="",Z119=""),"",IF(COUNT(Y119:Y119)=0,"",Z119-LOOKUP(2,1/(Y119:Y119&lt;&gt;""),Y119:Y119)))</t>
        </is>
      </c>
      <c r="AL119" s="36" t="inlineStr">
        <is>
          <t>IF(OR(E119="",AA119=""),"",IF(COUNT(Y119:Z119)=0,"",AA119-LOOKUP(2,1/(Y119:Z119&lt;&gt;""),Y119:Z119)))</t>
        </is>
      </c>
      <c r="AM119" s="36" t="inlineStr">
        <is>
          <t>IF(OR(E119="",AB119=""),"",IF(COUNT(Y119:AA119)=0,"",AB119-LOOKUP(2,1/(Y119:AA119&lt;&gt;""),Y119:AA119)))</t>
        </is>
      </c>
      <c r="AN119" s="36" t="inlineStr">
        <is>
          <t>IF(OR(E119="",AC119=""),"",IF(COUNT(Y119:AB119)=0,"",AC119-LOOKUP(2,1/(Y119:AB119&lt;&gt;""),Y119:AB119)))</t>
        </is>
      </c>
      <c r="AO119" s="36" t="inlineStr">
        <is>
          <t>IF(OR(E119="",AD119=""),"",IF(COUNT(Y119:AC119)=0,"",AD119-LOOKUP(2,1/(Y119:AC119&lt;&gt;""),Y119:AC119)))</t>
        </is>
      </c>
      <c r="AP119" s="36" t="inlineStr">
        <is>
          <t>IF(OR(E119="",AE119=""),"",IF(COUNT(Y119:AD119)=0,"",AE119-LOOKUP(2,1/(Y119:AD119&lt;&gt;""),Y119:AD119)))</t>
        </is>
      </c>
      <c r="AQ119" s="36" t="inlineStr">
        <is>
          <t>IF(OR(E119="",AF119=""),"",IF(COUNT(Y119:AE119)=0,"",AF119-LOOKUP(2,1/(Y119:AE119&lt;&gt;""),Y119:AE119)))</t>
        </is>
      </c>
      <c r="AR119" s="36" t="inlineStr">
        <is>
          <t>IF(OR(E119="",AG119=""),"",IF(COUNT(Y119:AF119)=0,"",AG119-LOOKUP(2,1/(Y119:AF119&lt;&gt;""),Y119:AF119)))</t>
        </is>
      </c>
      <c r="AS119" s="36" t="inlineStr">
        <is>
          <t>IF(OR(E119="",AH119=""),"",IF(COUNT(Y119:AG119)=0,"",AH119-LOOKUP(2,1/(Y119:AG119&lt;&gt;""),Y119:AG119)))</t>
        </is>
      </c>
      <c r="AT119" s="36" t="inlineStr">
        <is>
          <t>IF(OR(E119="",AI119=""),"",IF(COUNT(Y119:AH119)=0,"",AI119-LOOKUP(2,1/(Y119:AH119&lt;&gt;""),Y119:AH119)))</t>
        </is>
      </c>
      <c r="AU119" s="36" t="inlineStr">
        <is>
          <t>IF(OR(E119="",AJ119=""),"",IF(COUNT(Y119:AI119)=0,"",AJ119-LOOKUP(2,1/(Y119:AI119&lt;&gt;""),Y119:AI119)))</t>
        </is>
      </c>
      <c r="AV119" s="39" t="inlineStr">
        <is>
          <t>IF(G119="","All_Provinces",IFERROR(VLOOKUP(G119,'07_Lookups'!$A$4:$B$20,2,FALSE),"All_Provinces"))</t>
        </is>
      </c>
      <c r="AW119" s="39" t="inlineStr">
        <is>
          <t>IF(H119="","All_Districts",IFERROR(VLOOKUP(H119,'07_Lookups'!$E$4:$F$42,2,FALSE),"All_Districts"))</t>
        </is>
      </c>
    </row>
    <row r="120" ht="18" customHeight="1">
      <c r="A120" s="31" t="inlineStr">
        <is>
          <t>IF(E120="","",ROW()-3)</t>
        </is>
      </c>
      <c r="B120" s="32" t="n"/>
      <c r="C120" s="32" t="n"/>
      <c r="D120" s="32" t="n"/>
      <c r="E120" s="32" t="n"/>
      <c r="F120" s="32" t="n"/>
      <c r="G120" s="32" t="n"/>
      <c r="H120" s="32" t="n"/>
      <c r="I120" s="32" t="n"/>
      <c r="J120" s="32" t="n"/>
      <c r="K120" s="32" t="n"/>
      <c r="L120" s="32" t="n"/>
      <c r="M120" s="32" t="n"/>
      <c r="N120" s="33" t="n"/>
      <c r="O120" s="34" t="inlineStr">
        <is>
          <t>IF(AE120="","",AE120)</t>
        </is>
      </c>
      <c r="P120" s="35" t="n"/>
      <c r="Q120" s="34" t="inlineStr">
        <is>
          <t>IF(OR(O120="",P120=""),"",EDATE(O120,P120))</t>
        </is>
      </c>
      <c r="R120" s="35" t="n"/>
      <c r="S120" s="32" t="n"/>
      <c r="T120" s="32" t="n"/>
      <c r="U120" s="31" t="inlineStr">
        <is>
          <t>IF(E120="","",IF(COUNT(Y120:AJ120)=0,IF(S120="","Not started",S120),SUBSTITUTE(LOOKUP(2,1/(Y120:AJ120&lt;&gt;""),$Y$3:$AJ$3),"Date: ","")))</t>
        </is>
      </c>
      <c r="V120" s="36" t="inlineStr">
        <is>
          <t>IF(OR(E120="",COUNT(Y120:AJ120)=0),"",TODAY()-LOOKUP(2,1/(Y120:AJ120&lt;&gt;""),Y120:AJ120))</t>
        </is>
      </c>
      <c r="W120" s="36" t="inlineStr">
        <is>
          <t>IF(OR(E120="",COUNT(Y120:AJ120)&lt;2),"",LOOKUP(2,1/(Y120:AJ120&lt;&gt;""),Y120:AJ120)-MIN(Y120:AJ120))</t>
        </is>
      </c>
      <c r="X120" s="36" t="inlineStr">
        <is>
          <t>IF(OR(V120="",U120="Not started",U120=""),"",IFERROR(V120-IF(VLOOKUP(U120,'04_Status_Pipeline'!$B$3:$E$20,4,FALSE)="",0,VLOOKUP(U120,'04_Status_Pipeline'!$B$3:$E$20,4,FALSE)),""))</t>
        </is>
      </c>
      <c r="Y120" s="37" t="n"/>
      <c r="Z120" s="37" t="n"/>
      <c r="AA120" s="37" t="n"/>
      <c r="AB120" s="37" t="n"/>
      <c r="AC120" s="37" t="n"/>
      <c r="AD120" s="37" t="n"/>
      <c r="AE120" s="37" t="n"/>
      <c r="AF120" s="37" t="n"/>
      <c r="AG120" s="37" t="n"/>
      <c r="AH120" s="38" t="n"/>
      <c r="AI120" s="38" t="n"/>
      <c r="AJ120" s="38" t="n"/>
      <c r="AK120" s="36" t="inlineStr">
        <is>
          <t>IF(OR(E120="",Z120=""),"",IF(COUNT(Y120:Y120)=0,"",Z120-LOOKUP(2,1/(Y120:Y120&lt;&gt;""),Y120:Y120)))</t>
        </is>
      </c>
      <c r="AL120" s="36" t="inlineStr">
        <is>
          <t>IF(OR(E120="",AA120=""),"",IF(COUNT(Y120:Z120)=0,"",AA120-LOOKUP(2,1/(Y120:Z120&lt;&gt;""),Y120:Z120)))</t>
        </is>
      </c>
      <c r="AM120" s="36" t="inlineStr">
        <is>
          <t>IF(OR(E120="",AB120=""),"",IF(COUNT(Y120:AA120)=0,"",AB120-LOOKUP(2,1/(Y120:AA120&lt;&gt;""),Y120:AA120)))</t>
        </is>
      </c>
      <c r="AN120" s="36" t="inlineStr">
        <is>
          <t>IF(OR(E120="",AC120=""),"",IF(COUNT(Y120:AB120)=0,"",AC120-LOOKUP(2,1/(Y120:AB120&lt;&gt;""),Y120:AB120)))</t>
        </is>
      </c>
      <c r="AO120" s="36" t="inlineStr">
        <is>
          <t>IF(OR(E120="",AD120=""),"",IF(COUNT(Y120:AC120)=0,"",AD120-LOOKUP(2,1/(Y120:AC120&lt;&gt;""),Y120:AC120)))</t>
        </is>
      </c>
      <c r="AP120" s="36" t="inlineStr">
        <is>
          <t>IF(OR(E120="",AE120=""),"",IF(COUNT(Y120:AD120)=0,"",AE120-LOOKUP(2,1/(Y120:AD120&lt;&gt;""),Y120:AD120)))</t>
        </is>
      </c>
      <c r="AQ120" s="36" t="inlineStr">
        <is>
          <t>IF(OR(E120="",AF120=""),"",IF(COUNT(Y120:AE120)=0,"",AF120-LOOKUP(2,1/(Y120:AE120&lt;&gt;""),Y120:AE120)))</t>
        </is>
      </c>
      <c r="AR120" s="36" t="inlineStr">
        <is>
          <t>IF(OR(E120="",AG120=""),"",IF(COUNT(Y120:AF120)=0,"",AG120-LOOKUP(2,1/(Y120:AF120&lt;&gt;""),Y120:AF120)))</t>
        </is>
      </c>
      <c r="AS120" s="36" t="inlineStr">
        <is>
          <t>IF(OR(E120="",AH120=""),"",IF(COUNT(Y120:AG120)=0,"",AH120-LOOKUP(2,1/(Y120:AG120&lt;&gt;""),Y120:AG120)))</t>
        </is>
      </c>
      <c r="AT120" s="36" t="inlineStr">
        <is>
          <t>IF(OR(E120="",AI120=""),"",IF(COUNT(Y120:AH120)=0,"",AI120-LOOKUP(2,1/(Y120:AH120&lt;&gt;""),Y120:AH120)))</t>
        </is>
      </c>
      <c r="AU120" s="36" t="inlineStr">
        <is>
          <t>IF(OR(E120="",AJ120=""),"",IF(COUNT(Y120:AI120)=0,"",AJ120-LOOKUP(2,1/(Y120:AI120&lt;&gt;""),Y120:AI120)))</t>
        </is>
      </c>
      <c r="AV120" s="39" t="inlineStr">
        <is>
          <t>IF(G120="","All_Provinces",IFERROR(VLOOKUP(G120,'07_Lookups'!$A$4:$B$20,2,FALSE),"All_Provinces"))</t>
        </is>
      </c>
      <c r="AW120" s="39" t="inlineStr">
        <is>
          <t>IF(H120="","All_Districts",IFERROR(VLOOKUP(H120,'07_Lookups'!$E$4:$F$42,2,FALSE),"All_Districts"))</t>
        </is>
      </c>
    </row>
    <row r="121" ht="18" customHeight="1">
      <c r="A121" s="31" t="inlineStr">
        <is>
          <t>IF(E121="","",ROW()-3)</t>
        </is>
      </c>
      <c r="B121" s="40" t="n"/>
      <c r="C121" s="40" t="n"/>
      <c r="D121" s="40" t="n"/>
      <c r="E121" s="40" t="n"/>
      <c r="F121" s="40" t="n"/>
      <c r="G121" s="40" t="n"/>
      <c r="H121" s="40" t="n"/>
      <c r="I121" s="40" t="n"/>
      <c r="J121" s="40" t="n"/>
      <c r="K121" s="40" t="n"/>
      <c r="L121" s="40" t="n"/>
      <c r="M121" s="40" t="n"/>
      <c r="N121" s="41" t="n"/>
      <c r="O121" s="34" t="inlineStr">
        <is>
          <t>IF(AE121="","",AE121)</t>
        </is>
      </c>
      <c r="P121" s="42" t="n"/>
      <c r="Q121" s="34" t="inlineStr">
        <is>
          <t>IF(OR(O121="",P121=""),"",EDATE(O121,P121))</t>
        </is>
      </c>
      <c r="R121" s="42" t="n"/>
      <c r="S121" s="40" t="n"/>
      <c r="T121" s="40" t="n"/>
      <c r="U121" s="31" t="inlineStr">
        <is>
          <t>IF(E121="","",IF(COUNT(Y121:AJ121)=0,IF(S121="","Not started",S121),SUBSTITUTE(LOOKUP(2,1/(Y121:AJ121&lt;&gt;""),$Y$3:$AJ$3),"Date: ","")))</t>
        </is>
      </c>
      <c r="V121" s="36" t="inlineStr">
        <is>
          <t>IF(OR(E121="",COUNT(Y121:AJ121)=0),"",TODAY()-LOOKUP(2,1/(Y121:AJ121&lt;&gt;""),Y121:AJ121))</t>
        </is>
      </c>
      <c r="W121" s="36" t="inlineStr">
        <is>
          <t>IF(OR(E121="",COUNT(Y121:AJ121)&lt;2),"",LOOKUP(2,1/(Y121:AJ121&lt;&gt;""),Y121:AJ121)-MIN(Y121:AJ121))</t>
        </is>
      </c>
      <c r="X121" s="36" t="inlineStr">
        <is>
          <t>IF(OR(V121="",U121="Not started",U121=""),"",IFERROR(V121-IF(VLOOKUP(U121,'04_Status_Pipeline'!$B$3:$E$20,4,FALSE)="",0,VLOOKUP(U121,'04_Status_Pipeline'!$B$3:$E$20,4,FALSE)),""))</t>
        </is>
      </c>
      <c r="Y121" s="43" t="n"/>
      <c r="Z121" s="43" t="n"/>
      <c r="AA121" s="43" t="n"/>
      <c r="AB121" s="43" t="n"/>
      <c r="AC121" s="43" t="n"/>
      <c r="AD121" s="43" t="n"/>
      <c r="AE121" s="43" t="n"/>
      <c r="AF121" s="43" t="n"/>
      <c r="AG121" s="43" t="n"/>
      <c r="AH121" s="38" t="n"/>
      <c r="AI121" s="38" t="n"/>
      <c r="AJ121" s="38" t="n"/>
      <c r="AK121" s="36" t="inlineStr">
        <is>
          <t>IF(OR(E121="",Z121=""),"",IF(COUNT(Y121:Y121)=0,"",Z121-LOOKUP(2,1/(Y121:Y121&lt;&gt;""),Y121:Y121)))</t>
        </is>
      </c>
      <c r="AL121" s="36" t="inlineStr">
        <is>
          <t>IF(OR(E121="",AA121=""),"",IF(COUNT(Y121:Z121)=0,"",AA121-LOOKUP(2,1/(Y121:Z121&lt;&gt;""),Y121:Z121)))</t>
        </is>
      </c>
      <c r="AM121" s="36" t="inlineStr">
        <is>
          <t>IF(OR(E121="",AB121=""),"",IF(COUNT(Y121:AA121)=0,"",AB121-LOOKUP(2,1/(Y121:AA121&lt;&gt;""),Y121:AA121)))</t>
        </is>
      </c>
      <c r="AN121" s="36" t="inlineStr">
        <is>
          <t>IF(OR(E121="",AC121=""),"",IF(COUNT(Y121:AB121)=0,"",AC121-LOOKUP(2,1/(Y121:AB121&lt;&gt;""),Y121:AB121)))</t>
        </is>
      </c>
      <c r="AO121" s="36" t="inlineStr">
        <is>
          <t>IF(OR(E121="",AD121=""),"",IF(COUNT(Y121:AC121)=0,"",AD121-LOOKUP(2,1/(Y121:AC121&lt;&gt;""),Y121:AC121)))</t>
        </is>
      </c>
      <c r="AP121" s="36" t="inlineStr">
        <is>
          <t>IF(OR(E121="",AE121=""),"",IF(COUNT(Y121:AD121)=0,"",AE121-LOOKUP(2,1/(Y121:AD121&lt;&gt;""),Y121:AD121)))</t>
        </is>
      </c>
      <c r="AQ121" s="36" t="inlineStr">
        <is>
          <t>IF(OR(E121="",AF121=""),"",IF(COUNT(Y121:AE121)=0,"",AF121-LOOKUP(2,1/(Y121:AE121&lt;&gt;""),Y121:AE121)))</t>
        </is>
      </c>
      <c r="AR121" s="36" t="inlineStr">
        <is>
          <t>IF(OR(E121="",AG121=""),"",IF(COUNT(Y121:AF121)=0,"",AG121-LOOKUP(2,1/(Y121:AF121&lt;&gt;""),Y121:AF121)))</t>
        </is>
      </c>
      <c r="AS121" s="36" t="inlineStr">
        <is>
          <t>IF(OR(E121="",AH121=""),"",IF(COUNT(Y121:AG121)=0,"",AH121-LOOKUP(2,1/(Y121:AG121&lt;&gt;""),Y121:AG121)))</t>
        </is>
      </c>
      <c r="AT121" s="36" t="inlineStr">
        <is>
          <t>IF(OR(E121="",AI121=""),"",IF(COUNT(Y121:AH121)=0,"",AI121-LOOKUP(2,1/(Y121:AH121&lt;&gt;""),Y121:AH121)))</t>
        </is>
      </c>
      <c r="AU121" s="36" t="inlineStr">
        <is>
          <t>IF(OR(E121="",AJ121=""),"",IF(COUNT(Y121:AI121)=0,"",AJ121-LOOKUP(2,1/(Y121:AI121&lt;&gt;""),Y121:AI121)))</t>
        </is>
      </c>
      <c r="AV121" s="39" t="inlineStr">
        <is>
          <t>IF(G121="","All_Provinces",IFERROR(VLOOKUP(G121,'07_Lookups'!$A$4:$B$20,2,FALSE),"All_Provinces"))</t>
        </is>
      </c>
      <c r="AW121" s="39" t="inlineStr">
        <is>
          <t>IF(H121="","All_Districts",IFERROR(VLOOKUP(H121,'07_Lookups'!$E$4:$F$42,2,FALSE),"All_Districts"))</t>
        </is>
      </c>
    </row>
    <row r="122" ht="18" customHeight="1">
      <c r="A122" s="31" t="inlineStr">
        <is>
          <t>IF(E122="","",ROW()-3)</t>
        </is>
      </c>
      <c r="B122" s="32" t="n"/>
      <c r="C122" s="32" t="n"/>
      <c r="D122" s="32" t="n"/>
      <c r="E122" s="32" t="n"/>
      <c r="F122" s="32" t="n"/>
      <c r="G122" s="32" t="n"/>
      <c r="H122" s="32" t="n"/>
      <c r="I122" s="32" t="n"/>
      <c r="J122" s="32" t="n"/>
      <c r="K122" s="32" t="n"/>
      <c r="L122" s="32" t="n"/>
      <c r="M122" s="32" t="n"/>
      <c r="N122" s="33" t="n"/>
      <c r="O122" s="34" t="inlineStr">
        <is>
          <t>IF(AE122="","",AE122)</t>
        </is>
      </c>
      <c r="P122" s="35" t="n"/>
      <c r="Q122" s="34" t="inlineStr">
        <is>
          <t>IF(OR(O122="",P122=""),"",EDATE(O122,P122))</t>
        </is>
      </c>
      <c r="R122" s="35" t="n"/>
      <c r="S122" s="32" t="n"/>
      <c r="T122" s="32" t="n"/>
      <c r="U122" s="31" t="inlineStr">
        <is>
          <t>IF(E122="","",IF(COUNT(Y122:AJ122)=0,IF(S122="","Not started",S122),SUBSTITUTE(LOOKUP(2,1/(Y122:AJ122&lt;&gt;""),$Y$3:$AJ$3),"Date: ","")))</t>
        </is>
      </c>
      <c r="V122" s="36" t="inlineStr">
        <is>
          <t>IF(OR(E122="",COUNT(Y122:AJ122)=0),"",TODAY()-LOOKUP(2,1/(Y122:AJ122&lt;&gt;""),Y122:AJ122))</t>
        </is>
      </c>
      <c r="W122" s="36" t="inlineStr">
        <is>
          <t>IF(OR(E122="",COUNT(Y122:AJ122)&lt;2),"",LOOKUP(2,1/(Y122:AJ122&lt;&gt;""),Y122:AJ122)-MIN(Y122:AJ122))</t>
        </is>
      </c>
      <c r="X122" s="36" t="inlineStr">
        <is>
          <t>IF(OR(V122="",U122="Not started",U122=""),"",IFERROR(V122-IF(VLOOKUP(U122,'04_Status_Pipeline'!$B$3:$E$20,4,FALSE)="",0,VLOOKUP(U122,'04_Status_Pipeline'!$B$3:$E$20,4,FALSE)),""))</t>
        </is>
      </c>
      <c r="Y122" s="37" t="n"/>
      <c r="Z122" s="37" t="n"/>
      <c r="AA122" s="37" t="n"/>
      <c r="AB122" s="37" t="n"/>
      <c r="AC122" s="37" t="n"/>
      <c r="AD122" s="37" t="n"/>
      <c r="AE122" s="37" t="n"/>
      <c r="AF122" s="37" t="n"/>
      <c r="AG122" s="37" t="n"/>
      <c r="AH122" s="38" t="n"/>
      <c r="AI122" s="38" t="n"/>
      <c r="AJ122" s="38" t="n"/>
      <c r="AK122" s="36" t="inlineStr">
        <is>
          <t>IF(OR(E122="",Z122=""),"",IF(COUNT(Y122:Y122)=0,"",Z122-LOOKUP(2,1/(Y122:Y122&lt;&gt;""),Y122:Y122)))</t>
        </is>
      </c>
      <c r="AL122" s="36" t="inlineStr">
        <is>
          <t>IF(OR(E122="",AA122=""),"",IF(COUNT(Y122:Z122)=0,"",AA122-LOOKUP(2,1/(Y122:Z122&lt;&gt;""),Y122:Z122)))</t>
        </is>
      </c>
      <c r="AM122" s="36" t="inlineStr">
        <is>
          <t>IF(OR(E122="",AB122=""),"",IF(COUNT(Y122:AA122)=0,"",AB122-LOOKUP(2,1/(Y122:AA122&lt;&gt;""),Y122:AA122)))</t>
        </is>
      </c>
      <c r="AN122" s="36" t="inlineStr">
        <is>
          <t>IF(OR(E122="",AC122=""),"",IF(COUNT(Y122:AB122)=0,"",AC122-LOOKUP(2,1/(Y122:AB122&lt;&gt;""),Y122:AB122)))</t>
        </is>
      </c>
      <c r="AO122" s="36" t="inlineStr">
        <is>
          <t>IF(OR(E122="",AD122=""),"",IF(COUNT(Y122:AC122)=0,"",AD122-LOOKUP(2,1/(Y122:AC122&lt;&gt;""),Y122:AC122)))</t>
        </is>
      </c>
      <c r="AP122" s="36" t="inlineStr">
        <is>
          <t>IF(OR(E122="",AE122=""),"",IF(COUNT(Y122:AD122)=0,"",AE122-LOOKUP(2,1/(Y122:AD122&lt;&gt;""),Y122:AD122)))</t>
        </is>
      </c>
      <c r="AQ122" s="36" t="inlineStr">
        <is>
          <t>IF(OR(E122="",AF122=""),"",IF(COUNT(Y122:AE122)=0,"",AF122-LOOKUP(2,1/(Y122:AE122&lt;&gt;""),Y122:AE122)))</t>
        </is>
      </c>
      <c r="AR122" s="36" t="inlineStr">
        <is>
          <t>IF(OR(E122="",AG122=""),"",IF(COUNT(Y122:AF122)=0,"",AG122-LOOKUP(2,1/(Y122:AF122&lt;&gt;""),Y122:AF122)))</t>
        </is>
      </c>
      <c r="AS122" s="36" t="inlineStr">
        <is>
          <t>IF(OR(E122="",AH122=""),"",IF(COUNT(Y122:AG122)=0,"",AH122-LOOKUP(2,1/(Y122:AG122&lt;&gt;""),Y122:AG122)))</t>
        </is>
      </c>
      <c r="AT122" s="36" t="inlineStr">
        <is>
          <t>IF(OR(E122="",AI122=""),"",IF(COUNT(Y122:AH122)=0,"",AI122-LOOKUP(2,1/(Y122:AH122&lt;&gt;""),Y122:AH122)))</t>
        </is>
      </c>
      <c r="AU122" s="36" t="inlineStr">
        <is>
          <t>IF(OR(E122="",AJ122=""),"",IF(COUNT(Y122:AI122)=0,"",AJ122-LOOKUP(2,1/(Y122:AI122&lt;&gt;""),Y122:AI122)))</t>
        </is>
      </c>
      <c r="AV122" s="39" t="inlineStr">
        <is>
          <t>IF(G122="","All_Provinces",IFERROR(VLOOKUP(G122,'07_Lookups'!$A$4:$B$20,2,FALSE),"All_Provinces"))</t>
        </is>
      </c>
      <c r="AW122" s="39" t="inlineStr">
        <is>
          <t>IF(H122="","All_Districts",IFERROR(VLOOKUP(H122,'07_Lookups'!$E$4:$F$42,2,FALSE),"All_Districts"))</t>
        </is>
      </c>
    </row>
    <row r="123" ht="18" customHeight="1">
      <c r="A123" s="31" t="inlineStr">
        <is>
          <t>IF(E123="","",ROW()-3)</t>
        </is>
      </c>
      <c r="B123" s="40" t="n"/>
      <c r="C123" s="40" t="n"/>
      <c r="D123" s="40" t="n"/>
      <c r="E123" s="40" t="n"/>
      <c r="F123" s="40" t="n"/>
      <c r="G123" s="40" t="n"/>
      <c r="H123" s="40" t="n"/>
      <c r="I123" s="40" t="n"/>
      <c r="J123" s="40" t="n"/>
      <c r="K123" s="40" t="n"/>
      <c r="L123" s="40" t="n"/>
      <c r="M123" s="40" t="n"/>
      <c r="N123" s="41" t="n"/>
      <c r="O123" s="34" t="inlineStr">
        <is>
          <t>IF(AE123="","",AE123)</t>
        </is>
      </c>
      <c r="P123" s="42" t="n"/>
      <c r="Q123" s="34" t="inlineStr">
        <is>
          <t>IF(OR(O123="",P123=""),"",EDATE(O123,P123))</t>
        </is>
      </c>
      <c r="R123" s="42" t="n"/>
      <c r="S123" s="40" t="n"/>
      <c r="T123" s="40" t="n"/>
      <c r="U123" s="31" t="inlineStr">
        <is>
          <t>IF(E123="","",IF(COUNT(Y123:AJ123)=0,IF(S123="","Not started",S123),SUBSTITUTE(LOOKUP(2,1/(Y123:AJ123&lt;&gt;""),$Y$3:$AJ$3),"Date: ","")))</t>
        </is>
      </c>
      <c r="V123" s="36" t="inlineStr">
        <is>
          <t>IF(OR(E123="",COUNT(Y123:AJ123)=0),"",TODAY()-LOOKUP(2,1/(Y123:AJ123&lt;&gt;""),Y123:AJ123))</t>
        </is>
      </c>
      <c r="W123" s="36" t="inlineStr">
        <is>
          <t>IF(OR(E123="",COUNT(Y123:AJ123)&lt;2),"",LOOKUP(2,1/(Y123:AJ123&lt;&gt;""),Y123:AJ123)-MIN(Y123:AJ123))</t>
        </is>
      </c>
      <c r="X123" s="36" t="inlineStr">
        <is>
          <t>IF(OR(V123="",U123="Not started",U123=""),"",IFERROR(V123-IF(VLOOKUP(U123,'04_Status_Pipeline'!$B$3:$E$20,4,FALSE)="",0,VLOOKUP(U123,'04_Status_Pipeline'!$B$3:$E$20,4,FALSE)),""))</t>
        </is>
      </c>
      <c r="Y123" s="43" t="n"/>
      <c r="Z123" s="43" t="n"/>
      <c r="AA123" s="43" t="n"/>
      <c r="AB123" s="43" t="n"/>
      <c r="AC123" s="43" t="n"/>
      <c r="AD123" s="43" t="n"/>
      <c r="AE123" s="43" t="n"/>
      <c r="AF123" s="43" t="n"/>
      <c r="AG123" s="43" t="n"/>
      <c r="AH123" s="38" t="n"/>
      <c r="AI123" s="38" t="n"/>
      <c r="AJ123" s="38" t="n"/>
      <c r="AK123" s="36" t="inlineStr">
        <is>
          <t>IF(OR(E123="",Z123=""),"",IF(COUNT(Y123:Y123)=0,"",Z123-LOOKUP(2,1/(Y123:Y123&lt;&gt;""),Y123:Y123)))</t>
        </is>
      </c>
      <c r="AL123" s="36" t="inlineStr">
        <is>
          <t>IF(OR(E123="",AA123=""),"",IF(COUNT(Y123:Z123)=0,"",AA123-LOOKUP(2,1/(Y123:Z123&lt;&gt;""),Y123:Z123)))</t>
        </is>
      </c>
      <c r="AM123" s="36" t="inlineStr">
        <is>
          <t>IF(OR(E123="",AB123=""),"",IF(COUNT(Y123:AA123)=0,"",AB123-LOOKUP(2,1/(Y123:AA123&lt;&gt;""),Y123:AA123)))</t>
        </is>
      </c>
      <c r="AN123" s="36" t="inlineStr">
        <is>
          <t>IF(OR(E123="",AC123=""),"",IF(COUNT(Y123:AB123)=0,"",AC123-LOOKUP(2,1/(Y123:AB123&lt;&gt;""),Y123:AB123)))</t>
        </is>
      </c>
      <c r="AO123" s="36" t="inlineStr">
        <is>
          <t>IF(OR(E123="",AD123=""),"",IF(COUNT(Y123:AC123)=0,"",AD123-LOOKUP(2,1/(Y123:AC123&lt;&gt;""),Y123:AC123)))</t>
        </is>
      </c>
      <c r="AP123" s="36" t="inlineStr">
        <is>
          <t>IF(OR(E123="",AE123=""),"",IF(COUNT(Y123:AD123)=0,"",AE123-LOOKUP(2,1/(Y123:AD123&lt;&gt;""),Y123:AD123)))</t>
        </is>
      </c>
      <c r="AQ123" s="36" t="inlineStr">
        <is>
          <t>IF(OR(E123="",AF123=""),"",IF(COUNT(Y123:AE123)=0,"",AF123-LOOKUP(2,1/(Y123:AE123&lt;&gt;""),Y123:AE123)))</t>
        </is>
      </c>
      <c r="AR123" s="36" t="inlineStr">
        <is>
          <t>IF(OR(E123="",AG123=""),"",IF(COUNT(Y123:AF123)=0,"",AG123-LOOKUP(2,1/(Y123:AF123&lt;&gt;""),Y123:AF123)))</t>
        </is>
      </c>
      <c r="AS123" s="36" t="inlineStr">
        <is>
          <t>IF(OR(E123="",AH123=""),"",IF(COUNT(Y123:AG123)=0,"",AH123-LOOKUP(2,1/(Y123:AG123&lt;&gt;""),Y123:AG123)))</t>
        </is>
      </c>
      <c r="AT123" s="36" t="inlineStr">
        <is>
          <t>IF(OR(E123="",AI123=""),"",IF(COUNT(Y123:AH123)=0,"",AI123-LOOKUP(2,1/(Y123:AH123&lt;&gt;""),Y123:AH123)))</t>
        </is>
      </c>
      <c r="AU123" s="36" t="inlineStr">
        <is>
          <t>IF(OR(E123="",AJ123=""),"",IF(COUNT(Y123:AI123)=0,"",AJ123-LOOKUP(2,1/(Y123:AI123&lt;&gt;""),Y123:AI123)))</t>
        </is>
      </c>
      <c r="AV123" s="39" t="inlineStr">
        <is>
          <t>IF(G123="","All_Provinces",IFERROR(VLOOKUP(G123,'07_Lookups'!$A$4:$B$20,2,FALSE),"All_Provinces"))</t>
        </is>
      </c>
      <c r="AW123" s="39" t="inlineStr">
        <is>
          <t>IF(H123="","All_Districts",IFERROR(VLOOKUP(H123,'07_Lookups'!$E$4:$F$42,2,FALSE),"All_Districts"))</t>
        </is>
      </c>
    </row>
    <row r="124" ht="18" customHeight="1">
      <c r="A124" s="31" t="inlineStr">
        <is>
          <t>IF(E124="","",ROW()-3)</t>
        </is>
      </c>
      <c r="B124" s="32" t="n"/>
      <c r="C124" s="32" t="n"/>
      <c r="D124" s="32" t="n"/>
      <c r="E124" s="32" t="n"/>
      <c r="F124" s="32" t="n"/>
      <c r="G124" s="32" t="n"/>
      <c r="H124" s="32" t="n"/>
      <c r="I124" s="32" t="n"/>
      <c r="J124" s="32" t="n"/>
      <c r="K124" s="32" t="n"/>
      <c r="L124" s="32" t="n"/>
      <c r="M124" s="32" t="n"/>
      <c r="N124" s="33" t="n"/>
      <c r="O124" s="34" t="inlineStr">
        <is>
          <t>IF(AE124="","",AE124)</t>
        </is>
      </c>
      <c r="P124" s="35" t="n"/>
      <c r="Q124" s="34" t="inlineStr">
        <is>
          <t>IF(OR(O124="",P124=""),"",EDATE(O124,P124))</t>
        </is>
      </c>
      <c r="R124" s="35" t="n"/>
      <c r="S124" s="32" t="n"/>
      <c r="T124" s="32" t="n"/>
      <c r="U124" s="31" t="inlineStr">
        <is>
          <t>IF(E124="","",IF(COUNT(Y124:AJ124)=0,IF(S124="","Not started",S124),SUBSTITUTE(LOOKUP(2,1/(Y124:AJ124&lt;&gt;""),$Y$3:$AJ$3),"Date: ","")))</t>
        </is>
      </c>
      <c r="V124" s="36" t="inlineStr">
        <is>
          <t>IF(OR(E124="",COUNT(Y124:AJ124)=0),"",TODAY()-LOOKUP(2,1/(Y124:AJ124&lt;&gt;""),Y124:AJ124))</t>
        </is>
      </c>
      <c r="W124" s="36" t="inlineStr">
        <is>
          <t>IF(OR(E124="",COUNT(Y124:AJ124)&lt;2),"",LOOKUP(2,1/(Y124:AJ124&lt;&gt;""),Y124:AJ124)-MIN(Y124:AJ124))</t>
        </is>
      </c>
      <c r="X124" s="36" t="inlineStr">
        <is>
          <t>IF(OR(V124="",U124="Not started",U124=""),"",IFERROR(V124-IF(VLOOKUP(U124,'04_Status_Pipeline'!$B$3:$E$20,4,FALSE)="",0,VLOOKUP(U124,'04_Status_Pipeline'!$B$3:$E$20,4,FALSE)),""))</t>
        </is>
      </c>
      <c r="Y124" s="37" t="n"/>
      <c r="Z124" s="37" t="n"/>
      <c r="AA124" s="37" t="n"/>
      <c r="AB124" s="37" t="n"/>
      <c r="AC124" s="37" t="n"/>
      <c r="AD124" s="37" t="n"/>
      <c r="AE124" s="37" t="n"/>
      <c r="AF124" s="37" t="n"/>
      <c r="AG124" s="37" t="n"/>
      <c r="AH124" s="38" t="n"/>
      <c r="AI124" s="38" t="n"/>
      <c r="AJ124" s="38" t="n"/>
      <c r="AK124" s="36" t="inlineStr">
        <is>
          <t>IF(OR(E124="",Z124=""),"",IF(COUNT(Y124:Y124)=0,"",Z124-LOOKUP(2,1/(Y124:Y124&lt;&gt;""),Y124:Y124)))</t>
        </is>
      </c>
      <c r="AL124" s="36" t="inlineStr">
        <is>
          <t>IF(OR(E124="",AA124=""),"",IF(COUNT(Y124:Z124)=0,"",AA124-LOOKUP(2,1/(Y124:Z124&lt;&gt;""),Y124:Z124)))</t>
        </is>
      </c>
      <c r="AM124" s="36" t="inlineStr">
        <is>
          <t>IF(OR(E124="",AB124=""),"",IF(COUNT(Y124:AA124)=0,"",AB124-LOOKUP(2,1/(Y124:AA124&lt;&gt;""),Y124:AA124)))</t>
        </is>
      </c>
      <c r="AN124" s="36" t="inlineStr">
        <is>
          <t>IF(OR(E124="",AC124=""),"",IF(COUNT(Y124:AB124)=0,"",AC124-LOOKUP(2,1/(Y124:AB124&lt;&gt;""),Y124:AB124)))</t>
        </is>
      </c>
      <c r="AO124" s="36" t="inlineStr">
        <is>
          <t>IF(OR(E124="",AD124=""),"",IF(COUNT(Y124:AC124)=0,"",AD124-LOOKUP(2,1/(Y124:AC124&lt;&gt;""),Y124:AC124)))</t>
        </is>
      </c>
      <c r="AP124" s="36" t="inlineStr">
        <is>
          <t>IF(OR(E124="",AE124=""),"",IF(COUNT(Y124:AD124)=0,"",AE124-LOOKUP(2,1/(Y124:AD124&lt;&gt;""),Y124:AD124)))</t>
        </is>
      </c>
      <c r="AQ124" s="36" t="inlineStr">
        <is>
          <t>IF(OR(E124="",AF124=""),"",IF(COUNT(Y124:AE124)=0,"",AF124-LOOKUP(2,1/(Y124:AE124&lt;&gt;""),Y124:AE124)))</t>
        </is>
      </c>
      <c r="AR124" s="36" t="inlineStr">
        <is>
          <t>IF(OR(E124="",AG124=""),"",IF(COUNT(Y124:AF124)=0,"",AG124-LOOKUP(2,1/(Y124:AF124&lt;&gt;""),Y124:AF124)))</t>
        </is>
      </c>
      <c r="AS124" s="36" t="inlineStr">
        <is>
          <t>IF(OR(E124="",AH124=""),"",IF(COUNT(Y124:AG124)=0,"",AH124-LOOKUP(2,1/(Y124:AG124&lt;&gt;""),Y124:AG124)))</t>
        </is>
      </c>
      <c r="AT124" s="36" t="inlineStr">
        <is>
          <t>IF(OR(E124="",AI124=""),"",IF(COUNT(Y124:AH124)=0,"",AI124-LOOKUP(2,1/(Y124:AH124&lt;&gt;""),Y124:AH124)))</t>
        </is>
      </c>
      <c r="AU124" s="36" t="inlineStr">
        <is>
          <t>IF(OR(E124="",AJ124=""),"",IF(COUNT(Y124:AI124)=0,"",AJ124-LOOKUP(2,1/(Y124:AI124&lt;&gt;""),Y124:AI124)))</t>
        </is>
      </c>
      <c r="AV124" s="39" t="inlineStr">
        <is>
          <t>IF(G124="","All_Provinces",IFERROR(VLOOKUP(G124,'07_Lookups'!$A$4:$B$20,2,FALSE),"All_Provinces"))</t>
        </is>
      </c>
      <c r="AW124" s="39" t="inlineStr">
        <is>
          <t>IF(H124="","All_Districts",IFERROR(VLOOKUP(H124,'07_Lookups'!$E$4:$F$42,2,FALSE),"All_Districts"))</t>
        </is>
      </c>
    </row>
    <row r="125" ht="18" customHeight="1">
      <c r="A125" s="31" t="inlineStr">
        <is>
          <t>IF(E125="","",ROW()-3)</t>
        </is>
      </c>
      <c r="B125" s="40" t="n"/>
      <c r="C125" s="40" t="n"/>
      <c r="D125" s="40" t="n"/>
      <c r="E125" s="40" t="n"/>
      <c r="F125" s="40" t="n"/>
      <c r="G125" s="40" t="n"/>
      <c r="H125" s="40" t="n"/>
      <c r="I125" s="40" t="n"/>
      <c r="J125" s="40" t="n"/>
      <c r="K125" s="40" t="n"/>
      <c r="L125" s="40" t="n"/>
      <c r="M125" s="40" t="n"/>
      <c r="N125" s="41" t="n"/>
      <c r="O125" s="34" t="inlineStr">
        <is>
          <t>IF(AE125="","",AE125)</t>
        </is>
      </c>
      <c r="P125" s="42" t="n"/>
      <c r="Q125" s="34" t="inlineStr">
        <is>
          <t>IF(OR(O125="",P125=""),"",EDATE(O125,P125))</t>
        </is>
      </c>
      <c r="R125" s="42" t="n"/>
      <c r="S125" s="40" t="n"/>
      <c r="T125" s="40" t="n"/>
      <c r="U125" s="31" t="inlineStr">
        <is>
          <t>IF(E125="","",IF(COUNT(Y125:AJ125)=0,IF(S125="","Not started",S125),SUBSTITUTE(LOOKUP(2,1/(Y125:AJ125&lt;&gt;""),$Y$3:$AJ$3),"Date: ","")))</t>
        </is>
      </c>
      <c r="V125" s="36" t="inlineStr">
        <is>
          <t>IF(OR(E125="",COUNT(Y125:AJ125)=0),"",TODAY()-LOOKUP(2,1/(Y125:AJ125&lt;&gt;""),Y125:AJ125))</t>
        </is>
      </c>
      <c r="W125" s="36" t="inlineStr">
        <is>
          <t>IF(OR(E125="",COUNT(Y125:AJ125)&lt;2),"",LOOKUP(2,1/(Y125:AJ125&lt;&gt;""),Y125:AJ125)-MIN(Y125:AJ125))</t>
        </is>
      </c>
      <c r="X125" s="36" t="inlineStr">
        <is>
          <t>IF(OR(V125="",U125="Not started",U125=""),"",IFERROR(V125-IF(VLOOKUP(U125,'04_Status_Pipeline'!$B$3:$E$20,4,FALSE)="",0,VLOOKUP(U125,'04_Status_Pipeline'!$B$3:$E$20,4,FALSE)),""))</t>
        </is>
      </c>
      <c r="Y125" s="43" t="n"/>
      <c r="Z125" s="43" t="n"/>
      <c r="AA125" s="43" t="n"/>
      <c r="AB125" s="43" t="n"/>
      <c r="AC125" s="43" t="n"/>
      <c r="AD125" s="43" t="n"/>
      <c r="AE125" s="43" t="n"/>
      <c r="AF125" s="43" t="n"/>
      <c r="AG125" s="43" t="n"/>
      <c r="AH125" s="38" t="n"/>
      <c r="AI125" s="38" t="n"/>
      <c r="AJ125" s="38" t="n"/>
      <c r="AK125" s="36" t="inlineStr">
        <is>
          <t>IF(OR(E125="",Z125=""),"",IF(COUNT(Y125:Y125)=0,"",Z125-LOOKUP(2,1/(Y125:Y125&lt;&gt;""),Y125:Y125)))</t>
        </is>
      </c>
      <c r="AL125" s="36" t="inlineStr">
        <is>
          <t>IF(OR(E125="",AA125=""),"",IF(COUNT(Y125:Z125)=0,"",AA125-LOOKUP(2,1/(Y125:Z125&lt;&gt;""),Y125:Z125)))</t>
        </is>
      </c>
      <c r="AM125" s="36" t="inlineStr">
        <is>
          <t>IF(OR(E125="",AB125=""),"",IF(COUNT(Y125:AA125)=0,"",AB125-LOOKUP(2,1/(Y125:AA125&lt;&gt;""),Y125:AA125)))</t>
        </is>
      </c>
      <c r="AN125" s="36" t="inlineStr">
        <is>
          <t>IF(OR(E125="",AC125=""),"",IF(COUNT(Y125:AB125)=0,"",AC125-LOOKUP(2,1/(Y125:AB125&lt;&gt;""),Y125:AB125)))</t>
        </is>
      </c>
      <c r="AO125" s="36" t="inlineStr">
        <is>
          <t>IF(OR(E125="",AD125=""),"",IF(COUNT(Y125:AC125)=0,"",AD125-LOOKUP(2,1/(Y125:AC125&lt;&gt;""),Y125:AC125)))</t>
        </is>
      </c>
      <c r="AP125" s="36" t="inlineStr">
        <is>
          <t>IF(OR(E125="",AE125=""),"",IF(COUNT(Y125:AD125)=0,"",AE125-LOOKUP(2,1/(Y125:AD125&lt;&gt;""),Y125:AD125)))</t>
        </is>
      </c>
      <c r="AQ125" s="36" t="inlineStr">
        <is>
          <t>IF(OR(E125="",AF125=""),"",IF(COUNT(Y125:AE125)=0,"",AF125-LOOKUP(2,1/(Y125:AE125&lt;&gt;""),Y125:AE125)))</t>
        </is>
      </c>
      <c r="AR125" s="36" t="inlineStr">
        <is>
          <t>IF(OR(E125="",AG125=""),"",IF(COUNT(Y125:AF125)=0,"",AG125-LOOKUP(2,1/(Y125:AF125&lt;&gt;""),Y125:AF125)))</t>
        </is>
      </c>
      <c r="AS125" s="36" t="inlineStr">
        <is>
          <t>IF(OR(E125="",AH125=""),"",IF(COUNT(Y125:AG125)=0,"",AH125-LOOKUP(2,1/(Y125:AG125&lt;&gt;""),Y125:AG125)))</t>
        </is>
      </c>
      <c r="AT125" s="36" t="inlineStr">
        <is>
          <t>IF(OR(E125="",AI125=""),"",IF(COUNT(Y125:AH125)=0,"",AI125-LOOKUP(2,1/(Y125:AH125&lt;&gt;""),Y125:AH125)))</t>
        </is>
      </c>
      <c r="AU125" s="36" t="inlineStr">
        <is>
          <t>IF(OR(E125="",AJ125=""),"",IF(COUNT(Y125:AI125)=0,"",AJ125-LOOKUP(2,1/(Y125:AI125&lt;&gt;""),Y125:AI125)))</t>
        </is>
      </c>
      <c r="AV125" s="39" t="inlineStr">
        <is>
          <t>IF(G125="","All_Provinces",IFERROR(VLOOKUP(G125,'07_Lookups'!$A$4:$B$20,2,FALSE),"All_Provinces"))</t>
        </is>
      </c>
      <c r="AW125" s="39" t="inlineStr">
        <is>
          <t>IF(H125="","All_Districts",IFERROR(VLOOKUP(H125,'07_Lookups'!$E$4:$F$42,2,FALSE),"All_Districts"))</t>
        </is>
      </c>
    </row>
    <row r="126" ht="18" customHeight="1">
      <c r="A126" s="31" t="inlineStr">
        <is>
          <t>IF(E126="","",ROW()-3)</t>
        </is>
      </c>
      <c r="B126" s="32" t="n"/>
      <c r="C126" s="32" t="n"/>
      <c r="D126" s="32" t="n"/>
      <c r="E126" s="32" t="n"/>
      <c r="F126" s="32" t="n"/>
      <c r="G126" s="32" t="n"/>
      <c r="H126" s="32" t="n"/>
      <c r="I126" s="32" t="n"/>
      <c r="J126" s="32" t="n"/>
      <c r="K126" s="32" t="n"/>
      <c r="L126" s="32" t="n"/>
      <c r="M126" s="32" t="n"/>
      <c r="N126" s="33" t="n"/>
      <c r="O126" s="34" t="inlineStr">
        <is>
          <t>IF(AE126="","",AE126)</t>
        </is>
      </c>
      <c r="P126" s="35" t="n"/>
      <c r="Q126" s="34" t="inlineStr">
        <is>
          <t>IF(OR(O126="",P126=""),"",EDATE(O126,P126))</t>
        </is>
      </c>
      <c r="R126" s="35" t="n"/>
      <c r="S126" s="32" t="n"/>
      <c r="T126" s="32" t="n"/>
      <c r="U126" s="31" t="inlineStr">
        <is>
          <t>IF(E126="","",IF(COUNT(Y126:AJ126)=0,IF(S126="","Not started",S126),SUBSTITUTE(LOOKUP(2,1/(Y126:AJ126&lt;&gt;""),$Y$3:$AJ$3),"Date: ","")))</t>
        </is>
      </c>
      <c r="V126" s="36" t="inlineStr">
        <is>
          <t>IF(OR(E126="",COUNT(Y126:AJ126)=0),"",TODAY()-LOOKUP(2,1/(Y126:AJ126&lt;&gt;""),Y126:AJ126))</t>
        </is>
      </c>
      <c r="W126" s="36" t="inlineStr">
        <is>
          <t>IF(OR(E126="",COUNT(Y126:AJ126)&lt;2),"",LOOKUP(2,1/(Y126:AJ126&lt;&gt;""),Y126:AJ126)-MIN(Y126:AJ126))</t>
        </is>
      </c>
      <c r="X126" s="36" t="inlineStr">
        <is>
          <t>IF(OR(V126="",U126="Not started",U126=""),"",IFERROR(V126-IF(VLOOKUP(U126,'04_Status_Pipeline'!$B$3:$E$20,4,FALSE)="",0,VLOOKUP(U126,'04_Status_Pipeline'!$B$3:$E$20,4,FALSE)),""))</t>
        </is>
      </c>
      <c r="Y126" s="37" t="n"/>
      <c r="Z126" s="37" t="n"/>
      <c r="AA126" s="37" t="n"/>
      <c r="AB126" s="37" t="n"/>
      <c r="AC126" s="37" t="n"/>
      <c r="AD126" s="37" t="n"/>
      <c r="AE126" s="37" t="n"/>
      <c r="AF126" s="37" t="n"/>
      <c r="AG126" s="37" t="n"/>
      <c r="AH126" s="38" t="n"/>
      <c r="AI126" s="38" t="n"/>
      <c r="AJ126" s="38" t="n"/>
      <c r="AK126" s="36" t="inlineStr">
        <is>
          <t>IF(OR(E126="",Z126=""),"",IF(COUNT(Y126:Y126)=0,"",Z126-LOOKUP(2,1/(Y126:Y126&lt;&gt;""),Y126:Y126)))</t>
        </is>
      </c>
      <c r="AL126" s="36" t="inlineStr">
        <is>
          <t>IF(OR(E126="",AA126=""),"",IF(COUNT(Y126:Z126)=0,"",AA126-LOOKUP(2,1/(Y126:Z126&lt;&gt;""),Y126:Z126)))</t>
        </is>
      </c>
      <c r="AM126" s="36" t="inlineStr">
        <is>
          <t>IF(OR(E126="",AB126=""),"",IF(COUNT(Y126:AA126)=0,"",AB126-LOOKUP(2,1/(Y126:AA126&lt;&gt;""),Y126:AA126)))</t>
        </is>
      </c>
      <c r="AN126" s="36" t="inlineStr">
        <is>
          <t>IF(OR(E126="",AC126=""),"",IF(COUNT(Y126:AB126)=0,"",AC126-LOOKUP(2,1/(Y126:AB126&lt;&gt;""),Y126:AB126)))</t>
        </is>
      </c>
      <c r="AO126" s="36" t="inlineStr">
        <is>
          <t>IF(OR(E126="",AD126=""),"",IF(COUNT(Y126:AC126)=0,"",AD126-LOOKUP(2,1/(Y126:AC126&lt;&gt;""),Y126:AC126)))</t>
        </is>
      </c>
      <c r="AP126" s="36" t="inlineStr">
        <is>
          <t>IF(OR(E126="",AE126=""),"",IF(COUNT(Y126:AD126)=0,"",AE126-LOOKUP(2,1/(Y126:AD126&lt;&gt;""),Y126:AD126)))</t>
        </is>
      </c>
      <c r="AQ126" s="36" t="inlineStr">
        <is>
          <t>IF(OR(E126="",AF126=""),"",IF(COUNT(Y126:AE126)=0,"",AF126-LOOKUP(2,1/(Y126:AE126&lt;&gt;""),Y126:AE126)))</t>
        </is>
      </c>
      <c r="AR126" s="36" t="inlineStr">
        <is>
          <t>IF(OR(E126="",AG126=""),"",IF(COUNT(Y126:AF126)=0,"",AG126-LOOKUP(2,1/(Y126:AF126&lt;&gt;""),Y126:AF126)))</t>
        </is>
      </c>
      <c r="AS126" s="36" t="inlineStr">
        <is>
          <t>IF(OR(E126="",AH126=""),"",IF(COUNT(Y126:AG126)=0,"",AH126-LOOKUP(2,1/(Y126:AG126&lt;&gt;""),Y126:AG126)))</t>
        </is>
      </c>
      <c r="AT126" s="36" t="inlineStr">
        <is>
          <t>IF(OR(E126="",AI126=""),"",IF(COUNT(Y126:AH126)=0,"",AI126-LOOKUP(2,1/(Y126:AH126&lt;&gt;""),Y126:AH126)))</t>
        </is>
      </c>
      <c r="AU126" s="36" t="inlineStr">
        <is>
          <t>IF(OR(E126="",AJ126=""),"",IF(COUNT(Y126:AI126)=0,"",AJ126-LOOKUP(2,1/(Y126:AI126&lt;&gt;""),Y126:AI126)))</t>
        </is>
      </c>
      <c r="AV126" s="39" t="inlineStr">
        <is>
          <t>IF(G126="","All_Provinces",IFERROR(VLOOKUP(G126,'07_Lookups'!$A$4:$B$20,2,FALSE),"All_Provinces"))</t>
        </is>
      </c>
      <c r="AW126" s="39" t="inlineStr">
        <is>
          <t>IF(H126="","All_Districts",IFERROR(VLOOKUP(H126,'07_Lookups'!$E$4:$F$42,2,FALSE),"All_Districts"))</t>
        </is>
      </c>
    </row>
    <row r="127" ht="18" customHeight="1">
      <c r="A127" s="31" t="inlineStr">
        <is>
          <t>IF(E127="","",ROW()-3)</t>
        </is>
      </c>
      <c r="B127" s="40" t="n"/>
      <c r="C127" s="40" t="n"/>
      <c r="D127" s="40" t="n"/>
      <c r="E127" s="40" t="n"/>
      <c r="F127" s="40" t="n"/>
      <c r="G127" s="40" t="n"/>
      <c r="H127" s="40" t="n"/>
      <c r="I127" s="40" t="n"/>
      <c r="J127" s="40" t="n"/>
      <c r="K127" s="40" t="n"/>
      <c r="L127" s="40" t="n"/>
      <c r="M127" s="40" t="n"/>
      <c r="N127" s="41" t="n"/>
      <c r="O127" s="34" t="inlineStr">
        <is>
          <t>IF(AE127="","",AE127)</t>
        </is>
      </c>
      <c r="P127" s="42" t="n"/>
      <c r="Q127" s="34" t="inlineStr">
        <is>
          <t>IF(OR(O127="",P127=""),"",EDATE(O127,P127))</t>
        </is>
      </c>
      <c r="R127" s="42" t="n"/>
      <c r="S127" s="40" t="n"/>
      <c r="T127" s="40" t="n"/>
      <c r="U127" s="31" t="inlineStr">
        <is>
          <t>IF(E127="","",IF(COUNT(Y127:AJ127)=0,IF(S127="","Not started",S127),SUBSTITUTE(LOOKUP(2,1/(Y127:AJ127&lt;&gt;""),$Y$3:$AJ$3),"Date: ","")))</t>
        </is>
      </c>
      <c r="V127" s="36" t="inlineStr">
        <is>
          <t>IF(OR(E127="",COUNT(Y127:AJ127)=0),"",TODAY()-LOOKUP(2,1/(Y127:AJ127&lt;&gt;""),Y127:AJ127))</t>
        </is>
      </c>
      <c r="W127" s="36" t="inlineStr">
        <is>
          <t>IF(OR(E127="",COUNT(Y127:AJ127)&lt;2),"",LOOKUP(2,1/(Y127:AJ127&lt;&gt;""),Y127:AJ127)-MIN(Y127:AJ127))</t>
        </is>
      </c>
      <c r="X127" s="36" t="inlineStr">
        <is>
          <t>IF(OR(V127="",U127="Not started",U127=""),"",IFERROR(V127-IF(VLOOKUP(U127,'04_Status_Pipeline'!$B$3:$E$20,4,FALSE)="",0,VLOOKUP(U127,'04_Status_Pipeline'!$B$3:$E$20,4,FALSE)),""))</t>
        </is>
      </c>
      <c r="Y127" s="43" t="n"/>
      <c r="Z127" s="43" t="n"/>
      <c r="AA127" s="43" t="n"/>
      <c r="AB127" s="43" t="n"/>
      <c r="AC127" s="43" t="n"/>
      <c r="AD127" s="43" t="n"/>
      <c r="AE127" s="43" t="n"/>
      <c r="AF127" s="43" t="n"/>
      <c r="AG127" s="43" t="n"/>
      <c r="AH127" s="38" t="n"/>
      <c r="AI127" s="38" t="n"/>
      <c r="AJ127" s="38" t="n"/>
      <c r="AK127" s="36" t="inlineStr">
        <is>
          <t>IF(OR(E127="",Z127=""),"",IF(COUNT(Y127:Y127)=0,"",Z127-LOOKUP(2,1/(Y127:Y127&lt;&gt;""),Y127:Y127)))</t>
        </is>
      </c>
      <c r="AL127" s="36" t="inlineStr">
        <is>
          <t>IF(OR(E127="",AA127=""),"",IF(COUNT(Y127:Z127)=0,"",AA127-LOOKUP(2,1/(Y127:Z127&lt;&gt;""),Y127:Z127)))</t>
        </is>
      </c>
      <c r="AM127" s="36" t="inlineStr">
        <is>
          <t>IF(OR(E127="",AB127=""),"",IF(COUNT(Y127:AA127)=0,"",AB127-LOOKUP(2,1/(Y127:AA127&lt;&gt;""),Y127:AA127)))</t>
        </is>
      </c>
      <c r="AN127" s="36" t="inlineStr">
        <is>
          <t>IF(OR(E127="",AC127=""),"",IF(COUNT(Y127:AB127)=0,"",AC127-LOOKUP(2,1/(Y127:AB127&lt;&gt;""),Y127:AB127)))</t>
        </is>
      </c>
      <c r="AO127" s="36" t="inlineStr">
        <is>
          <t>IF(OR(E127="",AD127=""),"",IF(COUNT(Y127:AC127)=0,"",AD127-LOOKUP(2,1/(Y127:AC127&lt;&gt;""),Y127:AC127)))</t>
        </is>
      </c>
      <c r="AP127" s="36" t="inlineStr">
        <is>
          <t>IF(OR(E127="",AE127=""),"",IF(COUNT(Y127:AD127)=0,"",AE127-LOOKUP(2,1/(Y127:AD127&lt;&gt;""),Y127:AD127)))</t>
        </is>
      </c>
      <c r="AQ127" s="36" t="inlineStr">
        <is>
          <t>IF(OR(E127="",AF127=""),"",IF(COUNT(Y127:AE127)=0,"",AF127-LOOKUP(2,1/(Y127:AE127&lt;&gt;""),Y127:AE127)))</t>
        </is>
      </c>
      <c r="AR127" s="36" t="inlineStr">
        <is>
          <t>IF(OR(E127="",AG127=""),"",IF(COUNT(Y127:AF127)=0,"",AG127-LOOKUP(2,1/(Y127:AF127&lt;&gt;""),Y127:AF127)))</t>
        </is>
      </c>
      <c r="AS127" s="36" t="inlineStr">
        <is>
          <t>IF(OR(E127="",AH127=""),"",IF(COUNT(Y127:AG127)=0,"",AH127-LOOKUP(2,1/(Y127:AG127&lt;&gt;""),Y127:AG127)))</t>
        </is>
      </c>
      <c r="AT127" s="36" t="inlineStr">
        <is>
          <t>IF(OR(E127="",AI127=""),"",IF(COUNT(Y127:AH127)=0,"",AI127-LOOKUP(2,1/(Y127:AH127&lt;&gt;""),Y127:AH127)))</t>
        </is>
      </c>
      <c r="AU127" s="36" t="inlineStr">
        <is>
          <t>IF(OR(E127="",AJ127=""),"",IF(COUNT(Y127:AI127)=0,"",AJ127-LOOKUP(2,1/(Y127:AI127&lt;&gt;""),Y127:AI127)))</t>
        </is>
      </c>
      <c r="AV127" s="39" t="inlineStr">
        <is>
          <t>IF(G127="","All_Provinces",IFERROR(VLOOKUP(G127,'07_Lookups'!$A$4:$B$20,2,FALSE),"All_Provinces"))</t>
        </is>
      </c>
      <c r="AW127" s="39" t="inlineStr">
        <is>
          <t>IF(H127="","All_Districts",IFERROR(VLOOKUP(H127,'07_Lookups'!$E$4:$F$42,2,FALSE),"All_Districts"))</t>
        </is>
      </c>
    </row>
    <row r="128" ht="18" customHeight="1">
      <c r="A128" s="31" t="inlineStr">
        <is>
          <t>IF(E128="","",ROW()-3)</t>
        </is>
      </c>
      <c r="B128" s="32" t="n"/>
      <c r="C128" s="32" t="n"/>
      <c r="D128" s="32" t="n"/>
      <c r="E128" s="32" t="n"/>
      <c r="F128" s="32" t="n"/>
      <c r="G128" s="32" t="n"/>
      <c r="H128" s="32" t="n"/>
      <c r="I128" s="32" t="n"/>
      <c r="J128" s="32" t="n"/>
      <c r="K128" s="32" t="n"/>
      <c r="L128" s="32" t="n"/>
      <c r="M128" s="32" t="n"/>
      <c r="N128" s="33" t="n"/>
      <c r="O128" s="34" t="inlineStr">
        <is>
          <t>IF(AE128="","",AE128)</t>
        </is>
      </c>
      <c r="P128" s="35" t="n"/>
      <c r="Q128" s="34" t="inlineStr">
        <is>
          <t>IF(OR(O128="",P128=""),"",EDATE(O128,P128))</t>
        </is>
      </c>
      <c r="R128" s="35" t="n"/>
      <c r="S128" s="32" t="n"/>
      <c r="T128" s="32" t="n"/>
      <c r="U128" s="31" t="inlineStr">
        <is>
          <t>IF(E128="","",IF(COUNT(Y128:AJ128)=0,IF(S128="","Not started",S128),SUBSTITUTE(LOOKUP(2,1/(Y128:AJ128&lt;&gt;""),$Y$3:$AJ$3),"Date: ","")))</t>
        </is>
      </c>
      <c r="V128" s="36" t="inlineStr">
        <is>
          <t>IF(OR(E128="",COUNT(Y128:AJ128)=0),"",TODAY()-LOOKUP(2,1/(Y128:AJ128&lt;&gt;""),Y128:AJ128))</t>
        </is>
      </c>
      <c r="W128" s="36" t="inlineStr">
        <is>
          <t>IF(OR(E128="",COUNT(Y128:AJ128)&lt;2),"",LOOKUP(2,1/(Y128:AJ128&lt;&gt;""),Y128:AJ128)-MIN(Y128:AJ128))</t>
        </is>
      </c>
      <c r="X128" s="36" t="inlineStr">
        <is>
          <t>IF(OR(V128="",U128="Not started",U128=""),"",IFERROR(V128-IF(VLOOKUP(U128,'04_Status_Pipeline'!$B$3:$E$20,4,FALSE)="",0,VLOOKUP(U128,'04_Status_Pipeline'!$B$3:$E$20,4,FALSE)),""))</t>
        </is>
      </c>
      <c r="Y128" s="37" t="n"/>
      <c r="Z128" s="37" t="n"/>
      <c r="AA128" s="37" t="n"/>
      <c r="AB128" s="37" t="n"/>
      <c r="AC128" s="37" t="n"/>
      <c r="AD128" s="37" t="n"/>
      <c r="AE128" s="37" t="n"/>
      <c r="AF128" s="37" t="n"/>
      <c r="AG128" s="37" t="n"/>
      <c r="AH128" s="38" t="n"/>
      <c r="AI128" s="38" t="n"/>
      <c r="AJ128" s="38" t="n"/>
      <c r="AK128" s="36" t="inlineStr">
        <is>
          <t>IF(OR(E128="",Z128=""),"",IF(COUNT(Y128:Y128)=0,"",Z128-LOOKUP(2,1/(Y128:Y128&lt;&gt;""),Y128:Y128)))</t>
        </is>
      </c>
      <c r="AL128" s="36" t="inlineStr">
        <is>
          <t>IF(OR(E128="",AA128=""),"",IF(COUNT(Y128:Z128)=0,"",AA128-LOOKUP(2,1/(Y128:Z128&lt;&gt;""),Y128:Z128)))</t>
        </is>
      </c>
      <c r="AM128" s="36" t="inlineStr">
        <is>
          <t>IF(OR(E128="",AB128=""),"",IF(COUNT(Y128:AA128)=0,"",AB128-LOOKUP(2,1/(Y128:AA128&lt;&gt;""),Y128:AA128)))</t>
        </is>
      </c>
      <c r="AN128" s="36" t="inlineStr">
        <is>
          <t>IF(OR(E128="",AC128=""),"",IF(COUNT(Y128:AB128)=0,"",AC128-LOOKUP(2,1/(Y128:AB128&lt;&gt;""),Y128:AB128)))</t>
        </is>
      </c>
      <c r="AO128" s="36" t="inlineStr">
        <is>
          <t>IF(OR(E128="",AD128=""),"",IF(COUNT(Y128:AC128)=0,"",AD128-LOOKUP(2,1/(Y128:AC128&lt;&gt;""),Y128:AC128)))</t>
        </is>
      </c>
      <c r="AP128" s="36" t="inlineStr">
        <is>
          <t>IF(OR(E128="",AE128=""),"",IF(COUNT(Y128:AD128)=0,"",AE128-LOOKUP(2,1/(Y128:AD128&lt;&gt;""),Y128:AD128)))</t>
        </is>
      </c>
      <c r="AQ128" s="36" t="inlineStr">
        <is>
          <t>IF(OR(E128="",AF128=""),"",IF(COUNT(Y128:AE128)=0,"",AF128-LOOKUP(2,1/(Y128:AE128&lt;&gt;""),Y128:AE128)))</t>
        </is>
      </c>
      <c r="AR128" s="36" t="inlineStr">
        <is>
          <t>IF(OR(E128="",AG128=""),"",IF(COUNT(Y128:AF128)=0,"",AG128-LOOKUP(2,1/(Y128:AF128&lt;&gt;""),Y128:AF128)))</t>
        </is>
      </c>
      <c r="AS128" s="36" t="inlineStr">
        <is>
          <t>IF(OR(E128="",AH128=""),"",IF(COUNT(Y128:AG128)=0,"",AH128-LOOKUP(2,1/(Y128:AG128&lt;&gt;""),Y128:AG128)))</t>
        </is>
      </c>
      <c r="AT128" s="36" t="inlineStr">
        <is>
          <t>IF(OR(E128="",AI128=""),"",IF(COUNT(Y128:AH128)=0,"",AI128-LOOKUP(2,1/(Y128:AH128&lt;&gt;""),Y128:AH128)))</t>
        </is>
      </c>
      <c r="AU128" s="36" t="inlineStr">
        <is>
          <t>IF(OR(E128="",AJ128=""),"",IF(COUNT(Y128:AI128)=0,"",AJ128-LOOKUP(2,1/(Y128:AI128&lt;&gt;""),Y128:AI128)))</t>
        </is>
      </c>
      <c r="AV128" s="39" t="inlineStr">
        <is>
          <t>IF(G128="","All_Provinces",IFERROR(VLOOKUP(G128,'07_Lookups'!$A$4:$B$20,2,FALSE),"All_Provinces"))</t>
        </is>
      </c>
      <c r="AW128" s="39" t="inlineStr">
        <is>
          <t>IF(H128="","All_Districts",IFERROR(VLOOKUP(H128,'07_Lookups'!$E$4:$F$42,2,FALSE),"All_Districts"))</t>
        </is>
      </c>
    </row>
    <row r="129" ht="18" customHeight="1">
      <c r="A129" s="31" t="inlineStr">
        <is>
          <t>IF(E129="","",ROW()-3)</t>
        </is>
      </c>
      <c r="B129" s="40" t="n"/>
      <c r="C129" s="40" t="n"/>
      <c r="D129" s="40" t="n"/>
      <c r="E129" s="40" t="n"/>
      <c r="F129" s="40" t="n"/>
      <c r="G129" s="40" t="n"/>
      <c r="H129" s="40" t="n"/>
      <c r="I129" s="40" t="n"/>
      <c r="J129" s="40" t="n"/>
      <c r="K129" s="40" t="n"/>
      <c r="L129" s="40" t="n"/>
      <c r="M129" s="40" t="n"/>
      <c r="N129" s="41" t="n"/>
      <c r="O129" s="34" t="inlineStr">
        <is>
          <t>IF(AE129="","",AE129)</t>
        </is>
      </c>
      <c r="P129" s="42" t="n"/>
      <c r="Q129" s="34" t="inlineStr">
        <is>
          <t>IF(OR(O129="",P129=""),"",EDATE(O129,P129))</t>
        </is>
      </c>
      <c r="R129" s="42" t="n"/>
      <c r="S129" s="40" t="n"/>
      <c r="T129" s="40" t="n"/>
      <c r="U129" s="31" t="inlineStr">
        <is>
          <t>IF(E129="","",IF(COUNT(Y129:AJ129)=0,IF(S129="","Not started",S129),SUBSTITUTE(LOOKUP(2,1/(Y129:AJ129&lt;&gt;""),$Y$3:$AJ$3),"Date: ","")))</t>
        </is>
      </c>
      <c r="V129" s="36" t="inlineStr">
        <is>
          <t>IF(OR(E129="",COUNT(Y129:AJ129)=0),"",TODAY()-LOOKUP(2,1/(Y129:AJ129&lt;&gt;""),Y129:AJ129))</t>
        </is>
      </c>
      <c r="W129" s="36" t="inlineStr">
        <is>
          <t>IF(OR(E129="",COUNT(Y129:AJ129)&lt;2),"",LOOKUP(2,1/(Y129:AJ129&lt;&gt;""),Y129:AJ129)-MIN(Y129:AJ129))</t>
        </is>
      </c>
      <c r="X129" s="36" t="inlineStr">
        <is>
          <t>IF(OR(V129="",U129="Not started",U129=""),"",IFERROR(V129-IF(VLOOKUP(U129,'04_Status_Pipeline'!$B$3:$E$20,4,FALSE)="",0,VLOOKUP(U129,'04_Status_Pipeline'!$B$3:$E$20,4,FALSE)),""))</t>
        </is>
      </c>
      <c r="Y129" s="43" t="n"/>
      <c r="Z129" s="43" t="n"/>
      <c r="AA129" s="43" t="n"/>
      <c r="AB129" s="43" t="n"/>
      <c r="AC129" s="43" t="n"/>
      <c r="AD129" s="43" t="n"/>
      <c r="AE129" s="43" t="n"/>
      <c r="AF129" s="43" t="n"/>
      <c r="AG129" s="43" t="n"/>
      <c r="AH129" s="38" t="n"/>
      <c r="AI129" s="38" t="n"/>
      <c r="AJ129" s="38" t="n"/>
      <c r="AK129" s="36" t="inlineStr">
        <is>
          <t>IF(OR(E129="",Z129=""),"",IF(COUNT(Y129:Y129)=0,"",Z129-LOOKUP(2,1/(Y129:Y129&lt;&gt;""),Y129:Y129)))</t>
        </is>
      </c>
      <c r="AL129" s="36" t="inlineStr">
        <is>
          <t>IF(OR(E129="",AA129=""),"",IF(COUNT(Y129:Z129)=0,"",AA129-LOOKUP(2,1/(Y129:Z129&lt;&gt;""),Y129:Z129)))</t>
        </is>
      </c>
      <c r="AM129" s="36" t="inlineStr">
        <is>
          <t>IF(OR(E129="",AB129=""),"",IF(COUNT(Y129:AA129)=0,"",AB129-LOOKUP(2,1/(Y129:AA129&lt;&gt;""),Y129:AA129)))</t>
        </is>
      </c>
      <c r="AN129" s="36" t="inlineStr">
        <is>
          <t>IF(OR(E129="",AC129=""),"",IF(COUNT(Y129:AB129)=0,"",AC129-LOOKUP(2,1/(Y129:AB129&lt;&gt;""),Y129:AB129)))</t>
        </is>
      </c>
      <c r="AO129" s="36" t="inlineStr">
        <is>
          <t>IF(OR(E129="",AD129=""),"",IF(COUNT(Y129:AC129)=0,"",AD129-LOOKUP(2,1/(Y129:AC129&lt;&gt;""),Y129:AC129)))</t>
        </is>
      </c>
      <c r="AP129" s="36" t="inlineStr">
        <is>
          <t>IF(OR(E129="",AE129=""),"",IF(COUNT(Y129:AD129)=0,"",AE129-LOOKUP(2,1/(Y129:AD129&lt;&gt;""),Y129:AD129)))</t>
        </is>
      </c>
      <c r="AQ129" s="36" t="inlineStr">
        <is>
          <t>IF(OR(E129="",AF129=""),"",IF(COUNT(Y129:AE129)=0,"",AF129-LOOKUP(2,1/(Y129:AE129&lt;&gt;""),Y129:AE129)))</t>
        </is>
      </c>
      <c r="AR129" s="36" t="inlineStr">
        <is>
          <t>IF(OR(E129="",AG129=""),"",IF(COUNT(Y129:AF129)=0,"",AG129-LOOKUP(2,1/(Y129:AF129&lt;&gt;""),Y129:AF129)))</t>
        </is>
      </c>
      <c r="AS129" s="36" t="inlineStr">
        <is>
          <t>IF(OR(E129="",AH129=""),"",IF(COUNT(Y129:AG129)=0,"",AH129-LOOKUP(2,1/(Y129:AG129&lt;&gt;""),Y129:AG129)))</t>
        </is>
      </c>
      <c r="AT129" s="36" t="inlineStr">
        <is>
          <t>IF(OR(E129="",AI129=""),"",IF(COUNT(Y129:AH129)=0,"",AI129-LOOKUP(2,1/(Y129:AH129&lt;&gt;""),Y129:AH129)))</t>
        </is>
      </c>
      <c r="AU129" s="36" t="inlineStr">
        <is>
          <t>IF(OR(E129="",AJ129=""),"",IF(COUNT(Y129:AI129)=0,"",AJ129-LOOKUP(2,1/(Y129:AI129&lt;&gt;""),Y129:AI129)))</t>
        </is>
      </c>
      <c r="AV129" s="39" t="inlineStr">
        <is>
          <t>IF(G129="","All_Provinces",IFERROR(VLOOKUP(G129,'07_Lookups'!$A$4:$B$20,2,FALSE),"All_Provinces"))</t>
        </is>
      </c>
      <c r="AW129" s="39" t="inlineStr">
        <is>
          <t>IF(H129="","All_Districts",IFERROR(VLOOKUP(H129,'07_Lookups'!$E$4:$F$42,2,FALSE),"All_Districts"))</t>
        </is>
      </c>
    </row>
    <row r="130" ht="18" customHeight="1">
      <c r="A130" s="31" t="inlineStr">
        <is>
          <t>IF(E130="","",ROW()-3)</t>
        </is>
      </c>
      <c r="B130" s="32" t="n"/>
      <c r="C130" s="32" t="n"/>
      <c r="D130" s="32" t="n"/>
      <c r="E130" s="32" t="n"/>
      <c r="F130" s="32" t="n"/>
      <c r="G130" s="32" t="n"/>
      <c r="H130" s="32" t="n"/>
      <c r="I130" s="32" t="n"/>
      <c r="J130" s="32" t="n"/>
      <c r="K130" s="32" t="n"/>
      <c r="L130" s="32" t="n"/>
      <c r="M130" s="32" t="n"/>
      <c r="N130" s="33" t="n"/>
      <c r="O130" s="34" t="inlineStr">
        <is>
          <t>IF(AE130="","",AE130)</t>
        </is>
      </c>
      <c r="P130" s="35" t="n"/>
      <c r="Q130" s="34" t="inlineStr">
        <is>
          <t>IF(OR(O130="",P130=""),"",EDATE(O130,P130))</t>
        </is>
      </c>
      <c r="R130" s="35" t="n"/>
      <c r="S130" s="32" t="n"/>
      <c r="T130" s="32" t="n"/>
      <c r="U130" s="31" t="inlineStr">
        <is>
          <t>IF(E130="","",IF(COUNT(Y130:AJ130)=0,IF(S130="","Not started",S130),SUBSTITUTE(LOOKUP(2,1/(Y130:AJ130&lt;&gt;""),$Y$3:$AJ$3),"Date: ","")))</t>
        </is>
      </c>
      <c r="V130" s="36" t="inlineStr">
        <is>
          <t>IF(OR(E130="",COUNT(Y130:AJ130)=0),"",TODAY()-LOOKUP(2,1/(Y130:AJ130&lt;&gt;""),Y130:AJ130))</t>
        </is>
      </c>
      <c r="W130" s="36" t="inlineStr">
        <is>
          <t>IF(OR(E130="",COUNT(Y130:AJ130)&lt;2),"",LOOKUP(2,1/(Y130:AJ130&lt;&gt;""),Y130:AJ130)-MIN(Y130:AJ130))</t>
        </is>
      </c>
      <c r="X130" s="36" t="inlineStr">
        <is>
          <t>IF(OR(V130="",U130="Not started",U130=""),"",IFERROR(V130-IF(VLOOKUP(U130,'04_Status_Pipeline'!$B$3:$E$20,4,FALSE)="",0,VLOOKUP(U130,'04_Status_Pipeline'!$B$3:$E$20,4,FALSE)),""))</t>
        </is>
      </c>
      <c r="Y130" s="37" t="n"/>
      <c r="Z130" s="37" t="n"/>
      <c r="AA130" s="37" t="n"/>
      <c r="AB130" s="37" t="n"/>
      <c r="AC130" s="37" t="n"/>
      <c r="AD130" s="37" t="n"/>
      <c r="AE130" s="37" t="n"/>
      <c r="AF130" s="37" t="n"/>
      <c r="AG130" s="37" t="n"/>
      <c r="AH130" s="38" t="n"/>
      <c r="AI130" s="38" t="n"/>
      <c r="AJ130" s="38" t="n"/>
      <c r="AK130" s="36" t="inlineStr">
        <is>
          <t>IF(OR(E130="",Z130=""),"",IF(COUNT(Y130:Y130)=0,"",Z130-LOOKUP(2,1/(Y130:Y130&lt;&gt;""),Y130:Y130)))</t>
        </is>
      </c>
      <c r="AL130" s="36" t="inlineStr">
        <is>
          <t>IF(OR(E130="",AA130=""),"",IF(COUNT(Y130:Z130)=0,"",AA130-LOOKUP(2,1/(Y130:Z130&lt;&gt;""),Y130:Z130)))</t>
        </is>
      </c>
      <c r="AM130" s="36" t="inlineStr">
        <is>
          <t>IF(OR(E130="",AB130=""),"",IF(COUNT(Y130:AA130)=0,"",AB130-LOOKUP(2,1/(Y130:AA130&lt;&gt;""),Y130:AA130)))</t>
        </is>
      </c>
      <c r="AN130" s="36" t="inlineStr">
        <is>
          <t>IF(OR(E130="",AC130=""),"",IF(COUNT(Y130:AB130)=0,"",AC130-LOOKUP(2,1/(Y130:AB130&lt;&gt;""),Y130:AB130)))</t>
        </is>
      </c>
      <c r="AO130" s="36" t="inlineStr">
        <is>
          <t>IF(OR(E130="",AD130=""),"",IF(COUNT(Y130:AC130)=0,"",AD130-LOOKUP(2,1/(Y130:AC130&lt;&gt;""),Y130:AC130)))</t>
        </is>
      </c>
      <c r="AP130" s="36" t="inlineStr">
        <is>
          <t>IF(OR(E130="",AE130=""),"",IF(COUNT(Y130:AD130)=0,"",AE130-LOOKUP(2,1/(Y130:AD130&lt;&gt;""),Y130:AD130)))</t>
        </is>
      </c>
      <c r="AQ130" s="36" t="inlineStr">
        <is>
          <t>IF(OR(E130="",AF130=""),"",IF(COUNT(Y130:AE130)=0,"",AF130-LOOKUP(2,1/(Y130:AE130&lt;&gt;""),Y130:AE130)))</t>
        </is>
      </c>
      <c r="AR130" s="36" t="inlineStr">
        <is>
          <t>IF(OR(E130="",AG130=""),"",IF(COUNT(Y130:AF130)=0,"",AG130-LOOKUP(2,1/(Y130:AF130&lt;&gt;""),Y130:AF130)))</t>
        </is>
      </c>
      <c r="AS130" s="36" t="inlineStr">
        <is>
          <t>IF(OR(E130="",AH130=""),"",IF(COUNT(Y130:AG130)=0,"",AH130-LOOKUP(2,1/(Y130:AG130&lt;&gt;""),Y130:AG130)))</t>
        </is>
      </c>
      <c r="AT130" s="36" t="inlineStr">
        <is>
          <t>IF(OR(E130="",AI130=""),"",IF(COUNT(Y130:AH130)=0,"",AI130-LOOKUP(2,1/(Y130:AH130&lt;&gt;""),Y130:AH130)))</t>
        </is>
      </c>
      <c r="AU130" s="36" t="inlineStr">
        <is>
          <t>IF(OR(E130="",AJ130=""),"",IF(COUNT(Y130:AI130)=0,"",AJ130-LOOKUP(2,1/(Y130:AI130&lt;&gt;""),Y130:AI130)))</t>
        </is>
      </c>
      <c r="AV130" s="39" t="inlineStr">
        <is>
          <t>IF(G130="","All_Provinces",IFERROR(VLOOKUP(G130,'07_Lookups'!$A$4:$B$20,2,FALSE),"All_Provinces"))</t>
        </is>
      </c>
      <c r="AW130" s="39" t="inlineStr">
        <is>
          <t>IF(H130="","All_Districts",IFERROR(VLOOKUP(H130,'07_Lookups'!$E$4:$F$42,2,FALSE),"All_Districts"))</t>
        </is>
      </c>
    </row>
    <row r="131" ht="18" customHeight="1">
      <c r="A131" s="31" t="inlineStr">
        <is>
          <t>IF(E131="","",ROW()-3)</t>
        </is>
      </c>
      <c r="B131" s="40" t="n"/>
      <c r="C131" s="40" t="n"/>
      <c r="D131" s="40" t="n"/>
      <c r="E131" s="40" t="n"/>
      <c r="F131" s="40" t="n"/>
      <c r="G131" s="40" t="n"/>
      <c r="H131" s="40" t="n"/>
      <c r="I131" s="40" t="n"/>
      <c r="J131" s="40" t="n"/>
      <c r="K131" s="40" t="n"/>
      <c r="L131" s="40" t="n"/>
      <c r="M131" s="40" t="n"/>
      <c r="N131" s="41" t="n"/>
      <c r="O131" s="34" t="inlineStr">
        <is>
          <t>IF(AE131="","",AE131)</t>
        </is>
      </c>
      <c r="P131" s="42" t="n"/>
      <c r="Q131" s="34" t="inlineStr">
        <is>
          <t>IF(OR(O131="",P131=""),"",EDATE(O131,P131))</t>
        </is>
      </c>
      <c r="R131" s="42" t="n"/>
      <c r="S131" s="40" t="n"/>
      <c r="T131" s="40" t="n"/>
      <c r="U131" s="31" t="inlineStr">
        <is>
          <t>IF(E131="","",IF(COUNT(Y131:AJ131)=0,IF(S131="","Not started",S131),SUBSTITUTE(LOOKUP(2,1/(Y131:AJ131&lt;&gt;""),$Y$3:$AJ$3),"Date: ","")))</t>
        </is>
      </c>
      <c r="V131" s="36" t="inlineStr">
        <is>
          <t>IF(OR(E131="",COUNT(Y131:AJ131)=0),"",TODAY()-LOOKUP(2,1/(Y131:AJ131&lt;&gt;""),Y131:AJ131))</t>
        </is>
      </c>
      <c r="W131" s="36" t="inlineStr">
        <is>
          <t>IF(OR(E131="",COUNT(Y131:AJ131)&lt;2),"",LOOKUP(2,1/(Y131:AJ131&lt;&gt;""),Y131:AJ131)-MIN(Y131:AJ131))</t>
        </is>
      </c>
      <c r="X131" s="36" t="inlineStr">
        <is>
          <t>IF(OR(V131="",U131="Not started",U131=""),"",IFERROR(V131-IF(VLOOKUP(U131,'04_Status_Pipeline'!$B$3:$E$20,4,FALSE)="",0,VLOOKUP(U131,'04_Status_Pipeline'!$B$3:$E$20,4,FALSE)),""))</t>
        </is>
      </c>
      <c r="Y131" s="43" t="n"/>
      <c r="Z131" s="43" t="n"/>
      <c r="AA131" s="43" t="n"/>
      <c r="AB131" s="43" t="n"/>
      <c r="AC131" s="43" t="n"/>
      <c r="AD131" s="43" t="n"/>
      <c r="AE131" s="43" t="n"/>
      <c r="AF131" s="43" t="n"/>
      <c r="AG131" s="43" t="n"/>
      <c r="AH131" s="38" t="n"/>
      <c r="AI131" s="38" t="n"/>
      <c r="AJ131" s="38" t="n"/>
      <c r="AK131" s="36" t="inlineStr">
        <is>
          <t>IF(OR(E131="",Z131=""),"",IF(COUNT(Y131:Y131)=0,"",Z131-LOOKUP(2,1/(Y131:Y131&lt;&gt;""),Y131:Y131)))</t>
        </is>
      </c>
      <c r="AL131" s="36" t="inlineStr">
        <is>
          <t>IF(OR(E131="",AA131=""),"",IF(COUNT(Y131:Z131)=0,"",AA131-LOOKUP(2,1/(Y131:Z131&lt;&gt;""),Y131:Z131)))</t>
        </is>
      </c>
      <c r="AM131" s="36" t="inlineStr">
        <is>
          <t>IF(OR(E131="",AB131=""),"",IF(COUNT(Y131:AA131)=0,"",AB131-LOOKUP(2,1/(Y131:AA131&lt;&gt;""),Y131:AA131)))</t>
        </is>
      </c>
      <c r="AN131" s="36" t="inlineStr">
        <is>
          <t>IF(OR(E131="",AC131=""),"",IF(COUNT(Y131:AB131)=0,"",AC131-LOOKUP(2,1/(Y131:AB131&lt;&gt;""),Y131:AB131)))</t>
        </is>
      </c>
      <c r="AO131" s="36" t="inlineStr">
        <is>
          <t>IF(OR(E131="",AD131=""),"",IF(COUNT(Y131:AC131)=0,"",AD131-LOOKUP(2,1/(Y131:AC131&lt;&gt;""),Y131:AC131)))</t>
        </is>
      </c>
      <c r="AP131" s="36" t="inlineStr">
        <is>
          <t>IF(OR(E131="",AE131=""),"",IF(COUNT(Y131:AD131)=0,"",AE131-LOOKUP(2,1/(Y131:AD131&lt;&gt;""),Y131:AD131)))</t>
        </is>
      </c>
      <c r="AQ131" s="36" t="inlineStr">
        <is>
          <t>IF(OR(E131="",AF131=""),"",IF(COUNT(Y131:AE131)=0,"",AF131-LOOKUP(2,1/(Y131:AE131&lt;&gt;""),Y131:AE131)))</t>
        </is>
      </c>
      <c r="AR131" s="36" t="inlineStr">
        <is>
          <t>IF(OR(E131="",AG131=""),"",IF(COUNT(Y131:AF131)=0,"",AG131-LOOKUP(2,1/(Y131:AF131&lt;&gt;""),Y131:AF131)))</t>
        </is>
      </c>
      <c r="AS131" s="36" t="inlineStr">
        <is>
          <t>IF(OR(E131="",AH131=""),"",IF(COUNT(Y131:AG131)=0,"",AH131-LOOKUP(2,1/(Y131:AG131&lt;&gt;""),Y131:AG131)))</t>
        </is>
      </c>
      <c r="AT131" s="36" t="inlineStr">
        <is>
          <t>IF(OR(E131="",AI131=""),"",IF(COUNT(Y131:AH131)=0,"",AI131-LOOKUP(2,1/(Y131:AH131&lt;&gt;""),Y131:AH131)))</t>
        </is>
      </c>
      <c r="AU131" s="36" t="inlineStr">
        <is>
          <t>IF(OR(E131="",AJ131=""),"",IF(COUNT(Y131:AI131)=0,"",AJ131-LOOKUP(2,1/(Y131:AI131&lt;&gt;""),Y131:AI131)))</t>
        </is>
      </c>
      <c r="AV131" s="39" t="inlineStr">
        <is>
          <t>IF(G131="","All_Provinces",IFERROR(VLOOKUP(G131,'07_Lookups'!$A$4:$B$20,2,FALSE),"All_Provinces"))</t>
        </is>
      </c>
      <c r="AW131" s="39" t="inlineStr">
        <is>
          <t>IF(H131="","All_Districts",IFERROR(VLOOKUP(H131,'07_Lookups'!$E$4:$F$42,2,FALSE),"All_Districts"))</t>
        </is>
      </c>
    </row>
    <row r="132" ht="18" customHeight="1">
      <c r="A132" s="31" t="inlineStr">
        <is>
          <t>IF(E132="","",ROW()-3)</t>
        </is>
      </c>
      <c r="B132" s="32" t="n"/>
      <c r="C132" s="32" t="n"/>
      <c r="D132" s="32" t="n"/>
      <c r="E132" s="32" t="n"/>
      <c r="F132" s="32" t="n"/>
      <c r="G132" s="32" t="n"/>
      <c r="H132" s="32" t="n"/>
      <c r="I132" s="32" t="n"/>
      <c r="J132" s="32" t="n"/>
      <c r="K132" s="32" t="n"/>
      <c r="L132" s="32" t="n"/>
      <c r="M132" s="32" t="n"/>
      <c r="N132" s="33" t="n"/>
      <c r="O132" s="34" t="inlineStr">
        <is>
          <t>IF(AE132="","",AE132)</t>
        </is>
      </c>
      <c r="P132" s="35" t="n"/>
      <c r="Q132" s="34" t="inlineStr">
        <is>
          <t>IF(OR(O132="",P132=""),"",EDATE(O132,P132))</t>
        </is>
      </c>
      <c r="R132" s="35" t="n"/>
      <c r="S132" s="32" t="n"/>
      <c r="T132" s="32" t="n"/>
      <c r="U132" s="31" t="inlineStr">
        <is>
          <t>IF(E132="","",IF(COUNT(Y132:AJ132)=0,IF(S132="","Not started",S132),SUBSTITUTE(LOOKUP(2,1/(Y132:AJ132&lt;&gt;""),$Y$3:$AJ$3),"Date: ","")))</t>
        </is>
      </c>
      <c r="V132" s="36" t="inlineStr">
        <is>
          <t>IF(OR(E132="",COUNT(Y132:AJ132)=0),"",TODAY()-LOOKUP(2,1/(Y132:AJ132&lt;&gt;""),Y132:AJ132))</t>
        </is>
      </c>
      <c r="W132" s="36" t="inlineStr">
        <is>
          <t>IF(OR(E132="",COUNT(Y132:AJ132)&lt;2),"",LOOKUP(2,1/(Y132:AJ132&lt;&gt;""),Y132:AJ132)-MIN(Y132:AJ132))</t>
        </is>
      </c>
      <c r="X132" s="36" t="inlineStr">
        <is>
          <t>IF(OR(V132="",U132="Not started",U132=""),"",IFERROR(V132-IF(VLOOKUP(U132,'04_Status_Pipeline'!$B$3:$E$20,4,FALSE)="",0,VLOOKUP(U132,'04_Status_Pipeline'!$B$3:$E$20,4,FALSE)),""))</t>
        </is>
      </c>
      <c r="Y132" s="37" t="n"/>
      <c r="Z132" s="37" t="n"/>
      <c r="AA132" s="37" t="n"/>
      <c r="AB132" s="37" t="n"/>
      <c r="AC132" s="37" t="n"/>
      <c r="AD132" s="37" t="n"/>
      <c r="AE132" s="37" t="n"/>
      <c r="AF132" s="37" t="n"/>
      <c r="AG132" s="37" t="n"/>
      <c r="AH132" s="38" t="n"/>
      <c r="AI132" s="38" t="n"/>
      <c r="AJ132" s="38" t="n"/>
      <c r="AK132" s="36" t="inlineStr">
        <is>
          <t>IF(OR(E132="",Z132=""),"",IF(COUNT(Y132:Y132)=0,"",Z132-LOOKUP(2,1/(Y132:Y132&lt;&gt;""),Y132:Y132)))</t>
        </is>
      </c>
      <c r="AL132" s="36" t="inlineStr">
        <is>
          <t>IF(OR(E132="",AA132=""),"",IF(COUNT(Y132:Z132)=0,"",AA132-LOOKUP(2,1/(Y132:Z132&lt;&gt;""),Y132:Z132)))</t>
        </is>
      </c>
      <c r="AM132" s="36" t="inlineStr">
        <is>
          <t>IF(OR(E132="",AB132=""),"",IF(COUNT(Y132:AA132)=0,"",AB132-LOOKUP(2,1/(Y132:AA132&lt;&gt;""),Y132:AA132)))</t>
        </is>
      </c>
      <c r="AN132" s="36" t="inlineStr">
        <is>
          <t>IF(OR(E132="",AC132=""),"",IF(COUNT(Y132:AB132)=0,"",AC132-LOOKUP(2,1/(Y132:AB132&lt;&gt;""),Y132:AB132)))</t>
        </is>
      </c>
      <c r="AO132" s="36" t="inlineStr">
        <is>
          <t>IF(OR(E132="",AD132=""),"",IF(COUNT(Y132:AC132)=0,"",AD132-LOOKUP(2,1/(Y132:AC132&lt;&gt;""),Y132:AC132)))</t>
        </is>
      </c>
      <c r="AP132" s="36" t="inlineStr">
        <is>
          <t>IF(OR(E132="",AE132=""),"",IF(COUNT(Y132:AD132)=0,"",AE132-LOOKUP(2,1/(Y132:AD132&lt;&gt;""),Y132:AD132)))</t>
        </is>
      </c>
      <c r="AQ132" s="36" t="inlineStr">
        <is>
          <t>IF(OR(E132="",AF132=""),"",IF(COUNT(Y132:AE132)=0,"",AF132-LOOKUP(2,1/(Y132:AE132&lt;&gt;""),Y132:AE132)))</t>
        </is>
      </c>
      <c r="AR132" s="36" t="inlineStr">
        <is>
          <t>IF(OR(E132="",AG132=""),"",IF(COUNT(Y132:AF132)=0,"",AG132-LOOKUP(2,1/(Y132:AF132&lt;&gt;""),Y132:AF132)))</t>
        </is>
      </c>
      <c r="AS132" s="36" t="inlineStr">
        <is>
          <t>IF(OR(E132="",AH132=""),"",IF(COUNT(Y132:AG132)=0,"",AH132-LOOKUP(2,1/(Y132:AG132&lt;&gt;""),Y132:AG132)))</t>
        </is>
      </c>
      <c r="AT132" s="36" t="inlineStr">
        <is>
          <t>IF(OR(E132="",AI132=""),"",IF(COUNT(Y132:AH132)=0,"",AI132-LOOKUP(2,1/(Y132:AH132&lt;&gt;""),Y132:AH132)))</t>
        </is>
      </c>
      <c r="AU132" s="36" t="inlineStr">
        <is>
          <t>IF(OR(E132="",AJ132=""),"",IF(COUNT(Y132:AI132)=0,"",AJ132-LOOKUP(2,1/(Y132:AI132&lt;&gt;""),Y132:AI132)))</t>
        </is>
      </c>
      <c r="AV132" s="39" t="inlineStr">
        <is>
          <t>IF(G132="","All_Provinces",IFERROR(VLOOKUP(G132,'07_Lookups'!$A$4:$B$20,2,FALSE),"All_Provinces"))</t>
        </is>
      </c>
      <c r="AW132" s="39" t="inlineStr">
        <is>
          <t>IF(H132="","All_Districts",IFERROR(VLOOKUP(H132,'07_Lookups'!$E$4:$F$42,2,FALSE),"All_Districts"))</t>
        </is>
      </c>
    </row>
    <row r="133" ht="18" customHeight="1">
      <c r="A133" s="31" t="inlineStr">
        <is>
          <t>IF(E133="","",ROW()-3)</t>
        </is>
      </c>
      <c r="B133" s="40" t="n"/>
      <c r="C133" s="40" t="n"/>
      <c r="D133" s="40" t="n"/>
      <c r="E133" s="40" t="n"/>
      <c r="F133" s="40" t="n"/>
      <c r="G133" s="40" t="n"/>
      <c r="H133" s="40" t="n"/>
      <c r="I133" s="40" t="n"/>
      <c r="J133" s="40" t="n"/>
      <c r="K133" s="40" t="n"/>
      <c r="L133" s="40" t="n"/>
      <c r="M133" s="40" t="n"/>
      <c r="N133" s="41" t="n"/>
      <c r="O133" s="34" t="inlineStr">
        <is>
          <t>IF(AE133="","",AE133)</t>
        </is>
      </c>
      <c r="P133" s="42" t="n"/>
      <c r="Q133" s="34" t="inlineStr">
        <is>
          <t>IF(OR(O133="",P133=""),"",EDATE(O133,P133))</t>
        </is>
      </c>
      <c r="R133" s="42" t="n"/>
      <c r="S133" s="40" t="n"/>
      <c r="T133" s="40" t="n"/>
      <c r="U133" s="31" t="inlineStr">
        <is>
          <t>IF(E133="","",IF(COUNT(Y133:AJ133)=0,IF(S133="","Not started",S133),SUBSTITUTE(LOOKUP(2,1/(Y133:AJ133&lt;&gt;""),$Y$3:$AJ$3),"Date: ","")))</t>
        </is>
      </c>
      <c r="V133" s="36" t="inlineStr">
        <is>
          <t>IF(OR(E133="",COUNT(Y133:AJ133)=0),"",TODAY()-LOOKUP(2,1/(Y133:AJ133&lt;&gt;""),Y133:AJ133))</t>
        </is>
      </c>
      <c r="W133" s="36" t="inlineStr">
        <is>
          <t>IF(OR(E133="",COUNT(Y133:AJ133)&lt;2),"",LOOKUP(2,1/(Y133:AJ133&lt;&gt;""),Y133:AJ133)-MIN(Y133:AJ133))</t>
        </is>
      </c>
      <c r="X133" s="36" t="inlineStr">
        <is>
          <t>IF(OR(V133="",U133="Not started",U133=""),"",IFERROR(V133-IF(VLOOKUP(U133,'04_Status_Pipeline'!$B$3:$E$20,4,FALSE)="",0,VLOOKUP(U133,'04_Status_Pipeline'!$B$3:$E$20,4,FALSE)),""))</t>
        </is>
      </c>
      <c r="Y133" s="43" t="n"/>
      <c r="Z133" s="43" t="n"/>
      <c r="AA133" s="43" t="n"/>
      <c r="AB133" s="43" t="n"/>
      <c r="AC133" s="43" t="n"/>
      <c r="AD133" s="43" t="n"/>
      <c r="AE133" s="43" t="n"/>
      <c r="AF133" s="43" t="n"/>
      <c r="AG133" s="43" t="n"/>
      <c r="AH133" s="38" t="n"/>
      <c r="AI133" s="38" t="n"/>
      <c r="AJ133" s="38" t="n"/>
      <c r="AK133" s="36" t="inlineStr">
        <is>
          <t>IF(OR(E133="",Z133=""),"",IF(COUNT(Y133:Y133)=0,"",Z133-LOOKUP(2,1/(Y133:Y133&lt;&gt;""),Y133:Y133)))</t>
        </is>
      </c>
      <c r="AL133" s="36" t="inlineStr">
        <is>
          <t>IF(OR(E133="",AA133=""),"",IF(COUNT(Y133:Z133)=0,"",AA133-LOOKUP(2,1/(Y133:Z133&lt;&gt;""),Y133:Z133)))</t>
        </is>
      </c>
      <c r="AM133" s="36" t="inlineStr">
        <is>
          <t>IF(OR(E133="",AB133=""),"",IF(COUNT(Y133:AA133)=0,"",AB133-LOOKUP(2,1/(Y133:AA133&lt;&gt;""),Y133:AA133)))</t>
        </is>
      </c>
      <c r="AN133" s="36" t="inlineStr">
        <is>
          <t>IF(OR(E133="",AC133=""),"",IF(COUNT(Y133:AB133)=0,"",AC133-LOOKUP(2,1/(Y133:AB133&lt;&gt;""),Y133:AB133)))</t>
        </is>
      </c>
      <c r="AO133" s="36" t="inlineStr">
        <is>
          <t>IF(OR(E133="",AD133=""),"",IF(COUNT(Y133:AC133)=0,"",AD133-LOOKUP(2,1/(Y133:AC133&lt;&gt;""),Y133:AC133)))</t>
        </is>
      </c>
      <c r="AP133" s="36" t="inlineStr">
        <is>
          <t>IF(OR(E133="",AE133=""),"",IF(COUNT(Y133:AD133)=0,"",AE133-LOOKUP(2,1/(Y133:AD133&lt;&gt;""),Y133:AD133)))</t>
        </is>
      </c>
      <c r="AQ133" s="36" t="inlineStr">
        <is>
          <t>IF(OR(E133="",AF133=""),"",IF(COUNT(Y133:AE133)=0,"",AF133-LOOKUP(2,1/(Y133:AE133&lt;&gt;""),Y133:AE133)))</t>
        </is>
      </c>
      <c r="AR133" s="36" t="inlineStr">
        <is>
          <t>IF(OR(E133="",AG133=""),"",IF(COUNT(Y133:AF133)=0,"",AG133-LOOKUP(2,1/(Y133:AF133&lt;&gt;""),Y133:AF133)))</t>
        </is>
      </c>
      <c r="AS133" s="36" t="inlineStr">
        <is>
          <t>IF(OR(E133="",AH133=""),"",IF(COUNT(Y133:AG133)=0,"",AH133-LOOKUP(2,1/(Y133:AG133&lt;&gt;""),Y133:AG133)))</t>
        </is>
      </c>
      <c r="AT133" s="36" t="inlineStr">
        <is>
          <t>IF(OR(E133="",AI133=""),"",IF(COUNT(Y133:AH133)=0,"",AI133-LOOKUP(2,1/(Y133:AH133&lt;&gt;""),Y133:AH133)))</t>
        </is>
      </c>
      <c r="AU133" s="36" t="inlineStr">
        <is>
          <t>IF(OR(E133="",AJ133=""),"",IF(COUNT(Y133:AI133)=0,"",AJ133-LOOKUP(2,1/(Y133:AI133&lt;&gt;""),Y133:AI133)))</t>
        </is>
      </c>
      <c r="AV133" s="39" t="inlineStr">
        <is>
          <t>IF(G133="","All_Provinces",IFERROR(VLOOKUP(G133,'07_Lookups'!$A$4:$B$20,2,FALSE),"All_Provinces"))</t>
        </is>
      </c>
      <c r="AW133" s="39" t="inlineStr">
        <is>
          <t>IF(H133="","All_Districts",IFERROR(VLOOKUP(H133,'07_Lookups'!$E$4:$F$42,2,FALSE),"All_Districts"))</t>
        </is>
      </c>
    </row>
    <row r="134" ht="18" customHeight="1">
      <c r="A134" s="31" t="inlineStr">
        <is>
          <t>IF(E134="","",ROW()-3)</t>
        </is>
      </c>
      <c r="B134" s="32" t="n"/>
      <c r="C134" s="32" t="n"/>
      <c r="D134" s="32" t="n"/>
      <c r="E134" s="32" t="n"/>
      <c r="F134" s="32" t="n"/>
      <c r="G134" s="32" t="n"/>
      <c r="H134" s="32" t="n"/>
      <c r="I134" s="32" t="n"/>
      <c r="J134" s="32" t="n"/>
      <c r="K134" s="32" t="n"/>
      <c r="L134" s="32" t="n"/>
      <c r="M134" s="32" t="n"/>
      <c r="N134" s="33" t="n"/>
      <c r="O134" s="34" t="inlineStr">
        <is>
          <t>IF(AE134="","",AE134)</t>
        </is>
      </c>
      <c r="P134" s="35" t="n"/>
      <c r="Q134" s="34" t="inlineStr">
        <is>
          <t>IF(OR(O134="",P134=""),"",EDATE(O134,P134))</t>
        </is>
      </c>
      <c r="R134" s="35" t="n"/>
      <c r="S134" s="32" t="n"/>
      <c r="T134" s="32" t="n"/>
      <c r="U134" s="31" t="inlineStr">
        <is>
          <t>IF(E134="","",IF(COUNT(Y134:AJ134)=0,IF(S134="","Not started",S134),SUBSTITUTE(LOOKUP(2,1/(Y134:AJ134&lt;&gt;""),$Y$3:$AJ$3),"Date: ","")))</t>
        </is>
      </c>
      <c r="V134" s="36" t="inlineStr">
        <is>
          <t>IF(OR(E134="",COUNT(Y134:AJ134)=0),"",TODAY()-LOOKUP(2,1/(Y134:AJ134&lt;&gt;""),Y134:AJ134))</t>
        </is>
      </c>
      <c r="W134" s="36" t="inlineStr">
        <is>
          <t>IF(OR(E134="",COUNT(Y134:AJ134)&lt;2),"",LOOKUP(2,1/(Y134:AJ134&lt;&gt;""),Y134:AJ134)-MIN(Y134:AJ134))</t>
        </is>
      </c>
      <c r="X134" s="36" t="inlineStr">
        <is>
          <t>IF(OR(V134="",U134="Not started",U134=""),"",IFERROR(V134-IF(VLOOKUP(U134,'04_Status_Pipeline'!$B$3:$E$20,4,FALSE)="",0,VLOOKUP(U134,'04_Status_Pipeline'!$B$3:$E$20,4,FALSE)),""))</t>
        </is>
      </c>
      <c r="Y134" s="37" t="n"/>
      <c r="Z134" s="37" t="n"/>
      <c r="AA134" s="37" t="n"/>
      <c r="AB134" s="37" t="n"/>
      <c r="AC134" s="37" t="n"/>
      <c r="AD134" s="37" t="n"/>
      <c r="AE134" s="37" t="n"/>
      <c r="AF134" s="37" t="n"/>
      <c r="AG134" s="37" t="n"/>
      <c r="AH134" s="38" t="n"/>
      <c r="AI134" s="38" t="n"/>
      <c r="AJ134" s="38" t="n"/>
      <c r="AK134" s="36" t="inlineStr">
        <is>
          <t>IF(OR(E134="",Z134=""),"",IF(COUNT(Y134:Y134)=0,"",Z134-LOOKUP(2,1/(Y134:Y134&lt;&gt;""),Y134:Y134)))</t>
        </is>
      </c>
      <c r="AL134" s="36" t="inlineStr">
        <is>
          <t>IF(OR(E134="",AA134=""),"",IF(COUNT(Y134:Z134)=0,"",AA134-LOOKUP(2,1/(Y134:Z134&lt;&gt;""),Y134:Z134)))</t>
        </is>
      </c>
      <c r="AM134" s="36" t="inlineStr">
        <is>
          <t>IF(OR(E134="",AB134=""),"",IF(COUNT(Y134:AA134)=0,"",AB134-LOOKUP(2,1/(Y134:AA134&lt;&gt;""),Y134:AA134)))</t>
        </is>
      </c>
      <c r="AN134" s="36" t="inlineStr">
        <is>
          <t>IF(OR(E134="",AC134=""),"",IF(COUNT(Y134:AB134)=0,"",AC134-LOOKUP(2,1/(Y134:AB134&lt;&gt;""),Y134:AB134)))</t>
        </is>
      </c>
      <c r="AO134" s="36" t="inlineStr">
        <is>
          <t>IF(OR(E134="",AD134=""),"",IF(COUNT(Y134:AC134)=0,"",AD134-LOOKUP(2,1/(Y134:AC134&lt;&gt;""),Y134:AC134)))</t>
        </is>
      </c>
      <c r="AP134" s="36" t="inlineStr">
        <is>
          <t>IF(OR(E134="",AE134=""),"",IF(COUNT(Y134:AD134)=0,"",AE134-LOOKUP(2,1/(Y134:AD134&lt;&gt;""),Y134:AD134)))</t>
        </is>
      </c>
      <c r="AQ134" s="36" t="inlineStr">
        <is>
          <t>IF(OR(E134="",AF134=""),"",IF(COUNT(Y134:AE134)=0,"",AF134-LOOKUP(2,1/(Y134:AE134&lt;&gt;""),Y134:AE134)))</t>
        </is>
      </c>
      <c r="AR134" s="36" t="inlineStr">
        <is>
          <t>IF(OR(E134="",AG134=""),"",IF(COUNT(Y134:AF134)=0,"",AG134-LOOKUP(2,1/(Y134:AF134&lt;&gt;""),Y134:AF134)))</t>
        </is>
      </c>
      <c r="AS134" s="36" t="inlineStr">
        <is>
          <t>IF(OR(E134="",AH134=""),"",IF(COUNT(Y134:AG134)=0,"",AH134-LOOKUP(2,1/(Y134:AG134&lt;&gt;""),Y134:AG134)))</t>
        </is>
      </c>
      <c r="AT134" s="36" t="inlineStr">
        <is>
          <t>IF(OR(E134="",AI134=""),"",IF(COUNT(Y134:AH134)=0,"",AI134-LOOKUP(2,1/(Y134:AH134&lt;&gt;""),Y134:AH134)))</t>
        </is>
      </c>
      <c r="AU134" s="36" t="inlineStr">
        <is>
          <t>IF(OR(E134="",AJ134=""),"",IF(COUNT(Y134:AI134)=0,"",AJ134-LOOKUP(2,1/(Y134:AI134&lt;&gt;""),Y134:AI134)))</t>
        </is>
      </c>
      <c r="AV134" s="39" t="inlineStr">
        <is>
          <t>IF(G134="","All_Provinces",IFERROR(VLOOKUP(G134,'07_Lookups'!$A$4:$B$20,2,FALSE),"All_Provinces"))</t>
        </is>
      </c>
      <c r="AW134" s="39" t="inlineStr">
        <is>
          <t>IF(H134="","All_Districts",IFERROR(VLOOKUP(H134,'07_Lookups'!$E$4:$F$42,2,FALSE),"All_Districts"))</t>
        </is>
      </c>
    </row>
    <row r="135" ht="18" customHeight="1">
      <c r="A135" s="31" t="inlineStr">
        <is>
          <t>IF(E135="","",ROW()-3)</t>
        </is>
      </c>
      <c r="B135" s="40" t="n"/>
      <c r="C135" s="40" t="n"/>
      <c r="D135" s="40" t="n"/>
      <c r="E135" s="40" t="n"/>
      <c r="F135" s="40" t="n"/>
      <c r="G135" s="40" t="n"/>
      <c r="H135" s="40" t="n"/>
      <c r="I135" s="40" t="n"/>
      <c r="J135" s="40" t="n"/>
      <c r="K135" s="40" t="n"/>
      <c r="L135" s="40" t="n"/>
      <c r="M135" s="40" t="n"/>
      <c r="N135" s="41" t="n"/>
      <c r="O135" s="34" t="inlineStr">
        <is>
          <t>IF(AE135="","",AE135)</t>
        </is>
      </c>
      <c r="P135" s="42" t="n"/>
      <c r="Q135" s="34" t="inlineStr">
        <is>
          <t>IF(OR(O135="",P135=""),"",EDATE(O135,P135))</t>
        </is>
      </c>
      <c r="R135" s="42" t="n"/>
      <c r="S135" s="40" t="n"/>
      <c r="T135" s="40" t="n"/>
      <c r="U135" s="31" t="inlineStr">
        <is>
          <t>IF(E135="","",IF(COUNT(Y135:AJ135)=0,IF(S135="","Not started",S135),SUBSTITUTE(LOOKUP(2,1/(Y135:AJ135&lt;&gt;""),$Y$3:$AJ$3),"Date: ","")))</t>
        </is>
      </c>
      <c r="V135" s="36" t="inlineStr">
        <is>
          <t>IF(OR(E135="",COUNT(Y135:AJ135)=0),"",TODAY()-LOOKUP(2,1/(Y135:AJ135&lt;&gt;""),Y135:AJ135))</t>
        </is>
      </c>
      <c r="W135" s="36" t="inlineStr">
        <is>
          <t>IF(OR(E135="",COUNT(Y135:AJ135)&lt;2),"",LOOKUP(2,1/(Y135:AJ135&lt;&gt;""),Y135:AJ135)-MIN(Y135:AJ135))</t>
        </is>
      </c>
      <c r="X135" s="36" t="inlineStr">
        <is>
          <t>IF(OR(V135="",U135="Not started",U135=""),"",IFERROR(V135-IF(VLOOKUP(U135,'04_Status_Pipeline'!$B$3:$E$20,4,FALSE)="",0,VLOOKUP(U135,'04_Status_Pipeline'!$B$3:$E$20,4,FALSE)),""))</t>
        </is>
      </c>
      <c r="Y135" s="43" t="n"/>
      <c r="Z135" s="43" t="n"/>
      <c r="AA135" s="43" t="n"/>
      <c r="AB135" s="43" t="n"/>
      <c r="AC135" s="43" t="n"/>
      <c r="AD135" s="43" t="n"/>
      <c r="AE135" s="43" t="n"/>
      <c r="AF135" s="43" t="n"/>
      <c r="AG135" s="43" t="n"/>
      <c r="AH135" s="38" t="n"/>
      <c r="AI135" s="38" t="n"/>
      <c r="AJ135" s="38" t="n"/>
      <c r="AK135" s="36" t="inlineStr">
        <is>
          <t>IF(OR(E135="",Z135=""),"",IF(COUNT(Y135:Y135)=0,"",Z135-LOOKUP(2,1/(Y135:Y135&lt;&gt;""),Y135:Y135)))</t>
        </is>
      </c>
      <c r="AL135" s="36" t="inlineStr">
        <is>
          <t>IF(OR(E135="",AA135=""),"",IF(COUNT(Y135:Z135)=0,"",AA135-LOOKUP(2,1/(Y135:Z135&lt;&gt;""),Y135:Z135)))</t>
        </is>
      </c>
      <c r="AM135" s="36" t="inlineStr">
        <is>
          <t>IF(OR(E135="",AB135=""),"",IF(COUNT(Y135:AA135)=0,"",AB135-LOOKUP(2,1/(Y135:AA135&lt;&gt;""),Y135:AA135)))</t>
        </is>
      </c>
      <c r="AN135" s="36" t="inlineStr">
        <is>
          <t>IF(OR(E135="",AC135=""),"",IF(COUNT(Y135:AB135)=0,"",AC135-LOOKUP(2,1/(Y135:AB135&lt;&gt;""),Y135:AB135)))</t>
        </is>
      </c>
      <c r="AO135" s="36" t="inlineStr">
        <is>
          <t>IF(OR(E135="",AD135=""),"",IF(COUNT(Y135:AC135)=0,"",AD135-LOOKUP(2,1/(Y135:AC135&lt;&gt;""),Y135:AC135)))</t>
        </is>
      </c>
      <c r="AP135" s="36" t="inlineStr">
        <is>
          <t>IF(OR(E135="",AE135=""),"",IF(COUNT(Y135:AD135)=0,"",AE135-LOOKUP(2,1/(Y135:AD135&lt;&gt;""),Y135:AD135)))</t>
        </is>
      </c>
      <c r="AQ135" s="36" t="inlineStr">
        <is>
          <t>IF(OR(E135="",AF135=""),"",IF(COUNT(Y135:AE135)=0,"",AF135-LOOKUP(2,1/(Y135:AE135&lt;&gt;""),Y135:AE135)))</t>
        </is>
      </c>
      <c r="AR135" s="36" t="inlineStr">
        <is>
          <t>IF(OR(E135="",AG135=""),"",IF(COUNT(Y135:AF135)=0,"",AG135-LOOKUP(2,1/(Y135:AF135&lt;&gt;""),Y135:AF135)))</t>
        </is>
      </c>
      <c r="AS135" s="36" t="inlineStr">
        <is>
          <t>IF(OR(E135="",AH135=""),"",IF(COUNT(Y135:AG135)=0,"",AH135-LOOKUP(2,1/(Y135:AG135&lt;&gt;""),Y135:AG135)))</t>
        </is>
      </c>
      <c r="AT135" s="36" t="inlineStr">
        <is>
          <t>IF(OR(E135="",AI135=""),"",IF(COUNT(Y135:AH135)=0,"",AI135-LOOKUP(2,1/(Y135:AH135&lt;&gt;""),Y135:AH135)))</t>
        </is>
      </c>
      <c r="AU135" s="36" t="inlineStr">
        <is>
          <t>IF(OR(E135="",AJ135=""),"",IF(COUNT(Y135:AI135)=0,"",AJ135-LOOKUP(2,1/(Y135:AI135&lt;&gt;""),Y135:AI135)))</t>
        </is>
      </c>
      <c r="AV135" s="39" t="inlineStr">
        <is>
          <t>IF(G135="","All_Provinces",IFERROR(VLOOKUP(G135,'07_Lookups'!$A$4:$B$20,2,FALSE),"All_Provinces"))</t>
        </is>
      </c>
      <c r="AW135" s="39" t="inlineStr">
        <is>
          <t>IF(H135="","All_Districts",IFERROR(VLOOKUP(H135,'07_Lookups'!$E$4:$F$42,2,FALSE),"All_Districts"))</t>
        </is>
      </c>
    </row>
    <row r="136" ht="18" customHeight="1">
      <c r="A136" s="31" t="inlineStr">
        <is>
          <t>IF(E136="","",ROW()-3)</t>
        </is>
      </c>
      <c r="B136" s="32" t="n"/>
      <c r="C136" s="32" t="n"/>
      <c r="D136" s="32" t="n"/>
      <c r="E136" s="32" t="n"/>
      <c r="F136" s="32" t="n"/>
      <c r="G136" s="32" t="n"/>
      <c r="H136" s="32" t="n"/>
      <c r="I136" s="32" t="n"/>
      <c r="J136" s="32" t="n"/>
      <c r="K136" s="32" t="n"/>
      <c r="L136" s="32" t="n"/>
      <c r="M136" s="32" t="n"/>
      <c r="N136" s="33" t="n"/>
      <c r="O136" s="34" t="inlineStr">
        <is>
          <t>IF(AE136="","",AE136)</t>
        </is>
      </c>
      <c r="P136" s="35" t="n"/>
      <c r="Q136" s="34" t="inlineStr">
        <is>
          <t>IF(OR(O136="",P136=""),"",EDATE(O136,P136))</t>
        </is>
      </c>
      <c r="R136" s="35" t="n"/>
      <c r="S136" s="32" t="n"/>
      <c r="T136" s="32" t="n"/>
      <c r="U136" s="31" t="inlineStr">
        <is>
          <t>IF(E136="","",IF(COUNT(Y136:AJ136)=0,IF(S136="","Not started",S136),SUBSTITUTE(LOOKUP(2,1/(Y136:AJ136&lt;&gt;""),$Y$3:$AJ$3),"Date: ","")))</t>
        </is>
      </c>
      <c r="V136" s="36" t="inlineStr">
        <is>
          <t>IF(OR(E136="",COUNT(Y136:AJ136)=0),"",TODAY()-LOOKUP(2,1/(Y136:AJ136&lt;&gt;""),Y136:AJ136))</t>
        </is>
      </c>
      <c r="W136" s="36" t="inlineStr">
        <is>
          <t>IF(OR(E136="",COUNT(Y136:AJ136)&lt;2),"",LOOKUP(2,1/(Y136:AJ136&lt;&gt;""),Y136:AJ136)-MIN(Y136:AJ136))</t>
        </is>
      </c>
      <c r="X136" s="36" t="inlineStr">
        <is>
          <t>IF(OR(V136="",U136="Not started",U136=""),"",IFERROR(V136-IF(VLOOKUP(U136,'04_Status_Pipeline'!$B$3:$E$20,4,FALSE)="",0,VLOOKUP(U136,'04_Status_Pipeline'!$B$3:$E$20,4,FALSE)),""))</t>
        </is>
      </c>
      <c r="Y136" s="37" t="n"/>
      <c r="Z136" s="37" t="n"/>
      <c r="AA136" s="37" t="n"/>
      <c r="AB136" s="37" t="n"/>
      <c r="AC136" s="37" t="n"/>
      <c r="AD136" s="37" t="n"/>
      <c r="AE136" s="37" t="n"/>
      <c r="AF136" s="37" t="n"/>
      <c r="AG136" s="37" t="n"/>
      <c r="AH136" s="38" t="n"/>
      <c r="AI136" s="38" t="n"/>
      <c r="AJ136" s="38" t="n"/>
      <c r="AK136" s="36" t="inlineStr">
        <is>
          <t>IF(OR(E136="",Z136=""),"",IF(COUNT(Y136:Y136)=0,"",Z136-LOOKUP(2,1/(Y136:Y136&lt;&gt;""),Y136:Y136)))</t>
        </is>
      </c>
      <c r="AL136" s="36" t="inlineStr">
        <is>
          <t>IF(OR(E136="",AA136=""),"",IF(COUNT(Y136:Z136)=0,"",AA136-LOOKUP(2,1/(Y136:Z136&lt;&gt;""),Y136:Z136)))</t>
        </is>
      </c>
      <c r="AM136" s="36" t="inlineStr">
        <is>
          <t>IF(OR(E136="",AB136=""),"",IF(COUNT(Y136:AA136)=0,"",AB136-LOOKUP(2,1/(Y136:AA136&lt;&gt;""),Y136:AA136)))</t>
        </is>
      </c>
      <c r="AN136" s="36" t="inlineStr">
        <is>
          <t>IF(OR(E136="",AC136=""),"",IF(COUNT(Y136:AB136)=0,"",AC136-LOOKUP(2,1/(Y136:AB136&lt;&gt;""),Y136:AB136)))</t>
        </is>
      </c>
      <c r="AO136" s="36" t="inlineStr">
        <is>
          <t>IF(OR(E136="",AD136=""),"",IF(COUNT(Y136:AC136)=0,"",AD136-LOOKUP(2,1/(Y136:AC136&lt;&gt;""),Y136:AC136)))</t>
        </is>
      </c>
      <c r="AP136" s="36" t="inlineStr">
        <is>
          <t>IF(OR(E136="",AE136=""),"",IF(COUNT(Y136:AD136)=0,"",AE136-LOOKUP(2,1/(Y136:AD136&lt;&gt;""),Y136:AD136)))</t>
        </is>
      </c>
      <c r="AQ136" s="36" t="inlineStr">
        <is>
          <t>IF(OR(E136="",AF136=""),"",IF(COUNT(Y136:AE136)=0,"",AF136-LOOKUP(2,1/(Y136:AE136&lt;&gt;""),Y136:AE136)))</t>
        </is>
      </c>
      <c r="AR136" s="36" t="inlineStr">
        <is>
          <t>IF(OR(E136="",AG136=""),"",IF(COUNT(Y136:AF136)=0,"",AG136-LOOKUP(2,1/(Y136:AF136&lt;&gt;""),Y136:AF136)))</t>
        </is>
      </c>
      <c r="AS136" s="36" t="inlineStr">
        <is>
          <t>IF(OR(E136="",AH136=""),"",IF(COUNT(Y136:AG136)=0,"",AH136-LOOKUP(2,1/(Y136:AG136&lt;&gt;""),Y136:AG136)))</t>
        </is>
      </c>
      <c r="AT136" s="36" t="inlineStr">
        <is>
          <t>IF(OR(E136="",AI136=""),"",IF(COUNT(Y136:AH136)=0,"",AI136-LOOKUP(2,1/(Y136:AH136&lt;&gt;""),Y136:AH136)))</t>
        </is>
      </c>
      <c r="AU136" s="36" t="inlineStr">
        <is>
          <t>IF(OR(E136="",AJ136=""),"",IF(COUNT(Y136:AI136)=0,"",AJ136-LOOKUP(2,1/(Y136:AI136&lt;&gt;""),Y136:AI136)))</t>
        </is>
      </c>
      <c r="AV136" s="39" t="inlineStr">
        <is>
          <t>IF(G136="","All_Provinces",IFERROR(VLOOKUP(G136,'07_Lookups'!$A$4:$B$20,2,FALSE),"All_Provinces"))</t>
        </is>
      </c>
      <c r="AW136" s="39" t="inlineStr">
        <is>
          <t>IF(H136="","All_Districts",IFERROR(VLOOKUP(H136,'07_Lookups'!$E$4:$F$42,2,FALSE),"All_Districts"))</t>
        </is>
      </c>
    </row>
    <row r="137" ht="18" customHeight="1">
      <c r="A137" s="31" t="inlineStr">
        <is>
          <t>IF(E137="","",ROW()-3)</t>
        </is>
      </c>
      <c r="B137" s="40" t="n"/>
      <c r="C137" s="40" t="n"/>
      <c r="D137" s="40" t="n"/>
      <c r="E137" s="40" t="n"/>
      <c r="F137" s="40" t="n"/>
      <c r="G137" s="40" t="n"/>
      <c r="H137" s="40" t="n"/>
      <c r="I137" s="40" t="n"/>
      <c r="J137" s="40" t="n"/>
      <c r="K137" s="40" t="n"/>
      <c r="L137" s="40" t="n"/>
      <c r="M137" s="40" t="n"/>
      <c r="N137" s="41" t="n"/>
      <c r="O137" s="34" t="inlineStr">
        <is>
          <t>IF(AE137="","",AE137)</t>
        </is>
      </c>
      <c r="P137" s="42" t="n"/>
      <c r="Q137" s="34" t="inlineStr">
        <is>
          <t>IF(OR(O137="",P137=""),"",EDATE(O137,P137))</t>
        </is>
      </c>
      <c r="R137" s="42" t="n"/>
      <c r="S137" s="40" t="n"/>
      <c r="T137" s="40" t="n"/>
      <c r="U137" s="31" t="inlineStr">
        <is>
          <t>IF(E137="","",IF(COUNT(Y137:AJ137)=0,IF(S137="","Not started",S137),SUBSTITUTE(LOOKUP(2,1/(Y137:AJ137&lt;&gt;""),$Y$3:$AJ$3),"Date: ","")))</t>
        </is>
      </c>
      <c r="V137" s="36" t="inlineStr">
        <is>
          <t>IF(OR(E137="",COUNT(Y137:AJ137)=0),"",TODAY()-LOOKUP(2,1/(Y137:AJ137&lt;&gt;""),Y137:AJ137))</t>
        </is>
      </c>
      <c r="W137" s="36" t="inlineStr">
        <is>
          <t>IF(OR(E137="",COUNT(Y137:AJ137)&lt;2),"",LOOKUP(2,1/(Y137:AJ137&lt;&gt;""),Y137:AJ137)-MIN(Y137:AJ137))</t>
        </is>
      </c>
      <c r="X137" s="36" t="inlineStr">
        <is>
          <t>IF(OR(V137="",U137="Not started",U137=""),"",IFERROR(V137-IF(VLOOKUP(U137,'04_Status_Pipeline'!$B$3:$E$20,4,FALSE)="",0,VLOOKUP(U137,'04_Status_Pipeline'!$B$3:$E$20,4,FALSE)),""))</t>
        </is>
      </c>
      <c r="Y137" s="43" t="n"/>
      <c r="Z137" s="43" t="n"/>
      <c r="AA137" s="43" t="n"/>
      <c r="AB137" s="43" t="n"/>
      <c r="AC137" s="43" t="n"/>
      <c r="AD137" s="43" t="n"/>
      <c r="AE137" s="43" t="n"/>
      <c r="AF137" s="43" t="n"/>
      <c r="AG137" s="43" t="n"/>
      <c r="AH137" s="38" t="n"/>
      <c r="AI137" s="38" t="n"/>
      <c r="AJ137" s="38" t="n"/>
      <c r="AK137" s="36" t="inlineStr">
        <is>
          <t>IF(OR(E137="",Z137=""),"",IF(COUNT(Y137:Y137)=0,"",Z137-LOOKUP(2,1/(Y137:Y137&lt;&gt;""),Y137:Y137)))</t>
        </is>
      </c>
      <c r="AL137" s="36" t="inlineStr">
        <is>
          <t>IF(OR(E137="",AA137=""),"",IF(COUNT(Y137:Z137)=0,"",AA137-LOOKUP(2,1/(Y137:Z137&lt;&gt;""),Y137:Z137)))</t>
        </is>
      </c>
      <c r="AM137" s="36" t="inlineStr">
        <is>
          <t>IF(OR(E137="",AB137=""),"",IF(COUNT(Y137:AA137)=0,"",AB137-LOOKUP(2,1/(Y137:AA137&lt;&gt;""),Y137:AA137)))</t>
        </is>
      </c>
      <c r="AN137" s="36" t="inlineStr">
        <is>
          <t>IF(OR(E137="",AC137=""),"",IF(COUNT(Y137:AB137)=0,"",AC137-LOOKUP(2,1/(Y137:AB137&lt;&gt;""),Y137:AB137)))</t>
        </is>
      </c>
      <c r="AO137" s="36" t="inlineStr">
        <is>
          <t>IF(OR(E137="",AD137=""),"",IF(COUNT(Y137:AC137)=0,"",AD137-LOOKUP(2,1/(Y137:AC137&lt;&gt;""),Y137:AC137)))</t>
        </is>
      </c>
      <c r="AP137" s="36" t="inlineStr">
        <is>
          <t>IF(OR(E137="",AE137=""),"",IF(COUNT(Y137:AD137)=0,"",AE137-LOOKUP(2,1/(Y137:AD137&lt;&gt;""),Y137:AD137)))</t>
        </is>
      </c>
      <c r="AQ137" s="36" t="inlineStr">
        <is>
          <t>IF(OR(E137="",AF137=""),"",IF(COUNT(Y137:AE137)=0,"",AF137-LOOKUP(2,1/(Y137:AE137&lt;&gt;""),Y137:AE137)))</t>
        </is>
      </c>
      <c r="AR137" s="36" t="inlineStr">
        <is>
          <t>IF(OR(E137="",AG137=""),"",IF(COUNT(Y137:AF137)=0,"",AG137-LOOKUP(2,1/(Y137:AF137&lt;&gt;""),Y137:AF137)))</t>
        </is>
      </c>
      <c r="AS137" s="36" t="inlineStr">
        <is>
          <t>IF(OR(E137="",AH137=""),"",IF(COUNT(Y137:AG137)=0,"",AH137-LOOKUP(2,1/(Y137:AG137&lt;&gt;""),Y137:AG137)))</t>
        </is>
      </c>
      <c r="AT137" s="36" t="inlineStr">
        <is>
          <t>IF(OR(E137="",AI137=""),"",IF(COUNT(Y137:AH137)=0,"",AI137-LOOKUP(2,1/(Y137:AH137&lt;&gt;""),Y137:AH137)))</t>
        </is>
      </c>
      <c r="AU137" s="36" t="inlineStr">
        <is>
          <t>IF(OR(E137="",AJ137=""),"",IF(COUNT(Y137:AI137)=0,"",AJ137-LOOKUP(2,1/(Y137:AI137&lt;&gt;""),Y137:AI137)))</t>
        </is>
      </c>
      <c r="AV137" s="39" t="inlineStr">
        <is>
          <t>IF(G137="","All_Provinces",IFERROR(VLOOKUP(G137,'07_Lookups'!$A$4:$B$20,2,FALSE),"All_Provinces"))</t>
        </is>
      </c>
      <c r="AW137" s="39" t="inlineStr">
        <is>
          <t>IF(H137="","All_Districts",IFERROR(VLOOKUP(H137,'07_Lookups'!$E$4:$F$42,2,FALSE),"All_Districts"))</t>
        </is>
      </c>
    </row>
    <row r="138" ht="18" customHeight="1">
      <c r="A138" s="31" t="inlineStr">
        <is>
          <t>IF(E138="","",ROW()-3)</t>
        </is>
      </c>
      <c r="B138" s="32" t="n"/>
      <c r="C138" s="32" t="n"/>
      <c r="D138" s="32" t="n"/>
      <c r="E138" s="32" t="n"/>
      <c r="F138" s="32" t="n"/>
      <c r="G138" s="32" t="n"/>
      <c r="H138" s="32" t="n"/>
      <c r="I138" s="32" t="n"/>
      <c r="J138" s="32" t="n"/>
      <c r="K138" s="32" t="n"/>
      <c r="L138" s="32" t="n"/>
      <c r="M138" s="32" t="n"/>
      <c r="N138" s="33" t="n"/>
      <c r="O138" s="34" t="inlineStr">
        <is>
          <t>IF(AE138="","",AE138)</t>
        </is>
      </c>
      <c r="P138" s="35" t="n"/>
      <c r="Q138" s="34" t="inlineStr">
        <is>
          <t>IF(OR(O138="",P138=""),"",EDATE(O138,P138))</t>
        </is>
      </c>
      <c r="R138" s="35" t="n"/>
      <c r="S138" s="32" t="n"/>
      <c r="T138" s="32" t="n"/>
      <c r="U138" s="31" t="inlineStr">
        <is>
          <t>IF(E138="","",IF(COUNT(Y138:AJ138)=0,IF(S138="","Not started",S138),SUBSTITUTE(LOOKUP(2,1/(Y138:AJ138&lt;&gt;""),$Y$3:$AJ$3),"Date: ","")))</t>
        </is>
      </c>
      <c r="V138" s="36" t="inlineStr">
        <is>
          <t>IF(OR(E138="",COUNT(Y138:AJ138)=0),"",TODAY()-LOOKUP(2,1/(Y138:AJ138&lt;&gt;""),Y138:AJ138))</t>
        </is>
      </c>
      <c r="W138" s="36" t="inlineStr">
        <is>
          <t>IF(OR(E138="",COUNT(Y138:AJ138)&lt;2),"",LOOKUP(2,1/(Y138:AJ138&lt;&gt;""),Y138:AJ138)-MIN(Y138:AJ138))</t>
        </is>
      </c>
      <c r="X138" s="36" t="inlineStr">
        <is>
          <t>IF(OR(V138="",U138="Not started",U138=""),"",IFERROR(V138-IF(VLOOKUP(U138,'04_Status_Pipeline'!$B$3:$E$20,4,FALSE)="",0,VLOOKUP(U138,'04_Status_Pipeline'!$B$3:$E$20,4,FALSE)),""))</t>
        </is>
      </c>
      <c r="Y138" s="37" t="n"/>
      <c r="Z138" s="37" t="n"/>
      <c r="AA138" s="37" t="n"/>
      <c r="AB138" s="37" t="n"/>
      <c r="AC138" s="37" t="n"/>
      <c r="AD138" s="37" t="n"/>
      <c r="AE138" s="37" t="n"/>
      <c r="AF138" s="37" t="n"/>
      <c r="AG138" s="37" t="n"/>
      <c r="AH138" s="38" t="n"/>
      <c r="AI138" s="38" t="n"/>
      <c r="AJ138" s="38" t="n"/>
      <c r="AK138" s="36" t="inlineStr">
        <is>
          <t>IF(OR(E138="",Z138=""),"",IF(COUNT(Y138:Y138)=0,"",Z138-LOOKUP(2,1/(Y138:Y138&lt;&gt;""),Y138:Y138)))</t>
        </is>
      </c>
      <c r="AL138" s="36" t="inlineStr">
        <is>
          <t>IF(OR(E138="",AA138=""),"",IF(COUNT(Y138:Z138)=0,"",AA138-LOOKUP(2,1/(Y138:Z138&lt;&gt;""),Y138:Z138)))</t>
        </is>
      </c>
      <c r="AM138" s="36" t="inlineStr">
        <is>
          <t>IF(OR(E138="",AB138=""),"",IF(COUNT(Y138:AA138)=0,"",AB138-LOOKUP(2,1/(Y138:AA138&lt;&gt;""),Y138:AA138)))</t>
        </is>
      </c>
      <c r="AN138" s="36" t="inlineStr">
        <is>
          <t>IF(OR(E138="",AC138=""),"",IF(COUNT(Y138:AB138)=0,"",AC138-LOOKUP(2,1/(Y138:AB138&lt;&gt;""),Y138:AB138)))</t>
        </is>
      </c>
      <c r="AO138" s="36" t="inlineStr">
        <is>
          <t>IF(OR(E138="",AD138=""),"",IF(COUNT(Y138:AC138)=0,"",AD138-LOOKUP(2,1/(Y138:AC138&lt;&gt;""),Y138:AC138)))</t>
        </is>
      </c>
      <c r="AP138" s="36" t="inlineStr">
        <is>
          <t>IF(OR(E138="",AE138=""),"",IF(COUNT(Y138:AD138)=0,"",AE138-LOOKUP(2,1/(Y138:AD138&lt;&gt;""),Y138:AD138)))</t>
        </is>
      </c>
      <c r="AQ138" s="36" t="inlineStr">
        <is>
          <t>IF(OR(E138="",AF138=""),"",IF(COUNT(Y138:AE138)=0,"",AF138-LOOKUP(2,1/(Y138:AE138&lt;&gt;""),Y138:AE138)))</t>
        </is>
      </c>
      <c r="AR138" s="36" t="inlineStr">
        <is>
          <t>IF(OR(E138="",AG138=""),"",IF(COUNT(Y138:AF138)=0,"",AG138-LOOKUP(2,1/(Y138:AF138&lt;&gt;""),Y138:AF138)))</t>
        </is>
      </c>
      <c r="AS138" s="36" t="inlineStr">
        <is>
          <t>IF(OR(E138="",AH138=""),"",IF(COUNT(Y138:AG138)=0,"",AH138-LOOKUP(2,1/(Y138:AG138&lt;&gt;""),Y138:AG138)))</t>
        </is>
      </c>
      <c r="AT138" s="36" t="inlineStr">
        <is>
          <t>IF(OR(E138="",AI138=""),"",IF(COUNT(Y138:AH138)=0,"",AI138-LOOKUP(2,1/(Y138:AH138&lt;&gt;""),Y138:AH138)))</t>
        </is>
      </c>
      <c r="AU138" s="36" t="inlineStr">
        <is>
          <t>IF(OR(E138="",AJ138=""),"",IF(COUNT(Y138:AI138)=0,"",AJ138-LOOKUP(2,1/(Y138:AI138&lt;&gt;""),Y138:AI138)))</t>
        </is>
      </c>
      <c r="AV138" s="39" t="inlineStr">
        <is>
          <t>IF(G138="","All_Provinces",IFERROR(VLOOKUP(G138,'07_Lookups'!$A$4:$B$20,2,FALSE),"All_Provinces"))</t>
        </is>
      </c>
      <c r="AW138" s="39" t="inlineStr">
        <is>
          <t>IF(H138="","All_Districts",IFERROR(VLOOKUP(H138,'07_Lookups'!$E$4:$F$42,2,FALSE),"All_Districts"))</t>
        </is>
      </c>
    </row>
    <row r="139" ht="18" customHeight="1">
      <c r="A139" s="31" t="inlineStr">
        <is>
          <t>IF(E139="","",ROW()-3)</t>
        </is>
      </c>
      <c r="B139" s="40" t="n"/>
      <c r="C139" s="40" t="n"/>
      <c r="D139" s="40" t="n"/>
      <c r="E139" s="40" t="n"/>
      <c r="F139" s="40" t="n"/>
      <c r="G139" s="40" t="n"/>
      <c r="H139" s="40" t="n"/>
      <c r="I139" s="40" t="n"/>
      <c r="J139" s="40" t="n"/>
      <c r="K139" s="40" t="n"/>
      <c r="L139" s="40" t="n"/>
      <c r="M139" s="40" t="n"/>
      <c r="N139" s="41" t="n"/>
      <c r="O139" s="34" t="inlineStr">
        <is>
          <t>IF(AE139="","",AE139)</t>
        </is>
      </c>
      <c r="P139" s="42" t="n"/>
      <c r="Q139" s="34" t="inlineStr">
        <is>
          <t>IF(OR(O139="",P139=""),"",EDATE(O139,P139))</t>
        </is>
      </c>
      <c r="R139" s="42" t="n"/>
      <c r="S139" s="40" t="n"/>
      <c r="T139" s="40" t="n"/>
      <c r="U139" s="31" t="inlineStr">
        <is>
          <t>IF(E139="","",IF(COUNT(Y139:AJ139)=0,IF(S139="","Not started",S139),SUBSTITUTE(LOOKUP(2,1/(Y139:AJ139&lt;&gt;""),$Y$3:$AJ$3),"Date: ","")))</t>
        </is>
      </c>
      <c r="V139" s="36" t="inlineStr">
        <is>
          <t>IF(OR(E139="",COUNT(Y139:AJ139)=0),"",TODAY()-LOOKUP(2,1/(Y139:AJ139&lt;&gt;""),Y139:AJ139))</t>
        </is>
      </c>
      <c r="W139" s="36" t="inlineStr">
        <is>
          <t>IF(OR(E139="",COUNT(Y139:AJ139)&lt;2),"",LOOKUP(2,1/(Y139:AJ139&lt;&gt;""),Y139:AJ139)-MIN(Y139:AJ139))</t>
        </is>
      </c>
      <c r="X139" s="36" t="inlineStr">
        <is>
          <t>IF(OR(V139="",U139="Not started",U139=""),"",IFERROR(V139-IF(VLOOKUP(U139,'04_Status_Pipeline'!$B$3:$E$20,4,FALSE)="",0,VLOOKUP(U139,'04_Status_Pipeline'!$B$3:$E$20,4,FALSE)),""))</t>
        </is>
      </c>
      <c r="Y139" s="43" t="n"/>
      <c r="Z139" s="43" t="n"/>
      <c r="AA139" s="43" t="n"/>
      <c r="AB139" s="43" t="n"/>
      <c r="AC139" s="43" t="n"/>
      <c r="AD139" s="43" t="n"/>
      <c r="AE139" s="43" t="n"/>
      <c r="AF139" s="43" t="n"/>
      <c r="AG139" s="43" t="n"/>
      <c r="AH139" s="38" t="n"/>
      <c r="AI139" s="38" t="n"/>
      <c r="AJ139" s="38" t="n"/>
      <c r="AK139" s="36" t="inlineStr">
        <is>
          <t>IF(OR(E139="",Z139=""),"",IF(COUNT(Y139:Y139)=0,"",Z139-LOOKUP(2,1/(Y139:Y139&lt;&gt;""),Y139:Y139)))</t>
        </is>
      </c>
      <c r="AL139" s="36" t="inlineStr">
        <is>
          <t>IF(OR(E139="",AA139=""),"",IF(COUNT(Y139:Z139)=0,"",AA139-LOOKUP(2,1/(Y139:Z139&lt;&gt;""),Y139:Z139)))</t>
        </is>
      </c>
      <c r="AM139" s="36" t="inlineStr">
        <is>
          <t>IF(OR(E139="",AB139=""),"",IF(COUNT(Y139:AA139)=0,"",AB139-LOOKUP(2,1/(Y139:AA139&lt;&gt;""),Y139:AA139)))</t>
        </is>
      </c>
      <c r="AN139" s="36" t="inlineStr">
        <is>
          <t>IF(OR(E139="",AC139=""),"",IF(COUNT(Y139:AB139)=0,"",AC139-LOOKUP(2,1/(Y139:AB139&lt;&gt;""),Y139:AB139)))</t>
        </is>
      </c>
      <c r="AO139" s="36" t="inlineStr">
        <is>
          <t>IF(OR(E139="",AD139=""),"",IF(COUNT(Y139:AC139)=0,"",AD139-LOOKUP(2,1/(Y139:AC139&lt;&gt;""),Y139:AC139)))</t>
        </is>
      </c>
      <c r="AP139" s="36" t="inlineStr">
        <is>
          <t>IF(OR(E139="",AE139=""),"",IF(COUNT(Y139:AD139)=0,"",AE139-LOOKUP(2,1/(Y139:AD139&lt;&gt;""),Y139:AD139)))</t>
        </is>
      </c>
      <c r="AQ139" s="36" t="inlineStr">
        <is>
          <t>IF(OR(E139="",AF139=""),"",IF(COUNT(Y139:AE139)=0,"",AF139-LOOKUP(2,1/(Y139:AE139&lt;&gt;""),Y139:AE139)))</t>
        </is>
      </c>
      <c r="AR139" s="36" t="inlineStr">
        <is>
          <t>IF(OR(E139="",AG139=""),"",IF(COUNT(Y139:AF139)=0,"",AG139-LOOKUP(2,1/(Y139:AF139&lt;&gt;""),Y139:AF139)))</t>
        </is>
      </c>
      <c r="AS139" s="36" t="inlineStr">
        <is>
          <t>IF(OR(E139="",AH139=""),"",IF(COUNT(Y139:AG139)=0,"",AH139-LOOKUP(2,1/(Y139:AG139&lt;&gt;""),Y139:AG139)))</t>
        </is>
      </c>
      <c r="AT139" s="36" t="inlineStr">
        <is>
          <t>IF(OR(E139="",AI139=""),"",IF(COUNT(Y139:AH139)=0,"",AI139-LOOKUP(2,1/(Y139:AH139&lt;&gt;""),Y139:AH139)))</t>
        </is>
      </c>
      <c r="AU139" s="36" t="inlineStr">
        <is>
          <t>IF(OR(E139="",AJ139=""),"",IF(COUNT(Y139:AI139)=0,"",AJ139-LOOKUP(2,1/(Y139:AI139&lt;&gt;""),Y139:AI139)))</t>
        </is>
      </c>
      <c r="AV139" s="39" t="inlineStr">
        <is>
          <t>IF(G139="","All_Provinces",IFERROR(VLOOKUP(G139,'07_Lookups'!$A$4:$B$20,2,FALSE),"All_Provinces"))</t>
        </is>
      </c>
      <c r="AW139" s="39" t="inlineStr">
        <is>
          <t>IF(H139="","All_Districts",IFERROR(VLOOKUP(H139,'07_Lookups'!$E$4:$F$42,2,FALSE),"All_Districts"))</t>
        </is>
      </c>
    </row>
    <row r="140" ht="18" customHeight="1">
      <c r="A140" s="31" t="inlineStr">
        <is>
          <t>IF(E140="","",ROW()-3)</t>
        </is>
      </c>
      <c r="B140" s="32" t="n"/>
      <c r="C140" s="32" t="n"/>
      <c r="D140" s="32" t="n"/>
      <c r="E140" s="32" t="n"/>
      <c r="F140" s="32" t="n"/>
      <c r="G140" s="32" t="n"/>
      <c r="H140" s="32" t="n"/>
      <c r="I140" s="32" t="n"/>
      <c r="J140" s="32" t="n"/>
      <c r="K140" s="32" t="n"/>
      <c r="L140" s="32" t="n"/>
      <c r="M140" s="32" t="n"/>
      <c r="N140" s="33" t="n"/>
      <c r="O140" s="34" t="inlineStr">
        <is>
          <t>IF(AE140="","",AE140)</t>
        </is>
      </c>
      <c r="P140" s="35" t="n"/>
      <c r="Q140" s="34" t="inlineStr">
        <is>
          <t>IF(OR(O140="",P140=""),"",EDATE(O140,P140))</t>
        </is>
      </c>
      <c r="R140" s="35" t="n"/>
      <c r="S140" s="32" t="n"/>
      <c r="T140" s="32" t="n"/>
      <c r="U140" s="31" t="inlineStr">
        <is>
          <t>IF(E140="","",IF(COUNT(Y140:AJ140)=0,IF(S140="","Not started",S140),SUBSTITUTE(LOOKUP(2,1/(Y140:AJ140&lt;&gt;""),$Y$3:$AJ$3),"Date: ","")))</t>
        </is>
      </c>
      <c r="V140" s="36" t="inlineStr">
        <is>
          <t>IF(OR(E140="",COUNT(Y140:AJ140)=0),"",TODAY()-LOOKUP(2,1/(Y140:AJ140&lt;&gt;""),Y140:AJ140))</t>
        </is>
      </c>
      <c r="W140" s="36" t="inlineStr">
        <is>
          <t>IF(OR(E140="",COUNT(Y140:AJ140)&lt;2),"",LOOKUP(2,1/(Y140:AJ140&lt;&gt;""),Y140:AJ140)-MIN(Y140:AJ140))</t>
        </is>
      </c>
      <c r="X140" s="36" t="inlineStr">
        <is>
          <t>IF(OR(V140="",U140="Not started",U140=""),"",IFERROR(V140-IF(VLOOKUP(U140,'04_Status_Pipeline'!$B$3:$E$20,4,FALSE)="",0,VLOOKUP(U140,'04_Status_Pipeline'!$B$3:$E$20,4,FALSE)),""))</t>
        </is>
      </c>
      <c r="Y140" s="37" t="n"/>
      <c r="Z140" s="37" t="n"/>
      <c r="AA140" s="37" t="n"/>
      <c r="AB140" s="37" t="n"/>
      <c r="AC140" s="37" t="n"/>
      <c r="AD140" s="37" t="n"/>
      <c r="AE140" s="37" t="n"/>
      <c r="AF140" s="37" t="n"/>
      <c r="AG140" s="37" t="n"/>
      <c r="AH140" s="38" t="n"/>
      <c r="AI140" s="38" t="n"/>
      <c r="AJ140" s="38" t="n"/>
      <c r="AK140" s="36" t="inlineStr">
        <is>
          <t>IF(OR(E140="",Z140=""),"",IF(COUNT(Y140:Y140)=0,"",Z140-LOOKUP(2,1/(Y140:Y140&lt;&gt;""),Y140:Y140)))</t>
        </is>
      </c>
      <c r="AL140" s="36" t="inlineStr">
        <is>
          <t>IF(OR(E140="",AA140=""),"",IF(COUNT(Y140:Z140)=0,"",AA140-LOOKUP(2,1/(Y140:Z140&lt;&gt;""),Y140:Z140)))</t>
        </is>
      </c>
      <c r="AM140" s="36" t="inlineStr">
        <is>
          <t>IF(OR(E140="",AB140=""),"",IF(COUNT(Y140:AA140)=0,"",AB140-LOOKUP(2,1/(Y140:AA140&lt;&gt;""),Y140:AA140)))</t>
        </is>
      </c>
      <c r="AN140" s="36" t="inlineStr">
        <is>
          <t>IF(OR(E140="",AC140=""),"",IF(COUNT(Y140:AB140)=0,"",AC140-LOOKUP(2,1/(Y140:AB140&lt;&gt;""),Y140:AB140)))</t>
        </is>
      </c>
      <c r="AO140" s="36" t="inlineStr">
        <is>
          <t>IF(OR(E140="",AD140=""),"",IF(COUNT(Y140:AC140)=0,"",AD140-LOOKUP(2,1/(Y140:AC140&lt;&gt;""),Y140:AC140)))</t>
        </is>
      </c>
      <c r="AP140" s="36" t="inlineStr">
        <is>
          <t>IF(OR(E140="",AE140=""),"",IF(COUNT(Y140:AD140)=0,"",AE140-LOOKUP(2,1/(Y140:AD140&lt;&gt;""),Y140:AD140)))</t>
        </is>
      </c>
      <c r="AQ140" s="36" t="inlineStr">
        <is>
          <t>IF(OR(E140="",AF140=""),"",IF(COUNT(Y140:AE140)=0,"",AF140-LOOKUP(2,1/(Y140:AE140&lt;&gt;""),Y140:AE140)))</t>
        </is>
      </c>
      <c r="AR140" s="36" t="inlineStr">
        <is>
          <t>IF(OR(E140="",AG140=""),"",IF(COUNT(Y140:AF140)=0,"",AG140-LOOKUP(2,1/(Y140:AF140&lt;&gt;""),Y140:AF140)))</t>
        </is>
      </c>
      <c r="AS140" s="36" t="inlineStr">
        <is>
          <t>IF(OR(E140="",AH140=""),"",IF(COUNT(Y140:AG140)=0,"",AH140-LOOKUP(2,1/(Y140:AG140&lt;&gt;""),Y140:AG140)))</t>
        </is>
      </c>
      <c r="AT140" s="36" t="inlineStr">
        <is>
          <t>IF(OR(E140="",AI140=""),"",IF(COUNT(Y140:AH140)=0,"",AI140-LOOKUP(2,1/(Y140:AH140&lt;&gt;""),Y140:AH140)))</t>
        </is>
      </c>
      <c r="AU140" s="36" t="inlineStr">
        <is>
          <t>IF(OR(E140="",AJ140=""),"",IF(COUNT(Y140:AI140)=0,"",AJ140-LOOKUP(2,1/(Y140:AI140&lt;&gt;""),Y140:AI140)))</t>
        </is>
      </c>
      <c r="AV140" s="39" t="inlineStr">
        <is>
          <t>IF(G140="","All_Provinces",IFERROR(VLOOKUP(G140,'07_Lookups'!$A$4:$B$20,2,FALSE),"All_Provinces"))</t>
        </is>
      </c>
      <c r="AW140" s="39" t="inlineStr">
        <is>
          <t>IF(H140="","All_Districts",IFERROR(VLOOKUP(H140,'07_Lookups'!$E$4:$F$42,2,FALSE),"All_Districts"))</t>
        </is>
      </c>
    </row>
    <row r="141" ht="18" customHeight="1">
      <c r="A141" s="31" t="inlineStr">
        <is>
          <t>IF(E141="","",ROW()-3)</t>
        </is>
      </c>
      <c r="B141" s="40" t="n"/>
      <c r="C141" s="40" t="n"/>
      <c r="D141" s="40" t="n"/>
      <c r="E141" s="40" t="n"/>
      <c r="F141" s="40" t="n"/>
      <c r="G141" s="40" t="n"/>
      <c r="H141" s="40" t="n"/>
      <c r="I141" s="40" t="n"/>
      <c r="J141" s="40" t="n"/>
      <c r="K141" s="40" t="n"/>
      <c r="L141" s="40" t="n"/>
      <c r="M141" s="40" t="n"/>
      <c r="N141" s="41" t="n"/>
      <c r="O141" s="34" t="inlineStr">
        <is>
          <t>IF(AE141="","",AE141)</t>
        </is>
      </c>
      <c r="P141" s="42" t="n"/>
      <c r="Q141" s="34" t="inlineStr">
        <is>
          <t>IF(OR(O141="",P141=""),"",EDATE(O141,P141))</t>
        </is>
      </c>
      <c r="R141" s="42" t="n"/>
      <c r="S141" s="40" t="n"/>
      <c r="T141" s="40" t="n"/>
      <c r="U141" s="31" t="inlineStr">
        <is>
          <t>IF(E141="","",IF(COUNT(Y141:AJ141)=0,IF(S141="","Not started",S141),SUBSTITUTE(LOOKUP(2,1/(Y141:AJ141&lt;&gt;""),$Y$3:$AJ$3),"Date: ","")))</t>
        </is>
      </c>
      <c r="V141" s="36" t="inlineStr">
        <is>
          <t>IF(OR(E141="",COUNT(Y141:AJ141)=0),"",TODAY()-LOOKUP(2,1/(Y141:AJ141&lt;&gt;""),Y141:AJ141))</t>
        </is>
      </c>
      <c r="W141" s="36" t="inlineStr">
        <is>
          <t>IF(OR(E141="",COUNT(Y141:AJ141)&lt;2),"",LOOKUP(2,1/(Y141:AJ141&lt;&gt;""),Y141:AJ141)-MIN(Y141:AJ141))</t>
        </is>
      </c>
      <c r="X141" s="36" t="inlineStr">
        <is>
          <t>IF(OR(V141="",U141="Not started",U141=""),"",IFERROR(V141-IF(VLOOKUP(U141,'04_Status_Pipeline'!$B$3:$E$20,4,FALSE)="",0,VLOOKUP(U141,'04_Status_Pipeline'!$B$3:$E$20,4,FALSE)),""))</t>
        </is>
      </c>
      <c r="Y141" s="43" t="n"/>
      <c r="Z141" s="43" t="n"/>
      <c r="AA141" s="43" t="n"/>
      <c r="AB141" s="43" t="n"/>
      <c r="AC141" s="43" t="n"/>
      <c r="AD141" s="43" t="n"/>
      <c r="AE141" s="43" t="n"/>
      <c r="AF141" s="43" t="n"/>
      <c r="AG141" s="43" t="n"/>
      <c r="AH141" s="38" t="n"/>
      <c r="AI141" s="38" t="n"/>
      <c r="AJ141" s="38" t="n"/>
      <c r="AK141" s="36" t="inlineStr">
        <is>
          <t>IF(OR(E141="",Z141=""),"",IF(COUNT(Y141:Y141)=0,"",Z141-LOOKUP(2,1/(Y141:Y141&lt;&gt;""),Y141:Y141)))</t>
        </is>
      </c>
      <c r="AL141" s="36" t="inlineStr">
        <is>
          <t>IF(OR(E141="",AA141=""),"",IF(COUNT(Y141:Z141)=0,"",AA141-LOOKUP(2,1/(Y141:Z141&lt;&gt;""),Y141:Z141)))</t>
        </is>
      </c>
      <c r="AM141" s="36" t="inlineStr">
        <is>
          <t>IF(OR(E141="",AB141=""),"",IF(COUNT(Y141:AA141)=0,"",AB141-LOOKUP(2,1/(Y141:AA141&lt;&gt;""),Y141:AA141)))</t>
        </is>
      </c>
      <c r="AN141" s="36" t="inlineStr">
        <is>
          <t>IF(OR(E141="",AC141=""),"",IF(COUNT(Y141:AB141)=0,"",AC141-LOOKUP(2,1/(Y141:AB141&lt;&gt;""),Y141:AB141)))</t>
        </is>
      </c>
      <c r="AO141" s="36" t="inlineStr">
        <is>
          <t>IF(OR(E141="",AD141=""),"",IF(COUNT(Y141:AC141)=0,"",AD141-LOOKUP(2,1/(Y141:AC141&lt;&gt;""),Y141:AC141)))</t>
        </is>
      </c>
      <c r="AP141" s="36" t="inlineStr">
        <is>
          <t>IF(OR(E141="",AE141=""),"",IF(COUNT(Y141:AD141)=0,"",AE141-LOOKUP(2,1/(Y141:AD141&lt;&gt;""),Y141:AD141)))</t>
        </is>
      </c>
      <c r="AQ141" s="36" t="inlineStr">
        <is>
          <t>IF(OR(E141="",AF141=""),"",IF(COUNT(Y141:AE141)=0,"",AF141-LOOKUP(2,1/(Y141:AE141&lt;&gt;""),Y141:AE141)))</t>
        </is>
      </c>
      <c r="AR141" s="36" t="inlineStr">
        <is>
          <t>IF(OR(E141="",AG141=""),"",IF(COUNT(Y141:AF141)=0,"",AG141-LOOKUP(2,1/(Y141:AF141&lt;&gt;""),Y141:AF141)))</t>
        </is>
      </c>
      <c r="AS141" s="36" t="inlineStr">
        <is>
          <t>IF(OR(E141="",AH141=""),"",IF(COUNT(Y141:AG141)=0,"",AH141-LOOKUP(2,1/(Y141:AG141&lt;&gt;""),Y141:AG141)))</t>
        </is>
      </c>
      <c r="AT141" s="36" t="inlineStr">
        <is>
          <t>IF(OR(E141="",AI141=""),"",IF(COUNT(Y141:AH141)=0,"",AI141-LOOKUP(2,1/(Y141:AH141&lt;&gt;""),Y141:AH141)))</t>
        </is>
      </c>
      <c r="AU141" s="36" t="inlineStr">
        <is>
          <t>IF(OR(E141="",AJ141=""),"",IF(COUNT(Y141:AI141)=0,"",AJ141-LOOKUP(2,1/(Y141:AI141&lt;&gt;""),Y141:AI141)))</t>
        </is>
      </c>
      <c r="AV141" s="39" t="inlineStr">
        <is>
          <t>IF(G141="","All_Provinces",IFERROR(VLOOKUP(G141,'07_Lookups'!$A$4:$B$20,2,FALSE),"All_Provinces"))</t>
        </is>
      </c>
      <c r="AW141" s="39" t="inlineStr">
        <is>
          <t>IF(H141="","All_Districts",IFERROR(VLOOKUP(H141,'07_Lookups'!$E$4:$F$42,2,FALSE),"All_Districts"))</t>
        </is>
      </c>
    </row>
    <row r="142" ht="18" customHeight="1">
      <c r="A142" s="31" t="inlineStr">
        <is>
          <t>IF(E142="","",ROW()-3)</t>
        </is>
      </c>
      <c r="B142" s="32" t="n"/>
      <c r="C142" s="32" t="n"/>
      <c r="D142" s="32" t="n"/>
      <c r="E142" s="32" t="n"/>
      <c r="F142" s="32" t="n"/>
      <c r="G142" s="32" t="n"/>
      <c r="H142" s="32" t="n"/>
      <c r="I142" s="32" t="n"/>
      <c r="J142" s="32" t="n"/>
      <c r="K142" s="32" t="n"/>
      <c r="L142" s="32" t="n"/>
      <c r="M142" s="32" t="n"/>
      <c r="N142" s="33" t="n"/>
      <c r="O142" s="34" t="inlineStr">
        <is>
          <t>IF(AE142="","",AE142)</t>
        </is>
      </c>
      <c r="P142" s="35" t="n"/>
      <c r="Q142" s="34" t="inlineStr">
        <is>
          <t>IF(OR(O142="",P142=""),"",EDATE(O142,P142))</t>
        </is>
      </c>
      <c r="R142" s="35" t="n"/>
      <c r="S142" s="32" t="n"/>
      <c r="T142" s="32" t="n"/>
      <c r="U142" s="31" t="inlineStr">
        <is>
          <t>IF(E142="","",IF(COUNT(Y142:AJ142)=0,IF(S142="","Not started",S142),SUBSTITUTE(LOOKUP(2,1/(Y142:AJ142&lt;&gt;""),$Y$3:$AJ$3),"Date: ","")))</t>
        </is>
      </c>
      <c r="V142" s="36" t="inlineStr">
        <is>
          <t>IF(OR(E142="",COUNT(Y142:AJ142)=0),"",TODAY()-LOOKUP(2,1/(Y142:AJ142&lt;&gt;""),Y142:AJ142))</t>
        </is>
      </c>
      <c r="W142" s="36" t="inlineStr">
        <is>
          <t>IF(OR(E142="",COUNT(Y142:AJ142)&lt;2),"",LOOKUP(2,1/(Y142:AJ142&lt;&gt;""),Y142:AJ142)-MIN(Y142:AJ142))</t>
        </is>
      </c>
      <c r="X142" s="36" t="inlineStr">
        <is>
          <t>IF(OR(V142="",U142="Not started",U142=""),"",IFERROR(V142-IF(VLOOKUP(U142,'04_Status_Pipeline'!$B$3:$E$20,4,FALSE)="",0,VLOOKUP(U142,'04_Status_Pipeline'!$B$3:$E$20,4,FALSE)),""))</t>
        </is>
      </c>
      <c r="Y142" s="37" t="n"/>
      <c r="Z142" s="37" t="n"/>
      <c r="AA142" s="37" t="n"/>
      <c r="AB142" s="37" t="n"/>
      <c r="AC142" s="37" t="n"/>
      <c r="AD142" s="37" t="n"/>
      <c r="AE142" s="37" t="n"/>
      <c r="AF142" s="37" t="n"/>
      <c r="AG142" s="37" t="n"/>
      <c r="AH142" s="38" t="n"/>
      <c r="AI142" s="38" t="n"/>
      <c r="AJ142" s="38" t="n"/>
      <c r="AK142" s="36" t="inlineStr">
        <is>
          <t>IF(OR(E142="",Z142=""),"",IF(COUNT(Y142:Y142)=0,"",Z142-LOOKUP(2,1/(Y142:Y142&lt;&gt;""),Y142:Y142)))</t>
        </is>
      </c>
      <c r="AL142" s="36" t="inlineStr">
        <is>
          <t>IF(OR(E142="",AA142=""),"",IF(COUNT(Y142:Z142)=0,"",AA142-LOOKUP(2,1/(Y142:Z142&lt;&gt;""),Y142:Z142)))</t>
        </is>
      </c>
      <c r="AM142" s="36" t="inlineStr">
        <is>
          <t>IF(OR(E142="",AB142=""),"",IF(COUNT(Y142:AA142)=0,"",AB142-LOOKUP(2,1/(Y142:AA142&lt;&gt;""),Y142:AA142)))</t>
        </is>
      </c>
      <c r="AN142" s="36" t="inlineStr">
        <is>
          <t>IF(OR(E142="",AC142=""),"",IF(COUNT(Y142:AB142)=0,"",AC142-LOOKUP(2,1/(Y142:AB142&lt;&gt;""),Y142:AB142)))</t>
        </is>
      </c>
      <c r="AO142" s="36" t="inlineStr">
        <is>
          <t>IF(OR(E142="",AD142=""),"",IF(COUNT(Y142:AC142)=0,"",AD142-LOOKUP(2,1/(Y142:AC142&lt;&gt;""),Y142:AC142)))</t>
        </is>
      </c>
      <c r="AP142" s="36" t="inlineStr">
        <is>
          <t>IF(OR(E142="",AE142=""),"",IF(COUNT(Y142:AD142)=0,"",AE142-LOOKUP(2,1/(Y142:AD142&lt;&gt;""),Y142:AD142)))</t>
        </is>
      </c>
      <c r="AQ142" s="36" t="inlineStr">
        <is>
          <t>IF(OR(E142="",AF142=""),"",IF(COUNT(Y142:AE142)=0,"",AF142-LOOKUP(2,1/(Y142:AE142&lt;&gt;""),Y142:AE142)))</t>
        </is>
      </c>
      <c r="AR142" s="36" t="inlineStr">
        <is>
          <t>IF(OR(E142="",AG142=""),"",IF(COUNT(Y142:AF142)=0,"",AG142-LOOKUP(2,1/(Y142:AF142&lt;&gt;""),Y142:AF142)))</t>
        </is>
      </c>
      <c r="AS142" s="36" t="inlineStr">
        <is>
          <t>IF(OR(E142="",AH142=""),"",IF(COUNT(Y142:AG142)=0,"",AH142-LOOKUP(2,1/(Y142:AG142&lt;&gt;""),Y142:AG142)))</t>
        </is>
      </c>
      <c r="AT142" s="36" t="inlineStr">
        <is>
          <t>IF(OR(E142="",AI142=""),"",IF(COUNT(Y142:AH142)=0,"",AI142-LOOKUP(2,1/(Y142:AH142&lt;&gt;""),Y142:AH142)))</t>
        </is>
      </c>
      <c r="AU142" s="36" t="inlineStr">
        <is>
          <t>IF(OR(E142="",AJ142=""),"",IF(COUNT(Y142:AI142)=0,"",AJ142-LOOKUP(2,1/(Y142:AI142&lt;&gt;""),Y142:AI142)))</t>
        </is>
      </c>
      <c r="AV142" s="39" t="inlineStr">
        <is>
          <t>IF(G142="","All_Provinces",IFERROR(VLOOKUP(G142,'07_Lookups'!$A$4:$B$20,2,FALSE),"All_Provinces"))</t>
        </is>
      </c>
      <c r="AW142" s="39" t="inlineStr">
        <is>
          <t>IF(H142="","All_Districts",IFERROR(VLOOKUP(H142,'07_Lookups'!$E$4:$F$42,2,FALSE),"All_Districts"))</t>
        </is>
      </c>
    </row>
    <row r="143" ht="18" customHeight="1">
      <c r="A143" s="31" t="inlineStr">
        <is>
          <t>IF(E143="","",ROW()-3)</t>
        </is>
      </c>
      <c r="B143" s="40" t="n"/>
      <c r="C143" s="40" t="n"/>
      <c r="D143" s="40" t="n"/>
      <c r="E143" s="40" t="n"/>
      <c r="F143" s="40" t="n"/>
      <c r="G143" s="40" t="n"/>
      <c r="H143" s="40" t="n"/>
      <c r="I143" s="40" t="n"/>
      <c r="J143" s="40" t="n"/>
      <c r="K143" s="40" t="n"/>
      <c r="L143" s="40" t="n"/>
      <c r="M143" s="40" t="n"/>
      <c r="N143" s="41" t="n"/>
      <c r="O143" s="34" t="inlineStr">
        <is>
          <t>IF(AE143="","",AE143)</t>
        </is>
      </c>
      <c r="P143" s="42" t="n"/>
      <c r="Q143" s="34" t="inlineStr">
        <is>
          <t>IF(OR(O143="",P143=""),"",EDATE(O143,P143))</t>
        </is>
      </c>
      <c r="R143" s="42" t="n"/>
      <c r="S143" s="40" t="n"/>
      <c r="T143" s="40" t="n"/>
      <c r="U143" s="31" t="inlineStr">
        <is>
          <t>IF(E143="","",IF(COUNT(Y143:AJ143)=0,IF(S143="","Not started",S143),SUBSTITUTE(LOOKUP(2,1/(Y143:AJ143&lt;&gt;""),$Y$3:$AJ$3),"Date: ","")))</t>
        </is>
      </c>
      <c r="V143" s="36" t="inlineStr">
        <is>
          <t>IF(OR(E143="",COUNT(Y143:AJ143)=0),"",TODAY()-LOOKUP(2,1/(Y143:AJ143&lt;&gt;""),Y143:AJ143))</t>
        </is>
      </c>
      <c r="W143" s="36" t="inlineStr">
        <is>
          <t>IF(OR(E143="",COUNT(Y143:AJ143)&lt;2),"",LOOKUP(2,1/(Y143:AJ143&lt;&gt;""),Y143:AJ143)-MIN(Y143:AJ143))</t>
        </is>
      </c>
      <c r="X143" s="36" t="inlineStr">
        <is>
          <t>IF(OR(V143="",U143="Not started",U143=""),"",IFERROR(V143-IF(VLOOKUP(U143,'04_Status_Pipeline'!$B$3:$E$20,4,FALSE)="",0,VLOOKUP(U143,'04_Status_Pipeline'!$B$3:$E$20,4,FALSE)),""))</t>
        </is>
      </c>
      <c r="Y143" s="43" t="n"/>
      <c r="Z143" s="43" t="n"/>
      <c r="AA143" s="43" t="n"/>
      <c r="AB143" s="43" t="n"/>
      <c r="AC143" s="43" t="n"/>
      <c r="AD143" s="43" t="n"/>
      <c r="AE143" s="43" t="n"/>
      <c r="AF143" s="43" t="n"/>
      <c r="AG143" s="43" t="n"/>
      <c r="AH143" s="38" t="n"/>
      <c r="AI143" s="38" t="n"/>
      <c r="AJ143" s="38" t="n"/>
      <c r="AK143" s="36" t="inlineStr">
        <is>
          <t>IF(OR(E143="",Z143=""),"",IF(COUNT(Y143:Y143)=0,"",Z143-LOOKUP(2,1/(Y143:Y143&lt;&gt;""),Y143:Y143)))</t>
        </is>
      </c>
      <c r="AL143" s="36" t="inlineStr">
        <is>
          <t>IF(OR(E143="",AA143=""),"",IF(COUNT(Y143:Z143)=0,"",AA143-LOOKUP(2,1/(Y143:Z143&lt;&gt;""),Y143:Z143)))</t>
        </is>
      </c>
      <c r="AM143" s="36" t="inlineStr">
        <is>
          <t>IF(OR(E143="",AB143=""),"",IF(COUNT(Y143:AA143)=0,"",AB143-LOOKUP(2,1/(Y143:AA143&lt;&gt;""),Y143:AA143)))</t>
        </is>
      </c>
      <c r="AN143" s="36" t="inlineStr">
        <is>
          <t>IF(OR(E143="",AC143=""),"",IF(COUNT(Y143:AB143)=0,"",AC143-LOOKUP(2,1/(Y143:AB143&lt;&gt;""),Y143:AB143)))</t>
        </is>
      </c>
      <c r="AO143" s="36" t="inlineStr">
        <is>
          <t>IF(OR(E143="",AD143=""),"",IF(COUNT(Y143:AC143)=0,"",AD143-LOOKUP(2,1/(Y143:AC143&lt;&gt;""),Y143:AC143)))</t>
        </is>
      </c>
      <c r="AP143" s="36" t="inlineStr">
        <is>
          <t>IF(OR(E143="",AE143=""),"",IF(COUNT(Y143:AD143)=0,"",AE143-LOOKUP(2,1/(Y143:AD143&lt;&gt;""),Y143:AD143)))</t>
        </is>
      </c>
      <c r="AQ143" s="36" t="inlineStr">
        <is>
          <t>IF(OR(E143="",AF143=""),"",IF(COUNT(Y143:AE143)=0,"",AF143-LOOKUP(2,1/(Y143:AE143&lt;&gt;""),Y143:AE143)))</t>
        </is>
      </c>
      <c r="AR143" s="36" t="inlineStr">
        <is>
          <t>IF(OR(E143="",AG143=""),"",IF(COUNT(Y143:AF143)=0,"",AG143-LOOKUP(2,1/(Y143:AF143&lt;&gt;""),Y143:AF143)))</t>
        </is>
      </c>
      <c r="AS143" s="36" t="inlineStr">
        <is>
          <t>IF(OR(E143="",AH143=""),"",IF(COUNT(Y143:AG143)=0,"",AH143-LOOKUP(2,1/(Y143:AG143&lt;&gt;""),Y143:AG143)))</t>
        </is>
      </c>
      <c r="AT143" s="36" t="inlineStr">
        <is>
          <t>IF(OR(E143="",AI143=""),"",IF(COUNT(Y143:AH143)=0,"",AI143-LOOKUP(2,1/(Y143:AH143&lt;&gt;""),Y143:AH143)))</t>
        </is>
      </c>
      <c r="AU143" s="36" t="inlineStr">
        <is>
          <t>IF(OR(E143="",AJ143=""),"",IF(COUNT(Y143:AI143)=0,"",AJ143-LOOKUP(2,1/(Y143:AI143&lt;&gt;""),Y143:AI143)))</t>
        </is>
      </c>
      <c r="AV143" s="39" t="inlineStr">
        <is>
          <t>IF(G143="","All_Provinces",IFERROR(VLOOKUP(G143,'07_Lookups'!$A$4:$B$20,2,FALSE),"All_Provinces"))</t>
        </is>
      </c>
      <c r="AW143" s="39" t="inlineStr">
        <is>
          <t>IF(H143="","All_Districts",IFERROR(VLOOKUP(H143,'07_Lookups'!$E$4:$F$42,2,FALSE),"All_Districts"))</t>
        </is>
      </c>
    </row>
    <row r="144" ht="18" customHeight="1">
      <c r="A144" s="31" t="inlineStr">
        <is>
          <t>IF(E144="","",ROW()-3)</t>
        </is>
      </c>
      <c r="B144" s="32" t="n"/>
      <c r="C144" s="32" t="n"/>
      <c r="D144" s="32" t="n"/>
      <c r="E144" s="32" t="n"/>
      <c r="F144" s="32" t="n"/>
      <c r="G144" s="32" t="n"/>
      <c r="H144" s="32" t="n"/>
      <c r="I144" s="32" t="n"/>
      <c r="J144" s="32" t="n"/>
      <c r="K144" s="32" t="n"/>
      <c r="L144" s="32" t="n"/>
      <c r="M144" s="32" t="n"/>
      <c r="N144" s="33" t="n"/>
      <c r="O144" s="34" t="inlineStr">
        <is>
          <t>IF(AE144="","",AE144)</t>
        </is>
      </c>
      <c r="P144" s="35" t="n"/>
      <c r="Q144" s="34" t="inlineStr">
        <is>
          <t>IF(OR(O144="",P144=""),"",EDATE(O144,P144))</t>
        </is>
      </c>
      <c r="R144" s="35" t="n"/>
      <c r="S144" s="32" t="n"/>
      <c r="T144" s="32" t="n"/>
      <c r="U144" s="31" t="inlineStr">
        <is>
          <t>IF(E144="","",IF(COUNT(Y144:AJ144)=0,IF(S144="","Not started",S144),SUBSTITUTE(LOOKUP(2,1/(Y144:AJ144&lt;&gt;""),$Y$3:$AJ$3),"Date: ","")))</t>
        </is>
      </c>
      <c r="V144" s="36" t="inlineStr">
        <is>
          <t>IF(OR(E144="",COUNT(Y144:AJ144)=0),"",TODAY()-LOOKUP(2,1/(Y144:AJ144&lt;&gt;""),Y144:AJ144))</t>
        </is>
      </c>
      <c r="W144" s="36" t="inlineStr">
        <is>
          <t>IF(OR(E144="",COUNT(Y144:AJ144)&lt;2),"",LOOKUP(2,1/(Y144:AJ144&lt;&gt;""),Y144:AJ144)-MIN(Y144:AJ144))</t>
        </is>
      </c>
      <c r="X144" s="36" t="inlineStr">
        <is>
          <t>IF(OR(V144="",U144="Not started",U144=""),"",IFERROR(V144-IF(VLOOKUP(U144,'04_Status_Pipeline'!$B$3:$E$20,4,FALSE)="",0,VLOOKUP(U144,'04_Status_Pipeline'!$B$3:$E$20,4,FALSE)),""))</t>
        </is>
      </c>
      <c r="Y144" s="37" t="n"/>
      <c r="Z144" s="37" t="n"/>
      <c r="AA144" s="37" t="n"/>
      <c r="AB144" s="37" t="n"/>
      <c r="AC144" s="37" t="n"/>
      <c r="AD144" s="37" t="n"/>
      <c r="AE144" s="37" t="n"/>
      <c r="AF144" s="37" t="n"/>
      <c r="AG144" s="37" t="n"/>
      <c r="AH144" s="38" t="n"/>
      <c r="AI144" s="38" t="n"/>
      <c r="AJ144" s="38" t="n"/>
      <c r="AK144" s="36" t="inlineStr">
        <is>
          <t>IF(OR(E144="",Z144=""),"",IF(COUNT(Y144:Y144)=0,"",Z144-LOOKUP(2,1/(Y144:Y144&lt;&gt;""),Y144:Y144)))</t>
        </is>
      </c>
      <c r="AL144" s="36" t="inlineStr">
        <is>
          <t>IF(OR(E144="",AA144=""),"",IF(COUNT(Y144:Z144)=0,"",AA144-LOOKUP(2,1/(Y144:Z144&lt;&gt;""),Y144:Z144)))</t>
        </is>
      </c>
      <c r="AM144" s="36" t="inlineStr">
        <is>
          <t>IF(OR(E144="",AB144=""),"",IF(COUNT(Y144:AA144)=0,"",AB144-LOOKUP(2,1/(Y144:AA144&lt;&gt;""),Y144:AA144)))</t>
        </is>
      </c>
      <c r="AN144" s="36" t="inlineStr">
        <is>
          <t>IF(OR(E144="",AC144=""),"",IF(COUNT(Y144:AB144)=0,"",AC144-LOOKUP(2,1/(Y144:AB144&lt;&gt;""),Y144:AB144)))</t>
        </is>
      </c>
      <c r="AO144" s="36" t="inlineStr">
        <is>
          <t>IF(OR(E144="",AD144=""),"",IF(COUNT(Y144:AC144)=0,"",AD144-LOOKUP(2,1/(Y144:AC144&lt;&gt;""),Y144:AC144)))</t>
        </is>
      </c>
      <c r="AP144" s="36" t="inlineStr">
        <is>
          <t>IF(OR(E144="",AE144=""),"",IF(COUNT(Y144:AD144)=0,"",AE144-LOOKUP(2,1/(Y144:AD144&lt;&gt;""),Y144:AD144)))</t>
        </is>
      </c>
      <c r="AQ144" s="36" t="inlineStr">
        <is>
          <t>IF(OR(E144="",AF144=""),"",IF(COUNT(Y144:AE144)=0,"",AF144-LOOKUP(2,1/(Y144:AE144&lt;&gt;""),Y144:AE144)))</t>
        </is>
      </c>
      <c r="AR144" s="36" t="inlineStr">
        <is>
          <t>IF(OR(E144="",AG144=""),"",IF(COUNT(Y144:AF144)=0,"",AG144-LOOKUP(2,1/(Y144:AF144&lt;&gt;""),Y144:AF144)))</t>
        </is>
      </c>
      <c r="AS144" s="36" t="inlineStr">
        <is>
          <t>IF(OR(E144="",AH144=""),"",IF(COUNT(Y144:AG144)=0,"",AH144-LOOKUP(2,1/(Y144:AG144&lt;&gt;""),Y144:AG144)))</t>
        </is>
      </c>
      <c r="AT144" s="36" t="inlineStr">
        <is>
          <t>IF(OR(E144="",AI144=""),"",IF(COUNT(Y144:AH144)=0,"",AI144-LOOKUP(2,1/(Y144:AH144&lt;&gt;""),Y144:AH144)))</t>
        </is>
      </c>
      <c r="AU144" s="36" t="inlineStr">
        <is>
          <t>IF(OR(E144="",AJ144=""),"",IF(COUNT(Y144:AI144)=0,"",AJ144-LOOKUP(2,1/(Y144:AI144&lt;&gt;""),Y144:AI144)))</t>
        </is>
      </c>
      <c r="AV144" s="39" t="inlineStr">
        <is>
          <t>IF(G144="","All_Provinces",IFERROR(VLOOKUP(G144,'07_Lookups'!$A$4:$B$20,2,FALSE),"All_Provinces"))</t>
        </is>
      </c>
      <c r="AW144" s="39" t="inlineStr">
        <is>
          <t>IF(H144="","All_Districts",IFERROR(VLOOKUP(H144,'07_Lookups'!$E$4:$F$42,2,FALSE),"All_Districts"))</t>
        </is>
      </c>
    </row>
    <row r="145" ht="18" customHeight="1">
      <c r="A145" s="31" t="inlineStr">
        <is>
          <t>IF(E145="","",ROW()-3)</t>
        </is>
      </c>
      <c r="B145" s="40" t="n"/>
      <c r="C145" s="40" t="n"/>
      <c r="D145" s="40" t="n"/>
      <c r="E145" s="40" t="n"/>
      <c r="F145" s="40" t="n"/>
      <c r="G145" s="40" t="n"/>
      <c r="H145" s="40" t="n"/>
      <c r="I145" s="40" t="n"/>
      <c r="J145" s="40" t="n"/>
      <c r="K145" s="40" t="n"/>
      <c r="L145" s="40" t="n"/>
      <c r="M145" s="40" t="n"/>
      <c r="N145" s="41" t="n"/>
      <c r="O145" s="34" t="inlineStr">
        <is>
          <t>IF(AE145="","",AE145)</t>
        </is>
      </c>
      <c r="P145" s="42" t="n"/>
      <c r="Q145" s="34" t="inlineStr">
        <is>
          <t>IF(OR(O145="",P145=""),"",EDATE(O145,P145))</t>
        </is>
      </c>
      <c r="R145" s="42" t="n"/>
      <c r="S145" s="40" t="n"/>
      <c r="T145" s="40" t="n"/>
      <c r="U145" s="31" t="inlineStr">
        <is>
          <t>IF(E145="","",IF(COUNT(Y145:AJ145)=0,IF(S145="","Not started",S145),SUBSTITUTE(LOOKUP(2,1/(Y145:AJ145&lt;&gt;""),$Y$3:$AJ$3),"Date: ","")))</t>
        </is>
      </c>
      <c r="V145" s="36" t="inlineStr">
        <is>
          <t>IF(OR(E145="",COUNT(Y145:AJ145)=0),"",TODAY()-LOOKUP(2,1/(Y145:AJ145&lt;&gt;""),Y145:AJ145))</t>
        </is>
      </c>
      <c r="W145" s="36" t="inlineStr">
        <is>
          <t>IF(OR(E145="",COUNT(Y145:AJ145)&lt;2),"",LOOKUP(2,1/(Y145:AJ145&lt;&gt;""),Y145:AJ145)-MIN(Y145:AJ145))</t>
        </is>
      </c>
      <c r="X145" s="36" t="inlineStr">
        <is>
          <t>IF(OR(V145="",U145="Not started",U145=""),"",IFERROR(V145-IF(VLOOKUP(U145,'04_Status_Pipeline'!$B$3:$E$20,4,FALSE)="",0,VLOOKUP(U145,'04_Status_Pipeline'!$B$3:$E$20,4,FALSE)),""))</t>
        </is>
      </c>
      <c r="Y145" s="43" t="n"/>
      <c r="Z145" s="43" t="n"/>
      <c r="AA145" s="43" t="n"/>
      <c r="AB145" s="43" t="n"/>
      <c r="AC145" s="43" t="n"/>
      <c r="AD145" s="43" t="n"/>
      <c r="AE145" s="43" t="n"/>
      <c r="AF145" s="43" t="n"/>
      <c r="AG145" s="43" t="n"/>
      <c r="AH145" s="38" t="n"/>
      <c r="AI145" s="38" t="n"/>
      <c r="AJ145" s="38" t="n"/>
      <c r="AK145" s="36" t="inlineStr">
        <is>
          <t>IF(OR(E145="",Z145=""),"",IF(COUNT(Y145:Y145)=0,"",Z145-LOOKUP(2,1/(Y145:Y145&lt;&gt;""),Y145:Y145)))</t>
        </is>
      </c>
      <c r="AL145" s="36" t="inlineStr">
        <is>
          <t>IF(OR(E145="",AA145=""),"",IF(COUNT(Y145:Z145)=0,"",AA145-LOOKUP(2,1/(Y145:Z145&lt;&gt;""),Y145:Z145)))</t>
        </is>
      </c>
      <c r="AM145" s="36" t="inlineStr">
        <is>
          <t>IF(OR(E145="",AB145=""),"",IF(COUNT(Y145:AA145)=0,"",AB145-LOOKUP(2,1/(Y145:AA145&lt;&gt;""),Y145:AA145)))</t>
        </is>
      </c>
      <c r="AN145" s="36" t="inlineStr">
        <is>
          <t>IF(OR(E145="",AC145=""),"",IF(COUNT(Y145:AB145)=0,"",AC145-LOOKUP(2,1/(Y145:AB145&lt;&gt;""),Y145:AB145)))</t>
        </is>
      </c>
      <c r="AO145" s="36" t="inlineStr">
        <is>
          <t>IF(OR(E145="",AD145=""),"",IF(COUNT(Y145:AC145)=0,"",AD145-LOOKUP(2,1/(Y145:AC145&lt;&gt;""),Y145:AC145)))</t>
        </is>
      </c>
      <c r="AP145" s="36" t="inlineStr">
        <is>
          <t>IF(OR(E145="",AE145=""),"",IF(COUNT(Y145:AD145)=0,"",AE145-LOOKUP(2,1/(Y145:AD145&lt;&gt;""),Y145:AD145)))</t>
        </is>
      </c>
      <c r="AQ145" s="36" t="inlineStr">
        <is>
          <t>IF(OR(E145="",AF145=""),"",IF(COUNT(Y145:AE145)=0,"",AF145-LOOKUP(2,1/(Y145:AE145&lt;&gt;""),Y145:AE145)))</t>
        </is>
      </c>
      <c r="AR145" s="36" t="inlineStr">
        <is>
          <t>IF(OR(E145="",AG145=""),"",IF(COUNT(Y145:AF145)=0,"",AG145-LOOKUP(2,1/(Y145:AF145&lt;&gt;""),Y145:AF145)))</t>
        </is>
      </c>
      <c r="AS145" s="36" t="inlineStr">
        <is>
          <t>IF(OR(E145="",AH145=""),"",IF(COUNT(Y145:AG145)=0,"",AH145-LOOKUP(2,1/(Y145:AG145&lt;&gt;""),Y145:AG145)))</t>
        </is>
      </c>
      <c r="AT145" s="36" t="inlineStr">
        <is>
          <t>IF(OR(E145="",AI145=""),"",IF(COUNT(Y145:AH145)=0,"",AI145-LOOKUP(2,1/(Y145:AH145&lt;&gt;""),Y145:AH145)))</t>
        </is>
      </c>
      <c r="AU145" s="36" t="inlineStr">
        <is>
          <t>IF(OR(E145="",AJ145=""),"",IF(COUNT(Y145:AI145)=0,"",AJ145-LOOKUP(2,1/(Y145:AI145&lt;&gt;""),Y145:AI145)))</t>
        </is>
      </c>
      <c r="AV145" s="39" t="inlineStr">
        <is>
          <t>IF(G145="","All_Provinces",IFERROR(VLOOKUP(G145,'07_Lookups'!$A$4:$B$20,2,FALSE),"All_Provinces"))</t>
        </is>
      </c>
      <c r="AW145" s="39" t="inlineStr">
        <is>
          <t>IF(H145="","All_Districts",IFERROR(VLOOKUP(H145,'07_Lookups'!$E$4:$F$42,2,FALSE),"All_Districts"))</t>
        </is>
      </c>
    </row>
    <row r="146" ht="18" customHeight="1">
      <c r="A146" s="31" t="inlineStr">
        <is>
          <t>IF(E146="","",ROW()-3)</t>
        </is>
      </c>
      <c r="B146" s="32" t="n"/>
      <c r="C146" s="32" t="n"/>
      <c r="D146" s="32" t="n"/>
      <c r="E146" s="32" t="n"/>
      <c r="F146" s="32" t="n"/>
      <c r="G146" s="32" t="n"/>
      <c r="H146" s="32" t="n"/>
      <c r="I146" s="32" t="n"/>
      <c r="J146" s="32" t="n"/>
      <c r="K146" s="32" t="n"/>
      <c r="L146" s="32" t="n"/>
      <c r="M146" s="32" t="n"/>
      <c r="N146" s="33" t="n"/>
      <c r="O146" s="34" t="inlineStr">
        <is>
          <t>IF(AE146="","",AE146)</t>
        </is>
      </c>
      <c r="P146" s="35" t="n"/>
      <c r="Q146" s="34" t="inlineStr">
        <is>
          <t>IF(OR(O146="",P146=""),"",EDATE(O146,P146))</t>
        </is>
      </c>
      <c r="R146" s="35" t="n"/>
      <c r="S146" s="32" t="n"/>
      <c r="T146" s="32" t="n"/>
      <c r="U146" s="31" t="inlineStr">
        <is>
          <t>IF(E146="","",IF(COUNT(Y146:AJ146)=0,IF(S146="","Not started",S146),SUBSTITUTE(LOOKUP(2,1/(Y146:AJ146&lt;&gt;""),$Y$3:$AJ$3),"Date: ","")))</t>
        </is>
      </c>
      <c r="V146" s="36" t="inlineStr">
        <is>
          <t>IF(OR(E146="",COUNT(Y146:AJ146)=0),"",TODAY()-LOOKUP(2,1/(Y146:AJ146&lt;&gt;""),Y146:AJ146))</t>
        </is>
      </c>
      <c r="W146" s="36" t="inlineStr">
        <is>
          <t>IF(OR(E146="",COUNT(Y146:AJ146)&lt;2),"",LOOKUP(2,1/(Y146:AJ146&lt;&gt;""),Y146:AJ146)-MIN(Y146:AJ146))</t>
        </is>
      </c>
      <c r="X146" s="36" t="inlineStr">
        <is>
          <t>IF(OR(V146="",U146="Not started",U146=""),"",IFERROR(V146-IF(VLOOKUP(U146,'04_Status_Pipeline'!$B$3:$E$20,4,FALSE)="",0,VLOOKUP(U146,'04_Status_Pipeline'!$B$3:$E$20,4,FALSE)),""))</t>
        </is>
      </c>
      <c r="Y146" s="37" t="n"/>
      <c r="Z146" s="37" t="n"/>
      <c r="AA146" s="37" t="n"/>
      <c r="AB146" s="37" t="n"/>
      <c r="AC146" s="37" t="n"/>
      <c r="AD146" s="37" t="n"/>
      <c r="AE146" s="37" t="n"/>
      <c r="AF146" s="37" t="n"/>
      <c r="AG146" s="37" t="n"/>
      <c r="AH146" s="38" t="n"/>
      <c r="AI146" s="38" t="n"/>
      <c r="AJ146" s="38" t="n"/>
      <c r="AK146" s="36" t="inlineStr">
        <is>
          <t>IF(OR(E146="",Z146=""),"",IF(COUNT(Y146:Y146)=0,"",Z146-LOOKUP(2,1/(Y146:Y146&lt;&gt;""),Y146:Y146)))</t>
        </is>
      </c>
      <c r="AL146" s="36" t="inlineStr">
        <is>
          <t>IF(OR(E146="",AA146=""),"",IF(COUNT(Y146:Z146)=0,"",AA146-LOOKUP(2,1/(Y146:Z146&lt;&gt;""),Y146:Z146)))</t>
        </is>
      </c>
      <c r="AM146" s="36" t="inlineStr">
        <is>
          <t>IF(OR(E146="",AB146=""),"",IF(COUNT(Y146:AA146)=0,"",AB146-LOOKUP(2,1/(Y146:AA146&lt;&gt;""),Y146:AA146)))</t>
        </is>
      </c>
      <c r="AN146" s="36" t="inlineStr">
        <is>
          <t>IF(OR(E146="",AC146=""),"",IF(COUNT(Y146:AB146)=0,"",AC146-LOOKUP(2,1/(Y146:AB146&lt;&gt;""),Y146:AB146)))</t>
        </is>
      </c>
      <c r="AO146" s="36" t="inlineStr">
        <is>
          <t>IF(OR(E146="",AD146=""),"",IF(COUNT(Y146:AC146)=0,"",AD146-LOOKUP(2,1/(Y146:AC146&lt;&gt;""),Y146:AC146)))</t>
        </is>
      </c>
      <c r="AP146" s="36" t="inlineStr">
        <is>
          <t>IF(OR(E146="",AE146=""),"",IF(COUNT(Y146:AD146)=0,"",AE146-LOOKUP(2,1/(Y146:AD146&lt;&gt;""),Y146:AD146)))</t>
        </is>
      </c>
      <c r="AQ146" s="36" t="inlineStr">
        <is>
          <t>IF(OR(E146="",AF146=""),"",IF(COUNT(Y146:AE146)=0,"",AF146-LOOKUP(2,1/(Y146:AE146&lt;&gt;""),Y146:AE146)))</t>
        </is>
      </c>
      <c r="AR146" s="36" t="inlineStr">
        <is>
          <t>IF(OR(E146="",AG146=""),"",IF(COUNT(Y146:AF146)=0,"",AG146-LOOKUP(2,1/(Y146:AF146&lt;&gt;""),Y146:AF146)))</t>
        </is>
      </c>
      <c r="AS146" s="36" t="inlineStr">
        <is>
          <t>IF(OR(E146="",AH146=""),"",IF(COUNT(Y146:AG146)=0,"",AH146-LOOKUP(2,1/(Y146:AG146&lt;&gt;""),Y146:AG146)))</t>
        </is>
      </c>
      <c r="AT146" s="36" t="inlineStr">
        <is>
          <t>IF(OR(E146="",AI146=""),"",IF(COUNT(Y146:AH146)=0,"",AI146-LOOKUP(2,1/(Y146:AH146&lt;&gt;""),Y146:AH146)))</t>
        </is>
      </c>
      <c r="AU146" s="36" t="inlineStr">
        <is>
          <t>IF(OR(E146="",AJ146=""),"",IF(COUNT(Y146:AI146)=0,"",AJ146-LOOKUP(2,1/(Y146:AI146&lt;&gt;""),Y146:AI146)))</t>
        </is>
      </c>
      <c r="AV146" s="39" t="inlineStr">
        <is>
          <t>IF(G146="","All_Provinces",IFERROR(VLOOKUP(G146,'07_Lookups'!$A$4:$B$20,2,FALSE),"All_Provinces"))</t>
        </is>
      </c>
      <c r="AW146" s="39" t="inlineStr">
        <is>
          <t>IF(H146="","All_Districts",IFERROR(VLOOKUP(H146,'07_Lookups'!$E$4:$F$42,2,FALSE),"All_Districts"))</t>
        </is>
      </c>
    </row>
    <row r="147" ht="18" customHeight="1">
      <c r="A147" s="31" t="inlineStr">
        <is>
          <t>IF(E147="","",ROW()-3)</t>
        </is>
      </c>
      <c r="B147" s="40" t="n"/>
      <c r="C147" s="40" t="n"/>
      <c r="D147" s="40" t="n"/>
      <c r="E147" s="40" t="n"/>
      <c r="F147" s="40" t="n"/>
      <c r="G147" s="40" t="n"/>
      <c r="H147" s="40" t="n"/>
      <c r="I147" s="40" t="n"/>
      <c r="J147" s="40" t="n"/>
      <c r="K147" s="40" t="n"/>
      <c r="L147" s="40" t="n"/>
      <c r="M147" s="40" t="n"/>
      <c r="N147" s="41" t="n"/>
      <c r="O147" s="34" t="inlineStr">
        <is>
          <t>IF(AE147="","",AE147)</t>
        </is>
      </c>
      <c r="P147" s="42" t="n"/>
      <c r="Q147" s="34" t="inlineStr">
        <is>
          <t>IF(OR(O147="",P147=""),"",EDATE(O147,P147))</t>
        </is>
      </c>
      <c r="R147" s="42" t="n"/>
      <c r="S147" s="40" t="n"/>
      <c r="T147" s="40" t="n"/>
      <c r="U147" s="31" t="inlineStr">
        <is>
          <t>IF(E147="","",IF(COUNT(Y147:AJ147)=0,IF(S147="","Not started",S147),SUBSTITUTE(LOOKUP(2,1/(Y147:AJ147&lt;&gt;""),$Y$3:$AJ$3),"Date: ","")))</t>
        </is>
      </c>
      <c r="V147" s="36" t="inlineStr">
        <is>
          <t>IF(OR(E147="",COUNT(Y147:AJ147)=0),"",TODAY()-LOOKUP(2,1/(Y147:AJ147&lt;&gt;""),Y147:AJ147))</t>
        </is>
      </c>
      <c r="W147" s="36" t="inlineStr">
        <is>
          <t>IF(OR(E147="",COUNT(Y147:AJ147)&lt;2),"",LOOKUP(2,1/(Y147:AJ147&lt;&gt;""),Y147:AJ147)-MIN(Y147:AJ147))</t>
        </is>
      </c>
      <c r="X147" s="36" t="inlineStr">
        <is>
          <t>IF(OR(V147="",U147="Not started",U147=""),"",IFERROR(V147-IF(VLOOKUP(U147,'04_Status_Pipeline'!$B$3:$E$20,4,FALSE)="",0,VLOOKUP(U147,'04_Status_Pipeline'!$B$3:$E$20,4,FALSE)),""))</t>
        </is>
      </c>
      <c r="Y147" s="43" t="n"/>
      <c r="Z147" s="43" t="n"/>
      <c r="AA147" s="43" t="n"/>
      <c r="AB147" s="43" t="n"/>
      <c r="AC147" s="43" t="n"/>
      <c r="AD147" s="43" t="n"/>
      <c r="AE147" s="43" t="n"/>
      <c r="AF147" s="43" t="n"/>
      <c r="AG147" s="43" t="n"/>
      <c r="AH147" s="38" t="n"/>
      <c r="AI147" s="38" t="n"/>
      <c r="AJ147" s="38" t="n"/>
      <c r="AK147" s="36" t="inlineStr">
        <is>
          <t>IF(OR(E147="",Z147=""),"",IF(COUNT(Y147:Y147)=0,"",Z147-LOOKUP(2,1/(Y147:Y147&lt;&gt;""),Y147:Y147)))</t>
        </is>
      </c>
      <c r="AL147" s="36" t="inlineStr">
        <is>
          <t>IF(OR(E147="",AA147=""),"",IF(COUNT(Y147:Z147)=0,"",AA147-LOOKUP(2,1/(Y147:Z147&lt;&gt;""),Y147:Z147)))</t>
        </is>
      </c>
      <c r="AM147" s="36" t="inlineStr">
        <is>
          <t>IF(OR(E147="",AB147=""),"",IF(COUNT(Y147:AA147)=0,"",AB147-LOOKUP(2,1/(Y147:AA147&lt;&gt;""),Y147:AA147)))</t>
        </is>
      </c>
      <c r="AN147" s="36" t="inlineStr">
        <is>
          <t>IF(OR(E147="",AC147=""),"",IF(COUNT(Y147:AB147)=0,"",AC147-LOOKUP(2,1/(Y147:AB147&lt;&gt;""),Y147:AB147)))</t>
        </is>
      </c>
      <c r="AO147" s="36" t="inlineStr">
        <is>
          <t>IF(OR(E147="",AD147=""),"",IF(COUNT(Y147:AC147)=0,"",AD147-LOOKUP(2,1/(Y147:AC147&lt;&gt;""),Y147:AC147)))</t>
        </is>
      </c>
      <c r="AP147" s="36" t="inlineStr">
        <is>
          <t>IF(OR(E147="",AE147=""),"",IF(COUNT(Y147:AD147)=0,"",AE147-LOOKUP(2,1/(Y147:AD147&lt;&gt;""),Y147:AD147)))</t>
        </is>
      </c>
      <c r="AQ147" s="36" t="inlineStr">
        <is>
          <t>IF(OR(E147="",AF147=""),"",IF(COUNT(Y147:AE147)=0,"",AF147-LOOKUP(2,1/(Y147:AE147&lt;&gt;""),Y147:AE147)))</t>
        </is>
      </c>
      <c r="AR147" s="36" t="inlineStr">
        <is>
          <t>IF(OR(E147="",AG147=""),"",IF(COUNT(Y147:AF147)=0,"",AG147-LOOKUP(2,1/(Y147:AF147&lt;&gt;""),Y147:AF147)))</t>
        </is>
      </c>
      <c r="AS147" s="36" t="inlineStr">
        <is>
          <t>IF(OR(E147="",AH147=""),"",IF(COUNT(Y147:AG147)=0,"",AH147-LOOKUP(2,1/(Y147:AG147&lt;&gt;""),Y147:AG147)))</t>
        </is>
      </c>
      <c r="AT147" s="36" t="inlineStr">
        <is>
          <t>IF(OR(E147="",AI147=""),"",IF(COUNT(Y147:AH147)=0,"",AI147-LOOKUP(2,1/(Y147:AH147&lt;&gt;""),Y147:AH147)))</t>
        </is>
      </c>
      <c r="AU147" s="36" t="inlineStr">
        <is>
          <t>IF(OR(E147="",AJ147=""),"",IF(COUNT(Y147:AI147)=0,"",AJ147-LOOKUP(2,1/(Y147:AI147&lt;&gt;""),Y147:AI147)))</t>
        </is>
      </c>
      <c r="AV147" s="39" t="inlineStr">
        <is>
          <t>IF(G147="","All_Provinces",IFERROR(VLOOKUP(G147,'07_Lookups'!$A$4:$B$20,2,FALSE),"All_Provinces"))</t>
        </is>
      </c>
      <c r="AW147" s="39" t="inlineStr">
        <is>
          <t>IF(H147="","All_Districts",IFERROR(VLOOKUP(H147,'07_Lookups'!$E$4:$F$42,2,FALSE),"All_Districts"))</t>
        </is>
      </c>
    </row>
    <row r="148" ht="18" customHeight="1">
      <c r="A148" s="31" t="inlineStr">
        <is>
          <t>IF(E148="","",ROW()-3)</t>
        </is>
      </c>
      <c r="B148" s="32" t="n"/>
      <c r="C148" s="32" t="n"/>
      <c r="D148" s="32" t="n"/>
      <c r="E148" s="32" t="n"/>
      <c r="F148" s="32" t="n"/>
      <c r="G148" s="32" t="n"/>
      <c r="H148" s="32" t="n"/>
      <c r="I148" s="32" t="n"/>
      <c r="J148" s="32" t="n"/>
      <c r="K148" s="32" t="n"/>
      <c r="L148" s="32" t="n"/>
      <c r="M148" s="32" t="n"/>
      <c r="N148" s="33" t="n"/>
      <c r="O148" s="34" t="inlineStr">
        <is>
          <t>IF(AE148="","",AE148)</t>
        </is>
      </c>
      <c r="P148" s="35" t="n"/>
      <c r="Q148" s="34" t="inlineStr">
        <is>
          <t>IF(OR(O148="",P148=""),"",EDATE(O148,P148))</t>
        </is>
      </c>
      <c r="R148" s="35" t="n"/>
      <c r="S148" s="32" t="n"/>
      <c r="T148" s="32" t="n"/>
      <c r="U148" s="31" t="inlineStr">
        <is>
          <t>IF(E148="","",IF(COUNT(Y148:AJ148)=0,IF(S148="","Not started",S148),SUBSTITUTE(LOOKUP(2,1/(Y148:AJ148&lt;&gt;""),$Y$3:$AJ$3),"Date: ","")))</t>
        </is>
      </c>
      <c r="V148" s="36" t="inlineStr">
        <is>
          <t>IF(OR(E148="",COUNT(Y148:AJ148)=0),"",TODAY()-LOOKUP(2,1/(Y148:AJ148&lt;&gt;""),Y148:AJ148))</t>
        </is>
      </c>
      <c r="W148" s="36" t="inlineStr">
        <is>
          <t>IF(OR(E148="",COUNT(Y148:AJ148)&lt;2),"",LOOKUP(2,1/(Y148:AJ148&lt;&gt;""),Y148:AJ148)-MIN(Y148:AJ148))</t>
        </is>
      </c>
      <c r="X148" s="36" t="inlineStr">
        <is>
          <t>IF(OR(V148="",U148="Not started",U148=""),"",IFERROR(V148-IF(VLOOKUP(U148,'04_Status_Pipeline'!$B$3:$E$20,4,FALSE)="",0,VLOOKUP(U148,'04_Status_Pipeline'!$B$3:$E$20,4,FALSE)),""))</t>
        </is>
      </c>
      <c r="Y148" s="37" t="n"/>
      <c r="Z148" s="37" t="n"/>
      <c r="AA148" s="37" t="n"/>
      <c r="AB148" s="37" t="n"/>
      <c r="AC148" s="37" t="n"/>
      <c r="AD148" s="37" t="n"/>
      <c r="AE148" s="37" t="n"/>
      <c r="AF148" s="37" t="n"/>
      <c r="AG148" s="37" t="n"/>
      <c r="AH148" s="38" t="n"/>
      <c r="AI148" s="38" t="n"/>
      <c r="AJ148" s="38" t="n"/>
      <c r="AK148" s="36" t="inlineStr">
        <is>
          <t>IF(OR(E148="",Z148=""),"",IF(COUNT(Y148:Y148)=0,"",Z148-LOOKUP(2,1/(Y148:Y148&lt;&gt;""),Y148:Y148)))</t>
        </is>
      </c>
      <c r="AL148" s="36" t="inlineStr">
        <is>
          <t>IF(OR(E148="",AA148=""),"",IF(COUNT(Y148:Z148)=0,"",AA148-LOOKUP(2,1/(Y148:Z148&lt;&gt;""),Y148:Z148)))</t>
        </is>
      </c>
      <c r="AM148" s="36" t="inlineStr">
        <is>
          <t>IF(OR(E148="",AB148=""),"",IF(COUNT(Y148:AA148)=0,"",AB148-LOOKUP(2,1/(Y148:AA148&lt;&gt;""),Y148:AA148)))</t>
        </is>
      </c>
      <c r="AN148" s="36" t="inlineStr">
        <is>
          <t>IF(OR(E148="",AC148=""),"",IF(COUNT(Y148:AB148)=0,"",AC148-LOOKUP(2,1/(Y148:AB148&lt;&gt;""),Y148:AB148)))</t>
        </is>
      </c>
      <c r="AO148" s="36" t="inlineStr">
        <is>
          <t>IF(OR(E148="",AD148=""),"",IF(COUNT(Y148:AC148)=0,"",AD148-LOOKUP(2,1/(Y148:AC148&lt;&gt;""),Y148:AC148)))</t>
        </is>
      </c>
      <c r="AP148" s="36" t="inlineStr">
        <is>
          <t>IF(OR(E148="",AE148=""),"",IF(COUNT(Y148:AD148)=0,"",AE148-LOOKUP(2,1/(Y148:AD148&lt;&gt;""),Y148:AD148)))</t>
        </is>
      </c>
      <c r="AQ148" s="36" t="inlineStr">
        <is>
          <t>IF(OR(E148="",AF148=""),"",IF(COUNT(Y148:AE148)=0,"",AF148-LOOKUP(2,1/(Y148:AE148&lt;&gt;""),Y148:AE148)))</t>
        </is>
      </c>
      <c r="AR148" s="36" t="inlineStr">
        <is>
          <t>IF(OR(E148="",AG148=""),"",IF(COUNT(Y148:AF148)=0,"",AG148-LOOKUP(2,1/(Y148:AF148&lt;&gt;""),Y148:AF148)))</t>
        </is>
      </c>
      <c r="AS148" s="36" t="inlineStr">
        <is>
          <t>IF(OR(E148="",AH148=""),"",IF(COUNT(Y148:AG148)=0,"",AH148-LOOKUP(2,1/(Y148:AG148&lt;&gt;""),Y148:AG148)))</t>
        </is>
      </c>
      <c r="AT148" s="36" t="inlineStr">
        <is>
          <t>IF(OR(E148="",AI148=""),"",IF(COUNT(Y148:AH148)=0,"",AI148-LOOKUP(2,1/(Y148:AH148&lt;&gt;""),Y148:AH148)))</t>
        </is>
      </c>
      <c r="AU148" s="36" t="inlineStr">
        <is>
          <t>IF(OR(E148="",AJ148=""),"",IF(COUNT(Y148:AI148)=0,"",AJ148-LOOKUP(2,1/(Y148:AI148&lt;&gt;""),Y148:AI148)))</t>
        </is>
      </c>
      <c r="AV148" s="39" t="inlineStr">
        <is>
          <t>IF(G148="","All_Provinces",IFERROR(VLOOKUP(G148,'07_Lookups'!$A$4:$B$20,2,FALSE),"All_Provinces"))</t>
        </is>
      </c>
      <c r="AW148" s="39" t="inlineStr">
        <is>
          <t>IF(H148="","All_Districts",IFERROR(VLOOKUP(H148,'07_Lookups'!$E$4:$F$42,2,FALSE),"All_Districts"))</t>
        </is>
      </c>
    </row>
    <row r="149" ht="18" customHeight="1">
      <c r="A149" s="31" t="inlineStr">
        <is>
          <t>IF(E149="","",ROW()-3)</t>
        </is>
      </c>
      <c r="B149" s="40" t="n"/>
      <c r="C149" s="40" t="n"/>
      <c r="D149" s="40" t="n"/>
      <c r="E149" s="40" t="n"/>
      <c r="F149" s="40" t="n"/>
      <c r="G149" s="40" t="n"/>
      <c r="H149" s="40" t="n"/>
      <c r="I149" s="40" t="n"/>
      <c r="J149" s="40" t="n"/>
      <c r="K149" s="40" t="n"/>
      <c r="L149" s="40" t="n"/>
      <c r="M149" s="40" t="n"/>
      <c r="N149" s="41" t="n"/>
      <c r="O149" s="34" t="inlineStr">
        <is>
          <t>IF(AE149="","",AE149)</t>
        </is>
      </c>
      <c r="P149" s="42" t="n"/>
      <c r="Q149" s="34" t="inlineStr">
        <is>
          <t>IF(OR(O149="",P149=""),"",EDATE(O149,P149))</t>
        </is>
      </c>
      <c r="R149" s="42" t="n"/>
      <c r="S149" s="40" t="n"/>
      <c r="T149" s="40" t="n"/>
      <c r="U149" s="31" t="inlineStr">
        <is>
          <t>IF(E149="","",IF(COUNT(Y149:AJ149)=0,IF(S149="","Not started",S149),SUBSTITUTE(LOOKUP(2,1/(Y149:AJ149&lt;&gt;""),$Y$3:$AJ$3),"Date: ","")))</t>
        </is>
      </c>
      <c r="V149" s="36" t="inlineStr">
        <is>
          <t>IF(OR(E149="",COUNT(Y149:AJ149)=0),"",TODAY()-LOOKUP(2,1/(Y149:AJ149&lt;&gt;""),Y149:AJ149))</t>
        </is>
      </c>
      <c r="W149" s="36" t="inlineStr">
        <is>
          <t>IF(OR(E149="",COUNT(Y149:AJ149)&lt;2),"",LOOKUP(2,1/(Y149:AJ149&lt;&gt;""),Y149:AJ149)-MIN(Y149:AJ149))</t>
        </is>
      </c>
      <c r="X149" s="36" t="inlineStr">
        <is>
          <t>IF(OR(V149="",U149="Not started",U149=""),"",IFERROR(V149-IF(VLOOKUP(U149,'04_Status_Pipeline'!$B$3:$E$20,4,FALSE)="",0,VLOOKUP(U149,'04_Status_Pipeline'!$B$3:$E$20,4,FALSE)),""))</t>
        </is>
      </c>
      <c r="Y149" s="43" t="n"/>
      <c r="Z149" s="43" t="n"/>
      <c r="AA149" s="43" t="n"/>
      <c r="AB149" s="43" t="n"/>
      <c r="AC149" s="43" t="n"/>
      <c r="AD149" s="43" t="n"/>
      <c r="AE149" s="43" t="n"/>
      <c r="AF149" s="43" t="n"/>
      <c r="AG149" s="43" t="n"/>
      <c r="AH149" s="38" t="n"/>
      <c r="AI149" s="38" t="n"/>
      <c r="AJ149" s="38" t="n"/>
      <c r="AK149" s="36" t="inlineStr">
        <is>
          <t>IF(OR(E149="",Z149=""),"",IF(COUNT(Y149:Y149)=0,"",Z149-LOOKUP(2,1/(Y149:Y149&lt;&gt;""),Y149:Y149)))</t>
        </is>
      </c>
      <c r="AL149" s="36" t="inlineStr">
        <is>
          <t>IF(OR(E149="",AA149=""),"",IF(COUNT(Y149:Z149)=0,"",AA149-LOOKUP(2,1/(Y149:Z149&lt;&gt;""),Y149:Z149)))</t>
        </is>
      </c>
      <c r="AM149" s="36" t="inlineStr">
        <is>
          <t>IF(OR(E149="",AB149=""),"",IF(COUNT(Y149:AA149)=0,"",AB149-LOOKUP(2,1/(Y149:AA149&lt;&gt;""),Y149:AA149)))</t>
        </is>
      </c>
      <c r="AN149" s="36" t="inlineStr">
        <is>
          <t>IF(OR(E149="",AC149=""),"",IF(COUNT(Y149:AB149)=0,"",AC149-LOOKUP(2,1/(Y149:AB149&lt;&gt;""),Y149:AB149)))</t>
        </is>
      </c>
      <c r="AO149" s="36" t="inlineStr">
        <is>
          <t>IF(OR(E149="",AD149=""),"",IF(COUNT(Y149:AC149)=0,"",AD149-LOOKUP(2,1/(Y149:AC149&lt;&gt;""),Y149:AC149)))</t>
        </is>
      </c>
      <c r="AP149" s="36" t="inlineStr">
        <is>
          <t>IF(OR(E149="",AE149=""),"",IF(COUNT(Y149:AD149)=0,"",AE149-LOOKUP(2,1/(Y149:AD149&lt;&gt;""),Y149:AD149)))</t>
        </is>
      </c>
      <c r="AQ149" s="36" t="inlineStr">
        <is>
          <t>IF(OR(E149="",AF149=""),"",IF(COUNT(Y149:AE149)=0,"",AF149-LOOKUP(2,1/(Y149:AE149&lt;&gt;""),Y149:AE149)))</t>
        </is>
      </c>
      <c r="AR149" s="36" t="inlineStr">
        <is>
          <t>IF(OR(E149="",AG149=""),"",IF(COUNT(Y149:AF149)=0,"",AG149-LOOKUP(2,1/(Y149:AF149&lt;&gt;""),Y149:AF149)))</t>
        </is>
      </c>
      <c r="AS149" s="36" t="inlineStr">
        <is>
          <t>IF(OR(E149="",AH149=""),"",IF(COUNT(Y149:AG149)=0,"",AH149-LOOKUP(2,1/(Y149:AG149&lt;&gt;""),Y149:AG149)))</t>
        </is>
      </c>
      <c r="AT149" s="36" t="inlineStr">
        <is>
          <t>IF(OR(E149="",AI149=""),"",IF(COUNT(Y149:AH149)=0,"",AI149-LOOKUP(2,1/(Y149:AH149&lt;&gt;""),Y149:AH149)))</t>
        </is>
      </c>
      <c r="AU149" s="36" t="inlineStr">
        <is>
          <t>IF(OR(E149="",AJ149=""),"",IF(COUNT(Y149:AI149)=0,"",AJ149-LOOKUP(2,1/(Y149:AI149&lt;&gt;""),Y149:AI149)))</t>
        </is>
      </c>
      <c r="AV149" s="39" t="inlineStr">
        <is>
          <t>IF(G149="","All_Provinces",IFERROR(VLOOKUP(G149,'07_Lookups'!$A$4:$B$20,2,FALSE),"All_Provinces"))</t>
        </is>
      </c>
      <c r="AW149" s="39" t="inlineStr">
        <is>
          <t>IF(H149="","All_Districts",IFERROR(VLOOKUP(H149,'07_Lookups'!$E$4:$F$42,2,FALSE),"All_Districts"))</t>
        </is>
      </c>
    </row>
    <row r="150" ht="18" customHeight="1">
      <c r="A150" s="31" t="inlineStr">
        <is>
          <t>IF(E150="","",ROW()-3)</t>
        </is>
      </c>
      <c r="B150" s="32" t="n"/>
      <c r="C150" s="32" t="n"/>
      <c r="D150" s="32" t="n"/>
      <c r="E150" s="32" t="n"/>
      <c r="F150" s="32" t="n"/>
      <c r="G150" s="32" t="n"/>
      <c r="H150" s="32" t="n"/>
      <c r="I150" s="32" t="n"/>
      <c r="J150" s="32" t="n"/>
      <c r="K150" s="32" t="n"/>
      <c r="L150" s="32" t="n"/>
      <c r="M150" s="32" t="n"/>
      <c r="N150" s="33" t="n"/>
      <c r="O150" s="34" t="inlineStr">
        <is>
          <t>IF(AE150="","",AE150)</t>
        </is>
      </c>
      <c r="P150" s="35" t="n"/>
      <c r="Q150" s="34" t="inlineStr">
        <is>
          <t>IF(OR(O150="",P150=""),"",EDATE(O150,P150))</t>
        </is>
      </c>
      <c r="R150" s="35" t="n"/>
      <c r="S150" s="32" t="n"/>
      <c r="T150" s="32" t="n"/>
      <c r="U150" s="31" t="inlineStr">
        <is>
          <t>IF(E150="","",IF(COUNT(Y150:AJ150)=0,IF(S150="","Not started",S150),SUBSTITUTE(LOOKUP(2,1/(Y150:AJ150&lt;&gt;""),$Y$3:$AJ$3),"Date: ","")))</t>
        </is>
      </c>
      <c r="V150" s="36" t="inlineStr">
        <is>
          <t>IF(OR(E150="",COUNT(Y150:AJ150)=0),"",TODAY()-LOOKUP(2,1/(Y150:AJ150&lt;&gt;""),Y150:AJ150))</t>
        </is>
      </c>
      <c r="W150" s="36" t="inlineStr">
        <is>
          <t>IF(OR(E150="",COUNT(Y150:AJ150)&lt;2),"",LOOKUP(2,1/(Y150:AJ150&lt;&gt;""),Y150:AJ150)-MIN(Y150:AJ150))</t>
        </is>
      </c>
      <c r="X150" s="36" t="inlineStr">
        <is>
          <t>IF(OR(V150="",U150="Not started",U150=""),"",IFERROR(V150-IF(VLOOKUP(U150,'04_Status_Pipeline'!$B$3:$E$20,4,FALSE)="",0,VLOOKUP(U150,'04_Status_Pipeline'!$B$3:$E$20,4,FALSE)),""))</t>
        </is>
      </c>
      <c r="Y150" s="37" t="n"/>
      <c r="Z150" s="37" t="n"/>
      <c r="AA150" s="37" t="n"/>
      <c r="AB150" s="37" t="n"/>
      <c r="AC150" s="37" t="n"/>
      <c r="AD150" s="37" t="n"/>
      <c r="AE150" s="37" t="n"/>
      <c r="AF150" s="37" t="n"/>
      <c r="AG150" s="37" t="n"/>
      <c r="AH150" s="38" t="n"/>
      <c r="AI150" s="38" t="n"/>
      <c r="AJ150" s="38" t="n"/>
      <c r="AK150" s="36" t="inlineStr">
        <is>
          <t>IF(OR(E150="",Z150=""),"",IF(COUNT(Y150:Y150)=0,"",Z150-LOOKUP(2,1/(Y150:Y150&lt;&gt;""),Y150:Y150)))</t>
        </is>
      </c>
      <c r="AL150" s="36" t="inlineStr">
        <is>
          <t>IF(OR(E150="",AA150=""),"",IF(COUNT(Y150:Z150)=0,"",AA150-LOOKUP(2,1/(Y150:Z150&lt;&gt;""),Y150:Z150)))</t>
        </is>
      </c>
      <c r="AM150" s="36" t="inlineStr">
        <is>
          <t>IF(OR(E150="",AB150=""),"",IF(COUNT(Y150:AA150)=0,"",AB150-LOOKUP(2,1/(Y150:AA150&lt;&gt;""),Y150:AA150)))</t>
        </is>
      </c>
      <c r="AN150" s="36" t="inlineStr">
        <is>
          <t>IF(OR(E150="",AC150=""),"",IF(COUNT(Y150:AB150)=0,"",AC150-LOOKUP(2,1/(Y150:AB150&lt;&gt;""),Y150:AB150)))</t>
        </is>
      </c>
      <c r="AO150" s="36" t="inlineStr">
        <is>
          <t>IF(OR(E150="",AD150=""),"",IF(COUNT(Y150:AC150)=0,"",AD150-LOOKUP(2,1/(Y150:AC150&lt;&gt;""),Y150:AC150)))</t>
        </is>
      </c>
      <c r="AP150" s="36" t="inlineStr">
        <is>
          <t>IF(OR(E150="",AE150=""),"",IF(COUNT(Y150:AD150)=0,"",AE150-LOOKUP(2,1/(Y150:AD150&lt;&gt;""),Y150:AD150)))</t>
        </is>
      </c>
      <c r="AQ150" s="36" t="inlineStr">
        <is>
          <t>IF(OR(E150="",AF150=""),"",IF(COUNT(Y150:AE150)=0,"",AF150-LOOKUP(2,1/(Y150:AE150&lt;&gt;""),Y150:AE150)))</t>
        </is>
      </c>
      <c r="AR150" s="36" t="inlineStr">
        <is>
          <t>IF(OR(E150="",AG150=""),"",IF(COUNT(Y150:AF150)=0,"",AG150-LOOKUP(2,1/(Y150:AF150&lt;&gt;""),Y150:AF150)))</t>
        </is>
      </c>
      <c r="AS150" s="36" t="inlineStr">
        <is>
          <t>IF(OR(E150="",AH150=""),"",IF(COUNT(Y150:AG150)=0,"",AH150-LOOKUP(2,1/(Y150:AG150&lt;&gt;""),Y150:AG150)))</t>
        </is>
      </c>
      <c r="AT150" s="36" t="inlineStr">
        <is>
          <t>IF(OR(E150="",AI150=""),"",IF(COUNT(Y150:AH150)=0,"",AI150-LOOKUP(2,1/(Y150:AH150&lt;&gt;""),Y150:AH150)))</t>
        </is>
      </c>
      <c r="AU150" s="36" t="inlineStr">
        <is>
          <t>IF(OR(E150="",AJ150=""),"",IF(COUNT(Y150:AI150)=0,"",AJ150-LOOKUP(2,1/(Y150:AI150&lt;&gt;""),Y150:AI150)))</t>
        </is>
      </c>
      <c r="AV150" s="39" t="inlineStr">
        <is>
          <t>IF(G150="","All_Provinces",IFERROR(VLOOKUP(G150,'07_Lookups'!$A$4:$B$20,2,FALSE),"All_Provinces"))</t>
        </is>
      </c>
      <c r="AW150" s="39" t="inlineStr">
        <is>
          <t>IF(H150="","All_Districts",IFERROR(VLOOKUP(H150,'07_Lookups'!$E$4:$F$42,2,FALSE),"All_Districts"))</t>
        </is>
      </c>
    </row>
    <row r="151" ht="18" customHeight="1">
      <c r="A151" s="31" t="inlineStr">
        <is>
          <t>IF(E151="","",ROW()-3)</t>
        </is>
      </c>
      <c r="B151" s="40" t="n"/>
      <c r="C151" s="40" t="n"/>
      <c r="D151" s="40" t="n"/>
      <c r="E151" s="40" t="n"/>
      <c r="F151" s="40" t="n"/>
      <c r="G151" s="40" t="n"/>
      <c r="H151" s="40" t="n"/>
      <c r="I151" s="40" t="n"/>
      <c r="J151" s="40" t="n"/>
      <c r="K151" s="40" t="n"/>
      <c r="L151" s="40" t="n"/>
      <c r="M151" s="40" t="n"/>
      <c r="N151" s="41" t="n"/>
      <c r="O151" s="34" t="inlineStr">
        <is>
          <t>IF(AE151="","",AE151)</t>
        </is>
      </c>
      <c r="P151" s="42" t="n"/>
      <c r="Q151" s="34" t="inlineStr">
        <is>
          <t>IF(OR(O151="",P151=""),"",EDATE(O151,P151))</t>
        </is>
      </c>
      <c r="R151" s="42" t="n"/>
      <c r="S151" s="40" t="n"/>
      <c r="T151" s="40" t="n"/>
      <c r="U151" s="31" t="inlineStr">
        <is>
          <t>IF(E151="","",IF(COUNT(Y151:AJ151)=0,IF(S151="","Not started",S151),SUBSTITUTE(LOOKUP(2,1/(Y151:AJ151&lt;&gt;""),$Y$3:$AJ$3),"Date: ","")))</t>
        </is>
      </c>
      <c r="V151" s="36" t="inlineStr">
        <is>
          <t>IF(OR(E151="",COUNT(Y151:AJ151)=0),"",TODAY()-LOOKUP(2,1/(Y151:AJ151&lt;&gt;""),Y151:AJ151))</t>
        </is>
      </c>
      <c r="W151" s="36" t="inlineStr">
        <is>
          <t>IF(OR(E151="",COUNT(Y151:AJ151)&lt;2),"",LOOKUP(2,1/(Y151:AJ151&lt;&gt;""),Y151:AJ151)-MIN(Y151:AJ151))</t>
        </is>
      </c>
      <c r="X151" s="36" t="inlineStr">
        <is>
          <t>IF(OR(V151="",U151="Not started",U151=""),"",IFERROR(V151-IF(VLOOKUP(U151,'04_Status_Pipeline'!$B$3:$E$20,4,FALSE)="",0,VLOOKUP(U151,'04_Status_Pipeline'!$B$3:$E$20,4,FALSE)),""))</t>
        </is>
      </c>
      <c r="Y151" s="43" t="n"/>
      <c r="Z151" s="43" t="n"/>
      <c r="AA151" s="43" t="n"/>
      <c r="AB151" s="43" t="n"/>
      <c r="AC151" s="43" t="n"/>
      <c r="AD151" s="43" t="n"/>
      <c r="AE151" s="43" t="n"/>
      <c r="AF151" s="43" t="n"/>
      <c r="AG151" s="43" t="n"/>
      <c r="AH151" s="38" t="n"/>
      <c r="AI151" s="38" t="n"/>
      <c r="AJ151" s="38" t="n"/>
      <c r="AK151" s="36" t="inlineStr">
        <is>
          <t>IF(OR(E151="",Z151=""),"",IF(COUNT(Y151:Y151)=0,"",Z151-LOOKUP(2,1/(Y151:Y151&lt;&gt;""),Y151:Y151)))</t>
        </is>
      </c>
      <c r="AL151" s="36" t="inlineStr">
        <is>
          <t>IF(OR(E151="",AA151=""),"",IF(COUNT(Y151:Z151)=0,"",AA151-LOOKUP(2,1/(Y151:Z151&lt;&gt;""),Y151:Z151)))</t>
        </is>
      </c>
      <c r="AM151" s="36" t="inlineStr">
        <is>
          <t>IF(OR(E151="",AB151=""),"",IF(COUNT(Y151:AA151)=0,"",AB151-LOOKUP(2,1/(Y151:AA151&lt;&gt;""),Y151:AA151)))</t>
        </is>
      </c>
      <c r="AN151" s="36" t="inlineStr">
        <is>
          <t>IF(OR(E151="",AC151=""),"",IF(COUNT(Y151:AB151)=0,"",AC151-LOOKUP(2,1/(Y151:AB151&lt;&gt;""),Y151:AB151)))</t>
        </is>
      </c>
      <c r="AO151" s="36" t="inlineStr">
        <is>
          <t>IF(OR(E151="",AD151=""),"",IF(COUNT(Y151:AC151)=0,"",AD151-LOOKUP(2,1/(Y151:AC151&lt;&gt;""),Y151:AC151)))</t>
        </is>
      </c>
      <c r="AP151" s="36" t="inlineStr">
        <is>
          <t>IF(OR(E151="",AE151=""),"",IF(COUNT(Y151:AD151)=0,"",AE151-LOOKUP(2,1/(Y151:AD151&lt;&gt;""),Y151:AD151)))</t>
        </is>
      </c>
      <c r="AQ151" s="36" t="inlineStr">
        <is>
          <t>IF(OR(E151="",AF151=""),"",IF(COUNT(Y151:AE151)=0,"",AF151-LOOKUP(2,1/(Y151:AE151&lt;&gt;""),Y151:AE151)))</t>
        </is>
      </c>
      <c r="AR151" s="36" t="inlineStr">
        <is>
          <t>IF(OR(E151="",AG151=""),"",IF(COUNT(Y151:AF151)=0,"",AG151-LOOKUP(2,1/(Y151:AF151&lt;&gt;""),Y151:AF151)))</t>
        </is>
      </c>
      <c r="AS151" s="36" t="inlineStr">
        <is>
          <t>IF(OR(E151="",AH151=""),"",IF(COUNT(Y151:AG151)=0,"",AH151-LOOKUP(2,1/(Y151:AG151&lt;&gt;""),Y151:AG151)))</t>
        </is>
      </c>
      <c r="AT151" s="36" t="inlineStr">
        <is>
          <t>IF(OR(E151="",AI151=""),"",IF(COUNT(Y151:AH151)=0,"",AI151-LOOKUP(2,1/(Y151:AH151&lt;&gt;""),Y151:AH151)))</t>
        </is>
      </c>
      <c r="AU151" s="36" t="inlineStr">
        <is>
          <t>IF(OR(E151="",AJ151=""),"",IF(COUNT(Y151:AI151)=0,"",AJ151-LOOKUP(2,1/(Y151:AI151&lt;&gt;""),Y151:AI151)))</t>
        </is>
      </c>
      <c r="AV151" s="39" t="inlineStr">
        <is>
          <t>IF(G151="","All_Provinces",IFERROR(VLOOKUP(G151,'07_Lookups'!$A$4:$B$20,2,FALSE),"All_Provinces"))</t>
        </is>
      </c>
      <c r="AW151" s="39" t="inlineStr">
        <is>
          <t>IF(H151="","All_Districts",IFERROR(VLOOKUP(H151,'07_Lookups'!$E$4:$F$42,2,FALSE),"All_Districts"))</t>
        </is>
      </c>
    </row>
    <row r="152" ht="18" customHeight="1">
      <c r="A152" s="31" t="inlineStr">
        <is>
          <t>IF(E152="","",ROW()-3)</t>
        </is>
      </c>
      <c r="B152" s="32" t="n"/>
      <c r="C152" s="32" t="n"/>
      <c r="D152" s="32" t="n"/>
      <c r="E152" s="32" t="n"/>
      <c r="F152" s="32" t="n"/>
      <c r="G152" s="32" t="n"/>
      <c r="H152" s="32" t="n"/>
      <c r="I152" s="32" t="n"/>
      <c r="J152" s="32" t="n"/>
      <c r="K152" s="32" t="n"/>
      <c r="L152" s="32" t="n"/>
      <c r="M152" s="32" t="n"/>
      <c r="N152" s="33" t="n"/>
      <c r="O152" s="34" t="inlineStr">
        <is>
          <t>IF(AE152="","",AE152)</t>
        </is>
      </c>
      <c r="P152" s="35" t="n"/>
      <c r="Q152" s="34" t="inlineStr">
        <is>
          <t>IF(OR(O152="",P152=""),"",EDATE(O152,P152))</t>
        </is>
      </c>
      <c r="R152" s="35" t="n"/>
      <c r="S152" s="32" t="n"/>
      <c r="T152" s="32" t="n"/>
      <c r="U152" s="31" t="inlineStr">
        <is>
          <t>IF(E152="","",IF(COUNT(Y152:AJ152)=0,IF(S152="","Not started",S152),SUBSTITUTE(LOOKUP(2,1/(Y152:AJ152&lt;&gt;""),$Y$3:$AJ$3),"Date: ","")))</t>
        </is>
      </c>
      <c r="V152" s="36" t="inlineStr">
        <is>
          <t>IF(OR(E152="",COUNT(Y152:AJ152)=0),"",TODAY()-LOOKUP(2,1/(Y152:AJ152&lt;&gt;""),Y152:AJ152))</t>
        </is>
      </c>
      <c r="W152" s="36" t="inlineStr">
        <is>
          <t>IF(OR(E152="",COUNT(Y152:AJ152)&lt;2),"",LOOKUP(2,1/(Y152:AJ152&lt;&gt;""),Y152:AJ152)-MIN(Y152:AJ152))</t>
        </is>
      </c>
      <c r="X152" s="36" t="inlineStr">
        <is>
          <t>IF(OR(V152="",U152="Not started",U152=""),"",IFERROR(V152-IF(VLOOKUP(U152,'04_Status_Pipeline'!$B$3:$E$20,4,FALSE)="",0,VLOOKUP(U152,'04_Status_Pipeline'!$B$3:$E$20,4,FALSE)),""))</t>
        </is>
      </c>
      <c r="Y152" s="37" t="n"/>
      <c r="Z152" s="37" t="n"/>
      <c r="AA152" s="37" t="n"/>
      <c r="AB152" s="37" t="n"/>
      <c r="AC152" s="37" t="n"/>
      <c r="AD152" s="37" t="n"/>
      <c r="AE152" s="37" t="n"/>
      <c r="AF152" s="37" t="n"/>
      <c r="AG152" s="37" t="n"/>
      <c r="AH152" s="38" t="n"/>
      <c r="AI152" s="38" t="n"/>
      <c r="AJ152" s="38" t="n"/>
      <c r="AK152" s="36" t="inlineStr">
        <is>
          <t>IF(OR(E152="",Z152=""),"",IF(COUNT(Y152:Y152)=0,"",Z152-LOOKUP(2,1/(Y152:Y152&lt;&gt;""),Y152:Y152)))</t>
        </is>
      </c>
      <c r="AL152" s="36" t="inlineStr">
        <is>
          <t>IF(OR(E152="",AA152=""),"",IF(COUNT(Y152:Z152)=0,"",AA152-LOOKUP(2,1/(Y152:Z152&lt;&gt;""),Y152:Z152)))</t>
        </is>
      </c>
      <c r="AM152" s="36" t="inlineStr">
        <is>
          <t>IF(OR(E152="",AB152=""),"",IF(COUNT(Y152:AA152)=0,"",AB152-LOOKUP(2,1/(Y152:AA152&lt;&gt;""),Y152:AA152)))</t>
        </is>
      </c>
      <c r="AN152" s="36" t="inlineStr">
        <is>
          <t>IF(OR(E152="",AC152=""),"",IF(COUNT(Y152:AB152)=0,"",AC152-LOOKUP(2,1/(Y152:AB152&lt;&gt;""),Y152:AB152)))</t>
        </is>
      </c>
      <c r="AO152" s="36" t="inlineStr">
        <is>
          <t>IF(OR(E152="",AD152=""),"",IF(COUNT(Y152:AC152)=0,"",AD152-LOOKUP(2,1/(Y152:AC152&lt;&gt;""),Y152:AC152)))</t>
        </is>
      </c>
      <c r="AP152" s="36" t="inlineStr">
        <is>
          <t>IF(OR(E152="",AE152=""),"",IF(COUNT(Y152:AD152)=0,"",AE152-LOOKUP(2,1/(Y152:AD152&lt;&gt;""),Y152:AD152)))</t>
        </is>
      </c>
      <c r="AQ152" s="36" t="inlineStr">
        <is>
          <t>IF(OR(E152="",AF152=""),"",IF(COUNT(Y152:AE152)=0,"",AF152-LOOKUP(2,1/(Y152:AE152&lt;&gt;""),Y152:AE152)))</t>
        </is>
      </c>
      <c r="AR152" s="36" t="inlineStr">
        <is>
          <t>IF(OR(E152="",AG152=""),"",IF(COUNT(Y152:AF152)=0,"",AG152-LOOKUP(2,1/(Y152:AF152&lt;&gt;""),Y152:AF152)))</t>
        </is>
      </c>
      <c r="AS152" s="36" t="inlineStr">
        <is>
          <t>IF(OR(E152="",AH152=""),"",IF(COUNT(Y152:AG152)=0,"",AH152-LOOKUP(2,1/(Y152:AG152&lt;&gt;""),Y152:AG152)))</t>
        </is>
      </c>
      <c r="AT152" s="36" t="inlineStr">
        <is>
          <t>IF(OR(E152="",AI152=""),"",IF(COUNT(Y152:AH152)=0,"",AI152-LOOKUP(2,1/(Y152:AH152&lt;&gt;""),Y152:AH152)))</t>
        </is>
      </c>
      <c r="AU152" s="36" t="inlineStr">
        <is>
          <t>IF(OR(E152="",AJ152=""),"",IF(COUNT(Y152:AI152)=0,"",AJ152-LOOKUP(2,1/(Y152:AI152&lt;&gt;""),Y152:AI152)))</t>
        </is>
      </c>
      <c r="AV152" s="39" t="inlineStr">
        <is>
          <t>IF(G152="","All_Provinces",IFERROR(VLOOKUP(G152,'07_Lookups'!$A$4:$B$20,2,FALSE),"All_Provinces"))</t>
        </is>
      </c>
      <c r="AW152" s="39" t="inlineStr">
        <is>
          <t>IF(H152="","All_Districts",IFERROR(VLOOKUP(H152,'07_Lookups'!$E$4:$F$42,2,FALSE),"All_Districts"))</t>
        </is>
      </c>
    </row>
    <row r="153" ht="18" customHeight="1">
      <c r="A153" s="31" t="inlineStr">
        <is>
          <t>IF(E153="","",ROW()-3)</t>
        </is>
      </c>
      <c r="B153" s="40" t="n"/>
      <c r="C153" s="40" t="n"/>
      <c r="D153" s="40" t="n"/>
      <c r="E153" s="40" t="n"/>
      <c r="F153" s="40" t="n"/>
      <c r="G153" s="40" t="n"/>
      <c r="H153" s="40" t="n"/>
      <c r="I153" s="40" t="n"/>
      <c r="J153" s="40" t="n"/>
      <c r="K153" s="40" t="n"/>
      <c r="L153" s="40" t="n"/>
      <c r="M153" s="40" t="n"/>
      <c r="N153" s="41" t="n"/>
      <c r="O153" s="34" t="inlineStr">
        <is>
          <t>IF(AE153="","",AE153)</t>
        </is>
      </c>
      <c r="P153" s="42" t="n"/>
      <c r="Q153" s="34" t="inlineStr">
        <is>
          <t>IF(OR(O153="",P153=""),"",EDATE(O153,P153))</t>
        </is>
      </c>
      <c r="R153" s="42" t="n"/>
      <c r="S153" s="40" t="n"/>
      <c r="T153" s="40" t="n"/>
      <c r="U153" s="31" t="inlineStr">
        <is>
          <t>IF(E153="","",IF(COUNT(Y153:AJ153)=0,IF(S153="","Not started",S153),SUBSTITUTE(LOOKUP(2,1/(Y153:AJ153&lt;&gt;""),$Y$3:$AJ$3),"Date: ","")))</t>
        </is>
      </c>
      <c r="V153" s="36" t="inlineStr">
        <is>
          <t>IF(OR(E153="",COUNT(Y153:AJ153)=0),"",TODAY()-LOOKUP(2,1/(Y153:AJ153&lt;&gt;""),Y153:AJ153))</t>
        </is>
      </c>
      <c r="W153" s="36" t="inlineStr">
        <is>
          <t>IF(OR(E153="",COUNT(Y153:AJ153)&lt;2),"",LOOKUP(2,1/(Y153:AJ153&lt;&gt;""),Y153:AJ153)-MIN(Y153:AJ153))</t>
        </is>
      </c>
      <c r="X153" s="36" t="inlineStr">
        <is>
          <t>IF(OR(V153="",U153="Not started",U153=""),"",IFERROR(V153-IF(VLOOKUP(U153,'04_Status_Pipeline'!$B$3:$E$20,4,FALSE)="",0,VLOOKUP(U153,'04_Status_Pipeline'!$B$3:$E$20,4,FALSE)),""))</t>
        </is>
      </c>
      <c r="Y153" s="43" t="n"/>
      <c r="Z153" s="43" t="n"/>
      <c r="AA153" s="43" t="n"/>
      <c r="AB153" s="43" t="n"/>
      <c r="AC153" s="43" t="n"/>
      <c r="AD153" s="43" t="n"/>
      <c r="AE153" s="43" t="n"/>
      <c r="AF153" s="43" t="n"/>
      <c r="AG153" s="43" t="n"/>
      <c r="AH153" s="38" t="n"/>
      <c r="AI153" s="38" t="n"/>
      <c r="AJ153" s="38" t="n"/>
      <c r="AK153" s="36" t="inlineStr">
        <is>
          <t>IF(OR(E153="",Z153=""),"",IF(COUNT(Y153:Y153)=0,"",Z153-LOOKUP(2,1/(Y153:Y153&lt;&gt;""),Y153:Y153)))</t>
        </is>
      </c>
      <c r="AL153" s="36" t="inlineStr">
        <is>
          <t>IF(OR(E153="",AA153=""),"",IF(COUNT(Y153:Z153)=0,"",AA153-LOOKUP(2,1/(Y153:Z153&lt;&gt;""),Y153:Z153)))</t>
        </is>
      </c>
      <c r="AM153" s="36" t="inlineStr">
        <is>
          <t>IF(OR(E153="",AB153=""),"",IF(COUNT(Y153:AA153)=0,"",AB153-LOOKUP(2,1/(Y153:AA153&lt;&gt;""),Y153:AA153)))</t>
        </is>
      </c>
      <c r="AN153" s="36" t="inlineStr">
        <is>
          <t>IF(OR(E153="",AC153=""),"",IF(COUNT(Y153:AB153)=0,"",AC153-LOOKUP(2,1/(Y153:AB153&lt;&gt;""),Y153:AB153)))</t>
        </is>
      </c>
      <c r="AO153" s="36" t="inlineStr">
        <is>
          <t>IF(OR(E153="",AD153=""),"",IF(COUNT(Y153:AC153)=0,"",AD153-LOOKUP(2,1/(Y153:AC153&lt;&gt;""),Y153:AC153)))</t>
        </is>
      </c>
      <c r="AP153" s="36" t="inlineStr">
        <is>
          <t>IF(OR(E153="",AE153=""),"",IF(COUNT(Y153:AD153)=0,"",AE153-LOOKUP(2,1/(Y153:AD153&lt;&gt;""),Y153:AD153)))</t>
        </is>
      </c>
      <c r="AQ153" s="36" t="inlineStr">
        <is>
          <t>IF(OR(E153="",AF153=""),"",IF(COUNT(Y153:AE153)=0,"",AF153-LOOKUP(2,1/(Y153:AE153&lt;&gt;""),Y153:AE153)))</t>
        </is>
      </c>
      <c r="AR153" s="36" t="inlineStr">
        <is>
          <t>IF(OR(E153="",AG153=""),"",IF(COUNT(Y153:AF153)=0,"",AG153-LOOKUP(2,1/(Y153:AF153&lt;&gt;""),Y153:AF153)))</t>
        </is>
      </c>
      <c r="AS153" s="36" t="inlineStr">
        <is>
          <t>IF(OR(E153="",AH153=""),"",IF(COUNT(Y153:AG153)=0,"",AH153-LOOKUP(2,1/(Y153:AG153&lt;&gt;""),Y153:AG153)))</t>
        </is>
      </c>
      <c r="AT153" s="36" t="inlineStr">
        <is>
          <t>IF(OR(E153="",AI153=""),"",IF(COUNT(Y153:AH153)=0,"",AI153-LOOKUP(2,1/(Y153:AH153&lt;&gt;""),Y153:AH153)))</t>
        </is>
      </c>
      <c r="AU153" s="36" t="inlineStr">
        <is>
          <t>IF(OR(E153="",AJ153=""),"",IF(COUNT(Y153:AI153)=0,"",AJ153-LOOKUP(2,1/(Y153:AI153&lt;&gt;""),Y153:AI153)))</t>
        </is>
      </c>
      <c r="AV153" s="39" t="inlineStr">
        <is>
          <t>IF(G153="","All_Provinces",IFERROR(VLOOKUP(G153,'07_Lookups'!$A$4:$B$20,2,FALSE),"All_Provinces"))</t>
        </is>
      </c>
      <c r="AW153" s="39" t="inlineStr">
        <is>
          <t>IF(H153="","All_Districts",IFERROR(VLOOKUP(H153,'07_Lookups'!$E$4:$F$42,2,FALSE),"All_Districts"))</t>
        </is>
      </c>
    </row>
    <row r="154" ht="18" customHeight="1">
      <c r="A154" s="31" t="inlineStr">
        <is>
          <t>IF(E154="","",ROW()-3)</t>
        </is>
      </c>
      <c r="B154" s="32" t="n"/>
      <c r="C154" s="32" t="n"/>
      <c r="D154" s="32" t="n"/>
      <c r="E154" s="32" t="n"/>
      <c r="F154" s="32" t="n"/>
      <c r="G154" s="32" t="n"/>
      <c r="H154" s="32" t="n"/>
      <c r="I154" s="32" t="n"/>
      <c r="J154" s="32" t="n"/>
      <c r="K154" s="32" t="n"/>
      <c r="L154" s="32" t="n"/>
      <c r="M154" s="32" t="n"/>
      <c r="N154" s="33" t="n"/>
      <c r="O154" s="34" t="inlineStr">
        <is>
          <t>IF(AE154="","",AE154)</t>
        </is>
      </c>
      <c r="P154" s="35" t="n"/>
      <c r="Q154" s="34" t="inlineStr">
        <is>
          <t>IF(OR(O154="",P154=""),"",EDATE(O154,P154))</t>
        </is>
      </c>
      <c r="R154" s="35" t="n"/>
      <c r="S154" s="32" t="n"/>
      <c r="T154" s="32" t="n"/>
      <c r="U154" s="31" t="inlineStr">
        <is>
          <t>IF(E154="","",IF(COUNT(Y154:AJ154)=0,IF(S154="","Not started",S154),SUBSTITUTE(LOOKUP(2,1/(Y154:AJ154&lt;&gt;""),$Y$3:$AJ$3),"Date: ","")))</t>
        </is>
      </c>
      <c r="V154" s="36" t="inlineStr">
        <is>
          <t>IF(OR(E154="",COUNT(Y154:AJ154)=0),"",TODAY()-LOOKUP(2,1/(Y154:AJ154&lt;&gt;""),Y154:AJ154))</t>
        </is>
      </c>
      <c r="W154" s="36" t="inlineStr">
        <is>
          <t>IF(OR(E154="",COUNT(Y154:AJ154)&lt;2),"",LOOKUP(2,1/(Y154:AJ154&lt;&gt;""),Y154:AJ154)-MIN(Y154:AJ154))</t>
        </is>
      </c>
      <c r="X154" s="36" t="inlineStr">
        <is>
          <t>IF(OR(V154="",U154="Not started",U154=""),"",IFERROR(V154-IF(VLOOKUP(U154,'04_Status_Pipeline'!$B$3:$E$20,4,FALSE)="",0,VLOOKUP(U154,'04_Status_Pipeline'!$B$3:$E$20,4,FALSE)),""))</t>
        </is>
      </c>
      <c r="Y154" s="37" t="n"/>
      <c r="Z154" s="37" t="n"/>
      <c r="AA154" s="37" t="n"/>
      <c r="AB154" s="37" t="n"/>
      <c r="AC154" s="37" t="n"/>
      <c r="AD154" s="37" t="n"/>
      <c r="AE154" s="37" t="n"/>
      <c r="AF154" s="37" t="n"/>
      <c r="AG154" s="37" t="n"/>
      <c r="AH154" s="38" t="n"/>
      <c r="AI154" s="38" t="n"/>
      <c r="AJ154" s="38" t="n"/>
      <c r="AK154" s="36" t="inlineStr">
        <is>
          <t>IF(OR(E154="",Z154=""),"",IF(COUNT(Y154:Y154)=0,"",Z154-LOOKUP(2,1/(Y154:Y154&lt;&gt;""),Y154:Y154)))</t>
        </is>
      </c>
      <c r="AL154" s="36" t="inlineStr">
        <is>
          <t>IF(OR(E154="",AA154=""),"",IF(COUNT(Y154:Z154)=0,"",AA154-LOOKUP(2,1/(Y154:Z154&lt;&gt;""),Y154:Z154)))</t>
        </is>
      </c>
      <c r="AM154" s="36" t="inlineStr">
        <is>
          <t>IF(OR(E154="",AB154=""),"",IF(COUNT(Y154:AA154)=0,"",AB154-LOOKUP(2,1/(Y154:AA154&lt;&gt;""),Y154:AA154)))</t>
        </is>
      </c>
      <c r="AN154" s="36" t="inlineStr">
        <is>
          <t>IF(OR(E154="",AC154=""),"",IF(COUNT(Y154:AB154)=0,"",AC154-LOOKUP(2,1/(Y154:AB154&lt;&gt;""),Y154:AB154)))</t>
        </is>
      </c>
      <c r="AO154" s="36" t="inlineStr">
        <is>
          <t>IF(OR(E154="",AD154=""),"",IF(COUNT(Y154:AC154)=0,"",AD154-LOOKUP(2,1/(Y154:AC154&lt;&gt;""),Y154:AC154)))</t>
        </is>
      </c>
      <c r="AP154" s="36" t="inlineStr">
        <is>
          <t>IF(OR(E154="",AE154=""),"",IF(COUNT(Y154:AD154)=0,"",AE154-LOOKUP(2,1/(Y154:AD154&lt;&gt;""),Y154:AD154)))</t>
        </is>
      </c>
      <c r="AQ154" s="36" t="inlineStr">
        <is>
          <t>IF(OR(E154="",AF154=""),"",IF(COUNT(Y154:AE154)=0,"",AF154-LOOKUP(2,1/(Y154:AE154&lt;&gt;""),Y154:AE154)))</t>
        </is>
      </c>
      <c r="AR154" s="36" t="inlineStr">
        <is>
          <t>IF(OR(E154="",AG154=""),"",IF(COUNT(Y154:AF154)=0,"",AG154-LOOKUP(2,1/(Y154:AF154&lt;&gt;""),Y154:AF154)))</t>
        </is>
      </c>
      <c r="AS154" s="36" t="inlineStr">
        <is>
          <t>IF(OR(E154="",AH154=""),"",IF(COUNT(Y154:AG154)=0,"",AH154-LOOKUP(2,1/(Y154:AG154&lt;&gt;""),Y154:AG154)))</t>
        </is>
      </c>
      <c r="AT154" s="36" t="inlineStr">
        <is>
          <t>IF(OR(E154="",AI154=""),"",IF(COUNT(Y154:AH154)=0,"",AI154-LOOKUP(2,1/(Y154:AH154&lt;&gt;""),Y154:AH154)))</t>
        </is>
      </c>
      <c r="AU154" s="36" t="inlineStr">
        <is>
          <t>IF(OR(E154="",AJ154=""),"",IF(COUNT(Y154:AI154)=0,"",AJ154-LOOKUP(2,1/(Y154:AI154&lt;&gt;""),Y154:AI154)))</t>
        </is>
      </c>
      <c r="AV154" s="39" t="inlineStr">
        <is>
          <t>IF(G154="","All_Provinces",IFERROR(VLOOKUP(G154,'07_Lookups'!$A$4:$B$20,2,FALSE),"All_Provinces"))</t>
        </is>
      </c>
      <c r="AW154" s="39" t="inlineStr">
        <is>
          <t>IF(H154="","All_Districts",IFERROR(VLOOKUP(H154,'07_Lookups'!$E$4:$F$42,2,FALSE),"All_Districts"))</t>
        </is>
      </c>
    </row>
    <row r="155" ht="18" customHeight="1">
      <c r="A155" s="31" t="inlineStr">
        <is>
          <t>IF(E155="","",ROW()-3)</t>
        </is>
      </c>
      <c r="B155" s="40" t="n"/>
      <c r="C155" s="40" t="n"/>
      <c r="D155" s="40" t="n"/>
      <c r="E155" s="40" t="n"/>
      <c r="F155" s="40" t="n"/>
      <c r="G155" s="40" t="n"/>
      <c r="H155" s="40" t="n"/>
      <c r="I155" s="40" t="n"/>
      <c r="J155" s="40" t="n"/>
      <c r="K155" s="40" t="n"/>
      <c r="L155" s="40" t="n"/>
      <c r="M155" s="40" t="n"/>
      <c r="N155" s="41" t="n"/>
      <c r="O155" s="34" t="inlineStr">
        <is>
          <t>IF(AE155="","",AE155)</t>
        </is>
      </c>
      <c r="P155" s="42" t="n"/>
      <c r="Q155" s="34" t="inlineStr">
        <is>
          <t>IF(OR(O155="",P155=""),"",EDATE(O155,P155))</t>
        </is>
      </c>
      <c r="R155" s="42" t="n"/>
      <c r="S155" s="40" t="n"/>
      <c r="T155" s="40" t="n"/>
      <c r="U155" s="31" t="inlineStr">
        <is>
          <t>IF(E155="","",IF(COUNT(Y155:AJ155)=0,IF(S155="","Not started",S155),SUBSTITUTE(LOOKUP(2,1/(Y155:AJ155&lt;&gt;""),$Y$3:$AJ$3),"Date: ","")))</t>
        </is>
      </c>
      <c r="V155" s="36" t="inlineStr">
        <is>
          <t>IF(OR(E155="",COUNT(Y155:AJ155)=0),"",TODAY()-LOOKUP(2,1/(Y155:AJ155&lt;&gt;""),Y155:AJ155))</t>
        </is>
      </c>
      <c r="W155" s="36" t="inlineStr">
        <is>
          <t>IF(OR(E155="",COUNT(Y155:AJ155)&lt;2),"",LOOKUP(2,1/(Y155:AJ155&lt;&gt;""),Y155:AJ155)-MIN(Y155:AJ155))</t>
        </is>
      </c>
      <c r="X155" s="36" t="inlineStr">
        <is>
          <t>IF(OR(V155="",U155="Not started",U155=""),"",IFERROR(V155-IF(VLOOKUP(U155,'04_Status_Pipeline'!$B$3:$E$20,4,FALSE)="",0,VLOOKUP(U155,'04_Status_Pipeline'!$B$3:$E$20,4,FALSE)),""))</t>
        </is>
      </c>
      <c r="Y155" s="43" t="n"/>
      <c r="Z155" s="43" t="n"/>
      <c r="AA155" s="43" t="n"/>
      <c r="AB155" s="43" t="n"/>
      <c r="AC155" s="43" t="n"/>
      <c r="AD155" s="43" t="n"/>
      <c r="AE155" s="43" t="n"/>
      <c r="AF155" s="43" t="n"/>
      <c r="AG155" s="43" t="n"/>
      <c r="AH155" s="38" t="n"/>
      <c r="AI155" s="38" t="n"/>
      <c r="AJ155" s="38" t="n"/>
      <c r="AK155" s="36" t="inlineStr">
        <is>
          <t>IF(OR(E155="",Z155=""),"",IF(COUNT(Y155:Y155)=0,"",Z155-LOOKUP(2,1/(Y155:Y155&lt;&gt;""),Y155:Y155)))</t>
        </is>
      </c>
      <c r="AL155" s="36" t="inlineStr">
        <is>
          <t>IF(OR(E155="",AA155=""),"",IF(COUNT(Y155:Z155)=0,"",AA155-LOOKUP(2,1/(Y155:Z155&lt;&gt;""),Y155:Z155)))</t>
        </is>
      </c>
      <c r="AM155" s="36" t="inlineStr">
        <is>
          <t>IF(OR(E155="",AB155=""),"",IF(COUNT(Y155:AA155)=0,"",AB155-LOOKUP(2,1/(Y155:AA155&lt;&gt;""),Y155:AA155)))</t>
        </is>
      </c>
      <c r="AN155" s="36" t="inlineStr">
        <is>
          <t>IF(OR(E155="",AC155=""),"",IF(COUNT(Y155:AB155)=0,"",AC155-LOOKUP(2,1/(Y155:AB155&lt;&gt;""),Y155:AB155)))</t>
        </is>
      </c>
      <c r="AO155" s="36" t="inlineStr">
        <is>
          <t>IF(OR(E155="",AD155=""),"",IF(COUNT(Y155:AC155)=0,"",AD155-LOOKUP(2,1/(Y155:AC155&lt;&gt;""),Y155:AC155)))</t>
        </is>
      </c>
      <c r="AP155" s="36" t="inlineStr">
        <is>
          <t>IF(OR(E155="",AE155=""),"",IF(COUNT(Y155:AD155)=0,"",AE155-LOOKUP(2,1/(Y155:AD155&lt;&gt;""),Y155:AD155)))</t>
        </is>
      </c>
      <c r="AQ155" s="36" t="inlineStr">
        <is>
          <t>IF(OR(E155="",AF155=""),"",IF(COUNT(Y155:AE155)=0,"",AF155-LOOKUP(2,1/(Y155:AE155&lt;&gt;""),Y155:AE155)))</t>
        </is>
      </c>
      <c r="AR155" s="36" t="inlineStr">
        <is>
          <t>IF(OR(E155="",AG155=""),"",IF(COUNT(Y155:AF155)=0,"",AG155-LOOKUP(2,1/(Y155:AF155&lt;&gt;""),Y155:AF155)))</t>
        </is>
      </c>
      <c r="AS155" s="36" t="inlineStr">
        <is>
          <t>IF(OR(E155="",AH155=""),"",IF(COUNT(Y155:AG155)=0,"",AH155-LOOKUP(2,1/(Y155:AG155&lt;&gt;""),Y155:AG155)))</t>
        </is>
      </c>
      <c r="AT155" s="36" t="inlineStr">
        <is>
          <t>IF(OR(E155="",AI155=""),"",IF(COUNT(Y155:AH155)=0,"",AI155-LOOKUP(2,1/(Y155:AH155&lt;&gt;""),Y155:AH155)))</t>
        </is>
      </c>
      <c r="AU155" s="36" t="inlineStr">
        <is>
          <t>IF(OR(E155="",AJ155=""),"",IF(COUNT(Y155:AI155)=0,"",AJ155-LOOKUP(2,1/(Y155:AI155&lt;&gt;""),Y155:AI155)))</t>
        </is>
      </c>
      <c r="AV155" s="39" t="inlineStr">
        <is>
          <t>IF(G155="","All_Provinces",IFERROR(VLOOKUP(G155,'07_Lookups'!$A$4:$B$20,2,FALSE),"All_Provinces"))</t>
        </is>
      </c>
      <c r="AW155" s="39" t="inlineStr">
        <is>
          <t>IF(H155="","All_Districts",IFERROR(VLOOKUP(H155,'07_Lookups'!$E$4:$F$42,2,FALSE),"All_Districts"))</t>
        </is>
      </c>
    </row>
    <row r="156" ht="18" customHeight="1">
      <c r="A156" s="31" t="inlineStr">
        <is>
          <t>IF(E156="","",ROW()-3)</t>
        </is>
      </c>
      <c r="B156" s="32" t="n"/>
      <c r="C156" s="32" t="n"/>
      <c r="D156" s="32" t="n"/>
      <c r="E156" s="32" t="n"/>
      <c r="F156" s="32" t="n"/>
      <c r="G156" s="32" t="n"/>
      <c r="H156" s="32" t="n"/>
      <c r="I156" s="32" t="n"/>
      <c r="J156" s="32" t="n"/>
      <c r="K156" s="32" t="n"/>
      <c r="L156" s="32" t="n"/>
      <c r="M156" s="32" t="n"/>
      <c r="N156" s="33" t="n"/>
      <c r="O156" s="34" t="inlineStr">
        <is>
          <t>IF(AE156="","",AE156)</t>
        </is>
      </c>
      <c r="P156" s="35" t="n"/>
      <c r="Q156" s="34" t="inlineStr">
        <is>
          <t>IF(OR(O156="",P156=""),"",EDATE(O156,P156))</t>
        </is>
      </c>
      <c r="R156" s="35" t="n"/>
      <c r="S156" s="32" t="n"/>
      <c r="T156" s="32" t="n"/>
      <c r="U156" s="31" t="inlineStr">
        <is>
          <t>IF(E156="","",IF(COUNT(Y156:AJ156)=0,IF(S156="","Not started",S156),SUBSTITUTE(LOOKUP(2,1/(Y156:AJ156&lt;&gt;""),$Y$3:$AJ$3),"Date: ","")))</t>
        </is>
      </c>
      <c r="V156" s="36" t="inlineStr">
        <is>
          <t>IF(OR(E156="",COUNT(Y156:AJ156)=0),"",TODAY()-LOOKUP(2,1/(Y156:AJ156&lt;&gt;""),Y156:AJ156))</t>
        </is>
      </c>
      <c r="W156" s="36" t="inlineStr">
        <is>
          <t>IF(OR(E156="",COUNT(Y156:AJ156)&lt;2),"",LOOKUP(2,1/(Y156:AJ156&lt;&gt;""),Y156:AJ156)-MIN(Y156:AJ156))</t>
        </is>
      </c>
      <c r="X156" s="36" t="inlineStr">
        <is>
          <t>IF(OR(V156="",U156="Not started",U156=""),"",IFERROR(V156-IF(VLOOKUP(U156,'04_Status_Pipeline'!$B$3:$E$20,4,FALSE)="",0,VLOOKUP(U156,'04_Status_Pipeline'!$B$3:$E$20,4,FALSE)),""))</t>
        </is>
      </c>
      <c r="Y156" s="37" t="n"/>
      <c r="Z156" s="37" t="n"/>
      <c r="AA156" s="37" t="n"/>
      <c r="AB156" s="37" t="n"/>
      <c r="AC156" s="37" t="n"/>
      <c r="AD156" s="37" t="n"/>
      <c r="AE156" s="37" t="n"/>
      <c r="AF156" s="37" t="n"/>
      <c r="AG156" s="37" t="n"/>
      <c r="AH156" s="38" t="n"/>
      <c r="AI156" s="38" t="n"/>
      <c r="AJ156" s="38" t="n"/>
      <c r="AK156" s="36" t="inlineStr">
        <is>
          <t>IF(OR(E156="",Z156=""),"",IF(COUNT(Y156:Y156)=0,"",Z156-LOOKUP(2,1/(Y156:Y156&lt;&gt;""),Y156:Y156)))</t>
        </is>
      </c>
      <c r="AL156" s="36" t="inlineStr">
        <is>
          <t>IF(OR(E156="",AA156=""),"",IF(COUNT(Y156:Z156)=0,"",AA156-LOOKUP(2,1/(Y156:Z156&lt;&gt;""),Y156:Z156)))</t>
        </is>
      </c>
      <c r="AM156" s="36" t="inlineStr">
        <is>
          <t>IF(OR(E156="",AB156=""),"",IF(COUNT(Y156:AA156)=0,"",AB156-LOOKUP(2,1/(Y156:AA156&lt;&gt;""),Y156:AA156)))</t>
        </is>
      </c>
      <c r="AN156" s="36" t="inlineStr">
        <is>
          <t>IF(OR(E156="",AC156=""),"",IF(COUNT(Y156:AB156)=0,"",AC156-LOOKUP(2,1/(Y156:AB156&lt;&gt;""),Y156:AB156)))</t>
        </is>
      </c>
      <c r="AO156" s="36" t="inlineStr">
        <is>
          <t>IF(OR(E156="",AD156=""),"",IF(COUNT(Y156:AC156)=0,"",AD156-LOOKUP(2,1/(Y156:AC156&lt;&gt;""),Y156:AC156)))</t>
        </is>
      </c>
      <c r="AP156" s="36" t="inlineStr">
        <is>
          <t>IF(OR(E156="",AE156=""),"",IF(COUNT(Y156:AD156)=0,"",AE156-LOOKUP(2,1/(Y156:AD156&lt;&gt;""),Y156:AD156)))</t>
        </is>
      </c>
      <c r="AQ156" s="36" t="inlineStr">
        <is>
          <t>IF(OR(E156="",AF156=""),"",IF(COUNT(Y156:AE156)=0,"",AF156-LOOKUP(2,1/(Y156:AE156&lt;&gt;""),Y156:AE156)))</t>
        </is>
      </c>
      <c r="AR156" s="36" t="inlineStr">
        <is>
          <t>IF(OR(E156="",AG156=""),"",IF(COUNT(Y156:AF156)=0,"",AG156-LOOKUP(2,1/(Y156:AF156&lt;&gt;""),Y156:AF156)))</t>
        </is>
      </c>
      <c r="AS156" s="36" t="inlineStr">
        <is>
          <t>IF(OR(E156="",AH156=""),"",IF(COUNT(Y156:AG156)=0,"",AH156-LOOKUP(2,1/(Y156:AG156&lt;&gt;""),Y156:AG156)))</t>
        </is>
      </c>
      <c r="AT156" s="36" t="inlineStr">
        <is>
          <t>IF(OR(E156="",AI156=""),"",IF(COUNT(Y156:AH156)=0,"",AI156-LOOKUP(2,1/(Y156:AH156&lt;&gt;""),Y156:AH156)))</t>
        </is>
      </c>
      <c r="AU156" s="36" t="inlineStr">
        <is>
          <t>IF(OR(E156="",AJ156=""),"",IF(COUNT(Y156:AI156)=0,"",AJ156-LOOKUP(2,1/(Y156:AI156&lt;&gt;""),Y156:AI156)))</t>
        </is>
      </c>
      <c r="AV156" s="39" t="inlineStr">
        <is>
          <t>IF(G156="","All_Provinces",IFERROR(VLOOKUP(G156,'07_Lookups'!$A$4:$B$20,2,FALSE),"All_Provinces"))</t>
        </is>
      </c>
      <c r="AW156" s="39" t="inlineStr">
        <is>
          <t>IF(H156="","All_Districts",IFERROR(VLOOKUP(H156,'07_Lookups'!$E$4:$F$42,2,FALSE),"All_Districts"))</t>
        </is>
      </c>
    </row>
    <row r="157" ht="18" customHeight="1">
      <c r="A157" s="31" t="inlineStr">
        <is>
          <t>IF(E157="","",ROW()-3)</t>
        </is>
      </c>
      <c r="B157" s="40" t="n"/>
      <c r="C157" s="40" t="n"/>
      <c r="D157" s="40" t="n"/>
      <c r="E157" s="40" t="n"/>
      <c r="F157" s="40" t="n"/>
      <c r="G157" s="40" t="n"/>
      <c r="H157" s="40" t="n"/>
      <c r="I157" s="40" t="n"/>
      <c r="J157" s="40" t="n"/>
      <c r="K157" s="40" t="n"/>
      <c r="L157" s="40" t="n"/>
      <c r="M157" s="40" t="n"/>
      <c r="N157" s="41" t="n"/>
      <c r="O157" s="34" t="inlineStr">
        <is>
          <t>IF(AE157="","",AE157)</t>
        </is>
      </c>
      <c r="P157" s="42" t="n"/>
      <c r="Q157" s="34" t="inlineStr">
        <is>
          <t>IF(OR(O157="",P157=""),"",EDATE(O157,P157))</t>
        </is>
      </c>
      <c r="R157" s="42" t="n"/>
      <c r="S157" s="40" t="n"/>
      <c r="T157" s="40" t="n"/>
      <c r="U157" s="31" t="inlineStr">
        <is>
          <t>IF(E157="","",IF(COUNT(Y157:AJ157)=0,IF(S157="","Not started",S157),SUBSTITUTE(LOOKUP(2,1/(Y157:AJ157&lt;&gt;""),$Y$3:$AJ$3),"Date: ","")))</t>
        </is>
      </c>
      <c r="V157" s="36" t="inlineStr">
        <is>
          <t>IF(OR(E157="",COUNT(Y157:AJ157)=0),"",TODAY()-LOOKUP(2,1/(Y157:AJ157&lt;&gt;""),Y157:AJ157))</t>
        </is>
      </c>
      <c r="W157" s="36" t="inlineStr">
        <is>
          <t>IF(OR(E157="",COUNT(Y157:AJ157)&lt;2),"",LOOKUP(2,1/(Y157:AJ157&lt;&gt;""),Y157:AJ157)-MIN(Y157:AJ157))</t>
        </is>
      </c>
      <c r="X157" s="36" t="inlineStr">
        <is>
          <t>IF(OR(V157="",U157="Not started",U157=""),"",IFERROR(V157-IF(VLOOKUP(U157,'04_Status_Pipeline'!$B$3:$E$20,4,FALSE)="",0,VLOOKUP(U157,'04_Status_Pipeline'!$B$3:$E$20,4,FALSE)),""))</t>
        </is>
      </c>
      <c r="Y157" s="43" t="n"/>
      <c r="Z157" s="43" t="n"/>
      <c r="AA157" s="43" t="n"/>
      <c r="AB157" s="43" t="n"/>
      <c r="AC157" s="43" t="n"/>
      <c r="AD157" s="43" t="n"/>
      <c r="AE157" s="43" t="n"/>
      <c r="AF157" s="43" t="n"/>
      <c r="AG157" s="43" t="n"/>
      <c r="AH157" s="38" t="n"/>
      <c r="AI157" s="38" t="n"/>
      <c r="AJ157" s="38" t="n"/>
      <c r="AK157" s="36" t="inlineStr">
        <is>
          <t>IF(OR(E157="",Z157=""),"",IF(COUNT(Y157:Y157)=0,"",Z157-LOOKUP(2,1/(Y157:Y157&lt;&gt;""),Y157:Y157)))</t>
        </is>
      </c>
      <c r="AL157" s="36" t="inlineStr">
        <is>
          <t>IF(OR(E157="",AA157=""),"",IF(COUNT(Y157:Z157)=0,"",AA157-LOOKUP(2,1/(Y157:Z157&lt;&gt;""),Y157:Z157)))</t>
        </is>
      </c>
      <c r="AM157" s="36" t="inlineStr">
        <is>
          <t>IF(OR(E157="",AB157=""),"",IF(COUNT(Y157:AA157)=0,"",AB157-LOOKUP(2,1/(Y157:AA157&lt;&gt;""),Y157:AA157)))</t>
        </is>
      </c>
      <c r="AN157" s="36" t="inlineStr">
        <is>
          <t>IF(OR(E157="",AC157=""),"",IF(COUNT(Y157:AB157)=0,"",AC157-LOOKUP(2,1/(Y157:AB157&lt;&gt;""),Y157:AB157)))</t>
        </is>
      </c>
      <c r="AO157" s="36" t="inlineStr">
        <is>
          <t>IF(OR(E157="",AD157=""),"",IF(COUNT(Y157:AC157)=0,"",AD157-LOOKUP(2,1/(Y157:AC157&lt;&gt;""),Y157:AC157)))</t>
        </is>
      </c>
      <c r="AP157" s="36" t="inlineStr">
        <is>
          <t>IF(OR(E157="",AE157=""),"",IF(COUNT(Y157:AD157)=0,"",AE157-LOOKUP(2,1/(Y157:AD157&lt;&gt;""),Y157:AD157)))</t>
        </is>
      </c>
      <c r="AQ157" s="36" t="inlineStr">
        <is>
          <t>IF(OR(E157="",AF157=""),"",IF(COUNT(Y157:AE157)=0,"",AF157-LOOKUP(2,1/(Y157:AE157&lt;&gt;""),Y157:AE157)))</t>
        </is>
      </c>
      <c r="AR157" s="36" t="inlineStr">
        <is>
          <t>IF(OR(E157="",AG157=""),"",IF(COUNT(Y157:AF157)=0,"",AG157-LOOKUP(2,1/(Y157:AF157&lt;&gt;""),Y157:AF157)))</t>
        </is>
      </c>
      <c r="AS157" s="36" t="inlineStr">
        <is>
          <t>IF(OR(E157="",AH157=""),"",IF(COUNT(Y157:AG157)=0,"",AH157-LOOKUP(2,1/(Y157:AG157&lt;&gt;""),Y157:AG157)))</t>
        </is>
      </c>
      <c r="AT157" s="36" t="inlineStr">
        <is>
          <t>IF(OR(E157="",AI157=""),"",IF(COUNT(Y157:AH157)=0,"",AI157-LOOKUP(2,1/(Y157:AH157&lt;&gt;""),Y157:AH157)))</t>
        </is>
      </c>
      <c r="AU157" s="36" t="inlineStr">
        <is>
          <t>IF(OR(E157="",AJ157=""),"",IF(COUNT(Y157:AI157)=0,"",AJ157-LOOKUP(2,1/(Y157:AI157&lt;&gt;""),Y157:AI157)))</t>
        </is>
      </c>
      <c r="AV157" s="39" t="inlineStr">
        <is>
          <t>IF(G157="","All_Provinces",IFERROR(VLOOKUP(G157,'07_Lookups'!$A$4:$B$20,2,FALSE),"All_Provinces"))</t>
        </is>
      </c>
      <c r="AW157" s="39" t="inlineStr">
        <is>
          <t>IF(H157="","All_Districts",IFERROR(VLOOKUP(H157,'07_Lookups'!$E$4:$F$42,2,FALSE),"All_Districts"))</t>
        </is>
      </c>
    </row>
    <row r="158" ht="18" customHeight="1">
      <c r="A158" s="31" t="inlineStr">
        <is>
          <t>IF(E158="","",ROW()-3)</t>
        </is>
      </c>
      <c r="B158" s="32" t="n"/>
      <c r="C158" s="32" t="n"/>
      <c r="D158" s="32" t="n"/>
      <c r="E158" s="32" t="n"/>
      <c r="F158" s="32" t="n"/>
      <c r="G158" s="32" t="n"/>
      <c r="H158" s="32" t="n"/>
      <c r="I158" s="32" t="n"/>
      <c r="J158" s="32" t="n"/>
      <c r="K158" s="32" t="n"/>
      <c r="L158" s="32" t="n"/>
      <c r="M158" s="32" t="n"/>
      <c r="N158" s="33" t="n"/>
      <c r="O158" s="34" t="inlineStr">
        <is>
          <t>IF(AE158="","",AE158)</t>
        </is>
      </c>
      <c r="P158" s="35" t="n"/>
      <c r="Q158" s="34" t="inlineStr">
        <is>
          <t>IF(OR(O158="",P158=""),"",EDATE(O158,P158))</t>
        </is>
      </c>
      <c r="R158" s="35" t="n"/>
      <c r="S158" s="32" t="n"/>
      <c r="T158" s="32" t="n"/>
      <c r="U158" s="31" t="inlineStr">
        <is>
          <t>IF(E158="","",IF(COUNT(Y158:AJ158)=0,IF(S158="","Not started",S158),SUBSTITUTE(LOOKUP(2,1/(Y158:AJ158&lt;&gt;""),$Y$3:$AJ$3),"Date: ","")))</t>
        </is>
      </c>
      <c r="V158" s="36" t="inlineStr">
        <is>
          <t>IF(OR(E158="",COUNT(Y158:AJ158)=0),"",TODAY()-LOOKUP(2,1/(Y158:AJ158&lt;&gt;""),Y158:AJ158))</t>
        </is>
      </c>
      <c r="W158" s="36" t="inlineStr">
        <is>
          <t>IF(OR(E158="",COUNT(Y158:AJ158)&lt;2),"",LOOKUP(2,1/(Y158:AJ158&lt;&gt;""),Y158:AJ158)-MIN(Y158:AJ158))</t>
        </is>
      </c>
      <c r="X158" s="36" t="inlineStr">
        <is>
          <t>IF(OR(V158="",U158="Not started",U158=""),"",IFERROR(V158-IF(VLOOKUP(U158,'04_Status_Pipeline'!$B$3:$E$20,4,FALSE)="",0,VLOOKUP(U158,'04_Status_Pipeline'!$B$3:$E$20,4,FALSE)),""))</t>
        </is>
      </c>
      <c r="Y158" s="37" t="n"/>
      <c r="Z158" s="37" t="n"/>
      <c r="AA158" s="37" t="n"/>
      <c r="AB158" s="37" t="n"/>
      <c r="AC158" s="37" t="n"/>
      <c r="AD158" s="37" t="n"/>
      <c r="AE158" s="37" t="n"/>
      <c r="AF158" s="37" t="n"/>
      <c r="AG158" s="37" t="n"/>
      <c r="AH158" s="38" t="n"/>
      <c r="AI158" s="38" t="n"/>
      <c r="AJ158" s="38" t="n"/>
      <c r="AK158" s="36" t="inlineStr">
        <is>
          <t>IF(OR(E158="",Z158=""),"",IF(COUNT(Y158:Y158)=0,"",Z158-LOOKUP(2,1/(Y158:Y158&lt;&gt;""),Y158:Y158)))</t>
        </is>
      </c>
      <c r="AL158" s="36" t="inlineStr">
        <is>
          <t>IF(OR(E158="",AA158=""),"",IF(COUNT(Y158:Z158)=0,"",AA158-LOOKUP(2,1/(Y158:Z158&lt;&gt;""),Y158:Z158)))</t>
        </is>
      </c>
      <c r="AM158" s="36" t="inlineStr">
        <is>
          <t>IF(OR(E158="",AB158=""),"",IF(COUNT(Y158:AA158)=0,"",AB158-LOOKUP(2,1/(Y158:AA158&lt;&gt;""),Y158:AA158)))</t>
        </is>
      </c>
      <c r="AN158" s="36" t="inlineStr">
        <is>
          <t>IF(OR(E158="",AC158=""),"",IF(COUNT(Y158:AB158)=0,"",AC158-LOOKUP(2,1/(Y158:AB158&lt;&gt;""),Y158:AB158)))</t>
        </is>
      </c>
      <c r="AO158" s="36" t="inlineStr">
        <is>
          <t>IF(OR(E158="",AD158=""),"",IF(COUNT(Y158:AC158)=0,"",AD158-LOOKUP(2,1/(Y158:AC158&lt;&gt;""),Y158:AC158)))</t>
        </is>
      </c>
      <c r="AP158" s="36" t="inlineStr">
        <is>
          <t>IF(OR(E158="",AE158=""),"",IF(COUNT(Y158:AD158)=0,"",AE158-LOOKUP(2,1/(Y158:AD158&lt;&gt;""),Y158:AD158)))</t>
        </is>
      </c>
      <c r="AQ158" s="36" t="inlineStr">
        <is>
          <t>IF(OR(E158="",AF158=""),"",IF(COUNT(Y158:AE158)=0,"",AF158-LOOKUP(2,1/(Y158:AE158&lt;&gt;""),Y158:AE158)))</t>
        </is>
      </c>
      <c r="AR158" s="36" t="inlineStr">
        <is>
          <t>IF(OR(E158="",AG158=""),"",IF(COUNT(Y158:AF158)=0,"",AG158-LOOKUP(2,1/(Y158:AF158&lt;&gt;""),Y158:AF158)))</t>
        </is>
      </c>
      <c r="AS158" s="36" t="inlineStr">
        <is>
          <t>IF(OR(E158="",AH158=""),"",IF(COUNT(Y158:AG158)=0,"",AH158-LOOKUP(2,1/(Y158:AG158&lt;&gt;""),Y158:AG158)))</t>
        </is>
      </c>
      <c r="AT158" s="36" t="inlineStr">
        <is>
          <t>IF(OR(E158="",AI158=""),"",IF(COUNT(Y158:AH158)=0,"",AI158-LOOKUP(2,1/(Y158:AH158&lt;&gt;""),Y158:AH158)))</t>
        </is>
      </c>
      <c r="AU158" s="36" t="inlineStr">
        <is>
          <t>IF(OR(E158="",AJ158=""),"",IF(COUNT(Y158:AI158)=0,"",AJ158-LOOKUP(2,1/(Y158:AI158&lt;&gt;""),Y158:AI158)))</t>
        </is>
      </c>
      <c r="AV158" s="39" t="inlineStr">
        <is>
          <t>IF(G158="","All_Provinces",IFERROR(VLOOKUP(G158,'07_Lookups'!$A$4:$B$20,2,FALSE),"All_Provinces"))</t>
        </is>
      </c>
      <c r="AW158" s="39" t="inlineStr">
        <is>
          <t>IF(H158="","All_Districts",IFERROR(VLOOKUP(H158,'07_Lookups'!$E$4:$F$42,2,FALSE),"All_Districts"))</t>
        </is>
      </c>
    </row>
    <row r="159" ht="18" customHeight="1">
      <c r="A159" s="31" t="inlineStr">
        <is>
          <t>IF(E159="","",ROW()-3)</t>
        </is>
      </c>
      <c r="B159" s="40" t="n"/>
      <c r="C159" s="40" t="n"/>
      <c r="D159" s="40" t="n"/>
      <c r="E159" s="40" t="n"/>
      <c r="F159" s="40" t="n"/>
      <c r="G159" s="40" t="n"/>
      <c r="H159" s="40" t="n"/>
      <c r="I159" s="40" t="n"/>
      <c r="J159" s="40" t="n"/>
      <c r="K159" s="40" t="n"/>
      <c r="L159" s="40" t="n"/>
      <c r="M159" s="40" t="n"/>
      <c r="N159" s="41" t="n"/>
      <c r="O159" s="34" t="inlineStr">
        <is>
          <t>IF(AE159="","",AE159)</t>
        </is>
      </c>
      <c r="P159" s="42" t="n"/>
      <c r="Q159" s="34" t="inlineStr">
        <is>
          <t>IF(OR(O159="",P159=""),"",EDATE(O159,P159))</t>
        </is>
      </c>
      <c r="R159" s="42" t="n"/>
      <c r="S159" s="40" t="n"/>
      <c r="T159" s="40" t="n"/>
      <c r="U159" s="31" t="inlineStr">
        <is>
          <t>IF(E159="","",IF(COUNT(Y159:AJ159)=0,IF(S159="","Not started",S159),SUBSTITUTE(LOOKUP(2,1/(Y159:AJ159&lt;&gt;""),$Y$3:$AJ$3),"Date: ","")))</t>
        </is>
      </c>
      <c r="V159" s="36" t="inlineStr">
        <is>
          <t>IF(OR(E159="",COUNT(Y159:AJ159)=0),"",TODAY()-LOOKUP(2,1/(Y159:AJ159&lt;&gt;""),Y159:AJ159))</t>
        </is>
      </c>
      <c r="W159" s="36" t="inlineStr">
        <is>
          <t>IF(OR(E159="",COUNT(Y159:AJ159)&lt;2),"",LOOKUP(2,1/(Y159:AJ159&lt;&gt;""),Y159:AJ159)-MIN(Y159:AJ159))</t>
        </is>
      </c>
      <c r="X159" s="36" t="inlineStr">
        <is>
          <t>IF(OR(V159="",U159="Not started",U159=""),"",IFERROR(V159-IF(VLOOKUP(U159,'04_Status_Pipeline'!$B$3:$E$20,4,FALSE)="",0,VLOOKUP(U159,'04_Status_Pipeline'!$B$3:$E$20,4,FALSE)),""))</t>
        </is>
      </c>
      <c r="Y159" s="43" t="n"/>
      <c r="Z159" s="43" t="n"/>
      <c r="AA159" s="43" t="n"/>
      <c r="AB159" s="43" t="n"/>
      <c r="AC159" s="43" t="n"/>
      <c r="AD159" s="43" t="n"/>
      <c r="AE159" s="43" t="n"/>
      <c r="AF159" s="43" t="n"/>
      <c r="AG159" s="43" t="n"/>
      <c r="AH159" s="38" t="n"/>
      <c r="AI159" s="38" t="n"/>
      <c r="AJ159" s="38" t="n"/>
      <c r="AK159" s="36" t="inlineStr">
        <is>
          <t>IF(OR(E159="",Z159=""),"",IF(COUNT(Y159:Y159)=0,"",Z159-LOOKUP(2,1/(Y159:Y159&lt;&gt;""),Y159:Y159)))</t>
        </is>
      </c>
      <c r="AL159" s="36" t="inlineStr">
        <is>
          <t>IF(OR(E159="",AA159=""),"",IF(COUNT(Y159:Z159)=0,"",AA159-LOOKUP(2,1/(Y159:Z159&lt;&gt;""),Y159:Z159)))</t>
        </is>
      </c>
      <c r="AM159" s="36" t="inlineStr">
        <is>
          <t>IF(OR(E159="",AB159=""),"",IF(COUNT(Y159:AA159)=0,"",AB159-LOOKUP(2,1/(Y159:AA159&lt;&gt;""),Y159:AA159)))</t>
        </is>
      </c>
      <c r="AN159" s="36" t="inlineStr">
        <is>
          <t>IF(OR(E159="",AC159=""),"",IF(COUNT(Y159:AB159)=0,"",AC159-LOOKUP(2,1/(Y159:AB159&lt;&gt;""),Y159:AB159)))</t>
        </is>
      </c>
      <c r="AO159" s="36" t="inlineStr">
        <is>
          <t>IF(OR(E159="",AD159=""),"",IF(COUNT(Y159:AC159)=0,"",AD159-LOOKUP(2,1/(Y159:AC159&lt;&gt;""),Y159:AC159)))</t>
        </is>
      </c>
      <c r="AP159" s="36" t="inlineStr">
        <is>
          <t>IF(OR(E159="",AE159=""),"",IF(COUNT(Y159:AD159)=0,"",AE159-LOOKUP(2,1/(Y159:AD159&lt;&gt;""),Y159:AD159)))</t>
        </is>
      </c>
      <c r="AQ159" s="36" t="inlineStr">
        <is>
          <t>IF(OR(E159="",AF159=""),"",IF(COUNT(Y159:AE159)=0,"",AF159-LOOKUP(2,1/(Y159:AE159&lt;&gt;""),Y159:AE159)))</t>
        </is>
      </c>
      <c r="AR159" s="36" t="inlineStr">
        <is>
          <t>IF(OR(E159="",AG159=""),"",IF(COUNT(Y159:AF159)=0,"",AG159-LOOKUP(2,1/(Y159:AF159&lt;&gt;""),Y159:AF159)))</t>
        </is>
      </c>
      <c r="AS159" s="36" t="inlineStr">
        <is>
          <t>IF(OR(E159="",AH159=""),"",IF(COUNT(Y159:AG159)=0,"",AH159-LOOKUP(2,1/(Y159:AG159&lt;&gt;""),Y159:AG159)))</t>
        </is>
      </c>
      <c r="AT159" s="36" t="inlineStr">
        <is>
          <t>IF(OR(E159="",AI159=""),"",IF(COUNT(Y159:AH159)=0,"",AI159-LOOKUP(2,1/(Y159:AH159&lt;&gt;""),Y159:AH159)))</t>
        </is>
      </c>
      <c r="AU159" s="36" t="inlineStr">
        <is>
          <t>IF(OR(E159="",AJ159=""),"",IF(COUNT(Y159:AI159)=0,"",AJ159-LOOKUP(2,1/(Y159:AI159&lt;&gt;""),Y159:AI159)))</t>
        </is>
      </c>
      <c r="AV159" s="39" t="inlineStr">
        <is>
          <t>IF(G159="","All_Provinces",IFERROR(VLOOKUP(G159,'07_Lookups'!$A$4:$B$20,2,FALSE),"All_Provinces"))</t>
        </is>
      </c>
      <c r="AW159" s="39" t="inlineStr">
        <is>
          <t>IF(H159="","All_Districts",IFERROR(VLOOKUP(H159,'07_Lookups'!$E$4:$F$42,2,FALSE),"All_Districts"))</t>
        </is>
      </c>
    </row>
    <row r="160" ht="18" customHeight="1">
      <c r="A160" s="31" t="inlineStr">
        <is>
          <t>IF(E160="","",ROW()-3)</t>
        </is>
      </c>
      <c r="B160" s="32" t="n"/>
      <c r="C160" s="32" t="n"/>
      <c r="D160" s="32" t="n"/>
      <c r="E160" s="32" t="n"/>
      <c r="F160" s="32" t="n"/>
      <c r="G160" s="32" t="n"/>
      <c r="H160" s="32" t="n"/>
      <c r="I160" s="32" t="n"/>
      <c r="J160" s="32" t="n"/>
      <c r="K160" s="32" t="n"/>
      <c r="L160" s="32" t="n"/>
      <c r="M160" s="32" t="n"/>
      <c r="N160" s="33" t="n"/>
      <c r="O160" s="34" t="inlineStr">
        <is>
          <t>IF(AE160="","",AE160)</t>
        </is>
      </c>
      <c r="P160" s="35" t="n"/>
      <c r="Q160" s="34" t="inlineStr">
        <is>
          <t>IF(OR(O160="",P160=""),"",EDATE(O160,P160))</t>
        </is>
      </c>
      <c r="R160" s="35" t="n"/>
      <c r="S160" s="32" t="n"/>
      <c r="T160" s="32" t="n"/>
      <c r="U160" s="31" t="inlineStr">
        <is>
          <t>IF(E160="","",IF(COUNT(Y160:AJ160)=0,IF(S160="","Not started",S160),SUBSTITUTE(LOOKUP(2,1/(Y160:AJ160&lt;&gt;""),$Y$3:$AJ$3),"Date: ","")))</t>
        </is>
      </c>
      <c r="V160" s="36" t="inlineStr">
        <is>
          <t>IF(OR(E160="",COUNT(Y160:AJ160)=0),"",TODAY()-LOOKUP(2,1/(Y160:AJ160&lt;&gt;""),Y160:AJ160))</t>
        </is>
      </c>
      <c r="W160" s="36" t="inlineStr">
        <is>
          <t>IF(OR(E160="",COUNT(Y160:AJ160)&lt;2),"",LOOKUP(2,1/(Y160:AJ160&lt;&gt;""),Y160:AJ160)-MIN(Y160:AJ160))</t>
        </is>
      </c>
      <c r="X160" s="36" t="inlineStr">
        <is>
          <t>IF(OR(V160="",U160="Not started",U160=""),"",IFERROR(V160-IF(VLOOKUP(U160,'04_Status_Pipeline'!$B$3:$E$20,4,FALSE)="",0,VLOOKUP(U160,'04_Status_Pipeline'!$B$3:$E$20,4,FALSE)),""))</t>
        </is>
      </c>
      <c r="Y160" s="37" t="n"/>
      <c r="Z160" s="37" t="n"/>
      <c r="AA160" s="37" t="n"/>
      <c r="AB160" s="37" t="n"/>
      <c r="AC160" s="37" t="n"/>
      <c r="AD160" s="37" t="n"/>
      <c r="AE160" s="37" t="n"/>
      <c r="AF160" s="37" t="n"/>
      <c r="AG160" s="37" t="n"/>
      <c r="AH160" s="38" t="n"/>
      <c r="AI160" s="38" t="n"/>
      <c r="AJ160" s="38" t="n"/>
      <c r="AK160" s="36" t="inlineStr">
        <is>
          <t>IF(OR(E160="",Z160=""),"",IF(COUNT(Y160:Y160)=0,"",Z160-LOOKUP(2,1/(Y160:Y160&lt;&gt;""),Y160:Y160)))</t>
        </is>
      </c>
      <c r="AL160" s="36" t="inlineStr">
        <is>
          <t>IF(OR(E160="",AA160=""),"",IF(COUNT(Y160:Z160)=0,"",AA160-LOOKUP(2,1/(Y160:Z160&lt;&gt;""),Y160:Z160)))</t>
        </is>
      </c>
      <c r="AM160" s="36" t="inlineStr">
        <is>
          <t>IF(OR(E160="",AB160=""),"",IF(COUNT(Y160:AA160)=0,"",AB160-LOOKUP(2,1/(Y160:AA160&lt;&gt;""),Y160:AA160)))</t>
        </is>
      </c>
      <c r="AN160" s="36" t="inlineStr">
        <is>
          <t>IF(OR(E160="",AC160=""),"",IF(COUNT(Y160:AB160)=0,"",AC160-LOOKUP(2,1/(Y160:AB160&lt;&gt;""),Y160:AB160)))</t>
        </is>
      </c>
      <c r="AO160" s="36" t="inlineStr">
        <is>
          <t>IF(OR(E160="",AD160=""),"",IF(COUNT(Y160:AC160)=0,"",AD160-LOOKUP(2,1/(Y160:AC160&lt;&gt;""),Y160:AC160)))</t>
        </is>
      </c>
      <c r="AP160" s="36" t="inlineStr">
        <is>
          <t>IF(OR(E160="",AE160=""),"",IF(COUNT(Y160:AD160)=0,"",AE160-LOOKUP(2,1/(Y160:AD160&lt;&gt;""),Y160:AD160)))</t>
        </is>
      </c>
      <c r="AQ160" s="36" t="inlineStr">
        <is>
          <t>IF(OR(E160="",AF160=""),"",IF(COUNT(Y160:AE160)=0,"",AF160-LOOKUP(2,1/(Y160:AE160&lt;&gt;""),Y160:AE160)))</t>
        </is>
      </c>
      <c r="AR160" s="36" t="inlineStr">
        <is>
          <t>IF(OR(E160="",AG160=""),"",IF(COUNT(Y160:AF160)=0,"",AG160-LOOKUP(2,1/(Y160:AF160&lt;&gt;""),Y160:AF160)))</t>
        </is>
      </c>
      <c r="AS160" s="36" t="inlineStr">
        <is>
          <t>IF(OR(E160="",AH160=""),"",IF(COUNT(Y160:AG160)=0,"",AH160-LOOKUP(2,1/(Y160:AG160&lt;&gt;""),Y160:AG160)))</t>
        </is>
      </c>
      <c r="AT160" s="36" t="inlineStr">
        <is>
          <t>IF(OR(E160="",AI160=""),"",IF(COUNT(Y160:AH160)=0,"",AI160-LOOKUP(2,1/(Y160:AH160&lt;&gt;""),Y160:AH160)))</t>
        </is>
      </c>
      <c r="AU160" s="36" t="inlineStr">
        <is>
          <t>IF(OR(E160="",AJ160=""),"",IF(COUNT(Y160:AI160)=0,"",AJ160-LOOKUP(2,1/(Y160:AI160&lt;&gt;""),Y160:AI160)))</t>
        </is>
      </c>
      <c r="AV160" s="39" t="inlineStr">
        <is>
          <t>IF(G160="","All_Provinces",IFERROR(VLOOKUP(G160,'07_Lookups'!$A$4:$B$20,2,FALSE),"All_Provinces"))</t>
        </is>
      </c>
      <c r="AW160" s="39" t="inlineStr">
        <is>
          <t>IF(H160="","All_Districts",IFERROR(VLOOKUP(H160,'07_Lookups'!$E$4:$F$42,2,FALSE),"All_Districts"))</t>
        </is>
      </c>
    </row>
    <row r="161" ht="18" customHeight="1">
      <c r="A161" s="31" t="inlineStr">
        <is>
          <t>IF(E161="","",ROW()-3)</t>
        </is>
      </c>
      <c r="B161" s="40" t="n"/>
      <c r="C161" s="40" t="n"/>
      <c r="D161" s="40" t="n"/>
      <c r="E161" s="40" t="n"/>
      <c r="F161" s="40" t="n"/>
      <c r="G161" s="40" t="n"/>
      <c r="H161" s="40" t="n"/>
      <c r="I161" s="40" t="n"/>
      <c r="J161" s="40" t="n"/>
      <c r="K161" s="40" t="n"/>
      <c r="L161" s="40" t="n"/>
      <c r="M161" s="40" t="n"/>
      <c r="N161" s="41" t="n"/>
      <c r="O161" s="34" t="inlineStr">
        <is>
          <t>IF(AE161="","",AE161)</t>
        </is>
      </c>
      <c r="P161" s="42" t="n"/>
      <c r="Q161" s="34" t="inlineStr">
        <is>
          <t>IF(OR(O161="",P161=""),"",EDATE(O161,P161))</t>
        </is>
      </c>
      <c r="R161" s="42" t="n"/>
      <c r="S161" s="40" t="n"/>
      <c r="T161" s="40" t="n"/>
      <c r="U161" s="31" t="inlineStr">
        <is>
          <t>IF(E161="","",IF(COUNT(Y161:AJ161)=0,IF(S161="","Not started",S161),SUBSTITUTE(LOOKUP(2,1/(Y161:AJ161&lt;&gt;""),$Y$3:$AJ$3),"Date: ","")))</t>
        </is>
      </c>
      <c r="V161" s="36" t="inlineStr">
        <is>
          <t>IF(OR(E161="",COUNT(Y161:AJ161)=0),"",TODAY()-LOOKUP(2,1/(Y161:AJ161&lt;&gt;""),Y161:AJ161))</t>
        </is>
      </c>
      <c r="W161" s="36" t="inlineStr">
        <is>
          <t>IF(OR(E161="",COUNT(Y161:AJ161)&lt;2),"",LOOKUP(2,1/(Y161:AJ161&lt;&gt;""),Y161:AJ161)-MIN(Y161:AJ161))</t>
        </is>
      </c>
      <c r="X161" s="36" t="inlineStr">
        <is>
          <t>IF(OR(V161="",U161="Not started",U161=""),"",IFERROR(V161-IF(VLOOKUP(U161,'04_Status_Pipeline'!$B$3:$E$20,4,FALSE)="",0,VLOOKUP(U161,'04_Status_Pipeline'!$B$3:$E$20,4,FALSE)),""))</t>
        </is>
      </c>
      <c r="Y161" s="43" t="n"/>
      <c r="Z161" s="43" t="n"/>
      <c r="AA161" s="43" t="n"/>
      <c r="AB161" s="43" t="n"/>
      <c r="AC161" s="43" t="n"/>
      <c r="AD161" s="43" t="n"/>
      <c r="AE161" s="43" t="n"/>
      <c r="AF161" s="43" t="n"/>
      <c r="AG161" s="43" t="n"/>
      <c r="AH161" s="38" t="n"/>
      <c r="AI161" s="38" t="n"/>
      <c r="AJ161" s="38" t="n"/>
      <c r="AK161" s="36" t="inlineStr">
        <is>
          <t>IF(OR(E161="",Z161=""),"",IF(COUNT(Y161:Y161)=0,"",Z161-LOOKUP(2,1/(Y161:Y161&lt;&gt;""),Y161:Y161)))</t>
        </is>
      </c>
      <c r="AL161" s="36" t="inlineStr">
        <is>
          <t>IF(OR(E161="",AA161=""),"",IF(COUNT(Y161:Z161)=0,"",AA161-LOOKUP(2,1/(Y161:Z161&lt;&gt;""),Y161:Z161)))</t>
        </is>
      </c>
      <c r="AM161" s="36" t="inlineStr">
        <is>
          <t>IF(OR(E161="",AB161=""),"",IF(COUNT(Y161:AA161)=0,"",AB161-LOOKUP(2,1/(Y161:AA161&lt;&gt;""),Y161:AA161)))</t>
        </is>
      </c>
      <c r="AN161" s="36" t="inlineStr">
        <is>
          <t>IF(OR(E161="",AC161=""),"",IF(COUNT(Y161:AB161)=0,"",AC161-LOOKUP(2,1/(Y161:AB161&lt;&gt;""),Y161:AB161)))</t>
        </is>
      </c>
      <c r="AO161" s="36" t="inlineStr">
        <is>
          <t>IF(OR(E161="",AD161=""),"",IF(COUNT(Y161:AC161)=0,"",AD161-LOOKUP(2,1/(Y161:AC161&lt;&gt;""),Y161:AC161)))</t>
        </is>
      </c>
      <c r="AP161" s="36" t="inlineStr">
        <is>
          <t>IF(OR(E161="",AE161=""),"",IF(COUNT(Y161:AD161)=0,"",AE161-LOOKUP(2,1/(Y161:AD161&lt;&gt;""),Y161:AD161)))</t>
        </is>
      </c>
      <c r="AQ161" s="36" t="inlineStr">
        <is>
          <t>IF(OR(E161="",AF161=""),"",IF(COUNT(Y161:AE161)=0,"",AF161-LOOKUP(2,1/(Y161:AE161&lt;&gt;""),Y161:AE161)))</t>
        </is>
      </c>
      <c r="AR161" s="36" t="inlineStr">
        <is>
          <t>IF(OR(E161="",AG161=""),"",IF(COUNT(Y161:AF161)=0,"",AG161-LOOKUP(2,1/(Y161:AF161&lt;&gt;""),Y161:AF161)))</t>
        </is>
      </c>
      <c r="AS161" s="36" t="inlineStr">
        <is>
          <t>IF(OR(E161="",AH161=""),"",IF(COUNT(Y161:AG161)=0,"",AH161-LOOKUP(2,1/(Y161:AG161&lt;&gt;""),Y161:AG161)))</t>
        </is>
      </c>
      <c r="AT161" s="36" t="inlineStr">
        <is>
          <t>IF(OR(E161="",AI161=""),"",IF(COUNT(Y161:AH161)=0,"",AI161-LOOKUP(2,1/(Y161:AH161&lt;&gt;""),Y161:AH161)))</t>
        </is>
      </c>
      <c r="AU161" s="36" t="inlineStr">
        <is>
          <t>IF(OR(E161="",AJ161=""),"",IF(COUNT(Y161:AI161)=0,"",AJ161-LOOKUP(2,1/(Y161:AI161&lt;&gt;""),Y161:AI161)))</t>
        </is>
      </c>
      <c r="AV161" s="39" t="inlineStr">
        <is>
          <t>IF(G161="","All_Provinces",IFERROR(VLOOKUP(G161,'07_Lookups'!$A$4:$B$20,2,FALSE),"All_Provinces"))</t>
        </is>
      </c>
      <c r="AW161" s="39" t="inlineStr">
        <is>
          <t>IF(H161="","All_Districts",IFERROR(VLOOKUP(H161,'07_Lookups'!$E$4:$F$42,2,FALSE),"All_Districts"))</t>
        </is>
      </c>
    </row>
    <row r="162" ht="18" customHeight="1">
      <c r="A162" s="31" t="inlineStr">
        <is>
          <t>IF(E162="","",ROW()-3)</t>
        </is>
      </c>
      <c r="B162" s="32" t="n"/>
      <c r="C162" s="32" t="n"/>
      <c r="D162" s="32" t="n"/>
      <c r="E162" s="32" t="n"/>
      <c r="F162" s="32" t="n"/>
      <c r="G162" s="32" t="n"/>
      <c r="H162" s="32" t="n"/>
      <c r="I162" s="32" t="n"/>
      <c r="J162" s="32" t="n"/>
      <c r="K162" s="32" t="n"/>
      <c r="L162" s="32" t="n"/>
      <c r="M162" s="32" t="n"/>
      <c r="N162" s="33" t="n"/>
      <c r="O162" s="34" t="inlineStr">
        <is>
          <t>IF(AE162="","",AE162)</t>
        </is>
      </c>
      <c r="P162" s="35" t="n"/>
      <c r="Q162" s="34" t="inlineStr">
        <is>
          <t>IF(OR(O162="",P162=""),"",EDATE(O162,P162))</t>
        </is>
      </c>
      <c r="R162" s="35" t="n"/>
      <c r="S162" s="32" t="n"/>
      <c r="T162" s="32" t="n"/>
      <c r="U162" s="31" t="inlineStr">
        <is>
          <t>IF(E162="","",IF(COUNT(Y162:AJ162)=0,IF(S162="","Not started",S162),SUBSTITUTE(LOOKUP(2,1/(Y162:AJ162&lt;&gt;""),$Y$3:$AJ$3),"Date: ","")))</t>
        </is>
      </c>
      <c r="V162" s="36" t="inlineStr">
        <is>
          <t>IF(OR(E162="",COUNT(Y162:AJ162)=0),"",TODAY()-LOOKUP(2,1/(Y162:AJ162&lt;&gt;""),Y162:AJ162))</t>
        </is>
      </c>
      <c r="W162" s="36" t="inlineStr">
        <is>
          <t>IF(OR(E162="",COUNT(Y162:AJ162)&lt;2),"",LOOKUP(2,1/(Y162:AJ162&lt;&gt;""),Y162:AJ162)-MIN(Y162:AJ162))</t>
        </is>
      </c>
      <c r="X162" s="36" t="inlineStr">
        <is>
          <t>IF(OR(V162="",U162="Not started",U162=""),"",IFERROR(V162-IF(VLOOKUP(U162,'04_Status_Pipeline'!$B$3:$E$20,4,FALSE)="",0,VLOOKUP(U162,'04_Status_Pipeline'!$B$3:$E$20,4,FALSE)),""))</t>
        </is>
      </c>
      <c r="Y162" s="37" t="n"/>
      <c r="Z162" s="37" t="n"/>
      <c r="AA162" s="37" t="n"/>
      <c r="AB162" s="37" t="n"/>
      <c r="AC162" s="37" t="n"/>
      <c r="AD162" s="37" t="n"/>
      <c r="AE162" s="37" t="n"/>
      <c r="AF162" s="37" t="n"/>
      <c r="AG162" s="37" t="n"/>
      <c r="AH162" s="38" t="n"/>
      <c r="AI162" s="38" t="n"/>
      <c r="AJ162" s="38" t="n"/>
      <c r="AK162" s="36" t="inlineStr">
        <is>
          <t>IF(OR(E162="",Z162=""),"",IF(COUNT(Y162:Y162)=0,"",Z162-LOOKUP(2,1/(Y162:Y162&lt;&gt;""),Y162:Y162)))</t>
        </is>
      </c>
      <c r="AL162" s="36" t="inlineStr">
        <is>
          <t>IF(OR(E162="",AA162=""),"",IF(COUNT(Y162:Z162)=0,"",AA162-LOOKUP(2,1/(Y162:Z162&lt;&gt;""),Y162:Z162)))</t>
        </is>
      </c>
      <c r="AM162" s="36" t="inlineStr">
        <is>
          <t>IF(OR(E162="",AB162=""),"",IF(COUNT(Y162:AA162)=0,"",AB162-LOOKUP(2,1/(Y162:AA162&lt;&gt;""),Y162:AA162)))</t>
        </is>
      </c>
      <c r="AN162" s="36" t="inlineStr">
        <is>
          <t>IF(OR(E162="",AC162=""),"",IF(COUNT(Y162:AB162)=0,"",AC162-LOOKUP(2,1/(Y162:AB162&lt;&gt;""),Y162:AB162)))</t>
        </is>
      </c>
      <c r="AO162" s="36" t="inlineStr">
        <is>
          <t>IF(OR(E162="",AD162=""),"",IF(COUNT(Y162:AC162)=0,"",AD162-LOOKUP(2,1/(Y162:AC162&lt;&gt;""),Y162:AC162)))</t>
        </is>
      </c>
      <c r="AP162" s="36" t="inlineStr">
        <is>
          <t>IF(OR(E162="",AE162=""),"",IF(COUNT(Y162:AD162)=0,"",AE162-LOOKUP(2,1/(Y162:AD162&lt;&gt;""),Y162:AD162)))</t>
        </is>
      </c>
      <c r="AQ162" s="36" t="inlineStr">
        <is>
          <t>IF(OR(E162="",AF162=""),"",IF(COUNT(Y162:AE162)=0,"",AF162-LOOKUP(2,1/(Y162:AE162&lt;&gt;""),Y162:AE162)))</t>
        </is>
      </c>
      <c r="AR162" s="36" t="inlineStr">
        <is>
          <t>IF(OR(E162="",AG162=""),"",IF(COUNT(Y162:AF162)=0,"",AG162-LOOKUP(2,1/(Y162:AF162&lt;&gt;""),Y162:AF162)))</t>
        </is>
      </c>
      <c r="AS162" s="36" t="inlineStr">
        <is>
          <t>IF(OR(E162="",AH162=""),"",IF(COUNT(Y162:AG162)=0,"",AH162-LOOKUP(2,1/(Y162:AG162&lt;&gt;""),Y162:AG162)))</t>
        </is>
      </c>
      <c r="AT162" s="36" t="inlineStr">
        <is>
          <t>IF(OR(E162="",AI162=""),"",IF(COUNT(Y162:AH162)=0,"",AI162-LOOKUP(2,1/(Y162:AH162&lt;&gt;""),Y162:AH162)))</t>
        </is>
      </c>
      <c r="AU162" s="36" t="inlineStr">
        <is>
          <t>IF(OR(E162="",AJ162=""),"",IF(COUNT(Y162:AI162)=0,"",AJ162-LOOKUP(2,1/(Y162:AI162&lt;&gt;""),Y162:AI162)))</t>
        </is>
      </c>
      <c r="AV162" s="39" t="inlineStr">
        <is>
          <t>IF(G162="","All_Provinces",IFERROR(VLOOKUP(G162,'07_Lookups'!$A$4:$B$20,2,FALSE),"All_Provinces"))</t>
        </is>
      </c>
      <c r="AW162" s="39" t="inlineStr">
        <is>
          <t>IF(H162="","All_Districts",IFERROR(VLOOKUP(H162,'07_Lookups'!$E$4:$F$42,2,FALSE),"All_Districts"))</t>
        </is>
      </c>
    </row>
    <row r="163" ht="18" customHeight="1">
      <c r="A163" s="31" t="inlineStr">
        <is>
          <t>IF(E163="","",ROW()-3)</t>
        </is>
      </c>
      <c r="B163" s="40" t="n"/>
      <c r="C163" s="40" t="n"/>
      <c r="D163" s="40" t="n"/>
      <c r="E163" s="40" t="n"/>
      <c r="F163" s="40" t="n"/>
      <c r="G163" s="40" t="n"/>
      <c r="H163" s="40" t="n"/>
      <c r="I163" s="40" t="n"/>
      <c r="J163" s="40" t="n"/>
      <c r="K163" s="40" t="n"/>
      <c r="L163" s="40" t="n"/>
      <c r="M163" s="40" t="n"/>
      <c r="N163" s="41" t="n"/>
      <c r="O163" s="34" t="inlineStr">
        <is>
          <t>IF(AE163="","",AE163)</t>
        </is>
      </c>
      <c r="P163" s="42" t="n"/>
      <c r="Q163" s="34" t="inlineStr">
        <is>
          <t>IF(OR(O163="",P163=""),"",EDATE(O163,P163))</t>
        </is>
      </c>
      <c r="R163" s="42" t="n"/>
      <c r="S163" s="40" t="n"/>
      <c r="T163" s="40" t="n"/>
      <c r="U163" s="31" t="inlineStr">
        <is>
          <t>IF(E163="","",IF(COUNT(Y163:AJ163)=0,IF(S163="","Not started",S163),SUBSTITUTE(LOOKUP(2,1/(Y163:AJ163&lt;&gt;""),$Y$3:$AJ$3),"Date: ","")))</t>
        </is>
      </c>
      <c r="V163" s="36" t="inlineStr">
        <is>
          <t>IF(OR(E163="",COUNT(Y163:AJ163)=0),"",TODAY()-LOOKUP(2,1/(Y163:AJ163&lt;&gt;""),Y163:AJ163))</t>
        </is>
      </c>
      <c r="W163" s="36" t="inlineStr">
        <is>
          <t>IF(OR(E163="",COUNT(Y163:AJ163)&lt;2),"",LOOKUP(2,1/(Y163:AJ163&lt;&gt;""),Y163:AJ163)-MIN(Y163:AJ163))</t>
        </is>
      </c>
      <c r="X163" s="36" t="inlineStr">
        <is>
          <t>IF(OR(V163="",U163="Not started",U163=""),"",IFERROR(V163-IF(VLOOKUP(U163,'04_Status_Pipeline'!$B$3:$E$20,4,FALSE)="",0,VLOOKUP(U163,'04_Status_Pipeline'!$B$3:$E$20,4,FALSE)),""))</t>
        </is>
      </c>
      <c r="Y163" s="43" t="n"/>
      <c r="Z163" s="43" t="n"/>
      <c r="AA163" s="43" t="n"/>
      <c r="AB163" s="43" t="n"/>
      <c r="AC163" s="43" t="n"/>
      <c r="AD163" s="43" t="n"/>
      <c r="AE163" s="43" t="n"/>
      <c r="AF163" s="43" t="n"/>
      <c r="AG163" s="43" t="n"/>
      <c r="AH163" s="38" t="n"/>
      <c r="AI163" s="38" t="n"/>
      <c r="AJ163" s="38" t="n"/>
      <c r="AK163" s="36" t="inlineStr">
        <is>
          <t>IF(OR(E163="",Z163=""),"",IF(COUNT(Y163:Y163)=0,"",Z163-LOOKUP(2,1/(Y163:Y163&lt;&gt;""),Y163:Y163)))</t>
        </is>
      </c>
      <c r="AL163" s="36" t="inlineStr">
        <is>
          <t>IF(OR(E163="",AA163=""),"",IF(COUNT(Y163:Z163)=0,"",AA163-LOOKUP(2,1/(Y163:Z163&lt;&gt;""),Y163:Z163)))</t>
        </is>
      </c>
      <c r="AM163" s="36" t="inlineStr">
        <is>
          <t>IF(OR(E163="",AB163=""),"",IF(COUNT(Y163:AA163)=0,"",AB163-LOOKUP(2,1/(Y163:AA163&lt;&gt;""),Y163:AA163)))</t>
        </is>
      </c>
      <c r="AN163" s="36" t="inlineStr">
        <is>
          <t>IF(OR(E163="",AC163=""),"",IF(COUNT(Y163:AB163)=0,"",AC163-LOOKUP(2,1/(Y163:AB163&lt;&gt;""),Y163:AB163)))</t>
        </is>
      </c>
      <c r="AO163" s="36" t="inlineStr">
        <is>
          <t>IF(OR(E163="",AD163=""),"",IF(COUNT(Y163:AC163)=0,"",AD163-LOOKUP(2,1/(Y163:AC163&lt;&gt;""),Y163:AC163)))</t>
        </is>
      </c>
      <c r="AP163" s="36" t="inlineStr">
        <is>
          <t>IF(OR(E163="",AE163=""),"",IF(COUNT(Y163:AD163)=0,"",AE163-LOOKUP(2,1/(Y163:AD163&lt;&gt;""),Y163:AD163)))</t>
        </is>
      </c>
      <c r="AQ163" s="36" t="inlineStr">
        <is>
          <t>IF(OR(E163="",AF163=""),"",IF(COUNT(Y163:AE163)=0,"",AF163-LOOKUP(2,1/(Y163:AE163&lt;&gt;""),Y163:AE163)))</t>
        </is>
      </c>
      <c r="AR163" s="36" t="inlineStr">
        <is>
          <t>IF(OR(E163="",AG163=""),"",IF(COUNT(Y163:AF163)=0,"",AG163-LOOKUP(2,1/(Y163:AF163&lt;&gt;""),Y163:AF163)))</t>
        </is>
      </c>
      <c r="AS163" s="36" t="inlineStr">
        <is>
          <t>IF(OR(E163="",AH163=""),"",IF(COUNT(Y163:AG163)=0,"",AH163-LOOKUP(2,1/(Y163:AG163&lt;&gt;""),Y163:AG163)))</t>
        </is>
      </c>
      <c r="AT163" s="36" t="inlineStr">
        <is>
          <t>IF(OR(E163="",AI163=""),"",IF(COUNT(Y163:AH163)=0,"",AI163-LOOKUP(2,1/(Y163:AH163&lt;&gt;""),Y163:AH163)))</t>
        </is>
      </c>
      <c r="AU163" s="36" t="inlineStr">
        <is>
          <t>IF(OR(E163="",AJ163=""),"",IF(COUNT(Y163:AI163)=0,"",AJ163-LOOKUP(2,1/(Y163:AI163&lt;&gt;""),Y163:AI163)))</t>
        </is>
      </c>
      <c r="AV163" s="39" t="inlineStr">
        <is>
          <t>IF(G163="","All_Provinces",IFERROR(VLOOKUP(G163,'07_Lookups'!$A$4:$B$20,2,FALSE),"All_Provinces"))</t>
        </is>
      </c>
      <c r="AW163" s="39" t="inlineStr">
        <is>
          <t>IF(H163="","All_Districts",IFERROR(VLOOKUP(H163,'07_Lookups'!$E$4:$F$42,2,FALSE),"All_Districts"))</t>
        </is>
      </c>
    </row>
    <row r="164" ht="18" customHeight="1">
      <c r="A164" s="31" t="inlineStr">
        <is>
          <t>IF(E164="","",ROW()-3)</t>
        </is>
      </c>
      <c r="B164" s="32" t="n"/>
      <c r="C164" s="32" t="n"/>
      <c r="D164" s="32" t="n"/>
      <c r="E164" s="32" t="n"/>
      <c r="F164" s="32" t="n"/>
      <c r="G164" s="32" t="n"/>
      <c r="H164" s="32" t="n"/>
      <c r="I164" s="32" t="n"/>
      <c r="J164" s="32" t="n"/>
      <c r="K164" s="32" t="n"/>
      <c r="L164" s="32" t="n"/>
      <c r="M164" s="32" t="n"/>
      <c r="N164" s="33" t="n"/>
      <c r="O164" s="34" t="inlineStr">
        <is>
          <t>IF(AE164="","",AE164)</t>
        </is>
      </c>
      <c r="P164" s="35" t="n"/>
      <c r="Q164" s="34" t="inlineStr">
        <is>
          <t>IF(OR(O164="",P164=""),"",EDATE(O164,P164))</t>
        </is>
      </c>
      <c r="R164" s="35" t="n"/>
      <c r="S164" s="32" t="n"/>
      <c r="T164" s="32" t="n"/>
      <c r="U164" s="31" t="inlineStr">
        <is>
          <t>IF(E164="","",IF(COUNT(Y164:AJ164)=0,IF(S164="","Not started",S164),SUBSTITUTE(LOOKUP(2,1/(Y164:AJ164&lt;&gt;""),$Y$3:$AJ$3),"Date: ","")))</t>
        </is>
      </c>
      <c r="V164" s="36" t="inlineStr">
        <is>
          <t>IF(OR(E164="",COUNT(Y164:AJ164)=0),"",TODAY()-LOOKUP(2,1/(Y164:AJ164&lt;&gt;""),Y164:AJ164))</t>
        </is>
      </c>
      <c r="W164" s="36" t="inlineStr">
        <is>
          <t>IF(OR(E164="",COUNT(Y164:AJ164)&lt;2),"",LOOKUP(2,1/(Y164:AJ164&lt;&gt;""),Y164:AJ164)-MIN(Y164:AJ164))</t>
        </is>
      </c>
      <c r="X164" s="36" t="inlineStr">
        <is>
          <t>IF(OR(V164="",U164="Not started",U164=""),"",IFERROR(V164-IF(VLOOKUP(U164,'04_Status_Pipeline'!$B$3:$E$20,4,FALSE)="",0,VLOOKUP(U164,'04_Status_Pipeline'!$B$3:$E$20,4,FALSE)),""))</t>
        </is>
      </c>
      <c r="Y164" s="37" t="n"/>
      <c r="Z164" s="37" t="n"/>
      <c r="AA164" s="37" t="n"/>
      <c r="AB164" s="37" t="n"/>
      <c r="AC164" s="37" t="n"/>
      <c r="AD164" s="37" t="n"/>
      <c r="AE164" s="37" t="n"/>
      <c r="AF164" s="37" t="n"/>
      <c r="AG164" s="37" t="n"/>
      <c r="AH164" s="38" t="n"/>
      <c r="AI164" s="38" t="n"/>
      <c r="AJ164" s="38" t="n"/>
      <c r="AK164" s="36" t="inlineStr">
        <is>
          <t>IF(OR(E164="",Z164=""),"",IF(COUNT(Y164:Y164)=0,"",Z164-LOOKUP(2,1/(Y164:Y164&lt;&gt;""),Y164:Y164)))</t>
        </is>
      </c>
      <c r="AL164" s="36" t="inlineStr">
        <is>
          <t>IF(OR(E164="",AA164=""),"",IF(COUNT(Y164:Z164)=0,"",AA164-LOOKUP(2,1/(Y164:Z164&lt;&gt;""),Y164:Z164)))</t>
        </is>
      </c>
      <c r="AM164" s="36" t="inlineStr">
        <is>
          <t>IF(OR(E164="",AB164=""),"",IF(COUNT(Y164:AA164)=0,"",AB164-LOOKUP(2,1/(Y164:AA164&lt;&gt;""),Y164:AA164)))</t>
        </is>
      </c>
      <c r="AN164" s="36" t="inlineStr">
        <is>
          <t>IF(OR(E164="",AC164=""),"",IF(COUNT(Y164:AB164)=0,"",AC164-LOOKUP(2,1/(Y164:AB164&lt;&gt;""),Y164:AB164)))</t>
        </is>
      </c>
      <c r="AO164" s="36" t="inlineStr">
        <is>
          <t>IF(OR(E164="",AD164=""),"",IF(COUNT(Y164:AC164)=0,"",AD164-LOOKUP(2,1/(Y164:AC164&lt;&gt;""),Y164:AC164)))</t>
        </is>
      </c>
      <c r="AP164" s="36" t="inlineStr">
        <is>
          <t>IF(OR(E164="",AE164=""),"",IF(COUNT(Y164:AD164)=0,"",AE164-LOOKUP(2,1/(Y164:AD164&lt;&gt;""),Y164:AD164)))</t>
        </is>
      </c>
      <c r="AQ164" s="36" t="inlineStr">
        <is>
          <t>IF(OR(E164="",AF164=""),"",IF(COUNT(Y164:AE164)=0,"",AF164-LOOKUP(2,1/(Y164:AE164&lt;&gt;""),Y164:AE164)))</t>
        </is>
      </c>
      <c r="AR164" s="36" t="inlineStr">
        <is>
          <t>IF(OR(E164="",AG164=""),"",IF(COUNT(Y164:AF164)=0,"",AG164-LOOKUP(2,1/(Y164:AF164&lt;&gt;""),Y164:AF164)))</t>
        </is>
      </c>
      <c r="AS164" s="36" t="inlineStr">
        <is>
          <t>IF(OR(E164="",AH164=""),"",IF(COUNT(Y164:AG164)=0,"",AH164-LOOKUP(2,1/(Y164:AG164&lt;&gt;""),Y164:AG164)))</t>
        </is>
      </c>
      <c r="AT164" s="36" t="inlineStr">
        <is>
          <t>IF(OR(E164="",AI164=""),"",IF(COUNT(Y164:AH164)=0,"",AI164-LOOKUP(2,1/(Y164:AH164&lt;&gt;""),Y164:AH164)))</t>
        </is>
      </c>
      <c r="AU164" s="36" t="inlineStr">
        <is>
          <t>IF(OR(E164="",AJ164=""),"",IF(COUNT(Y164:AI164)=0,"",AJ164-LOOKUP(2,1/(Y164:AI164&lt;&gt;""),Y164:AI164)))</t>
        </is>
      </c>
      <c r="AV164" s="39" t="inlineStr">
        <is>
          <t>IF(G164="","All_Provinces",IFERROR(VLOOKUP(G164,'07_Lookups'!$A$4:$B$20,2,FALSE),"All_Provinces"))</t>
        </is>
      </c>
      <c r="AW164" s="39" t="inlineStr">
        <is>
          <t>IF(H164="","All_Districts",IFERROR(VLOOKUP(H164,'07_Lookups'!$E$4:$F$42,2,FALSE),"All_Districts"))</t>
        </is>
      </c>
    </row>
    <row r="165" ht="18" customHeight="1">
      <c r="A165" s="31" t="inlineStr">
        <is>
          <t>IF(E165="","",ROW()-3)</t>
        </is>
      </c>
      <c r="B165" s="40" t="n"/>
      <c r="C165" s="40" t="n"/>
      <c r="D165" s="40" t="n"/>
      <c r="E165" s="40" t="n"/>
      <c r="F165" s="40" t="n"/>
      <c r="G165" s="40" t="n"/>
      <c r="H165" s="40" t="n"/>
      <c r="I165" s="40" t="n"/>
      <c r="J165" s="40" t="n"/>
      <c r="K165" s="40" t="n"/>
      <c r="L165" s="40" t="n"/>
      <c r="M165" s="40" t="n"/>
      <c r="N165" s="41" t="n"/>
      <c r="O165" s="34" t="inlineStr">
        <is>
          <t>IF(AE165="","",AE165)</t>
        </is>
      </c>
      <c r="P165" s="42" t="n"/>
      <c r="Q165" s="34" t="inlineStr">
        <is>
          <t>IF(OR(O165="",P165=""),"",EDATE(O165,P165))</t>
        </is>
      </c>
      <c r="R165" s="42" t="n"/>
      <c r="S165" s="40" t="n"/>
      <c r="T165" s="40" t="n"/>
      <c r="U165" s="31" t="inlineStr">
        <is>
          <t>IF(E165="","",IF(COUNT(Y165:AJ165)=0,IF(S165="","Not started",S165),SUBSTITUTE(LOOKUP(2,1/(Y165:AJ165&lt;&gt;""),$Y$3:$AJ$3),"Date: ","")))</t>
        </is>
      </c>
      <c r="V165" s="36" t="inlineStr">
        <is>
          <t>IF(OR(E165="",COUNT(Y165:AJ165)=0),"",TODAY()-LOOKUP(2,1/(Y165:AJ165&lt;&gt;""),Y165:AJ165))</t>
        </is>
      </c>
      <c r="W165" s="36" t="inlineStr">
        <is>
          <t>IF(OR(E165="",COUNT(Y165:AJ165)&lt;2),"",LOOKUP(2,1/(Y165:AJ165&lt;&gt;""),Y165:AJ165)-MIN(Y165:AJ165))</t>
        </is>
      </c>
      <c r="X165" s="36" t="inlineStr">
        <is>
          <t>IF(OR(V165="",U165="Not started",U165=""),"",IFERROR(V165-IF(VLOOKUP(U165,'04_Status_Pipeline'!$B$3:$E$20,4,FALSE)="",0,VLOOKUP(U165,'04_Status_Pipeline'!$B$3:$E$20,4,FALSE)),""))</t>
        </is>
      </c>
      <c r="Y165" s="43" t="n"/>
      <c r="Z165" s="43" t="n"/>
      <c r="AA165" s="43" t="n"/>
      <c r="AB165" s="43" t="n"/>
      <c r="AC165" s="43" t="n"/>
      <c r="AD165" s="43" t="n"/>
      <c r="AE165" s="43" t="n"/>
      <c r="AF165" s="43" t="n"/>
      <c r="AG165" s="43" t="n"/>
      <c r="AH165" s="38" t="n"/>
      <c r="AI165" s="38" t="n"/>
      <c r="AJ165" s="38" t="n"/>
      <c r="AK165" s="36" t="inlineStr">
        <is>
          <t>IF(OR(E165="",Z165=""),"",IF(COUNT(Y165:Y165)=0,"",Z165-LOOKUP(2,1/(Y165:Y165&lt;&gt;""),Y165:Y165)))</t>
        </is>
      </c>
      <c r="AL165" s="36" t="inlineStr">
        <is>
          <t>IF(OR(E165="",AA165=""),"",IF(COUNT(Y165:Z165)=0,"",AA165-LOOKUP(2,1/(Y165:Z165&lt;&gt;""),Y165:Z165)))</t>
        </is>
      </c>
      <c r="AM165" s="36" t="inlineStr">
        <is>
          <t>IF(OR(E165="",AB165=""),"",IF(COUNT(Y165:AA165)=0,"",AB165-LOOKUP(2,1/(Y165:AA165&lt;&gt;""),Y165:AA165)))</t>
        </is>
      </c>
      <c r="AN165" s="36" t="inlineStr">
        <is>
          <t>IF(OR(E165="",AC165=""),"",IF(COUNT(Y165:AB165)=0,"",AC165-LOOKUP(2,1/(Y165:AB165&lt;&gt;""),Y165:AB165)))</t>
        </is>
      </c>
      <c r="AO165" s="36" t="inlineStr">
        <is>
          <t>IF(OR(E165="",AD165=""),"",IF(COUNT(Y165:AC165)=0,"",AD165-LOOKUP(2,1/(Y165:AC165&lt;&gt;""),Y165:AC165)))</t>
        </is>
      </c>
      <c r="AP165" s="36" t="inlineStr">
        <is>
          <t>IF(OR(E165="",AE165=""),"",IF(COUNT(Y165:AD165)=0,"",AE165-LOOKUP(2,1/(Y165:AD165&lt;&gt;""),Y165:AD165)))</t>
        </is>
      </c>
      <c r="AQ165" s="36" t="inlineStr">
        <is>
          <t>IF(OR(E165="",AF165=""),"",IF(COUNT(Y165:AE165)=0,"",AF165-LOOKUP(2,1/(Y165:AE165&lt;&gt;""),Y165:AE165)))</t>
        </is>
      </c>
      <c r="AR165" s="36" t="inlineStr">
        <is>
          <t>IF(OR(E165="",AG165=""),"",IF(COUNT(Y165:AF165)=0,"",AG165-LOOKUP(2,1/(Y165:AF165&lt;&gt;""),Y165:AF165)))</t>
        </is>
      </c>
      <c r="AS165" s="36" t="inlineStr">
        <is>
          <t>IF(OR(E165="",AH165=""),"",IF(COUNT(Y165:AG165)=0,"",AH165-LOOKUP(2,1/(Y165:AG165&lt;&gt;""),Y165:AG165)))</t>
        </is>
      </c>
      <c r="AT165" s="36" t="inlineStr">
        <is>
          <t>IF(OR(E165="",AI165=""),"",IF(COUNT(Y165:AH165)=0,"",AI165-LOOKUP(2,1/(Y165:AH165&lt;&gt;""),Y165:AH165)))</t>
        </is>
      </c>
      <c r="AU165" s="36" t="inlineStr">
        <is>
          <t>IF(OR(E165="",AJ165=""),"",IF(COUNT(Y165:AI165)=0,"",AJ165-LOOKUP(2,1/(Y165:AI165&lt;&gt;""),Y165:AI165)))</t>
        </is>
      </c>
      <c r="AV165" s="39" t="inlineStr">
        <is>
          <t>IF(G165="","All_Provinces",IFERROR(VLOOKUP(G165,'07_Lookups'!$A$4:$B$20,2,FALSE),"All_Provinces"))</t>
        </is>
      </c>
      <c r="AW165" s="39" t="inlineStr">
        <is>
          <t>IF(H165="","All_Districts",IFERROR(VLOOKUP(H165,'07_Lookups'!$E$4:$F$42,2,FALSE),"All_Districts"))</t>
        </is>
      </c>
    </row>
    <row r="166" ht="18" customHeight="1">
      <c r="A166" s="31" t="inlineStr">
        <is>
          <t>IF(E166="","",ROW()-3)</t>
        </is>
      </c>
      <c r="B166" s="32" t="n"/>
      <c r="C166" s="32" t="n"/>
      <c r="D166" s="32" t="n"/>
      <c r="E166" s="32" t="n"/>
      <c r="F166" s="32" t="n"/>
      <c r="G166" s="32" t="n"/>
      <c r="H166" s="32" t="n"/>
      <c r="I166" s="32" t="n"/>
      <c r="J166" s="32" t="n"/>
      <c r="K166" s="32" t="n"/>
      <c r="L166" s="32" t="n"/>
      <c r="M166" s="32" t="n"/>
      <c r="N166" s="33" t="n"/>
      <c r="O166" s="34" t="inlineStr">
        <is>
          <t>IF(AE166="","",AE166)</t>
        </is>
      </c>
      <c r="P166" s="35" t="n"/>
      <c r="Q166" s="34" t="inlineStr">
        <is>
          <t>IF(OR(O166="",P166=""),"",EDATE(O166,P166))</t>
        </is>
      </c>
      <c r="R166" s="35" t="n"/>
      <c r="S166" s="32" t="n"/>
      <c r="T166" s="32" t="n"/>
      <c r="U166" s="31" t="inlineStr">
        <is>
          <t>IF(E166="","",IF(COUNT(Y166:AJ166)=0,IF(S166="","Not started",S166),SUBSTITUTE(LOOKUP(2,1/(Y166:AJ166&lt;&gt;""),$Y$3:$AJ$3),"Date: ","")))</t>
        </is>
      </c>
      <c r="V166" s="36" t="inlineStr">
        <is>
          <t>IF(OR(E166="",COUNT(Y166:AJ166)=0),"",TODAY()-LOOKUP(2,1/(Y166:AJ166&lt;&gt;""),Y166:AJ166))</t>
        </is>
      </c>
      <c r="W166" s="36" t="inlineStr">
        <is>
          <t>IF(OR(E166="",COUNT(Y166:AJ166)&lt;2),"",LOOKUP(2,1/(Y166:AJ166&lt;&gt;""),Y166:AJ166)-MIN(Y166:AJ166))</t>
        </is>
      </c>
      <c r="X166" s="36" t="inlineStr">
        <is>
          <t>IF(OR(V166="",U166="Not started",U166=""),"",IFERROR(V166-IF(VLOOKUP(U166,'04_Status_Pipeline'!$B$3:$E$20,4,FALSE)="",0,VLOOKUP(U166,'04_Status_Pipeline'!$B$3:$E$20,4,FALSE)),""))</t>
        </is>
      </c>
      <c r="Y166" s="37" t="n"/>
      <c r="Z166" s="37" t="n"/>
      <c r="AA166" s="37" t="n"/>
      <c r="AB166" s="37" t="n"/>
      <c r="AC166" s="37" t="n"/>
      <c r="AD166" s="37" t="n"/>
      <c r="AE166" s="37" t="n"/>
      <c r="AF166" s="37" t="n"/>
      <c r="AG166" s="37" t="n"/>
      <c r="AH166" s="38" t="n"/>
      <c r="AI166" s="38" t="n"/>
      <c r="AJ166" s="38" t="n"/>
      <c r="AK166" s="36" t="inlineStr">
        <is>
          <t>IF(OR(E166="",Z166=""),"",IF(COUNT(Y166:Y166)=0,"",Z166-LOOKUP(2,1/(Y166:Y166&lt;&gt;""),Y166:Y166)))</t>
        </is>
      </c>
      <c r="AL166" s="36" t="inlineStr">
        <is>
          <t>IF(OR(E166="",AA166=""),"",IF(COUNT(Y166:Z166)=0,"",AA166-LOOKUP(2,1/(Y166:Z166&lt;&gt;""),Y166:Z166)))</t>
        </is>
      </c>
      <c r="AM166" s="36" t="inlineStr">
        <is>
          <t>IF(OR(E166="",AB166=""),"",IF(COUNT(Y166:AA166)=0,"",AB166-LOOKUP(2,1/(Y166:AA166&lt;&gt;""),Y166:AA166)))</t>
        </is>
      </c>
      <c r="AN166" s="36" t="inlineStr">
        <is>
          <t>IF(OR(E166="",AC166=""),"",IF(COUNT(Y166:AB166)=0,"",AC166-LOOKUP(2,1/(Y166:AB166&lt;&gt;""),Y166:AB166)))</t>
        </is>
      </c>
      <c r="AO166" s="36" t="inlineStr">
        <is>
          <t>IF(OR(E166="",AD166=""),"",IF(COUNT(Y166:AC166)=0,"",AD166-LOOKUP(2,1/(Y166:AC166&lt;&gt;""),Y166:AC166)))</t>
        </is>
      </c>
      <c r="AP166" s="36" t="inlineStr">
        <is>
          <t>IF(OR(E166="",AE166=""),"",IF(COUNT(Y166:AD166)=0,"",AE166-LOOKUP(2,1/(Y166:AD166&lt;&gt;""),Y166:AD166)))</t>
        </is>
      </c>
      <c r="AQ166" s="36" t="inlineStr">
        <is>
          <t>IF(OR(E166="",AF166=""),"",IF(COUNT(Y166:AE166)=0,"",AF166-LOOKUP(2,1/(Y166:AE166&lt;&gt;""),Y166:AE166)))</t>
        </is>
      </c>
      <c r="AR166" s="36" t="inlineStr">
        <is>
          <t>IF(OR(E166="",AG166=""),"",IF(COUNT(Y166:AF166)=0,"",AG166-LOOKUP(2,1/(Y166:AF166&lt;&gt;""),Y166:AF166)))</t>
        </is>
      </c>
      <c r="AS166" s="36" t="inlineStr">
        <is>
          <t>IF(OR(E166="",AH166=""),"",IF(COUNT(Y166:AG166)=0,"",AH166-LOOKUP(2,1/(Y166:AG166&lt;&gt;""),Y166:AG166)))</t>
        </is>
      </c>
      <c r="AT166" s="36" t="inlineStr">
        <is>
          <t>IF(OR(E166="",AI166=""),"",IF(COUNT(Y166:AH166)=0,"",AI166-LOOKUP(2,1/(Y166:AH166&lt;&gt;""),Y166:AH166)))</t>
        </is>
      </c>
      <c r="AU166" s="36" t="inlineStr">
        <is>
          <t>IF(OR(E166="",AJ166=""),"",IF(COUNT(Y166:AI166)=0,"",AJ166-LOOKUP(2,1/(Y166:AI166&lt;&gt;""),Y166:AI166)))</t>
        </is>
      </c>
      <c r="AV166" s="39" t="inlineStr">
        <is>
          <t>IF(G166="","All_Provinces",IFERROR(VLOOKUP(G166,'07_Lookups'!$A$4:$B$20,2,FALSE),"All_Provinces"))</t>
        </is>
      </c>
      <c r="AW166" s="39" t="inlineStr">
        <is>
          <t>IF(H166="","All_Districts",IFERROR(VLOOKUP(H166,'07_Lookups'!$E$4:$F$42,2,FALSE),"All_Districts"))</t>
        </is>
      </c>
    </row>
    <row r="167" ht="18" customHeight="1">
      <c r="A167" s="31" t="inlineStr">
        <is>
          <t>IF(E167="","",ROW()-3)</t>
        </is>
      </c>
      <c r="B167" s="40" t="n"/>
      <c r="C167" s="40" t="n"/>
      <c r="D167" s="40" t="n"/>
      <c r="E167" s="40" t="n"/>
      <c r="F167" s="40" t="n"/>
      <c r="G167" s="40" t="n"/>
      <c r="H167" s="40" t="n"/>
      <c r="I167" s="40" t="n"/>
      <c r="J167" s="40" t="n"/>
      <c r="K167" s="40" t="n"/>
      <c r="L167" s="40" t="n"/>
      <c r="M167" s="40" t="n"/>
      <c r="N167" s="41" t="n"/>
      <c r="O167" s="34" t="inlineStr">
        <is>
          <t>IF(AE167="","",AE167)</t>
        </is>
      </c>
      <c r="P167" s="42" t="n"/>
      <c r="Q167" s="34" t="inlineStr">
        <is>
          <t>IF(OR(O167="",P167=""),"",EDATE(O167,P167))</t>
        </is>
      </c>
      <c r="R167" s="42" t="n"/>
      <c r="S167" s="40" t="n"/>
      <c r="T167" s="40" t="n"/>
      <c r="U167" s="31" t="inlineStr">
        <is>
          <t>IF(E167="","",IF(COUNT(Y167:AJ167)=0,IF(S167="","Not started",S167),SUBSTITUTE(LOOKUP(2,1/(Y167:AJ167&lt;&gt;""),$Y$3:$AJ$3),"Date: ","")))</t>
        </is>
      </c>
      <c r="V167" s="36" t="inlineStr">
        <is>
          <t>IF(OR(E167="",COUNT(Y167:AJ167)=0),"",TODAY()-LOOKUP(2,1/(Y167:AJ167&lt;&gt;""),Y167:AJ167))</t>
        </is>
      </c>
      <c r="W167" s="36" t="inlineStr">
        <is>
          <t>IF(OR(E167="",COUNT(Y167:AJ167)&lt;2),"",LOOKUP(2,1/(Y167:AJ167&lt;&gt;""),Y167:AJ167)-MIN(Y167:AJ167))</t>
        </is>
      </c>
      <c r="X167" s="36" t="inlineStr">
        <is>
          <t>IF(OR(V167="",U167="Not started",U167=""),"",IFERROR(V167-IF(VLOOKUP(U167,'04_Status_Pipeline'!$B$3:$E$20,4,FALSE)="",0,VLOOKUP(U167,'04_Status_Pipeline'!$B$3:$E$20,4,FALSE)),""))</t>
        </is>
      </c>
      <c r="Y167" s="43" t="n"/>
      <c r="Z167" s="43" t="n"/>
      <c r="AA167" s="43" t="n"/>
      <c r="AB167" s="43" t="n"/>
      <c r="AC167" s="43" t="n"/>
      <c r="AD167" s="43" t="n"/>
      <c r="AE167" s="43" t="n"/>
      <c r="AF167" s="43" t="n"/>
      <c r="AG167" s="43" t="n"/>
      <c r="AH167" s="38" t="n"/>
      <c r="AI167" s="38" t="n"/>
      <c r="AJ167" s="38" t="n"/>
      <c r="AK167" s="36" t="inlineStr">
        <is>
          <t>IF(OR(E167="",Z167=""),"",IF(COUNT(Y167:Y167)=0,"",Z167-LOOKUP(2,1/(Y167:Y167&lt;&gt;""),Y167:Y167)))</t>
        </is>
      </c>
      <c r="AL167" s="36" t="inlineStr">
        <is>
          <t>IF(OR(E167="",AA167=""),"",IF(COUNT(Y167:Z167)=0,"",AA167-LOOKUP(2,1/(Y167:Z167&lt;&gt;""),Y167:Z167)))</t>
        </is>
      </c>
      <c r="AM167" s="36" t="inlineStr">
        <is>
          <t>IF(OR(E167="",AB167=""),"",IF(COUNT(Y167:AA167)=0,"",AB167-LOOKUP(2,1/(Y167:AA167&lt;&gt;""),Y167:AA167)))</t>
        </is>
      </c>
      <c r="AN167" s="36" t="inlineStr">
        <is>
          <t>IF(OR(E167="",AC167=""),"",IF(COUNT(Y167:AB167)=0,"",AC167-LOOKUP(2,1/(Y167:AB167&lt;&gt;""),Y167:AB167)))</t>
        </is>
      </c>
      <c r="AO167" s="36" t="inlineStr">
        <is>
          <t>IF(OR(E167="",AD167=""),"",IF(COUNT(Y167:AC167)=0,"",AD167-LOOKUP(2,1/(Y167:AC167&lt;&gt;""),Y167:AC167)))</t>
        </is>
      </c>
      <c r="AP167" s="36" t="inlineStr">
        <is>
          <t>IF(OR(E167="",AE167=""),"",IF(COUNT(Y167:AD167)=0,"",AE167-LOOKUP(2,1/(Y167:AD167&lt;&gt;""),Y167:AD167)))</t>
        </is>
      </c>
      <c r="AQ167" s="36" t="inlineStr">
        <is>
          <t>IF(OR(E167="",AF167=""),"",IF(COUNT(Y167:AE167)=0,"",AF167-LOOKUP(2,1/(Y167:AE167&lt;&gt;""),Y167:AE167)))</t>
        </is>
      </c>
      <c r="AR167" s="36" t="inlineStr">
        <is>
          <t>IF(OR(E167="",AG167=""),"",IF(COUNT(Y167:AF167)=0,"",AG167-LOOKUP(2,1/(Y167:AF167&lt;&gt;""),Y167:AF167)))</t>
        </is>
      </c>
      <c r="AS167" s="36" t="inlineStr">
        <is>
          <t>IF(OR(E167="",AH167=""),"",IF(COUNT(Y167:AG167)=0,"",AH167-LOOKUP(2,1/(Y167:AG167&lt;&gt;""),Y167:AG167)))</t>
        </is>
      </c>
      <c r="AT167" s="36" t="inlineStr">
        <is>
          <t>IF(OR(E167="",AI167=""),"",IF(COUNT(Y167:AH167)=0,"",AI167-LOOKUP(2,1/(Y167:AH167&lt;&gt;""),Y167:AH167)))</t>
        </is>
      </c>
      <c r="AU167" s="36" t="inlineStr">
        <is>
          <t>IF(OR(E167="",AJ167=""),"",IF(COUNT(Y167:AI167)=0,"",AJ167-LOOKUP(2,1/(Y167:AI167&lt;&gt;""),Y167:AI167)))</t>
        </is>
      </c>
      <c r="AV167" s="39" t="inlineStr">
        <is>
          <t>IF(G167="","All_Provinces",IFERROR(VLOOKUP(G167,'07_Lookups'!$A$4:$B$20,2,FALSE),"All_Provinces"))</t>
        </is>
      </c>
      <c r="AW167" s="39" t="inlineStr">
        <is>
          <t>IF(H167="","All_Districts",IFERROR(VLOOKUP(H167,'07_Lookups'!$E$4:$F$42,2,FALSE),"All_Districts"))</t>
        </is>
      </c>
    </row>
    <row r="168" ht="18" customHeight="1">
      <c r="A168" s="31" t="inlineStr">
        <is>
          <t>IF(E168="","",ROW()-3)</t>
        </is>
      </c>
      <c r="B168" s="32" t="n"/>
      <c r="C168" s="32" t="n"/>
      <c r="D168" s="32" t="n"/>
      <c r="E168" s="32" t="n"/>
      <c r="F168" s="32" t="n"/>
      <c r="G168" s="32" t="n"/>
      <c r="H168" s="32" t="n"/>
      <c r="I168" s="32" t="n"/>
      <c r="J168" s="32" t="n"/>
      <c r="K168" s="32" t="n"/>
      <c r="L168" s="32" t="n"/>
      <c r="M168" s="32" t="n"/>
      <c r="N168" s="33" t="n"/>
      <c r="O168" s="34" t="inlineStr">
        <is>
          <t>IF(AE168="","",AE168)</t>
        </is>
      </c>
      <c r="P168" s="35" t="n"/>
      <c r="Q168" s="34" t="inlineStr">
        <is>
          <t>IF(OR(O168="",P168=""),"",EDATE(O168,P168))</t>
        </is>
      </c>
      <c r="R168" s="35" t="n"/>
      <c r="S168" s="32" t="n"/>
      <c r="T168" s="32" t="n"/>
      <c r="U168" s="31" t="inlineStr">
        <is>
          <t>IF(E168="","",IF(COUNT(Y168:AJ168)=0,IF(S168="","Not started",S168),SUBSTITUTE(LOOKUP(2,1/(Y168:AJ168&lt;&gt;""),$Y$3:$AJ$3),"Date: ","")))</t>
        </is>
      </c>
      <c r="V168" s="36" t="inlineStr">
        <is>
          <t>IF(OR(E168="",COUNT(Y168:AJ168)=0),"",TODAY()-LOOKUP(2,1/(Y168:AJ168&lt;&gt;""),Y168:AJ168))</t>
        </is>
      </c>
      <c r="W168" s="36" t="inlineStr">
        <is>
          <t>IF(OR(E168="",COUNT(Y168:AJ168)&lt;2),"",LOOKUP(2,1/(Y168:AJ168&lt;&gt;""),Y168:AJ168)-MIN(Y168:AJ168))</t>
        </is>
      </c>
      <c r="X168" s="36" t="inlineStr">
        <is>
          <t>IF(OR(V168="",U168="Not started",U168=""),"",IFERROR(V168-IF(VLOOKUP(U168,'04_Status_Pipeline'!$B$3:$E$20,4,FALSE)="",0,VLOOKUP(U168,'04_Status_Pipeline'!$B$3:$E$20,4,FALSE)),""))</t>
        </is>
      </c>
      <c r="Y168" s="37" t="n"/>
      <c r="Z168" s="37" t="n"/>
      <c r="AA168" s="37" t="n"/>
      <c r="AB168" s="37" t="n"/>
      <c r="AC168" s="37" t="n"/>
      <c r="AD168" s="37" t="n"/>
      <c r="AE168" s="37" t="n"/>
      <c r="AF168" s="37" t="n"/>
      <c r="AG168" s="37" t="n"/>
      <c r="AH168" s="38" t="n"/>
      <c r="AI168" s="38" t="n"/>
      <c r="AJ168" s="38" t="n"/>
      <c r="AK168" s="36" t="inlineStr">
        <is>
          <t>IF(OR(E168="",Z168=""),"",IF(COUNT(Y168:Y168)=0,"",Z168-LOOKUP(2,1/(Y168:Y168&lt;&gt;""),Y168:Y168)))</t>
        </is>
      </c>
      <c r="AL168" s="36" t="inlineStr">
        <is>
          <t>IF(OR(E168="",AA168=""),"",IF(COUNT(Y168:Z168)=0,"",AA168-LOOKUP(2,1/(Y168:Z168&lt;&gt;""),Y168:Z168)))</t>
        </is>
      </c>
      <c r="AM168" s="36" t="inlineStr">
        <is>
          <t>IF(OR(E168="",AB168=""),"",IF(COUNT(Y168:AA168)=0,"",AB168-LOOKUP(2,1/(Y168:AA168&lt;&gt;""),Y168:AA168)))</t>
        </is>
      </c>
      <c r="AN168" s="36" t="inlineStr">
        <is>
          <t>IF(OR(E168="",AC168=""),"",IF(COUNT(Y168:AB168)=0,"",AC168-LOOKUP(2,1/(Y168:AB168&lt;&gt;""),Y168:AB168)))</t>
        </is>
      </c>
      <c r="AO168" s="36" t="inlineStr">
        <is>
          <t>IF(OR(E168="",AD168=""),"",IF(COUNT(Y168:AC168)=0,"",AD168-LOOKUP(2,1/(Y168:AC168&lt;&gt;""),Y168:AC168)))</t>
        </is>
      </c>
      <c r="AP168" s="36" t="inlineStr">
        <is>
          <t>IF(OR(E168="",AE168=""),"",IF(COUNT(Y168:AD168)=0,"",AE168-LOOKUP(2,1/(Y168:AD168&lt;&gt;""),Y168:AD168)))</t>
        </is>
      </c>
      <c r="AQ168" s="36" t="inlineStr">
        <is>
          <t>IF(OR(E168="",AF168=""),"",IF(COUNT(Y168:AE168)=0,"",AF168-LOOKUP(2,1/(Y168:AE168&lt;&gt;""),Y168:AE168)))</t>
        </is>
      </c>
      <c r="AR168" s="36" t="inlineStr">
        <is>
          <t>IF(OR(E168="",AG168=""),"",IF(COUNT(Y168:AF168)=0,"",AG168-LOOKUP(2,1/(Y168:AF168&lt;&gt;""),Y168:AF168)))</t>
        </is>
      </c>
      <c r="AS168" s="36" t="inlineStr">
        <is>
          <t>IF(OR(E168="",AH168=""),"",IF(COUNT(Y168:AG168)=0,"",AH168-LOOKUP(2,1/(Y168:AG168&lt;&gt;""),Y168:AG168)))</t>
        </is>
      </c>
      <c r="AT168" s="36" t="inlineStr">
        <is>
          <t>IF(OR(E168="",AI168=""),"",IF(COUNT(Y168:AH168)=0,"",AI168-LOOKUP(2,1/(Y168:AH168&lt;&gt;""),Y168:AH168)))</t>
        </is>
      </c>
      <c r="AU168" s="36" t="inlineStr">
        <is>
          <t>IF(OR(E168="",AJ168=""),"",IF(COUNT(Y168:AI168)=0,"",AJ168-LOOKUP(2,1/(Y168:AI168&lt;&gt;""),Y168:AI168)))</t>
        </is>
      </c>
      <c r="AV168" s="39" t="inlineStr">
        <is>
          <t>IF(G168="","All_Provinces",IFERROR(VLOOKUP(G168,'07_Lookups'!$A$4:$B$20,2,FALSE),"All_Provinces"))</t>
        </is>
      </c>
      <c r="AW168" s="39" t="inlineStr">
        <is>
          <t>IF(H168="","All_Districts",IFERROR(VLOOKUP(H168,'07_Lookups'!$E$4:$F$42,2,FALSE),"All_Districts"))</t>
        </is>
      </c>
    </row>
    <row r="169" ht="18" customHeight="1">
      <c r="A169" s="31" t="inlineStr">
        <is>
          <t>IF(E169="","",ROW()-3)</t>
        </is>
      </c>
      <c r="B169" s="40" t="n"/>
      <c r="C169" s="40" t="n"/>
      <c r="D169" s="40" t="n"/>
      <c r="E169" s="40" t="n"/>
      <c r="F169" s="40" t="n"/>
      <c r="G169" s="40" t="n"/>
      <c r="H169" s="40" t="n"/>
      <c r="I169" s="40" t="n"/>
      <c r="J169" s="40" t="n"/>
      <c r="K169" s="40" t="n"/>
      <c r="L169" s="40" t="n"/>
      <c r="M169" s="40" t="n"/>
      <c r="N169" s="41" t="n"/>
      <c r="O169" s="34" t="inlineStr">
        <is>
          <t>IF(AE169="","",AE169)</t>
        </is>
      </c>
      <c r="P169" s="42" t="n"/>
      <c r="Q169" s="34" t="inlineStr">
        <is>
          <t>IF(OR(O169="",P169=""),"",EDATE(O169,P169))</t>
        </is>
      </c>
      <c r="R169" s="42" t="n"/>
      <c r="S169" s="40" t="n"/>
      <c r="T169" s="40" t="n"/>
      <c r="U169" s="31" t="inlineStr">
        <is>
          <t>IF(E169="","",IF(COUNT(Y169:AJ169)=0,IF(S169="","Not started",S169),SUBSTITUTE(LOOKUP(2,1/(Y169:AJ169&lt;&gt;""),$Y$3:$AJ$3),"Date: ","")))</t>
        </is>
      </c>
      <c r="V169" s="36" t="inlineStr">
        <is>
          <t>IF(OR(E169="",COUNT(Y169:AJ169)=0),"",TODAY()-LOOKUP(2,1/(Y169:AJ169&lt;&gt;""),Y169:AJ169))</t>
        </is>
      </c>
      <c r="W169" s="36" t="inlineStr">
        <is>
          <t>IF(OR(E169="",COUNT(Y169:AJ169)&lt;2),"",LOOKUP(2,1/(Y169:AJ169&lt;&gt;""),Y169:AJ169)-MIN(Y169:AJ169))</t>
        </is>
      </c>
      <c r="X169" s="36" t="inlineStr">
        <is>
          <t>IF(OR(V169="",U169="Not started",U169=""),"",IFERROR(V169-IF(VLOOKUP(U169,'04_Status_Pipeline'!$B$3:$E$20,4,FALSE)="",0,VLOOKUP(U169,'04_Status_Pipeline'!$B$3:$E$20,4,FALSE)),""))</t>
        </is>
      </c>
      <c r="Y169" s="43" t="n"/>
      <c r="Z169" s="43" t="n"/>
      <c r="AA169" s="43" t="n"/>
      <c r="AB169" s="43" t="n"/>
      <c r="AC169" s="43" t="n"/>
      <c r="AD169" s="43" t="n"/>
      <c r="AE169" s="43" t="n"/>
      <c r="AF169" s="43" t="n"/>
      <c r="AG169" s="43" t="n"/>
      <c r="AH169" s="38" t="n"/>
      <c r="AI169" s="38" t="n"/>
      <c r="AJ169" s="38" t="n"/>
      <c r="AK169" s="36" t="inlineStr">
        <is>
          <t>IF(OR(E169="",Z169=""),"",IF(COUNT(Y169:Y169)=0,"",Z169-LOOKUP(2,1/(Y169:Y169&lt;&gt;""),Y169:Y169)))</t>
        </is>
      </c>
      <c r="AL169" s="36" t="inlineStr">
        <is>
          <t>IF(OR(E169="",AA169=""),"",IF(COUNT(Y169:Z169)=0,"",AA169-LOOKUP(2,1/(Y169:Z169&lt;&gt;""),Y169:Z169)))</t>
        </is>
      </c>
      <c r="AM169" s="36" t="inlineStr">
        <is>
          <t>IF(OR(E169="",AB169=""),"",IF(COUNT(Y169:AA169)=0,"",AB169-LOOKUP(2,1/(Y169:AA169&lt;&gt;""),Y169:AA169)))</t>
        </is>
      </c>
      <c r="AN169" s="36" t="inlineStr">
        <is>
          <t>IF(OR(E169="",AC169=""),"",IF(COUNT(Y169:AB169)=0,"",AC169-LOOKUP(2,1/(Y169:AB169&lt;&gt;""),Y169:AB169)))</t>
        </is>
      </c>
      <c r="AO169" s="36" t="inlineStr">
        <is>
          <t>IF(OR(E169="",AD169=""),"",IF(COUNT(Y169:AC169)=0,"",AD169-LOOKUP(2,1/(Y169:AC169&lt;&gt;""),Y169:AC169)))</t>
        </is>
      </c>
      <c r="AP169" s="36" t="inlineStr">
        <is>
          <t>IF(OR(E169="",AE169=""),"",IF(COUNT(Y169:AD169)=0,"",AE169-LOOKUP(2,1/(Y169:AD169&lt;&gt;""),Y169:AD169)))</t>
        </is>
      </c>
      <c r="AQ169" s="36" t="inlineStr">
        <is>
          <t>IF(OR(E169="",AF169=""),"",IF(COUNT(Y169:AE169)=0,"",AF169-LOOKUP(2,1/(Y169:AE169&lt;&gt;""),Y169:AE169)))</t>
        </is>
      </c>
      <c r="AR169" s="36" t="inlineStr">
        <is>
          <t>IF(OR(E169="",AG169=""),"",IF(COUNT(Y169:AF169)=0,"",AG169-LOOKUP(2,1/(Y169:AF169&lt;&gt;""),Y169:AF169)))</t>
        </is>
      </c>
      <c r="AS169" s="36" t="inlineStr">
        <is>
          <t>IF(OR(E169="",AH169=""),"",IF(COUNT(Y169:AG169)=0,"",AH169-LOOKUP(2,1/(Y169:AG169&lt;&gt;""),Y169:AG169)))</t>
        </is>
      </c>
      <c r="AT169" s="36" t="inlineStr">
        <is>
          <t>IF(OR(E169="",AI169=""),"",IF(COUNT(Y169:AH169)=0,"",AI169-LOOKUP(2,1/(Y169:AH169&lt;&gt;""),Y169:AH169)))</t>
        </is>
      </c>
      <c r="AU169" s="36" t="inlineStr">
        <is>
          <t>IF(OR(E169="",AJ169=""),"",IF(COUNT(Y169:AI169)=0,"",AJ169-LOOKUP(2,1/(Y169:AI169&lt;&gt;""),Y169:AI169)))</t>
        </is>
      </c>
      <c r="AV169" s="39" t="inlineStr">
        <is>
          <t>IF(G169="","All_Provinces",IFERROR(VLOOKUP(G169,'07_Lookups'!$A$4:$B$20,2,FALSE),"All_Provinces"))</t>
        </is>
      </c>
      <c r="AW169" s="39" t="inlineStr">
        <is>
          <t>IF(H169="","All_Districts",IFERROR(VLOOKUP(H169,'07_Lookups'!$E$4:$F$42,2,FALSE),"All_Districts"))</t>
        </is>
      </c>
    </row>
    <row r="170" ht="18" customHeight="1">
      <c r="A170" s="31" t="inlineStr">
        <is>
          <t>IF(E170="","",ROW()-3)</t>
        </is>
      </c>
      <c r="B170" s="32" t="n"/>
      <c r="C170" s="32" t="n"/>
      <c r="D170" s="32" t="n"/>
      <c r="E170" s="32" t="n"/>
      <c r="F170" s="32" t="n"/>
      <c r="G170" s="32" t="n"/>
      <c r="H170" s="32" t="n"/>
      <c r="I170" s="32" t="n"/>
      <c r="J170" s="32" t="n"/>
      <c r="K170" s="32" t="n"/>
      <c r="L170" s="32" t="n"/>
      <c r="M170" s="32" t="n"/>
      <c r="N170" s="33" t="n"/>
      <c r="O170" s="34" t="inlineStr">
        <is>
          <t>IF(AE170="","",AE170)</t>
        </is>
      </c>
      <c r="P170" s="35" t="n"/>
      <c r="Q170" s="34" t="inlineStr">
        <is>
          <t>IF(OR(O170="",P170=""),"",EDATE(O170,P170))</t>
        </is>
      </c>
      <c r="R170" s="35" t="n"/>
      <c r="S170" s="32" t="n"/>
      <c r="T170" s="32" t="n"/>
      <c r="U170" s="31" t="inlineStr">
        <is>
          <t>IF(E170="","",IF(COUNT(Y170:AJ170)=0,IF(S170="","Not started",S170),SUBSTITUTE(LOOKUP(2,1/(Y170:AJ170&lt;&gt;""),$Y$3:$AJ$3),"Date: ","")))</t>
        </is>
      </c>
      <c r="V170" s="36" t="inlineStr">
        <is>
          <t>IF(OR(E170="",COUNT(Y170:AJ170)=0),"",TODAY()-LOOKUP(2,1/(Y170:AJ170&lt;&gt;""),Y170:AJ170))</t>
        </is>
      </c>
      <c r="W170" s="36" t="inlineStr">
        <is>
          <t>IF(OR(E170="",COUNT(Y170:AJ170)&lt;2),"",LOOKUP(2,1/(Y170:AJ170&lt;&gt;""),Y170:AJ170)-MIN(Y170:AJ170))</t>
        </is>
      </c>
      <c r="X170" s="36" t="inlineStr">
        <is>
          <t>IF(OR(V170="",U170="Not started",U170=""),"",IFERROR(V170-IF(VLOOKUP(U170,'04_Status_Pipeline'!$B$3:$E$20,4,FALSE)="",0,VLOOKUP(U170,'04_Status_Pipeline'!$B$3:$E$20,4,FALSE)),""))</t>
        </is>
      </c>
      <c r="Y170" s="37" t="n"/>
      <c r="Z170" s="37" t="n"/>
      <c r="AA170" s="37" t="n"/>
      <c r="AB170" s="37" t="n"/>
      <c r="AC170" s="37" t="n"/>
      <c r="AD170" s="37" t="n"/>
      <c r="AE170" s="37" t="n"/>
      <c r="AF170" s="37" t="n"/>
      <c r="AG170" s="37" t="n"/>
      <c r="AH170" s="38" t="n"/>
      <c r="AI170" s="38" t="n"/>
      <c r="AJ170" s="38" t="n"/>
      <c r="AK170" s="36" t="inlineStr">
        <is>
          <t>IF(OR(E170="",Z170=""),"",IF(COUNT(Y170:Y170)=0,"",Z170-LOOKUP(2,1/(Y170:Y170&lt;&gt;""),Y170:Y170)))</t>
        </is>
      </c>
      <c r="AL170" s="36" t="inlineStr">
        <is>
          <t>IF(OR(E170="",AA170=""),"",IF(COUNT(Y170:Z170)=0,"",AA170-LOOKUP(2,1/(Y170:Z170&lt;&gt;""),Y170:Z170)))</t>
        </is>
      </c>
      <c r="AM170" s="36" t="inlineStr">
        <is>
          <t>IF(OR(E170="",AB170=""),"",IF(COUNT(Y170:AA170)=0,"",AB170-LOOKUP(2,1/(Y170:AA170&lt;&gt;""),Y170:AA170)))</t>
        </is>
      </c>
      <c r="AN170" s="36" t="inlineStr">
        <is>
          <t>IF(OR(E170="",AC170=""),"",IF(COUNT(Y170:AB170)=0,"",AC170-LOOKUP(2,1/(Y170:AB170&lt;&gt;""),Y170:AB170)))</t>
        </is>
      </c>
      <c r="AO170" s="36" t="inlineStr">
        <is>
          <t>IF(OR(E170="",AD170=""),"",IF(COUNT(Y170:AC170)=0,"",AD170-LOOKUP(2,1/(Y170:AC170&lt;&gt;""),Y170:AC170)))</t>
        </is>
      </c>
      <c r="AP170" s="36" t="inlineStr">
        <is>
          <t>IF(OR(E170="",AE170=""),"",IF(COUNT(Y170:AD170)=0,"",AE170-LOOKUP(2,1/(Y170:AD170&lt;&gt;""),Y170:AD170)))</t>
        </is>
      </c>
      <c r="AQ170" s="36" t="inlineStr">
        <is>
          <t>IF(OR(E170="",AF170=""),"",IF(COUNT(Y170:AE170)=0,"",AF170-LOOKUP(2,1/(Y170:AE170&lt;&gt;""),Y170:AE170)))</t>
        </is>
      </c>
      <c r="AR170" s="36" t="inlineStr">
        <is>
          <t>IF(OR(E170="",AG170=""),"",IF(COUNT(Y170:AF170)=0,"",AG170-LOOKUP(2,1/(Y170:AF170&lt;&gt;""),Y170:AF170)))</t>
        </is>
      </c>
      <c r="AS170" s="36" t="inlineStr">
        <is>
          <t>IF(OR(E170="",AH170=""),"",IF(COUNT(Y170:AG170)=0,"",AH170-LOOKUP(2,1/(Y170:AG170&lt;&gt;""),Y170:AG170)))</t>
        </is>
      </c>
      <c r="AT170" s="36" t="inlineStr">
        <is>
          <t>IF(OR(E170="",AI170=""),"",IF(COUNT(Y170:AH170)=0,"",AI170-LOOKUP(2,1/(Y170:AH170&lt;&gt;""),Y170:AH170)))</t>
        </is>
      </c>
      <c r="AU170" s="36" t="inlineStr">
        <is>
          <t>IF(OR(E170="",AJ170=""),"",IF(COUNT(Y170:AI170)=0,"",AJ170-LOOKUP(2,1/(Y170:AI170&lt;&gt;""),Y170:AI170)))</t>
        </is>
      </c>
      <c r="AV170" s="39" t="inlineStr">
        <is>
          <t>IF(G170="","All_Provinces",IFERROR(VLOOKUP(G170,'07_Lookups'!$A$4:$B$20,2,FALSE),"All_Provinces"))</t>
        </is>
      </c>
      <c r="AW170" s="39" t="inlineStr">
        <is>
          <t>IF(H170="","All_Districts",IFERROR(VLOOKUP(H170,'07_Lookups'!$E$4:$F$42,2,FALSE),"All_Districts"))</t>
        </is>
      </c>
    </row>
    <row r="171" ht="18" customHeight="1">
      <c r="A171" s="31" t="inlineStr">
        <is>
          <t>IF(E171="","",ROW()-3)</t>
        </is>
      </c>
      <c r="B171" s="40" t="n"/>
      <c r="C171" s="40" t="n"/>
      <c r="D171" s="40" t="n"/>
      <c r="E171" s="40" t="n"/>
      <c r="F171" s="40" t="n"/>
      <c r="G171" s="40" t="n"/>
      <c r="H171" s="40" t="n"/>
      <c r="I171" s="40" t="n"/>
      <c r="J171" s="40" t="n"/>
      <c r="K171" s="40" t="n"/>
      <c r="L171" s="40" t="n"/>
      <c r="M171" s="40" t="n"/>
      <c r="N171" s="41" t="n"/>
      <c r="O171" s="34" t="inlineStr">
        <is>
          <t>IF(AE171="","",AE171)</t>
        </is>
      </c>
      <c r="P171" s="42" t="n"/>
      <c r="Q171" s="34" t="inlineStr">
        <is>
          <t>IF(OR(O171="",P171=""),"",EDATE(O171,P171))</t>
        </is>
      </c>
      <c r="R171" s="42" t="n"/>
      <c r="S171" s="40" t="n"/>
      <c r="T171" s="40" t="n"/>
      <c r="U171" s="31" t="inlineStr">
        <is>
          <t>IF(E171="","",IF(COUNT(Y171:AJ171)=0,IF(S171="","Not started",S171),SUBSTITUTE(LOOKUP(2,1/(Y171:AJ171&lt;&gt;""),$Y$3:$AJ$3),"Date: ","")))</t>
        </is>
      </c>
      <c r="V171" s="36" t="inlineStr">
        <is>
          <t>IF(OR(E171="",COUNT(Y171:AJ171)=0),"",TODAY()-LOOKUP(2,1/(Y171:AJ171&lt;&gt;""),Y171:AJ171))</t>
        </is>
      </c>
      <c r="W171" s="36" t="inlineStr">
        <is>
          <t>IF(OR(E171="",COUNT(Y171:AJ171)&lt;2),"",LOOKUP(2,1/(Y171:AJ171&lt;&gt;""),Y171:AJ171)-MIN(Y171:AJ171))</t>
        </is>
      </c>
      <c r="X171" s="36" t="inlineStr">
        <is>
          <t>IF(OR(V171="",U171="Not started",U171=""),"",IFERROR(V171-IF(VLOOKUP(U171,'04_Status_Pipeline'!$B$3:$E$20,4,FALSE)="",0,VLOOKUP(U171,'04_Status_Pipeline'!$B$3:$E$20,4,FALSE)),""))</t>
        </is>
      </c>
      <c r="Y171" s="43" t="n"/>
      <c r="Z171" s="43" t="n"/>
      <c r="AA171" s="43" t="n"/>
      <c r="AB171" s="43" t="n"/>
      <c r="AC171" s="43" t="n"/>
      <c r="AD171" s="43" t="n"/>
      <c r="AE171" s="43" t="n"/>
      <c r="AF171" s="43" t="n"/>
      <c r="AG171" s="43" t="n"/>
      <c r="AH171" s="38" t="n"/>
      <c r="AI171" s="38" t="n"/>
      <c r="AJ171" s="38" t="n"/>
      <c r="AK171" s="36" t="inlineStr">
        <is>
          <t>IF(OR(E171="",Z171=""),"",IF(COUNT(Y171:Y171)=0,"",Z171-LOOKUP(2,1/(Y171:Y171&lt;&gt;""),Y171:Y171)))</t>
        </is>
      </c>
      <c r="AL171" s="36" t="inlineStr">
        <is>
          <t>IF(OR(E171="",AA171=""),"",IF(COUNT(Y171:Z171)=0,"",AA171-LOOKUP(2,1/(Y171:Z171&lt;&gt;""),Y171:Z171)))</t>
        </is>
      </c>
      <c r="AM171" s="36" t="inlineStr">
        <is>
          <t>IF(OR(E171="",AB171=""),"",IF(COUNT(Y171:AA171)=0,"",AB171-LOOKUP(2,1/(Y171:AA171&lt;&gt;""),Y171:AA171)))</t>
        </is>
      </c>
      <c r="AN171" s="36" t="inlineStr">
        <is>
          <t>IF(OR(E171="",AC171=""),"",IF(COUNT(Y171:AB171)=0,"",AC171-LOOKUP(2,1/(Y171:AB171&lt;&gt;""),Y171:AB171)))</t>
        </is>
      </c>
      <c r="AO171" s="36" t="inlineStr">
        <is>
          <t>IF(OR(E171="",AD171=""),"",IF(COUNT(Y171:AC171)=0,"",AD171-LOOKUP(2,1/(Y171:AC171&lt;&gt;""),Y171:AC171)))</t>
        </is>
      </c>
      <c r="AP171" s="36" t="inlineStr">
        <is>
          <t>IF(OR(E171="",AE171=""),"",IF(COUNT(Y171:AD171)=0,"",AE171-LOOKUP(2,1/(Y171:AD171&lt;&gt;""),Y171:AD171)))</t>
        </is>
      </c>
      <c r="AQ171" s="36" t="inlineStr">
        <is>
          <t>IF(OR(E171="",AF171=""),"",IF(COUNT(Y171:AE171)=0,"",AF171-LOOKUP(2,1/(Y171:AE171&lt;&gt;""),Y171:AE171)))</t>
        </is>
      </c>
      <c r="AR171" s="36" t="inlineStr">
        <is>
          <t>IF(OR(E171="",AG171=""),"",IF(COUNT(Y171:AF171)=0,"",AG171-LOOKUP(2,1/(Y171:AF171&lt;&gt;""),Y171:AF171)))</t>
        </is>
      </c>
      <c r="AS171" s="36" t="inlineStr">
        <is>
          <t>IF(OR(E171="",AH171=""),"",IF(COUNT(Y171:AG171)=0,"",AH171-LOOKUP(2,1/(Y171:AG171&lt;&gt;""),Y171:AG171)))</t>
        </is>
      </c>
      <c r="AT171" s="36" t="inlineStr">
        <is>
          <t>IF(OR(E171="",AI171=""),"",IF(COUNT(Y171:AH171)=0,"",AI171-LOOKUP(2,1/(Y171:AH171&lt;&gt;""),Y171:AH171)))</t>
        </is>
      </c>
      <c r="AU171" s="36" t="inlineStr">
        <is>
          <t>IF(OR(E171="",AJ171=""),"",IF(COUNT(Y171:AI171)=0,"",AJ171-LOOKUP(2,1/(Y171:AI171&lt;&gt;""),Y171:AI171)))</t>
        </is>
      </c>
      <c r="AV171" s="39" t="inlineStr">
        <is>
          <t>IF(G171="","All_Provinces",IFERROR(VLOOKUP(G171,'07_Lookups'!$A$4:$B$20,2,FALSE),"All_Provinces"))</t>
        </is>
      </c>
      <c r="AW171" s="39" t="inlineStr">
        <is>
          <t>IF(H171="","All_Districts",IFERROR(VLOOKUP(H171,'07_Lookups'!$E$4:$F$42,2,FALSE),"All_Districts"))</t>
        </is>
      </c>
    </row>
    <row r="172" ht="18" customHeight="1">
      <c r="A172" s="31" t="inlineStr">
        <is>
          <t>IF(E172="","",ROW()-3)</t>
        </is>
      </c>
      <c r="B172" s="32" t="n"/>
      <c r="C172" s="32" t="n"/>
      <c r="D172" s="32" t="n"/>
      <c r="E172" s="32" t="n"/>
      <c r="F172" s="32" t="n"/>
      <c r="G172" s="32" t="n"/>
      <c r="H172" s="32" t="n"/>
      <c r="I172" s="32" t="n"/>
      <c r="J172" s="32" t="n"/>
      <c r="K172" s="32" t="n"/>
      <c r="L172" s="32" t="n"/>
      <c r="M172" s="32" t="n"/>
      <c r="N172" s="33" t="n"/>
      <c r="O172" s="34" t="inlineStr">
        <is>
          <t>IF(AE172="","",AE172)</t>
        </is>
      </c>
      <c r="P172" s="35" t="n"/>
      <c r="Q172" s="34" t="inlineStr">
        <is>
          <t>IF(OR(O172="",P172=""),"",EDATE(O172,P172))</t>
        </is>
      </c>
      <c r="R172" s="35" t="n"/>
      <c r="S172" s="32" t="n"/>
      <c r="T172" s="32" t="n"/>
      <c r="U172" s="31" t="inlineStr">
        <is>
          <t>IF(E172="","",IF(COUNT(Y172:AJ172)=0,IF(S172="","Not started",S172),SUBSTITUTE(LOOKUP(2,1/(Y172:AJ172&lt;&gt;""),$Y$3:$AJ$3),"Date: ","")))</t>
        </is>
      </c>
      <c r="V172" s="36" t="inlineStr">
        <is>
          <t>IF(OR(E172="",COUNT(Y172:AJ172)=0),"",TODAY()-LOOKUP(2,1/(Y172:AJ172&lt;&gt;""),Y172:AJ172))</t>
        </is>
      </c>
      <c r="W172" s="36" t="inlineStr">
        <is>
          <t>IF(OR(E172="",COUNT(Y172:AJ172)&lt;2),"",LOOKUP(2,1/(Y172:AJ172&lt;&gt;""),Y172:AJ172)-MIN(Y172:AJ172))</t>
        </is>
      </c>
      <c r="X172" s="36" t="inlineStr">
        <is>
          <t>IF(OR(V172="",U172="Not started",U172=""),"",IFERROR(V172-IF(VLOOKUP(U172,'04_Status_Pipeline'!$B$3:$E$20,4,FALSE)="",0,VLOOKUP(U172,'04_Status_Pipeline'!$B$3:$E$20,4,FALSE)),""))</t>
        </is>
      </c>
      <c r="Y172" s="37" t="n"/>
      <c r="Z172" s="37" t="n"/>
      <c r="AA172" s="37" t="n"/>
      <c r="AB172" s="37" t="n"/>
      <c r="AC172" s="37" t="n"/>
      <c r="AD172" s="37" t="n"/>
      <c r="AE172" s="37" t="n"/>
      <c r="AF172" s="37" t="n"/>
      <c r="AG172" s="37" t="n"/>
      <c r="AH172" s="38" t="n"/>
      <c r="AI172" s="38" t="n"/>
      <c r="AJ172" s="38" t="n"/>
      <c r="AK172" s="36" t="inlineStr">
        <is>
          <t>IF(OR(E172="",Z172=""),"",IF(COUNT(Y172:Y172)=0,"",Z172-LOOKUP(2,1/(Y172:Y172&lt;&gt;""),Y172:Y172)))</t>
        </is>
      </c>
      <c r="AL172" s="36" t="inlineStr">
        <is>
          <t>IF(OR(E172="",AA172=""),"",IF(COUNT(Y172:Z172)=0,"",AA172-LOOKUP(2,1/(Y172:Z172&lt;&gt;""),Y172:Z172)))</t>
        </is>
      </c>
      <c r="AM172" s="36" t="inlineStr">
        <is>
          <t>IF(OR(E172="",AB172=""),"",IF(COUNT(Y172:AA172)=0,"",AB172-LOOKUP(2,1/(Y172:AA172&lt;&gt;""),Y172:AA172)))</t>
        </is>
      </c>
      <c r="AN172" s="36" t="inlineStr">
        <is>
          <t>IF(OR(E172="",AC172=""),"",IF(COUNT(Y172:AB172)=0,"",AC172-LOOKUP(2,1/(Y172:AB172&lt;&gt;""),Y172:AB172)))</t>
        </is>
      </c>
      <c r="AO172" s="36" t="inlineStr">
        <is>
          <t>IF(OR(E172="",AD172=""),"",IF(COUNT(Y172:AC172)=0,"",AD172-LOOKUP(2,1/(Y172:AC172&lt;&gt;""),Y172:AC172)))</t>
        </is>
      </c>
      <c r="AP172" s="36" t="inlineStr">
        <is>
          <t>IF(OR(E172="",AE172=""),"",IF(COUNT(Y172:AD172)=0,"",AE172-LOOKUP(2,1/(Y172:AD172&lt;&gt;""),Y172:AD172)))</t>
        </is>
      </c>
      <c r="AQ172" s="36" t="inlineStr">
        <is>
          <t>IF(OR(E172="",AF172=""),"",IF(COUNT(Y172:AE172)=0,"",AF172-LOOKUP(2,1/(Y172:AE172&lt;&gt;""),Y172:AE172)))</t>
        </is>
      </c>
      <c r="AR172" s="36" t="inlineStr">
        <is>
          <t>IF(OR(E172="",AG172=""),"",IF(COUNT(Y172:AF172)=0,"",AG172-LOOKUP(2,1/(Y172:AF172&lt;&gt;""),Y172:AF172)))</t>
        </is>
      </c>
      <c r="AS172" s="36" t="inlineStr">
        <is>
          <t>IF(OR(E172="",AH172=""),"",IF(COUNT(Y172:AG172)=0,"",AH172-LOOKUP(2,1/(Y172:AG172&lt;&gt;""),Y172:AG172)))</t>
        </is>
      </c>
      <c r="AT172" s="36" t="inlineStr">
        <is>
          <t>IF(OR(E172="",AI172=""),"",IF(COUNT(Y172:AH172)=0,"",AI172-LOOKUP(2,1/(Y172:AH172&lt;&gt;""),Y172:AH172)))</t>
        </is>
      </c>
      <c r="AU172" s="36" t="inlineStr">
        <is>
          <t>IF(OR(E172="",AJ172=""),"",IF(COUNT(Y172:AI172)=0,"",AJ172-LOOKUP(2,1/(Y172:AI172&lt;&gt;""),Y172:AI172)))</t>
        </is>
      </c>
      <c r="AV172" s="39" t="inlineStr">
        <is>
          <t>IF(G172="","All_Provinces",IFERROR(VLOOKUP(G172,'07_Lookups'!$A$4:$B$20,2,FALSE),"All_Provinces"))</t>
        </is>
      </c>
      <c r="AW172" s="39" t="inlineStr">
        <is>
          <t>IF(H172="","All_Districts",IFERROR(VLOOKUP(H172,'07_Lookups'!$E$4:$F$42,2,FALSE),"All_Districts"))</t>
        </is>
      </c>
    </row>
    <row r="173" ht="18" customHeight="1">
      <c r="A173" s="31" t="inlineStr">
        <is>
          <t>IF(E173="","",ROW()-3)</t>
        </is>
      </c>
      <c r="B173" s="40" t="n"/>
      <c r="C173" s="40" t="n"/>
      <c r="D173" s="40" t="n"/>
      <c r="E173" s="40" t="n"/>
      <c r="F173" s="40" t="n"/>
      <c r="G173" s="40" t="n"/>
      <c r="H173" s="40" t="n"/>
      <c r="I173" s="40" t="n"/>
      <c r="J173" s="40" t="n"/>
      <c r="K173" s="40" t="n"/>
      <c r="L173" s="40" t="n"/>
      <c r="M173" s="40" t="n"/>
      <c r="N173" s="41" t="n"/>
      <c r="O173" s="34" t="inlineStr">
        <is>
          <t>IF(AE173="","",AE173)</t>
        </is>
      </c>
      <c r="P173" s="42" t="n"/>
      <c r="Q173" s="34" t="inlineStr">
        <is>
          <t>IF(OR(O173="",P173=""),"",EDATE(O173,P173))</t>
        </is>
      </c>
      <c r="R173" s="42" t="n"/>
      <c r="S173" s="40" t="n"/>
      <c r="T173" s="40" t="n"/>
      <c r="U173" s="31" t="inlineStr">
        <is>
          <t>IF(E173="","",IF(COUNT(Y173:AJ173)=0,IF(S173="","Not started",S173),SUBSTITUTE(LOOKUP(2,1/(Y173:AJ173&lt;&gt;""),$Y$3:$AJ$3),"Date: ","")))</t>
        </is>
      </c>
      <c r="V173" s="36" t="inlineStr">
        <is>
          <t>IF(OR(E173="",COUNT(Y173:AJ173)=0),"",TODAY()-LOOKUP(2,1/(Y173:AJ173&lt;&gt;""),Y173:AJ173))</t>
        </is>
      </c>
      <c r="W173" s="36" t="inlineStr">
        <is>
          <t>IF(OR(E173="",COUNT(Y173:AJ173)&lt;2),"",LOOKUP(2,1/(Y173:AJ173&lt;&gt;""),Y173:AJ173)-MIN(Y173:AJ173))</t>
        </is>
      </c>
      <c r="X173" s="36" t="inlineStr">
        <is>
          <t>IF(OR(V173="",U173="Not started",U173=""),"",IFERROR(V173-IF(VLOOKUP(U173,'04_Status_Pipeline'!$B$3:$E$20,4,FALSE)="",0,VLOOKUP(U173,'04_Status_Pipeline'!$B$3:$E$20,4,FALSE)),""))</t>
        </is>
      </c>
      <c r="Y173" s="43" t="n"/>
      <c r="Z173" s="43" t="n"/>
      <c r="AA173" s="43" t="n"/>
      <c r="AB173" s="43" t="n"/>
      <c r="AC173" s="43" t="n"/>
      <c r="AD173" s="43" t="n"/>
      <c r="AE173" s="43" t="n"/>
      <c r="AF173" s="43" t="n"/>
      <c r="AG173" s="43" t="n"/>
      <c r="AH173" s="38" t="n"/>
      <c r="AI173" s="38" t="n"/>
      <c r="AJ173" s="38" t="n"/>
      <c r="AK173" s="36" t="inlineStr">
        <is>
          <t>IF(OR(E173="",Z173=""),"",IF(COUNT(Y173:Y173)=0,"",Z173-LOOKUP(2,1/(Y173:Y173&lt;&gt;""),Y173:Y173)))</t>
        </is>
      </c>
      <c r="AL173" s="36" t="inlineStr">
        <is>
          <t>IF(OR(E173="",AA173=""),"",IF(COUNT(Y173:Z173)=0,"",AA173-LOOKUP(2,1/(Y173:Z173&lt;&gt;""),Y173:Z173)))</t>
        </is>
      </c>
      <c r="AM173" s="36" t="inlineStr">
        <is>
          <t>IF(OR(E173="",AB173=""),"",IF(COUNT(Y173:AA173)=0,"",AB173-LOOKUP(2,1/(Y173:AA173&lt;&gt;""),Y173:AA173)))</t>
        </is>
      </c>
      <c r="AN173" s="36" t="inlineStr">
        <is>
          <t>IF(OR(E173="",AC173=""),"",IF(COUNT(Y173:AB173)=0,"",AC173-LOOKUP(2,1/(Y173:AB173&lt;&gt;""),Y173:AB173)))</t>
        </is>
      </c>
      <c r="AO173" s="36" t="inlineStr">
        <is>
          <t>IF(OR(E173="",AD173=""),"",IF(COUNT(Y173:AC173)=0,"",AD173-LOOKUP(2,1/(Y173:AC173&lt;&gt;""),Y173:AC173)))</t>
        </is>
      </c>
      <c r="AP173" s="36" t="inlineStr">
        <is>
          <t>IF(OR(E173="",AE173=""),"",IF(COUNT(Y173:AD173)=0,"",AE173-LOOKUP(2,1/(Y173:AD173&lt;&gt;""),Y173:AD173)))</t>
        </is>
      </c>
      <c r="AQ173" s="36" t="inlineStr">
        <is>
          <t>IF(OR(E173="",AF173=""),"",IF(COUNT(Y173:AE173)=0,"",AF173-LOOKUP(2,1/(Y173:AE173&lt;&gt;""),Y173:AE173)))</t>
        </is>
      </c>
      <c r="AR173" s="36" t="inlineStr">
        <is>
          <t>IF(OR(E173="",AG173=""),"",IF(COUNT(Y173:AF173)=0,"",AG173-LOOKUP(2,1/(Y173:AF173&lt;&gt;""),Y173:AF173)))</t>
        </is>
      </c>
      <c r="AS173" s="36" t="inlineStr">
        <is>
          <t>IF(OR(E173="",AH173=""),"",IF(COUNT(Y173:AG173)=0,"",AH173-LOOKUP(2,1/(Y173:AG173&lt;&gt;""),Y173:AG173)))</t>
        </is>
      </c>
      <c r="AT173" s="36" t="inlineStr">
        <is>
          <t>IF(OR(E173="",AI173=""),"",IF(COUNT(Y173:AH173)=0,"",AI173-LOOKUP(2,1/(Y173:AH173&lt;&gt;""),Y173:AH173)))</t>
        </is>
      </c>
      <c r="AU173" s="36" t="inlineStr">
        <is>
          <t>IF(OR(E173="",AJ173=""),"",IF(COUNT(Y173:AI173)=0,"",AJ173-LOOKUP(2,1/(Y173:AI173&lt;&gt;""),Y173:AI173)))</t>
        </is>
      </c>
      <c r="AV173" s="39" t="inlineStr">
        <is>
          <t>IF(G173="","All_Provinces",IFERROR(VLOOKUP(G173,'07_Lookups'!$A$4:$B$20,2,FALSE),"All_Provinces"))</t>
        </is>
      </c>
      <c r="AW173" s="39" t="inlineStr">
        <is>
          <t>IF(H173="","All_Districts",IFERROR(VLOOKUP(H173,'07_Lookups'!$E$4:$F$42,2,FALSE),"All_Districts"))</t>
        </is>
      </c>
    </row>
    <row r="174" ht="18" customHeight="1">
      <c r="A174" s="31" t="inlineStr">
        <is>
          <t>IF(E174="","",ROW()-3)</t>
        </is>
      </c>
      <c r="B174" s="32" t="n"/>
      <c r="C174" s="32" t="n"/>
      <c r="D174" s="32" t="n"/>
      <c r="E174" s="32" t="n"/>
      <c r="F174" s="32" t="n"/>
      <c r="G174" s="32" t="n"/>
      <c r="H174" s="32" t="n"/>
      <c r="I174" s="32" t="n"/>
      <c r="J174" s="32" t="n"/>
      <c r="K174" s="32" t="n"/>
      <c r="L174" s="32" t="n"/>
      <c r="M174" s="32" t="n"/>
      <c r="N174" s="33" t="n"/>
      <c r="O174" s="34" t="inlineStr">
        <is>
          <t>IF(AE174="","",AE174)</t>
        </is>
      </c>
      <c r="P174" s="35" t="n"/>
      <c r="Q174" s="34" t="inlineStr">
        <is>
          <t>IF(OR(O174="",P174=""),"",EDATE(O174,P174))</t>
        </is>
      </c>
      <c r="R174" s="35" t="n"/>
      <c r="S174" s="32" t="n"/>
      <c r="T174" s="32" t="n"/>
      <c r="U174" s="31" t="inlineStr">
        <is>
          <t>IF(E174="","",IF(COUNT(Y174:AJ174)=0,IF(S174="","Not started",S174),SUBSTITUTE(LOOKUP(2,1/(Y174:AJ174&lt;&gt;""),$Y$3:$AJ$3),"Date: ","")))</t>
        </is>
      </c>
      <c r="V174" s="36" t="inlineStr">
        <is>
          <t>IF(OR(E174="",COUNT(Y174:AJ174)=0),"",TODAY()-LOOKUP(2,1/(Y174:AJ174&lt;&gt;""),Y174:AJ174))</t>
        </is>
      </c>
      <c r="W174" s="36" t="inlineStr">
        <is>
          <t>IF(OR(E174="",COUNT(Y174:AJ174)&lt;2),"",LOOKUP(2,1/(Y174:AJ174&lt;&gt;""),Y174:AJ174)-MIN(Y174:AJ174))</t>
        </is>
      </c>
      <c r="X174" s="36" t="inlineStr">
        <is>
          <t>IF(OR(V174="",U174="Not started",U174=""),"",IFERROR(V174-IF(VLOOKUP(U174,'04_Status_Pipeline'!$B$3:$E$20,4,FALSE)="",0,VLOOKUP(U174,'04_Status_Pipeline'!$B$3:$E$20,4,FALSE)),""))</t>
        </is>
      </c>
      <c r="Y174" s="37" t="n"/>
      <c r="Z174" s="37" t="n"/>
      <c r="AA174" s="37" t="n"/>
      <c r="AB174" s="37" t="n"/>
      <c r="AC174" s="37" t="n"/>
      <c r="AD174" s="37" t="n"/>
      <c r="AE174" s="37" t="n"/>
      <c r="AF174" s="37" t="n"/>
      <c r="AG174" s="37" t="n"/>
      <c r="AH174" s="38" t="n"/>
      <c r="AI174" s="38" t="n"/>
      <c r="AJ174" s="38" t="n"/>
      <c r="AK174" s="36" t="inlineStr">
        <is>
          <t>IF(OR(E174="",Z174=""),"",IF(COUNT(Y174:Y174)=0,"",Z174-LOOKUP(2,1/(Y174:Y174&lt;&gt;""),Y174:Y174)))</t>
        </is>
      </c>
      <c r="AL174" s="36" t="inlineStr">
        <is>
          <t>IF(OR(E174="",AA174=""),"",IF(COUNT(Y174:Z174)=0,"",AA174-LOOKUP(2,1/(Y174:Z174&lt;&gt;""),Y174:Z174)))</t>
        </is>
      </c>
      <c r="AM174" s="36" t="inlineStr">
        <is>
          <t>IF(OR(E174="",AB174=""),"",IF(COUNT(Y174:AA174)=0,"",AB174-LOOKUP(2,1/(Y174:AA174&lt;&gt;""),Y174:AA174)))</t>
        </is>
      </c>
      <c r="AN174" s="36" t="inlineStr">
        <is>
          <t>IF(OR(E174="",AC174=""),"",IF(COUNT(Y174:AB174)=0,"",AC174-LOOKUP(2,1/(Y174:AB174&lt;&gt;""),Y174:AB174)))</t>
        </is>
      </c>
      <c r="AO174" s="36" t="inlineStr">
        <is>
          <t>IF(OR(E174="",AD174=""),"",IF(COUNT(Y174:AC174)=0,"",AD174-LOOKUP(2,1/(Y174:AC174&lt;&gt;""),Y174:AC174)))</t>
        </is>
      </c>
      <c r="AP174" s="36" t="inlineStr">
        <is>
          <t>IF(OR(E174="",AE174=""),"",IF(COUNT(Y174:AD174)=0,"",AE174-LOOKUP(2,1/(Y174:AD174&lt;&gt;""),Y174:AD174)))</t>
        </is>
      </c>
      <c r="AQ174" s="36" t="inlineStr">
        <is>
          <t>IF(OR(E174="",AF174=""),"",IF(COUNT(Y174:AE174)=0,"",AF174-LOOKUP(2,1/(Y174:AE174&lt;&gt;""),Y174:AE174)))</t>
        </is>
      </c>
      <c r="AR174" s="36" t="inlineStr">
        <is>
          <t>IF(OR(E174="",AG174=""),"",IF(COUNT(Y174:AF174)=0,"",AG174-LOOKUP(2,1/(Y174:AF174&lt;&gt;""),Y174:AF174)))</t>
        </is>
      </c>
      <c r="AS174" s="36" t="inlineStr">
        <is>
          <t>IF(OR(E174="",AH174=""),"",IF(COUNT(Y174:AG174)=0,"",AH174-LOOKUP(2,1/(Y174:AG174&lt;&gt;""),Y174:AG174)))</t>
        </is>
      </c>
      <c r="AT174" s="36" t="inlineStr">
        <is>
          <t>IF(OR(E174="",AI174=""),"",IF(COUNT(Y174:AH174)=0,"",AI174-LOOKUP(2,1/(Y174:AH174&lt;&gt;""),Y174:AH174)))</t>
        </is>
      </c>
      <c r="AU174" s="36" t="inlineStr">
        <is>
          <t>IF(OR(E174="",AJ174=""),"",IF(COUNT(Y174:AI174)=0,"",AJ174-LOOKUP(2,1/(Y174:AI174&lt;&gt;""),Y174:AI174)))</t>
        </is>
      </c>
      <c r="AV174" s="39" t="inlineStr">
        <is>
          <t>IF(G174="","All_Provinces",IFERROR(VLOOKUP(G174,'07_Lookups'!$A$4:$B$20,2,FALSE),"All_Provinces"))</t>
        </is>
      </c>
      <c r="AW174" s="39" t="inlineStr">
        <is>
          <t>IF(H174="","All_Districts",IFERROR(VLOOKUP(H174,'07_Lookups'!$E$4:$F$42,2,FALSE),"All_Districts"))</t>
        </is>
      </c>
    </row>
    <row r="175" ht="18" customHeight="1">
      <c r="A175" s="31" t="inlineStr">
        <is>
          <t>IF(E175="","",ROW()-3)</t>
        </is>
      </c>
      <c r="B175" s="40" t="n"/>
      <c r="C175" s="40" t="n"/>
      <c r="D175" s="40" t="n"/>
      <c r="E175" s="40" t="n"/>
      <c r="F175" s="40" t="n"/>
      <c r="G175" s="40" t="n"/>
      <c r="H175" s="40" t="n"/>
      <c r="I175" s="40" t="n"/>
      <c r="J175" s="40" t="n"/>
      <c r="K175" s="40" t="n"/>
      <c r="L175" s="40" t="n"/>
      <c r="M175" s="40" t="n"/>
      <c r="N175" s="41" t="n"/>
      <c r="O175" s="34" t="inlineStr">
        <is>
          <t>IF(AE175="","",AE175)</t>
        </is>
      </c>
      <c r="P175" s="42" t="n"/>
      <c r="Q175" s="34" t="inlineStr">
        <is>
          <t>IF(OR(O175="",P175=""),"",EDATE(O175,P175))</t>
        </is>
      </c>
      <c r="R175" s="42" t="n"/>
      <c r="S175" s="40" t="n"/>
      <c r="T175" s="40" t="n"/>
      <c r="U175" s="31" t="inlineStr">
        <is>
          <t>IF(E175="","",IF(COUNT(Y175:AJ175)=0,IF(S175="","Not started",S175),SUBSTITUTE(LOOKUP(2,1/(Y175:AJ175&lt;&gt;""),$Y$3:$AJ$3),"Date: ","")))</t>
        </is>
      </c>
      <c r="V175" s="36" t="inlineStr">
        <is>
          <t>IF(OR(E175="",COUNT(Y175:AJ175)=0),"",TODAY()-LOOKUP(2,1/(Y175:AJ175&lt;&gt;""),Y175:AJ175))</t>
        </is>
      </c>
      <c r="W175" s="36" t="inlineStr">
        <is>
          <t>IF(OR(E175="",COUNT(Y175:AJ175)&lt;2),"",LOOKUP(2,1/(Y175:AJ175&lt;&gt;""),Y175:AJ175)-MIN(Y175:AJ175))</t>
        </is>
      </c>
      <c r="X175" s="36" t="inlineStr">
        <is>
          <t>IF(OR(V175="",U175="Not started",U175=""),"",IFERROR(V175-IF(VLOOKUP(U175,'04_Status_Pipeline'!$B$3:$E$20,4,FALSE)="",0,VLOOKUP(U175,'04_Status_Pipeline'!$B$3:$E$20,4,FALSE)),""))</t>
        </is>
      </c>
      <c r="Y175" s="43" t="n"/>
      <c r="Z175" s="43" t="n"/>
      <c r="AA175" s="43" t="n"/>
      <c r="AB175" s="43" t="n"/>
      <c r="AC175" s="43" t="n"/>
      <c r="AD175" s="43" t="n"/>
      <c r="AE175" s="43" t="n"/>
      <c r="AF175" s="43" t="n"/>
      <c r="AG175" s="43" t="n"/>
      <c r="AH175" s="38" t="n"/>
      <c r="AI175" s="38" t="n"/>
      <c r="AJ175" s="38" t="n"/>
      <c r="AK175" s="36" t="inlineStr">
        <is>
          <t>IF(OR(E175="",Z175=""),"",IF(COUNT(Y175:Y175)=0,"",Z175-LOOKUP(2,1/(Y175:Y175&lt;&gt;""),Y175:Y175)))</t>
        </is>
      </c>
      <c r="AL175" s="36" t="inlineStr">
        <is>
          <t>IF(OR(E175="",AA175=""),"",IF(COUNT(Y175:Z175)=0,"",AA175-LOOKUP(2,1/(Y175:Z175&lt;&gt;""),Y175:Z175)))</t>
        </is>
      </c>
      <c r="AM175" s="36" t="inlineStr">
        <is>
          <t>IF(OR(E175="",AB175=""),"",IF(COUNT(Y175:AA175)=0,"",AB175-LOOKUP(2,1/(Y175:AA175&lt;&gt;""),Y175:AA175)))</t>
        </is>
      </c>
      <c r="AN175" s="36" t="inlineStr">
        <is>
          <t>IF(OR(E175="",AC175=""),"",IF(COUNT(Y175:AB175)=0,"",AC175-LOOKUP(2,1/(Y175:AB175&lt;&gt;""),Y175:AB175)))</t>
        </is>
      </c>
      <c r="AO175" s="36" t="inlineStr">
        <is>
          <t>IF(OR(E175="",AD175=""),"",IF(COUNT(Y175:AC175)=0,"",AD175-LOOKUP(2,1/(Y175:AC175&lt;&gt;""),Y175:AC175)))</t>
        </is>
      </c>
      <c r="AP175" s="36" t="inlineStr">
        <is>
          <t>IF(OR(E175="",AE175=""),"",IF(COUNT(Y175:AD175)=0,"",AE175-LOOKUP(2,1/(Y175:AD175&lt;&gt;""),Y175:AD175)))</t>
        </is>
      </c>
      <c r="AQ175" s="36" t="inlineStr">
        <is>
          <t>IF(OR(E175="",AF175=""),"",IF(COUNT(Y175:AE175)=0,"",AF175-LOOKUP(2,1/(Y175:AE175&lt;&gt;""),Y175:AE175)))</t>
        </is>
      </c>
      <c r="AR175" s="36" t="inlineStr">
        <is>
          <t>IF(OR(E175="",AG175=""),"",IF(COUNT(Y175:AF175)=0,"",AG175-LOOKUP(2,1/(Y175:AF175&lt;&gt;""),Y175:AF175)))</t>
        </is>
      </c>
      <c r="AS175" s="36" t="inlineStr">
        <is>
          <t>IF(OR(E175="",AH175=""),"",IF(COUNT(Y175:AG175)=0,"",AH175-LOOKUP(2,1/(Y175:AG175&lt;&gt;""),Y175:AG175)))</t>
        </is>
      </c>
      <c r="AT175" s="36" t="inlineStr">
        <is>
          <t>IF(OR(E175="",AI175=""),"",IF(COUNT(Y175:AH175)=0,"",AI175-LOOKUP(2,1/(Y175:AH175&lt;&gt;""),Y175:AH175)))</t>
        </is>
      </c>
      <c r="AU175" s="36" t="inlineStr">
        <is>
          <t>IF(OR(E175="",AJ175=""),"",IF(COUNT(Y175:AI175)=0,"",AJ175-LOOKUP(2,1/(Y175:AI175&lt;&gt;""),Y175:AI175)))</t>
        </is>
      </c>
      <c r="AV175" s="39" t="inlineStr">
        <is>
          <t>IF(G175="","All_Provinces",IFERROR(VLOOKUP(G175,'07_Lookups'!$A$4:$B$20,2,FALSE),"All_Provinces"))</t>
        </is>
      </c>
      <c r="AW175" s="39" t="inlineStr">
        <is>
          <t>IF(H175="","All_Districts",IFERROR(VLOOKUP(H175,'07_Lookups'!$E$4:$F$42,2,FALSE),"All_Districts"))</t>
        </is>
      </c>
    </row>
    <row r="176" ht="18" customHeight="1">
      <c r="A176" s="31" t="inlineStr">
        <is>
          <t>IF(E176="","",ROW()-3)</t>
        </is>
      </c>
      <c r="B176" s="32" t="n"/>
      <c r="C176" s="32" t="n"/>
      <c r="D176" s="32" t="n"/>
      <c r="E176" s="32" t="n"/>
      <c r="F176" s="32" t="n"/>
      <c r="G176" s="32" t="n"/>
      <c r="H176" s="32" t="n"/>
      <c r="I176" s="32" t="n"/>
      <c r="J176" s="32" t="n"/>
      <c r="K176" s="32" t="n"/>
      <c r="L176" s="32" t="n"/>
      <c r="M176" s="32" t="n"/>
      <c r="N176" s="33" t="n"/>
      <c r="O176" s="34" t="inlineStr">
        <is>
          <t>IF(AE176="","",AE176)</t>
        </is>
      </c>
      <c r="P176" s="35" t="n"/>
      <c r="Q176" s="34" t="inlineStr">
        <is>
          <t>IF(OR(O176="",P176=""),"",EDATE(O176,P176))</t>
        </is>
      </c>
      <c r="R176" s="35" t="n"/>
      <c r="S176" s="32" t="n"/>
      <c r="T176" s="32" t="n"/>
      <c r="U176" s="31" t="inlineStr">
        <is>
          <t>IF(E176="","",IF(COUNT(Y176:AJ176)=0,IF(S176="","Not started",S176),SUBSTITUTE(LOOKUP(2,1/(Y176:AJ176&lt;&gt;""),$Y$3:$AJ$3),"Date: ","")))</t>
        </is>
      </c>
      <c r="V176" s="36" t="inlineStr">
        <is>
          <t>IF(OR(E176="",COUNT(Y176:AJ176)=0),"",TODAY()-LOOKUP(2,1/(Y176:AJ176&lt;&gt;""),Y176:AJ176))</t>
        </is>
      </c>
      <c r="W176" s="36" t="inlineStr">
        <is>
          <t>IF(OR(E176="",COUNT(Y176:AJ176)&lt;2),"",LOOKUP(2,1/(Y176:AJ176&lt;&gt;""),Y176:AJ176)-MIN(Y176:AJ176))</t>
        </is>
      </c>
      <c r="X176" s="36" t="inlineStr">
        <is>
          <t>IF(OR(V176="",U176="Not started",U176=""),"",IFERROR(V176-IF(VLOOKUP(U176,'04_Status_Pipeline'!$B$3:$E$20,4,FALSE)="",0,VLOOKUP(U176,'04_Status_Pipeline'!$B$3:$E$20,4,FALSE)),""))</t>
        </is>
      </c>
      <c r="Y176" s="37" t="n"/>
      <c r="Z176" s="37" t="n"/>
      <c r="AA176" s="37" t="n"/>
      <c r="AB176" s="37" t="n"/>
      <c r="AC176" s="37" t="n"/>
      <c r="AD176" s="37" t="n"/>
      <c r="AE176" s="37" t="n"/>
      <c r="AF176" s="37" t="n"/>
      <c r="AG176" s="37" t="n"/>
      <c r="AH176" s="38" t="n"/>
      <c r="AI176" s="38" t="n"/>
      <c r="AJ176" s="38" t="n"/>
      <c r="AK176" s="36" t="inlineStr">
        <is>
          <t>IF(OR(E176="",Z176=""),"",IF(COUNT(Y176:Y176)=0,"",Z176-LOOKUP(2,1/(Y176:Y176&lt;&gt;""),Y176:Y176)))</t>
        </is>
      </c>
      <c r="AL176" s="36" t="inlineStr">
        <is>
          <t>IF(OR(E176="",AA176=""),"",IF(COUNT(Y176:Z176)=0,"",AA176-LOOKUP(2,1/(Y176:Z176&lt;&gt;""),Y176:Z176)))</t>
        </is>
      </c>
      <c r="AM176" s="36" t="inlineStr">
        <is>
          <t>IF(OR(E176="",AB176=""),"",IF(COUNT(Y176:AA176)=0,"",AB176-LOOKUP(2,1/(Y176:AA176&lt;&gt;""),Y176:AA176)))</t>
        </is>
      </c>
      <c r="AN176" s="36" t="inlineStr">
        <is>
          <t>IF(OR(E176="",AC176=""),"",IF(COUNT(Y176:AB176)=0,"",AC176-LOOKUP(2,1/(Y176:AB176&lt;&gt;""),Y176:AB176)))</t>
        </is>
      </c>
      <c r="AO176" s="36" t="inlineStr">
        <is>
          <t>IF(OR(E176="",AD176=""),"",IF(COUNT(Y176:AC176)=0,"",AD176-LOOKUP(2,1/(Y176:AC176&lt;&gt;""),Y176:AC176)))</t>
        </is>
      </c>
      <c r="AP176" s="36" t="inlineStr">
        <is>
          <t>IF(OR(E176="",AE176=""),"",IF(COUNT(Y176:AD176)=0,"",AE176-LOOKUP(2,1/(Y176:AD176&lt;&gt;""),Y176:AD176)))</t>
        </is>
      </c>
      <c r="AQ176" s="36" t="inlineStr">
        <is>
          <t>IF(OR(E176="",AF176=""),"",IF(COUNT(Y176:AE176)=0,"",AF176-LOOKUP(2,1/(Y176:AE176&lt;&gt;""),Y176:AE176)))</t>
        </is>
      </c>
      <c r="AR176" s="36" t="inlineStr">
        <is>
          <t>IF(OR(E176="",AG176=""),"",IF(COUNT(Y176:AF176)=0,"",AG176-LOOKUP(2,1/(Y176:AF176&lt;&gt;""),Y176:AF176)))</t>
        </is>
      </c>
      <c r="AS176" s="36" t="inlineStr">
        <is>
          <t>IF(OR(E176="",AH176=""),"",IF(COUNT(Y176:AG176)=0,"",AH176-LOOKUP(2,1/(Y176:AG176&lt;&gt;""),Y176:AG176)))</t>
        </is>
      </c>
      <c r="AT176" s="36" t="inlineStr">
        <is>
          <t>IF(OR(E176="",AI176=""),"",IF(COUNT(Y176:AH176)=0,"",AI176-LOOKUP(2,1/(Y176:AH176&lt;&gt;""),Y176:AH176)))</t>
        </is>
      </c>
      <c r="AU176" s="36" t="inlineStr">
        <is>
          <t>IF(OR(E176="",AJ176=""),"",IF(COUNT(Y176:AI176)=0,"",AJ176-LOOKUP(2,1/(Y176:AI176&lt;&gt;""),Y176:AI176)))</t>
        </is>
      </c>
      <c r="AV176" s="39" t="inlineStr">
        <is>
          <t>IF(G176="","All_Provinces",IFERROR(VLOOKUP(G176,'07_Lookups'!$A$4:$B$20,2,FALSE),"All_Provinces"))</t>
        </is>
      </c>
      <c r="AW176" s="39" t="inlineStr">
        <is>
          <t>IF(H176="","All_Districts",IFERROR(VLOOKUP(H176,'07_Lookups'!$E$4:$F$42,2,FALSE),"All_Districts"))</t>
        </is>
      </c>
    </row>
    <row r="177" ht="18" customHeight="1">
      <c r="A177" s="31" t="inlineStr">
        <is>
          <t>IF(E177="","",ROW()-3)</t>
        </is>
      </c>
      <c r="B177" s="40" t="n"/>
      <c r="C177" s="40" t="n"/>
      <c r="D177" s="40" t="n"/>
      <c r="E177" s="40" t="n"/>
      <c r="F177" s="40" t="n"/>
      <c r="G177" s="40" t="n"/>
      <c r="H177" s="40" t="n"/>
      <c r="I177" s="40" t="n"/>
      <c r="J177" s="40" t="n"/>
      <c r="K177" s="40" t="n"/>
      <c r="L177" s="40" t="n"/>
      <c r="M177" s="40" t="n"/>
      <c r="N177" s="41" t="n"/>
      <c r="O177" s="34" t="inlineStr">
        <is>
          <t>IF(AE177="","",AE177)</t>
        </is>
      </c>
      <c r="P177" s="42" t="n"/>
      <c r="Q177" s="34" t="inlineStr">
        <is>
          <t>IF(OR(O177="",P177=""),"",EDATE(O177,P177))</t>
        </is>
      </c>
      <c r="R177" s="42" t="n"/>
      <c r="S177" s="40" t="n"/>
      <c r="T177" s="40" t="n"/>
      <c r="U177" s="31" t="inlineStr">
        <is>
          <t>IF(E177="","",IF(COUNT(Y177:AJ177)=0,IF(S177="","Not started",S177),SUBSTITUTE(LOOKUP(2,1/(Y177:AJ177&lt;&gt;""),$Y$3:$AJ$3),"Date: ","")))</t>
        </is>
      </c>
      <c r="V177" s="36" t="inlineStr">
        <is>
          <t>IF(OR(E177="",COUNT(Y177:AJ177)=0),"",TODAY()-LOOKUP(2,1/(Y177:AJ177&lt;&gt;""),Y177:AJ177))</t>
        </is>
      </c>
      <c r="W177" s="36" t="inlineStr">
        <is>
          <t>IF(OR(E177="",COUNT(Y177:AJ177)&lt;2),"",LOOKUP(2,1/(Y177:AJ177&lt;&gt;""),Y177:AJ177)-MIN(Y177:AJ177))</t>
        </is>
      </c>
      <c r="X177" s="36" t="inlineStr">
        <is>
          <t>IF(OR(V177="",U177="Not started",U177=""),"",IFERROR(V177-IF(VLOOKUP(U177,'04_Status_Pipeline'!$B$3:$E$20,4,FALSE)="",0,VLOOKUP(U177,'04_Status_Pipeline'!$B$3:$E$20,4,FALSE)),""))</t>
        </is>
      </c>
      <c r="Y177" s="43" t="n"/>
      <c r="Z177" s="43" t="n"/>
      <c r="AA177" s="43" t="n"/>
      <c r="AB177" s="43" t="n"/>
      <c r="AC177" s="43" t="n"/>
      <c r="AD177" s="43" t="n"/>
      <c r="AE177" s="43" t="n"/>
      <c r="AF177" s="43" t="n"/>
      <c r="AG177" s="43" t="n"/>
      <c r="AH177" s="38" t="n"/>
      <c r="AI177" s="38" t="n"/>
      <c r="AJ177" s="38" t="n"/>
      <c r="AK177" s="36" t="inlineStr">
        <is>
          <t>IF(OR(E177="",Z177=""),"",IF(COUNT(Y177:Y177)=0,"",Z177-LOOKUP(2,1/(Y177:Y177&lt;&gt;""),Y177:Y177)))</t>
        </is>
      </c>
      <c r="AL177" s="36" t="inlineStr">
        <is>
          <t>IF(OR(E177="",AA177=""),"",IF(COUNT(Y177:Z177)=0,"",AA177-LOOKUP(2,1/(Y177:Z177&lt;&gt;""),Y177:Z177)))</t>
        </is>
      </c>
      <c r="AM177" s="36" t="inlineStr">
        <is>
          <t>IF(OR(E177="",AB177=""),"",IF(COUNT(Y177:AA177)=0,"",AB177-LOOKUP(2,1/(Y177:AA177&lt;&gt;""),Y177:AA177)))</t>
        </is>
      </c>
      <c r="AN177" s="36" t="inlineStr">
        <is>
          <t>IF(OR(E177="",AC177=""),"",IF(COUNT(Y177:AB177)=0,"",AC177-LOOKUP(2,1/(Y177:AB177&lt;&gt;""),Y177:AB177)))</t>
        </is>
      </c>
      <c r="AO177" s="36" t="inlineStr">
        <is>
          <t>IF(OR(E177="",AD177=""),"",IF(COUNT(Y177:AC177)=0,"",AD177-LOOKUP(2,1/(Y177:AC177&lt;&gt;""),Y177:AC177)))</t>
        </is>
      </c>
      <c r="AP177" s="36" t="inlineStr">
        <is>
          <t>IF(OR(E177="",AE177=""),"",IF(COUNT(Y177:AD177)=0,"",AE177-LOOKUP(2,1/(Y177:AD177&lt;&gt;""),Y177:AD177)))</t>
        </is>
      </c>
      <c r="AQ177" s="36" t="inlineStr">
        <is>
          <t>IF(OR(E177="",AF177=""),"",IF(COUNT(Y177:AE177)=0,"",AF177-LOOKUP(2,1/(Y177:AE177&lt;&gt;""),Y177:AE177)))</t>
        </is>
      </c>
      <c r="AR177" s="36" t="inlineStr">
        <is>
          <t>IF(OR(E177="",AG177=""),"",IF(COUNT(Y177:AF177)=0,"",AG177-LOOKUP(2,1/(Y177:AF177&lt;&gt;""),Y177:AF177)))</t>
        </is>
      </c>
      <c r="AS177" s="36" t="inlineStr">
        <is>
          <t>IF(OR(E177="",AH177=""),"",IF(COUNT(Y177:AG177)=0,"",AH177-LOOKUP(2,1/(Y177:AG177&lt;&gt;""),Y177:AG177)))</t>
        </is>
      </c>
      <c r="AT177" s="36" t="inlineStr">
        <is>
          <t>IF(OR(E177="",AI177=""),"",IF(COUNT(Y177:AH177)=0,"",AI177-LOOKUP(2,1/(Y177:AH177&lt;&gt;""),Y177:AH177)))</t>
        </is>
      </c>
      <c r="AU177" s="36" t="inlineStr">
        <is>
          <t>IF(OR(E177="",AJ177=""),"",IF(COUNT(Y177:AI177)=0,"",AJ177-LOOKUP(2,1/(Y177:AI177&lt;&gt;""),Y177:AI177)))</t>
        </is>
      </c>
      <c r="AV177" s="39" t="inlineStr">
        <is>
          <t>IF(G177="","All_Provinces",IFERROR(VLOOKUP(G177,'07_Lookups'!$A$4:$B$20,2,FALSE),"All_Provinces"))</t>
        </is>
      </c>
      <c r="AW177" s="39" t="inlineStr">
        <is>
          <t>IF(H177="","All_Districts",IFERROR(VLOOKUP(H177,'07_Lookups'!$E$4:$F$42,2,FALSE),"All_Districts"))</t>
        </is>
      </c>
    </row>
    <row r="178" ht="18" customHeight="1">
      <c r="A178" s="31" t="inlineStr">
        <is>
          <t>IF(E178="","",ROW()-3)</t>
        </is>
      </c>
      <c r="B178" s="32" t="n"/>
      <c r="C178" s="32" t="n"/>
      <c r="D178" s="32" t="n"/>
      <c r="E178" s="32" t="n"/>
      <c r="F178" s="32" t="n"/>
      <c r="G178" s="32" t="n"/>
      <c r="H178" s="32" t="n"/>
      <c r="I178" s="32" t="n"/>
      <c r="J178" s="32" t="n"/>
      <c r="K178" s="32" t="n"/>
      <c r="L178" s="32" t="n"/>
      <c r="M178" s="32" t="n"/>
      <c r="N178" s="33" t="n"/>
      <c r="O178" s="34" t="inlineStr">
        <is>
          <t>IF(AE178="","",AE178)</t>
        </is>
      </c>
      <c r="P178" s="35" t="n"/>
      <c r="Q178" s="34" t="inlineStr">
        <is>
          <t>IF(OR(O178="",P178=""),"",EDATE(O178,P178))</t>
        </is>
      </c>
      <c r="R178" s="35" t="n"/>
      <c r="S178" s="32" t="n"/>
      <c r="T178" s="32" t="n"/>
      <c r="U178" s="31" t="inlineStr">
        <is>
          <t>IF(E178="","",IF(COUNT(Y178:AJ178)=0,IF(S178="","Not started",S178),SUBSTITUTE(LOOKUP(2,1/(Y178:AJ178&lt;&gt;""),$Y$3:$AJ$3),"Date: ","")))</t>
        </is>
      </c>
      <c r="V178" s="36" t="inlineStr">
        <is>
          <t>IF(OR(E178="",COUNT(Y178:AJ178)=0),"",TODAY()-LOOKUP(2,1/(Y178:AJ178&lt;&gt;""),Y178:AJ178))</t>
        </is>
      </c>
      <c r="W178" s="36" t="inlineStr">
        <is>
          <t>IF(OR(E178="",COUNT(Y178:AJ178)&lt;2),"",LOOKUP(2,1/(Y178:AJ178&lt;&gt;""),Y178:AJ178)-MIN(Y178:AJ178))</t>
        </is>
      </c>
      <c r="X178" s="36" t="inlineStr">
        <is>
          <t>IF(OR(V178="",U178="Not started",U178=""),"",IFERROR(V178-IF(VLOOKUP(U178,'04_Status_Pipeline'!$B$3:$E$20,4,FALSE)="",0,VLOOKUP(U178,'04_Status_Pipeline'!$B$3:$E$20,4,FALSE)),""))</t>
        </is>
      </c>
      <c r="Y178" s="37" t="n"/>
      <c r="Z178" s="37" t="n"/>
      <c r="AA178" s="37" t="n"/>
      <c r="AB178" s="37" t="n"/>
      <c r="AC178" s="37" t="n"/>
      <c r="AD178" s="37" t="n"/>
      <c r="AE178" s="37" t="n"/>
      <c r="AF178" s="37" t="n"/>
      <c r="AG178" s="37" t="n"/>
      <c r="AH178" s="38" t="n"/>
      <c r="AI178" s="38" t="n"/>
      <c r="AJ178" s="38" t="n"/>
      <c r="AK178" s="36" t="inlineStr">
        <is>
          <t>IF(OR(E178="",Z178=""),"",IF(COUNT(Y178:Y178)=0,"",Z178-LOOKUP(2,1/(Y178:Y178&lt;&gt;""),Y178:Y178)))</t>
        </is>
      </c>
      <c r="AL178" s="36" t="inlineStr">
        <is>
          <t>IF(OR(E178="",AA178=""),"",IF(COUNT(Y178:Z178)=0,"",AA178-LOOKUP(2,1/(Y178:Z178&lt;&gt;""),Y178:Z178)))</t>
        </is>
      </c>
      <c r="AM178" s="36" t="inlineStr">
        <is>
          <t>IF(OR(E178="",AB178=""),"",IF(COUNT(Y178:AA178)=0,"",AB178-LOOKUP(2,1/(Y178:AA178&lt;&gt;""),Y178:AA178)))</t>
        </is>
      </c>
      <c r="AN178" s="36" t="inlineStr">
        <is>
          <t>IF(OR(E178="",AC178=""),"",IF(COUNT(Y178:AB178)=0,"",AC178-LOOKUP(2,1/(Y178:AB178&lt;&gt;""),Y178:AB178)))</t>
        </is>
      </c>
      <c r="AO178" s="36" t="inlineStr">
        <is>
          <t>IF(OR(E178="",AD178=""),"",IF(COUNT(Y178:AC178)=0,"",AD178-LOOKUP(2,1/(Y178:AC178&lt;&gt;""),Y178:AC178)))</t>
        </is>
      </c>
      <c r="AP178" s="36" t="inlineStr">
        <is>
          <t>IF(OR(E178="",AE178=""),"",IF(COUNT(Y178:AD178)=0,"",AE178-LOOKUP(2,1/(Y178:AD178&lt;&gt;""),Y178:AD178)))</t>
        </is>
      </c>
      <c r="AQ178" s="36" t="inlineStr">
        <is>
          <t>IF(OR(E178="",AF178=""),"",IF(COUNT(Y178:AE178)=0,"",AF178-LOOKUP(2,1/(Y178:AE178&lt;&gt;""),Y178:AE178)))</t>
        </is>
      </c>
      <c r="AR178" s="36" t="inlineStr">
        <is>
          <t>IF(OR(E178="",AG178=""),"",IF(COUNT(Y178:AF178)=0,"",AG178-LOOKUP(2,1/(Y178:AF178&lt;&gt;""),Y178:AF178)))</t>
        </is>
      </c>
      <c r="AS178" s="36" t="inlineStr">
        <is>
          <t>IF(OR(E178="",AH178=""),"",IF(COUNT(Y178:AG178)=0,"",AH178-LOOKUP(2,1/(Y178:AG178&lt;&gt;""),Y178:AG178)))</t>
        </is>
      </c>
      <c r="AT178" s="36" t="inlineStr">
        <is>
          <t>IF(OR(E178="",AI178=""),"",IF(COUNT(Y178:AH178)=0,"",AI178-LOOKUP(2,1/(Y178:AH178&lt;&gt;""),Y178:AH178)))</t>
        </is>
      </c>
      <c r="AU178" s="36" t="inlineStr">
        <is>
          <t>IF(OR(E178="",AJ178=""),"",IF(COUNT(Y178:AI178)=0,"",AJ178-LOOKUP(2,1/(Y178:AI178&lt;&gt;""),Y178:AI178)))</t>
        </is>
      </c>
      <c r="AV178" s="39" t="inlineStr">
        <is>
          <t>IF(G178="","All_Provinces",IFERROR(VLOOKUP(G178,'07_Lookups'!$A$4:$B$20,2,FALSE),"All_Provinces"))</t>
        </is>
      </c>
      <c r="AW178" s="39" t="inlineStr">
        <is>
          <t>IF(H178="","All_Districts",IFERROR(VLOOKUP(H178,'07_Lookups'!$E$4:$F$42,2,FALSE),"All_Districts"))</t>
        </is>
      </c>
    </row>
    <row r="179" ht="18" customHeight="1">
      <c r="A179" s="31" t="inlineStr">
        <is>
          <t>IF(E179="","",ROW()-3)</t>
        </is>
      </c>
      <c r="B179" s="40" t="n"/>
      <c r="C179" s="40" t="n"/>
      <c r="D179" s="40" t="n"/>
      <c r="E179" s="40" t="n"/>
      <c r="F179" s="40" t="n"/>
      <c r="G179" s="40" t="n"/>
      <c r="H179" s="40" t="n"/>
      <c r="I179" s="40" t="n"/>
      <c r="J179" s="40" t="n"/>
      <c r="K179" s="40" t="n"/>
      <c r="L179" s="40" t="n"/>
      <c r="M179" s="40" t="n"/>
      <c r="N179" s="41" t="n"/>
      <c r="O179" s="34" t="inlineStr">
        <is>
          <t>IF(AE179="","",AE179)</t>
        </is>
      </c>
      <c r="P179" s="42" t="n"/>
      <c r="Q179" s="34" t="inlineStr">
        <is>
          <t>IF(OR(O179="",P179=""),"",EDATE(O179,P179))</t>
        </is>
      </c>
      <c r="R179" s="42" t="n"/>
      <c r="S179" s="40" t="n"/>
      <c r="T179" s="40" t="n"/>
      <c r="U179" s="31" t="inlineStr">
        <is>
          <t>IF(E179="","",IF(COUNT(Y179:AJ179)=0,IF(S179="","Not started",S179),SUBSTITUTE(LOOKUP(2,1/(Y179:AJ179&lt;&gt;""),$Y$3:$AJ$3),"Date: ","")))</t>
        </is>
      </c>
      <c r="V179" s="36" t="inlineStr">
        <is>
          <t>IF(OR(E179="",COUNT(Y179:AJ179)=0),"",TODAY()-LOOKUP(2,1/(Y179:AJ179&lt;&gt;""),Y179:AJ179))</t>
        </is>
      </c>
      <c r="W179" s="36" t="inlineStr">
        <is>
          <t>IF(OR(E179="",COUNT(Y179:AJ179)&lt;2),"",LOOKUP(2,1/(Y179:AJ179&lt;&gt;""),Y179:AJ179)-MIN(Y179:AJ179))</t>
        </is>
      </c>
      <c r="X179" s="36" t="inlineStr">
        <is>
          <t>IF(OR(V179="",U179="Not started",U179=""),"",IFERROR(V179-IF(VLOOKUP(U179,'04_Status_Pipeline'!$B$3:$E$20,4,FALSE)="",0,VLOOKUP(U179,'04_Status_Pipeline'!$B$3:$E$20,4,FALSE)),""))</t>
        </is>
      </c>
      <c r="Y179" s="43" t="n"/>
      <c r="Z179" s="43" t="n"/>
      <c r="AA179" s="43" t="n"/>
      <c r="AB179" s="43" t="n"/>
      <c r="AC179" s="43" t="n"/>
      <c r="AD179" s="43" t="n"/>
      <c r="AE179" s="43" t="n"/>
      <c r="AF179" s="43" t="n"/>
      <c r="AG179" s="43" t="n"/>
      <c r="AH179" s="38" t="n"/>
      <c r="AI179" s="38" t="n"/>
      <c r="AJ179" s="38" t="n"/>
      <c r="AK179" s="36" t="inlineStr">
        <is>
          <t>IF(OR(E179="",Z179=""),"",IF(COUNT(Y179:Y179)=0,"",Z179-LOOKUP(2,1/(Y179:Y179&lt;&gt;""),Y179:Y179)))</t>
        </is>
      </c>
      <c r="AL179" s="36" t="inlineStr">
        <is>
          <t>IF(OR(E179="",AA179=""),"",IF(COUNT(Y179:Z179)=0,"",AA179-LOOKUP(2,1/(Y179:Z179&lt;&gt;""),Y179:Z179)))</t>
        </is>
      </c>
      <c r="AM179" s="36" t="inlineStr">
        <is>
          <t>IF(OR(E179="",AB179=""),"",IF(COUNT(Y179:AA179)=0,"",AB179-LOOKUP(2,1/(Y179:AA179&lt;&gt;""),Y179:AA179)))</t>
        </is>
      </c>
      <c r="AN179" s="36" t="inlineStr">
        <is>
          <t>IF(OR(E179="",AC179=""),"",IF(COUNT(Y179:AB179)=0,"",AC179-LOOKUP(2,1/(Y179:AB179&lt;&gt;""),Y179:AB179)))</t>
        </is>
      </c>
      <c r="AO179" s="36" t="inlineStr">
        <is>
          <t>IF(OR(E179="",AD179=""),"",IF(COUNT(Y179:AC179)=0,"",AD179-LOOKUP(2,1/(Y179:AC179&lt;&gt;""),Y179:AC179)))</t>
        </is>
      </c>
      <c r="AP179" s="36" t="inlineStr">
        <is>
          <t>IF(OR(E179="",AE179=""),"",IF(COUNT(Y179:AD179)=0,"",AE179-LOOKUP(2,1/(Y179:AD179&lt;&gt;""),Y179:AD179)))</t>
        </is>
      </c>
      <c r="AQ179" s="36" t="inlineStr">
        <is>
          <t>IF(OR(E179="",AF179=""),"",IF(COUNT(Y179:AE179)=0,"",AF179-LOOKUP(2,1/(Y179:AE179&lt;&gt;""),Y179:AE179)))</t>
        </is>
      </c>
      <c r="AR179" s="36" t="inlineStr">
        <is>
          <t>IF(OR(E179="",AG179=""),"",IF(COUNT(Y179:AF179)=0,"",AG179-LOOKUP(2,1/(Y179:AF179&lt;&gt;""),Y179:AF179)))</t>
        </is>
      </c>
      <c r="AS179" s="36" t="inlineStr">
        <is>
          <t>IF(OR(E179="",AH179=""),"",IF(COUNT(Y179:AG179)=0,"",AH179-LOOKUP(2,1/(Y179:AG179&lt;&gt;""),Y179:AG179)))</t>
        </is>
      </c>
      <c r="AT179" s="36" t="inlineStr">
        <is>
          <t>IF(OR(E179="",AI179=""),"",IF(COUNT(Y179:AH179)=0,"",AI179-LOOKUP(2,1/(Y179:AH179&lt;&gt;""),Y179:AH179)))</t>
        </is>
      </c>
      <c r="AU179" s="36" t="inlineStr">
        <is>
          <t>IF(OR(E179="",AJ179=""),"",IF(COUNT(Y179:AI179)=0,"",AJ179-LOOKUP(2,1/(Y179:AI179&lt;&gt;""),Y179:AI179)))</t>
        </is>
      </c>
      <c r="AV179" s="39" t="inlineStr">
        <is>
          <t>IF(G179="","All_Provinces",IFERROR(VLOOKUP(G179,'07_Lookups'!$A$4:$B$20,2,FALSE),"All_Provinces"))</t>
        </is>
      </c>
      <c r="AW179" s="39" t="inlineStr">
        <is>
          <t>IF(H179="","All_Districts",IFERROR(VLOOKUP(H179,'07_Lookups'!$E$4:$F$42,2,FALSE),"All_Districts"))</t>
        </is>
      </c>
    </row>
    <row r="180" ht="18" customHeight="1">
      <c r="A180" s="31" t="inlineStr">
        <is>
          <t>IF(E180="","",ROW()-3)</t>
        </is>
      </c>
      <c r="B180" s="32" t="n"/>
      <c r="C180" s="32" t="n"/>
      <c r="D180" s="32" t="n"/>
      <c r="E180" s="32" t="n"/>
      <c r="F180" s="32" t="n"/>
      <c r="G180" s="32" t="n"/>
      <c r="H180" s="32" t="n"/>
      <c r="I180" s="32" t="n"/>
      <c r="J180" s="32" t="n"/>
      <c r="K180" s="32" t="n"/>
      <c r="L180" s="32" t="n"/>
      <c r="M180" s="32" t="n"/>
      <c r="N180" s="33" t="n"/>
      <c r="O180" s="34" t="inlineStr">
        <is>
          <t>IF(AE180="","",AE180)</t>
        </is>
      </c>
      <c r="P180" s="35" t="n"/>
      <c r="Q180" s="34" t="inlineStr">
        <is>
          <t>IF(OR(O180="",P180=""),"",EDATE(O180,P180))</t>
        </is>
      </c>
      <c r="R180" s="35" t="n"/>
      <c r="S180" s="32" t="n"/>
      <c r="T180" s="32" t="n"/>
      <c r="U180" s="31" t="inlineStr">
        <is>
          <t>IF(E180="","",IF(COUNT(Y180:AJ180)=0,IF(S180="","Not started",S180),SUBSTITUTE(LOOKUP(2,1/(Y180:AJ180&lt;&gt;""),$Y$3:$AJ$3),"Date: ","")))</t>
        </is>
      </c>
      <c r="V180" s="36" t="inlineStr">
        <is>
          <t>IF(OR(E180="",COUNT(Y180:AJ180)=0),"",TODAY()-LOOKUP(2,1/(Y180:AJ180&lt;&gt;""),Y180:AJ180))</t>
        </is>
      </c>
      <c r="W180" s="36" t="inlineStr">
        <is>
          <t>IF(OR(E180="",COUNT(Y180:AJ180)&lt;2),"",LOOKUP(2,1/(Y180:AJ180&lt;&gt;""),Y180:AJ180)-MIN(Y180:AJ180))</t>
        </is>
      </c>
      <c r="X180" s="36" t="inlineStr">
        <is>
          <t>IF(OR(V180="",U180="Not started",U180=""),"",IFERROR(V180-IF(VLOOKUP(U180,'04_Status_Pipeline'!$B$3:$E$20,4,FALSE)="",0,VLOOKUP(U180,'04_Status_Pipeline'!$B$3:$E$20,4,FALSE)),""))</t>
        </is>
      </c>
      <c r="Y180" s="37" t="n"/>
      <c r="Z180" s="37" t="n"/>
      <c r="AA180" s="37" t="n"/>
      <c r="AB180" s="37" t="n"/>
      <c r="AC180" s="37" t="n"/>
      <c r="AD180" s="37" t="n"/>
      <c r="AE180" s="37" t="n"/>
      <c r="AF180" s="37" t="n"/>
      <c r="AG180" s="37" t="n"/>
      <c r="AH180" s="38" t="n"/>
      <c r="AI180" s="38" t="n"/>
      <c r="AJ180" s="38" t="n"/>
      <c r="AK180" s="36" t="inlineStr">
        <is>
          <t>IF(OR(E180="",Z180=""),"",IF(COUNT(Y180:Y180)=0,"",Z180-LOOKUP(2,1/(Y180:Y180&lt;&gt;""),Y180:Y180)))</t>
        </is>
      </c>
      <c r="AL180" s="36" t="inlineStr">
        <is>
          <t>IF(OR(E180="",AA180=""),"",IF(COUNT(Y180:Z180)=0,"",AA180-LOOKUP(2,1/(Y180:Z180&lt;&gt;""),Y180:Z180)))</t>
        </is>
      </c>
      <c r="AM180" s="36" t="inlineStr">
        <is>
          <t>IF(OR(E180="",AB180=""),"",IF(COUNT(Y180:AA180)=0,"",AB180-LOOKUP(2,1/(Y180:AA180&lt;&gt;""),Y180:AA180)))</t>
        </is>
      </c>
      <c r="AN180" s="36" t="inlineStr">
        <is>
          <t>IF(OR(E180="",AC180=""),"",IF(COUNT(Y180:AB180)=0,"",AC180-LOOKUP(2,1/(Y180:AB180&lt;&gt;""),Y180:AB180)))</t>
        </is>
      </c>
      <c r="AO180" s="36" t="inlineStr">
        <is>
          <t>IF(OR(E180="",AD180=""),"",IF(COUNT(Y180:AC180)=0,"",AD180-LOOKUP(2,1/(Y180:AC180&lt;&gt;""),Y180:AC180)))</t>
        </is>
      </c>
      <c r="AP180" s="36" t="inlineStr">
        <is>
          <t>IF(OR(E180="",AE180=""),"",IF(COUNT(Y180:AD180)=0,"",AE180-LOOKUP(2,1/(Y180:AD180&lt;&gt;""),Y180:AD180)))</t>
        </is>
      </c>
      <c r="AQ180" s="36" t="inlineStr">
        <is>
          <t>IF(OR(E180="",AF180=""),"",IF(COUNT(Y180:AE180)=0,"",AF180-LOOKUP(2,1/(Y180:AE180&lt;&gt;""),Y180:AE180)))</t>
        </is>
      </c>
      <c r="AR180" s="36" t="inlineStr">
        <is>
          <t>IF(OR(E180="",AG180=""),"",IF(COUNT(Y180:AF180)=0,"",AG180-LOOKUP(2,1/(Y180:AF180&lt;&gt;""),Y180:AF180)))</t>
        </is>
      </c>
      <c r="AS180" s="36" t="inlineStr">
        <is>
          <t>IF(OR(E180="",AH180=""),"",IF(COUNT(Y180:AG180)=0,"",AH180-LOOKUP(2,1/(Y180:AG180&lt;&gt;""),Y180:AG180)))</t>
        </is>
      </c>
      <c r="AT180" s="36" t="inlineStr">
        <is>
          <t>IF(OR(E180="",AI180=""),"",IF(COUNT(Y180:AH180)=0,"",AI180-LOOKUP(2,1/(Y180:AH180&lt;&gt;""),Y180:AH180)))</t>
        </is>
      </c>
      <c r="AU180" s="36" t="inlineStr">
        <is>
          <t>IF(OR(E180="",AJ180=""),"",IF(COUNT(Y180:AI180)=0,"",AJ180-LOOKUP(2,1/(Y180:AI180&lt;&gt;""),Y180:AI180)))</t>
        </is>
      </c>
      <c r="AV180" s="39" t="inlineStr">
        <is>
          <t>IF(G180="","All_Provinces",IFERROR(VLOOKUP(G180,'07_Lookups'!$A$4:$B$20,2,FALSE),"All_Provinces"))</t>
        </is>
      </c>
      <c r="AW180" s="39" t="inlineStr">
        <is>
          <t>IF(H180="","All_Districts",IFERROR(VLOOKUP(H180,'07_Lookups'!$E$4:$F$42,2,FALSE),"All_Districts"))</t>
        </is>
      </c>
    </row>
    <row r="181" ht="18" customHeight="1">
      <c r="A181" s="31" t="inlineStr">
        <is>
          <t>IF(E181="","",ROW()-3)</t>
        </is>
      </c>
      <c r="B181" s="40" t="n"/>
      <c r="C181" s="40" t="n"/>
      <c r="D181" s="40" t="n"/>
      <c r="E181" s="40" t="n"/>
      <c r="F181" s="40" t="n"/>
      <c r="G181" s="40" t="n"/>
      <c r="H181" s="40" t="n"/>
      <c r="I181" s="40" t="n"/>
      <c r="J181" s="40" t="n"/>
      <c r="K181" s="40" t="n"/>
      <c r="L181" s="40" t="n"/>
      <c r="M181" s="40" t="n"/>
      <c r="N181" s="41" t="n"/>
      <c r="O181" s="34" t="inlineStr">
        <is>
          <t>IF(AE181="","",AE181)</t>
        </is>
      </c>
      <c r="P181" s="42" t="n"/>
      <c r="Q181" s="34" t="inlineStr">
        <is>
          <t>IF(OR(O181="",P181=""),"",EDATE(O181,P181))</t>
        </is>
      </c>
      <c r="R181" s="42" t="n"/>
      <c r="S181" s="40" t="n"/>
      <c r="T181" s="40" t="n"/>
      <c r="U181" s="31" t="inlineStr">
        <is>
          <t>IF(E181="","",IF(COUNT(Y181:AJ181)=0,IF(S181="","Not started",S181),SUBSTITUTE(LOOKUP(2,1/(Y181:AJ181&lt;&gt;""),$Y$3:$AJ$3),"Date: ","")))</t>
        </is>
      </c>
      <c r="V181" s="36" t="inlineStr">
        <is>
          <t>IF(OR(E181="",COUNT(Y181:AJ181)=0),"",TODAY()-LOOKUP(2,1/(Y181:AJ181&lt;&gt;""),Y181:AJ181))</t>
        </is>
      </c>
      <c r="W181" s="36" t="inlineStr">
        <is>
          <t>IF(OR(E181="",COUNT(Y181:AJ181)&lt;2),"",LOOKUP(2,1/(Y181:AJ181&lt;&gt;""),Y181:AJ181)-MIN(Y181:AJ181))</t>
        </is>
      </c>
      <c r="X181" s="36" t="inlineStr">
        <is>
          <t>IF(OR(V181="",U181="Not started",U181=""),"",IFERROR(V181-IF(VLOOKUP(U181,'04_Status_Pipeline'!$B$3:$E$20,4,FALSE)="",0,VLOOKUP(U181,'04_Status_Pipeline'!$B$3:$E$20,4,FALSE)),""))</t>
        </is>
      </c>
      <c r="Y181" s="43" t="n"/>
      <c r="Z181" s="43" t="n"/>
      <c r="AA181" s="43" t="n"/>
      <c r="AB181" s="43" t="n"/>
      <c r="AC181" s="43" t="n"/>
      <c r="AD181" s="43" t="n"/>
      <c r="AE181" s="43" t="n"/>
      <c r="AF181" s="43" t="n"/>
      <c r="AG181" s="43" t="n"/>
      <c r="AH181" s="38" t="n"/>
      <c r="AI181" s="38" t="n"/>
      <c r="AJ181" s="38" t="n"/>
      <c r="AK181" s="36" t="inlineStr">
        <is>
          <t>IF(OR(E181="",Z181=""),"",IF(COUNT(Y181:Y181)=0,"",Z181-LOOKUP(2,1/(Y181:Y181&lt;&gt;""),Y181:Y181)))</t>
        </is>
      </c>
      <c r="AL181" s="36" t="inlineStr">
        <is>
          <t>IF(OR(E181="",AA181=""),"",IF(COUNT(Y181:Z181)=0,"",AA181-LOOKUP(2,1/(Y181:Z181&lt;&gt;""),Y181:Z181)))</t>
        </is>
      </c>
      <c r="AM181" s="36" t="inlineStr">
        <is>
          <t>IF(OR(E181="",AB181=""),"",IF(COUNT(Y181:AA181)=0,"",AB181-LOOKUP(2,1/(Y181:AA181&lt;&gt;""),Y181:AA181)))</t>
        </is>
      </c>
      <c r="AN181" s="36" t="inlineStr">
        <is>
          <t>IF(OR(E181="",AC181=""),"",IF(COUNT(Y181:AB181)=0,"",AC181-LOOKUP(2,1/(Y181:AB181&lt;&gt;""),Y181:AB181)))</t>
        </is>
      </c>
      <c r="AO181" s="36" t="inlineStr">
        <is>
          <t>IF(OR(E181="",AD181=""),"",IF(COUNT(Y181:AC181)=0,"",AD181-LOOKUP(2,1/(Y181:AC181&lt;&gt;""),Y181:AC181)))</t>
        </is>
      </c>
      <c r="AP181" s="36" t="inlineStr">
        <is>
          <t>IF(OR(E181="",AE181=""),"",IF(COUNT(Y181:AD181)=0,"",AE181-LOOKUP(2,1/(Y181:AD181&lt;&gt;""),Y181:AD181)))</t>
        </is>
      </c>
      <c r="AQ181" s="36" t="inlineStr">
        <is>
          <t>IF(OR(E181="",AF181=""),"",IF(COUNT(Y181:AE181)=0,"",AF181-LOOKUP(2,1/(Y181:AE181&lt;&gt;""),Y181:AE181)))</t>
        </is>
      </c>
      <c r="AR181" s="36" t="inlineStr">
        <is>
          <t>IF(OR(E181="",AG181=""),"",IF(COUNT(Y181:AF181)=0,"",AG181-LOOKUP(2,1/(Y181:AF181&lt;&gt;""),Y181:AF181)))</t>
        </is>
      </c>
      <c r="AS181" s="36" t="inlineStr">
        <is>
          <t>IF(OR(E181="",AH181=""),"",IF(COUNT(Y181:AG181)=0,"",AH181-LOOKUP(2,1/(Y181:AG181&lt;&gt;""),Y181:AG181)))</t>
        </is>
      </c>
      <c r="AT181" s="36" t="inlineStr">
        <is>
          <t>IF(OR(E181="",AI181=""),"",IF(COUNT(Y181:AH181)=0,"",AI181-LOOKUP(2,1/(Y181:AH181&lt;&gt;""),Y181:AH181)))</t>
        </is>
      </c>
      <c r="AU181" s="36" t="inlineStr">
        <is>
          <t>IF(OR(E181="",AJ181=""),"",IF(COUNT(Y181:AI181)=0,"",AJ181-LOOKUP(2,1/(Y181:AI181&lt;&gt;""),Y181:AI181)))</t>
        </is>
      </c>
      <c r="AV181" s="39" t="inlineStr">
        <is>
          <t>IF(G181="","All_Provinces",IFERROR(VLOOKUP(G181,'07_Lookups'!$A$4:$B$20,2,FALSE),"All_Provinces"))</t>
        </is>
      </c>
      <c r="AW181" s="39" t="inlineStr">
        <is>
          <t>IF(H181="","All_Districts",IFERROR(VLOOKUP(H181,'07_Lookups'!$E$4:$F$42,2,FALSE),"All_Districts"))</t>
        </is>
      </c>
    </row>
    <row r="182" ht="18" customHeight="1">
      <c r="A182" s="31" t="inlineStr">
        <is>
          <t>IF(E182="","",ROW()-3)</t>
        </is>
      </c>
      <c r="B182" s="32" t="n"/>
      <c r="C182" s="32" t="n"/>
      <c r="D182" s="32" t="n"/>
      <c r="E182" s="32" t="n"/>
      <c r="F182" s="32" t="n"/>
      <c r="G182" s="32" t="n"/>
      <c r="H182" s="32" t="n"/>
      <c r="I182" s="32" t="n"/>
      <c r="J182" s="32" t="n"/>
      <c r="K182" s="32" t="n"/>
      <c r="L182" s="32" t="n"/>
      <c r="M182" s="32" t="n"/>
      <c r="N182" s="33" t="n"/>
      <c r="O182" s="34" t="inlineStr">
        <is>
          <t>IF(AE182="","",AE182)</t>
        </is>
      </c>
      <c r="P182" s="35" t="n"/>
      <c r="Q182" s="34" t="inlineStr">
        <is>
          <t>IF(OR(O182="",P182=""),"",EDATE(O182,P182))</t>
        </is>
      </c>
      <c r="R182" s="35" t="n"/>
      <c r="S182" s="32" t="n"/>
      <c r="T182" s="32" t="n"/>
      <c r="U182" s="31" t="inlineStr">
        <is>
          <t>IF(E182="","",IF(COUNT(Y182:AJ182)=0,IF(S182="","Not started",S182),SUBSTITUTE(LOOKUP(2,1/(Y182:AJ182&lt;&gt;""),$Y$3:$AJ$3),"Date: ","")))</t>
        </is>
      </c>
      <c r="V182" s="36" t="inlineStr">
        <is>
          <t>IF(OR(E182="",COUNT(Y182:AJ182)=0),"",TODAY()-LOOKUP(2,1/(Y182:AJ182&lt;&gt;""),Y182:AJ182))</t>
        </is>
      </c>
      <c r="W182" s="36" t="inlineStr">
        <is>
          <t>IF(OR(E182="",COUNT(Y182:AJ182)&lt;2),"",LOOKUP(2,1/(Y182:AJ182&lt;&gt;""),Y182:AJ182)-MIN(Y182:AJ182))</t>
        </is>
      </c>
      <c r="X182" s="36" t="inlineStr">
        <is>
          <t>IF(OR(V182="",U182="Not started",U182=""),"",IFERROR(V182-IF(VLOOKUP(U182,'04_Status_Pipeline'!$B$3:$E$20,4,FALSE)="",0,VLOOKUP(U182,'04_Status_Pipeline'!$B$3:$E$20,4,FALSE)),""))</t>
        </is>
      </c>
      <c r="Y182" s="37" t="n"/>
      <c r="Z182" s="37" t="n"/>
      <c r="AA182" s="37" t="n"/>
      <c r="AB182" s="37" t="n"/>
      <c r="AC182" s="37" t="n"/>
      <c r="AD182" s="37" t="n"/>
      <c r="AE182" s="37" t="n"/>
      <c r="AF182" s="37" t="n"/>
      <c r="AG182" s="37" t="n"/>
      <c r="AH182" s="38" t="n"/>
      <c r="AI182" s="38" t="n"/>
      <c r="AJ182" s="38" t="n"/>
      <c r="AK182" s="36" t="inlineStr">
        <is>
          <t>IF(OR(E182="",Z182=""),"",IF(COUNT(Y182:Y182)=0,"",Z182-LOOKUP(2,1/(Y182:Y182&lt;&gt;""),Y182:Y182)))</t>
        </is>
      </c>
      <c r="AL182" s="36" t="inlineStr">
        <is>
          <t>IF(OR(E182="",AA182=""),"",IF(COUNT(Y182:Z182)=0,"",AA182-LOOKUP(2,1/(Y182:Z182&lt;&gt;""),Y182:Z182)))</t>
        </is>
      </c>
      <c r="AM182" s="36" t="inlineStr">
        <is>
          <t>IF(OR(E182="",AB182=""),"",IF(COUNT(Y182:AA182)=0,"",AB182-LOOKUP(2,1/(Y182:AA182&lt;&gt;""),Y182:AA182)))</t>
        </is>
      </c>
      <c r="AN182" s="36" t="inlineStr">
        <is>
          <t>IF(OR(E182="",AC182=""),"",IF(COUNT(Y182:AB182)=0,"",AC182-LOOKUP(2,1/(Y182:AB182&lt;&gt;""),Y182:AB182)))</t>
        </is>
      </c>
      <c r="AO182" s="36" t="inlineStr">
        <is>
          <t>IF(OR(E182="",AD182=""),"",IF(COUNT(Y182:AC182)=0,"",AD182-LOOKUP(2,1/(Y182:AC182&lt;&gt;""),Y182:AC182)))</t>
        </is>
      </c>
      <c r="AP182" s="36" t="inlineStr">
        <is>
          <t>IF(OR(E182="",AE182=""),"",IF(COUNT(Y182:AD182)=0,"",AE182-LOOKUP(2,1/(Y182:AD182&lt;&gt;""),Y182:AD182)))</t>
        </is>
      </c>
      <c r="AQ182" s="36" t="inlineStr">
        <is>
          <t>IF(OR(E182="",AF182=""),"",IF(COUNT(Y182:AE182)=0,"",AF182-LOOKUP(2,1/(Y182:AE182&lt;&gt;""),Y182:AE182)))</t>
        </is>
      </c>
      <c r="AR182" s="36" t="inlineStr">
        <is>
          <t>IF(OR(E182="",AG182=""),"",IF(COUNT(Y182:AF182)=0,"",AG182-LOOKUP(2,1/(Y182:AF182&lt;&gt;""),Y182:AF182)))</t>
        </is>
      </c>
      <c r="AS182" s="36" t="inlineStr">
        <is>
          <t>IF(OR(E182="",AH182=""),"",IF(COUNT(Y182:AG182)=0,"",AH182-LOOKUP(2,1/(Y182:AG182&lt;&gt;""),Y182:AG182)))</t>
        </is>
      </c>
      <c r="AT182" s="36" t="inlineStr">
        <is>
          <t>IF(OR(E182="",AI182=""),"",IF(COUNT(Y182:AH182)=0,"",AI182-LOOKUP(2,1/(Y182:AH182&lt;&gt;""),Y182:AH182)))</t>
        </is>
      </c>
      <c r="AU182" s="36" t="inlineStr">
        <is>
          <t>IF(OR(E182="",AJ182=""),"",IF(COUNT(Y182:AI182)=0,"",AJ182-LOOKUP(2,1/(Y182:AI182&lt;&gt;""),Y182:AI182)))</t>
        </is>
      </c>
      <c r="AV182" s="39" t="inlineStr">
        <is>
          <t>IF(G182="","All_Provinces",IFERROR(VLOOKUP(G182,'07_Lookups'!$A$4:$B$20,2,FALSE),"All_Provinces"))</t>
        </is>
      </c>
      <c r="AW182" s="39" t="inlineStr">
        <is>
          <t>IF(H182="","All_Districts",IFERROR(VLOOKUP(H182,'07_Lookups'!$E$4:$F$42,2,FALSE),"All_Districts"))</t>
        </is>
      </c>
    </row>
    <row r="183" ht="18" customHeight="1">
      <c r="A183" s="31" t="inlineStr">
        <is>
          <t>IF(E183="","",ROW()-3)</t>
        </is>
      </c>
      <c r="B183" s="40" t="n"/>
      <c r="C183" s="40" t="n"/>
      <c r="D183" s="40" t="n"/>
      <c r="E183" s="40" t="n"/>
      <c r="F183" s="40" t="n"/>
      <c r="G183" s="40" t="n"/>
      <c r="H183" s="40" t="n"/>
      <c r="I183" s="40" t="n"/>
      <c r="J183" s="40" t="n"/>
      <c r="K183" s="40" t="n"/>
      <c r="L183" s="40" t="n"/>
      <c r="M183" s="40" t="n"/>
      <c r="N183" s="41" t="n"/>
      <c r="O183" s="34" t="inlineStr">
        <is>
          <t>IF(AE183="","",AE183)</t>
        </is>
      </c>
      <c r="P183" s="42" t="n"/>
      <c r="Q183" s="34" t="inlineStr">
        <is>
          <t>IF(OR(O183="",P183=""),"",EDATE(O183,P183))</t>
        </is>
      </c>
      <c r="R183" s="42" t="n"/>
      <c r="S183" s="40" t="n"/>
      <c r="T183" s="40" t="n"/>
      <c r="U183" s="31" t="inlineStr">
        <is>
          <t>IF(E183="","",IF(COUNT(Y183:AJ183)=0,IF(S183="","Not started",S183),SUBSTITUTE(LOOKUP(2,1/(Y183:AJ183&lt;&gt;""),$Y$3:$AJ$3),"Date: ","")))</t>
        </is>
      </c>
      <c r="V183" s="36" t="inlineStr">
        <is>
          <t>IF(OR(E183="",COUNT(Y183:AJ183)=0),"",TODAY()-LOOKUP(2,1/(Y183:AJ183&lt;&gt;""),Y183:AJ183))</t>
        </is>
      </c>
      <c r="W183" s="36" t="inlineStr">
        <is>
          <t>IF(OR(E183="",COUNT(Y183:AJ183)&lt;2),"",LOOKUP(2,1/(Y183:AJ183&lt;&gt;""),Y183:AJ183)-MIN(Y183:AJ183))</t>
        </is>
      </c>
      <c r="X183" s="36" t="inlineStr">
        <is>
          <t>IF(OR(V183="",U183="Not started",U183=""),"",IFERROR(V183-IF(VLOOKUP(U183,'04_Status_Pipeline'!$B$3:$E$20,4,FALSE)="",0,VLOOKUP(U183,'04_Status_Pipeline'!$B$3:$E$20,4,FALSE)),""))</t>
        </is>
      </c>
      <c r="Y183" s="43" t="n"/>
      <c r="Z183" s="43" t="n"/>
      <c r="AA183" s="43" t="n"/>
      <c r="AB183" s="43" t="n"/>
      <c r="AC183" s="43" t="n"/>
      <c r="AD183" s="43" t="n"/>
      <c r="AE183" s="43" t="n"/>
      <c r="AF183" s="43" t="n"/>
      <c r="AG183" s="43" t="n"/>
      <c r="AH183" s="38" t="n"/>
      <c r="AI183" s="38" t="n"/>
      <c r="AJ183" s="38" t="n"/>
      <c r="AK183" s="36" t="inlineStr">
        <is>
          <t>IF(OR(E183="",Z183=""),"",IF(COUNT(Y183:Y183)=0,"",Z183-LOOKUP(2,1/(Y183:Y183&lt;&gt;""),Y183:Y183)))</t>
        </is>
      </c>
      <c r="AL183" s="36" t="inlineStr">
        <is>
          <t>IF(OR(E183="",AA183=""),"",IF(COUNT(Y183:Z183)=0,"",AA183-LOOKUP(2,1/(Y183:Z183&lt;&gt;""),Y183:Z183)))</t>
        </is>
      </c>
      <c r="AM183" s="36" t="inlineStr">
        <is>
          <t>IF(OR(E183="",AB183=""),"",IF(COUNT(Y183:AA183)=0,"",AB183-LOOKUP(2,1/(Y183:AA183&lt;&gt;""),Y183:AA183)))</t>
        </is>
      </c>
      <c r="AN183" s="36" t="inlineStr">
        <is>
          <t>IF(OR(E183="",AC183=""),"",IF(COUNT(Y183:AB183)=0,"",AC183-LOOKUP(2,1/(Y183:AB183&lt;&gt;""),Y183:AB183)))</t>
        </is>
      </c>
      <c r="AO183" s="36" t="inlineStr">
        <is>
          <t>IF(OR(E183="",AD183=""),"",IF(COUNT(Y183:AC183)=0,"",AD183-LOOKUP(2,1/(Y183:AC183&lt;&gt;""),Y183:AC183)))</t>
        </is>
      </c>
      <c r="AP183" s="36" t="inlineStr">
        <is>
          <t>IF(OR(E183="",AE183=""),"",IF(COUNT(Y183:AD183)=0,"",AE183-LOOKUP(2,1/(Y183:AD183&lt;&gt;""),Y183:AD183)))</t>
        </is>
      </c>
      <c r="AQ183" s="36" t="inlineStr">
        <is>
          <t>IF(OR(E183="",AF183=""),"",IF(COUNT(Y183:AE183)=0,"",AF183-LOOKUP(2,1/(Y183:AE183&lt;&gt;""),Y183:AE183)))</t>
        </is>
      </c>
      <c r="AR183" s="36" t="inlineStr">
        <is>
          <t>IF(OR(E183="",AG183=""),"",IF(COUNT(Y183:AF183)=0,"",AG183-LOOKUP(2,1/(Y183:AF183&lt;&gt;""),Y183:AF183)))</t>
        </is>
      </c>
      <c r="AS183" s="36" t="inlineStr">
        <is>
          <t>IF(OR(E183="",AH183=""),"",IF(COUNT(Y183:AG183)=0,"",AH183-LOOKUP(2,1/(Y183:AG183&lt;&gt;""),Y183:AG183)))</t>
        </is>
      </c>
      <c r="AT183" s="36" t="inlineStr">
        <is>
          <t>IF(OR(E183="",AI183=""),"",IF(COUNT(Y183:AH183)=0,"",AI183-LOOKUP(2,1/(Y183:AH183&lt;&gt;""),Y183:AH183)))</t>
        </is>
      </c>
      <c r="AU183" s="36" t="inlineStr">
        <is>
          <t>IF(OR(E183="",AJ183=""),"",IF(COUNT(Y183:AI183)=0,"",AJ183-LOOKUP(2,1/(Y183:AI183&lt;&gt;""),Y183:AI183)))</t>
        </is>
      </c>
      <c r="AV183" s="39" t="inlineStr">
        <is>
          <t>IF(G183="","All_Provinces",IFERROR(VLOOKUP(G183,'07_Lookups'!$A$4:$B$20,2,FALSE),"All_Provinces"))</t>
        </is>
      </c>
      <c r="AW183" s="39" t="inlineStr">
        <is>
          <t>IF(H183="","All_Districts",IFERROR(VLOOKUP(H183,'07_Lookups'!$E$4:$F$42,2,FALSE),"All_Districts"))</t>
        </is>
      </c>
    </row>
    <row r="184" ht="18" customHeight="1">
      <c r="A184" s="31" t="inlineStr">
        <is>
          <t>IF(E184="","",ROW()-3)</t>
        </is>
      </c>
      <c r="B184" s="32" t="n"/>
      <c r="C184" s="32" t="n"/>
      <c r="D184" s="32" t="n"/>
      <c r="E184" s="32" t="n"/>
      <c r="F184" s="32" t="n"/>
      <c r="G184" s="32" t="n"/>
      <c r="H184" s="32" t="n"/>
      <c r="I184" s="32" t="n"/>
      <c r="J184" s="32" t="n"/>
      <c r="K184" s="32" t="n"/>
      <c r="L184" s="32" t="n"/>
      <c r="M184" s="32" t="n"/>
      <c r="N184" s="33" t="n"/>
      <c r="O184" s="34" t="inlineStr">
        <is>
          <t>IF(AE184="","",AE184)</t>
        </is>
      </c>
      <c r="P184" s="35" t="n"/>
      <c r="Q184" s="34" t="inlineStr">
        <is>
          <t>IF(OR(O184="",P184=""),"",EDATE(O184,P184))</t>
        </is>
      </c>
      <c r="R184" s="35" t="n"/>
      <c r="S184" s="32" t="n"/>
      <c r="T184" s="32" t="n"/>
      <c r="U184" s="31" t="inlineStr">
        <is>
          <t>IF(E184="","",IF(COUNT(Y184:AJ184)=0,IF(S184="","Not started",S184),SUBSTITUTE(LOOKUP(2,1/(Y184:AJ184&lt;&gt;""),$Y$3:$AJ$3),"Date: ","")))</t>
        </is>
      </c>
      <c r="V184" s="36" t="inlineStr">
        <is>
          <t>IF(OR(E184="",COUNT(Y184:AJ184)=0),"",TODAY()-LOOKUP(2,1/(Y184:AJ184&lt;&gt;""),Y184:AJ184))</t>
        </is>
      </c>
      <c r="W184" s="36" t="inlineStr">
        <is>
          <t>IF(OR(E184="",COUNT(Y184:AJ184)&lt;2),"",LOOKUP(2,1/(Y184:AJ184&lt;&gt;""),Y184:AJ184)-MIN(Y184:AJ184))</t>
        </is>
      </c>
      <c r="X184" s="36" t="inlineStr">
        <is>
          <t>IF(OR(V184="",U184="Not started",U184=""),"",IFERROR(V184-IF(VLOOKUP(U184,'04_Status_Pipeline'!$B$3:$E$20,4,FALSE)="",0,VLOOKUP(U184,'04_Status_Pipeline'!$B$3:$E$20,4,FALSE)),""))</t>
        </is>
      </c>
      <c r="Y184" s="37" t="n"/>
      <c r="Z184" s="37" t="n"/>
      <c r="AA184" s="37" t="n"/>
      <c r="AB184" s="37" t="n"/>
      <c r="AC184" s="37" t="n"/>
      <c r="AD184" s="37" t="n"/>
      <c r="AE184" s="37" t="n"/>
      <c r="AF184" s="37" t="n"/>
      <c r="AG184" s="37" t="n"/>
      <c r="AH184" s="38" t="n"/>
      <c r="AI184" s="38" t="n"/>
      <c r="AJ184" s="38" t="n"/>
      <c r="AK184" s="36" t="inlineStr">
        <is>
          <t>IF(OR(E184="",Z184=""),"",IF(COUNT(Y184:Y184)=0,"",Z184-LOOKUP(2,1/(Y184:Y184&lt;&gt;""),Y184:Y184)))</t>
        </is>
      </c>
      <c r="AL184" s="36" t="inlineStr">
        <is>
          <t>IF(OR(E184="",AA184=""),"",IF(COUNT(Y184:Z184)=0,"",AA184-LOOKUP(2,1/(Y184:Z184&lt;&gt;""),Y184:Z184)))</t>
        </is>
      </c>
      <c r="AM184" s="36" t="inlineStr">
        <is>
          <t>IF(OR(E184="",AB184=""),"",IF(COUNT(Y184:AA184)=0,"",AB184-LOOKUP(2,1/(Y184:AA184&lt;&gt;""),Y184:AA184)))</t>
        </is>
      </c>
      <c r="AN184" s="36" t="inlineStr">
        <is>
          <t>IF(OR(E184="",AC184=""),"",IF(COUNT(Y184:AB184)=0,"",AC184-LOOKUP(2,1/(Y184:AB184&lt;&gt;""),Y184:AB184)))</t>
        </is>
      </c>
      <c r="AO184" s="36" t="inlineStr">
        <is>
          <t>IF(OR(E184="",AD184=""),"",IF(COUNT(Y184:AC184)=0,"",AD184-LOOKUP(2,1/(Y184:AC184&lt;&gt;""),Y184:AC184)))</t>
        </is>
      </c>
      <c r="AP184" s="36" t="inlineStr">
        <is>
          <t>IF(OR(E184="",AE184=""),"",IF(COUNT(Y184:AD184)=0,"",AE184-LOOKUP(2,1/(Y184:AD184&lt;&gt;""),Y184:AD184)))</t>
        </is>
      </c>
      <c r="AQ184" s="36" t="inlineStr">
        <is>
          <t>IF(OR(E184="",AF184=""),"",IF(COUNT(Y184:AE184)=0,"",AF184-LOOKUP(2,1/(Y184:AE184&lt;&gt;""),Y184:AE184)))</t>
        </is>
      </c>
      <c r="AR184" s="36" t="inlineStr">
        <is>
          <t>IF(OR(E184="",AG184=""),"",IF(COUNT(Y184:AF184)=0,"",AG184-LOOKUP(2,1/(Y184:AF184&lt;&gt;""),Y184:AF184)))</t>
        </is>
      </c>
      <c r="AS184" s="36" t="inlineStr">
        <is>
          <t>IF(OR(E184="",AH184=""),"",IF(COUNT(Y184:AG184)=0,"",AH184-LOOKUP(2,1/(Y184:AG184&lt;&gt;""),Y184:AG184)))</t>
        </is>
      </c>
      <c r="AT184" s="36" t="inlineStr">
        <is>
          <t>IF(OR(E184="",AI184=""),"",IF(COUNT(Y184:AH184)=0,"",AI184-LOOKUP(2,1/(Y184:AH184&lt;&gt;""),Y184:AH184)))</t>
        </is>
      </c>
      <c r="AU184" s="36" t="inlineStr">
        <is>
          <t>IF(OR(E184="",AJ184=""),"",IF(COUNT(Y184:AI184)=0,"",AJ184-LOOKUP(2,1/(Y184:AI184&lt;&gt;""),Y184:AI184)))</t>
        </is>
      </c>
      <c r="AV184" s="39" t="inlineStr">
        <is>
          <t>IF(G184="","All_Provinces",IFERROR(VLOOKUP(G184,'07_Lookups'!$A$4:$B$20,2,FALSE),"All_Provinces"))</t>
        </is>
      </c>
      <c r="AW184" s="39" t="inlineStr">
        <is>
          <t>IF(H184="","All_Districts",IFERROR(VLOOKUP(H184,'07_Lookups'!$E$4:$F$42,2,FALSE),"All_Districts"))</t>
        </is>
      </c>
    </row>
    <row r="185" ht="18" customHeight="1">
      <c r="A185" s="31" t="inlineStr">
        <is>
          <t>IF(E185="","",ROW()-3)</t>
        </is>
      </c>
      <c r="B185" s="40" t="n"/>
      <c r="C185" s="40" t="n"/>
      <c r="D185" s="40" t="n"/>
      <c r="E185" s="40" t="n"/>
      <c r="F185" s="40" t="n"/>
      <c r="G185" s="40" t="n"/>
      <c r="H185" s="40" t="n"/>
      <c r="I185" s="40" t="n"/>
      <c r="J185" s="40" t="n"/>
      <c r="K185" s="40" t="n"/>
      <c r="L185" s="40" t="n"/>
      <c r="M185" s="40" t="n"/>
      <c r="N185" s="41" t="n"/>
      <c r="O185" s="34" t="inlineStr">
        <is>
          <t>IF(AE185="","",AE185)</t>
        </is>
      </c>
      <c r="P185" s="42" t="n"/>
      <c r="Q185" s="34" t="inlineStr">
        <is>
          <t>IF(OR(O185="",P185=""),"",EDATE(O185,P185))</t>
        </is>
      </c>
      <c r="R185" s="42" t="n"/>
      <c r="S185" s="40" t="n"/>
      <c r="T185" s="40" t="n"/>
      <c r="U185" s="31" t="inlineStr">
        <is>
          <t>IF(E185="","",IF(COUNT(Y185:AJ185)=0,IF(S185="","Not started",S185),SUBSTITUTE(LOOKUP(2,1/(Y185:AJ185&lt;&gt;""),$Y$3:$AJ$3),"Date: ","")))</t>
        </is>
      </c>
      <c r="V185" s="36" t="inlineStr">
        <is>
          <t>IF(OR(E185="",COUNT(Y185:AJ185)=0),"",TODAY()-LOOKUP(2,1/(Y185:AJ185&lt;&gt;""),Y185:AJ185))</t>
        </is>
      </c>
      <c r="W185" s="36" t="inlineStr">
        <is>
          <t>IF(OR(E185="",COUNT(Y185:AJ185)&lt;2),"",LOOKUP(2,1/(Y185:AJ185&lt;&gt;""),Y185:AJ185)-MIN(Y185:AJ185))</t>
        </is>
      </c>
      <c r="X185" s="36" t="inlineStr">
        <is>
          <t>IF(OR(V185="",U185="Not started",U185=""),"",IFERROR(V185-IF(VLOOKUP(U185,'04_Status_Pipeline'!$B$3:$E$20,4,FALSE)="",0,VLOOKUP(U185,'04_Status_Pipeline'!$B$3:$E$20,4,FALSE)),""))</t>
        </is>
      </c>
      <c r="Y185" s="43" t="n"/>
      <c r="Z185" s="43" t="n"/>
      <c r="AA185" s="43" t="n"/>
      <c r="AB185" s="43" t="n"/>
      <c r="AC185" s="43" t="n"/>
      <c r="AD185" s="43" t="n"/>
      <c r="AE185" s="43" t="n"/>
      <c r="AF185" s="43" t="n"/>
      <c r="AG185" s="43" t="n"/>
      <c r="AH185" s="38" t="n"/>
      <c r="AI185" s="38" t="n"/>
      <c r="AJ185" s="38" t="n"/>
      <c r="AK185" s="36" t="inlineStr">
        <is>
          <t>IF(OR(E185="",Z185=""),"",IF(COUNT(Y185:Y185)=0,"",Z185-LOOKUP(2,1/(Y185:Y185&lt;&gt;""),Y185:Y185)))</t>
        </is>
      </c>
      <c r="AL185" s="36" t="inlineStr">
        <is>
          <t>IF(OR(E185="",AA185=""),"",IF(COUNT(Y185:Z185)=0,"",AA185-LOOKUP(2,1/(Y185:Z185&lt;&gt;""),Y185:Z185)))</t>
        </is>
      </c>
      <c r="AM185" s="36" t="inlineStr">
        <is>
          <t>IF(OR(E185="",AB185=""),"",IF(COUNT(Y185:AA185)=0,"",AB185-LOOKUP(2,1/(Y185:AA185&lt;&gt;""),Y185:AA185)))</t>
        </is>
      </c>
      <c r="AN185" s="36" t="inlineStr">
        <is>
          <t>IF(OR(E185="",AC185=""),"",IF(COUNT(Y185:AB185)=0,"",AC185-LOOKUP(2,1/(Y185:AB185&lt;&gt;""),Y185:AB185)))</t>
        </is>
      </c>
      <c r="AO185" s="36" t="inlineStr">
        <is>
          <t>IF(OR(E185="",AD185=""),"",IF(COUNT(Y185:AC185)=0,"",AD185-LOOKUP(2,1/(Y185:AC185&lt;&gt;""),Y185:AC185)))</t>
        </is>
      </c>
      <c r="AP185" s="36" t="inlineStr">
        <is>
          <t>IF(OR(E185="",AE185=""),"",IF(COUNT(Y185:AD185)=0,"",AE185-LOOKUP(2,1/(Y185:AD185&lt;&gt;""),Y185:AD185)))</t>
        </is>
      </c>
      <c r="AQ185" s="36" t="inlineStr">
        <is>
          <t>IF(OR(E185="",AF185=""),"",IF(COUNT(Y185:AE185)=0,"",AF185-LOOKUP(2,1/(Y185:AE185&lt;&gt;""),Y185:AE185)))</t>
        </is>
      </c>
      <c r="AR185" s="36" t="inlineStr">
        <is>
          <t>IF(OR(E185="",AG185=""),"",IF(COUNT(Y185:AF185)=0,"",AG185-LOOKUP(2,1/(Y185:AF185&lt;&gt;""),Y185:AF185)))</t>
        </is>
      </c>
      <c r="AS185" s="36" t="inlineStr">
        <is>
          <t>IF(OR(E185="",AH185=""),"",IF(COUNT(Y185:AG185)=0,"",AH185-LOOKUP(2,1/(Y185:AG185&lt;&gt;""),Y185:AG185)))</t>
        </is>
      </c>
      <c r="AT185" s="36" t="inlineStr">
        <is>
          <t>IF(OR(E185="",AI185=""),"",IF(COUNT(Y185:AH185)=0,"",AI185-LOOKUP(2,1/(Y185:AH185&lt;&gt;""),Y185:AH185)))</t>
        </is>
      </c>
      <c r="AU185" s="36" t="inlineStr">
        <is>
          <t>IF(OR(E185="",AJ185=""),"",IF(COUNT(Y185:AI185)=0,"",AJ185-LOOKUP(2,1/(Y185:AI185&lt;&gt;""),Y185:AI185)))</t>
        </is>
      </c>
      <c r="AV185" s="39" t="inlineStr">
        <is>
          <t>IF(G185="","All_Provinces",IFERROR(VLOOKUP(G185,'07_Lookups'!$A$4:$B$20,2,FALSE),"All_Provinces"))</t>
        </is>
      </c>
      <c r="AW185" s="39" t="inlineStr">
        <is>
          <t>IF(H185="","All_Districts",IFERROR(VLOOKUP(H185,'07_Lookups'!$E$4:$F$42,2,FALSE),"All_Districts"))</t>
        </is>
      </c>
    </row>
    <row r="186" ht="18" customHeight="1">
      <c r="A186" s="31" t="inlineStr">
        <is>
          <t>IF(E186="","",ROW()-3)</t>
        </is>
      </c>
      <c r="B186" s="32" t="n"/>
      <c r="C186" s="32" t="n"/>
      <c r="D186" s="32" t="n"/>
      <c r="E186" s="32" t="n"/>
      <c r="F186" s="32" t="n"/>
      <c r="G186" s="32" t="n"/>
      <c r="H186" s="32" t="n"/>
      <c r="I186" s="32" t="n"/>
      <c r="J186" s="32" t="n"/>
      <c r="K186" s="32" t="n"/>
      <c r="L186" s="32" t="n"/>
      <c r="M186" s="32" t="n"/>
      <c r="N186" s="33" t="n"/>
      <c r="O186" s="34" t="inlineStr">
        <is>
          <t>IF(AE186="","",AE186)</t>
        </is>
      </c>
      <c r="P186" s="35" t="n"/>
      <c r="Q186" s="34" t="inlineStr">
        <is>
          <t>IF(OR(O186="",P186=""),"",EDATE(O186,P186))</t>
        </is>
      </c>
      <c r="R186" s="35" t="n"/>
      <c r="S186" s="32" t="n"/>
      <c r="T186" s="32" t="n"/>
      <c r="U186" s="31" t="inlineStr">
        <is>
          <t>IF(E186="","",IF(COUNT(Y186:AJ186)=0,IF(S186="","Not started",S186),SUBSTITUTE(LOOKUP(2,1/(Y186:AJ186&lt;&gt;""),$Y$3:$AJ$3),"Date: ","")))</t>
        </is>
      </c>
      <c r="V186" s="36" t="inlineStr">
        <is>
          <t>IF(OR(E186="",COUNT(Y186:AJ186)=0),"",TODAY()-LOOKUP(2,1/(Y186:AJ186&lt;&gt;""),Y186:AJ186))</t>
        </is>
      </c>
      <c r="W186" s="36" t="inlineStr">
        <is>
          <t>IF(OR(E186="",COUNT(Y186:AJ186)&lt;2),"",LOOKUP(2,1/(Y186:AJ186&lt;&gt;""),Y186:AJ186)-MIN(Y186:AJ186))</t>
        </is>
      </c>
      <c r="X186" s="36" t="inlineStr">
        <is>
          <t>IF(OR(V186="",U186="Not started",U186=""),"",IFERROR(V186-IF(VLOOKUP(U186,'04_Status_Pipeline'!$B$3:$E$20,4,FALSE)="",0,VLOOKUP(U186,'04_Status_Pipeline'!$B$3:$E$20,4,FALSE)),""))</t>
        </is>
      </c>
      <c r="Y186" s="37" t="n"/>
      <c r="Z186" s="37" t="n"/>
      <c r="AA186" s="37" t="n"/>
      <c r="AB186" s="37" t="n"/>
      <c r="AC186" s="37" t="n"/>
      <c r="AD186" s="37" t="n"/>
      <c r="AE186" s="37" t="n"/>
      <c r="AF186" s="37" t="n"/>
      <c r="AG186" s="37" t="n"/>
      <c r="AH186" s="38" t="n"/>
      <c r="AI186" s="38" t="n"/>
      <c r="AJ186" s="38" t="n"/>
      <c r="AK186" s="36" t="inlineStr">
        <is>
          <t>IF(OR(E186="",Z186=""),"",IF(COUNT(Y186:Y186)=0,"",Z186-LOOKUP(2,1/(Y186:Y186&lt;&gt;""),Y186:Y186)))</t>
        </is>
      </c>
      <c r="AL186" s="36" t="inlineStr">
        <is>
          <t>IF(OR(E186="",AA186=""),"",IF(COUNT(Y186:Z186)=0,"",AA186-LOOKUP(2,1/(Y186:Z186&lt;&gt;""),Y186:Z186)))</t>
        </is>
      </c>
      <c r="AM186" s="36" t="inlineStr">
        <is>
          <t>IF(OR(E186="",AB186=""),"",IF(COUNT(Y186:AA186)=0,"",AB186-LOOKUP(2,1/(Y186:AA186&lt;&gt;""),Y186:AA186)))</t>
        </is>
      </c>
      <c r="AN186" s="36" t="inlineStr">
        <is>
          <t>IF(OR(E186="",AC186=""),"",IF(COUNT(Y186:AB186)=0,"",AC186-LOOKUP(2,1/(Y186:AB186&lt;&gt;""),Y186:AB186)))</t>
        </is>
      </c>
      <c r="AO186" s="36" t="inlineStr">
        <is>
          <t>IF(OR(E186="",AD186=""),"",IF(COUNT(Y186:AC186)=0,"",AD186-LOOKUP(2,1/(Y186:AC186&lt;&gt;""),Y186:AC186)))</t>
        </is>
      </c>
      <c r="AP186" s="36" t="inlineStr">
        <is>
          <t>IF(OR(E186="",AE186=""),"",IF(COUNT(Y186:AD186)=0,"",AE186-LOOKUP(2,1/(Y186:AD186&lt;&gt;""),Y186:AD186)))</t>
        </is>
      </c>
      <c r="AQ186" s="36" t="inlineStr">
        <is>
          <t>IF(OR(E186="",AF186=""),"",IF(COUNT(Y186:AE186)=0,"",AF186-LOOKUP(2,1/(Y186:AE186&lt;&gt;""),Y186:AE186)))</t>
        </is>
      </c>
      <c r="AR186" s="36" t="inlineStr">
        <is>
          <t>IF(OR(E186="",AG186=""),"",IF(COUNT(Y186:AF186)=0,"",AG186-LOOKUP(2,1/(Y186:AF186&lt;&gt;""),Y186:AF186)))</t>
        </is>
      </c>
      <c r="AS186" s="36" t="inlineStr">
        <is>
          <t>IF(OR(E186="",AH186=""),"",IF(COUNT(Y186:AG186)=0,"",AH186-LOOKUP(2,1/(Y186:AG186&lt;&gt;""),Y186:AG186)))</t>
        </is>
      </c>
      <c r="AT186" s="36" t="inlineStr">
        <is>
          <t>IF(OR(E186="",AI186=""),"",IF(COUNT(Y186:AH186)=0,"",AI186-LOOKUP(2,1/(Y186:AH186&lt;&gt;""),Y186:AH186)))</t>
        </is>
      </c>
      <c r="AU186" s="36" t="inlineStr">
        <is>
          <t>IF(OR(E186="",AJ186=""),"",IF(COUNT(Y186:AI186)=0,"",AJ186-LOOKUP(2,1/(Y186:AI186&lt;&gt;""),Y186:AI186)))</t>
        </is>
      </c>
      <c r="AV186" s="39" t="inlineStr">
        <is>
          <t>IF(G186="","All_Provinces",IFERROR(VLOOKUP(G186,'07_Lookups'!$A$4:$B$20,2,FALSE),"All_Provinces"))</t>
        </is>
      </c>
      <c r="AW186" s="39" t="inlineStr">
        <is>
          <t>IF(H186="","All_Districts",IFERROR(VLOOKUP(H186,'07_Lookups'!$E$4:$F$42,2,FALSE),"All_Districts"))</t>
        </is>
      </c>
    </row>
    <row r="187" ht="18" customHeight="1">
      <c r="A187" s="31" t="inlineStr">
        <is>
          <t>IF(E187="","",ROW()-3)</t>
        </is>
      </c>
      <c r="B187" s="40" t="n"/>
      <c r="C187" s="40" t="n"/>
      <c r="D187" s="40" t="n"/>
      <c r="E187" s="40" t="n"/>
      <c r="F187" s="40" t="n"/>
      <c r="G187" s="40" t="n"/>
      <c r="H187" s="40" t="n"/>
      <c r="I187" s="40" t="n"/>
      <c r="J187" s="40" t="n"/>
      <c r="K187" s="40" t="n"/>
      <c r="L187" s="40" t="n"/>
      <c r="M187" s="40" t="n"/>
      <c r="N187" s="41" t="n"/>
      <c r="O187" s="34" t="inlineStr">
        <is>
          <t>IF(AE187="","",AE187)</t>
        </is>
      </c>
      <c r="P187" s="42" t="n"/>
      <c r="Q187" s="34" t="inlineStr">
        <is>
          <t>IF(OR(O187="",P187=""),"",EDATE(O187,P187))</t>
        </is>
      </c>
      <c r="R187" s="42" t="n"/>
      <c r="S187" s="40" t="n"/>
      <c r="T187" s="40" t="n"/>
      <c r="U187" s="31" t="inlineStr">
        <is>
          <t>IF(E187="","",IF(COUNT(Y187:AJ187)=0,IF(S187="","Not started",S187),SUBSTITUTE(LOOKUP(2,1/(Y187:AJ187&lt;&gt;""),$Y$3:$AJ$3),"Date: ","")))</t>
        </is>
      </c>
      <c r="V187" s="36" t="inlineStr">
        <is>
          <t>IF(OR(E187="",COUNT(Y187:AJ187)=0),"",TODAY()-LOOKUP(2,1/(Y187:AJ187&lt;&gt;""),Y187:AJ187))</t>
        </is>
      </c>
      <c r="W187" s="36" t="inlineStr">
        <is>
          <t>IF(OR(E187="",COUNT(Y187:AJ187)&lt;2),"",LOOKUP(2,1/(Y187:AJ187&lt;&gt;""),Y187:AJ187)-MIN(Y187:AJ187))</t>
        </is>
      </c>
      <c r="X187" s="36" t="inlineStr">
        <is>
          <t>IF(OR(V187="",U187="Not started",U187=""),"",IFERROR(V187-IF(VLOOKUP(U187,'04_Status_Pipeline'!$B$3:$E$20,4,FALSE)="",0,VLOOKUP(U187,'04_Status_Pipeline'!$B$3:$E$20,4,FALSE)),""))</t>
        </is>
      </c>
      <c r="Y187" s="43" t="n"/>
      <c r="Z187" s="43" t="n"/>
      <c r="AA187" s="43" t="n"/>
      <c r="AB187" s="43" t="n"/>
      <c r="AC187" s="43" t="n"/>
      <c r="AD187" s="43" t="n"/>
      <c r="AE187" s="43" t="n"/>
      <c r="AF187" s="43" t="n"/>
      <c r="AG187" s="43" t="n"/>
      <c r="AH187" s="38" t="n"/>
      <c r="AI187" s="38" t="n"/>
      <c r="AJ187" s="38" t="n"/>
      <c r="AK187" s="36" t="inlineStr">
        <is>
          <t>IF(OR(E187="",Z187=""),"",IF(COUNT(Y187:Y187)=0,"",Z187-LOOKUP(2,1/(Y187:Y187&lt;&gt;""),Y187:Y187)))</t>
        </is>
      </c>
      <c r="AL187" s="36" t="inlineStr">
        <is>
          <t>IF(OR(E187="",AA187=""),"",IF(COUNT(Y187:Z187)=0,"",AA187-LOOKUP(2,1/(Y187:Z187&lt;&gt;""),Y187:Z187)))</t>
        </is>
      </c>
      <c r="AM187" s="36" t="inlineStr">
        <is>
          <t>IF(OR(E187="",AB187=""),"",IF(COUNT(Y187:AA187)=0,"",AB187-LOOKUP(2,1/(Y187:AA187&lt;&gt;""),Y187:AA187)))</t>
        </is>
      </c>
      <c r="AN187" s="36" t="inlineStr">
        <is>
          <t>IF(OR(E187="",AC187=""),"",IF(COUNT(Y187:AB187)=0,"",AC187-LOOKUP(2,1/(Y187:AB187&lt;&gt;""),Y187:AB187)))</t>
        </is>
      </c>
      <c r="AO187" s="36" t="inlineStr">
        <is>
          <t>IF(OR(E187="",AD187=""),"",IF(COUNT(Y187:AC187)=0,"",AD187-LOOKUP(2,1/(Y187:AC187&lt;&gt;""),Y187:AC187)))</t>
        </is>
      </c>
      <c r="AP187" s="36" t="inlineStr">
        <is>
          <t>IF(OR(E187="",AE187=""),"",IF(COUNT(Y187:AD187)=0,"",AE187-LOOKUP(2,1/(Y187:AD187&lt;&gt;""),Y187:AD187)))</t>
        </is>
      </c>
      <c r="AQ187" s="36" t="inlineStr">
        <is>
          <t>IF(OR(E187="",AF187=""),"",IF(COUNT(Y187:AE187)=0,"",AF187-LOOKUP(2,1/(Y187:AE187&lt;&gt;""),Y187:AE187)))</t>
        </is>
      </c>
      <c r="AR187" s="36" t="inlineStr">
        <is>
          <t>IF(OR(E187="",AG187=""),"",IF(COUNT(Y187:AF187)=0,"",AG187-LOOKUP(2,1/(Y187:AF187&lt;&gt;""),Y187:AF187)))</t>
        </is>
      </c>
      <c r="AS187" s="36" t="inlineStr">
        <is>
          <t>IF(OR(E187="",AH187=""),"",IF(COUNT(Y187:AG187)=0,"",AH187-LOOKUP(2,1/(Y187:AG187&lt;&gt;""),Y187:AG187)))</t>
        </is>
      </c>
      <c r="AT187" s="36" t="inlineStr">
        <is>
          <t>IF(OR(E187="",AI187=""),"",IF(COUNT(Y187:AH187)=0,"",AI187-LOOKUP(2,1/(Y187:AH187&lt;&gt;""),Y187:AH187)))</t>
        </is>
      </c>
      <c r="AU187" s="36" t="inlineStr">
        <is>
          <t>IF(OR(E187="",AJ187=""),"",IF(COUNT(Y187:AI187)=0,"",AJ187-LOOKUP(2,1/(Y187:AI187&lt;&gt;""),Y187:AI187)))</t>
        </is>
      </c>
      <c r="AV187" s="39" t="inlineStr">
        <is>
          <t>IF(G187="","All_Provinces",IFERROR(VLOOKUP(G187,'07_Lookups'!$A$4:$B$20,2,FALSE),"All_Provinces"))</t>
        </is>
      </c>
      <c r="AW187" s="39" t="inlineStr">
        <is>
          <t>IF(H187="","All_Districts",IFERROR(VLOOKUP(H187,'07_Lookups'!$E$4:$F$42,2,FALSE),"All_Districts"))</t>
        </is>
      </c>
    </row>
    <row r="188" ht="18" customHeight="1">
      <c r="A188" s="31" t="inlineStr">
        <is>
          <t>IF(E188="","",ROW()-3)</t>
        </is>
      </c>
      <c r="B188" s="32" t="n"/>
      <c r="C188" s="32" t="n"/>
      <c r="D188" s="32" t="n"/>
      <c r="E188" s="32" t="n"/>
      <c r="F188" s="32" t="n"/>
      <c r="G188" s="32" t="n"/>
      <c r="H188" s="32" t="n"/>
      <c r="I188" s="32" t="n"/>
      <c r="J188" s="32" t="n"/>
      <c r="K188" s="32" t="n"/>
      <c r="L188" s="32" t="n"/>
      <c r="M188" s="32" t="n"/>
      <c r="N188" s="33" t="n"/>
      <c r="O188" s="34" t="inlineStr">
        <is>
          <t>IF(AE188="","",AE188)</t>
        </is>
      </c>
      <c r="P188" s="35" t="n"/>
      <c r="Q188" s="34" t="inlineStr">
        <is>
          <t>IF(OR(O188="",P188=""),"",EDATE(O188,P188))</t>
        </is>
      </c>
      <c r="R188" s="35" t="n"/>
      <c r="S188" s="32" t="n"/>
      <c r="T188" s="32" t="n"/>
      <c r="U188" s="31" t="inlineStr">
        <is>
          <t>IF(E188="","",IF(COUNT(Y188:AJ188)=0,IF(S188="","Not started",S188),SUBSTITUTE(LOOKUP(2,1/(Y188:AJ188&lt;&gt;""),$Y$3:$AJ$3),"Date: ","")))</t>
        </is>
      </c>
      <c r="V188" s="36" t="inlineStr">
        <is>
          <t>IF(OR(E188="",COUNT(Y188:AJ188)=0),"",TODAY()-LOOKUP(2,1/(Y188:AJ188&lt;&gt;""),Y188:AJ188))</t>
        </is>
      </c>
      <c r="W188" s="36" t="inlineStr">
        <is>
          <t>IF(OR(E188="",COUNT(Y188:AJ188)&lt;2),"",LOOKUP(2,1/(Y188:AJ188&lt;&gt;""),Y188:AJ188)-MIN(Y188:AJ188))</t>
        </is>
      </c>
      <c r="X188" s="36" t="inlineStr">
        <is>
          <t>IF(OR(V188="",U188="Not started",U188=""),"",IFERROR(V188-IF(VLOOKUP(U188,'04_Status_Pipeline'!$B$3:$E$20,4,FALSE)="",0,VLOOKUP(U188,'04_Status_Pipeline'!$B$3:$E$20,4,FALSE)),""))</t>
        </is>
      </c>
      <c r="Y188" s="37" t="n"/>
      <c r="Z188" s="37" t="n"/>
      <c r="AA188" s="37" t="n"/>
      <c r="AB188" s="37" t="n"/>
      <c r="AC188" s="37" t="n"/>
      <c r="AD188" s="37" t="n"/>
      <c r="AE188" s="37" t="n"/>
      <c r="AF188" s="37" t="n"/>
      <c r="AG188" s="37" t="n"/>
      <c r="AH188" s="38" t="n"/>
      <c r="AI188" s="38" t="n"/>
      <c r="AJ188" s="38" t="n"/>
      <c r="AK188" s="36" t="inlineStr">
        <is>
          <t>IF(OR(E188="",Z188=""),"",IF(COUNT(Y188:Y188)=0,"",Z188-LOOKUP(2,1/(Y188:Y188&lt;&gt;""),Y188:Y188)))</t>
        </is>
      </c>
      <c r="AL188" s="36" t="inlineStr">
        <is>
          <t>IF(OR(E188="",AA188=""),"",IF(COUNT(Y188:Z188)=0,"",AA188-LOOKUP(2,1/(Y188:Z188&lt;&gt;""),Y188:Z188)))</t>
        </is>
      </c>
      <c r="AM188" s="36" t="inlineStr">
        <is>
          <t>IF(OR(E188="",AB188=""),"",IF(COUNT(Y188:AA188)=0,"",AB188-LOOKUP(2,1/(Y188:AA188&lt;&gt;""),Y188:AA188)))</t>
        </is>
      </c>
      <c r="AN188" s="36" t="inlineStr">
        <is>
          <t>IF(OR(E188="",AC188=""),"",IF(COUNT(Y188:AB188)=0,"",AC188-LOOKUP(2,1/(Y188:AB188&lt;&gt;""),Y188:AB188)))</t>
        </is>
      </c>
      <c r="AO188" s="36" t="inlineStr">
        <is>
          <t>IF(OR(E188="",AD188=""),"",IF(COUNT(Y188:AC188)=0,"",AD188-LOOKUP(2,1/(Y188:AC188&lt;&gt;""),Y188:AC188)))</t>
        </is>
      </c>
      <c r="AP188" s="36" t="inlineStr">
        <is>
          <t>IF(OR(E188="",AE188=""),"",IF(COUNT(Y188:AD188)=0,"",AE188-LOOKUP(2,1/(Y188:AD188&lt;&gt;""),Y188:AD188)))</t>
        </is>
      </c>
      <c r="AQ188" s="36" t="inlineStr">
        <is>
          <t>IF(OR(E188="",AF188=""),"",IF(COUNT(Y188:AE188)=0,"",AF188-LOOKUP(2,1/(Y188:AE188&lt;&gt;""),Y188:AE188)))</t>
        </is>
      </c>
      <c r="AR188" s="36" t="inlineStr">
        <is>
          <t>IF(OR(E188="",AG188=""),"",IF(COUNT(Y188:AF188)=0,"",AG188-LOOKUP(2,1/(Y188:AF188&lt;&gt;""),Y188:AF188)))</t>
        </is>
      </c>
      <c r="AS188" s="36" t="inlineStr">
        <is>
          <t>IF(OR(E188="",AH188=""),"",IF(COUNT(Y188:AG188)=0,"",AH188-LOOKUP(2,1/(Y188:AG188&lt;&gt;""),Y188:AG188)))</t>
        </is>
      </c>
      <c r="AT188" s="36" t="inlineStr">
        <is>
          <t>IF(OR(E188="",AI188=""),"",IF(COUNT(Y188:AH188)=0,"",AI188-LOOKUP(2,1/(Y188:AH188&lt;&gt;""),Y188:AH188)))</t>
        </is>
      </c>
      <c r="AU188" s="36" t="inlineStr">
        <is>
          <t>IF(OR(E188="",AJ188=""),"",IF(COUNT(Y188:AI188)=0,"",AJ188-LOOKUP(2,1/(Y188:AI188&lt;&gt;""),Y188:AI188)))</t>
        </is>
      </c>
      <c r="AV188" s="39" t="inlineStr">
        <is>
          <t>IF(G188="","All_Provinces",IFERROR(VLOOKUP(G188,'07_Lookups'!$A$4:$B$20,2,FALSE),"All_Provinces"))</t>
        </is>
      </c>
      <c r="AW188" s="39" t="inlineStr">
        <is>
          <t>IF(H188="","All_Districts",IFERROR(VLOOKUP(H188,'07_Lookups'!$E$4:$F$42,2,FALSE),"All_Districts"))</t>
        </is>
      </c>
    </row>
    <row r="189" ht="18" customHeight="1">
      <c r="A189" s="31" t="inlineStr">
        <is>
          <t>IF(E189="","",ROW()-3)</t>
        </is>
      </c>
      <c r="B189" s="40" t="n"/>
      <c r="C189" s="40" t="n"/>
      <c r="D189" s="40" t="n"/>
      <c r="E189" s="40" t="n"/>
      <c r="F189" s="40" t="n"/>
      <c r="G189" s="40" t="n"/>
      <c r="H189" s="40" t="n"/>
      <c r="I189" s="40" t="n"/>
      <c r="J189" s="40" t="n"/>
      <c r="K189" s="40" t="n"/>
      <c r="L189" s="40" t="n"/>
      <c r="M189" s="40" t="n"/>
      <c r="N189" s="41" t="n"/>
      <c r="O189" s="34" t="inlineStr">
        <is>
          <t>IF(AE189="","",AE189)</t>
        </is>
      </c>
      <c r="P189" s="42" t="n"/>
      <c r="Q189" s="34" t="inlineStr">
        <is>
          <t>IF(OR(O189="",P189=""),"",EDATE(O189,P189))</t>
        </is>
      </c>
      <c r="R189" s="42" t="n"/>
      <c r="S189" s="40" t="n"/>
      <c r="T189" s="40" t="n"/>
      <c r="U189" s="31" t="inlineStr">
        <is>
          <t>IF(E189="","",IF(COUNT(Y189:AJ189)=0,IF(S189="","Not started",S189),SUBSTITUTE(LOOKUP(2,1/(Y189:AJ189&lt;&gt;""),$Y$3:$AJ$3),"Date: ","")))</t>
        </is>
      </c>
      <c r="V189" s="36" t="inlineStr">
        <is>
          <t>IF(OR(E189="",COUNT(Y189:AJ189)=0),"",TODAY()-LOOKUP(2,1/(Y189:AJ189&lt;&gt;""),Y189:AJ189))</t>
        </is>
      </c>
      <c r="W189" s="36" t="inlineStr">
        <is>
          <t>IF(OR(E189="",COUNT(Y189:AJ189)&lt;2),"",LOOKUP(2,1/(Y189:AJ189&lt;&gt;""),Y189:AJ189)-MIN(Y189:AJ189))</t>
        </is>
      </c>
      <c r="X189" s="36" t="inlineStr">
        <is>
          <t>IF(OR(V189="",U189="Not started",U189=""),"",IFERROR(V189-IF(VLOOKUP(U189,'04_Status_Pipeline'!$B$3:$E$20,4,FALSE)="",0,VLOOKUP(U189,'04_Status_Pipeline'!$B$3:$E$20,4,FALSE)),""))</t>
        </is>
      </c>
      <c r="Y189" s="43" t="n"/>
      <c r="Z189" s="43" t="n"/>
      <c r="AA189" s="43" t="n"/>
      <c r="AB189" s="43" t="n"/>
      <c r="AC189" s="43" t="n"/>
      <c r="AD189" s="43" t="n"/>
      <c r="AE189" s="43" t="n"/>
      <c r="AF189" s="43" t="n"/>
      <c r="AG189" s="43" t="n"/>
      <c r="AH189" s="38" t="n"/>
      <c r="AI189" s="38" t="n"/>
      <c r="AJ189" s="38" t="n"/>
      <c r="AK189" s="36" t="inlineStr">
        <is>
          <t>IF(OR(E189="",Z189=""),"",IF(COUNT(Y189:Y189)=0,"",Z189-LOOKUP(2,1/(Y189:Y189&lt;&gt;""),Y189:Y189)))</t>
        </is>
      </c>
      <c r="AL189" s="36" t="inlineStr">
        <is>
          <t>IF(OR(E189="",AA189=""),"",IF(COUNT(Y189:Z189)=0,"",AA189-LOOKUP(2,1/(Y189:Z189&lt;&gt;""),Y189:Z189)))</t>
        </is>
      </c>
      <c r="AM189" s="36" t="inlineStr">
        <is>
          <t>IF(OR(E189="",AB189=""),"",IF(COUNT(Y189:AA189)=0,"",AB189-LOOKUP(2,1/(Y189:AA189&lt;&gt;""),Y189:AA189)))</t>
        </is>
      </c>
      <c r="AN189" s="36" t="inlineStr">
        <is>
          <t>IF(OR(E189="",AC189=""),"",IF(COUNT(Y189:AB189)=0,"",AC189-LOOKUP(2,1/(Y189:AB189&lt;&gt;""),Y189:AB189)))</t>
        </is>
      </c>
      <c r="AO189" s="36" t="inlineStr">
        <is>
          <t>IF(OR(E189="",AD189=""),"",IF(COUNT(Y189:AC189)=0,"",AD189-LOOKUP(2,1/(Y189:AC189&lt;&gt;""),Y189:AC189)))</t>
        </is>
      </c>
      <c r="AP189" s="36" t="inlineStr">
        <is>
          <t>IF(OR(E189="",AE189=""),"",IF(COUNT(Y189:AD189)=0,"",AE189-LOOKUP(2,1/(Y189:AD189&lt;&gt;""),Y189:AD189)))</t>
        </is>
      </c>
      <c r="AQ189" s="36" t="inlineStr">
        <is>
          <t>IF(OR(E189="",AF189=""),"",IF(COUNT(Y189:AE189)=0,"",AF189-LOOKUP(2,1/(Y189:AE189&lt;&gt;""),Y189:AE189)))</t>
        </is>
      </c>
      <c r="AR189" s="36" t="inlineStr">
        <is>
          <t>IF(OR(E189="",AG189=""),"",IF(COUNT(Y189:AF189)=0,"",AG189-LOOKUP(2,1/(Y189:AF189&lt;&gt;""),Y189:AF189)))</t>
        </is>
      </c>
      <c r="AS189" s="36" t="inlineStr">
        <is>
          <t>IF(OR(E189="",AH189=""),"",IF(COUNT(Y189:AG189)=0,"",AH189-LOOKUP(2,1/(Y189:AG189&lt;&gt;""),Y189:AG189)))</t>
        </is>
      </c>
      <c r="AT189" s="36" t="inlineStr">
        <is>
          <t>IF(OR(E189="",AI189=""),"",IF(COUNT(Y189:AH189)=0,"",AI189-LOOKUP(2,1/(Y189:AH189&lt;&gt;""),Y189:AH189)))</t>
        </is>
      </c>
      <c r="AU189" s="36" t="inlineStr">
        <is>
          <t>IF(OR(E189="",AJ189=""),"",IF(COUNT(Y189:AI189)=0,"",AJ189-LOOKUP(2,1/(Y189:AI189&lt;&gt;""),Y189:AI189)))</t>
        </is>
      </c>
      <c r="AV189" s="39" t="inlineStr">
        <is>
          <t>IF(G189="","All_Provinces",IFERROR(VLOOKUP(G189,'07_Lookups'!$A$4:$B$20,2,FALSE),"All_Provinces"))</t>
        </is>
      </c>
      <c r="AW189" s="39" t="inlineStr">
        <is>
          <t>IF(H189="","All_Districts",IFERROR(VLOOKUP(H189,'07_Lookups'!$E$4:$F$42,2,FALSE),"All_Districts"))</t>
        </is>
      </c>
    </row>
    <row r="190" ht="18" customHeight="1">
      <c r="A190" s="31" t="inlineStr">
        <is>
          <t>IF(E190="","",ROW()-3)</t>
        </is>
      </c>
      <c r="B190" s="32" t="n"/>
      <c r="C190" s="32" t="n"/>
      <c r="D190" s="32" t="n"/>
      <c r="E190" s="32" t="n"/>
      <c r="F190" s="32" t="n"/>
      <c r="G190" s="32" t="n"/>
      <c r="H190" s="32" t="n"/>
      <c r="I190" s="32" t="n"/>
      <c r="J190" s="32" t="n"/>
      <c r="K190" s="32" t="n"/>
      <c r="L190" s="32" t="n"/>
      <c r="M190" s="32" t="n"/>
      <c r="N190" s="33" t="n"/>
      <c r="O190" s="34" t="inlineStr">
        <is>
          <t>IF(AE190="","",AE190)</t>
        </is>
      </c>
      <c r="P190" s="35" t="n"/>
      <c r="Q190" s="34" t="inlineStr">
        <is>
          <t>IF(OR(O190="",P190=""),"",EDATE(O190,P190))</t>
        </is>
      </c>
      <c r="R190" s="35" t="n"/>
      <c r="S190" s="32" t="n"/>
      <c r="T190" s="32" t="n"/>
      <c r="U190" s="31" t="inlineStr">
        <is>
          <t>IF(E190="","",IF(COUNT(Y190:AJ190)=0,IF(S190="","Not started",S190),SUBSTITUTE(LOOKUP(2,1/(Y190:AJ190&lt;&gt;""),$Y$3:$AJ$3),"Date: ","")))</t>
        </is>
      </c>
      <c r="V190" s="36" t="inlineStr">
        <is>
          <t>IF(OR(E190="",COUNT(Y190:AJ190)=0),"",TODAY()-LOOKUP(2,1/(Y190:AJ190&lt;&gt;""),Y190:AJ190))</t>
        </is>
      </c>
      <c r="W190" s="36" t="inlineStr">
        <is>
          <t>IF(OR(E190="",COUNT(Y190:AJ190)&lt;2),"",LOOKUP(2,1/(Y190:AJ190&lt;&gt;""),Y190:AJ190)-MIN(Y190:AJ190))</t>
        </is>
      </c>
      <c r="X190" s="36" t="inlineStr">
        <is>
          <t>IF(OR(V190="",U190="Not started",U190=""),"",IFERROR(V190-IF(VLOOKUP(U190,'04_Status_Pipeline'!$B$3:$E$20,4,FALSE)="",0,VLOOKUP(U190,'04_Status_Pipeline'!$B$3:$E$20,4,FALSE)),""))</t>
        </is>
      </c>
      <c r="Y190" s="37" t="n"/>
      <c r="Z190" s="37" t="n"/>
      <c r="AA190" s="37" t="n"/>
      <c r="AB190" s="37" t="n"/>
      <c r="AC190" s="37" t="n"/>
      <c r="AD190" s="37" t="n"/>
      <c r="AE190" s="37" t="n"/>
      <c r="AF190" s="37" t="n"/>
      <c r="AG190" s="37" t="n"/>
      <c r="AH190" s="38" t="n"/>
      <c r="AI190" s="38" t="n"/>
      <c r="AJ190" s="38" t="n"/>
      <c r="AK190" s="36" t="inlineStr">
        <is>
          <t>IF(OR(E190="",Z190=""),"",IF(COUNT(Y190:Y190)=0,"",Z190-LOOKUP(2,1/(Y190:Y190&lt;&gt;""),Y190:Y190)))</t>
        </is>
      </c>
      <c r="AL190" s="36" t="inlineStr">
        <is>
          <t>IF(OR(E190="",AA190=""),"",IF(COUNT(Y190:Z190)=0,"",AA190-LOOKUP(2,1/(Y190:Z190&lt;&gt;""),Y190:Z190)))</t>
        </is>
      </c>
      <c r="AM190" s="36" t="inlineStr">
        <is>
          <t>IF(OR(E190="",AB190=""),"",IF(COUNT(Y190:AA190)=0,"",AB190-LOOKUP(2,1/(Y190:AA190&lt;&gt;""),Y190:AA190)))</t>
        </is>
      </c>
      <c r="AN190" s="36" t="inlineStr">
        <is>
          <t>IF(OR(E190="",AC190=""),"",IF(COUNT(Y190:AB190)=0,"",AC190-LOOKUP(2,1/(Y190:AB190&lt;&gt;""),Y190:AB190)))</t>
        </is>
      </c>
      <c r="AO190" s="36" t="inlineStr">
        <is>
          <t>IF(OR(E190="",AD190=""),"",IF(COUNT(Y190:AC190)=0,"",AD190-LOOKUP(2,1/(Y190:AC190&lt;&gt;""),Y190:AC190)))</t>
        </is>
      </c>
      <c r="AP190" s="36" t="inlineStr">
        <is>
          <t>IF(OR(E190="",AE190=""),"",IF(COUNT(Y190:AD190)=0,"",AE190-LOOKUP(2,1/(Y190:AD190&lt;&gt;""),Y190:AD190)))</t>
        </is>
      </c>
      <c r="AQ190" s="36" t="inlineStr">
        <is>
          <t>IF(OR(E190="",AF190=""),"",IF(COUNT(Y190:AE190)=0,"",AF190-LOOKUP(2,1/(Y190:AE190&lt;&gt;""),Y190:AE190)))</t>
        </is>
      </c>
      <c r="AR190" s="36" t="inlineStr">
        <is>
          <t>IF(OR(E190="",AG190=""),"",IF(COUNT(Y190:AF190)=0,"",AG190-LOOKUP(2,1/(Y190:AF190&lt;&gt;""),Y190:AF190)))</t>
        </is>
      </c>
      <c r="AS190" s="36" t="inlineStr">
        <is>
          <t>IF(OR(E190="",AH190=""),"",IF(COUNT(Y190:AG190)=0,"",AH190-LOOKUP(2,1/(Y190:AG190&lt;&gt;""),Y190:AG190)))</t>
        </is>
      </c>
      <c r="AT190" s="36" t="inlineStr">
        <is>
          <t>IF(OR(E190="",AI190=""),"",IF(COUNT(Y190:AH190)=0,"",AI190-LOOKUP(2,1/(Y190:AH190&lt;&gt;""),Y190:AH190)))</t>
        </is>
      </c>
      <c r="AU190" s="36" t="inlineStr">
        <is>
          <t>IF(OR(E190="",AJ190=""),"",IF(COUNT(Y190:AI190)=0,"",AJ190-LOOKUP(2,1/(Y190:AI190&lt;&gt;""),Y190:AI190)))</t>
        </is>
      </c>
      <c r="AV190" s="39" t="inlineStr">
        <is>
          <t>IF(G190="","All_Provinces",IFERROR(VLOOKUP(G190,'07_Lookups'!$A$4:$B$20,2,FALSE),"All_Provinces"))</t>
        </is>
      </c>
      <c r="AW190" s="39" t="inlineStr">
        <is>
          <t>IF(H190="","All_Districts",IFERROR(VLOOKUP(H190,'07_Lookups'!$E$4:$F$42,2,FALSE),"All_Districts"))</t>
        </is>
      </c>
    </row>
    <row r="191" ht="18" customHeight="1">
      <c r="A191" s="31" t="inlineStr">
        <is>
          <t>IF(E191="","",ROW()-3)</t>
        </is>
      </c>
      <c r="B191" s="40" t="n"/>
      <c r="C191" s="40" t="n"/>
      <c r="D191" s="40" t="n"/>
      <c r="E191" s="40" t="n"/>
      <c r="F191" s="40" t="n"/>
      <c r="G191" s="40" t="n"/>
      <c r="H191" s="40" t="n"/>
      <c r="I191" s="40" t="n"/>
      <c r="J191" s="40" t="n"/>
      <c r="K191" s="40" t="n"/>
      <c r="L191" s="40" t="n"/>
      <c r="M191" s="40" t="n"/>
      <c r="N191" s="41" t="n"/>
      <c r="O191" s="34" t="inlineStr">
        <is>
          <t>IF(AE191="","",AE191)</t>
        </is>
      </c>
      <c r="P191" s="42" t="n"/>
      <c r="Q191" s="34" t="inlineStr">
        <is>
          <t>IF(OR(O191="",P191=""),"",EDATE(O191,P191))</t>
        </is>
      </c>
      <c r="R191" s="42" t="n"/>
      <c r="S191" s="40" t="n"/>
      <c r="T191" s="40" t="n"/>
      <c r="U191" s="31" t="inlineStr">
        <is>
          <t>IF(E191="","",IF(COUNT(Y191:AJ191)=0,IF(S191="","Not started",S191),SUBSTITUTE(LOOKUP(2,1/(Y191:AJ191&lt;&gt;""),$Y$3:$AJ$3),"Date: ","")))</t>
        </is>
      </c>
      <c r="V191" s="36" t="inlineStr">
        <is>
          <t>IF(OR(E191="",COUNT(Y191:AJ191)=0),"",TODAY()-LOOKUP(2,1/(Y191:AJ191&lt;&gt;""),Y191:AJ191))</t>
        </is>
      </c>
      <c r="W191" s="36" t="inlineStr">
        <is>
          <t>IF(OR(E191="",COUNT(Y191:AJ191)&lt;2),"",LOOKUP(2,1/(Y191:AJ191&lt;&gt;""),Y191:AJ191)-MIN(Y191:AJ191))</t>
        </is>
      </c>
      <c r="X191" s="36" t="inlineStr">
        <is>
          <t>IF(OR(V191="",U191="Not started",U191=""),"",IFERROR(V191-IF(VLOOKUP(U191,'04_Status_Pipeline'!$B$3:$E$20,4,FALSE)="",0,VLOOKUP(U191,'04_Status_Pipeline'!$B$3:$E$20,4,FALSE)),""))</t>
        </is>
      </c>
      <c r="Y191" s="43" t="n"/>
      <c r="Z191" s="43" t="n"/>
      <c r="AA191" s="43" t="n"/>
      <c r="AB191" s="43" t="n"/>
      <c r="AC191" s="43" t="n"/>
      <c r="AD191" s="43" t="n"/>
      <c r="AE191" s="43" t="n"/>
      <c r="AF191" s="43" t="n"/>
      <c r="AG191" s="43" t="n"/>
      <c r="AH191" s="38" t="n"/>
      <c r="AI191" s="38" t="n"/>
      <c r="AJ191" s="38" t="n"/>
      <c r="AK191" s="36" t="inlineStr">
        <is>
          <t>IF(OR(E191="",Z191=""),"",IF(COUNT(Y191:Y191)=0,"",Z191-LOOKUP(2,1/(Y191:Y191&lt;&gt;""),Y191:Y191)))</t>
        </is>
      </c>
      <c r="AL191" s="36" t="inlineStr">
        <is>
          <t>IF(OR(E191="",AA191=""),"",IF(COUNT(Y191:Z191)=0,"",AA191-LOOKUP(2,1/(Y191:Z191&lt;&gt;""),Y191:Z191)))</t>
        </is>
      </c>
      <c r="AM191" s="36" t="inlineStr">
        <is>
          <t>IF(OR(E191="",AB191=""),"",IF(COUNT(Y191:AA191)=0,"",AB191-LOOKUP(2,1/(Y191:AA191&lt;&gt;""),Y191:AA191)))</t>
        </is>
      </c>
      <c r="AN191" s="36" t="inlineStr">
        <is>
          <t>IF(OR(E191="",AC191=""),"",IF(COUNT(Y191:AB191)=0,"",AC191-LOOKUP(2,1/(Y191:AB191&lt;&gt;""),Y191:AB191)))</t>
        </is>
      </c>
      <c r="AO191" s="36" t="inlineStr">
        <is>
          <t>IF(OR(E191="",AD191=""),"",IF(COUNT(Y191:AC191)=0,"",AD191-LOOKUP(2,1/(Y191:AC191&lt;&gt;""),Y191:AC191)))</t>
        </is>
      </c>
      <c r="AP191" s="36" t="inlineStr">
        <is>
          <t>IF(OR(E191="",AE191=""),"",IF(COUNT(Y191:AD191)=0,"",AE191-LOOKUP(2,1/(Y191:AD191&lt;&gt;""),Y191:AD191)))</t>
        </is>
      </c>
      <c r="AQ191" s="36" t="inlineStr">
        <is>
          <t>IF(OR(E191="",AF191=""),"",IF(COUNT(Y191:AE191)=0,"",AF191-LOOKUP(2,1/(Y191:AE191&lt;&gt;""),Y191:AE191)))</t>
        </is>
      </c>
      <c r="AR191" s="36" t="inlineStr">
        <is>
          <t>IF(OR(E191="",AG191=""),"",IF(COUNT(Y191:AF191)=0,"",AG191-LOOKUP(2,1/(Y191:AF191&lt;&gt;""),Y191:AF191)))</t>
        </is>
      </c>
      <c r="AS191" s="36" t="inlineStr">
        <is>
          <t>IF(OR(E191="",AH191=""),"",IF(COUNT(Y191:AG191)=0,"",AH191-LOOKUP(2,1/(Y191:AG191&lt;&gt;""),Y191:AG191)))</t>
        </is>
      </c>
      <c r="AT191" s="36" t="inlineStr">
        <is>
          <t>IF(OR(E191="",AI191=""),"",IF(COUNT(Y191:AH191)=0,"",AI191-LOOKUP(2,1/(Y191:AH191&lt;&gt;""),Y191:AH191)))</t>
        </is>
      </c>
      <c r="AU191" s="36" t="inlineStr">
        <is>
          <t>IF(OR(E191="",AJ191=""),"",IF(COUNT(Y191:AI191)=0,"",AJ191-LOOKUP(2,1/(Y191:AI191&lt;&gt;""),Y191:AI191)))</t>
        </is>
      </c>
      <c r="AV191" s="39" t="inlineStr">
        <is>
          <t>IF(G191="","All_Provinces",IFERROR(VLOOKUP(G191,'07_Lookups'!$A$4:$B$20,2,FALSE),"All_Provinces"))</t>
        </is>
      </c>
      <c r="AW191" s="39" t="inlineStr">
        <is>
          <t>IF(H191="","All_Districts",IFERROR(VLOOKUP(H191,'07_Lookups'!$E$4:$F$42,2,FALSE),"All_Districts"))</t>
        </is>
      </c>
    </row>
    <row r="192" ht="18" customHeight="1">
      <c r="A192" s="31" t="inlineStr">
        <is>
          <t>IF(E192="","",ROW()-3)</t>
        </is>
      </c>
      <c r="B192" s="32" t="n"/>
      <c r="C192" s="32" t="n"/>
      <c r="D192" s="32" t="n"/>
      <c r="E192" s="32" t="n"/>
      <c r="F192" s="32" t="n"/>
      <c r="G192" s="32" t="n"/>
      <c r="H192" s="32" t="n"/>
      <c r="I192" s="32" t="n"/>
      <c r="J192" s="32" t="n"/>
      <c r="K192" s="32" t="n"/>
      <c r="L192" s="32" t="n"/>
      <c r="M192" s="32" t="n"/>
      <c r="N192" s="33" t="n"/>
      <c r="O192" s="34" t="inlineStr">
        <is>
          <t>IF(AE192="","",AE192)</t>
        </is>
      </c>
      <c r="P192" s="35" t="n"/>
      <c r="Q192" s="34" t="inlineStr">
        <is>
          <t>IF(OR(O192="",P192=""),"",EDATE(O192,P192))</t>
        </is>
      </c>
      <c r="R192" s="35" t="n"/>
      <c r="S192" s="32" t="n"/>
      <c r="T192" s="32" t="n"/>
      <c r="U192" s="31" t="inlineStr">
        <is>
          <t>IF(E192="","",IF(COUNT(Y192:AJ192)=0,IF(S192="","Not started",S192),SUBSTITUTE(LOOKUP(2,1/(Y192:AJ192&lt;&gt;""),$Y$3:$AJ$3),"Date: ","")))</t>
        </is>
      </c>
      <c r="V192" s="36" t="inlineStr">
        <is>
          <t>IF(OR(E192="",COUNT(Y192:AJ192)=0),"",TODAY()-LOOKUP(2,1/(Y192:AJ192&lt;&gt;""),Y192:AJ192))</t>
        </is>
      </c>
      <c r="W192" s="36" t="inlineStr">
        <is>
          <t>IF(OR(E192="",COUNT(Y192:AJ192)&lt;2),"",LOOKUP(2,1/(Y192:AJ192&lt;&gt;""),Y192:AJ192)-MIN(Y192:AJ192))</t>
        </is>
      </c>
      <c r="X192" s="36" t="inlineStr">
        <is>
          <t>IF(OR(V192="",U192="Not started",U192=""),"",IFERROR(V192-IF(VLOOKUP(U192,'04_Status_Pipeline'!$B$3:$E$20,4,FALSE)="",0,VLOOKUP(U192,'04_Status_Pipeline'!$B$3:$E$20,4,FALSE)),""))</t>
        </is>
      </c>
      <c r="Y192" s="37" t="n"/>
      <c r="Z192" s="37" t="n"/>
      <c r="AA192" s="37" t="n"/>
      <c r="AB192" s="37" t="n"/>
      <c r="AC192" s="37" t="n"/>
      <c r="AD192" s="37" t="n"/>
      <c r="AE192" s="37" t="n"/>
      <c r="AF192" s="37" t="n"/>
      <c r="AG192" s="37" t="n"/>
      <c r="AH192" s="38" t="n"/>
      <c r="AI192" s="38" t="n"/>
      <c r="AJ192" s="38" t="n"/>
      <c r="AK192" s="36" t="inlineStr">
        <is>
          <t>IF(OR(E192="",Z192=""),"",IF(COUNT(Y192:Y192)=0,"",Z192-LOOKUP(2,1/(Y192:Y192&lt;&gt;""),Y192:Y192)))</t>
        </is>
      </c>
      <c r="AL192" s="36" t="inlineStr">
        <is>
          <t>IF(OR(E192="",AA192=""),"",IF(COUNT(Y192:Z192)=0,"",AA192-LOOKUP(2,1/(Y192:Z192&lt;&gt;""),Y192:Z192)))</t>
        </is>
      </c>
      <c r="AM192" s="36" t="inlineStr">
        <is>
          <t>IF(OR(E192="",AB192=""),"",IF(COUNT(Y192:AA192)=0,"",AB192-LOOKUP(2,1/(Y192:AA192&lt;&gt;""),Y192:AA192)))</t>
        </is>
      </c>
      <c r="AN192" s="36" t="inlineStr">
        <is>
          <t>IF(OR(E192="",AC192=""),"",IF(COUNT(Y192:AB192)=0,"",AC192-LOOKUP(2,1/(Y192:AB192&lt;&gt;""),Y192:AB192)))</t>
        </is>
      </c>
      <c r="AO192" s="36" t="inlineStr">
        <is>
          <t>IF(OR(E192="",AD192=""),"",IF(COUNT(Y192:AC192)=0,"",AD192-LOOKUP(2,1/(Y192:AC192&lt;&gt;""),Y192:AC192)))</t>
        </is>
      </c>
      <c r="AP192" s="36" t="inlineStr">
        <is>
          <t>IF(OR(E192="",AE192=""),"",IF(COUNT(Y192:AD192)=0,"",AE192-LOOKUP(2,1/(Y192:AD192&lt;&gt;""),Y192:AD192)))</t>
        </is>
      </c>
      <c r="AQ192" s="36" t="inlineStr">
        <is>
          <t>IF(OR(E192="",AF192=""),"",IF(COUNT(Y192:AE192)=0,"",AF192-LOOKUP(2,1/(Y192:AE192&lt;&gt;""),Y192:AE192)))</t>
        </is>
      </c>
      <c r="AR192" s="36" t="inlineStr">
        <is>
          <t>IF(OR(E192="",AG192=""),"",IF(COUNT(Y192:AF192)=0,"",AG192-LOOKUP(2,1/(Y192:AF192&lt;&gt;""),Y192:AF192)))</t>
        </is>
      </c>
      <c r="AS192" s="36" t="inlineStr">
        <is>
          <t>IF(OR(E192="",AH192=""),"",IF(COUNT(Y192:AG192)=0,"",AH192-LOOKUP(2,1/(Y192:AG192&lt;&gt;""),Y192:AG192)))</t>
        </is>
      </c>
      <c r="AT192" s="36" t="inlineStr">
        <is>
          <t>IF(OR(E192="",AI192=""),"",IF(COUNT(Y192:AH192)=0,"",AI192-LOOKUP(2,1/(Y192:AH192&lt;&gt;""),Y192:AH192)))</t>
        </is>
      </c>
      <c r="AU192" s="36" t="inlineStr">
        <is>
          <t>IF(OR(E192="",AJ192=""),"",IF(COUNT(Y192:AI192)=0,"",AJ192-LOOKUP(2,1/(Y192:AI192&lt;&gt;""),Y192:AI192)))</t>
        </is>
      </c>
      <c r="AV192" s="39" t="inlineStr">
        <is>
          <t>IF(G192="","All_Provinces",IFERROR(VLOOKUP(G192,'07_Lookups'!$A$4:$B$20,2,FALSE),"All_Provinces"))</t>
        </is>
      </c>
      <c r="AW192" s="39" t="inlineStr">
        <is>
          <t>IF(H192="","All_Districts",IFERROR(VLOOKUP(H192,'07_Lookups'!$E$4:$F$42,2,FALSE),"All_Districts"))</t>
        </is>
      </c>
    </row>
    <row r="193" ht="18" customHeight="1">
      <c r="A193" s="31" t="inlineStr">
        <is>
          <t>IF(E193="","",ROW()-3)</t>
        </is>
      </c>
      <c r="B193" s="40" t="n"/>
      <c r="C193" s="40" t="n"/>
      <c r="D193" s="40" t="n"/>
      <c r="E193" s="40" t="n"/>
      <c r="F193" s="40" t="n"/>
      <c r="G193" s="40" t="n"/>
      <c r="H193" s="40" t="n"/>
      <c r="I193" s="40" t="n"/>
      <c r="J193" s="40" t="n"/>
      <c r="K193" s="40" t="n"/>
      <c r="L193" s="40" t="n"/>
      <c r="M193" s="40" t="n"/>
      <c r="N193" s="41" t="n"/>
      <c r="O193" s="34" t="inlineStr">
        <is>
          <t>IF(AE193="","",AE193)</t>
        </is>
      </c>
      <c r="P193" s="42" t="n"/>
      <c r="Q193" s="34" t="inlineStr">
        <is>
          <t>IF(OR(O193="",P193=""),"",EDATE(O193,P193))</t>
        </is>
      </c>
      <c r="R193" s="42" t="n"/>
      <c r="S193" s="40" t="n"/>
      <c r="T193" s="40" t="n"/>
      <c r="U193" s="31" t="inlineStr">
        <is>
          <t>IF(E193="","",IF(COUNT(Y193:AJ193)=0,IF(S193="","Not started",S193),SUBSTITUTE(LOOKUP(2,1/(Y193:AJ193&lt;&gt;""),$Y$3:$AJ$3),"Date: ","")))</t>
        </is>
      </c>
      <c r="V193" s="36" t="inlineStr">
        <is>
          <t>IF(OR(E193="",COUNT(Y193:AJ193)=0),"",TODAY()-LOOKUP(2,1/(Y193:AJ193&lt;&gt;""),Y193:AJ193))</t>
        </is>
      </c>
      <c r="W193" s="36" t="inlineStr">
        <is>
          <t>IF(OR(E193="",COUNT(Y193:AJ193)&lt;2),"",LOOKUP(2,1/(Y193:AJ193&lt;&gt;""),Y193:AJ193)-MIN(Y193:AJ193))</t>
        </is>
      </c>
      <c r="X193" s="36" t="inlineStr">
        <is>
          <t>IF(OR(V193="",U193="Not started",U193=""),"",IFERROR(V193-IF(VLOOKUP(U193,'04_Status_Pipeline'!$B$3:$E$20,4,FALSE)="",0,VLOOKUP(U193,'04_Status_Pipeline'!$B$3:$E$20,4,FALSE)),""))</t>
        </is>
      </c>
      <c r="Y193" s="43" t="n"/>
      <c r="Z193" s="43" t="n"/>
      <c r="AA193" s="43" t="n"/>
      <c r="AB193" s="43" t="n"/>
      <c r="AC193" s="43" t="n"/>
      <c r="AD193" s="43" t="n"/>
      <c r="AE193" s="43" t="n"/>
      <c r="AF193" s="43" t="n"/>
      <c r="AG193" s="43" t="n"/>
      <c r="AH193" s="38" t="n"/>
      <c r="AI193" s="38" t="n"/>
      <c r="AJ193" s="38" t="n"/>
      <c r="AK193" s="36" t="inlineStr">
        <is>
          <t>IF(OR(E193="",Z193=""),"",IF(COUNT(Y193:Y193)=0,"",Z193-LOOKUP(2,1/(Y193:Y193&lt;&gt;""),Y193:Y193)))</t>
        </is>
      </c>
      <c r="AL193" s="36" t="inlineStr">
        <is>
          <t>IF(OR(E193="",AA193=""),"",IF(COUNT(Y193:Z193)=0,"",AA193-LOOKUP(2,1/(Y193:Z193&lt;&gt;""),Y193:Z193)))</t>
        </is>
      </c>
      <c r="AM193" s="36" t="inlineStr">
        <is>
          <t>IF(OR(E193="",AB193=""),"",IF(COUNT(Y193:AA193)=0,"",AB193-LOOKUP(2,1/(Y193:AA193&lt;&gt;""),Y193:AA193)))</t>
        </is>
      </c>
      <c r="AN193" s="36" t="inlineStr">
        <is>
          <t>IF(OR(E193="",AC193=""),"",IF(COUNT(Y193:AB193)=0,"",AC193-LOOKUP(2,1/(Y193:AB193&lt;&gt;""),Y193:AB193)))</t>
        </is>
      </c>
      <c r="AO193" s="36" t="inlineStr">
        <is>
          <t>IF(OR(E193="",AD193=""),"",IF(COUNT(Y193:AC193)=0,"",AD193-LOOKUP(2,1/(Y193:AC193&lt;&gt;""),Y193:AC193)))</t>
        </is>
      </c>
      <c r="AP193" s="36" t="inlineStr">
        <is>
          <t>IF(OR(E193="",AE193=""),"",IF(COUNT(Y193:AD193)=0,"",AE193-LOOKUP(2,1/(Y193:AD193&lt;&gt;""),Y193:AD193)))</t>
        </is>
      </c>
      <c r="AQ193" s="36" t="inlineStr">
        <is>
          <t>IF(OR(E193="",AF193=""),"",IF(COUNT(Y193:AE193)=0,"",AF193-LOOKUP(2,1/(Y193:AE193&lt;&gt;""),Y193:AE193)))</t>
        </is>
      </c>
      <c r="AR193" s="36" t="inlineStr">
        <is>
          <t>IF(OR(E193="",AG193=""),"",IF(COUNT(Y193:AF193)=0,"",AG193-LOOKUP(2,1/(Y193:AF193&lt;&gt;""),Y193:AF193)))</t>
        </is>
      </c>
      <c r="AS193" s="36" t="inlineStr">
        <is>
          <t>IF(OR(E193="",AH193=""),"",IF(COUNT(Y193:AG193)=0,"",AH193-LOOKUP(2,1/(Y193:AG193&lt;&gt;""),Y193:AG193)))</t>
        </is>
      </c>
      <c r="AT193" s="36" t="inlineStr">
        <is>
          <t>IF(OR(E193="",AI193=""),"",IF(COUNT(Y193:AH193)=0,"",AI193-LOOKUP(2,1/(Y193:AH193&lt;&gt;""),Y193:AH193)))</t>
        </is>
      </c>
      <c r="AU193" s="36" t="inlineStr">
        <is>
          <t>IF(OR(E193="",AJ193=""),"",IF(COUNT(Y193:AI193)=0,"",AJ193-LOOKUP(2,1/(Y193:AI193&lt;&gt;""),Y193:AI193)))</t>
        </is>
      </c>
      <c r="AV193" s="39" t="inlineStr">
        <is>
          <t>IF(G193="","All_Provinces",IFERROR(VLOOKUP(G193,'07_Lookups'!$A$4:$B$20,2,FALSE),"All_Provinces"))</t>
        </is>
      </c>
      <c r="AW193" s="39" t="inlineStr">
        <is>
          <t>IF(H193="","All_Districts",IFERROR(VLOOKUP(H193,'07_Lookups'!$E$4:$F$42,2,FALSE),"All_Districts"))</t>
        </is>
      </c>
    </row>
    <row r="194" ht="18" customHeight="1">
      <c r="A194" s="31" t="inlineStr">
        <is>
          <t>IF(E194="","",ROW()-3)</t>
        </is>
      </c>
      <c r="B194" s="32" t="n"/>
      <c r="C194" s="32" t="n"/>
      <c r="D194" s="32" t="n"/>
      <c r="E194" s="32" t="n"/>
      <c r="F194" s="32" t="n"/>
      <c r="G194" s="32" t="n"/>
      <c r="H194" s="32" t="n"/>
      <c r="I194" s="32" t="n"/>
      <c r="J194" s="32" t="n"/>
      <c r="K194" s="32" t="n"/>
      <c r="L194" s="32" t="n"/>
      <c r="M194" s="32" t="n"/>
      <c r="N194" s="33" t="n"/>
      <c r="O194" s="34" t="inlineStr">
        <is>
          <t>IF(AE194="","",AE194)</t>
        </is>
      </c>
      <c r="P194" s="35" t="n"/>
      <c r="Q194" s="34" t="inlineStr">
        <is>
          <t>IF(OR(O194="",P194=""),"",EDATE(O194,P194))</t>
        </is>
      </c>
      <c r="R194" s="35" t="n"/>
      <c r="S194" s="32" t="n"/>
      <c r="T194" s="32" t="n"/>
      <c r="U194" s="31" t="inlineStr">
        <is>
          <t>IF(E194="","",IF(COUNT(Y194:AJ194)=0,IF(S194="","Not started",S194),SUBSTITUTE(LOOKUP(2,1/(Y194:AJ194&lt;&gt;""),$Y$3:$AJ$3),"Date: ","")))</t>
        </is>
      </c>
      <c r="V194" s="36" t="inlineStr">
        <is>
          <t>IF(OR(E194="",COUNT(Y194:AJ194)=0),"",TODAY()-LOOKUP(2,1/(Y194:AJ194&lt;&gt;""),Y194:AJ194))</t>
        </is>
      </c>
      <c r="W194" s="36" t="inlineStr">
        <is>
          <t>IF(OR(E194="",COUNT(Y194:AJ194)&lt;2),"",LOOKUP(2,1/(Y194:AJ194&lt;&gt;""),Y194:AJ194)-MIN(Y194:AJ194))</t>
        </is>
      </c>
      <c r="X194" s="36" t="inlineStr">
        <is>
          <t>IF(OR(V194="",U194="Not started",U194=""),"",IFERROR(V194-IF(VLOOKUP(U194,'04_Status_Pipeline'!$B$3:$E$20,4,FALSE)="",0,VLOOKUP(U194,'04_Status_Pipeline'!$B$3:$E$20,4,FALSE)),""))</t>
        </is>
      </c>
      <c r="Y194" s="37" t="n"/>
      <c r="Z194" s="37" t="n"/>
      <c r="AA194" s="37" t="n"/>
      <c r="AB194" s="37" t="n"/>
      <c r="AC194" s="37" t="n"/>
      <c r="AD194" s="37" t="n"/>
      <c r="AE194" s="37" t="n"/>
      <c r="AF194" s="37" t="n"/>
      <c r="AG194" s="37" t="n"/>
      <c r="AH194" s="38" t="n"/>
      <c r="AI194" s="38" t="n"/>
      <c r="AJ194" s="38" t="n"/>
      <c r="AK194" s="36" t="inlineStr">
        <is>
          <t>IF(OR(E194="",Z194=""),"",IF(COUNT(Y194:Y194)=0,"",Z194-LOOKUP(2,1/(Y194:Y194&lt;&gt;""),Y194:Y194)))</t>
        </is>
      </c>
      <c r="AL194" s="36" t="inlineStr">
        <is>
          <t>IF(OR(E194="",AA194=""),"",IF(COUNT(Y194:Z194)=0,"",AA194-LOOKUP(2,1/(Y194:Z194&lt;&gt;""),Y194:Z194)))</t>
        </is>
      </c>
      <c r="AM194" s="36" t="inlineStr">
        <is>
          <t>IF(OR(E194="",AB194=""),"",IF(COUNT(Y194:AA194)=0,"",AB194-LOOKUP(2,1/(Y194:AA194&lt;&gt;""),Y194:AA194)))</t>
        </is>
      </c>
      <c r="AN194" s="36" t="inlineStr">
        <is>
          <t>IF(OR(E194="",AC194=""),"",IF(COUNT(Y194:AB194)=0,"",AC194-LOOKUP(2,1/(Y194:AB194&lt;&gt;""),Y194:AB194)))</t>
        </is>
      </c>
      <c r="AO194" s="36" t="inlineStr">
        <is>
          <t>IF(OR(E194="",AD194=""),"",IF(COUNT(Y194:AC194)=0,"",AD194-LOOKUP(2,1/(Y194:AC194&lt;&gt;""),Y194:AC194)))</t>
        </is>
      </c>
      <c r="AP194" s="36" t="inlineStr">
        <is>
          <t>IF(OR(E194="",AE194=""),"",IF(COUNT(Y194:AD194)=0,"",AE194-LOOKUP(2,1/(Y194:AD194&lt;&gt;""),Y194:AD194)))</t>
        </is>
      </c>
      <c r="AQ194" s="36" t="inlineStr">
        <is>
          <t>IF(OR(E194="",AF194=""),"",IF(COUNT(Y194:AE194)=0,"",AF194-LOOKUP(2,1/(Y194:AE194&lt;&gt;""),Y194:AE194)))</t>
        </is>
      </c>
      <c r="AR194" s="36" t="inlineStr">
        <is>
          <t>IF(OR(E194="",AG194=""),"",IF(COUNT(Y194:AF194)=0,"",AG194-LOOKUP(2,1/(Y194:AF194&lt;&gt;""),Y194:AF194)))</t>
        </is>
      </c>
      <c r="AS194" s="36" t="inlineStr">
        <is>
          <t>IF(OR(E194="",AH194=""),"",IF(COUNT(Y194:AG194)=0,"",AH194-LOOKUP(2,1/(Y194:AG194&lt;&gt;""),Y194:AG194)))</t>
        </is>
      </c>
      <c r="AT194" s="36" t="inlineStr">
        <is>
          <t>IF(OR(E194="",AI194=""),"",IF(COUNT(Y194:AH194)=0,"",AI194-LOOKUP(2,1/(Y194:AH194&lt;&gt;""),Y194:AH194)))</t>
        </is>
      </c>
      <c r="AU194" s="36" t="inlineStr">
        <is>
          <t>IF(OR(E194="",AJ194=""),"",IF(COUNT(Y194:AI194)=0,"",AJ194-LOOKUP(2,1/(Y194:AI194&lt;&gt;""),Y194:AI194)))</t>
        </is>
      </c>
      <c r="AV194" s="39" t="inlineStr">
        <is>
          <t>IF(G194="","All_Provinces",IFERROR(VLOOKUP(G194,'07_Lookups'!$A$4:$B$20,2,FALSE),"All_Provinces"))</t>
        </is>
      </c>
      <c r="AW194" s="39" t="inlineStr">
        <is>
          <t>IF(H194="","All_Districts",IFERROR(VLOOKUP(H194,'07_Lookups'!$E$4:$F$42,2,FALSE),"All_Districts"))</t>
        </is>
      </c>
    </row>
    <row r="195" ht="18" customHeight="1">
      <c r="A195" s="31" t="inlineStr">
        <is>
          <t>IF(E195="","",ROW()-3)</t>
        </is>
      </c>
      <c r="B195" s="40" t="n"/>
      <c r="C195" s="40" t="n"/>
      <c r="D195" s="40" t="n"/>
      <c r="E195" s="40" t="n"/>
      <c r="F195" s="40" t="n"/>
      <c r="G195" s="40" t="n"/>
      <c r="H195" s="40" t="n"/>
      <c r="I195" s="40" t="n"/>
      <c r="J195" s="40" t="n"/>
      <c r="K195" s="40" t="n"/>
      <c r="L195" s="40" t="n"/>
      <c r="M195" s="40" t="n"/>
      <c r="N195" s="41" t="n"/>
      <c r="O195" s="34" t="inlineStr">
        <is>
          <t>IF(AE195="","",AE195)</t>
        </is>
      </c>
      <c r="P195" s="42" t="n"/>
      <c r="Q195" s="34" t="inlineStr">
        <is>
          <t>IF(OR(O195="",P195=""),"",EDATE(O195,P195))</t>
        </is>
      </c>
      <c r="R195" s="42" t="n"/>
      <c r="S195" s="40" t="n"/>
      <c r="T195" s="40" t="n"/>
      <c r="U195" s="31" t="inlineStr">
        <is>
          <t>IF(E195="","",IF(COUNT(Y195:AJ195)=0,IF(S195="","Not started",S195),SUBSTITUTE(LOOKUP(2,1/(Y195:AJ195&lt;&gt;""),$Y$3:$AJ$3),"Date: ","")))</t>
        </is>
      </c>
      <c r="V195" s="36" t="inlineStr">
        <is>
          <t>IF(OR(E195="",COUNT(Y195:AJ195)=0),"",TODAY()-LOOKUP(2,1/(Y195:AJ195&lt;&gt;""),Y195:AJ195))</t>
        </is>
      </c>
      <c r="W195" s="36" t="inlineStr">
        <is>
          <t>IF(OR(E195="",COUNT(Y195:AJ195)&lt;2),"",LOOKUP(2,1/(Y195:AJ195&lt;&gt;""),Y195:AJ195)-MIN(Y195:AJ195))</t>
        </is>
      </c>
      <c r="X195" s="36" t="inlineStr">
        <is>
          <t>IF(OR(V195="",U195="Not started",U195=""),"",IFERROR(V195-IF(VLOOKUP(U195,'04_Status_Pipeline'!$B$3:$E$20,4,FALSE)="",0,VLOOKUP(U195,'04_Status_Pipeline'!$B$3:$E$20,4,FALSE)),""))</t>
        </is>
      </c>
      <c r="Y195" s="43" t="n"/>
      <c r="Z195" s="43" t="n"/>
      <c r="AA195" s="43" t="n"/>
      <c r="AB195" s="43" t="n"/>
      <c r="AC195" s="43" t="n"/>
      <c r="AD195" s="43" t="n"/>
      <c r="AE195" s="43" t="n"/>
      <c r="AF195" s="43" t="n"/>
      <c r="AG195" s="43" t="n"/>
      <c r="AH195" s="38" t="n"/>
      <c r="AI195" s="38" t="n"/>
      <c r="AJ195" s="38" t="n"/>
      <c r="AK195" s="36" t="inlineStr">
        <is>
          <t>IF(OR(E195="",Z195=""),"",IF(COUNT(Y195:Y195)=0,"",Z195-LOOKUP(2,1/(Y195:Y195&lt;&gt;""),Y195:Y195)))</t>
        </is>
      </c>
      <c r="AL195" s="36" t="inlineStr">
        <is>
          <t>IF(OR(E195="",AA195=""),"",IF(COUNT(Y195:Z195)=0,"",AA195-LOOKUP(2,1/(Y195:Z195&lt;&gt;""),Y195:Z195)))</t>
        </is>
      </c>
      <c r="AM195" s="36" t="inlineStr">
        <is>
          <t>IF(OR(E195="",AB195=""),"",IF(COUNT(Y195:AA195)=0,"",AB195-LOOKUP(2,1/(Y195:AA195&lt;&gt;""),Y195:AA195)))</t>
        </is>
      </c>
      <c r="AN195" s="36" t="inlineStr">
        <is>
          <t>IF(OR(E195="",AC195=""),"",IF(COUNT(Y195:AB195)=0,"",AC195-LOOKUP(2,1/(Y195:AB195&lt;&gt;""),Y195:AB195)))</t>
        </is>
      </c>
      <c r="AO195" s="36" t="inlineStr">
        <is>
          <t>IF(OR(E195="",AD195=""),"",IF(COUNT(Y195:AC195)=0,"",AD195-LOOKUP(2,1/(Y195:AC195&lt;&gt;""),Y195:AC195)))</t>
        </is>
      </c>
      <c r="AP195" s="36" t="inlineStr">
        <is>
          <t>IF(OR(E195="",AE195=""),"",IF(COUNT(Y195:AD195)=0,"",AE195-LOOKUP(2,1/(Y195:AD195&lt;&gt;""),Y195:AD195)))</t>
        </is>
      </c>
      <c r="AQ195" s="36" t="inlineStr">
        <is>
          <t>IF(OR(E195="",AF195=""),"",IF(COUNT(Y195:AE195)=0,"",AF195-LOOKUP(2,1/(Y195:AE195&lt;&gt;""),Y195:AE195)))</t>
        </is>
      </c>
      <c r="AR195" s="36" t="inlineStr">
        <is>
          <t>IF(OR(E195="",AG195=""),"",IF(COUNT(Y195:AF195)=0,"",AG195-LOOKUP(2,1/(Y195:AF195&lt;&gt;""),Y195:AF195)))</t>
        </is>
      </c>
      <c r="AS195" s="36" t="inlineStr">
        <is>
          <t>IF(OR(E195="",AH195=""),"",IF(COUNT(Y195:AG195)=0,"",AH195-LOOKUP(2,1/(Y195:AG195&lt;&gt;""),Y195:AG195)))</t>
        </is>
      </c>
      <c r="AT195" s="36" t="inlineStr">
        <is>
          <t>IF(OR(E195="",AI195=""),"",IF(COUNT(Y195:AH195)=0,"",AI195-LOOKUP(2,1/(Y195:AH195&lt;&gt;""),Y195:AH195)))</t>
        </is>
      </c>
      <c r="AU195" s="36" t="inlineStr">
        <is>
          <t>IF(OR(E195="",AJ195=""),"",IF(COUNT(Y195:AI195)=0,"",AJ195-LOOKUP(2,1/(Y195:AI195&lt;&gt;""),Y195:AI195)))</t>
        </is>
      </c>
      <c r="AV195" s="39" t="inlineStr">
        <is>
          <t>IF(G195="","All_Provinces",IFERROR(VLOOKUP(G195,'07_Lookups'!$A$4:$B$20,2,FALSE),"All_Provinces"))</t>
        </is>
      </c>
      <c r="AW195" s="39" t="inlineStr">
        <is>
          <t>IF(H195="","All_Districts",IFERROR(VLOOKUP(H195,'07_Lookups'!$E$4:$F$42,2,FALSE),"All_Districts"))</t>
        </is>
      </c>
    </row>
    <row r="196" ht="18" customHeight="1">
      <c r="A196" s="31" t="inlineStr">
        <is>
          <t>IF(E196="","",ROW()-3)</t>
        </is>
      </c>
      <c r="B196" s="32" t="n"/>
      <c r="C196" s="32" t="n"/>
      <c r="D196" s="32" t="n"/>
      <c r="E196" s="32" t="n"/>
      <c r="F196" s="32" t="n"/>
      <c r="G196" s="32" t="n"/>
      <c r="H196" s="32" t="n"/>
      <c r="I196" s="32" t="n"/>
      <c r="J196" s="32" t="n"/>
      <c r="K196" s="32" t="n"/>
      <c r="L196" s="32" t="n"/>
      <c r="M196" s="32" t="n"/>
      <c r="N196" s="33" t="n"/>
      <c r="O196" s="34" t="inlineStr">
        <is>
          <t>IF(AE196="","",AE196)</t>
        </is>
      </c>
      <c r="P196" s="35" t="n"/>
      <c r="Q196" s="34" t="inlineStr">
        <is>
          <t>IF(OR(O196="",P196=""),"",EDATE(O196,P196))</t>
        </is>
      </c>
      <c r="R196" s="35" t="n"/>
      <c r="S196" s="32" t="n"/>
      <c r="T196" s="32" t="n"/>
      <c r="U196" s="31" t="inlineStr">
        <is>
          <t>IF(E196="","",IF(COUNT(Y196:AJ196)=0,IF(S196="","Not started",S196),SUBSTITUTE(LOOKUP(2,1/(Y196:AJ196&lt;&gt;""),$Y$3:$AJ$3),"Date: ","")))</t>
        </is>
      </c>
      <c r="V196" s="36" t="inlineStr">
        <is>
          <t>IF(OR(E196="",COUNT(Y196:AJ196)=0),"",TODAY()-LOOKUP(2,1/(Y196:AJ196&lt;&gt;""),Y196:AJ196))</t>
        </is>
      </c>
      <c r="W196" s="36" t="inlineStr">
        <is>
          <t>IF(OR(E196="",COUNT(Y196:AJ196)&lt;2),"",LOOKUP(2,1/(Y196:AJ196&lt;&gt;""),Y196:AJ196)-MIN(Y196:AJ196))</t>
        </is>
      </c>
      <c r="X196" s="36" t="inlineStr">
        <is>
          <t>IF(OR(V196="",U196="Not started",U196=""),"",IFERROR(V196-IF(VLOOKUP(U196,'04_Status_Pipeline'!$B$3:$E$20,4,FALSE)="",0,VLOOKUP(U196,'04_Status_Pipeline'!$B$3:$E$20,4,FALSE)),""))</t>
        </is>
      </c>
      <c r="Y196" s="37" t="n"/>
      <c r="Z196" s="37" t="n"/>
      <c r="AA196" s="37" t="n"/>
      <c r="AB196" s="37" t="n"/>
      <c r="AC196" s="37" t="n"/>
      <c r="AD196" s="37" t="n"/>
      <c r="AE196" s="37" t="n"/>
      <c r="AF196" s="37" t="n"/>
      <c r="AG196" s="37" t="n"/>
      <c r="AH196" s="38" t="n"/>
      <c r="AI196" s="38" t="n"/>
      <c r="AJ196" s="38" t="n"/>
      <c r="AK196" s="36" t="inlineStr">
        <is>
          <t>IF(OR(E196="",Z196=""),"",IF(COUNT(Y196:Y196)=0,"",Z196-LOOKUP(2,1/(Y196:Y196&lt;&gt;""),Y196:Y196)))</t>
        </is>
      </c>
      <c r="AL196" s="36" t="inlineStr">
        <is>
          <t>IF(OR(E196="",AA196=""),"",IF(COUNT(Y196:Z196)=0,"",AA196-LOOKUP(2,1/(Y196:Z196&lt;&gt;""),Y196:Z196)))</t>
        </is>
      </c>
      <c r="AM196" s="36" t="inlineStr">
        <is>
          <t>IF(OR(E196="",AB196=""),"",IF(COUNT(Y196:AA196)=0,"",AB196-LOOKUP(2,1/(Y196:AA196&lt;&gt;""),Y196:AA196)))</t>
        </is>
      </c>
      <c r="AN196" s="36" t="inlineStr">
        <is>
          <t>IF(OR(E196="",AC196=""),"",IF(COUNT(Y196:AB196)=0,"",AC196-LOOKUP(2,1/(Y196:AB196&lt;&gt;""),Y196:AB196)))</t>
        </is>
      </c>
      <c r="AO196" s="36" t="inlineStr">
        <is>
          <t>IF(OR(E196="",AD196=""),"",IF(COUNT(Y196:AC196)=0,"",AD196-LOOKUP(2,1/(Y196:AC196&lt;&gt;""),Y196:AC196)))</t>
        </is>
      </c>
      <c r="AP196" s="36" t="inlineStr">
        <is>
          <t>IF(OR(E196="",AE196=""),"",IF(COUNT(Y196:AD196)=0,"",AE196-LOOKUP(2,1/(Y196:AD196&lt;&gt;""),Y196:AD196)))</t>
        </is>
      </c>
      <c r="AQ196" s="36" t="inlineStr">
        <is>
          <t>IF(OR(E196="",AF196=""),"",IF(COUNT(Y196:AE196)=0,"",AF196-LOOKUP(2,1/(Y196:AE196&lt;&gt;""),Y196:AE196)))</t>
        </is>
      </c>
      <c r="AR196" s="36" t="inlineStr">
        <is>
          <t>IF(OR(E196="",AG196=""),"",IF(COUNT(Y196:AF196)=0,"",AG196-LOOKUP(2,1/(Y196:AF196&lt;&gt;""),Y196:AF196)))</t>
        </is>
      </c>
      <c r="AS196" s="36" t="inlineStr">
        <is>
          <t>IF(OR(E196="",AH196=""),"",IF(COUNT(Y196:AG196)=0,"",AH196-LOOKUP(2,1/(Y196:AG196&lt;&gt;""),Y196:AG196)))</t>
        </is>
      </c>
      <c r="AT196" s="36" t="inlineStr">
        <is>
          <t>IF(OR(E196="",AI196=""),"",IF(COUNT(Y196:AH196)=0,"",AI196-LOOKUP(2,1/(Y196:AH196&lt;&gt;""),Y196:AH196)))</t>
        </is>
      </c>
      <c r="AU196" s="36" t="inlineStr">
        <is>
          <t>IF(OR(E196="",AJ196=""),"",IF(COUNT(Y196:AI196)=0,"",AJ196-LOOKUP(2,1/(Y196:AI196&lt;&gt;""),Y196:AI196)))</t>
        </is>
      </c>
      <c r="AV196" s="39" t="inlineStr">
        <is>
          <t>IF(G196="","All_Provinces",IFERROR(VLOOKUP(G196,'07_Lookups'!$A$4:$B$20,2,FALSE),"All_Provinces"))</t>
        </is>
      </c>
      <c r="AW196" s="39" t="inlineStr">
        <is>
          <t>IF(H196="","All_Districts",IFERROR(VLOOKUP(H196,'07_Lookups'!$E$4:$F$42,2,FALSE),"All_Districts"))</t>
        </is>
      </c>
    </row>
    <row r="197" ht="18" customHeight="1">
      <c r="A197" s="31" t="inlineStr">
        <is>
          <t>IF(E197="","",ROW()-3)</t>
        </is>
      </c>
      <c r="B197" s="40" t="n"/>
      <c r="C197" s="40" t="n"/>
      <c r="D197" s="40" t="n"/>
      <c r="E197" s="40" t="n"/>
      <c r="F197" s="40" t="n"/>
      <c r="G197" s="40" t="n"/>
      <c r="H197" s="40" t="n"/>
      <c r="I197" s="40" t="n"/>
      <c r="J197" s="40" t="n"/>
      <c r="K197" s="40" t="n"/>
      <c r="L197" s="40" t="n"/>
      <c r="M197" s="40" t="n"/>
      <c r="N197" s="41" t="n"/>
      <c r="O197" s="34" t="inlineStr">
        <is>
          <t>IF(AE197="","",AE197)</t>
        </is>
      </c>
      <c r="P197" s="42" t="n"/>
      <c r="Q197" s="34" t="inlineStr">
        <is>
          <t>IF(OR(O197="",P197=""),"",EDATE(O197,P197))</t>
        </is>
      </c>
      <c r="R197" s="42" t="n"/>
      <c r="S197" s="40" t="n"/>
      <c r="T197" s="40" t="n"/>
      <c r="U197" s="31" t="inlineStr">
        <is>
          <t>IF(E197="","",IF(COUNT(Y197:AJ197)=0,IF(S197="","Not started",S197),SUBSTITUTE(LOOKUP(2,1/(Y197:AJ197&lt;&gt;""),$Y$3:$AJ$3),"Date: ","")))</t>
        </is>
      </c>
      <c r="V197" s="36" t="inlineStr">
        <is>
          <t>IF(OR(E197="",COUNT(Y197:AJ197)=0),"",TODAY()-LOOKUP(2,1/(Y197:AJ197&lt;&gt;""),Y197:AJ197))</t>
        </is>
      </c>
      <c r="W197" s="36" t="inlineStr">
        <is>
          <t>IF(OR(E197="",COUNT(Y197:AJ197)&lt;2),"",LOOKUP(2,1/(Y197:AJ197&lt;&gt;""),Y197:AJ197)-MIN(Y197:AJ197))</t>
        </is>
      </c>
      <c r="X197" s="36" t="inlineStr">
        <is>
          <t>IF(OR(V197="",U197="Not started",U197=""),"",IFERROR(V197-IF(VLOOKUP(U197,'04_Status_Pipeline'!$B$3:$E$20,4,FALSE)="",0,VLOOKUP(U197,'04_Status_Pipeline'!$B$3:$E$20,4,FALSE)),""))</t>
        </is>
      </c>
      <c r="Y197" s="43" t="n"/>
      <c r="Z197" s="43" t="n"/>
      <c r="AA197" s="43" t="n"/>
      <c r="AB197" s="43" t="n"/>
      <c r="AC197" s="43" t="n"/>
      <c r="AD197" s="43" t="n"/>
      <c r="AE197" s="43" t="n"/>
      <c r="AF197" s="43" t="n"/>
      <c r="AG197" s="43" t="n"/>
      <c r="AH197" s="38" t="n"/>
      <c r="AI197" s="38" t="n"/>
      <c r="AJ197" s="38" t="n"/>
      <c r="AK197" s="36" t="inlineStr">
        <is>
          <t>IF(OR(E197="",Z197=""),"",IF(COUNT(Y197:Y197)=0,"",Z197-LOOKUP(2,1/(Y197:Y197&lt;&gt;""),Y197:Y197)))</t>
        </is>
      </c>
      <c r="AL197" s="36" t="inlineStr">
        <is>
          <t>IF(OR(E197="",AA197=""),"",IF(COUNT(Y197:Z197)=0,"",AA197-LOOKUP(2,1/(Y197:Z197&lt;&gt;""),Y197:Z197)))</t>
        </is>
      </c>
      <c r="AM197" s="36" t="inlineStr">
        <is>
          <t>IF(OR(E197="",AB197=""),"",IF(COUNT(Y197:AA197)=0,"",AB197-LOOKUP(2,1/(Y197:AA197&lt;&gt;""),Y197:AA197)))</t>
        </is>
      </c>
      <c r="AN197" s="36" t="inlineStr">
        <is>
          <t>IF(OR(E197="",AC197=""),"",IF(COUNT(Y197:AB197)=0,"",AC197-LOOKUP(2,1/(Y197:AB197&lt;&gt;""),Y197:AB197)))</t>
        </is>
      </c>
      <c r="AO197" s="36" t="inlineStr">
        <is>
          <t>IF(OR(E197="",AD197=""),"",IF(COUNT(Y197:AC197)=0,"",AD197-LOOKUP(2,1/(Y197:AC197&lt;&gt;""),Y197:AC197)))</t>
        </is>
      </c>
      <c r="AP197" s="36" t="inlineStr">
        <is>
          <t>IF(OR(E197="",AE197=""),"",IF(COUNT(Y197:AD197)=0,"",AE197-LOOKUP(2,1/(Y197:AD197&lt;&gt;""),Y197:AD197)))</t>
        </is>
      </c>
      <c r="AQ197" s="36" t="inlineStr">
        <is>
          <t>IF(OR(E197="",AF197=""),"",IF(COUNT(Y197:AE197)=0,"",AF197-LOOKUP(2,1/(Y197:AE197&lt;&gt;""),Y197:AE197)))</t>
        </is>
      </c>
      <c r="AR197" s="36" t="inlineStr">
        <is>
          <t>IF(OR(E197="",AG197=""),"",IF(COUNT(Y197:AF197)=0,"",AG197-LOOKUP(2,1/(Y197:AF197&lt;&gt;""),Y197:AF197)))</t>
        </is>
      </c>
      <c r="AS197" s="36" t="inlineStr">
        <is>
          <t>IF(OR(E197="",AH197=""),"",IF(COUNT(Y197:AG197)=0,"",AH197-LOOKUP(2,1/(Y197:AG197&lt;&gt;""),Y197:AG197)))</t>
        </is>
      </c>
      <c r="AT197" s="36" t="inlineStr">
        <is>
          <t>IF(OR(E197="",AI197=""),"",IF(COUNT(Y197:AH197)=0,"",AI197-LOOKUP(2,1/(Y197:AH197&lt;&gt;""),Y197:AH197)))</t>
        </is>
      </c>
      <c r="AU197" s="36" t="inlineStr">
        <is>
          <t>IF(OR(E197="",AJ197=""),"",IF(COUNT(Y197:AI197)=0,"",AJ197-LOOKUP(2,1/(Y197:AI197&lt;&gt;""),Y197:AI197)))</t>
        </is>
      </c>
      <c r="AV197" s="39" t="inlineStr">
        <is>
          <t>IF(G197="","All_Provinces",IFERROR(VLOOKUP(G197,'07_Lookups'!$A$4:$B$20,2,FALSE),"All_Provinces"))</t>
        </is>
      </c>
      <c r="AW197" s="39" t="inlineStr">
        <is>
          <t>IF(H197="","All_Districts",IFERROR(VLOOKUP(H197,'07_Lookups'!$E$4:$F$42,2,FALSE),"All_Districts"))</t>
        </is>
      </c>
    </row>
    <row r="198" ht="18" customHeight="1">
      <c r="A198" s="31" t="inlineStr">
        <is>
          <t>IF(E198="","",ROW()-3)</t>
        </is>
      </c>
      <c r="B198" s="32" t="n"/>
      <c r="C198" s="32" t="n"/>
      <c r="D198" s="32" t="n"/>
      <c r="E198" s="32" t="n"/>
      <c r="F198" s="32" t="n"/>
      <c r="G198" s="32" t="n"/>
      <c r="H198" s="32" t="n"/>
      <c r="I198" s="32" t="n"/>
      <c r="J198" s="32" t="n"/>
      <c r="K198" s="32" t="n"/>
      <c r="L198" s="32" t="n"/>
      <c r="M198" s="32" t="n"/>
      <c r="N198" s="33" t="n"/>
      <c r="O198" s="34" t="inlineStr">
        <is>
          <t>IF(AE198="","",AE198)</t>
        </is>
      </c>
      <c r="P198" s="35" t="n"/>
      <c r="Q198" s="34" t="inlineStr">
        <is>
          <t>IF(OR(O198="",P198=""),"",EDATE(O198,P198))</t>
        </is>
      </c>
      <c r="R198" s="35" t="n"/>
      <c r="S198" s="32" t="n"/>
      <c r="T198" s="32" t="n"/>
      <c r="U198" s="31" t="inlineStr">
        <is>
          <t>IF(E198="","",IF(COUNT(Y198:AJ198)=0,IF(S198="","Not started",S198),SUBSTITUTE(LOOKUP(2,1/(Y198:AJ198&lt;&gt;""),$Y$3:$AJ$3),"Date: ","")))</t>
        </is>
      </c>
      <c r="V198" s="36" t="inlineStr">
        <is>
          <t>IF(OR(E198="",COUNT(Y198:AJ198)=0),"",TODAY()-LOOKUP(2,1/(Y198:AJ198&lt;&gt;""),Y198:AJ198))</t>
        </is>
      </c>
      <c r="W198" s="36" t="inlineStr">
        <is>
          <t>IF(OR(E198="",COUNT(Y198:AJ198)&lt;2),"",LOOKUP(2,1/(Y198:AJ198&lt;&gt;""),Y198:AJ198)-MIN(Y198:AJ198))</t>
        </is>
      </c>
      <c r="X198" s="36" t="inlineStr">
        <is>
          <t>IF(OR(V198="",U198="Not started",U198=""),"",IFERROR(V198-IF(VLOOKUP(U198,'04_Status_Pipeline'!$B$3:$E$20,4,FALSE)="",0,VLOOKUP(U198,'04_Status_Pipeline'!$B$3:$E$20,4,FALSE)),""))</t>
        </is>
      </c>
      <c r="Y198" s="37" t="n"/>
      <c r="Z198" s="37" t="n"/>
      <c r="AA198" s="37" t="n"/>
      <c r="AB198" s="37" t="n"/>
      <c r="AC198" s="37" t="n"/>
      <c r="AD198" s="37" t="n"/>
      <c r="AE198" s="37" t="n"/>
      <c r="AF198" s="37" t="n"/>
      <c r="AG198" s="37" t="n"/>
      <c r="AH198" s="38" t="n"/>
      <c r="AI198" s="38" t="n"/>
      <c r="AJ198" s="38" t="n"/>
      <c r="AK198" s="36" t="inlineStr">
        <is>
          <t>IF(OR(E198="",Z198=""),"",IF(COUNT(Y198:Y198)=0,"",Z198-LOOKUP(2,1/(Y198:Y198&lt;&gt;""),Y198:Y198)))</t>
        </is>
      </c>
      <c r="AL198" s="36" t="inlineStr">
        <is>
          <t>IF(OR(E198="",AA198=""),"",IF(COUNT(Y198:Z198)=0,"",AA198-LOOKUP(2,1/(Y198:Z198&lt;&gt;""),Y198:Z198)))</t>
        </is>
      </c>
      <c r="AM198" s="36" t="inlineStr">
        <is>
          <t>IF(OR(E198="",AB198=""),"",IF(COUNT(Y198:AA198)=0,"",AB198-LOOKUP(2,1/(Y198:AA198&lt;&gt;""),Y198:AA198)))</t>
        </is>
      </c>
      <c r="AN198" s="36" t="inlineStr">
        <is>
          <t>IF(OR(E198="",AC198=""),"",IF(COUNT(Y198:AB198)=0,"",AC198-LOOKUP(2,1/(Y198:AB198&lt;&gt;""),Y198:AB198)))</t>
        </is>
      </c>
      <c r="AO198" s="36" t="inlineStr">
        <is>
          <t>IF(OR(E198="",AD198=""),"",IF(COUNT(Y198:AC198)=0,"",AD198-LOOKUP(2,1/(Y198:AC198&lt;&gt;""),Y198:AC198)))</t>
        </is>
      </c>
      <c r="AP198" s="36" t="inlineStr">
        <is>
          <t>IF(OR(E198="",AE198=""),"",IF(COUNT(Y198:AD198)=0,"",AE198-LOOKUP(2,1/(Y198:AD198&lt;&gt;""),Y198:AD198)))</t>
        </is>
      </c>
      <c r="AQ198" s="36" t="inlineStr">
        <is>
          <t>IF(OR(E198="",AF198=""),"",IF(COUNT(Y198:AE198)=0,"",AF198-LOOKUP(2,1/(Y198:AE198&lt;&gt;""),Y198:AE198)))</t>
        </is>
      </c>
      <c r="AR198" s="36" t="inlineStr">
        <is>
          <t>IF(OR(E198="",AG198=""),"",IF(COUNT(Y198:AF198)=0,"",AG198-LOOKUP(2,1/(Y198:AF198&lt;&gt;""),Y198:AF198)))</t>
        </is>
      </c>
      <c r="AS198" s="36" t="inlineStr">
        <is>
          <t>IF(OR(E198="",AH198=""),"",IF(COUNT(Y198:AG198)=0,"",AH198-LOOKUP(2,1/(Y198:AG198&lt;&gt;""),Y198:AG198)))</t>
        </is>
      </c>
      <c r="AT198" s="36" t="inlineStr">
        <is>
          <t>IF(OR(E198="",AI198=""),"",IF(COUNT(Y198:AH198)=0,"",AI198-LOOKUP(2,1/(Y198:AH198&lt;&gt;""),Y198:AH198)))</t>
        </is>
      </c>
      <c r="AU198" s="36" t="inlineStr">
        <is>
          <t>IF(OR(E198="",AJ198=""),"",IF(COUNT(Y198:AI198)=0,"",AJ198-LOOKUP(2,1/(Y198:AI198&lt;&gt;""),Y198:AI198)))</t>
        </is>
      </c>
      <c r="AV198" s="39" t="inlineStr">
        <is>
          <t>IF(G198="","All_Provinces",IFERROR(VLOOKUP(G198,'07_Lookups'!$A$4:$B$20,2,FALSE),"All_Provinces"))</t>
        </is>
      </c>
      <c r="AW198" s="39" t="inlineStr">
        <is>
          <t>IF(H198="","All_Districts",IFERROR(VLOOKUP(H198,'07_Lookups'!$E$4:$F$42,2,FALSE),"All_Districts"))</t>
        </is>
      </c>
    </row>
    <row r="199" ht="18" customHeight="1">
      <c r="A199" s="31" t="inlineStr">
        <is>
          <t>IF(E199="","",ROW()-3)</t>
        </is>
      </c>
      <c r="B199" s="40" t="n"/>
      <c r="C199" s="40" t="n"/>
      <c r="D199" s="40" t="n"/>
      <c r="E199" s="40" t="n"/>
      <c r="F199" s="40" t="n"/>
      <c r="G199" s="40" t="n"/>
      <c r="H199" s="40" t="n"/>
      <c r="I199" s="40" t="n"/>
      <c r="J199" s="40" t="n"/>
      <c r="K199" s="40" t="n"/>
      <c r="L199" s="40" t="n"/>
      <c r="M199" s="40" t="n"/>
      <c r="N199" s="41" t="n"/>
      <c r="O199" s="34" t="inlineStr">
        <is>
          <t>IF(AE199="","",AE199)</t>
        </is>
      </c>
      <c r="P199" s="42" t="n"/>
      <c r="Q199" s="34" t="inlineStr">
        <is>
          <t>IF(OR(O199="",P199=""),"",EDATE(O199,P199))</t>
        </is>
      </c>
      <c r="R199" s="42" t="n"/>
      <c r="S199" s="40" t="n"/>
      <c r="T199" s="40" t="n"/>
      <c r="U199" s="31" t="inlineStr">
        <is>
          <t>IF(E199="","",IF(COUNT(Y199:AJ199)=0,IF(S199="","Not started",S199),SUBSTITUTE(LOOKUP(2,1/(Y199:AJ199&lt;&gt;""),$Y$3:$AJ$3),"Date: ","")))</t>
        </is>
      </c>
      <c r="V199" s="36" t="inlineStr">
        <is>
          <t>IF(OR(E199="",COUNT(Y199:AJ199)=0),"",TODAY()-LOOKUP(2,1/(Y199:AJ199&lt;&gt;""),Y199:AJ199))</t>
        </is>
      </c>
      <c r="W199" s="36" t="inlineStr">
        <is>
          <t>IF(OR(E199="",COUNT(Y199:AJ199)&lt;2),"",LOOKUP(2,1/(Y199:AJ199&lt;&gt;""),Y199:AJ199)-MIN(Y199:AJ199))</t>
        </is>
      </c>
      <c r="X199" s="36" t="inlineStr">
        <is>
          <t>IF(OR(V199="",U199="Not started",U199=""),"",IFERROR(V199-IF(VLOOKUP(U199,'04_Status_Pipeline'!$B$3:$E$20,4,FALSE)="",0,VLOOKUP(U199,'04_Status_Pipeline'!$B$3:$E$20,4,FALSE)),""))</t>
        </is>
      </c>
      <c r="Y199" s="43" t="n"/>
      <c r="Z199" s="43" t="n"/>
      <c r="AA199" s="43" t="n"/>
      <c r="AB199" s="43" t="n"/>
      <c r="AC199" s="43" t="n"/>
      <c r="AD199" s="43" t="n"/>
      <c r="AE199" s="43" t="n"/>
      <c r="AF199" s="43" t="n"/>
      <c r="AG199" s="43" t="n"/>
      <c r="AH199" s="38" t="n"/>
      <c r="AI199" s="38" t="n"/>
      <c r="AJ199" s="38" t="n"/>
      <c r="AK199" s="36" t="inlineStr">
        <is>
          <t>IF(OR(E199="",Z199=""),"",IF(COUNT(Y199:Y199)=0,"",Z199-LOOKUP(2,1/(Y199:Y199&lt;&gt;""),Y199:Y199)))</t>
        </is>
      </c>
      <c r="AL199" s="36" t="inlineStr">
        <is>
          <t>IF(OR(E199="",AA199=""),"",IF(COUNT(Y199:Z199)=0,"",AA199-LOOKUP(2,1/(Y199:Z199&lt;&gt;""),Y199:Z199)))</t>
        </is>
      </c>
      <c r="AM199" s="36" t="inlineStr">
        <is>
          <t>IF(OR(E199="",AB199=""),"",IF(COUNT(Y199:AA199)=0,"",AB199-LOOKUP(2,1/(Y199:AA199&lt;&gt;""),Y199:AA199)))</t>
        </is>
      </c>
      <c r="AN199" s="36" t="inlineStr">
        <is>
          <t>IF(OR(E199="",AC199=""),"",IF(COUNT(Y199:AB199)=0,"",AC199-LOOKUP(2,1/(Y199:AB199&lt;&gt;""),Y199:AB199)))</t>
        </is>
      </c>
      <c r="AO199" s="36" t="inlineStr">
        <is>
          <t>IF(OR(E199="",AD199=""),"",IF(COUNT(Y199:AC199)=0,"",AD199-LOOKUP(2,1/(Y199:AC199&lt;&gt;""),Y199:AC199)))</t>
        </is>
      </c>
      <c r="AP199" s="36" t="inlineStr">
        <is>
          <t>IF(OR(E199="",AE199=""),"",IF(COUNT(Y199:AD199)=0,"",AE199-LOOKUP(2,1/(Y199:AD199&lt;&gt;""),Y199:AD199)))</t>
        </is>
      </c>
      <c r="AQ199" s="36" t="inlineStr">
        <is>
          <t>IF(OR(E199="",AF199=""),"",IF(COUNT(Y199:AE199)=0,"",AF199-LOOKUP(2,1/(Y199:AE199&lt;&gt;""),Y199:AE199)))</t>
        </is>
      </c>
      <c r="AR199" s="36" t="inlineStr">
        <is>
          <t>IF(OR(E199="",AG199=""),"",IF(COUNT(Y199:AF199)=0,"",AG199-LOOKUP(2,1/(Y199:AF199&lt;&gt;""),Y199:AF199)))</t>
        </is>
      </c>
      <c r="AS199" s="36" t="inlineStr">
        <is>
          <t>IF(OR(E199="",AH199=""),"",IF(COUNT(Y199:AG199)=0,"",AH199-LOOKUP(2,1/(Y199:AG199&lt;&gt;""),Y199:AG199)))</t>
        </is>
      </c>
      <c r="AT199" s="36" t="inlineStr">
        <is>
          <t>IF(OR(E199="",AI199=""),"",IF(COUNT(Y199:AH199)=0,"",AI199-LOOKUP(2,1/(Y199:AH199&lt;&gt;""),Y199:AH199)))</t>
        </is>
      </c>
      <c r="AU199" s="36" t="inlineStr">
        <is>
          <t>IF(OR(E199="",AJ199=""),"",IF(COUNT(Y199:AI199)=0,"",AJ199-LOOKUP(2,1/(Y199:AI199&lt;&gt;""),Y199:AI199)))</t>
        </is>
      </c>
      <c r="AV199" s="39" t="inlineStr">
        <is>
          <t>IF(G199="","All_Provinces",IFERROR(VLOOKUP(G199,'07_Lookups'!$A$4:$B$20,2,FALSE),"All_Provinces"))</t>
        </is>
      </c>
      <c r="AW199" s="39" t="inlineStr">
        <is>
          <t>IF(H199="","All_Districts",IFERROR(VLOOKUP(H199,'07_Lookups'!$E$4:$F$42,2,FALSE),"All_Districts"))</t>
        </is>
      </c>
    </row>
    <row r="200" ht="18" customHeight="1">
      <c r="A200" s="31" t="inlineStr">
        <is>
          <t>IF(E200="","",ROW()-3)</t>
        </is>
      </c>
      <c r="B200" s="32" t="n"/>
      <c r="C200" s="32" t="n"/>
      <c r="D200" s="32" t="n"/>
      <c r="E200" s="32" t="n"/>
      <c r="F200" s="32" t="n"/>
      <c r="G200" s="32" t="n"/>
      <c r="H200" s="32" t="n"/>
      <c r="I200" s="32" t="n"/>
      <c r="J200" s="32" t="n"/>
      <c r="K200" s="32" t="n"/>
      <c r="L200" s="32" t="n"/>
      <c r="M200" s="32" t="n"/>
      <c r="N200" s="33" t="n"/>
      <c r="O200" s="34" t="inlineStr">
        <is>
          <t>IF(AE200="","",AE200)</t>
        </is>
      </c>
      <c r="P200" s="35" t="n"/>
      <c r="Q200" s="34" t="inlineStr">
        <is>
          <t>IF(OR(O200="",P200=""),"",EDATE(O200,P200))</t>
        </is>
      </c>
      <c r="R200" s="35" t="n"/>
      <c r="S200" s="32" t="n"/>
      <c r="T200" s="32" t="n"/>
      <c r="U200" s="31" t="inlineStr">
        <is>
          <t>IF(E200="","",IF(COUNT(Y200:AJ200)=0,IF(S200="","Not started",S200),SUBSTITUTE(LOOKUP(2,1/(Y200:AJ200&lt;&gt;""),$Y$3:$AJ$3),"Date: ","")))</t>
        </is>
      </c>
      <c r="V200" s="36" t="inlineStr">
        <is>
          <t>IF(OR(E200="",COUNT(Y200:AJ200)=0),"",TODAY()-LOOKUP(2,1/(Y200:AJ200&lt;&gt;""),Y200:AJ200))</t>
        </is>
      </c>
      <c r="W200" s="36" t="inlineStr">
        <is>
          <t>IF(OR(E200="",COUNT(Y200:AJ200)&lt;2),"",LOOKUP(2,1/(Y200:AJ200&lt;&gt;""),Y200:AJ200)-MIN(Y200:AJ200))</t>
        </is>
      </c>
      <c r="X200" s="36" t="inlineStr">
        <is>
          <t>IF(OR(V200="",U200="Not started",U200=""),"",IFERROR(V200-IF(VLOOKUP(U200,'04_Status_Pipeline'!$B$3:$E$20,4,FALSE)="",0,VLOOKUP(U200,'04_Status_Pipeline'!$B$3:$E$20,4,FALSE)),""))</t>
        </is>
      </c>
      <c r="Y200" s="37" t="n"/>
      <c r="Z200" s="37" t="n"/>
      <c r="AA200" s="37" t="n"/>
      <c r="AB200" s="37" t="n"/>
      <c r="AC200" s="37" t="n"/>
      <c r="AD200" s="37" t="n"/>
      <c r="AE200" s="37" t="n"/>
      <c r="AF200" s="37" t="n"/>
      <c r="AG200" s="37" t="n"/>
      <c r="AH200" s="38" t="n"/>
      <c r="AI200" s="38" t="n"/>
      <c r="AJ200" s="38" t="n"/>
      <c r="AK200" s="36" t="inlineStr">
        <is>
          <t>IF(OR(E200="",Z200=""),"",IF(COUNT(Y200:Y200)=0,"",Z200-LOOKUP(2,1/(Y200:Y200&lt;&gt;""),Y200:Y200)))</t>
        </is>
      </c>
      <c r="AL200" s="36" t="inlineStr">
        <is>
          <t>IF(OR(E200="",AA200=""),"",IF(COUNT(Y200:Z200)=0,"",AA200-LOOKUP(2,1/(Y200:Z200&lt;&gt;""),Y200:Z200)))</t>
        </is>
      </c>
      <c r="AM200" s="36" t="inlineStr">
        <is>
          <t>IF(OR(E200="",AB200=""),"",IF(COUNT(Y200:AA200)=0,"",AB200-LOOKUP(2,1/(Y200:AA200&lt;&gt;""),Y200:AA200)))</t>
        </is>
      </c>
      <c r="AN200" s="36" t="inlineStr">
        <is>
          <t>IF(OR(E200="",AC200=""),"",IF(COUNT(Y200:AB200)=0,"",AC200-LOOKUP(2,1/(Y200:AB200&lt;&gt;""),Y200:AB200)))</t>
        </is>
      </c>
      <c r="AO200" s="36" t="inlineStr">
        <is>
          <t>IF(OR(E200="",AD200=""),"",IF(COUNT(Y200:AC200)=0,"",AD200-LOOKUP(2,1/(Y200:AC200&lt;&gt;""),Y200:AC200)))</t>
        </is>
      </c>
      <c r="AP200" s="36" t="inlineStr">
        <is>
          <t>IF(OR(E200="",AE200=""),"",IF(COUNT(Y200:AD200)=0,"",AE200-LOOKUP(2,1/(Y200:AD200&lt;&gt;""),Y200:AD200)))</t>
        </is>
      </c>
      <c r="AQ200" s="36" t="inlineStr">
        <is>
          <t>IF(OR(E200="",AF200=""),"",IF(COUNT(Y200:AE200)=0,"",AF200-LOOKUP(2,1/(Y200:AE200&lt;&gt;""),Y200:AE200)))</t>
        </is>
      </c>
      <c r="AR200" s="36" t="inlineStr">
        <is>
          <t>IF(OR(E200="",AG200=""),"",IF(COUNT(Y200:AF200)=0,"",AG200-LOOKUP(2,1/(Y200:AF200&lt;&gt;""),Y200:AF200)))</t>
        </is>
      </c>
      <c r="AS200" s="36" t="inlineStr">
        <is>
          <t>IF(OR(E200="",AH200=""),"",IF(COUNT(Y200:AG200)=0,"",AH200-LOOKUP(2,1/(Y200:AG200&lt;&gt;""),Y200:AG200)))</t>
        </is>
      </c>
      <c r="AT200" s="36" t="inlineStr">
        <is>
          <t>IF(OR(E200="",AI200=""),"",IF(COUNT(Y200:AH200)=0,"",AI200-LOOKUP(2,1/(Y200:AH200&lt;&gt;""),Y200:AH200)))</t>
        </is>
      </c>
      <c r="AU200" s="36" t="inlineStr">
        <is>
          <t>IF(OR(E200="",AJ200=""),"",IF(COUNT(Y200:AI200)=0,"",AJ200-LOOKUP(2,1/(Y200:AI200&lt;&gt;""),Y200:AI200)))</t>
        </is>
      </c>
      <c r="AV200" s="39" t="inlineStr">
        <is>
          <t>IF(G200="","All_Provinces",IFERROR(VLOOKUP(G200,'07_Lookups'!$A$4:$B$20,2,FALSE),"All_Provinces"))</t>
        </is>
      </c>
      <c r="AW200" s="39" t="inlineStr">
        <is>
          <t>IF(H200="","All_Districts",IFERROR(VLOOKUP(H200,'07_Lookups'!$E$4:$F$42,2,FALSE),"All_Districts"))</t>
        </is>
      </c>
    </row>
    <row r="201" ht="18" customHeight="1">
      <c r="A201" s="31" t="inlineStr">
        <is>
          <t>IF(E201="","",ROW()-3)</t>
        </is>
      </c>
      <c r="B201" s="40" t="n"/>
      <c r="C201" s="40" t="n"/>
      <c r="D201" s="40" t="n"/>
      <c r="E201" s="40" t="n"/>
      <c r="F201" s="40" t="n"/>
      <c r="G201" s="40" t="n"/>
      <c r="H201" s="40" t="n"/>
      <c r="I201" s="40" t="n"/>
      <c r="J201" s="40" t="n"/>
      <c r="K201" s="40" t="n"/>
      <c r="L201" s="40" t="n"/>
      <c r="M201" s="40" t="n"/>
      <c r="N201" s="41" t="n"/>
      <c r="O201" s="34" t="inlineStr">
        <is>
          <t>IF(AE201="","",AE201)</t>
        </is>
      </c>
      <c r="P201" s="42" t="n"/>
      <c r="Q201" s="34" t="inlineStr">
        <is>
          <t>IF(OR(O201="",P201=""),"",EDATE(O201,P201))</t>
        </is>
      </c>
      <c r="R201" s="42" t="n"/>
      <c r="S201" s="40" t="n"/>
      <c r="T201" s="40" t="n"/>
      <c r="U201" s="31" t="inlineStr">
        <is>
          <t>IF(E201="","",IF(COUNT(Y201:AJ201)=0,IF(S201="","Not started",S201),SUBSTITUTE(LOOKUP(2,1/(Y201:AJ201&lt;&gt;""),$Y$3:$AJ$3),"Date: ","")))</t>
        </is>
      </c>
      <c r="V201" s="36" t="inlineStr">
        <is>
          <t>IF(OR(E201="",COUNT(Y201:AJ201)=0),"",TODAY()-LOOKUP(2,1/(Y201:AJ201&lt;&gt;""),Y201:AJ201))</t>
        </is>
      </c>
      <c r="W201" s="36" t="inlineStr">
        <is>
          <t>IF(OR(E201="",COUNT(Y201:AJ201)&lt;2),"",LOOKUP(2,1/(Y201:AJ201&lt;&gt;""),Y201:AJ201)-MIN(Y201:AJ201))</t>
        </is>
      </c>
      <c r="X201" s="36" t="inlineStr">
        <is>
          <t>IF(OR(V201="",U201="Not started",U201=""),"",IFERROR(V201-IF(VLOOKUP(U201,'04_Status_Pipeline'!$B$3:$E$20,4,FALSE)="",0,VLOOKUP(U201,'04_Status_Pipeline'!$B$3:$E$20,4,FALSE)),""))</t>
        </is>
      </c>
      <c r="Y201" s="43" t="n"/>
      <c r="Z201" s="43" t="n"/>
      <c r="AA201" s="43" t="n"/>
      <c r="AB201" s="43" t="n"/>
      <c r="AC201" s="43" t="n"/>
      <c r="AD201" s="43" t="n"/>
      <c r="AE201" s="43" t="n"/>
      <c r="AF201" s="43" t="n"/>
      <c r="AG201" s="43" t="n"/>
      <c r="AH201" s="38" t="n"/>
      <c r="AI201" s="38" t="n"/>
      <c r="AJ201" s="38" t="n"/>
      <c r="AK201" s="36" t="inlineStr">
        <is>
          <t>IF(OR(E201="",Z201=""),"",IF(COUNT(Y201:Y201)=0,"",Z201-LOOKUP(2,1/(Y201:Y201&lt;&gt;""),Y201:Y201)))</t>
        </is>
      </c>
      <c r="AL201" s="36" t="inlineStr">
        <is>
          <t>IF(OR(E201="",AA201=""),"",IF(COUNT(Y201:Z201)=0,"",AA201-LOOKUP(2,1/(Y201:Z201&lt;&gt;""),Y201:Z201)))</t>
        </is>
      </c>
      <c r="AM201" s="36" t="inlineStr">
        <is>
          <t>IF(OR(E201="",AB201=""),"",IF(COUNT(Y201:AA201)=0,"",AB201-LOOKUP(2,1/(Y201:AA201&lt;&gt;""),Y201:AA201)))</t>
        </is>
      </c>
      <c r="AN201" s="36" t="inlineStr">
        <is>
          <t>IF(OR(E201="",AC201=""),"",IF(COUNT(Y201:AB201)=0,"",AC201-LOOKUP(2,1/(Y201:AB201&lt;&gt;""),Y201:AB201)))</t>
        </is>
      </c>
      <c r="AO201" s="36" t="inlineStr">
        <is>
          <t>IF(OR(E201="",AD201=""),"",IF(COUNT(Y201:AC201)=0,"",AD201-LOOKUP(2,1/(Y201:AC201&lt;&gt;""),Y201:AC201)))</t>
        </is>
      </c>
      <c r="AP201" s="36" t="inlineStr">
        <is>
          <t>IF(OR(E201="",AE201=""),"",IF(COUNT(Y201:AD201)=0,"",AE201-LOOKUP(2,1/(Y201:AD201&lt;&gt;""),Y201:AD201)))</t>
        </is>
      </c>
      <c r="AQ201" s="36" t="inlineStr">
        <is>
          <t>IF(OR(E201="",AF201=""),"",IF(COUNT(Y201:AE201)=0,"",AF201-LOOKUP(2,1/(Y201:AE201&lt;&gt;""),Y201:AE201)))</t>
        </is>
      </c>
      <c r="AR201" s="36" t="inlineStr">
        <is>
          <t>IF(OR(E201="",AG201=""),"",IF(COUNT(Y201:AF201)=0,"",AG201-LOOKUP(2,1/(Y201:AF201&lt;&gt;""),Y201:AF201)))</t>
        </is>
      </c>
      <c r="AS201" s="36" t="inlineStr">
        <is>
          <t>IF(OR(E201="",AH201=""),"",IF(COUNT(Y201:AG201)=0,"",AH201-LOOKUP(2,1/(Y201:AG201&lt;&gt;""),Y201:AG201)))</t>
        </is>
      </c>
      <c r="AT201" s="36" t="inlineStr">
        <is>
          <t>IF(OR(E201="",AI201=""),"",IF(COUNT(Y201:AH201)=0,"",AI201-LOOKUP(2,1/(Y201:AH201&lt;&gt;""),Y201:AH201)))</t>
        </is>
      </c>
      <c r="AU201" s="36" t="inlineStr">
        <is>
          <t>IF(OR(E201="",AJ201=""),"",IF(COUNT(Y201:AI201)=0,"",AJ201-LOOKUP(2,1/(Y201:AI201&lt;&gt;""),Y201:AI201)))</t>
        </is>
      </c>
      <c r="AV201" s="39" t="inlineStr">
        <is>
          <t>IF(G201="","All_Provinces",IFERROR(VLOOKUP(G201,'07_Lookups'!$A$4:$B$20,2,FALSE),"All_Provinces"))</t>
        </is>
      </c>
      <c r="AW201" s="39" t="inlineStr">
        <is>
          <t>IF(H201="","All_Districts",IFERROR(VLOOKUP(H201,'07_Lookups'!$E$4:$F$42,2,FALSE),"All_Districts"))</t>
        </is>
      </c>
    </row>
    <row r="202" ht="18" customHeight="1">
      <c r="A202" s="31" t="inlineStr">
        <is>
          <t>IF(E202="","",ROW()-3)</t>
        </is>
      </c>
      <c r="B202" s="32" t="n"/>
      <c r="C202" s="32" t="n"/>
      <c r="D202" s="32" t="n"/>
      <c r="E202" s="32" t="n"/>
      <c r="F202" s="32" t="n"/>
      <c r="G202" s="32" t="n"/>
      <c r="H202" s="32" t="n"/>
      <c r="I202" s="32" t="n"/>
      <c r="J202" s="32" t="n"/>
      <c r="K202" s="32" t="n"/>
      <c r="L202" s="32" t="n"/>
      <c r="M202" s="32" t="n"/>
      <c r="N202" s="33" t="n"/>
      <c r="O202" s="34" t="inlineStr">
        <is>
          <t>IF(AE202="","",AE202)</t>
        </is>
      </c>
      <c r="P202" s="35" t="n"/>
      <c r="Q202" s="34" t="inlineStr">
        <is>
          <t>IF(OR(O202="",P202=""),"",EDATE(O202,P202))</t>
        </is>
      </c>
      <c r="R202" s="35" t="n"/>
      <c r="S202" s="32" t="n"/>
      <c r="T202" s="32" t="n"/>
      <c r="U202" s="31" t="inlineStr">
        <is>
          <t>IF(E202="","",IF(COUNT(Y202:AJ202)=0,IF(S202="","Not started",S202),SUBSTITUTE(LOOKUP(2,1/(Y202:AJ202&lt;&gt;""),$Y$3:$AJ$3),"Date: ","")))</t>
        </is>
      </c>
      <c r="V202" s="36" t="inlineStr">
        <is>
          <t>IF(OR(E202="",COUNT(Y202:AJ202)=0),"",TODAY()-LOOKUP(2,1/(Y202:AJ202&lt;&gt;""),Y202:AJ202))</t>
        </is>
      </c>
      <c r="W202" s="36" t="inlineStr">
        <is>
          <t>IF(OR(E202="",COUNT(Y202:AJ202)&lt;2),"",LOOKUP(2,1/(Y202:AJ202&lt;&gt;""),Y202:AJ202)-MIN(Y202:AJ202))</t>
        </is>
      </c>
      <c r="X202" s="36" t="inlineStr">
        <is>
          <t>IF(OR(V202="",U202="Not started",U202=""),"",IFERROR(V202-IF(VLOOKUP(U202,'04_Status_Pipeline'!$B$3:$E$20,4,FALSE)="",0,VLOOKUP(U202,'04_Status_Pipeline'!$B$3:$E$20,4,FALSE)),""))</t>
        </is>
      </c>
      <c r="Y202" s="37" t="n"/>
      <c r="Z202" s="37" t="n"/>
      <c r="AA202" s="37" t="n"/>
      <c r="AB202" s="37" t="n"/>
      <c r="AC202" s="37" t="n"/>
      <c r="AD202" s="37" t="n"/>
      <c r="AE202" s="37" t="n"/>
      <c r="AF202" s="37" t="n"/>
      <c r="AG202" s="37" t="n"/>
      <c r="AH202" s="38" t="n"/>
      <c r="AI202" s="38" t="n"/>
      <c r="AJ202" s="38" t="n"/>
      <c r="AK202" s="36" t="inlineStr">
        <is>
          <t>IF(OR(E202="",Z202=""),"",IF(COUNT(Y202:Y202)=0,"",Z202-LOOKUP(2,1/(Y202:Y202&lt;&gt;""),Y202:Y202)))</t>
        </is>
      </c>
      <c r="AL202" s="36" t="inlineStr">
        <is>
          <t>IF(OR(E202="",AA202=""),"",IF(COUNT(Y202:Z202)=0,"",AA202-LOOKUP(2,1/(Y202:Z202&lt;&gt;""),Y202:Z202)))</t>
        </is>
      </c>
      <c r="AM202" s="36" t="inlineStr">
        <is>
          <t>IF(OR(E202="",AB202=""),"",IF(COUNT(Y202:AA202)=0,"",AB202-LOOKUP(2,1/(Y202:AA202&lt;&gt;""),Y202:AA202)))</t>
        </is>
      </c>
      <c r="AN202" s="36" t="inlineStr">
        <is>
          <t>IF(OR(E202="",AC202=""),"",IF(COUNT(Y202:AB202)=0,"",AC202-LOOKUP(2,1/(Y202:AB202&lt;&gt;""),Y202:AB202)))</t>
        </is>
      </c>
      <c r="AO202" s="36" t="inlineStr">
        <is>
          <t>IF(OR(E202="",AD202=""),"",IF(COUNT(Y202:AC202)=0,"",AD202-LOOKUP(2,1/(Y202:AC202&lt;&gt;""),Y202:AC202)))</t>
        </is>
      </c>
      <c r="AP202" s="36" t="inlineStr">
        <is>
          <t>IF(OR(E202="",AE202=""),"",IF(COUNT(Y202:AD202)=0,"",AE202-LOOKUP(2,1/(Y202:AD202&lt;&gt;""),Y202:AD202)))</t>
        </is>
      </c>
      <c r="AQ202" s="36" t="inlineStr">
        <is>
          <t>IF(OR(E202="",AF202=""),"",IF(COUNT(Y202:AE202)=0,"",AF202-LOOKUP(2,1/(Y202:AE202&lt;&gt;""),Y202:AE202)))</t>
        </is>
      </c>
      <c r="AR202" s="36" t="inlineStr">
        <is>
          <t>IF(OR(E202="",AG202=""),"",IF(COUNT(Y202:AF202)=0,"",AG202-LOOKUP(2,1/(Y202:AF202&lt;&gt;""),Y202:AF202)))</t>
        </is>
      </c>
      <c r="AS202" s="36" t="inlineStr">
        <is>
          <t>IF(OR(E202="",AH202=""),"",IF(COUNT(Y202:AG202)=0,"",AH202-LOOKUP(2,1/(Y202:AG202&lt;&gt;""),Y202:AG202)))</t>
        </is>
      </c>
      <c r="AT202" s="36" t="inlineStr">
        <is>
          <t>IF(OR(E202="",AI202=""),"",IF(COUNT(Y202:AH202)=0,"",AI202-LOOKUP(2,1/(Y202:AH202&lt;&gt;""),Y202:AH202)))</t>
        </is>
      </c>
      <c r="AU202" s="36" t="inlineStr">
        <is>
          <t>IF(OR(E202="",AJ202=""),"",IF(COUNT(Y202:AI202)=0,"",AJ202-LOOKUP(2,1/(Y202:AI202&lt;&gt;""),Y202:AI202)))</t>
        </is>
      </c>
      <c r="AV202" s="39" t="inlineStr">
        <is>
          <t>IF(G202="","All_Provinces",IFERROR(VLOOKUP(G202,'07_Lookups'!$A$4:$B$20,2,FALSE),"All_Provinces"))</t>
        </is>
      </c>
      <c r="AW202" s="39" t="inlineStr">
        <is>
          <t>IF(H202="","All_Districts",IFERROR(VLOOKUP(H202,'07_Lookups'!$E$4:$F$42,2,FALSE),"All_Districts"))</t>
        </is>
      </c>
    </row>
    <row r="203" ht="18" customHeight="1">
      <c r="A203" s="31" t="inlineStr">
        <is>
          <t>IF(E203="","",ROW()-3)</t>
        </is>
      </c>
      <c r="B203" s="40" t="n"/>
      <c r="C203" s="40" t="n"/>
      <c r="D203" s="40" t="n"/>
      <c r="E203" s="40" t="n"/>
      <c r="F203" s="40" t="n"/>
      <c r="G203" s="40" t="n"/>
      <c r="H203" s="40" t="n"/>
      <c r="I203" s="40" t="n"/>
      <c r="J203" s="40" t="n"/>
      <c r="K203" s="40" t="n"/>
      <c r="L203" s="40" t="n"/>
      <c r="M203" s="40" t="n"/>
      <c r="N203" s="41" t="n"/>
      <c r="O203" s="34" t="inlineStr">
        <is>
          <t>IF(AE203="","",AE203)</t>
        </is>
      </c>
      <c r="P203" s="42" t="n"/>
      <c r="Q203" s="34" t="inlineStr">
        <is>
          <t>IF(OR(O203="",P203=""),"",EDATE(O203,P203))</t>
        </is>
      </c>
      <c r="R203" s="42" t="n"/>
      <c r="S203" s="40" t="n"/>
      <c r="T203" s="40" t="n"/>
      <c r="U203" s="31" t="inlineStr">
        <is>
          <t>IF(E203="","",IF(COUNT(Y203:AJ203)=0,IF(S203="","Not started",S203),SUBSTITUTE(LOOKUP(2,1/(Y203:AJ203&lt;&gt;""),$Y$3:$AJ$3),"Date: ","")))</t>
        </is>
      </c>
      <c r="V203" s="36" t="inlineStr">
        <is>
          <t>IF(OR(E203="",COUNT(Y203:AJ203)=0),"",TODAY()-LOOKUP(2,1/(Y203:AJ203&lt;&gt;""),Y203:AJ203))</t>
        </is>
      </c>
      <c r="W203" s="36" t="inlineStr">
        <is>
          <t>IF(OR(E203="",COUNT(Y203:AJ203)&lt;2),"",LOOKUP(2,1/(Y203:AJ203&lt;&gt;""),Y203:AJ203)-MIN(Y203:AJ203))</t>
        </is>
      </c>
      <c r="X203" s="36" t="inlineStr">
        <is>
          <t>IF(OR(V203="",U203="Not started",U203=""),"",IFERROR(V203-IF(VLOOKUP(U203,'04_Status_Pipeline'!$B$3:$E$20,4,FALSE)="",0,VLOOKUP(U203,'04_Status_Pipeline'!$B$3:$E$20,4,FALSE)),""))</t>
        </is>
      </c>
      <c r="Y203" s="43" t="n"/>
      <c r="Z203" s="43" t="n"/>
      <c r="AA203" s="43" t="n"/>
      <c r="AB203" s="43" t="n"/>
      <c r="AC203" s="43" t="n"/>
      <c r="AD203" s="43" t="n"/>
      <c r="AE203" s="43" t="n"/>
      <c r="AF203" s="43" t="n"/>
      <c r="AG203" s="43" t="n"/>
      <c r="AH203" s="38" t="n"/>
      <c r="AI203" s="38" t="n"/>
      <c r="AJ203" s="38" t="n"/>
      <c r="AK203" s="36" t="inlineStr">
        <is>
          <t>IF(OR(E203="",Z203=""),"",IF(COUNT(Y203:Y203)=0,"",Z203-LOOKUP(2,1/(Y203:Y203&lt;&gt;""),Y203:Y203)))</t>
        </is>
      </c>
      <c r="AL203" s="36" t="inlineStr">
        <is>
          <t>IF(OR(E203="",AA203=""),"",IF(COUNT(Y203:Z203)=0,"",AA203-LOOKUP(2,1/(Y203:Z203&lt;&gt;""),Y203:Z203)))</t>
        </is>
      </c>
      <c r="AM203" s="36" t="inlineStr">
        <is>
          <t>IF(OR(E203="",AB203=""),"",IF(COUNT(Y203:AA203)=0,"",AB203-LOOKUP(2,1/(Y203:AA203&lt;&gt;""),Y203:AA203)))</t>
        </is>
      </c>
      <c r="AN203" s="36" t="inlineStr">
        <is>
          <t>IF(OR(E203="",AC203=""),"",IF(COUNT(Y203:AB203)=0,"",AC203-LOOKUP(2,1/(Y203:AB203&lt;&gt;""),Y203:AB203)))</t>
        </is>
      </c>
      <c r="AO203" s="36" t="inlineStr">
        <is>
          <t>IF(OR(E203="",AD203=""),"",IF(COUNT(Y203:AC203)=0,"",AD203-LOOKUP(2,1/(Y203:AC203&lt;&gt;""),Y203:AC203)))</t>
        </is>
      </c>
      <c r="AP203" s="36" t="inlineStr">
        <is>
          <t>IF(OR(E203="",AE203=""),"",IF(COUNT(Y203:AD203)=0,"",AE203-LOOKUP(2,1/(Y203:AD203&lt;&gt;""),Y203:AD203)))</t>
        </is>
      </c>
      <c r="AQ203" s="36" t="inlineStr">
        <is>
          <t>IF(OR(E203="",AF203=""),"",IF(COUNT(Y203:AE203)=0,"",AF203-LOOKUP(2,1/(Y203:AE203&lt;&gt;""),Y203:AE203)))</t>
        </is>
      </c>
      <c r="AR203" s="36" t="inlineStr">
        <is>
          <t>IF(OR(E203="",AG203=""),"",IF(COUNT(Y203:AF203)=0,"",AG203-LOOKUP(2,1/(Y203:AF203&lt;&gt;""),Y203:AF203)))</t>
        </is>
      </c>
      <c r="AS203" s="36" t="inlineStr">
        <is>
          <t>IF(OR(E203="",AH203=""),"",IF(COUNT(Y203:AG203)=0,"",AH203-LOOKUP(2,1/(Y203:AG203&lt;&gt;""),Y203:AG203)))</t>
        </is>
      </c>
      <c r="AT203" s="36" t="inlineStr">
        <is>
          <t>IF(OR(E203="",AI203=""),"",IF(COUNT(Y203:AH203)=0,"",AI203-LOOKUP(2,1/(Y203:AH203&lt;&gt;""),Y203:AH203)))</t>
        </is>
      </c>
      <c r="AU203" s="36" t="inlineStr">
        <is>
          <t>IF(OR(E203="",AJ203=""),"",IF(COUNT(Y203:AI203)=0,"",AJ203-LOOKUP(2,1/(Y203:AI203&lt;&gt;""),Y203:AI203)))</t>
        </is>
      </c>
      <c r="AV203" s="39" t="inlineStr">
        <is>
          <t>IF(G203="","All_Provinces",IFERROR(VLOOKUP(G203,'07_Lookups'!$A$4:$B$20,2,FALSE),"All_Provinces"))</t>
        </is>
      </c>
      <c r="AW203" s="39" t="inlineStr">
        <is>
          <t>IF(H203="","All_Districts",IFERROR(VLOOKUP(H203,'07_Lookups'!$E$4:$F$42,2,FALSE),"All_Districts"))</t>
        </is>
      </c>
    </row>
  </sheetData>
  <autoFilter ref="A3:AU203"/>
  <mergeCells count="6">
    <mergeCell ref="A1:AW1"/>
    <mergeCell ref="L2:T2"/>
    <mergeCell ref="Y2:AJ2"/>
    <mergeCell ref="A2:K2"/>
    <mergeCell ref="U2:X2"/>
    <mergeCell ref="AK2:AU2"/>
  </mergeCells>
  <conditionalFormatting sqref="U4:U20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"ITB Launched"</formula>
    </cfRule>
    <cfRule type="cellIs" priority="5" operator="equal" dxfId="4">
      <formula>"Under Technical Evaluation"</formula>
    </cfRule>
    <cfRule type="cellIs" priority="6" operator="equal" dxfId="5">
      <formula>"Under Awarding"</formula>
    </cfRule>
    <cfRule type="cellIs" priority="7" operator="equal" dxfId="6">
      <formula>"Awarded"</formula>
    </cfRule>
    <cfRule type="cellIs" priority="8" operator="equal" dxfId="7">
      <formula>"Under Construction"</formula>
    </cfRule>
    <cfRule type="cellIs" priority="9" operator="equal" dxfId="8">
      <formula>"Completed / Handover"</formula>
    </cfRule>
    <cfRule type="cellIs" priority="10" operator="equal" dxfId="9">
      <formula>"Not started"</formula>
    </cfRule>
  </conditionalFormatting>
  <conditionalFormatting sqref="V4:V203">
    <cfRule type="cellIs" priority="11" operator="greaterThan" dxfId="10">
      <formula>30</formula>
    </cfRule>
  </conditionalFormatting>
  <conditionalFormatting sqref="X4:X203">
    <cfRule type="cellIs" priority="12" operator="greaterThan" dxfId="11">
      <formula>0</formula>
    </cfRule>
  </conditionalFormatting>
  <conditionalFormatting sqref="R4:R203">
    <cfRule type="dataBar" priority="13">
      <dataBar showValue="1">
        <cfvo type="num" val="0"/>
        <cfvo type="num" val="100"/>
        <color rgb="003D5A3D"/>
      </dataBar>
    </cfRule>
  </conditionalFormatting>
  <conditionalFormatting sqref="AK4:AU203">
    <cfRule type="cellIs" priority="14" operator="lessThan" dxfId="11">
      <formula>0</formula>
    </cfRule>
  </conditionalFormatting>
  <dataValidations count="10">
    <dataValidation sqref="C4:C203" showDropDown="0" showInputMessage="0" showErrorMessage="1" allowBlank="1" errorTitle="Not in list" error="Choose a value from the list, or add it on the Domains / Geography sheet first." type="list">
      <formula1>=Projects</formula1>
    </dataValidation>
    <dataValidation sqref="F4:F203" showDropDown="0" showInputMessage="0" showErrorMessage="1" allowBlank="1" errorTitle="Not in list" error="Choose a value from the list, or add it on the Domains / Geography sheet first." type="list">
      <formula1>=Interventions</formula1>
    </dataValidation>
    <dataValidation sqref="G4:G203" showDropDown="0" showInputMessage="0" showErrorMessage="1" allowBlank="1" errorTitle="Not in list" error="Choose a value from the list, or add it on the Domains / Geography sheet first." type="list">
      <formula1>=Regions</formula1>
    </dataValidation>
    <dataValidation sqref="K4:K203" showDropDown="0" showInputMessage="0" showErrorMessage="1" allowBlank="1" errorTitle="Not in list" error="Choose a value from the list, or add it on the Domains / Geography sheet first." type="list">
      <formula1>=Donors</formula1>
    </dataValidation>
    <dataValidation sqref="S4:S203" showDropDown="0" showInputMessage="0" showErrorMessage="1" allowBlank="1" errorTitle="Not in list" error="Choose a value from the list, or add it on the Domains / Geography sheet first." type="list">
      <formula1>=Statuses</formula1>
    </dataValidation>
    <dataValidation sqref="O4:O203 Y4:AJ203" showDropDown="0" showInputMessage="0" showErrorMessage="1" allowBlank="1" errorTitle="Date required" error="Enter a calendar date (for example 15-Mar-2026)." type="date" operator="greaterThanOrEqual">
      <formula1>DATE(2018,1,1)</formula1>
    </dataValidation>
    <dataValidation sqref="R4:R203" showDropDown="0" showInputMessage="0" showErrorMessage="1" allowBlank="1" errorTitle="0–100" error="Physical progress must be between 0 and 100." type="decimal" operator="between">
      <formula1>0</formula1>
      <formula2>100</formula2>
    </dataValidation>
    <dataValidation sqref="P4:P203" showDropDown="0" showInputMessage="0" showErrorMessage="1" allowBlank="1" errorTitle="Months" error="Enter contract duration in months (for example 5)." type="decimal" operator="greaterThanOrEqual">
      <formula1>0</formula1>
    </dataValidation>
    <dataValidation sqref="H4:H203" showDropDown="0" showInputMessage="0" showErrorMessage="1" allowBlank="1" errorTitle="Province" error="Select a province for the chosen region (add new ones on 06_Geography)." type="list">
      <formula1>=03_Example_Filled_ThisProvList</formula1>
    </dataValidation>
    <dataValidation sqref="I4:I203" showDropDown="0" showInputMessage="0" showErrorMessage="1" allowBlank="1" errorTitle="District" error="Select a district for the chosen province (add new ones on 06_Geography)." type="list">
      <formula1>=03_Example_Filled_ThisDistList</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5984"/>
    <outlinePr summaryBelow="1" summaryRight="1"/>
    <pageSetUpPr/>
  </sheetPr>
  <dimension ref="A1:F14"/>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0" t="inlineStr">
        <is>
          <t>Status pipeline — add a name in a spare slot to create a new step on the tracker</t>
        </is>
      </c>
      <c r="B1" s="21" t="n"/>
      <c r="C1" s="21" t="n"/>
      <c r="D1" s="21" t="n"/>
      <c r="E1" s="21" t="n"/>
      <c r="F1" s="21"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59" t="n">
        <v>1</v>
      </c>
      <c r="B3" s="11" t="inlineStr">
        <is>
          <t>Under Design</t>
        </is>
      </c>
      <c r="C3" s="32" t="inlineStr">
        <is>
          <t>Design</t>
        </is>
      </c>
      <c r="D3" s="32" t="inlineStr">
        <is>
          <t>Detailed design, surveys, and drawings are being prepared.</t>
        </is>
      </c>
      <c r="E3" s="35" t="n">
        <v>30</v>
      </c>
      <c r="F3" s="60" t="inlineStr">
        <is>
          <t>Used by tracker date headers and duration labels.</t>
        </is>
      </c>
    </row>
    <row r="4" ht="22" customHeight="1">
      <c r="A4" s="59" t="n">
        <v>2</v>
      </c>
      <c r="B4" s="12" t="inlineStr">
        <is>
          <t>Under Review of WRI</t>
        </is>
      </c>
      <c r="C4" s="32" t="inlineStr">
        <is>
          <t>WRI Review</t>
        </is>
      </c>
      <c r="D4" s="32" t="inlineStr">
        <is>
          <t>Water Resources / WRI is reviewing the design package.</t>
        </is>
      </c>
      <c r="E4" s="35" t="n">
        <v>14</v>
      </c>
      <c r="F4" s="60" t="inlineStr">
        <is>
          <t>Used by tracker date headers and duration labels.</t>
        </is>
      </c>
    </row>
    <row r="5" ht="22" customHeight="1">
      <c r="A5" s="59" t="n">
        <v>3</v>
      </c>
      <c r="B5" s="13" t="inlineStr">
        <is>
          <t>Under LTO Review</t>
        </is>
      </c>
      <c r="C5" s="32" t="inlineStr">
        <is>
          <t>LTO Review</t>
        </is>
      </c>
      <c r="D5" s="32" t="inlineStr">
        <is>
          <t>Legal / LTO clearance of the package.</t>
        </is>
      </c>
      <c r="E5" s="35" t="n">
        <v>10</v>
      </c>
      <c r="F5" s="60" t="inlineStr">
        <is>
          <t>Used by tracker date headers and duration labels.</t>
        </is>
      </c>
    </row>
    <row r="6" ht="22" customHeight="1">
      <c r="A6" s="59" t="n">
        <v>4</v>
      </c>
      <c r="B6" s="14" t="inlineStr">
        <is>
          <t>ITB Launched</t>
        </is>
      </c>
      <c r="C6" s="32" t="inlineStr">
        <is>
          <t>ITB</t>
        </is>
      </c>
      <c r="D6" s="32" t="inlineStr">
        <is>
          <t>Invitation to Bid has been issued.</t>
        </is>
      </c>
      <c r="E6" s="35" t="n">
        <v>21</v>
      </c>
      <c r="F6" s="60" t="inlineStr">
        <is>
          <t>Used by tracker date headers and duration labels.</t>
        </is>
      </c>
    </row>
    <row r="7" ht="22" customHeight="1">
      <c r="A7" s="59" t="n">
        <v>5</v>
      </c>
      <c r="B7" s="15" t="inlineStr">
        <is>
          <t>Under Technical Evaluation</t>
        </is>
      </c>
      <c r="C7" s="32" t="inlineStr">
        <is>
          <t>Tech Eval</t>
        </is>
      </c>
      <c r="D7" s="32" t="inlineStr">
        <is>
          <t>Bids are under technical evaluation.</t>
        </is>
      </c>
      <c r="E7" s="35" t="n">
        <v>14</v>
      </c>
      <c r="F7" s="60" t="inlineStr">
        <is>
          <t>Used by tracker date headers and duration labels.</t>
        </is>
      </c>
    </row>
    <row r="8" ht="22" customHeight="1">
      <c r="A8" s="59" t="n">
        <v>6</v>
      </c>
      <c r="B8" s="16" t="inlineStr">
        <is>
          <t>Under Awarding</t>
        </is>
      </c>
      <c r="C8" s="32" t="inlineStr">
        <is>
          <t>Awarding</t>
        </is>
      </c>
      <c r="D8" s="32" t="inlineStr">
        <is>
          <t>Award recommendation, negotiations, and approval.</t>
        </is>
      </c>
      <c r="E8" s="35" t="n">
        <v>14</v>
      </c>
      <c r="F8" s="60" t="inlineStr">
        <is>
          <t>Used by tracker date headers and duration labels.</t>
        </is>
      </c>
    </row>
    <row r="9" ht="22" customHeight="1">
      <c r="A9" s="59" t="n">
        <v>7</v>
      </c>
      <c r="B9" s="17" t="inlineStr">
        <is>
          <t>Awarded</t>
        </is>
      </c>
      <c r="C9" s="32" t="inlineStr">
        <is>
          <t>Awarded</t>
        </is>
      </c>
      <c r="D9" s="32" t="inlineStr">
        <is>
          <t>Contract signed / notice of award issued.</t>
        </is>
      </c>
      <c r="E9" s="35" t="n">
        <v>0</v>
      </c>
      <c r="F9" s="60" t="inlineStr">
        <is>
          <t>Used by tracker date headers and duration labels.</t>
        </is>
      </c>
    </row>
    <row r="10" ht="22" customHeight="1">
      <c r="A10" s="59" t="n">
        <v>8</v>
      </c>
      <c r="B10" s="18" t="inlineStr">
        <is>
          <t>Under Construction</t>
        </is>
      </c>
      <c r="C10" s="32" t="inlineStr">
        <is>
          <t>Construction</t>
        </is>
      </c>
      <c r="D10" s="32" t="inlineStr">
        <is>
          <t>Contractor is mobilised and physical works are ongoing.</t>
        </is>
      </c>
      <c r="E10" s="35" t="n">
        <v>150</v>
      </c>
      <c r="F10" s="60" t="inlineStr">
        <is>
          <t>Used by tracker date headers and duration labels.</t>
        </is>
      </c>
    </row>
    <row r="11" ht="22" customHeight="1">
      <c r="A11" s="59" t="n">
        <v>9</v>
      </c>
      <c r="B11" s="19" t="inlineStr">
        <is>
          <t>Completed / Handover</t>
        </is>
      </c>
      <c r="C11" s="32" t="inlineStr">
        <is>
          <t>Completed</t>
        </is>
      </c>
      <c r="D11" s="32" t="inlineStr">
        <is>
          <t>Works completed and handed over.</t>
        </is>
      </c>
      <c r="E11" s="35" t="n">
        <v>0</v>
      </c>
      <c r="F11" s="60" t="inlineStr">
        <is>
          <t>Used by tracker date headers and duration labels.</t>
        </is>
      </c>
    </row>
    <row r="12" ht="22" customHeight="1">
      <c r="A12" s="61" t="n">
        <v>10</v>
      </c>
      <c r="B12" s="62" t="inlineStr"/>
      <c r="C12" s="62" t="inlineStr"/>
      <c r="D12" s="62" t="inlineStr">
        <is>
          <t>Spare slot — type a status name here to add a step.</t>
        </is>
      </c>
      <c r="E12" s="63" t="n"/>
      <c r="F12" s="39" t="inlineStr">
        <is>
          <t>Type a status name in column B to activate this date column on the tracker.</t>
        </is>
      </c>
    </row>
    <row r="13" ht="22" customHeight="1">
      <c r="A13" s="61" t="n">
        <v>11</v>
      </c>
      <c r="B13" s="62" t="inlineStr"/>
      <c r="C13" s="62" t="inlineStr"/>
      <c r="D13" s="62" t="inlineStr">
        <is>
          <t>Spare slot — type a status name here to add a step.</t>
        </is>
      </c>
      <c r="E13" s="63" t="n"/>
      <c r="F13" s="39" t="inlineStr">
        <is>
          <t>Type a status name in column B to activate this date column on the tracker.</t>
        </is>
      </c>
    </row>
    <row r="14" ht="22" customHeight="1">
      <c r="A14" s="61" t="n">
        <v>12</v>
      </c>
      <c r="B14" s="62" t="inlineStr"/>
      <c r="C14" s="62" t="inlineStr"/>
      <c r="D14" s="62" t="inlineStr">
        <is>
          <t>Spare slot — type a status name here to add a step.</t>
        </is>
      </c>
      <c r="E14" s="63" t="n"/>
      <c r="F14" s="39"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8A6D3B"/>
    <outlinePr summaryBelow="1" summaryRight="1"/>
    <pageSetUpPr/>
  </sheetPr>
  <dimension ref="A1:H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s>
  <sheetData>
    <row r="1" ht="26" customHeight="1">
      <c r="A1" s="20" t="inlineStr">
        <is>
          <t>Domains — type a new value in the first empty cell of a column to add it to the dropdowns</t>
        </is>
      </c>
      <c r="B1" s="21" t="n"/>
      <c r="C1" s="21" t="n"/>
      <c r="D1" s="21" t="n"/>
      <c r="E1" s="21" t="n"/>
      <c r="F1" s="21" t="n"/>
      <c r="G1" s="21" t="n"/>
      <c r="H1" s="21"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row>
    <row r="3">
      <c r="A3" s="32" t="inlineStr">
        <is>
          <t>Check Dam</t>
        </is>
      </c>
      <c r="B3" s="32" t="inlineStr">
        <is>
          <t>World Bank (WBK/AF-2)</t>
        </is>
      </c>
      <c r="C3" s="32" t="inlineStr">
        <is>
          <t>Emergency Food Security Project (EFSP) – WBK/AF-2</t>
        </is>
      </c>
      <c r="D3" s="32" t="inlineStr">
        <is>
          <t>West / Herat</t>
        </is>
      </c>
      <c r="E3" s="32" t="inlineStr">
        <is>
          <t>Under Design</t>
        </is>
      </c>
      <c r="F3" s="32" t="inlineStr">
        <is>
          <t>Herat</t>
        </is>
      </c>
      <c r="G3" s="32" t="inlineStr">
        <is>
          <t>Herat</t>
        </is>
      </c>
    </row>
    <row r="4">
      <c r="A4" s="32" t="inlineStr">
        <is>
          <t>Boulder Check Dam</t>
        </is>
      </c>
      <c r="B4" s="32" t="inlineStr">
        <is>
          <t>World Bank (WBK)</t>
        </is>
      </c>
      <c r="C4" s="32" t="inlineStr">
        <is>
          <t>Emergency Food Security Project (EFSP)</t>
        </is>
      </c>
      <c r="D4" s="32" t="inlineStr">
        <is>
          <t>East / Jalalabad</t>
        </is>
      </c>
      <c r="E4" s="32" t="inlineStr">
        <is>
          <t>Under Review of WRI</t>
        </is>
      </c>
      <c r="F4" s="32" t="inlineStr">
        <is>
          <t>Badghis</t>
        </is>
      </c>
      <c r="G4" s="32" t="inlineStr">
        <is>
          <t>Injil</t>
        </is>
      </c>
    </row>
    <row r="5">
      <c r="A5" s="32" t="inlineStr">
        <is>
          <t>Check Dam and Water Pond</t>
        </is>
      </c>
      <c r="B5" s="32" t="inlineStr">
        <is>
          <t>WFP</t>
        </is>
      </c>
      <c r="C5" s="32" t="inlineStr">
        <is>
          <t>WBK/AF-2 Component 2: Water and Resilience Services</t>
        </is>
      </c>
      <c r="D5" s="32" t="inlineStr">
        <is>
          <t>Central / Kabul</t>
        </is>
      </c>
      <c r="E5" s="32" t="inlineStr">
        <is>
          <t>Under LTO Review</t>
        </is>
      </c>
      <c r="F5" s="32" t="inlineStr">
        <is>
          <t>Farah</t>
        </is>
      </c>
      <c r="G5" s="32" t="inlineStr">
        <is>
          <t>Guzara</t>
        </is>
      </c>
    </row>
    <row r="6">
      <c r="A6" s="32" t="inlineStr">
        <is>
          <t>Watershed Management</t>
        </is>
      </c>
      <c r="B6" s="32" t="inlineStr">
        <is>
          <t>FAO</t>
        </is>
      </c>
      <c r="C6" s="64" t="n"/>
      <c r="D6" s="32" t="inlineStr">
        <is>
          <t>Central Highland / Bamyan</t>
        </is>
      </c>
      <c r="E6" s="32" t="inlineStr">
        <is>
          <t>ITB Launched</t>
        </is>
      </c>
      <c r="F6" s="32" t="inlineStr">
        <is>
          <t>Ghor</t>
        </is>
      </c>
      <c r="G6" s="32" t="inlineStr">
        <is>
          <t>Karukh</t>
        </is>
      </c>
    </row>
    <row r="7">
      <c r="A7" s="32" t="inlineStr">
        <is>
          <t>Irrigation Canal</t>
        </is>
      </c>
      <c r="B7" s="32" t="inlineStr">
        <is>
          <t>UNICEF</t>
        </is>
      </c>
      <c r="C7" s="64" t="n"/>
      <c r="D7" s="32" t="inlineStr">
        <is>
          <t>Southeast / Gardez</t>
        </is>
      </c>
      <c r="E7" s="32" t="inlineStr">
        <is>
          <t>Under Technical Evaluation</t>
        </is>
      </c>
      <c r="F7" s="32" t="inlineStr">
        <is>
          <t>Nangarhar</t>
        </is>
      </c>
      <c r="G7" s="32" t="inlineStr">
        <is>
          <t>Pashtun Zarghun</t>
        </is>
      </c>
    </row>
    <row r="8">
      <c r="A8" s="32" t="inlineStr">
        <is>
          <t>Protection Wall</t>
        </is>
      </c>
      <c r="B8" s="32" t="inlineStr">
        <is>
          <t>ADB</t>
        </is>
      </c>
      <c r="C8" s="64" t="n"/>
      <c r="D8" s="32" t="inlineStr">
        <is>
          <t>South / Kandahar</t>
        </is>
      </c>
      <c r="E8" s="32" t="inlineStr">
        <is>
          <t>Under Awarding</t>
        </is>
      </c>
      <c r="F8" s="32" t="inlineStr">
        <is>
          <t>Kunar</t>
        </is>
      </c>
      <c r="G8" s="32" t="inlineStr">
        <is>
          <t>Zindajan</t>
        </is>
      </c>
    </row>
    <row r="9">
      <c r="A9" s="32" t="inlineStr">
        <is>
          <t>Karez Rehabilitation</t>
        </is>
      </c>
      <c r="B9" s="32" t="inlineStr">
        <is>
          <t>Government</t>
        </is>
      </c>
      <c r="C9" s="64" t="n"/>
      <c r="D9" s="32" t="inlineStr">
        <is>
          <t>North / Mazar</t>
        </is>
      </c>
      <c r="E9" s="32" t="inlineStr">
        <is>
          <t>Awarded</t>
        </is>
      </c>
      <c r="F9" s="32" t="inlineStr">
        <is>
          <t>Laghman</t>
        </is>
      </c>
      <c r="G9" s="32" t="inlineStr">
        <is>
          <t>Gulran</t>
        </is>
      </c>
    </row>
    <row r="10">
      <c r="A10" s="32" t="inlineStr">
        <is>
          <t>Intake / Diversion</t>
        </is>
      </c>
      <c r="B10" s="32" t="inlineStr">
        <is>
          <t>Other</t>
        </is>
      </c>
      <c r="C10" s="64" t="n"/>
      <c r="D10" s="32" t="inlineStr">
        <is>
          <t>Northeast / Kunduz</t>
        </is>
      </c>
      <c r="E10" s="32" t="inlineStr">
        <is>
          <t>Under Construction</t>
        </is>
      </c>
      <c r="F10" s="32" t="inlineStr">
        <is>
          <t>Nuristan</t>
        </is>
      </c>
      <c r="G10" s="32" t="inlineStr">
        <is>
          <t>Kohsan</t>
        </is>
      </c>
    </row>
    <row r="11">
      <c r="A11" s="32" t="inlineStr">
        <is>
          <t>Water Supply Scheme</t>
        </is>
      </c>
      <c r="B11" s="64" t="n"/>
      <c r="C11" s="64" t="n"/>
      <c r="D11" s="64" t="n"/>
      <c r="E11" s="32" t="inlineStr">
        <is>
          <t>Completed / Handover</t>
        </is>
      </c>
      <c r="F11" s="32" t="inlineStr">
        <is>
          <t>Kabul</t>
        </is>
      </c>
      <c r="G11" s="32" t="inlineStr">
        <is>
          <t>Ghoryan</t>
        </is>
      </c>
    </row>
    <row r="12">
      <c r="A12" s="32" t="inlineStr">
        <is>
          <t>Flood Protection</t>
        </is>
      </c>
      <c r="B12" s="64" t="n"/>
      <c r="C12" s="64" t="n"/>
      <c r="D12" s="64" t="n"/>
      <c r="E12" s="32" t="inlineStr">
        <is>
          <t>Not started</t>
        </is>
      </c>
      <c r="F12" s="32" t="inlineStr">
        <is>
          <t>Parwan</t>
        </is>
      </c>
      <c r="G12" s="32" t="inlineStr">
        <is>
          <t>Obe</t>
        </is>
      </c>
    </row>
    <row r="13">
      <c r="A13" s="32" t="inlineStr">
        <is>
          <t>Gabion Structure</t>
        </is>
      </c>
      <c r="B13" s="64" t="n"/>
      <c r="C13" s="64" t="n"/>
      <c r="D13" s="64" t="n"/>
      <c r="E13" s="64" t="n"/>
      <c r="F13" s="32" t="inlineStr">
        <is>
          <t>Kapisa</t>
        </is>
      </c>
      <c r="G13" s="32" t="inlineStr">
        <is>
          <t>Chishti Sharif</t>
        </is>
      </c>
    </row>
    <row r="14">
      <c r="A14" s="32" t="inlineStr">
        <is>
          <t>Other</t>
        </is>
      </c>
      <c r="B14" s="64" t="n"/>
      <c r="C14" s="64" t="n"/>
      <c r="D14" s="64" t="n"/>
      <c r="E14" s="64" t="n"/>
      <c r="F14" s="32" t="inlineStr">
        <is>
          <t>Logar</t>
        </is>
      </c>
      <c r="G14" s="32" t="inlineStr">
        <is>
          <t>Shindand</t>
        </is>
      </c>
    </row>
    <row r="15">
      <c r="A15" s="64" t="n"/>
      <c r="B15" s="64" t="n"/>
      <c r="C15" s="64" t="n"/>
      <c r="D15" s="64" t="n"/>
      <c r="E15" s="64" t="n"/>
      <c r="F15" s="32" t="inlineStr">
        <is>
          <t>Maidan Wardak</t>
        </is>
      </c>
      <c r="G15" s="32" t="inlineStr">
        <is>
          <t>Adraskan</t>
        </is>
      </c>
    </row>
    <row r="16">
      <c r="A16" s="64" t="n"/>
      <c r="B16" s="64" t="n"/>
      <c r="C16" s="64" t="n"/>
      <c r="D16" s="64" t="n"/>
      <c r="E16" s="64" t="n"/>
      <c r="F16" s="32" t="inlineStr">
        <is>
          <t>Panjshir</t>
        </is>
      </c>
      <c r="G16" s="32" t="inlineStr">
        <is>
          <t>Farsi</t>
        </is>
      </c>
    </row>
    <row r="17">
      <c r="A17" s="64" t="n"/>
      <c r="B17" s="64" t="n"/>
      <c r="C17" s="64" t="n"/>
      <c r="D17" s="64" t="n"/>
      <c r="E17" s="64" t="n"/>
      <c r="F17" s="32" t="inlineStr">
        <is>
          <t>Bamyan</t>
        </is>
      </c>
      <c r="G17" s="32" t="inlineStr">
        <is>
          <t>Qala-e-Naw</t>
        </is>
      </c>
    </row>
    <row r="18">
      <c r="A18" s="64" t="n"/>
      <c r="B18" s="64" t="n"/>
      <c r="D18" s="64" t="n"/>
      <c r="E18" s="64" t="n"/>
      <c r="F18" s="32" t="inlineStr">
        <is>
          <t>Daykundi</t>
        </is>
      </c>
      <c r="G18" s="32" t="inlineStr">
        <is>
          <t>Qadis</t>
        </is>
      </c>
    </row>
    <row r="19">
      <c r="A19" s="64" t="n"/>
      <c r="B19" s="64" t="n"/>
      <c r="D19" s="64" t="n"/>
      <c r="E19" s="64" t="n"/>
      <c r="F19" s="32" t="inlineStr">
        <is>
          <t>Paktya</t>
        </is>
      </c>
      <c r="G19" s="32" t="inlineStr">
        <is>
          <t>Muqur</t>
        </is>
      </c>
    </row>
    <row r="20">
      <c r="A20" s="64" t="n"/>
      <c r="B20" s="64" t="n"/>
      <c r="D20" s="64" t="n"/>
      <c r="E20" s="64" t="n"/>
      <c r="F20" s="32" t="inlineStr">
        <is>
          <t>Paktika</t>
        </is>
      </c>
      <c r="G20" s="32" t="inlineStr">
        <is>
          <t>Bala Murghab</t>
        </is>
      </c>
    </row>
    <row r="21">
      <c r="A21" s="64" t="n"/>
      <c r="B21" s="64" t="n"/>
      <c r="D21" s="64" t="n"/>
      <c r="E21" s="64" t="n"/>
      <c r="F21" s="32" t="inlineStr">
        <is>
          <t>Khost</t>
        </is>
      </c>
      <c r="G21" s="32" t="inlineStr">
        <is>
          <t>Jawand</t>
        </is>
      </c>
    </row>
    <row r="22">
      <c r="A22" s="64" t="n"/>
      <c r="B22" s="64" t="n"/>
      <c r="D22" s="64" t="n"/>
      <c r="E22" s="64" t="n"/>
      <c r="F22" s="32" t="inlineStr">
        <is>
          <t>Ghazni</t>
        </is>
      </c>
      <c r="G22" s="32" t="inlineStr">
        <is>
          <t>Ab Kamari</t>
        </is>
      </c>
    </row>
    <row r="23">
      <c r="A23" s="64" t="n"/>
      <c r="E23" s="64" t="n"/>
      <c r="F23" s="32" t="inlineStr">
        <is>
          <t>Kandahar</t>
        </is>
      </c>
      <c r="G23" s="32" t="inlineStr">
        <is>
          <t>Ghormach</t>
        </is>
      </c>
    </row>
    <row r="24">
      <c r="A24" s="64" t="n"/>
      <c r="E24" s="64" t="n"/>
      <c r="F24" s="32" t="inlineStr">
        <is>
          <t>Helmand</t>
        </is>
      </c>
      <c r="G24" s="32" t="inlineStr">
        <is>
          <t>Farah</t>
        </is>
      </c>
    </row>
    <row r="25">
      <c r="A25" s="64" t="n"/>
      <c r="F25" s="32" t="inlineStr">
        <is>
          <t>Zabul</t>
        </is>
      </c>
      <c r="G25" s="32" t="inlineStr">
        <is>
          <t>Pusht Rod</t>
        </is>
      </c>
    </row>
    <row r="26">
      <c r="A26" s="64" t="n"/>
      <c r="F26" s="32" t="inlineStr">
        <is>
          <t>Uruzgan</t>
        </is>
      </c>
      <c r="G26" s="32" t="inlineStr">
        <is>
          <t>Khaki Safed</t>
        </is>
      </c>
    </row>
    <row r="27">
      <c r="F27" s="32" t="inlineStr">
        <is>
          <t>Nimroz</t>
        </is>
      </c>
      <c r="G27" s="32" t="inlineStr">
        <is>
          <t>Qala-e-Kah</t>
        </is>
      </c>
    </row>
    <row r="28">
      <c r="F28" s="32" t="inlineStr">
        <is>
          <t>Balkh</t>
        </is>
      </c>
      <c r="G28" s="32" t="inlineStr">
        <is>
          <t>Shib Koh</t>
        </is>
      </c>
    </row>
    <row r="29">
      <c r="F29" s="32" t="inlineStr">
        <is>
          <t>Samangan</t>
        </is>
      </c>
      <c r="G29" s="32" t="inlineStr">
        <is>
          <t>Bala Buluk</t>
        </is>
      </c>
    </row>
    <row r="30">
      <c r="F30" s="32" t="inlineStr">
        <is>
          <t>Jawzjan</t>
        </is>
      </c>
      <c r="G30" s="32" t="inlineStr">
        <is>
          <t>Gulistan</t>
        </is>
      </c>
    </row>
    <row r="31">
      <c r="F31" s="32" t="inlineStr">
        <is>
          <t>Sar-e-Pul</t>
        </is>
      </c>
      <c r="G31" s="32" t="inlineStr">
        <is>
          <t>Pur Chaman</t>
        </is>
      </c>
    </row>
    <row r="32">
      <c r="F32" s="32" t="inlineStr">
        <is>
          <t>Faryab</t>
        </is>
      </c>
      <c r="G32" s="32" t="inlineStr">
        <is>
          <t>Bakwa</t>
        </is>
      </c>
    </row>
    <row r="33">
      <c r="F33" s="32" t="inlineStr">
        <is>
          <t>Kunduz</t>
        </is>
      </c>
      <c r="G33" s="32" t="inlineStr">
        <is>
          <t>Lash wa Juwayn</t>
        </is>
      </c>
    </row>
    <row r="34">
      <c r="F34" s="32" t="inlineStr">
        <is>
          <t>Baghlan</t>
        </is>
      </c>
      <c r="G34" s="32" t="inlineStr">
        <is>
          <t>Anar Dara</t>
        </is>
      </c>
    </row>
    <row r="35">
      <c r="F35" s="32" t="inlineStr">
        <is>
          <t>Takhar</t>
        </is>
      </c>
      <c r="G35" s="32" t="inlineStr">
        <is>
          <t>Firozkoh</t>
        </is>
      </c>
    </row>
    <row r="36">
      <c r="F36" s="32" t="inlineStr">
        <is>
          <t>Badakhshan</t>
        </is>
      </c>
      <c r="G36" s="32" t="inlineStr">
        <is>
          <t>Lal wa Sarjangal</t>
        </is>
      </c>
    </row>
    <row r="37">
      <c r="F37" s="64" t="n"/>
      <c r="G37" s="32" t="inlineStr">
        <is>
          <t>Tulak</t>
        </is>
      </c>
    </row>
    <row r="38">
      <c r="F38" s="64" t="n"/>
      <c r="G38" s="32" t="inlineStr">
        <is>
          <t>Shahrak</t>
        </is>
      </c>
    </row>
    <row r="39">
      <c r="F39" s="64" t="n"/>
      <c r="G39" s="32" t="inlineStr">
        <is>
          <t>Dawlat Yar</t>
        </is>
      </c>
    </row>
    <row r="40">
      <c r="F40" s="64" t="n"/>
      <c r="G40" s="32" t="inlineStr">
        <is>
          <t>Charsada</t>
        </is>
      </c>
    </row>
    <row r="41">
      <c r="F41" s="64" t="n"/>
      <c r="G41" s="32" t="inlineStr">
        <is>
          <t>Pasaband</t>
        </is>
      </c>
    </row>
    <row r="42">
      <c r="F42" s="64" t="n"/>
      <c r="G42" s="32" t="inlineStr">
        <is>
          <t>Saghar</t>
        </is>
      </c>
    </row>
    <row r="43">
      <c r="F43" s="64" t="n"/>
      <c r="G43" s="32" t="inlineStr">
        <is>
          <t>Taywara</t>
        </is>
      </c>
    </row>
    <row r="44">
      <c r="F44" s="64" t="n"/>
      <c r="G44" s="32" t="inlineStr">
        <is>
          <t>Du Layna</t>
        </is>
      </c>
    </row>
    <row r="45">
      <c r="F45" s="64" t="n"/>
      <c r="G45" s="32" t="inlineStr">
        <is>
          <t>Jalalabad</t>
        </is>
      </c>
    </row>
    <row r="46">
      <c r="F46" s="64" t="n"/>
      <c r="G46" s="32" t="inlineStr">
        <is>
          <t>Behsud</t>
        </is>
      </c>
    </row>
    <row r="47">
      <c r="F47" s="64" t="n"/>
      <c r="G47" s="32" t="inlineStr">
        <is>
          <t>Surkh Rod</t>
        </is>
      </c>
    </row>
    <row r="48">
      <c r="F48" s="64" t="n"/>
      <c r="G48" s="32" t="inlineStr">
        <is>
          <t>Kama</t>
        </is>
      </c>
    </row>
    <row r="49">
      <c r="G49" s="32" t="inlineStr">
        <is>
          <t>Kuz Kunar</t>
        </is>
      </c>
    </row>
    <row r="50">
      <c r="G50" s="32" t="inlineStr">
        <is>
          <t>Rodat</t>
        </is>
      </c>
    </row>
    <row r="51">
      <c r="G51" s="32" t="inlineStr">
        <is>
          <t>Bati Kot</t>
        </is>
      </c>
    </row>
    <row r="52">
      <c r="G52" s="32" t="inlineStr">
        <is>
          <t>Shinwar</t>
        </is>
      </c>
    </row>
    <row r="53">
      <c r="G53" s="32" t="inlineStr">
        <is>
          <t>Achin</t>
        </is>
      </c>
    </row>
    <row r="54">
      <c r="G54" s="32" t="inlineStr">
        <is>
          <t>Nazyan</t>
        </is>
      </c>
    </row>
    <row r="55">
      <c r="G55" s="32" t="inlineStr">
        <is>
          <t>Dur Baba</t>
        </is>
      </c>
    </row>
    <row r="56">
      <c r="G56" s="32" t="inlineStr">
        <is>
          <t>Mohmand Dara</t>
        </is>
      </c>
    </row>
    <row r="57">
      <c r="G57" s="32" t="inlineStr">
        <is>
          <t>Lal Pur</t>
        </is>
      </c>
    </row>
    <row r="58">
      <c r="G58" s="32" t="inlineStr">
        <is>
          <t>Goshta</t>
        </is>
      </c>
    </row>
    <row r="59">
      <c r="G59" s="32" t="inlineStr">
        <is>
          <t>Chaparhar</t>
        </is>
      </c>
    </row>
    <row r="60">
      <c r="G60" s="32" t="inlineStr">
        <is>
          <t>Khogyani</t>
        </is>
      </c>
    </row>
    <row r="61">
      <c r="G61" s="32" t="inlineStr">
        <is>
          <t>Pachir wa Agam</t>
        </is>
      </c>
    </row>
    <row r="62">
      <c r="G62" s="32" t="inlineStr">
        <is>
          <t>Sherzad</t>
        </is>
      </c>
    </row>
    <row r="63">
      <c r="G63" s="32" t="inlineStr">
        <is>
          <t>Hesarak</t>
        </is>
      </c>
    </row>
    <row r="64">
      <c r="G64" s="32" t="inlineStr">
        <is>
          <t>Darah-i-Nur</t>
        </is>
      </c>
    </row>
    <row r="65">
      <c r="G65" s="32" t="inlineStr">
        <is>
          <t>Asadabad</t>
        </is>
      </c>
    </row>
    <row r="66">
      <c r="G66" s="32" t="inlineStr">
        <is>
          <t>Narang</t>
        </is>
      </c>
    </row>
    <row r="67">
      <c r="G67" s="32" t="inlineStr">
        <is>
          <t>Sawkai</t>
        </is>
      </c>
    </row>
    <row r="68">
      <c r="G68" s="32" t="inlineStr">
        <is>
          <t>Khas Kunar</t>
        </is>
      </c>
    </row>
    <row r="69">
      <c r="G69" s="32" t="inlineStr">
        <is>
          <t>Nurgal</t>
        </is>
      </c>
    </row>
    <row r="70">
      <c r="G70" s="32" t="inlineStr">
        <is>
          <t>Chawkay</t>
        </is>
      </c>
    </row>
    <row r="71">
      <c r="G71" s="32" t="inlineStr">
        <is>
          <t>Dangam</t>
        </is>
      </c>
    </row>
    <row r="72">
      <c r="G72" s="32" t="inlineStr">
        <is>
          <t>Ghaziabad</t>
        </is>
      </c>
    </row>
    <row r="73">
      <c r="G73" s="32" t="inlineStr">
        <is>
          <t>Marawara</t>
        </is>
      </c>
    </row>
    <row r="74">
      <c r="G74" s="32" t="inlineStr">
        <is>
          <t>Shigal</t>
        </is>
      </c>
    </row>
    <row r="75">
      <c r="G75" s="32" t="inlineStr">
        <is>
          <t>Wata Pur</t>
        </is>
      </c>
    </row>
    <row r="76">
      <c r="G76" s="32" t="inlineStr">
        <is>
          <t>Naray</t>
        </is>
      </c>
    </row>
    <row r="77">
      <c r="G77" s="32" t="inlineStr">
        <is>
          <t>Dara-i-Pech</t>
        </is>
      </c>
    </row>
    <row r="78">
      <c r="G78" s="32" t="inlineStr">
        <is>
          <t>Mihtarlam</t>
        </is>
      </c>
    </row>
    <row r="79">
      <c r="G79" s="32" t="inlineStr">
        <is>
          <t>Qarghayi</t>
        </is>
      </c>
    </row>
    <row r="80">
      <c r="G80" s="32" t="inlineStr">
        <is>
          <t>Alishing</t>
        </is>
      </c>
    </row>
    <row r="81">
      <c r="G81" s="32" t="inlineStr">
        <is>
          <t>Alingar</t>
        </is>
      </c>
    </row>
    <row r="82">
      <c r="G82" s="32" t="inlineStr">
        <is>
          <t>Dawlat Shah</t>
        </is>
      </c>
    </row>
    <row r="83">
      <c r="G83" s="32" t="inlineStr">
        <is>
          <t>Parun</t>
        </is>
      </c>
    </row>
    <row r="84">
      <c r="G84" s="32" t="inlineStr">
        <is>
          <t>Wama</t>
        </is>
      </c>
    </row>
    <row r="85">
      <c r="G85" s="32" t="inlineStr">
        <is>
          <t>Kamdesh</t>
        </is>
      </c>
    </row>
    <row r="86">
      <c r="G86" s="32" t="inlineStr">
        <is>
          <t>Barg-i-Matal</t>
        </is>
      </c>
    </row>
    <row r="87">
      <c r="G87" s="32" t="inlineStr">
        <is>
          <t>Mandol</t>
        </is>
      </c>
    </row>
    <row r="88">
      <c r="G88" s="32" t="inlineStr">
        <is>
          <t>Du Ab</t>
        </is>
      </c>
    </row>
    <row r="89">
      <c r="G89" s="32" t="inlineStr">
        <is>
          <t>Nurgaram</t>
        </is>
      </c>
    </row>
    <row r="90">
      <c r="G90" s="32" t="inlineStr">
        <is>
          <t>Waygal</t>
        </is>
      </c>
    </row>
    <row r="91">
      <c r="G91" s="32" t="inlineStr">
        <is>
          <t>PD#13 Kabul</t>
        </is>
      </c>
    </row>
    <row r="92">
      <c r="G92" s="32" t="inlineStr">
        <is>
          <t>Deh Sabz</t>
        </is>
      </c>
    </row>
    <row r="93">
      <c r="G93" s="32" t="inlineStr">
        <is>
          <t>Bagrami</t>
        </is>
      </c>
    </row>
    <row r="94">
      <c r="G94" s="32" t="inlineStr">
        <is>
          <t>Paghman</t>
        </is>
      </c>
    </row>
    <row r="95">
      <c r="G95" s="32" t="inlineStr">
        <is>
          <t>Char Asiab</t>
        </is>
      </c>
    </row>
    <row r="96">
      <c r="G96" s="32" t="inlineStr">
        <is>
          <t>Shakardara</t>
        </is>
      </c>
    </row>
    <row r="97">
      <c r="G97" s="32" t="inlineStr">
        <is>
          <t>Musayi</t>
        </is>
      </c>
    </row>
    <row r="98">
      <c r="G98" s="32" t="inlineStr">
        <is>
          <t>Kalakan</t>
        </is>
      </c>
    </row>
    <row r="99">
      <c r="G99" s="32" t="inlineStr">
        <is>
          <t>Qarabagh</t>
        </is>
      </c>
    </row>
    <row r="100">
      <c r="G100" s="32" t="inlineStr">
        <is>
          <t>Istalif</t>
        </is>
      </c>
    </row>
    <row r="101">
      <c r="G101" s="32" t="inlineStr">
        <is>
          <t>Farza</t>
        </is>
      </c>
    </row>
    <row r="102">
      <c r="G102" s="32" t="inlineStr">
        <is>
          <t>Guldara</t>
        </is>
      </c>
    </row>
    <row r="103">
      <c r="G103" s="32" t="inlineStr">
        <is>
          <t>Khak-e-Jabbar</t>
        </is>
      </c>
    </row>
    <row r="104">
      <c r="G104" s="32" t="inlineStr">
        <is>
          <t>Surobi</t>
        </is>
      </c>
    </row>
    <row r="105">
      <c r="G105" s="32" t="inlineStr">
        <is>
          <t>Charikar</t>
        </is>
      </c>
    </row>
    <row r="106">
      <c r="G106" s="32" t="inlineStr">
        <is>
          <t>Bagram</t>
        </is>
      </c>
    </row>
    <row r="107">
      <c r="G107" s="32" t="inlineStr">
        <is>
          <t>Jabal Saraj</t>
        </is>
      </c>
    </row>
    <row r="108">
      <c r="G108" s="32" t="inlineStr">
        <is>
          <t>Salang</t>
        </is>
      </c>
    </row>
    <row r="109">
      <c r="G109" s="32" t="inlineStr">
        <is>
          <t>Shinwari</t>
        </is>
      </c>
    </row>
    <row r="110">
      <c r="G110" s="32" t="inlineStr">
        <is>
          <t>Sayed Khel</t>
        </is>
      </c>
    </row>
    <row r="111">
      <c r="G111" s="32" t="inlineStr">
        <is>
          <t>Koh-i-Safi</t>
        </is>
      </c>
    </row>
    <row r="112">
      <c r="G112" s="32" t="inlineStr">
        <is>
          <t>Surkhi Parsa</t>
        </is>
      </c>
    </row>
    <row r="113">
      <c r="G113" s="32" t="inlineStr">
        <is>
          <t>Shekh Ali</t>
        </is>
      </c>
    </row>
    <row r="114">
      <c r="G114" s="32" t="inlineStr">
        <is>
          <t>Ghorband</t>
        </is>
      </c>
    </row>
    <row r="115">
      <c r="G115" s="32" t="inlineStr">
        <is>
          <t>Mahmud Raqi</t>
        </is>
      </c>
    </row>
    <row r="116">
      <c r="G116" s="32" t="inlineStr">
        <is>
          <t>Hisa-i-Awal Kohistan</t>
        </is>
      </c>
    </row>
    <row r="117">
      <c r="G117" s="32" t="inlineStr">
        <is>
          <t>Hisa-i-Duwum Kohistan</t>
        </is>
      </c>
    </row>
    <row r="118">
      <c r="G118" s="32" t="inlineStr">
        <is>
          <t>Koh Band</t>
        </is>
      </c>
    </row>
    <row r="119">
      <c r="G119" s="32" t="inlineStr">
        <is>
          <t>Nijrab</t>
        </is>
      </c>
    </row>
    <row r="120">
      <c r="G120" s="32" t="inlineStr">
        <is>
          <t>Tagab</t>
        </is>
      </c>
    </row>
    <row r="121">
      <c r="G121" s="32" t="inlineStr">
        <is>
          <t>Alasay</t>
        </is>
      </c>
    </row>
    <row r="122">
      <c r="G122" s="32" t="inlineStr">
        <is>
          <t>Puli Alam</t>
        </is>
      </c>
    </row>
    <row r="123">
      <c r="G123" s="32" t="inlineStr">
        <is>
          <t>Muhammad Agha</t>
        </is>
      </c>
    </row>
    <row r="124">
      <c r="G124" s="32" t="inlineStr">
        <is>
          <t>Kharwar</t>
        </is>
      </c>
    </row>
    <row r="125">
      <c r="G125" s="32" t="inlineStr">
        <is>
          <t>Khoshi</t>
        </is>
      </c>
    </row>
    <row r="126">
      <c r="G126" s="32" t="inlineStr">
        <is>
          <t>Baraki Barak</t>
        </is>
      </c>
    </row>
    <row r="127">
      <c r="G127" s="32" t="inlineStr">
        <is>
          <t>Azra</t>
        </is>
      </c>
    </row>
    <row r="128">
      <c r="G128" s="32" t="inlineStr">
        <is>
          <t>Charkh</t>
        </is>
      </c>
    </row>
    <row r="129">
      <c r="G129" s="32" t="inlineStr">
        <is>
          <t>Maidan Shahr</t>
        </is>
      </c>
    </row>
    <row r="130">
      <c r="G130" s="32" t="inlineStr">
        <is>
          <t>Nirkh</t>
        </is>
      </c>
    </row>
    <row r="131">
      <c r="G131" s="32" t="inlineStr">
        <is>
          <t>Jalrez</t>
        </is>
      </c>
    </row>
    <row r="132">
      <c r="G132" s="32" t="inlineStr">
        <is>
          <t>Hisa-i-Awal Behsud</t>
        </is>
      </c>
    </row>
    <row r="133">
      <c r="G133" s="32" t="inlineStr">
        <is>
          <t>Markazi Behsud</t>
        </is>
      </c>
    </row>
    <row r="134">
      <c r="G134" s="32" t="inlineStr">
        <is>
          <t>Day Mirdad</t>
        </is>
      </c>
    </row>
    <row r="135">
      <c r="G135" s="32" t="inlineStr">
        <is>
          <t>Chaki Wardak</t>
        </is>
      </c>
    </row>
    <row r="136">
      <c r="G136" s="32" t="inlineStr">
        <is>
          <t>Saydabad</t>
        </is>
      </c>
    </row>
    <row r="137">
      <c r="G137" s="32" t="inlineStr">
        <is>
          <t>Jaghatu</t>
        </is>
      </c>
    </row>
    <row r="138">
      <c r="G138" s="32" t="inlineStr">
        <is>
          <t>Bazarak</t>
        </is>
      </c>
    </row>
    <row r="139">
      <c r="G139" s="32" t="inlineStr">
        <is>
          <t>Rokha</t>
        </is>
      </c>
    </row>
    <row r="140">
      <c r="G140" s="32" t="inlineStr">
        <is>
          <t>Shotul</t>
        </is>
      </c>
    </row>
    <row r="141">
      <c r="G141" s="32" t="inlineStr">
        <is>
          <t>Darah</t>
        </is>
      </c>
    </row>
    <row r="142">
      <c r="G142" s="32" t="inlineStr">
        <is>
          <t>Hisa-i-Awal</t>
        </is>
      </c>
    </row>
    <row r="143">
      <c r="G143" s="32" t="inlineStr">
        <is>
          <t>Hisa-i-Duwum</t>
        </is>
      </c>
    </row>
    <row r="144">
      <c r="G144" s="32" t="inlineStr">
        <is>
          <t>Paryan</t>
        </is>
      </c>
    </row>
    <row r="145">
      <c r="G145" s="32" t="inlineStr">
        <is>
          <t>Bamyan</t>
        </is>
      </c>
    </row>
    <row r="146">
      <c r="G146" s="32" t="inlineStr">
        <is>
          <t>Shibar</t>
        </is>
      </c>
    </row>
    <row r="147">
      <c r="G147" s="32" t="inlineStr">
        <is>
          <t>Kahmard</t>
        </is>
      </c>
    </row>
    <row r="148">
      <c r="G148" s="32" t="inlineStr">
        <is>
          <t>Yakawlang</t>
        </is>
      </c>
    </row>
    <row r="149">
      <c r="G149" s="32" t="inlineStr">
        <is>
          <t>Panjab</t>
        </is>
      </c>
    </row>
    <row r="150">
      <c r="G150" s="32" t="inlineStr">
        <is>
          <t>Waras</t>
        </is>
      </c>
    </row>
    <row r="151">
      <c r="G151" s="32" t="inlineStr">
        <is>
          <t>Saighan</t>
        </is>
      </c>
    </row>
    <row r="152">
      <c r="G152" s="32" t="inlineStr">
        <is>
          <t>Nili</t>
        </is>
      </c>
    </row>
    <row r="153">
      <c r="G153" s="32" t="inlineStr">
        <is>
          <t>Ashtarlay</t>
        </is>
      </c>
    </row>
    <row r="154">
      <c r="G154" s="32" t="inlineStr">
        <is>
          <t>Sang Takht wa Bandar</t>
        </is>
      </c>
    </row>
    <row r="155">
      <c r="G155" s="32" t="inlineStr">
        <is>
          <t>Khadir</t>
        </is>
      </c>
    </row>
    <row r="156">
      <c r="G156" s="32" t="inlineStr">
        <is>
          <t>Kiti</t>
        </is>
      </c>
    </row>
    <row r="157">
      <c r="G157" s="32" t="inlineStr">
        <is>
          <t>Miramor</t>
        </is>
      </c>
    </row>
    <row r="158">
      <c r="G158" s="32" t="inlineStr">
        <is>
          <t>Shahristan</t>
        </is>
      </c>
    </row>
    <row r="159">
      <c r="G159" s="32" t="inlineStr">
        <is>
          <t>Gizab</t>
        </is>
      </c>
    </row>
    <row r="160">
      <c r="G160" s="32" t="inlineStr">
        <is>
          <t>Gardez</t>
        </is>
      </c>
    </row>
    <row r="161">
      <c r="G161" s="32" t="inlineStr">
        <is>
          <t>Sayed Karam</t>
        </is>
      </c>
    </row>
    <row r="162">
      <c r="G162" s="32" t="inlineStr">
        <is>
          <t>Ahmadabad</t>
        </is>
      </c>
    </row>
    <row r="163">
      <c r="G163" s="32" t="inlineStr">
        <is>
          <t>Jaji</t>
        </is>
      </c>
    </row>
    <row r="164">
      <c r="G164" s="32" t="inlineStr">
        <is>
          <t>Zurmat</t>
        </is>
      </c>
    </row>
    <row r="165">
      <c r="G165" s="32" t="inlineStr">
        <is>
          <t>Dand wa Patan</t>
        </is>
      </c>
    </row>
    <row r="166">
      <c r="G166" s="32" t="inlineStr">
        <is>
          <t>Gerda Serai</t>
        </is>
      </c>
    </row>
    <row r="167">
      <c r="G167" s="32" t="inlineStr">
        <is>
          <t>Laja Ahmad Khel</t>
        </is>
      </c>
    </row>
    <row r="168">
      <c r="G168" s="32" t="inlineStr">
        <is>
          <t>Mirzaka</t>
        </is>
      </c>
    </row>
    <row r="169">
      <c r="G169" s="32" t="inlineStr">
        <is>
          <t>Shwak</t>
        </is>
      </c>
    </row>
    <row r="170">
      <c r="G170" s="32" t="inlineStr">
        <is>
          <t>Sharana</t>
        </is>
      </c>
    </row>
    <row r="171">
      <c r="G171" s="32" t="inlineStr">
        <is>
          <t>Sarubi</t>
        </is>
      </c>
    </row>
    <row r="172">
      <c r="G172" s="32" t="inlineStr">
        <is>
          <t>Urgun</t>
        </is>
      </c>
    </row>
    <row r="173">
      <c r="G173" s="32" t="inlineStr">
        <is>
          <t>Barmal</t>
        </is>
      </c>
    </row>
    <row r="174">
      <c r="G174" s="32" t="inlineStr">
        <is>
          <t>Gomal</t>
        </is>
      </c>
    </row>
    <row r="175">
      <c r="G175" s="32" t="inlineStr">
        <is>
          <t>Mata Khan</t>
        </is>
      </c>
    </row>
    <row r="176">
      <c r="G176" s="32" t="inlineStr">
        <is>
          <t>Omna</t>
        </is>
      </c>
    </row>
    <row r="177">
      <c r="G177" s="32" t="inlineStr">
        <is>
          <t>Sar Hawza</t>
        </is>
      </c>
    </row>
    <row r="178">
      <c r="G178" s="32" t="inlineStr">
        <is>
          <t>Terwa</t>
        </is>
      </c>
    </row>
    <row r="179">
      <c r="G179" s="32" t="inlineStr">
        <is>
          <t>Waza Khwa</t>
        </is>
      </c>
    </row>
    <row r="180">
      <c r="G180" s="32" t="inlineStr">
        <is>
          <t>Yosuf Khel</t>
        </is>
      </c>
    </row>
    <row r="181">
      <c r="G181" s="32" t="inlineStr">
        <is>
          <t>Ziruk</t>
        </is>
      </c>
    </row>
    <row r="182">
      <c r="G182" s="32" t="inlineStr">
        <is>
          <t>Gayan</t>
        </is>
      </c>
    </row>
    <row r="183">
      <c r="G183" s="32" t="inlineStr">
        <is>
          <t>Dila</t>
        </is>
      </c>
    </row>
    <row r="184">
      <c r="G184" s="32" t="inlineStr">
        <is>
          <t>Nika</t>
        </is>
      </c>
    </row>
    <row r="185">
      <c r="G185" s="32" t="inlineStr">
        <is>
          <t>Khost</t>
        </is>
      </c>
    </row>
    <row r="186">
      <c r="G186" s="32" t="inlineStr">
        <is>
          <t>Zazai Maidan</t>
        </is>
      </c>
    </row>
    <row r="187">
      <c r="G187" s="32" t="inlineStr">
        <is>
          <t>Mandozai</t>
        </is>
      </c>
    </row>
    <row r="188">
      <c r="G188" s="32" t="inlineStr">
        <is>
          <t>Tani</t>
        </is>
      </c>
    </row>
    <row r="189">
      <c r="G189" s="32" t="inlineStr">
        <is>
          <t>Spera</t>
        </is>
      </c>
    </row>
    <row r="190">
      <c r="G190" s="32" t="inlineStr">
        <is>
          <t>Nadir Shah Kot</t>
        </is>
      </c>
    </row>
    <row r="191">
      <c r="G191" s="32" t="inlineStr">
        <is>
          <t>Musa Khel</t>
        </is>
      </c>
    </row>
    <row r="192">
      <c r="G192" s="32" t="inlineStr">
        <is>
          <t>Qalandar</t>
        </is>
      </c>
    </row>
    <row r="193">
      <c r="G193" s="32" t="inlineStr">
        <is>
          <t>Sabari</t>
        </is>
      </c>
    </row>
    <row r="194">
      <c r="G194" s="32" t="inlineStr">
        <is>
          <t>Bak</t>
        </is>
      </c>
    </row>
    <row r="195">
      <c r="G195" s="32" t="inlineStr">
        <is>
          <t>Jaji Maidan</t>
        </is>
      </c>
    </row>
    <row r="196">
      <c r="G196" s="32" t="inlineStr">
        <is>
          <t>Gurbuz</t>
        </is>
      </c>
    </row>
    <row r="197">
      <c r="G197" s="32" t="inlineStr">
        <is>
          <t>Shamul</t>
        </is>
      </c>
    </row>
    <row r="198">
      <c r="G198" s="32" t="inlineStr">
        <is>
          <t>Ghazni</t>
        </is>
      </c>
    </row>
    <row r="199">
      <c r="G199" s="32" t="inlineStr">
        <is>
          <t>Andar</t>
        </is>
      </c>
    </row>
    <row r="200">
      <c r="G200" s="32" t="inlineStr">
        <is>
          <t>Deh Yak</t>
        </is>
      </c>
    </row>
    <row r="201">
      <c r="G201" s="32" t="inlineStr">
        <is>
          <t>Gelan</t>
        </is>
      </c>
    </row>
    <row r="202">
      <c r="G202" s="32" t="inlineStr">
        <is>
          <t>Giro</t>
        </is>
      </c>
    </row>
    <row r="203">
      <c r="G203" s="32" t="inlineStr">
        <is>
          <t>Jaghori</t>
        </is>
      </c>
    </row>
    <row r="204">
      <c r="G204" s="32" t="inlineStr">
        <is>
          <t>Malistan</t>
        </is>
      </c>
    </row>
    <row r="205">
      <c r="G205" s="32" t="inlineStr">
        <is>
          <t>Nawa</t>
        </is>
      </c>
    </row>
    <row r="206">
      <c r="G206" s="32" t="inlineStr">
        <is>
          <t>Nawur</t>
        </is>
      </c>
    </row>
    <row r="207">
      <c r="G207" s="32" t="inlineStr">
        <is>
          <t>Rashidan</t>
        </is>
      </c>
    </row>
    <row r="208">
      <c r="G208" s="32" t="inlineStr">
        <is>
          <t>Waghaz</t>
        </is>
      </c>
    </row>
    <row r="209">
      <c r="G209" s="32" t="inlineStr">
        <is>
          <t>Zana Khan</t>
        </is>
      </c>
    </row>
    <row r="210">
      <c r="G210" s="32" t="inlineStr">
        <is>
          <t>Kandahar</t>
        </is>
      </c>
    </row>
    <row r="211">
      <c r="G211" s="32" t="inlineStr">
        <is>
          <t>Ghorak</t>
        </is>
      </c>
    </row>
    <row r="212">
      <c r="G212" s="32" t="inlineStr">
        <is>
          <t>Nesh</t>
        </is>
      </c>
    </row>
    <row r="213">
      <c r="G213" s="32" t="inlineStr">
        <is>
          <t>Arghandab</t>
        </is>
      </c>
    </row>
    <row r="214">
      <c r="G214" s="32" t="inlineStr">
        <is>
          <t>Daman</t>
        </is>
      </c>
    </row>
    <row r="215">
      <c r="G215" s="32" t="inlineStr">
        <is>
          <t>Panjwayi</t>
        </is>
      </c>
    </row>
    <row r="216">
      <c r="G216" s="32" t="inlineStr">
        <is>
          <t>Spin Boldak</t>
        </is>
      </c>
    </row>
    <row r="217">
      <c r="G217" s="32" t="inlineStr">
        <is>
          <t>Khakrez</t>
        </is>
      </c>
    </row>
    <row r="218">
      <c r="G218" s="32" t="inlineStr">
        <is>
          <t>Shah Wali Kot</t>
        </is>
      </c>
    </row>
    <row r="219">
      <c r="G219" s="32" t="inlineStr">
        <is>
          <t>Maiwand</t>
        </is>
      </c>
    </row>
    <row r="220">
      <c r="G220" s="32" t="inlineStr">
        <is>
          <t>Zhari</t>
        </is>
      </c>
    </row>
    <row r="221">
      <c r="G221" s="32" t="inlineStr">
        <is>
          <t>Arghistan</t>
        </is>
      </c>
    </row>
    <row r="222">
      <c r="G222" s="32" t="inlineStr">
        <is>
          <t>Maruf</t>
        </is>
      </c>
    </row>
    <row r="223">
      <c r="G223" s="32" t="inlineStr">
        <is>
          <t>Reg</t>
        </is>
      </c>
    </row>
    <row r="224">
      <c r="G224" s="32" t="inlineStr">
        <is>
          <t>Shorabak</t>
        </is>
      </c>
    </row>
    <row r="225">
      <c r="G225" s="32" t="inlineStr">
        <is>
          <t>Lashkar Gah</t>
        </is>
      </c>
    </row>
    <row r="226">
      <c r="G226" s="32" t="inlineStr">
        <is>
          <t>Nawzad</t>
        </is>
      </c>
    </row>
    <row r="227">
      <c r="G227" s="32" t="inlineStr">
        <is>
          <t>Washer</t>
        </is>
      </c>
    </row>
    <row r="228">
      <c r="G228" s="32" t="inlineStr">
        <is>
          <t>Nad Ali</t>
        </is>
      </c>
    </row>
    <row r="229">
      <c r="G229" s="32" t="inlineStr">
        <is>
          <t>Nahr-e-Saraj</t>
        </is>
      </c>
    </row>
    <row r="230">
      <c r="G230" s="32" t="inlineStr">
        <is>
          <t>Sangin</t>
        </is>
      </c>
    </row>
    <row r="231">
      <c r="G231" s="32" t="inlineStr">
        <is>
          <t>Musa Qala</t>
        </is>
      </c>
    </row>
    <row r="232">
      <c r="G232" s="32" t="inlineStr">
        <is>
          <t>Kajaki</t>
        </is>
      </c>
    </row>
    <row r="233">
      <c r="G233" s="32" t="inlineStr">
        <is>
          <t>Garmser</t>
        </is>
      </c>
    </row>
    <row r="234">
      <c r="G234" s="32" t="inlineStr">
        <is>
          <t>Dishu</t>
        </is>
      </c>
    </row>
    <row r="235">
      <c r="G235" s="32" t="inlineStr">
        <is>
          <t>Khanashin</t>
        </is>
      </c>
    </row>
    <row r="236">
      <c r="G236" s="32" t="inlineStr">
        <is>
          <t>Baghran</t>
        </is>
      </c>
    </row>
    <row r="237">
      <c r="G237" s="32" t="inlineStr">
        <is>
          <t>Nawa-i-Barakzayi</t>
        </is>
      </c>
    </row>
    <row r="238">
      <c r="G238" s="32" t="inlineStr">
        <is>
          <t>Qalat</t>
        </is>
      </c>
    </row>
    <row r="239">
      <c r="G239" s="32" t="inlineStr">
        <is>
          <t>Mizana</t>
        </is>
      </c>
    </row>
    <row r="240">
      <c r="G240" s="32" t="inlineStr">
        <is>
          <t>Shahjoy</t>
        </is>
      </c>
    </row>
    <row r="241">
      <c r="G241" s="32" t="inlineStr">
        <is>
          <t>Shamulzayi</t>
        </is>
      </c>
    </row>
    <row r="242">
      <c r="G242" s="32" t="inlineStr">
        <is>
          <t>Atghar</t>
        </is>
      </c>
    </row>
    <row r="243">
      <c r="G243" s="32" t="inlineStr">
        <is>
          <t>Daychopan</t>
        </is>
      </c>
    </row>
    <row r="244">
      <c r="G244" s="32" t="inlineStr">
        <is>
          <t>Kakar</t>
        </is>
      </c>
    </row>
    <row r="245">
      <c r="G245" s="32" t="inlineStr">
        <is>
          <t>Naw Bahar</t>
        </is>
      </c>
    </row>
    <row r="246">
      <c r="G246" s="32" t="inlineStr">
        <is>
          <t>Shinkay</t>
        </is>
      </c>
    </row>
    <row r="247">
      <c r="G247" s="32" t="inlineStr">
        <is>
          <t>Tarnak wa Jaldak</t>
        </is>
      </c>
    </row>
    <row r="248">
      <c r="G248" s="32" t="inlineStr">
        <is>
          <t>Tarin Kot</t>
        </is>
      </c>
    </row>
    <row r="249">
      <c r="G249" s="32" t="inlineStr">
        <is>
          <t>Deh Rawud</t>
        </is>
      </c>
    </row>
    <row r="250">
      <c r="G250" s="32" t="inlineStr">
        <is>
          <t>Chora</t>
        </is>
      </c>
    </row>
    <row r="251">
      <c r="G251" s="32" t="inlineStr">
        <is>
          <t>Shahidi Hassas</t>
        </is>
      </c>
    </row>
    <row r="252">
      <c r="G252" s="32" t="inlineStr">
        <is>
          <t>Khas Uruzgan</t>
        </is>
      </c>
    </row>
    <row r="253">
      <c r="G253" s="32" t="inlineStr">
        <is>
          <t>Zaranj</t>
        </is>
      </c>
    </row>
    <row r="254">
      <c r="G254" s="32" t="inlineStr">
        <is>
          <t>Kang</t>
        </is>
      </c>
    </row>
    <row r="255">
      <c r="G255" s="32" t="inlineStr">
        <is>
          <t>Chakhansur</t>
        </is>
      </c>
    </row>
    <row r="256">
      <c r="G256" s="32" t="inlineStr">
        <is>
          <t>Chahar Burjak</t>
        </is>
      </c>
    </row>
    <row r="257">
      <c r="G257" s="32" t="inlineStr">
        <is>
          <t>Khash Rod</t>
        </is>
      </c>
    </row>
    <row r="258">
      <c r="G258" s="32" t="inlineStr">
        <is>
          <t>Mazar-e-Sharif</t>
        </is>
      </c>
    </row>
    <row r="259">
      <c r="G259" s="32" t="inlineStr">
        <is>
          <t>Alburz</t>
        </is>
      </c>
    </row>
    <row r="260">
      <c r="G260" s="32" t="inlineStr">
        <is>
          <t>Dehdadi</t>
        </is>
      </c>
    </row>
    <row r="261">
      <c r="G261" s="32" t="inlineStr">
        <is>
          <t>Nahr-e-Shahi</t>
        </is>
      </c>
    </row>
    <row r="262">
      <c r="G262" s="32" t="inlineStr">
        <is>
          <t>Chimtal</t>
        </is>
      </c>
    </row>
    <row r="263">
      <c r="G263" s="32" t="inlineStr">
        <is>
          <t>Dawlatabad</t>
        </is>
      </c>
    </row>
    <row r="264">
      <c r="G264" s="32" t="inlineStr">
        <is>
          <t>Sholgara</t>
        </is>
      </c>
    </row>
    <row r="265">
      <c r="G265" s="32" t="inlineStr">
        <is>
          <t>Kishindih</t>
        </is>
      </c>
    </row>
    <row r="266">
      <c r="G266" s="32" t="inlineStr">
        <is>
          <t>Zari</t>
        </is>
      </c>
    </row>
    <row r="267">
      <c r="G267" s="32" t="inlineStr">
        <is>
          <t>Shortepa</t>
        </is>
      </c>
    </row>
    <row r="268">
      <c r="G268" s="32" t="inlineStr">
        <is>
          <t>Kaldar</t>
        </is>
      </c>
    </row>
    <row r="269">
      <c r="G269" s="32" t="inlineStr">
        <is>
          <t>Khulm</t>
        </is>
      </c>
    </row>
    <row r="270">
      <c r="G270" s="32" t="inlineStr">
        <is>
          <t>Marmul</t>
        </is>
      </c>
    </row>
    <row r="271">
      <c r="G271" s="32" t="inlineStr">
        <is>
          <t>Aybak</t>
        </is>
      </c>
    </row>
    <row r="272">
      <c r="G272" s="32" t="inlineStr">
        <is>
          <t>Hazrati Sultan</t>
        </is>
      </c>
    </row>
    <row r="273">
      <c r="G273" s="32" t="inlineStr">
        <is>
          <t>Khuram wa Sarbagh</t>
        </is>
      </c>
    </row>
    <row r="274">
      <c r="G274" s="32" t="inlineStr">
        <is>
          <t>Ruyi Du Ab</t>
        </is>
      </c>
    </row>
    <row r="275">
      <c r="G275" s="32" t="inlineStr">
        <is>
          <t>Dara-i-Sufi Payin</t>
        </is>
      </c>
    </row>
    <row r="276">
      <c r="G276" s="32" t="inlineStr">
        <is>
          <t>Dara-i-Sufi Bala</t>
        </is>
      </c>
    </row>
    <row r="277">
      <c r="G277" s="32" t="inlineStr">
        <is>
          <t>Feroz Nakhchir</t>
        </is>
      </c>
    </row>
    <row r="278">
      <c r="G278" s="32" t="inlineStr">
        <is>
          <t>Sheberghan</t>
        </is>
      </c>
    </row>
    <row r="279">
      <c r="G279" s="32" t="inlineStr">
        <is>
          <t>Aqcha</t>
        </is>
      </c>
    </row>
    <row r="280">
      <c r="G280" s="32" t="inlineStr">
        <is>
          <t>Faizabad</t>
        </is>
      </c>
    </row>
    <row r="281">
      <c r="G281" s="32" t="inlineStr">
        <is>
          <t>Khamyab</t>
        </is>
      </c>
    </row>
    <row r="282">
      <c r="G282" s="32" t="inlineStr">
        <is>
          <t>Khwaja Du Koh</t>
        </is>
      </c>
    </row>
    <row r="283">
      <c r="G283" s="32" t="inlineStr">
        <is>
          <t>Mardyan</t>
        </is>
      </c>
    </row>
    <row r="284">
      <c r="G284" s="32" t="inlineStr">
        <is>
          <t>Mingajik</t>
        </is>
      </c>
    </row>
    <row r="285">
      <c r="G285" s="32" t="inlineStr">
        <is>
          <t>Qarqin</t>
        </is>
      </c>
    </row>
    <row r="286">
      <c r="G286" s="32" t="inlineStr">
        <is>
          <t>Qush Tepa</t>
        </is>
      </c>
    </row>
    <row r="287">
      <c r="G287" s="32" t="inlineStr">
        <is>
          <t>Darzab</t>
        </is>
      </c>
    </row>
    <row r="288">
      <c r="G288" s="32" t="inlineStr">
        <is>
          <t>Shibirghan</t>
        </is>
      </c>
    </row>
    <row r="289">
      <c r="G289" s="32" t="inlineStr">
        <is>
          <t>Sar-e-Pul</t>
        </is>
      </c>
    </row>
    <row r="290">
      <c r="G290" s="32" t="inlineStr">
        <is>
          <t>Balkhab</t>
        </is>
      </c>
    </row>
    <row r="291">
      <c r="G291" s="32" t="inlineStr">
        <is>
          <t>Gosfandi</t>
        </is>
      </c>
    </row>
    <row r="292">
      <c r="G292" s="32" t="inlineStr">
        <is>
          <t>Kohistanat</t>
        </is>
      </c>
    </row>
    <row r="293">
      <c r="G293" s="32" t="inlineStr">
        <is>
          <t>Sangcharak</t>
        </is>
      </c>
    </row>
    <row r="294">
      <c r="G294" s="32" t="inlineStr">
        <is>
          <t>Sayyad</t>
        </is>
      </c>
    </row>
    <row r="295">
      <c r="G295" s="32" t="inlineStr">
        <is>
          <t>Sozma Qala</t>
        </is>
      </c>
    </row>
    <row r="296">
      <c r="G296" s="32" t="inlineStr">
        <is>
          <t>Maymana</t>
        </is>
      </c>
    </row>
    <row r="297">
      <c r="G297" s="32" t="inlineStr">
        <is>
          <t>Andkhoy</t>
        </is>
      </c>
    </row>
    <row r="298">
      <c r="G298" s="32" t="inlineStr">
        <is>
          <t>Almar</t>
        </is>
      </c>
    </row>
    <row r="299">
      <c r="G299" s="32" t="inlineStr">
        <is>
          <t>Bilchiragh</t>
        </is>
      </c>
    </row>
    <row r="300">
      <c r="G300" s="32" t="inlineStr">
        <is>
          <t>Gurziwan</t>
        </is>
      </c>
    </row>
    <row r="301">
      <c r="G301" s="32" t="inlineStr">
        <is>
          <t>Khwaja Sabz Posh</t>
        </is>
      </c>
    </row>
    <row r="302">
      <c r="G302" s="32" t="inlineStr">
        <is>
          <t>Kohistan</t>
        </is>
      </c>
    </row>
    <row r="303">
      <c r="G303" s="32" t="inlineStr">
        <is>
          <t>Pashtun Kot</t>
        </is>
      </c>
    </row>
    <row r="304">
      <c r="G304" s="32" t="inlineStr">
        <is>
          <t>Qaramqol</t>
        </is>
      </c>
    </row>
    <row r="305">
      <c r="G305" s="32" t="inlineStr">
        <is>
          <t>Qaysar</t>
        </is>
      </c>
    </row>
    <row r="306">
      <c r="G306" s="32" t="inlineStr">
        <is>
          <t>Shirin Tagab</t>
        </is>
      </c>
    </row>
    <row r="307">
      <c r="G307" s="32" t="inlineStr">
        <is>
          <t>Kunduz</t>
        </is>
      </c>
    </row>
    <row r="308">
      <c r="G308" s="32" t="inlineStr">
        <is>
          <t>Ali Abad</t>
        </is>
      </c>
    </row>
    <row r="309">
      <c r="G309" s="32" t="inlineStr">
        <is>
          <t>Kalbad</t>
        </is>
      </c>
    </row>
    <row r="310">
      <c r="G310" s="32" t="inlineStr">
        <is>
          <t>Qala-e-Zal</t>
        </is>
      </c>
    </row>
    <row r="311">
      <c r="G311" s="32" t="inlineStr">
        <is>
          <t>Imam Sahib</t>
        </is>
      </c>
    </row>
    <row r="312">
      <c r="G312" s="32" t="inlineStr">
        <is>
          <t>Khanabad</t>
        </is>
      </c>
    </row>
    <row r="313">
      <c r="G313" s="32" t="inlineStr">
        <is>
          <t>Chahar Dara</t>
        </is>
      </c>
    </row>
    <row r="314">
      <c r="G314" s="32" t="inlineStr">
        <is>
          <t>Dasht-e-Archi</t>
        </is>
      </c>
    </row>
    <row r="315">
      <c r="G315" s="32" t="inlineStr">
        <is>
          <t>Puli Khumri</t>
        </is>
      </c>
    </row>
    <row r="316">
      <c r="G316" s="32" t="inlineStr">
        <is>
          <t>Baghlan</t>
        </is>
      </c>
    </row>
    <row r="317">
      <c r="G317" s="32" t="inlineStr">
        <is>
          <t>Dahana-i-Ghori</t>
        </is>
      </c>
    </row>
    <row r="318">
      <c r="G318" s="32" t="inlineStr">
        <is>
          <t>Dushi</t>
        </is>
      </c>
    </row>
    <row r="319">
      <c r="G319" s="32" t="inlineStr">
        <is>
          <t>Khinjan</t>
        </is>
      </c>
    </row>
    <row r="320">
      <c r="G320" s="32" t="inlineStr">
        <is>
          <t>Khost wa Firing</t>
        </is>
      </c>
    </row>
    <row r="321">
      <c r="G321" s="32" t="inlineStr">
        <is>
          <t>Nahrin</t>
        </is>
      </c>
    </row>
    <row r="322">
      <c r="G322" s="32" t="inlineStr">
        <is>
          <t>Andarab</t>
        </is>
      </c>
    </row>
    <row r="323">
      <c r="G323" s="32" t="inlineStr">
        <is>
          <t>Tala wa Barfak</t>
        </is>
      </c>
    </row>
    <row r="324">
      <c r="G324" s="32" t="inlineStr">
        <is>
          <t>Burka</t>
        </is>
      </c>
    </row>
    <row r="325">
      <c r="G325" s="32" t="inlineStr">
        <is>
          <t>Taloqan</t>
        </is>
      </c>
    </row>
    <row r="326">
      <c r="G326" s="32" t="inlineStr">
        <is>
          <t>Baharak</t>
        </is>
      </c>
    </row>
    <row r="327">
      <c r="G327" s="32" t="inlineStr">
        <is>
          <t>Bangi</t>
        </is>
      </c>
    </row>
    <row r="328">
      <c r="G328" s="32" t="inlineStr">
        <is>
          <t>Chah Ab</t>
        </is>
      </c>
    </row>
    <row r="329">
      <c r="G329" s="32" t="inlineStr">
        <is>
          <t>Chal</t>
        </is>
      </c>
    </row>
    <row r="330">
      <c r="G330" s="32" t="inlineStr">
        <is>
          <t>Darqad</t>
        </is>
      </c>
    </row>
    <row r="331">
      <c r="G331" s="32" t="inlineStr">
        <is>
          <t>Dashti Qala</t>
        </is>
      </c>
    </row>
    <row r="332">
      <c r="G332" s="32" t="inlineStr">
        <is>
          <t>Farkhar</t>
        </is>
      </c>
    </row>
    <row r="333">
      <c r="G333" s="32" t="inlineStr">
        <is>
          <t>Ishkamish</t>
        </is>
      </c>
    </row>
    <row r="334">
      <c r="G334" s="32" t="inlineStr">
        <is>
          <t>Kalafgan</t>
        </is>
      </c>
    </row>
    <row r="335">
      <c r="G335" s="32" t="inlineStr">
        <is>
          <t>Khwaja Ghar</t>
        </is>
      </c>
    </row>
    <row r="336">
      <c r="G336" s="32" t="inlineStr">
        <is>
          <t>Rustaq</t>
        </is>
      </c>
    </row>
    <row r="337">
      <c r="G337" s="32" t="inlineStr">
        <is>
          <t>Warsaj</t>
        </is>
      </c>
    </row>
    <row r="338">
      <c r="G338" s="32" t="inlineStr">
        <is>
          <t>Yangi Qala</t>
        </is>
      </c>
    </row>
    <row r="339">
      <c r="G339" s="32" t="inlineStr">
        <is>
          <t>Fayzabad</t>
        </is>
      </c>
    </row>
    <row r="340">
      <c r="G340" s="32" t="inlineStr">
        <is>
          <t>Jurm</t>
        </is>
      </c>
    </row>
    <row r="341">
      <c r="G341" s="32" t="inlineStr">
        <is>
          <t>Kishim</t>
        </is>
      </c>
    </row>
    <row r="342">
      <c r="G342" s="32" t="inlineStr">
        <is>
          <t>Yaftal</t>
        </is>
      </c>
    </row>
    <row r="343">
      <c r="G343" s="32" t="inlineStr">
        <is>
          <t>Arghanj Khwa</t>
        </is>
      </c>
    </row>
    <row r="344">
      <c r="G344" s="32" t="inlineStr">
        <is>
          <t>Darwaz</t>
        </is>
      </c>
    </row>
    <row r="345">
      <c r="G345" s="32" t="inlineStr">
        <is>
          <t>Ishkashim</t>
        </is>
      </c>
    </row>
    <row r="346">
      <c r="G346" s="32" t="inlineStr">
        <is>
          <t>Kuf Ab</t>
        </is>
      </c>
    </row>
    <row r="347">
      <c r="G347" s="32" t="inlineStr">
        <is>
          <t>Raghistan</t>
        </is>
      </c>
    </row>
    <row r="348">
      <c r="G348" s="32" t="inlineStr">
        <is>
          <t>Shighnan</t>
        </is>
      </c>
    </row>
    <row r="349">
      <c r="G349" s="32" t="inlineStr">
        <is>
          <t>Wakhan</t>
        </is>
      </c>
    </row>
    <row r="350">
      <c r="G350" s="32" t="inlineStr">
        <is>
          <t>Zebak</t>
        </is>
      </c>
    </row>
    <row r="351">
      <c r="G351" s="64" t="n"/>
    </row>
    <row r="352">
      <c r="G352" s="64" t="n"/>
    </row>
    <row r="353">
      <c r="G353" s="64" t="n"/>
    </row>
    <row r="354">
      <c r="G354" s="64" t="n"/>
    </row>
    <row r="355">
      <c r="G355" s="64" t="n"/>
    </row>
    <row r="356">
      <c r="G356" s="64" t="n"/>
    </row>
    <row r="357">
      <c r="G357" s="64" t="n"/>
    </row>
    <row r="358">
      <c r="G358" s="64" t="n"/>
    </row>
    <row r="359">
      <c r="G359" s="64" t="n"/>
    </row>
    <row r="360">
      <c r="G360" s="64" t="n"/>
    </row>
    <row r="361">
      <c r="G361" s="64" t="n"/>
    </row>
    <row r="362">
      <c r="G362" s="64" t="n"/>
    </row>
  </sheetData>
  <autoFilter ref="A2:G2"/>
  <mergeCells count="1">
    <mergeCell ref="A1:H1"/>
  </mergeCells>
  <pageMargins left="0.75" right="0.75" top="1" bottom="1" header="0.5" footer="0.5"/>
</worksheet>
</file>

<file path=xl/worksheets/sheet7.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0" t="inlineStr">
        <is>
          <t>Geography lists — add a province under its region code, or a district under its province column. Do not leave blank cells in the middle of a list.</t>
        </is>
      </c>
      <c r="B1" s="21" t="n"/>
      <c r="C1" s="21" t="n"/>
      <c r="D1" s="21" t="n"/>
      <c r="E1" s="21" t="n"/>
      <c r="F1" s="21" t="n"/>
      <c r="G1" s="21" t="n"/>
      <c r="H1" s="21" t="n"/>
      <c r="I1" s="21" t="n"/>
      <c r="J1" s="21" t="n"/>
      <c r="K1" s="21" t="n"/>
      <c r="L1" s="21" t="n"/>
      <c r="M1" s="21" t="n"/>
      <c r="N1" s="21" t="n"/>
      <c r="O1" s="21" t="n"/>
      <c r="P1" s="21" t="n"/>
    </row>
    <row r="3">
      <c r="A3" s="65" t="inlineStr">
        <is>
          <t>PROVINCES BY REGION (column header is the region code used in named ranges)</t>
        </is>
      </c>
    </row>
    <row r="4">
      <c r="A4" s="23" t="inlineStr">
        <is>
          <t>West_Herat</t>
        </is>
      </c>
      <c r="B4" s="23" t="inlineStr">
        <is>
          <t>East_Jalalabad</t>
        </is>
      </c>
      <c r="C4" s="23" t="inlineStr">
        <is>
          <t>Central_Kabul</t>
        </is>
      </c>
      <c r="D4" s="23" t="inlineStr">
        <is>
          <t>Central_Highland_Bamyan</t>
        </is>
      </c>
      <c r="E4" s="23" t="inlineStr">
        <is>
          <t>Southeast_Gardez</t>
        </is>
      </c>
      <c r="F4" s="23" t="inlineStr">
        <is>
          <t>South_Kandahar</t>
        </is>
      </c>
      <c r="G4" s="23" t="inlineStr">
        <is>
          <t>North_Mazar</t>
        </is>
      </c>
      <c r="H4" s="23"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64" t="n"/>
      <c r="E7" s="5" t="inlineStr">
        <is>
          <t>Khost</t>
        </is>
      </c>
      <c r="F7" s="5" t="inlineStr">
        <is>
          <t>Zabul</t>
        </is>
      </c>
      <c r="G7" s="5" t="inlineStr">
        <is>
          <t>Jawzjan</t>
        </is>
      </c>
      <c r="H7" s="5" t="inlineStr">
        <is>
          <t>Takhar</t>
        </is>
      </c>
    </row>
    <row r="8">
      <c r="A8" s="5" t="inlineStr">
        <is>
          <t>Ghor</t>
        </is>
      </c>
      <c r="B8" s="5" t="inlineStr">
        <is>
          <t>Nuristan</t>
        </is>
      </c>
      <c r="C8" s="5" t="inlineStr">
        <is>
          <t>Logar</t>
        </is>
      </c>
      <c r="D8" s="64" t="n"/>
      <c r="E8" s="5" t="inlineStr">
        <is>
          <t>Ghazni</t>
        </is>
      </c>
      <c r="F8" s="5" t="inlineStr">
        <is>
          <t>Uruzgan</t>
        </is>
      </c>
      <c r="G8" s="5" t="inlineStr">
        <is>
          <t>Sar-e-Pul</t>
        </is>
      </c>
      <c r="H8" s="5" t="inlineStr">
        <is>
          <t>Badakhshan</t>
        </is>
      </c>
    </row>
    <row r="9">
      <c r="A9" s="64" t="n"/>
      <c r="B9" s="64" t="n"/>
      <c r="C9" s="5" t="inlineStr">
        <is>
          <t>Maidan Wardak</t>
        </is>
      </c>
      <c r="D9" s="64" t="n"/>
      <c r="E9" s="64" t="n"/>
      <c r="F9" s="5" t="inlineStr">
        <is>
          <t>Nimroz</t>
        </is>
      </c>
      <c r="G9" s="5" t="inlineStr">
        <is>
          <t>Faryab</t>
        </is>
      </c>
      <c r="H9" s="64" t="n"/>
    </row>
    <row r="10">
      <c r="A10" s="64" t="n"/>
      <c r="B10" s="64" t="n"/>
      <c r="C10" s="5" t="inlineStr">
        <is>
          <t>Panjshir</t>
        </is>
      </c>
      <c r="D10" s="64" t="n"/>
      <c r="E10" s="64" t="n"/>
      <c r="F10" s="64" t="n"/>
      <c r="G10" s="64" t="n"/>
      <c r="H10" s="64" t="n"/>
    </row>
    <row r="11">
      <c r="A11" s="64" t="n"/>
      <c r="B11" s="64" t="n"/>
      <c r="C11" s="64" t="n"/>
      <c r="D11" s="64" t="n"/>
      <c r="E11" s="64" t="n"/>
      <c r="F11" s="64" t="n"/>
      <c r="G11" s="64" t="n"/>
      <c r="H11" s="64" t="n"/>
    </row>
    <row r="12">
      <c r="A12" s="64" t="n"/>
      <c r="B12" s="64" t="n"/>
      <c r="C12" s="64" t="n"/>
      <c r="D12" s="64" t="n"/>
      <c r="E12" s="64" t="n"/>
      <c r="F12" s="64" t="n"/>
      <c r="G12" s="64" t="n"/>
      <c r="H12" s="64" t="n"/>
    </row>
    <row r="13">
      <c r="A13" s="64" t="n"/>
      <c r="B13" s="64" t="n"/>
      <c r="C13" s="64" t="n"/>
      <c r="D13" s="64" t="n"/>
      <c r="E13" s="64" t="n"/>
      <c r="F13" s="64" t="n"/>
      <c r="G13" s="64" t="n"/>
      <c r="H13" s="64" t="n"/>
    </row>
    <row r="14">
      <c r="A14" s="64" t="n"/>
      <c r="B14" s="64" t="n"/>
      <c r="C14" s="64" t="n"/>
      <c r="D14" s="64" t="n"/>
      <c r="E14" s="64" t="n"/>
      <c r="F14" s="64" t="n"/>
      <c r="G14" s="64" t="n"/>
      <c r="H14" s="64" t="n"/>
    </row>
    <row r="15">
      <c r="A15" s="64" t="n"/>
      <c r="B15" s="64" t="n"/>
      <c r="C15" s="64" t="n"/>
      <c r="E15" s="64" t="n"/>
      <c r="F15" s="64" t="n"/>
      <c r="G15" s="64" t="n"/>
      <c r="H15" s="64" t="n"/>
    </row>
    <row r="16">
      <c r="A16" s="64" t="n"/>
      <c r="B16" s="64" t="n"/>
      <c r="C16" s="64" t="n"/>
      <c r="E16" s="64" t="n"/>
      <c r="F16" s="64" t="n"/>
      <c r="G16" s="64" t="n"/>
      <c r="H16" s="64" t="n"/>
    </row>
    <row r="17">
      <c r="C17" s="64" t="n"/>
      <c r="F17" s="64" t="n"/>
      <c r="G17" s="64" t="n"/>
    </row>
    <row r="18">
      <c r="C18" s="64" t="n"/>
    </row>
    <row r="21">
      <c r="A21" s="66" t="inlineStr">
        <is>
          <t>DISTRICTS BY PROVINCE (column header is the province; add districts below)</t>
        </is>
      </c>
    </row>
    <row r="22">
      <c r="A22" s="25" t="inlineStr">
        <is>
          <t>Herat</t>
        </is>
      </c>
      <c r="B22" s="25" t="inlineStr">
        <is>
          <t>Badghis</t>
        </is>
      </c>
      <c r="C22" s="25" t="inlineStr">
        <is>
          <t>Farah</t>
        </is>
      </c>
      <c r="D22" s="25" t="inlineStr">
        <is>
          <t>Ghor</t>
        </is>
      </c>
      <c r="E22" s="25" t="inlineStr">
        <is>
          <t>Nangarhar</t>
        </is>
      </c>
      <c r="F22" s="25" t="inlineStr">
        <is>
          <t>Kunar</t>
        </is>
      </c>
      <c r="G22" s="25" t="inlineStr">
        <is>
          <t>Laghman</t>
        </is>
      </c>
      <c r="H22" s="25" t="inlineStr">
        <is>
          <t>Nuristan</t>
        </is>
      </c>
      <c r="I22" s="25" t="inlineStr">
        <is>
          <t>Kabul</t>
        </is>
      </c>
      <c r="J22" s="25" t="inlineStr">
        <is>
          <t>Parwan</t>
        </is>
      </c>
      <c r="K22" s="25" t="inlineStr">
        <is>
          <t>Kapisa</t>
        </is>
      </c>
      <c r="L22" s="25" t="inlineStr">
        <is>
          <t>Logar</t>
        </is>
      </c>
      <c r="M22" s="25" t="inlineStr">
        <is>
          <t>Maidan Wardak</t>
        </is>
      </c>
      <c r="N22" s="25" t="inlineStr">
        <is>
          <t>Panjshir</t>
        </is>
      </c>
      <c r="O22" s="25" t="inlineStr">
        <is>
          <t>Bamyan</t>
        </is>
      </c>
      <c r="P22" s="25" t="inlineStr">
        <is>
          <t>Daykundi</t>
        </is>
      </c>
      <c r="Q22" s="25" t="inlineStr">
        <is>
          <t>Paktya</t>
        </is>
      </c>
      <c r="R22" s="25" t="inlineStr">
        <is>
          <t>Paktika</t>
        </is>
      </c>
      <c r="S22" s="25" t="inlineStr">
        <is>
          <t>Khost</t>
        </is>
      </c>
      <c r="T22" s="25" t="inlineStr">
        <is>
          <t>Ghazni</t>
        </is>
      </c>
      <c r="U22" s="25" t="inlineStr">
        <is>
          <t>Kandahar</t>
        </is>
      </c>
      <c r="V22" s="25" t="inlineStr">
        <is>
          <t>Helmand</t>
        </is>
      </c>
      <c r="W22" s="25" t="inlineStr">
        <is>
          <t>Zabul</t>
        </is>
      </c>
      <c r="X22" s="25" t="inlineStr">
        <is>
          <t>Uruzgan</t>
        </is>
      </c>
      <c r="Y22" s="25" t="inlineStr">
        <is>
          <t>Nimroz</t>
        </is>
      </c>
      <c r="Z22" s="25" t="inlineStr">
        <is>
          <t>Balkh</t>
        </is>
      </c>
      <c r="AA22" s="25" t="inlineStr">
        <is>
          <t>Samangan</t>
        </is>
      </c>
      <c r="AB22" s="25" t="inlineStr">
        <is>
          <t>Jawzjan</t>
        </is>
      </c>
      <c r="AC22" s="25" t="inlineStr">
        <is>
          <t>Sar-e-Pul</t>
        </is>
      </c>
      <c r="AD22" s="25" t="inlineStr">
        <is>
          <t>Faryab</t>
        </is>
      </c>
      <c r="AE22" s="25" t="inlineStr">
        <is>
          <t>Kunduz</t>
        </is>
      </c>
      <c r="AF22" s="25" t="inlineStr">
        <is>
          <t>Baghlan</t>
        </is>
      </c>
      <c r="AG22" s="25" t="inlineStr">
        <is>
          <t>Takhar</t>
        </is>
      </c>
      <c r="AH22" s="25"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64"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64"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64"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64" t="n"/>
      <c r="Y29" s="64"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64" t="n"/>
      <c r="C30" s="5" t="inlineStr">
        <is>
          <t>Pur Chaman</t>
        </is>
      </c>
      <c r="D30" s="5" t="inlineStr">
        <is>
          <t>Saghar</t>
        </is>
      </c>
      <c r="E30" s="5" t="inlineStr">
        <is>
          <t>Shinwar</t>
        </is>
      </c>
      <c r="F30" s="5" t="inlineStr">
        <is>
          <t>Ghaziabad</t>
        </is>
      </c>
      <c r="G30" s="64" t="n"/>
      <c r="H30" s="5" t="inlineStr">
        <is>
          <t>Waygal</t>
        </is>
      </c>
      <c r="I30" s="5" t="inlineStr">
        <is>
          <t>Kalakan</t>
        </is>
      </c>
      <c r="J30" s="5" t="inlineStr">
        <is>
          <t>Surkhi Parsa</t>
        </is>
      </c>
      <c r="K30" s="64" t="n"/>
      <c r="L30" s="64" t="n"/>
      <c r="M30" s="5" t="inlineStr">
        <is>
          <t>Saydabad</t>
        </is>
      </c>
      <c r="N30" s="64" t="n"/>
      <c r="O30" s="64"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64" t="n"/>
      <c r="Y30" s="64" t="n"/>
      <c r="Z30" s="5" t="inlineStr">
        <is>
          <t>Kishindih</t>
        </is>
      </c>
      <c r="AA30" s="64" t="n"/>
      <c r="AB30" s="5" t="inlineStr">
        <is>
          <t>Qarqin</t>
        </is>
      </c>
      <c r="AC30" s="64" t="n"/>
      <c r="AD30" s="5" t="inlineStr">
        <is>
          <t>Kohistan</t>
        </is>
      </c>
      <c r="AE30" s="5" t="inlineStr">
        <is>
          <t>Dasht-e-Archi</t>
        </is>
      </c>
      <c r="AF30" s="5" t="inlineStr">
        <is>
          <t>Andarab</t>
        </is>
      </c>
      <c r="AG30" s="5" t="inlineStr">
        <is>
          <t>Farkhar</t>
        </is>
      </c>
      <c r="AH30" s="5" t="inlineStr">
        <is>
          <t>Ishkashim</t>
        </is>
      </c>
    </row>
    <row r="31">
      <c r="A31" s="5" t="inlineStr">
        <is>
          <t>Ghoryan</t>
        </is>
      </c>
      <c r="B31" s="64" t="n"/>
      <c r="C31" s="5" t="inlineStr">
        <is>
          <t>Bakwa</t>
        </is>
      </c>
      <c r="D31" s="5" t="inlineStr">
        <is>
          <t>Taywara</t>
        </is>
      </c>
      <c r="E31" s="5" t="inlineStr">
        <is>
          <t>Achin</t>
        </is>
      </c>
      <c r="F31" s="5" t="inlineStr">
        <is>
          <t>Marawara</t>
        </is>
      </c>
      <c r="G31" s="64" t="n"/>
      <c r="H31" s="64" t="n"/>
      <c r="I31" s="5" t="inlineStr">
        <is>
          <t>Qarabagh</t>
        </is>
      </c>
      <c r="J31" s="5" t="inlineStr">
        <is>
          <t>Shekh Ali</t>
        </is>
      </c>
      <c r="K31" s="64" t="n"/>
      <c r="L31" s="64" t="n"/>
      <c r="M31" s="5" t="inlineStr">
        <is>
          <t>Jaghatu</t>
        </is>
      </c>
      <c r="N31" s="64" t="n"/>
      <c r="O31" s="64" t="n"/>
      <c r="P31" s="64"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64" t="n"/>
      <c r="Y31" s="64" t="n"/>
      <c r="Z31" s="5" t="inlineStr">
        <is>
          <t>Zari</t>
        </is>
      </c>
      <c r="AA31" s="64" t="n"/>
      <c r="AB31" s="5" t="inlineStr">
        <is>
          <t>Qush Tepa</t>
        </is>
      </c>
      <c r="AC31" s="64" t="n"/>
      <c r="AD31" s="5" t="inlineStr">
        <is>
          <t>Pashtun Kot</t>
        </is>
      </c>
      <c r="AE31" s="64" t="n"/>
      <c r="AF31" s="5" t="inlineStr">
        <is>
          <t>Tala wa Barfak</t>
        </is>
      </c>
      <c r="AG31" s="5" t="inlineStr">
        <is>
          <t>Ishkamish</t>
        </is>
      </c>
      <c r="AH31" s="5" t="inlineStr">
        <is>
          <t>Kuf Ab</t>
        </is>
      </c>
    </row>
    <row r="32">
      <c r="A32" s="5" t="inlineStr">
        <is>
          <t>Obe</t>
        </is>
      </c>
      <c r="B32" s="64" t="n"/>
      <c r="C32" s="5" t="inlineStr">
        <is>
          <t>Lash wa Juwayn</t>
        </is>
      </c>
      <c r="D32" s="5" t="inlineStr">
        <is>
          <t>Du Layna</t>
        </is>
      </c>
      <c r="E32" s="5" t="inlineStr">
        <is>
          <t>Nazyan</t>
        </is>
      </c>
      <c r="F32" s="5" t="inlineStr">
        <is>
          <t>Shigal</t>
        </is>
      </c>
      <c r="G32" s="64" t="n"/>
      <c r="H32" s="64" t="n"/>
      <c r="I32" s="5" t="inlineStr">
        <is>
          <t>Istalif</t>
        </is>
      </c>
      <c r="J32" s="5" t="inlineStr">
        <is>
          <t>Ghorband</t>
        </is>
      </c>
      <c r="K32" s="64" t="n"/>
      <c r="L32" s="64" t="n"/>
      <c r="M32" s="64" t="n"/>
      <c r="N32" s="64" t="n"/>
      <c r="O32" s="64" t="n"/>
      <c r="P32" s="64" t="n"/>
      <c r="Q32" s="5" t="inlineStr">
        <is>
          <t>Shwak</t>
        </is>
      </c>
      <c r="R32" s="5" t="inlineStr">
        <is>
          <t>Waza Khwa</t>
        </is>
      </c>
      <c r="S32" s="5" t="inlineStr">
        <is>
          <t>Bak</t>
        </is>
      </c>
      <c r="T32" s="5" t="inlineStr">
        <is>
          <t>Nawa</t>
        </is>
      </c>
      <c r="U32" s="5" t="inlineStr">
        <is>
          <t>Maiwand</t>
        </is>
      </c>
      <c r="V32" s="5" t="inlineStr">
        <is>
          <t>Dishu</t>
        </is>
      </c>
      <c r="W32" s="5" t="inlineStr">
        <is>
          <t>Shinkay</t>
        </is>
      </c>
      <c r="X32" s="64" t="n"/>
      <c r="Y32" s="64" t="n"/>
      <c r="Z32" s="5" t="inlineStr">
        <is>
          <t>Shortepa</t>
        </is>
      </c>
      <c r="AA32" s="64" t="n"/>
      <c r="AB32" s="5" t="inlineStr">
        <is>
          <t>Darzab</t>
        </is>
      </c>
      <c r="AC32" s="64" t="n"/>
      <c r="AD32" s="5" t="inlineStr">
        <is>
          <t>Qaramqol</t>
        </is>
      </c>
      <c r="AE32" s="64" t="n"/>
      <c r="AF32" s="5" t="inlineStr">
        <is>
          <t>Burka</t>
        </is>
      </c>
      <c r="AG32" s="5" t="inlineStr">
        <is>
          <t>Kalafgan</t>
        </is>
      </c>
      <c r="AH32" s="5" t="inlineStr">
        <is>
          <t>Raghistan</t>
        </is>
      </c>
    </row>
    <row r="33">
      <c r="A33" s="5" t="inlineStr">
        <is>
          <t>Chishti Sharif</t>
        </is>
      </c>
      <c r="B33" s="64" t="n"/>
      <c r="C33" s="5" t="inlineStr">
        <is>
          <t>Anar Dara</t>
        </is>
      </c>
      <c r="D33" s="64" t="n"/>
      <c r="E33" s="5" t="inlineStr">
        <is>
          <t>Dur Baba</t>
        </is>
      </c>
      <c r="F33" s="5" t="inlineStr">
        <is>
          <t>Wata Pur</t>
        </is>
      </c>
      <c r="G33" s="64" t="n"/>
      <c r="H33" s="64" t="n"/>
      <c r="I33" s="5" t="inlineStr">
        <is>
          <t>Farza</t>
        </is>
      </c>
      <c r="J33" s="64" t="n"/>
      <c r="K33" s="64" t="n"/>
      <c r="L33" s="64" t="n"/>
      <c r="M33" s="64" t="n"/>
      <c r="N33" s="64" t="n"/>
      <c r="O33" s="64" t="n"/>
      <c r="P33" s="64" t="n"/>
      <c r="Q33" s="64" t="n"/>
      <c r="R33" s="5" t="inlineStr">
        <is>
          <t>Yosuf Khel</t>
        </is>
      </c>
      <c r="S33" s="5" t="inlineStr">
        <is>
          <t>Jaji Maidan</t>
        </is>
      </c>
      <c r="T33" s="5" t="inlineStr">
        <is>
          <t>Nawur</t>
        </is>
      </c>
      <c r="U33" s="5" t="inlineStr">
        <is>
          <t>Zhari</t>
        </is>
      </c>
      <c r="V33" s="5" t="inlineStr">
        <is>
          <t>Khanashin</t>
        </is>
      </c>
      <c r="W33" s="5" t="inlineStr">
        <is>
          <t>Tarnak wa Jaldak</t>
        </is>
      </c>
      <c r="X33" s="64" t="n"/>
      <c r="Y33" s="64" t="n"/>
      <c r="Z33" s="5" t="inlineStr">
        <is>
          <t>Kaldar</t>
        </is>
      </c>
      <c r="AA33" s="64" t="n"/>
      <c r="AB33" s="5" t="inlineStr">
        <is>
          <t>Shibirghan</t>
        </is>
      </c>
      <c r="AC33" s="64" t="n"/>
      <c r="AD33" s="5" t="inlineStr">
        <is>
          <t>Qaysar</t>
        </is>
      </c>
      <c r="AE33" s="64" t="n"/>
      <c r="AF33" s="64" t="n"/>
      <c r="AG33" s="5" t="inlineStr">
        <is>
          <t>Khwaja Ghar</t>
        </is>
      </c>
      <c r="AH33" s="5" t="inlineStr">
        <is>
          <t>Shighnan</t>
        </is>
      </c>
    </row>
    <row r="34">
      <c r="A34" s="5" t="inlineStr">
        <is>
          <t>Shindand</t>
        </is>
      </c>
      <c r="B34" s="64" t="n"/>
      <c r="C34" s="64" t="n"/>
      <c r="D34" s="64" t="n"/>
      <c r="E34" s="5" t="inlineStr">
        <is>
          <t>Mohmand Dara</t>
        </is>
      </c>
      <c r="F34" s="5" t="inlineStr">
        <is>
          <t>Naray</t>
        </is>
      </c>
      <c r="G34" s="64" t="n"/>
      <c r="H34" s="64" t="n"/>
      <c r="I34" s="5" t="inlineStr">
        <is>
          <t>Guldara</t>
        </is>
      </c>
      <c r="J34" s="64" t="n"/>
      <c r="K34" s="64" t="n"/>
      <c r="L34" s="64" t="n"/>
      <c r="M34" s="64" t="n"/>
      <c r="N34" s="64" t="n"/>
      <c r="O34" s="64" t="n"/>
      <c r="P34" s="64" t="n"/>
      <c r="Q34" s="64" t="n"/>
      <c r="R34" s="5" t="inlineStr">
        <is>
          <t>Ziruk</t>
        </is>
      </c>
      <c r="S34" s="5" t="inlineStr">
        <is>
          <t>Gurbuz</t>
        </is>
      </c>
      <c r="T34" s="5" t="inlineStr">
        <is>
          <t>Qarabagh</t>
        </is>
      </c>
      <c r="U34" s="5" t="inlineStr">
        <is>
          <t>Arghistan</t>
        </is>
      </c>
      <c r="V34" s="5" t="inlineStr">
        <is>
          <t>Baghran</t>
        </is>
      </c>
      <c r="W34" s="64" t="n"/>
      <c r="X34" s="64" t="n"/>
      <c r="Y34" s="64" t="n"/>
      <c r="Z34" s="5" t="inlineStr">
        <is>
          <t>Khulm</t>
        </is>
      </c>
      <c r="AA34" s="64" t="n"/>
      <c r="AB34" s="64" t="n"/>
      <c r="AC34" s="64" t="n"/>
      <c r="AD34" s="5" t="inlineStr">
        <is>
          <t>Shirin Tagab</t>
        </is>
      </c>
      <c r="AE34" s="64" t="n"/>
      <c r="AF34" s="64" t="n"/>
      <c r="AG34" s="5" t="inlineStr">
        <is>
          <t>Rustaq</t>
        </is>
      </c>
      <c r="AH34" s="5" t="inlineStr">
        <is>
          <t>Wakhan</t>
        </is>
      </c>
    </row>
    <row r="35">
      <c r="A35" s="5" t="inlineStr">
        <is>
          <t>Adraskan</t>
        </is>
      </c>
      <c r="B35" s="64" t="n"/>
      <c r="C35" s="64" t="n"/>
      <c r="D35" s="64" t="n"/>
      <c r="E35" s="5" t="inlineStr">
        <is>
          <t>Lal Pur</t>
        </is>
      </c>
      <c r="F35" s="5" t="inlineStr">
        <is>
          <t>Dara-i-Pech</t>
        </is>
      </c>
      <c r="G35" s="64" t="n"/>
      <c r="H35" s="64" t="n"/>
      <c r="I35" s="5" t="inlineStr">
        <is>
          <t>Khak-e-Jabbar</t>
        </is>
      </c>
      <c r="J35" s="64" t="n"/>
      <c r="K35" s="64" t="n"/>
      <c r="L35" s="64" t="n"/>
      <c r="M35" s="64" t="n"/>
      <c r="N35" s="64" t="n"/>
      <c r="O35" s="64" t="n"/>
      <c r="P35" s="64" t="n"/>
      <c r="Q35" s="64" t="n"/>
      <c r="R35" s="5" t="inlineStr">
        <is>
          <t>Gayan</t>
        </is>
      </c>
      <c r="S35" s="5" t="inlineStr">
        <is>
          <t>Shamul</t>
        </is>
      </c>
      <c r="T35" s="5" t="inlineStr">
        <is>
          <t>Rashidan</t>
        </is>
      </c>
      <c r="U35" s="5" t="inlineStr">
        <is>
          <t>Maruf</t>
        </is>
      </c>
      <c r="V35" s="5" t="inlineStr">
        <is>
          <t>Nawa-i-Barakzayi</t>
        </is>
      </c>
      <c r="W35" s="64" t="n"/>
      <c r="X35" s="64" t="n"/>
      <c r="Y35" s="64" t="n"/>
      <c r="Z35" s="5" t="inlineStr">
        <is>
          <t>Marmul</t>
        </is>
      </c>
      <c r="AA35" s="64" t="n"/>
      <c r="AB35" s="64" t="n"/>
      <c r="AC35" s="64" t="n"/>
      <c r="AD35" s="64" t="n"/>
      <c r="AE35" s="64" t="n"/>
      <c r="AF35" s="64" t="n"/>
      <c r="AG35" s="5" t="inlineStr">
        <is>
          <t>Warsaj</t>
        </is>
      </c>
      <c r="AH35" s="5" t="inlineStr">
        <is>
          <t>Zebak</t>
        </is>
      </c>
    </row>
    <row r="36">
      <c r="A36" s="5" t="inlineStr">
        <is>
          <t>Farsi</t>
        </is>
      </c>
      <c r="B36" s="64" t="n"/>
      <c r="C36" s="64" t="n"/>
      <c r="D36" s="64" t="n"/>
      <c r="E36" s="5" t="inlineStr">
        <is>
          <t>Goshta</t>
        </is>
      </c>
      <c r="F36" s="64" t="n"/>
      <c r="H36" s="64" t="n"/>
      <c r="I36" s="5" t="inlineStr">
        <is>
          <t>Surobi</t>
        </is>
      </c>
      <c r="J36" s="64" t="n"/>
      <c r="K36" s="64" t="n"/>
      <c r="L36" s="64" t="n"/>
      <c r="M36" s="64" t="n"/>
      <c r="N36" s="64" t="n"/>
      <c r="O36" s="64" t="n"/>
      <c r="P36" s="64" t="n"/>
      <c r="Q36" s="64" t="n"/>
      <c r="R36" s="5" t="inlineStr">
        <is>
          <t>Dila</t>
        </is>
      </c>
      <c r="S36" s="64" t="n"/>
      <c r="T36" s="5" t="inlineStr">
        <is>
          <t>Waghaz</t>
        </is>
      </c>
      <c r="U36" s="5" t="inlineStr">
        <is>
          <t>Reg</t>
        </is>
      </c>
      <c r="V36" s="64" t="n"/>
      <c r="W36" s="64" t="n"/>
      <c r="X36" s="64" t="n"/>
      <c r="Z36" s="64" t="n"/>
      <c r="AA36" s="64" t="n"/>
      <c r="AB36" s="64" t="n"/>
      <c r="AC36" s="64" t="n"/>
      <c r="AD36" s="64" t="n"/>
      <c r="AE36" s="64" t="n"/>
      <c r="AF36" s="64" t="n"/>
      <c r="AG36" s="5" t="inlineStr">
        <is>
          <t>Yangi Qala</t>
        </is>
      </c>
      <c r="AH36" s="64" t="n"/>
    </row>
    <row r="37">
      <c r="A37" s="64" t="n"/>
      <c r="B37" s="64" t="n"/>
      <c r="C37" s="64" t="n"/>
      <c r="D37" s="64" t="n"/>
      <c r="E37" s="5" t="inlineStr">
        <is>
          <t>Chaparhar</t>
        </is>
      </c>
      <c r="F37" s="64" t="n"/>
      <c r="H37" s="64" t="n"/>
      <c r="I37" s="64" t="n"/>
      <c r="J37" s="64" t="n"/>
      <c r="K37" s="64" t="n"/>
      <c r="L37" s="64" t="n"/>
      <c r="M37" s="64" t="n"/>
      <c r="N37" s="64" t="n"/>
      <c r="O37" s="64" t="n"/>
      <c r="P37" s="64" t="n"/>
      <c r="Q37" s="64" t="n"/>
      <c r="R37" s="5" t="inlineStr">
        <is>
          <t>Nika</t>
        </is>
      </c>
      <c r="S37" s="64" t="n"/>
      <c r="T37" s="5" t="inlineStr">
        <is>
          <t>Zana Khan</t>
        </is>
      </c>
      <c r="U37" s="5" t="inlineStr">
        <is>
          <t>Shorabak</t>
        </is>
      </c>
      <c r="V37" s="64" t="n"/>
      <c r="W37" s="64" t="n"/>
      <c r="Z37" s="64" t="n"/>
      <c r="AA37" s="64" t="n"/>
      <c r="AB37" s="64" t="n"/>
      <c r="AC37" s="64" t="n"/>
      <c r="AD37" s="64" t="n"/>
      <c r="AE37" s="64" t="n"/>
      <c r="AF37" s="64" t="n"/>
      <c r="AG37" s="64" t="n"/>
      <c r="AH37" s="64" t="n"/>
    </row>
    <row r="38">
      <c r="A38" s="64" t="n"/>
      <c r="C38" s="64" t="n"/>
      <c r="D38" s="64" t="n"/>
      <c r="E38" s="5" t="inlineStr">
        <is>
          <t>Khogyani</t>
        </is>
      </c>
      <c r="F38" s="64" t="n"/>
      <c r="H38" s="64" t="n"/>
      <c r="I38" s="64" t="n"/>
      <c r="J38" s="64" t="n"/>
      <c r="M38" s="64" t="n"/>
      <c r="P38" s="64" t="n"/>
      <c r="Q38" s="64" t="n"/>
      <c r="R38" s="64" t="n"/>
      <c r="S38" s="64" t="n"/>
      <c r="T38" s="64" t="n"/>
      <c r="U38" s="64" t="n"/>
      <c r="V38" s="64" t="n"/>
      <c r="W38" s="64" t="n"/>
      <c r="Z38" s="64" t="n"/>
      <c r="AB38" s="64" t="n"/>
      <c r="AD38" s="64" t="n"/>
      <c r="AE38" s="64" t="n"/>
      <c r="AF38" s="64" t="n"/>
      <c r="AG38" s="64" t="n"/>
      <c r="AH38" s="64" t="n"/>
    </row>
    <row r="39">
      <c r="A39" s="64" t="n"/>
      <c r="C39" s="64" t="n"/>
      <c r="D39" s="64" t="n"/>
      <c r="E39" s="5" t="inlineStr">
        <is>
          <t>Pachir wa Agam</t>
        </is>
      </c>
      <c r="F39" s="64" t="n"/>
      <c r="I39" s="64" t="n"/>
      <c r="J39" s="64" t="n"/>
      <c r="M39" s="64" t="n"/>
      <c r="Q39" s="64" t="n"/>
      <c r="R39" s="64" t="n"/>
      <c r="S39" s="64" t="n"/>
      <c r="T39" s="64" t="n"/>
      <c r="U39" s="64" t="n"/>
      <c r="V39" s="64" t="n"/>
      <c r="W39" s="64" t="n"/>
      <c r="Z39" s="64" t="n"/>
      <c r="AB39" s="64" t="n"/>
      <c r="AD39" s="64" t="n"/>
      <c r="AF39" s="64" t="n"/>
      <c r="AG39" s="64" t="n"/>
      <c r="AH39" s="64" t="n"/>
    </row>
    <row r="40">
      <c r="A40" s="64" t="n"/>
      <c r="C40" s="64" t="n"/>
      <c r="D40" s="64" t="n"/>
      <c r="E40" s="5" t="inlineStr">
        <is>
          <t>Sherzad</t>
        </is>
      </c>
      <c r="F40" s="64" t="n"/>
      <c r="I40" s="64" t="n"/>
      <c r="J40" s="64" t="n"/>
      <c r="Q40" s="64" t="n"/>
      <c r="R40" s="64" t="n"/>
      <c r="S40" s="64" t="n"/>
      <c r="T40" s="64" t="n"/>
      <c r="U40" s="64" t="n"/>
      <c r="V40" s="64" t="n"/>
      <c r="W40" s="64" t="n"/>
      <c r="Z40" s="64" t="n"/>
      <c r="AB40" s="64" t="n"/>
      <c r="AD40" s="64" t="n"/>
      <c r="AF40" s="64" t="n"/>
      <c r="AG40" s="64" t="n"/>
      <c r="AH40" s="64" t="n"/>
    </row>
    <row r="41">
      <c r="A41" s="64" t="n"/>
      <c r="C41" s="64" t="n"/>
      <c r="E41" s="5" t="inlineStr">
        <is>
          <t>Hesarak</t>
        </is>
      </c>
      <c r="F41" s="64" t="n"/>
      <c r="I41" s="64" t="n"/>
      <c r="R41" s="64" t="n"/>
      <c r="S41" s="64" t="n"/>
      <c r="T41" s="64" t="n"/>
      <c r="U41" s="64" t="n"/>
      <c r="V41" s="64" t="n"/>
      <c r="W41" s="64" t="n"/>
      <c r="Z41" s="64" t="n"/>
      <c r="AB41" s="64" t="n"/>
      <c r="AD41" s="64" t="n"/>
      <c r="AG41" s="64" t="n"/>
      <c r="AH41" s="64" t="n"/>
    </row>
    <row r="42">
      <c r="A42" s="64" t="n"/>
      <c r="E42" s="5" t="inlineStr">
        <is>
          <t>Darah-i-Nur</t>
        </is>
      </c>
      <c r="F42" s="64" t="n"/>
      <c r="I42" s="64" t="n"/>
      <c r="R42" s="64" t="n"/>
      <c r="S42" s="64" t="n"/>
      <c r="T42" s="64" t="n"/>
      <c r="U42" s="64" t="n"/>
      <c r="V42" s="64" t="n"/>
      <c r="Z42" s="64" t="n"/>
      <c r="AD42" s="64" t="n"/>
      <c r="AG42" s="64" t="n"/>
      <c r="AH42" s="64" t="n"/>
    </row>
    <row r="43">
      <c r="A43" s="64" t="n"/>
      <c r="E43" s="64" t="n"/>
      <c r="F43" s="64" t="n"/>
      <c r="I43" s="64" t="n"/>
      <c r="R43" s="64" t="n"/>
      <c r="S43" s="64" t="n"/>
      <c r="T43" s="64" t="n"/>
      <c r="U43" s="64" t="n"/>
      <c r="V43" s="64" t="n"/>
      <c r="Z43" s="64" t="n"/>
      <c r="AG43" s="64" t="n"/>
      <c r="AH43" s="64" t="n"/>
    </row>
    <row r="44">
      <c r="A44" s="64" t="n"/>
      <c r="E44" s="64" t="n"/>
      <c r="I44" s="64" t="n"/>
      <c r="R44" s="64" t="n"/>
      <c r="T44" s="64" t="n"/>
      <c r="U44" s="64" t="n"/>
      <c r="AG44" s="64" t="n"/>
    </row>
    <row r="45">
      <c r="E45" s="64" t="n"/>
      <c r="R45" s="64" t="n"/>
      <c r="T45" s="64" t="n"/>
      <c r="U45" s="64" t="n"/>
    </row>
    <row r="46">
      <c r="E46" s="64" t="n"/>
    </row>
    <row r="47">
      <c r="E47" s="64" t="n"/>
    </row>
    <row r="48">
      <c r="E48" s="64" t="n"/>
    </row>
    <row r="49">
      <c r="E49" s="64" t="n"/>
    </row>
    <row r="50">
      <c r="E50" s="64" t="n"/>
    </row>
  </sheetData>
  <mergeCells count="3">
    <mergeCell ref="A1:P1"/>
    <mergeCell ref="A3:H3"/>
    <mergeCell ref="A21:H21"/>
  </mergeCells>
  <pageMargins left="0.75" right="0.75" top="1" bottom="1" header="0.5" footer="0.5"/>
</worksheet>
</file>

<file path=xl/worksheets/sheet8.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0" t="inlineStr">
        <is>
          <t>Lookups used by cascading dropdowns — add a row when you add a region or province</t>
        </is>
      </c>
      <c r="B1" s="21" t="n"/>
      <c r="C1" s="21" t="n"/>
      <c r="D1" s="21" t="n"/>
    </row>
    <row r="3">
      <c r="A3" s="9" t="inlineStr">
        <is>
          <t>Region display name</t>
        </is>
      </c>
      <c r="B3" s="9" t="inlineStr">
        <is>
          <t>Province named range</t>
        </is>
      </c>
      <c r="C3" s="9" t="inlineStr">
        <is>
          <t>Region code</t>
        </is>
      </c>
      <c r="E3" s="23" t="inlineStr">
        <is>
          <t>Province</t>
        </is>
      </c>
      <c r="F3" s="23"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status dates, duration between steps, and editable domains.</dc:description>
  <dc:subject>Emergency Food Security Project (EFSP) · Component 2: Water and Resilience Services · WBK/AF-2</dc:subject>
  <dcterms:created xsi:type="dcterms:W3CDTF">2026-10-15T11:38:08Z</dcterms:created>
  <dcterms:modified xsi:type="dcterms:W3CDTF">2026-10-15T11:38:09Z</dcterms:modified>
</cp:coreProperties>
</file>